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E01CF86E-97A2-4EBB-8E48-8D9ECF1A44B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310R01" sheetId="49" r:id="rId2"/>
    <sheet name="Materialliste" sheetId="21" r:id="rId3"/>
    <sheet name="Motordaten" sheetId="25" r:id="rId4"/>
  </sheets>
  <definedNames>
    <definedName name="_xlnm._FilterDatabase" localSheetId="1" hidden="1">'Punktplan LTVR_3_1310R01'!$M$19:$M$24</definedName>
    <definedName name="_xlnm.Print_Area" localSheetId="0">'Blatt 0'!$A$1:$AK$60</definedName>
    <definedName name="_xlnm.Print_Area" localSheetId="1">'Punktplan LTVR_3_1310R01'!$A$3:$AX$43</definedName>
  </definedNames>
  <calcPr calcId="191029"/>
</workbook>
</file>

<file path=xl/calcChain.xml><?xml version="1.0" encoding="utf-8"?>
<calcChain xmlns="http://schemas.openxmlformats.org/spreadsheetml/2006/main">
  <c r="AL31" i="49" l="1"/>
  <c r="AK31" i="49"/>
  <c r="AJ31" i="49"/>
  <c r="AI31" i="49"/>
  <c r="AG31" i="49"/>
  <c r="AF31" i="49"/>
  <c r="AL30" i="49"/>
  <c r="AK30" i="49"/>
  <c r="AJ30" i="49"/>
  <c r="AI30" i="49"/>
  <c r="AG30" i="49"/>
  <c r="AF30" i="49"/>
  <c r="AL29" i="49"/>
  <c r="AK29" i="49"/>
  <c r="AJ29" i="49"/>
  <c r="AI29" i="49"/>
  <c r="AG29" i="49"/>
  <c r="AF29" i="49"/>
  <c r="AL28" i="49"/>
  <c r="AK28" i="49"/>
  <c r="AJ28" i="49"/>
  <c r="AI28" i="49"/>
  <c r="AG28" i="49"/>
  <c r="AF28" i="49"/>
  <c r="AL27" i="49"/>
  <c r="AK27" i="49"/>
  <c r="AJ27" i="49"/>
  <c r="AI27" i="49"/>
  <c r="AG27" i="49"/>
  <c r="AF27" i="49"/>
  <c r="X27" i="49"/>
  <c r="AL26" i="49"/>
  <c r="AK26" i="49"/>
  <c r="AJ26" i="49"/>
  <c r="AI26" i="49"/>
  <c r="AG26" i="49"/>
  <c r="AF26" i="49"/>
  <c r="AL25" i="49" l="1"/>
  <c r="AK25" i="49"/>
  <c r="AJ25" i="49"/>
  <c r="AI25" i="49"/>
  <c r="AG25" i="49"/>
  <c r="AF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X31" i="49" s="1"/>
  <c r="BE31" i="49"/>
  <c r="U31" i="49" s="1"/>
  <c r="BD31" i="49"/>
  <c r="R31" i="49" s="1"/>
  <c r="BS30" i="49"/>
  <c r="BT30" i="49" s="1"/>
  <c r="BM30" i="49"/>
  <c r="BL30" i="49"/>
  <c r="BK30" i="49"/>
  <c r="BI30" i="49"/>
  <c r="BF30" i="49"/>
  <c r="X30" i="49" s="1"/>
  <c r="BE30" i="49"/>
  <c r="U30" i="49" s="1"/>
  <c r="BD30" i="49"/>
  <c r="R30" i="49" s="1"/>
  <c r="BS29" i="49"/>
  <c r="BT29" i="49" s="1"/>
  <c r="BM29" i="49"/>
  <c r="BL29" i="49"/>
  <c r="BK29" i="49"/>
  <c r="BI29" i="49"/>
  <c r="BF29" i="49"/>
  <c r="X29" i="49" s="1"/>
  <c r="BE29" i="49"/>
  <c r="U29" i="49" s="1"/>
  <c r="BD29" i="49"/>
  <c r="R29" i="49" s="1"/>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X26" i="49" s="1"/>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AA30" i="49"/>
  <c r="AA29" i="49"/>
  <c r="BO28" i="49"/>
  <c r="BR28" i="49" s="1"/>
  <c r="AA26" i="49"/>
  <c r="AA25" i="49"/>
  <c r="BO31" i="49"/>
  <c r="BQ31" i="49" s="1"/>
  <c r="BO29" i="49"/>
  <c r="BP29" i="49" s="1"/>
  <c r="BO30" i="49"/>
  <c r="BP30" i="49" s="1"/>
  <c r="AA27" i="49"/>
  <c r="BO27" i="49"/>
  <c r="BP27" i="49" s="1"/>
  <c r="AA28" i="49"/>
  <c r="BO26" i="49"/>
  <c r="BP26" i="49" s="1"/>
  <c r="BO25" i="49"/>
  <c r="BR25" i="49" s="1"/>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R27" i="49" l="1"/>
  <c r="BQ28" i="49"/>
  <c r="BP28" i="49"/>
  <c r="BR31" i="49"/>
  <c r="BQ27" i="49"/>
  <c r="BP31" i="49"/>
  <c r="BR30" i="49"/>
  <c r="BR24" i="49"/>
  <c r="AC24" i="49" s="1"/>
  <c r="AD30" i="49"/>
  <c r="AC30" i="49"/>
  <c r="AB30" i="49"/>
  <c r="AD31" i="49"/>
  <c r="AC31" i="49"/>
  <c r="AB31" i="49"/>
  <c r="AB27" i="49"/>
  <c r="AD27" i="49"/>
  <c r="AC27" i="49"/>
  <c r="AD26" i="49"/>
  <c r="AB26" i="49"/>
  <c r="AD28" i="49"/>
  <c r="AC28" i="49"/>
  <c r="AB28" i="49"/>
  <c r="BR26" i="49"/>
  <c r="AC26" i="49" s="1"/>
  <c r="BR29" i="49"/>
  <c r="AC29" i="49" s="1"/>
  <c r="BQ29" i="49"/>
  <c r="AD29" i="49"/>
  <c r="AB29" i="49"/>
  <c r="BQ30" i="49"/>
  <c r="BQ26" i="49"/>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6" i="49"/>
  <c r="CG26" i="49" s="1"/>
  <c r="CC26" i="49"/>
  <c r="AH26" i="49" s="1"/>
  <c r="AE29" i="49"/>
  <c r="CG29" i="49" s="1"/>
  <c r="CC29" i="49"/>
  <c r="AH29" i="49" s="1"/>
  <c r="AE30" i="49"/>
  <c r="CG30" i="49" s="1"/>
  <c r="CC30" i="49"/>
  <c r="AH30" i="49" s="1"/>
  <c r="AE31" i="49"/>
  <c r="CG31" i="49" s="1"/>
  <c r="CC31" i="49"/>
  <c r="AH31" i="49" s="1"/>
  <c r="AE27" i="49"/>
  <c r="CG27" i="49" s="1"/>
  <c r="CC27" i="49"/>
  <c r="AH27" i="49" s="1"/>
  <c r="AE28" i="49"/>
  <c r="CG28" i="49" s="1"/>
  <c r="CC28" i="49"/>
  <c r="AH28"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<sst xmlns="http://schemas.openxmlformats.org/spreadsheetml/2006/main" count="1901" uniqueCount="1686">
  <si>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</si>
  <si>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</si>
  <si>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</si>
  <si>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</si>
  <si>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</si>
  <si>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</si>
  <si>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</si>
  <si>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</si>
  <si>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</si>
  <si>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</si>
  <si>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</si>
  <si>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</si>
  <si>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</si>
  <si>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</si>
  <si>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</si>
  <si>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</si>
  <si>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</si>
  <si>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</si>
  <si>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</si>
  <si>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</si>
  <si>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</si>
  <si>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</si>
  <si>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</si>
  <si>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</si>
  <si>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</si>
  <si>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</si>
  <si>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</si>
  <si>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</si>
  <si>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</si>
  <si>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</si>
  <si>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</si>
  <si>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</si>
  <si>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</si>
  <si>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</si>
  <si>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</si>
  <si>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</si>
  <si>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</si>
  <si>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</si>
  <si>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</si>
  <si>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</si>
  <si>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</si>
  <si>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</si>
  <si>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</si>
  <si>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</si>
  <si>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</si>
  <si>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</si>
  <si>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</si>
  <si>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</si>
  <si>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</si>
  <si>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</si>
  <si>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</si>
  <si>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</si>
  <si>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</si>
  <si>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</si>
  <si>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</si>
  <si>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</si>
  <si>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</si>
  <si>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</si>
  <si>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</si>
  <si>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</si>
  <si>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</si>
  <si>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</si>
  <si>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</si>
  <si>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</si>
  <si>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</si>
  <si>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</si>
  <si>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</si>
  <si>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</si>
  <si>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</si>
  <si>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</si>
  <si>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</si>
  <si>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</si>
  <si>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</si>
  <si>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</si>
  <si>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</si>
  <si>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</si>
  <si>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</si>
  <si>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</si>
  <si>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</si>
  <si>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</si>
  <si>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</si>
  <si>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</si>
  <si>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</si>
  <si>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</si>
  <si>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</si>
  <si>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</si>
  <si>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</si>
  <si>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</si>
  <si>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</si>
  <si>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</si>
  <si>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</si>
  <si>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</si>
  <si>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</si>
  <si>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</si>
  <si>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</si>
  <si>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</si>
  <si>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</si>
  <si>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</si>
  <si>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</si>
  <si>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</si>
  <si>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</si>
  <si>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</si>
  <si>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</si>
  <si>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</si>
  <si>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</si>
  <si>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</si>
  <si>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</si>
  <si>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</si>
  <si>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</si>
  <si>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</si>
  <si>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</si>
  <si>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</si>
  <si>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</si>
  <si>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</si>
  <si>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</si>
  <si>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</si>
  <si>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</si>
  <si>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</si>
  <si>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</si>
  <si>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</si>
  <si>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</si>
  <si>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</si>
  <si>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</si>
  <si>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</si>
  <si>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</si>
  <si>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</si>
  <si>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</si>
  <si>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</si>
  <si>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</si>
  <si>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</si>
  <si>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</si>
  <si>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</si>
  <si>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</si>
  <si>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</si>
  <si>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</si>
  <si>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</si>
  <si>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</si>
  <si>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</si>
  <si>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</si>
  <si>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</si>
  <si>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</si>
  <si>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</si>
  <si>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</si>
  <si>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</si>
  <si>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</si>
  <si>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</si>
  <si>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</si>
  <si>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</si>
  <si>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</si>
  <si>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</si>
  <si>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</si>
  <si>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</si>
  <si>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</si>
  <si>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</si>
  <si>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</si>
  <si>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</si>
  <si>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</si>
  <si>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</si>
  <si>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</si>
  <si>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</si>
  <si>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</si>
  <si>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</si>
  <si>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</si>
  <si>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</si>
  <si>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</si>
  <si>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</si>
  <si>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</si>
  <si>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</si>
  <si>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</si>
  <si>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</si>
  <si>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</si>
  <si>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</si>
  <si>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</si>
  <si>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</si>
  <si>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</si>
  <si>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</si>
  <si>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</si>
  <si>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</si>
  <si>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</si>
  <si>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</si>
  <si>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</si>
  <si>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</si>
  <si>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</si>
  <si>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</si>
  <si>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</si>
  <si>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</si>
  <si>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</si>
  <si>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</si>
  <si>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</si>
  <si>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</si>
  <si>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</si>
  <si>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</si>
  <si>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</si>
  <si>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</si>
  <si>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</si>
  <si>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</si>
  <si>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</si>
  <si>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</si>
  <si>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</si>
  <si>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</si>
  <si>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</si>
  <si>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</si>
  <si>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</si>
  <si>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</si>
  <si>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</si>
  <si>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</si>
  <si>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</si>
  <si>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</si>
  <si>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</si>
  <si>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</si>
  <si>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</si>
  <si>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</si>
  <si>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</si>
  <si>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</si>
  <si>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</si>
  <si>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</si>
  <si>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</si>
  <si>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</si>
  <si>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</si>
  <si>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</si>
  <si>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</si>
  <si>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</si>
  <si>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</si>
  <si>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</si>
  <si>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</si>
  <si>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</si>
  <si>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</si>
  <si>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</si>
  <si>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</si>
  <si>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</si>
  <si>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</si>
  <si>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</si>
  <si>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</si>
  <si>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</si>
  <si>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</si>
  <si>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</si>
  <si>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</si>
  <si>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</si>
  <si>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</si>
  <si>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</si>
  <si>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</si>
  <si>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</si>
  <si>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</si>
  <si>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</si>
  <si>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</si>
  <si>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</si>
  <si>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</si>
  <si>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</si>
  <si>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</si>
  <si>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</si>
  <si>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</si>
  <si>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</si>
  <si>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</si>
  <si>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</si>
  <si>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</si>
  <si>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</si>
  <si>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</si>
  <si>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</si>
  <si>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</si>
  <si>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</si>
  <si>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</si>
  <si>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</si>
  <si>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</si>
  <si>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</si>
  <si>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</si>
  <si>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</si>
  <si>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</si>
  <si>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</si>
  <si>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</si>
  <si>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</si>
  <si>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</si>
  <si>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</si>
  <si>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</si>
  <si>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</si>
  <si>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</si>
  <si>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</si>
  <si>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</si>
  <si>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</si>
  <si>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</si>
  <si>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</si>
  <si>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</si>
  <si>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</si>
  <si>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</si>
  <si>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</si>
  <si>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</si>
  <si>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</si>
  <si>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</si>
  <si>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</si>
  <si>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</si>
  <si>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</si>
  <si>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</si>
  <si>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</si>
  <si>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</si>
  <si>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</si>
  <si>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</si>
  <si>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</si>
  <si>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</si>
  <si>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</si>
  <si>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</si>
  <si>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</si>
  <si>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</si>
  <si>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</si>
  <si>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</si>
  <si>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</si>
  <si>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</si>
  <si>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</si>
  <si>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</si>
  <si>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</si>
  <si>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</si>
  <si>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</si>
  <si>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</si>
  <si>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</si>
  <si>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</si>
  <si>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</si>
  <si>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</si>
  <si>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</si>
  <si>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</si>
  <si>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</si>
  <si>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</si>
  <si>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</si>
  <si>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</si>
  <si>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</si>
  <si>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</si>
  <si>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</si>
  <si>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</si>
  <si>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</si>
  <si>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</si>
  <si>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</si>
  <si>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</si>
  <si>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</si>
  <si>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</si>
  <si>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</si>
  <si>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</si>
  <si>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</si>
  <si>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</si>
  <si>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</si>
  <si>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</si>
  <si>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</si>
  <si>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</si>
  <si>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</si>
  <si>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</si>
  <si>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</si>
  <si>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</si>
  <si>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</si>
  <si>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</si>
  <si>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</si>
  <si>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</si>
  <si>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</si>
  <si>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</si>
  <si>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</si>
  <si>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</si>
  <si>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</si>
  <si>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</si>
  <si>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</si>
  <si>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</si>
  <si>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</si>
  <si>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</si>
  <si>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</si>
  <si>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</si>
  <si>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</si>
  <si>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</si>
  <si>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</si>
  <si>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</si>
  <si>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</si>
  <si>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</si>
  <si>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</si>
  <si>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</si>
  <si>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</si>
  <si>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</si>
  <si>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</si>
  <si>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</si>
  <si>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</si>
  <si>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</si>
  <si>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</si>
  <si>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</si>
  <si>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</si>
  <si>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</si>
  <si>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</si>
  <si>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</si>
  <si>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</si>
  <si>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</si>
  <si>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</si>
  <si>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</si>
  <si>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</si>
  <si>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</si>
  <si>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</si>
  <si>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</si>
  <si>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</si>
  <si>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</si>
  <si>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</si>
  <si>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</si>
  <si>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</si>
  <si>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</si>
  <si>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</si>
  <si>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</si>
  <si>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</si>
  <si>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</si>
  <si>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</si>
  <si>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</si>
  <si>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</si>
  <si>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</si>
  <si>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</si>
  <si>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</si>
  <si>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</si>
  <si>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</si>
  <si>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</si>
  <si>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</si>
  <si>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</si>
  <si>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</si>
  <si>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</si>
  <si>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</si>
  <si>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</si>
  <si>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</si>
  <si>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</si>
  <si>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</si>
  <si>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</si>
  <si>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</si>
  <si>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</si>
  <si>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</si>
  <si>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</si>
  <si>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</si>
  <si>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</si>
  <si>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</si>
  <si>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</si>
  <si>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</si>
  <si>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</si>
  <si>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</si>
  <si>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</si>
  <si>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</si>
  <si>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</si>
  <si>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</si>
  <si>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</si>
  <si>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</si>
  <si>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</si>
  <si>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</si>
  <si>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</si>
  <si>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</si>
  <si>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</si>
  <si>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</si>
  <si>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</si>
  <si>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</si>
  <si>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</si>
  <si>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</si>
  <si>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</si>
  <si>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</si>
  <si>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</si>
  <si>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</si>
  <si>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</si>
  <si>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</si>
  <si>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</si>
  <si>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</si>
  <si>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</si>
  <si>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</si>
  <si>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</si>
  <si>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</si>
  <si>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</si>
  <si>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</si>
  <si>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</si>
  <si>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</si>
  <si>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</si>
  <si>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</si>
  <si>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</si>
  <si>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</si>
  <si>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</si>
  <si>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</si>
  <si>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</si>
  <si>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</si>
  <si>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</si>
  <si>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</si>
  <si>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</si>
  <si>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</si>
  <si>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</si>
  <si>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</si>
  <si>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</si>
  <si>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</si>
  <si>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</si>
  <si>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</si>
  <si>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</si>
  <si>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</si>
  <si>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</si>
  <si>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</si>
  <si>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</si>
  <si>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</si>
  <si>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</si>
  <si>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</si>
  <si>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</si>
  <si>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</si>
  <si>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</si>
  <si>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</si>
  <si>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</si>
  <si>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</si>
  <si>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</si>
  <si>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</si>
  <si>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</si>
  <si>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</si>
  <si>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</si>
  <si>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</si>
  <si>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</si>
  <si>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</si>
  <si>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</si>
  <si>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</si>
  <si>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</si>
  <si>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</si>
  <si>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</si>
  <si>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</si>
  <si>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</si>
  <si>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</si>
  <si>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</si>
  <si>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</si>
  <si>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</si>
  <si>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</si>
  <si>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</si>
  <si>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</si>
  <si>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</si>
  <si>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</si>
  <si>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</si>
  <si>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</si>
  <si>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</si>
  <si>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</si>
  <si>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</si>
  <si>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</si>
  <si>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</si>
  <si>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</si>
  <si>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</si>
  <si>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</si>
  <si>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</si>
  <si>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</si>
  <si>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</si>
  <si>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</si>
  <si>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</si>
  <si>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</si>
  <si>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</si>
  <si>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</si>
  <si>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</si>
  <si>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</si>
  <si>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</si>
  <si>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</si>
  <si>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</si>
  <si>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</si>
  <si>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</si>
  <si>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</si>
  <si>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</si>
  <si>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</si>
  <si>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</si>
  <si>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</si>
  <si>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</si>
  <si>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</si>
  <si>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</si>
  <si>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</si>
  <si>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</si>
  <si>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</si>
  <si>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</si>
  <si>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</si>
  <si>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</si>
  <si>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</si>
  <si>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</si>
  <si>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</si>
  <si>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</si>
  <si>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</si>
  <si>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</si>
  <si>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</si>
  <si>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</si>
  <si>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</si>
  <si>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</si>
  <si>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</si>
  <si>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</si>
  <si>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</si>
  <si>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</si>
  <si>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</si>
  <si>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</si>
  <si>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</si>
  <si>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</si>
  <si>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</si>
  <si>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</si>
  <si>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</si>
  <si>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</si>
  <si>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</si>
  <si>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</si>
  <si>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</si>
  <si>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</si>
  <si>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</si>
  <si>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</si>
  <si>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</si>
  <si>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</si>
  <si>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</si>
  <si>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</si>
  <si>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</si>
  <si>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</si>
  <si>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</si>
  <si>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</si>
  <si>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</si>
  <si>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</si>
  <si>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</si>
  <si>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</si>
  <si>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</si>
  <si>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</si>
  <si>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</si>
  <si>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</si>
  <si>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</si>
  <si>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</si>
  <si>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</si>
  <si>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</si>
  <si>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</si>
  <si>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</si>
  <si>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</si>
  <si>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</si>
  <si>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</si>
  <si>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</si>
  <si>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</si>
  <si>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</si>
  <si>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</si>
  <si>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</si>
  <si>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</si>
  <si>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</si>
  <si>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</si>
  <si>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</si>
  <si>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</si>
  <si>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</si>
  <si>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</si>
  <si>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</si>
  <si>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</si>
  <si>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</si>
  <si>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</si>
  <si>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</si>
  <si>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</si>
  <si>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</si>
  <si>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</si>
  <si>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</si>
  <si>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</si>
  <si>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</si>
  <si>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</si>
  <si>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</si>
  <si>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</si>
  <si>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</si>
  <si>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</si>
  <si>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</si>
  <si>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</si>
  <si>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</si>
  <si>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</si>
  <si>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</si>
  <si>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</si>
  <si>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</si>
  <si>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</si>
  <si>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</si>
  <si>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</si>
  <si>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</si>
  <si>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</si>
  <si>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</si>
  <si>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</si>
  <si>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</si>
  <si>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</si>
  <si>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</si>
  <si>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</si>
  <si>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</si>
  <si>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</si>
  <si>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</si>
  <si>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</si>
  <si>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</si>
  <si>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</si>
  <si>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</si>
  <si>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</si>
  <si>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</si>
  <si>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</si>
  <si>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</si>
  <si>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</si>
  <si>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</si>
  <si>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</si>
  <si>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</si>
  <si>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</si>
  <si>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</si>
  <si>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</si>
  <si>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</si>
  <si>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</si>
  <si>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</si>
  <si>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</si>
  <si>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</si>
  <si>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</si>
  <si>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</si>
  <si>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</si>
  <si>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</si>
  <si>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</si>
  <si>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</si>
  <si>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</si>
  <si>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</si>
  <si>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</si>
  <si>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</si>
  <si>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</si>
  <si>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</si>
  <si>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</si>
  <si>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</si>
  <si>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</si>
  <si>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</si>
  <si>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</si>
  <si>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</si>
  <si>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</si>
  <si>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</si>
  <si>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</si>
  <si>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</si>
  <si>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</si>
  <si>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</si>
  <si>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</si>
  <si>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</si>
  <si>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</si>
  <si>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</si>
  <si>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</si>
  <si>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</si>
  <si>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</si>
  <si>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</si>
  <si>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</si>
  <si>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</si>
  <si>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</si>
  <si>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</si>
  <si>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</si>
  <si>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</si>
  <si>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</si>
  <si>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</si>
  <si>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</si>
  <si>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</si>
  <si>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</si>
  <si>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</si>
  <si>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</si>
  <si>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</si>
  <si>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</si>
  <si>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</si>
  <si>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</si>
  <si>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</si>
  <si>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</si>
  <si>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</si>
  <si>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</si>
  <si>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</si>
  <si>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</si>
  <si>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</si>
  <si>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</si>
  <si>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</si>
  <si>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</si>
  <si>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</si>
  <si>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</si>
  <si>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</si>
  <si>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</si>
  <si>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</si>
  <si>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</si>
  <si>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</si>
  <si>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</si>
  <si>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</si>
  <si>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</si>
  <si>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</si>
  <si>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</si>
  <si>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</si>
  <si>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</si>
  <si>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</si>
  <si>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</si>
  <si>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</si>
  <si>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</si>
  <si>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</si>
  <si>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</si>
  <si>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</si>
  <si>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</si>
  <si>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</si>
  <si>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</si>
  <si>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</si>
  <si>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</si>
  <si>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</si>
  <si>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</si>
  <si>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</si>
  <si>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</si>
  <si>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</si>
  <si>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</si>
  <si>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</si>
  <si>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</si>
  <si>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</si>
  <si>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</si>
  <si>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</si>
  <si>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</si>
  <si>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</si>
  <si>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</si>
  <si>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</si>
  <si>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</si>
  <si>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</si>
  <si>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</si>
  <si>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</si>
  <si>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</si>
  <si>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</si>
  <si>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</si>
  <si>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</si>
  <si>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</si>
  <si>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</si>
  <si>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</si>
  <si>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</si>
  <si>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</si>
  <si>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</si>
  <si>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</si>
  <si>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</si>
  <si>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</si>
  <si>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</si>
  <si>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</si>
  <si>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</si>
  <si>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</si>
  <si>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</si>
  <si>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</si>
  <si>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</si>
  <si>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</si>
  <si>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</si>
  <si>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</si>
  <si>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</si>
  <si>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</si>
  <si>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</si>
  <si>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</si>
  <si>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</si>
  <si>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</si>
  <si>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</si>
  <si>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</si>
  <si>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</si>
  <si>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</si>
  <si>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</si>
  <si>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</si>
  <si>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</si>
  <si>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</si>
  <si>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</si>
  <si>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</si>
  <si>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</si>
  <si>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</si>
  <si>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</si>
  <si>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</si>
  <si>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</si>
  <si>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</si>
  <si>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</si>
  <si>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</si>
  <si>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</si>
  <si>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</si>
  <si>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</si>
  <si>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</si>
  <si>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</si>
  <si>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</si>
  <si>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</si>
  <si>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</si>
  <si>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</si>
  <si>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</si>
  <si>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</si>
  <si>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</si>
  <si>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</si>
  <si>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</si>
  <si>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</si>
  <si>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</si>
  <si>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</si>
  <si>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</si>
  <si>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</si>
  <si>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</si>
  <si>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</si>
  <si>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</si>
  <si>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</si>
  <si>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</si>
  <si>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</si>
  <si>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</si>
  <si>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</si>
  <si>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</si>
  <si>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</si>
  <si>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</si>
  <si>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</si>
  <si>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</si>
  <si>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</si>
  <si>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</si>
  <si>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</si>
  <si>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</si>
  <si>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</si>
  <si>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</si>
  <si>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</si>
  <si>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</si>
  <si>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</si>
  <si>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</si>
  <si>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</si>
  <si>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</si>
  <si>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</si>
  <si>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</si>
  <si>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</si>
  <si>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</si>
  <si>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</si>
  <si>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</si>
  <si>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</si>
  <si>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</si>
  <si>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</si>
  <si>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</si>
  <si>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</si>
  <si>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</si>
  <si>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</si>
  <si>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</si>
  <si>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</si>
  <si>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</si>
  <si>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</si>
  <si>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</si>
  <si>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</si>
  <si>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</si>
  <si>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</si>
  <si>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</si>
  <si>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</si>
  <si>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</si>
  <si>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</si>
  <si>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</si>
  <si>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</si>
  <si>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</si>
  <si>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</si>
  <si>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</si>
  <si>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</si>
  <si>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</si>
  <si>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</si>
  <si>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</si>
  <si>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</si>
  <si>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</si>
  <si>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</si>
  <si>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</si>
  <si>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</si>
  <si>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</si>
  <si>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</si>
  <si>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</si>
  <si>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</si>
  <si>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</si>
  <si>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</si>
  <si>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</si>
  <si>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</si>
  <si>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</si>
  <si>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</si>
  <si>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</si>
  <si>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</si>
  <si>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</si>
  <si>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</si>
  <si>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</si>
  <si>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</si>
  <si>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</si>
  <si>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</si>
  <si>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</si>
  <si>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</si>
  <si>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</si>
  <si>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</si>
  <si>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</si>
  <si>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</si>
  <si>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</si>
  <si>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</si>
  <si>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</si>
  <si>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</si>
  <si>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</si>
  <si>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</si>
  <si>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</si>
  <si>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</si>
  <si>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</si>
  <si>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</si>
  <si>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</si>
  <si>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</si>
  <si>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</si>
  <si>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</si>
  <si>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</si>
  <si>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</si>
  <si>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</si>
  <si>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</si>
  <si>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</si>
  <si>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</si>
  <si>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</si>
  <si>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</si>
  <si>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</si>
  <si>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</si>
  <si>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</si>
  <si>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</si>
  <si>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</si>
  <si>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</si>
  <si>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</si>
  <si>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</si>
  <si>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</si>
  <si>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</si>
  <si>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</si>
  <si>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</si>
  <si>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</si>
  <si>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</si>
  <si>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</si>
  <si>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</si>
  <si>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</si>
  <si>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</si>
  <si>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</si>
  <si>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</si>
  <si>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</si>
  <si>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</si>
  <si>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</si>
  <si>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</si>
  <si>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</si>
  <si>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</si>
  <si>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</si>
  <si>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</si>
  <si>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</si>
  <si>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</si>
  <si>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</si>
  <si>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</si>
  <si>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</si>
  <si>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</si>
  <si>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</si>
  <si>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</si>
  <si>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</si>
  <si>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</si>
  <si>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</si>
  <si>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</si>
  <si>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</si>
  <si>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</si>
  <si>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</si>
  <si>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</si>
  <si>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</si>
  <si>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</si>
  <si>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</si>
  <si>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</si>
  <si>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</si>
  <si>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</si>
  <si>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</si>
  <si>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</si>
  <si>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</si>
  <si>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</si>
  <si>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</si>
  <si>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</si>
  <si>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</si>
  <si>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</si>
  <si>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</si>
  <si>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</si>
  <si>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</si>
  <si>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</si>
  <si>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</si>
  <si>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</si>
  <si>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</si>
  <si>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</si>
  <si>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</si>
  <si>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</si>
  <si>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</si>
  <si>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</si>
  <si>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</si>
  <si>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</si>
  <si>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</si>
  <si>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</si>
  <si>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</si>
  <si>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</si>
  <si>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</si>
  <si>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</si>
  <si>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</si>
  <si>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</si>
  <si>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</si>
  <si>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</si>
  <si>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</si>
  <si>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</si>
  <si>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</si>
  <si>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</si>
  <si>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</si>
  <si>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</si>
  <si>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</si>
  <si>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</si>
  <si>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</si>
  <si>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</si>
  <si>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</si>
  <si>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</si>
  <si>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</si>
  <si>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</si>
  <si>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</si>
  <si>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</si>
  <si>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</si>
  <si>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</si>
  <si>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</si>
  <si>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</si>
  <si>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</si>
  <si>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</si>
  <si>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</si>
  <si>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</si>
  <si>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</si>
  <si>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</si>
  <si>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</si>
  <si>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</si>
  <si>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</si>
  <si>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</si>
  <si>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</si>
  <si>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</si>
  <si>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</si>
  <si>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</si>
  <si>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</si>
  <si>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</si>
  <si>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</si>
  <si>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</si>
  <si>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</si>
  <si>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</si>
  <si>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</si>
  <si>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</si>
  <si>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</si>
  <si>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</si>
  <si>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</si>
  <si>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</si>
  <si>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</si>
  <si>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</si>
  <si>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</si>
  <si>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</si>
  <si>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</si>
  <si>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</si>
  <si>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</si>
  <si>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</si>
  <si>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</si>
  <si>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</si>
  <si>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</si>
  <si>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</si>
  <si>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</si>
  <si>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</si>
  <si>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</si>
  <si>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</si>
  <si>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</si>
  <si>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</si>
  <si>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</si>
  <si>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</si>
  <si>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</si>
  <si>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</si>
  <si>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</si>
  <si>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</si>
  <si>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</si>
  <si>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</si>
  <si>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</si>
  <si>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</si>
  <si>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</si>
  <si>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</si>
  <si>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</si>
  <si>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</si>
  <si>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</si>
  <si>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</si>
  <si>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</si>
  <si>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</si>
  <si>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</si>
  <si>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</si>
  <si>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</si>
  <si>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</si>
  <si>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</si>
  <si>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</si>
  <si>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</si>
  <si>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</si>
  <si>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</si>
  <si>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</si>
  <si>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</si>
  <si>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</si>
  <si>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</si>
  <si>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</si>
  <si>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</si>
  <si>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</si>
  <si>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</si>
  <si>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</si>
  <si>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</si>
  <si>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</si>
  <si>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</si>
  <si>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</si>
  <si>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</si>
  <si>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</si>
  <si>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</si>
  <si>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</si>
  <si>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</si>
  <si>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</si>
  <si>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</si>
  <si>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</si>
  <si>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</si>
  <si>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</si>
  <si>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</si>
  <si>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</si>
  <si>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</si>
  <si>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</si>
  <si>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</si>
  <si>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</si>
  <si>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</si>
  <si>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</si>
  <si>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</si>
  <si>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</si>
  <si>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</si>
  <si>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</si>
  <si>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</si>
  <si>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</si>
  <si>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</si>
  <si>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</si>
  <si>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</si>
  <si>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</si>
  <si>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</si>
  <si>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</si>
  <si>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</si>
  <si>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</si>
  <si>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</si>
  <si>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</si>
  <si>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</si>
  <si>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</si>
  <si>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</si>
  <si>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</si>
  <si>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</si>
  <si>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</si>
  <si>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</si>
  <si>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</si>
  <si>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</si>
  <si>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</si>
  <si>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</si>
  <si>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</si>
  <si>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</si>
  <si>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</si>
  <si>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</si>
  <si>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</si>
  <si>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</si>
  <si>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</si>
  <si>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</si>
  <si>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</si>
  <si>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</si>
  <si>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</si>
  <si>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</si>
  <si>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</si>
  <si>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</si>
  <si>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</si>
  <si>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</si>
  <si>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</si>
  <si>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</si>
  <si>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</si>
  <si>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</si>
  <si>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</si>
  <si>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</si>
  <si>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</si>
  <si>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</si>
  <si>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</si>
  <si>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</si>
  <si>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</si>
  <si>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</si>
  <si>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</si>
  <si>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</si>
  <si>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</si>
  <si>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</si>
  <si>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</si>
  <si>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</si>
  <si>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</si>
  <si>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</si>
  <si>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</si>
  <si>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</si>
  <si>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</si>
  <si>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</si>
  <si>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</si>
  <si>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</si>
  <si>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</si>
  <si>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</si>
  <si>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</si>
  <si>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</si>
  <si>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</si>
  <si>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</si>
  <si>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</si>
  <si>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</si>
  <si>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</si>
  <si>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</si>
  <si>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</si>
  <si>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</si>
  <si>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</si>
  <si>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</si>
  <si>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</si>
  <si>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</si>
  <si>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</si>
  <si>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</si>
  <si>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</si>
  <si>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</si>
  <si>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</si>
  <si>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</si>
  <si>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</si>
  <si>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</si>
  <si>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</si>
  <si>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</si>
  <si>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</si>
  <si>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</si>
  <si>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</si>
  <si>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</si>
  <si>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</si>
  <si>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</si>
  <si>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</si>
  <si>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</si>
  <si>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</si>
  <si>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</si>
  <si>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</si>
  <si>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</si>
  <si>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</si>
  <si>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</si>
  <si>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</si>
  <si>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</si>
  <si>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</si>
  <si>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</si>
  <si>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</si>
  <si>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</si>
  <si>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</si>
  <si>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</si>
  <si>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</si>
  <si>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</si>
  <si>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</si>
  <si>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</si>
  <si>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</si>
  <si>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</si>
  <si>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</si>
  <si>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</si>
  <si>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</si>
  <si>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</si>
  <si>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</si>
  <si>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</si>
  <si>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</si>
  <si>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</si>
  <si>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</si>
  <si>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</si>
  <si>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</si>
  <si>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</si>
  <si>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</si>
  <si>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</si>
  <si>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</si>
  <si>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</si>
  <si>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</si>
  <si>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</si>
  <si>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</si>
  <si>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</si>
  <si>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</si>
  <si>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</si>
  <si>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</si>
  <si>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</si>
  <si>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</si>
  <si>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</si>
  <si>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</si>
  <si>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</si>
  <si>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</si>
  <si>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</si>
  <si>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</si>
  <si>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</si>
  <si>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</si>
  <si>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</si>
  <si>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</si>
  <si>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</si>
  <si>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</si>
  <si>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</si>
  <si>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</si>
  <si>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</si>
  <si>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</si>
  <si>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</si>
  <si>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</si>
  <si>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</si>
  <si>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</si>
  <si>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</si>
  <si>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</si>
  <si>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</si>
  <si>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</si>
  <si>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</si>
  <si>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</si>
  <si>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</si>
  <si>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</si>
  <si>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</si>
  <si>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</si>
  <si>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</si>
  <si>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</si>
  <si>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</si>
  <si>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</si>
  <si>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</si>
  <si>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</si>
  <si>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</si>
  <si>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</si>
  <si>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</si>
  <si>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</si>
  <si>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</si>
  <si>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</si>
  <si>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</si>
  <si>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</si>
  <si>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</si>
  <si>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</si>
  <si>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</si>
  <si>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</si>
  <si>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</si>
  <si>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</si>
  <si>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</si>
  <si>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</si>
  <si>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</si>
  <si>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</si>
  <si>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</si>
  <si>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</si>
  <si>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</si>
  <si>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</si>
  <si>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</si>
  <si>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</si>
  <si>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</si>
  <si>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</si>
  <si>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</si>
  <si>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</si>
  <si>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</si>
  <si>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</si>
  <si>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</si>
  <si>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</si>
  <si>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</si>
  <si>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</si>
  <si>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</si>
  <si>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</si>
  <si>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</si>
  <si>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</si>
  <si>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</si>
  <si>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</si>
  <si>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</si>
  <si>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</si>
  <si>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</si>
  <si>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</si>
  <si>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</si>
  <si>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</si>
  <si>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</si>
  <si>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</si>
  <si>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</si>
  <si>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</si>
  <si>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</si>
  <si>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</si>
  <si>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</si>
  <si>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</si>
  <si>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</si>
  <si>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</si>
  <si>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</si>
  <si>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</si>
  <si>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</si>
  <si>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</si>
  <si>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</si>
  <si>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</si>
  <si>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</si>
  <si>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</si>
  <si>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</si>
  <si>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</si>
  <si>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</si>
  <si>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</si>
  <si>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</si>
  <si>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</si>
  <si>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</si>
  <si>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</si>
  <si>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</si>
  <si>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</si>
  <si>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</si>
  <si>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</si>
  <si>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</si>
  <si>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</si>
  <si>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</si>
  <si>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</si>
  <si>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</si>
  <si>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</si>
  <si>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</si>
  <si>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</si>
  <si>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</si>
  <si>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</si>
  <si>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</si>
  <si>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</si>
  <si>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</si>
  <si>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</si>
  <si>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</si>
  <si>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</si>
  <si>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</si>
  <si>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</si>
  <si>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</si>
  <si>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</si>
  <si>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</si>
  <si>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</si>
  <si>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</si>
  <si>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</si>
  <si>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</si>
  <si>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</si>
  <si>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</si>
  <si>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</si>
  <si>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</si>
  <si>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</si>
  <si>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</si>
  <si>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</si>
  <si>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</si>
  <si>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</si>
  <si>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</si>
  <si>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</si>
  <si>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</si>
  <si>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</si>
  <si>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</si>
  <si>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</si>
  <si>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</si>
  <si>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</si>
  <si>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</si>
  <si>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</si>
  <si>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</si>
  <si>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</si>
  <si>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</si>
  <si>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</si>
  <si>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</si>
  <si>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</si>
  <si>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</si>
  <si>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</si>
  <si>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</si>
  <si>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</si>
  <si>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</si>
  <si>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</si>
  <si>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</si>
  <si>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</si>
  <si>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</si>
  <si>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</si>
  <si>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</si>
  <si>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</si>
  <si>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</si>
  <si>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</si>
  <si>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</si>
  <si>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</si>
  <si>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</si>
  <si>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</si>
  <si>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</si>
  <si>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</si>
  <si>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</si>
  <si>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</si>
  <si>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</si>
  <si>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</si>
  <si>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</si>
  <si>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</si>
  <si>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</si>
  <si>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</si>
  <si>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</si>
  <si>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</si>
  <si>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</si>
  <si>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</si>
  <si>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</si>
  <si>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</si>
  <si>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</si>
  <si>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</si>
  <si>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</si>
  <si>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</si>
  <si>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</si>
  <si>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</si>
  <si>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</si>
  <si>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</si>
  <si>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</si>
  <si>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</si>
  <si>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</si>
  <si>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</si>
  <si>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</si>
  <si>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</si>
  <si>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</si>
  <si>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</si>
  <si>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</si>
  <si>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</si>
  <si>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</si>
  <si>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</si>
  <si>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</si>
  <si>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</si>
  <si>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</si>
  <si>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</si>
  <si>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</si>
  <si>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</si>
  <si>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</si>
  <si>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</si>
  <si>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</si>
  <si>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</si>
  <si>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</si>
  <si>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</si>
  <si>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</si>
  <si>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</si>
  <si>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</si>
  <si>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</si>
  <si>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</si>
  <si>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</si>
  <si>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</si>
  <si>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</si>
  <si>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</si>
  <si>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</si>
  <si>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</si>
  <si>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</si>
  <si>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</si>
  <si>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</si>
  <si>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</si>
  <si>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</si>
  <si>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</si>
  <si>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</si>
  <si>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</si>
  <si>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</si>
  <si>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</si>
  <si>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</si>
  <si>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</si>
  <si>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</si>
  <si>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</si>
  <si>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</si>
  <si>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</si>
  <si>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</si>
  <si>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</si>
  <si>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</si>
  <si>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</si>
  <si>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</si>
  <si>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</si>
  <si>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</si>
  <si>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</si>
  <si>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</si>
  <si>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</si>
  <si>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</si>
  <si>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</si>
  <si>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</si>
  <si>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</si>
  <si>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</si>
  <si>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</si>
  <si>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</si>
  <si>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</si>
  <si>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</si>
  <si>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</si>
  <si>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</si>
  <si>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</si>
  <si>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</si>
  <si>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</si>
  <si>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</si>
  <si>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</si>
  <si>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</si>
  <si>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</si>
  <si>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</si>
  <si>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</si>
  <si>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</si>
  <si>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</si>
  <si>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</si>
  <si>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</si>
  <si>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</si>
  <si>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</si>
  <si>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</si>
  <si>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</si>
  <si>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</si>
  <si>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</si>
  <si>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</si>
  <si>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</si>
  <si>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</si>
  <si>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</si>
  <si>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</si>
  <si>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</si>
  <si>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</si>
  <si>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</si>
  <si>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</si>
  <si>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</si>
  <si>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</si>
  <si>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</si>
  <si>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</si>
  <si>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</si>
  <si>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</si>
  <si>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</si>
  <si>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</si>
  <si>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</si>
  <si>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</si>
  <si>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</si>
  <si>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</si>
  <si>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</si>
  <si>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</si>
  <si>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</si>
  <si>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</si>
  <si>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</si>
  <si>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</si>
  <si>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</si>
  <si>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</si>
  <si>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</si>
  <si>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</si>
  <si>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</si>
  <si>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</si>
  <si>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</si>
  <si>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</si>
  <si>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</si>
  <si>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</si>
  <si>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</si>
  <si>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</si>
  <si>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</si>
  <si>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</si>
  <si>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</si>
  <si>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</si>
  <si>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</si>
  <si>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</si>
  <si>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</si>
  <si>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</si>
  <si>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</si>
  <si>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</si>
  <si>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</si>
  <si>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</si>
  <si>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</si>
  <si>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</si>
  <si>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</si>
  <si>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</si>
  <si>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</si>
  <si>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5QA.804.430</t>
  </si>
  <si>
    <t>5QF.803.230</t>
  </si>
  <si>
    <t>5qa802035b_014_ops0007_R</t>
  </si>
  <si>
    <t>5qa802035b_014_ops0008_R</t>
  </si>
  <si>
    <t>5qa802035b_014_ops0009_R</t>
  </si>
  <si>
    <t>5qa802035b_030_aeps0004_R</t>
  </si>
  <si>
    <t>5qa802035b_030_aeps0005_R</t>
  </si>
  <si>
    <t>5qa802035b_030_aeps0006_R</t>
  </si>
  <si>
    <t>5qa802035b_034_ajps0001_R</t>
  </si>
  <si>
    <t>5qa802035b_034_ajps0003_R</t>
  </si>
  <si>
    <t>5qa802035b_048_blps0001_R</t>
  </si>
  <si>
    <t>5qa802035b_064_bqps0001_R</t>
  </si>
  <si>
    <t>5qa802035b_064_bqps0002_R</t>
  </si>
  <si>
    <t>5qa802035b_064_bqps0003_R</t>
  </si>
  <si>
    <t>5qa802035b_064_bqps0004_R</t>
  </si>
  <si>
    <t>5QA.804.508</t>
  </si>
  <si>
    <t>5Q0.804.132</t>
  </si>
  <si>
    <t>66-59D367395</t>
  </si>
  <si>
    <t>KJLTVR311310R01</t>
  </si>
  <si>
    <t>KJLTVR311310</t>
  </si>
  <si>
    <t>66-A53-96D 313785</t>
  </si>
  <si>
    <t>VW336 Aufbau ND/PGD Chattanooga</t>
  </si>
  <si>
    <t>5QA.803.210</t>
  </si>
  <si>
    <t>5QA.803.106</t>
  </si>
  <si>
    <t>HX300LAD + Z100MB</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</si>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</sst>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629488</xdr:colOff>
      <xdr:row>41</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2"/>
      <c r="B2" s="203"/>
      <c r="C2" s="218" t="s">
        <v>25</v>
      </c>
      <c r="D2" s="218" t="s">
        <v>26</v>
      </c>
      <c r="E2" s="219"/>
      <c r="F2" s="366" t="s">
        <v>27</v>
      </c>
      <c r="G2" s="367"/>
      <c r="H2" s="368"/>
      <c r="I2" s="220" t="s">
        <v>28</v>
      </c>
      <c r="J2" s="221" t="s">
        <v>29</v>
      </c>
      <c r="K2" s="219"/>
      <c r="L2" s="222"/>
      <c r="M2" s="359" t="s">
        <v>30</v>
      </c>
      <c r="N2" s="360"/>
      <c r="O2" s="360"/>
      <c r="P2" s="360"/>
      <c r="Q2" s="360"/>
      <c r="R2" s="360"/>
      <c r="S2" s="360"/>
      <c r="T2" s="360"/>
      <c r="U2" s="360"/>
      <c r="V2" s="360"/>
      <c r="W2" s="360"/>
      <c r="X2" s="360"/>
      <c r="Y2" s="360"/>
      <c r="Z2" s="360"/>
      <c r="AA2" s="360"/>
      <c r="AB2" s="360"/>
      <c r="AC2" s="360"/>
      <c r="AD2" s="360"/>
      <c r="AE2" s="360"/>
      <c r="AF2" s="360"/>
      <c r="AG2" s="360"/>
      <c r="AH2" s="360"/>
      <c r="AI2" s="360"/>
      <c r="AJ2" s="361"/>
      <c r="AK2" s="211"/>
      <c r="AL2" s="211"/>
      <c r="AM2" s="217"/>
    </row>
    <row r="3" spans="1:39" ht="17.25" customHeight="1">
      <c r="A3" s="392"/>
      <c r="B3" s="203"/>
      <c r="C3" s="282">
        <v>0</v>
      </c>
      <c r="D3" s="281" t="s">
        <v>1685</v>
      </c>
      <c r="E3" s="232"/>
      <c r="F3" s="400">
        <v>45014</v>
      </c>
      <c r="G3" s="401"/>
      <c r="H3" s="402"/>
      <c r="I3" s="320" t="s">
        <v>1641</v>
      </c>
      <c r="J3" s="233"/>
      <c r="K3" s="234"/>
      <c r="L3" s="233"/>
      <c r="M3" s="347" t="s">
        <v>1642</v>
      </c>
      <c r="N3" s="348"/>
      <c r="O3" s="348"/>
      <c r="P3" s="348"/>
      <c r="Q3" s="348"/>
      <c r="R3" s="348"/>
      <c r="S3" s="348"/>
      <c r="T3" s="348"/>
      <c r="U3" s="348"/>
      <c r="V3" s="348"/>
      <c r="W3" s="348"/>
      <c r="X3" s="348"/>
      <c r="Y3" s="348"/>
      <c r="Z3" s="348"/>
      <c r="AA3" s="348"/>
      <c r="AB3" s="348"/>
      <c r="AC3" s="348"/>
      <c r="AD3" s="348"/>
      <c r="AE3" s="348"/>
      <c r="AF3" s="348"/>
      <c r="AG3" s="348"/>
      <c r="AH3" s="348"/>
      <c r="AI3" s="348"/>
      <c r="AJ3" s="349"/>
      <c r="AK3" s="211"/>
      <c r="AL3" s="211"/>
      <c r="AM3" s="217"/>
    </row>
    <row r="4" spans="1:39" ht="17.25" customHeight="1">
      <c r="A4" s="392"/>
      <c r="B4" s="203"/>
      <c r="C4" s="281"/>
      <c r="D4" s="281"/>
      <c r="E4" s="234"/>
      <c r="F4" s="403"/>
      <c r="G4" s="381"/>
      <c r="H4" s="382"/>
      <c r="I4" s="320"/>
      <c r="J4" s="233"/>
      <c r="K4" s="234"/>
      <c r="L4" s="233"/>
      <c r="M4" s="362"/>
      <c r="N4" s="363"/>
      <c r="O4" s="363"/>
      <c r="P4" s="363"/>
      <c r="Q4" s="363"/>
      <c r="R4" s="363"/>
      <c r="S4" s="363"/>
      <c r="T4" s="363"/>
      <c r="U4" s="363"/>
      <c r="V4" s="363"/>
      <c r="W4" s="363"/>
      <c r="X4" s="363"/>
      <c r="Y4" s="363"/>
      <c r="Z4" s="363"/>
      <c r="AA4" s="363"/>
      <c r="AB4" s="363"/>
      <c r="AC4" s="363"/>
      <c r="AD4" s="363"/>
      <c r="AE4" s="363"/>
      <c r="AF4" s="363"/>
      <c r="AG4" s="363"/>
      <c r="AH4" s="363"/>
      <c r="AI4" s="363"/>
      <c r="AJ4" s="364"/>
      <c r="AK4" s="212"/>
      <c r="AL4" s="212"/>
      <c r="AM4" s="217"/>
    </row>
    <row r="5" spans="1:39" ht="17.25" customHeight="1">
      <c r="A5" s="392"/>
      <c r="B5" s="203"/>
      <c r="C5" s="281"/>
      <c r="D5" s="281"/>
      <c r="E5" s="235"/>
      <c r="F5" s="403"/>
      <c r="G5" s="381"/>
      <c r="H5" s="382"/>
      <c r="I5" s="321"/>
      <c r="J5" s="236"/>
      <c r="K5" s="237"/>
      <c r="L5" s="238"/>
      <c r="M5" s="362"/>
      <c r="N5" s="363"/>
      <c r="O5" s="363"/>
      <c r="P5" s="363"/>
      <c r="Q5" s="363"/>
      <c r="R5" s="363"/>
      <c r="S5" s="363"/>
      <c r="T5" s="363"/>
      <c r="U5" s="363"/>
      <c r="V5" s="363"/>
      <c r="W5" s="363"/>
      <c r="X5" s="363"/>
      <c r="Y5" s="363"/>
      <c r="Z5" s="363"/>
      <c r="AA5" s="363"/>
      <c r="AB5" s="363"/>
      <c r="AC5" s="363"/>
      <c r="AD5" s="363"/>
      <c r="AE5" s="363"/>
      <c r="AF5" s="363"/>
      <c r="AG5" s="363"/>
      <c r="AH5" s="363"/>
      <c r="AI5" s="363"/>
      <c r="AJ5" s="364"/>
      <c r="AK5" s="223"/>
      <c r="AL5" s="181"/>
      <c r="AM5" s="217"/>
    </row>
    <row r="6" spans="1:39" ht="17.25" customHeight="1">
      <c r="A6" s="392"/>
      <c r="B6" s="203"/>
      <c r="C6" s="281"/>
      <c r="D6" s="281"/>
      <c r="E6" s="235"/>
      <c r="F6" s="403"/>
      <c r="G6" s="381"/>
      <c r="H6" s="382"/>
      <c r="I6" s="321"/>
      <c r="J6" s="236"/>
      <c r="K6" s="237"/>
      <c r="L6" s="238"/>
      <c r="M6" s="362"/>
      <c r="N6" s="363"/>
      <c r="O6" s="363"/>
      <c r="P6" s="363"/>
      <c r="Q6" s="363"/>
      <c r="R6" s="363"/>
      <c r="S6" s="363"/>
      <c r="T6" s="363"/>
      <c r="U6" s="363"/>
      <c r="V6" s="363"/>
      <c r="W6" s="363"/>
      <c r="X6" s="363"/>
      <c r="Y6" s="363"/>
      <c r="Z6" s="363"/>
      <c r="AA6" s="363"/>
      <c r="AB6" s="363"/>
      <c r="AC6" s="363"/>
      <c r="AD6" s="363"/>
      <c r="AE6" s="363"/>
      <c r="AF6" s="363"/>
      <c r="AG6" s="363"/>
      <c r="AH6" s="363"/>
      <c r="AI6" s="363"/>
      <c r="AJ6" s="364"/>
      <c r="AK6" s="181"/>
      <c r="AL6" s="181"/>
      <c r="AM6" s="217"/>
    </row>
    <row r="7" spans="1:39" ht="17.25" customHeight="1">
      <c r="A7" s="392"/>
      <c r="B7" s="203"/>
      <c r="C7" s="281"/>
      <c r="D7" s="239"/>
      <c r="E7" s="240"/>
      <c r="F7" s="404"/>
      <c r="G7" s="405"/>
      <c r="H7" s="406"/>
      <c r="I7" s="322"/>
      <c r="J7" s="241"/>
      <c r="K7" s="242"/>
      <c r="L7" s="243"/>
      <c r="M7" s="347"/>
      <c r="N7" s="348"/>
      <c r="O7" s="348"/>
      <c r="P7" s="348"/>
      <c r="Q7" s="348"/>
      <c r="R7" s="348"/>
      <c r="S7" s="348"/>
      <c r="T7" s="348"/>
      <c r="U7" s="348"/>
      <c r="V7" s="348"/>
      <c r="W7" s="348"/>
      <c r="X7" s="348"/>
      <c r="Y7" s="348"/>
      <c r="Z7" s="348"/>
      <c r="AA7" s="348"/>
      <c r="AB7" s="348"/>
      <c r="AC7" s="348"/>
      <c r="AD7" s="348"/>
      <c r="AE7" s="348"/>
      <c r="AF7" s="348"/>
      <c r="AG7" s="348"/>
      <c r="AH7" s="348"/>
      <c r="AI7" s="348"/>
      <c r="AJ7" s="349"/>
      <c r="AK7" s="181"/>
      <c r="AL7" s="181"/>
      <c r="AM7" s="217"/>
    </row>
    <row r="8" spans="1:39" ht="17.25" customHeight="1">
      <c r="A8" s="392"/>
      <c r="B8" s="203"/>
      <c r="C8" s="281"/>
      <c r="D8" s="239"/>
      <c r="E8" s="240"/>
      <c r="F8" s="404"/>
      <c r="G8" s="405"/>
      <c r="H8" s="406"/>
      <c r="I8" s="321"/>
      <c r="J8" s="241"/>
      <c r="K8" s="242"/>
      <c r="L8" s="243"/>
      <c r="M8" s="347"/>
      <c r="N8" s="348"/>
      <c r="O8" s="348"/>
      <c r="P8" s="348"/>
      <c r="Q8" s="348"/>
      <c r="R8" s="348"/>
      <c r="S8" s="348"/>
      <c r="T8" s="348"/>
      <c r="U8" s="348"/>
      <c r="V8" s="348"/>
      <c r="W8" s="348"/>
      <c r="X8" s="348"/>
      <c r="Y8" s="348"/>
      <c r="Z8" s="348"/>
      <c r="AA8" s="348"/>
      <c r="AB8" s="348"/>
      <c r="AC8" s="348"/>
      <c r="AD8" s="348"/>
      <c r="AE8" s="348"/>
      <c r="AF8" s="348"/>
      <c r="AG8" s="348"/>
      <c r="AH8" s="348"/>
      <c r="AI8" s="348"/>
      <c r="AJ8" s="349"/>
      <c r="AK8" s="181"/>
      <c r="AL8" s="181"/>
      <c r="AM8" s="217"/>
    </row>
    <row r="9" spans="1:39" ht="17.25" customHeight="1">
      <c r="A9" s="392"/>
      <c r="B9" s="203"/>
      <c r="C9" s="281"/>
      <c r="D9" s="244"/>
      <c r="E9" s="245"/>
      <c r="F9" s="407"/>
      <c r="G9" s="408"/>
      <c r="H9" s="408"/>
      <c r="I9" s="323"/>
      <c r="J9" s="236"/>
      <c r="K9" s="238"/>
      <c r="L9" s="238"/>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181"/>
      <c r="AL9" s="181"/>
      <c r="AM9" s="217"/>
    </row>
    <row r="10" spans="1:39" ht="17.25" customHeight="1">
      <c r="A10" s="392"/>
      <c r="B10" s="203"/>
      <c r="C10" s="281"/>
      <c r="D10" s="244"/>
      <c r="E10" s="245"/>
      <c r="F10" s="407"/>
      <c r="G10" s="408"/>
      <c r="H10" s="408"/>
      <c r="I10" s="323"/>
      <c r="J10" s="236"/>
      <c r="K10" s="238"/>
      <c r="L10" s="238"/>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181"/>
      <c r="AL10" s="181"/>
      <c r="AM10" s="217"/>
    </row>
    <row r="11" spans="1:39" ht="17.25" customHeight="1">
      <c r="A11" s="392"/>
      <c r="B11" s="203"/>
      <c r="C11" s="281"/>
      <c r="D11" s="244"/>
      <c r="E11" s="245"/>
      <c r="F11" s="407"/>
      <c r="G11" s="407"/>
      <c r="H11" s="407"/>
      <c r="I11" s="245"/>
      <c r="J11" s="236"/>
      <c r="K11" s="238"/>
      <c r="L11" s="238"/>
      <c r="M11" s="373"/>
      <c r="N11" s="365"/>
      <c r="O11" s="365"/>
      <c r="P11" s="365"/>
      <c r="Q11" s="365"/>
      <c r="R11" s="365"/>
      <c r="S11" s="365"/>
      <c r="T11" s="365"/>
      <c r="U11" s="365"/>
      <c r="V11" s="365"/>
      <c r="W11" s="365"/>
      <c r="X11" s="365"/>
      <c r="Y11" s="365"/>
      <c r="Z11" s="365"/>
      <c r="AA11" s="365"/>
      <c r="AB11" s="365"/>
      <c r="AC11" s="365"/>
      <c r="AD11" s="365"/>
      <c r="AE11" s="365"/>
      <c r="AF11" s="365"/>
      <c r="AG11" s="365"/>
      <c r="AH11" s="365"/>
      <c r="AI11" s="365"/>
      <c r="AJ11" s="365"/>
      <c r="AK11" s="181"/>
      <c r="AL11" s="181"/>
      <c r="AM11" s="217"/>
    </row>
    <row r="12" spans="1:39" ht="17.25" customHeight="1">
      <c r="A12" s="392"/>
      <c r="B12" s="203"/>
      <c r="C12" s="281"/>
      <c r="D12" s="246"/>
      <c r="E12" s="247"/>
      <c r="F12" s="413"/>
      <c r="G12" s="414"/>
      <c r="H12" s="415"/>
      <c r="I12" s="247"/>
      <c r="J12" s="248"/>
      <c r="K12" s="249"/>
      <c r="L12" s="250"/>
      <c r="M12" s="394"/>
      <c r="N12" s="395"/>
      <c r="O12" s="395"/>
      <c r="P12" s="395"/>
      <c r="Q12" s="395"/>
      <c r="R12" s="395"/>
      <c r="S12" s="395"/>
      <c r="T12" s="395"/>
      <c r="U12" s="395"/>
      <c r="V12" s="395"/>
      <c r="W12" s="395"/>
      <c r="X12" s="395"/>
      <c r="Y12" s="395"/>
      <c r="Z12" s="395"/>
      <c r="AA12" s="395"/>
      <c r="AB12" s="395"/>
      <c r="AC12" s="395"/>
      <c r="AD12" s="395"/>
      <c r="AE12" s="395"/>
      <c r="AF12" s="395"/>
      <c r="AG12" s="395"/>
      <c r="AH12" s="395"/>
      <c r="AI12" s="395"/>
      <c r="AJ12" s="396"/>
      <c r="AK12" s="181"/>
      <c r="AL12" s="181"/>
      <c r="AM12" s="217"/>
    </row>
    <row r="13" spans="1:39" ht="17.25" customHeight="1">
      <c r="A13" s="392"/>
      <c r="B13" s="203"/>
      <c r="C13" s="281"/>
      <c r="D13" s="251"/>
      <c r="E13" s="235"/>
      <c r="F13" s="386"/>
      <c r="G13" s="387"/>
      <c r="H13" s="388"/>
      <c r="I13" s="235"/>
      <c r="J13" s="236"/>
      <c r="K13" s="237"/>
      <c r="L13" s="238"/>
      <c r="M13" s="347"/>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9"/>
      <c r="AK13" s="181"/>
      <c r="AL13" s="181"/>
      <c r="AM13" s="217"/>
    </row>
    <row r="14" spans="1:39" ht="17.25" customHeight="1">
      <c r="A14" s="392"/>
      <c r="B14" s="203"/>
      <c r="C14" s="281"/>
      <c r="D14" s="251"/>
      <c r="E14" s="235"/>
      <c r="F14" s="383"/>
      <c r="G14" s="384"/>
      <c r="H14" s="385"/>
      <c r="I14" s="235"/>
      <c r="J14" s="236"/>
      <c r="K14" s="237"/>
      <c r="L14" s="238"/>
      <c r="M14" s="362"/>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4"/>
      <c r="AK14" s="181"/>
      <c r="AL14" s="181"/>
      <c r="AM14" s="217"/>
    </row>
    <row r="15" spans="1:39" ht="17.25" customHeight="1">
      <c r="A15" s="392"/>
      <c r="B15" s="203"/>
      <c r="C15" s="281"/>
      <c r="D15" s="251"/>
      <c r="E15" s="235"/>
      <c r="F15" s="386"/>
      <c r="G15" s="387"/>
      <c r="H15" s="388"/>
      <c r="I15" s="330"/>
      <c r="J15" s="236"/>
      <c r="K15" s="237"/>
      <c r="L15" s="238"/>
      <c r="M15" s="347"/>
      <c r="N15" s="348"/>
      <c r="O15" s="348"/>
      <c r="P15" s="348"/>
      <c r="Q15" s="348"/>
      <c r="R15" s="348"/>
      <c r="S15" s="348"/>
      <c r="T15" s="348"/>
      <c r="U15" s="348"/>
      <c r="V15" s="348"/>
      <c r="W15" s="348"/>
      <c r="X15" s="348"/>
      <c r="Y15" s="348"/>
      <c r="Z15" s="348"/>
      <c r="AA15" s="348"/>
      <c r="AB15" s="348"/>
      <c r="AC15" s="348"/>
      <c r="AD15" s="348"/>
      <c r="AE15" s="348"/>
      <c r="AF15" s="348"/>
      <c r="AG15" s="348"/>
      <c r="AH15" s="348"/>
      <c r="AI15" s="348"/>
      <c r="AJ15" s="349"/>
      <c r="AK15" s="181"/>
      <c r="AL15" s="181"/>
      <c r="AM15" s="217"/>
    </row>
    <row r="16" spans="1:39" ht="17.25" customHeight="1">
      <c r="A16" s="392"/>
      <c r="B16" s="203"/>
      <c r="C16" s="281"/>
      <c r="D16" s="251"/>
      <c r="E16" s="247"/>
      <c r="F16" s="383"/>
      <c r="G16" s="384"/>
      <c r="H16" s="385"/>
      <c r="I16" s="235"/>
      <c r="J16" s="248"/>
      <c r="K16" s="249"/>
      <c r="L16" s="250"/>
      <c r="M16" s="347"/>
      <c r="N16" s="348"/>
      <c r="O16" s="348"/>
      <c r="P16" s="348"/>
      <c r="Q16" s="348"/>
      <c r="R16" s="348"/>
      <c r="S16" s="348"/>
      <c r="T16" s="348"/>
      <c r="U16" s="348"/>
      <c r="V16" s="348"/>
      <c r="W16" s="348"/>
      <c r="X16" s="348"/>
      <c r="Y16" s="348"/>
      <c r="Z16" s="348"/>
      <c r="AA16" s="348"/>
      <c r="AB16" s="348"/>
      <c r="AC16" s="348"/>
      <c r="AD16" s="348"/>
      <c r="AE16" s="348"/>
      <c r="AF16" s="348"/>
      <c r="AG16" s="348"/>
      <c r="AH16" s="348"/>
      <c r="AI16" s="348"/>
      <c r="AJ16" s="349"/>
      <c r="AK16" s="181"/>
      <c r="AL16" s="181"/>
      <c r="AM16" s="217"/>
    </row>
    <row r="17" spans="1:39" ht="17.25" customHeight="1">
      <c r="A17" s="392"/>
      <c r="B17" s="203"/>
      <c r="C17" s="281"/>
      <c r="D17" s="251"/>
      <c r="E17" s="235"/>
      <c r="F17" s="386"/>
      <c r="G17" s="387"/>
      <c r="H17" s="388"/>
      <c r="I17" s="235"/>
      <c r="J17" s="236"/>
      <c r="K17" s="237"/>
      <c r="L17" s="238"/>
      <c r="M17" s="372"/>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9"/>
      <c r="AK17" s="181"/>
      <c r="AL17" s="181"/>
      <c r="AM17" s="217"/>
    </row>
    <row r="18" spans="1:39" ht="17.25" customHeight="1">
      <c r="A18" s="392"/>
      <c r="B18" s="203"/>
      <c r="C18" s="281"/>
      <c r="D18" s="251"/>
      <c r="E18" s="235"/>
      <c r="F18" s="383"/>
      <c r="G18" s="384"/>
      <c r="H18" s="385"/>
      <c r="I18" s="235"/>
      <c r="J18" s="236"/>
      <c r="K18" s="237"/>
      <c r="L18" s="238"/>
      <c r="M18" s="347"/>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9"/>
      <c r="AK18" s="181"/>
      <c r="AL18" s="181"/>
      <c r="AM18" s="217"/>
    </row>
    <row r="19" spans="1:39" ht="17.25" customHeight="1">
      <c r="A19" s="39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2"/>
      <c r="B21" s="203"/>
      <c r="C21" s="281"/>
      <c r="D21" s="253"/>
      <c r="E21" s="258"/>
      <c r="F21" s="356"/>
      <c r="G21" s="357"/>
      <c r="H21" s="358"/>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2"/>
      <c r="B22" s="203"/>
      <c r="C22" s="281"/>
      <c r="D22" s="257"/>
      <c r="E22" s="258"/>
      <c r="F22" s="412"/>
      <c r="G22" s="357"/>
      <c r="H22" s="358"/>
      <c r="I22" s="324"/>
      <c r="J22" s="259"/>
      <c r="K22" s="256"/>
      <c r="L22" s="255"/>
      <c r="M22" s="377"/>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9"/>
      <c r="AK22" s="181"/>
      <c r="AL22" s="181"/>
      <c r="AM22" s="217"/>
    </row>
    <row r="23" spans="1:39" ht="17.25" customHeight="1">
      <c r="A23" s="392"/>
      <c r="B23" s="203"/>
      <c r="C23" s="281"/>
      <c r="D23" s="253"/>
      <c r="E23" s="254"/>
      <c r="F23" s="409"/>
      <c r="G23" s="410"/>
      <c r="H23" s="411"/>
      <c r="I23" s="325"/>
      <c r="J23" s="255"/>
      <c r="K23" s="256"/>
      <c r="L23" s="255"/>
      <c r="M23" s="369"/>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1"/>
      <c r="AK23" s="181"/>
      <c r="AL23" s="181"/>
      <c r="AM23" s="217"/>
    </row>
    <row r="24" spans="1:39" ht="17.25" customHeight="1">
      <c r="A24" s="392"/>
      <c r="B24" s="203"/>
      <c r="C24" s="281"/>
      <c r="D24" s="257"/>
      <c r="E24" s="258"/>
      <c r="F24" s="356"/>
      <c r="G24" s="357"/>
      <c r="H24" s="358"/>
      <c r="I24" s="326"/>
      <c r="J24" s="261"/>
      <c r="K24" s="260"/>
      <c r="L24" s="261"/>
      <c r="M24" s="369"/>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1"/>
      <c r="AK24" s="181"/>
      <c r="AL24" s="181"/>
      <c r="AM24" s="217"/>
    </row>
    <row r="25" spans="1:39" ht="17.25" customHeight="1">
      <c r="A25" s="392"/>
      <c r="B25" s="203"/>
      <c r="C25" s="281"/>
      <c r="D25" s="253"/>
      <c r="E25" s="254"/>
      <c r="F25" s="409"/>
      <c r="G25" s="410"/>
      <c r="H25" s="411"/>
      <c r="I25" s="325"/>
      <c r="J25" s="255"/>
      <c r="K25" s="256"/>
      <c r="L25" s="255"/>
      <c r="M25" s="369"/>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1"/>
      <c r="AK25" s="181"/>
      <c r="AL25" s="181"/>
      <c r="AM25" s="217"/>
    </row>
    <row r="26" spans="1:39" ht="17.25" customHeight="1">
      <c r="A26" s="392"/>
      <c r="B26" s="203"/>
      <c r="C26" s="281"/>
      <c r="D26" s="257"/>
      <c r="E26" s="258"/>
      <c r="F26" s="356"/>
      <c r="G26" s="357"/>
      <c r="H26" s="358"/>
      <c r="I26" s="326"/>
      <c r="J26" s="259"/>
      <c r="K26" s="260"/>
      <c r="L26" s="261"/>
      <c r="M26" s="369"/>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1"/>
      <c r="AK26" s="181"/>
      <c r="AL26" s="181"/>
      <c r="AM26" s="217"/>
    </row>
    <row r="27" spans="1:39" ht="17.25" customHeight="1">
      <c r="A27" s="392"/>
      <c r="B27" s="203"/>
      <c r="C27" s="281"/>
      <c r="D27" s="253"/>
      <c r="E27" s="254"/>
      <c r="F27" s="409"/>
      <c r="G27" s="410"/>
      <c r="H27" s="411"/>
      <c r="I27" s="325"/>
      <c r="J27" s="255"/>
      <c r="K27" s="256"/>
      <c r="L27" s="255"/>
      <c r="M27" s="369"/>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1"/>
      <c r="AK27" s="181"/>
      <c r="AL27" s="181"/>
      <c r="AM27" s="217"/>
    </row>
    <row r="28" spans="1:39" ht="17.25" customHeight="1">
      <c r="A28" s="392"/>
      <c r="B28" s="203"/>
      <c r="C28" s="281"/>
      <c r="D28" s="257"/>
      <c r="E28" s="258"/>
      <c r="F28" s="356"/>
      <c r="G28" s="357"/>
      <c r="H28" s="358"/>
      <c r="I28" s="326"/>
      <c r="J28" s="261"/>
      <c r="K28" s="260"/>
      <c r="L28" s="261"/>
      <c r="M28" s="369"/>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1"/>
      <c r="AK28" s="181"/>
      <c r="AL28" s="181"/>
      <c r="AM28" s="217"/>
    </row>
    <row r="29" spans="1:39" ht="17.25" customHeight="1">
      <c r="A29" s="392"/>
      <c r="B29" s="203"/>
      <c r="C29" s="281"/>
      <c r="D29" s="253"/>
      <c r="E29" s="254"/>
      <c r="F29" s="409"/>
      <c r="G29" s="410"/>
      <c r="H29" s="411"/>
      <c r="I29" s="325"/>
      <c r="J29" s="263"/>
      <c r="K29" s="256"/>
      <c r="L29" s="263"/>
      <c r="M29" s="369"/>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1"/>
      <c r="AK29" s="181"/>
      <c r="AL29" s="181"/>
      <c r="AM29" s="217"/>
    </row>
    <row r="30" spans="1:39" ht="17.25" customHeight="1">
      <c r="A30" s="393"/>
      <c r="B30" s="203"/>
      <c r="C30" s="281"/>
      <c r="D30" s="257"/>
      <c r="E30" s="258"/>
      <c r="F30" s="356"/>
      <c r="G30" s="357"/>
      <c r="H30" s="358"/>
      <c r="I30" s="326"/>
      <c r="J30" s="264"/>
      <c r="K30" s="260"/>
      <c r="L30" s="264"/>
      <c r="M30" s="380"/>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2"/>
      <c r="AK30" s="181"/>
      <c r="AL30" s="181"/>
      <c r="AM30" s="217"/>
    </row>
    <row r="31" spans="1:39" ht="17.25" customHeight="1">
      <c r="A31" s="397"/>
      <c r="B31" s="203"/>
      <c r="C31" s="281"/>
      <c r="D31" s="265"/>
      <c r="E31" s="254"/>
      <c r="F31" s="419"/>
      <c r="G31" s="420"/>
      <c r="H31" s="421"/>
      <c r="I31" s="327"/>
      <c r="J31" s="266"/>
      <c r="K31" s="267"/>
      <c r="L31" s="266"/>
      <c r="M31" s="374"/>
      <c r="N31" s="375"/>
      <c r="O31" s="375"/>
      <c r="P31" s="375"/>
      <c r="Q31" s="375"/>
      <c r="R31" s="375"/>
      <c r="S31" s="375"/>
      <c r="T31" s="375"/>
      <c r="U31" s="375"/>
      <c r="V31" s="375"/>
      <c r="W31" s="375"/>
      <c r="X31" s="375"/>
      <c r="Y31" s="375"/>
      <c r="Z31" s="375"/>
      <c r="AA31" s="375"/>
      <c r="AB31" s="375"/>
      <c r="AC31" s="375"/>
      <c r="AD31" s="375"/>
      <c r="AE31" s="375"/>
      <c r="AF31" s="375"/>
      <c r="AG31" s="375"/>
      <c r="AH31" s="375"/>
      <c r="AI31" s="375"/>
      <c r="AJ31" s="376"/>
      <c r="AK31" s="181"/>
      <c r="AL31" s="181"/>
      <c r="AM31" s="217"/>
    </row>
    <row r="32" spans="1:39" ht="17.25" customHeight="1">
      <c r="A32" s="398"/>
      <c r="B32" s="203"/>
      <c r="C32" s="281"/>
      <c r="D32" s="268"/>
      <c r="E32" s="258"/>
      <c r="F32" s="374"/>
      <c r="G32" s="375"/>
      <c r="H32" s="376"/>
      <c r="I32" s="328"/>
      <c r="J32" s="269"/>
      <c r="K32" s="262"/>
      <c r="L32" s="269"/>
      <c r="M32" s="374"/>
      <c r="N32" s="375"/>
      <c r="O32" s="375"/>
      <c r="P32" s="375"/>
      <c r="Q32" s="375"/>
      <c r="R32" s="375"/>
      <c r="S32" s="375"/>
      <c r="T32" s="375"/>
      <c r="U32" s="375"/>
      <c r="V32" s="375"/>
      <c r="W32" s="375"/>
      <c r="X32" s="375"/>
      <c r="Y32" s="375"/>
      <c r="Z32" s="375"/>
      <c r="AA32" s="375"/>
      <c r="AB32" s="375"/>
      <c r="AC32" s="375"/>
      <c r="AD32" s="375"/>
      <c r="AE32" s="375"/>
      <c r="AF32" s="375"/>
      <c r="AG32" s="375"/>
      <c r="AH32" s="375"/>
      <c r="AI32" s="375"/>
      <c r="AJ32" s="376"/>
      <c r="AK32" s="181"/>
      <c r="AL32" s="181"/>
      <c r="AM32" s="217"/>
    </row>
    <row r="33" spans="1:39" ht="17.25" customHeight="1">
      <c r="A33" s="398"/>
      <c r="B33" s="203"/>
      <c r="C33" s="281"/>
      <c r="D33" s="253"/>
      <c r="E33" s="254"/>
      <c r="F33" s="409"/>
      <c r="G33" s="410"/>
      <c r="H33" s="411"/>
      <c r="I33" s="325"/>
      <c r="J33" s="263"/>
      <c r="K33" s="270"/>
      <c r="L33" s="263"/>
      <c r="M33" s="369"/>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1"/>
      <c r="AK33" s="181"/>
      <c r="AL33" s="181"/>
      <c r="AM33" s="217"/>
    </row>
    <row r="34" spans="1:39" ht="17.25" customHeight="1">
      <c r="A34" s="398"/>
      <c r="B34" s="203"/>
      <c r="C34" s="281"/>
      <c r="D34" s="257"/>
      <c r="E34" s="258"/>
      <c r="F34" s="356"/>
      <c r="G34" s="357"/>
      <c r="H34" s="358"/>
      <c r="I34" s="326"/>
      <c r="J34" s="264"/>
      <c r="K34" s="271"/>
      <c r="L34" s="264"/>
      <c r="M34" s="380"/>
      <c r="N34" s="381"/>
      <c r="O34" s="381"/>
      <c r="P34" s="381"/>
      <c r="Q34" s="381"/>
      <c r="R34" s="381"/>
      <c r="S34" s="381"/>
      <c r="T34" s="381"/>
      <c r="U34" s="381"/>
      <c r="V34" s="381"/>
      <c r="W34" s="381"/>
      <c r="X34" s="381"/>
      <c r="Y34" s="381"/>
      <c r="Z34" s="381"/>
      <c r="AA34" s="381"/>
      <c r="AB34" s="381"/>
      <c r="AC34" s="381"/>
      <c r="AD34" s="381"/>
      <c r="AE34" s="381"/>
      <c r="AF34" s="381"/>
      <c r="AG34" s="381"/>
      <c r="AH34" s="381"/>
      <c r="AI34" s="381"/>
      <c r="AJ34" s="382"/>
      <c r="AK34" s="181"/>
      <c r="AL34" s="181"/>
      <c r="AM34" s="217"/>
    </row>
    <row r="35" spans="1:39" ht="17.25" customHeight="1">
      <c r="A35" s="398"/>
      <c r="B35" s="203"/>
      <c r="C35" s="281"/>
      <c r="D35" s="265"/>
      <c r="E35" s="254"/>
      <c r="F35" s="419"/>
      <c r="G35" s="420"/>
      <c r="H35" s="421"/>
      <c r="I35" s="327"/>
      <c r="J35" s="272"/>
      <c r="K35" s="254"/>
      <c r="L35" s="273"/>
      <c r="M35" s="374"/>
      <c r="N35" s="375"/>
      <c r="O35" s="375"/>
      <c r="P35" s="375"/>
      <c r="Q35" s="375"/>
      <c r="R35" s="375"/>
      <c r="S35" s="375"/>
      <c r="T35" s="375"/>
      <c r="U35" s="375"/>
      <c r="V35" s="375"/>
      <c r="W35" s="375"/>
      <c r="X35" s="375"/>
      <c r="Y35" s="375"/>
      <c r="Z35" s="375"/>
      <c r="AA35" s="375"/>
      <c r="AB35" s="375"/>
      <c r="AC35" s="375"/>
      <c r="AD35" s="375"/>
      <c r="AE35" s="375"/>
      <c r="AF35" s="375"/>
      <c r="AG35" s="375"/>
      <c r="AH35" s="375"/>
      <c r="AI35" s="375"/>
      <c r="AJ35" s="376"/>
      <c r="AK35" s="181"/>
      <c r="AL35" s="181"/>
      <c r="AM35" s="217"/>
    </row>
    <row r="36" spans="1:39" ht="17.25" customHeight="1">
      <c r="A36" s="398"/>
      <c r="B36" s="203"/>
      <c r="C36" s="281"/>
      <c r="D36" s="274"/>
      <c r="E36" s="258"/>
      <c r="F36" s="350"/>
      <c r="G36" s="351"/>
      <c r="H36" s="352"/>
      <c r="I36" s="328"/>
      <c r="J36" s="275"/>
      <c r="K36" s="258"/>
      <c r="L36" s="275"/>
      <c r="M36" s="374"/>
      <c r="N36" s="375"/>
      <c r="O36" s="375"/>
      <c r="P36" s="375"/>
      <c r="Q36" s="375"/>
      <c r="R36" s="375"/>
      <c r="S36" s="375"/>
      <c r="T36" s="375"/>
      <c r="U36" s="375"/>
      <c r="V36" s="375"/>
      <c r="W36" s="375"/>
      <c r="X36" s="375"/>
      <c r="Y36" s="375"/>
      <c r="Z36" s="375"/>
      <c r="AA36" s="375"/>
      <c r="AB36" s="375"/>
      <c r="AC36" s="375"/>
      <c r="AD36" s="375"/>
      <c r="AE36" s="375"/>
      <c r="AF36" s="375"/>
      <c r="AG36" s="375"/>
      <c r="AH36" s="375"/>
      <c r="AI36" s="375"/>
      <c r="AJ36" s="376"/>
      <c r="AK36" s="181"/>
      <c r="AL36" s="181"/>
      <c r="AM36" s="217"/>
    </row>
    <row r="37" spans="1:39" ht="17.25" customHeight="1">
      <c r="A37" s="398"/>
      <c r="B37" s="203"/>
      <c r="C37" s="281"/>
      <c r="D37" s="276"/>
      <c r="E37" s="254"/>
      <c r="F37" s="353"/>
      <c r="G37" s="354"/>
      <c r="H37" s="355"/>
      <c r="I37" s="327"/>
      <c r="J37" s="273"/>
      <c r="K37" s="254"/>
      <c r="L37" s="273"/>
      <c r="M37" s="374"/>
      <c r="N37" s="375"/>
      <c r="O37" s="375"/>
      <c r="P37" s="375"/>
      <c r="Q37" s="375"/>
      <c r="R37" s="375"/>
      <c r="S37" s="375"/>
      <c r="T37" s="375"/>
      <c r="U37" s="375"/>
      <c r="V37" s="375"/>
      <c r="W37" s="375"/>
      <c r="X37" s="375"/>
      <c r="Y37" s="375"/>
      <c r="Z37" s="375"/>
      <c r="AA37" s="375"/>
      <c r="AB37" s="375"/>
      <c r="AC37" s="375"/>
      <c r="AD37" s="375"/>
      <c r="AE37" s="375"/>
      <c r="AF37" s="375"/>
      <c r="AG37" s="375"/>
      <c r="AH37" s="375"/>
      <c r="AI37" s="375"/>
      <c r="AJ37" s="376"/>
      <c r="AK37" s="181"/>
      <c r="AL37" s="181"/>
      <c r="AM37" s="217"/>
    </row>
    <row r="38" spans="1:39" ht="17.25" customHeight="1">
      <c r="A38" s="398"/>
      <c r="B38" s="203"/>
      <c r="C38" s="281"/>
      <c r="D38" s="274"/>
      <c r="E38" s="258"/>
      <c r="F38" s="350"/>
      <c r="G38" s="351"/>
      <c r="H38" s="352"/>
      <c r="I38" s="328"/>
      <c r="J38" s="275"/>
      <c r="K38" s="258"/>
      <c r="L38" s="275"/>
      <c r="M38" s="374"/>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6"/>
      <c r="AK38" s="181"/>
      <c r="AL38" s="181"/>
      <c r="AM38" s="217"/>
    </row>
    <row r="39" spans="1:39" ht="17.25" customHeight="1">
      <c r="A39" s="398"/>
      <c r="B39" s="203"/>
      <c r="C39" s="281"/>
      <c r="D39" s="276"/>
      <c r="E39" s="254"/>
      <c r="F39" s="353"/>
      <c r="G39" s="354"/>
      <c r="H39" s="355"/>
      <c r="I39" s="327"/>
      <c r="J39" s="273"/>
      <c r="K39" s="254"/>
      <c r="L39" s="273"/>
      <c r="M39" s="374"/>
      <c r="N39" s="375"/>
      <c r="O39" s="375"/>
      <c r="P39" s="375"/>
      <c r="Q39" s="375"/>
      <c r="R39" s="375"/>
      <c r="S39" s="375"/>
      <c r="T39" s="375"/>
      <c r="U39" s="375"/>
      <c r="V39" s="375"/>
      <c r="W39" s="375"/>
      <c r="X39" s="375"/>
      <c r="Y39" s="375"/>
      <c r="Z39" s="375"/>
      <c r="AA39" s="375"/>
      <c r="AB39" s="375"/>
      <c r="AC39" s="375"/>
      <c r="AD39" s="375"/>
      <c r="AE39" s="375"/>
      <c r="AF39" s="375"/>
      <c r="AG39" s="375"/>
      <c r="AH39" s="375"/>
      <c r="AI39" s="375"/>
      <c r="AJ39" s="376"/>
      <c r="AK39" s="181"/>
      <c r="AL39" s="181"/>
      <c r="AM39" s="217"/>
    </row>
    <row r="40" spans="1:39" ht="17.25" customHeight="1">
      <c r="A40" s="398"/>
      <c r="B40" s="203"/>
      <c r="C40" s="281"/>
      <c r="D40" s="274"/>
      <c r="E40" s="258"/>
      <c r="F40" s="350"/>
      <c r="G40" s="351"/>
      <c r="H40" s="352"/>
      <c r="I40" s="328"/>
      <c r="J40" s="275"/>
      <c r="K40" s="258"/>
      <c r="L40" s="275"/>
      <c r="M40" s="374"/>
      <c r="N40" s="375"/>
      <c r="O40" s="375"/>
      <c r="P40" s="375"/>
      <c r="Q40" s="375"/>
      <c r="R40" s="375"/>
      <c r="S40" s="375"/>
      <c r="T40" s="375"/>
      <c r="U40" s="375"/>
      <c r="V40" s="375"/>
      <c r="W40" s="375"/>
      <c r="X40" s="375"/>
      <c r="Y40" s="375"/>
      <c r="Z40" s="375"/>
      <c r="AA40" s="375"/>
      <c r="AB40" s="375"/>
      <c r="AC40" s="375"/>
      <c r="AD40" s="375"/>
      <c r="AE40" s="375"/>
      <c r="AF40" s="375"/>
      <c r="AG40" s="375"/>
      <c r="AH40" s="375"/>
      <c r="AI40" s="375"/>
      <c r="AJ40" s="376"/>
      <c r="AK40" s="181"/>
      <c r="AL40" s="181"/>
      <c r="AM40" s="217"/>
    </row>
    <row r="41" spans="1:39" ht="17.25" customHeight="1">
      <c r="A41" s="398"/>
      <c r="B41" s="203"/>
      <c r="C41" s="281"/>
      <c r="D41" s="276"/>
      <c r="E41" s="254"/>
      <c r="F41" s="353"/>
      <c r="G41" s="354"/>
      <c r="H41" s="355"/>
      <c r="I41" s="327"/>
      <c r="J41" s="273"/>
      <c r="K41" s="254"/>
      <c r="L41" s="273"/>
      <c r="M41" s="374"/>
      <c r="N41" s="375"/>
      <c r="O41" s="375"/>
      <c r="P41" s="375"/>
      <c r="Q41" s="375"/>
      <c r="R41" s="375"/>
      <c r="S41" s="375"/>
      <c r="T41" s="375"/>
      <c r="U41" s="375"/>
      <c r="V41" s="375"/>
      <c r="W41" s="375"/>
      <c r="X41" s="375"/>
      <c r="Y41" s="375"/>
      <c r="Z41" s="375"/>
      <c r="AA41" s="375"/>
      <c r="AB41" s="375"/>
      <c r="AC41" s="375"/>
      <c r="AD41" s="375"/>
      <c r="AE41" s="375"/>
      <c r="AF41" s="375"/>
      <c r="AG41" s="375"/>
      <c r="AH41" s="375"/>
      <c r="AI41" s="375"/>
      <c r="AJ41" s="376"/>
      <c r="AK41" s="181"/>
      <c r="AL41" s="181"/>
      <c r="AM41" s="217"/>
    </row>
    <row r="42" spans="1:39" ht="17.25" customHeight="1">
      <c r="A42" s="398"/>
      <c r="B42" s="203"/>
      <c r="C42" s="281"/>
      <c r="D42" s="274"/>
      <c r="E42" s="258"/>
      <c r="F42" s="350"/>
      <c r="G42" s="351"/>
      <c r="H42" s="352"/>
      <c r="I42" s="328"/>
      <c r="J42" s="275"/>
      <c r="K42" s="258"/>
      <c r="L42" s="275"/>
      <c r="M42" s="374"/>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6"/>
      <c r="AK42" s="181"/>
      <c r="AL42" s="181"/>
      <c r="AM42" s="217"/>
    </row>
    <row r="43" spans="1:39" ht="17.25" customHeight="1">
      <c r="A43" s="398"/>
      <c r="B43" s="203"/>
      <c r="C43" s="281"/>
      <c r="D43" s="276"/>
      <c r="E43" s="254"/>
      <c r="F43" s="353"/>
      <c r="G43" s="354"/>
      <c r="H43" s="355"/>
      <c r="I43" s="327"/>
      <c r="J43" s="273"/>
      <c r="K43" s="254"/>
      <c r="L43" s="273"/>
      <c r="M43" s="374"/>
      <c r="N43" s="375"/>
      <c r="O43" s="375"/>
      <c r="P43" s="375"/>
      <c r="Q43" s="375"/>
      <c r="R43" s="375"/>
      <c r="S43" s="375"/>
      <c r="T43" s="375"/>
      <c r="U43" s="375"/>
      <c r="V43" s="375"/>
      <c r="W43" s="375"/>
      <c r="X43" s="375"/>
      <c r="Y43" s="375"/>
      <c r="Z43" s="375"/>
      <c r="AA43" s="375"/>
      <c r="AB43" s="375"/>
      <c r="AC43" s="375"/>
      <c r="AD43" s="375"/>
      <c r="AE43" s="375"/>
      <c r="AF43" s="375"/>
      <c r="AG43" s="375"/>
      <c r="AH43" s="375"/>
      <c r="AI43" s="375"/>
      <c r="AJ43" s="376"/>
      <c r="AK43" s="181"/>
      <c r="AL43" s="181"/>
      <c r="AM43" s="217"/>
    </row>
    <row r="44" spans="1:39" ht="17.25" customHeight="1">
      <c r="A44" s="398"/>
      <c r="B44" s="203"/>
      <c r="C44" s="281"/>
      <c r="D44" s="274"/>
      <c r="E44" s="258"/>
      <c r="F44" s="350"/>
      <c r="G44" s="351"/>
      <c r="H44" s="352"/>
      <c r="I44" s="328"/>
      <c r="J44" s="275"/>
      <c r="K44" s="258"/>
      <c r="L44" s="275"/>
      <c r="M44" s="374"/>
      <c r="N44" s="375"/>
      <c r="O44" s="375"/>
      <c r="P44" s="375"/>
      <c r="Q44" s="375"/>
      <c r="R44" s="375"/>
      <c r="S44" s="375"/>
      <c r="T44" s="375"/>
      <c r="U44" s="375"/>
      <c r="V44" s="375"/>
      <c r="W44" s="375"/>
      <c r="X44" s="375"/>
      <c r="Y44" s="375"/>
      <c r="Z44" s="375"/>
      <c r="AA44" s="375"/>
      <c r="AB44" s="375"/>
      <c r="AC44" s="375"/>
      <c r="AD44" s="375"/>
      <c r="AE44" s="375"/>
      <c r="AF44" s="375"/>
      <c r="AG44" s="375"/>
      <c r="AH44" s="375"/>
      <c r="AI44" s="375"/>
      <c r="AJ44" s="376"/>
      <c r="AK44" s="181"/>
      <c r="AL44" s="181"/>
      <c r="AM44" s="217"/>
    </row>
    <row r="45" spans="1:39" ht="17.25" customHeight="1">
      <c r="A45" s="398"/>
      <c r="B45" s="203"/>
      <c r="C45" s="281"/>
      <c r="D45" s="276"/>
      <c r="E45" s="254"/>
      <c r="F45" s="353"/>
      <c r="G45" s="354"/>
      <c r="H45" s="355"/>
      <c r="I45" s="327"/>
      <c r="J45" s="273"/>
      <c r="K45" s="254"/>
      <c r="L45" s="273"/>
      <c r="M45" s="374"/>
      <c r="N45" s="375"/>
      <c r="O45" s="375"/>
      <c r="P45" s="375"/>
      <c r="Q45" s="375"/>
      <c r="R45" s="375"/>
      <c r="S45" s="375"/>
      <c r="T45" s="375"/>
      <c r="U45" s="375"/>
      <c r="V45" s="375"/>
      <c r="W45" s="375"/>
      <c r="X45" s="375"/>
      <c r="Y45" s="375"/>
      <c r="Z45" s="375"/>
      <c r="AA45" s="375"/>
      <c r="AB45" s="375"/>
      <c r="AC45" s="375"/>
      <c r="AD45" s="375"/>
      <c r="AE45" s="375"/>
      <c r="AF45" s="375"/>
      <c r="AG45" s="375"/>
      <c r="AH45" s="375"/>
      <c r="AI45" s="375"/>
      <c r="AJ45" s="376"/>
      <c r="AK45" s="181"/>
      <c r="AL45" s="181"/>
      <c r="AM45" s="217"/>
    </row>
    <row r="46" spans="1:39" ht="17.25" customHeight="1">
      <c r="A46" s="398"/>
      <c r="B46" s="203"/>
      <c r="C46" s="281"/>
      <c r="D46" s="274"/>
      <c r="E46" s="258"/>
      <c r="F46" s="350"/>
      <c r="G46" s="351"/>
      <c r="H46" s="352"/>
      <c r="I46" s="328"/>
      <c r="J46" s="275"/>
      <c r="K46" s="258"/>
      <c r="L46" s="275"/>
      <c r="M46" s="374"/>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6"/>
      <c r="AK46" s="181"/>
      <c r="AL46" s="181"/>
      <c r="AM46" s="217"/>
    </row>
    <row r="47" spans="1:39" ht="17.25" customHeight="1">
      <c r="A47" s="398"/>
      <c r="B47" s="203"/>
      <c r="C47" s="281"/>
      <c r="D47" s="277"/>
      <c r="E47" s="278"/>
      <c r="F47" s="353"/>
      <c r="G47" s="354"/>
      <c r="H47" s="355"/>
      <c r="I47" s="329"/>
      <c r="J47" s="279"/>
      <c r="K47" s="278"/>
      <c r="L47" s="279"/>
      <c r="M47" s="374"/>
      <c r="N47" s="375"/>
      <c r="O47" s="375"/>
      <c r="P47" s="375"/>
      <c r="Q47" s="375"/>
      <c r="R47" s="375"/>
      <c r="S47" s="375"/>
      <c r="T47" s="375"/>
      <c r="U47" s="375"/>
      <c r="V47" s="375"/>
      <c r="W47" s="375"/>
      <c r="X47" s="375"/>
      <c r="Y47" s="375"/>
      <c r="Z47" s="375"/>
      <c r="AA47" s="375"/>
      <c r="AB47" s="375"/>
      <c r="AC47" s="375"/>
      <c r="AD47" s="375"/>
      <c r="AE47" s="375"/>
      <c r="AF47" s="375"/>
      <c r="AG47" s="375"/>
      <c r="AH47" s="375"/>
      <c r="AI47" s="375"/>
      <c r="AJ47" s="376"/>
      <c r="AK47" s="181"/>
      <c r="AL47" s="181"/>
      <c r="AM47" s="217"/>
    </row>
    <row r="48" spans="1:39" ht="17.25" customHeight="1">
      <c r="A48" s="398"/>
      <c r="B48" s="203"/>
      <c r="C48" s="263"/>
      <c r="D48" s="276"/>
      <c r="E48" s="254"/>
      <c r="F48" s="350"/>
      <c r="G48" s="351"/>
      <c r="H48" s="352"/>
      <c r="I48" s="327"/>
      <c r="J48" s="273"/>
      <c r="K48" s="254"/>
      <c r="L48" s="273"/>
      <c r="M48" s="374"/>
      <c r="N48" s="375"/>
      <c r="O48" s="375"/>
      <c r="P48" s="375"/>
      <c r="Q48" s="375"/>
      <c r="R48" s="375"/>
      <c r="S48" s="375"/>
      <c r="T48" s="375"/>
      <c r="U48" s="375"/>
      <c r="V48" s="375"/>
      <c r="W48" s="375"/>
      <c r="X48" s="375"/>
      <c r="Y48" s="375"/>
      <c r="Z48" s="375"/>
      <c r="AA48" s="375"/>
      <c r="AB48" s="375"/>
      <c r="AC48" s="375"/>
      <c r="AD48" s="375"/>
      <c r="AE48" s="375"/>
      <c r="AF48" s="375"/>
      <c r="AG48" s="375"/>
      <c r="AH48" s="375"/>
      <c r="AI48" s="375"/>
      <c r="AJ48" s="376"/>
      <c r="AK48" s="181"/>
      <c r="AL48" s="181"/>
      <c r="AM48" s="217"/>
    </row>
    <row r="49" spans="1:39" ht="17.25" customHeight="1">
      <c r="A49" s="39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0" t="s">
        <v>24</v>
      </c>
      <c r="AI52" s="460"/>
      <c r="AJ52" s="460"/>
      <c r="AK52" s="181"/>
      <c r="AL52" s="181"/>
      <c r="AM52" s="217"/>
    </row>
    <row r="53" spans="1:39" ht="17.25" customHeight="1">
      <c r="A53" s="398"/>
      <c r="B53" s="203"/>
      <c r="AH53" s="460"/>
      <c r="AI53" s="461"/>
      <c r="AJ53" s="461"/>
      <c r="AK53" s="224"/>
      <c r="AL53" s="181"/>
      <c r="AM53" s="217"/>
    </row>
    <row r="54" spans="1:39" ht="17.25" customHeight="1">
      <c r="A54" s="398"/>
      <c r="B54" s="203"/>
      <c r="D54" s="177"/>
      <c r="E54" s="177"/>
      <c r="F54" s="178"/>
      <c r="G54" s="179"/>
      <c r="H54" s="179"/>
      <c r="AB54" s="457" t="s">
        <v>1680</v>
      </c>
      <c r="AC54" s="458"/>
      <c r="AD54" s="458"/>
      <c r="AE54" s="458"/>
      <c r="AF54" s="458"/>
      <c r="AG54" s="458"/>
      <c r="AH54" s="458"/>
      <c r="AI54" s="458"/>
      <c r="AJ54" s="458"/>
      <c r="AK54" s="459"/>
      <c r="AL54" s="181"/>
      <c r="AM54" s="217"/>
    </row>
    <row r="55" spans="1:39" ht="17.25" customHeight="1">
      <c r="A55" s="398"/>
      <c r="B55" s="443"/>
      <c r="C55" s="444"/>
      <c r="D55" s="444"/>
      <c r="E55" s="444"/>
      <c r="F55" s="445"/>
      <c r="G55" s="180"/>
      <c r="H55" s="183" t="s">
        <v>0</v>
      </c>
      <c r="I55" s="184"/>
      <c r="J55" s="174"/>
      <c r="K55" s="174"/>
      <c r="L55" s="180"/>
      <c r="M55" s="430" t="s">
        <v>47</v>
      </c>
      <c r="N55" s="430"/>
      <c r="O55" s="432" t="str">
        <f>IF(ISNUMBER(VALUE(RIGHT(O57,4))),RIGHT(O57,4),"Stationsbezeichnung ungültig / invalid station name")</f>
        <v>1310</v>
      </c>
      <c r="P55" s="433"/>
      <c r="Q55" s="433"/>
      <c r="R55" s="433"/>
      <c r="S55" s="434"/>
      <c r="T55" s="438" t="s">
        <v>13</v>
      </c>
      <c r="U55" s="430" t="s">
        <v>2</v>
      </c>
      <c r="V55" s="430"/>
      <c r="W55" s="185"/>
      <c r="X55" s="441" t="s">
        <v>1651</v>
      </c>
      <c r="Y55" s="427"/>
      <c r="Z55" s="431" t="s">
        <v>3</v>
      </c>
      <c r="AA55" s="431"/>
      <c r="AB55" s="455">
        <v>6</v>
      </c>
      <c r="AD55" s="174"/>
      <c r="AE55" s="174"/>
      <c r="AF55" s="206" t="s">
        <v>11</v>
      </c>
      <c r="AG55" s="206"/>
      <c r="AH55" s="200"/>
      <c r="AI55" s="180"/>
      <c r="AJ55" s="208" t="s">
        <v>4</v>
      </c>
      <c r="AK55" s="208" t="s">
        <v>5</v>
      </c>
      <c r="AL55" s="180"/>
      <c r="AM55" s="217"/>
    </row>
    <row r="56" spans="1:39" ht="17.25" customHeight="1">
      <c r="A56" s="398"/>
      <c r="B56" s="446"/>
      <c r="C56" s="447"/>
      <c r="D56" s="447"/>
      <c r="E56" s="447"/>
      <c r="F56" s="448"/>
      <c r="G56" s="181"/>
      <c r="H56" s="416" t="s">
        <v>31</v>
      </c>
      <c r="I56" s="417"/>
      <c r="J56" s="417"/>
      <c r="K56" s="417"/>
      <c r="L56" s="418"/>
      <c r="M56" s="430" t="s">
        <v>15</v>
      </c>
      <c r="N56" s="430"/>
      <c r="O56" s="435"/>
      <c r="P56" s="436"/>
      <c r="Q56" s="436"/>
      <c r="R56" s="436"/>
      <c r="S56" s="437"/>
      <c r="T56" s="439"/>
      <c r="U56" s="430" t="s">
        <v>52</v>
      </c>
      <c r="V56" s="430"/>
      <c r="W56" s="186"/>
      <c r="X56" s="442"/>
      <c r="Y56" s="429"/>
      <c r="Z56" s="454" t="s">
        <v>1263</v>
      </c>
      <c r="AA56" s="454"/>
      <c r="AB56" s="456"/>
      <c r="AF56" s="213" t="s">
        <v>58</v>
      </c>
      <c r="AG56" s="214"/>
      <c r="AH56" s="201"/>
      <c r="AI56" s="181"/>
      <c r="AJ56" s="215" t="s">
        <v>55</v>
      </c>
      <c r="AK56" s="225" t="s">
        <v>43</v>
      </c>
      <c r="AL56" s="181"/>
      <c r="AM56" s="217"/>
    </row>
    <row r="57" spans="1:39" ht="17.25" customHeight="1">
      <c r="A57" s="398"/>
      <c r="B57" s="446"/>
      <c r="C57" s="447"/>
      <c r="D57" s="447"/>
      <c r="E57" s="447"/>
      <c r="F57" s="448"/>
      <c r="G57" s="182"/>
      <c r="H57" s="207"/>
      <c r="I57" s="204"/>
      <c r="J57" s="204"/>
      <c r="K57" s="204"/>
      <c r="L57" s="205"/>
      <c r="M57" s="430" t="s">
        <v>48</v>
      </c>
      <c r="N57" s="430"/>
      <c r="O57" s="426" t="s">
        <v>1678</v>
      </c>
      <c r="P57" s="441"/>
      <c r="Q57" s="441"/>
      <c r="R57" s="441"/>
      <c r="S57" s="427"/>
      <c r="T57" s="440"/>
      <c r="U57" s="430" t="s">
        <v>7</v>
      </c>
      <c r="V57" s="430"/>
      <c r="W57" s="188"/>
      <c r="X57" s="441" t="s">
        <v>1640</v>
      </c>
      <c r="Y57" s="427"/>
      <c r="Z57" s="280" t="s">
        <v>8</v>
      </c>
      <c r="AA57" s="422">
        <v>45014</v>
      </c>
      <c r="AB57" s="423"/>
      <c r="AC57" s="189"/>
      <c r="AD57" s="176"/>
      <c r="AE57" s="176"/>
      <c r="AF57" s="228"/>
      <c r="AG57" s="228"/>
      <c r="AH57" s="228"/>
      <c r="AI57" s="229"/>
      <c r="AJ57" s="226"/>
      <c r="AK57" s="181"/>
      <c r="AL57" s="181"/>
      <c r="AM57" s="217"/>
    </row>
    <row r="58" spans="1:39" ht="18" customHeight="1">
      <c r="A58" s="398"/>
      <c r="B58" s="446"/>
      <c r="C58" s="447"/>
      <c r="D58" s="447"/>
      <c r="E58" s="447"/>
      <c r="F58" s="448"/>
      <c r="G58" s="180"/>
      <c r="H58" s="183" t="s">
        <v>56</v>
      </c>
      <c r="I58" s="184"/>
      <c r="J58" s="174"/>
      <c r="K58" s="174"/>
      <c r="L58" s="180"/>
      <c r="M58" s="430" t="s">
        <v>49</v>
      </c>
      <c r="N58" s="430"/>
      <c r="O58" s="428"/>
      <c r="P58" s="442"/>
      <c r="Q58" s="442"/>
      <c r="R58" s="442"/>
      <c r="S58" s="429"/>
      <c r="T58" s="438" t="s">
        <v>51</v>
      </c>
      <c r="U58" s="430" t="s">
        <v>53</v>
      </c>
      <c r="V58" s="430"/>
      <c r="W58" s="185"/>
      <c r="X58" s="442"/>
      <c r="Y58" s="429"/>
      <c r="Z58" s="280" t="s">
        <v>57</v>
      </c>
      <c r="AA58" s="424"/>
      <c r="AB58" s="425"/>
      <c r="AD58" s="174"/>
      <c r="AE58" s="174"/>
      <c r="AF58" s="452" t="s">
        <v>1679</v>
      </c>
      <c r="AG58" s="452"/>
      <c r="AH58" s="452"/>
      <c r="AI58" s="453"/>
      <c r="AJ58" s="389" t="s">
        <v>20</v>
      </c>
      <c r="AK58" s="389" t="s">
        <v>21</v>
      </c>
      <c r="AL58" s="181"/>
      <c r="AM58" s="217"/>
    </row>
    <row r="59" spans="1:39" ht="17.25" customHeight="1">
      <c r="A59" s="398"/>
      <c r="B59" s="446"/>
      <c r="C59" s="447"/>
      <c r="D59" s="447"/>
      <c r="E59" s="447"/>
      <c r="F59" s="448"/>
      <c r="G59" s="181"/>
      <c r="H59" s="416" t="s">
        <v>45</v>
      </c>
      <c r="I59" s="417"/>
      <c r="J59" s="417"/>
      <c r="K59" s="417"/>
      <c r="L59" s="418"/>
      <c r="M59" s="430" t="s">
        <v>6</v>
      </c>
      <c r="N59" s="430"/>
      <c r="O59" s="426" t="s">
        <v>1656</v>
      </c>
      <c r="P59" s="441"/>
      <c r="Q59" s="441"/>
      <c r="R59" s="441"/>
      <c r="S59" s="427"/>
      <c r="T59" s="439"/>
      <c r="U59" s="430" t="s">
        <v>10</v>
      </c>
      <c r="V59" s="430"/>
      <c r="W59" s="186"/>
      <c r="X59" s="441" t="s">
        <v>1652</v>
      </c>
      <c r="Y59" s="427"/>
      <c r="Z59" s="280" t="s">
        <v>9</v>
      </c>
      <c r="AA59" s="426" t="s">
        <v>1643</v>
      </c>
      <c r="AB59" s="427"/>
      <c r="AF59" s="227"/>
      <c r="AG59" s="228"/>
      <c r="AH59" s="228"/>
      <c r="AI59" s="229"/>
      <c r="AJ59" s="389"/>
      <c r="AK59" s="389"/>
      <c r="AL59" s="181"/>
      <c r="AM59" s="217"/>
    </row>
    <row r="60" spans="1:39" ht="17.25" customHeight="1">
      <c r="A60" s="399"/>
      <c r="B60" s="449"/>
      <c r="C60" s="450"/>
      <c r="D60" s="450"/>
      <c r="E60" s="450"/>
      <c r="F60" s="451"/>
      <c r="G60" s="182"/>
      <c r="H60" s="207"/>
      <c r="I60" s="204"/>
      <c r="J60" s="204"/>
      <c r="K60" s="204"/>
      <c r="L60" s="205"/>
      <c r="M60" s="430" t="s">
        <v>50</v>
      </c>
      <c r="N60" s="430"/>
      <c r="O60" s="428"/>
      <c r="P60" s="442"/>
      <c r="Q60" s="442"/>
      <c r="R60" s="442"/>
      <c r="S60" s="429"/>
      <c r="T60" s="440"/>
      <c r="U60" s="430" t="s">
        <v>54</v>
      </c>
      <c r="V60" s="430"/>
      <c r="W60" s="188"/>
      <c r="X60" s="442"/>
      <c r="Y60" s="429"/>
      <c r="Z60" s="280" t="s">
        <v>23</v>
      </c>
      <c r="AA60" s="428"/>
      <c r="AB60" s="429"/>
      <c r="AC60" s="189"/>
      <c r="AD60" s="176"/>
      <c r="AE60" s="176"/>
      <c r="AF60" s="230"/>
      <c r="AG60" s="230"/>
      <c r="AH60" s="230"/>
      <c r="AI60" s="231"/>
      <c r="AJ60" s="390"/>
      <c r="AK60" s="390"/>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topLeftCell="A2" zoomScale="30" zoomScaleNormal="30" zoomScaleSheetLayoutView="40" zoomScalePageLayoutView="10" workbookViewId="0">
      <selection activeCell="J10" sqref="J10:J17"/>
    </sheetView>
  </sheetViews>
  <sheetFormatPr defaultColWidth="11" defaultRowHeight="15" customHeight="1"/>
  <cols>
    <col min="1" max="1" width="3.44140625" style="47" customWidth="1"/>
    <col min="2" max="2" width="1.44140625" style="47" customWidth="1"/>
    <col min="3" max="3" width="22.6640625" style="47" customWidth="1"/>
    <col min="4" max="4" width="50.6640625"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2" t="s">
        <v>1169</v>
      </c>
      <c r="BE1" s="462" t="s">
        <v>1174</v>
      </c>
      <c r="BF1" s="462"/>
      <c r="BG1" s="462"/>
      <c r="BH1" s="4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2"/>
      <c r="BE2" s="463"/>
      <c r="BF2" s="463"/>
      <c r="BG2" s="462"/>
      <c r="BH2" s="462"/>
    </row>
    <row r="3" spans="1:74" ht="39" customHeight="1" thickBot="1">
      <c r="A3" s="464"/>
      <c r="B3" s="7"/>
      <c r="C3" s="467" t="s">
        <v>32</v>
      </c>
      <c r="D3" s="468"/>
      <c r="E3" s="469"/>
      <c r="F3" s="470" t="str">
        <f>IF($E$6="DE","Karosseriebau","Bodyshop")</f>
        <v>Karosseriebau</v>
      </c>
      <c r="G3" s="471"/>
      <c r="H3" s="471"/>
      <c r="I3" s="471"/>
      <c r="J3" s="471"/>
      <c r="K3" s="471"/>
      <c r="L3" s="471"/>
      <c r="M3" s="471"/>
      <c r="N3" s="471"/>
      <c r="O3" s="471"/>
      <c r="P3" s="471"/>
      <c r="Q3" s="471"/>
      <c r="R3" s="471"/>
      <c r="S3" s="472"/>
      <c r="T3" s="473" t="s">
        <v>1255</v>
      </c>
      <c r="U3" s="474"/>
      <c r="V3" s="474"/>
      <c r="W3" s="474"/>
      <c r="X3" s="474"/>
      <c r="Y3" s="474"/>
      <c r="Z3" s="474"/>
      <c r="AA3" s="474"/>
      <c r="AB3" s="474"/>
      <c r="AC3" s="474"/>
      <c r="AD3" s="474"/>
      <c r="AE3" s="474"/>
      <c r="AF3" s="474"/>
      <c r="AG3" s="474"/>
      <c r="AH3" s="474"/>
      <c r="AI3" s="474"/>
      <c r="AJ3" s="474"/>
      <c r="AK3" s="475" t="s">
        <v>1637</v>
      </c>
      <c r="AL3" s="476"/>
      <c r="AM3" s="476"/>
      <c r="AN3" s="477"/>
      <c r="AO3" s="499"/>
      <c r="AP3" s="500"/>
      <c r="AQ3" s="500"/>
      <c r="AR3" s="500"/>
      <c r="AS3" s="500"/>
      <c r="AT3" s="500"/>
      <c r="AU3" s="500"/>
      <c r="AV3" s="500"/>
      <c r="AW3" s="500"/>
      <c r="AX3" s="500"/>
      <c r="AY3" s="293"/>
      <c r="AZ3" s="293"/>
      <c r="BA3" s="293"/>
      <c r="BB3" s="293"/>
      <c r="BC3" s="33"/>
      <c r="BD3" s="33"/>
      <c r="BE3" s="93" t="s">
        <v>1180</v>
      </c>
      <c r="BF3" s="96"/>
      <c r="BH3" s="95"/>
    </row>
    <row r="4" spans="1:74" ht="63" customHeight="1">
      <c r="A4" s="465"/>
      <c r="B4" s="7"/>
      <c r="C4" s="503" t="str">
        <f>IF($E$6="DE","Punktschweißen","Spot Welding")</f>
        <v>Punktschweißen</v>
      </c>
      <c r="D4" s="504"/>
      <c r="E4" s="504"/>
      <c r="F4" s="504"/>
      <c r="G4" s="504"/>
      <c r="H4" s="504"/>
      <c r="I4" s="504"/>
      <c r="J4" s="504"/>
      <c r="K4" s="504"/>
      <c r="L4" s="505"/>
      <c r="M4" s="509" t="str">
        <f>IF($E$6="DE","Zeichnungsstand:","Dwg release:")</f>
        <v>Zeichnungsstand:</v>
      </c>
      <c r="N4" s="510"/>
      <c r="O4" s="511"/>
      <c r="P4" s="515">
        <v>44967</v>
      </c>
      <c r="Q4" s="516"/>
      <c r="R4" s="516"/>
      <c r="S4" s="517"/>
      <c r="T4" s="520"/>
      <c r="U4" s="521"/>
      <c r="V4" s="521"/>
      <c r="W4" s="521"/>
      <c r="X4" s="521"/>
      <c r="Y4" s="521"/>
      <c r="Z4" s="521"/>
      <c r="AA4" s="521"/>
      <c r="AB4" s="521"/>
      <c r="AC4" s="521"/>
      <c r="AD4" s="521"/>
      <c r="AE4" s="521"/>
      <c r="AF4" s="521"/>
      <c r="AG4" s="522"/>
      <c r="AH4" s="526" t="str">
        <f>IF($E$6="DE","Elektrodenkappe","Electrode Cap")</f>
        <v>Elektrodenkappe</v>
      </c>
      <c r="AI4" s="527"/>
      <c r="AJ4" s="528"/>
      <c r="AK4" s="532" t="e">
        <f>X36</f>
        <v>#VALUE!</v>
      </c>
      <c r="AL4" s="532"/>
      <c r="AM4" s="532"/>
      <c r="AN4" s="533"/>
      <c r="AO4" s="499"/>
      <c r="AP4" s="500"/>
      <c r="AQ4" s="500"/>
      <c r="AR4" s="500"/>
      <c r="AS4" s="500"/>
      <c r="AT4" s="500"/>
      <c r="AU4" s="500"/>
      <c r="AV4" s="500"/>
      <c r="AW4" s="500"/>
      <c r="AX4" s="500"/>
      <c r="AY4" s="293"/>
      <c r="AZ4" s="293"/>
      <c r="BA4" s="293"/>
      <c r="BB4" s="293"/>
      <c r="BC4" s="32"/>
      <c r="BD4" s="52" t="s">
        <v>1167</v>
      </c>
      <c r="BE4" s="52" t="s">
        <v>1178</v>
      </c>
      <c r="BF4" s="92"/>
      <c r="BH4" s="94" t="s">
        <v>1257</v>
      </c>
    </row>
    <row r="5" spans="1:74" ht="57" customHeight="1" thickBot="1">
      <c r="A5" s="465"/>
      <c r="B5" s="7"/>
      <c r="C5" s="506"/>
      <c r="D5" s="507"/>
      <c r="E5" s="507"/>
      <c r="F5" s="507"/>
      <c r="G5" s="507"/>
      <c r="H5" s="507"/>
      <c r="I5" s="507"/>
      <c r="J5" s="507"/>
      <c r="K5" s="507"/>
      <c r="L5" s="508"/>
      <c r="M5" s="512"/>
      <c r="N5" s="513"/>
      <c r="O5" s="514"/>
      <c r="P5" s="518"/>
      <c r="Q5" s="518"/>
      <c r="R5" s="518"/>
      <c r="S5" s="519"/>
      <c r="T5" s="523"/>
      <c r="U5" s="524"/>
      <c r="V5" s="524"/>
      <c r="W5" s="524"/>
      <c r="X5" s="524"/>
      <c r="Y5" s="524"/>
      <c r="Z5" s="524"/>
      <c r="AA5" s="524"/>
      <c r="AB5" s="524"/>
      <c r="AC5" s="524"/>
      <c r="AD5" s="524"/>
      <c r="AE5" s="524"/>
      <c r="AF5" s="524"/>
      <c r="AG5" s="525"/>
      <c r="AH5" s="529"/>
      <c r="AI5" s="530"/>
      <c r="AJ5" s="531"/>
      <c r="AK5" s="534"/>
      <c r="AL5" s="534"/>
      <c r="AM5" s="534"/>
      <c r="AN5" s="535"/>
      <c r="AO5" s="499"/>
      <c r="AP5" s="500"/>
      <c r="AQ5" s="500"/>
      <c r="AR5" s="500"/>
      <c r="AS5" s="500"/>
      <c r="AT5" s="500"/>
      <c r="AU5" s="500"/>
      <c r="AV5" s="500"/>
      <c r="AW5" s="500"/>
      <c r="AX5" s="500"/>
      <c r="AY5" s="293"/>
      <c r="AZ5" s="293"/>
      <c r="BA5" s="293"/>
      <c r="BB5" s="293"/>
      <c r="BC5" s="31"/>
      <c r="BD5" s="53" t="s">
        <v>1168</v>
      </c>
      <c r="BE5" s="52" t="s">
        <v>1179</v>
      </c>
      <c r="BF5" s="92"/>
      <c r="BH5" s="92" t="s">
        <v>1258</v>
      </c>
      <c r="BK5" s="46" t="s">
        <v>1177</v>
      </c>
    </row>
    <row r="6" spans="1:74" ht="38.25" customHeight="1">
      <c r="A6" s="465"/>
      <c r="B6" s="7"/>
      <c r="C6" s="536" t="s">
        <v>1166</v>
      </c>
      <c r="D6" s="537"/>
      <c r="E6" s="542" t="s">
        <v>1167</v>
      </c>
      <c r="F6" s="545" t="s">
        <v>1175</v>
      </c>
      <c r="G6" s="559" t="s">
        <v>1179</v>
      </c>
      <c r="H6" s="561" t="str">
        <f>IF(G6="SPZ","Servopneumatische Schweißzange /                    Servopneumatic Welding Gun",IF(G6="RZ","Roboterschweißzange /                            Robot Welding Gun","Zangentyp auswählen! /                                          Choose Gun Type"))</f>
        <v>Roboterschweißzange /                            Robot Welding Gun</v>
      </c>
      <c r="I6" s="562"/>
      <c r="J6" s="562"/>
      <c r="K6" s="562"/>
      <c r="L6" s="563"/>
      <c r="M6" s="567" t="s">
        <v>1656</v>
      </c>
      <c r="N6" s="568"/>
      <c r="O6" s="568"/>
      <c r="P6" s="568"/>
      <c r="Q6" s="568"/>
      <c r="R6" s="568"/>
      <c r="S6" s="569"/>
      <c r="T6" s="478" t="s">
        <v>1650</v>
      </c>
      <c r="U6" s="478"/>
      <c r="V6" s="478"/>
      <c r="W6" s="478"/>
      <c r="X6" s="478"/>
      <c r="Y6" s="478"/>
      <c r="Z6" s="478"/>
      <c r="AA6" s="478"/>
      <c r="AB6" s="478"/>
      <c r="AC6" s="478"/>
      <c r="AD6" s="478"/>
      <c r="AE6" s="478"/>
      <c r="AF6" s="478"/>
      <c r="AG6" s="479"/>
      <c r="AH6" s="484" t="str">
        <f>IF($E$6="DE","Sonderelektrode (manuelle Auswahl)","Special Electrode Cap (manual selection)")</f>
        <v>Sonderelektrode (manuelle Auswahl)</v>
      </c>
      <c r="AI6" s="485"/>
      <c r="AJ6" s="486"/>
      <c r="AK6" s="490" t="str">
        <f>IF($E$6="DE","Sonderfräsmesser (manuelle Auswahl)","Special Tip-Dresser (manual selection)")</f>
        <v>Sonderfräsmesser (manuelle Auswahl)</v>
      </c>
      <c r="AL6" s="491"/>
      <c r="AM6" s="491"/>
      <c r="AN6" s="492"/>
      <c r="AO6" s="499"/>
      <c r="AP6" s="500"/>
      <c r="AQ6" s="500"/>
      <c r="AR6" s="500"/>
      <c r="AS6" s="500"/>
      <c r="AT6" s="500"/>
      <c r="AU6" s="500"/>
      <c r="AV6" s="500"/>
      <c r="AW6" s="500"/>
      <c r="AX6" s="500"/>
      <c r="AY6" s="293"/>
      <c r="AZ6" s="293"/>
      <c r="BA6" s="293"/>
      <c r="BB6" s="293"/>
      <c r="BK6" s="46" t="s">
        <v>1176</v>
      </c>
    </row>
    <row r="7" spans="1:74" ht="38.25" customHeight="1">
      <c r="A7" s="465"/>
      <c r="B7" s="7"/>
      <c r="C7" s="538"/>
      <c r="D7" s="539"/>
      <c r="E7" s="543"/>
      <c r="F7" s="546"/>
      <c r="G7" s="560"/>
      <c r="H7" s="564"/>
      <c r="I7" s="565"/>
      <c r="J7" s="565"/>
      <c r="K7" s="565"/>
      <c r="L7" s="566"/>
      <c r="M7" s="570"/>
      <c r="N7" s="571"/>
      <c r="O7" s="571"/>
      <c r="P7" s="571"/>
      <c r="Q7" s="571"/>
      <c r="R7" s="571"/>
      <c r="S7" s="572"/>
      <c r="T7" s="480"/>
      <c r="U7" s="480"/>
      <c r="V7" s="480"/>
      <c r="W7" s="480"/>
      <c r="X7" s="480"/>
      <c r="Y7" s="480"/>
      <c r="Z7" s="480"/>
      <c r="AA7" s="480"/>
      <c r="AB7" s="480"/>
      <c r="AC7" s="480"/>
      <c r="AD7" s="480"/>
      <c r="AE7" s="480"/>
      <c r="AF7" s="480"/>
      <c r="AG7" s="481"/>
      <c r="AH7" s="487"/>
      <c r="AI7" s="488"/>
      <c r="AJ7" s="489"/>
      <c r="AK7" s="114" t="s">
        <v>1170</v>
      </c>
      <c r="AL7" s="115" t="s">
        <v>1172</v>
      </c>
      <c r="AM7" s="115" t="s">
        <v>1171</v>
      </c>
      <c r="AN7" s="116" t="s">
        <v>1173</v>
      </c>
      <c r="AO7" s="499"/>
      <c r="AP7" s="500"/>
      <c r="AQ7" s="500"/>
      <c r="AR7" s="500"/>
      <c r="AS7" s="500"/>
      <c r="AT7" s="500"/>
      <c r="AU7" s="500"/>
      <c r="AV7" s="500"/>
      <c r="AW7" s="500"/>
      <c r="AX7" s="500"/>
      <c r="AY7" s="293"/>
      <c r="AZ7" s="293"/>
      <c r="BA7" s="293"/>
      <c r="BB7" s="293"/>
    </row>
    <row r="8" spans="1:74" ht="53.25" customHeight="1" thickBot="1">
      <c r="A8" s="465"/>
      <c r="B8" s="7"/>
      <c r="C8" s="540"/>
      <c r="D8" s="541"/>
      <c r="E8" s="544"/>
      <c r="F8" s="170" t="str">
        <f>IF(E6="DE","Doppelzange (J/N)","Twin-Spot-Gun (J=Yes/N=No)")</f>
        <v>Doppelzange (J/N)</v>
      </c>
      <c r="G8" s="169" t="s">
        <v>1645</v>
      </c>
      <c r="H8" s="493"/>
      <c r="I8" s="494"/>
      <c r="J8" s="494"/>
      <c r="K8" s="494"/>
      <c r="L8" s="495"/>
      <c r="M8" s="573"/>
      <c r="N8" s="574"/>
      <c r="O8" s="574"/>
      <c r="P8" s="574"/>
      <c r="Q8" s="574"/>
      <c r="R8" s="574"/>
      <c r="S8" s="575"/>
      <c r="T8" s="482"/>
      <c r="U8" s="482"/>
      <c r="V8" s="482"/>
      <c r="W8" s="482"/>
      <c r="X8" s="482"/>
      <c r="Y8" s="482"/>
      <c r="Z8" s="482"/>
      <c r="AA8" s="482"/>
      <c r="AB8" s="482"/>
      <c r="AC8" s="482"/>
      <c r="AD8" s="482"/>
      <c r="AE8" s="482"/>
      <c r="AF8" s="482"/>
      <c r="AG8" s="483"/>
      <c r="AH8" s="496"/>
      <c r="AI8" s="497"/>
      <c r="AJ8" s="498"/>
      <c r="AK8" s="54">
        <v>8</v>
      </c>
      <c r="AL8" s="55">
        <v>50</v>
      </c>
      <c r="AM8" s="56">
        <v>8</v>
      </c>
      <c r="AN8" s="57">
        <v>50</v>
      </c>
      <c r="AO8" s="501"/>
      <c r="AP8" s="502"/>
      <c r="AQ8" s="502"/>
      <c r="AR8" s="502"/>
      <c r="AS8" s="502"/>
      <c r="AT8" s="502"/>
      <c r="AU8" s="502"/>
      <c r="AV8" s="502"/>
      <c r="AW8" s="502"/>
      <c r="AX8" s="502"/>
      <c r="AY8" s="293"/>
      <c r="AZ8" s="293"/>
      <c r="BA8" s="293"/>
      <c r="BB8" s="293"/>
    </row>
    <row r="9" spans="1:74" ht="43.5" customHeight="1">
      <c r="A9" s="465"/>
      <c r="B9" s="7"/>
      <c r="C9" s="547" t="str">
        <f>IF($E$6="DE","Punkt- Nummer (Index)","Welding-Spot Number (Index)")</f>
        <v>Punkt- Nummer (Index)</v>
      </c>
      <c r="D9" s="550" t="str">
        <f>IF($E$6="DE","Punkt- Name                                                   (FE - Bezeichnung)","Welding-Spot Number                                              (FE - designition)")</f>
        <v>Punkt- Name                                                   (FE - Bezeichnung)</v>
      </c>
      <c r="E9" s="553" t="str">
        <f>IF($E$6="DE","Schweißkoffer","Welding case-No.")</f>
        <v>Schweißkoffer</v>
      </c>
      <c r="F9" s="553" t="str">
        <f>IF($E$6="DE","Schweißen durch Rob. IR .. /                                Werker WA ..","Welding with Rob. IR ... /                    Worker WR No …")</f>
        <v>Schweißen durch Rob. IR .. /                                Werker WA ..</v>
      </c>
      <c r="G9" s="553" t="str">
        <f>IF($E$6="DE","Schweißzangen-Typ","Weldgun - Type")</f>
        <v>Schweißzangen-Typ</v>
      </c>
      <c r="H9" s="556" t="str">
        <f>IF($E$6="DE","Schweißzangen-Nr.","Weldgun drawing No.")</f>
        <v>Schweißzangen-Nr.</v>
      </c>
      <c r="I9" s="598" t="str">
        <f>IF($E$6="DE","Trafo","Weld-Transformer")</f>
        <v>Trafo</v>
      </c>
      <c r="J9" s="487" t="str">
        <f>IF($E$6="DE","Netzlinien","Car Netline")</f>
        <v>Netzlinien</v>
      </c>
      <c r="K9" s="488"/>
      <c r="L9" s="489"/>
      <c r="M9" s="487" t="str">
        <f>IF($E$6="DE","Blechpaarung","Sheet metal stack")</f>
        <v>Blechpaarung</v>
      </c>
      <c r="N9" s="488"/>
      <c r="O9" s="601"/>
      <c r="P9" s="602" t="str">
        <f>IF($E$6="DE","Blechdicke / Werkstoff","Sheet Thickness / Material")</f>
        <v>Blechdicke / Werkstoff</v>
      </c>
      <c r="Q9" s="603"/>
      <c r="R9" s="603"/>
      <c r="S9" s="603"/>
      <c r="T9" s="603"/>
      <c r="U9" s="603"/>
      <c r="V9" s="603"/>
      <c r="W9" s="603"/>
      <c r="X9" s="604"/>
      <c r="Y9" s="313"/>
      <c r="Z9" s="605" t="str">
        <f>IF($E$6="DE","Zwischenrechnung","theoretical Values")</f>
        <v>Zwischenrechnung</v>
      </c>
      <c r="AA9" s="606"/>
      <c r="AB9" s="607"/>
      <c r="AC9" s="487" t="str">
        <f>IF($E$6="DE","Schweißparameter","Welding Parameters")</f>
        <v>Schweißparameter</v>
      </c>
      <c r="AD9" s="488"/>
      <c r="AE9" s="489"/>
      <c r="AF9" s="620" t="str">
        <f>IF($E$6="DE","Anforderung","Requirement")</f>
        <v>Anforderung</v>
      </c>
      <c r="AG9" s="621"/>
      <c r="AH9" s="622" t="str">
        <f>IF($E$6="DE","benötigte Elektrodenkappen für Schweißpunkt","required Electrode Caps for Spot")</f>
        <v>benötigte Elektrodenkappen für Schweißpunkt</v>
      </c>
      <c r="AI9" s="623"/>
      <c r="AJ9" s="623"/>
      <c r="AK9" s="577"/>
      <c r="AL9" s="578"/>
      <c r="AM9" s="484" t="str">
        <f>IF($E$6="DE","Bemerkung","Comments")</f>
        <v>Bemerkung</v>
      </c>
      <c r="AN9" s="624"/>
      <c r="AO9" s="576" t="str">
        <f>IF($E$6="DE","Schweißpunkte gültig für folgende Typen:","Welding Spots valid for the following Types")</f>
        <v>Schweißpunkte gültig für folgende Typen:</v>
      </c>
      <c r="AP9" s="577"/>
      <c r="AQ9" s="577"/>
      <c r="AR9" s="577"/>
      <c r="AS9" s="577"/>
      <c r="AT9" s="577"/>
      <c r="AU9" s="577"/>
      <c r="AV9" s="577"/>
      <c r="AW9" s="577"/>
      <c r="AX9" s="578"/>
      <c r="AY9" s="293"/>
      <c r="AZ9" s="293"/>
      <c r="BA9" s="293"/>
      <c r="BB9" s="293"/>
    </row>
    <row r="10" spans="1:74" ht="32.25" customHeight="1">
      <c r="A10" s="465"/>
      <c r="B10" s="7"/>
      <c r="C10" s="548"/>
      <c r="D10" s="551"/>
      <c r="E10" s="554"/>
      <c r="F10" s="554"/>
      <c r="G10" s="554"/>
      <c r="H10" s="557"/>
      <c r="I10" s="599"/>
      <c r="J10" s="579" t="s">
        <v>33</v>
      </c>
      <c r="K10" s="582" t="s">
        <v>34</v>
      </c>
      <c r="L10" s="585" t="s">
        <v>35</v>
      </c>
      <c r="M10" s="588" t="str">
        <f>IF($E$6="DE","Zeichnungsnummer","Part drawing no")</f>
        <v>Zeichnungsnummer</v>
      </c>
      <c r="N10" s="589"/>
      <c r="O10" s="589"/>
      <c r="P10" s="594" t="s">
        <v>59</v>
      </c>
      <c r="Q10" s="596" t="str">
        <f>IF($E$6="DE","Werkstoff 1","Material 1")</f>
        <v>Werkstoff 1</v>
      </c>
      <c r="R10" s="608" t="str">
        <f>IF($E$6="DE","Streckgrenze Re 1","Yield strength Re 1")</f>
        <v>Streckgrenze Re 1</v>
      </c>
      <c r="S10" s="610" t="s">
        <v>60</v>
      </c>
      <c r="T10" s="596" t="str">
        <f>IF($E$6="DE","Werkstoff 2","Material 2")</f>
        <v>Werkstoff 2</v>
      </c>
      <c r="U10" s="608" t="str">
        <f>IF($E$6="DE","Streckgrenze Re 2","Yield strength Re 2")</f>
        <v>Streckgrenze Re 2</v>
      </c>
      <c r="V10" s="610" t="s">
        <v>61</v>
      </c>
      <c r="W10" s="596" t="str">
        <f>IF($E$6="DE","Werkstoff 3","Material 3")</f>
        <v>Werkstoff 3</v>
      </c>
      <c r="X10" s="608" t="str">
        <f>IF($E$6="DE","Streckgrenze Re 3","Yield strength Re 3")</f>
        <v>Streckgrenze Re 3</v>
      </c>
      <c r="Y10" s="612" t="str">
        <f>IF($E$6="DE","Klebstoff (J/N)","Adhesive (J=Yes /N=No)")</f>
        <v>Klebstoff (J/N)</v>
      </c>
      <c r="Z10" s="614" t="str">
        <f>IF($E$6="DE","Vergleichsblechdicke tv","Ref. Thickness tv")</f>
        <v>Vergleichsblechdicke tv</v>
      </c>
      <c r="AA10" s="617" t="str">
        <f>IF($E$6="DE","Zuschlag Streckgrenze    (Re1+Re2+Re3)/(220*3*10)+0,9","Yield strength surcharge    (Re1+Re2+Re3)/(220*3*10)+0,9")</f>
        <v>Zuschlag Streckgrenze    (Re1+Re2+Re3)/(220*3*10)+0,9</v>
      </c>
      <c r="AB10" s="644" t="str">
        <f>IF($E$6="DE","Schweißkraft inkl. Klebstoff (Zangenauslegung)","Welding Force incl. Adhesive (Gun Calculation)")</f>
        <v>Schweißkraft inkl. Klebstoff (Zangenauslegung)</v>
      </c>
      <c r="AC10" s="647" t="str">
        <f>IF($E$6="DE","Schweißstrom","Welding Current")</f>
        <v>Schweißstrom</v>
      </c>
      <c r="AD10" s="632" t="str">
        <f>IF($E$6="DE","Schweißzeit","Welding Time")</f>
        <v>Schweißzeit</v>
      </c>
      <c r="AE10" s="650" t="str">
        <f>IF($E$6="DE","Schweißkraft incl. Klebstoff u. TL 4225 außen","Welding Force incl. adhesive and TL 4225 outside")</f>
        <v>Schweißkraft incl. Klebstoff u. TL 4225 außen</v>
      </c>
      <c r="AF10" s="629" t="str">
        <f>IF($E$6="DE","Linsendurchmesser dn min (Blech 1 - Blech 2)","Nuggetdiameter dn min (Sheet 1 - Sheet 2)")</f>
        <v>Linsendurchmesser dn min (Blech 1 - Blech 2)</v>
      </c>
      <c r="AG10" s="650" t="str">
        <f>IF($E$6="DE","Linsendurchmesser dn min (Blech 2 - Blech 3)","Nuggetdiameter dn min (Sheet 2 - Sheet 3)")</f>
        <v>Linsendurchmesser dn min (Blech 2 - Blech 3)</v>
      </c>
      <c r="AH10" s="629" t="str">
        <f>IF($E$6="DE","Elektrodenkappen","Electrode Cap")</f>
        <v>Elektrodenkappen</v>
      </c>
      <c r="AI10" s="632" t="str">
        <f>IF($E$6="DE"," Arbeitsflächendurchm. für Elektrode an Blech 1 (AF1)","Electrode Tip Diameter                       on Sheet 1 (AF1)")</f>
        <v xml:space="preserve"> Arbeitsflächendurchm. für Elektrode an Blech 1 (AF1)</v>
      </c>
      <c r="AJ10" s="632" t="str">
        <f>IF($E$6="DE","Arbeitsflächenradius für Elektrode an Blech 1 (R1)","Electrode Tip Radius                    on Sheet 1 (R1)")</f>
        <v>Arbeitsflächenradius für Elektrode an Blech 1 (R1)</v>
      </c>
      <c r="AK10" s="635" t="str">
        <f>IF($E$6="DE"," Arbeitsflächendurchm. für Elektrode an Blech 2/3 (AF2/3)","Electrode Tip Diameter                      on Sheet 2/3 (AF2/3)")</f>
        <v xml:space="preserve"> Arbeitsflächendurchm. für Elektrode an Blech 2/3 (AF2/3)</v>
      </c>
      <c r="AL10" s="638" t="str">
        <f>IF($E$6="DE","Arbeitsflächenradius für Elektrode an Blech 2/3 (R2/3)","Electrode Tip Radius                   on Sheet 2 (R2/3)")</f>
        <v>Arbeitsflächenradius für Elektrode an Blech 2/3 (R2/3)</v>
      </c>
      <c r="AM10" s="625"/>
      <c r="AN10" s="626"/>
      <c r="AO10" s="641" t="s">
        <v>1646</v>
      </c>
      <c r="AP10" s="641" t="s">
        <v>1647</v>
      </c>
      <c r="AQ10" s="641" t="s">
        <v>1648</v>
      </c>
      <c r="AR10" s="641" t="s">
        <v>1629</v>
      </c>
      <c r="AS10" s="641" t="s">
        <v>1630</v>
      </c>
      <c r="AT10" s="641" t="s">
        <v>1631</v>
      </c>
      <c r="AU10" s="641" t="s">
        <v>1632</v>
      </c>
      <c r="AV10" s="641" t="s">
        <v>1633</v>
      </c>
      <c r="AW10" s="641" t="s">
        <v>1634</v>
      </c>
      <c r="AX10" s="653" t="s">
        <v>1635</v>
      </c>
      <c r="AY10" s="293"/>
      <c r="AZ10" s="293"/>
      <c r="BA10" s="293"/>
      <c r="BB10" s="293"/>
    </row>
    <row r="11" spans="1:74" ht="32.25" customHeight="1">
      <c r="A11" s="465"/>
      <c r="B11" s="7"/>
      <c r="C11" s="548"/>
      <c r="D11" s="551"/>
      <c r="E11" s="554"/>
      <c r="F11" s="554"/>
      <c r="G11" s="554"/>
      <c r="H11" s="557"/>
      <c r="I11" s="599"/>
      <c r="J11" s="580"/>
      <c r="K11" s="583"/>
      <c r="L11" s="586"/>
      <c r="M11" s="590"/>
      <c r="N11" s="591"/>
      <c r="O11" s="591"/>
      <c r="P11" s="595"/>
      <c r="Q11" s="596"/>
      <c r="R11" s="608"/>
      <c r="S11" s="610"/>
      <c r="T11" s="596"/>
      <c r="U11" s="608"/>
      <c r="V11" s="610"/>
      <c r="W11" s="596"/>
      <c r="X11" s="608"/>
      <c r="Y11" s="612"/>
      <c r="Z11" s="615"/>
      <c r="AA11" s="618"/>
      <c r="AB11" s="645"/>
      <c r="AC11" s="648"/>
      <c r="AD11" s="633"/>
      <c r="AE11" s="651"/>
      <c r="AF11" s="630"/>
      <c r="AG11" s="651"/>
      <c r="AH11" s="630"/>
      <c r="AI11" s="633"/>
      <c r="AJ11" s="633"/>
      <c r="AK11" s="636"/>
      <c r="AL11" s="639"/>
      <c r="AM11" s="625"/>
      <c r="AN11" s="626"/>
      <c r="AO11" s="642"/>
      <c r="AP11" s="642"/>
      <c r="AQ11" s="642"/>
      <c r="AR11" s="642"/>
      <c r="AS11" s="642"/>
      <c r="AT11" s="642"/>
      <c r="AU11" s="642"/>
      <c r="AV11" s="642"/>
      <c r="AW11" s="642"/>
      <c r="AX11" s="654"/>
      <c r="AY11" s="293"/>
      <c r="AZ11" s="293"/>
      <c r="BA11" s="293"/>
      <c r="BB11" s="293"/>
      <c r="BD11" s="660" t="s">
        <v>1125</v>
      </c>
      <c r="BE11" s="660" t="s">
        <v>1126</v>
      </c>
      <c r="BF11" s="660" t="s">
        <v>1127</v>
      </c>
    </row>
    <row r="12" spans="1:74" ht="32.25" customHeight="1">
      <c r="A12" s="465"/>
      <c r="B12" s="7"/>
      <c r="C12" s="548"/>
      <c r="D12" s="551"/>
      <c r="E12" s="554"/>
      <c r="F12" s="554"/>
      <c r="G12" s="554"/>
      <c r="H12" s="557"/>
      <c r="I12" s="599"/>
      <c r="J12" s="580"/>
      <c r="K12" s="583"/>
      <c r="L12" s="586"/>
      <c r="M12" s="590"/>
      <c r="N12" s="591"/>
      <c r="O12" s="591"/>
      <c r="P12" s="595"/>
      <c r="Q12" s="596"/>
      <c r="R12" s="608"/>
      <c r="S12" s="610"/>
      <c r="T12" s="596"/>
      <c r="U12" s="608"/>
      <c r="V12" s="610"/>
      <c r="W12" s="596"/>
      <c r="X12" s="608"/>
      <c r="Y12" s="612"/>
      <c r="Z12" s="615"/>
      <c r="AA12" s="618"/>
      <c r="AB12" s="645"/>
      <c r="AC12" s="648"/>
      <c r="AD12" s="633"/>
      <c r="AE12" s="651"/>
      <c r="AF12" s="630"/>
      <c r="AG12" s="651"/>
      <c r="AH12" s="630"/>
      <c r="AI12" s="633"/>
      <c r="AJ12" s="633"/>
      <c r="AK12" s="636"/>
      <c r="AL12" s="639"/>
      <c r="AM12" s="625"/>
      <c r="AN12" s="626"/>
      <c r="AO12" s="642"/>
      <c r="AP12" s="642"/>
      <c r="AQ12" s="642"/>
      <c r="AR12" s="642"/>
      <c r="AS12" s="642"/>
      <c r="AT12" s="642"/>
      <c r="AU12" s="642"/>
      <c r="AV12" s="642"/>
      <c r="AW12" s="642"/>
      <c r="AX12" s="654"/>
      <c r="AY12" s="293"/>
      <c r="AZ12" s="293"/>
      <c r="BA12" s="293"/>
      <c r="BB12" s="293"/>
      <c r="BD12" s="661"/>
      <c r="BE12" s="661"/>
      <c r="BF12" s="661"/>
    </row>
    <row r="13" spans="1:74" ht="32.25" customHeight="1">
      <c r="A13" s="465"/>
      <c r="B13" s="7"/>
      <c r="C13" s="548"/>
      <c r="D13" s="551"/>
      <c r="E13" s="554"/>
      <c r="F13" s="554"/>
      <c r="G13" s="554"/>
      <c r="H13" s="557"/>
      <c r="I13" s="599"/>
      <c r="J13" s="580"/>
      <c r="K13" s="583"/>
      <c r="L13" s="586"/>
      <c r="M13" s="590"/>
      <c r="N13" s="591"/>
      <c r="O13" s="591"/>
      <c r="P13" s="595"/>
      <c r="Q13" s="596"/>
      <c r="R13" s="608"/>
      <c r="S13" s="610"/>
      <c r="T13" s="596"/>
      <c r="U13" s="608"/>
      <c r="V13" s="610"/>
      <c r="W13" s="596"/>
      <c r="X13" s="608"/>
      <c r="Y13" s="612"/>
      <c r="Z13" s="615"/>
      <c r="AA13" s="618"/>
      <c r="AB13" s="645"/>
      <c r="AC13" s="648"/>
      <c r="AD13" s="633"/>
      <c r="AE13" s="651"/>
      <c r="AF13" s="630"/>
      <c r="AG13" s="651"/>
      <c r="AH13" s="630"/>
      <c r="AI13" s="633"/>
      <c r="AJ13" s="633"/>
      <c r="AK13" s="636"/>
      <c r="AL13" s="639"/>
      <c r="AM13" s="625"/>
      <c r="AN13" s="626"/>
      <c r="AO13" s="642"/>
      <c r="AP13" s="642"/>
      <c r="AQ13" s="642"/>
      <c r="AR13" s="642"/>
      <c r="AS13" s="642"/>
      <c r="AT13" s="642"/>
      <c r="AU13" s="642"/>
      <c r="AV13" s="642"/>
      <c r="AW13" s="642"/>
      <c r="AX13" s="654"/>
      <c r="AY13" s="293"/>
      <c r="AZ13" s="293"/>
      <c r="BA13" s="293"/>
      <c r="BB13" s="293"/>
      <c r="BD13" s="661"/>
      <c r="BE13" s="661"/>
      <c r="BF13" s="661"/>
    </row>
    <row r="14" spans="1:74" ht="32.25" customHeight="1">
      <c r="A14" s="465"/>
      <c r="B14" s="7"/>
      <c r="C14" s="548"/>
      <c r="D14" s="551"/>
      <c r="E14" s="554"/>
      <c r="F14" s="554"/>
      <c r="G14" s="554"/>
      <c r="H14" s="557"/>
      <c r="I14" s="599"/>
      <c r="J14" s="580"/>
      <c r="K14" s="583"/>
      <c r="L14" s="586"/>
      <c r="M14" s="590"/>
      <c r="N14" s="591"/>
      <c r="O14" s="591"/>
      <c r="P14" s="595"/>
      <c r="Q14" s="596"/>
      <c r="R14" s="608"/>
      <c r="S14" s="610"/>
      <c r="T14" s="596"/>
      <c r="U14" s="608"/>
      <c r="V14" s="610"/>
      <c r="W14" s="596"/>
      <c r="X14" s="608"/>
      <c r="Y14" s="612"/>
      <c r="Z14" s="615"/>
      <c r="AA14" s="618"/>
      <c r="AB14" s="645"/>
      <c r="AC14" s="648"/>
      <c r="AD14" s="633"/>
      <c r="AE14" s="651"/>
      <c r="AF14" s="630"/>
      <c r="AG14" s="651"/>
      <c r="AH14" s="630"/>
      <c r="AI14" s="633"/>
      <c r="AJ14" s="633"/>
      <c r="AK14" s="636"/>
      <c r="AL14" s="639"/>
      <c r="AM14" s="625"/>
      <c r="AN14" s="626"/>
      <c r="AO14" s="642"/>
      <c r="AP14" s="642"/>
      <c r="AQ14" s="642"/>
      <c r="AR14" s="642"/>
      <c r="AS14" s="642"/>
      <c r="AT14" s="642"/>
      <c r="AU14" s="642"/>
      <c r="AV14" s="642"/>
      <c r="AW14" s="642"/>
      <c r="AX14" s="654"/>
      <c r="AY14" s="293"/>
      <c r="AZ14" s="293"/>
      <c r="BA14" s="293"/>
      <c r="BB14" s="293"/>
      <c r="BD14" s="661"/>
      <c r="BE14" s="661"/>
      <c r="BF14" s="661"/>
    </row>
    <row r="15" spans="1:74" ht="32.25" customHeight="1">
      <c r="A15" s="465"/>
      <c r="B15" s="7"/>
      <c r="C15" s="548"/>
      <c r="D15" s="551"/>
      <c r="E15" s="554"/>
      <c r="F15" s="554"/>
      <c r="G15" s="554"/>
      <c r="H15" s="557"/>
      <c r="I15" s="599"/>
      <c r="J15" s="580"/>
      <c r="K15" s="583"/>
      <c r="L15" s="586"/>
      <c r="M15" s="590"/>
      <c r="N15" s="591"/>
      <c r="O15" s="591"/>
      <c r="P15" s="595"/>
      <c r="Q15" s="596"/>
      <c r="R15" s="608"/>
      <c r="S15" s="610"/>
      <c r="T15" s="596"/>
      <c r="U15" s="608"/>
      <c r="V15" s="610"/>
      <c r="W15" s="596"/>
      <c r="X15" s="608"/>
      <c r="Y15" s="612"/>
      <c r="Z15" s="615"/>
      <c r="AA15" s="618"/>
      <c r="AB15" s="645"/>
      <c r="AC15" s="648"/>
      <c r="AD15" s="633"/>
      <c r="AE15" s="651"/>
      <c r="AF15" s="630"/>
      <c r="AG15" s="651"/>
      <c r="AH15" s="630"/>
      <c r="AI15" s="633"/>
      <c r="AJ15" s="633"/>
      <c r="AK15" s="636"/>
      <c r="AL15" s="639"/>
      <c r="AM15" s="625"/>
      <c r="AN15" s="626"/>
      <c r="AO15" s="642"/>
      <c r="AP15" s="642"/>
      <c r="AQ15" s="642"/>
      <c r="AR15" s="642"/>
      <c r="AS15" s="642"/>
      <c r="AT15" s="642"/>
      <c r="AU15" s="642"/>
      <c r="AV15" s="642"/>
      <c r="AW15" s="642"/>
      <c r="AX15" s="654"/>
      <c r="AY15" s="293"/>
      <c r="AZ15" s="293"/>
      <c r="BA15" s="293"/>
      <c r="BB15" s="293"/>
      <c r="BD15" s="661"/>
      <c r="BE15" s="661"/>
      <c r="BF15" s="661"/>
    </row>
    <row r="16" spans="1:74" ht="32.25" customHeight="1">
      <c r="A16" s="465"/>
      <c r="B16" s="7"/>
      <c r="C16" s="548"/>
      <c r="D16" s="551"/>
      <c r="E16" s="554"/>
      <c r="F16" s="554"/>
      <c r="G16" s="554"/>
      <c r="H16" s="557"/>
      <c r="I16" s="599"/>
      <c r="J16" s="580"/>
      <c r="K16" s="583"/>
      <c r="L16" s="586"/>
      <c r="M16" s="590"/>
      <c r="N16" s="591"/>
      <c r="O16" s="591"/>
      <c r="P16" s="595"/>
      <c r="Q16" s="596"/>
      <c r="R16" s="608"/>
      <c r="S16" s="610"/>
      <c r="T16" s="596"/>
      <c r="U16" s="608"/>
      <c r="V16" s="610"/>
      <c r="W16" s="596"/>
      <c r="X16" s="608"/>
      <c r="Y16" s="612"/>
      <c r="Z16" s="615"/>
      <c r="AA16" s="618"/>
      <c r="AB16" s="645"/>
      <c r="AC16" s="648"/>
      <c r="AD16" s="633"/>
      <c r="AE16" s="651"/>
      <c r="AF16" s="630"/>
      <c r="AG16" s="651"/>
      <c r="AH16" s="630"/>
      <c r="AI16" s="633"/>
      <c r="AJ16" s="633"/>
      <c r="AK16" s="636"/>
      <c r="AL16" s="639"/>
      <c r="AM16" s="625"/>
      <c r="AN16" s="626"/>
      <c r="AO16" s="642"/>
      <c r="AP16" s="642"/>
      <c r="AQ16" s="642"/>
      <c r="AR16" s="642"/>
      <c r="AS16" s="642"/>
      <c r="AT16" s="642"/>
      <c r="AU16" s="642"/>
      <c r="AV16" s="642"/>
      <c r="AW16" s="642"/>
      <c r="AX16" s="654"/>
      <c r="AY16" s="293"/>
      <c r="AZ16" s="293"/>
      <c r="BA16" s="293"/>
      <c r="BB16" s="293"/>
      <c r="BD16" s="661"/>
      <c r="BE16" s="661"/>
      <c r="BF16" s="661"/>
      <c r="BI16" s="5"/>
      <c r="BJ16" s="5"/>
      <c r="BK16" s="5"/>
      <c r="BL16" s="5"/>
      <c r="BM16" s="5"/>
      <c r="BN16" s="5"/>
      <c r="BO16" s="5"/>
      <c r="BP16" s="5"/>
      <c r="BQ16" s="5"/>
      <c r="BR16" s="5"/>
      <c r="BS16" s="5"/>
      <c r="BT16" s="5"/>
      <c r="BU16" s="5"/>
      <c r="BV16" s="5"/>
    </row>
    <row r="17" spans="1:85" ht="32.25" customHeight="1">
      <c r="A17" s="465"/>
      <c r="B17" s="7"/>
      <c r="C17" s="548"/>
      <c r="D17" s="551"/>
      <c r="E17" s="554"/>
      <c r="F17" s="554"/>
      <c r="G17" s="554"/>
      <c r="H17" s="557"/>
      <c r="I17" s="600"/>
      <c r="J17" s="581"/>
      <c r="K17" s="584"/>
      <c r="L17" s="587"/>
      <c r="M17" s="592"/>
      <c r="N17" s="593"/>
      <c r="O17" s="593"/>
      <c r="P17" s="595"/>
      <c r="Q17" s="597"/>
      <c r="R17" s="609"/>
      <c r="S17" s="611"/>
      <c r="T17" s="597"/>
      <c r="U17" s="609"/>
      <c r="V17" s="611"/>
      <c r="W17" s="597"/>
      <c r="X17" s="609"/>
      <c r="Y17" s="613"/>
      <c r="Z17" s="616"/>
      <c r="AA17" s="619"/>
      <c r="AB17" s="646"/>
      <c r="AC17" s="649"/>
      <c r="AD17" s="634"/>
      <c r="AE17" s="652"/>
      <c r="AF17" s="631"/>
      <c r="AG17" s="652"/>
      <c r="AH17" s="631"/>
      <c r="AI17" s="634"/>
      <c r="AJ17" s="634"/>
      <c r="AK17" s="637"/>
      <c r="AL17" s="640"/>
      <c r="AM17" s="625"/>
      <c r="AN17" s="626"/>
      <c r="AO17" s="642"/>
      <c r="AP17" s="642"/>
      <c r="AQ17" s="642"/>
      <c r="AR17" s="642"/>
      <c r="AS17" s="642"/>
      <c r="AT17" s="642"/>
      <c r="AU17" s="642"/>
      <c r="AV17" s="642"/>
      <c r="AW17" s="642"/>
      <c r="AX17" s="654"/>
      <c r="AY17" s="293"/>
      <c r="AZ17" s="293"/>
      <c r="BA17" s="293"/>
      <c r="BB17" s="293"/>
      <c r="BD17" s="661"/>
      <c r="BE17" s="661"/>
      <c r="BF17" s="66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5"/>
      <c r="B18" s="7"/>
      <c r="C18" s="549"/>
      <c r="D18" s="552"/>
      <c r="E18" s="555"/>
      <c r="F18" s="555"/>
      <c r="G18" s="555"/>
      <c r="H18" s="5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7"/>
      <c r="AN18" s="628"/>
      <c r="AO18" s="643"/>
      <c r="AP18" s="643"/>
      <c r="AQ18" s="643"/>
      <c r="AR18" s="643"/>
      <c r="AS18" s="643"/>
      <c r="AT18" s="643"/>
      <c r="AU18" s="643"/>
      <c r="AV18" s="643"/>
      <c r="AW18" s="643"/>
      <c r="AX18" s="655"/>
      <c r="AY18" s="293"/>
      <c r="AZ18" s="293"/>
      <c r="BA18" s="293"/>
      <c r="BB18" s="293"/>
      <c r="BD18" s="662"/>
      <c r="BE18" s="662"/>
      <c r="BF18" s="66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465"/>
      <c r="B19" s="7"/>
      <c r="C19" s="865">
        <v>7.1156199999999998</v>
      </c>
      <c r="D19" s="866" t="s">
        <v>1661</v>
      </c>
      <c r="E19" s="867" t="s">
        <v>1180</v>
      </c>
      <c r="F19" s="868" t="s">
        <v>1677</v>
      </c>
      <c r="G19" s="869" t="s">
        <v>1658</v>
      </c>
      <c r="H19" s="870" t="s">
        <v>1676</v>
      </c>
      <c r="I19" s="871" t="s">
        <v>1180</v>
      </c>
      <c r="J19" s="102">
        <v>190.06</v>
      </c>
      <c r="K19" s="103">
        <v>384.23</v>
      </c>
      <c r="L19" s="104">
        <v>40.04</v>
      </c>
      <c r="M19" s="106" t="s">
        <v>1681</v>
      </c>
      <c r="N19" s="105" t="s">
        <v>1659</v>
      </c>
      <c r="O19" s="344" t="s">
        <v>1180</v>
      </c>
      <c r="P19" s="872">
        <v>2</v>
      </c>
      <c r="Q19" s="873" t="s">
        <v>1180</v>
      </c>
      <c r="R19" s="874" t="e">
        <f>IF(AND(ISBLANK(P19),ISTEXT(Q19)),"t1?",IF(AND(ISBLANK(Q19),ISBLANK(P19)),"",VLOOKUP(BD19,Materialliste!$A$2:$B$1477,2,FALSE)))</f>
        <v>#N/A</v>
      </c>
      <c r="S19" s="872">
        <v>2</v>
      </c>
      <c r="T19" s="875" t="s">
        <v>1684</v>
      </c>
      <c r="U19" s="874" t="e">
        <f>IF(AND(ISBLANK(S19),ISTEXT(T19)),"t2?",IF(AND(ISBLANK(T19),ISBLANK(S19)),"",VLOOKUP(BE19,Materialliste!$A$2:$B$1477,2,FALSE)))</f>
        <v>#N/A</v>
      </c>
      <c r="V19" s="872"/>
      <c r="W19" s="875"/>
      <c r="X19" s="876" t="str">
        <f>IF(AND(ISBLANK(V19),ISTEXT(W19)),"t3?",IF(AND(ISBLANK(W19),ISBLANK(V19)),"",VLOOKUP(BF19,Materialliste!$A$2:$B$1477,2,FALSE)))</f>
        <v/>
      </c>
      <c r="Y19" s="877" t="s">
        <v>1645</v>
      </c>
      <c r="Z19" s="878">
        <f t="shared" ref="Z19:Z33" si="0">IF($E$6="DE",IF(P19*S19&gt;0,0.8*BJ19+0.2*BI19,"BLECH?"),IF(P19*S19&gt;0,0.8*BJ19+0.2*BI19,"Sheet?"))</f>
        <v>2</v>
      </c>
      <c r="AA19" s="879" t="str">
        <f>IF(AND(ISNUMBER(R19),ISNUMBER(U19)),IF(ISTEXT(X19),(R19+U19)/(220*3*10)+0.9,(R19+U19+X19)/(220*3*10)+0.9),"?Re")</f>
        <v>?Re</v>
      </c>
      <c r="AB19" s="880"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1" t="e">
        <f t="shared" ref="AC19:AC33" si="2">IF(OR(G19="C",G19="X"),IF(Z19="BLECH?","",IF(AND(BS19=TRUE,BU19=TRUE),IF(Z19&lt;=2,((1.13*Z19+7.1+BT19)+(1.13*Z19+7.1+BV19))/2*BR19,((1.5*Z19+5.8+BT19)+(1.5*Z19+5.8+BV19))/2*BR19),IF(Z19&lt;=2,(1.13*Z19+7.1+BT19+BV19)*BR19,(1.5*Z19+5.8+BT19+BV19)*BR19))),IF(OR(G19="B",G19="S"),"6",IF(G19="R","7",IF(G19="M","4,3",""))))</f>
        <v>#N/A</v>
      </c>
      <c r="AD19" s="882" t="e">
        <f t="shared" ref="AD19:AD33" si="3">IF(OR(G19="C",G19="X"),IF(Z19="BLECH?","",MIN((((P19+S19+V19-1.4)*(600/4.6))+200)+BP19,900)),IF(G19="B","60",IF(G19="R","150",IF(G19="S","90",IF(G19="m","350","")))))</f>
        <v>#N/A</v>
      </c>
      <c r="AE19" s="883" t="e">
        <f t="shared" ref="AE19:AE33" si="4">IF(OR(G19="C",G19="X"),AB19*BQ19,AB19)</f>
        <v>#VALUE!</v>
      </c>
      <c r="AF19" s="884">
        <f>IF(G19="S","-",IF(OR(G19="M",G19="B"),1.6,IF(P19=0,"",3.5*SQRT(MIN(P19,S19)))))</f>
        <v>4.9497474683058327</v>
      </c>
      <c r="AG19" s="885" t="str">
        <f>IF(V19&gt;0,(IF(G19="S","-",IF(OR(G19="M",G19="B"),1.6,3.5*SQRT(MIN(S19,V19))))),"")</f>
        <v/>
      </c>
      <c r="AH19" s="886" t="e">
        <f t="shared" ref="AH19:AH33" si="5">IF(AND($AN$35="Ja",ISTEXT($AG$37),ISNUMBER($AL$37)),CG19,CC19)</f>
        <v>#VALUE!</v>
      </c>
      <c r="AI19" s="887">
        <f>IF(ISBLANK(G19),"",IF(ISNUMBER($AK$8),$AK$8,IF(G19="R",0,IF(G19="S",4,IF(G19="M",5,IF(G19="B",8,IF(Z19&gt;=2,8,6)))))))</f>
        <v>8</v>
      </c>
      <c r="AJ19" s="887">
        <f>IF(ISBLANK(G19),"",IF(ISNUMBER($AL$8),$AL$8,IF(G19="R",8,IF(G19="S",50,IF(G19="M",15,IF(G19="B",0,50))))))</f>
        <v>50</v>
      </c>
      <c r="AK19" s="887">
        <f>IF(ISBLANK(G19),"",IF(ISNUMBER($AM$8),$AM$8,IF(G19="R",0,IF(G19="S","-",IF(G19="M",5,IF(G19="B",8,IF(Z19&gt;=2,8,6)))))))</f>
        <v>8</v>
      </c>
      <c r="AL19" s="888">
        <f>IF(ISBLANK(G19),"",IF(ISNUMBER($AN$8),$AN$8,IF(G19="R",8,IF(G19="S","-",IF(G19="M",15,IF(G19="B",0,50))))))</f>
        <v>50</v>
      </c>
      <c r="AM19" s="889"/>
      <c r="AN19" s="890"/>
      <c r="AO19" s="891"/>
      <c r="AP19" s="892" t="s">
        <v>1653</v>
      </c>
      <c r="AQ19" s="892"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5"/>
      <c r="B20" s="7"/>
      <c r="C20" s="893">
        <v>7.1156300000000003</v>
      </c>
      <c r="D20" s="894" t="s">
        <v>1662</v>
      </c>
      <c r="E20" s="895" t="s">
        <v>1180</v>
      </c>
      <c r="F20" s="896" t="s">
        <v>1677</v>
      </c>
      <c r="G20" s="897" t="s">
        <v>1658</v>
      </c>
      <c r="H20" s="898" t="s">
        <v>1676</v>
      </c>
      <c r="I20" s="899" t="s">
        <v>1180</v>
      </c>
      <c r="J20" s="110">
        <v>187.21</v>
      </c>
      <c r="K20" s="109">
        <v>386.51</v>
      </c>
      <c r="L20" s="107">
        <v>25.5</v>
      </c>
      <c r="M20" s="106" t="s">
        <v>1681</v>
      </c>
      <c r="N20" s="105" t="s">
        <v>1659</v>
      </c>
      <c r="O20" s="345" t="s">
        <v>1180</v>
      </c>
      <c r="P20" s="312">
        <v>2</v>
      </c>
      <c r="Q20" s="900" t="s">
        <v>1180</v>
      </c>
      <c r="R20" s="901" t="e">
        <f>IF(AND(ISBLANK(P20),ISTEXT(Q20)),"t1?",IF(AND(ISBLANK(Q20),ISBLANK(P20)),"",VLOOKUP(BD20,Materialliste!$A$2:$B$1477,2,FALSE)))</f>
        <v>#N/A</v>
      </c>
      <c r="S20" s="312">
        <v>2</v>
      </c>
      <c r="T20" s="902" t="s">
        <v>1684</v>
      </c>
      <c r="U20" s="903" t="e">
        <f>IF(AND(ISBLANK(S20),ISTEXT(T20)),"t2?",IF(AND(ISBLANK(T20),ISBLANK(S20)),"",VLOOKUP(BE20,Materialliste!$A$2:$B$1477,2,FALSE)))</f>
        <v>#N/A</v>
      </c>
      <c r="V20" s="312"/>
      <c r="W20" s="902"/>
      <c r="X20" s="903" t="str">
        <f>IF(AND(ISBLANK(V20),ISTEXT(W20)),"t3?",IF(AND(ISBLANK(W20),ISBLANK(V20)),"",VLOOKUP(BF20,Materialliste!$A$2:$B$1477,2,FALSE)))</f>
        <v/>
      </c>
      <c r="Y20" s="315" t="s">
        <v>1645</v>
      </c>
      <c r="Z20" s="904">
        <f t="shared" si="0"/>
        <v>2</v>
      </c>
      <c r="AA20" s="905" t="str">
        <f t="shared" ref="AA20:AA33" si="14">IF(AND(ISNUMBER(R20),ISNUMBER(U20)),IF(ISTEXT(X20),(R20+U20)/(220*3*10)+0.9,(R20+U20+X20)/(220*3*10)+0.9),"?Re")</f>
        <v>?Re</v>
      </c>
      <c r="AB20" s="906" t="e">
        <f t="shared" si="1"/>
        <v>#VALUE!</v>
      </c>
      <c r="AC20" s="907" t="e">
        <f t="shared" si="2"/>
        <v>#N/A</v>
      </c>
      <c r="AD20" s="882" t="e">
        <f t="shared" si="3"/>
        <v>#N/A</v>
      </c>
      <c r="AE20" s="908" t="e">
        <f t="shared" si="4"/>
        <v>#VALUE!</v>
      </c>
      <c r="AF20" s="909">
        <f t="shared" ref="AF20:AF33" si="15">IF(G20="S","-",IF(OR(G20="M",G20="B"),1.6,IF(P20=0,"",3.5*SQRT(MIN(P20,S20)))))</f>
        <v>4.9497474683058327</v>
      </c>
      <c r="AG20" s="910" t="str">
        <f t="shared" ref="AG20:AG33" si="16">IF(V20&gt;0,(IF(G20="S","-",IF(OR(G20="M",G20="B"),1.6,3.5*SQRT(MIN(S20,V20))))),"")</f>
        <v/>
      </c>
      <c r="AH20" s="886" t="e">
        <f t="shared" si="5"/>
        <v>#VALUE!</v>
      </c>
      <c r="AI20" s="911">
        <f t="shared" ref="AI20:AI33" si="17">IF(ISBLANK(G20),"",IF(ISNUMBER($AK$8),$AK$8,IF(G20="R",0,IF(G20="S",4,IF(G20="M",5,IF(G20="B",8,IF(Z20&gt;=2,8,6)))))))</f>
        <v>8</v>
      </c>
      <c r="AJ20" s="911">
        <f t="shared" ref="AJ20:AJ33" si="18">IF(ISBLANK(G20),"",IF(ISNUMBER($AL$8),$AL$8,IF(G20="R",8,IF(G20="S",50,IF(G20="M",15,IF(G20="B",0,50))))))</f>
        <v>50</v>
      </c>
      <c r="AK20" s="911">
        <f t="shared" ref="AK20:AK33" si="19">IF(ISBLANK(G20),"",IF(ISNUMBER($AM$8),$AM$8,IF(G20="R",0,IF(G20="S","-",IF(G20="M",5,IF(G20="B",8,IF(Z20&gt;=2,8,6)))))))</f>
        <v>8</v>
      </c>
      <c r="AL20" s="912">
        <f t="shared" ref="AL20:AL33" si="20">IF(ISBLANK(G20),"",IF(ISNUMBER($AN$8),$AN$8,IF(G20="R",8,IF(G20="S","-",IF(G20="M",15,IF(G20="B",0,50))))))</f>
        <v>50</v>
      </c>
      <c r="AM20" s="913" t="s">
        <v>1655</v>
      </c>
      <c r="AN20" s="914"/>
      <c r="AO20" s="915"/>
      <c r="AP20" s="916" t="s">
        <v>1653</v>
      </c>
      <c r="AQ20" s="916" t="s">
        <v>1653</v>
      </c>
      <c r="AR20" s="294"/>
      <c r="AS20" s="294"/>
      <c r="AT20" s="294"/>
      <c r="AU20" s="294"/>
      <c r="AV20" s="294"/>
      <c r="AW20" s="294"/>
      <c r="AX20" s="296"/>
      <c r="AY20" s="293"/>
      <c r="AZ20" s="293"/>
      <c r="BA20" s="293"/>
      <c r="BB20" s="293"/>
      <c r="BD20" s="34" t="str">
        <f t="shared" si="6"/>
        <v>-</v>
      </c>
      <c r="BE20" s="34" t="str">
        <f t="shared" si="7"/>
        <v>HX420LAD + Z100-M-B</v>
      </c>
      <c r="BF20" s="34">
        <f t="shared" si="8"/>
        <v>0</v>
      </c>
      <c r="BI20" s="10">
        <f t="shared" si="9"/>
        <v>2</v>
      </c>
      <c r="BJ20" s="11">
        <f t="shared" ref="BJ20:BJ33" si="21">LARGE(BK20:BM20,2)</f>
        <v>2</v>
      </c>
      <c r="BK20" s="10">
        <f t="shared" si="10"/>
        <v>2</v>
      </c>
      <c r="BL20" s="10">
        <f t="shared" si="11"/>
        <v>2</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465"/>
      <c r="B21" s="7"/>
      <c r="C21" s="893">
        <v>7.11564</v>
      </c>
      <c r="D21" s="894" t="s">
        <v>1663</v>
      </c>
      <c r="E21" s="895" t="s">
        <v>1180</v>
      </c>
      <c r="F21" s="896" t="s">
        <v>1677</v>
      </c>
      <c r="G21" s="897" t="s">
        <v>1658</v>
      </c>
      <c r="H21" s="898" t="s">
        <v>1676</v>
      </c>
      <c r="I21" s="899" t="s">
        <v>1180</v>
      </c>
      <c r="J21" s="110">
        <v>178.71</v>
      </c>
      <c r="K21" s="109">
        <v>386.51</v>
      </c>
      <c r="L21" s="107">
        <v>30.94</v>
      </c>
      <c r="M21" s="101" t="s">
        <v>1681</v>
      </c>
      <c r="N21" s="100" t="s">
        <v>1659</v>
      </c>
      <c r="O21" s="345" t="s">
        <v>1180</v>
      </c>
      <c r="P21" s="312">
        <v>2</v>
      </c>
      <c r="Q21" s="900" t="s">
        <v>1180</v>
      </c>
      <c r="R21" s="917" t="e">
        <f>IF(AND(ISBLANK(P21),ISTEXT(Q21)),"t1?",IF(AND(ISBLANK(Q21),ISBLANK(P21)),"",VLOOKUP(BD21,Materialliste!$A$2:$B$1477,2,FALSE)))</f>
        <v>#N/A</v>
      </c>
      <c r="S21" s="312">
        <v>2</v>
      </c>
      <c r="T21" s="902" t="s">
        <v>1684</v>
      </c>
      <c r="U21" s="917" t="e">
        <f>IF(AND(ISBLANK(S21),ISTEXT(T21)),"t2?",IF(AND(ISBLANK(T21),ISBLANK(S21)),"",VLOOKUP(BE21,Materialliste!$A$2:$B$1477,2,FALSE)))</f>
        <v>#N/A</v>
      </c>
      <c r="V21" s="312"/>
      <c r="W21" s="902"/>
      <c r="X21" s="917" t="str">
        <f>IF(AND(ISBLANK(V21),ISTEXT(W21)),"t3?",IF(AND(ISBLANK(W21),ISBLANK(V21)),"",VLOOKUP(BF21,Materialliste!$A$2:$B$1477,2,FALSE)))</f>
        <v/>
      </c>
      <c r="Y21" s="315" t="s">
        <v>1645</v>
      </c>
      <c r="Z21" s="904">
        <f t="shared" si="0"/>
        <v>2</v>
      </c>
      <c r="AA21" s="905" t="str">
        <f t="shared" si="14"/>
        <v>?Re</v>
      </c>
      <c r="AB21" s="906" t="e">
        <f t="shared" si="1"/>
        <v>#VALUE!</v>
      </c>
      <c r="AC21" s="907" t="e">
        <f t="shared" si="2"/>
        <v>#N/A</v>
      </c>
      <c r="AD21" s="882" t="e">
        <f t="shared" si="3"/>
        <v>#N/A</v>
      </c>
      <c r="AE21" s="908" t="e">
        <f t="shared" si="4"/>
        <v>#VALUE!</v>
      </c>
      <c r="AF21" s="909">
        <f t="shared" si="15"/>
        <v>4.9497474683058327</v>
      </c>
      <c r="AG21" s="910" t="str">
        <f t="shared" si="16"/>
        <v/>
      </c>
      <c r="AH21" s="886" t="e">
        <f t="shared" si="5"/>
        <v>#VALUE!</v>
      </c>
      <c r="AI21" s="911">
        <f t="shared" si="17"/>
        <v>8</v>
      </c>
      <c r="AJ21" s="911">
        <f t="shared" si="18"/>
        <v>50</v>
      </c>
      <c r="AK21" s="911">
        <f t="shared" si="19"/>
        <v>8</v>
      </c>
      <c r="AL21" s="912">
        <f t="shared" si="20"/>
        <v>50</v>
      </c>
      <c r="AM21" s="913"/>
      <c r="AN21" s="914"/>
      <c r="AO21" s="915"/>
      <c r="AP21" s="916" t="s">
        <v>1653</v>
      </c>
      <c r="AQ21" s="916"/>
      <c r="AR21" s="294"/>
      <c r="AS21" s="294"/>
      <c r="AT21" s="294"/>
      <c r="AU21" s="294"/>
      <c r="AV21" s="294"/>
      <c r="AW21" s="294"/>
      <c r="AX21" s="296"/>
      <c r="AY21" s="293"/>
      <c r="AZ21" s="293"/>
      <c r="BA21" s="293"/>
      <c r="BB21" s="293"/>
      <c r="BD21" s="34" t="str">
        <f t="shared" si="6"/>
        <v>-</v>
      </c>
      <c r="BE21" s="34" t="str">
        <f t="shared" si="7"/>
        <v>HX420LAD + Z100-M-B</v>
      </c>
      <c r="BF21" s="34">
        <f t="shared" si="8"/>
        <v>0</v>
      </c>
      <c r="BI21" s="10">
        <f t="shared" si="9"/>
        <v>2</v>
      </c>
      <c r="BJ21" s="11">
        <f t="shared" si="21"/>
        <v>2</v>
      </c>
      <c r="BK21" s="10">
        <f t="shared" si="10"/>
        <v>2</v>
      </c>
      <c r="BL21" s="10">
        <f t="shared" si="11"/>
        <v>2</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465"/>
      <c r="B22" s="7"/>
      <c r="C22" s="893">
        <v>7.1156499999999996</v>
      </c>
      <c r="D22" s="894" t="s">
        <v>1664</v>
      </c>
      <c r="E22" s="895" t="s">
        <v>1180</v>
      </c>
      <c r="F22" s="896" t="s">
        <v>1677</v>
      </c>
      <c r="G22" s="897" t="s">
        <v>1658</v>
      </c>
      <c r="H22" s="898" t="s">
        <v>1676</v>
      </c>
      <c r="I22" s="899" t="s">
        <v>1180</v>
      </c>
      <c r="J22" s="110">
        <v>151.38999999999999</v>
      </c>
      <c r="K22" s="109">
        <v>384.41</v>
      </c>
      <c r="L22" s="107">
        <v>47.89</v>
      </c>
      <c r="M22" s="101" t="s">
        <v>1681</v>
      </c>
      <c r="N22" s="100" t="s">
        <v>1682</v>
      </c>
      <c r="O22" s="345" t="s">
        <v>1659</v>
      </c>
      <c r="P22" s="312">
        <v>2</v>
      </c>
      <c r="Q22" s="900" t="s">
        <v>1180</v>
      </c>
      <c r="R22" s="917" t="e">
        <f>IF(AND(ISBLANK(P22),ISTEXT(Q22)),"t1?",IF(AND(ISBLANK(Q22),ISBLANK(P22)),"",VLOOKUP(BD22,Materialliste!$A$2:$B$1477,2,FALSE)))</f>
        <v>#N/A</v>
      </c>
      <c r="S22" s="312">
        <v>2.1</v>
      </c>
      <c r="T22" s="900" t="s">
        <v>1180</v>
      </c>
      <c r="U22" s="917" t="e">
        <f>IF(AND(ISBLANK(S22),ISTEXT(T22)),"t2?",IF(AND(ISBLANK(T22),ISBLANK(S22)),"",VLOOKUP(BE22,Materialliste!$A$2:$B$1477,2,FALSE)))</f>
        <v>#N/A</v>
      </c>
      <c r="V22" s="312">
        <v>2</v>
      </c>
      <c r="W22" s="918" t="s">
        <v>1684</v>
      </c>
      <c r="X22" s="917" t="e">
        <f>IF(AND(ISBLANK(V22),ISTEXT(W22)),"t3?",IF(AND(ISBLANK(W22),ISBLANK(V22)),"",VLOOKUP(BF22,Materialliste!$A$2:$B$1477,2,FALSE)))</f>
        <v>#N/A</v>
      </c>
      <c r="Y22" s="315" t="s">
        <v>1645</v>
      </c>
      <c r="Z22" s="904">
        <f t="shared" si="0"/>
        <v>2.02</v>
      </c>
      <c r="AA22" s="905" t="str">
        <f t="shared" si="14"/>
        <v>?Re</v>
      </c>
      <c r="AB22" s="906" t="e">
        <f t="shared" si="1"/>
        <v>#VALUE!</v>
      </c>
      <c r="AC22" s="907" t="e">
        <f t="shared" si="2"/>
        <v>#N/A</v>
      </c>
      <c r="AD22" s="882" t="e">
        <f t="shared" si="3"/>
        <v>#N/A</v>
      </c>
      <c r="AE22" s="908" t="e">
        <f t="shared" si="4"/>
        <v>#VALUE!</v>
      </c>
      <c r="AF22" s="909">
        <f t="shared" si="15"/>
        <v>4.9497474683058327</v>
      </c>
      <c r="AG22" s="910">
        <f t="shared" si="16"/>
        <v>4.9497474683058327</v>
      </c>
      <c r="AH22" s="886" t="e">
        <f t="shared" si="5"/>
        <v>#VALUE!</v>
      </c>
      <c r="AI22" s="911">
        <f t="shared" si="17"/>
        <v>8</v>
      </c>
      <c r="AJ22" s="911">
        <f t="shared" si="18"/>
        <v>50</v>
      </c>
      <c r="AK22" s="911">
        <f t="shared" si="19"/>
        <v>8</v>
      </c>
      <c r="AL22" s="912">
        <f t="shared" si="20"/>
        <v>50</v>
      </c>
      <c r="AM22" s="913"/>
      <c r="AN22" s="914"/>
      <c r="AO22" s="915"/>
      <c r="AP22" s="916" t="s">
        <v>1653</v>
      </c>
      <c r="AQ22" s="916"/>
      <c r="AR22" s="294"/>
      <c r="AS22" s="294"/>
      <c r="AT22" s="294"/>
      <c r="AU22" s="294"/>
      <c r="AV22" s="294"/>
      <c r="AW22" s="294"/>
      <c r="AX22" s="296"/>
      <c r="AY22" s="293"/>
      <c r="AZ22" s="293"/>
      <c r="BA22" s="293"/>
      <c r="BB22" s="293"/>
      <c r="BD22" s="34" t="str">
        <f t="shared" si="6"/>
        <v>-</v>
      </c>
      <c r="BE22" s="34" t="str">
        <f t="shared" si="7"/>
        <v>-</v>
      </c>
      <c r="BF22" s="34" t="str">
        <f t="shared" si="8"/>
        <v>HX420LAD + Z100-M-B</v>
      </c>
      <c r="BI22" s="10">
        <f t="shared" si="9"/>
        <v>2.1</v>
      </c>
      <c r="BJ22" s="11">
        <f t="shared" si="21"/>
        <v>2</v>
      </c>
      <c r="BK22" s="10">
        <f t="shared" si="10"/>
        <v>2</v>
      </c>
      <c r="BL22" s="10">
        <f t="shared" si="11"/>
        <v>2.1</v>
      </c>
      <c r="BM22" s="10">
        <f t="shared" si="12"/>
        <v>2</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465"/>
      <c r="B23" s="7"/>
      <c r="C23" s="893">
        <v>7.1156600000000001</v>
      </c>
      <c r="D23" s="894" t="s">
        <v>1665</v>
      </c>
      <c r="E23" s="895" t="s">
        <v>1180</v>
      </c>
      <c r="F23" s="896" t="s">
        <v>1677</v>
      </c>
      <c r="G23" s="897" t="s">
        <v>1658</v>
      </c>
      <c r="H23" s="898" t="s">
        <v>1676</v>
      </c>
      <c r="I23" s="899" t="s">
        <v>1180</v>
      </c>
      <c r="J23" s="110">
        <v>148.05000000000001</v>
      </c>
      <c r="K23" s="109">
        <v>382.54</v>
      </c>
      <c r="L23" s="107">
        <v>63.52</v>
      </c>
      <c r="M23" s="100" t="s">
        <v>1681</v>
      </c>
      <c r="N23" s="100" t="s">
        <v>1682</v>
      </c>
      <c r="O23" s="346" t="s">
        <v>1659</v>
      </c>
      <c r="P23" s="312">
        <v>2</v>
      </c>
      <c r="Q23" s="900" t="s">
        <v>1180</v>
      </c>
      <c r="R23" s="917" t="e">
        <f>IF(AND(ISBLANK(P23),ISTEXT(Q23)),"t1?",IF(AND(ISBLANK(Q23),ISBLANK(P23)),"",VLOOKUP(BD23,Materialliste!$A$2:$B$1477,2,FALSE)))</f>
        <v>#N/A</v>
      </c>
      <c r="S23" s="312">
        <v>2.1</v>
      </c>
      <c r="T23" s="900" t="s">
        <v>1180</v>
      </c>
      <c r="U23" s="917" t="e">
        <f>IF(AND(ISBLANK(S23),ISTEXT(T23)),"t2?",IF(AND(ISBLANK(T23),ISBLANK(S23)),"",VLOOKUP(BE23,Materialliste!$A$2:$B$1477,2,FALSE)))</f>
        <v>#N/A</v>
      </c>
      <c r="V23" s="312">
        <v>2</v>
      </c>
      <c r="W23" s="918" t="s">
        <v>1684</v>
      </c>
      <c r="X23" s="917" t="e">
        <f>IF(AND(ISBLANK(V23),ISTEXT(W23)),"t3?",IF(AND(ISBLANK(W23),ISBLANK(V23)),"",VLOOKUP(BF23,Materialliste!$A$2:$B$1477,2,FALSE)))</f>
        <v>#N/A</v>
      </c>
      <c r="Y23" s="315" t="s">
        <v>1645</v>
      </c>
      <c r="Z23" s="904">
        <f t="shared" si="0"/>
        <v>2.02</v>
      </c>
      <c r="AA23" s="905" t="str">
        <f t="shared" si="14"/>
        <v>?Re</v>
      </c>
      <c r="AB23" s="906" t="e">
        <f t="shared" si="1"/>
        <v>#VALUE!</v>
      </c>
      <c r="AC23" s="907" t="e">
        <f t="shared" si="2"/>
        <v>#N/A</v>
      </c>
      <c r="AD23" s="882" t="e">
        <f t="shared" si="3"/>
        <v>#N/A</v>
      </c>
      <c r="AE23" s="908" t="e">
        <f t="shared" si="4"/>
        <v>#VALUE!</v>
      </c>
      <c r="AF23" s="909">
        <f t="shared" si="15"/>
        <v>4.9497474683058327</v>
      </c>
      <c r="AG23" s="910">
        <f t="shared" si="16"/>
        <v>4.9497474683058327</v>
      </c>
      <c r="AH23" s="886" t="e">
        <f t="shared" si="5"/>
        <v>#VALUE!</v>
      </c>
      <c r="AI23" s="911">
        <f t="shared" si="17"/>
        <v>8</v>
      </c>
      <c r="AJ23" s="911">
        <f t="shared" si="18"/>
        <v>50</v>
      </c>
      <c r="AK23" s="911">
        <f t="shared" si="19"/>
        <v>8</v>
      </c>
      <c r="AL23" s="912">
        <f t="shared" si="20"/>
        <v>50</v>
      </c>
      <c r="AM23" s="913"/>
      <c r="AN23" s="914"/>
      <c r="AO23" s="915"/>
      <c r="AP23" s="916" t="s">
        <v>1653</v>
      </c>
      <c r="AQ23" s="916"/>
      <c r="AR23" s="294"/>
      <c r="AS23" s="294"/>
      <c r="AT23" s="294"/>
      <c r="AU23" s="294"/>
      <c r="AV23" s="294"/>
      <c r="AW23" s="294"/>
      <c r="AX23" s="296"/>
      <c r="AY23" s="293"/>
      <c r="AZ23" s="293"/>
      <c r="BA23" s="293"/>
      <c r="BB23" s="293"/>
      <c r="BD23" s="34" t="str">
        <f t="shared" si="6"/>
        <v>-</v>
      </c>
      <c r="BE23" s="34" t="str">
        <f t="shared" si="7"/>
        <v>-</v>
      </c>
      <c r="BF23" s="34" t="str">
        <f t="shared" si="8"/>
        <v>HX420LAD + Z100-M-B</v>
      </c>
      <c r="BI23" s="10">
        <f t="shared" si="9"/>
        <v>2.1</v>
      </c>
      <c r="BJ23" s="11">
        <f>LARGE(BK23:BM23,2)</f>
        <v>2</v>
      </c>
      <c r="BK23" s="10">
        <f t="shared" si="10"/>
        <v>2</v>
      </c>
      <c r="BL23" s="10">
        <f t="shared" si="11"/>
        <v>2.1</v>
      </c>
      <c r="BM23" s="10">
        <f t="shared" si="12"/>
        <v>2</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465"/>
      <c r="B24" s="7"/>
      <c r="C24" s="893">
        <v>7.1156699999999997</v>
      </c>
      <c r="D24" s="894" t="s">
        <v>1666</v>
      </c>
      <c r="E24" s="895" t="s">
        <v>1180</v>
      </c>
      <c r="F24" s="896" t="s">
        <v>1677</v>
      </c>
      <c r="G24" s="897" t="s">
        <v>1658</v>
      </c>
      <c r="H24" s="898" t="s">
        <v>1676</v>
      </c>
      <c r="I24" s="899" t="s">
        <v>1180</v>
      </c>
      <c r="J24" s="110">
        <v>122.55</v>
      </c>
      <c r="K24" s="109">
        <v>384.59</v>
      </c>
      <c r="L24" s="107">
        <v>66.489999999999995</v>
      </c>
      <c r="M24" s="100" t="s">
        <v>1681</v>
      </c>
      <c r="N24" s="100" t="s">
        <v>1682</v>
      </c>
      <c r="O24" s="346" t="s">
        <v>1659</v>
      </c>
      <c r="P24" s="312">
        <v>2</v>
      </c>
      <c r="Q24" s="900" t="s">
        <v>1180</v>
      </c>
      <c r="R24" s="917" t="e">
        <f>IF(AND(ISBLANK(P24),ISTEXT(Q24)),"t1?",IF(AND(ISBLANK(Q24),ISBLANK(P24)),"",VLOOKUP(BD24,Materialliste!$A$2:$B$1477,2,FALSE)))</f>
        <v>#N/A</v>
      </c>
      <c r="S24" s="312">
        <v>2.1</v>
      </c>
      <c r="T24" s="900" t="s">
        <v>1180</v>
      </c>
      <c r="U24" s="917" t="e">
        <f>IF(AND(ISBLANK(S24),ISTEXT(T24)),"t2?",IF(AND(ISBLANK(T24),ISBLANK(S24)),"",VLOOKUP(BE24,Materialliste!$A$2:$B$1477,2,FALSE)))</f>
        <v>#N/A</v>
      </c>
      <c r="V24" s="312">
        <v>2</v>
      </c>
      <c r="W24" s="918" t="s">
        <v>1684</v>
      </c>
      <c r="X24" s="917" t="e">
        <f>IF(AND(ISBLANK(V24),ISTEXT(W24)),"t3?",IF(AND(ISBLANK(W24),ISBLANK(V24)),"",VLOOKUP(BF24,Materialliste!$A$2:$B$1477,2,FALSE)))</f>
        <v>#N/A</v>
      </c>
      <c r="Y24" s="315" t="s">
        <v>1645</v>
      </c>
      <c r="Z24" s="904">
        <f t="shared" si="0"/>
        <v>2.02</v>
      </c>
      <c r="AA24" s="905" t="str">
        <f t="shared" si="14"/>
        <v>?Re</v>
      </c>
      <c r="AB24" s="906" t="e">
        <f t="shared" si="1"/>
        <v>#VALUE!</v>
      </c>
      <c r="AC24" s="907" t="e">
        <f t="shared" si="2"/>
        <v>#N/A</v>
      </c>
      <c r="AD24" s="882" t="e">
        <f t="shared" si="3"/>
        <v>#N/A</v>
      </c>
      <c r="AE24" s="908" t="e">
        <f t="shared" si="4"/>
        <v>#VALUE!</v>
      </c>
      <c r="AF24" s="909">
        <f t="shared" si="15"/>
        <v>4.9497474683058327</v>
      </c>
      <c r="AG24" s="910">
        <f t="shared" si="16"/>
        <v>4.9497474683058327</v>
      </c>
      <c r="AH24" s="886" t="e">
        <f t="shared" si="5"/>
        <v>#VALUE!</v>
      </c>
      <c r="AI24" s="911">
        <f t="shared" si="17"/>
        <v>8</v>
      </c>
      <c r="AJ24" s="911">
        <f t="shared" si="18"/>
        <v>50</v>
      </c>
      <c r="AK24" s="911">
        <f t="shared" si="19"/>
        <v>8</v>
      </c>
      <c r="AL24" s="912">
        <f t="shared" si="20"/>
        <v>50</v>
      </c>
      <c r="AM24" s="913"/>
      <c r="AN24" s="914"/>
      <c r="AO24" s="915"/>
      <c r="AP24" s="916" t="s">
        <v>1653</v>
      </c>
      <c r="AQ24" s="916"/>
      <c r="AR24" s="294"/>
      <c r="AS24" s="294"/>
      <c r="AT24" s="294"/>
      <c r="AU24" s="294"/>
      <c r="AV24" s="294"/>
      <c r="AW24" s="294"/>
      <c r="AX24" s="296"/>
      <c r="AY24" s="293"/>
      <c r="AZ24" s="293"/>
      <c r="BA24" s="293"/>
      <c r="BB24" s="293"/>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465"/>
      <c r="B25" s="7"/>
      <c r="C25" s="893">
        <v>7.1156800000000002</v>
      </c>
      <c r="D25" s="894" t="s">
        <v>1667</v>
      </c>
      <c r="E25" s="895" t="s">
        <v>1180</v>
      </c>
      <c r="F25" s="896" t="s">
        <v>1677</v>
      </c>
      <c r="G25" s="897" t="s">
        <v>1658</v>
      </c>
      <c r="H25" s="898" t="s">
        <v>1676</v>
      </c>
      <c r="I25" s="899" t="s">
        <v>1180</v>
      </c>
      <c r="J25" s="110">
        <v>117.16</v>
      </c>
      <c r="K25" s="109">
        <v>379.01</v>
      </c>
      <c r="L25" s="107">
        <v>127.48</v>
      </c>
      <c r="M25" s="100" t="s">
        <v>1681</v>
      </c>
      <c r="N25" s="100" t="s">
        <v>1682</v>
      </c>
      <c r="O25" s="346" t="s">
        <v>1674</v>
      </c>
      <c r="P25" s="312">
        <v>2</v>
      </c>
      <c r="Q25" s="900" t="s">
        <v>1180</v>
      </c>
      <c r="R25" s="917" t="e">
        <f>IF(AND(ISBLANK(P25),ISTEXT(Q25)),"t1?",IF(AND(ISBLANK(Q25),ISBLANK(P25)),"",VLOOKUP(BD25,Materialliste!$A$2:$B$1477,2,FALSE)))</f>
        <v>#N/A</v>
      </c>
      <c r="S25" s="312">
        <v>2.1</v>
      </c>
      <c r="T25" s="900" t="s">
        <v>1180</v>
      </c>
      <c r="U25" s="917" t="e">
        <f>IF(AND(ISBLANK(S25),ISTEXT(T25)),"t2?",IF(AND(ISBLANK(T25),ISBLANK(S25)),"",VLOOKUP(BE25,Materialliste!$A$2:$B$1477,2,FALSE)))</f>
        <v>#N/A</v>
      </c>
      <c r="V25" s="312">
        <v>1.5</v>
      </c>
      <c r="W25" s="919" t="s">
        <v>1180</v>
      </c>
      <c r="X25" s="917" t="e">
        <f>IF(AND(ISBLANK(V25),ISTEXT(W25)),"t3?",IF(AND(ISBLANK(W25),ISBLANK(V25)),"",VLOOKUP(BF25,Materialliste!$A$2:$B$1477,2,FALSE)))</f>
        <v>#N/A</v>
      </c>
      <c r="Y25" s="315" t="s">
        <v>1645</v>
      </c>
      <c r="Z25" s="904">
        <f t="shared" ref="Z25:Z31" si="31">IF($E$6="DE",IF(P25*S25&gt;0,0.8*BJ25+0.2*BI25,"BLECH?"),IF(P25*S25&gt;0,0.8*BJ25+0.2*BI25,"Sheet?"))</f>
        <v>2.02</v>
      </c>
      <c r="AA25" s="905" t="str">
        <f t="shared" ref="AA25" si="32">IF(AND(ISNUMBER(R25),ISNUMBER(U25)),IF(ISTEXT(X25),(R25+U25)/(220*3*10)+0.9,(R25+U25+X25)/(220*3*10)+0.9),"?Re")</f>
        <v>?Re</v>
      </c>
      <c r="AB25" s="906" t="e">
        <f t="shared" ref="AB25:AB31"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907" t="e">
        <f t="shared" ref="AC25:AC31" si="34">IF(OR(G25="C",G25="X"),IF(Z25="BLECH?","",IF(AND(BS25=TRUE,BU25=TRUE),IF(Z25&lt;=2,((1.13*Z25+7.1+BT25)+(1.13*Z25+7.1+BV25))/2*BR25,((1.5*Z25+5.8+BT25)+(1.5*Z25+5.8+BV25))/2*BR25),IF(Z25&lt;=2,(1.13*Z25+7.1+BT25+BV25)*BR25,(1.5*Z25+5.8+BT25+BV25)*BR25))),IF(OR(G25="B",G25="S"),"6",IF(G25="R","7",IF(G25="M","4,3",""))))</f>
        <v>#N/A</v>
      </c>
      <c r="AD25" s="882" t="e">
        <f t="shared" ref="AD25:AD31" si="35">IF(OR(G25="C",G25="X"),IF(Z25="BLECH?","",MIN((((P25+S25+V25-1.4)*(600/4.6))+200)+BP25,900)),IF(G25="B","60",IF(G25="R","150",IF(G25="S","90",IF(G25="m","350","")))))</f>
        <v>#N/A</v>
      </c>
      <c r="AE25" s="908" t="e">
        <f t="shared" ref="AE25:AE31" si="36">IF(OR(G25="C",G25="X"),AB25*BQ25,AB25)</f>
        <v>#VALUE!</v>
      </c>
      <c r="AF25" s="909">
        <f t="shared" ref="AF25" si="37">IF(G25="S","-",IF(OR(G25="M",G25="B"),1.6,IF(P25=0,"",3.5*SQRT(MIN(P25,S25)))))</f>
        <v>4.9497474683058327</v>
      </c>
      <c r="AG25" s="910">
        <f t="shared" ref="AG25" si="38">IF(V25&gt;0,(IF(G25="S","-",IF(OR(G25="M",G25="B"),1.6,3.5*SQRT(MIN(S25,V25))))),"")</f>
        <v>4.2866070498705611</v>
      </c>
      <c r="AH25" s="886" t="e">
        <f t="shared" ref="AH25:AH31" si="39">IF(AND($AN$35="Ja",ISTEXT($AG$37),ISNUMBER($AL$37)),CG25,CC25)</f>
        <v>#VALUE!</v>
      </c>
      <c r="AI25" s="911">
        <f t="shared" ref="AI25" si="40">IF(ISBLANK(G25),"",IF(ISNUMBER($AK$8),$AK$8,IF(G25="R",0,IF(G25="S",4,IF(G25="M",5,IF(G25="B",8,IF(Z25&gt;=2,8,6)))))))</f>
        <v>8</v>
      </c>
      <c r="AJ25" s="911">
        <f t="shared" ref="AJ25" si="41">IF(ISBLANK(G25),"",IF(ISNUMBER($AL$8),$AL$8,IF(G25="R",8,IF(G25="S",50,IF(G25="M",15,IF(G25="B",0,50))))))</f>
        <v>50</v>
      </c>
      <c r="AK25" s="911">
        <f t="shared" ref="AK25" si="42">IF(ISBLANK(G25),"",IF(ISNUMBER($AM$8),$AM$8,IF(G25="R",0,IF(G25="S","-",IF(G25="M",5,IF(G25="B",8,IF(Z25&gt;=2,8,6)))))))</f>
        <v>8</v>
      </c>
      <c r="AL25" s="912">
        <f t="shared" ref="AL25" si="43">IF(ISBLANK(G25),"",IF(ISNUMBER($AN$8),$AN$8,IF(G25="R",8,IF(G25="S","-",IF(G25="M",15,IF(G25="B",0,50))))))</f>
        <v>50</v>
      </c>
      <c r="AM25" s="913"/>
      <c r="AN25" s="914"/>
      <c r="AO25" s="915"/>
      <c r="AP25" s="916" t="s">
        <v>1653</v>
      </c>
      <c r="AQ25" s="916"/>
      <c r="AR25" s="294"/>
      <c r="AS25" s="294"/>
      <c r="AT25" s="294"/>
      <c r="AU25" s="294"/>
      <c r="AV25" s="294"/>
      <c r="AW25" s="294"/>
      <c r="AX25" s="296"/>
      <c r="AY25" s="293"/>
      <c r="AZ25" s="293"/>
      <c r="BA25" s="293"/>
      <c r="BB25" s="293"/>
      <c r="BD25" s="34" t="str">
        <f t="shared" si="6"/>
        <v>-</v>
      </c>
      <c r="BE25" s="34" t="str">
        <f t="shared" si="7"/>
        <v>-</v>
      </c>
      <c r="BF25" s="34" t="str">
        <f t="shared" si="8"/>
        <v>-</v>
      </c>
      <c r="BI25" s="10">
        <f t="shared" si="9"/>
        <v>2.1</v>
      </c>
      <c r="BJ25" s="11">
        <f t="shared" si="21"/>
        <v>2</v>
      </c>
      <c r="BK25" s="10">
        <f t="shared" si="10"/>
        <v>2</v>
      </c>
      <c r="BL25" s="10">
        <f t="shared" si="11"/>
        <v>2.1</v>
      </c>
      <c r="BM25" s="10">
        <f t="shared" si="12"/>
        <v>1.5</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thickBot="1">
      <c r="A26" s="465"/>
      <c r="B26" s="7"/>
      <c r="C26" s="893">
        <v>7.1156899999999998</v>
      </c>
      <c r="D26" s="866" t="s">
        <v>1668</v>
      </c>
      <c r="E26" s="867" t="s">
        <v>1180</v>
      </c>
      <c r="F26" s="868" t="s">
        <v>1677</v>
      </c>
      <c r="G26" s="869" t="s">
        <v>1658</v>
      </c>
      <c r="H26" s="870" t="s">
        <v>1676</v>
      </c>
      <c r="I26" s="871" t="s">
        <v>1180</v>
      </c>
      <c r="J26" s="102">
        <v>130.15</v>
      </c>
      <c r="K26" s="103">
        <v>376.71</v>
      </c>
      <c r="L26" s="104">
        <v>127.78</v>
      </c>
      <c r="M26" s="106" t="s">
        <v>1681</v>
      </c>
      <c r="N26" s="105" t="s">
        <v>1682</v>
      </c>
      <c r="O26" s="344" t="s">
        <v>1674</v>
      </c>
      <c r="P26" s="872">
        <v>2</v>
      </c>
      <c r="Q26" s="873" t="s">
        <v>1180</v>
      </c>
      <c r="R26" s="874" t="e">
        <f>IF(AND(ISBLANK(P26),ISTEXT(Q26)),"t1?",IF(AND(ISBLANK(Q26),ISBLANK(P26)),"",VLOOKUP(BD26,Materialliste!$A$2:$B$1477,2,FALSE)))</f>
        <v>#N/A</v>
      </c>
      <c r="S26" s="872">
        <v>2.1</v>
      </c>
      <c r="T26" s="873" t="s">
        <v>1180</v>
      </c>
      <c r="U26" s="874" t="e">
        <f>IF(AND(ISBLANK(S26),ISTEXT(T26)),"t2?",IF(AND(ISBLANK(T26),ISBLANK(S26)),"",VLOOKUP(BE26,Materialliste!$A$2:$B$1477,2,FALSE)))</f>
        <v>#N/A</v>
      </c>
      <c r="V26" s="872">
        <v>1.5</v>
      </c>
      <c r="W26" s="873" t="s">
        <v>1180</v>
      </c>
      <c r="X26" s="876" t="e">
        <f>IF(AND(ISBLANK(V26),ISTEXT(W26)),"t3?",IF(AND(ISBLANK(W26),ISBLANK(V26)),"",VLOOKUP(BF26,Materialliste!$A$2:$B$1477,2,FALSE)))</f>
        <v>#N/A</v>
      </c>
      <c r="Y26" s="877" t="s">
        <v>1645</v>
      </c>
      <c r="Z26" s="878">
        <f t="shared" si="31"/>
        <v>2.02</v>
      </c>
      <c r="AA26" s="879" t="str">
        <f>IF(AND(ISNUMBER(R26),ISNUMBER(U26)),IF(ISTEXT(X26),(R26+U26)/(220*3*10)+0.9,(R26+U26+X26)/(220*3*10)+0.9),"?Re")</f>
        <v>?Re</v>
      </c>
      <c r="AB26" s="880" t="e">
        <f t="shared" si="33"/>
        <v>#VALUE!</v>
      </c>
      <c r="AC26" s="881" t="e">
        <f t="shared" si="34"/>
        <v>#N/A</v>
      </c>
      <c r="AD26" s="882" t="e">
        <f t="shared" si="35"/>
        <v>#N/A</v>
      </c>
      <c r="AE26" s="883" t="e">
        <f t="shared" si="36"/>
        <v>#VALUE!</v>
      </c>
      <c r="AF26" s="884">
        <f>IF(G26="S","-",IF(OR(G26="M",G26="B"),1.6,IF(P26=0,"",3.5*SQRT(MIN(P26,S26)))))</f>
        <v>4.9497474683058327</v>
      </c>
      <c r="AG26" s="885">
        <f>IF(V26&gt;0,(IF(G26="S","-",IF(OR(G26="M",G26="B"),1.6,3.5*SQRT(MIN(S26,V26))))),"")</f>
        <v>4.2866070498705611</v>
      </c>
      <c r="AH26" s="886" t="e">
        <f t="shared" si="39"/>
        <v>#VALUE!</v>
      </c>
      <c r="AI26" s="887">
        <f>IF(ISBLANK(G26),"",IF(ISNUMBER($AK$8),$AK$8,IF(G26="R",0,IF(G26="S",4,IF(G26="M",5,IF(G26="B",8,IF(Z26&gt;=2,8,6)))))))</f>
        <v>8</v>
      </c>
      <c r="AJ26" s="887">
        <f>IF(ISBLANK(G26),"",IF(ISNUMBER($AL$8),$AL$8,IF(G26="R",8,IF(G26="S",50,IF(G26="M",15,IF(G26="B",0,50))))))</f>
        <v>50</v>
      </c>
      <c r="AK26" s="887">
        <f>IF(ISBLANK(G26),"",IF(ISNUMBER($AM$8),$AM$8,IF(G26="R",0,IF(G26="S","-",IF(G26="M",5,IF(G26="B",8,IF(Z26&gt;=2,8,6)))))))</f>
        <v>8</v>
      </c>
      <c r="AL26" s="888">
        <f>IF(ISBLANK(G26),"",IF(ISNUMBER($AN$8),$AN$8,IF(G26="R",8,IF(G26="S","-",IF(G26="M",15,IF(G26="B",0,50))))))</f>
        <v>50</v>
      </c>
      <c r="AM26" s="889"/>
      <c r="AN26" s="890"/>
      <c r="AO26" s="891"/>
      <c r="AP26" s="892" t="s">
        <v>1653</v>
      </c>
      <c r="AQ26" s="892" t="s">
        <v>1653</v>
      </c>
      <c r="AR26" s="294"/>
      <c r="AS26" s="294"/>
      <c r="AT26" s="294"/>
      <c r="AU26" s="294"/>
      <c r="AV26" s="294"/>
      <c r="AW26" s="294"/>
      <c r="AX26" s="296"/>
      <c r="AY26" s="293"/>
      <c r="AZ26" s="293"/>
      <c r="BA26" s="293"/>
      <c r="BB26" s="293"/>
      <c r="BD26" s="34" t="str">
        <f t="shared" si="6"/>
        <v>-</v>
      </c>
      <c r="BE26" s="34" t="str">
        <f t="shared" si="7"/>
        <v>-</v>
      </c>
      <c r="BF26" s="34" t="str">
        <f t="shared" si="8"/>
        <v>-</v>
      </c>
      <c r="BI26" s="10">
        <f t="shared" si="9"/>
        <v>2.1</v>
      </c>
      <c r="BJ26" s="11">
        <f t="shared" si="21"/>
        <v>2</v>
      </c>
      <c r="BK26" s="10">
        <f t="shared" si="10"/>
        <v>2</v>
      </c>
      <c r="BL26" s="10">
        <f t="shared" si="11"/>
        <v>2.1</v>
      </c>
      <c r="BM26" s="10">
        <f t="shared" si="12"/>
        <v>1.5</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465"/>
      <c r="B27" s="7"/>
      <c r="C27" s="920">
        <v>7.1157000000000004</v>
      </c>
      <c r="D27" s="894" t="s">
        <v>1669</v>
      </c>
      <c r="E27" s="895" t="s">
        <v>1180</v>
      </c>
      <c r="F27" s="896" t="s">
        <v>1677</v>
      </c>
      <c r="G27" s="897" t="s">
        <v>1658</v>
      </c>
      <c r="H27" s="898" t="s">
        <v>1676</v>
      </c>
      <c r="I27" s="899" t="s">
        <v>1180</v>
      </c>
      <c r="J27" s="110">
        <v>155.19</v>
      </c>
      <c r="K27" s="109">
        <v>370.12</v>
      </c>
      <c r="L27" s="107">
        <v>151.55000000000001</v>
      </c>
      <c r="M27" s="106" t="s">
        <v>1674</v>
      </c>
      <c r="N27" s="105" t="s">
        <v>1682</v>
      </c>
      <c r="O27" s="345" t="s">
        <v>1180</v>
      </c>
      <c r="P27" s="312">
        <v>1.5</v>
      </c>
      <c r="Q27" s="900" t="s">
        <v>1180</v>
      </c>
      <c r="R27" s="901" t="e">
        <f>IF(AND(ISBLANK(P27),ISTEXT(Q27)),"t1?",IF(AND(ISBLANK(Q27),ISBLANK(P27)),"",VLOOKUP(BD27,Materialliste!$A$2:$B$1477,2,FALSE)))</f>
        <v>#N/A</v>
      </c>
      <c r="S27" s="312">
        <v>2.1</v>
      </c>
      <c r="T27" s="900" t="s">
        <v>1180</v>
      </c>
      <c r="U27" s="903" t="e">
        <f>IF(AND(ISBLANK(S27),ISTEXT(T27)),"t2?",IF(AND(ISBLANK(T27),ISBLANK(S27)),"",VLOOKUP(BE27,Materialliste!$A$2:$B$1477,2,FALSE)))</f>
        <v>#N/A</v>
      </c>
      <c r="V27" s="312"/>
      <c r="W27" s="902"/>
      <c r="X27" s="903" t="str">
        <f>IF(AND(ISBLANK(V27),ISTEXT(W27)),"t3?",IF(AND(ISBLANK(W27),ISBLANK(V27)),"",VLOOKUP(BF27,Materialliste!$A$2:$B$1477,2,FALSE)))</f>
        <v/>
      </c>
      <c r="Y27" s="315" t="s">
        <v>1645</v>
      </c>
      <c r="Z27" s="904">
        <f t="shared" si="31"/>
        <v>1.62</v>
      </c>
      <c r="AA27" s="905" t="str">
        <f t="shared" ref="AA27:AA31" si="44">IF(AND(ISNUMBER(R27),ISNUMBER(U27)),IF(ISTEXT(X27),(R27+U27)/(220*3*10)+0.9,(R27+U27+X27)/(220*3*10)+0.9),"?Re")</f>
        <v>?Re</v>
      </c>
      <c r="AB27" s="906" t="e">
        <f t="shared" si="33"/>
        <v>#VALUE!</v>
      </c>
      <c r="AC27" s="907" t="e">
        <f t="shared" si="34"/>
        <v>#N/A</v>
      </c>
      <c r="AD27" s="882" t="e">
        <f t="shared" si="35"/>
        <v>#N/A</v>
      </c>
      <c r="AE27" s="908" t="e">
        <f t="shared" si="36"/>
        <v>#VALUE!</v>
      </c>
      <c r="AF27" s="909">
        <f t="shared" ref="AF27:AF31" si="45">IF(G27="S","-",IF(OR(G27="M",G27="B"),1.6,IF(P27=0,"",3.5*SQRT(MIN(P27,S27)))))</f>
        <v>4.2866070498705611</v>
      </c>
      <c r="AG27" s="910" t="str">
        <f t="shared" ref="AG27:AG31" si="46">IF(V27&gt;0,(IF(G27="S","-",IF(OR(G27="M",G27="B"),1.6,3.5*SQRT(MIN(S27,V27))))),"")</f>
        <v/>
      </c>
      <c r="AH27" s="886" t="e">
        <f t="shared" si="39"/>
        <v>#VALUE!</v>
      </c>
      <c r="AI27" s="911">
        <f t="shared" ref="AI27:AI31" si="47">IF(ISBLANK(G27),"",IF(ISNUMBER($AK$8),$AK$8,IF(G27="R",0,IF(G27="S",4,IF(G27="M",5,IF(G27="B",8,IF(Z27&gt;=2,8,6)))))))</f>
        <v>8</v>
      </c>
      <c r="AJ27" s="911">
        <f t="shared" ref="AJ27:AJ31" si="48">IF(ISBLANK(G27),"",IF(ISNUMBER($AL$8),$AL$8,IF(G27="R",8,IF(G27="S",50,IF(G27="M",15,IF(G27="B",0,50))))))</f>
        <v>50</v>
      </c>
      <c r="AK27" s="911">
        <f t="shared" ref="AK27:AK31" si="49">IF(ISBLANK(G27),"",IF(ISNUMBER($AM$8),$AM$8,IF(G27="R",0,IF(G27="S","-",IF(G27="M",5,IF(G27="B",8,IF(Z27&gt;=2,8,6)))))))</f>
        <v>8</v>
      </c>
      <c r="AL27" s="912">
        <f t="shared" ref="AL27:AL31" si="50">IF(ISBLANK(G27),"",IF(ISNUMBER($AN$8),$AN$8,IF(G27="R",8,IF(G27="S","-",IF(G27="M",15,IF(G27="B",0,50))))))</f>
        <v>50</v>
      </c>
      <c r="AM27" s="913" t="s">
        <v>1655</v>
      </c>
      <c r="AN27" s="914"/>
      <c r="AO27" s="915"/>
      <c r="AP27" s="916" t="s">
        <v>1653</v>
      </c>
      <c r="AQ27" s="916" t="s">
        <v>1653</v>
      </c>
      <c r="AR27" s="294"/>
      <c r="AS27" s="294"/>
      <c r="AT27" s="294"/>
      <c r="AU27" s="294"/>
      <c r="AV27" s="294"/>
      <c r="AW27" s="294"/>
      <c r="AX27" s="296"/>
      <c r="AY27" s="293"/>
      <c r="AZ27" s="293"/>
      <c r="BA27" s="293"/>
      <c r="BB27" s="293"/>
      <c r="BD27" s="34" t="str">
        <f t="shared" si="6"/>
        <v>-</v>
      </c>
      <c r="BE27" s="34" t="str">
        <f t="shared" si="7"/>
        <v>-</v>
      </c>
      <c r="BF27" s="34">
        <f t="shared" si="8"/>
        <v>0</v>
      </c>
      <c r="BI27" s="10">
        <f t="shared" si="9"/>
        <v>2.1</v>
      </c>
      <c r="BJ27" s="11">
        <f t="shared" si="21"/>
        <v>1.5</v>
      </c>
      <c r="BK27" s="10">
        <f t="shared" si="10"/>
        <v>1.5</v>
      </c>
      <c r="BL27" s="10">
        <f t="shared" si="11"/>
        <v>2.1</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465"/>
      <c r="B28" s="7"/>
      <c r="C28" s="893">
        <v>7.11571</v>
      </c>
      <c r="D28" s="894" t="s">
        <v>1670</v>
      </c>
      <c r="E28" s="895" t="s">
        <v>1180</v>
      </c>
      <c r="F28" s="896" t="s">
        <v>1677</v>
      </c>
      <c r="G28" s="897" t="s">
        <v>1658</v>
      </c>
      <c r="H28" s="898" t="s">
        <v>1676</v>
      </c>
      <c r="I28" s="899" t="s">
        <v>1180</v>
      </c>
      <c r="J28" s="110">
        <v>-113.64</v>
      </c>
      <c r="K28" s="109">
        <v>442.53</v>
      </c>
      <c r="L28" s="107">
        <v>185.63</v>
      </c>
      <c r="M28" s="101" t="s">
        <v>1675</v>
      </c>
      <c r="N28" s="100" t="s">
        <v>1657</v>
      </c>
      <c r="O28" s="345" t="s">
        <v>1660</v>
      </c>
      <c r="P28" s="312">
        <v>3</v>
      </c>
      <c r="Q28" s="902" t="s">
        <v>1683</v>
      </c>
      <c r="R28" s="917" t="e">
        <f>IF(AND(ISBLANK(P28),ISTEXT(Q28)),"t1?",IF(AND(ISBLANK(Q28),ISBLANK(P28)),"",VLOOKUP(BD28,Materialliste!$A$2:$B$1477,2,FALSE)))</f>
        <v>#N/A</v>
      </c>
      <c r="S28" s="312">
        <v>2.1</v>
      </c>
      <c r="T28" s="900" t="s">
        <v>1180</v>
      </c>
      <c r="U28" s="917" t="e">
        <f>IF(AND(ISBLANK(S28),ISTEXT(T28)),"t2?",IF(AND(ISBLANK(T28),ISBLANK(S28)),"",VLOOKUP(BE28,Materialliste!$A$2:$B$1477,2,FALSE)))</f>
        <v>#N/A</v>
      </c>
      <c r="V28" s="312">
        <v>1.4</v>
      </c>
      <c r="W28" s="902" t="s">
        <v>897</v>
      </c>
      <c r="X28" s="917">
        <f>IF(AND(ISBLANK(V28),ISTEXT(W28)),"t3?",IF(AND(ISBLANK(W28),ISBLANK(V28)),"",VLOOKUP(BF28,Materialliste!$A$2:$B$1477,2,FALSE)))</f>
        <v>720</v>
      </c>
      <c r="Y28" s="315" t="s">
        <v>1645</v>
      </c>
      <c r="Z28" s="904">
        <f t="shared" si="31"/>
        <v>2.2800000000000002</v>
      </c>
      <c r="AA28" s="905" t="str">
        <f t="shared" si="44"/>
        <v>?Re</v>
      </c>
      <c r="AB28" s="906" t="e">
        <f t="shared" si="33"/>
        <v>#VALUE!</v>
      </c>
      <c r="AC28" s="907" t="e">
        <f t="shared" si="34"/>
        <v>#N/A</v>
      </c>
      <c r="AD28" s="882" t="e">
        <f t="shared" si="35"/>
        <v>#N/A</v>
      </c>
      <c r="AE28" s="908" t="e">
        <f t="shared" si="36"/>
        <v>#VALUE!</v>
      </c>
      <c r="AF28" s="909">
        <f t="shared" si="45"/>
        <v>5.0719818611663037</v>
      </c>
      <c r="AG28" s="910">
        <f t="shared" si="46"/>
        <v>4.141255848169731</v>
      </c>
      <c r="AH28" s="886" t="e">
        <f t="shared" si="39"/>
        <v>#VALUE!</v>
      </c>
      <c r="AI28" s="911">
        <f t="shared" si="47"/>
        <v>8</v>
      </c>
      <c r="AJ28" s="911">
        <f t="shared" si="48"/>
        <v>50</v>
      </c>
      <c r="AK28" s="911">
        <f t="shared" si="49"/>
        <v>8</v>
      </c>
      <c r="AL28" s="912">
        <f t="shared" si="50"/>
        <v>50</v>
      </c>
      <c r="AM28" s="913"/>
      <c r="AN28" s="914"/>
      <c r="AO28" s="915"/>
      <c r="AP28" s="916" t="s">
        <v>1653</v>
      </c>
      <c r="AQ28" s="916"/>
      <c r="AR28" s="294"/>
      <c r="AS28" s="294"/>
      <c r="AT28" s="294"/>
      <c r="AU28" s="294"/>
      <c r="AV28" s="294"/>
      <c r="AW28" s="294"/>
      <c r="AX28" s="296"/>
      <c r="AY28" s="293"/>
      <c r="AZ28" s="293"/>
      <c r="BA28" s="293"/>
      <c r="BB28" s="293"/>
      <c r="BD28" s="34" t="str">
        <f t="shared" si="6"/>
        <v>HX300LAD + Z100MB</v>
      </c>
      <c r="BE28" s="34" t="str">
        <f t="shared" si="7"/>
        <v>-</v>
      </c>
      <c r="BF28" s="34" t="str">
        <f t="shared" si="8"/>
        <v>CR570Y780T-CP-GI40/40</v>
      </c>
      <c r="BI28" s="10">
        <f t="shared" si="9"/>
        <v>3</v>
      </c>
      <c r="BJ28" s="11">
        <f t="shared" si="21"/>
        <v>2.1</v>
      </c>
      <c r="BK28" s="10">
        <f t="shared" si="10"/>
        <v>3</v>
      </c>
      <c r="BL28" s="10">
        <f t="shared" si="11"/>
        <v>2.1</v>
      </c>
      <c r="BM28" s="10">
        <f t="shared" si="12"/>
        <v>1.4</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465"/>
      <c r="B29" s="7"/>
      <c r="C29" s="893">
        <v>7.1157199999999996</v>
      </c>
      <c r="D29" s="894" t="s">
        <v>1671</v>
      </c>
      <c r="E29" s="895" t="s">
        <v>1180</v>
      </c>
      <c r="F29" s="896" t="s">
        <v>1677</v>
      </c>
      <c r="G29" s="897" t="s">
        <v>1658</v>
      </c>
      <c r="H29" s="898" t="s">
        <v>1676</v>
      </c>
      <c r="I29" s="899" t="s">
        <v>1180</v>
      </c>
      <c r="J29" s="110">
        <v>-130.05000000000001</v>
      </c>
      <c r="K29" s="109">
        <v>446.89</v>
      </c>
      <c r="L29" s="107">
        <v>186.41</v>
      </c>
      <c r="M29" s="101" t="s">
        <v>1675</v>
      </c>
      <c r="N29" s="100" t="s">
        <v>1657</v>
      </c>
      <c r="O29" s="345" t="s">
        <v>1660</v>
      </c>
      <c r="P29" s="312">
        <v>3</v>
      </c>
      <c r="Q29" s="902" t="s">
        <v>1683</v>
      </c>
      <c r="R29" s="917" t="e">
        <f>IF(AND(ISBLANK(P29),ISTEXT(Q29)),"t1?",IF(AND(ISBLANK(Q29),ISBLANK(P29)),"",VLOOKUP(BD29,Materialliste!$A$2:$B$1477,2,FALSE)))</f>
        <v>#N/A</v>
      </c>
      <c r="S29" s="312">
        <v>2.1</v>
      </c>
      <c r="T29" s="900" t="s">
        <v>1180</v>
      </c>
      <c r="U29" s="917" t="e">
        <f>IF(AND(ISBLANK(S29),ISTEXT(T29)),"t2?",IF(AND(ISBLANK(T29),ISBLANK(S29)),"",VLOOKUP(BE29,Materialliste!$A$2:$B$1477,2,FALSE)))</f>
        <v>#N/A</v>
      </c>
      <c r="V29" s="312">
        <v>1.4</v>
      </c>
      <c r="W29" s="918" t="s">
        <v>897</v>
      </c>
      <c r="X29" s="917">
        <f>IF(AND(ISBLANK(V29),ISTEXT(W29)),"t3?",IF(AND(ISBLANK(W29),ISBLANK(V29)),"",VLOOKUP(BF29,Materialliste!$A$2:$B$1477,2,FALSE)))</f>
        <v>720</v>
      </c>
      <c r="Y29" s="315" t="s">
        <v>1645</v>
      </c>
      <c r="Z29" s="904">
        <f t="shared" si="31"/>
        <v>2.2800000000000002</v>
      </c>
      <c r="AA29" s="905" t="str">
        <f t="shared" si="44"/>
        <v>?Re</v>
      </c>
      <c r="AB29" s="906" t="e">
        <f t="shared" si="33"/>
        <v>#VALUE!</v>
      </c>
      <c r="AC29" s="907" t="e">
        <f t="shared" si="34"/>
        <v>#N/A</v>
      </c>
      <c r="AD29" s="882" t="e">
        <f t="shared" si="35"/>
        <v>#N/A</v>
      </c>
      <c r="AE29" s="908" t="e">
        <f t="shared" si="36"/>
        <v>#VALUE!</v>
      </c>
      <c r="AF29" s="909">
        <f t="shared" si="45"/>
        <v>5.0719818611663037</v>
      </c>
      <c r="AG29" s="910">
        <f t="shared" si="46"/>
        <v>4.141255848169731</v>
      </c>
      <c r="AH29" s="886" t="e">
        <f t="shared" si="39"/>
        <v>#VALUE!</v>
      </c>
      <c r="AI29" s="911">
        <f t="shared" si="47"/>
        <v>8</v>
      </c>
      <c r="AJ29" s="911">
        <f t="shared" si="48"/>
        <v>50</v>
      </c>
      <c r="AK29" s="911">
        <f t="shared" si="49"/>
        <v>8</v>
      </c>
      <c r="AL29" s="912">
        <f t="shared" si="50"/>
        <v>50</v>
      </c>
      <c r="AM29" s="913"/>
      <c r="AN29" s="914"/>
      <c r="AO29" s="915"/>
      <c r="AP29" s="916" t="s">
        <v>1653</v>
      </c>
      <c r="AQ29" s="916"/>
      <c r="AR29" s="294"/>
      <c r="AS29" s="294"/>
      <c r="AT29" s="294"/>
      <c r="AU29" s="294"/>
      <c r="AV29" s="294"/>
      <c r="AW29" s="294"/>
      <c r="AX29" s="296"/>
      <c r="AY29" s="293"/>
      <c r="AZ29" s="293"/>
      <c r="BA29" s="293"/>
      <c r="BB29" s="293"/>
      <c r="BD29" s="34" t="str">
        <f t="shared" si="6"/>
        <v>HX300LAD + Z100MB</v>
      </c>
      <c r="BE29" s="34" t="str">
        <f t="shared" si="7"/>
        <v>-</v>
      </c>
      <c r="BF29" s="34" t="str">
        <f t="shared" si="8"/>
        <v>CR570Y780T-CP-GI40/40</v>
      </c>
      <c r="BI29" s="10">
        <f t="shared" si="9"/>
        <v>3</v>
      </c>
      <c r="BJ29" s="11">
        <f t="shared" si="21"/>
        <v>2.1</v>
      </c>
      <c r="BK29" s="10">
        <f t="shared" si="10"/>
        <v>3</v>
      </c>
      <c r="BL29" s="10">
        <f t="shared" si="11"/>
        <v>2.1</v>
      </c>
      <c r="BM29" s="10">
        <f t="shared" si="12"/>
        <v>1.4</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465"/>
      <c r="B30" s="7"/>
      <c r="C30" s="893">
        <v>7.1157300000000001</v>
      </c>
      <c r="D30" s="894" t="s">
        <v>1672</v>
      </c>
      <c r="E30" s="895" t="s">
        <v>1180</v>
      </c>
      <c r="F30" s="896" t="s">
        <v>1677</v>
      </c>
      <c r="G30" s="897" t="s">
        <v>1658</v>
      </c>
      <c r="H30" s="898" t="s">
        <v>1676</v>
      </c>
      <c r="I30" s="899" t="s">
        <v>1180</v>
      </c>
      <c r="J30" s="110">
        <v>-113.97</v>
      </c>
      <c r="K30" s="109">
        <v>463.81</v>
      </c>
      <c r="L30" s="107">
        <v>168.76</v>
      </c>
      <c r="M30" s="100" t="s">
        <v>1675</v>
      </c>
      <c r="N30" s="100" t="s">
        <v>1657</v>
      </c>
      <c r="O30" s="346" t="s">
        <v>1660</v>
      </c>
      <c r="P30" s="312">
        <v>3</v>
      </c>
      <c r="Q30" s="902" t="s">
        <v>1683</v>
      </c>
      <c r="R30" s="917" t="e">
        <f>IF(AND(ISBLANK(P30),ISTEXT(Q30)),"t1?",IF(AND(ISBLANK(Q30),ISBLANK(P30)),"",VLOOKUP(BD30,Materialliste!$A$2:$B$1477,2,FALSE)))</f>
        <v>#N/A</v>
      </c>
      <c r="S30" s="312">
        <v>2.1</v>
      </c>
      <c r="T30" s="900" t="s">
        <v>1180</v>
      </c>
      <c r="U30" s="917" t="e">
        <f>IF(AND(ISBLANK(S30),ISTEXT(T30)),"t2?",IF(AND(ISBLANK(T30),ISBLANK(S30)),"",VLOOKUP(BE30,Materialliste!$A$2:$B$1477,2,FALSE)))</f>
        <v>#N/A</v>
      </c>
      <c r="V30" s="312">
        <v>1.4</v>
      </c>
      <c r="W30" s="918" t="s">
        <v>897</v>
      </c>
      <c r="X30" s="917">
        <f>IF(AND(ISBLANK(V30),ISTEXT(W30)),"t3?",IF(AND(ISBLANK(W30),ISBLANK(V30)),"",VLOOKUP(BF30,Materialliste!$A$2:$B$1477,2,FALSE)))</f>
        <v>720</v>
      </c>
      <c r="Y30" s="315" t="s">
        <v>1645</v>
      </c>
      <c r="Z30" s="904">
        <f t="shared" si="31"/>
        <v>2.2800000000000002</v>
      </c>
      <c r="AA30" s="905" t="str">
        <f t="shared" si="44"/>
        <v>?Re</v>
      </c>
      <c r="AB30" s="906" t="e">
        <f t="shared" si="33"/>
        <v>#VALUE!</v>
      </c>
      <c r="AC30" s="907" t="e">
        <f t="shared" si="34"/>
        <v>#N/A</v>
      </c>
      <c r="AD30" s="882" t="e">
        <f t="shared" si="35"/>
        <v>#N/A</v>
      </c>
      <c r="AE30" s="908" t="e">
        <f t="shared" si="36"/>
        <v>#VALUE!</v>
      </c>
      <c r="AF30" s="909">
        <f t="shared" si="45"/>
        <v>5.0719818611663037</v>
      </c>
      <c r="AG30" s="910">
        <f t="shared" si="46"/>
        <v>4.141255848169731</v>
      </c>
      <c r="AH30" s="886" t="e">
        <f t="shared" si="39"/>
        <v>#VALUE!</v>
      </c>
      <c r="AI30" s="911">
        <f t="shared" si="47"/>
        <v>8</v>
      </c>
      <c r="AJ30" s="911">
        <f t="shared" si="48"/>
        <v>50</v>
      </c>
      <c r="AK30" s="911">
        <f t="shared" si="49"/>
        <v>8</v>
      </c>
      <c r="AL30" s="912">
        <f t="shared" si="50"/>
        <v>50</v>
      </c>
      <c r="AM30" s="913"/>
      <c r="AN30" s="914"/>
      <c r="AO30" s="915"/>
      <c r="AP30" s="916" t="s">
        <v>1653</v>
      </c>
      <c r="AQ30" s="916"/>
      <c r="AR30" s="294"/>
      <c r="AS30" s="294"/>
      <c r="AT30" s="294"/>
      <c r="AU30" s="294"/>
      <c r="AV30" s="294"/>
      <c r="AW30" s="294"/>
      <c r="AX30" s="296"/>
      <c r="AY30" s="293"/>
      <c r="AZ30" s="293"/>
      <c r="BA30" s="293"/>
      <c r="BB30" s="293"/>
      <c r="BD30" s="34" t="str">
        <f t="shared" si="6"/>
        <v>HX300LAD + Z100MB</v>
      </c>
      <c r="BE30" s="34" t="str">
        <f t="shared" si="7"/>
        <v>-</v>
      </c>
      <c r="BF30" s="34" t="str">
        <f t="shared" si="8"/>
        <v>CR570Y780T-CP-GI40/40</v>
      </c>
      <c r="BI30" s="10">
        <f t="shared" si="9"/>
        <v>3</v>
      </c>
      <c r="BJ30" s="11">
        <f t="shared" si="21"/>
        <v>2.1</v>
      </c>
      <c r="BK30" s="10">
        <f t="shared" si="10"/>
        <v>3</v>
      </c>
      <c r="BL30" s="10">
        <f t="shared" si="11"/>
        <v>2.1</v>
      </c>
      <c r="BM30" s="10">
        <f t="shared" si="12"/>
        <v>1.4</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465"/>
      <c r="B31" s="7"/>
      <c r="C31" s="893">
        <v>7.1157399999999997</v>
      </c>
      <c r="D31" s="894" t="s">
        <v>1673</v>
      </c>
      <c r="E31" s="895" t="s">
        <v>1180</v>
      </c>
      <c r="F31" s="896" t="s">
        <v>1677</v>
      </c>
      <c r="G31" s="897" t="s">
        <v>1658</v>
      </c>
      <c r="H31" s="898" t="s">
        <v>1676</v>
      </c>
      <c r="I31" s="899" t="s">
        <v>1180</v>
      </c>
      <c r="J31" s="110">
        <v>-128.79</v>
      </c>
      <c r="K31" s="109">
        <v>466.72</v>
      </c>
      <c r="L31" s="107">
        <v>169.41</v>
      </c>
      <c r="M31" s="100" t="s">
        <v>1675</v>
      </c>
      <c r="N31" s="100" t="s">
        <v>1657</v>
      </c>
      <c r="O31" s="346" t="s">
        <v>1660</v>
      </c>
      <c r="P31" s="312">
        <v>3</v>
      </c>
      <c r="Q31" s="902" t="s">
        <v>1683</v>
      </c>
      <c r="R31" s="917" t="e">
        <f>IF(AND(ISBLANK(P31),ISTEXT(Q31)),"t1?",IF(AND(ISBLANK(Q31),ISBLANK(P31)),"",VLOOKUP(BD31,Materialliste!$A$2:$B$1477,2,FALSE)))</f>
        <v>#N/A</v>
      </c>
      <c r="S31" s="312">
        <v>2.1</v>
      </c>
      <c r="T31" s="900" t="s">
        <v>1180</v>
      </c>
      <c r="U31" s="917" t="e">
        <f>IF(AND(ISBLANK(S31),ISTEXT(T31)),"t2?",IF(AND(ISBLANK(T31),ISBLANK(S31)),"",VLOOKUP(BE31,Materialliste!$A$2:$B$1477,2,FALSE)))</f>
        <v>#N/A</v>
      </c>
      <c r="V31" s="312">
        <v>1.4</v>
      </c>
      <c r="W31" s="918" t="s">
        <v>897</v>
      </c>
      <c r="X31" s="917">
        <f>IF(AND(ISBLANK(V31),ISTEXT(W31)),"t3?",IF(AND(ISBLANK(W31),ISBLANK(V31)),"",VLOOKUP(BF31,Materialliste!$A$2:$B$1477,2,FALSE)))</f>
        <v>720</v>
      </c>
      <c r="Y31" s="315" t="s">
        <v>1645</v>
      </c>
      <c r="Z31" s="904">
        <f t="shared" si="31"/>
        <v>2.2800000000000002</v>
      </c>
      <c r="AA31" s="905" t="str">
        <f t="shared" si="44"/>
        <v>?Re</v>
      </c>
      <c r="AB31" s="906" t="e">
        <f t="shared" si="33"/>
        <v>#VALUE!</v>
      </c>
      <c r="AC31" s="907" t="e">
        <f t="shared" si="34"/>
        <v>#N/A</v>
      </c>
      <c r="AD31" s="882" t="e">
        <f t="shared" si="35"/>
        <v>#N/A</v>
      </c>
      <c r="AE31" s="908" t="e">
        <f t="shared" si="36"/>
        <v>#VALUE!</v>
      </c>
      <c r="AF31" s="909">
        <f t="shared" si="45"/>
        <v>5.0719818611663037</v>
      </c>
      <c r="AG31" s="910">
        <f t="shared" si="46"/>
        <v>4.141255848169731</v>
      </c>
      <c r="AH31" s="886" t="e">
        <f t="shared" si="39"/>
        <v>#VALUE!</v>
      </c>
      <c r="AI31" s="911">
        <f t="shared" si="47"/>
        <v>8</v>
      </c>
      <c r="AJ31" s="911">
        <f t="shared" si="48"/>
        <v>50</v>
      </c>
      <c r="AK31" s="911">
        <f t="shared" si="49"/>
        <v>8</v>
      </c>
      <c r="AL31" s="912">
        <f t="shared" si="50"/>
        <v>50</v>
      </c>
      <c r="AM31" s="913"/>
      <c r="AN31" s="914"/>
      <c r="AO31" s="915"/>
      <c r="AP31" s="916" t="s">
        <v>1653</v>
      </c>
      <c r="AQ31" s="916"/>
      <c r="AR31" s="294"/>
      <c r="AS31" s="294"/>
      <c r="AT31" s="294"/>
      <c r="AU31" s="294"/>
      <c r="AV31" s="294"/>
      <c r="AW31" s="294"/>
      <c r="AX31" s="296"/>
      <c r="AY31" s="293"/>
      <c r="AZ31" s="293"/>
      <c r="BA31" s="293"/>
      <c r="BB31" s="293"/>
      <c r="BD31" s="34" t="str">
        <f t="shared" si="6"/>
        <v>HX300LAD + Z100MB</v>
      </c>
      <c r="BE31" s="34" t="str">
        <f t="shared" si="7"/>
        <v>-</v>
      </c>
      <c r="BF31" s="34" t="str">
        <f t="shared" si="8"/>
        <v>CR570Y780T-CP-GI40/40</v>
      </c>
      <c r="BI31" s="10">
        <f t="shared" si="9"/>
        <v>3</v>
      </c>
      <c r="BJ31" s="11">
        <f t="shared" si="21"/>
        <v>2.1</v>
      </c>
      <c r="BK31" s="10">
        <f t="shared" si="10"/>
        <v>3</v>
      </c>
      <c r="BL31" s="10">
        <f t="shared" si="11"/>
        <v>2.1</v>
      </c>
      <c r="BM31" s="10">
        <f t="shared" si="12"/>
        <v>1.4</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465"/>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656"/>
      <c r="AN32" s="657"/>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465"/>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658"/>
      <c r="AN33" s="659"/>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465"/>
      <c r="B34" s="7"/>
      <c r="C34" s="745" t="str">
        <f>IF($E$6="DE","Zylinderdurchmesser [mm]                 (nur für SPZ)","Cylinder Diameter (mm)              (only for SPZ)")</f>
        <v>Zylinderdurchmesser [mm]                 (nur für SPZ)</v>
      </c>
      <c r="D34" s="746"/>
      <c r="E34" s="749"/>
      <c r="F34" s="686" t="str">
        <f>IF($E$6="DE","Schweißkraft min. [N]","Welding Force min. [N]")</f>
        <v>Schweißkraft min. [N]</v>
      </c>
      <c r="G34" s="687"/>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6" t="str">
        <f>IF($E$6="DE","Ausladung [mm]","Distance to Tip [mm]")</f>
        <v>Ausladung [mm]</v>
      </c>
      <c r="J34" s="688"/>
      <c r="K34" s="687"/>
      <c r="L34" s="64">
        <v>752</v>
      </c>
      <c r="M34" s="686" t="str">
        <f>IF($E$6="DE","Zylinderkraft min. [N]","Cyl. Force min. [N]")</f>
        <v>Zylinderkraft min. [N]</v>
      </c>
      <c r="N34" s="687"/>
      <c r="O34" s="290" t="e">
        <f>IF(G8="J",(H34/L36)*2,H34/L36)</f>
        <v>#VALUE!</v>
      </c>
      <c r="P34" s="686" t="str">
        <f>IF($E$6="DE","Zylinderdruck min. [bar]","Cyl. Pressure min. [bar]")</f>
        <v>Zylinderdruck min. [bar]</v>
      </c>
      <c r="Q34" s="687"/>
      <c r="R34" s="689" t="e">
        <f>10*O34/(H36*E36)</f>
        <v>#VALUE!</v>
      </c>
      <c r="S34" s="690"/>
      <c r="T34" s="691" t="str">
        <f>IF(AND($E$6="DE",G6="RZ"),"Ergebnis Zangen-/Motorauslegung",IF(AND($E$6="ENG",G6="RZ"),"Result Gun/Motor Design",IF(AND($E$6="DE",G6="SPZ"),"Ergebnis zwischen 2,5 bar und 10 bar:",IF(AND($E$6="ENG",G6="SPZ"),"Result between 2,5 bar and 10 bar:","-"))))</f>
        <v>Ergebnis Zangen-/Motorauslegung</v>
      </c>
      <c r="U34" s="692"/>
      <c r="V34" s="692"/>
      <c r="W34" s="693"/>
      <c r="X34" s="694" t="str">
        <f>IF($E$6="DE","benötigte Elektrodenkappen für Schweißzange","required Electrode Caps for Gun")</f>
        <v>benötigte Elektrodenkappen für Schweißzange</v>
      </c>
      <c r="Y34" s="695"/>
      <c r="Z34" s="696"/>
      <c r="AA34" s="663" t="str">
        <f>IF($E$6="DE","benötigtes Fräsmesser","required Tip Dresser")</f>
        <v>benötigtes Fräsmesser</v>
      </c>
      <c r="AB34" s="664"/>
      <c r="AC34" s="665"/>
      <c r="AD34" s="664"/>
      <c r="AE34" s="666" t="str">
        <f>IF(AND(AN35="JA",COUNTIF(BO19:BO33,TRUE)=0),"kein TL4225 außen vorhanden, bitte auf 'Nein' zurückschalten / No TL4225 outside detected, please switch back to 'Nein' ","")</f>
        <v/>
      </c>
      <c r="AF34" s="667"/>
      <c r="AG34" s="667"/>
      <c r="AH34" s="667"/>
      <c r="AI34" s="667"/>
      <c r="AJ34" s="667"/>
      <c r="AK34" s="667"/>
      <c r="AL34" s="667"/>
      <c r="AM34" s="667"/>
      <c r="AN34" s="668"/>
      <c r="AO34" s="669" t="str">
        <f>IF($E$6="DE","Legende der Indizes:","Legend of Indices")</f>
        <v>Legende der Indizes:</v>
      </c>
      <c r="AP34" s="670"/>
      <c r="AQ34" s="670"/>
      <c r="AR34" s="670"/>
      <c r="AS34" s="670"/>
      <c r="AT34" s="670"/>
      <c r="AU34" s="670"/>
      <c r="AV34" s="670"/>
      <c r="AW34" s="670"/>
      <c r="AX34" s="671"/>
      <c r="AY34" s="293"/>
      <c r="AZ34" s="293"/>
      <c r="BA34" s="293"/>
      <c r="BB34" s="293"/>
    </row>
    <row r="35" spans="1:85" ht="54.75" customHeight="1" thickBot="1">
      <c r="A35" s="465"/>
      <c r="B35" s="7"/>
      <c r="C35" s="747"/>
      <c r="D35" s="748"/>
      <c r="E35" s="750"/>
      <c r="F35" s="672" t="str">
        <f>IF($E$6="DE","Schweißkraft max. [N]","Welding Force max. [N]")</f>
        <v>Schweißkraft max. [N]</v>
      </c>
      <c r="G35" s="673"/>
      <c r="H35" s="128" t="e">
        <f>IF(AND(AN35="Ja",ISTEXT(AG37),ISNUMBER(AL37)),(IF(ROUNDUP(MAX(AE19:AE33)*2300,-3)&gt;5000,(ROUNDUP(MAX(AE19:AE33)*2300,-3)/2),2500)),(IF(ROUNDUP(MAX(AB19:AB33)*2200,-3)&gt;5000,(ROUNDUP(MAX(AB19:AB33)*2200,-3)/2),2500)))</f>
        <v>#VALUE!</v>
      </c>
      <c r="I35" s="672" t="str">
        <f>IF(G6="RZ",IF($E$6="DE","Abstand Motor [mm]","Distance to Motor [mm]"),IF($E$6="DE","Abstand Zylinder [mm]","Distance to Cylinder [mm]"))</f>
        <v>Abstand Motor [mm]</v>
      </c>
      <c r="J35" s="674"/>
      <c r="K35" s="673"/>
      <c r="L35" s="65">
        <v>330</v>
      </c>
      <c r="M35" s="675" t="str">
        <f>IF($E$6="DE","Zylinderkraft max.[N]","Cyl. Force max.[N]")</f>
        <v>Zylinderkraft max.[N]</v>
      </c>
      <c r="N35" s="676"/>
      <c r="O35" s="168" t="e">
        <f>IF(G8="J",(H35/L36)*2,H35/L36)</f>
        <v>#VALUE!</v>
      </c>
      <c r="P35" s="675" t="str">
        <f>IF($E$6="DE","Zylinderdruck max. [bar]","Cyl. Pressure max. [bar]")</f>
        <v>Zylinderdruck max. [bar]</v>
      </c>
      <c r="Q35" s="676"/>
      <c r="R35" s="677" t="e">
        <f>10*O35/(H36*E36)</f>
        <v>#VALUE!</v>
      </c>
      <c r="S35" s="678"/>
      <c r="T35" s="679" t="e">
        <f>IF(G6="RZ",BD39,IF(G6="SPZ",BD36,IF(G6="-","Zangentyp/Guntype?")))</f>
        <v>#VALUE!</v>
      </c>
      <c r="U35" s="680"/>
      <c r="V35" s="680"/>
      <c r="W35" s="681"/>
      <c r="X35" s="697"/>
      <c r="Y35" s="697"/>
      <c r="Z35" s="698"/>
      <c r="AA35" s="117" t="s">
        <v>1170</v>
      </c>
      <c r="AB35" s="118" t="s">
        <v>1172</v>
      </c>
      <c r="AC35" s="118" t="s">
        <v>1171</v>
      </c>
      <c r="AD35" s="119" t="s">
        <v>1173</v>
      </c>
      <c r="AE35"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3"/>
      <c r="AG35" s="683"/>
      <c r="AH35" s="683"/>
      <c r="AI35" s="683"/>
      <c r="AJ35" s="683"/>
      <c r="AK35" s="683"/>
      <c r="AL35" s="683"/>
      <c r="AM35" s="683"/>
      <c r="AN35" s="718" t="s">
        <v>1258</v>
      </c>
      <c r="AO35" s="720" t="s">
        <v>1649</v>
      </c>
      <c r="AP35" s="721"/>
      <c r="AQ35" s="721"/>
      <c r="AR35" s="721"/>
      <c r="AS35" s="721"/>
      <c r="AT35" s="721"/>
      <c r="AU35" s="721"/>
      <c r="AV35" s="721"/>
      <c r="AW35" s="721"/>
      <c r="AX35" s="722"/>
      <c r="AY35" s="293"/>
      <c r="AZ35" s="293"/>
      <c r="BA35" s="293"/>
      <c r="BB35" s="293"/>
      <c r="BD35" s="729" t="s">
        <v>1181</v>
      </c>
      <c r="BE35" s="730"/>
    </row>
    <row r="36" spans="1:85" ht="64.5" customHeight="1" thickBot="1">
      <c r="A36" s="465"/>
      <c r="B36" s="7"/>
      <c r="C36" s="675" t="str">
        <f>IF($E$6="DE","Zylinderwirkungsgrad                           (nur für SPZ)","Cylinder Efficiency                                  (only for SPZ)")</f>
        <v>Zylinderwirkungsgrad                           (nur für SPZ)</v>
      </c>
      <c r="D36" s="676"/>
      <c r="E36" s="168">
        <v>0.95</v>
      </c>
      <c r="F36" s="675" t="str">
        <f>IF($E$6="DE","Zylinderfläche [mm²] (nur für SPZ)","Cylinder Surface [mm²] (only for SPZ)")</f>
        <v>Zylinderfläche [mm²] (nur für SPZ)</v>
      </c>
      <c r="G36" s="676"/>
      <c r="H36" s="292">
        <f>IF(E35="T",2*PI()/4*POWER(E34,2),PI()/4*POWER(E34,2))</f>
        <v>0</v>
      </c>
      <c r="I36" s="731" t="str">
        <f>IF($E$6="DE","Ausladung/ Abstand","Leverage Ratio")</f>
        <v>Ausladung/ Abstand</v>
      </c>
      <c r="J36" s="732"/>
      <c r="K36" s="733"/>
      <c r="L36" s="126">
        <f>IF(G19="X",L35/L34,1)</f>
        <v>1</v>
      </c>
      <c r="M36" s="734" t="str">
        <f>IF($E$6="DE","notwendige Motorkraft min. [N]","requiered Motor Force min. [N]")</f>
        <v>notwendige Motorkraft min. [N]</v>
      </c>
      <c r="N36" s="735"/>
      <c r="O36" s="308" t="e">
        <f>IF(G8="J",(H34/L36)*2,H34/L36)</f>
        <v>#VALUE!</v>
      </c>
      <c r="P36" s="734" t="str">
        <f>IF($E$6="DE","erreichbare Motorkraft min. [N]","feasible Motor Force min. [N]")</f>
        <v>erreichbare Motorkraft min. [N]</v>
      </c>
      <c r="Q36" s="735"/>
      <c r="R36" s="736">
        <f>IF(ISNA(VLOOKUP(CONCATENATE(E37,H37,L37),Motordaten!D4:H18,3,FALSE)),"",VLOOKUP(CONCATENATE(E37,H37,L37),Motordaten!D4:H18,3,FALSE))</f>
        <v>2000</v>
      </c>
      <c r="S36" s="737"/>
      <c r="T36" s="738" t="e">
        <f>IF(G6="RZ",BD40,IF(G6="SPZ",BD37," "))</f>
        <v>#VALUE!</v>
      </c>
      <c r="U36" s="739"/>
      <c r="V36" s="739"/>
      <c r="W36" s="740"/>
      <c r="X36" s="699" t="e">
        <f t="array" ref="X36">IF(ISBLANK(AH8),IF(OR(EXACT("39D 1978-1 !",AH19:AH33)),"39D 1978-1 !",(IF(OR(EXACT("59D 388 863 !",AH19:AH33)),"59D 388 863 !",(IF(OR(EXACT("59D 358 170 !",AH19:AH33)),"59D 358 170 !",IF(OR(EXACT("39D 1979-2 !",AH19:AH33)),"39D 1979-2 !","39D 1978-2")))))),AH8)</f>
        <v>#VALUE!</v>
      </c>
      <c r="Y36" s="699"/>
      <c r="Z36" s="700"/>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4"/>
      <c r="AF36" s="685"/>
      <c r="AG36" s="685"/>
      <c r="AH36" s="685"/>
      <c r="AI36" s="685"/>
      <c r="AJ36" s="685"/>
      <c r="AK36" s="685"/>
      <c r="AL36" s="685"/>
      <c r="AM36" s="685"/>
      <c r="AN36" s="719"/>
      <c r="AO36" s="723"/>
      <c r="AP36" s="724"/>
      <c r="AQ36" s="724"/>
      <c r="AR36" s="724"/>
      <c r="AS36" s="724"/>
      <c r="AT36" s="724"/>
      <c r="AU36" s="724"/>
      <c r="AV36" s="724"/>
      <c r="AW36" s="724"/>
      <c r="AX36" s="725"/>
      <c r="AY36" s="293"/>
      <c r="AZ36" s="293"/>
      <c r="BA36" s="293"/>
      <c r="BB36" s="293"/>
      <c r="BD36" s="701"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02"/>
    </row>
    <row r="37" spans="1:85" ht="54.75" customHeight="1" thickBot="1">
      <c r="A37" s="465"/>
      <c r="B37" s="7"/>
      <c r="C37" s="703" t="str">
        <f>IF($E$6="DE","Roboterhersteller                                          (nur für RZ)","Robot Supplier                                  (only for RZ)")</f>
        <v>Roboterhersteller                                          (nur für RZ)</v>
      </c>
      <c r="D37" s="704"/>
      <c r="E37" s="284" t="s">
        <v>1137</v>
      </c>
      <c r="F37" s="703" t="str">
        <f>IF($E$6="DE","Zangengrundkörper               (nur für RZ)","Weld Gun Basic Body (only for RZ)")</f>
        <v>Zangengrundkörper               (nur für RZ)</v>
      </c>
      <c r="G37" s="704"/>
      <c r="H37" s="284" t="s">
        <v>1147</v>
      </c>
      <c r="I37" s="705" t="str">
        <f>IF($E$6="DE","Motorhersteller                           (nur für RZ)","Motor Supplier                        (only for RZ)")</f>
        <v>Motorhersteller                           (nur für RZ)</v>
      </c>
      <c r="J37" s="706"/>
      <c r="K37" s="707"/>
      <c r="L37" s="284" t="s">
        <v>1131</v>
      </c>
      <c r="M37" s="708" t="str">
        <f>IF($E$6="DE","notwendige Motorkraft max. [N]","requiered Motor Force max. [N]")</f>
        <v>notwendige Motorkraft max. [N]</v>
      </c>
      <c r="N37" s="709"/>
      <c r="O37" s="319" t="e">
        <f>IF(G8="J",(H35/L36)*2,H35/L36)</f>
        <v>#VALUE!</v>
      </c>
      <c r="P37" s="708" t="str">
        <f>IF($E$6="DE","erreichbare Motorkraft max. [N]"," feasible  Motor Force max. [N]")</f>
        <v>erreichbare Motorkraft max. [N]</v>
      </c>
      <c r="Q37" s="709"/>
      <c r="R37" s="710">
        <f>IF(ISNA(VLOOKUP(CONCATENATE(E37,H37,L37),Motordaten!D4:H18,4,FALSE)),"",VLOOKUP(CONCATENATE(E37,H37,L37),Motordaten!D4:H18,4,FALSE))</f>
        <v>12000</v>
      </c>
      <c r="S37" s="711"/>
      <c r="T37" s="712" t="str">
        <f>IF($E$6="DE","Max.Elektrodenkraft lt.Zeichnung[N]","Max.Electrode-Force acc.to Drw.[N]")</f>
        <v>Max.Elektrodenkraft lt.Zeichnung[N]</v>
      </c>
      <c r="U37" s="713"/>
      <c r="V37" s="714"/>
      <c r="W37" s="66">
        <v>5000</v>
      </c>
      <c r="X37" s="715" t="str">
        <f>IF($E$6="DE","Motorbezeichnung:","Designation of Motor")</f>
        <v>Motorbezeichnung:</v>
      </c>
      <c r="Y37" s="716"/>
      <c r="Z37" s="717"/>
      <c r="AA37" s="715" t="str">
        <f>VLOOKUP(CONCATENATE(E37,H37,L37),Motordaten!D4:H18,5,FALSE)</f>
        <v>Fanuc X100 V1.0</v>
      </c>
      <c r="AB37" s="716"/>
      <c r="AC37" s="716"/>
      <c r="AD37" s="717"/>
      <c r="AE37" s="751" t="str">
        <f>IF(E6="DE", "Name:                         (Abteilung)","Name                        (Dept.)")</f>
        <v>Name:                         (Abteilung)</v>
      </c>
      <c r="AF37" s="752"/>
      <c r="AG37" s="753"/>
      <c r="AH37" s="754"/>
      <c r="AI37" s="755"/>
      <c r="AJ37" s="756" t="str">
        <f>IF(E6="DE", "Datum","Date")</f>
        <v>Datum</v>
      </c>
      <c r="AK37" s="752"/>
      <c r="AL37" s="757"/>
      <c r="AM37" s="758"/>
      <c r="AN37" s="759"/>
      <c r="AO37" s="723"/>
      <c r="AP37" s="724"/>
      <c r="AQ37" s="724"/>
      <c r="AR37" s="724"/>
      <c r="AS37" s="724"/>
      <c r="AT37" s="724"/>
      <c r="AU37" s="724"/>
      <c r="AV37" s="724"/>
      <c r="AW37" s="724"/>
      <c r="AX37" s="725"/>
      <c r="AY37" s="293"/>
      <c r="AZ37" s="293"/>
      <c r="BA37" s="293"/>
      <c r="BB37" s="293"/>
      <c r="BD37" s="701" t="e">
        <f>IF($E$6="DE",IF(AND(R34&gt;2.5,R34&lt;10,R35&gt;2.5,R35&lt;10)," ","Rücksprache Prozessmethodik"),IF(AND(R34&gt;2.5,R34&lt;10,R35&gt;2.5,R35&lt;10)," ","consult Process Methodology"))</f>
        <v>#VALUE!</v>
      </c>
      <c r="BE37" s="702"/>
    </row>
    <row r="38" spans="1:85" ht="30" customHeight="1">
      <c r="A38" s="465"/>
      <c r="B38" s="7"/>
      <c r="C38" s="741"/>
      <c r="D38" s="742"/>
      <c r="E38" s="742"/>
      <c r="F38" s="742"/>
      <c r="G38" s="780" t="s">
        <v>0</v>
      </c>
      <c r="H38" s="781"/>
      <c r="I38" s="781"/>
      <c r="J38" s="782"/>
      <c r="K38" s="783" t="s">
        <v>12</v>
      </c>
      <c r="L38" s="784"/>
      <c r="M38" s="785" t="str">
        <f>IF(ISBLANK('Blatt 0'!O55),"Blatt 0!",'Blatt 0'!O55)</f>
        <v>1310</v>
      </c>
      <c r="N38" s="786"/>
      <c r="O38" s="787" t="s">
        <v>13</v>
      </c>
      <c r="P38" s="790" t="s">
        <v>2</v>
      </c>
      <c r="Q38" s="791"/>
      <c r="R38" s="760" t="str">
        <f>IF(ISBLANK('Blatt 0'!X55),"Blatt 0!",'Blatt 0'!X55)</f>
        <v>Pohl</v>
      </c>
      <c r="S38" s="761"/>
      <c r="T38" s="761"/>
      <c r="U38" s="761"/>
      <c r="V38" s="762"/>
      <c r="W38" s="129" t="s">
        <v>39</v>
      </c>
      <c r="X38" s="766">
        <f>IF(ISBLANK('Blatt 0'!AB55),"Blatt 0!",'Blatt 0'!AB55)</f>
        <v>6</v>
      </c>
      <c r="Y38" s="767"/>
      <c r="Z38" s="768"/>
      <c r="AA38" s="309"/>
      <c r="AB38" s="163"/>
      <c r="AC38" s="156"/>
      <c r="AD38" s="157"/>
      <c r="AE38" s="157"/>
      <c r="AF38" s="288"/>
      <c r="AG38" s="288"/>
      <c r="AH38" s="157"/>
      <c r="AI38" s="157"/>
      <c r="AJ38" s="157"/>
      <c r="AK38" s="173"/>
      <c r="AL38" s="289"/>
      <c r="AM38" s="120" t="s">
        <v>40</v>
      </c>
      <c r="AN38" s="121" t="s">
        <v>5</v>
      </c>
      <c r="AO38" s="723"/>
      <c r="AP38" s="724"/>
      <c r="AQ38" s="724"/>
      <c r="AR38" s="724"/>
      <c r="AS38" s="724"/>
      <c r="AT38" s="724"/>
      <c r="AU38" s="724"/>
      <c r="AV38" s="724"/>
      <c r="AW38" s="724"/>
      <c r="AX38" s="725"/>
      <c r="AY38" s="293"/>
      <c r="AZ38" s="293"/>
      <c r="BA38" s="293"/>
      <c r="BB38" s="293"/>
      <c r="BD38" s="729" t="s">
        <v>1182</v>
      </c>
      <c r="BE38" s="730"/>
      <c r="BF38" s="5"/>
      <c r="BG38" s="5"/>
      <c r="BH38" s="5"/>
      <c r="BI38" s="5"/>
      <c r="BJ38" s="5"/>
      <c r="BK38" s="5"/>
      <c r="BL38" s="5"/>
    </row>
    <row r="39" spans="1:85" ht="30" customHeight="1">
      <c r="A39" s="465"/>
      <c r="B39" s="7"/>
      <c r="C39" s="741"/>
      <c r="D39" s="742"/>
      <c r="E39" s="742"/>
      <c r="F39" s="742"/>
      <c r="G39" s="840" t="s">
        <v>31</v>
      </c>
      <c r="H39" s="841"/>
      <c r="I39" s="841"/>
      <c r="J39" s="842"/>
      <c r="K39" s="774" t="s">
        <v>15</v>
      </c>
      <c r="L39" s="775"/>
      <c r="M39" s="778"/>
      <c r="N39" s="779"/>
      <c r="O39" s="788"/>
      <c r="P39" s="772" t="s">
        <v>19</v>
      </c>
      <c r="Q39" s="773"/>
      <c r="R39" s="763"/>
      <c r="S39" s="764"/>
      <c r="T39" s="764"/>
      <c r="U39" s="764"/>
      <c r="V39" s="765"/>
      <c r="W39" s="130" t="s">
        <v>41</v>
      </c>
      <c r="X39" s="769"/>
      <c r="Y39" s="770"/>
      <c r="Z39" s="771"/>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23"/>
      <c r="AP39" s="724"/>
      <c r="AQ39" s="724"/>
      <c r="AR39" s="724"/>
      <c r="AS39" s="724"/>
      <c r="AT39" s="724"/>
      <c r="AU39" s="724"/>
      <c r="AV39" s="724"/>
      <c r="AW39" s="724"/>
      <c r="AX39" s="725"/>
      <c r="AY39" s="293"/>
      <c r="AZ39" s="293"/>
      <c r="BA39" s="293"/>
      <c r="BB39" s="293"/>
      <c r="BD39" s="701"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02"/>
      <c r="BF39" s="49"/>
      <c r="BG39" s="49"/>
      <c r="BH39" s="5"/>
      <c r="BI39" s="5"/>
      <c r="BJ39" s="5"/>
      <c r="BK39" s="5"/>
      <c r="BL39" s="5"/>
    </row>
    <row r="40" spans="1:85" ht="30" customHeight="1">
      <c r="A40" s="465"/>
      <c r="B40" s="7"/>
      <c r="C40" s="741"/>
      <c r="D40" s="742"/>
      <c r="E40" s="742"/>
      <c r="F40" s="742"/>
      <c r="G40" s="843"/>
      <c r="H40" s="844"/>
      <c r="I40" s="844"/>
      <c r="J40" s="845"/>
      <c r="K40" s="774" t="s">
        <v>1</v>
      </c>
      <c r="L40" s="775"/>
      <c r="M40" s="776" t="str">
        <f>IF(ISBLANK('Blatt 0'!O57),"Blatt 0!",'Blatt 0'!O57)</f>
        <v>KJLTVR311310</v>
      </c>
      <c r="N40" s="777"/>
      <c r="O40" s="789"/>
      <c r="P40" s="772" t="s">
        <v>7</v>
      </c>
      <c r="Q40" s="773"/>
      <c r="R40" s="807" t="str">
        <f>IF(ISBLANK('Blatt 0'!X57),"Blatt 0!",'Blatt 0'!X57)</f>
        <v>Machholz</v>
      </c>
      <c r="S40" s="808"/>
      <c r="T40" s="808"/>
      <c r="U40" s="808"/>
      <c r="V40" s="809"/>
      <c r="W40" s="130" t="s">
        <v>8</v>
      </c>
      <c r="X40" s="817">
        <f>IF(ISBLANK('Blatt 0'!AA57),"Blatt 0!",'Blatt 0'!AA57)</f>
        <v>45014</v>
      </c>
      <c r="Y40" s="818"/>
      <c r="Z40" s="819"/>
      <c r="AA40" s="164"/>
      <c r="AB40" s="165"/>
      <c r="AC40" s="160"/>
      <c r="AD40" s="171"/>
      <c r="AE40" s="171"/>
      <c r="AF40" s="171"/>
      <c r="AG40" s="171"/>
      <c r="AH40" s="171"/>
      <c r="AI40" s="171"/>
      <c r="AJ40" s="171"/>
      <c r="AK40" s="171"/>
      <c r="AL40" s="172"/>
      <c r="AM40" s="124"/>
      <c r="AN40" s="125"/>
      <c r="AO40" s="723"/>
      <c r="AP40" s="724"/>
      <c r="AQ40" s="724"/>
      <c r="AR40" s="724"/>
      <c r="AS40" s="724"/>
      <c r="AT40" s="724"/>
      <c r="AU40" s="724"/>
      <c r="AV40" s="724"/>
      <c r="AW40" s="724"/>
      <c r="AX40" s="725"/>
      <c r="AY40" s="293"/>
      <c r="AZ40" s="293"/>
      <c r="BA40" s="293"/>
      <c r="BB40" s="293"/>
      <c r="BC40" s="48"/>
      <c r="BD40" s="701" t="e">
        <f>IF(O36&lt;R36,IF(E6="DE","Rücksprache Prozessmethodik","consult Process Methodology")," ")</f>
        <v>#VALUE!</v>
      </c>
      <c r="BE40" s="702"/>
      <c r="BF40" s="49"/>
      <c r="BG40" s="49"/>
    </row>
    <row r="41" spans="1:85" ht="30" customHeight="1">
      <c r="A41" s="465"/>
      <c r="B41" s="7"/>
      <c r="C41" s="741"/>
      <c r="D41" s="742"/>
      <c r="E41" s="742"/>
      <c r="F41" s="742"/>
      <c r="G41" s="823" t="s">
        <v>14</v>
      </c>
      <c r="H41" s="824"/>
      <c r="I41" s="824"/>
      <c r="J41" s="825"/>
      <c r="K41" s="774" t="s">
        <v>17</v>
      </c>
      <c r="L41" s="775"/>
      <c r="M41" s="778"/>
      <c r="N41" s="779"/>
      <c r="O41" s="826" t="s">
        <v>18</v>
      </c>
      <c r="P41" s="829" t="s">
        <v>44</v>
      </c>
      <c r="Q41" s="775"/>
      <c r="R41" s="763"/>
      <c r="S41" s="764"/>
      <c r="T41" s="764"/>
      <c r="U41" s="764"/>
      <c r="V41" s="765"/>
      <c r="W41" s="131" t="s">
        <v>22</v>
      </c>
      <c r="X41" s="820"/>
      <c r="Y41" s="821"/>
      <c r="Z41" s="822"/>
      <c r="AA41" s="830" t="s">
        <v>1259</v>
      </c>
      <c r="AB41" s="831"/>
      <c r="AC41" s="832" t="str">
        <f>IF(ISBLANK('Blatt 0'!AF58),"Blatt 0!",'Blatt 0'!AF58)</f>
        <v>66-A53-96D 313785</v>
      </c>
      <c r="AD41" s="833"/>
      <c r="AE41" s="833"/>
      <c r="AF41" s="833"/>
      <c r="AG41" s="833"/>
      <c r="AH41" s="833"/>
      <c r="AI41" s="833"/>
      <c r="AJ41" s="833"/>
      <c r="AK41" s="833"/>
      <c r="AL41" s="834"/>
      <c r="AM41" s="838" t="s">
        <v>1644</v>
      </c>
      <c r="AN41" s="797" t="s">
        <v>1654</v>
      </c>
      <c r="AO41" s="723"/>
      <c r="AP41" s="724"/>
      <c r="AQ41" s="724"/>
      <c r="AR41" s="724"/>
      <c r="AS41" s="724"/>
      <c r="AT41" s="724"/>
      <c r="AU41" s="724"/>
      <c r="AV41" s="724"/>
      <c r="AW41" s="724"/>
      <c r="AX41" s="725"/>
      <c r="AY41" s="293"/>
      <c r="AZ41" s="293"/>
      <c r="BA41" s="293"/>
      <c r="BB41" s="293"/>
      <c r="BC41" s="48"/>
      <c r="BD41" s="48"/>
      <c r="BE41" s="48"/>
      <c r="BF41" s="48"/>
    </row>
    <row r="42" spans="1:85" ht="30" customHeight="1">
      <c r="A42" s="465"/>
      <c r="B42" s="7"/>
      <c r="C42" s="741"/>
      <c r="D42" s="742"/>
      <c r="E42" s="742"/>
      <c r="F42" s="742"/>
      <c r="G42" s="799" t="s">
        <v>45</v>
      </c>
      <c r="H42" s="800"/>
      <c r="I42" s="800"/>
      <c r="J42" s="801"/>
      <c r="K42" s="774" t="s">
        <v>6</v>
      </c>
      <c r="L42" s="775"/>
      <c r="M42" s="776" t="str">
        <f>IF(ISBLANK('Blatt 0'!O59),"Blatt 0!",'Blatt 0'!O59)</f>
        <v>VW336</v>
      </c>
      <c r="N42" s="777"/>
      <c r="O42" s="827"/>
      <c r="P42" s="772" t="s">
        <v>10</v>
      </c>
      <c r="Q42" s="773"/>
      <c r="R42" s="807" t="str">
        <f>IF(ISBLANK('Blatt 0'!X59),"Blatt 0!",'Blatt 0'!X59)</f>
        <v>Sallame</v>
      </c>
      <c r="S42" s="808"/>
      <c r="T42" s="808"/>
      <c r="U42" s="808"/>
      <c r="V42" s="809"/>
      <c r="W42" s="131" t="s">
        <v>9</v>
      </c>
      <c r="X42" s="810" t="str">
        <f>IF(ISBLANK('Blatt 0'!AA59),"Blatt 0!",'Blatt 0'!AA59)</f>
        <v>Dengler</v>
      </c>
      <c r="Y42" s="811"/>
      <c r="Z42" s="812"/>
      <c r="AA42" s="830"/>
      <c r="AB42" s="831"/>
      <c r="AC42" s="832"/>
      <c r="AD42" s="833"/>
      <c r="AE42" s="833"/>
      <c r="AF42" s="833"/>
      <c r="AG42" s="833"/>
      <c r="AH42" s="833"/>
      <c r="AI42" s="833"/>
      <c r="AJ42" s="833"/>
      <c r="AK42" s="833"/>
      <c r="AL42" s="834"/>
      <c r="AM42" s="838"/>
      <c r="AN42" s="797"/>
      <c r="AO42" s="723"/>
      <c r="AP42" s="724"/>
      <c r="AQ42" s="724"/>
      <c r="AR42" s="724"/>
      <c r="AS42" s="724"/>
      <c r="AT42" s="724"/>
      <c r="AU42" s="724"/>
      <c r="AV42" s="724"/>
      <c r="AW42" s="724"/>
      <c r="AX42" s="725"/>
      <c r="AY42" s="293"/>
      <c r="AZ42" s="293"/>
      <c r="BA42" s="293"/>
      <c r="BB42" s="293"/>
      <c r="BC42" s="48"/>
      <c r="BD42" s="48"/>
      <c r="BE42" s="48"/>
      <c r="BF42" s="48"/>
    </row>
    <row r="43" spans="1:85" ht="30" customHeight="1" thickBot="1">
      <c r="A43" s="466"/>
      <c r="B43" s="7"/>
      <c r="C43" s="743"/>
      <c r="D43" s="744"/>
      <c r="E43" s="744"/>
      <c r="F43" s="744"/>
      <c r="G43" s="802"/>
      <c r="H43" s="803"/>
      <c r="I43" s="803"/>
      <c r="J43" s="804"/>
      <c r="K43" s="813" t="s">
        <v>16</v>
      </c>
      <c r="L43" s="814"/>
      <c r="M43" s="805"/>
      <c r="N43" s="806"/>
      <c r="O43" s="828"/>
      <c r="P43" s="815" t="s">
        <v>46</v>
      </c>
      <c r="Q43" s="816"/>
      <c r="R43" s="763"/>
      <c r="S43" s="764"/>
      <c r="T43" s="764"/>
      <c r="U43" s="764"/>
      <c r="V43" s="765"/>
      <c r="W43" s="132" t="s">
        <v>23</v>
      </c>
      <c r="X43" s="769"/>
      <c r="Y43" s="770"/>
      <c r="Z43" s="771"/>
      <c r="AA43" s="166"/>
      <c r="AB43" s="167"/>
      <c r="AC43" s="835"/>
      <c r="AD43" s="836"/>
      <c r="AE43" s="836"/>
      <c r="AF43" s="836"/>
      <c r="AG43" s="836"/>
      <c r="AH43" s="836"/>
      <c r="AI43" s="836"/>
      <c r="AJ43" s="836"/>
      <c r="AK43" s="836"/>
      <c r="AL43" s="837"/>
      <c r="AM43" s="839"/>
      <c r="AN43" s="798"/>
      <c r="AO43" s="726"/>
      <c r="AP43" s="727"/>
      <c r="AQ43" s="727"/>
      <c r="AR43" s="727"/>
      <c r="AS43" s="727"/>
      <c r="AT43" s="727"/>
      <c r="AU43" s="727"/>
      <c r="AV43" s="727"/>
      <c r="AW43" s="727"/>
      <c r="AX43" s="728"/>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792" t="s">
        <v>1639</v>
      </c>
      <c r="N44" s="792"/>
      <c r="O44" s="318" t="s">
        <v>1638</v>
      </c>
      <c r="P44" s="318"/>
      <c r="Q44" s="317"/>
      <c r="R44" s="317"/>
      <c r="S44" s="317"/>
      <c r="T44" s="317"/>
      <c r="U44" s="317"/>
      <c r="V44" s="317"/>
      <c r="W44" s="317"/>
      <c r="X44" s="317"/>
      <c r="Y44" s="317"/>
      <c r="Z44" s="317"/>
      <c r="AA44" s="317"/>
      <c r="AB44" s="317"/>
      <c r="AC44" s="287"/>
      <c r="AD44" s="287"/>
      <c r="AF44" s="793" t="s">
        <v>1248</v>
      </c>
      <c r="AG44" s="793"/>
      <c r="AH44" s="794" t="s">
        <v>1253</v>
      </c>
      <c r="AI44" s="794"/>
      <c r="AJ44" s="794"/>
      <c r="AK44" s="795" t="s">
        <v>1247</v>
      </c>
      <c r="AL44" s="795"/>
      <c r="AM44" s="796"/>
      <c r="AN44" s="796"/>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52" priority="206" stopIfTrue="1" operator="equal">
      <formula>"Ergebnis des Druckbereichs i.O."</formula>
    </cfRule>
    <cfRule type="cellIs" dxfId="151" priority="207" stopIfTrue="1" operator="equal">
      <formula>"Ergebnis des Druckbereichs nicht i.O."</formula>
    </cfRule>
  </conditionalFormatting>
  <conditionalFormatting sqref="BD37">
    <cfRule type="cellIs" dxfId="150" priority="204" stopIfTrue="1" operator="equal">
      <formula>" "</formula>
    </cfRule>
    <cfRule type="cellIs" dxfId="149" priority="205" stopIfTrue="1" operator="equal">
      <formula>"Rücksprache Prozessmethodik"</formula>
    </cfRule>
  </conditionalFormatting>
  <conditionalFormatting sqref="X36">
    <cfRule type="cellIs" dxfId="148" priority="201" stopIfTrue="1" operator="notEqual">
      <formula>"39D 1978-2"</formula>
    </cfRule>
    <cfRule type="containsText" dxfId="147" priority="202" stopIfTrue="1" operator="containsText" text="39D 1978-2">
      <formula>NOT(ISERROR(SEARCH("39D 1978-2",X36)))</formula>
    </cfRule>
    <cfRule type="expression" priority="203" stopIfTrue="1">
      <formula>1</formula>
    </cfRule>
  </conditionalFormatting>
  <conditionalFormatting sqref="AA36">
    <cfRule type="cellIs" dxfId="146" priority="200" stopIfTrue="1" operator="notEqual">
      <formula>6</formula>
    </cfRule>
  </conditionalFormatting>
  <conditionalFormatting sqref="AB36">
    <cfRule type="cellIs" dxfId="145" priority="199" stopIfTrue="1" operator="notEqual">
      <formula>50</formula>
    </cfRule>
  </conditionalFormatting>
  <conditionalFormatting sqref="AC36">
    <cfRule type="cellIs" dxfId="144" priority="198" stopIfTrue="1" operator="notEqual">
      <formula>6</formula>
    </cfRule>
  </conditionalFormatting>
  <conditionalFormatting sqref="AD36">
    <cfRule type="cellIs" dxfId="143" priority="197" stopIfTrue="1" operator="notEqual">
      <formula>50</formula>
    </cfRule>
  </conditionalFormatting>
  <conditionalFormatting sqref="BW19:BW33">
    <cfRule type="cellIs" dxfId="142" priority="208" stopIfTrue="1" operator="equal">
      <formula>$AC$19</formula>
    </cfRule>
  </conditionalFormatting>
  <conditionalFormatting sqref="G32:G33">
    <cfRule type="expression" dxfId="141" priority="196" stopIfTrue="1">
      <formula>OR(AND(ISNUMBER($P32),ISBLANK($G32)),AND(ISTEXT($G32),ISBLANK($P32)))</formula>
    </cfRule>
  </conditionalFormatting>
  <conditionalFormatting sqref="BD36">
    <cfRule type="cellIs" dxfId="140" priority="191" operator="equal">
      <formula>"pressure level not allowed"</formula>
    </cfRule>
    <cfRule type="cellIs" dxfId="139" priority="192" operator="equal">
      <formula>"presure level allowed"</formula>
    </cfRule>
    <cfRule type="cellIs" dxfId="138" priority="193" operator="equal">
      <formula>"Max. Force of gun acc.Drw.exceeded!"</formula>
    </cfRule>
    <cfRule type="cellIs" dxfId="137" priority="195" stopIfTrue="1" operator="equal">
      <formula>"Zangenkraft lt.Zangenzeichnung überschritten!"</formula>
    </cfRule>
  </conditionalFormatting>
  <conditionalFormatting sqref="AE19:AE24 AE32:AE33">
    <cfRule type="expression" dxfId="136" priority="194">
      <formula>ISERROR(AE19)</formula>
    </cfRule>
  </conditionalFormatting>
  <conditionalFormatting sqref="BD37">
    <cfRule type="cellIs" dxfId="135" priority="190" operator="equal">
      <formula>"consult process methodology"</formula>
    </cfRule>
  </conditionalFormatting>
  <conditionalFormatting sqref="G6">
    <cfRule type="cellIs" dxfId="134" priority="189" operator="equal">
      <formula>"-"</formula>
    </cfRule>
  </conditionalFormatting>
  <conditionalFormatting sqref="H34">
    <cfRule type="cellIs" dxfId="133" priority="188" operator="equal">
      <formula>"Zangentyp?"</formula>
    </cfRule>
  </conditionalFormatting>
  <conditionalFormatting sqref="BD39">
    <cfRule type="cellIs" dxfId="132" priority="186" stopIfTrue="1" operator="equal">
      <formula>"Zangen/Motorauslegung i.O."</formula>
    </cfRule>
    <cfRule type="cellIs" dxfId="131" priority="187" stopIfTrue="1" operator="equal">
      <formula>"Zangen/Motorauslegung nicht i.O."</formula>
    </cfRule>
  </conditionalFormatting>
  <conditionalFormatting sqref="BD39 BF39:BG39">
    <cfRule type="cellIs" dxfId="130" priority="180" operator="equal">
      <formula>"Gun/Electromotor Design not O.K."</formula>
    </cfRule>
    <cfRule type="cellIs" dxfId="129" priority="181" operator="equal">
      <formula>"Gun/Electromotor Design O.K."</formula>
    </cfRule>
    <cfRule type="cellIs" dxfId="128" priority="182" operator="equal">
      <formula>"incorrect Gun Type/Gun Body/Gun Measure"</formula>
    </cfRule>
    <cfRule type="cellIs" dxfId="127" priority="183" operator="equal">
      <formula>"Max. Force of Gun acc.Drw.exceeded!"</formula>
    </cfRule>
    <cfRule type="cellIs" dxfId="126" priority="184" operator="equal">
      <formula>"max. Zangenkraft lt.Zeichnung überschritten!"</formula>
    </cfRule>
    <cfRule type="cellIs" dxfId="125" priority="185" stopIfTrue="1" operator="equal">
      <formula>"Zangentyp/-grundkörper/-maße falsch"</formula>
    </cfRule>
  </conditionalFormatting>
  <conditionalFormatting sqref="BD40">
    <cfRule type="cellIs" dxfId="124" priority="178" stopIfTrue="1" operator="equal">
      <formula>" "</formula>
    </cfRule>
    <cfRule type="cellIs" dxfId="123" priority="179" stopIfTrue="1" operator="equal">
      <formula>"Rücksprache Prozessmethodik"</formula>
    </cfRule>
  </conditionalFormatting>
  <conditionalFormatting sqref="T36">
    <cfRule type="cellIs" dxfId="122" priority="176" stopIfTrue="1" operator="equal">
      <formula>" "</formula>
    </cfRule>
    <cfRule type="cellIs" dxfId="121" priority="177" stopIfTrue="1" operator="equal">
      <formula>"Rücksprache Prozessmethodik"</formula>
    </cfRule>
  </conditionalFormatting>
  <conditionalFormatting sqref="T36">
    <cfRule type="cellIs" dxfId="120" priority="175" operator="equal">
      <formula>"consult process methodology"</formula>
    </cfRule>
  </conditionalFormatting>
  <conditionalFormatting sqref="T35">
    <cfRule type="cellIs" dxfId="119" priority="173" stopIfTrue="1" operator="equal">
      <formula>"Zangen/Motorauslegung i.O."</formula>
    </cfRule>
    <cfRule type="cellIs" dxfId="118" priority="174" stopIfTrue="1" operator="equal">
      <formula>"Zangen/Motorauslegung nicht i.O."</formula>
    </cfRule>
  </conditionalFormatting>
  <conditionalFormatting sqref="T35:W35">
    <cfRule type="cellIs" dxfId="117" priority="160" operator="equal">
      <formula>"Zangentyp/Guntype?"</formula>
    </cfRule>
    <cfRule type="cellIs" dxfId="116" priority="163" operator="equal">
      <formula>"Pressure level not allowed"</formula>
    </cfRule>
    <cfRule type="cellIs" dxfId="115" priority="164" operator="equal">
      <formula>"Presure level allowed"</formula>
    </cfRule>
    <cfRule type="cellIs" dxfId="114" priority="165" operator="equal">
      <formula>"Ergebnis des Druckbereichs nicht i.O."</formula>
    </cfRule>
    <cfRule type="cellIs" dxfId="113" priority="166" operator="equal">
      <formula>"Ergebnis des Druckbereichs i.O."</formula>
    </cfRule>
    <cfRule type="cellIs" dxfId="112" priority="167" operator="equal">
      <formula>"Gun/Electromotor Design not O.K."</formula>
    </cfRule>
    <cfRule type="cellIs" dxfId="111" priority="168" operator="equal">
      <formula>"Gun/Electromotor Design O.K."</formula>
    </cfRule>
    <cfRule type="cellIs" dxfId="110" priority="169" operator="equal">
      <formula>"incorrect Gun Type/Gun Body/Gun Measure"</formula>
    </cfRule>
    <cfRule type="cellIs" dxfId="109" priority="170" operator="equal">
      <formula>"Max. Force of Gun acc.Drw.exceeded!"</formula>
    </cfRule>
    <cfRule type="cellIs" dxfId="108" priority="171" operator="equal">
      <formula>"max. Zangenkraft lt.Zeichnung überschritten!"</formula>
    </cfRule>
    <cfRule type="cellIs" dxfId="107" priority="172" stopIfTrue="1" operator="equal">
      <formula>"Zangentyp/-grundkörper/-maße falsch"</formula>
    </cfRule>
  </conditionalFormatting>
  <conditionalFormatting sqref="E37">
    <cfRule type="expression" dxfId="106" priority="162">
      <formula>$G$6="SPZ"</formula>
    </cfRule>
  </conditionalFormatting>
  <conditionalFormatting sqref="E34">
    <cfRule type="expression" dxfId="105" priority="161">
      <formula>$G$6="RZ"</formula>
    </cfRule>
  </conditionalFormatting>
  <conditionalFormatting sqref="E36">
    <cfRule type="expression" dxfId="104" priority="140">
      <formula>$G$6="RZ"</formula>
    </cfRule>
  </conditionalFormatting>
  <conditionalFormatting sqref="Y23:Y24 Y32:Y33">
    <cfRule type="expression" dxfId="103" priority="156">
      <formula>ISERR(AE23)</formula>
    </cfRule>
  </conditionalFormatting>
  <conditionalFormatting sqref="S32:S33">
    <cfRule type="expression" dxfId="102" priority="155">
      <formula>$U32="t2?"</formula>
    </cfRule>
  </conditionalFormatting>
  <conditionalFormatting sqref="AN35:AN36">
    <cfRule type="cellIs" dxfId="101" priority="154" operator="equal">
      <formula>"Ja"</formula>
    </cfRule>
  </conditionalFormatting>
  <conditionalFormatting sqref="AE35:AE36">
    <cfRule type="expression" dxfId="100" priority="210">
      <formula>AN35="Ja"</formula>
    </cfRule>
  </conditionalFormatting>
  <conditionalFormatting sqref="AE37">
    <cfRule type="expression" dxfId="99" priority="211">
      <formula>AND(AN35="Ja",ISBLANK($AG$37))</formula>
    </cfRule>
  </conditionalFormatting>
  <conditionalFormatting sqref="AJ37">
    <cfRule type="expression" dxfId="98" priority="212">
      <formula>AND(AN35="Ja",ISBLANK($AL$37))</formula>
    </cfRule>
  </conditionalFormatting>
  <conditionalFormatting sqref="AL37">
    <cfRule type="expression" dxfId="97" priority="152">
      <formula>AND(AN35="Ja",ISBLANK($AL$37))</formula>
    </cfRule>
  </conditionalFormatting>
  <conditionalFormatting sqref="G8">
    <cfRule type="expression" dxfId="96" priority="151">
      <formula>NOT(OR(G8="J",G8="N"))</formula>
    </cfRule>
  </conditionalFormatting>
  <conditionalFormatting sqref="P23:P24 V23:V24 S23:S24 V32:V33">
    <cfRule type="expression" dxfId="95" priority="150">
      <formula>$R23="t1?"</formula>
    </cfRule>
  </conditionalFormatting>
  <conditionalFormatting sqref="L37">
    <cfRule type="expression" dxfId="94" priority="147">
      <formula>$G$6="SPZ"</formula>
    </cfRule>
  </conditionalFormatting>
  <conditionalFormatting sqref="O36">
    <cfRule type="expression" dxfId="93" priority="146">
      <formula>$G$6="SPZ"</formula>
    </cfRule>
  </conditionalFormatting>
  <conditionalFormatting sqref="O37">
    <cfRule type="expression" dxfId="92" priority="145">
      <formula>$G$6="SPZ"</formula>
    </cfRule>
  </conditionalFormatting>
  <conditionalFormatting sqref="R36">
    <cfRule type="expression" dxfId="91" priority="144">
      <formula>$G$6="SPZ"</formula>
    </cfRule>
  </conditionalFormatting>
  <conditionalFormatting sqref="R37">
    <cfRule type="expression" dxfId="90" priority="143">
      <formula>$G$6="SPZ"</formula>
    </cfRule>
  </conditionalFormatting>
  <conditionalFormatting sqref="X37">
    <cfRule type="expression" dxfId="89" priority="142">
      <formula>$G$6="SPZ"</formula>
    </cfRule>
  </conditionalFormatting>
  <conditionalFormatting sqref="AA37">
    <cfRule type="expression" dxfId="88" priority="141">
      <formula>$G$6="SPZ"</formula>
    </cfRule>
  </conditionalFormatting>
  <conditionalFormatting sqref="H36">
    <cfRule type="expression" dxfId="87" priority="139">
      <formula>$G$6="RZ"</formula>
    </cfRule>
  </conditionalFormatting>
  <conditionalFormatting sqref="O34">
    <cfRule type="expression" dxfId="86" priority="138">
      <formula>$G$6="RZ"</formula>
    </cfRule>
  </conditionalFormatting>
  <conditionalFormatting sqref="O35">
    <cfRule type="expression" dxfId="85" priority="137">
      <formula>$G$6="RZ"</formula>
    </cfRule>
  </conditionalFormatting>
  <conditionalFormatting sqref="R34">
    <cfRule type="expression" dxfId="84" priority="136">
      <formula>$G$6="RZ"</formula>
    </cfRule>
  </conditionalFormatting>
  <conditionalFormatting sqref="R35">
    <cfRule type="expression" dxfId="83" priority="135">
      <formula>$G$6="RZ"</formula>
    </cfRule>
  </conditionalFormatting>
  <conditionalFormatting sqref="C34:D35">
    <cfRule type="expression" dxfId="82" priority="134">
      <formula>$G$6="RZ"</formula>
    </cfRule>
  </conditionalFormatting>
  <conditionalFormatting sqref="C36:D36">
    <cfRule type="expression" dxfId="81" priority="133">
      <formula>$G$6="RZ"</formula>
    </cfRule>
  </conditionalFormatting>
  <conditionalFormatting sqref="F36:G36">
    <cfRule type="expression" dxfId="80" priority="132">
      <formula>$G$6="RZ"</formula>
    </cfRule>
  </conditionalFormatting>
  <conditionalFormatting sqref="M35:N35">
    <cfRule type="expression" dxfId="79" priority="131">
      <formula>$G$6="RZ"</formula>
    </cfRule>
  </conditionalFormatting>
  <conditionalFormatting sqref="P35:Q35">
    <cfRule type="expression" dxfId="78" priority="130">
      <formula>$G$6="RZ"</formula>
    </cfRule>
  </conditionalFormatting>
  <conditionalFormatting sqref="M34:N34">
    <cfRule type="expression" dxfId="77" priority="129">
      <formula>$G$6="RZ"</formula>
    </cfRule>
  </conditionalFormatting>
  <conditionalFormatting sqref="P34:Q34">
    <cfRule type="expression" dxfId="76" priority="128">
      <formula>$G$6="RZ"</formula>
    </cfRule>
  </conditionalFormatting>
  <conditionalFormatting sqref="C37:D37">
    <cfRule type="expression" dxfId="75" priority="127">
      <formula>$G$6="SPZ"</formula>
    </cfRule>
  </conditionalFormatting>
  <conditionalFormatting sqref="F37:G37">
    <cfRule type="expression" dxfId="74" priority="126">
      <formula>$G$6="SPZ"</formula>
    </cfRule>
  </conditionalFormatting>
  <conditionalFormatting sqref="I37">
    <cfRule type="expression" dxfId="73" priority="125">
      <formula>$G$6="SPZ"</formula>
    </cfRule>
  </conditionalFormatting>
  <conditionalFormatting sqref="M36:N36">
    <cfRule type="expression" dxfId="72" priority="124">
      <formula>$G$6="SPZ"</formula>
    </cfRule>
  </conditionalFormatting>
  <conditionalFormatting sqref="M37:N37">
    <cfRule type="expression" dxfId="71" priority="123">
      <formula>$G$6="SPZ"</formula>
    </cfRule>
  </conditionalFormatting>
  <conditionalFormatting sqref="P37:Q37">
    <cfRule type="expression" dxfId="70" priority="122">
      <formula>$G$6="SPZ"</formula>
    </cfRule>
  </conditionalFormatting>
  <conditionalFormatting sqref="P36:Q36">
    <cfRule type="expression" dxfId="69" priority="121">
      <formula>$G$6="SPZ"</formula>
    </cfRule>
  </conditionalFormatting>
  <conditionalFormatting sqref="AF35:AM36">
    <cfRule type="expression" dxfId="68" priority="213">
      <formula>BC35="Ja"</formula>
    </cfRule>
  </conditionalFormatting>
  <conditionalFormatting sqref="AF37">
    <cfRule type="expression" dxfId="67" priority="214">
      <formula>AND(BC35="Ja",ISBLANK($AG$37))</formula>
    </cfRule>
  </conditionalFormatting>
  <conditionalFormatting sqref="AK37">
    <cfRule type="expression" dxfId="66" priority="215">
      <formula>AND(BC35="Ja",ISBLANK($AL$37))</formula>
    </cfRule>
  </conditionalFormatting>
  <conditionalFormatting sqref="AM37:AN37">
    <cfRule type="expression" dxfId="65" priority="217">
      <formula>AND(BC35="Ja",ISBLANK($AL$37))</formula>
    </cfRule>
  </conditionalFormatting>
  <conditionalFormatting sqref="P32:P33">
    <cfRule type="expression" dxfId="64" priority="118">
      <formula>$U32="t2?"</formula>
    </cfRule>
  </conditionalFormatting>
  <conditionalFormatting sqref="AE34:AN34">
    <cfRule type="containsText" dxfId="63"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2" priority="97" stopIfTrue="1">
      <formula>OR(AND(ISNUMBER($P20),ISBLANK($G20)),AND(ISTEXT($G20),ISBLANK($P20)))</formula>
    </cfRule>
  </conditionalFormatting>
  <conditionalFormatting sqref="P21">
    <cfRule type="expression" dxfId="61" priority="91">
      <formula>$R21="t1?"</formula>
    </cfRule>
  </conditionalFormatting>
  <conditionalFormatting sqref="P22">
    <cfRule type="expression" dxfId="60" priority="96">
      <formula>$R22="t1?"</formula>
    </cfRule>
  </conditionalFormatting>
  <conditionalFormatting sqref="P19">
    <cfRule type="expression" dxfId="59" priority="95">
      <formula>$R19="t1?"</formula>
    </cfRule>
  </conditionalFormatting>
  <conditionalFormatting sqref="Q21">
    <cfRule type="expression" dxfId="58" priority="90">
      <formula>CELL("Schutz",Q21)</formula>
    </cfRule>
  </conditionalFormatting>
  <conditionalFormatting sqref="Q19">
    <cfRule type="expression" dxfId="57" priority="94">
      <formula>CELL("Schutz",Q19)</formula>
    </cfRule>
  </conditionalFormatting>
  <conditionalFormatting sqref="P20">
    <cfRule type="expression" dxfId="56" priority="93">
      <formula>$R20="t1?"</formula>
    </cfRule>
  </conditionalFormatting>
  <conditionalFormatting sqref="Q20">
    <cfRule type="expression" dxfId="55" priority="92">
      <formula>CELL("Schutz",Q20)</formula>
    </cfRule>
  </conditionalFormatting>
  <conditionalFormatting sqref="S22">
    <cfRule type="expression" dxfId="54" priority="89">
      <formula>$R22="t1?"</formula>
    </cfRule>
  </conditionalFormatting>
  <conditionalFormatting sqref="S19">
    <cfRule type="expression" dxfId="53" priority="88">
      <formula>$R19="t1?"</formula>
    </cfRule>
  </conditionalFormatting>
  <conditionalFormatting sqref="T19">
    <cfRule type="expression" dxfId="52" priority="87">
      <formula>CELL("Schutz",T19)</formula>
    </cfRule>
  </conditionalFormatting>
  <conditionalFormatting sqref="S20">
    <cfRule type="expression" dxfId="51" priority="86">
      <formula>$R20="t1?"</formula>
    </cfRule>
  </conditionalFormatting>
  <conditionalFormatting sqref="T20">
    <cfRule type="expression" dxfId="50" priority="85">
      <formula>CELL("Schutz",T20)</formula>
    </cfRule>
  </conditionalFormatting>
  <conditionalFormatting sqref="S21">
    <cfRule type="expression" dxfId="49" priority="84">
      <formula>$R21="t1?"</formula>
    </cfRule>
  </conditionalFormatting>
  <conditionalFormatting sqref="T21">
    <cfRule type="expression" dxfId="48" priority="83">
      <formula>CELL("Schutz",T21)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
    <cfRule type="expression" dxfId="31" priority="32">
      <formula>ISERROR(AE25)</formula>
    </cfRule>
  </conditionalFormatting>
  <conditionalFormatting sqref="Y25">
    <cfRule type="expression" dxfId="30" priority="31">
      <formula>ISERR(AE25)</formula>
    </cfRule>
  </conditionalFormatting>
  <conditionalFormatting sqref="P25 V25 S25">
    <cfRule type="expression" dxfId="29" priority="30">
      <formula>$R25="t1?"</formula>
    </cfRule>
  </conditionalFormatting>
  <conditionalFormatting sqref="G25">
    <cfRule type="expression" dxfId="28" priority="29" stopIfTrue="1">
      <formula>OR(AND(ISNUMBER($P25),ISBLANK($G25)),AND(ISTEXT($G25),ISBLANK($P25)))</formula>
    </cfRule>
  </conditionalFormatting>
  <conditionalFormatting sqref="AE26:AE31">
    <cfRule type="expression" dxfId="27" priority="28">
      <formula>ISERROR(AE26)</formula>
    </cfRule>
  </conditionalFormatting>
  <conditionalFormatting sqref="Y30:Y31">
    <cfRule type="expression" dxfId="26" priority="27">
      <formula>ISERR(AE30)</formula>
    </cfRule>
  </conditionalFormatting>
  <conditionalFormatting sqref="P30:P31 V30:V31 S30:S31">
    <cfRule type="expression" dxfId="25" priority="26">
      <formula>$R30="t1?"</formula>
    </cfRule>
  </conditionalFormatting>
  <conditionalFormatting sqref="G27:G31">
    <cfRule type="expression" dxfId="24" priority="25" stopIfTrue="1">
      <formula>OR(AND(ISNUMBER($P27),ISBLANK($G27)),AND(ISTEXT($G27),ISBLANK($P27)))</formula>
    </cfRule>
  </conditionalFormatting>
  <conditionalFormatting sqref="P28">
    <cfRule type="expression" dxfId="23" priority="19">
      <formula>$R28="t1?"</formula>
    </cfRule>
  </conditionalFormatting>
  <conditionalFormatting sqref="P29">
    <cfRule type="expression" dxfId="22" priority="24">
      <formula>$R29="t1?"</formula>
    </cfRule>
  </conditionalFormatting>
  <conditionalFormatting sqref="P26">
    <cfRule type="expression" dxfId="21" priority="23">
      <formula>$R26="t1?"</formula>
    </cfRule>
  </conditionalFormatting>
  <conditionalFormatting sqref="Q28">
    <cfRule type="expression" dxfId="20" priority="18">
      <formula>CELL("Schutz",Q28)</formula>
    </cfRule>
  </conditionalFormatting>
  <conditionalFormatting sqref="Q26">
    <cfRule type="expression" dxfId="19" priority="22">
      <formula>CELL("Schutz",Q26)</formula>
    </cfRule>
  </conditionalFormatting>
  <conditionalFormatting sqref="P27">
    <cfRule type="expression" dxfId="18" priority="21">
      <formula>$R27="t1?"</formula>
    </cfRule>
  </conditionalFormatting>
  <conditionalFormatting sqref="Q27">
    <cfRule type="expression" dxfId="17" priority="20">
      <formula>CELL("Schutz",Q27)</formula>
    </cfRule>
  </conditionalFormatting>
  <conditionalFormatting sqref="S29">
    <cfRule type="expression" dxfId="16" priority="17">
      <formula>$R29="t1?"</formula>
    </cfRule>
  </conditionalFormatting>
  <conditionalFormatting sqref="S26">
    <cfRule type="expression" dxfId="15" priority="16">
      <formula>$R26="t1?"</formula>
    </cfRule>
  </conditionalFormatting>
  <conditionalFormatting sqref="T26">
    <cfRule type="expression" dxfId="14" priority="15">
      <formula>CELL("Schutz",T26)</formula>
    </cfRule>
  </conditionalFormatting>
  <conditionalFormatting sqref="S27">
    <cfRule type="expression" dxfId="13" priority="14">
      <formula>$R27="t1?"</formula>
    </cfRule>
  </conditionalFormatting>
  <conditionalFormatting sqref="T27">
    <cfRule type="expression" dxfId="12" priority="13">
      <formula>CELL("Schutz",T27)</formula>
    </cfRule>
  </conditionalFormatting>
  <conditionalFormatting sqref="S28">
    <cfRule type="expression" dxfId="11" priority="12">
      <formula>$R28="t1?"</formula>
    </cfRule>
  </conditionalFormatting>
  <conditionalFormatting sqref="T28">
    <cfRule type="expression" dxfId="10" priority="11">
      <formula>CELL("Schutz",T28)</formula>
    </cfRule>
  </conditionalFormatting>
  <conditionalFormatting sqref="W28">
    <cfRule type="expression" dxfId="9" priority="4">
      <formula>CELL("Schutz",W28)</formula>
    </cfRule>
  </conditionalFormatting>
  <conditionalFormatting sqref="V28">
    <cfRule type="expression" dxfId="8" priority="5">
      <formula>$R28="t1?"</formula>
    </cfRule>
  </conditionalFormatting>
  <conditionalFormatting sqref="V29">
    <cfRule type="expression" dxfId="7" priority="10">
      <formula>$R29="t1?"</formula>
    </cfRule>
  </conditionalFormatting>
  <conditionalFormatting sqref="V26">
    <cfRule type="expression" dxfId="6" priority="9">
      <formula>$R26="t1?"</formula>
    </cfRule>
  </conditionalFormatting>
  <conditionalFormatting sqref="W26">
    <cfRule type="expression" dxfId="5" priority="8">
      <formula>CELL("Schutz",W26)</formula>
    </cfRule>
  </conditionalFormatting>
  <conditionalFormatting sqref="V27">
    <cfRule type="expression" dxfId="4" priority="7">
      <formula>$R27="t1?"</formula>
    </cfRule>
  </conditionalFormatting>
  <conditionalFormatting sqref="W27">
    <cfRule type="expression" dxfId="3" priority="6">
      <formula>CELL("Schutz",W27)</formula>
    </cfRule>
  </conditionalFormatting>
  <conditionalFormatting sqref="Y26">
    <cfRule type="expression" dxfId="2" priority="3">
      <formula>ISERR(AE26)</formula>
    </cfRule>
  </conditionalFormatting>
  <conditionalFormatting sqref="Y27:Y29">
    <cfRule type="expression" dxfId="1" priority="2">
      <formula>ISERR(AE27)</formula>
    </cfRule>
  </conditionalFormatting>
  <conditionalFormatting sqref="G26">
    <cfRule type="expression" dxfId="0" priority="1" stopIfTrue="1">
      <formula>OR(AND(ISNUMBER($P26),ISBLANK($G26)),AND(ISTEXT($G26),ISBLANK($P26)))</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LTVR_3_1310R01</vt:lpstr>
      <vt:lpstr>Materialliste</vt:lpstr>
      <vt:lpstr>Motordaten</vt:lpstr>
      <vt:lpstr>'Blatt 0'!Area_de_impressao</vt:lpstr>
      <vt:lpstr>'Punktplan LTVR_3_1310R01'!Area_de_impressao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2023-03-29T16:59:29Z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