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R\"/>
    </mc:Choice>
  </mc:AlternateContent>
  <bookViews>
    <workbookView xWindow="0" yWindow="0" windowWidth="28800" windowHeight="12435" tabRatio="659" activeTab="2"/>
  </bookViews>
  <sheets>
    <sheet name="Blatt 0" sheetId="1" r:id="rId1"/>
    <sheet name="Blatt_1_1600R01" sheetId="51" r:id="rId2"/>
    <sheet name="Punktplan LTVR_4_1600R01" sheetId="49" r:id="rId3"/>
    <sheet name="Materialliste" sheetId="21" r:id="rId4"/>
    <sheet name="Motordaten" sheetId="25" r:id="rId5"/>
  </sheets>
  <functionGroups builtInGroupCount="18"/>
  <definedNames>
    <definedName name="_xlnm._FilterDatabase" localSheetId="2" hidden="1">'Punktplan LTVR_4_1600R01'!$M$19:$M$24</definedName>
    <definedName name="_xlnm.Print_Area" localSheetId="0">'Blatt 0'!$A$1:$AK$60</definedName>
    <definedName name="_xlnm.Print_Area" localSheetId="1">Blatt_1_1600R01!$A$1:$AK$60</definedName>
    <definedName name="_xlnm.Print_Area" localSheetId="2">'Punktplan LTVR_4_1600R01'!$A$3:$AX$42</definedName>
  </definedNames>
  <calcPr calcId="152511"/>
</workbook>
</file>

<file path=xl/calcChain.xml><?xml version="1.0" encoding="utf-8"?>
<calcChain xmlns="http://schemas.openxmlformats.org/spreadsheetml/2006/main">
  <c r="T18" i="49" l="1"/>
  <c r="O59" i="51" l="1"/>
  <c r="O57" i="51"/>
  <c r="O55" i="51"/>
  <c r="X59" i="51"/>
  <c r="X57" i="51"/>
  <c r="X55" i="51"/>
  <c r="AA59" i="51"/>
  <c r="AA57" i="51"/>
  <c r="AB55" i="51"/>
  <c r="AF58" i="51"/>
  <c r="AB54" i="51"/>
  <c r="AH53" i="51"/>
  <c r="B59" i="51"/>
  <c r="AL24" i="49" l="1"/>
  <c r="AK24" i="49"/>
  <c r="AJ24" i="49"/>
  <c r="AI24" i="49"/>
  <c r="AG24" i="49"/>
  <c r="AF24" i="49"/>
  <c r="X24" i="49"/>
  <c r="AL23" i="49"/>
  <c r="AK23" i="49"/>
  <c r="AJ23" i="49"/>
  <c r="AI23" i="49"/>
  <c r="AG23" i="49"/>
  <c r="AF23" i="49"/>
  <c r="X23" i="49"/>
  <c r="AL22" i="49"/>
  <c r="AK22" i="49"/>
  <c r="AJ22" i="49"/>
  <c r="AI22" i="49"/>
  <c r="AG22" i="49"/>
  <c r="AF22" i="49"/>
  <c r="X22" i="49"/>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S30" i="49"/>
  <c r="BT30" i="49" s="1"/>
  <c r="BM30" i="49"/>
  <c r="BL30" i="49"/>
  <c r="BK30" i="49"/>
  <c r="BI30" i="49"/>
  <c r="BF30" i="49"/>
  <c r="BE30" i="49"/>
  <c r="BD30" i="49"/>
  <c r="BS29" i="49"/>
  <c r="BT29" i="49" s="1"/>
  <c r="BM29" i="49"/>
  <c r="BL29" i="49"/>
  <c r="BK29" i="49"/>
  <c r="BI29" i="49"/>
  <c r="BF29" i="49"/>
  <c r="BE29" i="49"/>
  <c r="BD29" i="49"/>
  <c r="BS28" i="49"/>
  <c r="BT28" i="49" s="1"/>
  <c r="BM28" i="49"/>
  <c r="BL28" i="49"/>
  <c r="BK28" i="49"/>
  <c r="BI28" i="49"/>
  <c r="BF28" i="49"/>
  <c r="BE28" i="49"/>
  <c r="BD28" i="49"/>
  <c r="BS27" i="49"/>
  <c r="BT27" i="49" s="1"/>
  <c r="BM27" i="49"/>
  <c r="BL27" i="49"/>
  <c r="BK27" i="49"/>
  <c r="BI27" i="49"/>
  <c r="BF27" i="49"/>
  <c r="BE27" i="49"/>
  <c r="BD27" i="49"/>
  <c r="BS26" i="49"/>
  <c r="BT26" i="49" s="1"/>
  <c r="BM26" i="49"/>
  <c r="BL26" i="49"/>
  <c r="BK26" i="49"/>
  <c r="BI26" i="49"/>
  <c r="BF26" i="49"/>
  <c r="BE26" i="49"/>
  <c r="BD26" i="49"/>
  <c r="BO26" i="49" s="1"/>
  <c r="BP26" i="49" s="1"/>
  <c r="BS25" i="49"/>
  <c r="BT25" i="49" s="1"/>
  <c r="BM25" i="49"/>
  <c r="BL25" i="49"/>
  <c r="BK25" i="49"/>
  <c r="BI25" i="49"/>
  <c r="BF25" i="49"/>
  <c r="BE25" i="49"/>
  <c r="BD25" i="49"/>
  <c r="BS24" i="49"/>
  <c r="BT24" i="49" s="1"/>
  <c r="BM24" i="49"/>
  <c r="BL24" i="49"/>
  <c r="BK24" i="49"/>
  <c r="BI24" i="49"/>
  <c r="BF24" i="49"/>
  <c r="BE24" i="49"/>
  <c r="U24" i="49" s="1"/>
  <c r="BD24" i="49"/>
  <c r="R24" i="49" s="1"/>
  <c r="BS23" i="49"/>
  <c r="BT23" i="49" s="1"/>
  <c r="BM23" i="49"/>
  <c r="BL23" i="49"/>
  <c r="BK23" i="49"/>
  <c r="BI23" i="49"/>
  <c r="BF23" i="49"/>
  <c r="BE23" i="49"/>
  <c r="U23" i="49" s="1"/>
  <c r="BD23" i="49"/>
  <c r="R23" i="49" s="1"/>
  <c r="BS22" i="49"/>
  <c r="BT22" i="49" s="1"/>
  <c r="BM22" i="49"/>
  <c r="BL22" i="49"/>
  <c r="BK22" i="49"/>
  <c r="BI22" i="49"/>
  <c r="BF22" i="49"/>
  <c r="BE22" i="49"/>
  <c r="U22" i="49" s="1"/>
  <c r="BD22" i="49"/>
  <c r="R22" i="49" s="1"/>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24" i="49" l="1"/>
  <c r="AA23" i="49"/>
  <c r="AA22" i="49"/>
  <c r="AA31" i="49"/>
  <c r="BO29" i="49"/>
  <c r="BP29" i="49" s="1"/>
  <c r="BO28" i="49"/>
  <c r="BR28" i="49" s="1"/>
  <c r="BO27" i="49"/>
  <c r="BP27" i="49" s="1"/>
  <c r="BO25" i="49"/>
  <c r="BR25" i="49" s="1"/>
  <c r="BO30" i="49"/>
  <c r="BP30" i="49" s="1"/>
  <c r="BJ23" i="49"/>
  <c r="Z23" i="49" s="1"/>
  <c r="BJ31" i="49"/>
  <c r="BJ25" i="49"/>
  <c r="BR31" i="49"/>
  <c r="BJ29" i="49"/>
  <c r="BJ28" i="49"/>
  <c r="BJ30" i="49"/>
  <c r="BU25" i="49"/>
  <c r="BV25" i="49" s="1"/>
  <c r="BJ24" i="49"/>
  <c r="Z24" i="49" s="1"/>
  <c r="BJ27" i="49"/>
  <c r="AA32" i="49"/>
  <c r="BJ22" i="49"/>
  <c r="Z22" i="49" s="1"/>
  <c r="BJ26" i="49"/>
  <c r="BP32" i="49"/>
  <c r="BU27" i="49"/>
  <c r="BV27" i="49" s="1"/>
  <c r="BQ32" i="49"/>
  <c r="BU29" i="49"/>
  <c r="BV29" i="49" s="1"/>
  <c r="BU32" i="49"/>
  <c r="BV32" i="49" s="1"/>
  <c r="BU26" i="49"/>
  <c r="BV26" i="49" s="1"/>
  <c r="BU28" i="49"/>
  <c r="BV28" i="49" s="1"/>
  <c r="BJ32" i="49"/>
  <c r="BU30" i="49"/>
  <c r="BV30" i="49" s="1"/>
  <c r="BU31" i="49"/>
  <c r="BV31" i="49" s="1"/>
  <c r="BU24" i="49"/>
  <c r="BV24" i="49" s="1"/>
  <c r="BU23" i="49"/>
  <c r="BV23" i="49" s="1"/>
  <c r="BO23" i="49"/>
  <c r="BO24" i="49"/>
  <c r="BP24" i="49" s="1"/>
  <c r="BJ19" i="49"/>
  <c r="Z19" i="49" s="1"/>
  <c r="AI19" i="49" s="1"/>
  <c r="BJ21" i="49"/>
  <c r="Z21" i="49" s="1"/>
  <c r="BJ20" i="49"/>
  <c r="Z20" i="49" s="1"/>
  <c r="AI20" i="49" s="1"/>
  <c r="BU20" i="49"/>
  <c r="BV20" i="49" s="1"/>
  <c r="BO20" i="49"/>
  <c r="BP20" i="49" s="1"/>
  <c r="BO21" i="49"/>
  <c r="BU21" i="49"/>
  <c r="BV21" i="49" s="1"/>
  <c r="BU22" i="49"/>
  <c r="BV22" i="49" s="1"/>
  <c r="BO22" i="49"/>
  <c r="BR22" i="49" s="1"/>
  <c r="AA19" i="49"/>
  <c r="BO19" i="49"/>
  <c r="BU19" i="49"/>
  <c r="BV19" i="49" s="1"/>
  <c r="AA21" i="49"/>
  <c r="BQ26" i="49"/>
  <c r="BR26" i="49"/>
  <c r="BP28" i="49"/>
  <c r="BP31" i="49"/>
  <c r="AA20" i="49"/>
  <c r="BQ28" i="49"/>
  <c r="AB23" i="49" l="1"/>
  <c r="CC23" i="49" s="1"/>
  <c r="AH23" i="49" s="1"/>
  <c r="AB22" i="49"/>
  <c r="CC22" i="49" s="1"/>
  <c r="AH22" i="49" s="1"/>
  <c r="AC22" i="49"/>
  <c r="AD24" i="49"/>
  <c r="AB24" i="49"/>
  <c r="AE24" i="49" s="1"/>
  <c r="BQ29" i="49"/>
  <c r="BR29" i="49"/>
  <c r="BR24" i="49"/>
  <c r="AC24" i="49" s="1"/>
  <c r="BQ27" i="49"/>
  <c r="BR27" i="49"/>
  <c r="BP25" i="49"/>
  <c r="BQ25" i="49"/>
  <c r="BR30" i="49"/>
  <c r="BQ30" i="49"/>
  <c r="AB20" i="49"/>
  <c r="CC20" i="49" s="1"/>
  <c r="AB21" i="49"/>
  <c r="CC21" i="49" s="1"/>
  <c r="BR23" i="49"/>
  <c r="AC23" i="49" s="1"/>
  <c r="BQ23" i="49"/>
  <c r="BP23" i="49"/>
  <c r="AD23" i="49" s="1"/>
  <c r="BQ24" i="49"/>
  <c r="AK19" i="49"/>
  <c r="AB19" i="49"/>
  <c r="CC19" i="49" s="1"/>
  <c r="AE33" i="49"/>
  <c r="AI21" i="49"/>
  <c r="AK21" i="49"/>
  <c r="AK20" i="49"/>
  <c r="AD20" i="49"/>
  <c r="BQ22" i="49"/>
  <c r="BP22" i="49"/>
  <c r="AD22" i="49" s="1"/>
  <c r="BR19" i="49"/>
  <c r="AC19" i="49" s="1"/>
  <c r="BQ19" i="49"/>
  <c r="BP19" i="49"/>
  <c r="AD19" i="49" s="1"/>
  <c r="BQ20" i="49"/>
  <c r="BR20" i="49"/>
  <c r="AC20" i="49" s="1"/>
  <c r="BR21" i="49"/>
  <c r="AC21" i="49" s="1"/>
  <c r="BQ21" i="49"/>
  <c r="BP21" i="49"/>
  <c r="AD21" i="49" s="1"/>
  <c r="O55" i="1"/>
  <c r="AE23" i="49" l="1"/>
  <c r="AE22" i="49"/>
  <c r="CG22" i="49" s="1"/>
  <c r="CC24" i="49"/>
  <c r="AH24" i="49" s="1"/>
  <c r="CG23" i="49"/>
  <c r="CG28" i="49"/>
  <c r="CC28" i="49"/>
  <c r="CG26" i="49"/>
  <c r="CC26" i="49"/>
  <c r="CG27" i="49"/>
  <c r="CC27" i="49"/>
  <c r="CG30" i="49"/>
  <c r="CC30" i="49"/>
  <c r="CG29" i="49"/>
  <c r="CC29" i="49"/>
  <c r="CG25" i="49"/>
  <c r="CC25" i="49"/>
  <c r="CG24" i="49"/>
  <c r="AE21" i="49"/>
  <c r="CG21" i="49" s="1"/>
  <c r="AH21" i="49" s="1"/>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3" authorId="2" shapeId="0">
      <text>
        <r>
          <rPr>
            <sz val="20"/>
            <color indexed="81"/>
            <rFont val="Tahoma"/>
            <family val="2"/>
          </rPr>
          <t>Zylinderdurchmesser auswählen!
Enter Cylinder Diameter!</t>
        </r>
      </text>
    </comment>
    <comment ref="L33"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<sst xmlns="http://schemas.openxmlformats.org/spreadsheetml/2006/main" count="1834" uniqueCount="1677">
  <si>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</si>
  <si>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</si>
  <si>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</si>
  <si>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</si>
  <si>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</si>
  <si>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</si>
  <si>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</si>
  <si>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</si>
  <si>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</si>
  <si>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</si>
  <si>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</si>
  <si>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</si>
  <si>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</si>
  <si>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</si>
  <si>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</si>
  <si>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</si>
  <si>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</si>
  <si>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</si>
  <si>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</si>
  <si>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</si>
  <si>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</si>
  <si>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</si>
  <si>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</si>
  <si>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</si>
  <si>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</si>
  <si>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</si>
  <si>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</si>
  <si>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</si>
  <si>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</si>
  <si>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</si>
  <si>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</si>
  <si>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</si>
  <si>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</si>
  <si>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</si>
  <si>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</si>
  <si>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</si>
  <si>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</si>
  <si>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</si>
  <si>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</si>
  <si>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</si>
  <si>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</si>
  <si>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</si>
  <si>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</si>
  <si>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</si>
  <si>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</si>
  <si>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</si>
  <si>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</si>
  <si>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</si>
  <si>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</si>
  <si>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</si>
  <si>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</si>
  <si>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</si>
  <si>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</si>
  <si>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</si>
  <si>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</si>
  <si>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</si>
  <si>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</si>
  <si>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</si>
  <si>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</si>
  <si>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</si>
  <si>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</si>
  <si>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</si>
  <si>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</si>
  <si>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</si>
  <si>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</si>
  <si>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</si>
  <si>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</si>
  <si>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</si>
  <si>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</si>
  <si>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</si>
  <si>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</si>
  <si>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</si>
  <si>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</si>
  <si>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</si>
  <si>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</si>
  <si>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</si>
  <si>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</si>
  <si>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</si>
  <si>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</si>
  <si>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</si>
  <si>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</si>
  <si>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</si>
  <si>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</si>
  <si>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</si>
  <si>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</si>
  <si>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</si>
  <si>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</si>
  <si>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</si>
  <si>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</si>
  <si>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</si>
  <si>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</si>
  <si>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</si>
  <si>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</si>
  <si>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</si>
  <si>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</si>
  <si>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</si>
  <si>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</si>
  <si>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</si>
  <si>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</si>
  <si>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</si>
  <si>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</si>
  <si>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</si>
  <si>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</si>
  <si>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</si>
  <si>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</si>
  <si>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</si>
  <si>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</si>
  <si>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</si>
  <si>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</si>
  <si>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</si>
  <si>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</si>
  <si>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</si>
  <si>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</si>
  <si>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</si>
  <si>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</si>
  <si>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</si>
  <si>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</si>
  <si>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</si>
  <si>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</si>
  <si>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</si>
  <si>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</si>
  <si>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</si>
  <si>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</si>
  <si>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</si>
  <si>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</si>
  <si>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</si>
  <si>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</si>
  <si>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</si>
  <si>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</si>
  <si>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</si>
  <si>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</si>
  <si>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</si>
  <si>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</si>
  <si>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</si>
  <si>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</si>
  <si>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</si>
  <si>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</si>
  <si>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</si>
  <si>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</si>
  <si>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</si>
  <si>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</si>
  <si>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</si>
  <si>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</si>
  <si>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</si>
  <si>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</si>
  <si>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</si>
  <si>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</si>
  <si>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</si>
  <si>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</si>
  <si>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</si>
  <si>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</si>
  <si>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</si>
  <si>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</si>
  <si>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</si>
  <si>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</si>
  <si>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</si>
  <si>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</si>
  <si>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</si>
  <si>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</si>
  <si>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</si>
  <si>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</si>
  <si>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</si>
  <si>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</si>
  <si>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</si>
  <si>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</si>
  <si>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</si>
  <si>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</si>
  <si>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</si>
  <si>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</si>
  <si>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</si>
  <si>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</si>
  <si>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</si>
  <si>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</si>
  <si>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</si>
  <si>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</si>
  <si>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</si>
  <si>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</si>
  <si>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</si>
  <si>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</si>
  <si>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</si>
  <si>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</si>
  <si>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</si>
  <si>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</si>
  <si>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</si>
  <si>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</si>
  <si>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</si>
  <si>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</si>
  <si>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</si>
  <si>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</si>
  <si>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</si>
  <si>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</si>
  <si>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</si>
  <si>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</si>
  <si>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</si>
  <si>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</si>
  <si>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</si>
  <si>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</si>
  <si>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</si>
  <si>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</si>
  <si>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</si>
  <si>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</si>
  <si>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</si>
  <si>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</si>
  <si>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</si>
  <si>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</si>
  <si>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</si>
  <si>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</si>
  <si>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</si>
  <si>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</si>
  <si>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</si>
  <si>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</si>
  <si>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</si>
  <si>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</si>
  <si>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</si>
  <si>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</si>
  <si>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</si>
  <si>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</si>
  <si>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</si>
  <si>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</si>
  <si>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</si>
  <si>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</si>
  <si>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</si>
  <si>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</si>
  <si>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</si>
  <si>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</si>
  <si>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</si>
  <si>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</si>
  <si>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</si>
  <si>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</si>
  <si>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</si>
  <si>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</si>
  <si>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</si>
  <si>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</si>
  <si>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</si>
  <si>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</si>
  <si>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</si>
  <si>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</si>
  <si>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</si>
  <si>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</si>
  <si>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</si>
  <si>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</si>
  <si>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</si>
  <si>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</si>
  <si>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</si>
  <si>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</si>
  <si>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</si>
  <si>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</si>
  <si>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</si>
  <si>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</si>
  <si>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</si>
  <si>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</si>
  <si>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</si>
  <si>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</si>
  <si>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</si>
  <si>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</si>
  <si>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</si>
  <si>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</si>
  <si>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</si>
  <si>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</si>
  <si>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</si>
  <si>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</si>
  <si>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</si>
  <si>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</si>
  <si>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</si>
  <si>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</si>
  <si>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</si>
  <si>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</si>
  <si>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</si>
  <si>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</si>
  <si>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</si>
  <si>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</si>
  <si>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</si>
  <si>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</si>
  <si>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</si>
  <si>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</si>
  <si>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</si>
  <si>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</si>
  <si>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</si>
  <si>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</si>
  <si>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</si>
  <si>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</si>
  <si>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</si>
  <si>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</si>
  <si>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</si>
  <si>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</si>
  <si>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</si>
  <si>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</si>
  <si>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</si>
  <si>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</si>
  <si>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</si>
  <si>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</si>
  <si>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</si>
  <si>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</si>
  <si>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</si>
  <si>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</si>
  <si>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</si>
  <si>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</si>
  <si>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</si>
  <si>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</si>
  <si>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</si>
  <si>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</si>
  <si>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</si>
  <si>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</si>
  <si>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</si>
  <si>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</si>
  <si>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</si>
  <si>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</si>
  <si>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</si>
  <si>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</si>
  <si>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</si>
  <si>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</si>
  <si>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</si>
  <si>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</si>
  <si>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</si>
  <si>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</si>
  <si>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</si>
  <si>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</si>
  <si>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</si>
  <si>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</si>
  <si>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</si>
  <si>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</si>
  <si>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</si>
  <si>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</si>
  <si>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</si>
  <si>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</si>
  <si>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</si>
  <si>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</si>
  <si>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</si>
  <si>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</si>
  <si>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</si>
  <si>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</si>
  <si>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</si>
  <si>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</si>
  <si>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</si>
  <si>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</si>
  <si>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</si>
  <si>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</si>
  <si>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</si>
  <si>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</si>
  <si>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</si>
  <si>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</si>
  <si>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</si>
  <si>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</si>
  <si>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</si>
  <si>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</si>
  <si>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</si>
  <si>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</si>
  <si>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</si>
  <si>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</si>
  <si>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</si>
  <si>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</si>
  <si>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</si>
  <si>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</si>
  <si>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</si>
  <si>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</si>
  <si>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</si>
  <si>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</si>
  <si>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</si>
  <si>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</si>
  <si>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</si>
  <si>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</si>
  <si>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</si>
  <si>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</si>
  <si>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</si>
  <si>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</si>
  <si>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</si>
  <si>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</si>
  <si>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</si>
  <si>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</si>
  <si>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</si>
  <si>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</si>
  <si>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</si>
  <si>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</si>
  <si>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</si>
  <si>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</si>
  <si>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</si>
  <si>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</si>
  <si>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</si>
  <si>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</si>
  <si>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</si>
  <si>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</si>
  <si>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</si>
  <si>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</si>
  <si>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</si>
  <si>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</si>
  <si>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</si>
  <si>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</si>
  <si>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</si>
  <si>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</si>
  <si>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</si>
  <si>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</si>
  <si>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</si>
  <si>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</si>
  <si>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</si>
  <si>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</si>
  <si>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</si>
  <si>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</si>
  <si>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</si>
  <si>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</si>
  <si>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</si>
  <si>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</si>
  <si>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</si>
  <si>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</si>
  <si>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</si>
  <si>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</si>
  <si>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</si>
  <si>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</si>
  <si>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</si>
  <si>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</si>
  <si>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</si>
  <si>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</si>
  <si>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</si>
  <si>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</si>
  <si>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</si>
  <si>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</si>
  <si>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</si>
  <si>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</si>
  <si>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</si>
  <si>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</si>
  <si>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</si>
  <si>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</si>
  <si>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</si>
  <si>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</si>
  <si>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</si>
  <si>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</si>
  <si>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</si>
  <si>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</si>
  <si>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</si>
  <si>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</si>
  <si>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</si>
  <si>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</si>
  <si>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</si>
  <si>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</si>
  <si>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</si>
  <si>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</si>
  <si>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</si>
  <si>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</si>
  <si>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</si>
  <si>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</si>
  <si>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</si>
  <si>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</si>
  <si>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</si>
  <si>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</si>
  <si>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</si>
  <si>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</si>
  <si>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</si>
  <si>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</si>
  <si>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</si>
  <si>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</si>
  <si>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</si>
  <si>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</si>
  <si>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</si>
  <si>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</si>
  <si>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</si>
  <si>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</si>
  <si>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</si>
  <si>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</si>
  <si>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</si>
  <si>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</si>
  <si>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</si>
  <si>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</si>
  <si>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</si>
  <si>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</si>
  <si>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</si>
  <si>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</si>
  <si>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</si>
  <si>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</si>
  <si>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</si>
  <si>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</si>
  <si>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</si>
  <si>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</si>
  <si>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</si>
  <si>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</si>
  <si>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</si>
  <si>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</si>
  <si>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</si>
  <si>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</si>
  <si>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</si>
  <si>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</si>
  <si>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</si>
  <si>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</si>
  <si>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</si>
  <si>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</si>
  <si>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</si>
  <si>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</si>
  <si>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</si>
  <si>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</si>
  <si>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</si>
  <si>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</si>
  <si>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</si>
  <si>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</si>
  <si>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</si>
  <si>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</si>
  <si>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</si>
  <si>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</si>
  <si>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</si>
  <si>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</si>
  <si>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</si>
  <si>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</si>
  <si>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</si>
  <si>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</si>
  <si>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</si>
  <si>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</si>
  <si>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</si>
  <si>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</si>
  <si>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</si>
  <si>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</si>
  <si>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</si>
  <si>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</si>
  <si>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</si>
  <si>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</si>
  <si>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</si>
  <si>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</si>
  <si>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</si>
  <si>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</si>
  <si>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</si>
  <si>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</si>
  <si>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</si>
  <si>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</si>
  <si>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</si>
  <si>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</si>
  <si>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</si>
  <si>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</si>
  <si>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</si>
  <si>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</si>
  <si>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</si>
  <si>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</si>
  <si>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</si>
  <si>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</si>
  <si>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</si>
  <si>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</si>
  <si>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</si>
  <si>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</si>
  <si>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</si>
  <si>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</si>
  <si>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</si>
  <si>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</si>
  <si>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</si>
  <si>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</si>
  <si>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</si>
  <si>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</si>
  <si>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</si>
  <si>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</si>
  <si>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</si>
  <si>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</si>
  <si>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</si>
  <si>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</si>
  <si>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</si>
  <si>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</si>
  <si>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</si>
  <si>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</si>
  <si>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</si>
  <si>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</si>
  <si>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</si>
  <si>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</si>
  <si>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</si>
  <si>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</si>
  <si>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</si>
  <si>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</si>
  <si>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</si>
  <si>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</si>
  <si>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</si>
  <si>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</si>
  <si>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</si>
  <si>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</si>
  <si>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</si>
  <si>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</si>
  <si>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</si>
  <si>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</si>
  <si>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</si>
  <si>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</si>
  <si>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</si>
  <si>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</si>
  <si>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</si>
  <si>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</si>
  <si>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</si>
  <si>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</si>
  <si>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</si>
  <si>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</si>
  <si>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</si>
  <si>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</si>
  <si>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</si>
  <si>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</si>
  <si>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</si>
  <si>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</si>
  <si>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</si>
  <si>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</si>
  <si>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</si>
  <si>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</si>
  <si>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</si>
  <si>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</si>
  <si>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</si>
  <si>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</si>
  <si>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</si>
  <si>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</si>
  <si>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</si>
  <si>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</si>
  <si>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</si>
  <si>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</si>
  <si>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</si>
  <si>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</si>
  <si>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</si>
  <si>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</si>
  <si>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</si>
  <si>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</si>
  <si>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</si>
  <si>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</si>
  <si>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</si>
  <si>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</si>
  <si>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</si>
  <si>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</si>
  <si>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</si>
  <si>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</si>
  <si>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</si>
  <si>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</si>
  <si>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</si>
  <si>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</si>
  <si>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</si>
  <si>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</si>
  <si>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</si>
  <si>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</si>
  <si>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</si>
  <si>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</si>
  <si>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</si>
  <si>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</si>
  <si>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</si>
  <si>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</si>
  <si>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</si>
  <si>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</si>
  <si>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</si>
  <si>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</si>
  <si>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</si>
  <si>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</si>
  <si>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</si>
  <si>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</si>
  <si>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</si>
  <si>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</si>
  <si>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</si>
  <si>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</si>
  <si>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</si>
  <si>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</si>
  <si>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</si>
  <si>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</si>
  <si>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</si>
  <si>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</si>
  <si>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</si>
  <si>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</si>
  <si>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</si>
  <si>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</si>
  <si>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</si>
  <si>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</si>
  <si>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</si>
  <si>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</si>
  <si>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</si>
  <si>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</si>
  <si>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</si>
  <si>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</si>
  <si>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</si>
  <si>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</si>
  <si>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</si>
  <si>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</si>
  <si>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</si>
  <si>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</si>
  <si>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</si>
  <si>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</si>
  <si>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</si>
  <si>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</si>
  <si>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</si>
  <si>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</si>
  <si>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</si>
  <si>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</si>
  <si>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</si>
  <si>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</si>
  <si>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</si>
  <si>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</si>
  <si>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</si>
  <si>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</si>
  <si>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</si>
  <si>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</si>
  <si>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</si>
  <si>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</si>
  <si>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</si>
  <si>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</si>
  <si>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</si>
  <si>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</si>
  <si>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</si>
  <si>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</si>
  <si>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</si>
  <si>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</si>
  <si>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</si>
  <si>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</si>
  <si>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</si>
  <si>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</si>
  <si>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</si>
  <si>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</si>
  <si>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</si>
  <si>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</si>
  <si>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</si>
  <si>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</si>
  <si>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</si>
  <si>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</si>
  <si>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</si>
  <si>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</si>
  <si>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</si>
  <si>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</si>
  <si>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</si>
  <si>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</si>
  <si>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</si>
  <si>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</si>
  <si>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</si>
  <si>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</si>
  <si>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</si>
  <si>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</si>
  <si>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</si>
  <si>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</si>
  <si>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</si>
  <si>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</si>
  <si>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</si>
  <si>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</si>
  <si>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</si>
  <si>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</si>
  <si>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</si>
  <si>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</si>
  <si>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</si>
  <si>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</si>
  <si>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</si>
  <si>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</si>
  <si>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</si>
  <si>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</si>
  <si>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</si>
  <si>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</si>
  <si>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</si>
  <si>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</si>
  <si>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</si>
  <si>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</si>
  <si>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</si>
  <si>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</si>
  <si>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</si>
  <si>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</si>
  <si>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</si>
  <si>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</si>
  <si>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</si>
  <si>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</si>
  <si>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</si>
  <si>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</si>
  <si>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</si>
  <si>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</si>
  <si>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</si>
  <si>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</si>
  <si>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</si>
  <si>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</si>
  <si>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</si>
  <si>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</si>
  <si>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</si>
  <si>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</si>
  <si>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</si>
  <si>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</si>
  <si>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</si>
  <si>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</si>
  <si>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</si>
  <si>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</si>
  <si>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</si>
  <si>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</si>
  <si>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</si>
  <si>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</si>
  <si>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</si>
  <si>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</si>
  <si>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</si>
  <si>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</si>
  <si>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</si>
  <si>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</si>
  <si>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</si>
  <si>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</si>
  <si>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</si>
  <si>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</si>
  <si>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</si>
  <si>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</si>
  <si>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</si>
  <si>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</si>
  <si>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</si>
  <si>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</si>
  <si>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</si>
  <si>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</si>
  <si>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</si>
  <si>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</si>
  <si>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</si>
  <si>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</si>
  <si>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</si>
  <si>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</si>
  <si>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</si>
  <si>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</si>
  <si>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</si>
  <si>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</si>
  <si>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</si>
  <si>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</si>
  <si>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</si>
  <si>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</si>
  <si>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</si>
  <si>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</si>
  <si>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</si>
  <si>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</si>
  <si>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</si>
  <si>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</si>
  <si>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</si>
  <si>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</si>
  <si>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</si>
  <si>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</si>
  <si>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</si>
  <si>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</si>
  <si>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</si>
  <si>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</si>
  <si>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</si>
  <si>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</si>
  <si>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</si>
  <si>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</si>
  <si>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</si>
  <si>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</si>
  <si>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</si>
  <si>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</si>
  <si>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</si>
  <si>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</si>
  <si>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</si>
  <si>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</si>
  <si>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</si>
  <si>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</si>
  <si>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</si>
  <si>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</si>
  <si>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</si>
  <si>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</si>
  <si>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</si>
  <si>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</si>
  <si>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</si>
  <si>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</si>
  <si>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</si>
  <si>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</si>
  <si>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</si>
  <si>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</si>
  <si>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</si>
  <si>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</si>
  <si>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</si>
  <si>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</si>
  <si>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</si>
  <si>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</si>
  <si>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</si>
  <si>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</si>
  <si>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</si>
  <si>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</si>
  <si>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</si>
  <si>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</si>
  <si>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</si>
  <si>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</si>
  <si>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</si>
  <si>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</si>
  <si>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</si>
  <si>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</si>
  <si>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</si>
  <si>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</si>
  <si>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</si>
  <si>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</si>
  <si>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</si>
  <si>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</si>
  <si>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</si>
  <si>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</si>
  <si>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</si>
  <si>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</si>
  <si>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</si>
  <si>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</si>
  <si>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</si>
  <si>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</si>
  <si>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</si>
  <si>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</si>
  <si>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</si>
  <si>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</si>
  <si>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</si>
  <si>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</si>
  <si>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</si>
  <si>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</si>
  <si>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</si>
  <si>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</si>
  <si>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</si>
  <si>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</si>
  <si>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</si>
  <si>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</si>
  <si>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</si>
  <si>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</si>
  <si>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</si>
  <si>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</si>
  <si>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</si>
  <si>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</si>
  <si>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</si>
  <si>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</si>
  <si>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</si>
  <si>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</si>
  <si>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</si>
  <si>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</si>
  <si>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</si>
  <si>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</si>
  <si>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</si>
  <si>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</si>
  <si>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</si>
  <si>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</si>
  <si>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</si>
  <si>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</si>
  <si>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</si>
  <si>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</si>
  <si>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</si>
  <si>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</si>
  <si>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</si>
  <si>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</si>
  <si>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</si>
  <si>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</si>
  <si>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</si>
  <si>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</si>
  <si>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</si>
  <si>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</si>
  <si>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</si>
  <si>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</si>
  <si>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</si>
  <si>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</si>
  <si>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</si>
  <si>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</si>
  <si>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</si>
  <si>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</si>
  <si>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</si>
  <si>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</si>
  <si>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</si>
  <si>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</si>
  <si>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</si>
  <si>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</si>
  <si>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</si>
  <si>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</si>
  <si>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</si>
  <si>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</si>
  <si>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</si>
  <si>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</si>
  <si>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</si>
  <si>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</si>
  <si>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</si>
  <si>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</si>
  <si>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</si>
  <si>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</si>
  <si>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</si>
  <si>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</si>
  <si>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</si>
  <si>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</si>
  <si>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</si>
  <si>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</si>
  <si>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</si>
  <si>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</si>
  <si>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</si>
  <si>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</si>
  <si>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</si>
  <si>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</si>
  <si>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</si>
  <si>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</si>
  <si>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</si>
  <si>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</si>
  <si>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</si>
  <si>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</si>
  <si>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</si>
  <si>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</si>
  <si>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</si>
  <si>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</si>
  <si>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</si>
  <si>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</si>
  <si>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</si>
  <si>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</si>
  <si>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</si>
  <si>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</si>
  <si>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</si>
  <si>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</si>
  <si>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</si>
  <si>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</si>
  <si>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</si>
  <si>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</si>
  <si>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</si>
  <si>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</si>
  <si>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</si>
  <si>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</si>
  <si>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</si>
  <si>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</si>
  <si>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</si>
  <si>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</si>
  <si>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</si>
  <si>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</si>
  <si>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</si>
  <si>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</si>
  <si>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</si>
  <si>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</si>
  <si>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</si>
  <si>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</si>
  <si>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</si>
  <si>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</si>
  <si>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</si>
  <si>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</si>
  <si>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</si>
  <si>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</si>
  <si>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</si>
  <si>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</si>
  <si>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</si>
  <si>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</si>
  <si>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</si>
  <si>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</si>
  <si>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</si>
  <si>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</si>
  <si>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</si>
  <si>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</si>
  <si>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</si>
  <si>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</si>
  <si>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</si>
  <si>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</si>
  <si>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</si>
  <si>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</si>
  <si>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</si>
  <si>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</si>
  <si>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</si>
  <si>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</si>
  <si>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</si>
  <si>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</si>
  <si>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</si>
  <si>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</si>
  <si>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</si>
  <si>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</si>
  <si>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</si>
  <si>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</si>
  <si>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</si>
  <si>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</si>
  <si>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</si>
  <si>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</si>
  <si>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</si>
  <si>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</si>
  <si>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</si>
  <si>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</si>
  <si>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</si>
  <si>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</si>
  <si>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</si>
  <si>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</si>
  <si>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</si>
  <si>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</si>
  <si>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</si>
  <si>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</si>
  <si>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</si>
  <si>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</si>
  <si>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</si>
  <si>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</si>
  <si>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</si>
  <si>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</si>
  <si>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</si>
  <si>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</si>
  <si>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</si>
  <si>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</si>
  <si>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</si>
  <si>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</si>
  <si>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</si>
  <si>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</si>
  <si>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</si>
  <si>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</si>
  <si>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</si>
  <si>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</si>
  <si>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</si>
  <si>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</si>
  <si>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</si>
  <si>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</si>
  <si>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</si>
  <si>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</si>
  <si>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</si>
  <si>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</si>
  <si>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</si>
  <si>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</si>
  <si>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</si>
  <si>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</si>
  <si>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</si>
  <si>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</si>
  <si>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</si>
  <si>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</si>
  <si>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</si>
  <si>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</si>
  <si>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</si>
  <si>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</si>
  <si>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</si>
  <si>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</si>
  <si>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</si>
  <si>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</si>
  <si>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</si>
  <si>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</si>
  <si>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</si>
  <si>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</si>
  <si>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</si>
  <si>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</si>
  <si>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</si>
  <si>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</si>
  <si>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</si>
  <si>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</si>
  <si>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</si>
  <si>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</si>
  <si>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</si>
  <si>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</si>
  <si>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</si>
  <si>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</si>
  <si>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</si>
  <si>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</si>
  <si>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</si>
  <si>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</si>
  <si>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</si>
  <si>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</si>
  <si>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</si>
  <si>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</si>
  <si>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</si>
  <si>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</si>
  <si>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</si>
  <si>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</si>
  <si>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</si>
  <si>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</si>
  <si>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</si>
  <si>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</si>
  <si>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</si>
  <si>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</si>
  <si>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</si>
  <si>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</si>
  <si>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</si>
  <si>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</si>
  <si>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</si>
  <si>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</si>
  <si>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</si>
  <si>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</si>
  <si>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</si>
  <si>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</si>
  <si>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</si>
  <si>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</si>
  <si>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</si>
  <si>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</si>
  <si>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</si>
  <si>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</si>
  <si>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</si>
  <si>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</si>
  <si>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</si>
  <si>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</si>
  <si>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</si>
  <si>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</si>
  <si>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</si>
  <si>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</si>
  <si>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</si>
  <si>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</si>
  <si>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</si>
  <si>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</si>
  <si>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</si>
  <si>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</si>
  <si>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</si>
  <si>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</si>
  <si>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</si>
  <si>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</si>
  <si>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</si>
  <si>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</si>
  <si>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</si>
  <si>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</si>
  <si>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</si>
  <si>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</si>
  <si>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</si>
  <si>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</si>
  <si>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</si>
  <si>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</si>
  <si>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</si>
  <si>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</si>
  <si>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</si>
  <si>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</si>
  <si>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</si>
  <si>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</si>
  <si>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</si>
  <si>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</si>
  <si>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</si>
  <si>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</si>
  <si>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</si>
  <si>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</si>
  <si>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</si>
  <si>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</si>
  <si>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</si>
  <si>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</si>
  <si>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</si>
  <si>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</si>
  <si>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</si>
  <si>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</si>
  <si>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</si>
  <si>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</si>
  <si>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</si>
  <si>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</si>
  <si>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</si>
  <si>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</si>
  <si>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</si>
  <si>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</si>
  <si>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</si>
  <si>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</si>
  <si>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</si>
  <si>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</si>
  <si>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</si>
  <si>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</si>
  <si>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</si>
  <si>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</si>
  <si>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</si>
  <si>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</si>
  <si>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</si>
  <si>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</si>
  <si>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</si>
  <si>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</si>
  <si>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</si>
  <si>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</si>
  <si>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</si>
  <si>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</si>
  <si>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</si>
  <si>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</si>
  <si>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</si>
  <si>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</si>
  <si>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</si>
  <si>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</si>
  <si>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</si>
  <si>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</si>
  <si>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</si>
  <si>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</si>
  <si>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</si>
  <si>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</si>
  <si>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</si>
  <si>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</si>
  <si>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</si>
  <si>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</si>
  <si>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</si>
  <si>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</si>
  <si>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</si>
  <si>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</si>
  <si>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</si>
  <si>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</si>
  <si>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</si>
  <si>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</si>
  <si>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</si>
  <si>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</si>
  <si>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</si>
  <si>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</si>
  <si>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</si>
  <si>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</si>
  <si>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</si>
  <si>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</si>
  <si>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</si>
  <si>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</si>
  <si>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</si>
  <si>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</si>
  <si>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</si>
  <si>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</si>
  <si>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</si>
  <si>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</si>
  <si>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</si>
  <si>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</si>
  <si>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</si>
  <si>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</si>
  <si>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</si>
  <si>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</si>
  <si>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</si>
  <si>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</si>
  <si>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</si>
  <si>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</si>
  <si>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</si>
  <si>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</si>
  <si>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</si>
  <si>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</si>
  <si>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</si>
  <si>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</si>
  <si>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</si>
  <si>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</si>
  <si>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</si>
  <si>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</si>
  <si>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</si>
  <si>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</si>
  <si>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</si>
  <si>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</si>
  <si>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</si>
  <si>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</si>
  <si>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</si>
  <si>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</si>
  <si>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</si>
  <si>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</si>
  <si>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</si>
  <si>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</si>
  <si>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</si>
  <si>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</si>
  <si>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</si>
  <si>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</si>
  <si>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</si>
  <si>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</si>
  <si>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</si>
  <si>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</si>
  <si>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</si>
  <si>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</si>
  <si>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</si>
  <si>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</si>
  <si>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</si>
  <si>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</si>
  <si>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</si>
  <si>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</si>
  <si>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</si>
  <si>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</si>
  <si>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</si>
  <si>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</si>
  <si>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</si>
  <si>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</si>
  <si>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</si>
  <si>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</si>
  <si>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</si>
  <si>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</si>
  <si>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</si>
  <si>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</si>
  <si>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</si>
  <si>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</si>
  <si>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</si>
  <si>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</si>
  <si>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</si>
  <si>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</si>
  <si>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</si>
  <si>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</si>
  <si>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</si>
  <si>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</si>
  <si>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</si>
  <si>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</si>
  <si>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</si>
  <si>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</si>
  <si>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</si>
  <si>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</si>
  <si>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</si>
  <si>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</si>
  <si>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</si>
  <si>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</si>
  <si>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</si>
  <si>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</si>
  <si>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</si>
  <si>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</si>
  <si>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</si>
  <si>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</si>
  <si>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</si>
  <si>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</si>
  <si>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</si>
  <si>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</si>
  <si>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</si>
  <si>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</si>
  <si>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</si>
  <si>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</si>
  <si>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</si>
  <si>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</si>
  <si>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</si>
  <si>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</si>
  <si>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</si>
  <si>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</si>
  <si>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</si>
  <si>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</si>
  <si>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</si>
  <si>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</si>
  <si>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</si>
  <si>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</si>
  <si>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</si>
  <si>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</si>
  <si>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</si>
  <si>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</si>
  <si>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</si>
  <si>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</si>
  <si>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</si>
  <si>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</si>
  <si>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</si>
  <si>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</si>
  <si>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</si>
  <si>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</si>
  <si>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</si>
  <si>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</si>
  <si>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</si>
  <si>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</si>
  <si>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</si>
  <si>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</si>
  <si>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</si>
  <si>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</si>
  <si>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</si>
  <si>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</si>
  <si>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</si>
  <si>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</si>
  <si>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</si>
  <si>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</si>
  <si>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</si>
  <si>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</si>
  <si>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</si>
  <si>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</si>
  <si>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</si>
  <si>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</si>
  <si>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</si>
  <si>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</si>
  <si>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</si>
  <si>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</si>
  <si>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</si>
  <si>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</si>
  <si>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</si>
  <si>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</si>
  <si>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</si>
  <si>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</si>
  <si>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</si>
  <si>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</si>
  <si>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</si>
  <si>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</si>
  <si>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</si>
  <si>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</si>
  <si>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</si>
  <si>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</si>
  <si>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</si>
  <si>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</si>
  <si>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</si>
  <si>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</si>
  <si>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</si>
  <si>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</si>
  <si>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</si>
  <si>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</si>
  <si>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</si>
  <si>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</si>
  <si>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</si>
  <si>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</si>
  <si>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</si>
  <si>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</si>
  <si>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</si>
  <si>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</si>
  <si>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</si>
  <si>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</si>
  <si>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</si>
  <si>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</si>
  <si>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</si>
  <si>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</si>
  <si>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</si>
  <si>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</si>
  <si>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</si>
  <si>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</si>
  <si>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</si>
  <si>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</si>
  <si>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</si>
  <si>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</si>
  <si>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</si>
  <si>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</si>
  <si>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</si>
  <si>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</si>
  <si>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</si>
  <si>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</si>
  <si>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</si>
  <si>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</si>
  <si>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</si>
  <si>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</si>
  <si>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</si>
  <si>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</si>
  <si>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</si>
  <si>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</si>
  <si>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</si>
  <si>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</si>
  <si>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</si>
  <si>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</si>
  <si>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</si>
  <si>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</si>
  <si>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</si>
  <si>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</si>
  <si>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</si>
  <si>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</si>
  <si>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</si>
  <si>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</si>
  <si>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</si>
  <si>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</si>
  <si>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</si>
  <si>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</si>
  <si>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</si>
  <si>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</si>
  <si>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</si>
  <si>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</si>
  <si>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</si>
  <si>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</si>
  <si>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</si>
  <si>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</si>
  <si>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</si>
  <si>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</si>
  <si>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</si>
  <si>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</si>
  <si>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</si>
  <si>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</si>
  <si>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</si>
  <si>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</si>
  <si>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</si>
  <si>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</si>
  <si>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</si>
  <si>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</si>
  <si>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</si>
  <si>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</si>
  <si>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</si>
  <si>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</si>
  <si>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</si>
  <si>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</si>
  <si>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</si>
  <si>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</si>
  <si>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</si>
  <si>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</si>
  <si>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</si>
  <si>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</si>
  <si>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</si>
  <si>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</si>
  <si>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</si>
  <si>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</si>
  <si>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</si>
  <si>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</si>
  <si>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</si>
  <si>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</si>
  <si>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</si>
  <si>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</si>
  <si>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</si>
  <si>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</si>
  <si>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</si>
  <si>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</si>
  <si>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</si>
  <si>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</si>
  <si>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</si>
  <si>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</si>
  <si>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</si>
  <si>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</si>
  <si>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</si>
  <si>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</si>
  <si>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</si>
  <si>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</si>
  <si>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</si>
  <si>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</si>
  <si>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</si>
  <si>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</si>
  <si>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</si>
  <si>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</si>
  <si>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</si>
  <si>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</si>
  <si>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</si>
  <si>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</si>
  <si>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</si>
  <si>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</si>
  <si>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</si>
  <si>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</si>
  <si>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</si>
  <si>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</si>
  <si>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</si>
  <si>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</si>
  <si>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</si>
  <si>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</si>
  <si>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</si>
  <si>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</si>
  <si>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</si>
  <si>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</si>
  <si>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</si>
  <si>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</si>
  <si>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</si>
  <si>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</si>
  <si>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</si>
  <si>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</si>
  <si>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</si>
  <si>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</si>
  <si>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</si>
  <si>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</si>
  <si>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</si>
  <si>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</si>
  <si>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</si>
  <si>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</si>
  <si>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</si>
  <si>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</si>
  <si>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</si>
  <si>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</si>
  <si>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</si>
  <si>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</si>
  <si>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</si>
  <si>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</si>
  <si>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</si>
  <si>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</si>
  <si>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</si>
  <si>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</si>
  <si>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</si>
  <si>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</si>
  <si>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</si>
  <si>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</si>
  <si>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</si>
  <si>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</si>
  <si>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</si>
  <si>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</si>
  <si>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</si>
  <si>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</si>
  <si>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</si>
  <si>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</si>
  <si>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</si>
  <si>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</si>
  <si>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</si>
  <si>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</si>
  <si>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</si>
  <si>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</si>
  <si>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</si>
  <si>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</si>
  <si>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</si>
  <si>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</si>
  <si>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</si>
  <si>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</si>
  <si>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</si>
  <si>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</si>
  <si>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</si>
  <si>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</si>
  <si>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</si>
  <si>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</si>
  <si>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</si>
  <si>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</si>
  <si>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</si>
  <si>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</si>
  <si>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</si>
  <si>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</si>
  <si>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</si>
  <si>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</si>
  <si>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</si>
  <si>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</si>
  <si>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</si>
  <si>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</si>
  <si>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</si>
  <si>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</si>
  <si>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</si>
  <si>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</si>
  <si>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</si>
  <si>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</si>
  <si>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</si>
  <si>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</si>
  <si>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</si>
  <si>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</si>
  <si>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</si>
  <si>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</si>
  <si>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</si>
  <si>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</si>
  <si>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</si>
  <si>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</si>
  <si>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</si>
  <si>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</si>
  <si>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</si>
  <si>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</si>
  <si>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</si>
  <si>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</si>
  <si>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</si>
  <si>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</si>
  <si>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</si>
  <si>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</si>
  <si>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</si>
  <si>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</si>
  <si>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</si>
  <si>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</si>
  <si>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</si>
  <si>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</si>
  <si>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</si>
  <si>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</si>
  <si>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</si>
  <si>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</si>
  <si>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</si>
  <si>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</si>
  <si>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</si>
  <si>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</si>
  <si>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</si>
  <si>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</si>
  <si>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KJLTVR411600R01</t>
  </si>
  <si>
    <t>5qa802035b_018_sps0033_R</t>
  </si>
  <si>
    <t>5qa802035b_018_sps0021_R</t>
  </si>
  <si>
    <t>66-59D363976</t>
  </si>
  <si>
    <t>5WF.803.210</t>
  </si>
  <si>
    <t>KJLTVR411600</t>
  </si>
  <si>
    <t>66-A53-96D 313785</t>
  </si>
  <si>
    <t>VW336 Aufbau ND/PGD Chattanooga</t>
  </si>
  <si>
    <t>5QA.803.106</t>
  </si>
  <si>
    <t>5QS.804.456</t>
  </si>
  <si>
    <t>5QA.803.108</t>
  </si>
  <si>
    <t>5qa803091_p0008_h0210005900_R</t>
  </si>
  <si>
    <t>5qa803091_p0008_h0210006400_R</t>
  </si>
  <si>
    <t>5qa803091_p0008_h0210007000_R</t>
  </si>
  <si>
    <t>5qa803091_p0008_h0210006100_R</t>
  </si>
  <si>
    <t>GME</t>
  </si>
  <si>
    <t>Änderungsindex :</t>
  </si>
  <si>
    <t>no. of drawings:</t>
  </si>
  <si>
    <t>drawing no.:</t>
  </si>
  <si>
    <t>drawn:</t>
  </si>
  <si>
    <t>seen:</t>
  </si>
  <si>
    <t>comp.</t>
  </si>
  <si>
    <t>TL4225+AS150</t>
  </si>
  <si>
    <t xml:space="preserve">CR440Y780T-DP-GI40/40-U </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</si>
</sst>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12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0" fontId="21" fillId="6" borderId="19"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18" xfId="2" quotePrefix="1"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6" fillId="6" borderId="22" xfId="16" applyFont="1" applyFill="1" applyBorder="1" applyAlignment="1" applyProtection="1">
      <alignment horizontal="center" vertical="center" wrapText="1" shrinkToFit="1"/>
      <protection locked="0"/>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29" fontId="11" fillId="0" borderId="18" xfId="0" applyNumberFormat="1" applyFont="1" applyBorder="1" applyAlignment="1">
      <alignment horizontal="center" vertical="center"/>
    </xf>
    <xf numFmtId="229" fontId="11" fillId="0" borderId="7" xfId="0" applyNumberFormat="1" applyFont="1" applyBorder="1" applyAlignment="1">
      <alignment horizontal="center" vertical="center"/>
    </xf>
    <xf numFmtId="229" fontId="11" fillId="0" borderId="3" xfId="0" applyNumberFormat="1" applyFont="1" applyBorder="1" applyAlignment="1">
      <alignment horizontal="center" vertical="center"/>
    </xf>
    <xf numFmtId="229" fontId="11" fillId="0" borderId="9" xfId="0" applyNumberFormat="1" applyFont="1" applyBorder="1" applyAlignment="1">
      <alignment horizontal="center" vertical="center"/>
    </xf>
    <xf numFmtId="229" fontId="11" fillId="0" borderId="5" xfId="0" applyNumberFormat="1" applyFont="1" applyBorder="1" applyAlignment="1">
      <alignment horizontal="center" vertical="center"/>
    </xf>
    <xf numFmtId="229"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29" fontId="21" fillId="0" borderId="18" xfId="0" applyNumberFormat="1" applyFont="1" applyBorder="1" applyAlignment="1">
      <alignment horizontal="center" vertical="center" shrinkToFit="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7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1600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6x GEO 1600R01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363976/176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2</xdr:col>
      <xdr:colOff>380999</xdr:colOff>
      <xdr:row>42</xdr:row>
      <xdr:rowOff>0</xdr:rowOff>
    </xdr:from>
    <xdr:to>
      <xdr:col>8</xdr:col>
      <xdr:colOff>809624</xdr:colOff>
      <xdr:row>49</xdr:row>
      <xdr:rowOff>36194</xdr:rowOff>
    </xdr:to>
    <xdr:pic>
      <xdr:nvPicPr>
        <xdr:cNvPr id="17" name="Imagem 16">
          <a:extLst>
            <a:ext uri="{FF2B5EF4-FFF2-40B4-BE49-F238E27FC236}">
              <a16:creationId xmlns="" xmlns:a16="http://schemas.microsoft.com/office/drawing/2014/main" id="{A2ECCE50-1B6E-4FDB-A480-4860A926BD82}"/>
            </a:ext>
          </a:extLst>
        </xdr:cNvPr>
        <xdr:cNvPicPr>
          <a:picLocks noChangeAspect="1"/>
        </xdr:cNvPicPr>
      </xdr:nvPicPr>
      <xdr:blipFill>
        <a:blip xmlns:r="http://schemas.openxmlformats.org/officeDocument/2006/relationships" r:embed="rId3"/>
        <a:stretch>
          <a:fillRect/>
        </a:stretch>
      </xdr:blipFill>
      <xdr:spPr>
        <a:xfrm flipH="1">
          <a:off x="920749" y="9334500"/>
          <a:ext cx="2635250" cy="1591944"/>
        </a:xfrm>
        <a:prstGeom prst="rect">
          <a:avLst/>
        </a:prstGeom>
      </xdr:spPr>
    </xdr:pic>
    <xdr:clientData/>
  </xdr:twoCellAnchor>
  <xdr:twoCellAnchor editAs="oneCell">
    <xdr:from>
      <xdr:col>8</xdr:col>
      <xdr:colOff>393701</xdr:colOff>
      <xdr:row>8</xdr:row>
      <xdr:rowOff>180974</xdr:rowOff>
    </xdr:from>
    <xdr:to>
      <xdr:col>34</xdr:col>
      <xdr:colOff>333375</xdr:colOff>
      <xdr:row>38</xdr:row>
      <xdr:rowOff>95539</xdr:rowOff>
    </xdr:to>
    <xdr:pic>
      <xdr:nvPicPr>
        <xdr:cNvPr id="18" name="Imagem 17"/>
        <xdr:cNvPicPr>
          <a:picLocks noChangeAspect="1"/>
        </xdr:cNvPicPr>
      </xdr:nvPicPr>
      <xdr:blipFill>
        <a:blip xmlns:r="http://schemas.openxmlformats.org/officeDocument/2006/relationships" r:embed="rId4"/>
        <a:stretch>
          <a:fillRect/>
        </a:stretch>
      </xdr:blipFill>
      <xdr:spPr>
        <a:xfrm>
          <a:off x="3140076" y="1958974"/>
          <a:ext cx="14020799" cy="6582065"/>
        </a:xfrm>
        <a:prstGeom prst="rect">
          <a:avLst/>
        </a:prstGeom>
      </xdr:spPr>
    </xdr:pic>
    <xdr:clientData/>
  </xdr:twoCellAnchor>
  <xdr:twoCellAnchor editAs="oneCell">
    <xdr:from>
      <xdr:col>5</xdr:col>
      <xdr:colOff>428624</xdr:colOff>
      <xdr:row>7</xdr:row>
      <xdr:rowOff>190500</xdr:rowOff>
    </xdr:from>
    <xdr:to>
      <xdr:col>10</xdr:col>
      <xdr:colOff>476250</xdr:colOff>
      <xdr:row>10</xdr:row>
      <xdr:rowOff>158750</xdr:rowOff>
    </xdr:to>
    <xdr:pic>
      <xdr:nvPicPr>
        <xdr:cNvPr id="14" name="Imagem 13"/>
        <xdr:cNvPicPr>
          <a:picLocks noChangeAspect="1"/>
        </xdr:cNvPicPr>
      </xdr:nvPicPr>
      <xdr:blipFill>
        <a:blip xmlns:r="http://schemas.openxmlformats.org/officeDocument/2006/relationships" r:embed="rId5"/>
        <a:stretch>
          <a:fillRect/>
        </a:stretch>
      </xdr:blipFill>
      <xdr:spPr>
        <a:xfrm>
          <a:off x="2270124" y="1746250"/>
          <a:ext cx="2555876" cy="635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1391488</xdr:colOff>
      <xdr:row>40</xdr:row>
      <xdr:rowOff>289388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9" zoomScale="70" zoomScaleNormal="70" zoomScaleSheetLayoutView="85" workbookViewId="0">
      <selection activeCell="AB54" sqref="AB54:AK54"/>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14"/>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615"/>
      <c r="B2" s="203"/>
      <c r="C2" s="218" t="s">
        <v>25</v>
      </c>
      <c r="D2" s="218" t="s">
        <v>26</v>
      </c>
      <c r="E2" s="219"/>
      <c r="F2" s="589" t="s">
        <v>27</v>
      </c>
      <c r="G2" s="590"/>
      <c r="H2" s="591"/>
      <c r="I2" s="220" t="s">
        <v>28</v>
      </c>
      <c r="J2" s="221" t="s">
        <v>29</v>
      </c>
      <c r="K2" s="219"/>
      <c r="L2" s="222"/>
      <c r="M2" s="582" t="s">
        <v>30</v>
      </c>
      <c r="N2" s="583"/>
      <c r="O2" s="583"/>
      <c r="P2" s="583"/>
      <c r="Q2" s="583"/>
      <c r="R2" s="583"/>
      <c r="S2" s="583"/>
      <c r="T2" s="583"/>
      <c r="U2" s="583"/>
      <c r="V2" s="583"/>
      <c r="W2" s="583"/>
      <c r="X2" s="583"/>
      <c r="Y2" s="583"/>
      <c r="Z2" s="583"/>
      <c r="AA2" s="583"/>
      <c r="AB2" s="583"/>
      <c r="AC2" s="583"/>
      <c r="AD2" s="583"/>
      <c r="AE2" s="583"/>
      <c r="AF2" s="583"/>
      <c r="AG2" s="583"/>
      <c r="AH2" s="583"/>
      <c r="AI2" s="583"/>
      <c r="AJ2" s="584"/>
      <c r="AK2" s="211"/>
      <c r="AL2" s="211"/>
      <c r="AM2" s="217"/>
    </row>
    <row r="3" spans="1:39" ht="17.25" customHeight="1">
      <c r="A3" s="615"/>
      <c r="B3" s="203"/>
      <c r="C3" s="282">
        <v>0</v>
      </c>
      <c r="D3" s="281" t="s">
        <v>1668</v>
      </c>
      <c r="E3" s="232"/>
      <c r="F3" s="623">
        <v>45014</v>
      </c>
      <c r="G3" s="624"/>
      <c r="H3" s="625"/>
      <c r="I3" s="320" t="s">
        <v>1640</v>
      </c>
      <c r="J3" s="233"/>
      <c r="K3" s="234"/>
      <c r="L3" s="233"/>
      <c r="M3" s="570" t="s">
        <v>1641</v>
      </c>
      <c r="N3" s="571"/>
      <c r="O3" s="571"/>
      <c r="P3" s="571"/>
      <c r="Q3" s="571"/>
      <c r="R3" s="571"/>
      <c r="S3" s="571"/>
      <c r="T3" s="571"/>
      <c r="U3" s="571"/>
      <c r="V3" s="571"/>
      <c r="W3" s="571"/>
      <c r="X3" s="571"/>
      <c r="Y3" s="571"/>
      <c r="Z3" s="571"/>
      <c r="AA3" s="571"/>
      <c r="AB3" s="571"/>
      <c r="AC3" s="571"/>
      <c r="AD3" s="571"/>
      <c r="AE3" s="571"/>
      <c r="AF3" s="571"/>
      <c r="AG3" s="571"/>
      <c r="AH3" s="571"/>
      <c r="AI3" s="571"/>
      <c r="AJ3" s="572"/>
      <c r="AK3" s="211"/>
      <c r="AL3" s="211"/>
      <c r="AM3" s="217"/>
    </row>
    <row r="4" spans="1:39" ht="17.25" customHeight="1">
      <c r="A4" s="615"/>
      <c r="B4" s="203"/>
      <c r="C4" s="281"/>
      <c r="D4" s="281"/>
      <c r="E4" s="234"/>
      <c r="F4" s="626"/>
      <c r="G4" s="604"/>
      <c r="H4" s="605"/>
      <c r="I4" s="320"/>
      <c r="J4" s="233"/>
      <c r="K4" s="234"/>
      <c r="L4" s="233"/>
      <c r="M4" s="585"/>
      <c r="N4" s="586"/>
      <c r="O4" s="586"/>
      <c r="P4" s="586"/>
      <c r="Q4" s="586"/>
      <c r="R4" s="586"/>
      <c r="S4" s="586"/>
      <c r="T4" s="586"/>
      <c r="U4" s="586"/>
      <c r="V4" s="586"/>
      <c r="W4" s="586"/>
      <c r="X4" s="586"/>
      <c r="Y4" s="586"/>
      <c r="Z4" s="586"/>
      <c r="AA4" s="586"/>
      <c r="AB4" s="586"/>
      <c r="AC4" s="586"/>
      <c r="AD4" s="586"/>
      <c r="AE4" s="586"/>
      <c r="AF4" s="586"/>
      <c r="AG4" s="586"/>
      <c r="AH4" s="586"/>
      <c r="AI4" s="586"/>
      <c r="AJ4" s="587"/>
      <c r="AK4" s="212"/>
      <c r="AL4" s="212"/>
      <c r="AM4" s="217"/>
    </row>
    <row r="5" spans="1:39" ht="17.25" customHeight="1">
      <c r="A5" s="615"/>
      <c r="B5" s="203"/>
      <c r="C5" s="281"/>
      <c r="D5" s="281"/>
      <c r="E5" s="235"/>
      <c r="F5" s="626"/>
      <c r="G5" s="604"/>
      <c r="H5" s="605"/>
      <c r="I5" s="321"/>
      <c r="J5" s="236"/>
      <c r="K5" s="237"/>
      <c r="L5" s="238"/>
      <c r="M5" s="585"/>
      <c r="N5" s="586"/>
      <c r="O5" s="586"/>
      <c r="P5" s="586"/>
      <c r="Q5" s="586"/>
      <c r="R5" s="586"/>
      <c r="S5" s="586"/>
      <c r="T5" s="586"/>
      <c r="U5" s="586"/>
      <c r="V5" s="586"/>
      <c r="W5" s="586"/>
      <c r="X5" s="586"/>
      <c r="Y5" s="586"/>
      <c r="Z5" s="586"/>
      <c r="AA5" s="586"/>
      <c r="AB5" s="586"/>
      <c r="AC5" s="586"/>
      <c r="AD5" s="586"/>
      <c r="AE5" s="586"/>
      <c r="AF5" s="586"/>
      <c r="AG5" s="586"/>
      <c r="AH5" s="586"/>
      <c r="AI5" s="586"/>
      <c r="AJ5" s="587"/>
      <c r="AK5" s="223"/>
      <c r="AL5" s="181"/>
      <c r="AM5" s="217"/>
    </row>
    <row r="6" spans="1:39" ht="17.25" customHeight="1">
      <c r="A6" s="615"/>
      <c r="B6" s="203"/>
      <c r="C6" s="281"/>
      <c r="D6" s="281"/>
      <c r="E6" s="235"/>
      <c r="F6" s="626"/>
      <c r="G6" s="604"/>
      <c r="H6" s="605"/>
      <c r="I6" s="321"/>
      <c r="J6" s="236"/>
      <c r="K6" s="237"/>
      <c r="L6" s="238"/>
      <c r="M6" s="585"/>
      <c r="N6" s="586"/>
      <c r="O6" s="586"/>
      <c r="P6" s="586"/>
      <c r="Q6" s="586"/>
      <c r="R6" s="586"/>
      <c r="S6" s="586"/>
      <c r="T6" s="586"/>
      <c r="U6" s="586"/>
      <c r="V6" s="586"/>
      <c r="W6" s="586"/>
      <c r="X6" s="586"/>
      <c r="Y6" s="586"/>
      <c r="Z6" s="586"/>
      <c r="AA6" s="586"/>
      <c r="AB6" s="586"/>
      <c r="AC6" s="586"/>
      <c r="AD6" s="586"/>
      <c r="AE6" s="586"/>
      <c r="AF6" s="586"/>
      <c r="AG6" s="586"/>
      <c r="AH6" s="586"/>
      <c r="AI6" s="586"/>
      <c r="AJ6" s="587"/>
      <c r="AK6" s="181"/>
      <c r="AL6" s="181"/>
      <c r="AM6" s="217"/>
    </row>
    <row r="7" spans="1:39" ht="17.25" customHeight="1">
      <c r="A7" s="615"/>
      <c r="B7" s="203"/>
      <c r="C7" s="281"/>
      <c r="D7" s="239"/>
      <c r="E7" s="240"/>
      <c r="F7" s="627"/>
      <c r="G7" s="628"/>
      <c r="H7" s="629"/>
      <c r="I7" s="322"/>
      <c r="J7" s="241"/>
      <c r="K7" s="242"/>
      <c r="L7" s="243"/>
      <c r="M7" s="570"/>
      <c r="N7" s="571"/>
      <c r="O7" s="571"/>
      <c r="P7" s="571"/>
      <c r="Q7" s="571"/>
      <c r="R7" s="571"/>
      <c r="S7" s="571"/>
      <c r="T7" s="571"/>
      <c r="U7" s="571"/>
      <c r="V7" s="571"/>
      <c r="W7" s="571"/>
      <c r="X7" s="571"/>
      <c r="Y7" s="571"/>
      <c r="Z7" s="571"/>
      <c r="AA7" s="571"/>
      <c r="AB7" s="571"/>
      <c r="AC7" s="571"/>
      <c r="AD7" s="571"/>
      <c r="AE7" s="571"/>
      <c r="AF7" s="571"/>
      <c r="AG7" s="571"/>
      <c r="AH7" s="571"/>
      <c r="AI7" s="571"/>
      <c r="AJ7" s="572"/>
      <c r="AK7" s="181"/>
      <c r="AL7" s="181"/>
      <c r="AM7" s="217"/>
    </row>
    <row r="8" spans="1:39" ht="17.25" customHeight="1">
      <c r="A8" s="615"/>
      <c r="B8" s="203"/>
      <c r="C8" s="281"/>
      <c r="D8" s="239"/>
      <c r="E8" s="240"/>
      <c r="F8" s="627"/>
      <c r="G8" s="628"/>
      <c r="H8" s="629"/>
      <c r="I8" s="321"/>
      <c r="J8" s="241"/>
      <c r="K8" s="242"/>
      <c r="L8" s="243"/>
      <c r="M8" s="570"/>
      <c r="N8" s="571"/>
      <c r="O8" s="571"/>
      <c r="P8" s="571"/>
      <c r="Q8" s="571"/>
      <c r="R8" s="571"/>
      <c r="S8" s="571"/>
      <c r="T8" s="571"/>
      <c r="U8" s="571"/>
      <c r="V8" s="571"/>
      <c r="W8" s="571"/>
      <c r="X8" s="571"/>
      <c r="Y8" s="571"/>
      <c r="Z8" s="571"/>
      <c r="AA8" s="571"/>
      <c r="AB8" s="571"/>
      <c r="AC8" s="571"/>
      <c r="AD8" s="571"/>
      <c r="AE8" s="571"/>
      <c r="AF8" s="571"/>
      <c r="AG8" s="571"/>
      <c r="AH8" s="571"/>
      <c r="AI8" s="571"/>
      <c r="AJ8" s="572"/>
      <c r="AK8" s="181"/>
      <c r="AL8" s="181"/>
      <c r="AM8" s="217"/>
    </row>
    <row r="9" spans="1:39" ht="17.25" customHeight="1">
      <c r="A9" s="615"/>
      <c r="B9" s="203"/>
      <c r="C9" s="281"/>
      <c r="D9" s="244"/>
      <c r="E9" s="245"/>
      <c r="F9" s="630"/>
      <c r="G9" s="631"/>
      <c r="H9" s="631"/>
      <c r="I9" s="323"/>
      <c r="J9" s="236"/>
      <c r="K9" s="238"/>
      <c r="L9" s="238"/>
      <c r="M9" s="588"/>
      <c r="N9" s="588"/>
      <c r="O9" s="588"/>
      <c r="P9" s="588"/>
      <c r="Q9" s="588"/>
      <c r="R9" s="588"/>
      <c r="S9" s="588"/>
      <c r="T9" s="588"/>
      <c r="U9" s="588"/>
      <c r="V9" s="588"/>
      <c r="W9" s="588"/>
      <c r="X9" s="588"/>
      <c r="Y9" s="588"/>
      <c r="Z9" s="588"/>
      <c r="AA9" s="588"/>
      <c r="AB9" s="588"/>
      <c r="AC9" s="588"/>
      <c r="AD9" s="588"/>
      <c r="AE9" s="588"/>
      <c r="AF9" s="588"/>
      <c r="AG9" s="588"/>
      <c r="AH9" s="588"/>
      <c r="AI9" s="588"/>
      <c r="AJ9" s="588"/>
      <c r="AK9" s="181"/>
      <c r="AL9" s="181"/>
      <c r="AM9" s="217"/>
    </row>
    <row r="10" spans="1:39" ht="17.25" customHeight="1">
      <c r="A10" s="615"/>
      <c r="B10" s="203"/>
      <c r="C10" s="281"/>
      <c r="D10" s="244"/>
      <c r="E10" s="245"/>
      <c r="F10" s="630"/>
      <c r="G10" s="631"/>
      <c r="H10" s="631"/>
      <c r="I10" s="323"/>
      <c r="J10" s="236"/>
      <c r="K10" s="238"/>
      <c r="L10" s="238"/>
      <c r="M10" s="588"/>
      <c r="N10" s="588"/>
      <c r="O10" s="588"/>
      <c r="P10" s="588"/>
      <c r="Q10" s="588"/>
      <c r="R10" s="588"/>
      <c r="S10" s="588"/>
      <c r="T10" s="588"/>
      <c r="U10" s="588"/>
      <c r="V10" s="588"/>
      <c r="W10" s="588"/>
      <c r="X10" s="588"/>
      <c r="Y10" s="588"/>
      <c r="Z10" s="588"/>
      <c r="AA10" s="588"/>
      <c r="AB10" s="588"/>
      <c r="AC10" s="588"/>
      <c r="AD10" s="588"/>
      <c r="AE10" s="588"/>
      <c r="AF10" s="588"/>
      <c r="AG10" s="588"/>
      <c r="AH10" s="588"/>
      <c r="AI10" s="588"/>
      <c r="AJ10" s="588"/>
      <c r="AK10" s="181"/>
      <c r="AL10" s="181"/>
      <c r="AM10" s="217"/>
    </row>
    <row r="11" spans="1:39" ht="17.25" customHeight="1">
      <c r="A11" s="615"/>
      <c r="B11" s="203"/>
      <c r="C11" s="281"/>
      <c r="D11" s="244"/>
      <c r="E11" s="245"/>
      <c r="F11" s="630"/>
      <c r="G11" s="630"/>
      <c r="H11" s="630"/>
      <c r="I11" s="245"/>
      <c r="J11" s="236"/>
      <c r="K11" s="238"/>
      <c r="L11" s="238"/>
      <c r="M11" s="596"/>
      <c r="N11" s="588"/>
      <c r="O11" s="588"/>
      <c r="P11" s="588"/>
      <c r="Q11" s="588"/>
      <c r="R11" s="588"/>
      <c r="S11" s="588"/>
      <c r="T11" s="588"/>
      <c r="U11" s="588"/>
      <c r="V11" s="588"/>
      <c r="W11" s="588"/>
      <c r="X11" s="588"/>
      <c r="Y11" s="588"/>
      <c r="Z11" s="588"/>
      <c r="AA11" s="588"/>
      <c r="AB11" s="588"/>
      <c r="AC11" s="588"/>
      <c r="AD11" s="588"/>
      <c r="AE11" s="588"/>
      <c r="AF11" s="588"/>
      <c r="AG11" s="588"/>
      <c r="AH11" s="588"/>
      <c r="AI11" s="588"/>
      <c r="AJ11" s="588"/>
      <c r="AK11" s="181"/>
      <c r="AL11" s="181"/>
      <c r="AM11" s="217"/>
    </row>
    <row r="12" spans="1:39" ht="17.25" customHeight="1">
      <c r="A12" s="615"/>
      <c r="B12" s="203"/>
      <c r="C12" s="281"/>
      <c r="D12" s="246"/>
      <c r="E12" s="247"/>
      <c r="F12" s="636"/>
      <c r="G12" s="637"/>
      <c r="H12" s="638"/>
      <c r="I12" s="247"/>
      <c r="J12" s="248"/>
      <c r="K12" s="249"/>
      <c r="L12" s="250"/>
      <c r="M12" s="617"/>
      <c r="N12" s="618"/>
      <c r="O12" s="618"/>
      <c r="P12" s="618"/>
      <c r="Q12" s="618"/>
      <c r="R12" s="618"/>
      <c r="S12" s="618"/>
      <c r="T12" s="618"/>
      <c r="U12" s="618"/>
      <c r="V12" s="618"/>
      <c r="W12" s="618"/>
      <c r="X12" s="618"/>
      <c r="Y12" s="618"/>
      <c r="Z12" s="618"/>
      <c r="AA12" s="618"/>
      <c r="AB12" s="618"/>
      <c r="AC12" s="618"/>
      <c r="AD12" s="618"/>
      <c r="AE12" s="618"/>
      <c r="AF12" s="618"/>
      <c r="AG12" s="618"/>
      <c r="AH12" s="618"/>
      <c r="AI12" s="618"/>
      <c r="AJ12" s="619"/>
      <c r="AK12" s="181"/>
      <c r="AL12" s="181"/>
      <c r="AM12" s="217"/>
    </row>
    <row r="13" spans="1:39" ht="17.25" customHeight="1">
      <c r="A13" s="615"/>
      <c r="B13" s="203"/>
      <c r="C13" s="281"/>
      <c r="D13" s="251"/>
      <c r="E13" s="235"/>
      <c r="F13" s="609"/>
      <c r="G13" s="610"/>
      <c r="H13" s="611"/>
      <c r="I13" s="235"/>
      <c r="J13" s="236"/>
      <c r="K13" s="237"/>
      <c r="L13" s="238"/>
      <c r="M13" s="570"/>
      <c r="N13" s="571"/>
      <c r="O13" s="571"/>
      <c r="P13" s="571"/>
      <c r="Q13" s="571"/>
      <c r="R13" s="571"/>
      <c r="S13" s="571"/>
      <c r="T13" s="571"/>
      <c r="U13" s="571"/>
      <c r="V13" s="571"/>
      <c r="W13" s="571"/>
      <c r="X13" s="571"/>
      <c r="Y13" s="571"/>
      <c r="Z13" s="571"/>
      <c r="AA13" s="571"/>
      <c r="AB13" s="571"/>
      <c r="AC13" s="571"/>
      <c r="AD13" s="571"/>
      <c r="AE13" s="571"/>
      <c r="AF13" s="571"/>
      <c r="AG13" s="571"/>
      <c r="AH13" s="571"/>
      <c r="AI13" s="571"/>
      <c r="AJ13" s="572"/>
      <c r="AK13" s="181"/>
      <c r="AL13" s="181"/>
      <c r="AM13" s="217"/>
    </row>
    <row r="14" spans="1:39" ht="17.25" customHeight="1">
      <c r="A14" s="615"/>
      <c r="B14" s="203"/>
      <c r="C14" s="281"/>
      <c r="D14" s="251"/>
      <c r="E14" s="235"/>
      <c r="F14" s="606"/>
      <c r="G14" s="607"/>
      <c r="H14" s="608"/>
      <c r="I14" s="235"/>
      <c r="J14" s="236"/>
      <c r="K14" s="237"/>
      <c r="L14" s="238"/>
      <c r="M14" s="585"/>
      <c r="N14" s="586"/>
      <c r="O14" s="586"/>
      <c r="P14" s="586"/>
      <c r="Q14" s="586"/>
      <c r="R14" s="586"/>
      <c r="S14" s="586"/>
      <c r="T14" s="586"/>
      <c r="U14" s="586"/>
      <c r="V14" s="586"/>
      <c r="W14" s="586"/>
      <c r="X14" s="586"/>
      <c r="Y14" s="586"/>
      <c r="Z14" s="586"/>
      <c r="AA14" s="586"/>
      <c r="AB14" s="586"/>
      <c r="AC14" s="586"/>
      <c r="AD14" s="586"/>
      <c r="AE14" s="586"/>
      <c r="AF14" s="586"/>
      <c r="AG14" s="586"/>
      <c r="AH14" s="586"/>
      <c r="AI14" s="586"/>
      <c r="AJ14" s="587"/>
      <c r="AK14" s="181"/>
      <c r="AL14" s="181"/>
      <c r="AM14" s="217"/>
    </row>
    <row r="15" spans="1:39" ht="17.25" customHeight="1">
      <c r="A15" s="615"/>
      <c r="B15" s="203"/>
      <c r="C15" s="281"/>
      <c r="D15" s="251"/>
      <c r="E15" s="235"/>
      <c r="F15" s="609"/>
      <c r="G15" s="610"/>
      <c r="H15" s="611"/>
      <c r="I15" s="330"/>
      <c r="J15" s="236"/>
      <c r="K15" s="237"/>
      <c r="L15" s="238"/>
      <c r="M15" s="570"/>
      <c r="N15" s="571"/>
      <c r="O15" s="571"/>
      <c r="P15" s="571"/>
      <c r="Q15" s="571"/>
      <c r="R15" s="571"/>
      <c r="S15" s="571"/>
      <c r="T15" s="571"/>
      <c r="U15" s="571"/>
      <c r="V15" s="571"/>
      <c r="W15" s="571"/>
      <c r="X15" s="571"/>
      <c r="Y15" s="571"/>
      <c r="Z15" s="571"/>
      <c r="AA15" s="571"/>
      <c r="AB15" s="571"/>
      <c r="AC15" s="571"/>
      <c r="AD15" s="571"/>
      <c r="AE15" s="571"/>
      <c r="AF15" s="571"/>
      <c r="AG15" s="571"/>
      <c r="AH15" s="571"/>
      <c r="AI15" s="571"/>
      <c r="AJ15" s="572"/>
      <c r="AK15" s="181"/>
      <c r="AL15" s="181"/>
      <c r="AM15" s="217"/>
    </row>
    <row r="16" spans="1:39" ht="17.25" customHeight="1">
      <c r="A16" s="615"/>
      <c r="B16" s="203"/>
      <c r="C16" s="281"/>
      <c r="D16" s="251"/>
      <c r="E16" s="247"/>
      <c r="F16" s="606"/>
      <c r="G16" s="607"/>
      <c r="H16" s="608"/>
      <c r="I16" s="235"/>
      <c r="J16" s="248"/>
      <c r="K16" s="249"/>
      <c r="L16" s="250"/>
      <c r="M16" s="570"/>
      <c r="N16" s="571"/>
      <c r="O16" s="571"/>
      <c r="P16" s="571"/>
      <c r="Q16" s="571"/>
      <c r="R16" s="571"/>
      <c r="S16" s="571"/>
      <c r="T16" s="571"/>
      <c r="U16" s="571"/>
      <c r="V16" s="571"/>
      <c r="W16" s="571"/>
      <c r="X16" s="571"/>
      <c r="Y16" s="571"/>
      <c r="Z16" s="571"/>
      <c r="AA16" s="571"/>
      <c r="AB16" s="571"/>
      <c r="AC16" s="571"/>
      <c r="AD16" s="571"/>
      <c r="AE16" s="571"/>
      <c r="AF16" s="571"/>
      <c r="AG16" s="571"/>
      <c r="AH16" s="571"/>
      <c r="AI16" s="571"/>
      <c r="AJ16" s="572"/>
      <c r="AK16" s="181"/>
      <c r="AL16" s="181"/>
      <c r="AM16" s="217"/>
    </row>
    <row r="17" spans="1:39" ht="17.25" customHeight="1">
      <c r="A17" s="615"/>
      <c r="B17" s="203"/>
      <c r="C17" s="281"/>
      <c r="D17" s="251"/>
      <c r="E17" s="235"/>
      <c r="F17" s="609"/>
      <c r="G17" s="610"/>
      <c r="H17" s="611"/>
      <c r="I17" s="235"/>
      <c r="J17" s="236"/>
      <c r="K17" s="237"/>
      <c r="L17" s="238"/>
      <c r="M17" s="595"/>
      <c r="N17" s="571"/>
      <c r="O17" s="571"/>
      <c r="P17" s="571"/>
      <c r="Q17" s="571"/>
      <c r="R17" s="571"/>
      <c r="S17" s="571"/>
      <c r="T17" s="571"/>
      <c r="U17" s="571"/>
      <c r="V17" s="571"/>
      <c r="W17" s="571"/>
      <c r="X17" s="571"/>
      <c r="Y17" s="571"/>
      <c r="Z17" s="571"/>
      <c r="AA17" s="571"/>
      <c r="AB17" s="571"/>
      <c r="AC17" s="571"/>
      <c r="AD17" s="571"/>
      <c r="AE17" s="571"/>
      <c r="AF17" s="571"/>
      <c r="AG17" s="571"/>
      <c r="AH17" s="571"/>
      <c r="AI17" s="571"/>
      <c r="AJ17" s="572"/>
      <c r="AK17" s="181"/>
      <c r="AL17" s="181"/>
      <c r="AM17" s="217"/>
    </row>
    <row r="18" spans="1:39" ht="17.25" customHeight="1">
      <c r="A18" s="615"/>
      <c r="B18" s="203"/>
      <c r="C18" s="281"/>
      <c r="D18" s="251"/>
      <c r="E18" s="235"/>
      <c r="F18" s="606"/>
      <c r="G18" s="607"/>
      <c r="H18" s="608"/>
      <c r="I18" s="235"/>
      <c r="J18" s="236"/>
      <c r="K18" s="237"/>
      <c r="L18" s="238"/>
      <c r="M18" s="570"/>
      <c r="N18" s="571"/>
      <c r="O18" s="571"/>
      <c r="P18" s="571"/>
      <c r="Q18" s="571"/>
      <c r="R18" s="571"/>
      <c r="S18" s="571"/>
      <c r="T18" s="571"/>
      <c r="U18" s="571"/>
      <c r="V18" s="571"/>
      <c r="W18" s="571"/>
      <c r="X18" s="571"/>
      <c r="Y18" s="571"/>
      <c r="Z18" s="571"/>
      <c r="AA18" s="571"/>
      <c r="AB18" s="571"/>
      <c r="AC18" s="571"/>
      <c r="AD18" s="571"/>
      <c r="AE18" s="571"/>
      <c r="AF18" s="571"/>
      <c r="AG18" s="571"/>
      <c r="AH18" s="571"/>
      <c r="AI18" s="571"/>
      <c r="AJ18" s="572"/>
      <c r="AK18" s="181"/>
      <c r="AL18" s="181"/>
      <c r="AM18" s="217"/>
    </row>
    <row r="19" spans="1:39" ht="17.25" customHeight="1">
      <c r="A19" s="615"/>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615"/>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615"/>
      <c r="B21" s="203"/>
      <c r="C21" s="281"/>
      <c r="D21" s="253"/>
      <c r="E21" s="258"/>
      <c r="F21" s="579"/>
      <c r="G21" s="580"/>
      <c r="H21" s="581"/>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615"/>
      <c r="B22" s="203"/>
      <c r="C22" s="281"/>
      <c r="D22" s="257"/>
      <c r="E22" s="258"/>
      <c r="F22" s="635"/>
      <c r="G22" s="580"/>
      <c r="H22" s="581"/>
      <c r="I22" s="324"/>
      <c r="J22" s="259"/>
      <c r="K22" s="256"/>
      <c r="L22" s="255"/>
      <c r="M22" s="600"/>
      <c r="N22" s="601"/>
      <c r="O22" s="601"/>
      <c r="P22" s="601"/>
      <c r="Q22" s="601"/>
      <c r="R22" s="601"/>
      <c r="S22" s="601"/>
      <c r="T22" s="601"/>
      <c r="U22" s="601"/>
      <c r="V22" s="601"/>
      <c r="W22" s="601"/>
      <c r="X22" s="601"/>
      <c r="Y22" s="601"/>
      <c r="Z22" s="601"/>
      <c r="AA22" s="601"/>
      <c r="AB22" s="601"/>
      <c r="AC22" s="601"/>
      <c r="AD22" s="601"/>
      <c r="AE22" s="601"/>
      <c r="AF22" s="601"/>
      <c r="AG22" s="601"/>
      <c r="AH22" s="601"/>
      <c r="AI22" s="601"/>
      <c r="AJ22" s="602"/>
      <c r="AK22" s="181"/>
      <c r="AL22" s="181"/>
      <c r="AM22" s="217"/>
    </row>
    <row r="23" spans="1:39" ht="17.25" customHeight="1">
      <c r="A23" s="615"/>
      <c r="B23" s="203"/>
      <c r="C23" s="281"/>
      <c r="D23" s="253"/>
      <c r="E23" s="254"/>
      <c r="F23" s="632"/>
      <c r="G23" s="633"/>
      <c r="H23" s="634"/>
      <c r="I23" s="325"/>
      <c r="J23" s="255"/>
      <c r="K23" s="256"/>
      <c r="L23" s="255"/>
      <c r="M23" s="592"/>
      <c r="N23" s="593"/>
      <c r="O23" s="593"/>
      <c r="P23" s="593"/>
      <c r="Q23" s="593"/>
      <c r="R23" s="593"/>
      <c r="S23" s="593"/>
      <c r="T23" s="593"/>
      <c r="U23" s="593"/>
      <c r="V23" s="593"/>
      <c r="W23" s="593"/>
      <c r="X23" s="593"/>
      <c r="Y23" s="593"/>
      <c r="Z23" s="593"/>
      <c r="AA23" s="593"/>
      <c r="AB23" s="593"/>
      <c r="AC23" s="593"/>
      <c r="AD23" s="593"/>
      <c r="AE23" s="593"/>
      <c r="AF23" s="593"/>
      <c r="AG23" s="593"/>
      <c r="AH23" s="593"/>
      <c r="AI23" s="593"/>
      <c r="AJ23" s="594"/>
      <c r="AK23" s="181"/>
      <c r="AL23" s="181"/>
      <c r="AM23" s="217"/>
    </row>
    <row r="24" spans="1:39" ht="17.25" customHeight="1">
      <c r="A24" s="615"/>
      <c r="B24" s="203"/>
      <c r="C24" s="281"/>
      <c r="D24" s="257"/>
      <c r="E24" s="258"/>
      <c r="F24" s="579"/>
      <c r="G24" s="580"/>
      <c r="H24" s="581"/>
      <c r="I24" s="326"/>
      <c r="J24" s="261"/>
      <c r="K24" s="260"/>
      <c r="L24" s="261"/>
      <c r="M24" s="592"/>
      <c r="N24" s="593"/>
      <c r="O24" s="593"/>
      <c r="P24" s="593"/>
      <c r="Q24" s="593"/>
      <c r="R24" s="593"/>
      <c r="S24" s="593"/>
      <c r="T24" s="593"/>
      <c r="U24" s="593"/>
      <c r="V24" s="593"/>
      <c r="W24" s="593"/>
      <c r="X24" s="593"/>
      <c r="Y24" s="593"/>
      <c r="Z24" s="593"/>
      <c r="AA24" s="593"/>
      <c r="AB24" s="593"/>
      <c r="AC24" s="593"/>
      <c r="AD24" s="593"/>
      <c r="AE24" s="593"/>
      <c r="AF24" s="593"/>
      <c r="AG24" s="593"/>
      <c r="AH24" s="593"/>
      <c r="AI24" s="593"/>
      <c r="AJ24" s="594"/>
      <c r="AK24" s="181"/>
      <c r="AL24" s="181"/>
      <c r="AM24" s="217"/>
    </row>
    <row r="25" spans="1:39" ht="17.25" customHeight="1">
      <c r="A25" s="615"/>
      <c r="B25" s="203"/>
      <c r="C25" s="281"/>
      <c r="D25" s="253"/>
      <c r="E25" s="254"/>
      <c r="F25" s="632"/>
      <c r="G25" s="633"/>
      <c r="H25" s="634"/>
      <c r="I25" s="325"/>
      <c r="J25" s="255"/>
      <c r="K25" s="256"/>
      <c r="L25" s="255"/>
      <c r="M25" s="592"/>
      <c r="N25" s="593"/>
      <c r="O25" s="593"/>
      <c r="P25" s="593"/>
      <c r="Q25" s="593"/>
      <c r="R25" s="593"/>
      <c r="S25" s="593"/>
      <c r="T25" s="593"/>
      <c r="U25" s="593"/>
      <c r="V25" s="593"/>
      <c r="W25" s="593"/>
      <c r="X25" s="593"/>
      <c r="Y25" s="593"/>
      <c r="Z25" s="593"/>
      <c r="AA25" s="593"/>
      <c r="AB25" s="593"/>
      <c r="AC25" s="593"/>
      <c r="AD25" s="593"/>
      <c r="AE25" s="593"/>
      <c r="AF25" s="593"/>
      <c r="AG25" s="593"/>
      <c r="AH25" s="593"/>
      <c r="AI25" s="593"/>
      <c r="AJ25" s="594"/>
      <c r="AK25" s="181"/>
      <c r="AL25" s="181"/>
      <c r="AM25" s="217"/>
    </row>
    <row r="26" spans="1:39" ht="17.25" customHeight="1">
      <c r="A26" s="615"/>
      <c r="B26" s="203"/>
      <c r="C26" s="281"/>
      <c r="D26" s="257"/>
      <c r="E26" s="258"/>
      <c r="F26" s="579"/>
      <c r="G26" s="580"/>
      <c r="H26" s="581"/>
      <c r="I26" s="326"/>
      <c r="J26" s="259"/>
      <c r="K26" s="260"/>
      <c r="L26" s="261"/>
      <c r="M26" s="592"/>
      <c r="N26" s="593"/>
      <c r="O26" s="593"/>
      <c r="P26" s="593"/>
      <c r="Q26" s="593"/>
      <c r="R26" s="593"/>
      <c r="S26" s="593"/>
      <c r="T26" s="593"/>
      <c r="U26" s="593"/>
      <c r="V26" s="593"/>
      <c r="W26" s="593"/>
      <c r="X26" s="593"/>
      <c r="Y26" s="593"/>
      <c r="Z26" s="593"/>
      <c r="AA26" s="593"/>
      <c r="AB26" s="593"/>
      <c r="AC26" s="593"/>
      <c r="AD26" s="593"/>
      <c r="AE26" s="593"/>
      <c r="AF26" s="593"/>
      <c r="AG26" s="593"/>
      <c r="AH26" s="593"/>
      <c r="AI26" s="593"/>
      <c r="AJ26" s="594"/>
      <c r="AK26" s="181"/>
      <c r="AL26" s="181"/>
      <c r="AM26" s="217"/>
    </row>
    <row r="27" spans="1:39" ht="17.25" customHeight="1">
      <c r="A27" s="615"/>
      <c r="B27" s="203"/>
      <c r="C27" s="281"/>
      <c r="D27" s="253"/>
      <c r="E27" s="254"/>
      <c r="F27" s="632"/>
      <c r="G27" s="633"/>
      <c r="H27" s="634"/>
      <c r="I27" s="325"/>
      <c r="J27" s="255"/>
      <c r="K27" s="256"/>
      <c r="L27" s="255"/>
      <c r="M27" s="592"/>
      <c r="N27" s="593"/>
      <c r="O27" s="593"/>
      <c r="P27" s="593"/>
      <c r="Q27" s="593"/>
      <c r="R27" s="593"/>
      <c r="S27" s="593"/>
      <c r="T27" s="593"/>
      <c r="U27" s="593"/>
      <c r="V27" s="593"/>
      <c r="W27" s="593"/>
      <c r="X27" s="593"/>
      <c r="Y27" s="593"/>
      <c r="Z27" s="593"/>
      <c r="AA27" s="593"/>
      <c r="AB27" s="593"/>
      <c r="AC27" s="593"/>
      <c r="AD27" s="593"/>
      <c r="AE27" s="593"/>
      <c r="AF27" s="593"/>
      <c r="AG27" s="593"/>
      <c r="AH27" s="593"/>
      <c r="AI27" s="593"/>
      <c r="AJ27" s="594"/>
      <c r="AK27" s="181"/>
      <c r="AL27" s="181"/>
      <c r="AM27" s="217"/>
    </row>
    <row r="28" spans="1:39" ht="17.25" customHeight="1">
      <c r="A28" s="615"/>
      <c r="B28" s="203"/>
      <c r="C28" s="281"/>
      <c r="D28" s="257"/>
      <c r="E28" s="258"/>
      <c r="F28" s="579"/>
      <c r="G28" s="580"/>
      <c r="H28" s="581"/>
      <c r="I28" s="326"/>
      <c r="J28" s="261"/>
      <c r="K28" s="260"/>
      <c r="L28" s="261"/>
      <c r="M28" s="592"/>
      <c r="N28" s="593"/>
      <c r="O28" s="593"/>
      <c r="P28" s="593"/>
      <c r="Q28" s="593"/>
      <c r="R28" s="593"/>
      <c r="S28" s="593"/>
      <c r="T28" s="593"/>
      <c r="U28" s="593"/>
      <c r="V28" s="593"/>
      <c r="W28" s="593"/>
      <c r="X28" s="593"/>
      <c r="Y28" s="593"/>
      <c r="Z28" s="593"/>
      <c r="AA28" s="593"/>
      <c r="AB28" s="593"/>
      <c r="AC28" s="593"/>
      <c r="AD28" s="593"/>
      <c r="AE28" s="593"/>
      <c r="AF28" s="593"/>
      <c r="AG28" s="593"/>
      <c r="AH28" s="593"/>
      <c r="AI28" s="593"/>
      <c r="AJ28" s="594"/>
      <c r="AK28" s="181"/>
      <c r="AL28" s="181"/>
      <c r="AM28" s="217"/>
    </row>
    <row r="29" spans="1:39" ht="17.25" customHeight="1">
      <c r="A29" s="615"/>
      <c r="B29" s="203"/>
      <c r="C29" s="281"/>
      <c r="D29" s="253"/>
      <c r="E29" s="254"/>
      <c r="F29" s="632"/>
      <c r="G29" s="633"/>
      <c r="H29" s="634"/>
      <c r="I29" s="325"/>
      <c r="J29" s="263"/>
      <c r="K29" s="256"/>
      <c r="L29" s="263"/>
      <c r="M29" s="592"/>
      <c r="N29" s="593"/>
      <c r="O29" s="593"/>
      <c r="P29" s="593"/>
      <c r="Q29" s="593"/>
      <c r="R29" s="593"/>
      <c r="S29" s="593"/>
      <c r="T29" s="593"/>
      <c r="U29" s="593"/>
      <c r="V29" s="593"/>
      <c r="W29" s="593"/>
      <c r="X29" s="593"/>
      <c r="Y29" s="593"/>
      <c r="Z29" s="593"/>
      <c r="AA29" s="593"/>
      <c r="AB29" s="593"/>
      <c r="AC29" s="593"/>
      <c r="AD29" s="593"/>
      <c r="AE29" s="593"/>
      <c r="AF29" s="593"/>
      <c r="AG29" s="593"/>
      <c r="AH29" s="593"/>
      <c r="AI29" s="593"/>
      <c r="AJ29" s="594"/>
      <c r="AK29" s="181"/>
      <c r="AL29" s="181"/>
      <c r="AM29" s="217"/>
    </row>
    <row r="30" spans="1:39" ht="17.25" customHeight="1">
      <c r="A30" s="616"/>
      <c r="B30" s="203"/>
      <c r="C30" s="281"/>
      <c r="D30" s="257"/>
      <c r="E30" s="258"/>
      <c r="F30" s="579"/>
      <c r="G30" s="580"/>
      <c r="H30" s="581"/>
      <c r="I30" s="326"/>
      <c r="J30" s="264"/>
      <c r="K30" s="260"/>
      <c r="L30" s="264"/>
      <c r="M30" s="603"/>
      <c r="N30" s="604"/>
      <c r="O30" s="604"/>
      <c r="P30" s="604"/>
      <c r="Q30" s="604"/>
      <c r="R30" s="604"/>
      <c r="S30" s="604"/>
      <c r="T30" s="604"/>
      <c r="U30" s="604"/>
      <c r="V30" s="604"/>
      <c r="W30" s="604"/>
      <c r="X30" s="604"/>
      <c r="Y30" s="604"/>
      <c r="Z30" s="604"/>
      <c r="AA30" s="604"/>
      <c r="AB30" s="604"/>
      <c r="AC30" s="604"/>
      <c r="AD30" s="604"/>
      <c r="AE30" s="604"/>
      <c r="AF30" s="604"/>
      <c r="AG30" s="604"/>
      <c r="AH30" s="604"/>
      <c r="AI30" s="604"/>
      <c r="AJ30" s="605"/>
      <c r="AK30" s="181"/>
      <c r="AL30" s="181"/>
      <c r="AM30" s="217"/>
    </row>
    <row r="31" spans="1:39" ht="17.25" customHeight="1">
      <c r="A31" s="620"/>
      <c r="B31" s="203"/>
      <c r="C31" s="281"/>
      <c r="D31" s="265"/>
      <c r="E31" s="254"/>
      <c r="F31" s="642"/>
      <c r="G31" s="643"/>
      <c r="H31" s="644"/>
      <c r="I31" s="327"/>
      <c r="J31" s="266"/>
      <c r="K31" s="267"/>
      <c r="L31" s="266"/>
      <c r="M31" s="597"/>
      <c r="N31" s="598"/>
      <c r="O31" s="598"/>
      <c r="P31" s="598"/>
      <c r="Q31" s="598"/>
      <c r="R31" s="598"/>
      <c r="S31" s="598"/>
      <c r="T31" s="598"/>
      <c r="U31" s="598"/>
      <c r="V31" s="598"/>
      <c r="W31" s="598"/>
      <c r="X31" s="598"/>
      <c r="Y31" s="598"/>
      <c r="Z31" s="598"/>
      <c r="AA31" s="598"/>
      <c r="AB31" s="598"/>
      <c r="AC31" s="598"/>
      <c r="AD31" s="598"/>
      <c r="AE31" s="598"/>
      <c r="AF31" s="598"/>
      <c r="AG31" s="598"/>
      <c r="AH31" s="598"/>
      <c r="AI31" s="598"/>
      <c r="AJ31" s="599"/>
      <c r="AK31" s="181"/>
      <c r="AL31" s="181"/>
      <c r="AM31" s="217"/>
    </row>
    <row r="32" spans="1:39" ht="17.25" customHeight="1">
      <c r="A32" s="621"/>
      <c r="B32" s="203"/>
      <c r="C32" s="281"/>
      <c r="D32" s="268"/>
      <c r="E32" s="258"/>
      <c r="F32" s="597"/>
      <c r="G32" s="598"/>
      <c r="H32" s="599"/>
      <c r="I32" s="328"/>
      <c r="J32" s="269"/>
      <c r="K32" s="262"/>
      <c r="L32" s="269"/>
      <c r="M32" s="597"/>
      <c r="N32" s="598"/>
      <c r="O32" s="598"/>
      <c r="P32" s="598"/>
      <c r="Q32" s="598"/>
      <c r="R32" s="598"/>
      <c r="S32" s="598"/>
      <c r="T32" s="598"/>
      <c r="U32" s="598"/>
      <c r="V32" s="598"/>
      <c r="W32" s="598"/>
      <c r="X32" s="598"/>
      <c r="Y32" s="598"/>
      <c r="Z32" s="598"/>
      <c r="AA32" s="598"/>
      <c r="AB32" s="598"/>
      <c r="AC32" s="598"/>
      <c r="AD32" s="598"/>
      <c r="AE32" s="598"/>
      <c r="AF32" s="598"/>
      <c r="AG32" s="598"/>
      <c r="AH32" s="598"/>
      <c r="AI32" s="598"/>
      <c r="AJ32" s="599"/>
      <c r="AK32" s="181"/>
      <c r="AL32" s="181"/>
      <c r="AM32" s="217"/>
    </row>
    <row r="33" spans="1:39" ht="17.25" customHeight="1">
      <c r="A33" s="621"/>
      <c r="B33" s="203"/>
      <c r="C33" s="281"/>
      <c r="D33" s="253"/>
      <c r="E33" s="254"/>
      <c r="F33" s="632"/>
      <c r="G33" s="633"/>
      <c r="H33" s="634"/>
      <c r="I33" s="325"/>
      <c r="J33" s="263"/>
      <c r="K33" s="270"/>
      <c r="L33" s="263"/>
      <c r="M33" s="592"/>
      <c r="N33" s="593"/>
      <c r="O33" s="593"/>
      <c r="P33" s="593"/>
      <c r="Q33" s="593"/>
      <c r="R33" s="593"/>
      <c r="S33" s="593"/>
      <c r="T33" s="593"/>
      <c r="U33" s="593"/>
      <c r="V33" s="593"/>
      <c r="W33" s="593"/>
      <c r="X33" s="593"/>
      <c r="Y33" s="593"/>
      <c r="Z33" s="593"/>
      <c r="AA33" s="593"/>
      <c r="AB33" s="593"/>
      <c r="AC33" s="593"/>
      <c r="AD33" s="593"/>
      <c r="AE33" s="593"/>
      <c r="AF33" s="593"/>
      <c r="AG33" s="593"/>
      <c r="AH33" s="593"/>
      <c r="AI33" s="593"/>
      <c r="AJ33" s="594"/>
      <c r="AK33" s="181"/>
      <c r="AL33" s="181"/>
      <c r="AM33" s="217"/>
    </row>
    <row r="34" spans="1:39" ht="17.25" customHeight="1">
      <c r="A34" s="621"/>
      <c r="B34" s="203"/>
      <c r="C34" s="281"/>
      <c r="D34" s="257"/>
      <c r="E34" s="258"/>
      <c r="F34" s="579"/>
      <c r="G34" s="580"/>
      <c r="H34" s="581"/>
      <c r="I34" s="326"/>
      <c r="J34" s="264"/>
      <c r="K34" s="271"/>
      <c r="L34" s="264"/>
      <c r="M34" s="603"/>
      <c r="N34" s="604"/>
      <c r="O34" s="604"/>
      <c r="P34" s="604"/>
      <c r="Q34" s="604"/>
      <c r="R34" s="604"/>
      <c r="S34" s="604"/>
      <c r="T34" s="604"/>
      <c r="U34" s="604"/>
      <c r="V34" s="604"/>
      <c r="W34" s="604"/>
      <c r="X34" s="604"/>
      <c r="Y34" s="604"/>
      <c r="Z34" s="604"/>
      <c r="AA34" s="604"/>
      <c r="AB34" s="604"/>
      <c r="AC34" s="604"/>
      <c r="AD34" s="604"/>
      <c r="AE34" s="604"/>
      <c r="AF34" s="604"/>
      <c r="AG34" s="604"/>
      <c r="AH34" s="604"/>
      <c r="AI34" s="604"/>
      <c r="AJ34" s="605"/>
      <c r="AK34" s="181"/>
      <c r="AL34" s="181"/>
      <c r="AM34" s="217"/>
    </row>
    <row r="35" spans="1:39" ht="17.25" customHeight="1">
      <c r="A35" s="621"/>
      <c r="B35" s="203"/>
      <c r="C35" s="281"/>
      <c r="D35" s="265"/>
      <c r="E35" s="254"/>
      <c r="F35" s="642"/>
      <c r="G35" s="643"/>
      <c r="H35" s="644"/>
      <c r="I35" s="327"/>
      <c r="J35" s="272"/>
      <c r="K35" s="254"/>
      <c r="L35" s="273"/>
      <c r="M35" s="597"/>
      <c r="N35" s="598"/>
      <c r="O35" s="598"/>
      <c r="P35" s="598"/>
      <c r="Q35" s="598"/>
      <c r="R35" s="598"/>
      <c r="S35" s="598"/>
      <c r="T35" s="598"/>
      <c r="U35" s="598"/>
      <c r="V35" s="598"/>
      <c r="W35" s="598"/>
      <c r="X35" s="598"/>
      <c r="Y35" s="598"/>
      <c r="Z35" s="598"/>
      <c r="AA35" s="598"/>
      <c r="AB35" s="598"/>
      <c r="AC35" s="598"/>
      <c r="AD35" s="598"/>
      <c r="AE35" s="598"/>
      <c r="AF35" s="598"/>
      <c r="AG35" s="598"/>
      <c r="AH35" s="598"/>
      <c r="AI35" s="598"/>
      <c r="AJ35" s="599"/>
      <c r="AK35" s="181"/>
      <c r="AL35" s="181"/>
      <c r="AM35" s="217"/>
    </row>
    <row r="36" spans="1:39" ht="17.25" customHeight="1">
      <c r="A36" s="621"/>
      <c r="B36" s="203"/>
      <c r="C36" s="281"/>
      <c r="D36" s="274"/>
      <c r="E36" s="258"/>
      <c r="F36" s="573"/>
      <c r="G36" s="574"/>
      <c r="H36" s="575"/>
      <c r="I36" s="328"/>
      <c r="J36" s="275"/>
      <c r="K36" s="258"/>
      <c r="L36" s="275"/>
      <c r="M36" s="597"/>
      <c r="N36" s="598"/>
      <c r="O36" s="598"/>
      <c r="P36" s="598"/>
      <c r="Q36" s="598"/>
      <c r="R36" s="598"/>
      <c r="S36" s="598"/>
      <c r="T36" s="598"/>
      <c r="U36" s="598"/>
      <c r="V36" s="598"/>
      <c r="W36" s="598"/>
      <c r="X36" s="598"/>
      <c r="Y36" s="598"/>
      <c r="Z36" s="598"/>
      <c r="AA36" s="598"/>
      <c r="AB36" s="598"/>
      <c r="AC36" s="598"/>
      <c r="AD36" s="598"/>
      <c r="AE36" s="598"/>
      <c r="AF36" s="598"/>
      <c r="AG36" s="598"/>
      <c r="AH36" s="598"/>
      <c r="AI36" s="598"/>
      <c r="AJ36" s="599"/>
      <c r="AK36" s="181"/>
      <c r="AL36" s="181"/>
      <c r="AM36" s="217"/>
    </row>
    <row r="37" spans="1:39" ht="17.25" customHeight="1">
      <c r="A37" s="621"/>
      <c r="B37" s="203"/>
      <c r="C37" s="281"/>
      <c r="D37" s="276"/>
      <c r="E37" s="254"/>
      <c r="F37" s="576"/>
      <c r="G37" s="577"/>
      <c r="H37" s="578"/>
      <c r="I37" s="327"/>
      <c r="J37" s="273"/>
      <c r="K37" s="254"/>
      <c r="L37" s="273"/>
      <c r="M37" s="597"/>
      <c r="N37" s="598"/>
      <c r="O37" s="598"/>
      <c r="P37" s="598"/>
      <c r="Q37" s="598"/>
      <c r="R37" s="598"/>
      <c r="S37" s="598"/>
      <c r="T37" s="598"/>
      <c r="U37" s="598"/>
      <c r="V37" s="598"/>
      <c r="W37" s="598"/>
      <c r="X37" s="598"/>
      <c r="Y37" s="598"/>
      <c r="Z37" s="598"/>
      <c r="AA37" s="598"/>
      <c r="AB37" s="598"/>
      <c r="AC37" s="598"/>
      <c r="AD37" s="598"/>
      <c r="AE37" s="598"/>
      <c r="AF37" s="598"/>
      <c r="AG37" s="598"/>
      <c r="AH37" s="598"/>
      <c r="AI37" s="598"/>
      <c r="AJ37" s="599"/>
      <c r="AK37" s="181"/>
      <c r="AL37" s="181"/>
      <c r="AM37" s="217"/>
    </row>
    <row r="38" spans="1:39" ht="17.25" customHeight="1">
      <c r="A38" s="621"/>
      <c r="B38" s="203"/>
      <c r="C38" s="281"/>
      <c r="D38" s="274"/>
      <c r="E38" s="258"/>
      <c r="F38" s="573"/>
      <c r="G38" s="574"/>
      <c r="H38" s="575"/>
      <c r="I38" s="328"/>
      <c r="J38" s="275"/>
      <c r="K38" s="258"/>
      <c r="L38" s="275"/>
      <c r="M38" s="597"/>
      <c r="N38" s="598"/>
      <c r="O38" s="598"/>
      <c r="P38" s="598"/>
      <c r="Q38" s="598"/>
      <c r="R38" s="598"/>
      <c r="S38" s="598"/>
      <c r="T38" s="598"/>
      <c r="U38" s="598"/>
      <c r="V38" s="598"/>
      <c r="W38" s="598"/>
      <c r="X38" s="598"/>
      <c r="Y38" s="598"/>
      <c r="Z38" s="598"/>
      <c r="AA38" s="598"/>
      <c r="AB38" s="598"/>
      <c r="AC38" s="598"/>
      <c r="AD38" s="598"/>
      <c r="AE38" s="598"/>
      <c r="AF38" s="598"/>
      <c r="AG38" s="598"/>
      <c r="AH38" s="598"/>
      <c r="AI38" s="598"/>
      <c r="AJ38" s="599"/>
      <c r="AK38" s="181"/>
      <c r="AL38" s="181"/>
      <c r="AM38" s="217"/>
    </row>
    <row r="39" spans="1:39" ht="17.25" customHeight="1">
      <c r="A39" s="621"/>
      <c r="B39" s="203"/>
      <c r="C39" s="281"/>
      <c r="D39" s="276"/>
      <c r="E39" s="254"/>
      <c r="F39" s="576"/>
      <c r="G39" s="577"/>
      <c r="H39" s="578"/>
      <c r="I39" s="327"/>
      <c r="J39" s="273"/>
      <c r="K39" s="254"/>
      <c r="L39" s="273"/>
      <c r="M39" s="597"/>
      <c r="N39" s="598"/>
      <c r="O39" s="598"/>
      <c r="P39" s="598"/>
      <c r="Q39" s="598"/>
      <c r="R39" s="598"/>
      <c r="S39" s="598"/>
      <c r="T39" s="598"/>
      <c r="U39" s="598"/>
      <c r="V39" s="598"/>
      <c r="W39" s="598"/>
      <c r="X39" s="598"/>
      <c r="Y39" s="598"/>
      <c r="Z39" s="598"/>
      <c r="AA39" s="598"/>
      <c r="AB39" s="598"/>
      <c r="AC39" s="598"/>
      <c r="AD39" s="598"/>
      <c r="AE39" s="598"/>
      <c r="AF39" s="598"/>
      <c r="AG39" s="598"/>
      <c r="AH39" s="598"/>
      <c r="AI39" s="598"/>
      <c r="AJ39" s="599"/>
      <c r="AK39" s="181"/>
      <c r="AL39" s="181"/>
      <c r="AM39" s="217"/>
    </row>
    <row r="40" spans="1:39" ht="17.25" customHeight="1">
      <c r="A40" s="621"/>
      <c r="B40" s="203"/>
      <c r="C40" s="281"/>
      <c r="D40" s="274"/>
      <c r="E40" s="258"/>
      <c r="F40" s="573"/>
      <c r="G40" s="574"/>
      <c r="H40" s="575"/>
      <c r="I40" s="328"/>
      <c r="J40" s="275"/>
      <c r="K40" s="258"/>
      <c r="L40" s="275"/>
      <c r="M40" s="597"/>
      <c r="N40" s="598"/>
      <c r="O40" s="598"/>
      <c r="P40" s="598"/>
      <c r="Q40" s="598"/>
      <c r="R40" s="598"/>
      <c r="S40" s="598"/>
      <c r="T40" s="598"/>
      <c r="U40" s="598"/>
      <c r="V40" s="598"/>
      <c r="W40" s="598"/>
      <c r="X40" s="598"/>
      <c r="Y40" s="598"/>
      <c r="Z40" s="598"/>
      <c r="AA40" s="598"/>
      <c r="AB40" s="598"/>
      <c r="AC40" s="598"/>
      <c r="AD40" s="598"/>
      <c r="AE40" s="598"/>
      <c r="AF40" s="598"/>
      <c r="AG40" s="598"/>
      <c r="AH40" s="598"/>
      <c r="AI40" s="598"/>
      <c r="AJ40" s="599"/>
      <c r="AK40" s="181"/>
      <c r="AL40" s="181"/>
      <c r="AM40" s="217"/>
    </row>
    <row r="41" spans="1:39" ht="17.25" customHeight="1">
      <c r="A41" s="621"/>
      <c r="B41" s="203"/>
      <c r="C41" s="281"/>
      <c r="D41" s="276"/>
      <c r="E41" s="254"/>
      <c r="F41" s="576"/>
      <c r="G41" s="577"/>
      <c r="H41" s="578"/>
      <c r="I41" s="327"/>
      <c r="J41" s="273"/>
      <c r="K41" s="254"/>
      <c r="L41" s="273"/>
      <c r="M41" s="597"/>
      <c r="N41" s="598"/>
      <c r="O41" s="598"/>
      <c r="P41" s="598"/>
      <c r="Q41" s="598"/>
      <c r="R41" s="598"/>
      <c r="S41" s="598"/>
      <c r="T41" s="598"/>
      <c r="U41" s="598"/>
      <c r="V41" s="598"/>
      <c r="W41" s="598"/>
      <c r="X41" s="598"/>
      <c r="Y41" s="598"/>
      <c r="Z41" s="598"/>
      <c r="AA41" s="598"/>
      <c r="AB41" s="598"/>
      <c r="AC41" s="598"/>
      <c r="AD41" s="598"/>
      <c r="AE41" s="598"/>
      <c r="AF41" s="598"/>
      <c r="AG41" s="598"/>
      <c r="AH41" s="598"/>
      <c r="AI41" s="598"/>
      <c r="AJ41" s="599"/>
      <c r="AK41" s="181"/>
      <c r="AL41" s="181"/>
      <c r="AM41" s="217"/>
    </row>
    <row r="42" spans="1:39" ht="17.25" customHeight="1">
      <c r="A42" s="621"/>
      <c r="B42" s="203"/>
      <c r="C42" s="281"/>
      <c r="D42" s="274"/>
      <c r="E42" s="258"/>
      <c r="F42" s="573"/>
      <c r="G42" s="574"/>
      <c r="H42" s="575"/>
      <c r="I42" s="328"/>
      <c r="J42" s="275"/>
      <c r="K42" s="258"/>
      <c r="L42" s="275"/>
      <c r="M42" s="597"/>
      <c r="N42" s="598"/>
      <c r="O42" s="598"/>
      <c r="P42" s="598"/>
      <c r="Q42" s="598"/>
      <c r="R42" s="598"/>
      <c r="S42" s="598"/>
      <c r="T42" s="598"/>
      <c r="U42" s="598"/>
      <c r="V42" s="598"/>
      <c r="W42" s="598"/>
      <c r="X42" s="598"/>
      <c r="Y42" s="598"/>
      <c r="Z42" s="598"/>
      <c r="AA42" s="598"/>
      <c r="AB42" s="598"/>
      <c r="AC42" s="598"/>
      <c r="AD42" s="598"/>
      <c r="AE42" s="598"/>
      <c r="AF42" s="598"/>
      <c r="AG42" s="598"/>
      <c r="AH42" s="598"/>
      <c r="AI42" s="598"/>
      <c r="AJ42" s="599"/>
      <c r="AK42" s="181"/>
      <c r="AL42" s="181"/>
      <c r="AM42" s="217"/>
    </row>
    <row r="43" spans="1:39" ht="17.25" customHeight="1">
      <c r="A43" s="621"/>
      <c r="B43" s="203"/>
      <c r="C43" s="281"/>
      <c r="D43" s="276"/>
      <c r="E43" s="254"/>
      <c r="F43" s="576"/>
      <c r="G43" s="577"/>
      <c r="H43" s="578"/>
      <c r="I43" s="327"/>
      <c r="J43" s="273"/>
      <c r="K43" s="254"/>
      <c r="L43" s="273"/>
      <c r="M43" s="597"/>
      <c r="N43" s="598"/>
      <c r="O43" s="598"/>
      <c r="P43" s="598"/>
      <c r="Q43" s="598"/>
      <c r="R43" s="598"/>
      <c r="S43" s="598"/>
      <c r="T43" s="598"/>
      <c r="U43" s="598"/>
      <c r="V43" s="598"/>
      <c r="W43" s="598"/>
      <c r="X43" s="598"/>
      <c r="Y43" s="598"/>
      <c r="Z43" s="598"/>
      <c r="AA43" s="598"/>
      <c r="AB43" s="598"/>
      <c r="AC43" s="598"/>
      <c r="AD43" s="598"/>
      <c r="AE43" s="598"/>
      <c r="AF43" s="598"/>
      <c r="AG43" s="598"/>
      <c r="AH43" s="598"/>
      <c r="AI43" s="598"/>
      <c r="AJ43" s="599"/>
      <c r="AK43" s="181"/>
      <c r="AL43" s="181"/>
      <c r="AM43" s="217"/>
    </row>
    <row r="44" spans="1:39" ht="17.25" customHeight="1">
      <c r="A44" s="621"/>
      <c r="B44" s="203"/>
      <c r="C44" s="281"/>
      <c r="D44" s="274"/>
      <c r="E44" s="258"/>
      <c r="F44" s="573"/>
      <c r="G44" s="574"/>
      <c r="H44" s="575"/>
      <c r="I44" s="328"/>
      <c r="J44" s="275"/>
      <c r="K44" s="258"/>
      <c r="L44" s="275"/>
      <c r="M44" s="597"/>
      <c r="N44" s="598"/>
      <c r="O44" s="598"/>
      <c r="P44" s="598"/>
      <c r="Q44" s="598"/>
      <c r="R44" s="598"/>
      <c r="S44" s="598"/>
      <c r="T44" s="598"/>
      <c r="U44" s="598"/>
      <c r="V44" s="598"/>
      <c r="W44" s="598"/>
      <c r="X44" s="598"/>
      <c r="Y44" s="598"/>
      <c r="Z44" s="598"/>
      <c r="AA44" s="598"/>
      <c r="AB44" s="598"/>
      <c r="AC44" s="598"/>
      <c r="AD44" s="598"/>
      <c r="AE44" s="598"/>
      <c r="AF44" s="598"/>
      <c r="AG44" s="598"/>
      <c r="AH44" s="598"/>
      <c r="AI44" s="598"/>
      <c r="AJ44" s="599"/>
      <c r="AK44" s="181"/>
      <c r="AL44" s="181"/>
      <c r="AM44" s="217"/>
    </row>
    <row r="45" spans="1:39" ht="17.25" customHeight="1">
      <c r="A45" s="621"/>
      <c r="B45" s="203"/>
      <c r="C45" s="281"/>
      <c r="D45" s="276"/>
      <c r="E45" s="254"/>
      <c r="F45" s="576"/>
      <c r="G45" s="577"/>
      <c r="H45" s="578"/>
      <c r="I45" s="327"/>
      <c r="J45" s="273"/>
      <c r="K45" s="254"/>
      <c r="L45" s="273"/>
      <c r="M45" s="597"/>
      <c r="N45" s="598"/>
      <c r="O45" s="598"/>
      <c r="P45" s="598"/>
      <c r="Q45" s="598"/>
      <c r="R45" s="598"/>
      <c r="S45" s="598"/>
      <c r="T45" s="598"/>
      <c r="U45" s="598"/>
      <c r="V45" s="598"/>
      <c r="W45" s="598"/>
      <c r="X45" s="598"/>
      <c r="Y45" s="598"/>
      <c r="Z45" s="598"/>
      <c r="AA45" s="598"/>
      <c r="AB45" s="598"/>
      <c r="AC45" s="598"/>
      <c r="AD45" s="598"/>
      <c r="AE45" s="598"/>
      <c r="AF45" s="598"/>
      <c r="AG45" s="598"/>
      <c r="AH45" s="598"/>
      <c r="AI45" s="598"/>
      <c r="AJ45" s="599"/>
      <c r="AK45" s="181"/>
      <c r="AL45" s="181"/>
      <c r="AM45" s="217"/>
    </row>
    <row r="46" spans="1:39" ht="17.25" customHeight="1">
      <c r="A46" s="621"/>
      <c r="B46" s="203"/>
      <c r="C46" s="281"/>
      <c r="D46" s="274"/>
      <c r="E46" s="258"/>
      <c r="F46" s="573"/>
      <c r="G46" s="574"/>
      <c r="H46" s="575"/>
      <c r="I46" s="328"/>
      <c r="J46" s="275"/>
      <c r="K46" s="258"/>
      <c r="L46" s="275"/>
      <c r="M46" s="597"/>
      <c r="N46" s="598"/>
      <c r="O46" s="598"/>
      <c r="P46" s="598"/>
      <c r="Q46" s="598"/>
      <c r="R46" s="598"/>
      <c r="S46" s="598"/>
      <c r="T46" s="598"/>
      <c r="U46" s="598"/>
      <c r="V46" s="598"/>
      <c r="W46" s="598"/>
      <c r="X46" s="598"/>
      <c r="Y46" s="598"/>
      <c r="Z46" s="598"/>
      <c r="AA46" s="598"/>
      <c r="AB46" s="598"/>
      <c r="AC46" s="598"/>
      <c r="AD46" s="598"/>
      <c r="AE46" s="598"/>
      <c r="AF46" s="598"/>
      <c r="AG46" s="598"/>
      <c r="AH46" s="598"/>
      <c r="AI46" s="598"/>
      <c r="AJ46" s="599"/>
      <c r="AK46" s="181"/>
      <c r="AL46" s="181"/>
      <c r="AM46" s="217"/>
    </row>
    <row r="47" spans="1:39" ht="17.25" customHeight="1">
      <c r="A47" s="621"/>
      <c r="B47" s="203"/>
      <c r="C47" s="281"/>
      <c r="D47" s="277"/>
      <c r="E47" s="278"/>
      <c r="F47" s="576"/>
      <c r="G47" s="577"/>
      <c r="H47" s="578"/>
      <c r="I47" s="329"/>
      <c r="J47" s="279"/>
      <c r="K47" s="278"/>
      <c r="L47" s="279"/>
      <c r="M47" s="597"/>
      <c r="N47" s="598"/>
      <c r="O47" s="598"/>
      <c r="P47" s="598"/>
      <c r="Q47" s="598"/>
      <c r="R47" s="598"/>
      <c r="S47" s="598"/>
      <c r="T47" s="598"/>
      <c r="U47" s="598"/>
      <c r="V47" s="598"/>
      <c r="W47" s="598"/>
      <c r="X47" s="598"/>
      <c r="Y47" s="598"/>
      <c r="Z47" s="598"/>
      <c r="AA47" s="598"/>
      <c r="AB47" s="598"/>
      <c r="AC47" s="598"/>
      <c r="AD47" s="598"/>
      <c r="AE47" s="598"/>
      <c r="AF47" s="598"/>
      <c r="AG47" s="598"/>
      <c r="AH47" s="598"/>
      <c r="AI47" s="598"/>
      <c r="AJ47" s="599"/>
      <c r="AK47" s="181"/>
      <c r="AL47" s="181"/>
      <c r="AM47" s="217"/>
    </row>
    <row r="48" spans="1:39" ht="17.25" customHeight="1">
      <c r="A48" s="621"/>
      <c r="B48" s="203"/>
      <c r="C48" s="263"/>
      <c r="D48" s="276"/>
      <c r="E48" s="254"/>
      <c r="F48" s="573"/>
      <c r="G48" s="574"/>
      <c r="H48" s="575"/>
      <c r="I48" s="327"/>
      <c r="J48" s="273"/>
      <c r="K48" s="254"/>
      <c r="L48" s="273"/>
      <c r="M48" s="597"/>
      <c r="N48" s="598"/>
      <c r="O48" s="598"/>
      <c r="P48" s="598"/>
      <c r="Q48" s="598"/>
      <c r="R48" s="598"/>
      <c r="S48" s="598"/>
      <c r="T48" s="598"/>
      <c r="U48" s="598"/>
      <c r="V48" s="598"/>
      <c r="W48" s="598"/>
      <c r="X48" s="598"/>
      <c r="Y48" s="598"/>
      <c r="Z48" s="598"/>
      <c r="AA48" s="598"/>
      <c r="AB48" s="598"/>
      <c r="AC48" s="598"/>
      <c r="AD48" s="598"/>
      <c r="AE48" s="598"/>
      <c r="AF48" s="598"/>
      <c r="AG48" s="598"/>
      <c r="AH48" s="598"/>
      <c r="AI48" s="598"/>
      <c r="AJ48" s="599"/>
      <c r="AK48" s="181"/>
      <c r="AL48" s="181"/>
      <c r="AM48" s="217"/>
    </row>
    <row r="49" spans="1:39" ht="17.25" customHeight="1">
      <c r="A49" s="621"/>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621"/>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621"/>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621"/>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683" t="s">
        <v>24</v>
      </c>
      <c r="AI52" s="683"/>
      <c r="AJ52" s="683"/>
      <c r="AK52" s="181"/>
      <c r="AL52" s="181"/>
      <c r="AM52" s="217"/>
    </row>
    <row r="53" spans="1:39" ht="17.25" customHeight="1">
      <c r="A53" s="621"/>
      <c r="B53" s="203"/>
      <c r="AH53" s="683"/>
      <c r="AI53" s="684"/>
      <c r="AJ53" s="684"/>
      <c r="AK53" s="224"/>
      <c r="AL53" s="181"/>
      <c r="AM53" s="217"/>
    </row>
    <row r="54" spans="1:39" ht="17.25" customHeight="1">
      <c r="A54" s="621"/>
      <c r="B54" s="203"/>
      <c r="D54" s="177"/>
      <c r="E54" s="177"/>
      <c r="F54" s="178"/>
      <c r="G54" s="179"/>
      <c r="H54" s="179"/>
      <c r="AB54" s="680" t="s">
        <v>1660</v>
      </c>
      <c r="AC54" s="681"/>
      <c r="AD54" s="681"/>
      <c r="AE54" s="681"/>
      <c r="AF54" s="681"/>
      <c r="AG54" s="681"/>
      <c r="AH54" s="681"/>
      <c r="AI54" s="681"/>
      <c r="AJ54" s="681"/>
      <c r="AK54" s="682"/>
      <c r="AL54" s="181"/>
      <c r="AM54" s="217"/>
    </row>
    <row r="55" spans="1:39" ht="17.25" customHeight="1">
      <c r="A55" s="621"/>
      <c r="B55" s="666"/>
      <c r="C55" s="667"/>
      <c r="D55" s="667"/>
      <c r="E55" s="667"/>
      <c r="F55" s="668"/>
      <c r="G55" s="180"/>
      <c r="H55" s="183" t="s">
        <v>0</v>
      </c>
      <c r="I55" s="184"/>
      <c r="J55" s="174"/>
      <c r="K55" s="174"/>
      <c r="L55" s="180"/>
      <c r="M55" s="653" t="s">
        <v>47</v>
      </c>
      <c r="N55" s="653"/>
      <c r="O55" s="655" t="str">
        <f>IF(ISNUMBER(VALUE(RIGHT(O57,4))),RIGHT(O57,4),"Stationsbezeichnung ungültig / invalid station name")</f>
        <v>1600</v>
      </c>
      <c r="P55" s="656"/>
      <c r="Q55" s="656"/>
      <c r="R55" s="656"/>
      <c r="S55" s="657"/>
      <c r="T55" s="661" t="s">
        <v>13</v>
      </c>
      <c r="U55" s="653" t="s">
        <v>2</v>
      </c>
      <c r="V55" s="653"/>
      <c r="W55" s="185"/>
      <c r="X55" s="664" t="s">
        <v>1668</v>
      </c>
      <c r="Y55" s="650"/>
      <c r="Z55" s="654" t="s">
        <v>3</v>
      </c>
      <c r="AA55" s="654"/>
      <c r="AB55" s="678">
        <v>6</v>
      </c>
      <c r="AD55" s="174"/>
      <c r="AE55" s="174"/>
      <c r="AF55" s="206" t="s">
        <v>11</v>
      </c>
      <c r="AG55" s="206"/>
      <c r="AH55" s="200"/>
      <c r="AI55" s="180"/>
      <c r="AJ55" s="208" t="s">
        <v>4</v>
      </c>
      <c r="AK55" s="208" t="s">
        <v>5</v>
      </c>
      <c r="AL55" s="180"/>
      <c r="AM55" s="217"/>
    </row>
    <row r="56" spans="1:39" ht="17.25" customHeight="1">
      <c r="A56" s="621"/>
      <c r="B56" s="669"/>
      <c r="C56" s="670"/>
      <c r="D56" s="670"/>
      <c r="E56" s="670"/>
      <c r="F56" s="671"/>
      <c r="G56" s="181"/>
      <c r="H56" s="639" t="s">
        <v>31</v>
      </c>
      <c r="I56" s="640"/>
      <c r="J56" s="640"/>
      <c r="K56" s="640"/>
      <c r="L56" s="641"/>
      <c r="M56" s="653" t="s">
        <v>15</v>
      </c>
      <c r="N56" s="653"/>
      <c r="O56" s="658"/>
      <c r="P56" s="659"/>
      <c r="Q56" s="659"/>
      <c r="R56" s="659"/>
      <c r="S56" s="660"/>
      <c r="T56" s="662"/>
      <c r="U56" s="653" t="s">
        <v>52</v>
      </c>
      <c r="V56" s="653"/>
      <c r="W56" s="186"/>
      <c r="X56" s="665"/>
      <c r="Y56" s="652"/>
      <c r="Z56" s="677" t="s">
        <v>1263</v>
      </c>
      <c r="AA56" s="677"/>
      <c r="AB56" s="679"/>
      <c r="AF56" s="213" t="s">
        <v>58</v>
      </c>
      <c r="AG56" s="214"/>
      <c r="AH56" s="201"/>
      <c r="AI56" s="181"/>
      <c r="AJ56" s="215" t="s">
        <v>55</v>
      </c>
      <c r="AK56" s="225" t="s">
        <v>43</v>
      </c>
      <c r="AL56" s="181"/>
      <c r="AM56" s="217"/>
    </row>
    <row r="57" spans="1:39" ht="17.25" customHeight="1">
      <c r="A57" s="621"/>
      <c r="B57" s="669"/>
      <c r="C57" s="670"/>
      <c r="D57" s="670"/>
      <c r="E57" s="670"/>
      <c r="F57" s="671"/>
      <c r="G57" s="182"/>
      <c r="H57" s="207"/>
      <c r="I57" s="204"/>
      <c r="J57" s="204"/>
      <c r="K57" s="204"/>
      <c r="L57" s="205"/>
      <c r="M57" s="653" t="s">
        <v>48</v>
      </c>
      <c r="N57" s="653"/>
      <c r="O57" s="649" t="s">
        <v>1658</v>
      </c>
      <c r="P57" s="664"/>
      <c r="Q57" s="664"/>
      <c r="R57" s="664"/>
      <c r="S57" s="650"/>
      <c r="T57" s="663"/>
      <c r="U57" s="653" t="s">
        <v>7</v>
      </c>
      <c r="V57" s="653"/>
      <c r="W57" s="188"/>
      <c r="X57" s="664" t="s">
        <v>1668</v>
      </c>
      <c r="Y57" s="650"/>
      <c r="Z57" s="280" t="s">
        <v>8</v>
      </c>
      <c r="AA57" s="645">
        <v>45014</v>
      </c>
      <c r="AB57" s="646"/>
      <c r="AC57" s="189"/>
      <c r="AD57" s="176"/>
      <c r="AE57" s="176"/>
      <c r="AF57" s="228"/>
      <c r="AG57" s="228"/>
      <c r="AH57" s="228"/>
      <c r="AI57" s="229"/>
      <c r="AJ57" s="226"/>
      <c r="AK57" s="181"/>
      <c r="AL57" s="181"/>
      <c r="AM57" s="217"/>
    </row>
    <row r="58" spans="1:39" ht="18" customHeight="1">
      <c r="A58" s="621"/>
      <c r="B58" s="669"/>
      <c r="C58" s="670"/>
      <c r="D58" s="670"/>
      <c r="E58" s="670"/>
      <c r="F58" s="671"/>
      <c r="G58" s="180"/>
      <c r="H58" s="183" t="s">
        <v>56</v>
      </c>
      <c r="I58" s="184"/>
      <c r="J58" s="174"/>
      <c r="K58" s="174"/>
      <c r="L58" s="180"/>
      <c r="M58" s="653" t="s">
        <v>49</v>
      </c>
      <c r="N58" s="653"/>
      <c r="O58" s="651"/>
      <c r="P58" s="665"/>
      <c r="Q58" s="665"/>
      <c r="R58" s="665"/>
      <c r="S58" s="652"/>
      <c r="T58" s="661" t="s">
        <v>51</v>
      </c>
      <c r="U58" s="653" t="s">
        <v>53</v>
      </c>
      <c r="V58" s="653"/>
      <c r="W58" s="185"/>
      <c r="X58" s="665"/>
      <c r="Y58" s="652"/>
      <c r="Z58" s="280" t="s">
        <v>57</v>
      </c>
      <c r="AA58" s="647"/>
      <c r="AB58" s="648"/>
      <c r="AD58" s="174"/>
      <c r="AE58" s="174"/>
      <c r="AF58" s="675" t="s">
        <v>1659</v>
      </c>
      <c r="AG58" s="675"/>
      <c r="AH58" s="675"/>
      <c r="AI58" s="676"/>
      <c r="AJ58" s="612" t="s">
        <v>20</v>
      </c>
      <c r="AK58" s="612" t="s">
        <v>21</v>
      </c>
      <c r="AL58" s="181"/>
      <c r="AM58" s="217"/>
    </row>
    <row r="59" spans="1:39" ht="17.25" customHeight="1">
      <c r="A59" s="621"/>
      <c r="B59" s="669"/>
      <c r="C59" s="670"/>
      <c r="D59" s="670"/>
      <c r="E59" s="670"/>
      <c r="F59" s="671"/>
      <c r="G59" s="181"/>
      <c r="H59" s="639" t="s">
        <v>45</v>
      </c>
      <c r="I59" s="640"/>
      <c r="J59" s="640"/>
      <c r="K59" s="640"/>
      <c r="L59" s="641"/>
      <c r="M59" s="653" t="s">
        <v>6</v>
      </c>
      <c r="N59" s="653"/>
      <c r="O59" s="649" t="s">
        <v>1652</v>
      </c>
      <c r="P59" s="664"/>
      <c r="Q59" s="664"/>
      <c r="R59" s="664"/>
      <c r="S59" s="650"/>
      <c r="T59" s="662"/>
      <c r="U59" s="653" t="s">
        <v>10</v>
      </c>
      <c r="V59" s="653"/>
      <c r="W59" s="186"/>
      <c r="X59" s="664" t="s">
        <v>1668</v>
      </c>
      <c r="Y59" s="650"/>
      <c r="Z59" s="280" t="s">
        <v>9</v>
      </c>
      <c r="AA59" s="649" t="s">
        <v>1668</v>
      </c>
      <c r="AB59" s="650"/>
      <c r="AF59" s="227"/>
      <c r="AG59" s="228"/>
      <c r="AH59" s="228"/>
      <c r="AI59" s="229"/>
      <c r="AJ59" s="612"/>
      <c r="AK59" s="612"/>
      <c r="AL59" s="181"/>
      <c r="AM59" s="217"/>
    </row>
    <row r="60" spans="1:39" ht="17.25" customHeight="1">
      <c r="A60" s="622"/>
      <c r="B60" s="672"/>
      <c r="C60" s="673"/>
      <c r="D60" s="673"/>
      <c r="E60" s="673"/>
      <c r="F60" s="674"/>
      <c r="G60" s="182"/>
      <c r="H60" s="207"/>
      <c r="I60" s="204"/>
      <c r="J60" s="204"/>
      <c r="K60" s="204"/>
      <c r="L60" s="205"/>
      <c r="M60" s="653" t="s">
        <v>50</v>
      </c>
      <c r="N60" s="653"/>
      <c r="O60" s="651"/>
      <c r="P60" s="665"/>
      <c r="Q60" s="665"/>
      <c r="R60" s="665"/>
      <c r="S60" s="652"/>
      <c r="T60" s="663"/>
      <c r="U60" s="653" t="s">
        <v>54</v>
      </c>
      <c r="V60" s="653"/>
      <c r="W60" s="188"/>
      <c r="X60" s="665"/>
      <c r="Y60" s="652"/>
      <c r="Z60" s="280" t="s">
        <v>23</v>
      </c>
      <c r="AA60" s="651"/>
      <c r="AB60" s="652"/>
      <c r="AC60" s="189"/>
      <c r="AD60" s="176"/>
      <c r="AE60" s="176"/>
      <c r="AF60" s="230"/>
      <c r="AG60" s="230"/>
      <c r="AH60" s="230"/>
      <c r="AI60" s="231"/>
      <c r="AJ60" s="613"/>
      <c r="AK60" s="613"/>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69"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O61" sqref="O61"/>
    </sheetView>
  </sheetViews>
  <sheetFormatPr defaultColWidth="11.42578125" defaultRowHeight="17.25" customHeight="1"/>
  <cols>
    <col min="1" max="1" width="5.42578125" style="3" customWidth="1"/>
    <col min="2" max="2" width="2.7109375" style="472" customWidth="1"/>
    <col min="3" max="3" width="5.7109375" style="472"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14"/>
      <c r="B1" s="474"/>
      <c r="C1" s="475"/>
      <c r="D1" s="476"/>
      <c r="E1" s="476"/>
      <c r="F1" s="476"/>
      <c r="G1" s="476"/>
      <c r="H1" s="476"/>
      <c r="I1" s="476"/>
      <c r="J1" s="476"/>
      <c r="K1" s="476"/>
      <c r="L1" s="476"/>
      <c r="M1" s="476"/>
      <c r="N1" s="476"/>
      <c r="O1" s="476"/>
      <c r="P1" s="476"/>
      <c r="Q1" s="476"/>
      <c r="R1" s="476"/>
      <c r="S1" s="476"/>
      <c r="T1" s="476"/>
      <c r="U1" s="476"/>
      <c r="V1" s="476"/>
      <c r="W1" s="476"/>
      <c r="X1" s="476"/>
      <c r="Y1" s="476"/>
      <c r="Z1" s="476"/>
      <c r="AA1" s="476"/>
      <c r="AB1" s="476"/>
      <c r="AC1" s="476"/>
      <c r="AD1" s="476"/>
      <c r="AE1" s="476"/>
      <c r="AF1" s="476"/>
      <c r="AG1" s="476"/>
      <c r="AH1" s="466"/>
      <c r="AI1" s="466"/>
      <c r="AJ1" s="466"/>
      <c r="AK1" s="467"/>
      <c r="AL1" s="210"/>
      <c r="AM1" s="217"/>
    </row>
    <row r="2" spans="1:39" ht="17.25" customHeight="1">
      <c r="A2" s="615"/>
      <c r="B2" s="477"/>
      <c r="C2" s="478"/>
      <c r="D2" s="479"/>
      <c r="E2" s="479"/>
      <c r="F2" s="479"/>
      <c r="G2" s="479"/>
      <c r="H2" s="479"/>
      <c r="I2" s="479"/>
      <c r="J2" s="479"/>
      <c r="K2" s="479"/>
      <c r="L2" s="479"/>
      <c r="M2" s="479"/>
      <c r="N2" s="479"/>
      <c r="O2" s="479"/>
      <c r="P2" s="479"/>
      <c r="Q2" s="479"/>
      <c r="R2" s="479"/>
      <c r="S2" s="479"/>
      <c r="T2" s="479"/>
      <c r="U2" s="479"/>
      <c r="V2" s="479"/>
      <c r="W2" s="479"/>
      <c r="X2" s="479"/>
      <c r="Y2" s="479"/>
      <c r="Z2" s="479"/>
      <c r="AA2" s="479"/>
      <c r="AB2" s="479"/>
      <c r="AC2" s="479"/>
      <c r="AD2" s="479"/>
      <c r="AE2" s="479"/>
      <c r="AF2" s="479"/>
      <c r="AG2" s="479"/>
      <c r="AH2" s="468"/>
      <c r="AI2" s="468"/>
      <c r="AJ2" s="468"/>
      <c r="AK2" s="469"/>
      <c r="AL2" s="211"/>
      <c r="AM2" s="217"/>
    </row>
    <row r="3" spans="1:39" ht="17.25" customHeight="1">
      <c r="A3" s="615"/>
      <c r="B3" s="477"/>
      <c r="C3" s="478"/>
      <c r="D3" s="706"/>
      <c r="E3" s="706"/>
      <c r="F3" s="707"/>
      <c r="G3" s="707"/>
      <c r="H3" s="707"/>
      <c r="I3" s="707"/>
      <c r="J3" s="707"/>
      <c r="K3" s="707"/>
      <c r="L3" s="707"/>
      <c r="M3" s="707"/>
      <c r="N3" s="707"/>
      <c r="O3" s="707"/>
      <c r="P3" s="480"/>
      <c r="Q3" s="480"/>
      <c r="R3" s="480"/>
      <c r="S3" s="480"/>
      <c r="T3" s="480"/>
      <c r="U3" s="480"/>
      <c r="V3" s="480"/>
      <c r="W3" s="480"/>
      <c r="X3" s="480"/>
      <c r="Y3" s="480"/>
      <c r="Z3" s="480"/>
      <c r="AA3" s="480"/>
      <c r="AB3" s="480"/>
      <c r="AC3" s="480"/>
      <c r="AD3" s="480"/>
      <c r="AE3" s="480"/>
      <c r="AF3" s="480"/>
      <c r="AG3" s="480"/>
      <c r="AH3" s="468"/>
      <c r="AI3" s="468"/>
      <c r="AJ3" s="468"/>
      <c r="AK3" s="469"/>
      <c r="AL3" s="211"/>
      <c r="AM3" s="217"/>
    </row>
    <row r="4" spans="1:39" ht="17.25" customHeight="1">
      <c r="A4" s="615"/>
      <c r="B4" s="477"/>
      <c r="C4" s="478"/>
      <c r="D4" s="706"/>
      <c r="E4" s="706"/>
      <c r="F4" s="707"/>
      <c r="G4" s="707"/>
      <c r="H4" s="707"/>
      <c r="I4" s="707"/>
      <c r="J4" s="707"/>
      <c r="K4" s="707"/>
      <c r="L4" s="707"/>
      <c r="M4" s="707"/>
      <c r="N4" s="707"/>
      <c r="O4" s="707"/>
      <c r="P4" s="480"/>
      <c r="Q4" s="480"/>
      <c r="R4" s="480"/>
      <c r="S4" s="480"/>
      <c r="T4" s="480"/>
      <c r="U4" s="480"/>
      <c r="V4" s="480"/>
      <c r="W4" s="480"/>
      <c r="X4" s="480"/>
      <c r="Y4" s="480"/>
      <c r="Z4" s="480"/>
      <c r="AA4" s="480"/>
      <c r="AB4" s="480"/>
      <c r="AC4" s="480"/>
      <c r="AD4" s="480"/>
      <c r="AE4" s="480"/>
      <c r="AF4" s="480"/>
      <c r="AG4" s="480"/>
      <c r="AH4" s="481"/>
      <c r="AI4" s="481"/>
      <c r="AJ4" s="481"/>
      <c r="AK4" s="482"/>
      <c r="AL4" s="212"/>
      <c r="AM4" s="217"/>
    </row>
    <row r="5" spans="1:39" ht="17.25" customHeight="1">
      <c r="A5" s="615"/>
      <c r="B5" s="477"/>
      <c r="C5" s="478"/>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83"/>
      <c r="AI5" s="479"/>
      <c r="AJ5" s="484"/>
      <c r="AK5" s="485"/>
      <c r="AL5" s="181"/>
      <c r="AM5" s="217"/>
    </row>
    <row r="6" spans="1:39" ht="17.25" customHeight="1">
      <c r="A6" s="615"/>
      <c r="B6" s="477"/>
      <c r="C6" s="478"/>
      <c r="D6" s="486"/>
      <c r="E6" s="487"/>
      <c r="F6" s="479"/>
      <c r="G6" s="479"/>
      <c r="H6" s="488"/>
      <c r="I6" s="479"/>
      <c r="J6" s="489"/>
      <c r="K6" s="490"/>
      <c r="L6" s="490"/>
      <c r="M6" s="489"/>
      <c r="N6" s="490"/>
      <c r="O6" s="490"/>
      <c r="P6" s="489"/>
      <c r="Q6" s="491"/>
      <c r="R6" s="491"/>
      <c r="S6" s="479"/>
      <c r="T6" s="492"/>
      <c r="U6" s="489"/>
      <c r="V6" s="491"/>
      <c r="W6" s="491"/>
      <c r="X6" s="489"/>
      <c r="Y6" s="490"/>
      <c r="Z6" s="490"/>
      <c r="AA6" s="480"/>
      <c r="AB6" s="480"/>
      <c r="AC6" s="480"/>
      <c r="AD6" s="480"/>
      <c r="AE6" s="480"/>
      <c r="AF6" s="480"/>
      <c r="AG6" s="480"/>
      <c r="AH6" s="493"/>
      <c r="AI6" s="488"/>
      <c r="AJ6" s="479"/>
      <c r="AK6" s="494"/>
      <c r="AL6" s="181"/>
      <c r="AM6" s="217"/>
    </row>
    <row r="7" spans="1:39" ht="17.25" customHeight="1">
      <c r="A7" s="615"/>
      <c r="B7" s="477"/>
      <c r="C7" s="478"/>
      <c r="D7" s="486"/>
      <c r="E7" s="487"/>
      <c r="F7" s="479"/>
      <c r="G7" s="479"/>
      <c r="H7" s="488"/>
      <c r="I7" s="479"/>
      <c r="J7" s="489"/>
      <c r="K7" s="490"/>
      <c r="L7" s="490"/>
      <c r="M7" s="489"/>
      <c r="N7" s="490"/>
      <c r="O7" s="490"/>
      <c r="P7" s="489"/>
      <c r="Q7" s="491"/>
      <c r="R7" s="491"/>
      <c r="S7" s="479"/>
      <c r="T7" s="492"/>
      <c r="U7" s="489"/>
      <c r="V7" s="491"/>
      <c r="W7" s="491"/>
      <c r="X7" s="489"/>
      <c r="Y7" s="490"/>
      <c r="Z7" s="490"/>
      <c r="AA7" s="480"/>
      <c r="AB7" s="480"/>
      <c r="AC7" s="480"/>
      <c r="AD7" s="480"/>
      <c r="AE7" s="480"/>
      <c r="AF7" s="480"/>
      <c r="AG7" s="480"/>
      <c r="AH7" s="493"/>
      <c r="AI7" s="488"/>
      <c r="AJ7" s="479"/>
      <c r="AK7" s="494"/>
      <c r="AL7" s="181"/>
      <c r="AM7" s="217"/>
    </row>
    <row r="8" spans="1:39" ht="17.25" customHeight="1">
      <c r="A8" s="615"/>
      <c r="B8" s="477"/>
      <c r="C8" s="478"/>
      <c r="D8" s="486"/>
      <c r="E8" s="487"/>
      <c r="F8" s="479"/>
      <c r="G8" s="479"/>
      <c r="H8" s="488"/>
      <c r="I8" s="479"/>
      <c r="J8" s="489"/>
      <c r="K8" s="490"/>
      <c r="L8" s="490"/>
      <c r="M8" s="489"/>
      <c r="N8" s="490"/>
      <c r="O8" s="490"/>
      <c r="P8" s="489"/>
      <c r="Q8" s="491"/>
      <c r="R8" s="491"/>
      <c r="S8" s="479"/>
      <c r="T8" s="492"/>
      <c r="U8" s="489"/>
      <c r="V8" s="491"/>
      <c r="W8" s="491"/>
      <c r="X8" s="489"/>
      <c r="Y8" s="490"/>
      <c r="Z8" s="490"/>
      <c r="AA8" s="480"/>
      <c r="AB8" s="480"/>
      <c r="AC8" s="480"/>
      <c r="AD8" s="480"/>
      <c r="AE8" s="480"/>
      <c r="AF8" s="480"/>
      <c r="AG8" s="480"/>
      <c r="AH8" s="493"/>
      <c r="AI8" s="488"/>
      <c r="AJ8" s="479"/>
      <c r="AK8" s="494"/>
      <c r="AL8" s="181"/>
      <c r="AM8" s="217"/>
    </row>
    <row r="9" spans="1:39" ht="17.25" customHeight="1">
      <c r="A9" s="615"/>
      <c r="B9" s="477"/>
      <c r="C9" s="478"/>
      <c r="D9" s="486"/>
      <c r="E9" s="487"/>
      <c r="F9" s="479"/>
      <c r="G9" s="479"/>
      <c r="H9" s="488"/>
      <c r="I9" s="479"/>
      <c r="J9" s="489"/>
      <c r="K9" s="490"/>
      <c r="L9" s="489"/>
      <c r="M9" s="479"/>
      <c r="N9" s="490"/>
      <c r="O9" s="490"/>
      <c r="P9" s="489"/>
      <c r="Q9" s="491"/>
      <c r="R9" s="491"/>
      <c r="S9" s="479"/>
      <c r="T9" s="492"/>
      <c r="U9" s="489"/>
      <c r="V9" s="491"/>
      <c r="W9" s="491"/>
      <c r="X9" s="489"/>
      <c r="Y9" s="490"/>
      <c r="Z9" s="490"/>
      <c r="AA9" s="480"/>
      <c r="AB9" s="480"/>
      <c r="AC9" s="480"/>
      <c r="AD9" s="480"/>
      <c r="AE9" s="480"/>
      <c r="AF9" s="480"/>
      <c r="AG9" s="480"/>
      <c r="AH9" s="493"/>
      <c r="AI9" s="488"/>
      <c r="AJ9" s="479"/>
      <c r="AK9" s="494"/>
      <c r="AL9" s="181"/>
      <c r="AM9" s="217"/>
    </row>
    <row r="10" spans="1:39" ht="17.25" customHeight="1">
      <c r="A10" s="615"/>
      <c r="B10" s="477"/>
      <c r="C10" s="478"/>
      <c r="D10" s="486"/>
      <c r="E10" s="487"/>
      <c r="F10" s="479"/>
      <c r="G10" s="479"/>
      <c r="H10" s="488"/>
      <c r="I10" s="479"/>
      <c r="J10" s="489"/>
      <c r="K10" s="490"/>
      <c r="L10" s="490"/>
      <c r="M10" s="489"/>
      <c r="N10" s="490"/>
      <c r="O10" s="490"/>
      <c r="P10" s="489"/>
      <c r="Q10" s="491"/>
      <c r="R10" s="491"/>
      <c r="S10" s="479"/>
      <c r="T10" s="492"/>
      <c r="U10" s="489"/>
      <c r="V10" s="491"/>
      <c r="W10" s="491"/>
      <c r="X10" s="489"/>
      <c r="Y10" s="490"/>
      <c r="Z10" s="490"/>
      <c r="AA10" s="480"/>
      <c r="AB10" s="480"/>
      <c r="AC10" s="480"/>
      <c r="AD10" s="480"/>
      <c r="AE10" s="480"/>
      <c r="AF10" s="480"/>
      <c r="AG10" s="480"/>
      <c r="AH10" s="493"/>
      <c r="AI10" s="488"/>
      <c r="AJ10" s="479"/>
      <c r="AK10" s="494"/>
      <c r="AL10" s="181"/>
      <c r="AM10" s="217"/>
    </row>
    <row r="11" spans="1:39" ht="17.25" customHeight="1">
      <c r="A11" s="615"/>
      <c r="B11" s="477"/>
      <c r="C11" s="478"/>
      <c r="D11" s="486"/>
      <c r="E11" s="487"/>
      <c r="F11" s="479"/>
      <c r="G11" s="479"/>
      <c r="H11" s="488"/>
      <c r="I11" s="479"/>
      <c r="J11" s="489"/>
      <c r="K11" s="490"/>
      <c r="L11" s="490"/>
      <c r="M11" s="489"/>
      <c r="N11" s="490"/>
      <c r="O11" s="490"/>
      <c r="P11" s="489"/>
      <c r="Q11" s="491"/>
      <c r="R11" s="491"/>
      <c r="S11" s="479"/>
      <c r="T11" s="492"/>
      <c r="U11" s="489"/>
      <c r="V11" s="491"/>
      <c r="W11" s="491"/>
      <c r="X11" s="489"/>
      <c r="Y11" s="490"/>
      <c r="Z11" s="490"/>
      <c r="AA11" s="480"/>
      <c r="AB11" s="480"/>
      <c r="AC11" s="480"/>
      <c r="AD11" s="480"/>
      <c r="AE11" s="480"/>
      <c r="AF11" s="480"/>
      <c r="AG11" s="480"/>
      <c r="AH11" s="493"/>
      <c r="AI11" s="488"/>
      <c r="AJ11" s="479"/>
      <c r="AK11" s="494"/>
      <c r="AL11" s="181"/>
      <c r="AM11" s="217"/>
    </row>
    <row r="12" spans="1:39" ht="17.25" customHeight="1">
      <c r="A12" s="615"/>
      <c r="B12" s="477"/>
      <c r="C12" s="478"/>
      <c r="D12" s="486"/>
      <c r="E12" s="487"/>
      <c r="F12" s="479"/>
      <c r="G12" s="479"/>
      <c r="H12" s="488"/>
      <c r="I12" s="479"/>
      <c r="J12" s="489"/>
      <c r="K12" s="490"/>
      <c r="L12" s="490"/>
      <c r="M12" s="489"/>
      <c r="N12" s="490"/>
      <c r="O12" s="490"/>
      <c r="P12" s="489"/>
      <c r="Q12" s="491"/>
      <c r="R12" s="491"/>
      <c r="S12" s="479"/>
      <c r="T12" s="492"/>
      <c r="U12" s="489"/>
      <c r="V12" s="491"/>
      <c r="W12" s="491"/>
      <c r="X12" s="489"/>
      <c r="Y12" s="490"/>
      <c r="Z12" s="490"/>
      <c r="AA12" s="480"/>
      <c r="AB12" s="480"/>
      <c r="AC12" s="480"/>
      <c r="AD12" s="480"/>
      <c r="AE12" s="480"/>
      <c r="AF12" s="480"/>
      <c r="AG12" s="480"/>
      <c r="AH12" s="493"/>
      <c r="AI12" s="488"/>
      <c r="AJ12" s="479"/>
      <c r="AK12" s="494"/>
      <c r="AL12" s="181"/>
      <c r="AM12" s="217"/>
    </row>
    <row r="13" spans="1:39" ht="17.25" customHeight="1">
      <c r="A13" s="615"/>
      <c r="B13" s="477"/>
      <c r="C13" s="478"/>
      <c r="D13" s="486"/>
      <c r="E13" s="487"/>
      <c r="F13" s="479"/>
      <c r="G13" s="479"/>
      <c r="H13" s="488"/>
      <c r="I13" s="479"/>
      <c r="J13" s="489"/>
      <c r="K13" s="490"/>
      <c r="L13" s="490"/>
      <c r="M13" s="489"/>
      <c r="N13" s="490"/>
      <c r="O13" s="490"/>
      <c r="P13" s="489"/>
      <c r="Q13" s="491"/>
      <c r="R13" s="491"/>
      <c r="S13" s="479"/>
      <c r="T13" s="492"/>
      <c r="U13" s="489"/>
      <c r="V13" s="491"/>
      <c r="W13" s="491"/>
      <c r="X13" s="489"/>
      <c r="Y13" s="490"/>
      <c r="Z13" s="490"/>
      <c r="AA13" s="480"/>
      <c r="AB13" s="480"/>
      <c r="AC13" s="480"/>
      <c r="AD13" s="480"/>
      <c r="AE13" s="480"/>
      <c r="AF13" s="480"/>
      <c r="AG13" s="480"/>
      <c r="AH13" s="493"/>
      <c r="AI13" s="488"/>
      <c r="AJ13" s="479"/>
      <c r="AK13" s="494"/>
      <c r="AL13" s="181"/>
      <c r="AM13" s="217"/>
    </row>
    <row r="14" spans="1:39" ht="17.25" customHeight="1">
      <c r="A14" s="615"/>
      <c r="B14" s="477"/>
      <c r="C14" s="478"/>
      <c r="D14" s="486"/>
      <c r="E14" s="487"/>
      <c r="F14" s="479"/>
      <c r="G14" s="479"/>
      <c r="H14" s="488"/>
      <c r="I14" s="479"/>
      <c r="J14" s="489"/>
      <c r="K14" s="490"/>
      <c r="L14" s="490"/>
      <c r="M14" s="489"/>
      <c r="N14" s="490"/>
      <c r="O14" s="490"/>
      <c r="P14" s="489"/>
      <c r="Q14" s="491"/>
      <c r="R14" s="491"/>
      <c r="S14" s="479"/>
      <c r="T14" s="492"/>
      <c r="U14" s="489"/>
      <c r="V14" s="491"/>
      <c r="W14" s="491"/>
      <c r="X14" s="489"/>
      <c r="Y14" s="490"/>
      <c r="Z14" s="490"/>
      <c r="AA14" s="480"/>
      <c r="AB14" s="480"/>
      <c r="AC14" s="480"/>
      <c r="AD14" s="480"/>
      <c r="AE14" s="480"/>
      <c r="AF14" s="480"/>
      <c r="AG14" s="480"/>
      <c r="AH14" s="493"/>
      <c r="AI14" s="488"/>
      <c r="AJ14" s="479"/>
      <c r="AK14" s="494"/>
      <c r="AL14" s="181"/>
      <c r="AM14" s="217"/>
    </row>
    <row r="15" spans="1:39" ht="17.25" customHeight="1">
      <c r="A15" s="615"/>
      <c r="B15" s="477"/>
      <c r="C15" s="478"/>
      <c r="D15" s="486"/>
      <c r="E15" s="487"/>
      <c r="F15" s="479"/>
      <c r="G15" s="479"/>
      <c r="H15" s="488"/>
      <c r="I15" s="479"/>
      <c r="J15" s="489"/>
      <c r="K15" s="490"/>
      <c r="L15" s="490"/>
      <c r="M15" s="489"/>
      <c r="N15" s="490"/>
      <c r="O15" s="490"/>
      <c r="P15" s="489"/>
      <c r="Q15" s="491"/>
      <c r="R15" s="491"/>
      <c r="S15" s="479"/>
      <c r="T15" s="492"/>
      <c r="U15" s="489"/>
      <c r="V15" s="491"/>
      <c r="W15" s="491"/>
      <c r="X15" s="489"/>
      <c r="Y15" s="490"/>
      <c r="Z15" s="490"/>
      <c r="AA15" s="480"/>
      <c r="AB15" s="480"/>
      <c r="AC15" s="480"/>
      <c r="AD15" s="480"/>
      <c r="AE15" s="480"/>
      <c r="AF15" s="480"/>
      <c r="AG15" s="480"/>
      <c r="AH15" s="493"/>
      <c r="AI15" s="488"/>
      <c r="AJ15" s="479"/>
      <c r="AK15" s="494"/>
      <c r="AL15" s="181"/>
      <c r="AM15" s="217"/>
    </row>
    <row r="16" spans="1:39" ht="17.25" customHeight="1">
      <c r="A16" s="615"/>
      <c r="B16" s="477"/>
      <c r="C16" s="478"/>
      <c r="D16" s="486"/>
      <c r="E16" s="487"/>
      <c r="F16" s="479"/>
      <c r="G16" s="479"/>
      <c r="H16" s="488"/>
      <c r="I16" s="479"/>
      <c r="J16" s="489"/>
      <c r="K16" s="490"/>
      <c r="L16" s="490"/>
      <c r="M16" s="489"/>
      <c r="N16" s="490"/>
      <c r="O16" s="490"/>
      <c r="P16" s="489"/>
      <c r="Q16" s="491"/>
      <c r="R16" s="491"/>
      <c r="S16" s="479"/>
      <c r="T16" s="492"/>
      <c r="U16" s="489"/>
      <c r="V16" s="491"/>
      <c r="W16" s="491"/>
      <c r="X16" s="489"/>
      <c r="Y16" s="490"/>
      <c r="Z16" s="490"/>
      <c r="AA16" s="480"/>
      <c r="AB16" s="480"/>
      <c r="AC16" s="480"/>
      <c r="AD16" s="480"/>
      <c r="AE16" s="480"/>
      <c r="AF16" s="480"/>
      <c r="AG16" s="480"/>
      <c r="AH16" s="493"/>
      <c r="AI16" s="488"/>
      <c r="AJ16" s="479"/>
      <c r="AK16" s="494"/>
      <c r="AL16" s="181"/>
      <c r="AM16" s="217"/>
    </row>
    <row r="17" spans="1:39" ht="17.25" customHeight="1">
      <c r="A17" s="615"/>
      <c r="B17" s="477"/>
      <c r="C17" s="478"/>
      <c r="D17" s="486"/>
      <c r="E17" s="487"/>
      <c r="F17" s="479"/>
      <c r="G17" s="479"/>
      <c r="H17" s="488"/>
      <c r="I17" s="479"/>
      <c r="J17" s="489"/>
      <c r="K17" s="490"/>
      <c r="L17" s="490"/>
      <c r="M17" s="489"/>
      <c r="N17" s="490"/>
      <c r="O17" s="490"/>
      <c r="P17" s="489"/>
      <c r="Q17" s="491"/>
      <c r="R17" s="491"/>
      <c r="S17" s="479"/>
      <c r="T17" s="492"/>
      <c r="U17" s="489"/>
      <c r="V17" s="491"/>
      <c r="W17" s="491"/>
      <c r="X17" s="489"/>
      <c r="Y17" s="490"/>
      <c r="Z17" s="490"/>
      <c r="AA17" s="480"/>
      <c r="AB17" s="480"/>
      <c r="AC17" s="480"/>
      <c r="AD17" s="480"/>
      <c r="AE17" s="480"/>
      <c r="AF17" s="480"/>
      <c r="AG17" s="480"/>
      <c r="AH17" s="493"/>
      <c r="AI17" s="488"/>
      <c r="AJ17" s="479"/>
      <c r="AK17" s="494"/>
      <c r="AL17" s="181"/>
      <c r="AM17" s="217"/>
    </row>
    <row r="18" spans="1:39" ht="17.25" customHeight="1">
      <c r="A18" s="615"/>
      <c r="B18" s="477"/>
      <c r="C18" s="478"/>
      <c r="D18" s="486"/>
      <c r="E18" s="487"/>
      <c r="F18" s="479"/>
      <c r="G18" s="479"/>
      <c r="H18" s="488"/>
      <c r="I18" s="479"/>
      <c r="J18" s="489"/>
      <c r="K18" s="490"/>
      <c r="L18" s="490"/>
      <c r="M18" s="489"/>
      <c r="N18" s="490"/>
      <c r="O18" s="490"/>
      <c r="P18" s="489"/>
      <c r="Q18" s="491"/>
      <c r="R18" s="491"/>
      <c r="S18" s="479"/>
      <c r="T18" s="492"/>
      <c r="U18" s="489"/>
      <c r="V18" s="491"/>
      <c r="W18" s="491"/>
      <c r="X18" s="489"/>
      <c r="Y18" s="490"/>
      <c r="Z18" s="490"/>
      <c r="AA18" s="480"/>
      <c r="AB18" s="480"/>
      <c r="AC18" s="480"/>
      <c r="AD18" s="480"/>
      <c r="AE18" s="480"/>
      <c r="AF18" s="480"/>
      <c r="AG18" s="480"/>
      <c r="AH18" s="493"/>
      <c r="AI18" s="488"/>
      <c r="AJ18" s="479"/>
      <c r="AK18" s="494"/>
      <c r="AL18" s="181"/>
      <c r="AM18" s="217"/>
    </row>
    <row r="19" spans="1:39" ht="17.25" customHeight="1">
      <c r="A19" s="615"/>
      <c r="B19" s="477"/>
      <c r="C19" s="478"/>
      <c r="D19" s="486"/>
      <c r="E19" s="487"/>
      <c r="F19" s="479"/>
      <c r="G19" s="479"/>
      <c r="H19" s="488"/>
      <c r="I19" s="479"/>
      <c r="J19" s="489"/>
      <c r="K19" s="490"/>
      <c r="L19" s="490"/>
      <c r="M19" s="489"/>
      <c r="N19" s="490"/>
      <c r="O19" s="490"/>
      <c r="P19" s="489"/>
      <c r="Q19" s="491"/>
      <c r="R19" s="491"/>
      <c r="S19" s="479"/>
      <c r="T19" s="492"/>
      <c r="U19" s="489"/>
      <c r="V19" s="491"/>
      <c r="W19" s="491"/>
      <c r="X19" s="489"/>
      <c r="Y19" s="490"/>
      <c r="Z19" s="490"/>
      <c r="AA19" s="480"/>
      <c r="AB19" s="480"/>
      <c r="AC19" s="480"/>
      <c r="AD19" s="480"/>
      <c r="AE19" s="480"/>
      <c r="AF19" s="480"/>
      <c r="AG19" s="480"/>
      <c r="AH19" s="493"/>
      <c r="AI19" s="488"/>
      <c r="AJ19" s="479"/>
      <c r="AK19" s="494"/>
      <c r="AL19" s="181"/>
      <c r="AM19" s="217"/>
    </row>
    <row r="20" spans="1:39" ht="17.25" customHeight="1">
      <c r="A20" s="615"/>
      <c r="B20" s="477"/>
      <c r="C20" s="478"/>
      <c r="D20" s="495"/>
      <c r="E20" s="495"/>
      <c r="F20" s="496"/>
      <c r="G20" s="496"/>
      <c r="H20" s="497"/>
      <c r="I20" s="479"/>
      <c r="J20" s="498"/>
      <c r="K20" s="498"/>
      <c r="L20" s="498"/>
      <c r="M20" s="498"/>
      <c r="N20" s="498"/>
      <c r="O20" s="498"/>
      <c r="P20" s="499"/>
      <c r="Q20" s="499"/>
      <c r="R20" s="499"/>
      <c r="S20" s="500"/>
      <c r="T20" s="501"/>
      <c r="U20" s="500"/>
      <c r="V20" s="500"/>
      <c r="W20" s="502"/>
      <c r="X20" s="501"/>
      <c r="Y20" s="501"/>
      <c r="Z20" s="500"/>
      <c r="AA20" s="501"/>
      <c r="AB20" s="503"/>
      <c r="AC20" s="503"/>
      <c r="AD20" s="503"/>
      <c r="AE20" s="503"/>
      <c r="AF20" s="503"/>
      <c r="AG20" s="503"/>
      <c r="AH20" s="487"/>
      <c r="AI20" s="478"/>
      <c r="AJ20" s="479"/>
      <c r="AK20" s="494"/>
      <c r="AL20" s="181"/>
      <c r="AM20" s="217"/>
    </row>
    <row r="21" spans="1:39" ht="17.25" customHeight="1">
      <c r="A21" s="615"/>
      <c r="B21" s="477"/>
      <c r="C21" s="498"/>
      <c r="D21" s="504"/>
      <c r="E21" s="505"/>
      <c r="F21" s="506"/>
      <c r="G21" s="507"/>
      <c r="H21" s="508"/>
      <c r="I21" s="508"/>
      <c r="J21" s="509"/>
      <c r="K21" s="509"/>
      <c r="L21" s="509"/>
      <c r="M21" s="510"/>
      <c r="N21" s="510"/>
      <c r="O21" s="511"/>
      <c r="P21" s="512"/>
      <c r="Q21" s="512"/>
      <c r="R21" s="499"/>
      <c r="S21" s="513"/>
      <c r="T21" s="514"/>
      <c r="U21" s="514"/>
      <c r="V21" s="514"/>
      <c r="W21" s="499"/>
      <c r="X21" s="515"/>
      <c r="Y21" s="515"/>
      <c r="Z21" s="516"/>
      <c r="AA21" s="498"/>
      <c r="AB21" s="517"/>
      <c r="AC21" s="503"/>
      <c r="AD21" s="503"/>
      <c r="AE21" s="503"/>
      <c r="AF21" s="518"/>
      <c r="AG21" s="518"/>
      <c r="AH21" s="510"/>
      <c r="AI21" s="519"/>
      <c r="AJ21" s="479"/>
      <c r="AK21" s="494"/>
      <c r="AL21" s="181"/>
      <c r="AM21" s="217"/>
    </row>
    <row r="22" spans="1:39" ht="17.25" customHeight="1">
      <c r="A22" s="615"/>
      <c r="B22" s="477"/>
      <c r="C22" s="498"/>
      <c r="D22" s="504"/>
      <c r="E22" s="505"/>
      <c r="F22" s="506"/>
      <c r="G22" s="507"/>
      <c r="H22" s="508"/>
      <c r="I22" s="508"/>
      <c r="J22" s="520"/>
      <c r="K22" s="509"/>
      <c r="L22" s="509"/>
      <c r="M22" s="510"/>
      <c r="N22" s="510"/>
      <c r="O22" s="521"/>
      <c r="P22" s="512"/>
      <c r="Q22" s="512"/>
      <c r="R22" s="522"/>
      <c r="S22" s="513"/>
      <c r="T22" s="514"/>
      <c r="U22" s="514"/>
      <c r="V22" s="514"/>
      <c r="W22" s="499"/>
      <c r="X22" s="515"/>
      <c r="Y22" s="515"/>
      <c r="Z22" s="516"/>
      <c r="AA22" s="498"/>
      <c r="AB22" s="517"/>
      <c r="AC22" s="503"/>
      <c r="AD22" s="503"/>
      <c r="AE22" s="503"/>
      <c r="AF22" s="518"/>
      <c r="AG22" s="518"/>
      <c r="AH22" s="510"/>
      <c r="AI22" s="519"/>
      <c r="AJ22" s="479"/>
      <c r="AK22" s="494"/>
      <c r="AL22" s="181"/>
      <c r="AM22" s="217"/>
    </row>
    <row r="23" spans="1:39" ht="17.25" customHeight="1">
      <c r="A23" s="615"/>
      <c r="B23" s="477"/>
      <c r="C23" s="498"/>
      <c r="D23" s="504"/>
      <c r="E23" s="505"/>
      <c r="F23" s="506"/>
      <c r="G23" s="507"/>
      <c r="H23" s="506"/>
      <c r="I23" s="506"/>
      <c r="J23" s="509"/>
      <c r="K23" s="509"/>
      <c r="L23" s="509"/>
      <c r="M23" s="510"/>
      <c r="N23" s="510"/>
      <c r="O23" s="521"/>
      <c r="P23" s="512"/>
      <c r="Q23" s="512"/>
      <c r="R23" s="523"/>
      <c r="S23" s="524"/>
      <c r="T23" s="525"/>
      <c r="U23" s="524"/>
      <c r="V23" s="525"/>
      <c r="W23" s="499"/>
      <c r="X23" s="515"/>
      <c r="Y23" s="515"/>
      <c r="Z23" s="516"/>
      <c r="AA23" s="498"/>
      <c r="AB23" s="505"/>
      <c r="AC23" s="503"/>
      <c r="AD23" s="503"/>
      <c r="AE23" s="503"/>
      <c r="AF23" s="518"/>
      <c r="AG23" s="518"/>
      <c r="AH23" s="510"/>
      <c r="AI23" s="519"/>
      <c r="AJ23" s="479"/>
      <c r="AK23" s="494"/>
      <c r="AL23" s="181"/>
      <c r="AM23" s="217"/>
    </row>
    <row r="24" spans="1:39" ht="17.25" customHeight="1">
      <c r="A24" s="615"/>
      <c r="B24" s="477"/>
      <c r="C24" s="498"/>
      <c r="D24" s="504"/>
      <c r="E24" s="505"/>
      <c r="F24" s="506"/>
      <c r="G24" s="507"/>
      <c r="H24" s="506"/>
      <c r="I24" s="506"/>
      <c r="J24" s="509"/>
      <c r="K24" s="509"/>
      <c r="L24" s="509"/>
      <c r="M24" s="510"/>
      <c r="N24" s="510"/>
      <c r="O24" s="521"/>
      <c r="P24" s="512"/>
      <c r="Q24" s="512"/>
      <c r="R24" s="523"/>
      <c r="S24" s="524"/>
      <c r="T24" s="525"/>
      <c r="U24" s="524"/>
      <c r="V24" s="525"/>
      <c r="W24" s="499"/>
      <c r="X24" s="526"/>
      <c r="Y24" s="515"/>
      <c r="Z24" s="516"/>
      <c r="AA24" s="498"/>
      <c r="AB24" s="505"/>
      <c r="AC24" s="503"/>
      <c r="AD24" s="503"/>
      <c r="AE24" s="503"/>
      <c r="AF24" s="518"/>
      <c r="AG24" s="518"/>
      <c r="AH24" s="510"/>
      <c r="AI24" s="519"/>
      <c r="AJ24" s="479"/>
      <c r="AK24" s="494"/>
      <c r="AL24" s="181"/>
      <c r="AM24" s="217"/>
    </row>
    <row r="25" spans="1:39" ht="17.25" customHeight="1">
      <c r="A25" s="615"/>
      <c r="B25" s="477"/>
      <c r="C25" s="498"/>
      <c r="D25" s="504"/>
      <c r="E25" s="505"/>
      <c r="F25" s="506"/>
      <c r="G25" s="507"/>
      <c r="H25" s="506"/>
      <c r="I25" s="506"/>
      <c r="J25" s="509"/>
      <c r="K25" s="509"/>
      <c r="L25" s="509"/>
      <c r="M25" s="510"/>
      <c r="N25" s="510"/>
      <c r="O25" s="505"/>
      <c r="P25" s="512"/>
      <c r="Q25" s="512"/>
      <c r="R25" s="523"/>
      <c r="S25" s="524"/>
      <c r="T25" s="525"/>
      <c r="U25" s="524"/>
      <c r="V25" s="525"/>
      <c r="W25" s="499"/>
      <c r="X25" s="515"/>
      <c r="Y25" s="515"/>
      <c r="Z25" s="516"/>
      <c r="AA25" s="498"/>
      <c r="AB25" s="505"/>
      <c r="AC25" s="503"/>
      <c r="AD25" s="503"/>
      <c r="AE25" s="503"/>
      <c r="AF25" s="518"/>
      <c r="AG25" s="518"/>
      <c r="AH25" s="510"/>
      <c r="AI25" s="519"/>
      <c r="AJ25" s="479"/>
      <c r="AK25" s="494"/>
      <c r="AL25" s="181"/>
      <c r="AM25" s="217"/>
    </row>
    <row r="26" spans="1:39" ht="17.25" customHeight="1">
      <c r="A26" s="615"/>
      <c r="B26" s="477"/>
      <c r="C26" s="498"/>
      <c r="D26" s="504"/>
      <c r="E26" s="505"/>
      <c r="F26" s="506"/>
      <c r="G26" s="527"/>
      <c r="H26" s="506"/>
      <c r="I26" s="506"/>
      <c r="J26" s="520"/>
      <c r="K26" s="509"/>
      <c r="L26" s="509"/>
      <c r="M26" s="510"/>
      <c r="N26" s="510"/>
      <c r="O26" s="498"/>
      <c r="P26" s="512"/>
      <c r="Q26" s="512"/>
      <c r="R26" s="523"/>
      <c r="S26" s="524"/>
      <c r="T26" s="525"/>
      <c r="U26" s="524"/>
      <c r="V26" s="525"/>
      <c r="W26" s="499"/>
      <c r="X26" s="515"/>
      <c r="Y26" s="515"/>
      <c r="Z26" s="516"/>
      <c r="AA26" s="498"/>
      <c r="AB26" s="505"/>
      <c r="AC26" s="498"/>
      <c r="AD26" s="498"/>
      <c r="AE26" s="498"/>
      <c r="AF26" s="518"/>
      <c r="AG26" s="518"/>
      <c r="AH26" s="510"/>
      <c r="AI26" s="519"/>
      <c r="AJ26" s="479"/>
      <c r="AK26" s="494"/>
      <c r="AL26" s="181"/>
      <c r="AM26" s="217"/>
    </row>
    <row r="27" spans="1:39" ht="17.25" customHeight="1">
      <c r="A27" s="615"/>
      <c r="B27" s="477"/>
      <c r="C27" s="498"/>
      <c r="D27" s="504"/>
      <c r="E27" s="505"/>
      <c r="F27" s="506"/>
      <c r="G27" s="527"/>
      <c r="H27" s="506"/>
      <c r="I27" s="506"/>
      <c r="J27" s="509"/>
      <c r="K27" s="509"/>
      <c r="L27" s="509"/>
      <c r="M27" s="510"/>
      <c r="N27" s="510"/>
      <c r="O27" s="498"/>
      <c r="P27" s="512"/>
      <c r="Q27" s="512"/>
      <c r="R27" s="523"/>
      <c r="S27" s="524"/>
      <c r="T27" s="525"/>
      <c r="U27" s="524"/>
      <c r="V27" s="525"/>
      <c r="W27" s="499"/>
      <c r="X27" s="515"/>
      <c r="Y27" s="515"/>
      <c r="Z27" s="516"/>
      <c r="AA27" s="498"/>
      <c r="AB27" s="505"/>
      <c r="AC27" s="498"/>
      <c r="AD27" s="498"/>
      <c r="AE27" s="498"/>
      <c r="AF27" s="518"/>
      <c r="AG27" s="518"/>
      <c r="AH27" s="510"/>
      <c r="AI27" s="519"/>
      <c r="AJ27" s="479"/>
      <c r="AK27" s="494"/>
      <c r="AL27" s="181"/>
      <c r="AM27" s="217"/>
    </row>
    <row r="28" spans="1:39" ht="17.25" customHeight="1">
      <c r="A28" s="615"/>
      <c r="B28" s="477"/>
      <c r="C28" s="498"/>
      <c r="D28" s="504"/>
      <c r="E28" s="505"/>
      <c r="F28" s="506"/>
      <c r="G28" s="507"/>
      <c r="H28" s="506"/>
      <c r="I28" s="506"/>
      <c r="J28" s="509"/>
      <c r="K28" s="509"/>
      <c r="L28" s="509"/>
      <c r="M28" s="510"/>
      <c r="N28" s="510"/>
      <c r="O28" s="505"/>
      <c r="P28" s="512"/>
      <c r="Q28" s="512"/>
      <c r="R28" s="523"/>
      <c r="S28" s="524"/>
      <c r="T28" s="525"/>
      <c r="U28" s="524"/>
      <c r="V28" s="525"/>
      <c r="W28" s="499"/>
      <c r="X28" s="515"/>
      <c r="Y28" s="515"/>
      <c r="Z28" s="516"/>
      <c r="AA28" s="498"/>
      <c r="AB28" s="505"/>
      <c r="AC28" s="498"/>
      <c r="AD28" s="498"/>
      <c r="AE28" s="498"/>
      <c r="AF28" s="518"/>
      <c r="AG28" s="518"/>
      <c r="AH28" s="510"/>
      <c r="AI28" s="519"/>
      <c r="AJ28" s="479"/>
      <c r="AK28" s="494"/>
      <c r="AL28" s="181"/>
      <c r="AM28" s="217"/>
    </row>
    <row r="29" spans="1:39" ht="17.25" customHeight="1">
      <c r="A29" s="615"/>
      <c r="B29" s="477"/>
      <c r="C29" s="498"/>
      <c r="D29" s="504"/>
      <c r="E29" s="505"/>
      <c r="F29" s="506"/>
      <c r="G29" s="507"/>
      <c r="H29" s="506"/>
      <c r="I29" s="506"/>
      <c r="J29" s="504"/>
      <c r="K29" s="509"/>
      <c r="L29" s="504"/>
      <c r="M29" s="510"/>
      <c r="N29" s="510"/>
      <c r="O29" s="521"/>
      <c r="P29" s="513"/>
      <c r="Q29" s="512"/>
      <c r="R29" s="499"/>
      <c r="S29" s="524"/>
      <c r="T29" s="524"/>
      <c r="U29" s="528"/>
      <c r="V29" s="529"/>
      <c r="W29" s="499"/>
      <c r="X29" s="515"/>
      <c r="Y29" s="515"/>
      <c r="Z29" s="516"/>
      <c r="AA29" s="498"/>
      <c r="AB29" s="505"/>
      <c r="AC29" s="498"/>
      <c r="AD29" s="498"/>
      <c r="AE29" s="498"/>
      <c r="AF29" s="518"/>
      <c r="AG29" s="518"/>
      <c r="AH29" s="510"/>
      <c r="AI29" s="498"/>
      <c r="AJ29" s="479"/>
      <c r="AK29" s="494"/>
      <c r="AL29" s="181"/>
      <c r="AM29" s="217"/>
    </row>
    <row r="30" spans="1:39" ht="17.25" customHeight="1">
      <c r="A30" s="616"/>
      <c r="B30" s="477"/>
      <c r="C30" s="498"/>
      <c r="D30" s="504"/>
      <c r="E30" s="505"/>
      <c r="F30" s="506"/>
      <c r="G30" s="507"/>
      <c r="H30" s="506"/>
      <c r="I30" s="506"/>
      <c r="J30" s="504"/>
      <c r="K30" s="509"/>
      <c r="L30" s="504"/>
      <c r="M30" s="504"/>
      <c r="N30" s="510"/>
      <c r="O30" s="521"/>
      <c r="P30" s="513"/>
      <c r="Q30" s="512"/>
      <c r="R30" s="499"/>
      <c r="S30" s="524"/>
      <c r="T30" s="524"/>
      <c r="U30" s="528"/>
      <c r="V30" s="509"/>
      <c r="W30" s="499"/>
      <c r="X30" s="515"/>
      <c r="Y30" s="515"/>
      <c r="Z30" s="516"/>
      <c r="AA30" s="498"/>
      <c r="AB30" s="505"/>
      <c r="AC30" s="498"/>
      <c r="AD30" s="498"/>
      <c r="AE30" s="498"/>
      <c r="AF30" s="518"/>
      <c r="AG30" s="518"/>
      <c r="AH30" s="510"/>
      <c r="AI30" s="498"/>
      <c r="AJ30" s="479"/>
      <c r="AK30" s="494"/>
      <c r="AL30" s="181"/>
      <c r="AM30" s="217"/>
    </row>
    <row r="31" spans="1:39" ht="17.25" customHeight="1">
      <c r="A31" s="708"/>
      <c r="B31" s="477"/>
      <c r="C31" s="498"/>
      <c r="D31" s="498"/>
      <c r="E31" s="505"/>
      <c r="F31" s="505"/>
      <c r="G31" s="507"/>
      <c r="H31" s="505"/>
      <c r="I31" s="505"/>
      <c r="J31" s="530"/>
      <c r="K31" s="531"/>
      <c r="L31" s="530"/>
      <c r="M31" s="505"/>
      <c r="N31" s="505"/>
      <c r="O31" s="521"/>
      <c r="P31" s="523"/>
      <c r="Q31" s="523"/>
      <c r="R31" s="523"/>
      <c r="S31" s="523"/>
      <c r="T31" s="498"/>
      <c r="U31" s="499"/>
      <c r="V31" s="499"/>
      <c r="W31" s="499"/>
      <c r="X31" s="515"/>
      <c r="Y31" s="515"/>
      <c r="Z31" s="516"/>
      <c r="AA31" s="498"/>
      <c r="AB31" s="505"/>
      <c r="AC31" s="498"/>
      <c r="AD31" s="498"/>
      <c r="AE31" s="498"/>
      <c r="AF31" s="532"/>
      <c r="AG31" s="533"/>
      <c r="AH31" s="534"/>
      <c r="AI31" s="498"/>
      <c r="AJ31" s="479"/>
      <c r="AK31" s="494"/>
      <c r="AL31" s="181"/>
      <c r="AM31" s="217"/>
    </row>
    <row r="32" spans="1:39" ht="17.25" customHeight="1">
      <c r="A32" s="709"/>
      <c r="B32" s="477"/>
      <c r="C32" s="498"/>
      <c r="D32" s="498"/>
      <c r="E32" s="505"/>
      <c r="F32" s="505"/>
      <c r="G32" s="507"/>
      <c r="H32" s="505"/>
      <c r="I32" s="505"/>
      <c r="J32" s="530"/>
      <c r="K32" s="506"/>
      <c r="L32" s="530"/>
      <c r="M32" s="505"/>
      <c r="N32" s="505"/>
      <c r="O32" s="521"/>
      <c r="P32" s="523"/>
      <c r="Q32" s="523"/>
      <c r="R32" s="523"/>
      <c r="S32" s="523"/>
      <c r="T32" s="498"/>
      <c r="U32" s="499"/>
      <c r="V32" s="499"/>
      <c r="W32" s="499"/>
      <c r="X32" s="515"/>
      <c r="Y32" s="515"/>
      <c r="Z32" s="516"/>
      <c r="AA32" s="498"/>
      <c r="AB32" s="505"/>
      <c r="AC32" s="498"/>
      <c r="AD32" s="498"/>
      <c r="AE32" s="498"/>
      <c r="AF32" s="532"/>
      <c r="AG32" s="533"/>
      <c r="AH32" s="534"/>
      <c r="AI32" s="498"/>
      <c r="AJ32" s="479"/>
      <c r="AK32" s="494"/>
      <c r="AL32" s="181"/>
      <c r="AM32" s="217"/>
    </row>
    <row r="33" spans="1:39" ht="17.25" customHeight="1">
      <c r="A33" s="709"/>
      <c r="B33" s="477"/>
      <c r="C33" s="498"/>
      <c r="D33" s="504"/>
      <c r="E33" s="505"/>
      <c r="F33" s="506"/>
      <c r="G33" s="507"/>
      <c r="H33" s="506"/>
      <c r="I33" s="506"/>
      <c r="J33" s="504"/>
      <c r="K33" s="535"/>
      <c r="L33" s="504"/>
      <c r="M33" s="510"/>
      <c r="N33" s="504"/>
      <c r="O33" s="521"/>
      <c r="P33" s="536"/>
      <c r="Q33" s="512"/>
      <c r="R33" s="499"/>
      <c r="S33" s="536"/>
      <c r="T33" s="511"/>
      <c r="U33" s="522"/>
      <c r="V33" s="522"/>
      <c r="W33" s="499"/>
      <c r="X33" s="515"/>
      <c r="Y33" s="515"/>
      <c r="Z33" s="516"/>
      <c r="AA33" s="498"/>
      <c r="AB33" s="505"/>
      <c r="AC33" s="498"/>
      <c r="AD33" s="498"/>
      <c r="AE33" s="498"/>
      <c r="AF33" s="518"/>
      <c r="AG33" s="518"/>
      <c r="AH33" s="510"/>
      <c r="AI33" s="498"/>
      <c r="AJ33" s="479"/>
      <c r="AK33" s="494"/>
      <c r="AL33" s="181"/>
      <c r="AM33" s="217"/>
    </row>
    <row r="34" spans="1:39" ht="17.25" customHeight="1">
      <c r="A34" s="709"/>
      <c r="B34" s="477"/>
      <c r="C34" s="498"/>
      <c r="D34" s="504"/>
      <c r="E34" s="505"/>
      <c r="F34" s="506"/>
      <c r="G34" s="507"/>
      <c r="H34" s="506"/>
      <c r="I34" s="506"/>
      <c r="J34" s="504"/>
      <c r="K34" s="535"/>
      <c r="L34" s="504"/>
      <c r="M34" s="504"/>
      <c r="N34" s="504"/>
      <c r="O34" s="521"/>
      <c r="P34" s="536"/>
      <c r="Q34" s="512"/>
      <c r="R34" s="499"/>
      <c r="S34" s="536"/>
      <c r="T34" s="511"/>
      <c r="U34" s="522"/>
      <c r="V34" s="522"/>
      <c r="W34" s="499"/>
      <c r="X34" s="515"/>
      <c r="Y34" s="515"/>
      <c r="Z34" s="516"/>
      <c r="AA34" s="498"/>
      <c r="AB34" s="505"/>
      <c r="AC34" s="498"/>
      <c r="AD34" s="498"/>
      <c r="AE34" s="498"/>
      <c r="AF34" s="518"/>
      <c r="AG34" s="518"/>
      <c r="AH34" s="510"/>
      <c r="AI34" s="498"/>
      <c r="AJ34" s="479"/>
      <c r="AK34" s="494"/>
      <c r="AL34" s="181"/>
      <c r="AM34" s="217"/>
    </row>
    <row r="35" spans="1:39" ht="17.25" customHeight="1">
      <c r="A35" s="709"/>
      <c r="B35" s="477"/>
      <c r="C35" s="498"/>
      <c r="D35" s="498"/>
      <c r="E35" s="505"/>
      <c r="F35" s="505"/>
      <c r="G35" s="507"/>
      <c r="H35" s="505"/>
      <c r="I35" s="505"/>
      <c r="J35" s="506"/>
      <c r="K35" s="505"/>
      <c r="L35" s="505"/>
      <c r="M35" s="505"/>
      <c r="N35" s="505"/>
      <c r="O35" s="505"/>
      <c r="P35" s="523"/>
      <c r="Q35" s="523"/>
      <c r="R35" s="499"/>
      <c r="S35" s="523"/>
      <c r="T35" s="505"/>
      <c r="U35" s="505"/>
      <c r="V35" s="505"/>
      <c r="W35" s="499"/>
      <c r="X35" s="515"/>
      <c r="Y35" s="515"/>
      <c r="Z35" s="516"/>
      <c r="AA35" s="498"/>
      <c r="AB35" s="505"/>
      <c r="AC35" s="498"/>
      <c r="AD35" s="498"/>
      <c r="AE35" s="498"/>
      <c r="AF35" s="518"/>
      <c r="AG35" s="518"/>
      <c r="AH35" s="534"/>
      <c r="AI35" s="498"/>
      <c r="AJ35" s="479"/>
      <c r="AK35" s="494"/>
      <c r="AL35" s="181"/>
      <c r="AM35" s="217"/>
    </row>
    <row r="36" spans="1:39" ht="17.25" customHeight="1">
      <c r="A36" s="709"/>
      <c r="B36" s="477"/>
      <c r="C36" s="498"/>
      <c r="D36" s="537"/>
      <c r="E36" s="505"/>
      <c r="F36" s="527"/>
      <c r="G36" s="527"/>
      <c r="H36" s="286"/>
      <c r="I36" s="523"/>
      <c r="J36" s="505"/>
      <c r="K36" s="505"/>
      <c r="L36" s="505"/>
      <c r="M36" s="505"/>
      <c r="N36" s="505"/>
      <c r="O36" s="498"/>
      <c r="P36" s="523"/>
      <c r="Q36" s="523"/>
      <c r="R36" s="499"/>
      <c r="S36" s="498"/>
      <c r="T36" s="498"/>
      <c r="U36" s="499"/>
      <c r="V36" s="499"/>
      <c r="W36" s="499"/>
      <c r="X36" s="515"/>
      <c r="Y36" s="515"/>
      <c r="Z36" s="516"/>
      <c r="AA36" s="498"/>
      <c r="AB36" s="505"/>
      <c r="AC36" s="498"/>
      <c r="AD36" s="498"/>
      <c r="AE36" s="498"/>
      <c r="AF36" s="538"/>
      <c r="AG36" s="538"/>
      <c r="AH36" s="539"/>
      <c r="AI36" s="519"/>
      <c r="AJ36" s="479"/>
      <c r="AK36" s="494"/>
      <c r="AL36" s="181"/>
      <c r="AM36" s="217"/>
    </row>
    <row r="37" spans="1:39" ht="17.25" customHeight="1">
      <c r="A37" s="709"/>
      <c r="B37" s="477"/>
      <c r="C37" s="498"/>
      <c r="D37" s="537"/>
      <c r="E37" s="505"/>
      <c r="F37" s="527"/>
      <c r="G37" s="527"/>
      <c r="H37" s="286"/>
      <c r="I37" s="523"/>
      <c r="J37" s="505"/>
      <c r="K37" s="505"/>
      <c r="L37" s="505"/>
      <c r="M37" s="505"/>
      <c r="N37" s="505"/>
      <c r="O37" s="498"/>
      <c r="P37" s="523"/>
      <c r="Q37" s="523"/>
      <c r="R37" s="523"/>
      <c r="S37" s="498"/>
      <c r="T37" s="498"/>
      <c r="U37" s="499"/>
      <c r="V37" s="499"/>
      <c r="W37" s="499"/>
      <c r="X37" s="515"/>
      <c r="Y37" s="515"/>
      <c r="Z37" s="516"/>
      <c r="AA37" s="498"/>
      <c r="AB37" s="505"/>
      <c r="AC37" s="498"/>
      <c r="AD37" s="498"/>
      <c r="AE37" s="498"/>
      <c r="AF37" s="538"/>
      <c r="AG37" s="538"/>
      <c r="AH37" s="539"/>
      <c r="AI37" s="540"/>
      <c r="AJ37" s="479"/>
      <c r="AK37" s="494"/>
      <c r="AL37" s="181"/>
      <c r="AM37" s="217"/>
    </row>
    <row r="38" spans="1:39" ht="17.25" customHeight="1">
      <c r="A38" s="709"/>
      <c r="B38" s="477"/>
      <c r="C38" s="498"/>
      <c r="D38" s="537"/>
      <c r="E38" s="505"/>
      <c r="F38" s="527"/>
      <c r="G38" s="507"/>
      <c r="H38" s="286"/>
      <c r="I38" s="523"/>
      <c r="J38" s="505"/>
      <c r="K38" s="505"/>
      <c r="L38" s="505"/>
      <c r="M38" s="505"/>
      <c r="N38" s="505"/>
      <c r="O38" s="505"/>
      <c r="P38" s="523"/>
      <c r="Q38" s="523"/>
      <c r="R38" s="523"/>
      <c r="S38" s="498"/>
      <c r="T38" s="498"/>
      <c r="U38" s="499"/>
      <c r="V38" s="499"/>
      <c r="W38" s="499"/>
      <c r="X38" s="515"/>
      <c r="Y38" s="515"/>
      <c r="Z38" s="516"/>
      <c r="AA38" s="498"/>
      <c r="AB38" s="505"/>
      <c r="AC38" s="498"/>
      <c r="AD38" s="498"/>
      <c r="AE38" s="498"/>
      <c r="AF38" s="538"/>
      <c r="AG38" s="538"/>
      <c r="AH38" s="539"/>
      <c r="AI38" s="519"/>
      <c r="AJ38" s="479"/>
      <c r="AK38" s="494"/>
      <c r="AL38" s="181"/>
      <c r="AM38" s="217"/>
    </row>
    <row r="39" spans="1:39" ht="17.25" customHeight="1">
      <c r="A39" s="709"/>
      <c r="B39" s="477"/>
      <c r="C39" s="498"/>
      <c r="D39" s="537"/>
      <c r="E39" s="505"/>
      <c r="F39" s="527"/>
      <c r="G39" s="507"/>
      <c r="H39" s="286"/>
      <c r="I39" s="523"/>
      <c r="J39" s="505"/>
      <c r="K39" s="505"/>
      <c r="L39" s="505"/>
      <c r="M39" s="505"/>
      <c r="N39" s="505"/>
      <c r="O39" s="505"/>
      <c r="P39" s="523"/>
      <c r="Q39" s="523"/>
      <c r="R39" s="523"/>
      <c r="S39" s="498"/>
      <c r="T39" s="498"/>
      <c r="U39" s="499"/>
      <c r="V39" s="499"/>
      <c r="W39" s="499"/>
      <c r="X39" s="515"/>
      <c r="Y39" s="515"/>
      <c r="Z39" s="516"/>
      <c r="AA39" s="498"/>
      <c r="AB39" s="505"/>
      <c r="AC39" s="498"/>
      <c r="AD39" s="498"/>
      <c r="AE39" s="498"/>
      <c r="AF39" s="538"/>
      <c r="AG39" s="538"/>
      <c r="AH39" s="539"/>
      <c r="AI39" s="519"/>
      <c r="AJ39" s="479"/>
      <c r="AK39" s="494"/>
      <c r="AL39" s="181"/>
      <c r="AM39" s="217"/>
    </row>
    <row r="40" spans="1:39" ht="17.25" customHeight="1">
      <c r="A40" s="709"/>
      <c r="B40" s="477"/>
      <c r="C40" s="498"/>
      <c r="D40" s="537"/>
      <c r="E40" s="505"/>
      <c r="F40" s="527"/>
      <c r="G40" s="507"/>
      <c r="H40" s="286"/>
      <c r="I40" s="523"/>
      <c r="J40" s="505"/>
      <c r="K40" s="505"/>
      <c r="L40" s="505"/>
      <c r="M40" s="505"/>
      <c r="N40" s="505"/>
      <c r="O40" s="505"/>
      <c r="P40" s="523"/>
      <c r="Q40" s="523"/>
      <c r="R40" s="499"/>
      <c r="S40" s="498"/>
      <c r="T40" s="498"/>
      <c r="U40" s="499"/>
      <c r="V40" s="499"/>
      <c r="W40" s="499"/>
      <c r="X40" s="515"/>
      <c r="Y40" s="515"/>
      <c r="Z40" s="516"/>
      <c r="AA40" s="498"/>
      <c r="AB40" s="505"/>
      <c r="AC40" s="498"/>
      <c r="AD40" s="498"/>
      <c r="AE40" s="498"/>
      <c r="AF40" s="538"/>
      <c r="AG40" s="538"/>
      <c r="AH40" s="539"/>
      <c r="AI40" s="519"/>
      <c r="AJ40" s="479"/>
      <c r="AK40" s="494"/>
      <c r="AL40" s="181"/>
      <c r="AM40" s="217"/>
    </row>
    <row r="41" spans="1:39" ht="17.25" customHeight="1">
      <c r="A41" s="709"/>
      <c r="B41" s="477"/>
      <c r="C41" s="498"/>
      <c r="D41" s="537"/>
      <c r="E41" s="505"/>
      <c r="F41" s="527"/>
      <c r="G41" s="507"/>
      <c r="H41" s="286"/>
      <c r="I41" s="523"/>
      <c r="J41" s="505"/>
      <c r="K41" s="505"/>
      <c r="L41" s="505"/>
      <c r="M41" s="505"/>
      <c r="N41" s="505"/>
      <c r="O41" s="521"/>
      <c r="P41" s="523"/>
      <c r="Q41" s="523"/>
      <c r="R41" s="499"/>
      <c r="S41" s="498"/>
      <c r="T41" s="498"/>
      <c r="U41" s="499"/>
      <c r="V41" s="499"/>
      <c r="W41" s="499"/>
      <c r="X41" s="515"/>
      <c r="Y41" s="515"/>
      <c r="Z41" s="516"/>
      <c r="AA41" s="498"/>
      <c r="AB41" s="505"/>
      <c r="AC41" s="498"/>
      <c r="AD41" s="498"/>
      <c r="AE41" s="498"/>
      <c r="AF41" s="541"/>
      <c r="AG41" s="541"/>
      <c r="AH41" s="539"/>
      <c r="AI41" s="498"/>
      <c r="AJ41" s="479"/>
      <c r="AK41" s="494"/>
      <c r="AL41" s="181"/>
      <c r="AM41" s="217"/>
    </row>
    <row r="42" spans="1:39" ht="17.25" customHeight="1">
      <c r="A42" s="709"/>
      <c r="B42" s="477"/>
      <c r="C42" s="498"/>
      <c r="D42" s="537"/>
      <c r="E42" s="505"/>
      <c r="F42" s="527"/>
      <c r="G42" s="507"/>
      <c r="H42" s="286"/>
      <c r="I42" s="523"/>
      <c r="J42" s="505"/>
      <c r="K42" s="505"/>
      <c r="L42" s="505"/>
      <c r="M42" s="505"/>
      <c r="N42" s="505"/>
      <c r="O42" s="521"/>
      <c r="P42" s="523"/>
      <c r="Q42" s="523"/>
      <c r="R42" s="499"/>
      <c r="S42" s="498"/>
      <c r="T42" s="498"/>
      <c r="U42" s="499"/>
      <c r="V42" s="499"/>
      <c r="W42" s="499"/>
      <c r="X42" s="515"/>
      <c r="Y42" s="515"/>
      <c r="Z42" s="516"/>
      <c r="AA42" s="498"/>
      <c r="AB42" s="505"/>
      <c r="AC42" s="498"/>
      <c r="AD42" s="498"/>
      <c r="AE42" s="498"/>
      <c r="AF42" s="541"/>
      <c r="AG42" s="541"/>
      <c r="AH42" s="539"/>
      <c r="AI42" s="498"/>
      <c r="AJ42" s="479"/>
      <c r="AK42" s="494"/>
      <c r="AL42" s="181"/>
      <c r="AM42" s="217"/>
    </row>
    <row r="43" spans="1:39" ht="17.25" customHeight="1">
      <c r="A43" s="709"/>
      <c r="B43" s="477"/>
      <c r="C43" s="498"/>
      <c r="D43" s="537"/>
      <c r="E43" s="505"/>
      <c r="F43" s="527"/>
      <c r="G43" s="507"/>
      <c r="H43" s="286"/>
      <c r="I43" s="523"/>
      <c r="J43" s="505"/>
      <c r="K43" s="505"/>
      <c r="L43" s="505"/>
      <c r="M43" s="505"/>
      <c r="N43" s="505"/>
      <c r="O43" s="521"/>
      <c r="P43" s="523"/>
      <c r="Q43" s="523"/>
      <c r="R43" s="499"/>
      <c r="S43" s="498"/>
      <c r="T43" s="498"/>
      <c r="U43" s="499"/>
      <c r="V43" s="499"/>
      <c r="W43" s="499"/>
      <c r="X43" s="515"/>
      <c r="Y43" s="515"/>
      <c r="Z43" s="516"/>
      <c r="AA43" s="498"/>
      <c r="AB43" s="542"/>
      <c r="AC43" s="498"/>
      <c r="AD43" s="498"/>
      <c r="AE43" s="498"/>
      <c r="AF43" s="541"/>
      <c r="AG43" s="541"/>
      <c r="AH43" s="539"/>
      <c r="AI43" s="498"/>
      <c r="AJ43" s="479"/>
      <c r="AK43" s="494"/>
      <c r="AL43" s="181"/>
      <c r="AM43" s="217"/>
    </row>
    <row r="44" spans="1:39" ht="17.25" customHeight="1">
      <c r="A44" s="709"/>
      <c r="B44" s="477"/>
      <c r="C44" s="498"/>
      <c r="D44" s="537"/>
      <c r="E44" s="505"/>
      <c r="F44" s="527"/>
      <c r="G44" s="507"/>
      <c r="H44" s="286"/>
      <c r="I44" s="523"/>
      <c r="J44" s="505"/>
      <c r="K44" s="505"/>
      <c r="L44" s="505"/>
      <c r="M44" s="505"/>
      <c r="N44" s="505"/>
      <c r="O44" s="521"/>
      <c r="P44" s="523"/>
      <c r="Q44" s="523"/>
      <c r="R44" s="499"/>
      <c r="S44" s="498"/>
      <c r="T44" s="498"/>
      <c r="U44" s="499"/>
      <c r="V44" s="499"/>
      <c r="W44" s="499"/>
      <c r="X44" s="515"/>
      <c r="Y44" s="515"/>
      <c r="Z44" s="479"/>
      <c r="AA44" s="516"/>
      <c r="AB44" s="543"/>
      <c r="AC44" s="498"/>
      <c r="AD44" s="498"/>
      <c r="AE44" s="498"/>
      <c r="AF44" s="541"/>
      <c r="AG44" s="541"/>
      <c r="AH44" s="539"/>
      <c r="AI44" s="498"/>
      <c r="AJ44" s="479"/>
      <c r="AK44" s="494"/>
      <c r="AL44" s="181"/>
      <c r="AM44" s="217"/>
    </row>
    <row r="45" spans="1:39" ht="17.25" customHeight="1">
      <c r="A45" s="709"/>
      <c r="B45" s="477"/>
      <c r="C45" s="498"/>
      <c r="D45" s="537"/>
      <c r="E45" s="505"/>
      <c r="F45" s="527"/>
      <c r="G45" s="507"/>
      <c r="H45" s="286"/>
      <c r="I45" s="523"/>
      <c r="J45" s="505"/>
      <c r="K45" s="505"/>
      <c r="L45" s="505"/>
      <c r="M45" s="505"/>
      <c r="N45" s="505"/>
      <c r="O45" s="521"/>
      <c r="P45" s="523"/>
      <c r="Q45" s="523"/>
      <c r="R45" s="499"/>
      <c r="S45" s="498"/>
      <c r="T45" s="498"/>
      <c r="U45" s="499"/>
      <c r="V45" s="499"/>
      <c r="W45" s="499"/>
      <c r="X45" s="515"/>
      <c r="Y45" s="515"/>
      <c r="Z45" s="516"/>
      <c r="AA45" s="498"/>
      <c r="AB45" s="505"/>
      <c r="AC45" s="498"/>
      <c r="AD45" s="498"/>
      <c r="AE45" s="498"/>
      <c r="AF45" s="541"/>
      <c r="AG45" s="541"/>
      <c r="AH45" s="539"/>
      <c r="AI45" s="498"/>
      <c r="AJ45" s="479"/>
      <c r="AK45" s="494"/>
      <c r="AL45" s="181"/>
      <c r="AM45" s="217"/>
    </row>
    <row r="46" spans="1:39" ht="17.25" customHeight="1">
      <c r="A46" s="709"/>
      <c r="B46" s="477"/>
      <c r="C46" s="498"/>
      <c r="D46" s="537"/>
      <c r="E46" s="505"/>
      <c r="F46" s="527"/>
      <c r="G46" s="507"/>
      <c r="H46" s="286"/>
      <c r="I46" s="523"/>
      <c r="J46" s="505"/>
      <c r="K46" s="544"/>
      <c r="L46" s="505"/>
      <c r="M46" s="505"/>
      <c r="N46" s="505"/>
      <c r="O46" s="521"/>
      <c r="P46" s="523"/>
      <c r="Q46" s="523"/>
      <c r="R46" s="499"/>
      <c r="S46" s="498"/>
      <c r="T46" s="498"/>
      <c r="U46" s="499"/>
      <c r="V46" s="499"/>
      <c r="W46" s="499"/>
      <c r="X46" s="515"/>
      <c r="Y46" s="515"/>
      <c r="Z46" s="516"/>
      <c r="AA46" s="498"/>
      <c r="AB46" s="505"/>
      <c r="AC46" s="498"/>
      <c r="AD46" s="498"/>
      <c r="AE46" s="498"/>
      <c r="AF46" s="541"/>
      <c r="AG46" s="541"/>
      <c r="AH46" s="539"/>
      <c r="AI46" s="498"/>
      <c r="AJ46" s="479"/>
      <c r="AK46" s="494"/>
      <c r="AL46" s="181"/>
      <c r="AM46" s="217"/>
    </row>
    <row r="47" spans="1:39" ht="17.25" customHeight="1">
      <c r="A47" s="709"/>
      <c r="B47" s="477"/>
      <c r="C47" s="498"/>
      <c r="D47" s="537"/>
      <c r="E47" s="505"/>
      <c r="F47" s="527"/>
      <c r="G47" s="507"/>
      <c r="H47" s="286"/>
      <c r="I47" s="479"/>
      <c r="J47" s="505"/>
      <c r="K47" s="505"/>
      <c r="L47" s="479"/>
      <c r="M47" s="479"/>
      <c r="N47" s="479"/>
      <c r="O47" s="521"/>
      <c r="P47" s="523"/>
      <c r="Q47" s="523"/>
      <c r="R47" s="499"/>
      <c r="S47" s="498"/>
      <c r="T47" s="498"/>
      <c r="U47" s="499"/>
      <c r="V47" s="499"/>
      <c r="W47" s="499"/>
      <c r="X47" s="515"/>
      <c r="Y47" s="515"/>
      <c r="Z47" s="516"/>
      <c r="AA47" s="498"/>
      <c r="AB47" s="505"/>
      <c r="AC47" s="498"/>
      <c r="AD47" s="498"/>
      <c r="AE47" s="498"/>
      <c r="AF47" s="541"/>
      <c r="AG47" s="541"/>
      <c r="AH47" s="539"/>
      <c r="AI47" s="498"/>
      <c r="AJ47" s="479"/>
      <c r="AK47" s="494"/>
      <c r="AL47" s="181"/>
      <c r="AM47" s="217"/>
    </row>
    <row r="48" spans="1:39" ht="17.25" customHeight="1">
      <c r="A48" s="709"/>
      <c r="B48" s="477"/>
      <c r="C48" s="498"/>
      <c r="D48" s="537"/>
      <c r="E48" s="505"/>
      <c r="F48" s="527"/>
      <c r="G48" s="507"/>
      <c r="H48" s="286"/>
      <c r="I48" s="544"/>
      <c r="J48" s="498"/>
      <c r="K48" s="544"/>
      <c r="L48" s="505"/>
      <c r="M48" s="505"/>
      <c r="N48" s="505"/>
      <c r="O48" s="521"/>
      <c r="P48" s="523"/>
      <c r="Q48" s="523"/>
      <c r="R48" s="499"/>
      <c r="S48" s="498"/>
      <c r="T48" s="498"/>
      <c r="U48" s="499"/>
      <c r="V48" s="499"/>
      <c r="W48" s="499"/>
      <c r="X48" s="515"/>
      <c r="Y48" s="515"/>
      <c r="Z48" s="516"/>
      <c r="AA48" s="498"/>
      <c r="AB48" s="505"/>
      <c r="AC48" s="498"/>
      <c r="AD48" s="498"/>
      <c r="AE48" s="498"/>
      <c r="AF48" s="541"/>
      <c r="AG48" s="541"/>
      <c r="AH48" s="539"/>
      <c r="AI48" s="498"/>
      <c r="AJ48" s="479"/>
      <c r="AK48" s="494"/>
      <c r="AL48" s="181"/>
      <c r="AM48" s="217"/>
    </row>
    <row r="49" spans="1:39" ht="17.25" customHeight="1">
      <c r="A49" s="709"/>
      <c r="B49" s="477"/>
      <c r="C49" s="498"/>
      <c r="D49" s="537"/>
      <c r="E49" s="505"/>
      <c r="F49" s="527"/>
      <c r="G49" s="507"/>
      <c r="H49" s="286"/>
      <c r="I49" s="479"/>
      <c r="J49" s="479"/>
      <c r="K49" s="479"/>
      <c r="L49" s="505"/>
      <c r="M49" s="505"/>
      <c r="N49" s="505"/>
      <c r="O49" s="521"/>
      <c r="P49" s="523"/>
      <c r="Q49" s="523"/>
      <c r="R49" s="499"/>
      <c r="S49" s="498"/>
      <c r="T49" s="498"/>
      <c r="U49" s="499"/>
      <c r="V49" s="499"/>
      <c r="W49" s="499"/>
      <c r="X49" s="515"/>
      <c r="Y49" s="515"/>
      <c r="Z49" s="516"/>
      <c r="AA49" s="498"/>
      <c r="AB49" s="505"/>
      <c r="AC49" s="498"/>
      <c r="AD49" s="498"/>
      <c r="AE49" s="498"/>
      <c r="AF49" s="541"/>
      <c r="AG49" s="541"/>
      <c r="AH49" s="539"/>
      <c r="AI49" s="498"/>
      <c r="AJ49" s="479"/>
      <c r="AK49" s="494"/>
      <c r="AL49" s="181"/>
      <c r="AM49" s="217"/>
    </row>
    <row r="50" spans="1:39" ht="17.25" customHeight="1">
      <c r="A50" s="709"/>
      <c r="B50" s="477"/>
      <c r="C50" s="498"/>
      <c r="D50" s="537"/>
      <c r="E50" s="505"/>
      <c r="F50" s="527"/>
      <c r="G50" s="507"/>
      <c r="H50" s="286"/>
      <c r="I50" s="479"/>
      <c r="J50" s="505"/>
      <c r="K50" s="505"/>
      <c r="L50" s="505"/>
      <c r="M50" s="505"/>
      <c r="N50" s="505"/>
      <c r="O50" s="521"/>
      <c r="P50" s="523"/>
      <c r="Q50" s="523"/>
      <c r="R50" s="499"/>
      <c r="S50" s="498"/>
      <c r="T50" s="498"/>
      <c r="U50" s="499"/>
      <c r="V50" s="499"/>
      <c r="W50" s="499"/>
      <c r="X50" s="515"/>
      <c r="Y50" s="515"/>
      <c r="Z50" s="516"/>
      <c r="AA50" s="498"/>
      <c r="AB50" s="505"/>
      <c r="AC50" s="498"/>
      <c r="AD50" s="498"/>
      <c r="AE50" s="498"/>
      <c r="AF50" s="541"/>
      <c r="AG50" s="541"/>
      <c r="AH50" s="539"/>
      <c r="AI50" s="498"/>
      <c r="AJ50" s="479"/>
      <c r="AK50" s="494"/>
      <c r="AL50" s="181"/>
      <c r="AM50" s="217"/>
    </row>
    <row r="51" spans="1:39" ht="16.899999999999999" customHeight="1">
      <c r="A51" s="709"/>
      <c r="B51" s="477"/>
      <c r="C51" s="498"/>
      <c r="D51" s="537"/>
      <c r="E51" s="479"/>
      <c r="F51" s="527"/>
      <c r="G51" s="507"/>
      <c r="H51" s="286"/>
      <c r="I51" s="544"/>
      <c r="J51" s="498"/>
      <c r="K51" s="544"/>
      <c r="L51" s="505"/>
      <c r="M51" s="505"/>
      <c r="N51" s="505"/>
      <c r="O51" s="521"/>
      <c r="P51" s="523"/>
      <c r="Q51" s="523"/>
      <c r="R51" s="499"/>
      <c r="S51" s="498"/>
      <c r="T51" s="498"/>
      <c r="U51" s="499"/>
      <c r="V51" s="499"/>
      <c r="W51" s="499"/>
      <c r="X51" s="515"/>
      <c r="Y51" s="515"/>
      <c r="Z51" s="516"/>
      <c r="AA51" s="498"/>
      <c r="AB51" s="505"/>
      <c r="AC51" s="498"/>
      <c r="AD51" s="498"/>
      <c r="AE51" s="498"/>
      <c r="AF51" s="541"/>
      <c r="AG51" s="541"/>
      <c r="AH51" s="539"/>
      <c r="AI51" s="498"/>
      <c r="AJ51" s="479"/>
      <c r="AK51" s="494"/>
      <c r="AL51" s="181"/>
      <c r="AM51" s="217"/>
    </row>
    <row r="52" spans="1:39" ht="16.899999999999999" customHeight="1">
      <c r="A52" s="709"/>
      <c r="B52" s="545"/>
      <c r="C52" s="546"/>
      <c r="D52" s="547"/>
      <c r="E52" s="548"/>
      <c r="F52" s="549"/>
      <c r="G52" s="550"/>
      <c r="H52" s="551"/>
      <c r="I52" s="552"/>
      <c r="J52" s="553"/>
      <c r="K52" s="554"/>
      <c r="L52" s="554"/>
      <c r="M52" s="554"/>
      <c r="N52" s="554"/>
      <c r="O52" s="555"/>
      <c r="P52" s="552"/>
      <c r="Q52" s="552"/>
      <c r="R52" s="556"/>
      <c r="S52" s="553"/>
      <c r="T52" s="553"/>
      <c r="U52" s="556"/>
      <c r="V52" s="556"/>
      <c r="W52" s="556"/>
      <c r="X52" s="557"/>
      <c r="Y52" s="557"/>
      <c r="Z52" s="558"/>
      <c r="AA52" s="553"/>
      <c r="AB52" s="554"/>
      <c r="AC52" s="553"/>
      <c r="AD52" s="553"/>
      <c r="AE52" s="553"/>
      <c r="AF52" s="553"/>
      <c r="AG52" s="553"/>
      <c r="AH52" s="559"/>
      <c r="AI52" s="553"/>
      <c r="AJ52" s="548"/>
      <c r="AK52" s="560"/>
      <c r="AL52" s="182"/>
      <c r="AM52" s="217"/>
    </row>
    <row r="53" spans="1:39" ht="24.95" customHeight="1">
      <c r="A53" s="709"/>
      <c r="B53" s="471"/>
      <c r="AG53" s="561" t="s">
        <v>1669</v>
      </c>
      <c r="AH53" s="562">
        <f>MAX('Blatt 0'!C3:C48)</f>
        <v>0</v>
      </c>
      <c r="AI53" s="711"/>
      <c r="AJ53" s="712"/>
      <c r="AK53" s="713"/>
      <c r="AL53" s="181"/>
      <c r="AM53" s="217"/>
    </row>
    <row r="54" spans="1:39" ht="24.95" customHeight="1">
      <c r="A54" s="709"/>
      <c r="B54" s="471"/>
      <c r="D54" s="177"/>
      <c r="E54" s="177"/>
      <c r="F54" s="178"/>
      <c r="G54" s="179"/>
      <c r="H54" s="179"/>
      <c r="AB54" s="714" t="str">
        <f>'Blatt 0'!AB54:AK54</f>
        <v>VW336 Aufbau ND/PGD Chattanooga</v>
      </c>
      <c r="AC54" s="715"/>
      <c r="AD54" s="715"/>
      <c r="AE54" s="715"/>
      <c r="AF54" s="715"/>
      <c r="AG54" s="715"/>
      <c r="AH54" s="715"/>
      <c r="AI54" s="715"/>
      <c r="AJ54" s="715"/>
      <c r="AK54" s="716"/>
      <c r="AL54" s="181"/>
      <c r="AM54" s="217"/>
    </row>
    <row r="55" spans="1:39" ht="17.25" customHeight="1">
      <c r="A55" s="709"/>
      <c r="B55" s="666"/>
      <c r="C55" s="667"/>
      <c r="D55" s="667"/>
      <c r="E55" s="667"/>
      <c r="F55" s="668"/>
      <c r="G55" s="180"/>
      <c r="H55" s="183" t="s">
        <v>0</v>
      </c>
      <c r="I55" s="184"/>
      <c r="J55" s="174"/>
      <c r="K55" s="174"/>
      <c r="L55" s="180"/>
      <c r="M55" s="694" t="s">
        <v>47</v>
      </c>
      <c r="N55" s="694"/>
      <c r="O55" s="717" t="str">
        <f>'Blatt 0'!O55:S56</f>
        <v>1600</v>
      </c>
      <c r="P55" s="717"/>
      <c r="Q55" s="717"/>
      <c r="R55" s="717"/>
      <c r="S55" s="717"/>
      <c r="T55" s="661" t="s">
        <v>13</v>
      </c>
      <c r="U55" s="694" t="s">
        <v>2</v>
      </c>
      <c r="V55" s="694"/>
      <c r="W55" s="470"/>
      <c r="X55" s="695" t="str">
        <f>'Blatt 0'!X55:Y56</f>
        <v>GME</v>
      </c>
      <c r="Y55" s="695"/>
      <c r="Z55" s="705" t="s">
        <v>3</v>
      </c>
      <c r="AA55" s="705"/>
      <c r="AB55" s="695">
        <f>'Blatt 0'!AB55:AB56</f>
        <v>6</v>
      </c>
      <c r="AD55" s="174"/>
      <c r="AE55" s="174"/>
      <c r="AF55" s="206" t="s">
        <v>11</v>
      </c>
      <c r="AG55" s="206"/>
      <c r="AH55" s="200"/>
      <c r="AI55" s="180"/>
      <c r="AJ55" s="208" t="s">
        <v>4</v>
      </c>
      <c r="AK55" s="208" t="s">
        <v>5</v>
      </c>
      <c r="AL55" s="180"/>
      <c r="AM55" s="217"/>
    </row>
    <row r="56" spans="1:39" ht="17.25" customHeight="1">
      <c r="A56" s="709"/>
      <c r="B56" s="669"/>
      <c r="C56" s="670"/>
      <c r="D56" s="670"/>
      <c r="E56" s="670"/>
      <c r="F56" s="671"/>
      <c r="G56" s="181"/>
      <c r="H56" s="639" t="s">
        <v>31</v>
      </c>
      <c r="I56" s="640"/>
      <c r="J56" s="640"/>
      <c r="K56" s="640"/>
      <c r="L56" s="641"/>
      <c r="M56" s="694" t="s">
        <v>15</v>
      </c>
      <c r="N56" s="694"/>
      <c r="O56" s="717"/>
      <c r="P56" s="717"/>
      <c r="Q56" s="717"/>
      <c r="R56" s="717"/>
      <c r="S56" s="717"/>
      <c r="T56" s="662"/>
      <c r="U56" s="694" t="s">
        <v>19</v>
      </c>
      <c r="V56" s="694"/>
      <c r="W56" s="563"/>
      <c r="X56" s="695"/>
      <c r="Y56" s="695"/>
      <c r="Z56" s="705" t="s">
        <v>1670</v>
      </c>
      <c r="AA56" s="705"/>
      <c r="AB56" s="695"/>
      <c r="AF56" s="213" t="s">
        <v>1671</v>
      </c>
      <c r="AG56" s="214"/>
      <c r="AH56" s="201"/>
      <c r="AI56" s="181"/>
      <c r="AJ56" s="215" t="s">
        <v>55</v>
      </c>
      <c r="AK56" s="225" t="s">
        <v>43</v>
      </c>
      <c r="AL56" s="181"/>
      <c r="AM56" s="217"/>
    </row>
    <row r="57" spans="1:39" ht="17.25" customHeight="1">
      <c r="A57" s="709"/>
      <c r="B57" s="669"/>
      <c r="C57" s="670"/>
      <c r="D57" s="670"/>
      <c r="E57" s="670"/>
      <c r="F57" s="671"/>
      <c r="G57" s="182"/>
      <c r="H57" s="207"/>
      <c r="I57" s="204"/>
      <c r="J57" s="204"/>
      <c r="K57" s="204"/>
      <c r="L57" s="205"/>
      <c r="M57" s="694" t="s">
        <v>48</v>
      </c>
      <c r="N57" s="694"/>
      <c r="O57" s="700" t="str">
        <f>'Blatt 0'!O57:S58</f>
        <v>KJLTVR411600</v>
      </c>
      <c r="P57" s="700"/>
      <c r="Q57" s="700"/>
      <c r="R57" s="700"/>
      <c r="S57" s="700"/>
      <c r="T57" s="663"/>
      <c r="U57" s="694" t="s">
        <v>7</v>
      </c>
      <c r="V57" s="694"/>
      <c r="W57" s="564"/>
      <c r="X57" s="695" t="str">
        <f>'Blatt 0'!X57:Y58</f>
        <v>GME</v>
      </c>
      <c r="Y57" s="695"/>
      <c r="Z57" s="565" t="s">
        <v>8</v>
      </c>
      <c r="AA57" s="701">
        <f>'Blatt 0'!AA57:AB58</f>
        <v>45014</v>
      </c>
      <c r="AB57" s="702"/>
      <c r="AC57" s="473"/>
      <c r="AD57" s="176"/>
      <c r="AE57" s="176"/>
      <c r="AF57" s="566"/>
      <c r="AG57" s="566"/>
      <c r="AH57" s="566"/>
      <c r="AI57" s="567"/>
      <c r="AJ57" s="226"/>
      <c r="AK57" s="181"/>
      <c r="AL57" s="181"/>
      <c r="AM57" s="217"/>
    </row>
    <row r="58" spans="1:39" ht="18" customHeight="1">
      <c r="A58" s="709"/>
      <c r="B58" s="669"/>
      <c r="C58" s="670"/>
      <c r="D58" s="670"/>
      <c r="E58" s="670"/>
      <c r="F58" s="671"/>
      <c r="G58" s="180"/>
      <c r="H58" s="183" t="s">
        <v>56</v>
      </c>
      <c r="I58" s="184"/>
      <c r="J58" s="174"/>
      <c r="K58" s="174"/>
      <c r="L58" s="180"/>
      <c r="M58" s="694" t="s">
        <v>49</v>
      </c>
      <c r="N58" s="694"/>
      <c r="O58" s="700"/>
      <c r="P58" s="700"/>
      <c r="Q58" s="700"/>
      <c r="R58" s="700"/>
      <c r="S58" s="700"/>
      <c r="T58" s="661" t="s">
        <v>51</v>
      </c>
      <c r="U58" s="694" t="s">
        <v>1672</v>
      </c>
      <c r="V58" s="694"/>
      <c r="W58" s="470"/>
      <c r="X58" s="695"/>
      <c r="Y58" s="695"/>
      <c r="Z58" s="565" t="s">
        <v>22</v>
      </c>
      <c r="AA58" s="703"/>
      <c r="AB58" s="704"/>
      <c r="AC58" s="568"/>
      <c r="AD58" s="174"/>
      <c r="AE58" s="174"/>
      <c r="AF58" s="685" t="str">
        <f>'Blatt 0'!AF58:AI58</f>
        <v>66-A53-96D 313785</v>
      </c>
      <c r="AG58" s="686"/>
      <c r="AH58" s="686"/>
      <c r="AI58" s="687"/>
      <c r="AJ58" s="612" t="s">
        <v>20</v>
      </c>
      <c r="AK58" s="612" t="s">
        <v>21</v>
      </c>
      <c r="AL58" s="181"/>
      <c r="AM58" s="217"/>
    </row>
    <row r="59" spans="1:39" ht="17.25" customHeight="1">
      <c r="A59" s="709"/>
      <c r="B59" s="688" t="e">
        <f>#REF!</f>
        <v>#REF!</v>
      </c>
      <c r="C59" s="689"/>
      <c r="D59" s="689"/>
      <c r="E59" s="689"/>
      <c r="F59" s="690"/>
      <c r="G59" s="181"/>
      <c r="H59" s="639" t="s">
        <v>45</v>
      </c>
      <c r="I59" s="640"/>
      <c r="J59" s="640"/>
      <c r="K59" s="640"/>
      <c r="L59" s="641"/>
      <c r="M59" s="694" t="s">
        <v>6</v>
      </c>
      <c r="N59" s="694"/>
      <c r="O59" s="695" t="str">
        <f>'Blatt 0'!O59:S60</f>
        <v>VW336</v>
      </c>
      <c r="P59" s="695"/>
      <c r="Q59" s="695"/>
      <c r="R59" s="695"/>
      <c r="S59" s="695"/>
      <c r="T59" s="662"/>
      <c r="U59" s="694" t="s">
        <v>10</v>
      </c>
      <c r="V59" s="694"/>
      <c r="W59" s="563"/>
      <c r="X59" s="695" t="str">
        <f>'Blatt 0'!X59:Y60</f>
        <v>GME</v>
      </c>
      <c r="Y59" s="695"/>
      <c r="Z59" s="565" t="s">
        <v>9</v>
      </c>
      <c r="AA59" s="696" t="str">
        <f>'Blatt 0'!AA59:AB60</f>
        <v>GME</v>
      </c>
      <c r="AB59" s="697"/>
      <c r="AF59" s="569"/>
      <c r="AG59" s="566"/>
      <c r="AH59" s="566"/>
      <c r="AI59" s="567"/>
      <c r="AJ59" s="612"/>
      <c r="AK59" s="612"/>
      <c r="AL59" s="181"/>
      <c r="AM59" s="217"/>
    </row>
    <row r="60" spans="1:39" ht="17.25" customHeight="1">
      <c r="A60" s="710"/>
      <c r="B60" s="691"/>
      <c r="C60" s="692"/>
      <c r="D60" s="692"/>
      <c r="E60" s="692"/>
      <c r="F60" s="693"/>
      <c r="G60" s="182"/>
      <c r="H60" s="207"/>
      <c r="I60" s="204"/>
      <c r="J60" s="204"/>
      <c r="K60" s="204"/>
      <c r="L60" s="205"/>
      <c r="M60" s="694" t="s">
        <v>16</v>
      </c>
      <c r="N60" s="694"/>
      <c r="O60" s="695"/>
      <c r="P60" s="695"/>
      <c r="Q60" s="695"/>
      <c r="R60" s="695"/>
      <c r="S60" s="695"/>
      <c r="T60" s="663"/>
      <c r="U60" s="694" t="s">
        <v>1673</v>
      </c>
      <c r="V60" s="694"/>
      <c r="W60" s="564"/>
      <c r="X60" s="695"/>
      <c r="Y60" s="695"/>
      <c r="Z60" s="565" t="s">
        <v>1674</v>
      </c>
      <c r="AA60" s="698"/>
      <c r="AB60" s="699"/>
      <c r="AC60" s="473"/>
      <c r="AD60" s="176"/>
      <c r="AE60" s="176"/>
      <c r="AF60" s="204"/>
      <c r="AG60" s="204"/>
      <c r="AH60" s="204"/>
      <c r="AI60" s="205"/>
      <c r="AJ60" s="613"/>
      <c r="AK60" s="613"/>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72"/>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8"/>
  <sheetViews>
    <sheetView tabSelected="1" showWhiteSpace="0" topLeftCell="M13" zoomScale="55" zoomScaleNormal="55" zoomScaleSheetLayoutView="40" zoomScalePageLayoutView="10" workbookViewId="0">
      <selection activeCell="T19" sqref="T19"/>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718" t="s">
        <v>1169</v>
      </c>
      <c r="BE1" s="718" t="s">
        <v>1174</v>
      </c>
      <c r="BF1" s="718"/>
      <c r="BG1" s="718"/>
      <c r="BH1" s="718"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718"/>
      <c r="BE2" s="719"/>
      <c r="BF2" s="719"/>
      <c r="BG2" s="718"/>
      <c r="BH2" s="718"/>
    </row>
    <row r="3" spans="1:74" ht="39" customHeight="1" thickBot="1">
      <c r="A3" s="720"/>
      <c r="B3" s="7"/>
      <c r="C3" s="723" t="s">
        <v>32</v>
      </c>
      <c r="D3" s="724"/>
      <c r="E3" s="725"/>
      <c r="F3" s="726" t="str">
        <f>IF($E$6="DE","Karosseriebau","Bodyshop")</f>
        <v>Karosseriebau</v>
      </c>
      <c r="G3" s="727"/>
      <c r="H3" s="727"/>
      <c r="I3" s="727"/>
      <c r="J3" s="727"/>
      <c r="K3" s="727"/>
      <c r="L3" s="727"/>
      <c r="M3" s="727"/>
      <c r="N3" s="727"/>
      <c r="O3" s="727"/>
      <c r="P3" s="727"/>
      <c r="Q3" s="727"/>
      <c r="R3" s="727"/>
      <c r="S3" s="728"/>
      <c r="T3" s="729" t="s">
        <v>1255</v>
      </c>
      <c r="U3" s="730"/>
      <c r="V3" s="730"/>
      <c r="W3" s="730"/>
      <c r="X3" s="730"/>
      <c r="Y3" s="730"/>
      <c r="Z3" s="730"/>
      <c r="AA3" s="730"/>
      <c r="AB3" s="730"/>
      <c r="AC3" s="730"/>
      <c r="AD3" s="730"/>
      <c r="AE3" s="730"/>
      <c r="AF3" s="730"/>
      <c r="AG3" s="730"/>
      <c r="AH3" s="730"/>
      <c r="AI3" s="730"/>
      <c r="AJ3" s="730"/>
      <c r="AK3" s="731" t="s">
        <v>1637</v>
      </c>
      <c r="AL3" s="732"/>
      <c r="AM3" s="732"/>
      <c r="AN3" s="733"/>
      <c r="AO3" s="755"/>
      <c r="AP3" s="756"/>
      <c r="AQ3" s="756"/>
      <c r="AR3" s="756"/>
      <c r="AS3" s="756"/>
      <c r="AT3" s="756"/>
      <c r="AU3" s="756"/>
      <c r="AV3" s="756"/>
      <c r="AW3" s="756"/>
      <c r="AX3" s="756"/>
      <c r="AY3" s="293"/>
      <c r="AZ3" s="293"/>
      <c r="BA3" s="293"/>
      <c r="BB3" s="293"/>
      <c r="BC3" s="33"/>
      <c r="BD3" s="33"/>
      <c r="BE3" s="93" t="s">
        <v>1180</v>
      </c>
      <c r="BF3" s="96"/>
      <c r="BH3" s="95"/>
    </row>
    <row r="4" spans="1:74" ht="63" customHeight="1">
      <c r="A4" s="721"/>
      <c r="B4" s="7"/>
      <c r="C4" s="759" t="str">
        <f>IF($E$6="DE","Punktschweißen","Spot Welding")</f>
        <v>Punktschweißen</v>
      </c>
      <c r="D4" s="760"/>
      <c r="E4" s="760"/>
      <c r="F4" s="760"/>
      <c r="G4" s="760"/>
      <c r="H4" s="760"/>
      <c r="I4" s="760"/>
      <c r="J4" s="760"/>
      <c r="K4" s="760"/>
      <c r="L4" s="761"/>
      <c r="M4" s="765" t="str">
        <f>IF($E$6="DE","Zeichnungsstand:","Dwg release:")</f>
        <v>Zeichnungsstand:</v>
      </c>
      <c r="N4" s="766"/>
      <c r="O4" s="767"/>
      <c r="P4" s="771">
        <v>44970</v>
      </c>
      <c r="Q4" s="772"/>
      <c r="R4" s="772"/>
      <c r="S4" s="773"/>
      <c r="T4" s="776"/>
      <c r="U4" s="777"/>
      <c r="V4" s="777"/>
      <c r="W4" s="777"/>
      <c r="X4" s="777"/>
      <c r="Y4" s="777"/>
      <c r="Z4" s="777"/>
      <c r="AA4" s="777"/>
      <c r="AB4" s="777"/>
      <c r="AC4" s="777"/>
      <c r="AD4" s="777"/>
      <c r="AE4" s="777"/>
      <c r="AF4" s="777"/>
      <c r="AG4" s="778"/>
      <c r="AH4" s="782" t="str">
        <f>IF($E$6="DE","Elektrodenkappe","Electrode Cap")</f>
        <v>Elektrodenkappe</v>
      </c>
      <c r="AI4" s="783"/>
      <c r="AJ4" s="784"/>
      <c r="AK4" s="788" t="e">
        <f>X35</f>
        <v>#VALUE!</v>
      </c>
      <c r="AL4" s="788"/>
      <c r="AM4" s="788"/>
      <c r="AN4" s="789"/>
      <c r="AO4" s="755"/>
      <c r="AP4" s="756"/>
      <c r="AQ4" s="756"/>
      <c r="AR4" s="756"/>
      <c r="AS4" s="756"/>
      <c r="AT4" s="756"/>
      <c r="AU4" s="756"/>
      <c r="AV4" s="756"/>
      <c r="AW4" s="756"/>
      <c r="AX4" s="756"/>
      <c r="AY4" s="293"/>
      <c r="AZ4" s="293"/>
      <c r="BA4" s="293"/>
      <c r="BB4" s="293"/>
      <c r="BC4" s="32"/>
      <c r="BD4" s="52" t="s">
        <v>1167</v>
      </c>
      <c r="BE4" s="52" t="s">
        <v>1178</v>
      </c>
      <c r="BF4" s="92"/>
      <c r="BH4" s="94" t="s">
        <v>1257</v>
      </c>
    </row>
    <row r="5" spans="1:74" ht="57" customHeight="1" thickBot="1">
      <c r="A5" s="721"/>
      <c r="B5" s="7"/>
      <c r="C5" s="762"/>
      <c r="D5" s="763"/>
      <c r="E5" s="763"/>
      <c r="F5" s="763"/>
      <c r="G5" s="763"/>
      <c r="H5" s="763"/>
      <c r="I5" s="763"/>
      <c r="J5" s="763"/>
      <c r="K5" s="763"/>
      <c r="L5" s="764"/>
      <c r="M5" s="768"/>
      <c r="N5" s="769"/>
      <c r="O5" s="770"/>
      <c r="P5" s="774"/>
      <c r="Q5" s="774"/>
      <c r="R5" s="774"/>
      <c r="S5" s="775"/>
      <c r="T5" s="779"/>
      <c r="U5" s="780"/>
      <c r="V5" s="780"/>
      <c r="W5" s="780"/>
      <c r="X5" s="780"/>
      <c r="Y5" s="780"/>
      <c r="Z5" s="780"/>
      <c r="AA5" s="780"/>
      <c r="AB5" s="780"/>
      <c r="AC5" s="780"/>
      <c r="AD5" s="780"/>
      <c r="AE5" s="780"/>
      <c r="AF5" s="780"/>
      <c r="AG5" s="781"/>
      <c r="AH5" s="785"/>
      <c r="AI5" s="786"/>
      <c r="AJ5" s="787"/>
      <c r="AK5" s="790"/>
      <c r="AL5" s="790"/>
      <c r="AM5" s="790"/>
      <c r="AN5" s="791"/>
      <c r="AO5" s="755"/>
      <c r="AP5" s="756"/>
      <c r="AQ5" s="756"/>
      <c r="AR5" s="756"/>
      <c r="AS5" s="756"/>
      <c r="AT5" s="756"/>
      <c r="AU5" s="756"/>
      <c r="AV5" s="756"/>
      <c r="AW5" s="756"/>
      <c r="AX5" s="756"/>
      <c r="AY5" s="293"/>
      <c r="AZ5" s="293"/>
      <c r="BA5" s="293"/>
      <c r="BB5" s="293"/>
      <c r="BC5" s="31"/>
      <c r="BD5" s="53" t="s">
        <v>1168</v>
      </c>
      <c r="BE5" s="52" t="s">
        <v>1179</v>
      </c>
      <c r="BF5" s="92"/>
      <c r="BH5" s="92" t="s">
        <v>1258</v>
      </c>
      <c r="BK5" s="46" t="s">
        <v>1177</v>
      </c>
    </row>
    <row r="6" spans="1:74" ht="38.25" customHeight="1">
      <c r="A6" s="721"/>
      <c r="B6" s="7"/>
      <c r="C6" s="792" t="s">
        <v>1166</v>
      </c>
      <c r="D6" s="793"/>
      <c r="E6" s="798" t="s">
        <v>1167</v>
      </c>
      <c r="F6" s="801" t="s">
        <v>1175</v>
      </c>
      <c r="G6" s="815" t="s">
        <v>1178</v>
      </c>
      <c r="H6" s="817" t="str">
        <f>IF(G6="SPZ","Servopneumatische Schweißzange /                    Servopneumatic Welding Gun",IF(G6="RZ","Roboterschweißzange /                            Robot Welding Gun","Zangentyp auswählen! /                                          Choose Gun Type"))</f>
        <v>Servopneumatische Schweißzange /                    Servopneumatic Welding Gun</v>
      </c>
      <c r="I6" s="818"/>
      <c r="J6" s="818"/>
      <c r="K6" s="818"/>
      <c r="L6" s="819"/>
      <c r="M6" s="823" t="s">
        <v>1652</v>
      </c>
      <c r="N6" s="824"/>
      <c r="O6" s="824"/>
      <c r="P6" s="824"/>
      <c r="Q6" s="824"/>
      <c r="R6" s="824"/>
      <c r="S6" s="825"/>
      <c r="T6" s="734" t="s">
        <v>1648</v>
      </c>
      <c r="U6" s="734"/>
      <c r="V6" s="734"/>
      <c r="W6" s="734"/>
      <c r="X6" s="734"/>
      <c r="Y6" s="734"/>
      <c r="Z6" s="734"/>
      <c r="AA6" s="734"/>
      <c r="AB6" s="734"/>
      <c r="AC6" s="734"/>
      <c r="AD6" s="734"/>
      <c r="AE6" s="734"/>
      <c r="AF6" s="734"/>
      <c r="AG6" s="735"/>
      <c r="AH6" s="740" t="str">
        <f>IF($E$6="DE","Sonderelektrode (manuelle Auswahl)","Special Electrode Cap (manual selection)")</f>
        <v>Sonderelektrode (manuelle Auswahl)</v>
      </c>
      <c r="AI6" s="741"/>
      <c r="AJ6" s="742"/>
      <c r="AK6" s="746" t="str">
        <f>IF($E$6="DE","Sonderfräsmesser (manuelle Auswahl)","Special Tip-Dresser (manual selection)")</f>
        <v>Sonderfräsmesser (manuelle Auswahl)</v>
      </c>
      <c r="AL6" s="747"/>
      <c r="AM6" s="747"/>
      <c r="AN6" s="748"/>
      <c r="AO6" s="755"/>
      <c r="AP6" s="756"/>
      <c r="AQ6" s="756"/>
      <c r="AR6" s="756"/>
      <c r="AS6" s="756"/>
      <c r="AT6" s="756"/>
      <c r="AU6" s="756"/>
      <c r="AV6" s="756"/>
      <c r="AW6" s="756"/>
      <c r="AX6" s="756"/>
      <c r="AY6" s="293"/>
      <c r="AZ6" s="293"/>
      <c r="BA6" s="293"/>
      <c r="BB6" s="293"/>
      <c r="BK6" s="46" t="s">
        <v>1176</v>
      </c>
    </row>
    <row r="7" spans="1:74" ht="38.25" customHeight="1">
      <c r="A7" s="721"/>
      <c r="B7" s="7"/>
      <c r="C7" s="794"/>
      <c r="D7" s="795"/>
      <c r="E7" s="799"/>
      <c r="F7" s="802"/>
      <c r="G7" s="816"/>
      <c r="H7" s="820"/>
      <c r="I7" s="821"/>
      <c r="J7" s="821"/>
      <c r="K7" s="821"/>
      <c r="L7" s="822"/>
      <c r="M7" s="826"/>
      <c r="N7" s="827"/>
      <c r="O7" s="827"/>
      <c r="P7" s="827"/>
      <c r="Q7" s="827"/>
      <c r="R7" s="827"/>
      <c r="S7" s="828"/>
      <c r="T7" s="736"/>
      <c r="U7" s="736"/>
      <c r="V7" s="736"/>
      <c r="W7" s="736"/>
      <c r="X7" s="736"/>
      <c r="Y7" s="736"/>
      <c r="Z7" s="736"/>
      <c r="AA7" s="736"/>
      <c r="AB7" s="736"/>
      <c r="AC7" s="736"/>
      <c r="AD7" s="736"/>
      <c r="AE7" s="736"/>
      <c r="AF7" s="736"/>
      <c r="AG7" s="737"/>
      <c r="AH7" s="743"/>
      <c r="AI7" s="744"/>
      <c r="AJ7" s="745"/>
      <c r="AK7" s="114" t="s">
        <v>1170</v>
      </c>
      <c r="AL7" s="115" t="s">
        <v>1172</v>
      </c>
      <c r="AM7" s="115" t="s">
        <v>1171</v>
      </c>
      <c r="AN7" s="116" t="s">
        <v>1173</v>
      </c>
      <c r="AO7" s="755"/>
      <c r="AP7" s="756"/>
      <c r="AQ7" s="756"/>
      <c r="AR7" s="756"/>
      <c r="AS7" s="756"/>
      <c r="AT7" s="756"/>
      <c r="AU7" s="756"/>
      <c r="AV7" s="756"/>
      <c r="AW7" s="756"/>
      <c r="AX7" s="756"/>
      <c r="AY7" s="293"/>
      <c r="AZ7" s="293"/>
      <c r="BA7" s="293"/>
      <c r="BB7" s="293"/>
    </row>
    <row r="8" spans="1:74" ht="53.25" customHeight="1" thickBot="1">
      <c r="A8" s="721"/>
      <c r="B8" s="7"/>
      <c r="C8" s="796"/>
      <c r="D8" s="797"/>
      <c r="E8" s="800"/>
      <c r="F8" s="170" t="str">
        <f>IF(E6="DE","Doppelzange (J/N)","Twin-Spot-Gun (J=Yes/N=No)")</f>
        <v>Doppelzange (J/N)</v>
      </c>
      <c r="G8" s="169" t="s">
        <v>1643</v>
      </c>
      <c r="H8" s="749"/>
      <c r="I8" s="750"/>
      <c r="J8" s="750"/>
      <c r="K8" s="750"/>
      <c r="L8" s="751"/>
      <c r="M8" s="829"/>
      <c r="N8" s="830"/>
      <c r="O8" s="830"/>
      <c r="P8" s="830"/>
      <c r="Q8" s="830"/>
      <c r="R8" s="830"/>
      <c r="S8" s="831"/>
      <c r="T8" s="738"/>
      <c r="U8" s="738"/>
      <c r="V8" s="738"/>
      <c r="W8" s="738"/>
      <c r="X8" s="738"/>
      <c r="Y8" s="738"/>
      <c r="Z8" s="738"/>
      <c r="AA8" s="738"/>
      <c r="AB8" s="738"/>
      <c r="AC8" s="738"/>
      <c r="AD8" s="738"/>
      <c r="AE8" s="738"/>
      <c r="AF8" s="738"/>
      <c r="AG8" s="739"/>
      <c r="AH8" s="752"/>
      <c r="AI8" s="753"/>
      <c r="AJ8" s="754"/>
      <c r="AK8" s="54">
        <v>8</v>
      </c>
      <c r="AL8" s="55">
        <v>50</v>
      </c>
      <c r="AM8" s="56">
        <v>8</v>
      </c>
      <c r="AN8" s="57">
        <v>50</v>
      </c>
      <c r="AO8" s="757"/>
      <c r="AP8" s="758"/>
      <c r="AQ8" s="758"/>
      <c r="AR8" s="758"/>
      <c r="AS8" s="758"/>
      <c r="AT8" s="758"/>
      <c r="AU8" s="758"/>
      <c r="AV8" s="758"/>
      <c r="AW8" s="758"/>
      <c r="AX8" s="758"/>
      <c r="AY8" s="293"/>
      <c r="AZ8" s="293"/>
      <c r="BA8" s="293"/>
      <c r="BB8" s="293"/>
    </row>
    <row r="9" spans="1:74" ht="43.5" customHeight="1">
      <c r="A9" s="721"/>
      <c r="B9" s="7"/>
      <c r="C9" s="803" t="str">
        <f>IF($E$6="DE","Punkt- Nummer (Index)","Welding-Spot Number (Index)")</f>
        <v>Punkt- Nummer (Index)</v>
      </c>
      <c r="D9" s="806" t="str">
        <f>IF($E$6="DE","Punkt- Name                                                   (FE - Bezeichnung)","Welding-Spot Number                                              (FE - designition)")</f>
        <v>Punkt- Name                                                   (FE - Bezeichnung)</v>
      </c>
      <c r="E9" s="809" t="str">
        <f>IF($E$6="DE","Schweißkoffer","Welding case-No.")</f>
        <v>Schweißkoffer</v>
      </c>
      <c r="F9" s="809" t="str">
        <f>IF($E$6="DE","Schweißen durch Rob. IR .. /                                Werker WA ..","Welding with Rob. IR ... /                    Worker WR No …")</f>
        <v>Schweißen durch Rob. IR .. /                                Werker WA ..</v>
      </c>
      <c r="G9" s="809" t="str">
        <f>IF($E$6="DE","Schweißzangen-Typ","Weldgun - Type")</f>
        <v>Schweißzangen-Typ</v>
      </c>
      <c r="H9" s="812" t="str">
        <f>IF($E$6="DE","Schweißzangen-Nr.","Weldgun drawing No.")</f>
        <v>Schweißzangen-Nr.</v>
      </c>
      <c r="I9" s="854" t="str">
        <f>IF($E$6="DE","Trafo","Weld-Transformer")</f>
        <v>Trafo</v>
      </c>
      <c r="J9" s="743" t="str">
        <f>IF($E$6="DE","Netzlinien","Car Netline")</f>
        <v>Netzlinien</v>
      </c>
      <c r="K9" s="744"/>
      <c r="L9" s="745"/>
      <c r="M9" s="743" t="str">
        <f>IF($E$6="DE","Blechpaarung","Sheet metal stack")</f>
        <v>Blechpaarung</v>
      </c>
      <c r="N9" s="744"/>
      <c r="O9" s="857"/>
      <c r="P9" s="858" t="str">
        <f>IF($E$6="DE","Blechdicke / Werkstoff","Sheet Thickness / Material")</f>
        <v>Blechdicke / Werkstoff</v>
      </c>
      <c r="Q9" s="859"/>
      <c r="R9" s="859"/>
      <c r="S9" s="859"/>
      <c r="T9" s="859"/>
      <c r="U9" s="859"/>
      <c r="V9" s="859"/>
      <c r="W9" s="859"/>
      <c r="X9" s="860"/>
      <c r="Y9" s="313"/>
      <c r="Z9" s="861" t="str">
        <f>IF($E$6="DE","Zwischenrechnung","theoretical Values")</f>
        <v>Zwischenrechnung</v>
      </c>
      <c r="AA9" s="862"/>
      <c r="AB9" s="863"/>
      <c r="AC9" s="743" t="str">
        <f>IF($E$6="DE","Schweißparameter","Welding Parameters")</f>
        <v>Schweißparameter</v>
      </c>
      <c r="AD9" s="744"/>
      <c r="AE9" s="745"/>
      <c r="AF9" s="876" t="str">
        <f>IF($E$6="DE","Anforderung","Requirement")</f>
        <v>Anforderung</v>
      </c>
      <c r="AG9" s="877"/>
      <c r="AH9" s="878" t="str">
        <f>IF($E$6="DE","benötigte Elektrodenkappen für Schweißpunkt","required Electrode Caps for Spot")</f>
        <v>benötigte Elektrodenkappen für Schweißpunkt</v>
      </c>
      <c r="AI9" s="879"/>
      <c r="AJ9" s="879"/>
      <c r="AK9" s="833"/>
      <c r="AL9" s="834"/>
      <c r="AM9" s="740" t="str">
        <f>IF($E$6="DE","Bemerkung","Comments")</f>
        <v>Bemerkung</v>
      </c>
      <c r="AN9" s="880"/>
      <c r="AO9" s="832" t="str">
        <f>IF($E$6="DE","Schweißpunkte gültig für folgende Typen:","Welding Spots valid for the following Types")</f>
        <v>Schweißpunkte gültig für folgende Typen:</v>
      </c>
      <c r="AP9" s="833"/>
      <c r="AQ9" s="833"/>
      <c r="AR9" s="833"/>
      <c r="AS9" s="833"/>
      <c r="AT9" s="833"/>
      <c r="AU9" s="833"/>
      <c r="AV9" s="833"/>
      <c r="AW9" s="833"/>
      <c r="AX9" s="834"/>
      <c r="AY9" s="293"/>
      <c r="AZ9" s="293"/>
      <c r="BA9" s="293"/>
      <c r="BB9" s="293"/>
    </row>
    <row r="10" spans="1:74" ht="32.25" customHeight="1">
      <c r="A10" s="721"/>
      <c r="B10" s="7"/>
      <c r="C10" s="804"/>
      <c r="D10" s="807"/>
      <c r="E10" s="810"/>
      <c r="F10" s="810"/>
      <c r="G10" s="810"/>
      <c r="H10" s="813"/>
      <c r="I10" s="855"/>
      <c r="J10" s="835" t="s">
        <v>33</v>
      </c>
      <c r="K10" s="838" t="s">
        <v>34</v>
      </c>
      <c r="L10" s="841" t="s">
        <v>35</v>
      </c>
      <c r="M10" s="844" t="str">
        <f>IF($E$6="DE","Zeichnungsnummer","Part drawing no")</f>
        <v>Zeichnungsnummer</v>
      </c>
      <c r="N10" s="845"/>
      <c r="O10" s="845"/>
      <c r="P10" s="850" t="s">
        <v>59</v>
      </c>
      <c r="Q10" s="852" t="str">
        <f>IF($E$6="DE","Werkstoff 1","Material 1")</f>
        <v>Werkstoff 1</v>
      </c>
      <c r="R10" s="864" t="str">
        <f>IF($E$6="DE","Streckgrenze Re 1","Yield strength Re 1")</f>
        <v>Streckgrenze Re 1</v>
      </c>
      <c r="S10" s="866" t="s">
        <v>60</v>
      </c>
      <c r="T10" s="852" t="str">
        <f>IF($E$6="DE","Werkstoff 2","Material 2")</f>
        <v>Werkstoff 2</v>
      </c>
      <c r="U10" s="864" t="str">
        <f>IF($E$6="DE","Streckgrenze Re 2","Yield strength Re 2")</f>
        <v>Streckgrenze Re 2</v>
      </c>
      <c r="V10" s="866" t="s">
        <v>61</v>
      </c>
      <c r="W10" s="852" t="str">
        <f>IF($E$6="DE","Werkstoff 3","Material 3")</f>
        <v>Werkstoff 3</v>
      </c>
      <c r="X10" s="864" t="str">
        <f>IF($E$6="DE","Streckgrenze Re 3","Yield strength Re 3")</f>
        <v>Streckgrenze Re 3</v>
      </c>
      <c r="Y10" s="868" t="str">
        <f>IF($E$6="DE","Klebstoff (J/N)","Adhesive (J=Yes /N=No)")</f>
        <v>Klebstoff (J/N)</v>
      </c>
      <c r="Z10" s="870" t="str">
        <f>IF($E$6="DE","Vergleichsblechdicke tv","Ref. Thickness tv")</f>
        <v>Vergleichsblechdicke tv</v>
      </c>
      <c r="AA10" s="873" t="str">
        <f>IF($E$6="DE","Zuschlag Streckgrenze    (Re1+Re2+Re3)/(220*3*10)+0,9","Yield strength surcharge    (Re1+Re2+Re3)/(220*3*10)+0,9")</f>
        <v>Zuschlag Streckgrenze    (Re1+Re2+Re3)/(220*3*10)+0,9</v>
      </c>
      <c r="AB10" s="900" t="str">
        <f>IF($E$6="DE","Schweißkraft inkl. Klebstoff (Zangenauslegung)","Welding Force incl. Adhesive (Gun Calculation)")</f>
        <v>Schweißkraft inkl. Klebstoff (Zangenauslegung)</v>
      </c>
      <c r="AC10" s="903" t="str">
        <f>IF($E$6="DE","Schweißstrom","Welding Current")</f>
        <v>Schweißstrom</v>
      </c>
      <c r="AD10" s="888" t="str">
        <f>IF($E$6="DE","Schweißzeit","Welding Time")</f>
        <v>Schweißzeit</v>
      </c>
      <c r="AE10" s="906" t="str">
        <f>IF($E$6="DE","Schweißkraft incl. Klebstoff u. TL 4225 außen","Welding Force incl. adhesive and TL 4225 outside")</f>
        <v>Schweißkraft incl. Klebstoff u. TL 4225 außen</v>
      </c>
      <c r="AF10" s="885" t="str">
        <f>IF($E$6="DE","Linsendurchmesser dn min (Blech 1 - Blech 2)","Nuggetdiameter dn min (Sheet 1 - Sheet 2)")</f>
        <v>Linsendurchmesser dn min (Blech 1 - Blech 2)</v>
      </c>
      <c r="AG10" s="906" t="str">
        <f>IF($E$6="DE","Linsendurchmesser dn min (Blech 2 - Blech 3)","Nuggetdiameter dn min (Sheet 2 - Sheet 3)")</f>
        <v>Linsendurchmesser dn min (Blech 2 - Blech 3)</v>
      </c>
      <c r="AH10" s="885" t="str">
        <f>IF($E$6="DE","Elektrodenkappen","Electrode Cap")</f>
        <v>Elektrodenkappen</v>
      </c>
      <c r="AI10" s="888" t="str">
        <f>IF($E$6="DE"," Arbeitsflächendurchm. für Elektrode an Blech 1 (AF1)","Electrode Tip Diameter                       on Sheet 1 (AF1)")</f>
        <v xml:space="preserve"> Arbeitsflächendurchm. für Elektrode an Blech 1 (AF1)</v>
      </c>
      <c r="AJ10" s="888" t="str">
        <f>IF($E$6="DE","Arbeitsflächenradius für Elektrode an Blech 1 (R1)","Electrode Tip Radius                    on Sheet 1 (R1)")</f>
        <v>Arbeitsflächenradius für Elektrode an Blech 1 (R1)</v>
      </c>
      <c r="AK10" s="891" t="str">
        <f>IF($E$6="DE"," Arbeitsflächendurchm. für Elektrode an Blech 2/3 (AF2/3)","Electrode Tip Diameter                      on Sheet 2/3 (AF2/3)")</f>
        <v xml:space="preserve"> Arbeitsflächendurchm. für Elektrode an Blech 2/3 (AF2/3)</v>
      </c>
      <c r="AL10" s="894" t="str">
        <f>IF($E$6="DE","Arbeitsflächenradius für Elektrode an Blech 2/3 (R2/3)","Electrode Tip Radius                   on Sheet 2 (R2/3)")</f>
        <v>Arbeitsflächenradius für Elektrode an Blech 2/3 (R2/3)</v>
      </c>
      <c r="AM10" s="881"/>
      <c r="AN10" s="882"/>
      <c r="AO10" s="897" t="s">
        <v>1644</v>
      </c>
      <c r="AP10" s="897" t="s">
        <v>1645</v>
      </c>
      <c r="AQ10" s="897" t="s">
        <v>1646</v>
      </c>
      <c r="AR10" s="897" t="s">
        <v>1629</v>
      </c>
      <c r="AS10" s="897" t="s">
        <v>1630</v>
      </c>
      <c r="AT10" s="897" t="s">
        <v>1631</v>
      </c>
      <c r="AU10" s="897" t="s">
        <v>1632</v>
      </c>
      <c r="AV10" s="897" t="s">
        <v>1633</v>
      </c>
      <c r="AW10" s="897" t="s">
        <v>1634</v>
      </c>
      <c r="AX10" s="909" t="s">
        <v>1635</v>
      </c>
      <c r="AY10" s="293"/>
      <c r="AZ10" s="293"/>
      <c r="BA10" s="293"/>
      <c r="BB10" s="293"/>
    </row>
    <row r="11" spans="1:74" ht="32.25" customHeight="1">
      <c r="A11" s="721"/>
      <c r="B11" s="7"/>
      <c r="C11" s="804"/>
      <c r="D11" s="807"/>
      <c r="E11" s="810"/>
      <c r="F11" s="810"/>
      <c r="G11" s="810"/>
      <c r="H11" s="813"/>
      <c r="I11" s="855"/>
      <c r="J11" s="836"/>
      <c r="K11" s="839"/>
      <c r="L11" s="842"/>
      <c r="M11" s="846"/>
      <c r="N11" s="847"/>
      <c r="O11" s="847"/>
      <c r="P11" s="851"/>
      <c r="Q11" s="852"/>
      <c r="R11" s="864"/>
      <c r="S11" s="866"/>
      <c r="T11" s="852"/>
      <c r="U11" s="864"/>
      <c r="V11" s="866"/>
      <c r="W11" s="852"/>
      <c r="X11" s="864"/>
      <c r="Y11" s="868"/>
      <c r="Z11" s="871"/>
      <c r="AA11" s="874"/>
      <c r="AB11" s="901"/>
      <c r="AC11" s="904"/>
      <c r="AD11" s="889"/>
      <c r="AE11" s="907"/>
      <c r="AF11" s="886"/>
      <c r="AG11" s="907"/>
      <c r="AH11" s="886"/>
      <c r="AI11" s="889"/>
      <c r="AJ11" s="889"/>
      <c r="AK11" s="892"/>
      <c r="AL11" s="895"/>
      <c r="AM11" s="881"/>
      <c r="AN11" s="882"/>
      <c r="AO11" s="898"/>
      <c r="AP11" s="898"/>
      <c r="AQ11" s="898"/>
      <c r="AR11" s="898"/>
      <c r="AS11" s="898"/>
      <c r="AT11" s="898"/>
      <c r="AU11" s="898"/>
      <c r="AV11" s="898"/>
      <c r="AW11" s="898"/>
      <c r="AX11" s="910"/>
      <c r="AY11" s="293"/>
      <c r="AZ11" s="293"/>
      <c r="BA11" s="293"/>
      <c r="BB11" s="293"/>
      <c r="BD11" s="916" t="s">
        <v>1125</v>
      </c>
      <c r="BE11" s="916" t="s">
        <v>1126</v>
      </c>
      <c r="BF11" s="916" t="s">
        <v>1127</v>
      </c>
    </row>
    <row r="12" spans="1:74" ht="32.25" customHeight="1">
      <c r="A12" s="721"/>
      <c r="B12" s="7"/>
      <c r="C12" s="804"/>
      <c r="D12" s="807"/>
      <c r="E12" s="810"/>
      <c r="F12" s="810"/>
      <c r="G12" s="810"/>
      <c r="H12" s="813"/>
      <c r="I12" s="855"/>
      <c r="J12" s="836"/>
      <c r="K12" s="839"/>
      <c r="L12" s="842"/>
      <c r="M12" s="846"/>
      <c r="N12" s="847"/>
      <c r="O12" s="847"/>
      <c r="P12" s="851"/>
      <c r="Q12" s="852"/>
      <c r="R12" s="864"/>
      <c r="S12" s="866"/>
      <c r="T12" s="852"/>
      <c r="U12" s="864"/>
      <c r="V12" s="866"/>
      <c r="W12" s="852"/>
      <c r="X12" s="864"/>
      <c r="Y12" s="868"/>
      <c r="Z12" s="871"/>
      <c r="AA12" s="874"/>
      <c r="AB12" s="901"/>
      <c r="AC12" s="904"/>
      <c r="AD12" s="889"/>
      <c r="AE12" s="907"/>
      <c r="AF12" s="886"/>
      <c r="AG12" s="907"/>
      <c r="AH12" s="886"/>
      <c r="AI12" s="889"/>
      <c r="AJ12" s="889"/>
      <c r="AK12" s="892"/>
      <c r="AL12" s="895"/>
      <c r="AM12" s="881"/>
      <c r="AN12" s="882"/>
      <c r="AO12" s="898"/>
      <c r="AP12" s="898"/>
      <c r="AQ12" s="898"/>
      <c r="AR12" s="898"/>
      <c r="AS12" s="898"/>
      <c r="AT12" s="898"/>
      <c r="AU12" s="898"/>
      <c r="AV12" s="898"/>
      <c r="AW12" s="898"/>
      <c r="AX12" s="910"/>
      <c r="AY12" s="293"/>
      <c r="AZ12" s="293"/>
      <c r="BA12" s="293"/>
      <c r="BB12" s="293"/>
      <c r="BD12" s="917"/>
      <c r="BE12" s="917"/>
      <c r="BF12" s="917"/>
    </row>
    <row r="13" spans="1:74" ht="32.25" customHeight="1">
      <c r="A13" s="721"/>
      <c r="B13" s="7"/>
      <c r="C13" s="804"/>
      <c r="D13" s="807"/>
      <c r="E13" s="810"/>
      <c r="F13" s="810"/>
      <c r="G13" s="810"/>
      <c r="H13" s="813"/>
      <c r="I13" s="855"/>
      <c r="J13" s="836"/>
      <c r="K13" s="839"/>
      <c r="L13" s="842"/>
      <c r="M13" s="846"/>
      <c r="N13" s="847"/>
      <c r="O13" s="847"/>
      <c r="P13" s="851"/>
      <c r="Q13" s="852"/>
      <c r="R13" s="864"/>
      <c r="S13" s="866"/>
      <c r="T13" s="852"/>
      <c r="U13" s="864"/>
      <c r="V13" s="866"/>
      <c r="W13" s="852"/>
      <c r="X13" s="864"/>
      <c r="Y13" s="868"/>
      <c r="Z13" s="871"/>
      <c r="AA13" s="874"/>
      <c r="AB13" s="901"/>
      <c r="AC13" s="904"/>
      <c r="AD13" s="889"/>
      <c r="AE13" s="907"/>
      <c r="AF13" s="886"/>
      <c r="AG13" s="907"/>
      <c r="AH13" s="886"/>
      <c r="AI13" s="889"/>
      <c r="AJ13" s="889"/>
      <c r="AK13" s="892"/>
      <c r="AL13" s="895"/>
      <c r="AM13" s="881"/>
      <c r="AN13" s="882"/>
      <c r="AO13" s="898"/>
      <c r="AP13" s="898"/>
      <c r="AQ13" s="898"/>
      <c r="AR13" s="898"/>
      <c r="AS13" s="898"/>
      <c r="AT13" s="898"/>
      <c r="AU13" s="898"/>
      <c r="AV13" s="898"/>
      <c r="AW13" s="898"/>
      <c r="AX13" s="910"/>
      <c r="AY13" s="293"/>
      <c r="AZ13" s="293"/>
      <c r="BA13" s="293"/>
      <c r="BB13" s="293"/>
      <c r="BD13" s="917"/>
      <c r="BE13" s="917"/>
      <c r="BF13" s="917"/>
    </row>
    <row r="14" spans="1:74" ht="32.25" customHeight="1">
      <c r="A14" s="721"/>
      <c r="B14" s="7"/>
      <c r="C14" s="804"/>
      <c r="D14" s="807"/>
      <c r="E14" s="810"/>
      <c r="F14" s="810"/>
      <c r="G14" s="810"/>
      <c r="H14" s="813"/>
      <c r="I14" s="855"/>
      <c r="J14" s="836"/>
      <c r="K14" s="839"/>
      <c r="L14" s="842"/>
      <c r="M14" s="846"/>
      <c r="N14" s="847"/>
      <c r="O14" s="847"/>
      <c r="P14" s="851"/>
      <c r="Q14" s="852"/>
      <c r="R14" s="864"/>
      <c r="S14" s="866"/>
      <c r="T14" s="852"/>
      <c r="U14" s="864"/>
      <c r="V14" s="866"/>
      <c r="W14" s="852"/>
      <c r="X14" s="864"/>
      <c r="Y14" s="868"/>
      <c r="Z14" s="871"/>
      <c r="AA14" s="874"/>
      <c r="AB14" s="901"/>
      <c r="AC14" s="904"/>
      <c r="AD14" s="889"/>
      <c r="AE14" s="907"/>
      <c r="AF14" s="886"/>
      <c r="AG14" s="907"/>
      <c r="AH14" s="886"/>
      <c r="AI14" s="889"/>
      <c r="AJ14" s="889"/>
      <c r="AK14" s="892"/>
      <c r="AL14" s="895"/>
      <c r="AM14" s="881"/>
      <c r="AN14" s="882"/>
      <c r="AO14" s="898"/>
      <c r="AP14" s="898"/>
      <c r="AQ14" s="898"/>
      <c r="AR14" s="898"/>
      <c r="AS14" s="898"/>
      <c r="AT14" s="898"/>
      <c r="AU14" s="898"/>
      <c r="AV14" s="898"/>
      <c r="AW14" s="898"/>
      <c r="AX14" s="910"/>
      <c r="AY14" s="293"/>
      <c r="AZ14" s="293"/>
      <c r="BA14" s="293"/>
      <c r="BB14" s="293"/>
      <c r="BD14" s="917"/>
      <c r="BE14" s="917"/>
      <c r="BF14" s="917"/>
    </row>
    <row r="15" spans="1:74" ht="32.25" customHeight="1">
      <c r="A15" s="721"/>
      <c r="B15" s="7"/>
      <c r="C15" s="804"/>
      <c r="D15" s="807"/>
      <c r="E15" s="810"/>
      <c r="F15" s="810"/>
      <c r="G15" s="810"/>
      <c r="H15" s="813"/>
      <c r="I15" s="855"/>
      <c r="J15" s="836"/>
      <c r="K15" s="839"/>
      <c r="L15" s="842"/>
      <c r="M15" s="846"/>
      <c r="N15" s="847"/>
      <c r="O15" s="847"/>
      <c r="P15" s="851"/>
      <c r="Q15" s="852"/>
      <c r="R15" s="864"/>
      <c r="S15" s="866"/>
      <c r="T15" s="852"/>
      <c r="U15" s="864"/>
      <c r="V15" s="866"/>
      <c r="W15" s="852"/>
      <c r="X15" s="864"/>
      <c r="Y15" s="868"/>
      <c r="Z15" s="871"/>
      <c r="AA15" s="874"/>
      <c r="AB15" s="901"/>
      <c r="AC15" s="904"/>
      <c r="AD15" s="889"/>
      <c r="AE15" s="907"/>
      <c r="AF15" s="886"/>
      <c r="AG15" s="907"/>
      <c r="AH15" s="886"/>
      <c r="AI15" s="889"/>
      <c r="AJ15" s="889"/>
      <c r="AK15" s="892"/>
      <c r="AL15" s="895"/>
      <c r="AM15" s="881"/>
      <c r="AN15" s="882"/>
      <c r="AO15" s="898"/>
      <c r="AP15" s="898"/>
      <c r="AQ15" s="898"/>
      <c r="AR15" s="898"/>
      <c r="AS15" s="898"/>
      <c r="AT15" s="898"/>
      <c r="AU15" s="898"/>
      <c r="AV15" s="898"/>
      <c r="AW15" s="898"/>
      <c r="AX15" s="910"/>
      <c r="AY15" s="293"/>
      <c r="AZ15" s="293"/>
      <c r="BA15" s="293"/>
      <c r="BB15" s="293"/>
      <c r="BD15" s="917"/>
      <c r="BE15" s="917"/>
      <c r="BF15" s="917"/>
    </row>
    <row r="16" spans="1:74" ht="32.25" customHeight="1">
      <c r="A16" s="721"/>
      <c r="B16" s="7"/>
      <c r="C16" s="804"/>
      <c r="D16" s="807"/>
      <c r="E16" s="810"/>
      <c r="F16" s="810"/>
      <c r="G16" s="810"/>
      <c r="H16" s="813"/>
      <c r="I16" s="855"/>
      <c r="J16" s="836"/>
      <c r="K16" s="839"/>
      <c r="L16" s="842"/>
      <c r="M16" s="846"/>
      <c r="N16" s="847"/>
      <c r="O16" s="847"/>
      <c r="P16" s="851"/>
      <c r="Q16" s="852"/>
      <c r="R16" s="864"/>
      <c r="S16" s="866"/>
      <c r="T16" s="852"/>
      <c r="U16" s="864"/>
      <c r="V16" s="866"/>
      <c r="W16" s="852"/>
      <c r="X16" s="864"/>
      <c r="Y16" s="868"/>
      <c r="Z16" s="871"/>
      <c r="AA16" s="874"/>
      <c r="AB16" s="901"/>
      <c r="AC16" s="904"/>
      <c r="AD16" s="889"/>
      <c r="AE16" s="907"/>
      <c r="AF16" s="886"/>
      <c r="AG16" s="907"/>
      <c r="AH16" s="886"/>
      <c r="AI16" s="889"/>
      <c r="AJ16" s="889"/>
      <c r="AK16" s="892"/>
      <c r="AL16" s="895"/>
      <c r="AM16" s="881"/>
      <c r="AN16" s="882"/>
      <c r="AO16" s="898"/>
      <c r="AP16" s="898"/>
      <c r="AQ16" s="898"/>
      <c r="AR16" s="898"/>
      <c r="AS16" s="898"/>
      <c r="AT16" s="898"/>
      <c r="AU16" s="898"/>
      <c r="AV16" s="898"/>
      <c r="AW16" s="898"/>
      <c r="AX16" s="910"/>
      <c r="AY16" s="293"/>
      <c r="AZ16" s="293"/>
      <c r="BA16" s="293"/>
      <c r="BB16" s="293"/>
      <c r="BD16" s="917"/>
      <c r="BE16" s="917"/>
      <c r="BF16" s="917"/>
      <c r="BI16" s="5"/>
      <c r="BJ16" s="5"/>
      <c r="BK16" s="5"/>
      <c r="BL16" s="5"/>
      <c r="BM16" s="5"/>
      <c r="BN16" s="5"/>
      <c r="BO16" s="5"/>
      <c r="BP16" s="5"/>
      <c r="BQ16" s="5"/>
      <c r="BR16" s="5"/>
      <c r="BS16" s="5"/>
      <c r="BT16" s="5"/>
      <c r="BU16" s="5"/>
      <c r="BV16" s="5"/>
    </row>
    <row r="17" spans="1:85" ht="32.25" customHeight="1">
      <c r="A17" s="721"/>
      <c r="B17" s="7"/>
      <c r="C17" s="804"/>
      <c r="D17" s="807"/>
      <c r="E17" s="810"/>
      <c r="F17" s="810"/>
      <c r="G17" s="810"/>
      <c r="H17" s="813"/>
      <c r="I17" s="856"/>
      <c r="J17" s="837"/>
      <c r="K17" s="840"/>
      <c r="L17" s="843"/>
      <c r="M17" s="848"/>
      <c r="N17" s="849"/>
      <c r="O17" s="849"/>
      <c r="P17" s="851"/>
      <c r="Q17" s="853"/>
      <c r="R17" s="865"/>
      <c r="S17" s="867"/>
      <c r="T17" s="853"/>
      <c r="U17" s="865"/>
      <c r="V17" s="867"/>
      <c r="W17" s="853"/>
      <c r="X17" s="865"/>
      <c r="Y17" s="869"/>
      <c r="Z17" s="872"/>
      <c r="AA17" s="875"/>
      <c r="AB17" s="902"/>
      <c r="AC17" s="905"/>
      <c r="AD17" s="890"/>
      <c r="AE17" s="908"/>
      <c r="AF17" s="887"/>
      <c r="AG17" s="908"/>
      <c r="AH17" s="887"/>
      <c r="AI17" s="890"/>
      <c r="AJ17" s="890"/>
      <c r="AK17" s="893"/>
      <c r="AL17" s="896"/>
      <c r="AM17" s="881"/>
      <c r="AN17" s="882"/>
      <c r="AO17" s="898"/>
      <c r="AP17" s="898"/>
      <c r="AQ17" s="898"/>
      <c r="AR17" s="898"/>
      <c r="AS17" s="898"/>
      <c r="AT17" s="898"/>
      <c r="AU17" s="898"/>
      <c r="AV17" s="898"/>
      <c r="AW17" s="898"/>
      <c r="AX17" s="910"/>
      <c r="AY17" s="293"/>
      <c r="AZ17" s="293"/>
      <c r="BA17" s="293"/>
      <c r="BB17" s="293"/>
      <c r="BD17" s="917"/>
      <c r="BE17" s="917"/>
      <c r="BF17" s="917"/>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721"/>
      <c r="B18" s="7"/>
      <c r="C18" s="805"/>
      <c r="D18" s="808"/>
      <c r="E18" s="811"/>
      <c r="F18" s="811"/>
      <c r="G18" s="811"/>
      <c r="H18" s="814"/>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883"/>
      <c r="AN18" s="884"/>
      <c r="AO18" s="899"/>
      <c r="AP18" s="899"/>
      <c r="AQ18" s="899"/>
      <c r="AR18" s="899"/>
      <c r="AS18" s="899"/>
      <c r="AT18" s="899"/>
      <c r="AU18" s="899"/>
      <c r="AV18" s="899"/>
      <c r="AW18" s="899"/>
      <c r="AX18" s="911"/>
      <c r="AY18" s="293"/>
      <c r="AZ18" s="293"/>
      <c r="BA18" s="293"/>
      <c r="BB18" s="293"/>
      <c r="BD18" s="918"/>
      <c r="BE18" s="918"/>
      <c r="BF18" s="918"/>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721"/>
      <c r="B19" s="7"/>
      <c r="C19" s="413">
        <v>7.1163400000000001</v>
      </c>
      <c r="D19" s="414" t="s">
        <v>1664</v>
      </c>
      <c r="E19" s="415" t="s">
        <v>1180</v>
      </c>
      <c r="F19" s="416" t="s">
        <v>1653</v>
      </c>
      <c r="G19" s="417" t="s">
        <v>1649</v>
      </c>
      <c r="H19" s="418" t="s">
        <v>1656</v>
      </c>
      <c r="I19" s="419" t="s">
        <v>1180</v>
      </c>
      <c r="J19" s="102">
        <v>580.88</v>
      </c>
      <c r="K19" s="103">
        <v>468.96</v>
      </c>
      <c r="L19" s="104">
        <v>-26.91</v>
      </c>
      <c r="M19" s="106" t="s">
        <v>1657</v>
      </c>
      <c r="N19" s="105" t="s">
        <v>1662</v>
      </c>
      <c r="O19" s="344" t="s">
        <v>1180</v>
      </c>
      <c r="P19" s="420">
        <v>2</v>
      </c>
      <c r="Q19" s="421" t="s">
        <v>1675</v>
      </c>
      <c r="R19" s="422" t="e">
        <f>IF(AND(ISBLANK(P19),ISTEXT(Q19)),"t1?",IF(AND(ISBLANK(Q19),ISBLANK(P19)),"",VLOOKUP(BD19,Materialliste!$A$2:$B$1477,2,FALSE)))</f>
        <v>#N/A</v>
      </c>
      <c r="S19" s="420">
        <v>1.4</v>
      </c>
      <c r="T19" s="421" t="s">
        <v>1676</v>
      </c>
      <c r="U19" s="422" t="e">
        <f>IF(AND(ISBLANK(S19),ISTEXT(T19)),"t2?",IF(AND(ISBLANK(T19),ISBLANK(S19)),"",VLOOKUP(BE19,Materialliste!$A$2:$B$1477,2,FALSE)))</f>
        <v>#N/A</v>
      </c>
      <c r="V19" s="420"/>
      <c r="W19" s="423"/>
      <c r="X19" s="424" t="str">
        <f>IF(AND(ISBLANK(V19),ISTEXT(W19)),"t3?",IF(AND(ISBLANK(W19),ISBLANK(V19)),"",VLOOKUP(BF19,Materialliste!$A$2:$B$1477,2,FALSE)))</f>
        <v/>
      </c>
      <c r="Y19" s="425" t="s">
        <v>1643</v>
      </c>
      <c r="Z19" s="426">
        <f t="shared" ref="Z19:Z32" si="0">IF($E$6="DE",IF(P19*S19&gt;0,0.8*BJ19+0.2*BI19,"BLECH?"),IF(P19*S19&gt;0,0.8*BJ19+0.2*BI19,"Sheet?"))</f>
        <v>1.52</v>
      </c>
      <c r="AA19" s="427" t="str">
        <f>IF(AND(ISNUMBER(R19),ISNUMBER(U19)),IF(ISTEXT(X19),(R19+U19)/(220*3*10)+0.9,(R19+U19+X19)/(220*3*10)+0.9),"?Re")</f>
        <v>?Re</v>
      </c>
      <c r="AB19" s="428"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29" t="e">
        <f t="shared" ref="AC19:AC32" si="2">IF(OR(G19="C",G19="X"),IF(Z19="BLECH?","",IF(AND(BS19=TRUE,BU19=TRUE),IF(Z19&lt;=2,((1.13*Z19+7.1+BT19)+(1.13*Z19+7.1+BV19))/2*BR19,((1.5*Z19+5.8+BT19)+(1.5*Z19+5.8+BV19))/2*BR19),IF(Z19&lt;=2,(1.13*Z19+7.1+BT19+BV19)*BR19,(1.5*Z19+5.8+BT19+BV19)*BR19))),IF(OR(G19="B",G19="S"),"6",IF(G19="R","7",IF(G19="M","4,3",""))))</f>
        <v>#N/A</v>
      </c>
      <c r="AD19" s="430" t="e">
        <f t="shared" ref="AD19:AD32" si="3">IF(OR(G19="C",G19="X"),IF(Z19="BLECH?","",MIN((((P19+S19+V19-1.4)*(600/4.6))+200)+BP19,900)),IF(G19="B","60",IF(G19="R","150",IF(G19="S","90",IF(G19="m","350","")))))</f>
        <v>#N/A</v>
      </c>
      <c r="AE19" s="431" t="e">
        <f t="shared" ref="AE19:AE32" si="4">IF(OR(G19="C",G19="X"),AB19*BQ19,AB19)</f>
        <v>#VALUE!</v>
      </c>
      <c r="AF19" s="432">
        <f>IF(G19="S","-",IF(OR(G19="M",G19="B"),1.6,IF(P19=0,"",3.5*SQRT(MIN(P19,S19)))))</f>
        <v>4.141255848169731</v>
      </c>
      <c r="AG19" s="433" t="str">
        <f>IF(V19&gt;0,(IF(G19="S","-",IF(OR(G19="M",G19="B"),1.6,3.5*SQRT(MIN(S19,V19))))),"")</f>
        <v/>
      </c>
      <c r="AH19" s="434" t="e">
        <f t="shared" ref="AH19:AH32" si="5">IF(AND($AN$34="Ja",ISTEXT($AG$36),ISNUMBER($AL$36)),CG19,CC19)</f>
        <v>#VALUE!</v>
      </c>
      <c r="AI19" s="435">
        <f>IF(ISBLANK(G19),"",IF(ISNUMBER($AK$8),$AK$8,IF(G19="R",0,IF(G19="S",4,IF(G19="M",5,IF(G19="B",8,IF(Z19&gt;=2,8,6)))))))</f>
        <v>8</v>
      </c>
      <c r="AJ19" s="435">
        <f>IF(ISBLANK(G19),"",IF(ISNUMBER($AL$8),$AL$8,IF(G19="R",8,IF(G19="S",50,IF(G19="M",15,IF(G19="B",0,50))))))</f>
        <v>50</v>
      </c>
      <c r="AK19" s="435">
        <f>IF(ISBLANK(G19),"",IF(ISNUMBER($AM$8),$AM$8,IF(G19="R",0,IF(G19="S","-",IF(G19="M",5,IF(G19="B",8,IF(Z19&gt;=2,8,6)))))))</f>
        <v>8</v>
      </c>
      <c r="AL19" s="436">
        <f>IF(ISBLANK(G19),"",IF(ISNUMBER($AN$8),$AN$8,IF(G19="R",8,IF(G19="S","-",IF(G19="M",15,IF(G19="B",0,50))))))</f>
        <v>50</v>
      </c>
      <c r="AM19" s="437"/>
      <c r="AN19" s="438"/>
      <c r="AO19" s="439"/>
      <c r="AP19" s="440" t="s">
        <v>1649</v>
      </c>
      <c r="AQ19" s="440" t="s">
        <v>1649</v>
      </c>
      <c r="AR19" s="300"/>
      <c r="AS19" s="300"/>
      <c r="AT19" s="300"/>
      <c r="AU19" s="300"/>
      <c r="AV19" s="300"/>
      <c r="AW19" s="300"/>
      <c r="AX19" s="301"/>
      <c r="AY19" s="293"/>
      <c r="AZ19" s="293"/>
      <c r="BA19" s="293"/>
      <c r="BB19" s="293"/>
      <c r="BD19" s="34" t="str">
        <f t="shared" ref="BD19:BD32" si="6">IF(OR((RIGHT(Q19,3)="U-O"),(RIGHT(Q19,3)="E-O"),(RIGHT(Q19,3)="U-P"),(RIGHT(Q19,3)="E-P")),LEFT(Q19,LEN(Q19)-4),(IF(OR((RIGHT(Q19,1)="U"),(RIGHT(Q19,1)="E"),(RIGHT(Q19,1)="O"),(RIGHT(Q19,1)="P")),LEFT(Q19,LEN(Q19)-2),Q19)))</f>
        <v>TL4225+AS150</v>
      </c>
      <c r="BE19" s="34" t="str">
        <f t="shared" ref="BE19:BE32" si="7">IF(OR((RIGHT(T19,3)="U-O"),(RIGHT(T19,3)="E-O"),(RIGHT(T19,3)="U-P"),(RIGHT(T19,3)="E-P")),LEFT(T19,LEN(T19)-4),(IF(OR((RIGHT(T19,1)="U"),(RIGHT(T19,1)="E"),(RIGHT(T19,1)="O"),(RIGHT(T19,1)="P")),LEFT(T19,LEN(T19)-2),T19)))</f>
        <v xml:space="preserve">CR440Y780T-DP-GI40/40-U </v>
      </c>
      <c r="BF19" s="34">
        <f t="shared" ref="BF19:BF32" si="8">IF(OR((RIGHT(W19,3)="U-O"),(RIGHT(W19,3)="E-O"),(RIGHT(W19,3)="U-P"),(RIGHT(W19,3)="E-P")),LEFT(W19,LEN(W19)-4),(IF(OR((RIGHT(W19,1)="U"),(RIGHT(W19,1)="E"),(RIGHT(W19,1)="O"),(RIGHT(W19,1)="P")),LEFT(W19,LEN(W19)-2),W19)))</f>
        <v>0</v>
      </c>
      <c r="BI19" s="10">
        <f t="shared" ref="BI19:BI32" si="9">MAX(P19,S19,V19)</f>
        <v>2</v>
      </c>
      <c r="BJ19" s="11">
        <f>LARGE(BK19:BM19,2)</f>
        <v>1.4</v>
      </c>
      <c r="BK19" s="10">
        <f t="shared" ref="BK19:BK32" si="10">P19</f>
        <v>2</v>
      </c>
      <c r="BL19" s="10">
        <f t="shared" ref="BL19:BL32" si="11">S19</f>
        <v>1.4</v>
      </c>
      <c r="BM19" s="10">
        <f t="shared" ref="BM19:BM32" si="12">V19</f>
        <v>0</v>
      </c>
      <c r="BN19" s="10"/>
      <c r="BO19" s="283" t="e">
        <f>IF(ISBLANK(Q19)=TRUE,FALSE,(IF(V19="",OR(R19&gt;=1250,U19&gt;=1250),OR(R19&gt;=1250,X19&gt;=1250))))</f>
        <v>#N/A</v>
      </c>
      <c r="BP19" s="283" t="e">
        <f>IF(BO19=FALSE,0,300)</f>
        <v>#N/A</v>
      </c>
      <c r="BQ19" s="283" t="e">
        <f>IF(BO19=FALSE,1,0.7)</f>
        <v>#N/A</v>
      </c>
      <c r="BR19" s="283" t="e">
        <f>IF(BO19=FALSE,1,0.85)</f>
        <v>#N/A</v>
      </c>
      <c r="BS19" s="283" t="b">
        <f t="shared" ref="BS19:BS32"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721"/>
      <c r="B20" s="7"/>
      <c r="C20" s="441">
        <v>7.1163499999999997</v>
      </c>
      <c r="D20" s="442" t="s">
        <v>1665</v>
      </c>
      <c r="E20" s="443" t="s">
        <v>1180</v>
      </c>
      <c r="F20" s="444" t="s">
        <v>1653</v>
      </c>
      <c r="G20" s="445" t="s">
        <v>1649</v>
      </c>
      <c r="H20" s="446" t="s">
        <v>1656</v>
      </c>
      <c r="I20" s="447" t="s">
        <v>1180</v>
      </c>
      <c r="J20" s="110">
        <v>541.27</v>
      </c>
      <c r="K20" s="109">
        <v>398.57</v>
      </c>
      <c r="L20" s="107">
        <v>-25.32</v>
      </c>
      <c r="M20" s="101" t="s">
        <v>1657</v>
      </c>
      <c r="N20" s="100" t="s">
        <v>1662</v>
      </c>
      <c r="O20" s="345" t="s">
        <v>1180</v>
      </c>
      <c r="P20" s="312">
        <v>2</v>
      </c>
      <c r="Q20" s="448" t="s">
        <v>1675</v>
      </c>
      <c r="R20" s="449" t="e">
        <f>IF(AND(ISBLANK(P20),ISTEXT(Q20)),"t1?",IF(AND(ISBLANK(Q20),ISBLANK(P20)),"",VLOOKUP(BD20,Materialliste!$A$2:$B$1477,2,FALSE)))</f>
        <v>#N/A</v>
      </c>
      <c r="S20" s="312">
        <v>1.4</v>
      </c>
      <c r="T20" s="448" t="s">
        <v>1676</v>
      </c>
      <c r="U20" s="450" t="e">
        <f>IF(AND(ISBLANK(S20),ISTEXT(T20)),"t2?",IF(AND(ISBLANK(T20),ISBLANK(S20)),"",VLOOKUP(BE20,Materialliste!$A$2:$B$1477,2,FALSE)))</f>
        <v>#N/A</v>
      </c>
      <c r="V20" s="312"/>
      <c r="W20" s="451"/>
      <c r="X20" s="450" t="str">
        <f>IF(AND(ISBLANK(V20),ISTEXT(W20)),"t3?",IF(AND(ISBLANK(W20),ISBLANK(V20)),"",VLOOKUP(BF20,Materialliste!$A$2:$B$1477,2,FALSE)))</f>
        <v/>
      </c>
      <c r="Y20" s="315" t="s">
        <v>1643</v>
      </c>
      <c r="Z20" s="452">
        <f t="shared" si="0"/>
        <v>1.52</v>
      </c>
      <c r="AA20" s="453" t="str">
        <f t="shared" ref="AA20:AA32" si="14">IF(AND(ISNUMBER(R20),ISNUMBER(U20)),IF(ISTEXT(X20),(R20+U20)/(220*3*10)+0.9,(R20+U20+X20)/(220*3*10)+0.9),"?Re")</f>
        <v>?Re</v>
      </c>
      <c r="AB20" s="454" t="e">
        <f t="shared" si="1"/>
        <v>#VALUE!</v>
      </c>
      <c r="AC20" s="455" t="e">
        <f t="shared" si="2"/>
        <v>#N/A</v>
      </c>
      <c r="AD20" s="430" t="e">
        <f t="shared" si="3"/>
        <v>#N/A</v>
      </c>
      <c r="AE20" s="456" t="e">
        <f t="shared" si="4"/>
        <v>#VALUE!</v>
      </c>
      <c r="AF20" s="457">
        <f t="shared" ref="AF20:AF32" si="15">IF(G20="S","-",IF(OR(G20="M",G20="B"),1.6,IF(P20=0,"",3.5*SQRT(MIN(P20,S20)))))</f>
        <v>4.141255848169731</v>
      </c>
      <c r="AG20" s="458" t="str">
        <f t="shared" ref="AG20:AG32" si="16">IF(V20&gt;0,(IF(G20="S","-",IF(OR(G20="M",G20="B"),1.6,3.5*SQRT(MIN(S20,V20))))),"")</f>
        <v/>
      </c>
      <c r="AH20" s="434" t="e">
        <f t="shared" si="5"/>
        <v>#VALUE!</v>
      </c>
      <c r="AI20" s="459">
        <f t="shared" ref="AI20:AI32" si="17">IF(ISBLANK(G20),"",IF(ISNUMBER($AK$8),$AK$8,IF(G20="R",0,IF(G20="S",4,IF(G20="M",5,IF(G20="B",8,IF(Z20&gt;=2,8,6)))))))</f>
        <v>8</v>
      </c>
      <c r="AJ20" s="459">
        <f t="shared" ref="AJ20:AJ32" si="18">IF(ISBLANK(G20),"",IF(ISNUMBER($AL$8),$AL$8,IF(G20="R",8,IF(G20="S",50,IF(G20="M",15,IF(G20="B",0,50))))))</f>
        <v>50</v>
      </c>
      <c r="AK20" s="459">
        <f t="shared" ref="AK20:AK32" si="19">IF(ISBLANK(G20),"",IF(ISNUMBER($AM$8),$AM$8,IF(G20="R",0,IF(G20="S","-",IF(G20="M",5,IF(G20="B",8,IF(Z20&gt;=2,8,6)))))))</f>
        <v>8</v>
      </c>
      <c r="AL20" s="460">
        <f t="shared" ref="AL20:AL32" si="20">IF(ISBLANK(G20),"",IF(ISNUMBER($AN$8),$AN$8,IF(G20="R",8,IF(G20="S","-",IF(G20="M",15,IF(G20="B",0,50))))))</f>
        <v>50</v>
      </c>
      <c r="AM20" s="461" t="s">
        <v>1651</v>
      </c>
      <c r="AN20" s="462"/>
      <c r="AO20" s="463"/>
      <c r="AP20" s="464" t="s">
        <v>1649</v>
      </c>
      <c r="AQ20" s="464" t="s">
        <v>1649</v>
      </c>
      <c r="AR20" s="294"/>
      <c r="AS20" s="294"/>
      <c r="AT20" s="294"/>
      <c r="AU20" s="294"/>
      <c r="AV20" s="294"/>
      <c r="AW20" s="294"/>
      <c r="AX20" s="296"/>
      <c r="AY20" s="293"/>
      <c r="AZ20" s="293"/>
      <c r="BA20" s="293"/>
      <c r="BB20" s="293"/>
      <c r="BD20" s="34" t="str">
        <f t="shared" si="6"/>
        <v>TL4225+AS150</v>
      </c>
      <c r="BE20" s="34" t="str">
        <f t="shared" si="7"/>
        <v xml:space="preserve">CR440Y780T-DP-GI40/40-U </v>
      </c>
      <c r="BF20" s="34">
        <f t="shared" si="8"/>
        <v>0</v>
      </c>
      <c r="BI20" s="10">
        <f t="shared" si="9"/>
        <v>2</v>
      </c>
      <c r="BJ20" s="11">
        <f t="shared" ref="BJ20:BJ32" si="21">LARGE(BK20:BM20,2)</f>
        <v>1.4</v>
      </c>
      <c r="BK20" s="10">
        <f t="shared" si="10"/>
        <v>2</v>
      </c>
      <c r="BL20" s="10">
        <f t="shared" si="11"/>
        <v>1.4</v>
      </c>
      <c r="BM20" s="10">
        <f t="shared" si="12"/>
        <v>0</v>
      </c>
      <c r="BN20" s="10"/>
      <c r="BO20" s="283" t="e">
        <f t="shared" ref="BO20:BO32" si="22">IF(ISBLANK(Q20)=TRUE,FALSE,(IF(V20="",OR(R20&gt;=1250,U20&gt;=1250),OR(R20&gt;=1250,X20&gt;=1250))))</f>
        <v>#N/A</v>
      </c>
      <c r="BP20" s="283" t="e">
        <f t="shared" ref="BP20:BP32" si="23">IF(BO20=FALSE,0,300)</f>
        <v>#N/A</v>
      </c>
      <c r="BQ20" s="283" t="e">
        <f t="shared" ref="BQ20:BQ32" si="24">IF(BO20=FALSE,1,0.7)</f>
        <v>#N/A</v>
      </c>
      <c r="BR20" s="283" t="e">
        <f t="shared" ref="BR20:BR32" si="25">IF(BO20=FALSE,1,0.85)</f>
        <v>#N/A</v>
      </c>
      <c r="BS20" s="283" t="b">
        <f t="shared" si="13"/>
        <v>0</v>
      </c>
      <c r="BT20" s="283">
        <f t="shared" ref="BT20:BT32" si="26">IF(BS20=TRUE,0.9,0)</f>
        <v>0</v>
      </c>
      <c r="BU20" s="283" t="e">
        <f t="shared" ref="BU20:BU32" si="27">IF(ISBLANK(W20),OR(R20&gt;=1250,U20&gt;=1250),OR(R20&gt;=1250,U20&gt;=1250,X20&gt;=1250))</f>
        <v>#N/A</v>
      </c>
      <c r="BV20" s="283" t="e">
        <f t="shared" ref="BV20:BV32" si="28">IF(BU20=TRUE,-0.7,0)</f>
        <v>#N/A</v>
      </c>
      <c r="BW20" s="12"/>
      <c r="CC20" s="97" t="e">
        <f t="shared" ref="CC20:CC32" si="29">IF(ISBLANK(G20),"",IF(ISBLANK($AH$8),IF(G20="R","39D 1978-1 !",IF(G20="S","39D 1978-2",IF(G20="M","59D 388 863 !",IF(G20="B","59D 358 170 !",IF(AB20&gt;=5.5,"39D 1979-2 !","39D 1978-2"))))),$AH$8))</f>
        <v>#VALUE!</v>
      </c>
      <c r="CG20" s="97" t="e">
        <f t="shared" ref="CG20:CG32" si="30">IF(ISBLANK(G20),"",IF(ISBLANK($AH$8),IF(G20="R","39D 1978-1 !",IF(G20="S","39D 1978-2",IF(G20="M","59D 388 863 !",IF(G20="B","59D 358 170 !",IF(AE20&gt;=5.5,"39D 1979-2 !","39D 1978-2"))))),$AH$8))</f>
        <v>#VALUE!</v>
      </c>
    </row>
    <row r="21" spans="1:85" ht="63" customHeight="1" thickBot="1">
      <c r="A21" s="721"/>
      <c r="B21" s="7"/>
      <c r="C21" s="441">
        <v>7.1163600000000002</v>
      </c>
      <c r="D21" s="442" t="s">
        <v>1666</v>
      </c>
      <c r="E21" s="443" t="s">
        <v>1180</v>
      </c>
      <c r="F21" s="444" t="s">
        <v>1653</v>
      </c>
      <c r="G21" s="445" t="s">
        <v>1649</v>
      </c>
      <c r="H21" s="446" t="s">
        <v>1656</v>
      </c>
      <c r="I21" s="447" t="s">
        <v>1180</v>
      </c>
      <c r="J21" s="110">
        <v>671.34</v>
      </c>
      <c r="K21" s="109">
        <v>430.55</v>
      </c>
      <c r="L21" s="107">
        <v>-71.44</v>
      </c>
      <c r="M21" s="101" t="s">
        <v>1657</v>
      </c>
      <c r="N21" s="100" t="s">
        <v>1662</v>
      </c>
      <c r="O21" s="345" t="s">
        <v>1180</v>
      </c>
      <c r="P21" s="312">
        <v>2</v>
      </c>
      <c r="Q21" s="448" t="s">
        <v>1675</v>
      </c>
      <c r="R21" s="465" t="e">
        <f>IF(AND(ISBLANK(P21),ISTEXT(Q21)),"t1?",IF(AND(ISBLANK(Q21),ISBLANK(P21)),"",VLOOKUP(BD21,Materialliste!$A$2:$B$1477,2,FALSE)))</f>
        <v>#N/A</v>
      </c>
      <c r="S21" s="312">
        <v>1.4</v>
      </c>
      <c r="T21" s="448" t="s">
        <v>1676</v>
      </c>
      <c r="U21" s="465" t="e">
        <f>IF(AND(ISBLANK(S21),ISTEXT(T21)),"t2?",IF(AND(ISBLANK(T21),ISBLANK(S21)),"",VLOOKUP(BE21,Materialliste!$A$2:$B$1477,2,FALSE)))</f>
        <v>#N/A</v>
      </c>
      <c r="V21" s="312"/>
      <c r="W21" s="451"/>
      <c r="X21" s="465" t="str">
        <f>IF(AND(ISBLANK(V21),ISTEXT(W21)),"t3?",IF(AND(ISBLANK(W21),ISBLANK(V21)),"",VLOOKUP(BF21,Materialliste!$A$2:$B$1477,2,FALSE)))</f>
        <v/>
      </c>
      <c r="Y21" s="315" t="s">
        <v>1643</v>
      </c>
      <c r="Z21" s="452">
        <f t="shared" si="0"/>
        <v>1.52</v>
      </c>
      <c r="AA21" s="453" t="str">
        <f t="shared" si="14"/>
        <v>?Re</v>
      </c>
      <c r="AB21" s="454" t="e">
        <f t="shared" si="1"/>
        <v>#VALUE!</v>
      </c>
      <c r="AC21" s="455" t="e">
        <f t="shared" si="2"/>
        <v>#N/A</v>
      </c>
      <c r="AD21" s="430" t="e">
        <f t="shared" si="3"/>
        <v>#N/A</v>
      </c>
      <c r="AE21" s="456" t="e">
        <f t="shared" si="4"/>
        <v>#VALUE!</v>
      </c>
      <c r="AF21" s="457">
        <f t="shared" si="15"/>
        <v>4.141255848169731</v>
      </c>
      <c r="AG21" s="458" t="str">
        <f t="shared" si="16"/>
        <v/>
      </c>
      <c r="AH21" s="434" t="e">
        <f t="shared" si="5"/>
        <v>#VALUE!</v>
      </c>
      <c r="AI21" s="459">
        <f t="shared" si="17"/>
        <v>8</v>
      </c>
      <c r="AJ21" s="459">
        <f t="shared" si="18"/>
        <v>50</v>
      </c>
      <c r="AK21" s="459">
        <f t="shared" si="19"/>
        <v>8</v>
      </c>
      <c r="AL21" s="460">
        <f t="shared" si="20"/>
        <v>50</v>
      </c>
      <c r="AM21" s="461"/>
      <c r="AN21" s="462"/>
      <c r="AO21" s="463"/>
      <c r="AP21" s="464" t="s">
        <v>1649</v>
      </c>
      <c r="AQ21" s="464"/>
      <c r="AR21" s="294"/>
      <c r="AS21" s="294"/>
      <c r="AT21" s="294"/>
      <c r="AU21" s="294"/>
      <c r="AV21" s="294"/>
      <c r="AW21" s="294"/>
      <c r="AX21" s="296"/>
      <c r="AY21" s="293"/>
      <c r="AZ21" s="293"/>
      <c r="BA21" s="293"/>
      <c r="BB21" s="293"/>
      <c r="BD21" s="34" t="str">
        <f t="shared" si="6"/>
        <v>TL4225+AS150</v>
      </c>
      <c r="BE21" s="34" t="str">
        <f t="shared" si="7"/>
        <v xml:space="preserve">CR440Y780T-DP-GI40/40-U </v>
      </c>
      <c r="BF21" s="34">
        <f t="shared" si="8"/>
        <v>0</v>
      </c>
      <c r="BI21" s="10">
        <f t="shared" si="9"/>
        <v>2</v>
      </c>
      <c r="BJ21" s="11">
        <f t="shared" si="21"/>
        <v>1.4</v>
      </c>
      <c r="BK21" s="10">
        <f t="shared" si="10"/>
        <v>2</v>
      </c>
      <c r="BL21" s="10">
        <f t="shared" si="11"/>
        <v>1.4</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721"/>
      <c r="B22" s="7"/>
      <c r="C22" s="441">
        <v>7.1163699999999999</v>
      </c>
      <c r="D22" s="414" t="s">
        <v>1667</v>
      </c>
      <c r="E22" s="415" t="s">
        <v>1180</v>
      </c>
      <c r="F22" s="416" t="s">
        <v>1653</v>
      </c>
      <c r="G22" s="417" t="s">
        <v>1649</v>
      </c>
      <c r="H22" s="418" t="s">
        <v>1656</v>
      </c>
      <c r="I22" s="419" t="s">
        <v>1180</v>
      </c>
      <c r="J22" s="102">
        <v>566.74</v>
      </c>
      <c r="K22" s="103">
        <v>445.06</v>
      </c>
      <c r="L22" s="104">
        <v>-73.39</v>
      </c>
      <c r="M22" s="106" t="s">
        <v>1657</v>
      </c>
      <c r="N22" s="105" t="s">
        <v>1662</v>
      </c>
      <c r="O22" s="344" t="s">
        <v>1180</v>
      </c>
      <c r="P22" s="420">
        <v>2</v>
      </c>
      <c r="Q22" s="421" t="s">
        <v>1675</v>
      </c>
      <c r="R22" s="422" t="e">
        <f>IF(AND(ISBLANK(P22),ISTEXT(Q22)),"t1?",IF(AND(ISBLANK(Q22),ISBLANK(P22)),"",VLOOKUP(BD22,Materialliste!$A$2:$B$1477,2,FALSE)))</f>
        <v>#N/A</v>
      </c>
      <c r="S22" s="420">
        <v>1.4</v>
      </c>
      <c r="T22" s="421" t="s">
        <v>1676</v>
      </c>
      <c r="U22" s="422" t="e">
        <f>IF(AND(ISBLANK(S22),ISTEXT(T22)),"t2?",IF(AND(ISBLANK(T22),ISBLANK(S22)),"",VLOOKUP(BE22,Materialliste!$A$2:$B$1477,2,FALSE)))</f>
        <v>#N/A</v>
      </c>
      <c r="V22" s="420"/>
      <c r="W22" s="423"/>
      <c r="X22" s="424" t="str">
        <f>IF(AND(ISBLANK(V22),ISTEXT(W22)),"t3?",IF(AND(ISBLANK(W22),ISBLANK(V22)),"",VLOOKUP(BF22,Materialliste!$A$2:$B$1477,2,FALSE)))</f>
        <v/>
      </c>
      <c r="Y22" s="425" t="s">
        <v>1643</v>
      </c>
      <c r="Z22" s="426">
        <f t="shared" ref="Z22:Z24" si="31">IF($E$6="DE",IF(P22*S22&gt;0,0.8*BJ22+0.2*BI22,"BLECH?"),IF(P22*S22&gt;0,0.8*BJ22+0.2*BI22,"Sheet?"))</f>
        <v>1.52</v>
      </c>
      <c r="AA22" s="427" t="str">
        <f>IF(AND(ISNUMBER(R22),ISNUMBER(U22)),IF(ISTEXT(X22),(R22+U22)/(220*3*10)+0.9,(R22+U22+X22)/(220*3*10)+0.9),"?Re")</f>
        <v>?Re</v>
      </c>
      <c r="AB22" s="428" t="e">
        <f t="shared" ref="AB22:AB24" si="32">IF($E$6="DE",IF(OR(Y22="J",Y22="N"),IF(OR(G22="X",G22="C"),IF(Z22="BLECH?","BLECH?",IF(Y22="J",IF(Z22&lt;=2,((1.64*Z22+0.45)*AA22+0.21)+0.5,((1.3*Z22+0.7)*AA22+0.7)+0.5),IF(Z22&lt;=2,((1.64*Z22+0.45)*AA22+0.21),((1.3*Z22+0.7)*AA22+0.7)))),IF(OR(G22="R",G22="S"),0.6,IF(G22="B",0.8,IF(G22="M",1,"")))),"Klebstoff?"),IF(OR(Y22="J",Y22="N"),IF(OR(G22="X",G22="C"),IF(Z22="BLECH?","BLECH?",IF(Y22="J",IF(Z22&lt;=2,((1.64*Z22+0.45)*AA22+0.21)+0.5,((1.3*Z22+0.7)*AA22+0.7)+0.5),IF(Z22&lt;=2,((1.64*Z22+0.45)*AA22+0.21),((1.3*Z22+0.7)*AA22+0.7)))),IF(OR(G22="R",G22="S"),0.6,IF(G22="B",0.8,IF(G22="M",1,"")))),"Adhesive?"))</f>
        <v>#VALUE!</v>
      </c>
      <c r="AC22" s="429" t="e">
        <f t="shared" ref="AC22:AC24" si="33">IF(OR(G22="C",G22="X"),IF(Z22="BLECH?","",IF(AND(BS22=TRUE,BU22=TRUE),IF(Z22&lt;=2,((1.13*Z22+7.1+BT22)+(1.13*Z22+7.1+BV22))/2*BR22,((1.5*Z22+5.8+BT22)+(1.5*Z22+5.8+BV22))/2*BR22),IF(Z22&lt;=2,(1.13*Z22+7.1+BT22+BV22)*BR22,(1.5*Z22+5.8+BT22+BV22)*BR22))),IF(OR(G22="B",G22="S"),"6",IF(G22="R","7",IF(G22="M","4,3",""))))</f>
        <v>#N/A</v>
      </c>
      <c r="AD22" s="430" t="e">
        <f t="shared" ref="AD22:AD24" si="34">IF(OR(G22="C",G22="X"),IF(Z22="BLECH?","",MIN((((P22+S22+V22-1.4)*(600/4.6))+200)+BP22,900)),IF(G22="B","60",IF(G22="R","150",IF(G22="S","90",IF(G22="m","350","")))))</f>
        <v>#N/A</v>
      </c>
      <c r="AE22" s="431" t="e">
        <f t="shared" ref="AE22:AE24" si="35">IF(OR(G22="C",G22="X"),AB22*BQ22,AB22)</f>
        <v>#VALUE!</v>
      </c>
      <c r="AF22" s="432">
        <f>IF(G22="S","-",IF(OR(G22="M",G22="B"),1.6,IF(P22=0,"",3.5*SQRT(MIN(P22,S22)))))</f>
        <v>4.141255848169731</v>
      </c>
      <c r="AG22" s="433" t="str">
        <f>IF(V22&gt;0,(IF(G22="S","-",IF(OR(G22="M",G22="B"),1.6,3.5*SQRT(MIN(S22,V22))))),"")</f>
        <v/>
      </c>
      <c r="AH22" s="434" t="e">
        <f t="shared" ref="AH22:AH24" si="36">IF(AND($AN$34="Ja",ISTEXT($AG$36),ISNUMBER($AL$36)),CG22,CC22)</f>
        <v>#VALUE!</v>
      </c>
      <c r="AI22" s="435">
        <f>IF(ISBLANK(G22),"",IF(ISNUMBER($AK$8),$AK$8,IF(G22="R",0,IF(G22="S",4,IF(G22="M",5,IF(G22="B",8,IF(Z22&gt;=2,8,6)))))))</f>
        <v>8</v>
      </c>
      <c r="AJ22" s="435">
        <f>IF(ISBLANK(G22),"",IF(ISNUMBER($AL$8),$AL$8,IF(G22="R",8,IF(G22="S",50,IF(G22="M",15,IF(G22="B",0,50))))))</f>
        <v>50</v>
      </c>
      <c r="AK22" s="435">
        <f>IF(ISBLANK(G22),"",IF(ISNUMBER($AM$8),$AM$8,IF(G22="R",0,IF(G22="S","-",IF(G22="M",5,IF(G22="B",8,IF(Z22&gt;=2,8,6)))))))</f>
        <v>8</v>
      </c>
      <c r="AL22" s="436">
        <f>IF(ISBLANK(G22),"",IF(ISNUMBER($AN$8),$AN$8,IF(G22="R",8,IF(G22="S","-",IF(G22="M",15,IF(G22="B",0,50))))))</f>
        <v>50</v>
      </c>
      <c r="AM22" s="437"/>
      <c r="AN22" s="438"/>
      <c r="AO22" s="439"/>
      <c r="AP22" s="440" t="s">
        <v>1649</v>
      </c>
      <c r="AQ22" s="440" t="s">
        <v>1649</v>
      </c>
      <c r="AR22" s="294"/>
      <c r="AS22" s="294"/>
      <c r="AT22" s="294"/>
      <c r="AU22" s="294"/>
      <c r="AV22" s="294"/>
      <c r="AW22" s="294"/>
      <c r="AX22" s="296"/>
      <c r="AY22" s="293"/>
      <c r="AZ22" s="293"/>
      <c r="BA22" s="293"/>
      <c r="BB22" s="293"/>
      <c r="BD22" s="34" t="str">
        <f t="shared" si="6"/>
        <v>TL4225+AS150</v>
      </c>
      <c r="BE22" s="34" t="str">
        <f t="shared" si="7"/>
        <v xml:space="preserve">CR440Y780T-DP-GI40/40-U </v>
      </c>
      <c r="BF22" s="34">
        <f t="shared" si="8"/>
        <v>0</v>
      </c>
      <c r="BI22" s="10">
        <f t="shared" si="9"/>
        <v>2</v>
      </c>
      <c r="BJ22" s="11">
        <f t="shared" si="21"/>
        <v>1.4</v>
      </c>
      <c r="BK22" s="10">
        <f t="shared" si="10"/>
        <v>2</v>
      </c>
      <c r="BL22" s="10">
        <f t="shared" si="11"/>
        <v>1.4</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721"/>
      <c r="B23" s="7"/>
      <c r="C23" s="441">
        <v>7.1163800000000004</v>
      </c>
      <c r="D23" s="442" t="s">
        <v>1654</v>
      </c>
      <c r="E23" s="443" t="s">
        <v>1180</v>
      </c>
      <c r="F23" s="444" t="s">
        <v>1653</v>
      </c>
      <c r="G23" s="445" t="s">
        <v>1649</v>
      </c>
      <c r="H23" s="446" t="s">
        <v>1656</v>
      </c>
      <c r="I23" s="447" t="s">
        <v>1180</v>
      </c>
      <c r="J23" s="110">
        <v>-56.67</v>
      </c>
      <c r="K23" s="109">
        <v>486.2</v>
      </c>
      <c r="L23" s="107">
        <v>288.86</v>
      </c>
      <c r="M23" s="101" t="s">
        <v>1661</v>
      </c>
      <c r="N23" s="100" t="s">
        <v>1663</v>
      </c>
      <c r="O23" s="345" t="s">
        <v>1180</v>
      </c>
      <c r="P23" s="312">
        <v>2.1</v>
      </c>
      <c r="Q23" s="448" t="s">
        <v>1675</v>
      </c>
      <c r="R23" s="449" t="e">
        <f>IF(AND(ISBLANK(P23),ISTEXT(Q23)),"t1?",IF(AND(ISBLANK(Q23),ISBLANK(P23)),"",VLOOKUP(BD23,Materialliste!$A$2:$B$1477,2,FALSE)))</f>
        <v>#N/A</v>
      </c>
      <c r="S23" s="312">
        <v>1.7</v>
      </c>
      <c r="T23" s="451" t="s">
        <v>993</v>
      </c>
      <c r="U23" s="450">
        <f>IF(AND(ISBLANK(S23),ISTEXT(T23)),"t2?",IF(AND(ISBLANK(T23),ISBLANK(S23)),"",VLOOKUP(BE23,Materialliste!$A$2:$B$1477,2,FALSE)))</f>
        <v>550</v>
      </c>
      <c r="V23" s="312"/>
      <c r="W23" s="451"/>
      <c r="X23" s="450" t="str">
        <f>IF(AND(ISBLANK(V23),ISTEXT(W23)),"t3?",IF(AND(ISBLANK(W23),ISBLANK(V23)),"",VLOOKUP(BF23,Materialliste!$A$2:$B$1477,2,FALSE)))</f>
        <v/>
      </c>
      <c r="Y23" s="315" t="s">
        <v>1643</v>
      </c>
      <c r="Z23" s="452">
        <f t="shared" si="31"/>
        <v>1.7800000000000002</v>
      </c>
      <c r="AA23" s="453" t="str">
        <f t="shared" ref="AA23:AA24" si="37">IF(AND(ISNUMBER(R23),ISNUMBER(U23)),IF(ISTEXT(X23),(R23+U23)/(220*3*10)+0.9,(R23+U23+X23)/(220*3*10)+0.9),"?Re")</f>
        <v>?Re</v>
      </c>
      <c r="AB23" s="454" t="e">
        <f t="shared" si="32"/>
        <v>#VALUE!</v>
      </c>
      <c r="AC23" s="455" t="e">
        <f t="shared" si="33"/>
        <v>#N/A</v>
      </c>
      <c r="AD23" s="430" t="e">
        <f t="shared" si="34"/>
        <v>#N/A</v>
      </c>
      <c r="AE23" s="456" t="e">
        <f t="shared" si="35"/>
        <v>#VALUE!</v>
      </c>
      <c r="AF23" s="457">
        <f t="shared" ref="AF23:AF24" si="38">IF(G23="S","-",IF(OR(G23="M",G23="B"),1.6,IF(P23=0,"",3.5*SQRT(MIN(P23,S23)))))</f>
        <v>4.5634416836418543</v>
      </c>
      <c r="AG23" s="458" t="str">
        <f t="shared" ref="AG23:AG24" si="39">IF(V23&gt;0,(IF(G23="S","-",IF(OR(G23="M",G23="B"),1.6,3.5*SQRT(MIN(S23,V23))))),"")</f>
        <v/>
      </c>
      <c r="AH23" s="434" t="e">
        <f t="shared" si="36"/>
        <v>#VALUE!</v>
      </c>
      <c r="AI23" s="459">
        <f t="shared" ref="AI23:AI24" si="40">IF(ISBLANK(G23),"",IF(ISNUMBER($AK$8),$AK$8,IF(G23="R",0,IF(G23="S",4,IF(G23="M",5,IF(G23="B",8,IF(Z23&gt;=2,8,6)))))))</f>
        <v>8</v>
      </c>
      <c r="AJ23" s="459">
        <f t="shared" ref="AJ23:AJ24" si="41">IF(ISBLANK(G23),"",IF(ISNUMBER($AL$8),$AL$8,IF(G23="R",8,IF(G23="S",50,IF(G23="M",15,IF(G23="B",0,50))))))</f>
        <v>50</v>
      </c>
      <c r="AK23" s="459">
        <f t="shared" ref="AK23:AK24" si="42">IF(ISBLANK(G23),"",IF(ISNUMBER($AM$8),$AM$8,IF(G23="R",0,IF(G23="S","-",IF(G23="M",5,IF(G23="B",8,IF(Z23&gt;=2,8,6)))))))</f>
        <v>8</v>
      </c>
      <c r="AL23" s="460">
        <f t="shared" ref="AL23:AL24" si="43">IF(ISBLANK(G23),"",IF(ISNUMBER($AN$8),$AN$8,IF(G23="R",8,IF(G23="S","-",IF(G23="M",15,IF(G23="B",0,50))))))</f>
        <v>50</v>
      </c>
      <c r="AM23" s="461" t="s">
        <v>1651</v>
      </c>
      <c r="AN23" s="462"/>
      <c r="AO23" s="463"/>
      <c r="AP23" s="464" t="s">
        <v>1649</v>
      </c>
      <c r="AQ23" s="464" t="s">
        <v>1649</v>
      </c>
      <c r="AR23" s="294"/>
      <c r="AS23" s="294"/>
      <c r="AT23" s="294"/>
      <c r="AU23" s="294"/>
      <c r="AV23" s="294"/>
      <c r="AW23" s="294"/>
      <c r="AX23" s="296"/>
      <c r="AY23" s="293"/>
      <c r="AZ23" s="293"/>
      <c r="BA23" s="293"/>
      <c r="BB23" s="293"/>
      <c r="BD23" s="34" t="str">
        <f t="shared" si="6"/>
        <v>TL4225+AS150</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thickBot="1">
      <c r="A24" s="721"/>
      <c r="B24" s="7"/>
      <c r="C24" s="441">
        <v>7.11639</v>
      </c>
      <c r="D24" s="442" t="s">
        <v>1655</v>
      </c>
      <c r="E24" s="443" t="s">
        <v>1180</v>
      </c>
      <c r="F24" s="444" t="s">
        <v>1653</v>
      </c>
      <c r="G24" s="445" t="s">
        <v>1649</v>
      </c>
      <c r="H24" s="446" t="s">
        <v>1656</v>
      </c>
      <c r="I24" s="447" t="s">
        <v>1180</v>
      </c>
      <c r="J24" s="110">
        <v>-575.67999999999995</v>
      </c>
      <c r="K24" s="109">
        <v>518.4</v>
      </c>
      <c r="L24" s="107">
        <v>294.3</v>
      </c>
      <c r="M24" s="101" t="s">
        <v>1661</v>
      </c>
      <c r="N24" s="100" t="s">
        <v>1663</v>
      </c>
      <c r="O24" s="345" t="s">
        <v>1180</v>
      </c>
      <c r="P24" s="312">
        <v>2.1</v>
      </c>
      <c r="Q24" s="448" t="s">
        <v>1675</v>
      </c>
      <c r="R24" s="465" t="e">
        <f>IF(AND(ISBLANK(P24),ISTEXT(Q24)),"t1?",IF(AND(ISBLANK(Q24),ISBLANK(P24)),"",VLOOKUP(BD24,Materialliste!$A$2:$B$1477,2,FALSE)))</f>
        <v>#N/A</v>
      </c>
      <c r="S24" s="312">
        <v>1.7</v>
      </c>
      <c r="T24" s="451" t="s">
        <v>993</v>
      </c>
      <c r="U24" s="465">
        <f>IF(AND(ISBLANK(S24),ISTEXT(T24)),"t2?",IF(AND(ISBLANK(T24),ISBLANK(S24)),"",VLOOKUP(BE24,Materialliste!$A$2:$B$1477,2,FALSE)))</f>
        <v>550</v>
      </c>
      <c r="V24" s="312"/>
      <c r="W24" s="451"/>
      <c r="X24" s="465" t="str">
        <f>IF(AND(ISBLANK(V24),ISTEXT(W24)),"t3?",IF(AND(ISBLANK(W24),ISBLANK(V24)),"",VLOOKUP(BF24,Materialliste!$A$2:$B$1477,2,FALSE)))</f>
        <v/>
      </c>
      <c r="Y24" s="315" t="s">
        <v>1643</v>
      </c>
      <c r="Z24" s="452">
        <f t="shared" si="31"/>
        <v>1.7800000000000002</v>
      </c>
      <c r="AA24" s="453" t="str">
        <f t="shared" si="37"/>
        <v>?Re</v>
      </c>
      <c r="AB24" s="454" t="e">
        <f t="shared" si="32"/>
        <v>#VALUE!</v>
      </c>
      <c r="AC24" s="455" t="e">
        <f t="shared" si="33"/>
        <v>#N/A</v>
      </c>
      <c r="AD24" s="430" t="e">
        <f t="shared" si="34"/>
        <v>#N/A</v>
      </c>
      <c r="AE24" s="456" t="e">
        <f t="shared" si="35"/>
        <v>#VALUE!</v>
      </c>
      <c r="AF24" s="457">
        <f t="shared" si="38"/>
        <v>4.5634416836418543</v>
      </c>
      <c r="AG24" s="458" t="str">
        <f t="shared" si="39"/>
        <v/>
      </c>
      <c r="AH24" s="434" t="e">
        <f t="shared" si="36"/>
        <v>#VALUE!</v>
      </c>
      <c r="AI24" s="459">
        <f t="shared" si="40"/>
        <v>8</v>
      </c>
      <c r="AJ24" s="459">
        <f t="shared" si="41"/>
        <v>50</v>
      </c>
      <c r="AK24" s="459">
        <f t="shared" si="42"/>
        <v>8</v>
      </c>
      <c r="AL24" s="460">
        <f t="shared" si="43"/>
        <v>50</v>
      </c>
      <c r="AM24" s="461"/>
      <c r="AN24" s="462"/>
      <c r="AO24" s="463"/>
      <c r="AP24" s="464" t="s">
        <v>1649</v>
      </c>
      <c r="AQ24" s="464"/>
      <c r="AR24" s="294"/>
      <c r="AS24" s="294"/>
      <c r="AT24" s="294"/>
      <c r="AU24" s="294"/>
      <c r="AV24" s="294"/>
      <c r="AW24" s="294"/>
      <c r="AX24" s="296"/>
      <c r="AY24" s="293"/>
      <c r="AZ24" s="293"/>
      <c r="BA24" s="293"/>
      <c r="BB24" s="293"/>
      <c r="BD24" s="34" t="str">
        <f t="shared" si="6"/>
        <v>TL4225+AS150</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c r="A25" s="721"/>
      <c r="B25" s="7"/>
      <c r="C25" s="379"/>
      <c r="D25" s="346"/>
      <c r="E25" s="380"/>
      <c r="F25" s="381"/>
      <c r="G25" s="382"/>
      <c r="H25" s="383"/>
      <c r="I25" s="384"/>
      <c r="J25" s="385"/>
      <c r="K25" s="386"/>
      <c r="L25" s="387"/>
      <c r="M25" s="388"/>
      <c r="N25" s="389"/>
      <c r="O25" s="390"/>
      <c r="P25" s="391"/>
      <c r="Q25" s="392"/>
      <c r="R25" s="393"/>
      <c r="S25" s="391"/>
      <c r="T25" s="392"/>
      <c r="U25" s="393"/>
      <c r="V25" s="391"/>
      <c r="W25" s="392"/>
      <c r="X25" s="394"/>
      <c r="Y25" s="395"/>
      <c r="Z25" s="396"/>
      <c r="AA25" s="397"/>
      <c r="AB25" s="398"/>
      <c r="AC25" s="399"/>
      <c r="AD25" s="368"/>
      <c r="AE25" s="400"/>
      <c r="AF25" s="401"/>
      <c r="AG25" s="402"/>
      <c r="AH25" s="372"/>
      <c r="AI25" s="403"/>
      <c r="AJ25" s="403"/>
      <c r="AK25" s="403"/>
      <c r="AL25" s="404"/>
      <c r="AM25" s="405"/>
      <c r="AN25" s="406"/>
      <c r="AO25" s="407"/>
      <c r="AP25" s="408"/>
      <c r="AQ25" s="408"/>
      <c r="AR25" s="294"/>
      <c r="AS25" s="294"/>
      <c r="AT25" s="294"/>
      <c r="AU25" s="294"/>
      <c r="AV25" s="294"/>
      <c r="AW25" s="294"/>
      <c r="AX25" s="296"/>
      <c r="AY25" s="293"/>
      <c r="AZ25" s="293"/>
      <c r="BA25" s="293"/>
      <c r="BB25" s="293"/>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3" t="b">
        <f t="shared" si="22"/>
        <v>0</v>
      </c>
      <c r="BP25" s="283">
        <f t="shared" si="23"/>
        <v>0</v>
      </c>
      <c r="BQ25" s="283">
        <f t="shared" si="24"/>
        <v>1</v>
      </c>
      <c r="BR25" s="283">
        <f t="shared" si="25"/>
        <v>1</v>
      </c>
      <c r="BS25" s="283" t="b">
        <f t="shared" si="13"/>
        <v>1</v>
      </c>
      <c r="BT25" s="283">
        <f t="shared" si="26"/>
        <v>0.9</v>
      </c>
      <c r="BU25" s="283" t="b">
        <f t="shared" si="27"/>
        <v>0</v>
      </c>
      <c r="BV25" s="283">
        <f t="shared" si="28"/>
        <v>0</v>
      </c>
      <c r="BW25" s="12"/>
      <c r="CC25" s="97" t="str">
        <f t="shared" si="29"/>
        <v/>
      </c>
      <c r="CG25" s="97" t="str">
        <f t="shared" si="30"/>
        <v/>
      </c>
    </row>
    <row r="26" spans="1:85" ht="63" customHeight="1">
      <c r="A26" s="721"/>
      <c r="B26" s="7"/>
      <c r="C26" s="348"/>
      <c r="D26" s="347"/>
      <c r="E26" s="349"/>
      <c r="F26" s="350"/>
      <c r="G26" s="351"/>
      <c r="H26" s="352"/>
      <c r="I26" s="353"/>
      <c r="J26" s="354"/>
      <c r="K26" s="355"/>
      <c r="L26" s="356"/>
      <c r="M26" s="409"/>
      <c r="N26" s="357"/>
      <c r="O26" s="410"/>
      <c r="P26" s="359"/>
      <c r="Q26" s="360"/>
      <c r="R26" s="411"/>
      <c r="S26" s="359"/>
      <c r="T26" s="360"/>
      <c r="U26" s="412"/>
      <c r="V26" s="359"/>
      <c r="W26" s="360"/>
      <c r="X26" s="412"/>
      <c r="Y26" s="363"/>
      <c r="Z26" s="364"/>
      <c r="AA26" s="365"/>
      <c r="AB26" s="366"/>
      <c r="AC26" s="367"/>
      <c r="AD26" s="368"/>
      <c r="AE26" s="369"/>
      <c r="AF26" s="370"/>
      <c r="AG26" s="371"/>
      <c r="AH26" s="372"/>
      <c r="AI26" s="373"/>
      <c r="AJ26" s="373"/>
      <c r="AK26" s="373"/>
      <c r="AL26" s="374"/>
      <c r="AM26" s="375"/>
      <c r="AN26" s="376"/>
      <c r="AO26" s="377"/>
      <c r="AP26" s="378"/>
      <c r="AQ26" s="378"/>
      <c r="AR26" s="294"/>
      <c r="AS26" s="294"/>
      <c r="AT26" s="294"/>
      <c r="AU26" s="294"/>
      <c r="AV26" s="294"/>
      <c r="AW26" s="294"/>
      <c r="AX26" s="296"/>
      <c r="AY26" s="293"/>
      <c r="AZ26" s="293"/>
      <c r="BA26" s="293"/>
      <c r="BB26" s="293"/>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3" t="b">
        <f t="shared" si="22"/>
        <v>0</v>
      </c>
      <c r="BP26" s="283">
        <f t="shared" si="23"/>
        <v>0</v>
      </c>
      <c r="BQ26" s="283">
        <f t="shared" si="24"/>
        <v>1</v>
      </c>
      <c r="BR26" s="283">
        <f t="shared" si="25"/>
        <v>1</v>
      </c>
      <c r="BS26" s="283" t="b">
        <f t="shared" si="13"/>
        <v>1</v>
      </c>
      <c r="BT26" s="283">
        <f t="shared" si="26"/>
        <v>0.9</v>
      </c>
      <c r="BU26" s="283" t="b">
        <f t="shared" si="27"/>
        <v>0</v>
      </c>
      <c r="BV26" s="283">
        <f t="shared" si="28"/>
        <v>0</v>
      </c>
      <c r="BW26" s="12"/>
      <c r="CC26" s="97" t="str">
        <f t="shared" si="29"/>
        <v/>
      </c>
      <c r="CG26" s="97" t="str">
        <f t="shared" si="30"/>
        <v/>
      </c>
    </row>
    <row r="27" spans="1:85" ht="63" customHeight="1">
      <c r="A27" s="721"/>
      <c r="B27" s="7"/>
      <c r="C27" s="348"/>
      <c r="D27" s="347"/>
      <c r="E27" s="349"/>
      <c r="F27" s="350"/>
      <c r="G27" s="351"/>
      <c r="H27" s="352"/>
      <c r="I27" s="353"/>
      <c r="J27" s="354"/>
      <c r="K27" s="355"/>
      <c r="L27" s="356"/>
      <c r="M27" s="409"/>
      <c r="N27" s="357"/>
      <c r="O27" s="410"/>
      <c r="P27" s="359"/>
      <c r="Q27" s="360"/>
      <c r="R27" s="361"/>
      <c r="S27" s="359"/>
      <c r="T27" s="360"/>
      <c r="U27" s="361"/>
      <c r="V27" s="359"/>
      <c r="W27" s="360"/>
      <c r="X27" s="361"/>
      <c r="Y27" s="363"/>
      <c r="Z27" s="364"/>
      <c r="AA27" s="365"/>
      <c r="AB27" s="366"/>
      <c r="AC27" s="367"/>
      <c r="AD27" s="368"/>
      <c r="AE27" s="369"/>
      <c r="AF27" s="370"/>
      <c r="AG27" s="371"/>
      <c r="AH27" s="372"/>
      <c r="AI27" s="373"/>
      <c r="AJ27" s="373"/>
      <c r="AK27" s="373"/>
      <c r="AL27" s="374"/>
      <c r="AM27" s="375"/>
      <c r="AN27" s="376"/>
      <c r="AO27" s="377"/>
      <c r="AP27" s="378"/>
      <c r="AQ27" s="378"/>
      <c r="AR27" s="294"/>
      <c r="AS27" s="294"/>
      <c r="AT27" s="294"/>
      <c r="AU27" s="294"/>
      <c r="AV27" s="294"/>
      <c r="AW27" s="294"/>
      <c r="AX27" s="296"/>
      <c r="AY27" s="293"/>
      <c r="AZ27" s="293"/>
      <c r="BA27" s="293"/>
      <c r="BB27" s="293"/>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3" t="b">
        <f t="shared" si="22"/>
        <v>0</v>
      </c>
      <c r="BP27" s="283">
        <f t="shared" si="23"/>
        <v>0</v>
      </c>
      <c r="BQ27" s="283">
        <f t="shared" si="24"/>
        <v>1</v>
      </c>
      <c r="BR27" s="283">
        <f t="shared" si="25"/>
        <v>1</v>
      </c>
      <c r="BS27" s="283" t="b">
        <f t="shared" si="13"/>
        <v>1</v>
      </c>
      <c r="BT27" s="283">
        <f t="shared" si="26"/>
        <v>0.9</v>
      </c>
      <c r="BU27" s="283" t="b">
        <f t="shared" si="27"/>
        <v>0</v>
      </c>
      <c r="BV27" s="283">
        <f t="shared" si="28"/>
        <v>0</v>
      </c>
      <c r="BW27" s="12"/>
      <c r="CC27" s="97" t="str">
        <f t="shared" si="29"/>
        <v/>
      </c>
      <c r="CG27" s="97" t="str">
        <f t="shared" si="30"/>
        <v/>
      </c>
    </row>
    <row r="28" spans="1:85" ht="63" customHeight="1">
      <c r="A28" s="721"/>
      <c r="B28" s="7"/>
      <c r="C28" s="348"/>
      <c r="D28" s="347"/>
      <c r="E28" s="349"/>
      <c r="F28" s="350"/>
      <c r="G28" s="351"/>
      <c r="H28" s="352"/>
      <c r="I28" s="353"/>
      <c r="J28" s="354"/>
      <c r="K28" s="355"/>
      <c r="L28" s="356"/>
      <c r="M28" s="409"/>
      <c r="N28" s="357"/>
      <c r="O28" s="410"/>
      <c r="P28" s="359"/>
      <c r="Q28" s="360"/>
      <c r="R28" s="361"/>
      <c r="S28" s="359"/>
      <c r="T28" s="360"/>
      <c r="U28" s="361"/>
      <c r="V28" s="359"/>
      <c r="W28" s="362"/>
      <c r="X28" s="361"/>
      <c r="Y28" s="363"/>
      <c r="Z28" s="364"/>
      <c r="AA28" s="365"/>
      <c r="AB28" s="366"/>
      <c r="AC28" s="367"/>
      <c r="AD28" s="368"/>
      <c r="AE28" s="369"/>
      <c r="AF28" s="370"/>
      <c r="AG28" s="371"/>
      <c r="AH28" s="372"/>
      <c r="AI28" s="373"/>
      <c r="AJ28" s="373"/>
      <c r="AK28" s="373"/>
      <c r="AL28" s="374"/>
      <c r="AM28" s="375"/>
      <c r="AN28" s="376"/>
      <c r="AO28" s="377"/>
      <c r="AP28" s="378"/>
      <c r="AQ28" s="378"/>
      <c r="AR28" s="294"/>
      <c r="AS28" s="294"/>
      <c r="AT28" s="294"/>
      <c r="AU28" s="294"/>
      <c r="AV28" s="294"/>
      <c r="AW28" s="294"/>
      <c r="AX28" s="296"/>
      <c r="AY28" s="293"/>
      <c r="AZ28" s="293"/>
      <c r="BA28" s="293"/>
      <c r="BB28" s="293"/>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3" t="b">
        <f t="shared" si="22"/>
        <v>0</v>
      </c>
      <c r="BP28" s="283">
        <f t="shared" si="23"/>
        <v>0</v>
      </c>
      <c r="BQ28" s="283">
        <f t="shared" si="24"/>
        <v>1</v>
      </c>
      <c r="BR28" s="283">
        <f t="shared" si="25"/>
        <v>1</v>
      </c>
      <c r="BS28" s="283" t="b">
        <f t="shared" si="13"/>
        <v>1</v>
      </c>
      <c r="BT28" s="283">
        <f t="shared" si="26"/>
        <v>0.9</v>
      </c>
      <c r="BU28" s="283" t="b">
        <f t="shared" si="27"/>
        <v>0</v>
      </c>
      <c r="BV28" s="283">
        <f t="shared" si="28"/>
        <v>0</v>
      </c>
      <c r="BW28" s="12"/>
      <c r="CC28" s="97" t="str">
        <f t="shared" si="29"/>
        <v/>
      </c>
      <c r="CG28" s="97" t="str">
        <f t="shared" si="30"/>
        <v/>
      </c>
    </row>
    <row r="29" spans="1:85" ht="63" customHeight="1">
      <c r="A29" s="721"/>
      <c r="B29" s="7"/>
      <c r="C29" s="348"/>
      <c r="D29" s="347"/>
      <c r="E29" s="349"/>
      <c r="F29" s="350"/>
      <c r="G29" s="351"/>
      <c r="H29" s="352"/>
      <c r="I29" s="353"/>
      <c r="J29" s="354"/>
      <c r="K29" s="355"/>
      <c r="L29" s="356"/>
      <c r="M29" s="357"/>
      <c r="N29" s="357"/>
      <c r="O29" s="358"/>
      <c r="P29" s="359"/>
      <c r="Q29" s="360"/>
      <c r="R29" s="361"/>
      <c r="S29" s="359"/>
      <c r="T29" s="360"/>
      <c r="U29" s="361"/>
      <c r="V29" s="359"/>
      <c r="W29" s="362"/>
      <c r="X29" s="361"/>
      <c r="Y29" s="363"/>
      <c r="Z29" s="364"/>
      <c r="AA29" s="365"/>
      <c r="AB29" s="366"/>
      <c r="AC29" s="367"/>
      <c r="AD29" s="368"/>
      <c r="AE29" s="369"/>
      <c r="AF29" s="370"/>
      <c r="AG29" s="371"/>
      <c r="AH29" s="372"/>
      <c r="AI29" s="373"/>
      <c r="AJ29" s="373"/>
      <c r="AK29" s="373"/>
      <c r="AL29" s="374"/>
      <c r="AM29" s="375"/>
      <c r="AN29" s="376"/>
      <c r="AO29" s="377"/>
      <c r="AP29" s="378"/>
      <c r="AQ29" s="378"/>
      <c r="AR29" s="294"/>
      <c r="AS29" s="294"/>
      <c r="AT29" s="294"/>
      <c r="AU29" s="294"/>
      <c r="AV29" s="294"/>
      <c r="AW29" s="294"/>
      <c r="AX29" s="296"/>
      <c r="AY29" s="293"/>
      <c r="AZ29" s="293"/>
      <c r="BA29" s="293"/>
      <c r="BB29" s="293"/>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3" t="b">
        <f t="shared" si="22"/>
        <v>0</v>
      </c>
      <c r="BP29" s="283">
        <f t="shared" si="23"/>
        <v>0</v>
      </c>
      <c r="BQ29" s="283">
        <f t="shared" si="24"/>
        <v>1</v>
      </c>
      <c r="BR29" s="283">
        <f t="shared" si="25"/>
        <v>1</v>
      </c>
      <c r="BS29" s="283" t="b">
        <f t="shared" si="13"/>
        <v>1</v>
      </c>
      <c r="BT29" s="283">
        <f t="shared" si="26"/>
        <v>0.9</v>
      </c>
      <c r="BU29" s="283" t="b">
        <f t="shared" si="27"/>
        <v>0</v>
      </c>
      <c r="BV29" s="283">
        <f t="shared" si="28"/>
        <v>0</v>
      </c>
      <c r="BW29" s="12"/>
      <c r="CC29" s="97" t="str">
        <f t="shared" si="29"/>
        <v/>
      </c>
      <c r="CG29" s="97" t="str">
        <f t="shared" si="30"/>
        <v/>
      </c>
    </row>
    <row r="30" spans="1:85" ht="63" customHeight="1">
      <c r="A30" s="721"/>
      <c r="B30" s="7"/>
      <c r="C30" s="348"/>
      <c r="D30" s="347"/>
      <c r="E30" s="349"/>
      <c r="F30" s="350"/>
      <c r="G30" s="351"/>
      <c r="H30" s="352"/>
      <c r="I30" s="353"/>
      <c r="J30" s="354"/>
      <c r="K30" s="355"/>
      <c r="L30" s="356"/>
      <c r="M30" s="357"/>
      <c r="N30" s="357"/>
      <c r="O30" s="358"/>
      <c r="P30" s="359"/>
      <c r="Q30" s="360"/>
      <c r="R30" s="361"/>
      <c r="S30" s="359"/>
      <c r="T30" s="360"/>
      <c r="U30" s="361"/>
      <c r="V30" s="359"/>
      <c r="W30" s="362"/>
      <c r="X30" s="361"/>
      <c r="Y30" s="363"/>
      <c r="Z30" s="364"/>
      <c r="AA30" s="365"/>
      <c r="AB30" s="366"/>
      <c r="AC30" s="367"/>
      <c r="AD30" s="368"/>
      <c r="AE30" s="369"/>
      <c r="AF30" s="370"/>
      <c r="AG30" s="371"/>
      <c r="AH30" s="372"/>
      <c r="AI30" s="373"/>
      <c r="AJ30" s="373"/>
      <c r="AK30" s="373"/>
      <c r="AL30" s="374"/>
      <c r="AM30" s="375"/>
      <c r="AN30" s="376"/>
      <c r="AO30" s="377"/>
      <c r="AP30" s="378"/>
      <c r="AQ30" s="378"/>
      <c r="AR30" s="294"/>
      <c r="AS30" s="294"/>
      <c r="AT30" s="294"/>
      <c r="AU30" s="294"/>
      <c r="AV30" s="294"/>
      <c r="AW30" s="294"/>
      <c r="AX30" s="296"/>
      <c r="AY30" s="293"/>
      <c r="AZ30" s="293"/>
      <c r="BA30" s="293"/>
      <c r="BB30" s="293"/>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3" t="b">
        <f t="shared" si="22"/>
        <v>0</v>
      </c>
      <c r="BP30" s="283">
        <f t="shared" si="23"/>
        <v>0</v>
      </c>
      <c r="BQ30" s="283">
        <f t="shared" si="24"/>
        <v>1</v>
      </c>
      <c r="BR30" s="283">
        <f t="shared" si="25"/>
        <v>1</v>
      </c>
      <c r="BS30" s="283" t="b">
        <f t="shared" si="13"/>
        <v>1</v>
      </c>
      <c r="BT30" s="283">
        <f t="shared" si="26"/>
        <v>0.9</v>
      </c>
      <c r="BU30" s="283" t="b">
        <f t="shared" si="27"/>
        <v>0</v>
      </c>
      <c r="BV30" s="283">
        <f t="shared" si="28"/>
        <v>0</v>
      </c>
      <c r="BW30" s="12"/>
      <c r="CC30" s="97" t="str">
        <f t="shared" si="29"/>
        <v/>
      </c>
      <c r="CG30" s="97" t="str">
        <f t="shared" si="30"/>
        <v/>
      </c>
    </row>
    <row r="31" spans="1:85" ht="63" customHeight="1">
      <c r="A31" s="721"/>
      <c r="B31" s="7"/>
      <c r="C31" s="89"/>
      <c r="D31" s="86"/>
      <c r="E31" s="88"/>
      <c r="F31" s="108"/>
      <c r="G31" s="113"/>
      <c r="H31" s="87"/>
      <c r="I31" s="85"/>
      <c r="J31" s="110"/>
      <c r="K31" s="109"/>
      <c r="L31" s="107"/>
      <c r="M31" s="100"/>
      <c r="N31" s="100"/>
      <c r="O31" s="100"/>
      <c r="P31" s="312"/>
      <c r="Q31" s="311"/>
      <c r="R31" s="154" t="str">
        <f>IF(AND(ISBLANK(P31),ISTEXT(Q31)),"t1?",IF(AND(ISBLANK(Q31),ISBLANK(P31)),"",VLOOKUP(BD31,Materialliste!$A$2:$B$1477,2,FALSE)))</f>
        <v/>
      </c>
      <c r="S31" s="312"/>
      <c r="T31" s="311"/>
      <c r="U31" s="154" t="str">
        <f>IF(AND(ISBLANK(S31),ISTEXT(T31)),"t2?",IF(AND(ISBLANK(T31),ISBLANK(S31)),"",VLOOKUP(BE31,Materialliste!$A$2:$B$1477,2,FALSE)))</f>
        <v/>
      </c>
      <c r="V31" s="312"/>
      <c r="W31" s="311"/>
      <c r="X31" s="154" t="str">
        <f>IF(AND(ISBLANK(V31),ISTEXT(W31)),"t3?",IF(AND(ISBLANK(W31),ISBLANK(V31)),"",VLOOKUP(BF31,Materialliste!$A$2:$B$1477,2,FALSE)))</f>
        <v/>
      </c>
      <c r="Y31" s="315"/>
      <c r="Z31" s="133" t="str">
        <f t="shared" si="0"/>
        <v>BLECH?</v>
      </c>
      <c r="AA31" s="134" t="str">
        <f t="shared" si="14"/>
        <v>?Re</v>
      </c>
      <c r="AB31" s="135" t="str">
        <f t="shared" si="1"/>
        <v>Klebstoff?</v>
      </c>
      <c r="AC31" s="141" t="str">
        <f t="shared" si="2"/>
        <v/>
      </c>
      <c r="AD31" s="139" t="str">
        <f t="shared" si="3"/>
        <v/>
      </c>
      <c r="AE31" s="142" t="str">
        <f t="shared" si="4"/>
        <v>Klebstoff?</v>
      </c>
      <c r="AF31" s="143" t="str">
        <f t="shared" si="15"/>
        <v/>
      </c>
      <c r="AG31" s="144" t="str">
        <f t="shared" si="16"/>
        <v/>
      </c>
      <c r="AH31" s="140" t="str">
        <f t="shared" si="5"/>
        <v/>
      </c>
      <c r="AI31" s="145" t="str">
        <f t="shared" si="17"/>
        <v/>
      </c>
      <c r="AJ31" s="145" t="str">
        <f t="shared" si="18"/>
        <v/>
      </c>
      <c r="AK31" s="145" t="str">
        <f t="shared" si="19"/>
        <v/>
      </c>
      <c r="AL31" s="146" t="str">
        <f t="shared" si="20"/>
        <v/>
      </c>
      <c r="AM31" s="912"/>
      <c r="AN31" s="913"/>
      <c r="AO31" s="295"/>
      <c r="AP31" s="294"/>
      <c r="AQ31" s="294"/>
      <c r="AR31" s="294"/>
      <c r="AS31" s="294"/>
      <c r="AT31" s="294"/>
      <c r="AU31" s="294"/>
      <c r="AV31" s="294"/>
      <c r="AW31" s="294"/>
      <c r="AX31" s="296"/>
      <c r="AY31" s="293"/>
      <c r="AZ31" s="293"/>
      <c r="BA31" s="293"/>
      <c r="BB31" s="293"/>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3" t="b">
        <f t="shared" si="22"/>
        <v>0</v>
      </c>
      <c r="BP31" s="283">
        <f t="shared" si="23"/>
        <v>0</v>
      </c>
      <c r="BQ31" s="283">
        <f t="shared" si="24"/>
        <v>1</v>
      </c>
      <c r="BR31" s="283">
        <f t="shared" si="25"/>
        <v>1</v>
      </c>
      <c r="BS31" s="283" t="b">
        <f t="shared" si="13"/>
        <v>1</v>
      </c>
      <c r="BT31" s="283">
        <f t="shared" si="26"/>
        <v>0.9</v>
      </c>
      <c r="BU31" s="283" t="b">
        <f t="shared" si="27"/>
        <v>1</v>
      </c>
      <c r="BV31" s="283">
        <f t="shared" si="28"/>
        <v>-0.7</v>
      </c>
      <c r="BW31" s="12"/>
      <c r="CC31" s="97" t="str">
        <f t="shared" si="29"/>
        <v/>
      </c>
      <c r="CG31" s="97" t="str">
        <f t="shared" si="30"/>
        <v/>
      </c>
    </row>
    <row r="32" spans="1:85" ht="63" customHeight="1" thickBot="1">
      <c r="A32" s="721"/>
      <c r="B32" s="7"/>
      <c r="C32" s="89"/>
      <c r="D32" s="86"/>
      <c r="E32" s="88"/>
      <c r="F32" s="108"/>
      <c r="G32" s="91"/>
      <c r="H32" s="87"/>
      <c r="I32" s="90"/>
      <c r="J32" s="110"/>
      <c r="K32" s="109"/>
      <c r="L32" s="107"/>
      <c r="M32" s="100"/>
      <c r="N32" s="100"/>
      <c r="O32" s="291"/>
      <c r="P32" s="285"/>
      <c r="Q32" s="311"/>
      <c r="R32" s="155" t="str">
        <f>IF(AND(ISBLANK(P32),ISTEXT(Q32)),"t1?",IF(AND(ISBLANK(Q32),ISBLANK(P32)),"",VLOOKUP(BD32,Materialliste!$A$2:$B$1477,2,FALSE)))</f>
        <v/>
      </c>
      <c r="S32" s="285"/>
      <c r="T32" s="311"/>
      <c r="U32" s="155" t="str">
        <f>IF(AND(ISBLANK(S32),ISTEXT(T32)),"t2?",IF(AND(ISBLANK(T32),ISBLANK(S32)),"",VLOOKUP(BE32,Materialliste!$A$2:$B$1477,2,FALSE)))</f>
        <v/>
      </c>
      <c r="V32" s="285"/>
      <c r="W32" s="311"/>
      <c r="X32" s="155" t="str">
        <f>IF(AND(ISBLANK(V32),ISTEXT(W32)),"t3?",IF(AND(ISBLANK(W32),ISBLANK(V32)),"",VLOOKUP(BF32,Materialliste!$A$2:$B$1477,2,FALSE)))</f>
        <v/>
      </c>
      <c r="Y32" s="316"/>
      <c r="Z32" s="136" t="str">
        <f t="shared" si="0"/>
        <v>BLECH?</v>
      </c>
      <c r="AA32" s="137" t="str">
        <f t="shared" si="14"/>
        <v>?Re</v>
      </c>
      <c r="AB32" s="138" t="str">
        <f t="shared" si="1"/>
        <v>Klebstoff?</v>
      </c>
      <c r="AC32" s="147" t="str">
        <f t="shared" si="2"/>
        <v/>
      </c>
      <c r="AD32" s="148" t="str">
        <f t="shared" si="3"/>
        <v/>
      </c>
      <c r="AE32" s="149" t="str">
        <f t="shared" si="4"/>
        <v>Klebstoff?</v>
      </c>
      <c r="AF32" s="150" t="str">
        <f t="shared" si="15"/>
        <v/>
      </c>
      <c r="AG32" s="151" t="str">
        <f t="shared" si="16"/>
        <v/>
      </c>
      <c r="AH32" s="140" t="str">
        <f t="shared" si="5"/>
        <v/>
      </c>
      <c r="AI32" s="152" t="str">
        <f t="shared" si="17"/>
        <v/>
      </c>
      <c r="AJ32" s="152" t="str">
        <f t="shared" si="18"/>
        <v/>
      </c>
      <c r="AK32" s="152" t="str">
        <f t="shared" si="19"/>
        <v/>
      </c>
      <c r="AL32" s="153" t="str">
        <f t="shared" si="20"/>
        <v/>
      </c>
      <c r="AM32" s="914"/>
      <c r="AN32" s="915"/>
      <c r="AO32" s="297"/>
      <c r="AP32" s="298"/>
      <c r="AQ32" s="298"/>
      <c r="AR32" s="298"/>
      <c r="AS32" s="298"/>
      <c r="AT32" s="298"/>
      <c r="AU32" s="298"/>
      <c r="AV32" s="298"/>
      <c r="AW32" s="298"/>
      <c r="AX32" s="299"/>
      <c r="AY32" s="293"/>
      <c r="AZ32" s="293"/>
      <c r="BA32" s="293"/>
      <c r="BB32" s="293"/>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5"/>
      <c r="CC32" s="97" t="str">
        <f t="shared" si="29"/>
        <v/>
      </c>
      <c r="CG32" s="97" t="str">
        <f t="shared" si="30"/>
        <v/>
      </c>
    </row>
    <row r="33" spans="1:64" ht="54.75" customHeight="1" thickBot="1">
      <c r="A33" s="721"/>
      <c r="B33" s="7"/>
      <c r="C33" s="1001" t="str">
        <f>IF($E$6="DE","Zylinderdurchmesser [mm]                 (nur für SPZ)","Cylinder Diameter (mm)              (only for SPZ)")</f>
        <v>Zylinderdurchmesser [mm]                 (nur für SPZ)</v>
      </c>
      <c r="D33" s="1002"/>
      <c r="E33" s="1005"/>
      <c r="F33" s="942" t="str">
        <f>IF($E$6="DE","Schweißkraft min. [N]","Welding Force min. [N]")</f>
        <v>Schweißkraft min. [N]</v>
      </c>
      <c r="G33" s="943"/>
      <c r="H33" s="127" t="e">
        <f>IF(AND(AN34="JA",ISTEXT(AG36),ISNUMBER(AL36)),(IF(G6="RZ",ROUNDDOWN(MIN(AE19:AE32)*1000,-2),IF(G6="SPZ",IF(ROUNDUP(MIN(AE19:AE32)*2200,-3)&gt;5000,(ROUNDUP(MIN(AE19:AE32)*2200,-3))/2,2500),"Zangentyp?"))),(IF(G6="RZ",ROUNDDOWN(MIN(AB19:AB32)*1000,-2),IF(G6="SPZ",IF(ROUNDUP(MIN(AB19:AB32)*2200,-3)&gt;5000,(ROUNDUP(MIN(AB19:AB32)*2200,-3))/2,2500),"Zangentyp?"))))</f>
        <v>#VALUE!</v>
      </c>
      <c r="I33" s="942" t="str">
        <f>IF($E$6="DE","Ausladung [mm]","Distance to Tip [mm]")</f>
        <v>Ausladung [mm]</v>
      </c>
      <c r="J33" s="944"/>
      <c r="K33" s="943"/>
      <c r="L33" s="64">
        <v>752</v>
      </c>
      <c r="M33" s="942" t="str">
        <f>IF($E$6="DE","Zylinderkraft min. [N]","Cyl. Force min. [N]")</f>
        <v>Zylinderkraft min. [N]</v>
      </c>
      <c r="N33" s="943"/>
      <c r="O33" s="290" t="e">
        <f>IF(G8="J",(H33/L35)*2,H33/L35)</f>
        <v>#VALUE!</v>
      </c>
      <c r="P33" s="942" t="str">
        <f>IF($E$6="DE","Zylinderdruck min. [bar]","Cyl. Pressure min. [bar]")</f>
        <v>Zylinderdruck min. [bar]</v>
      </c>
      <c r="Q33" s="943"/>
      <c r="R33" s="945" t="e">
        <f>10*O33/(H35*E35)</f>
        <v>#VALUE!</v>
      </c>
      <c r="S33" s="946"/>
      <c r="T33" s="947" t="str">
        <f>IF(AND($E$6="DE",G6="RZ"),"Ergebnis Zangen-/Motorauslegung",IF(AND($E$6="ENG",G6="RZ"),"Result Gun/Motor Design",IF(AND($E$6="DE",G6="SPZ"),"Ergebnis zwischen 2,5 bar und 10 bar:",IF(AND($E$6="ENG",G6="SPZ"),"Result between 2,5 bar and 10 bar:","-"))))</f>
        <v>Ergebnis zwischen 2,5 bar und 10 bar:</v>
      </c>
      <c r="U33" s="948"/>
      <c r="V33" s="948"/>
      <c r="W33" s="949"/>
      <c r="X33" s="950" t="str">
        <f>IF($E$6="DE","benötigte Elektrodenkappen für Schweißzange","required Electrode Caps for Gun")</f>
        <v>benötigte Elektrodenkappen für Schweißzange</v>
      </c>
      <c r="Y33" s="951"/>
      <c r="Z33" s="952"/>
      <c r="AA33" s="919" t="str">
        <f>IF($E$6="DE","benötigtes Fräsmesser","required Tip Dresser")</f>
        <v>benötigtes Fräsmesser</v>
      </c>
      <c r="AB33" s="920"/>
      <c r="AC33" s="921"/>
      <c r="AD33" s="920"/>
      <c r="AE33" s="922" t="str">
        <f>IF(AND(AN34="JA",COUNTIF(BO19:BO32,TRUE)=0),"kein TL4225 außen vorhanden, bitte auf 'Nein' zurückschalten / No TL4225 outside detected, please switch back to 'Nein' ","")</f>
        <v/>
      </c>
      <c r="AF33" s="923"/>
      <c r="AG33" s="923"/>
      <c r="AH33" s="923"/>
      <c r="AI33" s="923"/>
      <c r="AJ33" s="923"/>
      <c r="AK33" s="923"/>
      <c r="AL33" s="923"/>
      <c r="AM33" s="923"/>
      <c r="AN33" s="924"/>
      <c r="AO33" s="925" t="str">
        <f>IF($E$6="DE","Legende der Indizes:","Legend of Indices")</f>
        <v>Legende der Indizes:</v>
      </c>
      <c r="AP33" s="926"/>
      <c r="AQ33" s="926"/>
      <c r="AR33" s="926"/>
      <c r="AS33" s="926"/>
      <c r="AT33" s="926"/>
      <c r="AU33" s="926"/>
      <c r="AV33" s="926"/>
      <c r="AW33" s="926"/>
      <c r="AX33" s="927"/>
      <c r="AY33" s="293"/>
      <c r="AZ33" s="293"/>
      <c r="BA33" s="293"/>
      <c r="BB33" s="293"/>
    </row>
    <row r="34" spans="1:64" ht="54.75" customHeight="1" thickBot="1">
      <c r="A34" s="721"/>
      <c r="B34" s="7"/>
      <c r="C34" s="1003"/>
      <c r="D34" s="1004"/>
      <c r="E34" s="1006"/>
      <c r="F34" s="928" t="str">
        <f>IF($E$6="DE","Schweißkraft max. [N]","Welding Force max. [N]")</f>
        <v>Schweißkraft max. [N]</v>
      </c>
      <c r="G34" s="929"/>
      <c r="H34" s="128" t="e">
        <f>IF(AND(AN34="Ja",ISTEXT(AG36),ISNUMBER(AL36)),(IF(ROUNDUP(MAX(AE19:AE32)*2300,-3)&gt;5000,(ROUNDUP(MAX(AE19:AE32)*2300,-3)/2),2500)),(IF(ROUNDUP(MAX(AB19:AB32)*2200,-3)&gt;5000,(ROUNDUP(MAX(AB19:AB32)*2200,-3)/2),2500)))</f>
        <v>#VALUE!</v>
      </c>
      <c r="I34" s="928" t="str">
        <f>IF(G6="RZ",IF($E$6="DE","Abstand Motor [mm]","Distance to Motor [mm]"),IF($E$6="DE","Abstand Zylinder [mm]","Distance to Cylinder [mm]"))</f>
        <v>Abstand Zylinder [mm]</v>
      </c>
      <c r="J34" s="930"/>
      <c r="K34" s="929"/>
      <c r="L34" s="65">
        <v>330</v>
      </c>
      <c r="M34" s="931" t="str">
        <f>IF($E$6="DE","Zylinderkraft max.[N]","Cyl. Force max.[N]")</f>
        <v>Zylinderkraft max.[N]</v>
      </c>
      <c r="N34" s="932"/>
      <c r="O34" s="168" t="e">
        <f>IF(G8="J",(H34/L35)*2,H34/L35)</f>
        <v>#VALUE!</v>
      </c>
      <c r="P34" s="931" t="str">
        <f>IF($E$6="DE","Zylinderdruck max. [bar]","Cyl. Pressure max. [bar]")</f>
        <v>Zylinderdruck max. [bar]</v>
      </c>
      <c r="Q34" s="932"/>
      <c r="R34" s="933" t="e">
        <f>10*O34/(H35*E35)</f>
        <v>#VALUE!</v>
      </c>
      <c r="S34" s="934"/>
      <c r="T34" s="935" t="e">
        <f>IF(G6="RZ",BD38,IF(G6="SPZ",BD35,IF(G6="-","Zangentyp/Guntype?")))</f>
        <v>#VALUE!</v>
      </c>
      <c r="U34" s="936"/>
      <c r="V34" s="936"/>
      <c r="W34" s="937"/>
      <c r="X34" s="953"/>
      <c r="Y34" s="953"/>
      <c r="Z34" s="954"/>
      <c r="AA34" s="117" t="s">
        <v>1170</v>
      </c>
      <c r="AB34" s="118" t="s">
        <v>1172</v>
      </c>
      <c r="AC34" s="118" t="s">
        <v>1171</v>
      </c>
      <c r="AD34" s="119" t="s">
        <v>1173</v>
      </c>
      <c r="AE34" s="938"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939"/>
      <c r="AG34" s="939"/>
      <c r="AH34" s="939"/>
      <c r="AI34" s="939"/>
      <c r="AJ34" s="939"/>
      <c r="AK34" s="939"/>
      <c r="AL34" s="939"/>
      <c r="AM34" s="939"/>
      <c r="AN34" s="974" t="s">
        <v>1258</v>
      </c>
      <c r="AO34" s="976" t="s">
        <v>1647</v>
      </c>
      <c r="AP34" s="977"/>
      <c r="AQ34" s="977"/>
      <c r="AR34" s="977"/>
      <c r="AS34" s="977"/>
      <c r="AT34" s="977"/>
      <c r="AU34" s="977"/>
      <c r="AV34" s="977"/>
      <c r="AW34" s="977"/>
      <c r="AX34" s="978"/>
      <c r="AY34" s="293"/>
      <c r="AZ34" s="293"/>
      <c r="BA34" s="293"/>
      <c r="BB34" s="293"/>
      <c r="BD34" s="985" t="s">
        <v>1181</v>
      </c>
      <c r="BE34" s="986"/>
    </row>
    <row r="35" spans="1:64" ht="64.5" customHeight="1" thickBot="1">
      <c r="A35" s="721"/>
      <c r="B35" s="7"/>
      <c r="C35" s="931" t="str">
        <f>IF($E$6="DE","Zylinderwirkungsgrad                           (nur für SPZ)","Cylinder Efficiency                                  (only for SPZ)")</f>
        <v>Zylinderwirkungsgrad                           (nur für SPZ)</v>
      </c>
      <c r="D35" s="932"/>
      <c r="E35" s="168">
        <v>0.95</v>
      </c>
      <c r="F35" s="931" t="str">
        <f>IF($E$6="DE","Zylinderfläche [mm²] (nur für SPZ)","Cylinder Surface [mm²] (only for SPZ)")</f>
        <v>Zylinderfläche [mm²] (nur für SPZ)</v>
      </c>
      <c r="G35" s="932"/>
      <c r="H35" s="292">
        <f>IF(E34="T",2*PI()/4*POWER(E33,2),PI()/4*POWER(E33,2))</f>
        <v>0</v>
      </c>
      <c r="I35" s="987" t="str">
        <f>IF($E$6="DE","Ausladung/ Abstand","Leverage Ratio")</f>
        <v>Ausladung/ Abstand</v>
      </c>
      <c r="J35" s="988"/>
      <c r="K35" s="989"/>
      <c r="L35" s="126">
        <f>IF(G19="X",L34/L33,1)</f>
        <v>0.43882978723404253</v>
      </c>
      <c r="M35" s="990" t="str">
        <f>IF($E$6="DE","notwendige Motorkraft min. [N]","requiered Motor Force min. [N]")</f>
        <v>notwendige Motorkraft min. [N]</v>
      </c>
      <c r="N35" s="991"/>
      <c r="O35" s="308" t="e">
        <f>IF(G8="J",(H33/L35)*2,H33/L35)</f>
        <v>#VALUE!</v>
      </c>
      <c r="P35" s="990" t="str">
        <f>IF($E$6="DE","erreichbare Motorkraft min. [N]","feasible Motor Force min. [N]")</f>
        <v>erreichbare Motorkraft min. [N]</v>
      </c>
      <c r="Q35" s="991"/>
      <c r="R35" s="992">
        <f>IF(ISNA(VLOOKUP(CONCATENATE(E36,H36,L36),Motordaten!D4:H18,3,FALSE)),"",VLOOKUP(CONCATENATE(E36,H36,L36),Motordaten!D4:H18,3,FALSE))</f>
        <v>2000</v>
      </c>
      <c r="S35" s="993"/>
      <c r="T35" s="994" t="e">
        <f>IF(G6="RZ",BD39,IF(G6="SPZ",BD36," "))</f>
        <v>#VALUE!</v>
      </c>
      <c r="U35" s="995"/>
      <c r="V35" s="995"/>
      <c r="W35" s="996"/>
      <c r="X35" s="955" t="e">
        <f t="array" ref="X35">IF(ISBLANK(AH8),IF(OR(EXACT("39D 1978-1 !",AH19:AH32)),"39D 1978-1 !",(IF(OR(EXACT("59D 388 863 !",AH19:AH32)),"59D 388 863 !",(IF(OR(EXACT("59D 358 170 !",AH19:AH32)),"59D 358 170 !",IF(OR(EXACT("39D 1979-2 !",AH19:AH32)),"39D 1979-2 !","39D 1978-2")))))),AH8)</f>
        <v>#VALUE!</v>
      </c>
      <c r="Y35" s="955"/>
      <c r="Z35" s="956"/>
      <c r="AA35" s="62" t="e">
        <f>IF(AND(X35="39D 1978-2",MAX(AI19:AI32)=8),8,(VLOOKUP(X35,AH19:AL32,2,FALSE)))</f>
        <v>#VALUE!</v>
      </c>
      <c r="AB35" s="111" t="e">
        <f>VLOOKUP(X35,AH19:AL32,3,FALSE)</f>
        <v>#VALUE!</v>
      </c>
      <c r="AC35" s="63" t="e">
        <f>IF(AND(X35="39D 1978-2",MAX(AK19:AK32)=8),8,(VLOOKUP(X35,AH19:AL32,4,FALSE)))</f>
        <v>#VALUE!</v>
      </c>
      <c r="AD35" s="112" t="e">
        <f>VLOOKUP(X35,AH19:AL32,5,FALSE)</f>
        <v>#VALUE!</v>
      </c>
      <c r="AE35" s="940"/>
      <c r="AF35" s="941"/>
      <c r="AG35" s="941"/>
      <c r="AH35" s="941"/>
      <c r="AI35" s="941"/>
      <c r="AJ35" s="941"/>
      <c r="AK35" s="941"/>
      <c r="AL35" s="941"/>
      <c r="AM35" s="941"/>
      <c r="AN35" s="975"/>
      <c r="AO35" s="979"/>
      <c r="AP35" s="980"/>
      <c r="AQ35" s="980"/>
      <c r="AR35" s="980"/>
      <c r="AS35" s="980"/>
      <c r="AT35" s="980"/>
      <c r="AU35" s="980"/>
      <c r="AV35" s="980"/>
      <c r="AW35" s="980"/>
      <c r="AX35" s="981"/>
      <c r="AY35" s="293"/>
      <c r="AZ35" s="293"/>
      <c r="BA35" s="293"/>
      <c r="BB35" s="293"/>
      <c r="BD35" s="957"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958"/>
    </row>
    <row r="36" spans="1:64" ht="54.75" customHeight="1" thickBot="1">
      <c r="A36" s="721"/>
      <c r="B36" s="7"/>
      <c r="C36" s="959" t="str">
        <f>IF($E$6="DE","Roboterhersteller                                          (nur für RZ)","Robot Supplier                                  (only for RZ)")</f>
        <v>Roboterhersteller                                          (nur für RZ)</v>
      </c>
      <c r="D36" s="960"/>
      <c r="E36" s="284" t="s">
        <v>1137</v>
      </c>
      <c r="F36" s="959" t="str">
        <f>IF($E$6="DE","Zangengrundkörper               (nur für RZ)","Weld Gun Basic Body (only for RZ)")</f>
        <v>Zangengrundkörper               (nur für RZ)</v>
      </c>
      <c r="G36" s="960"/>
      <c r="H36" s="284" t="s">
        <v>1147</v>
      </c>
      <c r="I36" s="961" t="str">
        <f>IF($E$6="DE","Motorhersteller                           (nur für RZ)","Motor Supplier                        (only for RZ)")</f>
        <v>Motorhersteller                           (nur für RZ)</v>
      </c>
      <c r="J36" s="962"/>
      <c r="K36" s="963"/>
      <c r="L36" s="284" t="s">
        <v>1131</v>
      </c>
      <c r="M36" s="964" t="str">
        <f>IF($E$6="DE","notwendige Motorkraft max. [N]","requiered Motor Force max. [N]")</f>
        <v>notwendige Motorkraft max. [N]</v>
      </c>
      <c r="N36" s="965"/>
      <c r="O36" s="319" t="e">
        <f>IF(G8="J",(H34/L35)*2,H34/L35)</f>
        <v>#VALUE!</v>
      </c>
      <c r="P36" s="964" t="str">
        <f>IF($E$6="DE","erreichbare Motorkraft max. [N]"," feasible  Motor Force max. [N]")</f>
        <v>erreichbare Motorkraft max. [N]</v>
      </c>
      <c r="Q36" s="965"/>
      <c r="R36" s="966">
        <f>IF(ISNA(VLOOKUP(CONCATENATE(E36,H36,L36),Motordaten!D4:H18,4,FALSE)),"",VLOOKUP(CONCATENATE(E36,H36,L36),Motordaten!D4:H18,4,FALSE))</f>
        <v>12000</v>
      </c>
      <c r="S36" s="967"/>
      <c r="T36" s="968" t="str">
        <f>IF($E$6="DE","Max.Elektrodenkraft lt.Zeichnung[N]","Max.Electrode-Force acc.to Drw.[N]")</f>
        <v>Max.Elektrodenkraft lt.Zeichnung[N]</v>
      </c>
      <c r="U36" s="969"/>
      <c r="V36" s="970"/>
      <c r="W36" s="66">
        <v>5000</v>
      </c>
      <c r="X36" s="971" t="str">
        <f>IF($E$6="DE","Motorbezeichnung:","Designation of Motor")</f>
        <v>Motorbezeichnung:</v>
      </c>
      <c r="Y36" s="972"/>
      <c r="Z36" s="973"/>
      <c r="AA36" s="971" t="str">
        <f>VLOOKUP(CONCATENATE(E36,H36,L36),Motordaten!D4:H18,5,FALSE)</f>
        <v>Fanuc X100 V1.0</v>
      </c>
      <c r="AB36" s="972"/>
      <c r="AC36" s="972"/>
      <c r="AD36" s="973"/>
      <c r="AE36" s="1007" t="str">
        <f>IF(E6="DE", "Name:                         (Abteilung)","Name                        (Dept.)")</f>
        <v>Name:                         (Abteilung)</v>
      </c>
      <c r="AF36" s="1008"/>
      <c r="AG36" s="1009"/>
      <c r="AH36" s="1010"/>
      <c r="AI36" s="1011"/>
      <c r="AJ36" s="1012" t="str">
        <f>IF(E6="DE", "Datum","Date")</f>
        <v>Datum</v>
      </c>
      <c r="AK36" s="1008"/>
      <c r="AL36" s="1013"/>
      <c r="AM36" s="1014"/>
      <c r="AN36" s="1015"/>
      <c r="AO36" s="979"/>
      <c r="AP36" s="980"/>
      <c r="AQ36" s="980"/>
      <c r="AR36" s="980"/>
      <c r="AS36" s="980"/>
      <c r="AT36" s="980"/>
      <c r="AU36" s="980"/>
      <c r="AV36" s="980"/>
      <c r="AW36" s="980"/>
      <c r="AX36" s="981"/>
      <c r="AY36" s="293"/>
      <c r="AZ36" s="293"/>
      <c r="BA36" s="293"/>
      <c r="BB36" s="293"/>
      <c r="BD36" s="957" t="e">
        <f>IF($E$6="DE",IF(AND(R33&gt;2.5,R33&lt;10,R34&gt;2.5,R34&lt;10)," ","Rücksprache Prozessmethodik"),IF(AND(R33&gt;2.5,R33&lt;10,R34&gt;2.5,R34&lt;10)," ","consult Process Methodology"))</f>
        <v>#VALUE!</v>
      </c>
      <c r="BE36" s="958"/>
    </row>
    <row r="37" spans="1:64" ht="30" customHeight="1">
      <c r="A37" s="721"/>
      <c r="B37" s="7"/>
      <c r="C37" s="997"/>
      <c r="D37" s="998"/>
      <c r="E37" s="998"/>
      <c r="F37" s="998"/>
      <c r="G37" s="1036" t="s">
        <v>0</v>
      </c>
      <c r="H37" s="1037"/>
      <c r="I37" s="1037"/>
      <c r="J37" s="1038"/>
      <c r="K37" s="1039" t="s">
        <v>12</v>
      </c>
      <c r="L37" s="1040"/>
      <c r="M37" s="1041" t="str">
        <f>IF(ISBLANK('Blatt 0'!O55),"Blatt 0!",'Blatt 0'!O55)</f>
        <v>1600</v>
      </c>
      <c r="N37" s="1042"/>
      <c r="O37" s="1043" t="s">
        <v>13</v>
      </c>
      <c r="P37" s="1046" t="s">
        <v>2</v>
      </c>
      <c r="Q37" s="1047"/>
      <c r="R37" s="1016" t="str">
        <f>IF(ISBLANK('Blatt 0'!X55),"Blatt 0!",'Blatt 0'!X55)</f>
        <v>GME</v>
      </c>
      <c r="S37" s="1017"/>
      <c r="T37" s="1017"/>
      <c r="U37" s="1017"/>
      <c r="V37" s="1018"/>
      <c r="W37" s="129" t="s">
        <v>39</v>
      </c>
      <c r="X37" s="1022">
        <f>IF(ISBLANK('Blatt 0'!AB55),"Blatt 0!",'Blatt 0'!AB55)</f>
        <v>6</v>
      </c>
      <c r="Y37" s="1023"/>
      <c r="Z37" s="1024"/>
      <c r="AA37" s="309"/>
      <c r="AB37" s="163"/>
      <c r="AC37" s="156"/>
      <c r="AD37" s="157"/>
      <c r="AE37" s="157"/>
      <c r="AF37" s="288"/>
      <c r="AG37" s="288"/>
      <c r="AH37" s="157"/>
      <c r="AI37" s="157"/>
      <c r="AJ37" s="157"/>
      <c r="AK37" s="173"/>
      <c r="AL37" s="289"/>
      <c r="AM37" s="120" t="s">
        <v>40</v>
      </c>
      <c r="AN37" s="121" t="s">
        <v>5</v>
      </c>
      <c r="AO37" s="979"/>
      <c r="AP37" s="980"/>
      <c r="AQ37" s="980"/>
      <c r="AR37" s="980"/>
      <c r="AS37" s="980"/>
      <c r="AT37" s="980"/>
      <c r="AU37" s="980"/>
      <c r="AV37" s="980"/>
      <c r="AW37" s="980"/>
      <c r="AX37" s="981"/>
      <c r="AY37" s="293"/>
      <c r="AZ37" s="293"/>
      <c r="BA37" s="293"/>
      <c r="BB37" s="293"/>
      <c r="BD37" s="985" t="s">
        <v>1182</v>
      </c>
      <c r="BE37" s="986"/>
      <c r="BF37" s="5"/>
      <c r="BG37" s="5"/>
      <c r="BH37" s="5"/>
      <c r="BI37" s="5"/>
      <c r="BJ37" s="5"/>
      <c r="BK37" s="5"/>
      <c r="BL37" s="5"/>
    </row>
    <row r="38" spans="1:64" ht="30" customHeight="1">
      <c r="A38" s="721"/>
      <c r="B38" s="7"/>
      <c r="C38" s="997"/>
      <c r="D38" s="998"/>
      <c r="E38" s="998"/>
      <c r="F38" s="998"/>
      <c r="G38" s="1096" t="s">
        <v>31</v>
      </c>
      <c r="H38" s="1097"/>
      <c r="I38" s="1097"/>
      <c r="J38" s="1098"/>
      <c r="K38" s="1030" t="s">
        <v>15</v>
      </c>
      <c r="L38" s="1031"/>
      <c r="M38" s="1034"/>
      <c r="N38" s="1035"/>
      <c r="O38" s="1044"/>
      <c r="P38" s="1028" t="s">
        <v>19</v>
      </c>
      <c r="Q38" s="1029"/>
      <c r="R38" s="1019"/>
      <c r="S38" s="1020"/>
      <c r="T38" s="1020"/>
      <c r="U38" s="1020"/>
      <c r="V38" s="1021"/>
      <c r="W38" s="130" t="s">
        <v>41</v>
      </c>
      <c r="X38" s="1025"/>
      <c r="Y38" s="1026"/>
      <c r="Z38" s="1027"/>
      <c r="AA38" s="164"/>
      <c r="AB38" s="165"/>
      <c r="AC38" s="160"/>
      <c r="AD38" s="161"/>
      <c r="AE38" s="162" t="str">
        <f>IF(E6="DE","Änderungsindex:", "Update Index:")</f>
        <v>Änderungsindex:</v>
      </c>
      <c r="AF38" s="310" t="e">
        <f>#REF!</f>
        <v>#REF!</v>
      </c>
      <c r="AG38" s="171"/>
      <c r="AH38" s="171"/>
      <c r="AI38" s="171"/>
      <c r="AJ38" s="171"/>
      <c r="AK38" s="158"/>
      <c r="AL38" s="159"/>
      <c r="AM38" s="122" t="s">
        <v>42</v>
      </c>
      <c r="AN38" s="123" t="s">
        <v>43</v>
      </c>
      <c r="AO38" s="979"/>
      <c r="AP38" s="980"/>
      <c r="AQ38" s="980"/>
      <c r="AR38" s="980"/>
      <c r="AS38" s="980"/>
      <c r="AT38" s="980"/>
      <c r="AU38" s="980"/>
      <c r="AV38" s="980"/>
      <c r="AW38" s="980"/>
      <c r="AX38" s="981"/>
      <c r="AY38" s="293"/>
      <c r="AZ38" s="293"/>
      <c r="BA38" s="293"/>
      <c r="BB38" s="293"/>
      <c r="BD38" s="957"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958"/>
      <c r="BF38" s="49"/>
      <c r="BG38" s="49"/>
      <c r="BH38" s="5"/>
      <c r="BI38" s="5"/>
      <c r="BJ38" s="5"/>
      <c r="BK38" s="5"/>
      <c r="BL38" s="5"/>
    </row>
    <row r="39" spans="1:64" ht="30" customHeight="1">
      <c r="A39" s="721"/>
      <c r="B39" s="7"/>
      <c r="C39" s="997"/>
      <c r="D39" s="998"/>
      <c r="E39" s="998"/>
      <c r="F39" s="998"/>
      <c r="G39" s="1099"/>
      <c r="H39" s="1100"/>
      <c r="I39" s="1100"/>
      <c r="J39" s="1101"/>
      <c r="K39" s="1030" t="s">
        <v>1</v>
      </c>
      <c r="L39" s="1031"/>
      <c r="M39" s="1032" t="str">
        <f>IF(ISBLANK('Blatt 0'!O57),"Blatt 0!",'Blatt 0'!O57)</f>
        <v>KJLTVR411600</v>
      </c>
      <c r="N39" s="1033"/>
      <c r="O39" s="1045"/>
      <c r="P39" s="1028" t="s">
        <v>7</v>
      </c>
      <c r="Q39" s="1029"/>
      <c r="R39" s="1063" t="str">
        <f>IF(ISBLANK('Blatt 0'!X57),"Blatt 0!",'Blatt 0'!X57)</f>
        <v>GME</v>
      </c>
      <c r="S39" s="1064"/>
      <c r="T39" s="1064"/>
      <c r="U39" s="1064"/>
      <c r="V39" s="1065"/>
      <c r="W39" s="130" t="s">
        <v>8</v>
      </c>
      <c r="X39" s="1073">
        <f>IF(ISBLANK('Blatt 0'!AA57),"Blatt 0!",'Blatt 0'!AA57)</f>
        <v>45014</v>
      </c>
      <c r="Y39" s="1074"/>
      <c r="Z39" s="1075"/>
      <c r="AA39" s="164"/>
      <c r="AB39" s="165"/>
      <c r="AC39" s="160"/>
      <c r="AD39" s="171"/>
      <c r="AE39" s="171"/>
      <c r="AF39" s="171"/>
      <c r="AG39" s="171"/>
      <c r="AH39" s="171"/>
      <c r="AI39" s="171"/>
      <c r="AJ39" s="171"/>
      <c r="AK39" s="171"/>
      <c r="AL39" s="172"/>
      <c r="AM39" s="124"/>
      <c r="AN39" s="125"/>
      <c r="AO39" s="979"/>
      <c r="AP39" s="980"/>
      <c r="AQ39" s="980"/>
      <c r="AR39" s="980"/>
      <c r="AS39" s="980"/>
      <c r="AT39" s="980"/>
      <c r="AU39" s="980"/>
      <c r="AV39" s="980"/>
      <c r="AW39" s="980"/>
      <c r="AX39" s="981"/>
      <c r="AY39" s="293"/>
      <c r="AZ39" s="293"/>
      <c r="BA39" s="293"/>
      <c r="BB39" s="293"/>
      <c r="BC39" s="48"/>
      <c r="BD39" s="957" t="e">
        <f>IF(O35&lt;R35,IF(E6="DE","Rücksprache Prozessmethodik","consult Process Methodology")," ")</f>
        <v>#VALUE!</v>
      </c>
      <c r="BE39" s="958"/>
      <c r="BF39" s="49"/>
      <c r="BG39" s="49"/>
    </row>
    <row r="40" spans="1:64" ht="30" customHeight="1">
      <c r="A40" s="721"/>
      <c r="B40" s="7"/>
      <c r="C40" s="997"/>
      <c r="D40" s="998"/>
      <c r="E40" s="998"/>
      <c r="F40" s="998"/>
      <c r="G40" s="1079" t="s">
        <v>14</v>
      </c>
      <c r="H40" s="1080"/>
      <c r="I40" s="1080"/>
      <c r="J40" s="1081"/>
      <c r="K40" s="1030" t="s">
        <v>17</v>
      </c>
      <c r="L40" s="1031"/>
      <c r="M40" s="1034"/>
      <c r="N40" s="1035"/>
      <c r="O40" s="1082" t="s">
        <v>18</v>
      </c>
      <c r="P40" s="1085" t="s">
        <v>44</v>
      </c>
      <c r="Q40" s="1031"/>
      <c r="R40" s="1019"/>
      <c r="S40" s="1020"/>
      <c r="T40" s="1020"/>
      <c r="U40" s="1020"/>
      <c r="V40" s="1021"/>
      <c r="W40" s="131" t="s">
        <v>22</v>
      </c>
      <c r="X40" s="1076"/>
      <c r="Y40" s="1077"/>
      <c r="Z40" s="1078"/>
      <c r="AA40" s="1086" t="s">
        <v>1259</v>
      </c>
      <c r="AB40" s="1087"/>
      <c r="AC40" s="1088" t="str">
        <f>IF(ISBLANK('Blatt 0'!AF58),"Blatt 0!",'Blatt 0'!AF58)</f>
        <v>66-A53-96D 313785</v>
      </c>
      <c r="AD40" s="1089"/>
      <c r="AE40" s="1089"/>
      <c r="AF40" s="1089"/>
      <c r="AG40" s="1089"/>
      <c r="AH40" s="1089"/>
      <c r="AI40" s="1089"/>
      <c r="AJ40" s="1089"/>
      <c r="AK40" s="1089"/>
      <c r="AL40" s="1090"/>
      <c r="AM40" s="1094" t="s">
        <v>1642</v>
      </c>
      <c r="AN40" s="1053" t="s">
        <v>1650</v>
      </c>
      <c r="AO40" s="979"/>
      <c r="AP40" s="980"/>
      <c r="AQ40" s="980"/>
      <c r="AR40" s="980"/>
      <c r="AS40" s="980"/>
      <c r="AT40" s="980"/>
      <c r="AU40" s="980"/>
      <c r="AV40" s="980"/>
      <c r="AW40" s="980"/>
      <c r="AX40" s="981"/>
      <c r="AY40" s="293"/>
      <c r="AZ40" s="293"/>
      <c r="BA40" s="293"/>
      <c r="BB40" s="293"/>
      <c r="BC40" s="48"/>
      <c r="BD40" s="48"/>
      <c r="BE40" s="48"/>
      <c r="BF40" s="48"/>
    </row>
    <row r="41" spans="1:64" ht="30" customHeight="1">
      <c r="A41" s="721"/>
      <c r="B41" s="7"/>
      <c r="C41" s="997"/>
      <c r="D41" s="998"/>
      <c r="E41" s="998"/>
      <c r="F41" s="998"/>
      <c r="G41" s="1055" t="s">
        <v>45</v>
      </c>
      <c r="H41" s="1056"/>
      <c r="I41" s="1056"/>
      <c r="J41" s="1057"/>
      <c r="K41" s="1030" t="s">
        <v>6</v>
      </c>
      <c r="L41" s="1031"/>
      <c r="M41" s="1032" t="str">
        <f>IF(ISBLANK('Blatt 0'!O59),"Blatt 0!",'Blatt 0'!O59)</f>
        <v>VW336</v>
      </c>
      <c r="N41" s="1033"/>
      <c r="O41" s="1083"/>
      <c r="P41" s="1028" t="s">
        <v>10</v>
      </c>
      <c r="Q41" s="1029"/>
      <c r="R41" s="1063" t="str">
        <f>IF(ISBLANK('Blatt 0'!X59),"Blatt 0!",'Blatt 0'!X59)</f>
        <v>GME</v>
      </c>
      <c r="S41" s="1064"/>
      <c r="T41" s="1064"/>
      <c r="U41" s="1064"/>
      <c r="V41" s="1065"/>
      <c r="W41" s="131" t="s">
        <v>9</v>
      </c>
      <c r="X41" s="1066" t="str">
        <f>IF(ISBLANK('Blatt 0'!AA59),"Blatt 0!",'Blatt 0'!AA59)</f>
        <v>GME</v>
      </c>
      <c r="Y41" s="1067"/>
      <c r="Z41" s="1068"/>
      <c r="AA41" s="1086"/>
      <c r="AB41" s="1087"/>
      <c r="AC41" s="1088"/>
      <c r="AD41" s="1089"/>
      <c r="AE41" s="1089"/>
      <c r="AF41" s="1089"/>
      <c r="AG41" s="1089"/>
      <c r="AH41" s="1089"/>
      <c r="AI41" s="1089"/>
      <c r="AJ41" s="1089"/>
      <c r="AK41" s="1089"/>
      <c r="AL41" s="1090"/>
      <c r="AM41" s="1094"/>
      <c r="AN41" s="1053"/>
      <c r="AO41" s="979"/>
      <c r="AP41" s="980"/>
      <c r="AQ41" s="980"/>
      <c r="AR41" s="980"/>
      <c r="AS41" s="980"/>
      <c r="AT41" s="980"/>
      <c r="AU41" s="980"/>
      <c r="AV41" s="980"/>
      <c r="AW41" s="980"/>
      <c r="AX41" s="981"/>
      <c r="AY41" s="293"/>
      <c r="AZ41" s="293"/>
      <c r="BA41" s="293"/>
      <c r="BB41" s="293"/>
      <c r="BC41" s="48"/>
      <c r="BD41" s="48"/>
      <c r="BE41" s="48"/>
      <c r="BF41" s="48"/>
    </row>
    <row r="42" spans="1:64" ht="30" customHeight="1" thickBot="1">
      <c r="A42" s="722"/>
      <c r="B42" s="7"/>
      <c r="C42" s="999"/>
      <c r="D42" s="1000"/>
      <c r="E42" s="1000"/>
      <c r="F42" s="1000"/>
      <c r="G42" s="1058"/>
      <c r="H42" s="1059"/>
      <c r="I42" s="1059"/>
      <c r="J42" s="1060"/>
      <c r="K42" s="1069" t="s">
        <v>16</v>
      </c>
      <c r="L42" s="1070"/>
      <c r="M42" s="1061"/>
      <c r="N42" s="1062"/>
      <c r="O42" s="1084"/>
      <c r="P42" s="1071" t="s">
        <v>46</v>
      </c>
      <c r="Q42" s="1072"/>
      <c r="R42" s="1019"/>
      <c r="S42" s="1020"/>
      <c r="T42" s="1020"/>
      <c r="U42" s="1020"/>
      <c r="V42" s="1021"/>
      <c r="W42" s="132" t="s">
        <v>23</v>
      </c>
      <c r="X42" s="1025"/>
      <c r="Y42" s="1026"/>
      <c r="Z42" s="1027"/>
      <c r="AA42" s="166"/>
      <c r="AB42" s="167"/>
      <c r="AC42" s="1091"/>
      <c r="AD42" s="1092"/>
      <c r="AE42" s="1092"/>
      <c r="AF42" s="1092"/>
      <c r="AG42" s="1092"/>
      <c r="AH42" s="1092"/>
      <c r="AI42" s="1092"/>
      <c r="AJ42" s="1092"/>
      <c r="AK42" s="1092"/>
      <c r="AL42" s="1093"/>
      <c r="AM42" s="1095"/>
      <c r="AN42" s="1054"/>
      <c r="AO42" s="982"/>
      <c r="AP42" s="983"/>
      <c r="AQ42" s="983"/>
      <c r="AR42" s="983"/>
      <c r="AS42" s="983"/>
      <c r="AT42" s="983"/>
      <c r="AU42" s="983"/>
      <c r="AV42" s="983"/>
      <c r="AW42" s="983"/>
      <c r="AX42" s="984"/>
      <c r="AY42" s="293"/>
      <c r="AZ42" s="293"/>
      <c r="BA42" s="293"/>
      <c r="BB42" s="293"/>
      <c r="BC42" s="48"/>
      <c r="BD42" s="48"/>
      <c r="BE42" s="48"/>
      <c r="BF42" s="48"/>
    </row>
    <row r="43" spans="1:64" ht="41.25" customHeight="1">
      <c r="C43" s="61" t="s">
        <v>1254</v>
      </c>
      <c r="D43" s="61"/>
      <c r="E43" s="317"/>
      <c r="F43" s="317"/>
      <c r="G43" s="317"/>
      <c r="H43" s="317"/>
      <c r="I43" s="317"/>
      <c r="J43" s="317"/>
      <c r="K43" s="317"/>
      <c r="L43" s="317"/>
      <c r="M43" s="1048" t="s">
        <v>1639</v>
      </c>
      <c r="N43" s="1048"/>
      <c r="O43" s="318" t="s">
        <v>1638</v>
      </c>
      <c r="P43" s="318"/>
      <c r="Q43" s="317"/>
      <c r="R43" s="317"/>
      <c r="S43" s="317"/>
      <c r="T43" s="317"/>
      <c r="U43" s="317"/>
      <c r="V43" s="317"/>
      <c r="W43" s="317"/>
      <c r="X43" s="317"/>
      <c r="Y43" s="317"/>
      <c r="Z43" s="317"/>
      <c r="AA43" s="317"/>
      <c r="AB43" s="317"/>
      <c r="AC43" s="287"/>
      <c r="AD43" s="287"/>
      <c r="AF43" s="1049" t="s">
        <v>1248</v>
      </c>
      <c r="AG43" s="1049"/>
      <c r="AH43" s="1050" t="s">
        <v>1253</v>
      </c>
      <c r="AI43" s="1050"/>
      <c r="AJ43" s="1050"/>
      <c r="AK43" s="1051" t="s">
        <v>1247</v>
      </c>
      <c r="AL43" s="1051"/>
      <c r="AM43" s="1052"/>
      <c r="AN43" s="1052"/>
      <c r="AO43" s="293"/>
      <c r="AP43" s="293"/>
      <c r="AQ43" s="293"/>
      <c r="AR43" s="293"/>
      <c r="AS43" s="293"/>
      <c r="AT43" s="293"/>
      <c r="AU43" s="293"/>
      <c r="AV43" s="293"/>
      <c r="AW43" s="293"/>
      <c r="AX43" s="293"/>
      <c r="AY43" s="293"/>
      <c r="AZ43" s="293"/>
      <c r="BA43" s="293"/>
      <c r="BB43" s="293"/>
    </row>
    <row r="48" spans="1:64" ht="15" customHeight="1">
      <c r="AR48" s="7"/>
    </row>
  </sheetData>
  <mergeCells count="170">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 ref="P38:Q38"/>
    <mergeCell ref="K39:L39"/>
    <mergeCell ref="M39:N40"/>
    <mergeCell ref="P39:Q39"/>
    <mergeCell ref="G37:J37"/>
    <mergeCell ref="K37:L37"/>
    <mergeCell ref="M37:N38"/>
    <mergeCell ref="O37:O39"/>
    <mergeCell ref="P37:Q37"/>
    <mergeCell ref="AG36:AI36"/>
    <mergeCell ref="BD39:BE39"/>
    <mergeCell ref="BD37:BE37"/>
    <mergeCell ref="BD38:BE38"/>
    <mergeCell ref="AJ36:AK36"/>
    <mergeCell ref="AL36:AN36"/>
    <mergeCell ref="BD36:BE36"/>
    <mergeCell ref="R37:V38"/>
    <mergeCell ref="X37:Z38"/>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AM31:AN31"/>
    <mergeCell ref="AM32:AN32"/>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5">
    <cfRule type="cellIs" dxfId="168" priority="229" stopIfTrue="1" operator="equal">
      <formula>"Ergebnis des Druckbereichs i.O."</formula>
    </cfRule>
    <cfRule type="cellIs" dxfId="167" priority="230" stopIfTrue="1" operator="equal">
      <formula>"Ergebnis des Druckbereichs nicht i.O."</formula>
    </cfRule>
  </conditionalFormatting>
  <conditionalFormatting sqref="BD36">
    <cfRule type="cellIs" dxfId="166" priority="227" stopIfTrue="1" operator="equal">
      <formula>" "</formula>
    </cfRule>
    <cfRule type="cellIs" dxfId="165" priority="228" stopIfTrue="1" operator="equal">
      <formula>"Rücksprache Prozessmethodik"</formula>
    </cfRule>
  </conditionalFormatting>
  <conditionalFormatting sqref="X35">
    <cfRule type="cellIs" dxfId="164" priority="224" stopIfTrue="1" operator="notEqual">
      <formula>"39D 1978-2"</formula>
    </cfRule>
    <cfRule type="containsText" dxfId="163" priority="225" stopIfTrue="1" operator="containsText" text="39D 1978-2">
      <formula>NOT(ISERROR(SEARCH("39D 1978-2",X35)))</formula>
    </cfRule>
    <cfRule type="expression" priority="226" stopIfTrue="1">
      <formula>1</formula>
    </cfRule>
  </conditionalFormatting>
  <conditionalFormatting sqref="AA35">
    <cfRule type="cellIs" dxfId="162" priority="223" stopIfTrue="1" operator="notEqual">
      <formula>6</formula>
    </cfRule>
  </conditionalFormatting>
  <conditionalFormatting sqref="AB35">
    <cfRule type="cellIs" dxfId="161" priority="222" stopIfTrue="1" operator="notEqual">
      <formula>50</formula>
    </cfRule>
  </conditionalFormatting>
  <conditionalFormatting sqref="AC35">
    <cfRule type="cellIs" dxfId="160" priority="221" stopIfTrue="1" operator="notEqual">
      <formula>6</formula>
    </cfRule>
  </conditionalFormatting>
  <conditionalFormatting sqref="AD35">
    <cfRule type="cellIs" dxfId="159" priority="220" stopIfTrue="1" operator="notEqual">
      <formula>50</formula>
    </cfRule>
  </conditionalFormatting>
  <conditionalFormatting sqref="BW19:BW32">
    <cfRule type="cellIs" dxfId="158" priority="231" stopIfTrue="1" operator="equal">
      <formula>$AC$19</formula>
    </cfRule>
  </conditionalFormatting>
  <conditionalFormatting sqref="G31:G32">
    <cfRule type="expression" dxfId="157" priority="219" stopIfTrue="1">
      <formula>OR(AND(ISNUMBER($P31),ISBLANK($G31)),AND(ISTEXT($G31),ISBLANK($P31)))</formula>
    </cfRule>
  </conditionalFormatting>
  <conditionalFormatting sqref="BD35">
    <cfRule type="cellIs" dxfId="156" priority="214" operator="equal">
      <formula>"pressure level not allowed"</formula>
    </cfRule>
    <cfRule type="cellIs" dxfId="155" priority="215" operator="equal">
      <formula>"presure level allowed"</formula>
    </cfRule>
    <cfRule type="cellIs" dxfId="154" priority="216" operator="equal">
      <formula>"Max. Force of gun acc.Drw.exceeded!"</formula>
    </cfRule>
    <cfRule type="cellIs" dxfId="153" priority="218" stopIfTrue="1" operator="equal">
      <formula>"Zangenkraft lt.Zangenzeichnung überschritten!"</formula>
    </cfRule>
  </conditionalFormatting>
  <conditionalFormatting sqref="AE19:AE21 AE31:AE32">
    <cfRule type="expression" dxfId="152" priority="217">
      <formula>ISERROR(AE19)</formula>
    </cfRule>
  </conditionalFormatting>
  <conditionalFormatting sqref="BD36">
    <cfRule type="cellIs" dxfId="151" priority="213" operator="equal">
      <formula>"consult process methodology"</formula>
    </cfRule>
  </conditionalFormatting>
  <conditionalFormatting sqref="G6">
    <cfRule type="cellIs" dxfId="150" priority="212" operator="equal">
      <formula>"-"</formula>
    </cfRule>
  </conditionalFormatting>
  <conditionalFormatting sqref="H33">
    <cfRule type="cellIs" dxfId="149" priority="211" operator="equal">
      <formula>"Zangentyp?"</formula>
    </cfRule>
  </conditionalFormatting>
  <conditionalFormatting sqref="BD38">
    <cfRule type="cellIs" dxfId="148" priority="209" stopIfTrue="1" operator="equal">
      <formula>"Zangen/Motorauslegung i.O."</formula>
    </cfRule>
    <cfRule type="cellIs" dxfId="147" priority="210" stopIfTrue="1" operator="equal">
      <formula>"Zangen/Motorauslegung nicht i.O."</formula>
    </cfRule>
  </conditionalFormatting>
  <conditionalFormatting sqref="BD38 BF38:BG38">
    <cfRule type="cellIs" dxfId="146" priority="203" operator="equal">
      <formula>"Gun/Electromotor Design not O.K."</formula>
    </cfRule>
    <cfRule type="cellIs" dxfId="145" priority="204" operator="equal">
      <formula>"Gun/Electromotor Design O.K."</formula>
    </cfRule>
    <cfRule type="cellIs" dxfId="144" priority="205" operator="equal">
      <formula>"incorrect Gun Type/Gun Body/Gun Measure"</formula>
    </cfRule>
    <cfRule type="cellIs" dxfId="143" priority="206" operator="equal">
      <formula>"Max. Force of Gun acc.Drw.exceeded!"</formula>
    </cfRule>
    <cfRule type="cellIs" dxfId="142" priority="207" operator="equal">
      <formula>"max. Zangenkraft lt.Zeichnung überschritten!"</formula>
    </cfRule>
    <cfRule type="cellIs" dxfId="141" priority="208" stopIfTrue="1" operator="equal">
      <formula>"Zangentyp/-grundkörper/-maße falsch"</formula>
    </cfRule>
  </conditionalFormatting>
  <conditionalFormatting sqref="BD39">
    <cfRule type="cellIs" dxfId="140" priority="201" stopIfTrue="1" operator="equal">
      <formula>" "</formula>
    </cfRule>
    <cfRule type="cellIs" dxfId="139" priority="202" stopIfTrue="1" operator="equal">
      <formula>"Rücksprache Prozessmethodik"</formula>
    </cfRule>
  </conditionalFormatting>
  <conditionalFormatting sqref="T35">
    <cfRule type="cellIs" dxfId="138" priority="199" stopIfTrue="1" operator="equal">
      <formula>" "</formula>
    </cfRule>
    <cfRule type="cellIs" dxfId="137" priority="200" stopIfTrue="1" operator="equal">
      <formula>"Rücksprache Prozessmethodik"</formula>
    </cfRule>
  </conditionalFormatting>
  <conditionalFormatting sqref="T35">
    <cfRule type="cellIs" dxfId="136" priority="198" operator="equal">
      <formula>"consult process methodology"</formula>
    </cfRule>
  </conditionalFormatting>
  <conditionalFormatting sqref="T34">
    <cfRule type="cellIs" dxfId="135" priority="196" stopIfTrue="1" operator="equal">
      <formula>"Zangen/Motorauslegung i.O."</formula>
    </cfRule>
    <cfRule type="cellIs" dxfId="134" priority="197" stopIfTrue="1" operator="equal">
      <formula>"Zangen/Motorauslegung nicht i.O."</formula>
    </cfRule>
  </conditionalFormatting>
  <conditionalFormatting sqref="T34:W34">
    <cfRule type="cellIs" dxfId="133" priority="183" operator="equal">
      <formula>"Zangentyp/Guntype?"</formula>
    </cfRule>
    <cfRule type="cellIs" dxfId="132" priority="186" operator="equal">
      <formula>"Pressure level not allowed"</formula>
    </cfRule>
    <cfRule type="cellIs" dxfId="131" priority="187" operator="equal">
      <formula>"Presure level allowed"</formula>
    </cfRule>
    <cfRule type="cellIs" dxfId="130" priority="188" operator="equal">
      <formula>"Ergebnis des Druckbereichs nicht i.O."</formula>
    </cfRule>
    <cfRule type="cellIs" dxfId="129" priority="189" operator="equal">
      <formula>"Ergebnis des Druckbereichs i.O."</formula>
    </cfRule>
    <cfRule type="cellIs" dxfId="128" priority="190" operator="equal">
      <formula>"Gun/Electromotor Design not O.K."</formula>
    </cfRule>
    <cfRule type="cellIs" dxfId="127" priority="191" operator="equal">
      <formula>"Gun/Electromotor Design O.K."</formula>
    </cfRule>
    <cfRule type="cellIs" dxfId="126" priority="192" operator="equal">
      <formula>"incorrect Gun Type/Gun Body/Gun Measure"</formula>
    </cfRule>
    <cfRule type="cellIs" dxfId="125" priority="193" operator="equal">
      <formula>"Max. Force of Gun acc.Drw.exceeded!"</formula>
    </cfRule>
    <cfRule type="cellIs" dxfId="124" priority="194" operator="equal">
      <formula>"max. Zangenkraft lt.Zeichnung überschritten!"</formula>
    </cfRule>
    <cfRule type="cellIs" dxfId="123" priority="195" stopIfTrue="1" operator="equal">
      <formula>"Zangentyp/-grundkörper/-maße falsch"</formula>
    </cfRule>
  </conditionalFormatting>
  <conditionalFormatting sqref="E36">
    <cfRule type="expression" dxfId="122" priority="185">
      <formula>$G$6="SPZ"</formula>
    </cfRule>
  </conditionalFormatting>
  <conditionalFormatting sqref="E33">
    <cfRule type="expression" dxfId="121" priority="184">
      <formula>$G$6="RZ"</formula>
    </cfRule>
  </conditionalFormatting>
  <conditionalFormatting sqref="E35">
    <cfRule type="expression" dxfId="120" priority="163">
      <formula>$G$6="RZ"</formula>
    </cfRule>
  </conditionalFormatting>
  <conditionalFormatting sqref="Y31:Y32">
    <cfRule type="expression" dxfId="119" priority="179">
      <formula>ISERR(AE31)</formula>
    </cfRule>
  </conditionalFormatting>
  <conditionalFormatting sqref="S31:S32">
    <cfRule type="expression" dxfId="118" priority="178">
      <formula>$U31="t2?"</formula>
    </cfRule>
  </conditionalFormatting>
  <conditionalFormatting sqref="AN34:AN35">
    <cfRule type="cellIs" dxfId="117" priority="177" operator="equal">
      <formula>"Ja"</formula>
    </cfRule>
  </conditionalFormatting>
  <conditionalFormatting sqref="AE34:AE35">
    <cfRule type="expression" dxfId="116" priority="233">
      <formula>AN34="Ja"</formula>
    </cfRule>
  </conditionalFormatting>
  <conditionalFormatting sqref="AE36">
    <cfRule type="expression" dxfId="115" priority="234">
      <formula>AND(AN34="Ja",ISBLANK($AG$36))</formula>
    </cfRule>
  </conditionalFormatting>
  <conditionalFormatting sqref="AJ36">
    <cfRule type="expression" dxfId="114" priority="235">
      <formula>AND(AN34="Ja",ISBLANK($AL$36))</formula>
    </cfRule>
  </conditionalFormatting>
  <conditionalFormatting sqref="AL36">
    <cfRule type="expression" dxfId="113" priority="175">
      <formula>AND(AN34="Ja",ISBLANK($AL$36))</formula>
    </cfRule>
  </conditionalFormatting>
  <conditionalFormatting sqref="G8">
    <cfRule type="expression" dxfId="112" priority="174">
      <formula>NOT(OR(G8="J",G8="N"))</formula>
    </cfRule>
  </conditionalFormatting>
  <conditionalFormatting sqref="V31:V32">
    <cfRule type="expression" dxfId="111" priority="173">
      <formula>$R31="t1?"</formula>
    </cfRule>
  </conditionalFormatting>
  <conditionalFormatting sqref="L36">
    <cfRule type="expression" dxfId="110" priority="170">
      <formula>$G$6="SPZ"</formula>
    </cfRule>
  </conditionalFormatting>
  <conditionalFormatting sqref="O35">
    <cfRule type="expression" dxfId="109" priority="169">
      <formula>$G$6="SPZ"</formula>
    </cfRule>
  </conditionalFormatting>
  <conditionalFormatting sqref="O36">
    <cfRule type="expression" dxfId="108" priority="168">
      <formula>$G$6="SPZ"</formula>
    </cfRule>
  </conditionalFormatting>
  <conditionalFormatting sqref="R35">
    <cfRule type="expression" dxfId="107" priority="167">
      <formula>$G$6="SPZ"</formula>
    </cfRule>
  </conditionalFormatting>
  <conditionalFormatting sqref="R36">
    <cfRule type="expression" dxfId="106" priority="166">
      <formula>$G$6="SPZ"</formula>
    </cfRule>
  </conditionalFormatting>
  <conditionalFormatting sqref="X36">
    <cfRule type="expression" dxfId="105" priority="165">
      <formula>$G$6="SPZ"</formula>
    </cfRule>
  </conditionalFormatting>
  <conditionalFormatting sqref="AA36">
    <cfRule type="expression" dxfId="104" priority="164">
      <formula>$G$6="SPZ"</formula>
    </cfRule>
  </conditionalFormatting>
  <conditionalFormatting sqref="H35">
    <cfRule type="expression" dxfId="103" priority="162">
      <formula>$G$6="RZ"</formula>
    </cfRule>
  </conditionalFormatting>
  <conditionalFormatting sqref="O33">
    <cfRule type="expression" dxfId="102" priority="161">
      <formula>$G$6="RZ"</formula>
    </cfRule>
  </conditionalFormatting>
  <conditionalFormatting sqref="O34">
    <cfRule type="expression" dxfId="101" priority="160">
      <formula>$G$6="RZ"</formula>
    </cfRule>
  </conditionalFormatting>
  <conditionalFormatting sqref="R33">
    <cfRule type="expression" dxfId="100" priority="159">
      <formula>$G$6="RZ"</formula>
    </cfRule>
  </conditionalFormatting>
  <conditionalFormatting sqref="R34">
    <cfRule type="expression" dxfId="99" priority="158">
      <formula>$G$6="RZ"</formula>
    </cfRule>
  </conditionalFormatting>
  <conditionalFormatting sqref="C33:D34">
    <cfRule type="expression" dxfId="98" priority="157">
      <formula>$G$6="RZ"</formula>
    </cfRule>
  </conditionalFormatting>
  <conditionalFormatting sqref="C35:D35">
    <cfRule type="expression" dxfId="97" priority="156">
      <formula>$G$6="RZ"</formula>
    </cfRule>
  </conditionalFormatting>
  <conditionalFormatting sqref="F35:G35">
    <cfRule type="expression" dxfId="96" priority="155">
      <formula>$G$6="RZ"</formula>
    </cfRule>
  </conditionalFormatting>
  <conditionalFormatting sqref="M34:N34">
    <cfRule type="expression" dxfId="95" priority="154">
      <formula>$G$6="RZ"</formula>
    </cfRule>
  </conditionalFormatting>
  <conditionalFormatting sqref="P34:Q34">
    <cfRule type="expression" dxfId="94" priority="153">
      <formula>$G$6="RZ"</formula>
    </cfRule>
  </conditionalFormatting>
  <conditionalFormatting sqref="M33:N33">
    <cfRule type="expression" dxfId="93" priority="152">
      <formula>$G$6="RZ"</formula>
    </cfRule>
  </conditionalFormatting>
  <conditionalFormatting sqref="P33:Q33">
    <cfRule type="expression" dxfId="92" priority="151">
      <formula>$G$6="RZ"</formula>
    </cfRule>
  </conditionalFormatting>
  <conditionalFormatting sqref="C36:D36">
    <cfRule type="expression" dxfId="91" priority="150">
      <formula>$G$6="SPZ"</formula>
    </cfRule>
  </conditionalFormatting>
  <conditionalFormatting sqref="F36:G36">
    <cfRule type="expression" dxfId="90" priority="149">
      <formula>$G$6="SPZ"</formula>
    </cfRule>
  </conditionalFormatting>
  <conditionalFormatting sqref="I36">
    <cfRule type="expression" dxfId="89" priority="148">
      <formula>$G$6="SPZ"</formula>
    </cfRule>
  </conditionalFormatting>
  <conditionalFormatting sqref="M35:N35">
    <cfRule type="expression" dxfId="88" priority="147">
      <formula>$G$6="SPZ"</formula>
    </cfRule>
  </conditionalFormatting>
  <conditionalFormatting sqref="M36:N36">
    <cfRule type="expression" dxfId="87" priority="146">
      <formula>$G$6="SPZ"</formula>
    </cfRule>
  </conditionalFormatting>
  <conditionalFormatting sqref="P36:Q36">
    <cfRule type="expression" dxfId="86" priority="145">
      <formula>$G$6="SPZ"</formula>
    </cfRule>
  </conditionalFormatting>
  <conditionalFormatting sqref="P35:Q35">
    <cfRule type="expression" dxfId="85" priority="144">
      <formula>$G$6="SPZ"</formula>
    </cfRule>
  </conditionalFormatting>
  <conditionalFormatting sqref="AF34:AM35">
    <cfRule type="expression" dxfId="84" priority="236">
      <formula>BC34="Ja"</formula>
    </cfRule>
  </conditionalFormatting>
  <conditionalFormatting sqref="AF36">
    <cfRule type="expression" dxfId="83" priority="237">
      <formula>AND(BC34="Ja",ISBLANK($AG$36))</formula>
    </cfRule>
  </conditionalFormatting>
  <conditionalFormatting sqref="AK36">
    <cfRule type="expression" dxfId="82" priority="238">
      <formula>AND(BC34="Ja",ISBLANK($AL$36))</formula>
    </cfRule>
  </conditionalFormatting>
  <conditionalFormatting sqref="AM36:AN36">
    <cfRule type="expression" dxfId="81" priority="240">
      <formula>AND(BC34="Ja",ISBLANK($AL$36))</formula>
    </cfRule>
  </conditionalFormatting>
  <conditionalFormatting sqref="P31:P32">
    <cfRule type="expression" dxfId="80" priority="141">
      <formula>$U31="t2?"</formula>
    </cfRule>
  </conditionalFormatting>
  <conditionalFormatting sqref="AE33:AN33">
    <cfRule type="containsText" dxfId="79" priority="121"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1">
    <cfRule type="expression" dxfId="78" priority="120" stopIfTrue="1">
      <formula>OR(AND(ISNUMBER($P20),ISBLANK($G20)),AND(ISTEXT($G20),ISBLANK($P20)))</formula>
    </cfRule>
  </conditionalFormatting>
  <conditionalFormatting sqref="P21">
    <cfRule type="expression" dxfId="77" priority="114">
      <formula>$R21="t1?"</formula>
    </cfRule>
  </conditionalFormatting>
  <conditionalFormatting sqref="P19">
    <cfRule type="expression" dxfId="76" priority="118">
      <formula>$R19="t1?"</formula>
    </cfRule>
  </conditionalFormatting>
  <conditionalFormatting sqref="Q21">
    <cfRule type="expression" dxfId="75" priority="113">
      <formula>CELL("Schutz",Q21)</formula>
    </cfRule>
  </conditionalFormatting>
  <conditionalFormatting sqref="Q19">
    <cfRule type="expression" dxfId="74" priority="117">
      <formula>CELL("Schutz",Q19)</formula>
    </cfRule>
  </conditionalFormatting>
  <conditionalFormatting sqref="P20">
    <cfRule type="expression" dxfId="73" priority="116">
      <formula>$R20="t1?"</formula>
    </cfRule>
  </conditionalFormatting>
  <conditionalFormatting sqref="Q20">
    <cfRule type="expression" dxfId="72" priority="115">
      <formula>CELL("Schutz",Q20)</formula>
    </cfRule>
  </conditionalFormatting>
  <conditionalFormatting sqref="S19">
    <cfRule type="expression" dxfId="71" priority="111">
      <formula>$R19="t1?"</formula>
    </cfRule>
  </conditionalFormatting>
  <conditionalFormatting sqref="T19">
    <cfRule type="expression" dxfId="70" priority="110">
      <formula>CELL("Schutz",T19)</formula>
    </cfRule>
  </conditionalFormatting>
  <conditionalFormatting sqref="S20">
    <cfRule type="expression" dxfId="69" priority="109">
      <formula>$R20="t1?"</formula>
    </cfRule>
  </conditionalFormatting>
  <conditionalFormatting sqref="T20">
    <cfRule type="expression" dxfId="68" priority="108">
      <formula>CELL("Schutz",T20)</formula>
    </cfRule>
  </conditionalFormatting>
  <conditionalFormatting sqref="S21">
    <cfRule type="expression" dxfId="67" priority="107">
      <formula>$R21="t1?"</formula>
    </cfRule>
  </conditionalFormatting>
  <conditionalFormatting sqref="T21">
    <cfRule type="expression" dxfId="66" priority="106">
      <formula>CELL("Schutz",T21)</formula>
    </cfRule>
  </conditionalFormatting>
  <conditionalFormatting sqref="W21">
    <cfRule type="expression" dxfId="65" priority="99">
      <formula>CELL("Schutz",W21)</formula>
    </cfRule>
  </conditionalFormatting>
  <conditionalFormatting sqref="V21">
    <cfRule type="expression" dxfId="64" priority="100">
      <formula>$R21="t1?"</formula>
    </cfRule>
  </conditionalFormatting>
  <conditionalFormatting sqref="V19">
    <cfRule type="expression" dxfId="63" priority="104">
      <formula>$R19="t1?"</formula>
    </cfRule>
  </conditionalFormatting>
  <conditionalFormatting sqref="W19">
    <cfRule type="expression" dxfId="62" priority="103">
      <formula>CELL("Schutz",W19)</formula>
    </cfRule>
  </conditionalFormatting>
  <conditionalFormatting sqref="V20">
    <cfRule type="expression" dxfId="61" priority="102">
      <formula>$R20="t1?"</formula>
    </cfRule>
  </conditionalFormatting>
  <conditionalFormatting sqref="W20">
    <cfRule type="expression" dxfId="60" priority="101">
      <formula>CELL("Schutz",W20)</formula>
    </cfRule>
  </conditionalFormatting>
  <conditionalFormatting sqref="Y19">
    <cfRule type="expression" dxfId="59" priority="98">
      <formula>ISERR(AE19)</formula>
    </cfRule>
  </conditionalFormatting>
  <conditionalFormatting sqref="Y20:Y21">
    <cfRule type="expression" dxfId="58" priority="97">
      <formula>ISERR(AE20)</formula>
    </cfRule>
  </conditionalFormatting>
  <conditionalFormatting sqref="H36">
    <cfRule type="expression" dxfId="57" priority="96">
      <formula>$G$6="SPZ"</formula>
    </cfRule>
  </conditionalFormatting>
  <conditionalFormatting sqref="W36">
    <cfRule type="expression" dxfId="56" priority="95" stopIfTrue="1">
      <formula>ISBLANK($W$36)</formula>
    </cfRule>
  </conditionalFormatting>
  <conditionalFormatting sqref="AG36">
    <cfRule type="expression" dxfId="55" priority="91">
      <formula>AND(AN34="Ja",ISBLANK($AG$36))</formula>
    </cfRule>
  </conditionalFormatting>
  <conditionalFormatting sqref="AH36:AI36">
    <cfRule type="expression" dxfId="54" priority="92">
      <formula>AND(BC34="Ja",ISBLANK($AG$36))</formula>
    </cfRule>
  </conditionalFormatting>
  <conditionalFormatting sqref="G19">
    <cfRule type="expression" dxfId="53" priority="90" stopIfTrue="1">
      <formula>OR(AND(ISNUMBER($P19),ISBLANK($G19)),AND(ISTEXT($G19),ISBLANK($P19)))</formula>
    </cfRule>
  </conditionalFormatting>
  <conditionalFormatting sqref="L33">
    <cfRule type="expression" dxfId="52" priority="89">
      <formula>ISERR($L$35)</formula>
    </cfRule>
  </conditionalFormatting>
  <conditionalFormatting sqref="L34">
    <cfRule type="expression" dxfId="51" priority="88">
      <formula>ISERR($L$35)</formula>
    </cfRule>
  </conditionalFormatting>
  <conditionalFormatting sqref="AE25:AE30">
    <cfRule type="expression" dxfId="50" priority="55">
      <formula>ISERROR(AE25)</formula>
    </cfRule>
  </conditionalFormatting>
  <conditionalFormatting sqref="Y29:Y30">
    <cfRule type="expression" dxfId="49" priority="54">
      <formula>ISERR(AE29)</formula>
    </cfRule>
  </conditionalFormatting>
  <conditionalFormatting sqref="P29:P30 V29:V30 S29:S30">
    <cfRule type="expression" dxfId="48" priority="53">
      <formula>$R29="t1?"</formula>
    </cfRule>
  </conditionalFormatting>
  <conditionalFormatting sqref="G26:G30">
    <cfRule type="expression" dxfId="47" priority="52" stopIfTrue="1">
      <formula>OR(AND(ISNUMBER($P26),ISBLANK($G26)),AND(ISTEXT($G26),ISBLANK($P26)))</formula>
    </cfRule>
  </conditionalFormatting>
  <conditionalFormatting sqref="P27">
    <cfRule type="expression" dxfId="46" priority="46">
      <formula>$R27="t1?"</formula>
    </cfRule>
  </conditionalFormatting>
  <conditionalFormatting sqref="P28">
    <cfRule type="expression" dxfId="45" priority="51">
      <formula>$R28="t1?"</formula>
    </cfRule>
  </conditionalFormatting>
  <conditionalFormatting sqref="P25">
    <cfRule type="expression" dxfId="44" priority="50">
      <formula>$R25="t1?"</formula>
    </cfRule>
  </conditionalFormatting>
  <conditionalFormatting sqref="Q27">
    <cfRule type="expression" dxfId="43" priority="45">
      <formula>CELL("Schutz",Q27)</formula>
    </cfRule>
  </conditionalFormatting>
  <conditionalFormatting sqref="Q25">
    <cfRule type="expression" dxfId="42" priority="49">
      <formula>CELL("Schutz",Q25)</formula>
    </cfRule>
  </conditionalFormatting>
  <conditionalFormatting sqref="P26">
    <cfRule type="expression" dxfId="41" priority="48">
      <formula>$R26="t1?"</formula>
    </cfRule>
  </conditionalFormatting>
  <conditionalFormatting sqref="Q26">
    <cfRule type="expression" dxfId="40" priority="47">
      <formula>CELL("Schutz",Q26)</formula>
    </cfRule>
  </conditionalFormatting>
  <conditionalFormatting sqref="S28">
    <cfRule type="expression" dxfId="39" priority="44">
      <formula>$R28="t1?"</formula>
    </cfRule>
  </conditionalFormatting>
  <conditionalFormatting sqref="S25">
    <cfRule type="expression" dxfId="38" priority="43">
      <formula>$R25="t1?"</formula>
    </cfRule>
  </conditionalFormatting>
  <conditionalFormatting sqref="T25">
    <cfRule type="expression" dxfId="37" priority="42">
      <formula>CELL("Schutz",T25)</formula>
    </cfRule>
  </conditionalFormatting>
  <conditionalFormatting sqref="S26">
    <cfRule type="expression" dxfId="36" priority="41">
      <formula>$R26="t1?"</formula>
    </cfRule>
  </conditionalFormatting>
  <conditionalFormatting sqref="T26">
    <cfRule type="expression" dxfId="35" priority="40">
      <formula>CELL("Schutz",T26)</formula>
    </cfRule>
  </conditionalFormatting>
  <conditionalFormatting sqref="S27">
    <cfRule type="expression" dxfId="34" priority="39">
      <formula>$R27="t1?"</formula>
    </cfRule>
  </conditionalFormatting>
  <conditionalFormatting sqref="T27">
    <cfRule type="expression" dxfId="33" priority="38">
      <formula>CELL("Schutz",T27)</formula>
    </cfRule>
  </conditionalFormatting>
  <conditionalFormatting sqref="W27">
    <cfRule type="expression" dxfId="32" priority="31">
      <formula>CELL("Schutz",W27)</formula>
    </cfRule>
  </conditionalFormatting>
  <conditionalFormatting sqref="V27">
    <cfRule type="expression" dxfId="31" priority="32">
      <formula>$R27="t1?"</formula>
    </cfRule>
  </conditionalFormatting>
  <conditionalFormatting sqref="V28">
    <cfRule type="expression" dxfId="30" priority="37">
      <formula>$R28="t1?"</formula>
    </cfRule>
  </conditionalFormatting>
  <conditionalFormatting sqref="V25">
    <cfRule type="expression" dxfId="29" priority="36">
      <formula>$R25="t1?"</formula>
    </cfRule>
  </conditionalFormatting>
  <conditionalFormatting sqref="W25">
    <cfRule type="expression" dxfId="28" priority="35">
      <formula>CELL("Schutz",W25)</formula>
    </cfRule>
  </conditionalFormatting>
  <conditionalFormatting sqref="V26">
    <cfRule type="expression" dxfId="27" priority="34">
      <formula>$R26="t1?"</formula>
    </cfRule>
  </conditionalFormatting>
  <conditionalFormatting sqref="W26">
    <cfRule type="expression" dxfId="26" priority="33">
      <formula>CELL("Schutz",W26)</formula>
    </cfRule>
  </conditionalFormatting>
  <conditionalFormatting sqref="Y25">
    <cfRule type="expression" dxfId="25" priority="30">
      <formula>ISERR(AE25)</formula>
    </cfRule>
  </conditionalFormatting>
  <conditionalFormatting sqref="Y26:Y28">
    <cfRule type="expression" dxfId="24" priority="29">
      <formula>ISERR(AE26)</formula>
    </cfRule>
  </conditionalFormatting>
  <conditionalFormatting sqref="G25">
    <cfRule type="expression" dxfId="23" priority="28" stopIfTrue="1">
      <formula>OR(AND(ISNUMBER($P25),ISBLANK($G25)),AND(ISTEXT($G25),ISBLANK($P25)))</formula>
    </cfRule>
  </conditionalFormatting>
  <conditionalFormatting sqref="AE22:AE24">
    <cfRule type="expression" dxfId="22" priority="23">
      <formula>ISERROR(AE22)</formula>
    </cfRule>
  </conditionalFormatting>
  <conditionalFormatting sqref="G23:G24">
    <cfRule type="expression" dxfId="21" priority="22" stopIfTrue="1">
      <formula>OR(AND(ISNUMBER($P23),ISBLANK($G23)),AND(ISTEXT($G23),ISBLANK($P23)))</formula>
    </cfRule>
  </conditionalFormatting>
  <conditionalFormatting sqref="P24">
    <cfRule type="expression" dxfId="20" priority="17">
      <formula>$R24="t1?"</formula>
    </cfRule>
  </conditionalFormatting>
  <conditionalFormatting sqref="P22">
    <cfRule type="expression" dxfId="19" priority="21">
      <formula>$R22="t1?"</formula>
    </cfRule>
  </conditionalFormatting>
  <conditionalFormatting sqref="Q24">
    <cfRule type="expression" dxfId="18" priority="16">
      <formula>CELL("Schutz",Q24)</formula>
    </cfRule>
  </conditionalFormatting>
  <conditionalFormatting sqref="Q22">
    <cfRule type="expression" dxfId="17" priority="20">
      <formula>CELL("Schutz",Q22)</formula>
    </cfRule>
  </conditionalFormatting>
  <conditionalFormatting sqref="P23">
    <cfRule type="expression" dxfId="16" priority="19">
      <formula>$R23="t1?"</formula>
    </cfRule>
  </conditionalFormatting>
  <conditionalFormatting sqref="Q23">
    <cfRule type="expression" dxfId="15" priority="18">
      <formula>CELL("Schutz",Q23)</formula>
    </cfRule>
  </conditionalFormatting>
  <conditionalFormatting sqref="S22">
    <cfRule type="expression" dxfId="14" priority="15">
      <formula>$R22="t1?"</formula>
    </cfRule>
  </conditionalFormatting>
  <conditionalFormatting sqref="T22">
    <cfRule type="expression" dxfId="13" priority="14">
      <formula>CELL("Schutz",T22)</formula>
    </cfRule>
  </conditionalFormatting>
  <conditionalFormatting sqref="S23">
    <cfRule type="expression" dxfId="12" priority="13">
      <formula>$R23="t1?"</formula>
    </cfRule>
  </conditionalFormatting>
  <conditionalFormatting sqref="T23">
    <cfRule type="expression" dxfId="11" priority="12">
      <formula>CELL("Schutz",T23)</formula>
    </cfRule>
  </conditionalFormatting>
  <conditionalFormatting sqref="S24">
    <cfRule type="expression" dxfId="10" priority="11">
      <formula>$R24="t1?"</formula>
    </cfRule>
  </conditionalFormatting>
  <conditionalFormatting sqref="T24">
    <cfRule type="expression" dxfId="9" priority="10">
      <formula>CELL("Schutz",T24)</formula>
    </cfRule>
  </conditionalFormatting>
  <conditionalFormatting sqref="W24">
    <cfRule type="expression" dxfId="8" priority="4">
      <formula>CELL("Schutz",W24)</formula>
    </cfRule>
  </conditionalFormatting>
  <conditionalFormatting sqref="V24">
    <cfRule type="expression" dxfId="7" priority="5">
      <formula>$R24="t1?"</formula>
    </cfRule>
  </conditionalFormatting>
  <conditionalFormatting sqref="V22">
    <cfRule type="expression" dxfId="6" priority="9">
      <formula>$R22="t1?"</formula>
    </cfRule>
  </conditionalFormatting>
  <conditionalFormatting sqref="W22">
    <cfRule type="expression" dxfId="5" priority="8">
      <formula>CELL("Schutz",W22)</formula>
    </cfRule>
  </conditionalFormatting>
  <conditionalFormatting sqref="V23">
    <cfRule type="expression" dxfId="4" priority="7">
      <formula>$R23="t1?"</formula>
    </cfRule>
  </conditionalFormatting>
  <conditionalFormatting sqref="W23">
    <cfRule type="expression" dxfId="3" priority="6">
      <formula>CELL("Schutz",W23)</formula>
    </cfRule>
  </conditionalFormatting>
  <conditionalFormatting sqref="Y22">
    <cfRule type="expression" dxfId="2" priority="3">
      <formula>ISERR(AE22)</formula>
    </cfRule>
  </conditionalFormatting>
  <conditionalFormatting sqref="Y23:Y24">
    <cfRule type="expression" dxfId="1" priority="2">
      <formula>ISERR(AE23)</formula>
    </cfRule>
  </conditionalFormatting>
  <conditionalFormatting sqref="G22">
    <cfRule type="expression" dxfId="0" priority="1" stopIfTrue="1">
      <formula>OR(AND(ISNUMBER($P22),ISBLANK($G22)),AND(ISTEXT($G22),ISBLANK($P22)))</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4:BB35 AN34:AN35">
      <formula1>$BH$4:$BH$5</formula1>
    </dataValidation>
  </dataValidations>
  <hyperlinks>
    <hyperlink ref="AK43"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H36</xm:sqref>
        </x14:dataValidation>
        <x14:dataValidation type="list" allowBlank="1" showInputMessage="1" showErrorMessage="1">
          <x14:formula1>
            <xm:f>Motordaten!$A$3:$A$6</xm:f>
          </x14:formula1>
          <xm:sqref>E36</xm:sqref>
        </x14:dataValidation>
        <x14:dataValidation type="list" allowBlank="1" showInputMessage="1" showErrorMessage="1">
          <x14:formula1>
            <xm:f>Motordaten!$C$3:$C$18</xm:f>
          </x14:formula1>
          <xm:sqref>L36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102" t="s">
        <v>1625</v>
      </c>
    </row>
    <row r="2" spans="1:5" ht="15" customHeight="1">
      <c r="A2" s="27"/>
      <c r="B2" s="28"/>
      <c r="C2" s="1116" t="s">
        <v>1636</v>
      </c>
      <c r="D2" s="1103"/>
      <c r="E2" s="303"/>
    </row>
    <row r="3" spans="1:5" ht="15" customHeight="1">
      <c r="A3" s="29"/>
      <c r="B3" s="30"/>
      <c r="C3" s="1116"/>
      <c r="D3" s="1103"/>
      <c r="E3" s="303"/>
    </row>
    <row r="4" spans="1:5" ht="15" customHeight="1">
      <c r="A4" s="29"/>
      <c r="B4" s="30"/>
      <c r="C4" s="1116"/>
      <c r="D4" s="1103"/>
      <c r="E4" s="303"/>
    </row>
    <row r="5" spans="1:5" ht="15" customHeight="1" thickBot="1">
      <c r="A5" s="29"/>
      <c r="B5" s="30"/>
      <c r="C5" s="1117"/>
      <c r="D5" s="1104"/>
      <c r="E5" s="303"/>
    </row>
    <row r="6" spans="1:5" ht="14.25">
      <c r="A6" s="21" t="s">
        <v>76</v>
      </c>
      <c r="B6" s="22">
        <v>300</v>
      </c>
      <c r="C6" s="1113" t="s">
        <v>77</v>
      </c>
      <c r="D6" s="304"/>
    </row>
    <row r="7" spans="1:5" ht="12.75">
      <c r="A7" s="17" t="s">
        <v>78</v>
      </c>
      <c r="B7" s="18">
        <v>300</v>
      </c>
      <c r="C7" s="1114"/>
      <c r="D7" s="305"/>
    </row>
    <row r="8" spans="1:5" ht="12.75">
      <c r="A8" s="17" t="s">
        <v>79</v>
      </c>
      <c r="B8" s="18">
        <v>300</v>
      </c>
      <c r="C8" s="1114"/>
      <c r="D8" s="305"/>
    </row>
    <row r="9" spans="1:5" ht="12.75">
      <c r="A9" s="17" t="s">
        <v>80</v>
      </c>
      <c r="B9" s="18">
        <v>300</v>
      </c>
      <c r="C9" s="1114"/>
      <c r="D9" s="305"/>
    </row>
    <row r="10" spans="1:5" ht="12.75">
      <c r="A10" s="17" t="s">
        <v>1185</v>
      </c>
      <c r="B10" s="18">
        <v>300</v>
      </c>
      <c r="C10" s="1114"/>
      <c r="D10" s="305"/>
    </row>
    <row r="11" spans="1:5" ht="12.75">
      <c r="A11" s="17" t="s">
        <v>81</v>
      </c>
      <c r="B11" s="18">
        <v>300</v>
      </c>
      <c r="C11" s="1114"/>
      <c r="D11" s="305"/>
    </row>
    <row r="12" spans="1:5" ht="12.75">
      <c r="A12" s="17" t="s">
        <v>1186</v>
      </c>
      <c r="B12" s="18">
        <v>300</v>
      </c>
      <c r="C12" s="1114"/>
      <c r="D12" s="305"/>
    </row>
    <row r="13" spans="1:5" ht="12.75">
      <c r="A13" s="17" t="s">
        <v>82</v>
      </c>
      <c r="B13" s="18">
        <v>300</v>
      </c>
      <c r="C13" s="1114"/>
      <c r="D13" s="305"/>
    </row>
    <row r="14" spans="1:5" ht="12.75">
      <c r="A14" s="17" t="s">
        <v>1187</v>
      </c>
      <c r="B14" s="18">
        <v>300</v>
      </c>
      <c r="C14" s="1114"/>
      <c r="D14" s="305"/>
    </row>
    <row r="15" spans="1:5" ht="12.75">
      <c r="A15" s="17" t="s">
        <v>83</v>
      </c>
      <c r="B15" s="18">
        <v>300</v>
      </c>
      <c r="C15" s="1114"/>
      <c r="D15" s="305"/>
    </row>
    <row r="16" spans="1:5" ht="12.75">
      <c r="A16" s="17" t="s">
        <v>84</v>
      </c>
      <c r="B16" s="18">
        <v>300</v>
      </c>
      <c r="C16" s="1114"/>
      <c r="D16" s="305"/>
    </row>
    <row r="17" spans="1:4" ht="12.75">
      <c r="A17" s="17" t="s">
        <v>85</v>
      </c>
      <c r="B17" s="18">
        <v>300</v>
      </c>
      <c r="C17" s="1114"/>
      <c r="D17" s="305"/>
    </row>
    <row r="18" spans="1:4" ht="12.75">
      <c r="A18" s="17" t="s">
        <v>86</v>
      </c>
      <c r="B18" s="18">
        <v>300</v>
      </c>
      <c r="C18" s="1114"/>
      <c r="D18" s="305"/>
    </row>
    <row r="19" spans="1:4" ht="12.75">
      <c r="A19" s="17" t="s">
        <v>87</v>
      </c>
      <c r="B19" s="18">
        <v>300</v>
      </c>
      <c r="C19" s="1114"/>
      <c r="D19" s="305"/>
    </row>
    <row r="20" spans="1:4" ht="12.75">
      <c r="A20" s="17" t="s">
        <v>88</v>
      </c>
      <c r="B20" s="18">
        <v>300</v>
      </c>
      <c r="C20" s="1114"/>
      <c r="D20" s="305"/>
    </row>
    <row r="21" spans="1:4" ht="12.75">
      <c r="A21" s="17" t="s">
        <v>89</v>
      </c>
      <c r="B21" s="18">
        <v>300</v>
      </c>
      <c r="C21" s="1114"/>
      <c r="D21" s="305"/>
    </row>
    <row r="22" spans="1:4" ht="12.75">
      <c r="A22" s="17" t="s">
        <v>90</v>
      </c>
      <c r="B22" s="18">
        <v>300</v>
      </c>
      <c r="C22" s="1114"/>
      <c r="D22" s="305"/>
    </row>
    <row r="23" spans="1:4" ht="12.75">
      <c r="A23" s="17" t="s">
        <v>91</v>
      </c>
      <c r="B23" s="18">
        <v>300</v>
      </c>
      <c r="C23" s="1114"/>
      <c r="D23" s="305"/>
    </row>
    <row r="24" spans="1:4" ht="12.75">
      <c r="A24" s="17" t="s">
        <v>92</v>
      </c>
      <c r="B24" s="18">
        <v>300</v>
      </c>
      <c r="C24" s="1114"/>
      <c r="D24" s="305"/>
    </row>
    <row r="25" spans="1:4" ht="12.75">
      <c r="A25" s="17" t="s">
        <v>93</v>
      </c>
      <c r="B25" s="18">
        <v>300</v>
      </c>
      <c r="C25" s="1114"/>
      <c r="D25" s="305"/>
    </row>
    <row r="26" spans="1:4" ht="12.75">
      <c r="A26" s="17" t="s">
        <v>94</v>
      </c>
      <c r="B26" s="18">
        <v>300</v>
      </c>
      <c r="C26" s="1114"/>
      <c r="D26" s="305"/>
    </row>
    <row r="27" spans="1:4" ht="12.75">
      <c r="A27" s="17" t="s">
        <v>95</v>
      </c>
      <c r="B27" s="18">
        <v>300</v>
      </c>
      <c r="C27" s="1114"/>
      <c r="D27" s="305"/>
    </row>
    <row r="28" spans="1:4" ht="12.75">
      <c r="A28" s="17" t="s">
        <v>96</v>
      </c>
      <c r="B28" s="18">
        <v>300</v>
      </c>
      <c r="C28" s="1114"/>
      <c r="D28" s="305"/>
    </row>
    <row r="29" spans="1:4" ht="12.75">
      <c r="A29" s="17" t="s">
        <v>1188</v>
      </c>
      <c r="B29" s="18">
        <v>300</v>
      </c>
      <c r="C29" s="1114"/>
      <c r="D29" s="305"/>
    </row>
    <row r="30" spans="1:4" ht="12.75">
      <c r="A30" s="17" t="s">
        <v>97</v>
      </c>
      <c r="B30" s="18">
        <v>300</v>
      </c>
      <c r="C30" s="1114"/>
      <c r="D30" s="305"/>
    </row>
    <row r="31" spans="1:4" ht="12.75">
      <c r="A31" s="17" t="s">
        <v>1189</v>
      </c>
      <c r="B31" s="18">
        <v>300</v>
      </c>
      <c r="C31" s="1114"/>
      <c r="D31" s="305"/>
    </row>
    <row r="32" spans="1:4" ht="12.75">
      <c r="A32" s="17" t="s">
        <v>98</v>
      </c>
      <c r="B32" s="18">
        <v>300</v>
      </c>
      <c r="C32" s="1114"/>
      <c r="D32" s="305"/>
    </row>
    <row r="33" spans="1:4" ht="12.75">
      <c r="A33" s="17" t="s">
        <v>1190</v>
      </c>
      <c r="B33" s="18">
        <v>300</v>
      </c>
      <c r="C33" s="1114"/>
      <c r="D33" s="305"/>
    </row>
    <row r="34" spans="1:4" ht="12.75">
      <c r="A34" s="17" t="s">
        <v>99</v>
      </c>
      <c r="B34" s="18">
        <v>300</v>
      </c>
      <c r="C34" s="1114"/>
      <c r="D34" s="305"/>
    </row>
    <row r="35" spans="1:4" ht="12.75">
      <c r="A35" s="17" t="s">
        <v>100</v>
      </c>
      <c r="B35" s="18">
        <v>300</v>
      </c>
      <c r="C35" s="1114"/>
      <c r="D35" s="305"/>
    </row>
    <row r="36" spans="1:4" ht="12.75">
      <c r="A36" s="17" t="s">
        <v>101</v>
      </c>
      <c r="B36" s="18">
        <v>300</v>
      </c>
      <c r="C36" s="1114"/>
      <c r="D36" s="305"/>
    </row>
    <row r="37" spans="1:4" ht="12.75">
      <c r="A37" s="17" t="s">
        <v>102</v>
      </c>
      <c r="B37" s="18">
        <v>300</v>
      </c>
      <c r="C37" s="1114"/>
      <c r="D37" s="305"/>
    </row>
    <row r="38" spans="1:4" ht="12.75">
      <c r="A38" s="17" t="s">
        <v>103</v>
      </c>
      <c r="B38" s="18">
        <v>300</v>
      </c>
      <c r="C38" s="1114"/>
      <c r="D38" s="305"/>
    </row>
    <row r="39" spans="1:4" ht="12.75">
      <c r="A39" s="17" t="s">
        <v>104</v>
      </c>
      <c r="B39" s="18">
        <v>300</v>
      </c>
      <c r="C39" s="1114"/>
      <c r="D39" s="305"/>
    </row>
    <row r="40" spans="1:4" ht="12.75">
      <c r="A40" s="17" t="s">
        <v>105</v>
      </c>
      <c r="B40" s="18">
        <v>300</v>
      </c>
      <c r="C40" s="1114"/>
      <c r="D40" s="305"/>
    </row>
    <row r="41" spans="1:4" ht="12.75">
      <c r="A41" s="17" t="s">
        <v>106</v>
      </c>
      <c r="B41" s="18">
        <v>300</v>
      </c>
      <c r="C41" s="1114"/>
      <c r="D41" s="305"/>
    </row>
    <row r="42" spans="1:4" ht="12.75">
      <c r="A42" s="17" t="s">
        <v>107</v>
      </c>
      <c r="B42" s="18">
        <v>300</v>
      </c>
      <c r="C42" s="1114"/>
      <c r="D42" s="305"/>
    </row>
    <row r="43" spans="1:4" ht="12.75">
      <c r="A43" s="17" t="s">
        <v>108</v>
      </c>
      <c r="B43" s="18">
        <v>300</v>
      </c>
      <c r="C43" s="1114"/>
      <c r="D43" s="305"/>
    </row>
    <row r="44" spans="1:4" ht="12.75">
      <c r="A44" s="17" t="s">
        <v>109</v>
      </c>
      <c r="B44" s="18">
        <v>300</v>
      </c>
      <c r="C44" s="1114"/>
      <c r="D44" s="305"/>
    </row>
    <row r="45" spans="1:4" ht="12.75">
      <c r="A45" s="17" t="s">
        <v>110</v>
      </c>
      <c r="B45" s="18">
        <v>300</v>
      </c>
      <c r="C45" s="1114"/>
      <c r="D45" s="305"/>
    </row>
    <row r="46" spans="1:4" ht="12.75">
      <c r="A46" s="17" t="s">
        <v>111</v>
      </c>
      <c r="B46" s="18">
        <v>300</v>
      </c>
      <c r="C46" s="1114"/>
      <c r="D46" s="305"/>
    </row>
    <row r="47" spans="1:4" ht="12.75">
      <c r="A47" s="17" t="s">
        <v>112</v>
      </c>
      <c r="B47" s="18">
        <v>300</v>
      </c>
      <c r="C47" s="1114"/>
      <c r="D47" s="305"/>
    </row>
    <row r="48" spans="1:4" ht="12.75">
      <c r="A48" s="17" t="s">
        <v>1191</v>
      </c>
      <c r="B48" s="18">
        <v>300</v>
      </c>
      <c r="C48" s="1114"/>
      <c r="D48" s="305"/>
    </row>
    <row r="49" spans="1:4" ht="12.75">
      <c r="A49" s="17" t="s">
        <v>113</v>
      </c>
      <c r="B49" s="18">
        <v>300</v>
      </c>
      <c r="C49" s="1114"/>
      <c r="D49" s="305"/>
    </row>
    <row r="50" spans="1:4" ht="12.75">
      <c r="A50" s="17" t="s">
        <v>1192</v>
      </c>
      <c r="B50" s="18">
        <v>300</v>
      </c>
      <c r="C50" s="1114"/>
      <c r="D50" s="305"/>
    </row>
    <row r="51" spans="1:4" ht="12.75">
      <c r="A51" s="17" t="s">
        <v>114</v>
      </c>
      <c r="B51" s="18">
        <v>300</v>
      </c>
      <c r="C51" s="1114"/>
      <c r="D51" s="305"/>
    </row>
    <row r="52" spans="1:4" ht="12.75">
      <c r="A52" s="17" t="s">
        <v>1193</v>
      </c>
      <c r="B52" s="18">
        <v>300</v>
      </c>
      <c r="C52" s="1114"/>
      <c r="D52" s="305"/>
    </row>
    <row r="53" spans="1:4" ht="12.75">
      <c r="A53" s="17" t="s">
        <v>115</v>
      </c>
      <c r="B53" s="18">
        <v>300</v>
      </c>
      <c r="C53" s="1114"/>
      <c r="D53" s="305"/>
    </row>
    <row r="54" spans="1:4" ht="12.75">
      <c r="A54" s="17" t="s">
        <v>116</v>
      </c>
      <c r="B54" s="18">
        <v>300</v>
      </c>
      <c r="C54" s="1114"/>
      <c r="D54" s="305"/>
    </row>
    <row r="55" spans="1:4" ht="12.75">
      <c r="A55" s="17" t="s">
        <v>117</v>
      </c>
      <c r="B55" s="18">
        <v>300</v>
      </c>
      <c r="C55" s="1114"/>
      <c r="D55" s="305"/>
    </row>
    <row r="56" spans="1:4" ht="12.75">
      <c r="A56" s="17" t="s">
        <v>118</v>
      </c>
      <c r="B56" s="18">
        <v>300</v>
      </c>
      <c r="C56" s="1114"/>
      <c r="D56" s="305"/>
    </row>
    <row r="57" spans="1:4" ht="12.75">
      <c r="A57" s="17" t="s">
        <v>119</v>
      </c>
      <c r="B57" s="18">
        <v>300</v>
      </c>
      <c r="C57" s="1114"/>
      <c r="D57" s="305"/>
    </row>
    <row r="58" spans="1:4" ht="12.75">
      <c r="A58" s="17" t="s">
        <v>120</v>
      </c>
      <c r="B58" s="18">
        <v>300</v>
      </c>
      <c r="C58" s="1114"/>
      <c r="D58" s="305"/>
    </row>
    <row r="59" spans="1:4" ht="12.75">
      <c r="A59" s="17" t="s">
        <v>121</v>
      </c>
      <c r="B59" s="18">
        <v>300</v>
      </c>
      <c r="C59" s="1114"/>
      <c r="D59" s="305"/>
    </row>
    <row r="60" spans="1:4" ht="12.75">
      <c r="A60" s="17" t="s">
        <v>122</v>
      </c>
      <c r="B60" s="18">
        <v>300</v>
      </c>
      <c r="C60" s="1114"/>
      <c r="D60" s="305"/>
    </row>
    <row r="61" spans="1:4" ht="12.75">
      <c r="A61" s="17" t="s">
        <v>123</v>
      </c>
      <c r="B61" s="18">
        <v>300</v>
      </c>
      <c r="C61" s="1114"/>
      <c r="D61" s="305"/>
    </row>
    <row r="62" spans="1:4" ht="12.75">
      <c r="A62" s="17" t="s">
        <v>124</v>
      </c>
      <c r="B62" s="18">
        <v>300</v>
      </c>
      <c r="C62" s="1114"/>
      <c r="D62" s="305"/>
    </row>
    <row r="63" spans="1:4" ht="12.75">
      <c r="A63" s="17" t="s">
        <v>125</v>
      </c>
      <c r="B63" s="18">
        <v>240</v>
      </c>
      <c r="C63" s="1114"/>
      <c r="D63" s="305"/>
    </row>
    <row r="64" spans="1:4" ht="12.75">
      <c r="A64" s="17" t="s">
        <v>126</v>
      </c>
      <c r="B64" s="18">
        <v>240</v>
      </c>
      <c r="C64" s="1114"/>
      <c r="D64" s="305"/>
    </row>
    <row r="65" spans="1:4" ht="12.75">
      <c r="A65" s="17" t="s">
        <v>127</v>
      </c>
      <c r="B65" s="18">
        <v>240</v>
      </c>
      <c r="C65" s="1114"/>
      <c r="D65" s="305"/>
    </row>
    <row r="66" spans="1:4" ht="12.75">
      <c r="A66" s="17" t="s">
        <v>128</v>
      </c>
      <c r="B66" s="18">
        <v>240</v>
      </c>
      <c r="C66" s="1114"/>
      <c r="D66" s="305"/>
    </row>
    <row r="67" spans="1:4" ht="12.75">
      <c r="A67" s="17" t="s">
        <v>1194</v>
      </c>
      <c r="B67" s="18">
        <v>240</v>
      </c>
      <c r="C67" s="1114"/>
      <c r="D67" s="305"/>
    </row>
    <row r="68" spans="1:4" ht="12.75">
      <c r="A68" s="17" t="s">
        <v>129</v>
      </c>
      <c r="B68" s="18">
        <v>240</v>
      </c>
      <c r="C68" s="1114"/>
      <c r="D68" s="305"/>
    </row>
    <row r="69" spans="1:4" ht="12.75">
      <c r="A69" s="17" t="s">
        <v>1195</v>
      </c>
      <c r="B69" s="18">
        <v>240</v>
      </c>
      <c r="C69" s="1114"/>
      <c r="D69" s="305"/>
    </row>
    <row r="70" spans="1:4" ht="12.75">
      <c r="A70" s="17" t="s">
        <v>130</v>
      </c>
      <c r="B70" s="18">
        <v>240</v>
      </c>
      <c r="C70" s="1114"/>
      <c r="D70" s="305"/>
    </row>
    <row r="71" spans="1:4" ht="12.75">
      <c r="A71" s="17" t="s">
        <v>1196</v>
      </c>
      <c r="B71" s="18">
        <v>240</v>
      </c>
      <c r="C71" s="1114"/>
      <c r="D71" s="305"/>
    </row>
    <row r="72" spans="1:4" ht="12.75">
      <c r="A72" s="17" t="s">
        <v>131</v>
      </c>
      <c r="B72" s="18">
        <v>240</v>
      </c>
      <c r="C72" s="1114"/>
      <c r="D72" s="305"/>
    </row>
    <row r="73" spans="1:4" ht="12.75">
      <c r="A73" s="17" t="s">
        <v>132</v>
      </c>
      <c r="B73" s="18">
        <v>240</v>
      </c>
      <c r="C73" s="1114"/>
      <c r="D73" s="305"/>
    </row>
    <row r="74" spans="1:4" ht="12.75">
      <c r="A74" s="17" t="s">
        <v>133</v>
      </c>
      <c r="B74" s="18">
        <v>240</v>
      </c>
      <c r="C74" s="1114"/>
      <c r="D74" s="305"/>
    </row>
    <row r="75" spans="1:4" ht="12.75">
      <c r="A75" s="17" t="s">
        <v>134</v>
      </c>
      <c r="B75" s="18">
        <v>240</v>
      </c>
      <c r="C75" s="1114"/>
      <c r="D75" s="305"/>
    </row>
    <row r="76" spans="1:4" ht="12.75">
      <c r="A76" s="17" t="s">
        <v>135</v>
      </c>
      <c r="B76" s="18">
        <v>240</v>
      </c>
      <c r="C76" s="1114"/>
      <c r="D76" s="305"/>
    </row>
    <row r="77" spans="1:4" ht="12.75">
      <c r="A77" s="17" t="s">
        <v>136</v>
      </c>
      <c r="B77" s="18">
        <v>240</v>
      </c>
      <c r="C77" s="1114"/>
      <c r="D77" s="305"/>
    </row>
    <row r="78" spans="1:4" ht="12.75">
      <c r="A78" s="17" t="s">
        <v>137</v>
      </c>
      <c r="B78" s="18">
        <v>240</v>
      </c>
      <c r="C78" s="1114"/>
      <c r="D78" s="305"/>
    </row>
    <row r="79" spans="1:4" ht="12.75">
      <c r="A79" s="17" t="s">
        <v>138</v>
      </c>
      <c r="B79" s="18">
        <v>240</v>
      </c>
      <c r="C79" s="1114"/>
      <c r="D79" s="305"/>
    </row>
    <row r="80" spans="1:4" ht="12.75">
      <c r="A80" s="17" t="s">
        <v>139</v>
      </c>
      <c r="B80" s="18">
        <v>240</v>
      </c>
      <c r="C80" s="1114"/>
      <c r="D80" s="305"/>
    </row>
    <row r="81" spans="1:4" ht="12.75">
      <c r="A81" s="17" t="s">
        <v>140</v>
      </c>
      <c r="B81" s="18">
        <v>240</v>
      </c>
      <c r="C81" s="1114"/>
      <c r="D81" s="305"/>
    </row>
    <row r="82" spans="1:4" ht="12.75">
      <c r="A82" s="17" t="s">
        <v>141</v>
      </c>
      <c r="B82" s="18">
        <v>240</v>
      </c>
      <c r="C82" s="1114"/>
      <c r="D82" s="305"/>
    </row>
    <row r="83" spans="1:4" ht="12.75">
      <c r="A83" s="17" t="s">
        <v>142</v>
      </c>
      <c r="B83" s="18">
        <v>240</v>
      </c>
      <c r="C83" s="1114"/>
      <c r="D83" s="305"/>
    </row>
    <row r="84" spans="1:4" ht="12.75">
      <c r="A84" s="17" t="s">
        <v>143</v>
      </c>
      <c r="B84" s="18">
        <v>240</v>
      </c>
      <c r="C84" s="1114"/>
      <c r="D84" s="305"/>
    </row>
    <row r="85" spans="1:4" ht="12.75">
      <c r="A85" s="17" t="s">
        <v>144</v>
      </c>
      <c r="B85" s="18">
        <v>240</v>
      </c>
      <c r="C85" s="1114"/>
      <c r="D85" s="305"/>
    </row>
    <row r="86" spans="1:4" ht="12.75">
      <c r="A86" s="17" t="s">
        <v>1197</v>
      </c>
      <c r="B86" s="18">
        <v>240</v>
      </c>
      <c r="C86" s="1114"/>
      <c r="D86" s="305"/>
    </row>
    <row r="87" spans="1:4" ht="12.75">
      <c r="A87" s="17" t="s">
        <v>145</v>
      </c>
      <c r="B87" s="18">
        <v>240</v>
      </c>
      <c r="C87" s="1114"/>
      <c r="D87" s="305"/>
    </row>
    <row r="88" spans="1:4" ht="12.75">
      <c r="A88" s="17" t="s">
        <v>1198</v>
      </c>
      <c r="B88" s="18">
        <v>240</v>
      </c>
      <c r="C88" s="1114"/>
      <c r="D88" s="305"/>
    </row>
    <row r="89" spans="1:4" ht="12.75">
      <c r="A89" s="17" t="s">
        <v>146</v>
      </c>
      <c r="B89" s="18">
        <v>240</v>
      </c>
      <c r="C89" s="1114"/>
      <c r="D89" s="305"/>
    </row>
    <row r="90" spans="1:4" ht="12.75">
      <c r="A90" s="17" t="s">
        <v>1199</v>
      </c>
      <c r="B90" s="18">
        <v>240</v>
      </c>
      <c r="C90" s="1114"/>
      <c r="D90" s="305"/>
    </row>
    <row r="91" spans="1:4" ht="12.75">
      <c r="A91" s="17" t="s">
        <v>147</v>
      </c>
      <c r="B91" s="18">
        <v>240</v>
      </c>
      <c r="C91" s="1114"/>
      <c r="D91" s="305"/>
    </row>
    <row r="92" spans="1:4" ht="12.75">
      <c r="A92" s="17" t="s">
        <v>148</v>
      </c>
      <c r="B92" s="18">
        <v>240</v>
      </c>
      <c r="C92" s="1114"/>
      <c r="D92" s="305"/>
    </row>
    <row r="93" spans="1:4" ht="12.75">
      <c r="A93" s="17" t="s">
        <v>149</v>
      </c>
      <c r="B93" s="18">
        <v>240</v>
      </c>
      <c r="C93" s="1114"/>
      <c r="D93" s="305"/>
    </row>
    <row r="94" spans="1:4" ht="12.75">
      <c r="A94" s="17" t="s">
        <v>150</v>
      </c>
      <c r="B94" s="18">
        <v>240</v>
      </c>
      <c r="C94" s="1114"/>
      <c r="D94" s="305"/>
    </row>
    <row r="95" spans="1:4" ht="12.75">
      <c r="A95" s="17" t="s">
        <v>151</v>
      </c>
      <c r="B95" s="18">
        <v>240</v>
      </c>
      <c r="C95" s="1114"/>
      <c r="D95" s="305"/>
    </row>
    <row r="96" spans="1:4" ht="12.75">
      <c r="A96" s="17" t="s">
        <v>152</v>
      </c>
      <c r="B96" s="18">
        <v>240</v>
      </c>
      <c r="C96" s="1114"/>
      <c r="D96" s="305"/>
    </row>
    <row r="97" spans="1:4" ht="12.75">
      <c r="A97" s="17" t="s">
        <v>153</v>
      </c>
      <c r="B97" s="18">
        <v>240</v>
      </c>
      <c r="C97" s="1114"/>
      <c r="D97" s="305"/>
    </row>
    <row r="98" spans="1:4" ht="12.75">
      <c r="A98" s="17" t="s">
        <v>154</v>
      </c>
      <c r="B98" s="18">
        <v>240</v>
      </c>
      <c r="C98" s="1114"/>
      <c r="D98" s="305"/>
    </row>
    <row r="99" spans="1:4" ht="12.75">
      <c r="A99" s="17" t="s">
        <v>155</v>
      </c>
      <c r="B99" s="18">
        <v>240</v>
      </c>
      <c r="C99" s="1114"/>
      <c r="D99" s="305"/>
    </row>
    <row r="100" spans="1:4" ht="12.75">
      <c r="A100" s="17" t="s">
        <v>156</v>
      </c>
      <c r="B100" s="18">
        <v>240</v>
      </c>
      <c r="C100" s="1114"/>
      <c r="D100" s="305"/>
    </row>
    <row r="101" spans="1:4" ht="12.75">
      <c r="A101" s="17" t="s">
        <v>157</v>
      </c>
      <c r="B101" s="18">
        <v>240</v>
      </c>
      <c r="C101" s="1114"/>
      <c r="D101" s="305"/>
    </row>
    <row r="102" spans="1:4" ht="12.75">
      <c r="A102" s="17" t="s">
        <v>158</v>
      </c>
      <c r="B102" s="18">
        <v>240</v>
      </c>
      <c r="C102" s="1114"/>
      <c r="D102" s="305"/>
    </row>
    <row r="103" spans="1:4" ht="12.75">
      <c r="A103" s="17" t="s">
        <v>159</v>
      </c>
      <c r="B103" s="18">
        <v>240</v>
      </c>
      <c r="C103" s="1114"/>
      <c r="D103" s="305"/>
    </row>
    <row r="104" spans="1:4" ht="12.75">
      <c r="A104" s="17" t="s">
        <v>160</v>
      </c>
      <c r="B104" s="18">
        <v>240</v>
      </c>
      <c r="C104" s="1114"/>
      <c r="D104" s="305"/>
    </row>
    <row r="105" spans="1:4" ht="12.75">
      <c r="A105" s="17" t="s">
        <v>1200</v>
      </c>
      <c r="B105" s="18">
        <v>240</v>
      </c>
      <c r="C105" s="1114"/>
      <c r="D105" s="305"/>
    </row>
    <row r="106" spans="1:4" ht="12.75">
      <c r="A106" s="17" t="s">
        <v>161</v>
      </c>
      <c r="B106" s="18">
        <v>240</v>
      </c>
      <c r="C106" s="1114"/>
      <c r="D106" s="305"/>
    </row>
    <row r="107" spans="1:4" ht="12.75">
      <c r="A107" s="17" t="s">
        <v>1201</v>
      </c>
      <c r="B107" s="18">
        <v>240</v>
      </c>
      <c r="C107" s="1114"/>
      <c r="D107" s="305"/>
    </row>
    <row r="108" spans="1:4" ht="12.75">
      <c r="A108" s="17" t="s">
        <v>162</v>
      </c>
      <c r="B108" s="18">
        <v>240</v>
      </c>
      <c r="C108" s="1114"/>
      <c r="D108" s="305"/>
    </row>
    <row r="109" spans="1:4" ht="12.75">
      <c r="A109" s="17" t="s">
        <v>1202</v>
      </c>
      <c r="B109" s="18">
        <v>240</v>
      </c>
      <c r="C109" s="1114"/>
      <c r="D109" s="305"/>
    </row>
    <row r="110" spans="1:4" ht="12.75">
      <c r="A110" s="17" t="s">
        <v>163</v>
      </c>
      <c r="B110" s="18">
        <v>240</v>
      </c>
      <c r="C110" s="1114"/>
      <c r="D110" s="305"/>
    </row>
    <row r="111" spans="1:4" ht="12.75">
      <c r="A111" s="17" t="s">
        <v>164</v>
      </c>
      <c r="B111" s="18">
        <v>240</v>
      </c>
      <c r="C111" s="1114"/>
      <c r="D111" s="305"/>
    </row>
    <row r="112" spans="1:4" ht="12.75">
      <c r="A112" s="17" t="s">
        <v>165</v>
      </c>
      <c r="B112" s="18">
        <v>240</v>
      </c>
      <c r="C112" s="1114"/>
      <c r="D112" s="305"/>
    </row>
    <row r="113" spans="1:4" ht="12.75">
      <c r="A113" s="17" t="s">
        <v>166</v>
      </c>
      <c r="B113" s="18">
        <v>240</v>
      </c>
      <c r="C113" s="1114"/>
      <c r="D113" s="305"/>
    </row>
    <row r="114" spans="1:4" ht="12.75">
      <c r="A114" s="17" t="s">
        <v>167</v>
      </c>
      <c r="B114" s="18">
        <v>240</v>
      </c>
      <c r="C114" s="1114"/>
      <c r="D114" s="305"/>
    </row>
    <row r="115" spans="1:4" ht="12.75">
      <c r="A115" s="17" t="s">
        <v>168</v>
      </c>
      <c r="B115" s="18">
        <v>240</v>
      </c>
      <c r="C115" s="1114"/>
      <c r="D115" s="305"/>
    </row>
    <row r="116" spans="1:4" ht="12.75">
      <c r="A116" s="17" t="s">
        <v>169</v>
      </c>
      <c r="B116" s="18">
        <v>240</v>
      </c>
      <c r="C116" s="1114"/>
      <c r="D116" s="305"/>
    </row>
    <row r="117" spans="1:4" ht="12.75">
      <c r="A117" s="17" t="s">
        <v>170</v>
      </c>
      <c r="B117" s="18">
        <v>240</v>
      </c>
      <c r="C117" s="1114"/>
      <c r="D117" s="305"/>
    </row>
    <row r="118" spans="1:4" ht="12.75">
      <c r="A118" s="17" t="s">
        <v>171</v>
      </c>
      <c r="B118" s="18">
        <v>240</v>
      </c>
      <c r="C118" s="1114"/>
      <c r="D118" s="305"/>
    </row>
    <row r="119" spans="1:4" ht="12.75">
      <c r="A119" s="17" t="s">
        <v>172</v>
      </c>
      <c r="B119" s="18">
        <v>240</v>
      </c>
      <c r="C119" s="1114"/>
      <c r="D119" s="305"/>
    </row>
    <row r="120" spans="1:4" ht="12.75">
      <c r="A120" s="17" t="s">
        <v>173</v>
      </c>
      <c r="B120" s="18">
        <v>180</v>
      </c>
      <c r="C120" s="1114"/>
      <c r="D120" s="305"/>
    </row>
    <row r="121" spans="1:4" ht="12.75">
      <c r="A121" s="17" t="s">
        <v>174</v>
      </c>
      <c r="B121" s="18">
        <v>180</v>
      </c>
      <c r="C121" s="1114"/>
      <c r="D121" s="305"/>
    </row>
    <row r="122" spans="1:4" ht="12.75">
      <c r="A122" s="17" t="s">
        <v>175</v>
      </c>
      <c r="B122" s="18">
        <v>180</v>
      </c>
      <c r="C122" s="1114"/>
      <c r="D122" s="305"/>
    </row>
    <row r="123" spans="1:4" ht="12.75">
      <c r="A123" s="17" t="s">
        <v>176</v>
      </c>
      <c r="B123" s="18">
        <v>180</v>
      </c>
      <c r="C123" s="1114"/>
      <c r="D123" s="305"/>
    </row>
    <row r="124" spans="1:4" ht="12.75">
      <c r="A124" s="17" t="s">
        <v>1203</v>
      </c>
      <c r="B124" s="18">
        <v>180</v>
      </c>
      <c r="C124" s="1114"/>
      <c r="D124" s="305"/>
    </row>
    <row r="125" spans="1:4" ht="12.75">
      <c r="A125" s="17" t="s">
        <v>177</v>
      </c>
      <c r="B125" s="18">
        <v>180</v>
      </c>
      <c r="C125" s="1114"/>
      <c r="D125" s="305"/>
    </row>
    <row r="126" spans="1:4" ht="12.75">
      <c r="A126" s="17" t="s">
        <v>1204</v>
      </c>
      <c r="B126" s="18">
        <v>180</v>
      </c>
      <c r="C126" s="1114"/>
      <c r="D126" s="305"/>
    </row>
    <row r="127" spans="1:4" ht="12.75">
      <c r="A127" s="17" t="s">
        <v>178</v>
      </c>
      <c r="B127" s="18">
        <v>180</v>
      </c>
      <c r="C127" s="1114"/>
      <c r="D127" s="305"/>
    </row>
    <row r="128" spans="1:4" ht="12.75">
      <c r="A128" s="17" t="s">
        <v>1205</v>
      </c>
      <c r="B128" s="18">
        <v>180</v>
      </c>
      <c r="C128" s="1114"/>
      <c r="D128" s="305"/>
    </row>
    <row r="129" spans="1:4" ht="12.75">
      <c r="A129" s="17" t="s">
        <v>179</v>
      </c>
      <c r="B129" s="18">
        <v>180</v>
      </c>
      <c r="C129" s="1114"/>
      <c r="D129" s="305"/>
    </row>
    <row r="130" spans="1:4" ht="12.75">
      <c r="A130" s="17" t="s">
        <v>180</v>
      </c>
      <c r="B130" s="18">
        <v>180</v>
      </c>
      <c r="C130" s="1114"/>
      <c r="D130" s="305"/>
    </row>
    <row r="131" spans="1:4" ht="12.75">
      <c r="A131" s="17" t="s">
        <v>181</v>
      </c>
      <c r="B131" s="18">
        <v>180</v>
      </c>
      <c r="C131" s="1114"/>
      <c r="D131" s="305"/>
    </row>
    <row r="132" spans="1:4" ht="12.75">
      <c r="A132" s="17" t="s">
        <v>182</v>
      </c>
      <c r="B132" s="18">
        <v>180</v>
      </c>
      <c r="C132" s="1114"/>
      <c r="D132" s="305"/>
    </row>
    <row r="133" spans="1:4" ht="12.75">
      <c r="A133" s="17" t="s">
        <v>183</v>
      </c>
      <c r="B133" s="18">
        <v>180</v>
      </c>
      <c r="C133" s="1114"/>
      <c r="D133" s="305"/>
    </row>
    <row r="134" spans="1:4" ht="12.75">
      <c r="A134" s="17" t="s">
        <v>184</v>
      </c>
      <c r="B134" s="18">
        <v>180</v>
      </c>
      <c r="C134" s="1114"/>
      <c r="D134" s="305"/>
    </row>
    <row r="135" spans="1:4" ht="12.75">
      <c r="A135" s="17" t="s">
        <v>185</v>
      </c>
      <c r="B135" s="18">
        <v>180</v>
      </c>
      <c r="C135" s="1114"/>
      <c r="D135" s="305"/>
    </row>
    <row r="136" spans="1:4" ht="12.75">
      <c r="A136" s="17" t="s">
        <v>186</v>
      </c>
      <c r="B136" s="18">
        <v>180</v>
      </c>
      <c r="C136" s="1114"/>
      <c r="D136" s="305"/>
    </row>
    <row r="137" spans="1:4" ht="12.75">
      <c r="A137" s="17" t="s">
        <v>187</v>
      </c>
      <c r="B137" s="18">
        <v>180</v>
      </c>
      <c r="C137" s="1114"/>
      <c r="D137" s="305"/>
    </row>
    <row r="138" spans="1:4" ht="12.75">
      <c r="A138" s="17" t="s">
        <v>188</v>
      </c>
      <c r="B138" s="18">
        <v>180</v>
      </c>
      <c r="C138" s="1114"/>
      <c r="D138" s="305"/>
    </row>
    <row r="139" spans="1:4" ht="12.75">
      <c r="A139" s="17" t="s">
        <v>189</v>
      </c>
      <c r="B139" s="18">
        <v>180</v>
      </c>
      <c r="C139" s="1114"/>
      <c r="D139" s="305"/>
    </row>
    <row r="140" spans="1:4" ht="12.75">
      <c r="A140" s="17" t="s">
        <v>190</v>
      </c>
      <c r="B140" s="18">
        <v>180</v>
      </c>
      <c r="C140" s="1114"/>
      <c r="D140" s="305"/>
    </row>
    <row r="141" spans="1:4" ht="12.75">
      <c r="A141" s="17" t="s">
        <v>191</v>
      </c>
      <c r="B141" s="18">
        <v>180</v>
      </c>
      <c r="C141" s="1114"/>
      <c r="D141" s="305"/>
    </row>
    <row r="142" spans="1:4" ht="12.75">
      <c r="A142" s="17" t="s">
        <v>192</v>
      </c>
      <c r="B142" s="18">
        <v>180</v>
      </c>
      <c r="C142" s="1114"/>
      <c r="D142" s="305"/>
    </row>
    <row r="143" spans="1:4" ht="12.75">
      <c r="A143" s="17" t="s">
        <v>1206</v>
      </c>
      <c r="B143" s="18">
        <v>180</v>
      </c>
      <c r="C143" s="1114"/>
      <c r="D143" s="305"/>
    </row>
    <row r="144" spans="1:4" ht="12.75">
      <c r="A144" s="17" t="s">
        <v>193</v>
      </c>
      <c r="B144" s="18">
        <v>180</v>
      </c>
      <c r="C144" s="1114"/>
      <c r="D144" s="305"/>
    </row>
    <row r="145" spans="1:4" ht="12.75">
      <c r="A145" s="17" t="s">
        <v>1207</v>
      </c>
      <c r="B145" s="18">
        <v>180</v>
      </c>
      <c r="C145" s="1114"/>
      <c r="D145" s="305"/>
    </row>
    <row r="146" spans="1:4" ht="12.75">
      <c r="A146" s="17" t="s">
        <v>194</v>
      </c>
      <c r="B146" s="18">
        <v>180</v>
      </c>
      <c r="C146" s="1114"/>
      <c r="D146" s="305"/>
    </row>
    <row r="147" spans="1:4" ht="12.75">
      <c r="A147" s="17" t="s">
        <v>1208</v>
      </c>
      <c r="B147" s="18">
        <v>180</v>
      </c>
      <c r="C147" s="1114"/>
      <c r="D147" s="305"/>
    </row>
    <row r="148" spans="1:4" ht="12.75">
      <c r="A148" s="17" t="s">
        <v>195</v>
      </c>
      <c r="B148" s="18">
        <v>180</v>
      </c>
      <c r="C148" s="1114"/>
      <c r="D148" s="305"/>
    </row>
    <row r="149" spans="1:4" ht="12.75">
      <c r="A149" s="17" t="s">
        <v>196</v>
      </c>
      <c r="B149" s="18">
        <v>180</v>
      </c>
      <c r="C149" s="1114"/>
      <c r="D149" s="305"/>
    </row>
    <row r="150" spans="1:4" ht="12.75">
      <c r="A150" s="17" t="s">
        <v>197</v>
      </c>
      <c r="B150" s="18">
        <v>180</v>
      </c>
      <c r="C150" s="1114"/>
      <c r="D150" s="305"/>
    </row>
    <row r="151" spans="1:4" ht="12.75">
      <c r="A151" s="17" t="s">
        <v>198</v>
      </c>
      <c r="B151" s="18">
        <v>180</v>
      </c>
      <c r="C151" s="1114"/>
      <c r="D151" s="305"/>
    </row>
    <row r="152" spans="1:4" ht="12.75">
      <c r="A152" s="17" t="s">
        <v>199</v>
      </c>
      <c r="B152" s="18">
        <v>180</v>
      </c>
      <c r="C152" s="1114"/>
      <c r="D152" s="305"/>
    </row>
    <row r="153" spans="1:4" ht="12.75">
      <c r="A153" s="17" t="s">
        <v>200</v>
      </c>
      <c r="B153" s="18">
        <v>180</v>
      </c>
      <c r="C153" s="1114"/>
      <c r="D153" s="305"/>
    </row>
    <row r="154" spans="1:4" ht="12.75">
      <c r="A154" s="17" t="s">
        <v>201</v>
      </c>
      <c r="B154" s="18">
        <v>180</v>
      </c>
      <c r="C154" s="1114"/>
      <c r="D154" s="305"/>
    </row>
    <row r="155" spans="1:4" ht="12.75">
      <c r="A155" s="17" t="s">
        <v>202</v>
      </c>
      <c r="B155" s="18">
        <v>180</v>
      </c>
      <c r="C155" s="1114"/>
      <c r="D155" s="305"/>
    </row>
    <row r="156" spans="1:4" ht="12.75">
      <c r="A156" s="17" t="s">
        <v>203</v>
      </c>
      <c r="B156" s="18">
        <v>180</v>
      </c>
      <c r="C156" s="1114"/>
      <c r="D156" s="305"/>
    </row>
    <row r="157" spans="1:4" ht="12.75">
      <c r="A157" s="17" t="s">
        <v>204</v>
      </c>
      <c r="B157" s="18">
        <v>180</v>
      </c>
      <c r="C157" s="1114"/>
      <c r="D157" s="305"/>
    </row>
    <row r="158" spans="1:4" ht="12.75">
      <c r="A158" s="17" t="s">
        <v>205</v>
      </c>
      <c r="B158" s="18">
        <v>180</v>
      </c>
      <c r="C158" s="1114"/>
      <c r="D158" s="305"/>
    </row>
    <row r="159" spans="1:4" ht="12.75">
      <c r="A159" s="17" t="s">
        <v>206</v>
      </c>
      <c r="B159" s="18">
        <v>180</v>
      </c>
      <c r="C159" s="1114"/>
      <c r="D159" s="305"/>
    </row>
    <row r="160" spans="1:4" ht="12.75">
      <c r="A160" s="17" t="s">
        <v>207</v>
      </c>
      <c r="B160" s="18">
        <v>180</v>
      </c>
      <c r="C160" s="1114"/>
      <c r="D160" s="305"/>
    </row>
    <row r="161" spans="1:4" ht="12.75">
      <c r="A161" s="17" t="s">
        <v>208</v>
      </c>
      <c r="B161" s="18">
        <v>180</v>
      </c>
      <c r="C161" s="1114"/>
      <c r="D161" s="305"/>
    </row>
    <row r="162" spans="1:4" ht="12.75">
      <c r="A162" s="17" t="s">
        <v>1184</v>
      </c>
      <c r="B162" s="18">
        <v>180</v>
      </c>
      <c r="C162" s="1114"/>
      <c r="D162" s="305"/>
    </row>
    <row r="163" spans="1:4" ht="12.75">
      <c r="A163" s="17" t="s">
        <v>209</v>
      </c>
      <c r="B163" s="18">
        <v>180</v>
      </c>
      <c r="C163" s="1114"/>
      <c r="D163" s="305"/>
    </row>
    <row r="164" spans="1:4" ht="12.75">
      <c r="A164" s="17" t="s">
        <v>1183</v>
      </c>
      <c r="B164" s="18">
        <v>180</v>
      </c>
      <c r="C164" s="1114"/>
      <c r="D164" s="305"/>
    </row>
    <row r="165" spans="1:4" ht="12.75">
      <c r="A165" s="17" t="s">
        <v>210</v>
      </c>
      <c r="B165" s="18">
        <v>180</v>
      </c>
      <c r="C165" s="1114"/>
      <c r="D165" s="305"/>
    </row>
    <row r="166" spans="1:4" ht="12.75">
      <c r="A166" s="17" t="s">
        <v>1209</v>
      </c>
      <c r="B166" s="18">
        <v>180</v>
      </c>
      <c r="C166" s="1114"/>
      <c r="D166" s="305"/>
    </row>
    <row r="167" spans="1:4" ht="12.75">
      <c r="A167" s="17" t="s">
        <v>211</v>
      </c>
      <c r="B167" s="18">
        <v>180</v>
      </c>
      <c r="C167" s="1114"/>
      <c r="D167" s="305"/>
    </row>
    <row r="168" spans="1:4" ht="12.75">
      <c r="A168" s="17" t="s">
        <v>212</v>
      </c>
      <c r="B168" s="18">
        <v>180</v>
      </c>
      <c r="C168" s="1114"/>
      <c r="D168" s="305"/>
    </row>
    <row r="169" spans="1:4" ht="12.75">
      <c r="A169" s="17" t="s">
        <v>213</v>
      </c>
      <c r="B169" s="18">
        <v>180</v>
      </c>
      <c r="C169" s="1114"/>
      <c r="D169" s="305"/>
    </row>
    <row r="170" spans="1:4" ht="12.75">
      <c r="A170" s="17" t="s">
        <v>214</v>
      </c>
      <c r="B170" s="18">
        <v>180</v>
      </c>
      <c r="C170" s="1114"/>
      <c r="D170" s="305"/>
    </row>
    <row r="171" spans="1:4" ht="12.75">
      <c r="A171" s="17" t="s">
        <v>215</v>
      </c>
      <c r="B171" s="18">
        <v>180</v>
      </c>
      <c r="C171" s="1114"/>
      <c r="D171" s="305"/>
    </row>
    <row r="172" spans="1:4" ht="12.75">
      <c r="A172" s="17" t="s">
        <v>216</v>
      </c>
      <c r="B172" s="18">
        <v>180</v>
      </c>
      <c r="C172" s="1114"/>
      <c r="D172" s="305"/>
    </row>
    <row r="173" spans="1:4" ht="12.75">
      <c r="A173" s="17" t="s">
        <v>217</v>
      </c>
      <c r="B173" s="18">
        <v>180</v>
      </c>
      <c r="C173" s="1114"/>
      <c r="D173" s="305"/>
    </row>
    <row r="174" spans="1:4" ht="12.75">
      <c r="A174" s="17" t="s">
        <v>218</v>
      </c>
      <c r="B174" s="18">
        <v>180</v>
      </c>
      <c r="C174" s="1114"/>
      <c r="D174" s="305"/>
    </row>
    <row r="175" spans="1:4" ht="12.75">
      <c r="A175" s="17" t="s">
        <v>219</v>
      </c>
      <c r="B175" s="18">
        <v>180</v>
      </c>
      <c r="C175" s="1114"/>
      <c r="D175" s="305"/>
    </row>
    <row r="176" spans="1:4" ht="12.75">
      <c r="A176" s="17" t="s">
        <v>220</v>
      </c>
      <c r="B176" s="18">
        <v>180</v>
      </c>
      <c r="C176" s="1114"/>
      <c r="D176" s="305"/>
    </row>
    <row r="177" spans="1:4" ht="12.75">
      <c r="A177" s="17" t="s">
        <v>221</v>
      </c>
      <c r="B177" s="18">
        <v>210</v>
      </c>
      <c r="C177" s="1114"/>
      <c r="D177" s="305"/>
    </row>
    <row r="178" spans="1:4" ht="12.75">
      <c r="A178" s="17" t="s">
        <v>222</v>
      </c>
      <c r="B178" s="18">
        <v>210</v>
      </c>
      <c r="C178" s="1114"/>
      <c r="D178" s="305"/>
    </row>
    <row r="179" spans="1:4" ht="12.75">
      <c r="A179" s="17" t="s">
        <v>223</v>
      </c>
      <c r="B179" s="18">
        <v>210</v>
      </c>
      <c r="C179" s="1114"/>
      <c r="D179" s="305"/>
    </row>
    <row r="180" spans="1:4" ht="12.75">
      <c r="A180" s="17" t="s">
        <v>224</v>
      </c>
      <c r="B180" s="18">
        <v>210</v>
      </c>
      <c r="C180" s="1114"/>
      <c r="D180" s="305"/>
    </row>
    <row r="181" spans="1:4" ht="12.75">
      <c r="A181" s="17" t="s">
        <v>1210</v>
      </c>
      <c r="B181" s="18">
        <v>210</v>
      </c>
      <c r="C181" s="1114"/>
      <c r="D181" s="305"/>
    </row>
    <row r="182" spans="1:4" ht="12.75">
      <c r="A182" s="17" t="s">
        <v>225</v>
      </c>
      <c r="B182" s="18">
        <v>210</v>
      </c>
      <c r="C182" s="1114"/>
      <c r="D182" s="305"/>
    </row>
    <row r="183" spans="1:4" ht="12.75">
      <c r="A183" s="17" t="s">
        <v>1211</v>
      </c>
      <c r="B183" s="18">
        <v>210</v>
      </c>
      <c r="C183" s="1114"/>
      <c r="D183" s="305"/>
    </row>
    <row r="184" spans="1:4" ht="12.75">
      <c r="A184" s="17" t="s">
        <v>226</v>
      </c>
      <c r="B184" s="18">
        <v>210</v>
      </c>
      <c r="C184" s="1114"/>
      <c r="D184" s="305"/>
    </row>
    <row r="185" spans="1:4" ht="12.75">
      <c r="A185" s="17" t="s">
        <v>1212</v>
      </c>
      <c r="B185" s="18">
        <v>210</v>
      </c>
      <c r="C185" s="1114"/>
      <c r="D185" s="305"/>
    </row>
    <row r="186" spans="1:4" ht="12.75">
      <c r="A186" s="17" t="s">
        <v>227</v>
      </c>
      <c r="B186" s="18">
        <v>210</v>
      </c>
      <c r="C186" s="1114"/>
      <c r="D186" s="305"/>
    </row>
    <row r="187" spans="1:4" ht="12.75">
      <c r="A187" s="17" t="s">
        <v>228</v>
      </c>
      <c r="B187" s="18">
        <v>210</v>
      </c>
      <c r="C187" s="1114"/>
      <c r="D187" s="305"/>
    </row>
    <row r="188" spans="1:4" ht="12.75">
      <c r="A188" s="17" t="s">
        <v>229</v>
      </c>
      <c r="B188" s="18">
        <v>210</v>
      </c>
      <c r="C188" s="1114"/>
      <c r="D188" s="305"/>
    </row>
    <row r="189" spans="1:4" ht="12.75">
      <c r="A189" s="17" t="s">
        <v>230</v>
      </c>
      <c r="B189" s="18">
        <v>210</v>
      </c>
      <c r="C189" s="1114"/>
      <c r="D189" s="305"/>
    </row>
    <row r="190" spans="1:4" ht="12.75">
      <c r="A190" s="17" t="s">
        <v>231</v>
      </c>
      <c r="B190" s="18">
        <v>210</v>
      </c>
      <c r="C190" s="1114"/>
      <c r="D190" s="305"/>
    </row>
    <row r="191" spans="1:4" ht="12.75">
      <c r="A191" s="17" t="s">
        <v>232</v>
      </c>
      <c r="B191" s="18">
        <v>210</v>
      </c>
      <c r="C191" s="1114"/>
      <c r="D191" s="305"/>
    </row>
    <row r="192" spans="1:4" ht="12.75">
      <c r="A192" s="17" t="s">
        <v>233</v>
      </c>
      <c r="B192" s="18">
        <v>210</v>
      </c>
      <c r="C192" s="1114"/>
      <c r="D192" s="305"/>
    </row>
    <row r="193" spans="1:4" ht="12.75">
      <c r="A193" s="17" t="s">
        <v>234</v>
      </c>
      <c r="B193" s="18">
        <v>210</v>
      </c>
      <c r="C193" s="1114"/>
      <c r="D193" s="305"/>
    </row>
    <row r="194" spans="1:4" ht="12.75">
      <c r="A194" s="17" t="s">
        <v>235</v>
      </c>
      <c r="B194" s="18">
        <v>210</v>
      </c>
      <c r="C194" s="1114"/>
      <c r="D194" s="305"/>
    </row>
    <row r="195" spans="1:4" ht="12.75">
      <c r="A195" s="17" t="s">
        <v>236</v>
      </c>
      <c r="B195" s="18">
        <v>210</v>
      </c>
      <c r="C195" s="1114"/>
      <c r="D195" s="305"/>
    </row>
    <row r="196" spans="1:4" ht="12.75">
      <c r="A196" s="17" t="s">
        <v>237</v>
      </c>
      <c r="B196" s="18">
        <v>210</v>
      </c>
      <c r="C196" s="1114"/>
      <c r="D196" s="305"/>
    </row>
    <row r="197" spans="1:4" ht="12.75">
      <c r="A197" s="17" t="s">
        <v>238</v>
      </c>
      <c r="B197" s="18">
        <v>210</v>
      </c>
      <c r="C197" s="1114"/>
      <c r="D197" s="305"/>
    </row>
    <row r="198" spans="1:4" ht="12.75">
      <c r="A198" s="17" t="s">
        <v>239</v>
      </c>
      <c r="B198" s="18">
        <v>210</v>
      </c>
      <c r="C198" s="1114"/>
      <c r="D198" s="305"/>
    </row>
    <row r="199" spans="1:4" ht="12.75">
      <c r="A199" s="17" t="s">
        <v>240</v>
      </c>
      <c r="B199" s="18">
        <v>210</v>
      </c>
      <c r="C199" s="1114"/>
      <c r="D199" s="305"/>
    </row>
    <row r="200" spans="1:4" ht="12.75">
      <c r="A200" s="17" t="s">
        <v>1213</v>
      </c>
      <c r="B200" s="18">
        <v>210</v>
      </c>
      <c r="C200" s="1114"/>
      <c r="D200" s="305"/>
    </row>
    <row r="201" spans="1:4" ht="12.75">
      <c r="A201" s="17" t="s">
        <v>241</v>
      </c>
      <c r="B201" s="18">
        <v>210</v>
      </c>
      <c r="C201" s="1114"/>
      <c r="D201" s="305"/>
    </row>
    <row r="202" spans="1:4" ht="12.75">
      <c r="A202" s="17" t="s">
        <v>1214</v>
      </c>
      <c r="B202" s="18">
        <v>210</v>
      </c>
      <c r="C202" s="1114"/>
      <c r="D202" s="305"/>
    </row>
    <row r="203" spans="1:4" ht="12.75">
      <c r="A203" s="17" t="s">
        <v>242</v>
      </c>
      <c r="B203" s="18">
        <v>210</v>
      </c>
      <c r="C203" s="1114"/>
      <c r="D203" s="305"/>
    </row>
    <row r="204" spans="1:4" ht="12.75">
      <c r="A204" s="17" t="s">
        <v>1215</v>
      </c>
      <c r="B204" s="18">
        <v>210</v>
      </c>
      <c r="C204" s="1114"/>
      <c r="D204" s="305"/>
    </row>
    <row r="205" spans="1:4" ht="12.75">
      <c r="A205" s="17" t="s">
        <v>243</v>
      </c>
      <c r="B205" s="18">
        <v>210</v>
      </c>
      <c r="C205" s="1114"/>
      <c r="D205" s="305"/>
    </row>
    <row r="206" spans="1:4" ht="12.75">
      <c r="A206" s="17" t="s">
        <v>244</v>
      </c>
      <c r="B206" s="18">
        <v>210</v>
      </c>
      <c r="C206" s="1114"/>
      <c r="D206" s="305"/>
    </row>
    <row r="207" spans="1:4" ht="12.75">
      <c r="A207" s="17" t="s">
        <v>245</v>
      </c>
      <c r="B207" s="18">
        <v>210</v>
      </c>
      <c r="C207" s="1114"/>
      <c r="D207" s="305"/>
    </row>
    <row r="208" spans="1:4" ht="12.75">
      <c r="A208" s="17" t="s">
        <v>246</v>
      </c>
      <c r="B208" s="18">
        <v>210</v>
      </c>
      <c r="C208" s="1114"/>
      <c r="D208" s="305"/>
    </row>
    <row r="209" spans="1:4" ht="12.75">
      <c r="A209" s="17" t="s">
        <v>247</v>
      </c>
      <c r="B209" s="18">
        <v>210</v>
      </c>
      <c r="C209" s="1114"/>
      <c r="D209" s="305"/>
    </row>
    <row r="210" spans="1:4" ht="12.75">
      <c r="A210" s="17" t="s">
        <v>248</v>
      </c>
      <c r="B210" s="18">
        <v>210</v>
      </c>
      <c r="C210" s="1114"/>
      <c r="D210" s="305"/>
    </row>
    <row r="211" spans="1:4" ht="12.75">
      <c r="A211" s="17" t="s">
        <v>249</v>
      </c>
      <c r="B211" s="18">
        <v>210</v>
      </c>
      <c r="C211" s="1114"/>
      <c r="D211" s="305"/>
    </row>
    <row r="212" spans="1:4" ht="12.75">
      <c r="A212" s="17" t="s">
        <v>250</v>
      </c>
      <c r="B212" s="18">
        <v>210</v>
      </c>
      <c r="C212" s="1114"/>
      <c r="D212" s="305"/>
    </row>
    <row r="213" spans="1:4" ht="12.75">
      <c r="A213" s="17" t="s">
        <v>251</v>
      </c>
      <c r="B213" s="18">
        <v>210</v>
      </c>
      <c r="C213" s="1114"/>
      <c r="D213" s="305"/>
    </row>
    <row r="214" spans="1:4" ht="12.75">
      <c r="A214" s="17" t="s">
        <v>252</v>
      </c>
      <c r="B214" s="18">
        <v>210</v>
      </c>
      <c r="C214" s="1114"/>
      <c r="D214" s="305"/>
    </row>
    <row r="215" spans="1:4" ht="12.75">
      <c r="A215" s="17" t="s">
        <v>253</v>
      </c>
      <c r="B215" s="18">
        <v>210</v>
      </c>
      <c r="C215" s="1114"/>
      <c r="D215" s="305"/>
    </row>
    <row r="216" spans="1:4" ht="12.75">
      <c r="A216" s="17" t="s">
        <v>254</v>
      </c>
      <c r="B216" s="18">
        <v>210</v>
      </c>
      <c r="C216" s="1114"/>
      <c r="D216" s="305"/>
    </row>
    <row r="217" spans="1:4" ht="12.75">
      <c r="A217" s="17" t="s">
        <v>255</v>
      </c>
      <c r="B217" s="18">
        <v>210</v>
      </c>
      <c r="C217" s="1114"/>
      <c r="D217" s="305"/>
    </row>
    <row r="218" spans="1:4" ht="12.75">
      <c r="A218" s="17" t="s">
        <v>256</v>
      </c>
      <c r="B218" s="18">
        <v>210</v>
      </c>
      <c r="C218" s="1114"/>
      <c r="D218" s="305"/>
    </row>
    <row r="219" spans="1:4" ht="12.75">
      <c r="A219" s="17" t="s">
        <v>1216</v>
      </c>
      <c r="B219" s="18">
        <v>210</v>
      </c>
      <c r="C219" s="1114"/>
      <c r="D219" s="305"/>
    </row>
    <row r="220" spans="1:4" ht="12.75">
      <c r="A220" s="17" t="s">
        <v>257</v>
      </c>
      <c r="B220" s="18">
        <v>210</v>
      </c>
      <c r="C220" s="1114"/>
      <c r="D220" s="305"/>
    </row>
    <row r="221" spans="1:4" ht="12.75">
      <c r="A221" s="17" t="s">
        <v>1217</v>
      </c>
      <c r="B221" s="18">
        <v>210</v>
      </c>
      <c r="C221" s="1114"/>
      <c r="D221" s="305"/>
    </row>
    <row r="222" spans="1:4" ht="12.75">
      <c r="A222" s="17" t="s">
        <v>258</v>
      </c>
      <c r="B222" s="18">
        <v>210</v>
      </c>
      <c r="C222" s="1114"/>
      <c r="D222" s="305"/>
    </row>
    <row r="223" spans="1:4" ht="12.75">
      <c r="A223" s="17" t="s">
        <v>1218</v>
      </c>
      <c r="B223" s="18">
        <v>210</v>
      </c>
      <c r="C223" s="1114"/>
      <c r="D223" s="305"/>
    </row>
    <row r="224" spans="1:4" ht="12.75">
      <c r="A224" s="17" t="s">
        <v>259</v>
      </c>
      <c r="B224" s="18">
        <v>210</v>
      </c>
      <c r="C224" s="1114"/>
      <c r="D224" s="305"/>
    </row>
    <row r="225" spans="1:4" ht="12.75">
      <c r="A225" s="17" t="s">
        <v>1219</v>
      </c>
      <c r="B225" s="18">
        <v>210</v>
      </c>
      <c r="C225" s="1114"/>
      <c r="D225" s="305"/>
    </row>
    <row r="226" spans="1:4" ht="12.75">
      <c r="A226" s="17" t="s">
        <v>260</v>
      </c>
      <c r="B226" s="18">
        <v>210</v>
      </c>
      <c r="C226" s="1114"/>
      <c r="D226" s="305"/>
    </row>
    <row r="227" spans="1:4" ht="12.75">
      <c r="A227" s="17" t="s">
        <v>261</v>
      </c>
      <c r="B227" s="18">
        <v>210</v>
      </c>
      <c r="C227" s="1114"/>
      <c r="D227" s="305"/>
    </row>
    <row r="228" spans="1:4" ht="12.75">
      <c r="A228" s="17" t="s">
        <v>262</v>
      </c>
      <c r="B228" s="18">
        <v>210</v>
      </c>
      <c r="C228" s="1114"/>
      <c r="D228" s="305"/>
    </row>
    <row r="229" spans="1:4" ht="12.75">
      <c r="A229" s="17" t="s">
        <v>263</v>
      </c>
      <c r="B229" s="18">
        <v>210</v>
      </c>
      <c r="C229" s="1114"/>
      <c r="D229" s="305"/>
    </row>
    <row r="230" spans="1:4" ht="12.75">
      <c r="A230" s="17" t="s">
        <v>264</v>
      </c>
      <c r="B230" s="18">
        <v>210</v>
      </c>
      <c r="C230" s="1114"/>
      <c r="D230" s="305"/>
    </row>
    <row r="231" spans="1:4" ht="12.75">
      <c r="A231" s="17" t="s">
        <v>265</v>
      </c>
      <c r="B231" s="18">
        <v>210</v>
      </c>
      <c r="C231" s="1114"/>
      <c r="D231" s="305"/>
    </row>
    <row r="232" spans="1:4" ht="12.75">
      <c r="A232" s="17" t="s">
        <v>266</v>
      </c>
      <c r="B232" s="18">
        <v>210</v>
      </c>
      <c r="C232" s="1114"/>
      <c r="D232" s="305"/>
    </row>
    <row r="233" spans="1:4" ht="12.75">
      <c r="A233" s="17" t="s">
        <v>267</v>
      </c>
      <c r="B233" s="18">
        <v>210</v>
      </c>
      <c r="C233" s="1114"/>
      <c r="D233" s="305"/>
    </row>
    <row r="234" spans="1:4" ht="12.75">
      <c r="A234" s="17" t="s">
        <v>268</v>
      </c>
      <c r="B234" s="18">
        <v>210</v>
      </c>
      <c r="C234" s="1114"/>
      <c r="D234" s="305"/>
    </row>
    <row r="235" spans="1:4" ht="12.75">
      <c r="A235" s="17" t="s">
        <v>269</v>
      </c>
      <c r="B235" s="18">
        <v>170</v>
      </c>
      <c r="C235" s="1114"/>
      <c r="D235" s="305"/>
    </row>
    <row r="236" spans="1:4" ht="12.75">
      <c r="A236" s="17" t="s">
        <v>270</v>
      </c>
      <c r="B236" s="18">
        <v>170</v>
      </c>
      <c r="C236" s="1114"/>
      <c r="D236" s="305"/>
    </row>
    <row r="237" spans="1:4" ht="12.75">
      <c r="A237" s="17" t="s">
        <v>271</v>
      </c>
      <c r="B237" s="18">
        <v>170</v>
      </c>
      <c r="C237" s="1114"/>
      <c r="D237" s="305"/>
    </row>
    <row r="238" spans="1:4" ht="12.75">
      <c r="A238" s="17" t="s">
        <v>272</v>
      </c>
      <c r="B238" s="18">
        <v>170</v>
      </c>
      <c r="C238" s="1114"/>
      <c r="D238" s="305"/>
    </row>
    <row r="239" spans="1:4" ht="12.75">
      <c r="A239" s="17" t="s">
        <v>1220</v>
      </c>
      <c r="B239" s="18">
        <v>170</v>
      </c>
      <c r="C239" s="1114"/>
      <c r="D239" s="305"/>
    </row>
    <row r="240" spans="1:4" ht="12.75">
      <c r="A240" s="17" t="s">
        <v>273</v>
      </c>
      <c r="B240" s="18">
        <v>170</v>
      </c>
      <c r="C240" s="1114"/>
      <c r="D240" s="305"/>
    </row>
    <row r="241" spans="1:4" ht="12.75">
      <c r="A241" s="17" t="s">
        <v>1221</v>
      </c>
      <c r="B241" s="18">
        <v>170</v>
      </c>
      <c r="C241" s="1114"/>
      <c r="D241" s="305"/>
    </row>
    <row r="242" spans="1:4" ht="12.75">
      <c r="A242" s="17" t="s">
        <v>274</v>
      </c>
      <c r="B242" s="18">
        <v>170</v>
      </c>
      <c r="C242" s="1114"/>
      <c r="D242" s="305"/>
    </row>
    <row r="243" spans="1:4" ht="12.75">
      <c r="A243" s="17" t="s">
        <v>1222</v>
      </c>
      <c r="B243" s="18">
        <v>170</v>
      </c>
      <c r="C243" s="1114"/>
      <c r="D243" s="305"/>
    </row>
    <row r="244" spans="1:4" ht="12.75">
      <c r="A244" s="17" t="s">
        <v>275</v>
      </c>
      <c r="B244" s="18">
        <v>170</v>
      </c>
      <c r="C244" s="1114"/>
      <c r="D244" s="305"/>
    </row>
    <row r="245" spans="1:4" ht="12.75">
      <c r="A245" s="17" t="s">
        <v>276</v>
      </c>
      <c r="B245" s="18">
        <v>170</v>
      </c>
      <c r="C245" s="1114"/>
      <c r="D245" s="305"/>
    </row>
    <row r="246" spans="1:4" ht="12.75">
      <c r="A246" s="17" t="s">
        <v>277</v>
      </c>
      <c r="B246" s="18">
        <v>170</v>
      </c>
      <c r="C246" s="1114"/>
      <c r="D246" s="305"/>
    </row>
    <row r="247" spans="1:4" ht="12.75">
      <c r="A247" s="17" t="s">
        <v>278</v>
      </c>
      <c r="B247" s="18">
        <v>170</v>
      </c>
      <c r="C247" s="1114"/>
      <c r="D247" s="305"/>
    </row>
    <row r="248" spans="1:4" ht="12.75">
      <c r="A248" s="17" t="s">
        <v>279</v>
      </c>
      <c r="B248" s="18">
        <v>170</v>
      </c>
      <c r="C248" s="1114"/>
      <c r="D248" s="305"/>
    </row>
    <row r="249" spans="1:4" ht="12.75">
      <c r="A249" s="17" t="s">
        <v>280</v>
      </c>
      <c r="B249" s="18">
        <v>170</v>
      </c>
      <c r="C249" s="1114"/>
      <c r="D249" s="305"/>
    </row>
    <row r="250" spans="1:4" ht="12.75">
      <c r="A250" s="17" t="s">
        <v>281</v>
      </c>
      <c r="B250" s="18">
        <v>170</v>
      </c>
      <c r="C250" s="1114"/>
      <c r="D250" s="305"/>
    </row>
    <row r="251" spans="1:4" ht="12.75">
      <c r="A251" s="17" t="s">
        <v>282</v>
      </c>
      <c r="B251" s="18">
        <v>170</v>
      </c>
      <c r="C251" s="1114"/>
      <c r="D251" s="305"/>
    </row>
    <row r="252" spans="1:4" ht="12.75">
      <c r="A252" s="17" t="s">
        <v>283</v>
      </c>
      <c r="B252" s="18">
        <v>170</v>
      </c>
      <c r="C252" s="1114"/>
      <c r="D252" s="305"/>
    </row>
    <row r="253" spans="1:4" ht="12.75">
      <c r="A253" s="17" t="s">
        <v>284</v>
      </c>
      <c r="B253" s="18">
        <v>170</v>
      </c>
      <c r="C253" s="1114"/>
      <c r="D253" s="305"/>
    </row>
    <row r="254" spans="1:4" ht="12.75">
      <c r="A254" s="17" t="s">
        <v>285</v>
      </c>
      <c r="B254" s="18">
        <v>170</v>
      </c>
      <c r="C254" s="1114"/>
      <c r="D254" s="305"/>
    </row>
    <row r="255" spans="1:4" ht="12.75">
      <c r="A255" s="17" t="s">
        <v>286</v>
      </c>
      <c r="B255" s="18">
        <v>170</v>
      </c>
      <c r="C255" s="1114"/>
      <c r="D255" s="305"/>
    </row>
    <row r="256" spans="1:4" ht="12.75">
      <c r="A256" s="17" t="s">
        <v>287</v>
      </c>
      <c r="B256" s="18">
        <v>170</v>
      </c>
      <c r="C256" s="1114"/>
      <c r="D256" s="305"/>
    </row>
    <row r="257" spans="1:4" ht="12.75">
      <c r="A257" s="17" t="s">
        <v>288</v>
      </c>
      <c r="B257" s="18">
        <v>170</v>
      </c>
      <c r="C257" s="1114"/>
      <c r="D257" s="305"/>
    </row>
    <row r="258" spans="1:4" ht="12.75">
      <c r="A258" s="17" t="s">
        <v>1223</v>
      </c>
      <c r="B258" s="18">
        <v>170</v>
      </c>
      <c r="C258" s="1114"/>
      <c r="D258" s="305"/>
    </row>
    <row r="259" spans="1:4" ht="12.75">
      <c r="A259" s="17" t="s">
        <v>289</v>
      </c>
      <c r="B259" s="18">
        <v>170</v>
      </c>
      <c r="C259" s="1114"/>
      <c r="D259" s="305"/>
    </row>
    <row r="260" spans="1:4" ht="12.75">
      <c r="A260" s="17" t="s">
        <v>1224</v>
      </c>
      <c r="B260" s="18">
        <v>170</v>
      </c>
      <c r="C260" s="1114"/>
      <c r="D260" s="305"/>
    </row>
    <row r="261" spans="1:4" ht="12.75">
      <c r="A261" s="17" t="s">
        <v>290</v>
      </c>
      <c r="B261" s="18">
        <v>170</v>
      </c>
      <c r="C261" s="1114"/>
      <c r="D261" s="305"/>
    </row>
    <row r="262" spans="1:4" ht="12.75">
      <c r="A262" s="17" t="s">
        <v>1225</v>
      </c>
      <c r="B262" s="18">
        <v>170</v>
      </c>
      <c r="C262" s="1114"/>
      <c r="D262" s="305"/>
    </row>
    <row r="263" spans="1:4" ht="12.75">
      <c r="A263" s="17" t="s">
        <v>291</v>
      </c>
      <c r="B263" s="18">
        <v>170</v>
      </c>
      <c r="C263" s="1114"/>
      <c r="D263" s="305"/>
    </row>
    <row r="264" spans="1:4" ht="12.75">
      <c r="A264" s="17" t="s">
        <v>292</v>
      </c>
      <c r="B264" s="18">
        <v>170</v>
      </c>
      <c r="C264" s="1114"/>
      <c r="D264" s="305"/>
    </row>
    <row r="265" spans="1:4" ht="12.75">
      <c r="A265" s="17" t="s">
        <v>293</v>
      </c>
      <c r="B265" s="18">
        <v>170</v>
      </c>
      <c r="C265" s="1114"/>
      <c r="D265" s="305"/>
    </row>
    <row r="266" spans="1:4" ht="12.75">
      <c r="A266" s="17" t="s">
        <v>294</v>
      </c>
      <c r="B266" s="18">
        <v>170</v>
      </c>
      <c r="C266" s="1114"/>
      <c r="D266" s="305"/>
    </row>
    <row r="267" spans="1:4" ht="12.75">
      <c r="A267" s="17" t="s">
        <v>295</v>
      </c>
      <c r="B267" s="18">
        <v>170</v>
      </c>
      <c r="C267" s="1114"/>
      <c r="D267" s="305"/>
    </row>
    <row r="268" spans="1:4" ht="12.75">
      <c r="A268" s="17" t="s">
        <v>296</v>
      </c>
      <c r="B268" s="18">
        <v>170</v>
      </c>
      <c r="C268" s="1114"/>
      <c r="D268" s="305"/>
    </row>
    <row r="269" spans="1:4" ht="12.75">
      <c r="A269" s="17" t="s">
        <v>297</v>
      </c>
      <c r="B269" s="18">
        <v>170</v>
      </c>
      <c r="C269" s="1114"/>
      <c r="D269" s="305"/>
    </row>
    <row r="270" spans="1:4" ht="12.75">
      <c r="A270" s="17" t="s">
        <v>298</v>
      </c>
      <c r="B270" s="18">
        <v>170</v>
      </c>
      <c r="C270" s="1114"/>
      <c r="D270" s="305"/>
    </row>
    <row r="271" spans="1:4" ht="12.75">
      <c r="A271" s="17" t="s">
        <v>299</v>
      </c>
      <c r="B271" s="18">
        <v>170</v>
      </c>
      <c r="C271" s="1114"/>
      <c r="D271" s="305"/>
    </row>
    <row r="272" spans="1:4" ht="12.75">
      <c r="A272" s="17" t="s">
        <v>300</v>
      </c>
      <c r="B272" s="18">
        <v>170</v>
      </c>
      <c r="C272" s="1114"/>
      <c r="D272" s="305"/>
    </row>
    <row r="273" spans="1:4" ht="12.75">
      <c r="A273" s="17" t="s">
        <v>301</v>
      </c>
      <c r="B273" s="18">
        <v>170</v>
      </c>
      <c r="C273" s="1114"/>
      <c r="D273" s="305"/>
    </row>
    <row r="274" spans="1:4" ht="12.75">
      <c r="A274" s="17" t="s">
        <v>302</v>
      </c>
      <c r="B274" s="18">
        <v>170</v>
      </c>
      <c r="C274" s="1114"/>
      <c r="D274" s="305"/>
    </row>
    <row r="275" spans="1:4" ht="12.75">
      <c r="A275" s="17" t="s">
        <v>303</v>
      </c>
      <c r="B275" s="18">
        <v>170</v>
      </c>
      <c r="C275" s="1114"/>
      <c r="D275" s="305"/>
    </row>
    <row r="276" spans="1:4" ht="12.75">
      <c r="A276" s="17" t="s">
        <v>304</v>
      </c>
      <c r="B276" s="18">
        <v>170</v>
      </c>
      <c r="C276" s="1114"/>
      <c r="D276" s="305"/>
    </row>
    <row r="277" spans="1:4" ht="12.75">
      <c r="A277" s="17" t="s">
        <v>1226</v>
      </c>
      <c r="B277" s="18">
        <v>170</v>
      </c>
      <c r="C277" s="1114"/>
      <c r="D277" s="305"/>
    </row>
    <row r="278" spans="1:4" ht="12.75">
      <c r="A278" s="17" t="s">
        <v>305</v>
      </c>
      <c r="B278" s="18">
        <v>170</v>
      </c>
      <c r="C278" s="1114"/>
      <c r="D278" s="305"/>
    </row>
    <row r="279" spans="1:4" ht="12.75">
      <c r="A279" s="17" t="s">
        <v>1227</v>
      </c>
      <c r="B279" s="18">
        <v>170</v>
      </c>
      <c r="C279" s="1114"/>
      <c r="D279" s="305"/>
    </row>
    <row r="280" spans="1:4" ht="12.75">
      <c r="A280" s="17" t="s">
        <v>306</v>
      </c>
      <c r="B280" s="18">
        <v>170</v>
      </c>
      <c r="C280" s="1114"/>
      <c r="D280" s="305"/>
    </row>
    <row r="281" spans="1:4" ht="12.75">
      <c r="A281" s="17" t="s">
        <v>1228</v>
      </c>
      <c r="B281" s="18">
        <v>170</v>
      </c>
      <c r="C281" s="1114"/>
      <c r="D281" s="305"/>
    </row>
    <row r="282" spans="1:4" ht="12.75">
      <c r="A282" s="17" t="s">
        <v>307</v>
      </c>
      <c r="B282" s="18">
        <v>170</v>
      </c>
      <c r="C282" s="1114"/>
      <c r="D282" s="305"/>
    </row>
    <row r="283" spans="1:4" ht="12.75">
      <c r="A283" s="17" t="s">
        <v>308</v>
      </c>
      <c r="B283" s="18">
        <v>170</v>
      </c>
      <c r="C283" s="1114"/>
      <c r="D283" s="305"/>
    </row>
    <row r="284" spans="1:4" ht="12.75">
      <c r="A284" s="17" t="s">
        <v>309</v>
      </c>
      <c r="B284" s="18">
        <v>170</v>
      </c>
      <c r="C284" s="1114"/>
      <c r="D284" s="305"/>
    </row>
    <row r="285" spans="1:4" ht="12.75">
      <c r="A285" s="17" t="s">
        <v>310</v>
      </c>
      <c r="B285" s="18">
        <v>170</v>
      </c>
      <c r="C285" s="1114"/>
      <c r="D285" s="305"/>
    </row>
    <row r="286" spans="1:4" ht="12.75">
      <c r="A286" s="17" t="s">
        <v>311</v>
      </c>
      <c r="B286" s="18">
        <v>170</v>
      </c>
      <c r="C286" s="1114"/>
      <c r="D286" s="305"/>
    </row>
    <row r="287" spans="1:4" ht="12.75">
      <c r="A287" s="17" t="s">
        <v>312</v>
      </c>
      <c r="B287" s="18">
        <v>170</v>
      </c>
      <c r="C287" s="1114"/>
      <c r="D287" s="305"/>
    </row>
    <row r="288" spans="1:4" ht="12.75">
      <c r="A288" s="17" t="s">
        <v>313</v>
      </c>
      <c r="B288" s="18">
        <v>170</v>
      </c>
      <c r="C288" s="1114"/>
      <c r="D288" s="305"/>
    </row>
    <row r="289" spans="1:4" ht="12.75">
      <c r="A289" s="17" t="s">
        <v>314</v>
      </c>
      <c r="B289" s="18">
        <v>170</v>
      </c>
      <c r="C289" s="1114"/>
      <c r="D289" s="305"/>
    </row>
    <row r="290" spans="1:4" ht="12.75">
      <c r="A290" s="17" t="s">
        <v>315</v>
      </c>
      <c r="B290" s="18">
        <v>170</v>
      </c>
      <c r="C290" s="1114"/>
      <c r="D290" s="305"/>
    </row>
    <row r="291" spans="1:4" ht="12.75">
      <c r="A291" s="17" t="s">
        <v>316</v>
      </c>
      <c r="B291" s="18">
        <v>170</v>
      </c>
      <c r="C291" s="1114"/>
      <c r="D291" s="305"/>
    </row>
    <row r="292" spans="1:4" ht="12.75">
      <c r="A292" s="17" t="s">
        <v>317</v>
      </c>
      <c r="B292" s="18">
        <v>170</v>
      </c>
      <c r="C292" s="1114"/>
      <c r="D292" s="305"/>
    </row>
    <row r="293" spans="1:4" ht="12.75">
      <c r="A293" s="17" t="s">
        <v>318</v>
      </c>
      <c r="B293" s="18">
        <v>170</v>
      </c>
      <c r="C293" s="1114"/>
      <c r="D293" s="305"/>
    </row>
    <row r="294" spans="1:4" ht="12.75">
      <c r="A294" s="17" t="s">
        <v>319</v>
      </c>
      <c r="B294" s="18">
        <v>170</v>
      </c>
      <c r="C294" s="1114"/>
      <c r="D294" s="305"/>
    </row>
    <row r="295" spans="1:4" ht="12.75">
      <c r="A295" s="17" t="s">
        <v>320</v>
      </c>
      <c r="B295" s="18">
        <v>170</v>
      </c>
      <c r="C295" s="1114"/>
      <c r="D295" s="305"/>
    </row>
    <row r="296" spans="1:4" ht="12.75">
      <c r="A296" s="17" t="s">
        <v>1229</v>
      </c>
      <c r="B296" s="18">
        <v>170</v>
      </c>
      <c r="C296" s="1114"/>
      <c r="D296" s="305"/>
    </row>
    <row r="297" spans="1:4" ht="12.75">
      <c r="A297" s="17" t="s">
        <v>321</v>
      </c>
      <c r="B297" s="18">
        <v>170</v>
      </c>
      <c r="C297" s="1114"/>
      <c r="D297" s="305"/>
    </row>
    <row r="298" spans="1:4" ht="12.75">
      <c r="A298" s="17" t="s">
        <v>1230</v>
      </c>
      <c r="B298" s="18">
        <v>170</v>
      </c>
      <c r="C298" s="1114"/>
      <c r="D298" s="305"/>
    </row>
    <row r="299" spans="1:4" ht="12.75">
      <c r="A299" s="17" t="s">
        <v>322</v>
      </c>
      <c r="B299" s="18">
        <v>170</v>
      </c>
      <c r="C299" s="1114"/>
      <c r="D299" s="305"/>
    </row>
    <row r="300" spans="1:4" ht="12.75">
      <c r="A300" s="17" t="s">
        <v>1231</v>
      </c>
      <c r="B300" s="18">
        <v>170</v>
      </c>
      <c r="C300" s="1114"/>
      <c r="D300" s="305"/>
    </row>
    <row r="301" spans="1:4" ht="12.75">
      <c r="A301" s="17" t="s">
        <v>323</v>
      </c>
      <c r="B301" s="18">
        <v>170</v>
      </c>
      <c r="C301" s="1114"/>
      <c r="D301" s="305"/>
    </row>
    <row r="302" spans="1:4" ht="12.75">
      <c r="A302" s="17" t="s">
        <v>324</v>
      </c>
      <c r="B302" s="18">
        <v>170</v>
      </c>
      <c r="C302" s="1114"/>
      <c r="D302" s="305"/>
    </row>
    <row r="303" spans="1:4" ht="12.75">
      <c r="A303" s="17" t="s">
        <v>325</v>
      </c>
      <c r="B303" s="18">
        <v>170</v>
      </c>
      <c r="C303" s="1114"/>
      <c r="D303" s="305"/>
    </row>
    <row r="304" spans="1:4" ht="12.75">
      <c r="A304" s="17" t="s">
        <v>326</v>
      </c>
      <c r="B304" s="18">
        <v>170</v>
      </c>
      <c r="C304" s="1114"/>
      <c r="D304" s="305"/>
    </row>
    <row r="305" spans="1:4" ht="12.75">
      <c r="A305" s="17" t="s">
        <v>327</v>
      </c>
      <c r="B305" s="18">
        <v>170</v>
      </c>
      <c r="C305" s="1114"/>
      <c r="D305" s="305"/>
    </row>
    <row r="306" spans="1:4" ht="12.75">
      <c r="A306" s="17" t="s">
        <v>328</v>
      </c>
      <c r="B306" s="18">
        <v>170</v>
      </c>
      <c r="C306" s="1114"/>
      <c r="D306" s="305"/>
    </row>
    <row r="307" spans="1:4" ht="12.75">
      <c r="A307" s="17" t="s">
        <v>329</v>
      </c>
      <c r="B307" s="18">
        <v>170</v>
      </c>
      <c r="C307" s="1114"/>
      <c r="D307" s="305"/>
    </row>
    <row r="308" spans="1:4" ht="12.75">
      <c r="A308" s="17" t="s">
        <v>330</v>
      </c>
      <c r="B308" s="18">
        <v>170</v>
      </c>
      <c r="C308" s="1114"/>
      <c r="D308" s="305"/>
    </row>
    <row r="309" spans="1:4" ht="12.75">
      <c r="A309" s="17" t="s">
        <v>331</v>
      </c>
      <c r="B309" s="18">
        <v>170</v>
      </c>
      <c r="C309" s="1114"/>
      <c r="D309" s="305"/>
    </row>
    <row r="310" spans="1:4" ht="12.75">
      <c r="A310" s="17" t="s">
        <v>332</v>
      </c>
      <c r="B310" s="18">
        <v>170</v>
      </c>
      <c r="C310" s="1114"/>
      <c r="D310" s="305"/>
    </row>
    <row r="311" spans="1:4" ht="12.75">
      <c r="A311" s="17" t="s">
        <v>333</v>
      </c>
      <c r="B311" s="18">
        <v>170</v>
      </c>
      <c r="C311" s="1114"/>
      <c r="D311" s="305"/>
    </row>
    <row r="312" spans="1:4" ht="12.75">
      <c r="A312" s="17" t="s">
        <v>334</v>
      </c>
      <c r="B312" s="18">
        <v>170</v>
      </c>
      <c r="C312" s="1114"/>
      <c r="D312" s="305"/>
    </row>
    <row r="313" spans="1:4" ht="12.75">
      <c r="A313" s="17" t="s">
        <v>335</v>
      </c>
      <c r="B313" s="18">
        <v>170</v>
      </c>
      <c r="C313" s="1114"/>
      <c r="D313" s="305"/>
    </row>
    <row r="314" spans="1:4" ht="12.75">
      <c r="A314" s="17" t="s">
        <v>336</v>
      </c>
      <c r="B314" s="18">
        <v>170</v>
      </c>
      <c r="C314" s="1114"/>
      <c r="D314" s="305"/>
    </row>
    <row r="315" spans="1:4" ht="12.75">
      <c r="A315" s="17" t="s">
        <v>1232</v>
      </c>
      <c r="B315" s="18">
        <v>170</v>
      </c>
      <c r="C315" s="1114"/>
      <c r="D315" s="305"/>
    </row>
    <row r="316" spans="1:4" ht="12.75">
      <c r="A316" s="17" t="s">
        <v>337</v>
      </c>
      <c r="B316" s="18">
        <v>170</v>
      </c>
      <c r="C316" s="1114"/>
      <c r="D316" s="305"/>
    </row>
    <row r="317" spans="1:4" ht="12.75">
      <c r="A317" s="17" t="s">
        <v>1233</v>
      </c>
      <c r="B317" s="18">
        <v>170</v>
      </c>
      <c r="C317" s="1114"/>
      <c r="D317" s="305"/>
    </row>
    <row r="318" spans="1:4" ht="12.75">
      <c r="A318" s="17" t="s">
        <v>338</v>
      </c>
      <c r="B318" s="18">
        <v>170</v>
      </c>
      <c r="C318" s="1114"/>
      <c r="D318" s="305"/>
    </row>
    <row r="319" spans="1:4" ht="12.75">
      <c r="A319" s="17" t="s">
        <v>1234</v>
      </c>
      <c r="B319" s="18">
        <v>170</v>
      </c>
      <c r="C319" s="1114"/>
      <c r="D319" s="305"/>
    </row>
    <row r="320" spans="1:4" ht="12.75">
      <c r="A320" s="17" t="s">
        <v>339</v>
      </c>
      <c r="B320" s="18">
        <v>170</v>
      </c>
      <c r="C320" s="1114"/>
      <c r="D320" s="305"/>
    </row>
    <row r="321" spans="1:4" ht="12.75">
      <c r="A321" s="17" t="s">
        <v>340</v>
      </c>
      <c r="B321" s="18">
        <v>170</v>
      </c>
      <c r="C321" s="1114"/>
      <c r="D321" s="305"/>
    </row>
    <row r="322" spans="1:4" ht="12.75">
      <c r="A322" s="17" t="s">
        <v>341</v>
      </c>
      <c r="B322" s="18">
        <v>170</v>
      </c>
      <c r="C322" s="1114"/>
      <c r="D322" s="305"/>
    </row>
    <row r="323" spans="1:4" ht="12.75">
      <c r="A323" s="17" t="s">
        <v>342</v>
      </c>
      <c r="B323" s="18">
        <v>170</v>
      </c>
      <c r="C323" s="1114"/>
      <c r="D323" s="305"/>
    </row>
    <row r="324" spans="1:4" ht="12.75">
      <c r="A324" s="17" t="s">
        <v>343</v>
      </c>
      <c r="B324" s="18">
        <v>170</v>
      </c>
      <c r="C324" s="1114"/>
      <c r="D324" s="305"/>
    </row>
    <row r="325" spans="1:4" ht="12.75">
      <c r="A325" s="17" t="s">
        <v>344</v>
      </c>
      <c r="B325" s="18">
        <v>170</v>
      </c>
      <c r="C325" s="1114"/>
      <c r="D325" s="305"/>
    </row>
    <row r="326" spans="1:4" ht="12.75">
      <c r="A326" s="17" t="s">
        <v>345</v>
      </c>
      <c r="B326" s="18">
        <v>170</v>
      </c>
      <c r="C326" s="1114"/>
      <c r="D326" s="305"/>
    </row>
    <row r="327" spans="1:4" ht="12.75">
      <c r="A327" s="17" t="s">
        <v>346</v>
      </c>
      <c r="B327" s="18">
        <v>170</v>
      </c>
      <c r="C327" s="1114"/>
      <c r="D327" s="305"/>
    </row>
    <row r="328" spans="1:4" ht="12.75">
      <c r="A328" s="17" t="s">
        <v>347</v>
      </c>
      <c r="B328" s="18">
        <v>170</v>
      </c>
      <c r="C328" s="1114"/>
      <c r="D328" s="305"/>
    </row>
    <row r="329" spans="1:4" ht="12.75">
      <c r="A329" s="17" t="s">
        <v>348</v>
      </c>
      <c r="B329" s="18">
        <v>170</v>
      </c>
      <c r="C329" s="1114"/>
      <c r="D329" s="305"/>
    </row>
    <row r="330" spans="1:4" ht="12.75">
      <c r="A330" s="17" t="s">
        <v>349</v>
      </c>
      <c r="B330" s="18">
        <v>170</v>
      </c>
      <c r="C330" s="1114"/>
      <c r="D330" s="305"/>
    </row>
    <row r="331" spans="1:4" ht="12.75">
      <c r="A331" s="17" t="s">
        <v>350</v>
      </c>
      <c r="B331" s="18">
        <v>170</v>
      </c>
      <c r="C331" s="1114"/>
      <c r="D331" s="305"/>
    </row>
    <row r="332" spans="1:4" ht="12.75">
      <c r="A332" s="17" t="s">
        <v>351</v>
      </c>
      <c r="B332" s="18">
        <v>170</v>
      </c>
      <c r="C332" s="1114"/>
      <c r="D332" s="305"/>
    </row>
    <row r="333" spans="1:4" ht="12.75">
      <c r="A333" s="17" t="s">
        <v>352</v>
      </c>
      <c r="B333" s="18">
        <v>170</v>
      </c>
      <c r="C333" s="1114"/>
      <c r="D333" s="305"/>
    </row>
    <row r="334" spans="1:4" ht="12.75">
      <c r="A334" s="17" t="s">
        <v>1235</v>
      </c>
      <c r="B334" s="18">
        <v>170</v>
      </c>
      <c r="C334" s="1114"/>
      <c r="D334" s="305"/>
    </row>
    <row r="335" spans="1:4" ht="12.75">
      <c r="A335" s="17" t="s">
        <v>353</v>
      </c>
      <c r="B335" s="18">
        <v>170</v>
      </c>
      <c r="C335" s="1114"/>
      <c r="D335" s="305"/>
    </row>
    <row r="336" spans="1:4" ht="12.75">
      <c r="A336" s="17" t="s">
        <v>1236</v>
      </c>
      <c r="B336" s="18">
        <v>170</v>
      </c>
      <c r="C336" s="1114"/>
      <c r="D336" s="305"/>
    </row>
    <row r="337" spans="1:4" ht="12.75">
      <c r="A337" s="17" t="s">
        <v>354</v>
      </c>
      <c r="B337" s="18">
        <v>170</v>
      </c>
      <c r="C337" s="1114"/>
      <c r="D337" s="305"/>
    </row>
    <row r="338" spans="1:4" ht="12.75">
      <c r="A338" s="17" t="s">
        <v>1237</v>
      </c>
      <c r="B338" s="18">
        <v>170</v>
      </c>
      <c r="C338" s="1114"/>
      <c r="D338" s="305"/>
    </row>
    <row r="339" spans="1:4" ht="12.75">
      <c r="A339" s="17" t="s">
        <v>355</v>
      </c>
      <c r="B339" s="18">
        <v>170</v>
      </c>
      <c r="C339" s="1114"/>
      <c r="D339" s="305"/>
    </row>
    <row r="340" spans="1:4" ht="12.75">
      <c r="A340" s="17" t="s">
        <v>356</v>
      </c>
      <c r="B340" s="18">
        <v>170</v>
      </c>
      <c r="C340" s="1114"/>
      <c r="D340" s="305"/>
    </row>
    <row r="341" spans="1:4" ht="12.75">
      <c r="A341" s="17" t="s">
        <v>357</v>
      </c>
      <c r="B341" s="18">
        <v>170</v>
      </c>
      <c r="C341" s="1114"/>
      <c r="D341" s="305"/>
    </row>
    <row r="342" spans="1:4" ht="12.75">
      <c r="A342" s="17" t="s">
        <v>358</v>
      </c>
      <c r="B342" s="18">
        <v>170</v>
      </c>
      <c r="C342" s="1114"/>
      <c r="D342" s="305"/>
    </row>
    <row r="343" spans="1:4" ht="12.75">
      <c r="A343" s="17" t="s">
        <v>359</v>
      </c>
      <c r="B343" s="18">
        <v>170</v>
      </c>
      <c r="C343" s="1114"/>
      <c r="D343" s="305"/>
    </row>
    <row r="344" spans="1:4" ht="12.75">
      <c r="A344" s="17" t="s">
        <v>360</v>
      </c>
      <c r="B344" s="18">
        <v>170</v>
      </c>
      <c r="C344" s="1114"/>
      <c r="D344" s="305"/>
    </row>
    <row r="345" spans="1:4" ht="12.75">
      <c r="A345" s="17" t="s">
        <v>361</v>
      </c>
      <c r="B345" s="18">
        <v>170</v>
      </c>
      <c r="C345" s="1114"/>
      <c r="D345" s="305"/>
    </row>
    <row r="346" spans="1:4" ht="12.75">
      <c r="A346" s="17" t="s">
        <v>362</v>
      </c>
      <c r="B346" s="18">
        <v>170</v>
      </c>
      <c r="C346" s="1114"/>
      <c r="D346" s="305"/>
    </row>
    <row r="347" spans="1:4" ht="12.75">
      <c r="A347" s="17" t="s">
        <v>363</v>
      </c>
      <c r="B347" s="18">
        <v>170</v>
      </c>
      <c r="C347" s="1114"/>
      <c r="D347" s="305"/>
    </row>
    <row r="348" spans="1:4" ht="12.75">
      <c r="A348" s="17" t="s">
        <v>364</v>
      </c>
      <c r="B348" s="18">
        <v>170</v>
      </c>
      <c r="C348" s="1114"/>
      <c r="D348" s="305"/>
    </row>
    <row r="349" spans="1:4" ht="12.75">
      <c r="A349" s="17" t="s">
        <v>1361</v>
      </c>
      <c r="B349" s="18">
        <v>350</v>
      </c>
      <c r="C349" s="1114"/>
      <c r="D349" s="306"/>
    </row>
    <row r="350" spans="1:4" ht="12.75">
      <c r="A350" s="17" t="s">
        <v>1362</v>
      </c>
      <c r="B350" s="18">
        <v>350</v>
      </c>
      <c r="C350" s="1114"/>
      <c r="D350" s="306"/>
    </row>
    <row r="351" spans="1:4" ht="12.75">
      <c r="A351" s="17" t="s">
        <v>1363</v>
      </c>
      <c r="B351" s="18">
        <v>350</v>
      </c>
      <c r="C351" s="1114"/>
      <c r="D351" s="306"/>
    </row>
    <row r="352" spans="1:4" ht="12.75">
      <c r="A352" s="17" t="s">
        <v>1364</v>
      </c>
      <c r="B352" s="18">
        <v>350</v>
      </c>
      <c r="C352" s="1114"/>
      <c r="D352" s="306"/>
    </row>
    <row r="353" spans="1:4" ht="12.75">
      <c r="A353" s="17" t="s">
        <v>1365</v>
      </c>
      <c r="B353" s="18">
        <v>350</v>
      </c>
      <c r="C353" s="1114"/>
      <c r="D353" s="306"/>
    </row>
    <row r="354" spans="1:4" ht="12.75">
      <c r="A354" s="17" t="s">
        <v>1366</v>
      </c>
      <c r="B354" s="18">
        <v>350</v>
      </c>
      <c r="C354" s="1114"/>
      <c r="D354" s="306"/>
    </row>
    <row r="355" spans="1:4" ht="12.75">
      <c r="A355" s="17" t="s">
        <v>1367</v>
      </c>
      <c r="B355" s="18">
        <v>350</v>
      </c>
      <c r="C355" s="1114"/>
      <c r="D355" s="306"/>
    </row>
    <row r="356" spans="1:4" ht="12.75">
      <c r="A356" s="17" t="s">
        <v>1368</v>
      </c>
      <c r="B356" s="18">
        <v>350</v>
      </c>
      <c r="C356" s="1114"/>
      <c r="D356" s="306"/>
    </row>
    <row r="357" spans="1:4" ht="12.75">
      <c r="A357" s="17" t="s">
        <v>1369</v>
      </c>
      <c r="B357" s="18">
        <v>350</v>
      </c>
      <c r="C357" s="1114"/>
      <c r="D357" s="306"/>
    </row>
    <row r="358" spans="1:4" ht="12.75">
      <c r="A358" s="17" t="s">
        <v>1370</v>
      </c>
      <c r="B358" s="18">
        <v>350</v>
      </c>
      <c r="C358" s="1114"/>
      <c r="D358" s="306"/>
    </row>
    <row r="359" spans="1:4" ht="12.75">
      <c r="A359" s="17" t="s">
        <v>1371</v>
      </c>
      <c r="B359" s="18">
        <v>350</v>
      </c>
      <c r="C359" s="1114"/>
      <c r="D359" s="306"/>
    </row>
    <row r="360" spans="1:4" ht="12.75">
      <c r="A360" s="17" t="s">
        <v>1372</v>
      </c>
      <c r="B360" s="18">
        <v>350</v>
      </c>
      <c r="C360" s="1114"/>
      <c r="D360" s="306"/>
    </row>
    <row r="361" spans="1:4" ht="12.75">
      <c r="A361" s="17" t="s">
        <v>1373</v>
      </c>
      <c r="B361" s="18">
        <v>350</v>
      </c>
      <c r="C361" s="1114"/>
      <c r="D361" s="306"/>
    </row>
    <row r="362" spans="1:4" ht="12.75">
      <c r="A362" s="17" t="s">
        <v>1374</v>
      </c>
      <c r="B362" s="18">
        <v>350</v>
      </c>
      <c r="C362" s="1114"/>
      <c r="D362" s="306"/>
    </row>
    <row r="363" spans="1:4" ht="12.75">
      <c r="A363" s="17" t="s">
        <v>1375</v>
      </c>
      <c r="B363" s="18">
        <v>350</v>
      </c>
      <c r="C363" s="1114"/>
      <c r="D363" s="306"/>
    </row>
    <row r="364" spans="1:4" ht="12.75">
      <c r="A364" s="17" t="s">
        <v>1376</v>
      </c>
      <c r="B364" s="18">
        <v>350</v>
      </c>
      <c r="C364" s="1114"/>
      <c r="D364" s="306"/>
    </row>
    <row r="365" spans="1:4" ht="12.75">
      <c r="A365" s="17" t="s">
        <v>1377</v>
      </c>
      <c r="B365" s="18">
        <v>350</v>
      </c>
      <c r="C365" s="1114"/>
      <c r="D365" s="306"/>
    </row>
    <row r="366" spans="1:4" ht="12.75">
      <c r="A366" s="17" t="s">
        <v>1378</v>
      </c>
      <c r="B366" s="18">
        <v>350</v>
      </c>
      <c r="C366" s="1114"/>
      <c r="D366" s="306"/>
    </row>
    <row r="367" spans="1:4" ht="12.75">
      <c r="A367" s="17" t="s">
        <v>1379</v>
      </c>
      <c r="B367" s="18">
        <v>350</v>
      </c>
      <c r="C367" s="1114"/>
      <c r="D367" s="306"/>
    </row>
    <row r="368" spans="1:4" ht="12.75">
      <c r="A368" s="17" t="s">
        <v>1380</v>
      </c>
      <c r="B368" s="18">
        <v>350</v>
      </c>
      <c r="C368" s="1114"/>
      <c r="D368" s="306"/>
    </row>
    <row r="369" spans="1:4" ht="12.75">
      <c r="A369" s="17" t="s">
        <v>1381</v>
      </c>
      <c r="B369" s="18">
        <v>350</v>
      </c>
      <c r="C369" s="1114"/>
      <c r="D369" s="306"/>
    </row>
    <row r="370" spans="1:4" ht="12.75">
      <c r="A370" s="17" t="s">
        <v>1382</v>
      </c>
      <c r="B370" s="18">
        <v>350</v>
      </c>
      <c r="C370" s="1114"/>
      <c r="D370" s="306"/>
    </row>
    <row r="371" spans="1:4" ht="12.75">
      <c r="A371" s="17" t="s">
        <v>1383</v>
      </c>
      <c r="B371" s="18">
        <v>350</v>
      </c>
      <c r="C371" s="1114"/>
      <c r="D371" s="306"/>
    </row>
    <row r="372" spans="1:4" ht="12.75">
      <c r="A372" s="17" t="s">
        <v>1384</v>
      </c>
      <c r="B372" s="18">
        <v>350</v>
      </c>
      <c r="C372" s="1114"/>
      <c r="D372" s="306"/>
    </row>
    <row r="373" spans="1:4" ht="12.75">
      <c r="A373" s="17" t="s">
        <v>1385</v>
      </c>
      <c r="B373" s="18">
        <v>350</v>
      </c>
      <c r="C373" s="1114"/>
      <c r="D373" s="306"/>
    </row>
    <row r="374" spans="1:4" ht="12.75">
      <c r="A374" s="17" t="s">
        <v>1386</v>
      </c>
      <c r="B374" s="18">
        <v>350</v>
      </c>
      <c r="C374" s="1114"/>
      <c r="D374" s="306"/>
    </row>
    <row r="375" spans="1:4" ht="12.75">
      <c r="A375" s="17" t="s">
        <v>1387</v>
      </c>
      <c r="B375" s="18">
        <v>350</v>
      </c>
      <c r="C375" s="1114"/>
      <c r="D375" s="306"/>
    </row>
    <row r="376" spans="1:4" ht="12.75">
      <c r="A376" s="17" t="s">
        <v>1388</v>
      </c>
      <c r="B376" s="18">
        <v>350</v>
      </c>
      <c r="C376" s="1114"/>
      <c r="D376" s="306"/>
    </row>
    <row r="377" spans="1:4" ht="12.75">
      <c r="A377" s="17" t="s">
        <v>1389</v>
      </c>
      <c r="B377" s="18">
        <v>350</v>
      </c>
      <c r="C377" s="1114"/>
      <c r="D377" s="306"/>
    </row>
    <row r="378" spans="1:4" ht="12.75">
      <c r="A378" s="17" t="s">
        <v>1390</v>
      </c>
      <c r="B378" s="18">
        <v>350</v>
      </c>
      <c r="C378" s="1114"/>
      <c r="D378" s="306"/>
    </row>
    <row r="379" spans="1:4" ht="12.75">
      <c r="A379" s="17" t="s">
        <v>1391</v>
      </c>
      <c r="B379" s="18">
        <v>350</v>
      </c>
      <c r="C379" s="1114"/>
      <c r="D379" s="306"/>
    </row>
    <row r="380" spans="1:4" ht="12.75">
      <c r="A380" s="17" t="s">
        <v>1392</v>
      </c>
      <c r="B380" s="18">
        <v>350</v>
      </c>
      <c r="C380" s="1114"/>
      <c r="D380" s="306"/>
    </row>
    <row r="381" spans="1:4" ht="12.75">
      <c r="A381" s="17" t="s">
        <v>1393</v>
      </c>
      <c r="B381" s="18">
        <v>350</v>
      </c>
      <c r="C381" s="1114"/>
      <c r="D381" s="306"/>
    </row>
    <row r="382" spans="1:4" ht="12.75">
      <c r="A382" s="17" t="s">
        <v>1394</v>
      </c>
      <c r="B382" s="18">
        <v>350</v>
      </c>
      <c r="C382" s="1114"/>
      <c r="D382" s="306"/>
    </row>
    <row r="383" spans="1:4" ht="12.75">
      <c r="A383" s="17" t="s">
        <v>1395</v>
      </c>
      <c r="B383" s="18">
        <v>350</v>
      </c>
      <c r="C383" s="1114"/>
      <c r="D383" s="306"/>
    </row>
    <row r="384" spans="1:4" ht="12.75">
      <c r="A384" s="17" t="s">
        <v>1396</v>
      </c>
      <c r="B384" s="18">
        <v>350</v>
      </c>
      <c r="C384" s="1114"/>
      <c r="D384" s="306"/>
    </row>
    <row r="385" spans="1:4" ht="12.75">
      <c r="A385" s="17" t="s">
        <v>1397</v>
      </c>
      <c r="B385" s="18">
        <v>350</v>
      </c>
      <c r="C385" s="1114"/>
      <c r="D385" s="306"/>
    </row>
    <row r="386" spans="1:4" ht="12.75">
      <c r="A386" s="17" t="s">
        <v>1398</v>
      </c>
      <c r="B386" s="18">
        <v>350</v>
      </c>
      <c r="C386" s="1114"/>
      <c r="D386" s="306"/>
    </row>
    <row r="387" spans="1:4" ht="12.75">
      <c r="A387" s="17" t="s">
        <v>1399</v>
      </c>
      <c r="B387" s="18">
        <v>350</v>
      </c>
      <c r="C387" s="1114"/>
      <c r="D387" s="306"/>
    </row>
    <row r="388" spans="1:4" ht="12.75">
      <c r="A388" s="17" t="s">
        <v>1400</v>
      </c>
      <c r="B388" s="18">
        <v>350</v>
      </c>
      <c r="C388" s="1114"/>
      <c r="D388" s="306"/>
    </row>
    <row r="389" spans="1:4" ht="12.75">
      <c r="A389" s="17" t="s">
        <v>1401</v>
      </c>
      <c r="B389" s="18">
        <v>350</v>
      </c>
      <c r="C389" s="1114"/>
      <c r="D389" s="306"/>
    </row>
    <row r="390" spans="1:4" ht="12.75">
      <c r="A390" s="17" t="s">
        <v>1402</v>
      </c>
      <c r="B390" s="18">
        <v>350</v>
      </c>
      <c r="C390" s="1114"/>
      <c r="D390" s="306"/>
    </row>
    <row r="391" spans="1:4" ht="12.75">
      <c r="A391" s="17" t="s">
        <v>1403</v>
      </c>
      <c r="B391" s="18">
        <v>350</v>
      </c>
      <c r="C391" s="1114"/>
      <c r="D391" s="306"/>
    </row>
    <row r="392" spans="1:4" ht="12.75">
      <c r="A392" s="17" t="s">
        <v>1404</v>
      </c>
      <c r="B392" s="18">
        <v>350</v>
      </c>
      <c r="C392" s="1114"/>
      <c r="D392" s="306"/>
    </row>
    <row r="393" spans="1:4" ht="12.75">
      <c r="A393" s="17" t="s">
        <v>1405</v>
      </c>
      <c r="B393" s="18">
        <v>350</v>
      </c>
      <c r="C393" s="1114"/>
      <c r="D393" s="306"/>
    </row>
    <row r="394" spans="1:4" ht="12.75">
      <c r="A394" s="17" t="s">
        <v>1406</v>
      </c>
      <c r="B394" s="18">
        <v>350</v>
      </c>
      <c r="C394" s="1114"/>
      <c r="D394" s="306"/>
    </row>
    <row r="395" spans="1:4" ht="12.75">
      <c r="A395" s="17" t="s">
        <v>1407</v>
      </c>
      <c r="B395" s="18">
        <v>350</v>
      </c>
      <c r="C395" s="1114"/>
      <c r="D395" s="306"/>
    </row>
    <row r="396" spans="1:4" ht="12.75">
      <c r="A396" s="17" t="s">
        <v>1408</v>
      </c>
      <c r="B396" s="18">
        <v>350</v>
      </c>
      <c r="C396" s="1114"/>
      <c r="D396" s="306"/>
    </row>
    <row r="397" spans="1:4" ht="12.75">
      <c r="A397" s="17" t="s">
        <v>1409</v>
      </c>
      <c r="B397" s="18">
        <v>350</v>
      </c>
      <c r="C397" s="1114"/>
      <c r="D397" s="306"/>
    </row>
    <row r="398" spans="1:4" ht="12.75">
      <c r="A398" s="17" t="s">
        <v>1410</v>
      </c>
      <c r="B398" s="18">
        <v>350</v>
      </c>
      <c r="C398" s="1114"/>
      <c r="D398" s="306"/>
    </row>
    <row r="399" spans="1:4" ht="12.75">
      <c r="A399" s="17" t="s">
        <v>1411</v>
      </c>
      <c r="B399" s="18">
        <v>350</v>
      </c>
      <c r="C399" s="1114"/>
      <c r="D399" s="306"/>
    </row>
    <row r="400" spans="1:4" ht="12.75">
      <c r="A400" s="17" t="s">
        <v>1412</v>
      </c>
      <c r="B400" s="18">
        <v>350</v>
      </c>
      <c r="C400" s="1114"/>
      <c r="D400" s="306"/>
    </row>
    <row r="401" spans="1:4" ht="12.75">
      <c r="A401" s="17" t="s">
        <v>1413</v>
      </c>
      <c r="B401" s="18">
        <v>350</v>
      </c>
      <c r="C401" s="1114"/>
      <c r="D401" s="306"/>
    </row>
    <row r="402" spans="1:4" ht="12.75">
      <c r="A402" s="17" t="s">
        <v>1360</v>
      </c>
      <c r="B402" s="18">
        <v>350</v>
      </c>
      <c r="C402" s="1114"/>
      <c r="D402" s="306"/>
    </row>
    <row r="403" spans="1:4" ht="12.75">
      <c r="A403" s="17" t="s">
        <v>1414</v>
      </c>
      <c r="B403" s="18">
        <v>350</v>
      </c>
      <c r="C403" s="1114"/>
      <c r="D403" s="306"/>
    </row>
    <row r="404" spans="1:4" ht="12.75">
      <c r="A404" s="17" t="s">
        <v>1415</v>
      </c>
      <c r="B404" s="18">
        <v>350</v>
      </c>
      <c r="C404" s="1114"/>
      <c r="D404" s="306"/>
    </row>
    <row r="405" spans="1:4" ht="12.75">
      <c r="A405" s="302" t="s">
        <v>1416</v>
      </c>
      <c r="B405" s="18">
        <v>350</v>
      </c>
      <c r="C405" s="1114"/>
      <c r="D405" s="306"/>
    </row>
    <row r="406" spans="1:4" ht="12.75">
      <c r="A406" s="17" t="s">
        <v>365</v>
      </c>
      <c r="B406" s="18">
        <v>290</v>
      </c>
      <c r="C406" s="1114"/>
      <c r="D406" s="305"/>
    </row>
    <row r="407" spans="1:4" ht="12.75">
      <c r="A407" s="17" t="s">
        <v>366</v>
      </c>
      <c r="B407" s="18">
        <v>290</v>
      </c>
      <c r="C407" s="1114"/>
      <c r="D407" s="305"/>
    </row>
    <row r="408" spans="1:4" ht="12.75">
      <c r="A408" s="17" t="s">
        <v>367</v>
      </c>
      <c r="B408" s="18">
        <v>290</v>
      </c>
      <c r="C408" s="1114"/>
      <c r="D408" s="305"/>
    </row>
    <row r="409" spans="1:4" ht="12.75">
      <c r="A409" s="17" t="s">
        <v>368</v>
      </c>
      <c r="B409" s="18">
        <v>290</v>
      </c>
      <c r="C409" s="1114"/>
      <c r="D409" s="305"/>
    </row>
    <row r="410" spans="1:4" ht="12.75">
      <c r="A410" s="17" t="s">
        <v>1238</v>
      </c>
      <c r="B410" s="18">
        <v>290</v>
      </c>
      <c r="C410" s="1114"/>
      <c r="D410" s="305"/>
    </row>
    <row r="411" spans="1:4" ht="12.75">
      <c r="A411" s="17" t="s">
        <v>369</v>
      </c>
      <c r="B411" s="18">
        <v>290</v>
      </c>
      <c r="C411" s="1114"/>
      <c r="D411" s="305"/>
    </row>
    <row r="412" spans="1:4" ht="12.75">
      <c r="A412" s="17" t="s">
        <v>1239</v>
      </c>
      <c r="B412" s="18">
        <v>290</v>
      </c>
      <c r="C412" s="1114"/>
      <c r="D412" s="305"/>
    </row>
    <row r="413" spans="1:4" ht="12.75">
      <c r="A413" s="17" t="s">
        <v>370</v>
      </c>
      <c r="B413" s="18">
        <v>290</v>
      </c>
      <c r="C413" s="1114"/>
      <c r="D413" s="305"/>
    </row>
    <row r="414" spans="1:4" ht="12.75">
      <c r="A414" s="17" t="s">
        <v>1240</v>
      </c>
      <c r="B414" s="18">
        <v>290</v>
      </c>
      <c r="C414" s="1114"/>
      <c r="D414" s="305"/>
    </row>
    <row r="415" spans="1:4" ht="12.75">
      <c r="A415" s="17" t="s">
        <v>371</v>
      </c>
      <c r="B415" s="18">
        <v>290</v>
      </c>
      <c r="C415" s="1114"/>
      <c r="D415" s="305"/>
    </row>
    <row r="416" spans="1:4" ht="12.75">
      <c r="A416" s="17" t="s">
        <v>372</v>
      </c>
      <c r="B416" s="18">
        <v>290</v>
      </c>
      <c r="C416" s="1114"/>
      <c r="D416" s="305"/>
    </row>
    <row r="417" spans="1:4" ht="12.75">
      <c r="A417" s="17" t="s">
        <v>373</v>
      </c>
      <c r="B417" s="18">
        <v>290</v>
      </c>
      <c r="C417" s="1114"/>
      <c r="D417" s="305"/>
    </row>
    <row r="418" spans="1:4" ht="12.75">
      <c r="A418" s="17" t="s">
        <v>374</v>
      </c>
      <c r="B418" s="18">
        <v>290</v>
      </c>
      <c r="C418" s="1114"/>
      <c r="D418" s="305"/>
    </row>
    <row r="419" spans="1:4" ht="12.75">
      <c r="A419" s="17" t="s">
        <v>375</v>
      </c>
      <c r="B419" s="18">
        <v>290</v>
      </c>
      <c r="C419" s="1114"/>
      <c r="D419" s="305"/>
    </row>
    <row r="420" spans="1:4" ht="12.75">
      <c r="A420" s="17" t="s">
        <v>376</v>
      </c>
      <c r="B420" s="18">
        <v>290</v>
      </c>
      <c r="C420" s="1114"/>
      <c r="D420" s="305"/>
    </row>
    <row r="421" spans="1:4" ht="12.75">
      <c r="A421" s="17" t="s">
        <v>377</v>
      </c>
      <c r="B421" s="18">
        <v>290</v>
      </c>
      <c r="C421" s="1114"/>
      <c r="D421" s="305"/>
    </row>
    <row r="422" spans="1:4" ht="12.75">
      <c r="A422" s="17" t="s">
        <v>378</v>
      </c>
      <c r="B422" s="18">
        <v>290</v>
      </c>
      <c r="C422" s="1114"/>
      <c r="D422" s="305"/>
    </row>
    <row r="423" spans="1:4" ht="12.75">
      <c r="A423" s="17" t="s">
        <v>379</v>
      </c>
      <c r="B423" s="18">
        <v>290</v>
      </c>
      <c r="C423" s="1114"/>
      <c r="D423" s="305"/>
    </row>
    <row r="424" spans="1:4" ht="12.75">
      <c r="A424" s="17" t="s">
        <v>380</v>
      </c>
      <c r="B424" s="18">
        <v>290</v>
      </c>
      <c r="C424" s="1114"/>
      <c r="D424" s="305"/>
    </row>
    <row r="425" spans="1:4" ht="12.75">
      <c r="A425" s="17" t="s">
        <v>381</v>
      </c>
      <c r="B425" s="18">
        <v>290</v>
      </c>
      <c r="C425" s="1114"/>
      <c r="D425" s="305"/>
    </row>
    <row r="426" spans="1:4" ht="12.75">
      <c r="A426" s="17" t="s">
        <v>382</v>
      </c>
      <c r="B426" s="18">
        <v>290</v>
      </c>
      <c r="C426" s="1114"/>
      <c r="D426" s="305"/>
    </row>
    <row r="427" spans="1:4" ht="12.75">
      <c r="A427" s="17" t="s">
        <v>383</v>
      </c>
      <c r="B427" s="18">
        <v>290</v>
      </c>
      <c r="C427" s="1114"/>
      <c r="D427" s="305"/>
    </row>
    <row r="428" spans="1:4" ht="12.75">
      <c r="A428" s="17" t="s">
        <v>384</v>
      </c>
      <c r="B428" s="18">
        <v>290</v>
      </c>
      <c r="C428" s="1114"/>
      <c r="D428" s="305"/>
    </row>
    <row r="429" spans="1:4" ht="12.75">
      <c r="A429" s="17" t="s">
        <v>1241</v>
      </c>
      <c r="B429" s="18">
        <v>290</v>
      </c>
      <c r="C429" s="1114"/>
      <c r="D429" s="305"/>
    </row>
    <row r="430" spans="1:4" ht="12.75">
      <c r="A430" s="17" t="s">
        <v>385</v>
      </c>
      <c r="B430" s="18">
        <v>290</v>
      </c>
      <c r="C430" s="1114"/>
      <c r="D430" s="305"/>
    </row>
    <row r="431" spans="1:4" ht="12.75">
      <c r="A431" s="17" t="s">
        <v>1242</v>
      </c>
      <c r="B431" s="18">
        <v>290</v>
      </c>
      <c r="C431" s="1114"/>
      <c r="D431" s="305"/>
    </row>
    <row r="432" spans="1:4" ht="12.75">
      <c r="A432" s="17" t="s">
        <v>386</v>
      </c>
      <c r="B432" s="18">
        <v>290</v>
      </c>
      <c r="C432" s="1114"/>
      <c r="D432" s="305"/>
    </row>
    <row r="433" spans="1:4" ht="12.75">
      <c r="A433" s="17" t="s">
        <v>1243</v>
      </c>
      <c r="B433" s="18">
        <v>290</v>
      </c>
      <c r="C433" s="1114"/>
      <c r="D433" s="305"/>
    </row>
    <row r="434" spans="1:4" ht="12.75">
      <c r="A434" s="17" t="s">
        <v>387</v>
      </c>
      <c r="B434" s="18">
        <v>290</v>
      </c>
      <c r="C434" s="1114"/>
      <c r="D434" s="305"/>
    </row>
    <row r="435" spans="1:4" ht="12.75">
      <c r="A435" s="17" t="s">
        <v>388</v>
      </c>
      <c r="B435" s="18">
        <v>290</v>
      </c>
      <c r="C435" s="1114"/>
      <c r="D435" s="305"/>
    </row>
    <row r="436" spans="1:4" ht="12.75">
      <c r="A436" s="17" t="s">
        <v>389</v>
      </c>
      <c r="B436" s="18">
        <v>290</v>
      </c>
      <c r="C436" s="1114"/>
      <c r="D436" s="305"/>
    </row>
    <row r="437" spans="1:4" ht="12.75">
      <c r="A437" s="17" t="s">
        <v>390</v>
      </c>
      <c r="B437" s="18">
        <v>290</v>
      </c>
      <c r="C437" s="1114"/>
      <c r="D437" s="305"/>
    </row>
    <row r="438" spans="1:4" ht="12.75">
      <c r="A438" s="17" t="s">
        <v>391</v>
      </c>
      <c r="B438" s="18">
        <v>290</v>
      </c>
      <c r="C438" s="1114"/>
      <c r="D438" s="305"/>
    </row>
    <row r="439" spans="1:4" ht="12.75">
      <c r="A439" s="17" t="s">
        <v>392</v>
      </c>
      <c r="B439" s="18">
        <v>290</v>
      </c>
      <c r="C439" s="1114"/>
      <c r="D439" s="305"/>
    </row>
    <row r="440" spans="1:4" ht="12.75">
      <c r="A440" s="17" t="s">
        <v>393</v>
      </c>
      <c r="B440" s="18">
        <v>290</v>
      </c>
      <c r="C440" s="1114"/>
      <c r="D440" s="305"/>
    </row>
    <row r="441" spans="1:4" ht="12.75">
      <c r="A441" s="17" t="s">
        <v>394</v>
      </c>
      <c r="B441" s="18">
        <v>290</v>
      </c>
      <c r="C441" s="1114"/>
      <c r="D441" s="305"/>
    </row>
    <row r="442" spans="1:4" ht="12.75">
      <c r="A442" s="17" t="s">
        <v>395</v>
      </c>
      <c r="B442" s="18">
        <v>290</v>
      </c>
      <c r="C442" s="1114"/>
      <c r="D442" s="305"/>
    </row>
    <row r="443" spans="1:4" ht="12.75">
      <c r="A443" s="17" t="s">
        <v>396</v>
      </c>
      <c r="B443" s="18">
        <v>290</v>
      </c>
      <c r="C443" s="1114"/>
      <c r="D443" s="305"/>
    </row>
    <row r="444" spans="1:4" ht="12.75">
      <c r="A444" s="17" t="s">
        <v>397</v>
      </c>
      <c r="B444" s="18">
        <v>290</v>
      </c>
      <c r="C444" s="1114"/>
      <c r="D444" s="305"/>
    </row>
    <row r="445" spans="1:4" ht="12.75">
      <c r="A445" s="17" t="s">
        <v>398</v>
      </c>
      <c r="B445" s="18">
        <v>290</v>
      </c>
      <c r="C445" s="1114"/>
      <c r="D445" s="305"/>
    </row>
    <row r="446" spans="1:4" ht="12.75">
      <c r="A446" s="17" t="s">
        <v>399</v>
      </c>
      <c r="B446" s="18">
        <v>290</v>
      </c>
      <c r="C446" s="1114"/>
      <c r="D446" s="305"/>
    </row>
    <row r="447" spans="1:4" ht="12.75">
      <c r="A447" s="17" t="s">
        <v>400</v>
      </c>
      <c r="B447" s="18">
        <v>290</v>
      </c>
      <c r="C447" s="1114"/>
      <c r="D447" s="305"/>
    </row>
    <row r="448" spans="1:4" ht="12.75">
      <c r="A448" s="17" t="s">
        <v>1244</v>
      </c>
      <c r="B448" s="18">
        <v>290</v>
      </c>
      <c r="C448" s="1114"/>
      <c r="D448" s="305"/>
    </row>
    <row r="449" spans="1:4" ht="12.75">
      <c r="A449" s="17" t="s">
        <v>401</v>
      </c>
      <c r="B449" s="18">
        <v>290</v>
      </c>
      <c r="C449" s="1114"/>
      <c r="D449" s="305"/>
    </row>
    <row r="450" spans="1:4" ht="12.75">
      <c r="A450" s="17" t="s">
        <v>1245</v>
      </c>
      <c r="B450" s="18">
        <v>290</v>
      </c>
      <c r="C450" s="1114"/>
      <c r="D450" s="305"/>
    </row>
    <row r="451" spans="1:4" ht="12.75">
      <c r="A451" s="17" t="s">
        <v>402</v>
      </c>
      <c r="B451" s="18">
        <v>290</v>
      </c>
      <c r="C451" s="1114"/>
      <c r="D451" s="305"/>
    </row>
    <row r="452" spans="1:4" ht="12.75">
      <c r="A452" s="17" t="s">
        <v>1246</v>
      </c>
      <c r="B452" s="18">
        <v>290</v>
      </c>
      <c r="C452" s="1114"/>
      <c r="D452" s="305"/>
    </row>
    <row r="453" spans="1:4" ht="12.75">
      <c r="A453" s="17" t="s">
        <v>403</v>
      </c>
      <c r="B453" s="18">
        <v>290</v>
      </c>
      <c r="C453" s="1114"/>
      <c r="D453" s="305"/>
    </row>
    <row r="454" spans="1:4" ht="12.75">
      <c r="A454" s="17" t="s">
        <v>404</v>
      </c>
      <c r="B454" s="18">
        <v>290</v>
      </c>
      <c r="C454" s="1114"/>
      <c r="D454" s="305"/>
    </row>
    <row r="455" spans="1:4" ht="12.75">
      <c r="A455" s="17" t="s">
        <v>405</v>
      </c>
      <c r="B455" s="18">
        <v>290</v>
      </c>
      <c r="C455" s="1114"/>
      <c r="D455" s="305"/>
    </row>
    <row r="456" spans="1:4" ht="12.75">
      <c r="A456" s="17" t="s">
        <v>406</v>
      </c>
      <c r="B456" s="18">
        <v>290</v>
      </c>
      <c r="C456" s="1114"/>
      <c r="D456" s="305"/>
    </row>
    <row r="457" spans="1:4" ht="12.75">
      <c r="A457" s="17" t="s">
        <v>407</v>
      </c>
      <c r="B457" s="18">
        <v>290</v>
      </c>
      <c r="C457" s="1114"/>
      <c r="D457" s="305"/>
    </row>
    <row r="458" spans="1:4" ht="12.75">
      <c r="A458" s="17" t="s">
        <v>408</v>
      </c>
      <c r="B458" s="18">
        <v>290</v>
      </c>
      <c r="C458" s="1114"/>
      <c r="D458" s="305"/>
    </row>
    <row r="459" spans="1:4" ht="12.75">
      <c r="A459" s="17" t="s">
        <v>409</v>
      </c>
      <c r="B459" s="18">
        <v>290</v>
      </c>
      <c r="C459" s="1114"/>
      <c r="D459" s="305"/>
    </row>
    <row r="460" spans="1:4" ht="12.75">
      <c r="A460" s="17" t="s">
        <v>410</v>
      </c>
      <c r="B460" s="18">
        <v>290</v>
      </c>
      <c r="C460" s="1114"/>
      <c r="D460" s="305"/>
    </row>
    <row r="461" spans="1:4" ht="12.75">
      <c r="A461" s="17" t="s">
        <v>411</v>
      </c>
      <c r="B461" s="18">
        <v>290</v>
      </c>
      <c r="C461" s="1114"/>
      <c r="D461" s="305"/>
    </row>
    <row r="462" spans="1:4" ht="13.5" thickBot="1">
      <c r="A462" s="23" t="s">
        <v>412</v>
      </c>
      <c r="B462" s="24">
        <v>290</v>
      </c>
      <c r="C462" s="1115"/>
      <c r="D462" s="305"/>
    </row>
    <row r="463" spans="1:4" ht="12.75">
      <c r="A463" s="21" t="s">
        <v>413</v>
      </c>
      <c r="B463" s="22">
        <v>270</v>
      </c>
      <c r="C463" s="1105" t="s">
        <v>414</v>
      </c>
      <c r="D463" s="305"/>
    </row>
    <row r="464" spans="1:4" ht="12.75">
      <c r="A464" s="17" t="s">
        <v>415</v>
      </c>
      <c r="B464" s="18">
        <v>270</v>
      </c>
      <c r="C464" s="1106"/>
      <c r="D464" s="305"/>
    </row>
    <row r="465" spans="1:4" ht="12.75">
      <c r="A465" s="17" t="s">
        <v>416</v>
      </c>
      <c r="B465" s="18">
        <v>270</v>
      </c>
      <c r="C465" s="1106"/>
      <c r="D465" s="305"/>
    </row>
    <row r="466" spans="1:4" ht="12.75">
      <c r="A466" s="17" t="s">
        <v>417</v>
      </c>
      <c r="B466" s="18">
        <v>270</v>
      </c>
      <c r="C466" s="1106"/>
      <c r="D466" s="305"/>
    </row>
    <row r="467" spans="1:4" ht="12.75">
      <c r="A467" s="17" t="s">
        <v>418</v>
      </c>
      <c r="B467" s="18">
        <v>270</v>
      </c>
      <c r="C467" s="1106"/>
      <c r="D467" s="305"/>
    </row>
    <row r="468" spans="1:4" ht="12.75">
      <c r="A468" s="17" t="s">
        <v>419</v>
      </c>
      <c r="B468" s="18">
        <v>270</v>
      </c>
      <c r="C468" s="1106"/>
      <c r="D468" s="305"/>
    </row>
    <row r="469" spans="1:4" ht="12.75">
      <c r="A469" s="17" t="s">
        <v>420</v>
      </c>
      <c r="B469" s="18">
        <v>270</v>
      </c>
      <c r="C469" s="1106"/>
      <c r="D469" s="305"/>
    </row>
    <row r="470" spans="1:4" ht="12.75">
      <c r="A470" s="17" t="s">
        <v>421</v>
      </c>
      <c r="B470" s="18">
        <v>270</v>
      </c>
      <c r="C470" s="1106"/>
      <c r="D470" s="305"/>
    </row>
    <row r="471" spans="1:4" ht="12.75">
      <c r="A471" s="17" t="s">
        <v>422</v>
      </c>
      <c r="B471" s="18">
        <v>270</v>
      </c>
      <c r="C471" s="1106"/>
      <c r="D471" s="305"/>
    </row>
    <row r="472" spans="1:4" ht="12.75">
      <c r="A472" s="17" t="s">
        <v>423</v>
      </c>
      <c r="B472" s="18">
        <v>270</v>
      </c>
      <c r="C472" s="1106"/>
      <c r="D472" s="305"/>
    </row>
    <row r="473" spans="1:4" ht="12.75">
      <c r="A473" s="17" t="s">
        <v>424</v>
      </c>
      <c r="B473" s="18">
        <v>270</v>
      </c>
      <c r="C473" s="1106"/>
      <c r="D473" s="305"/>
    </row>
    <row r="474" spans="1:4" ht="12.75">
      <c r="A474" s="17" t="s">
        <v>425</v>
      </c>
      <c r="B474" s="18">
        <v>270</v>
      </c>
      <c r="C474" s="1106"/>
      <c r="D474" s="305"/>
    </row>
    <row r="475" spans="1:4" ht="12.75">
      <c r="A475" s="17" t="s">
        <v>426</v>
      </c>
      <c r="B475" s="18">
        <v>270</v>
      </c>
      <c r="C475" s="1106"/>
      <c r="D475" s="305"/>
    </row>
    <row r="476" spans="1:4" ht="12.75">
      <c r="A476" s="17" t="s">
        <v>427</v>
      </c>
      <c r="B476" s="18">
        <v>270</v>
      </c>
      <c r="C476" s="1106"/>
      <c r="D476" s="305"/>
    </row>
    <row r="477" spans="1:4" ht="12.75">
      <c r="A477" s="17" t="s">
        <v>428</v>
      </c>
      <c r="B477" s="18">
        <v>270</v>
      </c>
      <c r="C477" s="1106"/>
      <c r="D477" s="305"/>
    </row>
    <row r="478" spans="1:4" ht="12.75">
      <c r="A478" s="17" t="s">
        <v>429</v>
      </c>
      <c r="B478" s="18">
        <v>270</v>
      </c>
      <c r="C478" s="1106"/>
      <c r="D478" s="305"/>
    </row>
    <row r="479" spans="1:4" ht="12.75">
      <c r="A479" s="17" t="s">
        <v>430</v>
      </c>
      <c r="B479" s="18">
        <v>300</v>
      </c>
      <c r="C479" s="1106"/>
      <c r="D479" s="305"/>
    </row>
    <row r="480" spans="1:4" ht="12.75">
      <c r="A480" s="17" t="s">
        <v>431</v>
      </c>
      <c r="B480" s="18">
        <v>300</v>
      </c>
      <c r="C480" s="1106"/>
      <c r="D480" s="305"/>
    </row>
    <row r="481" spans="1:4" ht="12.75">
      <c r="A481" s="17" t="s">
        <v>432</v>
      </c>
      <c r="B481" s="18">
        <v>300</v>
      </c>
      <c r="C481" s="1106"/>
      <c r="D481" s="305"/>
    </row>
    <row r="482" spans="1:4" ht="12.75">
      <c r="A482" s="17" t="s">
        <v>433</v>
      </c>
      <c r="B482" s="18">
        <v>300</v>
      </c>
      <c r="C482" s="1106"/>
      <c r="D482" s="305"/>
    </row>
    <row r="483" spans="1:4" ht="12.75">
      <c r="A483" s="17" t="s">
        <v>434</v>
      </c>
      <c r="B483" s="18">
        <v>300</v>
      </c>
      <c r="C483" s="1106"/>
      <c r="D483" s="305"/>
    </row>
    <row r="484" spans="1:4" ht="12.75">
      <c r="A484" s="17" t="s">
        <v>435</v>
      </c>
      <c r="B484" s="18">
        <v>300</v>
      </c>
      <c r="C484" s="1106"/>
      <c r="D484" s="305"/>
    </row>
    <row r="485" spans="1:4" ht="12.75">
      <c r="A485" s="17" t="s">
        <v>436</v>
      </c>
      <c r="B485" s="18">
        <v>300</v>
      </c>
      <c r="C485" s="1106"/>
      <c r="D485" s="305"/>
    </row>
    <row r="486" spans="1:4" ht="12.75">
      <c r="A486" s="17" t="s">
        <v>437</v>
      </c>
      <c r="B486" s="18">
        <v>300</v>
      </c>
      <c r="C486" s="1106"/>
      <c r="D486" s="305"/>
    </row>
    <row r="487" spans="1:4" ht="12.75">
      <c r="A487" s="17" t="s">
        <v>438</v>
      </c>
      <c r="B487" s="18">
        <v>300</v>
      </c>
      <c r="C487" s="1106"/>
      <c r="D487" s="305"/>
    </row>
    <row r="488" spans="1:4" ht="12.75">
      <c r="A488" s="17" t="s">
        <v>439</v>
      </c>
      <c r="B488" s="18">
        <v>300</v>
      </c>
      <c r="C488" s="1106"/>
      <c r="D488" s="305"/>
    </row>
    <row r="489" spans="1:4" ht="12.75">
      <c r="A489" s="17" t="s">
        <v>440</v>
      </c>
      <c r="B489" s="18">
        <v>300</v>
      </c>
      <c r="C489" s="1106"/>
      <c r="D489" s="305"/>
    </row>
    <row r="490" spans="1:4" ht="12.75">
      <c r="A490" s="17" t="s">
        <v>441</v>
      </c>
      <c r="B490" s="18">
        <v>300</v>
      </c>
      <c r="C490" s="1106"/>
      <c r="D490" s="305"/>
    </row>
    <row r="491" spans="1:4" ht="12.75">
      <c r="A491" s="17" t="s">
        <v>442</v>
      </c>
      <c r="B491" s="18">
        <v>300</v>
      </c>
      <c r="C491" s="1106"/>
      <c r="D491" s="305"/>
    </row>
    <row r="492" spans="1:4" ht="12.75">
      <c r="A492" s="17" t="s">
        <v>443</v>
      </c>
      <c r="B492" s="18">
        <v>300</v>
      </c>
      <c r="C492" s="1106"/>
      <c r="D492" s="305"/>
    </row>
    <row r="493" spans="1:4" ht="12.75">
      <c r="A493" s="17" t="s">
        <v>444</v>
      </c>
      <c r="B493" s="18">
        <v>300</v>
      </c>
      <c r="C493" s="1106"/>
      <c r="D493" s="305"/>
    </row>
    <row r="494" spans="1:4" ht="12.75">
      <c r="A494" s="17" t="s">
        <v>445</v>
      </c>
      <c r="B494" s="18">
        <v>300</v>
      </c>
      <c r="C494" s="1106"/>
      <c r="D494" s="305"/>
    </row>
    <row r="495" spans="1:4" ht="12.75">
      <c r="A495" s="17" t="s">
        <v>446</v>
      </c>
      <c r="B495" s="18">
        <v>240</v>
      </c>
      <c r="C495" s="1106"/>
      <c r="D495" s="305"/>
    </row>
    <row r="496" spans="1:4" ht="12.75">
      <c r="A496" s="17" t="s">
        <v>447</v>
      </c>
      <c r="B496" s="18">
        <v>240</v>
      </c>
      <c r="C496" s="1106"/>
      <c r="D496" s="305"/>
    </row>
    <row r="497" spans="1:4" ht="12.75">
      <c r="A497" s="17" t="s">
        <v>448</v>
      </c>
      <c r="B497" s="18">
        <v>240</v>
      </c>
      <c r="C497" s="1106"/>
      <c r="D497" s="305"/>
    </row>
    <row r="498" spans="1:4" ht="12.75">
      <c r="A498" s="17" t="s">
        <v>449</v>
      </c>
      <c r="B498" s="18">
        <v>240</v>
      </c>
      <c r="C498" s="1106"/>
      <c r="D498" s="305"/>
    </row>
    <row r="499" spans="1:4" ht="12.75">
      <c r="A499" s="17" t="s">
        <v>450</v>
      </c>
      <c r="B499" s="18">
        <v>240</v>
      </c>
      <c r="C499" s="1106"/>
      <c r="D499" s="305"/>
    </row>
    <row r="500" spans="1:4" ht="12.75">
      <c r="A500" s="17" t="s">
        <v>451</v>
      </c>
      <c r="B500" s="18">
        <v>240</v>
      </c>
      <c r="C500" s="1106"/>
      <c r="D500" s="305"/>
    </row>
    <row r="501" spans="1:4" ht="12.75">
      <c r="A501" s="17" t="s">
        <v>452</v>
      </c>
      <c r="B501" s="18">
        <v>240</v>
      </c>
      <c r="C501" s="1106"/>
      <c r="D501" s="305"/>
    </row>
    <row r="502" spans="1:4" ht="12.75">
      <c r="A502" s="17" t="s">
        <v>453</v>
      </c>
      <c r="B502" s="18">
        <v>240</v>
      </c>
      <c r="C502" s="1106"/>
      <c r="D502" s="305"/>
    </row>
    <row r="503" spans="1:4" ht="12.75">
      <c r="A503" s="17" t="s">
        <v>454</v>
      </c>
      <c r="B503" s="18">
        <v>240</v>
      </c>
      <c r="C503" s="1106"/>
      <c r="D503" s="305"/>
    </row>
    <row r="504" spans="1:4" ht="12.75">
      <c r="A504" s="17" t="s">
        <v>455</v>
      </c>
      <c r="B504" s="18">
        <v>240</v>
      </c>
      <c r="C504" s="1106"/>
      <c r="D504" s="305"/>
    </row>
    <row r="505" spans="1:4" ht="12.75">
      <c r="A505" s="17" t="s">
        <v>456</v>
      </c>
      <c r="B505" s="18">
        <v>240</v>
      </c>
      <c r="C505" s="1106"/>
      <c r="D505" s="305"/>
    </row>
    <row r="506" spans="1:4" ht="12.75">
      <c r="A506" s="17" t="s">
        <v>457</v>
      </c>
      <c r="B506" s="18">
        <v>240</v>
      </c>
      <c r="C506" s="1106"/>
      <c r="D506" s="305"/>
    </row>
    <row r="507" spans="1:4" ht="12.75">
      <c r="A507" s="17" t="s">
        <v>458</v>
      </c>
      <c r="B507" s="18">
        <v>240</v>
      </c>
      <c r="C507" s="1106"/>
      <c r="D507" s="305"/>
    </row>
    <row r="508" spans="1:4" ht="12.75">
      <c r="A508" s="17" t="s">
        <v>459</v>
      </c>
      <c r="B508" s="18">
        <v>240</v>
      </c>
      <c r="C508" s="1106"/>
      <c r="D508" s="305"/>
    </row>
    <row r="509" spans="1:4" ht="12.75">
      <c r="A509" s="17" t="s">
        <v>460</v>
      </c>
      <c r="B509" s="18">
        <v>240</v>
      </c>
      <c r="C509" s="1106"/>
      <c r="D509" s="305"/>
    </row>
    <row r="510" spans="1:4" ht="12.75">
      <c r="A510" s="17" t="s">
        <v>461</v>
      </c>
      <c r="B510" s="18">
        <v>240</v>
      </c>
      <c r="C510" s="1106"/>
      <c r="D510" s="305"/>
    </row>
    <row r="511" spans="1:4" ht="12.75">
      <c r="A511" s="17" t="s">
        <v>462</v>
      </c>
      <c r="B511" s="18">
        <v>270</v>
      </c>
      <c r="C511" s="1106"/>
      <c r="D511" s="305"/>
    </row>
    <row r="512" spans="1:4" ht="12.75">
      <c r="A512" s="17" t="s">
        <v>463</v>
      </c>
      <c r="B512" s="18">
        <v>270</v>
      </c>
      <c r="C512" s="1106"/>
      <c r="D512" s="305"/>
    </row>
    <row r="513" spans="1:4" ht="12.75">
      <c r="A513" s="17" t="s">
        <v>464</v>
      </c>
      <c r="B513" s="18">
        <v>270</v>
      </c>
      <c r="C513" s="1106"/>
      <c r="D513" s="305"/>
    </row>
    <row r="514" spans="1:4" ht="12.75">
      <c r="A514" s="17" t="s">
        <v>465</v>
      </c>
      <c r="B514" s="18">
        <v>270</v>
      </c>
      <c r="C514" s="1106"/>
      <c r="D514" s="305"/>
    </row>
    <row r="515" spans="1:4" ht="12.75">
      <c r="A515" s="17" t="s">
        <v>466</v>
      </c>
      <c r="B515" s="18">
        <v>270</v>
      </c>
      <c r="C515" s="1106"/>
      <c r="D515" s="305"/>
    </row>
    <row r="516" spans="1:4" ht="12.75">
      <c r="A516" s="17" t="s">
        <v>467</v>
      </c>
      <c r="B516" s="18">
        <v>270</v>
      </c>
      <c r="C516" s="1106"/>
      <c r="D516" s="305"/>
    </row>
    <row r="517" spans="1:4" ht="12.75">
      <c r="A517" s="17" t="s">
        <v>468</v>
      </c>
      <c r="B517" s="18">
        <v>270</v>
      </c>
      <c r="C517" s="1106"/>
      <c r="D517" s="305"/>
    </row>
    <row r="518" spans="1:4" ht="12.75">
      <c r="A518" s="17" t="s">
        <v>469</v>
      </c>
      <c r="B518" s="18">
        <v>270</v>
      </c>
      <c r="C518" s="1106"/>
      <c r="D518" s="305"/>
    </row>
    <row r="519" spans="1:4" ht="12.75">
      <c r="A519" s="17" t="s">
        <v>470</v>
      </c>
      <c r="B519" s="18">
        <v>270</v>
      </c>
      <c r="C519" s="1106"/>
      <c r="D519" s="305"/>
    </row>
    <row r="520" spans="1:4" ht="12.75">
      <c r="A520" s="17" t="s">
        <v>471</v>
      </c>
      <c r="B520" s="18">
        <v>270</v>
      </c>
      <c r="C520" s="1106"/>
      <c r="D520" s="305"/>
    </row>
    <row r="521" spans="1:4" ht="12.75">
      <c r="A521" s="17" t="s">
        <v>472</v>
      </c>
      <c r="B521" s="18">
        <v>270</v>
      </c>
      <c r="C521" s="1106"/>
      <c r="D521" s="305"/>
    </row>
    <row r="522" spans="1:4" ht="12.75">
      <c r="A522" s="17" t="s">
        <v>473</v>
      </c>
      <c r="B522" s="18">
        <v>270</v>
      </c>
      <c r="C522" s="1106"/>
      <c r="D522" s="305"/>
    </row>
    <row r="523" spans="1:4" ht="12.75">
      <c r="A523" s="17" t="s">
        <v>474</v>
      </c>
      <c r="B523" s="18">
        <v>270</v>
      </c>
      <c r="C523" s="1106"/>
      <c r="D523" s="305"/>
    </row>
    <row r="524" spans="1:4" ht="12.75">
      <c r="A524" s="17" t="s">
        <v>475</v>
      </c>
      <c r="B524" s="18">
        <v>270</v>
      </c>
      <c r="C524" s="1106"/>
      <c r="D524" s="305"/>
    </row>
    <row r="525" spans="1:4" ht="12.75">
      <c r="A525" s="17" t="s">
        <v>476</v>
      </c>
      <c r="B525" s="18">
        <v>270</v>
      </c>
      <c r="C525" s="1106"/>
      <c r="D525" s="305"/>
    </row>
    <row r="526" spans="1:4" ht="12.75">
      <c r="A526" s="17" t="s">
        <v>477</v>
      </c>
      <c r="B526" s="18">
        <v>270</v>
      </c>
      <c r="C526" s="1106"/>
      <c r="D526" s="305"/>
    </row>
    <row r="527" spans="1:4" ht="12.75">
      <c r="A527" s="17" t="s">
        <v>478</v>
      </c>
      <c r="B527" s="18">
        <v>300</v>
      </c>
      <c r="C527" s="1106"/>
      <c r="D527" s="305"/>
    </row>
    <row r="528" spans="1:4" ht="12.75">
      <c r="A528" s="17" t="s">
        <v>479</v>
      </c>
      <c r="B528" s="18">
        <v>300</v>
      </c>
      <c r="C528" s="1106"/>
      <c r="D528" s="305"/>
    </row>
    <row r="529" spans="1:4" ht="12.75">
      <c r="A529" s="17" t="s">
        <v>480</v>
      </c>
      <c r="B529" s="18">
        <v>300</v>
      </c>
      <c r="C529" s="1106"/>
      <c r="D529" s="305"/>
    </row>
    <row r="530" spans="1:4" ht="12.75">
      <c r="A530" s="17" t="s">
        <v>481</v>
      </c>
      <c r="B530" s="18">
        <v>300</v>
      </c>
      <c r="C530" s="1106"/>
      <c r="D530" s="305"/>
    </row>
    <row r="531" spans="1:4" ht="12.75">
      <c r="A531" s="17" t="s">
        <v>482</v>
      </c>
      <c r="B531" s="18">
        <v>300</v>
      </c>
      <c r="C531" s="1106"/>
      <c r="D531" s="305"/>
    </row>
    <row r="532" spans="1:4" ht="12.75">
      <c r="A532" s="17" t="s">
        <v>483</v>
      </c>
      <c r="B532" s="18">
        <v>300</v>
      </c>
      <c r="C532" s="1106"/>
      <c r="D532" s="305"/>
    </row>
    <row r="533" spans="1:4" ht="12.75">
      <c r="A533" s="17" t="s">
        <v>484</v>
      </c>
      <c r="B533" s="18">
        <v>300</v>
      </c>
      <c r="C533" s="1106"/>
      <c r="D533" s="305"/>
    </row>
    <row r="534" spans="1:4" ht="12.75">
      <c r="A534" s="17" t="s">
        <v>485</v>
      </c>
      <c r="B534" s="18">
        <v>300</v>
      </c>
      <c r="C534" s="1106"/>
      <c r="D534" s="305"/>
    </row>
    <row r="535" spans="1:4" ht="12.75">
      <c r="A535" s="17" t="s">
        <v>486</v>
      </c>
      <c r="B535" s="18">
        <v>300</v>
      </c>
      <c r="C535" s="1106"/>
      <c r="D535" s="305"/>
    </row>
    <row r="536" spans="1:4" ht="12.75">
      <c r="A536" s="17" t="s">
        <v>487</v>
      </c>
      <c r="B536" s="18">
        <v>300</v>
      </c>
      <c r="C536" s="1106"/>
      <c r="D536" s="305"/>
    </row>
    <row r="537" spans="1:4" ht="12.75">
      <c r="A537" s="17" t="s">
        <v>488</v>
      </c>
      <c r="B537" s="18">
        <v>300</v>
      </c>
      <c r="C537" s="1106"/>
      <c r="D537" s="305"/>
    </row>
    <row r="538" spans="1:4" ht="12.75">
      <c r="A538" s="17" t="s">
        <v>489</v>
      </c>
      <c r="B538" s="18">
        <v>300</v>
      </c>
      <c r="C538" s="1106"/>
      <c r="D538" s="305"/>
    </row>
    <row r="539" spans="1:4" ht="12.75">
      <c r="A539" s="17" t="s">
        <v>490</v>
      </c>
      <c r="B539" s="18">
        <v>300</v>
      </c>
      <c r="C539" s="1106"/>
      <c r="D539" s="305"/>
    </row>
    <row r="540" spans="1:4" ht="12.75">
      <c r="A540" s="17" t="s">
        <v>491</v>
      </c>
      <c r="B540" s="18">
        <v>300</v>
      </c>
      <c r="C540" s="1106"/>
      <c r="D540" s="305"/>
    </row>
    <row r="541" spans="1:4" ht="12.75">
      <c r="A541" s="17" t="s">
        <v>492</v>
      </c>
      <c r="B541" s="18">
        <v>300</v>
      </c>
      <c r="C541" s="1106"/>
      <c r="D541" s="305"/>
    </row>
    <row r="542" spans="1:4" ht="12.75">
      <c r="A542" s="17" t="s">
        <v>493</v>
      </c>
      <c r="B542" s="18">
        <v>300</v>
      </c>
      <c r="C542" s="1106"/>
      <c r="D542" s="305"/>
    </row>
    <row r="543" spans="1:4" ht="12.75">
      <c r="A543" s="17" t="s">
        <v>1418</v>
      </c>
      <c r="B543" s="18">
        <v>330</v>
      </c>
      <c r="C543" s="1106"/>
      <c r="D543" s="306"/>
    </row>
    <row r="544" spans="1:4" ht="12.75">
      <c r="A544" s="17" t="s">
        <v>1419</v>
      </c>
      <c r="B544" s="18">
        <v>330</v>
      </c>
      <c r="C544" s="1106"/>
      <c r="D544" s="306"/>
    </row>
    <row r="545" spans="1:4" ht="12.75">
      <c r="A545" s="17" t="s">
        <v>1420</v>
      </c>
      <c r="B545" s="18">
        <v>330</v>
      </c>
      <c r="C545" s="1106"/>
      <c r="D545" s="306"/>
    </row>
    <row r="546" spans="1:4" ht="12.75">
      <c r="A546" s="17" t="s">
        <v>1421</v>
      </c>
      <c r="B546" s="18">
        <v>330</v>
      </c>
      <c r="C546" s="1106"/>
      <c r="D546" s="306"/>
    </row>
    <row r="547" spans="1:4" ht="12.75">
      <c r="A547" s="17" t="s">
        <v>1422</v>
      </c>
      <c r="B547" s="18">
        <v>330</v>
      </c>
      <c r="C547" s="1106"/>
      <c r="D547" s="306"/>
    </row>
    <row r="548" spans="1:4" ht="12.75">
      <c r="A548" s="17" t="s">
        <v>1423</v>
      </c>
      <c r="B548" s="18">
        <v>330</v>
      </c>
      <c r="C548" s="1106"/>
      <c r="D548" s="306"/>
    </row>
    <row r="549" spans="1:4" ht="12.75">
      <c r="A549" s="17" t="s">
        <v>1424</v>
      </c>
      <c r="B549" s="18">
        <v>330</v>
      </c>
      <c r="C549" s="1106"/>
      <c r="D549" s="306"/>
    </row>
    <row r="550" spans="1:4" ht="12.75">
      <c r="A550" s="17" t="s">
        <v>1425</v>
      </c>
      <c r="B550" s="18">
        <v>330</v>
      </c>
      <c r="C550" s="1106"/>
      <c r="D550" s="306"/>
    </row>
    <row r="551" spans="1:4" ht="12.75">
      <c r="A551" s="17" t="s">
        <v>1426</v>
      </c>
      <c r="B551" s="18">
        <v>330</v>
      </c>
      <c r="C551" s="1106"/>
      <c r="D551" s="306"/>
    </row>
    <row r="552" spans="1:4" ht="12.75">
      <c r="A552" s="17" t="s">
        <v>1427</v>
      </c>
      <c r="B552" s="18">
        <v>330</v>
      </c>
      <c r="C552" s="1106"/>
      <c r="D552" s="306"/>
    </row>
    <row r="553" spans="1:4" ht="12.75">
      <c r="A553" s="17" t="s">
        <v>1428</v>
      </c>
      <c r="B553" s="18">
        <v>330</v>
      </c>
      <c r="C553" s="1106"/>
      <c r="D553" s="306"/>
    </row>
    <row r="554" spans="1:4" ht="12.75">
      <c r="A554" s="17" t="s">
        <v>1429</v>
      </c>
      <c r="B554" s="18">
        <v>330</v>
      </c>
      <c r="C554" s="1106"/>
      <c r="D554" s="306"/>
    </row>
    <row r="555" spans="1:4" ht="12.75">
      <c r="A555" s="17" t="s">
        <v>1430</v>
      </c>
      <c r="B555" s="18">
        <v>330</v>
      </c>
      <c r="C555" s="1106"/>
      <c r="D555" s="306"/>
    </row>
    <row r="556" spans="1:4" ht="12.75">
      <c r="A556" s="17" t="s">
        <v>1431</v>
      </c>
      <c r="B556" s="18">
        <v>330</v>
      </c>
      <c r="C556" s="1106"/>
      <c r="D556" s="306"/>
    </row>
    <row r="557" spans="1:4" ht="12.75">
      <c r="A557" s="17" t="s">
        <v>1432</v>
      </c>
      <c r="B557" s="18">
        <v>330</v>
      </c>
      <c r="C557" s="1106"/>
      <c r="D557" s="306"/>
    </row>
    <row r="558" spans="1:4" ht="12.75">
      <c r="A558" s="17" t="s">
        <v>1417</v>
      </c>
      <c r="B558" s="18">
        <v>330</v>
      </c>
      <c r="C558" s="1106"/>
      <c r="D558" s="306"/>
    </row>
    <row r="559" spans="1:4" ht="12.75">
      <c r="A559" s="17" t="s">
        <v>494</v>
      </c>
      <c r="B559" s="18">
        <v>210</v>
      </c>
      <c r="C559" s="1106"/>
      <c r="D559" s="305"/>
    </row>
    <row r="560" spans="1:4" ht="12.75">
      <c r="A560" s="17" t="s">
        <v>495</v>
      </c>
      <c r="B560" s="18">
        <v>210</v>
      </c>
      <c r="C560" s="1106"/>
      <c r="D560" s="305"/>
    </row>
    <row r="561" spans="1:4" ht="12.75">
      <c r="A561" s="17" t="s">
        <v>496</v>
      </c>
      <c r="B561" s="18">
        <v>210</v>
      </c>
      <c r="C561" s="1106"/>
      <c r="D561" s="305"/>
    </row>
    <row r="562" spans="1:4" ht="12.75">
      <c r="A562" s="17" t="s">
        <v>497</v>
      </c>
      <c r="B562" s="18">
        <v>210</v>
      </c>
      <c r="C562" s="1106"/>
      <c r="D562" s="305"/>
    </row>
    <row r="563" spans="1:4" ht="12.75">
      <c r="A563" s="17" t="s">
        <v>498</v>
      </c>
      <c r="B563" s="18">
        <v>210</v>
      </c>
      <c r="C563" s="1106"/>
      <c r="D563" s="305"/>
    </row>
    <row r="564" spans="1:4" ht="12.75">
      <c r="A564" s="17" t="s">
        <v>499</v>
      </c>
      <c r="B564" s="18">
        <v>210</v>
      </c>
      <c r="C564" s="1106"/>
      <c r="D564" s="305"/>
    </row>
    <row r="565" spans="1:4" ht="12.75">
      <c r="A565" s="17" t="s">
        <v>500</v>
      </c>
      <c r="B565" s="18">
        <v>210</v>
      </c>
      <c r="C565" s="1106"/>
      <c r="D565" s="305"/>
    </row>
    <row r="566" spans="1:4" ht="12.75">
      <c r="A566" s="17" t="s">
        <v>501</v>
      </c>
      <c r="B566" s="18">
        <v>210</v>
      </c>
      <c r="C566" s="1106"/>
      <c r="D566" s="305"/>
    </row>
    <row r="567" spans="1:4" ht="12.75">
      <c r="A567" s="17" t="s">
        <v>502</v>
      </c>
      <c r="B567" s="18">
        <v>210</v>
      </c>
      <c r="C567" s="1106"/>
      <c r="D567" s="305"/>
    </row>
    <row r="568" spans="1:4" ht="12.75">
      <c r="A568" s="17" t="s">
        <v>503</v>
      </c>
      <c r="B568" s="18">
        <v>210</v>
      </c>
      <c r="C568" s="1106"/>
      <c r="D568" s="305"/>
    </row>
    <row r="569" spans="1:4" ht="12.75">
      <c r="A569" s="17" t="s">
        <v>504</v>
      </c>
      <c r="B569" s="18">
        <v>210</v>
      </c>
      <c r="C569" s="1106"/>
      <c r="D569" s="305"/>
    </row>
    <row r="570" spans="1:4" ht="12.75">
      <c r="A570" s="17" t="s">
        <v>505</v>
      </c>
      <c r="B570" s="18">
        <v>210</v>
      </c>
      <c r="C570" s="1106"/>
      <c r="D570" s="305"/>
    </row>
    <row r="571" spans="1:4" ht="12.75">
      <c r="A571" s="17" t="s">
        <v>506</v>
      </c>
      <c r="B571" s="18">
        <v>210</v>
      </c>
      <c r="C571" s="1106"/>
      <c r="D571" s="305"/>
    </row>
    <row r="572" spans="1:4" ht="12.75">
      <c r="A572" s="17" t="s">
        <v>507</v>
      </c>
      <c r="B572" s="18">
        <v>210</v>
      </c>
      <c r="C572" s="1106"/>
      <c r="D572" s="305"/>
    </row>
    <row r="573" spans="1:4" ht="12.75">
      <c r="A573" s="17" t="s">
        <v>508</v>
      </c>
      <c r="B573" s="18">
        <v>210</v>
      </c>
      <c r="C573" s="1106"/>
      <c r="D573" s="305"/>
    </row>
    <row r="574" spans="1:4" ht="12.75">
      <c r="A574" s="17" t="s">
        <v>509</v>
      </c>
      <c r="B574" s="18">
        <v>210</v>
      </c>
      <c r="C574" s="1106"/>
      <c r="D574" s="305"/>
    </row>
    <row r="575" spans="1:4" ht="12.75">
      <c r="A575" s="17" t="s">
        <v>510</v>
      </c>
      <c r="B575" s="18">
        <v>240</v>
      </c>
      <c r="C575" s="1106"/>
      <c r="D575" s="305"/>
    </row>
    <row r="576" spans="1:4" ht="12.75">
      <c r="A576" s="17" t="s">
        <v>511</v>
      </c>
      <c r="B576" s="18">
        <v>240</v>
      </c>
      <c r="C576" s="1106"/>
      <c r="D576" s="305"/>
    </row>
    <row r="577" spans="1:4" ht="12.75">
      <c r="A577" s="17" t="s">
        <v>512</v>
      </c>
      <c r="B577" s="18">
        <v>240</v>
      </c>
      <c r="C577" s="1106"/>
      <c r="D577" s="305"/>
    </row>
    <row r="578" spans="1:4" ht="12.75">
      <c r="A578" s="17" t="s">
        <v>513</v>
      </c>
      <c r="B578" s="18">
        <v>240</v>
      </c>
      <c r="C578" s="1106"/>
      <c r="D578" s="305"/>
    </row>
    <row r="579" spans="1:4" ht="12.75">
      <c r="A579" s="17" t="s">
        <v>514</v>
      </c>
      <c r="B579" s="18">
        <v>240</v>
      </c>
      <c r="C579" s="1106"/>
      <c r="D579" s="305"/>
    </row>
    <row r="580" spans="1:4" ht="12.75">
      <c r="A580" s="17" t="s">
        <v>515</v>
      </c>
      <c r="B580" s="18">
        <v>240</v>
      </c>
      <c r="C580" s="1106"/>
      <c r="D580" s="305"/>
    </row>
    <row r="581" spans="1:4" ht="12.75">
      <c r="A581" s="17" t="s">
        <v>516</v>
      </c>
      <c r="B581" s="18">
        <v>240</v>
      </c>
      <c r="C581" s="1106"/>
      <c r="D581" s="305"/>
    </row>
    <row r="582" spans="1:4" ht="12.75">
      <c r="A582" s="17" t="s">
        <v>517</v>
      </c>
      <c r="B582" s="18">
        <v>240</v>
      </c>
      <c r="C582" s="1106"/>
      <c r="D582" s="305"/>
    </row>
    <row r="583" spans="1:4" ht="12.75">
      <c r="A583" s="17" t="s">
        <v>518</v>
      </c>
      <c r="B583" s="18">
        <v>240</v>
      </c>
      <c r="C583" s="1106"/>
      <c r="D583" s="305"/>
    </row>
    <row r="584" spans="1:4" ht="12.75">
      <c r="A584" s="17" t="s">
        <v>519</v>
      </c>
      <c r="B584" s="18">
        <v>240</v>
      </c>
      <c r="C584" s="1106"/>
      <c r="D584" s="305"/>
    </row>
    <row r="585" spans="1:4" ht="12.75">
      <c r="A585" s="17" t="s">
        <v>520</v>
      </c>
      <c r="B585" s="18">
        <v>240</v>
      </c>
      <c r="C585" s="1106"/>
      <c r="D585" s="305"/>
    </row>
    <row r="586" spans="1:4" ht="12.75">
      <c r="A586" s="17" t="s">
        <v>521</v>
      </c>
      <c r="B586" s="18">
        <v>240</v>
      </c>
      <c r="C586" s="1106"/>
      <c r="D586" s="305"/>
    </row>
    <row r="587" spans="1:4" ht="12.75">
      <c r="A587" s="17" t="s">
        <v>522</v>
      </c>
      <c r="B587" s="18">
        <v>240</v>
      </c>
      <c r="C587" s="1106"/>
      <c r="D587" s="305"/>
    </row>
    <row r="588" spans="1:4" ht="12.75">
      <c r="A588" s="17" t="s">
        <v>523</v>
      </c>
      <c r="B588" s="18">
        <v>240</v>
      </c>
      <c r="C588" s="1106"/>
      <c r="D588" s="305"/>
    </row>
    <row r="589" spans="1:4" ht="12.75">
      <c r="A589" s="17" t="s">
        <v>524</v>
      </c>
      <c r="B589" s="18">
        <v>240</v>
      </c>
      <c r="C589" s="1106"/>
      <c r="D589" s="305"/>
    </row>
    <row r="590" spans="1:4" ht="12.75">
      <c r="A590" s="17" t="s">
        <v>525</v>
      </c>
      <c r="B590" s="18">
        <v>240</v>
      </c>
      <c r="C590" s="1106"/>
      <c r="D590" s="305"/>
    </row>
    <row r="591" spans="1:4" ht="12.75">
      <c r="A591" s="17" t="s">
        <v>526</v>
      </c>
      <c r="B591" s="18">
        <v>270</v>
      </c>
      <c r="C591" s="1106"/>
      <c r="D591" s="305"/>
    </row>
    <row r="592" spans="1:4" ht="12.75">
      <c r="A592" s="17" t="s">
        <v>527</v>
      </c>
      <c r="B592" s="18">
        <v>270</v>
      </c>
      <c r="C592" s="1106"/>
      <c r="D592" s="305"/>
    </row>
    <row r="593" spans="1:4" ht="12.75">
      <c r="A593" s="17" t="s">
        <v>528</v>
      </c>
      <c r="B593" s="18">
        <v>270</v>
      </c>
      <c r="C593" s="1106"/>
      <c r="D593" s="305"/>
    </row>
    <row r="594" spans="1:4" ht="12.75">
      <c r="A594" s="17" t="s">
        <v>529</v>
      </c>
      <c r="B594" s="18">
        <v>270</v>
      </c>
      <c r="C594" s="1106"/>
      <c r="D594" s="305"/>
    </row>
    <row r="595" spans="1:4" ht="12.75">
      <c r="A595" s="17" t="s">
        <v>530</v>
      </c>
      <c r="B595" s="18">
        <v>270</v>
      </c>
      <c r="C595" s="1106"/>
      <c r="D595" s="305"/>
    </row>
    <row r="596" spans="1:4" ht="12.75">
      <c r="A596" s="17" t="s">
        <v>531</v>
      </c>
      <c r="B596" s="18">
        <v>270</v>
      </c>
      <c r="C596" s="1106"/>
      <c r="D596" s="305"/>
    </row>
    <row r="597" spans="1:4" ht="12.75">
      <c r="A597" s="17" t="s">
        <v>532</v>
      </c>
      <c r="B597" s="18">
        <v>270</v>
      </c>
      <c r="C597" s="1106"/>
      <c r="D597" s="305"/>
    </row>
    <row r="598" spans="1:4" ht="12.75">
      <c r="A598" s="17" t="s">
        <v>533</v>
      </c>
      <c r="B598" s="18">
        <v>270</v>
      </c>
      <c r="C598" s="1106"/>
      <c r="D598" s="305"/>
    </row>
    <row r="599" spans="1:4" ht="12.75">
      <c r="A599" s="17" t="s">
        <v>534</v>
      </c>
      <c r="B599" s="18">
        <v>270</v>
      </c>
      <c r="C599" s="1106"/>
      <c r="D599" s="305"/>
    </row>
    <row r="600" spans="1:4" ht="12.75">
      <c r="A600" s="17" t="s">
        <v>535</v>
      </c>
      <c r="B600" s="18">
        <v>270</v>
      </c>
      <c r="C600" s="1106"/>
      <c r="D600" s="305"/>
    </row>
    <row r="601" spans="1:4" ht="12.75">
      <c r="A601" s="17" t="s">
        <v>536</v>
      </c>
      <c r="B601" s="18">
        <v>270</v>
      </c>
      <c r="C601" s="1106"/>
      <c r="D601" s="305"/>
    </row>
    <row r="602" spans="1:4" ht="12.75">
      <c r="A602" s="17" t="s">
        <v>537</v>
      </c>
      <c r="B602" s="18">
        <v>270</v>
      </c>
      <c r="C602" s="1106"/>
      <c r="D602" s="305"/>
    </row>
    <row r="603" spans="1:4" ht="12.75">
      <c r="A603" s="17" t="s">
        <v>538</v>
      </c>
      <c r="B603" s="18">
        <v>270</v>
      </c>
      <c r="C603" s="1106"/>
      <c r="D603" s="305"/>
    </row>
    <row r="604" spans="1:4" ht="12.75">
      <c r="A604" s="17" t="s">
        <v>539</v>
      </c>
      <c r="B604" s="18">
        <v>270</v>
      </c>
      <c r="C604" s="1106"/>
      <c r="D604" s="305"/>
    </row>
    <row r="605" spans="1:4" ht="12.75">
      <c r="A605" s="17" t="s">
        <v>540</v>
      </c>
      <c r="B605" s="18">
        <v>270</v>
      </c>
      <c r="C605" s="1106"/>
      <c r="D605" s="305"/>
    </row>
    <row r="606" spans="1:4" ht="12.75">
      <c r="A606" s="17" t="s">
        <v>541</v>
      </c>
      <c r="B606" s="18">
        <v>270</v>
      </c>
      <c r="C606" s="1106"/>
      <c r="D606" s="305"/>
    </row>
    <row r="607" spans="1:4" ht="12.75">
      <c r="A607" s="17" t="s">
        <v>542</v>
      </c>
      <c r="B607" s="18">
        <v>300</v>
      </c>
      <c r="C607" s="1106"/>
      <c r="D607" s="305"/>
    </row>
    <row r="608" spans="1:4" ht="12.75">
      <c r="A608" s="17" t="s">
        <v>543</v>
      </c>
      <c r="B608" s="18">
        <v>300</v>
      </c>
      <c r="C608" s="1106"/>
      <c r="D608" s="305"/>
    </row>
    <row r="609" spans="1:4" ht="12.75">
      <c r="A609" s="17" t="s">
        <v>544</v>
      </c>
      <c r="B609" s="18">
        <v>300</v>
      </c>
      <c r="C609" s="1106"/>
      <c r="D609" s="305"/>
    </row>
    <row r="610" spans="1:4" ht="12.75">
      <c r="A610" s="17" t="s">
        <v>545</v>
      </c>
      <c r="B610" s="18">
        <v>300</v>
      </c>
      <c r="C610" s="1106"/>
      <c r="D610" s="305"/>
    </row>
    <row r="611" spans="1:4" ht="12.75">
      <c r="A611" s="17" t="s">
        <v>546</v>
      </c>
      <c r="B611" s="18">
        <v>300</v>
      </c>
      <c r="C611" s="1106"/>
      <c r="D611" s="305"/>
    </row>
    <row r="612" spans="1:4" ht="12.75">
      <c r="A612" s="17" t="s">
        <v>547</v>
      </c>
      <c r="B612" s="18">
        <v>300</v>
      </c>
      <c r="C612" s="1106"/>
      <c r="D612" s="305"/>
    </row>
    <row r="613" spans="1:4" ht="12.75">
      <c r="A613" s="17" t="s">
        <v>548</v>
      </c>
      <c r="B613" s="18">
        <v>300</v>
      </c>
      <c r="C613" s="1106"/>
      <c r="D613" s="305"/>
    </row>
    <row r="614" spans="1:4" ht="12.75">
      <c r="A614" s="17" t="s">
        <v>549</v>
      </c>
      <c r="B614" s="18">
        <v>300</v>
      </c>
      <c r="C614" s="1106"/>
      <c r="D614" s="305"/>
    </row>
    <row r="615" spans="1:4" ht="12.75">
      <c r="A615" s="17" t="s">
        <v>550</v>
      </c>
      <c r="B615" s="18">
        <v>300</v>
      </c>
      <c r="C615" s="1106"/>
      <c r="D615" s="305"/>
    </row>
    <row r="616" spans="1:4" ht="12.75">
      <c r="A616" s="17" t="s">
        <v>551</v>
      </c>
      <c r="B616" s="18">
        <v>300</v>
      </c>
      <c r="C616" s="1106"/>
      <c r="D616" s="305"/>
    </row>
    <row r="617" spans="1:4" ht="12.75">
      <c r="A617" s="17" t="s">
        <v>552</v>
      </c>
      <c r="B617" s="18">
        <v>300</v>
      </c>
      <c r="C617" s="1106"/>
      <c r="D617" s="305"/>
    </row>
    <row r="618" spans="1:4" ht="12.75">
      <c r="A618" s="17" t="s">
        <v>553</v>
      </c>
      <c r="B618" s="18">
        <v>300</v>
      </c>
      <c r="C618" s="1106"/>
      <c r="D618" s="305"/>
    </row>
    <row r="619" spans="1:4" ht="12.75">
      <c r="A619" s="17" t="s">
        <v>554</v>
      </c>
      <c r="B619" s="18">
        <v>300</v>
      </c>
      <c r="C619" s="1106"/>
      <c r="D619" s="305"/>
    </row>
    <row r="620" spans="1:4" ht="12.75">
      <c r="A620" s="17" t="s">
        <v>555</v>
      </c>
      <c r="B620" s="18">
        <v>300</v>
      </c>
      <c r="C620" s="1106"/>
      <c r="D620" s="305"/>
    </row>
    <row r="621" spans="1:4" ht="12.75">
      <c r="A621" s="17" t="s">
        <v>556</v>
      </c>
      <c r="B621" s="18">
        <v>300</v>
      </c>
      <c r="C621" s="1106"/>
      <c r="D621" s="305"/>
    </row>
    <row r="622" spans="1:4" ht="12.75">
      <c r="A622" s="17" t="s">
        <v>557</v>
      </c>
      <c r="B622" s="18">
        <v>300</v>
      </c>
      <c r="C622" s="1106"/>
      <c r="D622" s="305"/>
    </row>
    <row r="623" spans="1:4" ht="12.75">
      <c r="A623" s="17" t="s">
        <v>558</v>
      </c>
      <c r="B623" s="18">
        <v>300</v>
      </c>
      <c r="C623" s="1106"/>
      <c r="D623" s="305"/>
    </row>
    <row r="624" spans="1:4" ht="12.75">
      <c r="A624" s="17" t="s">
        <v>559</v>
      </c>
      <c r="B624" s="18">
        <v>300</v>
      </c>
      <c r="C624" s="1106"/>
      <c r="D624" s="305"/>
    </row>
    <row r="625" spans="1:4" ht="12.75">
      <c r="A625" s="17" t="s">
        <v>560</v>
      </c>
      <c r="B625" s="18">
        <v>300</v>
      </c>
      <c r="C625" s="1106"/>
      <c r="D625" s="305"/>
    </row>
    <row r="626" spans="1:4" ht="12.75">
      <c r="A626" s="17" t="s">
        <v>75</v>
      </c>
      <c r="B626" s="18">
        <v>300</v>
      </c>
      <c r="C626" s="1106"/>
      <c r="D626" s="305"/>
    </row>
    <row r="627" spans="1:4" ht="12.75">
      <c r="A627" s="17" t="s">
        <v>561</v>
      </c>
      <c r="B627" s="18">
        <v>300</v>
      </c>
      <c r="C627" s="1106"/>
      <c r="D627" s="305"/>
    </row>
    <row r="628" spans="1:4" ht="12.75">
      <c r="A628" s="17" t="s">
        <v>562</v>
      </c>
      <c r="B628" s="18">
        <v>300</v>
      </c>
      <c r="C628" s="1106"/>
      <c r="D628" s="305"/>
    </row>
    <row r="629" spans="1:4" ht="12.75">
      <c r="A629" s="17" t="s">
        <v>563</v>
      </c>
      <c r="B629" s="18">
        <v>300</v>
      </c>
      <c r="C629" s="1106"/>
      <c r="D629" s="305"/>
    </row>
    <row r="630" spans="1:4" ht="12.75">
      <c r="A630" s="17" t="s">
        <v>564</v>
      </c>
      <c r="B630" s="18">
        <v>300</v>
      </c>
      <c r="C630" s="1106"/>
      <c r="D630" s="305"/>
    </row>
    <row r="631" spans="1:4" ht="12.75">
      <c r="A631" s="17" t="s">
        <v>565</v>
      </c>
      <c r="B631" s="18">
        <v>300</v>
      </c>
      <c r="C631" s="1106"/>
      <c r="D631" s="305"/>
    </row>
    <row r="632" spans="1:4" ht="12.75">
      <c r="A632" s="17" t="s">
        <v>566</v>
      </c>
      <c r="B632" s="18">
        <v>300</v>
      </c>
      <c r="C632" s="1106"/>
      <c r="D632" s="305"/>
    </row>
    <row r="633" spans="1:4" ht="12.75">
      <c r="A633" s="17" t="s">
        <v>567</v>
      </c>
      <c r="B633" s="18">
        <v>300</v>
      </c>
      <c r="C633" s="1106"/>
      <c r="D633" s="305"/>
    </row>
    <row r="634" spans="1:4" ht="12.75">
      <c r="A634" s="17" t="s">
        <v>568</v>
      </c>
      <c r="B634" s="18">
        <v>300</v>
      </c>
      <c r="C634" s="1106"/>
      <c r="D634" s="305"/>
    </row>
    <row r="635" spans="1:4" ht="12.75">
      <c r="A635" s="17" t="s">
        <v>569</v>
      </c>
      <c r="B635" s="18">
        <v>300</v>
      </c>
      <c r="C635" s="1106"/>
      <c r="D635" s="305"/>
    </row>
    <row r="636" spans="1:4" ht="12.75">
      <c r="A636" s="17" t="s">
        <v>570</v>
      </c>
      <c r="B636" s="18">
        <v>300</v>
      </c>
      <c r="C636" s="1106"/>
      <c r="D636" s="305"/>
    </row>
    <row r="637" spans="1:4" ht="12.75">
      <c r="A637" s="17" t="s">
        <v>571</v>
      </c>
      <c r="B637" s="18">
        <v>300</v>
      </c>
      <c r="C637" s="1106"/>
      <c r="D637" s="305"/>
    </row>
    <row r="638" spans="1:4" ht="12.75">
      <c r="A638" s="17" t="s">
        <v>572</v>
      </c>
      <c r="B638" s="18">
        <v>300</v>
      </c>
      <c r="C638" s="1106"/>
      <c r="D638" s="305"/>
    </row>
    <row r="639" spans="1:4" ht="12.75">
      <c r="A639" s="17" t="s">
        <v>573</v>
      </c>
      <c r="B639" s="18">
        <v>320</v>
      </c>
      <c r="C639" s="1106"/>
      <c r="D639" s="305"/>
    </row>
    <row r="640" spans="1:4" ht="12.75">
      <c r="A640" s="17" t="s">
        <v>574</v>
      </c>
      <c r="B640" s="18">
        <v>320</v>
      </c>
      <c r="C640" s="1106"/>
      <c r="D640" s="305"/>
    </row>
    <row r="641" spans="1:4" ht="12.75">
      <c r="A641" s="17" t="s">
        <v>575</v>
      </c>
      <c r="B641" s="18">
        <v>320</v>
      </c>
      <c r="C641" s="1106"/>
      <c r="D641" s="305"/>
    </row>
    <row r="642" spans="1:4" ht="12.75">
      <c r="A642" s="17" t="s">
        <v>576</v>
      </c>
      <c r="B642" s="18">
        <v>320</v>
      </c>
      <c r="C642" s="1106"/>
      <c r="D642" s="305"/>
    </row>
    <row r="643" spans="1:4" ht="12.75">
      <c r="A643" s="17" t="s">
        <v>577</v>
      </c>
      <c r="B643" s="18">
        <v>320</v>
      </c>
      <c r="C643" s="1106"/>
      <c r="D643" s="305"/>
    </row>
    <row r="644" spans="1:4" ht="12.75">
      <c r="A644" s="17" t="s">
        <v>578</v>
      </c>
      <c r="B644" s="18">
        <v>320</v>
      </c>
      <c r="C644" s="1106"/>
      <c r="D644" s="305"/>
    </row>
    <row r="645" spans="1:4" ht="12.75">
      <c r="A645" s="17" t="s">
        <v>579</v>
      </c>
      <c r="B645" s="18">
        <v>320</v>
      </c>
      <c r="C645" s="1106"/>
      <c r="D645" s="305"/>
    </row>
    <row r="646" spans="1:4" ht="12.75">
      <c r="A646" s="17" t="s">
        <v>580</v>
      </c>
      <c r="B646" s="18">
        <v>320</v>
      </c>
      <c r="C646" s="1106"/>
      <c r="D646" s="305"/>
    </row>
    <row r="647" spans="1:4" ht="12.75">
      <c r="A647" s="17" t="s">
        <v>581</v>
      </c>
      <c r="B647" s="18">
        <v>320</v>
      </c>
      <c r="C647" s="1106"/>
      <c r="D647" s="305"/>
    </row>
    <row r="648" spans="1:4" ht="12.75">
      <c r="A648" s="17" t="s">
        <v>582</v>
      </c>
      <c r="B648" s="18">
        <v>320</v>
      </c>
      <c r="C648" s="1106"/>
      <c r="D648" s="305"/>
    </row>
    <row r="649" spans="1:4" ht="12.75">
      <c r="A649" s="17" t="s">
        <v>583</v>
      </c>
      <c r="B649" s="18">
        <v>320</v>
      </c>
      <c r="C649" s="1106"/>
      <c r="D649" s="305"/>
    </row>
    <row r="650" spans="1:4" ht="12.75">
      <c r="A650" s="17" t="s">
        <v>584</v>
      </c>
      <c r="B650" s="18">
        <v>320</v>
      </c>
      <c r="C650" s="1106"/>
      <c r="D650" s="305"/>
    </row>
    <row r="651" spans="1:4" ht="12.75">
      <c r="A651" s="17" t="s">
        <v>585</v>
      </c>
      <c r="B651" s="18">
        <v>320</v>
      </c>
      <c r="C651" s="1106"/>
      <c r="D651" s="305"/>
    </row>
    <row r="652" spans="1:4" ht="12.75">
      <c r="A652" s="17" t="s">
        <v>586</v>
      </c>
      <c r="B652" s="18">
        <v>320</v>
      </c>
      <c r="C652" s="1106"/>
      <c r="D652" s="305"/>
    </row>
    <row r="653" spans="1:4" ht="12.75">
      <c r="A653" s="17" t="s">
        <v>587</v>
      </c>
      <c r="B653" s="18">
        <v>320</v>
      </c>
      <c r="C653" s="1106"/>
      <c r="D653" s="305"/>
    </row>
    <row r="654" spans="1:4" ht="12.75">
      <c r="A654" s="17" t="s">
        <v>588</v>
      </c>
      <c r="B654" s="18">
        <v>320</v>
      </c>
      <c r="C654" s="1106"/>
      <c r="D654" s="305"/>
    </row>
    <row r="655" spans="1:4" ht="12.75">
      <c r="A655" s="17" t="s">
        <v>589</v>
      </c>
      <c r="B655" s="18">
        <v>350</v>
      </c>
      <c r="C655" s="1106"/>
      <c r="D655" s="305"/>
    </row>
    <row r="656" spans="1:4" ht="12.75">
      <c r="A656" s="17" t="s">
        <v>590</v>
      </c>
      <c r="B656" s="18">
        <v>350</v>
      </c>
      <c r="C656" s="1106"/>
      <c r="D656" s="305"/>
    </row>
    <row r="657" spans="1:4" ht="12.75">
      <c r="A657" s="17" t="s">
        <v>591</v>
      </c>
      <c r="B657" s="18">
        <v>350</v>
      </c>
      <c r="C657" s="1106"/>
      <c r="D657" s="305"/>
    </row>
    <row r="658" spans="1:4" ht="12.75">
      <c r="A658" s="17" t="s">
        <v>592</v>
      </c>
      <c r="B658" s="18">
        <v>350</v>
      </c>
      <c r="C658" s="1106"/>
      <c r="D658" s="305"/>
    </row>
    <row r="659" spans="1:4" ht="12.75">
      <c r="A659" s="17" t="s">
        <v>593</v>
      </c>
      <c r="B659" s="18">
        <v>350</v>
      </c>
      <c r="C659" s="1106"/>
      <c r="D659" s="305"/>
    </row>
    <row r="660" spans="1:4" ht="12.75">
      <c r="A660" s="17" t="s">
        <v>594</v>
      </c>
      <c r="B660" s="18">
        <v>350</v>
      </c>
      <c r="C660" s="1106"/>
      <c r="D660" s="305"/>
    </row>
    <row r="661" spans="1:4" ht="12.75">
      <c r="A661" s="17" t="s">
        <v>595</v>
      </c>
      <c r="B661" s="18">
        <v>350</v>
      </c>
      <c r="C661" s="1106"/>
      <c r="D661" s="305"/>
    </row>
    <row r="662" spans="1:4" ht="12.75">
      <c r="A662" s="17" t="s">
        <v>596</v>
      </c>
      <c r="B662" s="18">
        <v>350</v>
      </c>
      <c r="C662" s="1106"/>
      <c r="D662" s="305"/>
    </row>
    <row r="663" spans="1:4" ht="12.75">
      <c r="A663" s="17" t="s">
        <v>597</v>
      </c>
      <c r="B663" s="18">
        <v>350</v>
      </c>
      <c r="C663" s="1106"/>
      <c r="D663" s="305"/>
    </row>
    <row r="664" spans="1:4" ht="12.75">
      <c r="A664" s="17" t="s">
        <v>598</v>
      </c>
      <c r="B664" s="18">
        <v>350</v>
      </c>
      <c r="C664" s="1106"/>
      <c r="D664" s="305"/>
    </row>
    <row r="665" spans="1:4" ht="12.75">
      <c r="A665" s="17" t="s">
        <v>599</v>
      </c>
      <c r="B665" s="18">
        <v>350</v>
      </c>
      <c r="C665" s="1106"/>
      <c r="D665" s="305"/>
    </row>
    <row r="666" spans="1:4" ht="12.75">
      <c r="A666" s="17" t="s">
        <v>600</v>
      </c>
      <c r="B666" s="18">
        <v>350</v>
      </c>
      <c r="C666" s="1106"/>
      <c r="D666" s="305"/>
    </row>
    <row r="667" spans="1:4" ht="12.75">
      <c r="A667" s="17" t="s">
        <v>601</v>
      </c>
      <c r="B667" s="18">
        <v>350</v>
      </c>
      <c r="C667" s="1106"/>
      <c r="D667" s="305"/>
    </row>
    <row r="668" spans="1:4" ht="12.75">
      <c r="A668" s="17" t="s">
        <v>602</v>
      </c>
      <c r="B668" s="18">
        <v>350</v>
      </c>
      <c r="C668" s="1106"/>
      <c r="D668" s="305"/>
    </row>
    <row r="669" spans="1:4" ht="12.75">
      <c r="A669" s="17" t="s">
        <v>603</v>
      </c>
      <c r="B669" s="18">
        <v>350</v>
      </c>
      <c r="C669" s="1106"/>
      <c r="D669" s="305"/>
    </row>
    <row r="670" spans="1:4" ht="12.75">
      <c r="A670" s="17" t="s">
        <v>604</v>
      </c>
      <c r="B670" s="18">
        <v>350</v>
      </c>
      <c r="C670" s="1106"/>
      <c r="D670" s="305"/>
    </row>
    <row r="671" spans="1:4" ht="12.75">
      <c r="A671" s="17" t="s">
        <v>605</v>
      </c>
      <c r="B671" s="18">
        <v>380</v>
      </c>
      <c r="C671" s="1106"/>
      <c r="D671" s="305"/>
    </row>
    <row r="672" spans="1:4" ht="12.75">
      <c r="A672" s="17" t="s">
        <v>606</v>
      </c>
      <c r="B672" s="18">
        <v>380</v>
      </c>
      <c r="C672" s="1106"/>
      <c r="D672" s="305"/>
    </row>
    <row r="673" spans="1:4" ht="12.75">
      <c r="A673" s="17" t="s">
        <v>607</v>
      </c>
      <c r="B673" s="18">
        <v>380</v>
      </c>
      <c r="C673" s="1106"/>
      <c r="D673" s="305"/>
    </row>
    <row r="674" spans="1:4" ht="12.75">
      <c r="A674" s="17" t="s">
        <v>608</v>
      </c>
      <c r="B674" s="18">
        <v>380</v>
      </c>
      <c r="C674" s="1106"/>
      <c r="D674" s="305"/>
    </row>
    <row r="675" spans="1:4" ht="12.75">
      <c r="A675" s="17" t="s">
        <v>609</v>
      </c>
      <c r="B675" s="18">
        <v>380</v>
      </c>
      <c r="C675" s="1106"/>
      <c r="D675" s="305"/>
    </row>
    <row r="676" spans="1:4" ht="12.75">
      <c r="A676" s="17" t="s">
        <v>610</v>
      </c>
      <c r="B676" s="18">
        <v>380</v>
      </c>
      <c r="C676" s="1106"/>
      <c r="D676" s="305"/>
    </row>
    <row r="677" spans="1:4" ht="12.75">
      <c r="A677" s="17" t="s">
        <v>611</v>
      </c>
      <c r="B677" s="18">
        <v>380</v>
      </c>
      <c r="C677" s="1106"/>
      <c r="D677" s="305"/>
    </row>
    <row r="678" spans="1:4" ht="12.75">
      <c r="A678" s="17" t="s">
        <v>612</v>
      </c>
      <c r="B678" s="18">
        <v>380</v>
      </c>
      <c r="C678" s="1106"/>
      <c r="D678" s="305"/>
    </row>
    <row r="679" spans="1:4" ht="12.75">
      <c r="A679" s="17" t="s">
        <v>613</v>
      </c>
      <c r="B679" s="18">
        <v>380</v>
      </c>
      <c r="C679" s="1106"/>
      <c r="D679" s="305"/>
    </row>
    <row r="680" spans="1:4" ht="12.75">
      <c r="A680" s="17" t="s">
        <v>614</v>
      </c>
      <c r="B680" s="18">
        <v>380</v>
      </c>
      <c r="C680" s="1106"/>
      <c r="D680" s="305"/>
    </row>
    <row r="681" spans="1:4" ht="12.75">
      <c r="A681" s="17" t="s">
        <v>615</v>
      </c>
      <c r="B681" s="18">
        <v>380</v>
      </c>
      <c r="C681" s="1106"/>
      <c r="D681" s="305"/>
    </row>
    <row r="682" spans="1:4" ht="12.75">
      <c r="A682" s="17" t="s">
        <v>616</v>
      </c>
      <c r="B682" s="18">
        <v>380</v>
      </c>
      <c r="C682" s="1106"/>
      <c r="D682" s="305"/>
    </row>
    <row r="683" spans="1:4" ht="12.75">
      <c r="A683" s="17" t="s">
        <v>617</v>
      </c>
      <c r="B683" s="18">
        <v>380</v>
      </c>
      <c r="C683" s="1106"/>
      <c r="D683" s="305"/>
    </row>
    <row r="684" spans="1:4" ht="12.75">
      <c r="A684" s="17" t="s">
        <v>618</v>
      </c>
      <c r="B684" s="18">
        <v>380</v>
      </c>
      <c r="C684" s="1106"/>
      <c r="D684" s="305"/>
    </row>
    <row r="685" spans="1:4" ht="12.75">
      <c r="A685" s="17" t="s">
        <v>619</v>
      </c>
      <c r="B685" s="18">
        <v>380</v>
      </c>
      <c r="C685" s="1106"/>
      <c r="D685" s="305"/>
    </row>
    <row r="686" spans="1:4" ht="12.75">
      <c r="A686" s="17" t="s">
        <v>620</v>
      </c>
      <c r="B686" s="18">
        <v>380</v>
      </c>
      <c r="C686" s="1106"/>
      <c r="D686" s="305"/>
    </row>
    <row r="687" spans="1:4" ht="12.75">
      <c r="A687" s="17" t="s">
        <v>621</v>
      </c>
      <c r="B687" s="18">
        <v>430</v>
      </c>
      <c r="C687" s="1106"/>
      <c r="D687" s="305"/>
    </row>
    <row r="688" spans="1:4" ht="12.75">
      <c r="A688" s="17" t="s">
        <v>622</v>
      </c>
      <c r="B688" s="18">
        <v>430</v>
      </c>
      <c r="C688" s="1106"/>
      <c r="D688" s="305"/>
    </row>
    <row r="689" spans="1:4" ht="12.75">
      <c r="A689" s="17" t="s">
        <v>623</v>
      </c>
      <c r="B689" s="18">
        <v>430</v>
      </c>
      <c r="C689" s="1106"/>
      <c r="D689" s="305"/>
    </row>
    <row r="690" spans="1:4" ht="12.75">
      <c r="A690" s="17" t="s">
        <v>624</v>
      </c>
      <c r="B690" s="18">
        <v>430</v>
      </c>
      <c r="C690" s="1106"/>
      <c r="D690" s="305"/>
    </row>
    <row r="691" spans="1:4" ht="12.75">
      <c r="A691" s="17" t="s">
        <v>625</v>
      </c>
      <c r="B691" s="18">
        <v>430</v>
      </c>
      <c r="C691" s="1106"/>
      <c r="D691" s="305"/>
    </row>
    <row r="692" spans="1:4" ht="12.75">
      <c r="A692" s="17" t="s">
        <v>626</v>
      </c>
      <c r="B692" s="18">
        <v>430</v>
      </c>
      <c r="C692" s="1106"/>
      <c r="D692" s="305"/>
    </row>
    <row r="693" spans="1:4" ht="12.75">
      <c r="A693" s="17" t="s">
        <v>627</v>
      </c>
      <c r="B693" s="18">
        <v>430</v>
      </c>
      <c r="C693" s="1106"/>
      <c r="D693" s="305"/>
    </row>
    <row r="694" spans="1:4" ht="12.75">
      <c r="A694" s="17" t="s">
        <v>628</v>
      </c>
      <c r="B694" s="18">
        <v>430</v>
      </c>
      <c r="C694" s="1106"/>
      <c r="D694" s="305"/>
    </row>
    <row r="695" spans="1:4" ht="12.75">
      <c r="A695" s="17" t="s">
        <v>629</v>
      </c>
      <c r="B695" s="18">
        <v>430</v>
      </c>
      <c r="C695" s="1106"/>
      <c r="D695" s="305"/>
    </row>
    <row r="696" spans="1:4" ht="12.75">
      <c r="A696" s="17" t="s">
        <v>630</v>
      </c>
      <c r="B696" s="18">
        <v>430</v>
      </c>
      <c r="C696" s="1106"/>
      <c r="D696" s="305"/>
    </row>
    <row r="697" spans="1:4" ht="12.75">
      <c r="A697" s="17" t="s">
        <v>631</v>
      </c>
      <c r="B697" s="18">
        <v>430</v>
      </c>
      <c r="C697" s="1106"/>
      <c r="D697" s="305"/>
    </row>
    <row r="698" spans="1:4" ht="12.75">
      <c r="A698" s="17" t="s">
        <v>632</v>
      </c>
      <c r="B698" s="18">
        <v>430</v>
      </c>
      <c r="C698" s="1106"/>
      <c r="D698" s="305"/>
    </row>
    <row r="699" spans="1:4" ht="12.75">
      <c r="A699" s="17" t="s">
        <v>633</v>
      </c>
      <c r="B699" s="18">
        <v>430</v>
      </c>
      <c r="C699" s="1106"/>
      <c r="D699" s="305"/>
    </row>
    <row r="700" spans="1:4" ht="12.75">
      <c r="A700" s="17" t="s">
        <v>634</v>
      </c>
      <c r="B700" s="18">
        <v>430</v>
      </c>
      <c r="C700" s="1106"/>
      <c r="D700" s="305"/>
    </row>
    <row r="701" spans="1:4" ht="12.75">
      <c r="A701" s="17" t="s">
        <v>635</v>
      </c>
      <c r="B701" s="18">
        <v>430</v>
      </c>
      <c r="C701" s="1106"/>
      <c r="D701" s="305"/>
    </row>
    <row r="702" spans="1:4" ht="12.75">
      <c r="A702" s="17" t="s">
        <v>636</v>
      </c>
      <c r="B702" s="18">
        <v>430</v>
      </c>
      <c r="C702" s="1106"/>
      <c r="D702" s="305"/>
    </row>
    <row r="703" spans="1:4" ht="12.75">
      <c r="A703" s="17" t="s">
        <v>637</v>
      </c>
      <c r="B703" s="18">
        <v>470</v>
      </c>
      <c r="C703" s="1106"/>
      <c r="D703" s="305"/>
    </row>
    <row r="704" spans="1:4" ht="12.75">
      <c r="A704" s="17" t="s">
        <v>638</v>
      </c>
      <c r="B704" s="18">
        <v>470</v>
      </c>
      <c r="C704" s="1106"/>
      <c r="D704" s="305"/>
    </row>
    <row r="705" spans="1:4" ht="12.75">
      <c r="A705" s="17" t="s">
        <v>639</v>
      </c>
      <c r="B705" s="18">
        <v>470</v>
      </c>
      <c r="C705" s="1106"/>
      <c r="D705" s="305"/>
    </row>
    <row r="706" spans="1:4" ht="12.75">
      <c r="A706" s="17" t="s">
        <v>640</v>
      </c>
      <c r="B706" s="18">
        <v>470</v>
      </c>
      <c r="C706" s="1106"/>
      <c r="D706" s="305"/>
    </row>
    <row r="707" spans="1:4" ht="12.75">
      <c r="A707" s="17" t="s">
        <v>641</v>
      </c>
      <c r="B707" s="18">
        <v>470</v>
      </c>
      <c r="C707" s="1106"/>
      <c r="D707" s="305"/>
    </row>
    <row r="708" spans="1:4" ht="12.75">
      <c r="A708" s="17" t="s">
        <v>642</v>
      </c>
      <c r="B708" s="18">
        <v>470</v>
      </c>
      <c r="C708" s="1106"/>
      <c r="D708" s="305"/>
    </row>
    <row r="709" spans="1:4" ht="12.75">
      <c r="A709" s="17" t="s">
        <v>643</v>
      </c>
      <c r="B709" s="18">
        <v>470</v>
      </c>
      <c r="C709" s="1106"/>
      <c r="D709" s="305"/>
    </row>
    <row r="710" spans="1:4" ht="12.75">
      <c r="A710" s="17" t="s">
        <v>644</v>
      </c>
      <c r="B710" s="18">
        <v>470</v>
      </c>
      <c r="C710" s="1106"/>
      <c r="D710" s="305"/>
    </row>
    <row r="711" spans="1:4" ht="12.75">
      <c r="A711" s="17" t="s">
        <v>645</v>
      </c>
      <c r="B711" s="18">
        <v>470</v>
      </c>
      <c r="C711" s="1106"/>
      <c r="D711" s="305"/>
    </row>
    <row r="712" spans="1:4" ht="12.75">
      <c r="A712" s="17" t="s">
        <v>646</v>
      </c>
      <c r="B712" s="18">
        <v>470</v>
      </c>
      <c r="C712" s="1106"/>
      <c r="D712" s="305"/>
    </row>
    <row r="713" spans="1:4" ht="12.75">
      <c r="A713" s="17" t="s">
        <v>647</v>
      </c>
      <c r="B713" s="18">
        <v>470</v>
      </c>
      <c r="C713" s="1106"/>
      <c r="D713" s="305"/>
    </row>
    <row r="714" spans="1:4" ht="12.75">
      <c r="A714" s="17" t="s">
        <v>648</v>
      </c>
      <c r="B714" s="18">
        <v>470</v>
      </c>
      <c r="C714" s="1106"/>
      <c r="D714" s="305"/>
    </row>
    <row r="715" spans="1:4" ht="12.75">
      <c r="A715" s="17" t="s">
        <v>649</v>
      </c>
      <c r="B715" s="18">
        <v>470</v>
      </c>
      <c r="C715" s="1106"/>
      <c r="D715" s="305"/>
    </row>
    <row r="716" spans="1:4" ht="12.75">
      <c r="A716" s="17" t="s">
        <v>650</v>
      </c>
      <c r="B716" s="18">
        <v>470</v>
      </c>
      <c r="C716" s="1106"/>
      <c r="D716" s="305"/>
    </row>
    <row r="717" spans="1:4" ht="12.75">
      <c r="A717" s="17" t="s">
        <v>651</v>
      </c>
      <c r="B717" s="18">
        <v>470</v>
      </c>
      <c r="C717" s="1106"/>
      <c r="D717" s="305"/>
    </row>
    <row r="718" spans="1:4" ht="12.75">
      <c r="A718" s="17" t="s">
        <v>652</v>
      </c>
      <c r="B718" s="18">
        <v>470</v>
      </c>
      <c r="C718" s="1106"/>
      <c r="D718" s="305"/>
    </row>
    <row r="719" spans="1:4" ht="12.75">
      <c r="A719" s="17" t="s">
        <v>653</v>
      </c>
      <c r="B719" s="18">
        <v>520</v>
      </c>
      <c r="C719" s="1106"/>
      <c r="D719" s="305"/>
    </row>
    <row r="720" spans="1:4" ht="12.75">
      <c r="A720" s="17" t="s">
        <v>654</v>
      </c>
      <c r="B720" s="18">
        <v>520</v>
      </c>
      <c r="C720" s="1106"/>
      <c r="D720" s="305"/>
    </row>
    <row r="721" spans="1:4" ht="12.75">
      <c r="A721" s="17" t="s">
        <v>655</v>
      </c>
      <c r="B721" s="18">
        <v>520</v>
      </c>
      <c r="C721" s="1106"/>
      <c r="D721" s="305"/>
    </row>
    <row r="722" spans="1:4" ht="12.75">
      <c r="A722" s="17" t="s">
        <v>656</v>
      </c>
      <c r="B722" s="18">
        <v>520</v>
      </c>
      <c r="C722" s="1106"/>
      <c r="D722" s="305"/>
    </row>
    <row r="723" spans="1:4" ht="12.75">
      <c r="A723" s="17" t="s">
        <v>657</v>
      </c>
      <c r="B723" s="18">
        <v>520</v>
      </c>
      <c r="C723" s="1106"/>
      <c r="D723" s="305"/>
    </row>
    <row r="724" spans="1:4" ht="12.75">
      <c r="A724" s="17" t="s">
        <v>658</v>
      </c>
      <c r="B724" s="18">
        <v>520</v>
      </c>
      <c r="C724" s="1106"/>
      <c r="D724" s="305"/>
    </row>
    <row r="725" spans="1:4" ht="12.75">
      <c r="A725" s="17" t="s">
        <v>659</v>
      </c>
      <c r="B725" s="18">
        <v>520</v>
      </c>
      <c r="C725" s="1106"/>
      <c r="D725" s="305"/>
    </row>
    <row r="726" spans="1:4" ht="12.75">
      <c r="A726" s="17" t="s">
        <v>660</v>
      </c>
      <c r="B726" s="18">
        <v>520</v>
      </c>
      <c r="C726" s="1106"/>
      <c r="D726" s="305"/>
    </row>
    <row r="727" spans="1:4" ht="12.75">
      <c r="A727" s="17" t="s">
        <v>661</v>
      </c>
      <c r="B727" s="18">
        <v>520</v>
      </c>
      <c r="C727" s="1106"/>
      <c r="D727" s="305"/>
    </row>
    <row r="728" spans="1:4" ht="12.75">
      <c r="A728" s="17" t="s">
        <v>662</v>
      </c>
      <c r="B728" s="18">
        <v>520</v>
      </c>
      <c r="C728" s="1106"/>
      <c r="D728" s="305"/>
    </row>
    <row r="729" spans="1:4" ht="12.75">
      <c r="A729" s="17" t="s">
        <v>663</v>
      </c>
      <c r="B729" s="18">
        <v>520</v>
      </c>
      <c r="C729" s="1106"/>
      <c r="D729" s="305"/>
    </row>
    <row r="730" spans="1:4" ht="12.75">
      <c r="A730" s="17" t="s">
        <v>664</v>
      </c>
      <c r="B730" s="18">
        <v>520</v>
      </c>
      <c r="C730" s="1106"/>
      <c r="D730" s="305"/>
    </row>
    <row r="731" spans="1:4" ht="12.75">
      <c r="A731" s="17" t="s">
        <v>665</v>
      </c>
      <c r="B731" s="18">
        <v>520</v>
      </c>
      <c r="C731" s="1106"/>
      <c r="D731" s="305"/>
    </row>
    <row r="732" spans="1:4" ht="12.75">
      <c r="A732" s="17" t="s">
        <v>666</v>
      </c>
      <c r="B732" s="18">
        <v>520</v>
      </c>
      <c r="C732" s="1106"/>
      <c r="D732" s="305"/>
    </row>
    <row r="733" spans="1:4" ht="12.75">
      <c r="A733" s="17" t="s">
        <v>667</v>
      </c>
      <c r="B733" s="18">
        <v>520</v>
      </c>
      <c r="C733" s="1106"/>
      <c r="D733" s="305"/>
    </row>
    <row r="734" spans="1:4" ht="12.75">
      <c r="A734" s="17" t="s">
        <v>668</v>
      </c>
      <c r="B734" s="18">
        <v>520</v>
      </c>
      <c r="C734" s="1106"/>
      <c r="D734" s="305"/>
    </row>
    <row r="735" spans="1:4" ht="12.75">
      <c r="A735" s="17" t="s">
        <v>669</v>
      </c>
      <c r="B735" s="18">
        <v>580</v>
      </c>
      <c r="C735" s="1106"/>
      <c r="D735" s="305"/>
    </row>
    <row r="736" spans="1:4" ht="12.75">
      <c r="A736" s="17" t="s">
        <v>670</v>
      </c>
      <c r="B736" s="18">
        <v>580</v>
      </c>
      <c r="C736" s="1106"/>
      <c r="D736" s="305"/>
    </row>
    <row r="737" spans="1:4" ht="12.75">
      <c r="A737" s="17" t="s">
        <v>671</v>
      </c>
      <c r="B737" s="18">
        <v>580</v>
      </c>
      <c r="C737" s="1106"/>
      <c r="D737" s="305"/>
    </row>
    <row r="738" spans="1:4" ht="12.75">
      <c r="A738" s="17" t="s">
        <v>672</v>
      </c>
      <c r="B738" s="18">
        <v>580</v>
      </c>
      <c r="C738" s="1106"/>
      <c r="D738" s="305"/>
    </row>
    <row r="739" spans="1:4" ht="12.75">
      <c r="A739" s="17" t="s">
        <v>673</v>
      </c>
      <c r="B739" s="18">
        <v>580</v>
      </c>
      <c r="C739" s="1106"/>
      <c r="D739" s="305"/>
    </row>
    <row r="740" spans="1:4" ht="12.75">
      <c r="A740" s="17" t="s">
        <v>674</v>
      </c>
      <c r="B740" s="18">
        <v>580</v>
      </c>
      <c r="C740" s="1106"/>
      <c r="D740" s="305"/>
    </row>
    <row r="741" spans="1:4" ht="12.75">
      <c r="A741" s="17" t="s">
        <v>675</v>
      </c>
      <c r="B741" s="18">
        <v>580</v>
      </c>
      <c r="C741" s="1106"/>
      <c r="D741" s="305"/>
    </row>
    <row r="742" spans="1:4" ht="12.75">
      <c r="A742" s="17" t="s">
        <v>676</v>
      </c>
      <c r="B742" s="18">
        <v>580</v>
      </c>
      <c r="C742" s="1106"/>
      <c r="D742" s="305"/>
    </row>
    <row r="743" spans="1:4" ht="12.75">
      <c r="A743" s="17" t="s">
        <v>677</v>
      </c>
      <c r="B743" s="18">
        <v>580</v>
      </c>
      <c r="C743" s="1106"/>
      <c r="D743" s="305"/>
    </row>
    <row r="744" spans="1:4" ht="12.75">
      <c r="A744" s="17" t="s">
        <v>678</v>
      </c>
      <c r="B744" s="18">
        <v>580</v>
      </c>
      <c r="C744" s="1106"/>
      <c r="D744" s="305"/>
    </row>
    <row r="745" spans="1:4" ht="12.75">
      <c r="A745" s="17" t="s">
        <v>679</v>
      </c>
      <c r="B745" s="18">
        <v>580</v>
      </c>
      <c r="C745" s="1106"/>
      <c r="D745" s="305"/>
    </row>
    <row r="746" spans="1:4" ht="12.75">
      <c r="A746" s="17" t="s">
        <v>680</v>
      </c>
      <c r="B746" s="18">
        <v>580</v>
      </c>
      <c r="C746" s="1106"/>
      <c r="D746" s="305"/>
    </row>
    <row r="747" spans="1:4" ht="12.75">
      <c r="A747" s="17" t="s">
        <v>681</v>
      </c>
      <c r="B747" s="18">
        <v>580</v>
      </c>
      <c r="C747" s="1106"/>
      <c r="D747" s="305"/>
    </row>
    <row r="748" spans="1:4" ht="12.75">
      <c r="A748" s="17" t="s">
        <v>682</v>
      </c>
      <c r="B748" s="18">
        <v>580</v>
      </c>
      <c r="C748" s="1106"/>
      <c r="D748" s="305"/>
    </row>
    <row r="749" spans="1:4" ht="12.75">
      <c r="A749" s="17" t="s">
        <v>683</v>
      </c>
      <c r="B749" s="18">
        <v>580</v>
      </c>
      <c r="C749" s="1106"/>
      <c r="D749" s="305"/>
    </row>
    <row r="750" spans="1:4" ht="12.75">
      <c r="A750" s="17" t="s">
        <v>684</v>
      </c>
      <c r="B750" s="18">
        <v>580</v>
      </c>
      <c r="C750" s="1106"/>
      <c r="D750" s="305"/>
    </row>
    <row r="751" spans="1:4" ht="12.75">
      <c r="A751" s="17" t="s">
        <v>1270</v>
      </c>
      <c r="B751" s="18">
        <v>300</v>
      </c>
      <c r="C751" s="1106"/>
      <c r="D751" s="307"/>
    </row>
    <row r="752" spans="1:4" ht="12.75">
      <c r="A752" s="17" t="s">
        <v>1271</v>
      </c>
      <c r="B752" s="18">
        <v>300</v>
      </c>
      <c r="C752" s="1106"/>
      <c r="D752" s="307"/>
    </row>
    <row r="753" spans="1:4" ht="12.75">
      <c r="A753" s="17" t="s">
        <v>1272</v>
      </c>
      <c r="B753" s="18">
        <v>300</v>
      </c>
      <c r="C753" s="1106"/>
      <c r="D753" s="307"/>
    </row>
    <row r="754" spans="1:4" ht="12.75">
      <c r="A754" s="17" t="s">
        <v>1273</v>
      </c>
      <c r="B754" s="18">
        <v>300</v>
      </c>
      <c r="C754" s="1106"/>
      <c r="D754" s="307"/>
    </row>
    <row r="755" spans="1:4" ht="12.75">
      <c r="A755" s="17" t="s">
        <v>1274</v>
      </c>
      <c r="B755" s="18">
        <v>300</v>
      </c>
      <c r="C755" s="1106"/>
      <c r="D755" s="307"/>
    </row>
    <row r="756" spans="1:4" ht="12.75">
      <c r="A756" s="17" t="s">
        <v>1275</v>
      </c>
      <c r="B756" s="18">
        <v>300</v>
      </c>
      <c r="C756" s="1106"/>
      <c r="D756" s="307"/>
    </row>
    <row r="757" spans="1:4" ht="12.75">
      <c r="A757" s="17" t="s">
        <v>1276</v>
      </c>
      <c r="B757" s="18">
        <v>300</v>
      </c>
      <c r="C757" s="1106"/>
      <c r="D757" s="307"/>
    </row>
    <row r="758" spans="1:4" ht="12.75">
      <c r="A758" s="17" t="s">
        <v>1277</v>
      </c>
      <c r="B758" s="18">
        <v>300</v>
      </c>
      <c r="C758" s="1106"/>
      <c r="D758" s="307"/>
    </row>
    <row r="759" spans="1:4" ht="12.75">
      <c r="A759" s="17" t="s">
        <v>1278</v>
      </c>
      <c r="B759" s="18">
        <v>300</v>
      </c>
      <c r="C759" s="1106"/>
      <c r="D759" s="307"/>
    </row>
    <row r="760" spans="1:4" ht="12.75">
      <c r="A760" s="17" t="s">
        <v>1279</v>
      </c>
      <c r="B760" s="18">
        <v>300</v>
      </c>
      <c r="C760" s="1106"/>
      <c r="D760" s="307"/>
    </row>
    <row r="761" spans="1:4" ht="12.75">
      <c r="A761" s="17" t="s">
        <v>1280</v>
      </c>
      <c r="B761" s="18">
        <v>300</v>
      </c>
      <c r="C761" s="1106"/>
      <c r="D761" s="307"/>
    </row>
    <row r="762" spans="1:4" ht="12.75">
      <c r="A762" s="17" t="s">
        <v>1281</v>
      </c>
      <c r="B762" s="18">
        <v>300</v>
      </c>
      <c r="C762" s="1106"/>
      <c r="D762" s="307"/>
    </row>
    <row r="763" spans="1:4" ht="12.75">
      <c r="A763" s="17" t="s">
        <v>1282</v>
      </c>
      <c r="B763" s="18">
        <v>300</v>
      </c>
      <c r="C763" s="1106"/>
      <c r="D763" s="307"/>
    </row>
    <row r="764" spans="1:4" ht="12.75">
      <c r="A764" s="17" t="s">
        <v>1283</v>
      </c>
      <c r="B764" s="18">
        <v>300</v>
      </c>
      <c r="C764" s="1106"/>
      <c r="D764" s="307"/>
    </row>
    <row r="765" spans="1:4" ht="12.75">
      <c r="A765" s="17" t="s">
        <v>1284</v>
      </c>
      <c r="B765" s="18">
        <v>300</v>
      </c>
      <c r="C765" s="1106"/>
      <c r="D765" s="307"/>
    </row>
    <row r="766" spans="1:4" ht="12.75">
      <c r="A766" s="17" t="s">
        <v>1264</v>
      </c>
      <c r="B766" s="18">
        <v>300</v>
      </c>
      <c r="C766" s="1106"/>
      <c r="D766" s="307"/>
    </row>
    <row r="767" spans="1:4" ht="12.75">
      <c r="A767" s="17" t="s">
        <v>1285</v>
      </c>
      <c r="B767" s="18">
        <v>320</v>
      </c>
      <c r="C767" s="1106"/>
      <c r="D767" s="307"/>
    </row>
    <row r="768" spans="1:4" ht="12.75">
      <c r="A768" s="17" t="s">
        <v>1286</v>
      </c>
      <c r="B768" s="18">
        <v>320</v>
      </c>
      <c r="C768" s="1106"/>
      <c r="D768" s="307"/>
    </row>
    <row r="769" spans="1:4" ht="12.75">
      <c r="A769" s="17" t="s">
        <v>1287</v>
      </c>
      <c r="B769" s="18">
        <v>320</v>
      </c>
      <c r="C769" s="1106"/>
      <c r="D769" s="307"/>
    </row>
    <row r="770" spans="1:4" ht="12.75">
      <c r="A770" s="17" t="s">
        <v>1288</v>
      </c>
      <c r="B770" s="18">
        <v>320</v>
      </c>
      <c r="C770" s="1106"/>
      <c r="D770" s="307"/>
    </row>
    <row r="771" spans="1:4" ht="12.75">
      <c r="A771" s="17" t="s">
        <v>1289</v>
      </c>
      <c r="B771" s="18">
        <v>320</v>
      </c>
      <c r="C771" s="1106"/>
      <c r="D771" s="307"/>
    </row>
    <row r="772" spans="1:4" ht="12.75">
      <c r="A772" s="17" t="s">
        <v>1290</v>
      </c>
      <c r="B772" s="18">
        <v>320</v>
      </c>
      <c r="C772" s="1106"/>
      <c r="D772" s="307"/>
    </row>
    <row r="773" spans="1:4" ht="12.75">
      <c r="A773" s="17" t="s">
        <v>1291</v>
      </c>
      <c r="B773" s="18">
        <v>320</v>
      </c>
      <c r="C773" s="1106"/>
      <c r="D773" s="307"/>
    </row>
    <row r="774" spans="1:4" ht="12.75">
      <c r="A774" s="17" t="s">
        <v>1292</v>
      </c>
      <c r="B774" s="18">
        <v>320</v>
      </c>
      <c r="C774" s="1106"/>
      <c r="D774" s="307"/>
    </row>
    <row r="775" spans="1:4" ht="12.75">
      <c r="A775" s="17" t="s">
        <v>1293</v>
      </c>
      <c r="B775" s="18">
        <v>320</v>
      </c>
      <c r="C775" s="1106"/>
      <c r="D775" s="307"/>
    </row>
    <row r="776" spans="1:4" ht="12.75">
      <c r="A776" s="17" t="s">
        <v>1294</v>
      </c>
      <c r="B776" s="18">
        <v>320</v>
      </c>
      <c r="C776" s="1106"/>
      <c r="D776" s="307"/>
    </row>
    <row r="777" spans="1:4" ht="12.75">
      <c r="A777" s="17" t="s">
        <v>1295</v>
      </c>
      <c r="B777" s="18">
        <v>320</v>
      </c>
      <c r="C777" s="1106"/>
      <c r="D777" s="307"/>
    </row>
    <row r="778" spans="1:4" ht="12.75">
      <c r="A778" s="17" t="s">
        <v>1296</v>
      </c>
      <c r="B778" s="18">
        <v>320</v>
      </c>
      <c r="C778" s="1106"/>
      <c r="D778" s="307"/>
    </row>
    <row r="779" spans="1:4" ht="12.75">
      <c r="A779" s="17" t="s">
        <v>1297</v>
      </c>
      <c r="B779" s="18">
        <v>320</v>
      </c>
      <c r="C779" s="1106"/>
      <c r="D779" s="307"/>
    </row>
    <row r="780" spans="1:4" ht="12.75">
      <c r="A780" s="17" t="s">
        <v>1298</v>
      </c>
      <c r="B780" s="18">
        <v>320</v>
      </c>
      <c r="C780" s="1106"/>
      <c r="D780" s="307"/>
    </row>
    <row r="781" spans="1:4" ht="12.75">
      <c r="A781" s="17" t="s">
        <v>1299</v>
      </c>
      <c r="B781" s="18">
        <v>320</v>
      </c>
      <c r="C781" s="1106"/>
      <c r="D781" s="307"/>
    </row>
    <row r="782" spans="1:4" ht="12.75">
      <c r="A782" s="17" t="s">
        <v>1265</v>
      </c>
      <c r="B782" s="18">
        <v>320</v>
      </c>
      <c r="C782" s="1106"/>
      <c r="D782" s="307"/>
    </row>
    <row r="783" spans="1:4" ht="12.75">
      <c r="A783" s="17" t="s">
        <v>1300</v>
      </c>
      <c r="B783" s="18">
        <v>350</v>
      </c>
      <c r="C783" s="1106"/>
      <c r="D783" s="307"/>
    </row>
    <row r="784" spans="1:4" ht="12.75">
      <c r="A784" s="17" t="s">
        <v>1301</v>
      </c>
      <c r="B784" s="18">
        <v>350</v>
      </c>
      <c r="C784" s="1106"/>
      <c r="D784" s="307"/>
    </row>
    <row r="785" spans="1:4" ht="12.75">
      <c r="A785" s="17" t="s">
        <v>1302</v>
      </c>
      <c r="B785" s="18">
        <v>350</v>
      </c>
      <c r="C785" s="1106"/>
      <c r="D785" s="307"/>
    </row>
    <row r="786" spans="1:4" ht="12.75">
      <c r="A786" s="17" t="s">
        <v>1303</v>
      </c>
      <c r="B786" s="18">
        <v>350</v>
      </c>
      <c r="C786" s="1106"/>
      <c r="D786" s="307"/>
    </row>
    <row r="787" spans="1:4" ht="12.75">
      <c r="A787" s="17" t="s">
        <v>1304</v>
      </c>
      <c r="B787" s="18">
        <v>350</v>
      </c>
      <c r="C787" s="1106"/>
      <c r="D787" s="307"/>
    </row>
    <row r="788" spans="1:4" ht="12.75">
      <c r="A788" s="17" t="s">
        <v>1305</v>
      </c>
      <c r="B788" s="18">
        <v>350</v>
      </c>
      <c r="C788" s="1106"/>
      <c r="D788" s="307"/>
    </row>
    <row r="789" spans="1:4" ht="12.75">
      <c r="A789" s="17" t="s">
        <v>1306</v>
      </c>
      <c r="B789" s="18">
        <v>350</v>
      </c>
      <c r="C789" s="1106"/>
      <c r="D789" s="307"/>
    </row>
    <row r="790" spans="1:4" ht="12.75">
      <c r="A790" s="17" t="s">
        <v>1307</v>
      </c>
      <c r="B790" s="18">
        <v>350</v>
      </c>
      <c r="C790" s="1106"/>
      <c r="D790" s="307"/>
    </row>
    <row r="791" spans="1:4" ht="12.75">
      <c r="A791" s="17" t="s">
        <v>1308</v>
      </c>
      <c r="B791" s="18">
        <v>350</v>
      </c>
      <c r="C791" s="1106"/>
      <c r="D791" s="307"/>
    </row>
    <row r="792" spans="1:4" ht="12.75">
      <c r="A792" s="17" t="s">
        <v>1309</v>
      </c>
      <c r="B792" s="18">
        <v>350</v>
      </c>
      <c r="C792" s="1106"/>
      <c r="D792" s="307"/>
    </row>
    <row r="793" spans="1:4" ht="12.75">
      <c r="A793" s="17" t="s">
        <v>1310</v>
      </c>
      <c r="B793" s="18">
        <v>350</v>
      </c>
      <c r="C793" s="1106"/>
      <c r="D793" s="307"/>
    </row>
    <row r="794" spans="1:4" ht="12.75">
      <c r="A794" s="17" t="s">
        <v>1311</v>
      </c>
      <c r="B794" s="18">
        <v>350</v>
      </c>
      <c r="C794" s="1106"/>
      <c r="D794" s="307"/>
    </row>
    <row r="795" spans="1:4" ht="12.75">
      <c r="A795" s="17" t="s">
        <v>1312</v>
      </c>
      <c r="B795" s="18">
        <v>350</v>
      </c>
      <c r="C795" s="1106"/>
      <c r="D795" s="307"/>
    </row>
    <row r="796" spans="1:4" ht="12.75">
      <c r="A796" s="17" t="s">
        <v>1313</v>
      </c>
      <c r="B796" s="18">
        <v>350</v>
      </c>
      <c r="C796" s="1106"/>
      <c r="D796" s="307"/>
    </row>
    <row r="797" spans="1:4" ht="12.75">
      <c r="A797" s="17" t="s">
        <v>1314</v>
      </c>
      <c r="B797" s="18">
        <v>350</v>
      </c>
      <c r="C797" s="1106"/>
      <c r="D797" s="307"/>
    </row>
    <row r="798" spans="1:4" ht="12.75">
      <c r="A798" s="17" t="s">
        <v>1266</v>
      </c>
      <c r="B798" s="18">
        <v>350</v>
      </c>
      <c r="C798" s="1106"/>
      <c r="D798" s="307"/>
    </row>
    <row r="799" spans="1:4" ht="12.75">
      <c r="A799" s="17" t="s">
        <v>685</v>
      </c>
      <c r="B799" s="18">
        <v>380</v>
      </c>
      <c r="C799" s="1106"/>
      <c r="D799" s="305"/>
    </row>
    <row r="800" spans="1:4" ht="12.75">
      <c r="A800" s="17" t="s">
        <v>686</v>
      </c>
      <c r="B800" s="18">
        <v>380</v>
      </c>
      <c r="C800" s="1106"/>
      <c r="D800" s="305"/>
    </row>
    <row r="801" spans="1:4" ht="12.75">
      <c r="A801" s="17" t="s">
        <v>687</v>
      </c>
      <c r="B801" s="18">
        <v>380</v>
      </c>
      <c r="C801" s="1106"/>
      <c r="D801" s="305"/>
    </row>
    <row r="802" spans="1:4" ht="12.75">
      <c r="A802" s="17" t="s">
        <v>688</v>
      </c>
      <c r="B802" s="18">
        <v>380</v>
      </c>
      <c r="C802" s="1106"/>
      <c r="D802" s="305"/>
    </row>
    <row r="803" spans="1:4" ht="12.75">
      <c r="A803" s="17" t="s">
        <v>689</v>
      </c>
      <c r="B803" s="18">
        <v>380</v>
      </c>
      <c r="C803" s="1106"/>
      <c r="D803" s="305"/>
    </row>
    <row r="804" spans="1:4" ht="12.75">
      <c r="A804" s="17" t="s">
        <v>690</v>
      </c>
      <c r="B804" s="18">
        <v>380</v>
      </c>
      <c r="C804" s="1106"/>
      <c r="D804" s="305"/>
    </row>
    <row r="805" spans="1:4" ht="12.75">
      <c r="A805" s="17" t="s">
        <v>691</v>
      </c>
      <c r="B805" s="18">
        <v>380</v>
      </c>
      <c r="C805" s="1106"/>
      <c r="D805" s="305"/>
    </row>
    <row r="806" spans="1:4" ht="12.75">
      <c r="A806" s="17" t="s">
        <v>692</v>
      </c>
      <c r="B806" s="18">
        <v>380</v>
      </c>
      <c r="C806" s="1106"/>
      <c r="D806" s="305"/>
    </row>
    <row r="807" spans="1:4" ht="12.75">
      <c r="A807" s="17" t="s">
        <v>693</v>
      </c>
      <c r="B807" s="18">
        <v>380</v>
      </c>
      <c r="C807" s="1106"/>
      <c r="D807" s="305"/>
    </row>
    <row r="808" spans="1:4" ht="12.75">
      <c r="A808" s="17" t="s">
        <v>694</v>
      </c>
      <c r="B808" s="18">
        <v>380</v>
      </c>
      <c r="C808" s="1106"/>
      <c r="D808" s="305"/>
    </row>
    <row r="809" spans="1:4" ht="12.75">
      <c r="A809" s="17" t="s">
        <v>695</v>
      </c>
      <c r="B809" s="18">
        <v>380</v>
      </c>
      <c r="C809" s="1106"/>
      <c r="D809" s="305"/>
    </row>
    <row r="810" spans="1:4" ht="12.75">
      <c r="A810" s="17" t="s">
        <v>696</v>
      </c>
      <c r="B810" s="18">
        <v>380</v>
      </c>
      <c r="C810" s="1106"/>
      <c r="D810" s="305"/>
    </row>
    <row r="811" spans="1:4" ht="12.75">
      <c r="A811" s="17" t="s">
        <v>697</v>
      </c>
      <c r="B811" s="18">
        <v>380</v>
      </c>
      <c r="C811" s="1106"/>
      <c r="D811" s="305"/>
    </row>
    <row r="812" spans="1:4" ht="12.75">
      <c r="A812" s="17" t="s">
        <v>698</v>
      </c>
      <c r="B812" s="18">
        <v>380</v>
      </c>
      <c r="C812" s="1106"/>
      <c r="D812" s="305"/>
    </row>
    <row r="813" spans="1:4" ht="12.75">
      <c r="A813" s="17" t="s">
        <v>699</v>
      </c>
      <c r="B813" s="18">
        <v>380</v>
      </c>
      <c r="C813" s="1106"/>
      <c r="D813" s="305"/>
    </row>
    <row r="814" spans="1:4" ht="12.75">
      <c r="A814" s="17" t="s">
        <v>700</v>
      </c>
      <c r="B814" s="18">
        <v>380</v>
      </c>
      <c r="C814" s="1106"/>
      <c r="D814" s="305"/>
    </row>
    <row r="815" spans="1:4" ht="12.75">
      <c r="A815" s="17" t="s">
        <v>701</v>
      </c>
      <c r="B815" s="18">
        <v>440</v>
      </c>
      <c r="C815" s="1106"/>
      <c r="D815" s="305"/>
    </row>
    <row r="816" spans="1:4" ht="12.75">
      <c r="A816" s="17" t="s">
        <v>702</v>
      </c>
      <c r="B816" s="18">
        <v>440</v>
      </c>
      <c r="C816" s="1106"/>
      <c r="D816" s="305"/>
    </row>
    <row r="817" spans="1:4" ht="12.75">
      <c r="A817" s="17" t="s">
        <v>703</v>
      </c>
      <c r="B817" s="18">
        <v>440</v>
      </c>
      <c r="C817" s="1106"/>
      <c r="D817" s="305"/>
    </row>
    <row r="818" spans="1:4" ht="12.75">
      <c r="A818" s="17" t="s">
        <v>704</v>
      </c>
      <c r="B818" s="18">
        <v>440</v>
      </c>
      <c r="C818" s="1106"/>
      <c r="D818" s="305"/>
    </row>
    <row r="819" spans="1:4" ht="12.75">
      <c r="A819" s="17" t="s">
        <v>705</v>
      </c>
      <c r="B819" s="18">
        <v>440</v>
      </c>
      <c r="C819" s="1106"/>
      <c r="D819" s="305"/>
    </row>
    <row r="820" spans="1:4" ht="12.75">
      <c r="A820" s="17" t="s">
        <v>706</v>
      </c>
      <c r="B820" s="18">
        <v>440</v>
      </c>
      <c r="C820" s="1106"/>
      <c r="D820" s="305"/>
    </row>
    <row r="821" spans="1:4" ht="12.75">
      <c r="A821" s="17" t="s">
        <v>707</v>
      </c>
      <c r="B821" s="18">
        <v>440</v>
      </c>
      <c r="C821" s="1106"/>
      <c r="D821" s="305"/>
    </row>
    <row r="822" spans="1:4" ht="12.75">
      <c r="A822" s="17" t="s">
        <v>708</v>
      </c>
      <c r="B822" s="18">
        <v>440</v>
      </c>
      <c r="C822" s="1106"/>
      <c r="D822" s="305"/>
    </row>
    <row r="823" spans="1:4" ht="12.75">
      <c r="A823" s="17" t="s">
        <v>709</v>
      </c>
      <c r="B823" s="18">
        <v>440</v>
      </c>
      <c r="C823" s="1106"/>
      <c r="D823" s="305"/>
    </row>
    <row r="824" spans="1:4" ht="12.75">
      <c r="A824" s="17" t="s">
        <v>710</v>
      </c>
      <c r="B824" s="18">
        <v>440</v>
      </c>
      <c r="C824" s="1106"/>
      <c r="D824" s="305"/>
    </row>
    <row r="825" spans="1:4" ht="12.75">
      <c r="A825" s="17" t="s">
        <v>711</v>
      </c>
      <c r="B825" s="18">
        <v>440</v>
      </c>
      <c r="C825" s="1106"/>
      <c r="D825" s="305"/>
    </row>
    <row r="826" spans="1:4" ht="12.75">
      <c r="A826" s="17" t="s">
        <v>712</v>
      </c>
      <c r="B826" s="18">
        <v>440</v>
      </c>
      <c r="C826" s="1106"/>
      <c r="D826" s="305"/>
    </row>
    <row r="827" spans="1:4" ht="12.75">
      <c r="A827" s="17" t="s">
        <v>713</v>
      </c>
      <c r="B827" s="18">
        <v>440</v>
      </c>
      <c r="C827" s="1106"/>
      <c r="D827" s="305"/>
    </row>
    <row r="828" spans="1:4" ht="12.75">
      <c r="A828" s="17" t="s">
        <v>714</v>
      </c>
      <c r="B828" s="18">
        <v>440</v>
      </c>
      <c r="C828" s="1106"/>
      <c r="D828" s="305"/>
    </row>
    <row r="829" spans="1:4" ht="12.75">
      <c r="A829" s="17" t="s">
        <v>715</v>
      </c>
      <c r="B829" s="18">
        <v>440</v>
      </c>
      <c r="C829" s="1106"/>
      <c r="D829" s="305"/>
    </row>
    <row r="830" spans="1:4" ht="12.75">
      <c r="A830" s="17" t="s">
        <v>716</v>
      </c>
      <c r="B830" s="18">
        <v>440</v>
      </c>
      <c r="C830" s="1106"/>
      <c r="D830" s="305"/>
    </row>
    <row r="831" spans="1:4" ht="12.75">
      <c r="A831" s="17" t="s">
        <v>1315</v>
      </c>
      <c r="B831" s="18">
        <v>480</v>
      </c>
      <c r="C831" s="1106"/>
      <c r="D831" s="306"/>
    </row>
    <row r="832" spans="1:4" ht="12.75">
      <c r="A832" s="17" t="s">
        <v>1316</v>
      </c>
      <c r="B832" s="18">
        <v>480</v>
      </c>
      <c r="C832" s="1106"/>
      <c r="D832" s="306"/>
    </row>
    <row r="833" spans="1:4" ht="12.75">
      <c r="A833" s="17" t="s">
        <v>1317</v>
      </c>
      <c r="B833" s="18">
        <v>480</v>
      </c>
      <c r="C833" s="1106"/>
      <c r="D833" s="306"/>
    </row>
    <row r="834" spans="1:4" ht="12.75">
      <c r="A834" s="17" t="s">
        <v>1318</v>
      </c>
      <c r="B834" s="18">
        <v>480</v>
      </c>
      <c r="C834" s="1106"/>
      <c r="D834" s="306"/>
    </row>
    <row r="835" spans="1:4" ht="12.75">
      <c r="A835" s="17" t="s">
        <v>1319</v>
      </c>
      <c r="B835" s="18">
        <v>480</v>
      </c>
      <c r="C835" s="1106"/>
      <c r="D835" s="306"/>
    </row>
    <row r="836" spans="1:4" ht="12.75">
      <c r="A836" s="17" t="s">
        <v>1320</v>
      </c>
      <c r="B836" s="18">
        <v>480</v>
      </c>
      <c r="C836" s="1106"/>
      <c r="D836" s="306"/>
    </row>
    <row r="837" spans="1:4" ht="12.75">
      <c r="A837" s="17" t="s">
        <v>1321</v>
      </c>
      <c r="B837" s="18">
        <v>480</v>
      </c>
      <c r="C837" s="1106"/>
      <c r="D837" s="306"/>
    </row>
    <row r="838" spans="1:4" ht="12.75">
      <c r="A838" s="17" t="s">
        <v>1322</v>
      </c>
      <c r="B838" s="18">
        <v>480</v>
      </c>
      <c r="C838" s="1106"/>
      <c r="D838" s="306"/>
    </row>
    <row r="839" spans="1:4" ht="12.75">
      <c r="A839" s="17" t="s">
        <v>1323</v>
      </c>
      <c r="B839" s="18">
        <v>480</v>
      </c>
      <c r="C839" s="1106"/>
      <c r="D839" s="306"/>
    </row>
    <row r="840" spans="1:4" ht="12.75">
      <c r="A840" s="17" t="s">
        <v>1324</v>
      </c>
      <c r="B840" s="18">
        <v>480</v>
      </c>
      <c r="C840" s="1106"/>
      <c r="D840" s="306"/>
    </row>
    <row r="841" spans="1:4" ht="12.75">
      <c r="A841" s="17" t="s">
        <v>1325</v>
      </c>
      <c r="B841" s="18">
        <v>480</v>
      </c>
      <c r="C841" s="1106"/>
      <c r="D841" s="306"/>
    </row>
    <row r="842" spans="1:4" ht="12.75">
      <c r="A842" s="17" t="s">
        <v>1326</v>
      </c>
      <c r="B842" s="18">
        <v>480</v>
      </c>
      <c r="C842" s="1106"/>
      <c r="D842" s="306"/>
    </row>
    <row r="843" spans="1:4" ht="12.75">
      <c r="A843" s="17" t="s">
        <v>1327</v>
      </c>
      <c r="B843" s="18">
        <v>480</v>
      </c>
      <c r="C843" s="1106"/>
      <c r="D843" s="306"/>
    </row>
    <row r="844" spans="1:4" ht="12.75">
      <c r="A844" s="17" t="s">
        <v>1328</v>
      </c>
      <c r="B844" s="18">
        <v>480</v>
      </c>
      <c r="C844" s="1106"/>
      <c r="D844" s="306"/>
    </row>
    <row r="845" spans="1:4" ht="12.75">
      <c r="A845" s="17" t="s">
        <v>1329</v>
      </c>
      <c r="B845" s="18">
        <v>480</v>
      </c>
      <c r="C845" s="1106"/>
      <c r="D845" s="306"/>
    </row>
    <row r="846" spans="1:4" ht="12.75">
      <c r="A846" s="17" t="s">
        <v>1267</v>
      </c>
      <c r="B846" s="18">
        <v>480</v>
      </c>
      <c r="C846" s="1106"/>
      <c r="D846" s="306"/>
    </row>
    <row r="847" spans="1:4" ht="12.75">
      <c r="A847" s="17" t="s">
        <v>717</v>
      </c>
      <c r="B847" s="18">
        <v>520</v>
      </c>
      <c r="C847" s="1106"/>
      <c r="D847" s="305"/>
    </row>
    <row r="848" spans="1:4" ht="12.75">
      <c r="A848" s="17" t="s">
        <v>718</v>
      </c>
      <c r="B848" s="18">
        <v>520</v>
      </c>
      <c r="C848" s="1106"/>
      <c r="D848" s="305"/>
    </row>
    <row r="849" spans="1:4" ht="12.75">
      <c r="A849" s="17" t="s">
        <v>719</v>
      </c>
      <c r="B849" s="18">
        <v>520</v>
      </c>
      <c r="C849" s="1106"/>
      <c r="D849" s="305"/>
    </row>
    <row r="850" spans="1:4" ht="12.75">
      <c r="A850" s="17" t="s">
        <v>720</v>
      </c>
      <c r="B850" s="18">
        <v>520</v>
      </c>
      <c r="C850" s="1106"/>
      <c r="D850" s="305"/>
    </row>
    <row r="851" spans="1:4" ht="12.75">
      <c r="A851" s="17" t="s">
        <v>721</v>
      </c>
      <c r="B851" s="18">
        <v>520</v>
      </c>
      <c r="C851" s="1106"/>
      <c r="D851" s="305"/>
    </row>
    <row r="852" spans="1:4" ht="12.75">
      <c r="A852" s="17" t="s">
        <v>722</v>
      </c>
      <c r="B852" s="18">
        <v>520</v>
      </c>
      <c r="C852" s="1106"/>
      <c r="D852" s="305"/>
    </row>
    <row r="853" spans="1:4" ht="12.75">
      <c r="A853" s="17" t="s">
        <v>723</v>
      </c>
      <c r="B853" s="18">
        <v>520</v>
      </c>
      <c r="C853" s="1106"/>
      <c r="D853" s="305"/>
    </row>
    <row r="854" spans="1:4" ht="12.75">
      <c r="A854" s="17" t="s">
        <v>724</v>
      </c>
      <c r="B854" s="18">
        <v>520</v>
      </c>
      <c r="C854" s="1106"/>
      <c r="D854" s="305"/>
    </row>
    <row r="855" spans="1:4" ht="12.75">
      <c r="A855" s="17" t="s">
        <v>725</v>
      </c>
      <c r="B855" s="18">
        <v>520</v>
      </c>
      <c r="C855" s="1106"/>
      <c r="D855" s="305"/>
    </row>
    <row r="856" spans="1:4" ht="12.75">
      <c r="A856" s="17" t="s">
        <v>726</v>
      </c>
      <c r="B856" s="18">
        <v>520</v>
      </c>
      <c r="C856" s="1106"/>
      <c r="D856" s="305"/>
    </row>
    <row r="857" spans="1:4" ht="12.75">
      <c r="A857" s="17" t="s">
        <v>727</v>
      </c>
      <c r="B857" s="18">
        <v>520</v>
      </c>
      <c r="C857" s="1106"/>
      <c r="D857" s="305"/>
    </row>
    <row r="858" spans="1:4" ht="12.75">
      <c r="A858" s="17" t="s">
        <v>728</v>
      </c>
      <c r="B858" s="18">
        <v>520</v>
      </c>
      <c r="C858" s="1106"/>
      <c r="D858" s="305"/>
    </row>
    <row r="859" spans="1:4" ht="12.75">
      <c r="A859" s="17" t="s">
        <v>729</v>
      </c>
      <c r="B859" s="18">
        <v>520</v>
      </c>
      <c r="C859" s="1106"/>
      <c r="D859" s="305"/>
    </row>
    <row r="860" spans="1:4" ht="12.75">
      <c r="A860" s="17" t="s">
        <v>730</v>
      </c>
      <c r="B860" s="18">
        <v>520</v>
      </c>
      <c r="C860" s="1106"/>
      <c r="D860" s="305"/>
    </row>
    <row r="861" spans="1:4" ht="12.75">
      <c r="A861" s="17" t="s">
        <v>731</v>
      </c>
      <c r="B861" s="18">
        <v>520</v>
      </c>
      <c r="C861" s="1106"/>
      <c r="D861" s="305"/>
    </row>
    <row r="862" spans="1:4" ht="12.75">
      <c r="A862" s="17" t="s">
        <v>732</v>
      </c>
      <c r="B862" s="18">
        <v>520</v>
      </c>
      <c r="C862" s="1106"/>
      <c r="D862" s="305"/>
    </row>
    <row r="863" spans="1:4" ht="12.75">
      <c r="A863" s="17" t="s">
        <v>733</v>
      </c>
      <c r="B863" s="18">
        <v>560</v>
      </c>
      <c r="C863" s="1106"/>
      <c r="D863" s="305"/>
    </row>
    <row r="864" spans="1:4" ht="12.75">
      <c r="A864" s="17" t="s">
        <v>734</v>
      </c>
      <c r="B864" s="18">
        <v>560</v>
      </c>
      <c r="C864" s="1106"/>
      <c r="D864" s="305"/>
    </row>
    <row r="865" spans="1:4" ht="12.75">
      <c r="A865" s="17" t="s">
        <v>735</v>
      </c>
      <c r="B865" s="18">
        <v>560</v>
      </c>
      <c r="C865" s="1106"/>
      <c r="D865" s="305"/>
    </row>
    <row r="866" spans="1:4" ht="12.75">
      <c r="A866" s="17" t="s">
        <v>736</v>
      </c>
      <c r="B866" s="18">
        <v>560</v>
      </c>
      <c r="C866" s="1106"/>
      <c r="D866" s="305"/>
    </row>
    <row r="867" spans="1:4" ht="12.75">
      <c r="A867" s="17" t="s">
        <v>737</v>
      </c>
      <c r="B867" s="18">
        <v>560</v>
      </c>
      <c r="C867" s="1106"/>
      <c r="D867" s="305"/>
    </row>
    <row r="868" spans="1:4" ht="12.75">
      <c r="A868" s="17" t="s">
        <v>738</v>
      </c>
      <c r="B868" s="18">
        <v>560</v>
      </c>
      <c r="C868" s="1106"/>
      <c r="D868" s="305"/>
    </row>
    <row r="869" spans="1:4" ht="12.75">
      <c r="A869" s="17" t="s">
        <v>739</v>
      </c>
      <c r="B869" s="18">
        <v>560</v>
      </c>
      <c r="C869" s="1106"/>
      <c r="D869" s="305"/>
    </row>
    <row r="870" spans="1:4" ht="12.75">
      <c r="A870" s="17" t="s">
        <v>740</v>
      </c>
      <c r="B870" s="18">
        <v>560</v>
      </c>
      <c r="C870" s="1106"/>
      <c r="D870" s="305"/>
    </row>
    <row r="871" spans="1:4" ht="12.75">
      <c r="A871" s="17" t="s">
        <v>741</v>
      </c>
      <c r="B871" s="18">
        <v>560</v>
      </c>
      <c r="C871" s="1106"/>
      <c r="D871" s="305"/>
    </row>
    <row r="872" spans="1:4" ht="12.75">
      <c r="A872" s="17" t="s">
        <v>742</v>
      </c>
      <c r="B872" s="18">
        <v>560</v>
      </c>
      <c r="C872" s="1106"/>
      <c r="D872" s="305"/>
    </row>
    <row r="873" spans="1:4" ht="12.75">
      <c r="A873" s="17" t="s">
        <v>743</v>
      </c>
      <c r="B873" s="18">
        <v>560</v>
      </c>
      <c r="C873" s="1106"/>
      <c r="D873" s="305"/>
    </row>
    <row r="874" spans="1:4" ht="12.75">
      <c r="A874" s="17" t="s">
        <v>744</v>
      </c>
      <c r="B874" s="18">
        <v>560</v>
      </c>
      <c r="C874" s="1106"/>
      <c r="D874" s="305"/>
    </row>
    <row r="875" spans="1:4" ht="12.75">
      <c r="A875" s="17" t="s">
        <v>745</v>
      </c>
      <c r="B875" s="18">
        <v>560</v>
      </c>
      <c r="C875" s="1106"/>
      <c r="D875" s="305"/>
    </row>
    <row r="876" spans="1:4" ht="12.75">
      <c r="A876" s="17" t="s">
        <v>746</v>
      </c>
      <c r="B876" s="18">
        <v>560</v>
      </c>
      <c r="C876" s="1106"/>
      <c r="D876" s="305"/>
    </row>
    <row r="877" spans="1:4" ht="12.75">
      <c r="A877" s="17" t="s">
        <v>747</v>
      </c>
      <c r="B877" s="18">
        <v>560</v>
      </c>
      <c r="C877" s="1106"/>
      <c r="D877" s="305"/>
    </row>
    <row r="878" spans="1:4" ht="12.75">
      <c r="A878" s="17" t="s">
        <v>748</v>
      </c>
      <c r="B878" s="18">
        <v>560</v>
      </c>
      <c r="C878" s="1106"/>
      <c r="D878" s="305"/>
    </row>
    <row r="879" spans="1:4" ht="12.75">
      <c r="A879" s="17" t="s">
        <v>749</v>
      </c>
      <c r="B879" s="18">
        <v>620</v>
      </c>
      <c r="C879" s="1106"/>
      <c r="D879" s="305"/>
    </row>
    <row r="880" spans="1:4" ht="12.75">
      <c r="A880" s="17" t="s">
        <v>750</v>
      </c>
      <c r="B880" s="18">
        <v>620</v>
      </c>
      <c r="C880" s="1106"/>
      <c r="D880" s="305"/>
    </row>
    <row r="881" spans="1:4" ht="12.75">
      <c r="A881" s="17" t="s">
        <v>751</v>
      </c>
      <c r="B881" s="18">
        <v>620</v>
      </c>
      <c r="C881" s="1106"/>
      <c r="D881" s="305"/>
    </row>
    <row r="882" spans="1:4" ht="12.75">
      <c r="A882" s="17" t="s">
        <v>752</v>
      </c>
      <c r="B882" s="18">
        <v>620</v>
      </c>
      <c r="C882" s="1106"/>
      <c r="D882" s="305"/>
    </row>
    <row r="883" spans="1:4" ht="12.75">
      <c r="A883" s="17" t="s">
        <v>753</v>
      </c>
      <c r="B883" s="18">
        <v>620</v>
      </c>
      <c r="C883" s="1106"/>
      <c r="D883" s="305"/>
    </row>
    <row r="884" spans="1:4" ht="12.75">
      <c r="A884" s="17" t="s">
        <v>754</v>
      </c>
      <c r="B884" s="18">
        <v>620</v>
      </c>
      <c r="C884" s="1106"/>
      <c r="D884" s="305"/>
    </row>
    <row r="885" spans="1:4" ht="12.75">
      <c r="A885" s="17" t="s">
        <v>755</v>
      </c>
      <c r="B885" s="18">
        <v>620</v>
      </c>
      <c r="C885" s="1106"/>
      <c r="D885" s="305"/>
    </row>
    <row r="886" spans="1:4" ht="12.75">
      <c r="A886" s="17" t="s">
        <v>756</v>
      </c>
      <c r="B886" s="18">
        <v>620</v>
      </c>
      <c r="C886" s="1106"/>
      <c r="D886" s="305"/>
    </row>
    <row r="887" spans="1:4" ht="12.75">
      <c r="A887" s="17" t="s">
        <v>757</v>
      </c>
      <c r="B887" s="18">
        <v>620</v>
      </c>
      <c r="C887" s="1106"/>
      <c r="D887" s="305"/>
    </row>
    <row r="888" spans="1:4" ht="12.75">
      <c r="A888" s="17" t="s">
        <v>758</v>
      </c>
      <c r="B888" s="18">
        <v>620</v>
      </c>
      <c r="C888" s="1106"/>
      <c r="D888" s="305"/>
    </row>
    <row r="889" spans="1:4" ht="12.75">
      <c r="A889" s="17" t="s">
        <v>759</v>
      </c>
      <c r="B889" s="18">
        <v>620</v>
      </c>
      <c r="C889" s="1106"/>
      <c r="D889" s="305"/>
    </row>
    <row r="890" spans="1:4" ht="12.75">
      <c r="A890" s="17" t="s">
        <v>760</v>
      </c>
      <c r="B890" s="18">
        <v>620</v>
      </c>
      <c r="C890" s="1106"/>
      <c r="D890" s="305"/>
    </row>
    <row r="891" spans="1:4" ht="12.75">
      <c r="A891" s="17" t="s">
        <v>761</v>
      </c>
      <c r="B891" s="18">
        <v>620</v>
      </c>
      <c r="C891" s="1106"/>
      <c r="D891" s="305"/>
    </row>
    <row r="892" spans="1:4" ht="12.75">
      <c r="A892" s="17" t="s">
        <v>762</v>
      </c>
      <c r="B892" s="18">
        <v>620</v>
      </c>
      <c r="C892" s="1106"/>
      <c r="D892" s="305"/>
    </row>
    <row r="893" spans="1:4" ht="12.75">
      <c r="A893" s="17" t="s">
        <v>763</v>
      </c>
      <c r="B893" s="18">
        <v>620</v>
      </c>
      <c r="C893" s="1106"/>
      <c r="D893" s="305"/>
    </row>
    <row r="894" spans="1:4" ht="12.75">
      <c r="A894" s="17" t="s">
        <v>764</v>
      </c>
      <c r="B894" s="18">
        <v>620</v>
      </c>
      <c r="C894" s="1106"/>
      <c r="D894" s="305"/>
    </row>
    <row r="895" spans="1:4" ht="12.75">
      <c r="A895" s="17" t="s">
        <v>1330</v>
      </c>
      <c r="B895" s="18">
        <v>670</v>
      </c>
      <c r="C895" s="1106"/>
      <c r="D895" s="306"/>
    </row>
    <row r="896" spans="1:4" ht="12.75">
      <c r="A896" s="17" t="s">
        <v>1331</v>
      </c>
      <c r="B896" s="18">
        <v>670</v>
      </c>
      <c r="C896" s="1106"/>
      <c r="D896" s="306"/>
    </row>
    <row r="897" spans="1:4" ht="12.75">
      <c r="A897" s="17" t="s">
        <v>1332</v>
      </c>
      <c r="B897" s="18">
        <v>670</v>
      </c>
      <c r="C897" s="1106"/>
      <c r="D897" s="306"/>
    </row>
    <row r="898" spans="1:4" ht="12.75">
      <c r="A898" s="17" t="s">
        <v>1333</v>
      </c>
      <c r="B898" s="18">
        <v>670</v>
      </c>
      <c r="C898" s="1106"/>
      <c r="D898" s="306"/>
    </row>
    <row r="899" spans="1:4" ht="12.75">
      <c r="A899" s="17" t="s">
        <v>1334</v>
      </c>
      <c r="B899" s="18">
        <v>670</v>
      </c>
      <c r="C899" s="1106"/>
      <c r="D899" s="306"/>
    </row>
    <row r="900" spans="1:4" ht="12.75">
      <c r="A900" s="17" t="s">
        <v>1335</v>
      </c>
      <c r="B900" s="18">
        <v>670</v>
      </c>
      <c r="C900" s="1106"/>
      <c r="D900" s="306"/>
    </row>
    <row r="901" spans="1:4" ht="12.75">
      <c r="A901" s="17" t="s">
        <v>1336</v>
      </c>
      <c r="B901" s="18">
        <v>670</v>
      </c>
      <c r="C901" s="1106"/>
      <c r="D901" s="306"/>
    </row>
    <row r="902" spans="1:4" ht="12.75">
      <c r="A902" s="17" t="s">
        <v>1337</v>
      </c>
      <c r="B902" s="18">
        <v>670</v>
      </c>
      <c r="C902" s="1106"/>
      <c r="D902" s="306"/>
    </row>
    <row r="903" spans="1:4" ht="12.75">
      <c r="A903" s="17" t="s">
        <v>1338</v>
      </c>
      <c r="B903" s="18">
        <v>670</v>
      </c>
      <c r="C903" s="1106"/>
      <c r="D903" s="306"/>
    </row>
    <row r="904" spans="1:4" ht="12.75">
      <c r="A904" s="17" t="s">
        <v>1339</v>
      </c>
      <c r="B904" s="18">
        <v>670</v>
      </c>
      <c r="C904" s="1106"/>
      <c r="D904" s="306"/>
    </row>
    <row r="905" spans="1:4" ht="12.75">
      <c r="A905" s="17" t="s">
        <v>1340</v>
      </c>
      <c r="B905" s="18">
        <v>670</v>
      </c>
      <c r="C905" s="1106"/>
      <c r="D905" s="306"/>
    </row>
    <row r="906" spans="1:4" ht="12.75">
      <c r="A906" s="17" t="s">
        <v>1341</v>
      </c>
      <c r="B906" s="18">
        <v>670</v>
      </c>
      <c r="C906" s="1106"/>
      <c r="D906" s="306"/>
    </row>
    <row r="907" spans="1:4" ht="12.75">
      <c r="A907" s="17" t="s">
        <v>1342</v>
      </c>
      <c r="B907" s="18">
        <v>670</v>
      </c>
      <c r="C907" s="1106"/>
      <c r="D907" s="306"/>
    </row>
    <row r="908" spans="1:4" ht="12.75">
      <c r="A908" s="17" t="s">
        <v>1343</v>
      </c>
      <c r="B908" s="18">
        <v>670</v>
      </c>
      <c r="C908" s="1106"/>
      <c r="D908" s="306"/>
    </row>
    <row r="909" spans="1:4" ht="12.75">
      <c r="A909" s="17" t="s">
        <v>1344</v>
      </c>
      <c r="B909" s="18">
        <v>670</v>
      </c>
      <c r="C909" s="1106"/>
      <c r="D909" s="306"/>
    </row>
    <row r="910" spans="1:4" ht="12.75">
      <c r="A910" s="17" t="s">
        <v>1268</v>
      </c>
      <c r="B910" s="18">
        <v>670</v>
      </c>
      <c r="C910" s="1106"/>
      <c r="D910" s="306"/>
    </row>
    <row r="911" spans="1:4" ht="12.75">
      <c r="A911" s="17" t="s">
        <v>1345</v>
      </c>
      <c r="B911" s="18">
        <v>850</v>
      </c>
      <c r="C911" s="1106"/>
      <c r="D911" s="306"/>
    </row>
    <row r="912" spans="1:4" ht="12.75">
      <c r="A912" s="17" t="s">
        <v>1346</v>
      </c>
      <c r="B912" s="18">
        <v>850</v>
      </c>
      <c r="C912" s="1106"/>
      <c r="D912" s="306"/>
    </row>
    <row r="913" spans="1:4" ht="12.75">
      <c r="A913" s="17" t="s">
        <v>1347</v>
      </c>
      <c r="B913" s="18">
        <v>850</v>
      </c>
      <c r="C913" s="1106"/>
      <c r="D913" s="306"/>
    </row>
    <row r="914" spans="1:4" ht="12.75">
      <c r="A914" s="17" t="s">
        <v>1348</v>
      </c>
      <c r="B914" s="18">
        <v>850</v>
      </c>
      <c r="C914" s="1106"/>
      <c r="D914" s="306"/>
    </row>
    <row r="915" spans="1:4" ht="12.75">
      <c r="A915" s="17" t="s">
        <v>1349</v>
      </c>
      <c r="B915" s="18">
        <v>850</v>
      </c>
      <c r="C915" s="1106"/>
      <c r="D915" s="306"/>
    </row>
    <row r="916" spans="1:4" ht="12.75">
      <c r="A916" s="17" t="s">
        <v>1350</v>
      </c>
      <c r="B916" s="18">
        <v>850</v>
      </c>
      <c r="C916" s="1106"/>
      <c r="D916" s="306"/>
    </row>
    <row r="917" spans="1:4" ht="12.75">
      <c r="A917" s="17" t="s">
        <v>1351</v>
      </c>
      <c r="B917" s="18">
        <v>850</v>
      </c>
      <c r="C917" s="1106"/>
      <c r="D917" s="306"/>
    </row>
    <row r="918" spans="1:4" ht="12.75">
      <c r="A918" s="17" t="s">
        <v>1352</v>
      </c>
      <c r="B918" s="18">
        <v>850</v>
      </c>
      <c r="C918" s="1106"/>
      <c r="D918" s="306"/>
    </row>
    <row r="919" spans="1:4" ht="12.75">
      <c r="A919" s="17" t="s">
        <v>1353</v>
      </c>
      <c r="B919" s="18">
        <v>850</v>
      </c>
      <c r="C919" s="1106"/>
      <c r="D919" s="306"/>
    </row>
    <row r="920" spans="1:4" ht="12.75">
      <c r="A920" s="17" t="s">
        <v>1354</v>
      </c>
      <c r="B920" s="18">
        <v>850</v>
      </c>
      <c r="C920" s="1106"/>
      <c r="D920" s="306"/>
    </row>
    <row r="921" spans="1:4" ht="12.75">
      <c r="A921" s="17" t="s">
        <v>1355</v>
      </c>
      <c r="B921" s="18">
        <v>850</v>
      </c>
      <c r="C921" s="1106"/>
      <c r="D921" s="306"/>
    </row>
    <row r="922" spans="1:4" ht="12.75">
      <c r="A922" s="17" t="s">
        <v>1356</v>
      </c>
      <c r="B922" s="18">
        <v>850</v>
      </c>
      <c r="C922" s="1106"/>
      <c r="D922" s="306"/>
    </row>
    <row r="923" spans="1:4" ht="12.75">
      <c r="A923" s="17" t="s">
        <v>1357</v>
      </c>
      <c r="B923" s="18">
        <v>850</v>
      </c>
      <c r="C923" s="1106"/>
      <c r="D923" s="306"/>
    </row>
    <row r="924" spans="1:4" ht="12.75">
      <c r="A924" s="17" t="s">
        <v>1358</v>
      </c>
      <c r="B924" s="18">
        <v>850</v>
      </c>
      <c r="C924" s="1106"/>
      <c r="D924" s="306"/>
    </row>
    <row r="925" spans="1:4" ht="12.75">
      <c r="A925" s="17" t="s">
        <v>1359</v>
      </c>
      <c r="B925" s="18">
        <v>850</v>
      </c>
      <c r="C925" s="1106"/>
      <c r="D925" s="306"/>
    </row>
    <row r="926" spans="1:4" ht="12.75">
      <c r="A926" s="17" t="s">
        <v>1269</v>
      </c>
      <c r="B926" s="18">
        <v>850</v>
      </c>
      <c r="C926" s="1106"/>
      <c r="D926" s="306"/>
    </row>
    <row r="927" spans="1:4" ht="12.75">
      <c r="A927" s="17" t="s">
        <v>765</v>
      </c>
      <c r="B927" s="18">
        <v>380</v>
      </c>
      <c r="C927" s="1106"/>
      <c r="D927" s="305"/>
    </row>
    <row r="928" spans="1:4" ht="12.75">
      <c r="A928" s="17" t="s">
        <v>766</v>
      </c>
      <c r="B928" s="18">
        <v>380</v>
      </c>
      <c r="C928" s="1106"/>
      <c r="D928" s="305"/>
    </row>
    <row r="929" spans="1:4" ht="12.75">
      <c r="A929" s="17" t="s">
        <v>767</v>
      </c>
      <c r="B929" s="18">
        <v>380</v>
      </c>
      <c r="C929" s="1106"/>
      <c r="D929" s="305"/>
    </row>
    <row r="930" spans="1:4" ht="12.75">
      <c r="A930" s="17" t="s">
        <v>768</v>
      </c>
      <c r="B930" s="18">
        <v>380</v>
      </c>
      <c r="C930" s="1106"/>
      <c r="D930" s="305"/>
    </row>
    <row r="931" spans="1:4" ht="12.75">
      <c r="A931" s="17" t="s">
        <v>769</v>
      </c>
      <c r="B931" s="18">
        <v>380</v>
      </c>
      <c r="C931" s="1106"/>
      <c r="D931" s="305"/>
    </row>
    <row r="932" spans="1:4" ht="12.75">
      <c r="A932" s="17" t="s">
        <v>770</v>
      </c>
      <c r="B932" s="18">
        <v>380</v>
      </c>
      <c r="C932" s="1106"/>
      <c r="D932" s="305"/>
    </row>
    <row r="933" spans="1:4" ht="12.75">
      <c r="A933" s="17" t="s">
        <v>771</v>
      </c>
      <c r="B933" s="18">
        <v>380</v>
      </c>
      <c r="C933" s="1106"/>
      <c r="D933" s="305"/>
    </row>
    <row r="934" spans="1:4" ht="12.75">
      <c r="A934" s="17" t="s">
        <v>772</v>
      </c>
      <c r="B934" s="18">
        <v>380</v>
      </c>
      <c r="C934" s="1106"/>
      <c r="D934" s="305"/>
    </row>
    <row r="935" spans="1:4" ht="12.75">
      <c r="A935" s="17" t="s">
        <v>773</v>
      </c>
      <c r="B935" s="18">
        <v>380</v>
      </c>
      <c r="C935" s="1106"/>
      <c r="D935" s="305"/>
    </row>
    <row r="936" spans="1:4" ht="12.75">
      <c r="A936" s="17" t="s">
        <v>774</v>
      </c>
      <c r="B936" s="18">
        <v>380</v>
      </c>
      <c r="C936" s="1106"/>
      <c r="D936" s="305"/>
    </row>
    <row r="937" spans="1:4" ht="12.75">
      <c r="A937" s="17" t="s">
        <v>775</v>
      </c>
      <c r="B937" s="18">
        <v>380</v>
      </c>
      <c r="C937" s="1106"/>
      <c r="D937" s="305"/>
    </row>
    <row r="938" spans="1:4" ht="12.75">
      <c r="A938" s="17" t="s">
        <v>776</v>
      </c>
      <c r="B938" s="18">
        <v>380</v>
      </c>
      <c r="C938" s="1106"/>
      <c r="D938" s="305"/>
    </row>
    <row r="939" spans="1:4" ht="12.75">
      <c r="A939" s="17" t="s">
        <v>777</v>
      </c>
      <c r="B939" s="18">
        <v>380</v>
      </c>
      <c r="C939" s="1106"/>
      <c r="D939" s="305"/>
    </row>
    <row r="940" spans="1:4" ht="12.75">
      <c r="A940" s="17" t="s">
        <v>778</v>
      </c>
      <c r="B940" s="18">
        <v>380</v>
      </c>
      <c r="C940" s="1106"/>
      <c r="D940" s="305"/>
    </row>
    <row r="941" spans="1:4" ht="12.75">
      <c r="A941" s="17" t="s">
        <v>779</v>
      </c>
      <c r="B941" s="18">
        <v>380</v>
      </c>
      <c r="C941" s="1106"/>
      <c r="D941" s="305"/>
    </row>
    <row r="942" spans="1:4" ht="12.75">
      <c r="A942" s="17" t="s">
        <v>780</v>
      </c>
      <c r="B942" s="18">
        <v>380</v>
      </c>
      <c r="C942" s="1106"/>
      <c r="D942" s="305"/>
    </row>
    <row r="943" spans="1:4" ht="12.75">
      <c r="A943" s="17" t="s">
        <v>781</v>
      </c>
      <c r="B943" s="18">
        <v>440</v>
      </c>
      <c r="C943" s="1106"/>
      <c r="D943" s="305"/>
    </row>
    <row r="944" spans="1:4" ht="12.75">
      <c r="A944" s="17" t="s">
        <v>782</v>
      </c>
      <c r="B944" s="18">
        <v>440</v>
      </c>
      <c r="C944" s="1106"/>
      <c r="D944" s="305"/>
    </row>
    <row r="945" spans="1:4" ht="12.75">
      <c r="A945" s="17" t="s">
        <v>783</v>
      </c>
      <c r="B945" s="18">
        <v>440</v>
      </c>
      <c r="C945" s="1106"/>
      <c r="D945" s="305"/>
    </row>
    <row r="946" spans="1:4" ht="12.75">
      <c r="A946" s="17" t="s">
        <v>784</v>
      </c>
      <c r="B946" s="18">
        <v>440</v>
      </c>
      <c r="C946" s="1106"/>
      <c r="D946" s="305"/>
    </row>
    <row r="947" spans="1:4" ht="12.75">
      <c r="A947" s="17" t="s">
        <v>785</v>
      </c>
      <c r="B947" s="18">
        <v>440</v>
      </c>
      <c r="C947" s="1106"/>
      <c r="D947" s="305"/>
    </row>
    <row r="948" spans="1:4" ht="12.75">
      <c r="A948" s="17" t="s">
        <v>786</v>
      </c>
      <c r="B948" s="18">
        <v>440</v>
      </c>
      <c r="C948" s="1106"/>
      <c r="D948" s="305"/>
    </row>
    <row r="949" spans="1:4" ht="12.75">
      <c r="A949" s="17" t="s">
        <v>787</v>
      </c>
      <c r="B949" s="18">
        <v>440</v>
      </c>
      <c r="C949" s="1106"/>
      <c r="D949" s="305"/>
    </row>
    <row r="950" spans="1:4" ht="12.75">
      <c r="A950" s="17" t="s">
        <v>788</v>
      </c>
      <c r="B950" s="18">
        <v>440</v>
      </c>
      <c r="C950" s="1106"/>
      <c r="D950" s="305"/>
    </row>
    <row r="951" spans="1:4" ht="12.75">
      <c r="A951" s="17" t="s">
        <v>789</v>
      </c>
      <c r="B951" s="18">
        <v>440</v>
      </c>
      <c r="C951" s="1106"/>
      <c r="D951" s="305"/>
    </row>
    <row r="952" spans="1:4" ht="12.75">
      <c r="A952" s="17" t="s">
        <v>790</v>
      </c>
      <c r="B952" s="18">
        <v>440</v>
      </c>
      <c r="C952" s="1106"/>
      <c r="D952" s="305"/>
    </row>
    <row r="953" spans="1:4" ht="12.75">
      <c r="A953" s="17" t="s">
        <v>791</v>
      </c>
      <c r="B953" s="18">
        <v>440</v>
      </c>
      <c r="C953" s="1106"/>
      <c r="D953" s="305"/>
    </row>
    <row r="954" spans="1:4" ht="12.75">
      <c r="A954" s="17" t="s">
        <v>792</v>
      </c>
      <c r="B954" s="18">
        <v>440</v>
      </c>
      <c r="C954" s="1106"/>
      <c r="D954" s="305"/>
    </row>
    <row r="955" spans="1:4" ht="12.75">
      <c r="A955" s="17" t="s">
        <v>793</v>
      </c>
      <c r="B955" s="18">
        <v>440</v>
      </c>
      <c r="C955" s="1106"/>
      <c r="D955" s="305"/>
    </row>
    <row r="956" spans="1:4" ht="12.75">
      <c r="A956" s="17" t="s">
        <v>794</v>
      </c>
      <c r="B956" s="18">
        <v>440</v>
      </c>
      <c r="C956" s="1106"/>
      <c r="D956" s="305"/>
    </row>
    <row r="957" spans="1:4" ht="12.75">
      <c r="A957" s="17" t="s">
        <v>795</v>
      </c>
      <c r="B957" s="18">
        <v>440</v>
      </c>
      <c r="C957" s="1106"/>
      <c r="D957" s="305"/>
    </row>
    <row r="958" spans="1:4" ht="12.75">
      <c r="A958" s="17" t="s">
        <v>796</v>
      </c>
      <c r="B958" s="18">
        <v>440</v>
      </c>
      <c r="C958" s="1106"/>
      <c r="D958" s="305"/>
    </row>
    <row r="959" spans="1:4" ht="12.75">
      <c r="A959" s="17" t="s">
        <v>797</v>
      </c>
      <c r="B959" s="18">
        <v>520</v>
      </c>
      <c r="C959" s="1106"/>
      <c r="D959" s="305"/>
    </row>
    <row r="960" spans="1:4" ht="12.75">
      <c r="A960" s="17" t="s">
        <v>798</v>
      </c>
      <c r="B960" s="18">
        <v>520</v>
      </c>
      <c r="C960" s="1106"/>
      <c r="D960" s="305"/>
    </row>
    <row r="961" spans="1:4" ht="12.75">
      <c r="A961" s="17" t="s">
        <v>799</v>
      </c>
      <c r="B961" s="18">
        <v>520</v>
      </c>
      <c r="C961" s="1106"/>
      <c r="D961" s="305"/>
    </row>
    <row r="962" spans="1:4" ht="12.75">
      <c r="A962" s="17" t="s">
        <v>800</v>
      </c>
      <c r="B962" s="18">
        <v>520</v>
      </c>
      <c r="C962" s="1106"/>
      <c r="D962" s="305"/>
    </row>
    <row r="963" spans="1:4" ht="12.75">
      <c r="A963" s="17" t="s">
        <v>801</v>
      </c>
      <c r="B963" s="18">
        <v>520</v>
      </c>
      <c r="C963" s="1106"/>
      <c r="D963" s="305"/>
    </row>
    <row r="964" spans="1:4" ht="12.75">
      <c r="A964" s="17" t="s">
        <v>802</v>
      </c>
      <c r="B964" s="18">
        <v>520</v>
      </c>
      <c r="C964" s="1106"/>
      <c r="D964" s="305"/>
    </row>
    <row r="965" spans="1:4" ht="12.75">
      <c r="A965" s="17" t="s">
        <v>803</v>
      </c>
      <c r="B965" s="18">
        <v>520</v>
      </c>
      <c r="C965" s="1106"/>
      <c r="D965" s="305"/>
    </row>
    <row r="966" spans="1:4" ht="12.75">
      <c r="A966" s="17" t="s">
        <v>804</v>
      </c>
      <c r="B966" s="18">
        <v>520</v>
      </c>
      <c r="C966" s="1106"/>
      <c r="D966" s="305"/>
    </row>
    <row r="967" spans="1:4" ht="12.75">
      <c r="A967" s="17" t="s">
        <v>805</v>
      </c>
      <c r="B967" s="18">
        <v>520</v>
      </c>
      <c r="C967" s="1106"/>
      <c r="D967" s="305"/>
    </row>
    <row r="968" spans="1:4" ht="12.75">
      <c r="A968" s="17" t="s">
        <v>806</v>
      </c>
      <c r="B968" s="18">
        <v>520</v>
      </c>
      <c r="C968" s="1106"/>
      <c r="D968" s="305"/>
    </row>
    <row r="969" spans="1:4" ht="12.75">
      <c r="A969" s="17" t="s">
        <v>807</v>
      </c>
      <c r="B969" s="18">
        <v>520</v>
      </c>
      <c r="C969" s="1106"/>
      <c r="D969" s="305"/>
    </row>
    <row r="970" spans="1:4" ht="12.75">
      <c r="A970" s="17" t="s">
        <v>808</v>
      </c>
      <c r="B970" s="18">
        <v>520</v>
      </c>
      <c r="C970" s="1106"/>
      <c r="D970" s="305"/>
    </row>
    <row r="971" spans="1:4" ht="12.75">
      <c r="A971" s="17" t="s">
        <v>809</v>
      </c>
      <c r="B971" s="18">
        <v>520</v>
      </c>
      <c r="C971" s="1106"/>
      <c r="D971" s="305"/>
    </row>
    <row r="972" spans="1:4" ht="12.75">
      <c r="A972" s="17" t="s">
        <v>810</v>
      </c>
      <c r="B972" s="18">
        <v>520</v>
      </c>
      <c r="C972" s="1106"/>
      <c r="D972" s="305"/>
    </row>
    <row r="973" spans="1:4" ht="12.75">
      <c r="A973" s="17" t="s">
        <v>811</v>
      </c>
      <c r="B973" s="18">
        <v>520</v>
      </c>
      <c r="C973" s="1106"/>
      <c r="D973" s="305"/>
    </row>
    <row r="974" spans="1:4" ht="12.75">
      <c r="A974" s="17" t="s">
        <v>812</v>
      </c>
      <c r="B974" s="18">
        <v>520</v>
      </c>
      <c r="C974" s="1106"/>
      <c r="D974" s="305"/>
    </row>
    <row r="975" spans="1:4" ht="12.75">
      <c r="A975" s="17" t="s">
        <v>813</v>
      </c>
      <c r="B975" s="18">
        <v>560</v>
      </c>
      <c r="C975" s="1106"/>
      <c r="D975" s="305"/>
    </row>
    <row r="976" spans="1:4" ht="12.75">
      <c r="A976" s="17" t="s">
        <v>814</v>
      </c>
      <c r="B976" s="18">
        <v>560</v>
      </c>
      <c r="C976" s="1106"/>
      <c r="D976" s="305"/>
    </row>
    <row r="977" spans="1:4" ht="12.75">
      <c r="A977" s="17" t="s">
        <v>815</v>
      </c>
      <c r="B977" s="18">
        <v>560</v>
      </c>
      <c r="C977" s="1106"/>
      <c r="D977" s="305"/>
    </row>
    <row r="978" spans="1:4" ht="12.75">
      <c r="A978" s="17" t="s">
        <v>816</v>
      </c>
      <c r="B978" s="18">
        <v>560</v>
      </c>
      <c r="C978" s="1106"/>
      <c r="D978" s="305"/>
    </row>
    <row r="979" spans="1:4" ht="12.75">
      <c r="A979" s="17" t="s">
        <v>817</v>
      </c>
      <c r="B979" s="18">
        <v>560</v>
      </c>
      <c r="C979" s="1106"/>
      <c r="D979" s="305"/>
    </row>
    <row r="980" spans="1:4" ht="12.75">
      <c r="A980" s="17" t="s">
        <v>818</v>
      </c>
      <c r="B980" s="18">
        <v>560</v>
      </c>
      <c r="C980" s="1106"/>
      <c r="D980" s="305"/>
    </row>
    <row r="981" spans="1:4" ht="12.75">
      <c r="A981" s="17" t="s">
        <v>819</v>
      </c>
      <c r="B981" s="18">
        <v>560</v>
      </c>
      <c r="C981" s="1106"/>
      <c r="D981" s="305"/>
    </row>
    <row r="982" spans="1:4" ht="12.75">
      <c r="A982" s="17" t="s">
        <v>820</v>
      </c>
      <c r="B982" s="18">
        <v>560</v>
      </c>
      <c r="C982" s="1106"/>
      <c r="D982" s="305"/>
    </row>
    <row r="983" spans="1:4" ht="12.75">
      <c r="A983" s="17" t="s">
        <v>821</v>
      </c>
      <c r="B983" s="18">
        <v>560</v>
      </c>
      <c r="C983" s="1106"/>
      <c r="D983" s="305"/>
    </row>
    <row r="984" spans="1:4" ht="12.75">
      <c r="A984" s="17" t="s">
        <v>822</v>
      </c>
      <c r="B984" s="18">
        <v>560</v>
      </c>
      <c r="C984" s="1106"/>
      <c r="D984" s="305"/>
    </row>
    <row r="985" spans="1:4" ht="12.75">
      <c r="A985" s="17" t="s">
        <v>823</v>
      </c>
      <c r="B985" s="18">
        <v>560</v>
      </c>
      <c r="C985" s="1106"/>
      <c r="D985" s="305"/>
    </row>
    <row r="986" spans="1:4" ht="12.75">
      <c r="A986" s="17" t="s">
        <v>824</v>
      </c>
      <c r="B986" s="18">
        <v>560</v>
      </c>
      <c r="C986" s="1106"/>
      <c r="D986" s="305"/>
    </row>
    <row r="987" spans="1:4" ht="12.75">
      <c r="A987" s="17" t="s">
        <v>825</v>
      </c>
      <c r="B987" s="18">
        <v>560</v>
      </c>
      <c r="C987" s="1106"/>
      <c r="D987" s="305"/>
    </row>
    <row r="988" spans="1:4" ht="12.75">
      <c r="A988" s="17" t="s">
        <v>826</v>
      </c>
      <c r="B988" s="18">
        <v>560</v>
      </c>
      <c r="C988" s="1106"/>
      <c r="D988" s="305"/>
    </row>
    <row r="989" spans="1:4" ht="12.75">
      <c r="A989" s="17" t="s">
        <v>827</v>
      </c>
      <c r="B989" s="18">
        <v>560</v>
      </c>
      <c r="C989" s="1106"/>
      <c r="D989" s="305"/>
    </row>
    <row r="990" spans="1:4" ht="12.75">
      <c r="A990" s="17" t="s">
        <v>828</v>
      </c>
      <c r="B990" s="18">
        <v>560</v>
      </c>
      <c r="C990" s="1106"/>
      <c r="D990" s="305"/>
    </row>
    <row r="991" spans="1:4" ht="12.75">
      <c r="A991" s="17" t="s">
        <v>829</v>
      </c>
      <c r="B991" s="18">
        <v>620</v>
      </c>
      <c r="C991" s="1106"/>
      <c r="D991" s="305"/>
    </row>
    <row r="992" spans="1:4" ht="12.75">
      <c r="A992" s="17" t="s">
        <v>830</v>
      </c>
      <c r="B992" s="18">
        <v>620</v>
      </c>
      <c r="C992" s="1106"/>
      <c r="D992" s="305"/>
    </row>
    <row r="993" spans="1:4" ht="12.75">
      <c r="A993" s="17" t="s">
        <v>831</v>
      </c>
      <c r="B993" s="18">
        <v>620</v>
      </c>
      <c r="C993" s="1106"/>
      <c r="D993" s="305"/>
    </row>
    <row r="994" spans="1:4" ht="12.75">
      <c r="A994" s="17" t="s">
        <v>832</v>
      </c>
      <c r="B994" s="18">
        <v>620</v>
      </c>
      <c r="C994" s="1106"/>
      <c r="D994" s="305"/>
    </row>
    <row r="995" spans="1:4" ht="12.75">
      <c r="A995" s="17" t="s">
        <v>833</v>
      </c>
      <c r="B995" s="18">
        <v>620</v>
      </c>
      <c r="C995" s="1106"/>
      <c r="D995" s="305"/>
    </row>
    <row r="996" spans="1:4" ht="12.75">
      <c r="A996" s="17" t="s">
        <v>834</v>
      </c>
      <c r="B996" s="18">
        <v>620</v>
      </c>
      <c r="C996" s="1106"/>
      <c r="D996" s="305"/>
    </row>
    <row r="997" spans="1:4" ht="12.75">
      <c r="A997" s="17" t="s">
        <v>835</v>
      </c>
      <c r="B997" s="18">
        <v>620</v>
      </c>
      <c r="C997" s="1106"/>
      <c r="D997" s="305"/>
    </row>
    <row r="998" spans="1:4" ht="12.75">
      <c r="A998" s="17" t="s">
        <v>836</v>
      </c>
      <c r="B998" s="18">
        <v>620</v>
      </c>
      <c r="C998" s="1106"/>
      <c r="D998" s="305"/>
    </row>
    <row r="999" spans="1:4" ht="12.75">
      <c r="A999" s="17" t="s">
        <v>837</v>
      </c>
      <c r="B999" s="18">
        <v>620</v>
      </c>
      <c r="C999" s="1106"/>
      <c r="D999" s="305"/>
    </row>
    <row r="1000" spans="1:4" ht="12.75">
      <c r="A1000" s="17" t="s">
        <v>838</v>
      </c>
      <c r="B1000" s="18">
        <v>620</v>
      </c>
      <c r="C1000" s="1106"/>
      <c r="D1000" s="305"/>
    </row>
    <row r="1001" spans="1:4" ht="12.75">
      <c r="A1001" s="17" t="s">
        <v>839</v>
      </c>
      <c r="B1001" s="18">
        <v>620</v>
      </c>
      <c r="C1001" s="1106"/>
      <c r="D1001" s="305"/>
    </row>
    <row r="1002" spans="1:4" ht="12.75">
      <c r="A1002" s="17" t="s">
        <v>840</v>
      </c>
      <c r="B1002" s="18">
        <v>620</v>
      </c>
      <c r="C1002" s="1106"/>
      <c r="D1002" s="305"/>
    </row>
    <row r="1003" spans="1:4" ht="12.75">
      <c r="A1003" s="17" t="s">
        <v>841</v>
      </c>
      <c r="B1003" s="18">
        <v>620</v>
      </c>
      <c r="C1003" s="1106"/>
      <c r="D1003" s="305"/>
    </row>
    <row r="1004" spans="1:4" ht="12.75">
      <c r="A1004" s="17" t="s">
        <v>842</v>
      </c>
      <c r="B1004" s="18">
        <v>620</v>
      </c>
      <c r="C1004" s="1106"/>
      <c r="D1004" s="305"/>
    </row>
    <row r="1005" spans="1:4" ht="12.75">
      <c r="A1005" s="17" t="s">
        <v>843</v>
      </c>
      <c r="B1005" s="18">
        <v>620</v>
      </c>
      <c r="C1005" s="1106"/>
      <c r="D1005" s="305"/>
    </row>
    <row r="1006" spans="1:4" ht="12.75">
      <c r="A1006" s="17" t="s">
        <v>844</v>
      </c>
      <c r="B1006" s="18">
        <v>620</v>
      </c>
      <c r="C1006" s="1106"/>
      <c r="D1006" s="305"/>
    </row>
    <row r="1007" spans="1:4" ht="12.75">
      <c r="A1007" s="17" t="s">
        <v>845</v>
      </c>
      <c r="B1007" s="18">
        <v>680</v>
      </c>
      <c r="C1007" s="1106"/>
      <c r="D1007" s="305"/>
    </row>
    <row r="1008" spans="1:4" ht="12.75">
      <c r="A1008" s="17" t="s">
        <v>846</v>
      </c>
      <c r="B1008" s="18">
        <v>680</v>
      </c>
      <c r="C1008" s="1106"/>
      <c r="D1008" s="305"/>
    </row>
    <row r="1009" spans="1:4" ht="12.75">
      <c r="A1009" s="17" t="s">
        <v>847</v>
      </c>
      <c r="B1009" s="18">
        <v>680</v>
      </c>
      <c r="C1009" s="1106"/>
      <c r="D1009" s="305"/>
    </row>
    <row r="1010" spans="1:4" ht="12.75">
      <c r="A1010" s="17" t="s">
        <v>848</v>
      </c>
      <c r="B1010" s="18">
        <v>680</v>
      </c>
      <c r="C1010" s="1106"/>
      <c r="D1010" s="305"/>
    </row>
    <row r="1011" spans="1:4" ht="12.75">
      <c r="A1011" s="17" t="s">
        <v>849</v>
      </c>
      <c r="B1011" s="18">
        <v>680</v>
      </c>
      <c r="C1011" s="1106"/>
      <c r="D1011" s="305"/>
    </row>
    <row r="1012" spans="1:4" ht="12.75">
      <c r="A1012" s="17" t="s">
        <v>850</v>
      </c>
      <c r="B1012" s="18">
        <v>680</v>
      </c>
      <c r="C1012" s="1106"/>
      <c r="D1012" s="305"/>
    </row>
    <row r="1013" spans="1:4" ht="12.75">
      <c r="A1013" s="17" t="s">
        <v>851</v>
      </c>
      <c r="B1013" s="18">
        <v>680</v>
      </c>
      <c r="C1013" s="1106"/>
      <c r="D1013" s="305"/>
    </row>
    <row r="1014" spans="1:4" ht="12.75">
      <c r="A1014" s="17" t="s">
        <v>852</v>
      </c>
      <c r="B1014" s="18">
        <v>680</v>
      </c>
      <c r="C1014" s="1106"/>
      <c r="D1014" s="305"/>
    </row>
    <row r="1015" spans="1:4" ht="12.75">
      <c r="A1015" s="17" t="s">
        <v>853</v>
      </c>
      <c r="B1015" s="18">
        <v>680</v>
      </c>
      <c r="C1015" s="1106"/>
      <c r="D1015" s="305"/>
    </row>
    <row r="1016" spans="1:4" ht="12.75">
      <c r="A1016" s="17" t="s">
        <v>854</v>
      </c>
      <c r="B1016" s="18">
        <v>680</v>
      </c>
      <c r="C1016" s="1106"/>
      <c r="D1016" s="305"/>
    </row>
    <row r="1017" spans="1:4" ht="12.75">
      <c r="A1017" s="17" t="s">
        <v>855</v>
      </c>
      <c r="B1017" s="18">
        <v>680</v>
      </c>
      <c r="C1017" s="1106"/>
      <c r="D1017" s="305"/>
    </row>
    <row r="1018" spans="1:4" ht="12.75">
      <c r="A1018" s="17" t="s">
        <v>856</v>
      </c>
      <c r="B1018" s="18">
        <v>680</v>
      </c>
      <c r="C1018" s="1106"/>
      <c r="D1018" s="305"/>
    </row>
    <row r="1019" spans="1:4" ht="12.75">
      <c r="A1019" s="17" t="s">
        <v>857</v>
      </c>
      <c r="B1019" s="18">
        <v>680</v>
      </c>
      <c r="C1019" s="1106"/>
      <c r="D1019" s="305"/>
    </row>
    <row r="1020" spans="1:4" ht="12.75">
      <c r="A1020" s="17" t="s">
        <v>858</v>
      </c>
      <c r="B1020" s="18">
        <v>680</v>
      </c>
      <c r="C1020" s="1106"/>
      <c r="D1020" s="305"/>
    </row>
    <row r="1021" spans="1:4" ht="12.75">
      <c r="A1021" s="17" t="s">
        <v>859</v>
      </c>
      <c r="B1021" s="18">
        <v>680</v>
      </c>
      <c r="C1021" s="1106"/>
      <c r="D1021" s="305"/>
    </row>
    <row r="1022" spans="1:4" ht="12.75">
      <c r="A1022" s="17" t="s">
        <v>860</v>
      </c>
      <c r="B1022" s="18">
        <v>680</v>
      </c>
      <c r="C1022" s="1106"/>
      <c r="D1022" s="305"/>
    </row>
    <row r="1023" spans="1:4" ht="12.75">
      <c r="A1023" s="17" t="s">
        <v>861</v>
      </c>
      <c r="B1023" s="18">
        <v>850</v>
      </c>
      <c r="C1023" s="1106"/>
      <c r="D1023" s="305"/>
    </row>
    <row r="1024" spans="1:4" ht="12.75">
      <c r="A1024" s="17" t="s">
        <v>862</v>
      </c>
      <c r="B1024" s="18">
        <v>850</v>
      </c>
      <c r="C1024" s="1106"/>
      <c r="D1024" s="305"/>
    </row>
    <row r="1025" spans="1:4" ht="12.75">
      <c r="A1025" s="17" t="s">
        <v>863</v>
      </c>
      <c r="B1025" s="18">
        <v>850</v>
      </c>
      <c r="C1025" s="1106"/>
      <c r="D1025" s="305"/>
    </row>
    <row r="1026" spans="1:4" ht="12.75">
      <c r="A1026" s="17" t="s">
        <v>864</v>
      </c>
      <c r="B1026" s="18">
        <v>850</v>
      </c>
      <c r="C1026" s="1106"/>
      <c r="D1026" s="305"/>
    </row>
    <row r="1027" spans="1:4" ht="12.75">
      <c r="A1027" s="17" t="s">
        <v>865</v>
      </c>
      <c r="B1027" s="18">
        <v>850</v>
      </c>
      <c r="C1027" s="1106"/>
      <c r="D1027" s="305"/>
    </row>
    <row r="1028" spans="1:4" ht="12.75">
      <c r="A1028" s="17" t="s">
        <v>866</v>
      </c>
      <c r="B1028" s="18">
        <v>850</v>
      </c>
      <c r="C1028" s="1106"/>
      <c r="D1028" s="305"/>
    </row>
    <row r="1029" spans="1:4" ht="12.75">
      <c r="A1029" s="17" t="s">
        <v>867</v>
      </c>
      <c r="B1029" s="18">
        <v>850</v>
      </c>
      <c r="C1029" s="1106"/>
      <c r="D1029" s="305"/>
    </row>
    <row r="1030" spans="1:4" ht="12.75">
      <c r="A1030" s="17" t="s">
        <v>868</v>
      </c>
      <c r="B1030" s="18">
        <v>850</v>
      </c>
      <c r="C1030" s="1106"/>
      <c r="D1030" s="305"/>
    </row>
    <row r="1031" spans="1:4" ht="12.75">
      <c r="A1031" s="17" t="s">
        <v>869</v>
      </c>
      <c r="B1031" s="18">
        <v>850</v>
      </c>
      <c r="C1031" s="1106"/>
      <c r="D1031" s="305"/>
    </row>
    <row r="1032" spans="1:4" ht="12.75">
      <c r="A1032" s="17" t="s">
        <v>870</v>
      </c>
      <c r="B1032" s="18">
        <v>850</v>
      </c>
      <c r="C1032" s="1106"/>
      <c r="D1032" s="305"/>
    </row>
    <row r="1033" spans="1:4" ht="12.75">
      <c r="A1033" s="17" t="s">
        <v>871</v>
      </c>
      <c r="B1033" s="18">
        <v>850</v>
      </c>
      <c r="C1033" s="1106"/>
      <c r="D1033" s="305"/>
    </row>
    <row r="1034" spans="1:4" ht="12.75">
      <c r="A1034" s="17" t="s">
        <v>872</v>
      </c>
      <c r="B1034" s="18">
        <v>850</v>
      </c>
      <c r="C1034" s="1106"/>
      <c r="D1034" s="305"/>
    </row>
    <row r="1035" spans="1:4" ht="12.75">
      <c r="A1035" s="17" t="s">
        <v>873</v>
      </c>
      <c r="B1035" s="18">
        <v>850</v>
      </c>
      <c r="C1035" s="1106"/>
      <c r="D1035" s="305"/>
    </row>
    <row r="1036" spans="1:4" ht="12.75">
      <c r="A1036" s="17" t="s">
        <v>874</v>
      </c>
      <c r="B1036" s="18">
        <v>850</v>
      </c>
      <c r="C1036" s="1106"/>
      <c r="D1036" s="305"/>
    </row>
    <row r="1037" spans="1:4" ht="12.75">
      <c r="A1037" s="17" t="s">
        <v>875</v>
      </c>
      <c r="B1037" s="18">
        <v>850</v>
      </c>
      <c r="C1037" s="1106"/>
      <c r="D1037" s="305"/>
    </row>
    <row r="1038" spans="1:4" ht="13.5" thickBot="1">
      <c r="A1038" s="23" t="s">
        <v>876</v>
      </c>
      <c r="B1038" s="24">
        <v>850</v>
      </c>
      <c r="C1038" s="1107"/>
      <c r="D1038" s="305"/>
    </row>
    <row r="1039" spans="1:4" ht="12.75">
      <c r="A1039" s="21" t="s">
        <v>877</v>
      </c>
      <c r="B1039" s="22">
        <v>820</v>
      </c>
      <c r="C1039" s="1108" t="s">
        <v>878</v>
      </c>
      <c r="D1039" s="305"/>
    </row>
    <row r="1040" spans="1:4" ht="12.75">
      <c r="A1040" s="17" t="s">
        <v>879</v>
      </c>
      <c r="B1040" s="18">
        <v>820</v>
      </c>
      <c r="C1040" s="1109"/>
      <c r="D1040" s="305"/>
    </row>
    <row r="1041" spans="1:4" ht="12.75">
      <c r="A1041" s="17" t="s">
        <v>880</v>
      </c>
      <c r="B1041" s="18">
        <v>820</v>
      </c>
      <c r="C1041" s="1109"/>
      <c r="D1041" s="305"/>
    </row>
    <row r="1042" spans="1:4" ht="12.75">
      <c r="A1042" s="17" t="s">
        <v>881</v>
      </c>
      <c r="B1042" s="18">
        <v>820</v>
      </c>
      <c r="C1042" s="1109"/>
      <c r="D1042" s="305"/>
    </row>
    <row r="1043" spans="1:4" ht="12.75">
      <c r="A1043" s="17" t="s">
        <v>882</v>
      </c>
      <c r="B1043" s="18">
        <v>820</v>
      </c>
      <c r="C1043" s="1109"/>
      <c r="D1043" s="305"/>
    </row>
    <row r="1044" spans="1:4" ht="12.75">
      <c r="A1044" s="17" t="s">
        <v>883</v>
      </c>
      <c r="B1044" s="18">
        <v>820</v>
      </c>
      <c r="C1044" s="1109"/>
      <c r="D1044" s="305"/>
    </row>
    <row r="1045" spans="1:4" ht="12.75">
      <c r="A1045" s="17" t="s">
        <v>884</v>
      </c>
      <c r="B1045" s="18">
        <v>820</v>
      </c>
      <c r="C1045" s="1109"/>
      <c r="D1045" s="305"/>
    </row>
    <row r="1046" spans="1:4" ht="12.75">
      <c r="A1046" s="17" t="s">
        <v>885</v>
      </c>
      <c r="B1046" s="18">
        <v>820</v>
      </c>
      <c r="C1046" s="1109"/>
      <c r="D1046" s="305"/>
    </row>
    <row r="1047" spans="1:4" ht="12.75">
      <c r="A1047" s="17" t="s">
        <v>886</v>
      </c>
      <c r="B1047" s="18">
        <v>820</v>
      </c>
      <c r="C1047" s="1109"/>
      <c r="D1047" s="305"/>
    </row>
    <row r="1048" spans="1:4" ht="12.75">
      <c r="A1048" s="17" t="s">
        <v>887</v>
      </c>
      <c r="B1048" s="18">
        <v>820</v>
      </c>
      <c r="C1048" s="1109"/>
      <c r="D1048" s="305"/>
    </row>
    <row r="1049" spans="1:4" ht="12.75">
      <c r="A1049" s="17" t="s">
        <v>888</v>
      </c>
      <c r="B1049" s="18">
        <v>820</v>
      </c>
      <c r="C1049" s="1109"/>
      <c r="D1049" s="305"/>
    </row>
    <row r="1050" spans="1:4" ht="12.75">
      <c r="A1050" s="17" t="s">
        <v>889</v>
      </c>
      <c r="B1050" s="18">
        <v>820</v>
      </c>
      <c r="C1050" s="1109"/>
      <c r="D1050" s="305"/>
    </row>
    <row r="1051" spans="1:4" ht="12.75">
      <c r="A1051" s="17" t="s">
        <v>890</v>
      </c>
      <c r="B1051" s="18">
        <v>820</v>
      </c>
      <c r="C1051" s="1109"/>
      <c r="D1051" s="305"/>
    </row>
    <row r="1052" spans="1:4" ht="12.75">
      <c r="A1052" s="17" t="s">
        <v>891</v>
      </c>
      <c r="B1052" s="18">
        <v>820</v>
      </c>
      <c r="C1052" s="1109"/>
      <c r="D1052" s="305"/>
    </row>
    <row r="1053" spans="1:4" ht="12.75">
      <c r="A1053" s="17" t="s">
        <v>892</v>
      </c>
      <c r="B1053" s="18">
        <v>820</v>
      </c>
      <c r="C1053" s="1109"/>
      <c r="D1053" s="305"/>
    </row>
    <row r="1054" spans="1:4" ht="12.75">
      <c r="A1054" s="17" t="s">
        <v>893</v>
      </c>
      <c r="B1054" s="18">
        <v>820</v>
      </c>
      <c r="C1054" s="1109"/>
      <c r="D1054" s="305"/>
    </row>
    <row r="1055" spans="1:4" ht="12.75">
      <c r="A1055" s="17" t="s">
        <v>894</v>
      </c>
      <c r="B1055" s="18">
        <v>720</v>
      </c>
      <c r="C1055" s="1109"/>
      <c r="D1055" s="305"/>
    </row>
    <row r="1056" spans="1:4" ht="12.75">
      <c r="A1056" s="17" t="s">
        <v>895</v>
      </c>
      <c r="B1056" s="18">
        <v>720</v>
      </c>
      <c r="C1056" s="1109"/>
      <c r="D1056" s="305"/>
    </row>
    <row r="1057" spans="1:4" ht="12.75">
      <c r="A1057" s="17" t="s">
        <v>896</v>
      </c>
      <c r="B1057" s="18">
        <v>720</v>
      </c>
      <c r="C1057" s="1109"/>
      <c r="D1057" s="305"/>
    </row>
    <row r="1058" spans="1:4" ht="12.75">
      <c r="A1058" s="17" t="s">
        <v>897</v>
      </c>
      <c r="B1058" s="18">
        <v>720</v>
      </c>
      <c r="C1058" s="1109"/>
      <c r="D1058" s="305"/>
    </row>
    <row r="1059" spans="1:4" ht="12.75">
      <c r="A1059" s="17" t="s">
        <v>898</v>
      </c>
      <c r="B1059" s="18">
        <v>720</v>
      </c>
      <c r="C1059" s="1109"/>
      <c r="D1059" s="305"/>
    </row>
    <row r="1060" spans="1:4" ht="12.75">
      <c r="A1060" s="17" t="s">
        <v>899</v>
      </c>
      <c r="B1060" s="18">
        <v>720</v>
      </c>
      <c r="C1060" s="1109"/>
      <c r="D1060" s="305"/>
    </row>
    <row r="1061" spans="1:4" ht="12.75">
      <c r="A1061" s="17" t="s">
        <v>900</v>
      </c>
      <c r="B1061" s="18">
        <v>720</v>
      </c>
      <c r="C1061" s="1109"/>
      <c r="D1061" s="305"/>
    </row>
    <row r="1062" spans="1:4" ht="12.75">
      <c r="A1062" s="17" t="s">
        <v>901</v>
      </c>
      <c r="B1062" s="18">
        <v>720</v>
      </c>
      <c r="C1062" s="1109"/>
      <c r="D1062" s="305"/>
    </row>
    <row r="1063" spans="1:4" ht="12.75">
      <c r="A1063" s="17" t="s">
        <v>902</v>
      </c>
      <c r="B1063" s="18">
        <v>720</v>
      </c>
      <c r="C1063" s="1109"/>
      <c r="D1063" s="305"/>
    </row>
    <row r="1064" spans="1:4" ht="12.75">
      <c r="A1064" s="17" t="s">
        <v>903</v>
      </c>
      <c r="B1064" s="18">
        <v>720</v>
      </c>
      <c r="C1064" s="1109"/>
      <c r="D1064" s="305"/>
    </row>
    <row r="1065" spans="1:4" ht="12.75">
      <c r="A1065" s="17" t="s">
        <v>904</v>
      </c>
      <c r="B1065" s="18">
        <v>720</v>
      </c>
      <c r="C1065" s="1109"/>
      <c r="D1065" s="305"/>
    </row>
    <row r="1066" spans="1:4" ht="12.75">
      <c r="A1066" s="17" t="s">
        <v>905</v>
      </c>
      <c r="B1066" s="18">
        <v>720</v>
      </c>
      <c r="C1066" s="1109"/>
      <c r="D1066" s="305"/>
    </row>
    <row r="1067" spans="1:4" ht="12.75">
      <c r="A1067" s="17" t="s">
        <v>906</v>
      </c>
      <c r="B1067" s="18">
        <v>720</v>
      </c>
      <c r="C1067" s="1109"/>
      <c r="D1067" s="305"/>
    </row>
    <row r="1068" spans="1:4" ht="12.75">
      <c r="A1068" s="17" t="s">
        <v>907</v>
      </c>
      <c r="B1068" s="18">
        <v>720</v>
      </c>
      <c r="C1068" s="1109"/>
      <c r="D1068" s="305"/>
    </row>
    <row r="1069" spans="1:4" ht="12.75">
      <c r="A1069" s="17" t="s">
        <v>908</v>
      </c>
      <c r="B1069" s="18">
        <v>720</v>
      </c>
      <c r="C1069" s="1109"/>
      <c r="D1069" s="305"/>
    </row>
    <row r="1070" spans="1:4" ht="12.75">
      <c r="A1070" s="17" t="s">
        <v>909</v>
      </c>
      <c r="B1070" s="18">
        <v>720</v>
      </c>
      <c r="C1070" s="1109"/>
      <c r="D1070" s="305"/>
    </row>
    <row r="1071" spans="1:4" ht="12.75">
      <c r="A1071" s="17" t="s">
        <v>910</v>
      </c>
      <c r="B1071" s="18">
        <v>950</v>
      </c>
      <c r="C1071" s="1109"/>
      <c r="D1071" s="305"/>
    </row>
    <row r="1072" spans="1:4" ht="12.75">
      <c r="A1072" s="17" t="s">
        <v>911</v>
      </c>
      <c r="B1072" s="18">
        <v>950</v>
      </c>
      <c r="C1072" s="1109"/>
      <c r="D1072" s="305"/>
    </row>
    <row r="1073" spans="1:4" ht="12.75">
      <c r="A1073" s="17" t="s">
        <v>912</v>
      </c>
      <c r="B1073" s="18">
        <v>950</v>
      </c>
      <c r="C1073" s="1109"/>
      <c r="D1073" s="305"/>
    </row>
    <row r="1074" spans="1:4" ht="12.75">
      <c r="A1074" s="17" t="s">
        <v>913</v>
      </c>
      <c r="B1074" s="18">
        <v>950</v>
      </c>
      <c r="C1074" s="1109"/>
      <c r="D1074" s="305"/>
    </row>
    <row r="1075" spans="1:4" ht="12.75">
      <c r="A1075" s="17" t="s">
        <v>914</v>
      </c>
      <c r="B1075" s="18">
        <v>950</v>
      </c>
      <c r="C1075" s="1109"/>
      <c r="D1075" s="305"/>
    </row>
    <row r="1076" spans="1:4" ht="12.75">
      <c r="A1076" s="17" t="s">
        <v>915</v>
      </c>
      <c r="B1076" s="18">
        <v>950</v>
      </c>
      <c r="C1076" s="1109"/>
      <c r="D1076" s="305"/>
    </row>
    <row r="1077" spans="1:4" ht="12.75">
      <c r="A1077" s="17" t="s">
        <v>916</v>
      </c>
      <c r="B1077" s="18">
        <v>950</v>
      </c>
      <c r="C1077" s="1109"/>
      <c r="D1077" s="305"/>
    </row>
    <row r="1078" spans="1:4" ht="12.75">
      <c r="A1078" s="17" t="s">
        <v>917</v>
      </c>
      <c r="B1078" s="18">
        <v>950</v>
      </c>
      <c r="C1078" s="1109"/>
      <c r="D1078" s="305"/>
    </row>
    <row r="1079" spans="1:4" ht="12.75">
      <c r="A1079" s="17" t="s">
        <v>918</v>
      </c>
      <c r="B1079" s="18">
        <v>950</v>
      </c>
      <c r="C1079" s="1109"/>
      <c r="D1079" s="305"/>
    </row>
    <row r="1080" spans="1:4" ht="12.75">
      <c r="A1080" s="17" t="s">
        <v>919</v>
      </c>
      <c r="B1080" s="18">
        <v>950</v>
      </c>
      <c r="C1080" s="1109"/>
      <c r="D1080" s="305"/>
    </row>
    <row r="1081" spans="1:4" ht="12.75">
      <c r="A1081" s="17" t="s">
        <v>920</v>
      </c>
      <c r="B1081" s="18">
        <v>950</v>
      </c>
      <c r="C1081" s="1109"/>
      <c r="D1081" s="305"/>
    </row>
    <row r="1082" spans="1:4" ht="12.75">
      <c r="A1082" s="17" t="s">
        <v>921</v>
      </c>
      <c r="B1082" s="18">
        <v>950</v>
      </c>
      <c r="C1082" s="1109"/>
      <c r="D1082" s="305"/>
    </row>
    <row r="1083" spans="1:4" ht="12.75">
      <c r="A1083" s="17" t="s">
        <v>922</v>
      </c>
      <c r="B1083" s="18">
        <v>950</v>
      </c>
      <c r="C1083" s="1109"/>
      <c r="D1083" s="305"/>
    </row>
    <row r="1084" spans="1:4" ht="12.75">
      <c r="A1084" s="17" t="s">
        <v>923</v>
      </c>
      <c r="B1084" s="18">
        <v>950</v>
      </c>
      <c r="C1084" s="1109"/>
      <c r="D1084" s="305"/>
    </row>
    <row r="1085" spans="1:4" ht="12.75">
      <c r="A1085" s="17" t="s">
        <v>924</v>
      </c>
      <c r="B1085" s="18">
        <v>950</v>
      </c>
      <c r="C1085" s="1109"/>
      <c r="D1085" s="305"/>
    </row>
    <row r="1086" spans="1:4" ht="14.25" customHeight="1">
      <c r="A1086" s="17" t="s">
        <v>925</v>
      </c>
      <c r="B1086" s="18">
        <v>950</v>
      </c>
      <c r="C1086" s="1109"/>
      <c r="D1086" s="305"/>
    </row>
    <row r="1087" spans="1:4" ht="14.25" customHeight="1">
      <c r="A1087" s="17" t="s">
        <v>1535</v>
      </c>
      <c r="B1087" s="18">
        <v>1100</v>
      </c>
      <c r="C1087" s="1109"/>
      <c r="D1087" s="306"/>
    </row>
    <row r="1088" spans="1:4" ht="14.25" customHeight="1">
      <c r="A1088" s="17" t="s">
        <v>1536</v>
      </c>
      <c r="B1088" s="18">
        <v>1100</v>
      </c>
      <c r="C1088" s="1109"/>
      <c r="D1088" s="306"/>
    </row>
    <row r="1089" spans="1:4" ht="14.25" customHeight="1">
      <c r="A1089" s="17" t="s">
        <v>1537</v>
      </c>
      <c r="B1089" s="18">
        <v>1100</v>
      </c>
      <c r="C1089" s="1109"/>
      <c r="D1089" s="306"/>
    </row>
    <row r="1090" spans="1:4" ht="14.25" customHeight="1">
      <c r="A1090" s="17" t="s">
        <v>1538</v>
      </c>
      <c r="B1090" s="18">
        <v>1100</v>
      </c>
      <c r="C1090" s="1109"/>
      <c r="D1090" s="306"/>
    </row>
    <row r="1091" spans="1:4" ht="14.25" customHeight="1">
      <c r="A1091" s="17" t="s">
        <v>1539</v>
      </c>
      <c r="B1091" s="18">
        <v>1100</v>
      </c>
      <c r="C1091" s="1109"/>
      <c r="D1091" s="306"/>
    </row>
    <row r="1092" spans="1:4" ht="14.25" customHeight="1">
      <c r="A1092" s="17" t="s">
        <v>1540</v>
      </c>
      <c r="B1092" s="18">
        <v>1100</v>
      </c>
      <c r="C1092" s="1109"/>
      <c r="D1092" s="306"/>
    </row>
    <row r="1093" spans="1:4" ht="14.25" customHeight="1">
      <c r="A1093" s="17" t="s">
        <v>1541</v>
      </c>
      <c r="B1093" s="18">
        <v>1100</v>
      </c>
      <c r="C1093" s="1109"/>
      <c r="D1093" s="306"/>
    </row>
    <row r="1094" spans="1:4" ht="14.25" customHeight="1">
      <c r="A1094" s="17" t="s">
        <v>1542</v>
      </c>
      <c r="B1094" s="18">
        <v>1100</v>
      </c>
      <c r="C1094" s="1109"/>
      <c r="D1094" s="306"/>
    </row>
    <row r="1095" spans="1:4" ht="14.25" customHeight="1">
      <c r="A1095" s="17" t="s">
        <v>1543</v>
      </c>
      <c r="B1095" s="18">
        <v>1100</v>
      </c>
      <c r="C1095" s="1109"/>
      <c r="D1095" s="306"/>
    </row>
    <row r="1096" spans="1:4" ht="14.25" customHeight="1">
      <c r="A1096" s="17" t="s">
        <v>1544</v>
      </c>
      <c r="B1096" s="18">
        <v>1100</v>
      </c>
      <c r="C1096" s="1109"/>
      <c r="D1096" s="306"/>
    </row>
    <row r="1097" spans="1:4" ht="14.25" customHeight="1">
      <c r="A1097" s="17" t="s">
        <v>1545</v>
      </c>
      <c r="B1097" s="18">
        <v>1100</v>
      </c>
      <c r="C1097" s="1109"/>
      <c r="D1097" s="306"/>
    </row>
    <row r="1098" spans="1:4" ht="14.25" customHeight="1">
      <c r="A1098" s="17" t="s">
        <v>1546</v>
      </c>
      <c r="B1098" s="18">
        <v>1100</v>
      </c>
      <c r="C1098" s="1109"/>
      <c r="D1098" s="306"/>
    </row>
    <row r="1099" spans="1:4" ht="14.25" customHeight="1">
      <c r="A1099" s="17" t="s">
        <v>1547</v>
      </c>
      <c r="B1099" s="18">
        <v>1100</v>
      </c>
      <c r="C1099" s="1109"/>
      <c r="D1099" s="306"/>
    </row>
    <row r="1100" spans="1:4" ht="14.25" customHeight="1">
      <c r="A1100" s="17" t="s">
        <v>1548</v>
      </c>
      <c r="B1100" s="18">
        <v>1100</v>
      </c>
      <c r="C1100" s="1109"/>
      <c r="D1100" s="306"/>
    </row>
    <row r="1101" spans="1:4" ht="14.25" customHeight="1">
      <c r="A1101" s="17" t="s">
        <v>1549</v>
      </c>
      <c r="B1101" s="18">
        <v>1100</v>
      </c>
      <c r="C1101" s="1109"/>
      <c r="D1101" s="306"/>
    </row>
    <row r="1102" spans="1:4" ht="14.25" customHeight="1">
      <c r="A1102" s="17" t="s">
        <v>1439</v>
      </c>
      <c r="B1102" s="18">
        <v>1100</v>
      </c>
      <c r="C1102" s="1109"/>
      <c r="D1102" s="306"/>
    </row>
    <row r="1103" spans="1:4" ht="14.25" customHeight="1">
      <c r="A1103" s="17" t="s">
        <v>1550</v>
      </c>
      <c r="B1103" s="18">
        <v>900</v>
      </c>
      <c r="C1103" s="1109"/>
      <c r="D1103" s="306"/>
    </row>
    <row r="1104" spans="1:4" ht="14.25" customHeight="1">
      <c r="A1104" s="17" t="s">
        <v>1551</v>
      </c>
      <c r="B1104" s="18">
        <v>900</v>
      </c>
      <c r="C1104" s="1109"/>
      <c r="D1104" s="306"/>
    </row>
    <row r="1105" spans="1:4" ht="14.25" customHeight="1">
      <c r="A1105" s="17" t="s">
        <v>1552</v>
      </c>
      <c r="B1105" s="18">
        <v>900</v>
      </c>
      <c r="C1105" s="1109"/>
      <c r="D1105" s="306"/>
    </row>
    <row r="1106" spans="1:4" ht="14.25" customHeight="1">
      <c r="A1106" s="17" t="s">
        <v>1553</v>
      </c>
      <c r="B1106" s="18">
        <v>900</v>
      </c>
      <c r="C1106" s="1109"/>
      <c r="D1106" s="306"/>
    </row>
    <row r="1107" spans="1:4" ht="14.25" customHeight="1">
      <c r="A1107" s="17" t="s">
        <v>1554</v>
      </c>
      <c r="B1107" s="18">
        <v>900</v>
      </c>
      <c r="C1107" s="1109"/>
      <c r="D1107" s="306"/>
    </row>
    <row r="1108" spans="1:4" ht="14.25" customHeight="1">
      <c r="A1108" s="17" t="s">
        <v>1555</v>
      </c>
      <c r="B1108" s="18">
        <v>900</v>
      </c>
      <c r="C1108" s="1109"/>
      <c r="D1108" s="306"/>
    </row>
    <row r="1109" spans="1:4" ht="14.25" customHeight="1">
      <c r="A1109" s="17" t="s">
        <v>1556</v>
      </c>
      <c r="B1109" s="18">
        <v>900</v>
      </c>
      <c r="C1109" s="1109"/>
      <c r="D1109" s="306"/>
    </row>
    <row r="1110" spans="1:4" ht="14.25" customHeight="1">
      <c r="A1110" s="17" t="s">
        <v>1557</v>
      </c>
      <c r="B1110" s="18">
        <v>900</v>
      </c>
      <c r="C1110" s="1109"/>
      <c r="D1110" s="306"/>
    </row>
    <row r="1111" spans="1:4" ht="14.25" customHeight="1">
      <c r="A1111" s="17" t="s">
        <v>1558</v>
      </c>
      <c r="B1111" s="18">
        <v>900</v>
      </c>
      <c r="C1111" s="1109"/>
      <c r="D1111" s="306"/>
    </row>
    <row r="1112" spans="1:4" ht="14.25" customHeight="1">
      <c r="A1112" s="17" t="s">
        <v>1559</v>
      </c>
      <c r="B1112" s="18">
        <v>900</v>
      </c>
      <c r="C1112" s="1109"/>
      <c r="D1112" s="306"/>
    </row>
    <row r="1113" spans="1:4" ht="14.25" customHeight="1">
      <c r="A1113" s="17" t="s">
        <v>1560</v>
      </c>
      <c r="B1113" s="18">
        <v>900</v>
      </c>
      <c r="C1113" s="1109"/>
      <c r="D1113" s="306"/>
    </row>
    <row r="1114" spans="1:4" ht="14.25" customHeight="1">
      <c r="A1114" s="17" t="s">
        <v>1561</v>
      </c>
      <c r="B1114" s="18">
        <v>900</v>
      </c>
      <c r="C1114" s="1109"/>
      <c r="D1114" s="306"/>
    </row>
    <row r="1115" spans="1:4" ht="14.25" customHeight="1">
      <c r="A1115" s="17" t="s">
        <v>1562</v>
      </c>
      <c r="B1115" s="18">
        <v>900</v>
      </c>
      <c r="C1115" s="1109"/>
      <c r="D1115" s="306"/>
    </row>
    <row r="1116" spans="1:4" ht="14.25" customHeight="1">
      <c r="A1116" s="17" t="s">
        <v>1563</v>
      </c>
      <c r="B1116" s="18">
        <v>900</v>
      </c>
      <c r="C1116" s="1109"/>
      <c r="D1116" s="306"/>
    </row>
    <row r="1117" spans="1:4" ht="14.25" customHeight="1">
      <c r="A1117" s="17" t="s">
        <v>1564</v>
      </c>
      <c r="B1117" s="18">
        <v>900</v>
      </c>
      <c r="C1117" s="1109"/>
      <c r="D1117" s="306"/>
    </row>
    <row r="1118" spans="1:4" ht="14.25" customHeight="1">
      <c r="A1118" s="17" t="s">
        <v>1440</v>
      </c>
      <c r="B1118" s="18">
        <v>900</v>
      </c>
      <c r="C1118" s="1109"/>
      <c r="D1118" s="306"/>
    </row>
    <row r="1119" spans="1:4" ht="12.75">
      <c r="A1119" s="17" t="s">
        <v>926</v>
      </c>
      <c r="B1119" s="18">
        <v>520</v>
      </c>
      <c r="C1119" s="1109"/>
      <c r="D1119" s="305"/>
    </row>
    <row r="1120" spans="1:4" ht="12.75">
      <c r="A1120" s="17" t="s">
        <v>927</v>
      </c>
      <c r="B1120" s="18">
        <v>520</v>
      </c>
      <c r="C1120" s="1109"/>
      <c r="D1120" s="305"/>
    </row>
    <row r="1121" spans="1:4" ht="12.75">
      <c r="A1121" s="17" t="s">
        <v>928</v>
      </c>
      <c r="B1121" s="18">
        <v>520</v>
      </c>
      <c r="C1121" s="1109"/>
      <c r="D1121" s="305"/>
    </row>
    <row r="1122" spans="1:4" ht="12.75">
      <c r="A1122" s="17" t="s">
        <v>929</v>
      </c>
      <c r="B1122" s="18">
        <v>520</v>
      </c>
      <c r="C1122" s="1109"/>
      <c r="D1122" s="305"/>
    </row>
    <row r="1123" spans="1:4" ht="12.75">
      <c r="A1123" s="17" t="s">
        <v>930</v>
      </c>
      <c r="B1123" s="18">
        <v>520</v>
      </c>
      <c r="C1123" s="1109"/>
      <c r="D1123" s="305"/>
    </row>
    <row r="1124" spans="1:4" ht="12.75">
      <c r="A1124" s="17" t="s">
        <v>931</v>
      </c>
      <c r="B1124" s="18">
        <v>520</v>
      </c>
      <c r="C1124" s="1109"/>
      <c r="D1124" s="305"/>
    </row>
    <row r="1125" spans="1:4" ht="12.75">
      <c r="A1125" s="17" t="s">
        <v>932</v>
      </c>
      <c r="B1125" s="18">
        <v>520</v>
      </c>
      <c r="C1125" s="1109"/>
      <c r="D1125" s="305"/>
    </row>
    <row r="1126" spans="1:4" ht="12.75">
      <c r="A1126" s="17" t="s">
        <v>933</v>
      </c>
      <c r="B1126" s="18">
        <v>520</v>
      </c>
      <c r="C1126" s="1109"/>
      <c r="D1126" s="305"/>
    </row>
    <row r="1127" spans="1:4" ht="12.75">
      <c r="A1127" s="17" t="s">
        <v>934</v>
      </c>
      <c r="B1127" s="18">
        <v>520</v>
      </c>
      <c r="C1127" s="1109"/>
      <c r="D1127" s="305"/>
    </row>
    <row r="1128" spans="1:4" ht="12.75">
      <c r="A1128" s="17" t="s">
        <v>935</v>
      </c>
      <c r="B1128" s="18">
        <v>520</v>
      </c>
      <c r="C1128" s="1109"/>
      <c r="D1128" s="305"/>
    </row>
    <row r="1129" spans="1:4" ht="12.75">
      <c r="A1129" s="17" t="s">
        <v>936</v>
      </c>
      <c r="B1129" s="18">
        <v>520</v>
      </c>
      <c r="C1129" s="1109"/>
      <c r="D1129" s="305"/>
    </row>
    <row r="1130" spans="1:4" ht="12.75">
      <c r="A1130" s="17" t="s">
        <v>937</v>
      </c>
      <c r="B1130" s="18">
        <v>520</v>
      </c>
      <c r="C1130" s="1109"/>
      <c r="D1130" s="305"/>
    </row>
    <row r="1131" spans="1:4" ht="12.75">
      <c r="A1131" s="17" t="s">
        <v>938</v>
      </c>
      <c r="B1131" s="18">
        <v>520</v>
      </c>
      <c r="C1131" s="1109"/>
      <c r="D1131" s="305"/>
    </row>
    <row r="1132" spans="1:4" ht="12.75">
      <c r="A1132" s="17" t="s">
        <v>939</v>
      </c>
      <c r="B1132" s="18">
        <v>520</v>
      </c>
      <c r="C1132" s="1109"/>
      <c r="D1132" s="305"/>
    </row>
    <row r="1133" spans="1:4" ht="12.75">
      <c r="A1133" s="17" t="s">
        <v>940</v>
      </c>
      <c r="B1133" s="18">
        <v>520</v>
      </c>
      <c r="C1133" s="1109"/>
      <c r="D1133" s="305"/>
    </row>
    <row r="1134" spans="1:4" ht="12.75">
      <c r="A1134" s="17" t="s">
        <v>941</v>
      </c>
      <c r="B1134" s="18">
        <v>520</v>
      </c>
      <c r="C1134" s="1109"/>
      <c r="D1134" s="305"/>
    </row>
    <row r="1135" spans="1:4" ht="12.75">
      <c r="A1135" s="17" t="s">
        <v>942</v>
      </c>
      <c r="B1135" s="18">
        <v>570</v>
      </c>
      <c r="C1135" s="1109"/>
      <c r="D1135" s="305"/>
    </row>
    <row r="1136" spans="1:4" ht="12.75">
      <c r="A1136" s="17" t="s">
        <v>943</v>
      </c>
      <c r="B1136" s="18">
        <v>570</v>
      </c>
      <c r="C1136" s="1109"/>
      <c r="D1136" s="305"/>
    </row>
    <row r="1137" spans="1:4" ht="12.75">
      <c r="A1137" s="17" t="s">
        <v>944</v>
      </c>
      <c r="B1137" s="18">
        <v>570</v>
      </c>
      <c r="C1137" s="1109"/>
      <c r="D1137" s="305"/>
    </row>
    <row r="1138" spans="1:4" ht="12.75">
      <c r="A1138" s="17" t="s">
        <v>945</v>
      </c>
      <c r="B1138" s="18">
        <v>570</v>
      </c>
      <c r="C1138" s="1109"/>
      <c r="D1138" s="305"/>
    </row>
    <row r="1139" spans="1:4" ht="12.75">
      <c r="A1139" s="17" t="s">
        <v>946</v>
      </c>
      <c r="B1139" s="18">
        <v>570</v>
      </c>
      <c r="C1139" s="1109"/>
      <c r="D1139" s="305"/>
    </row>
    <row r="1140" spans="1:4" ht="12.75">
      <c r="A1140" s="17" t="s">
        <v>947</v>
      </c>
      <c r="B1140" s="18">
        <v>570</v>
      </c>
      <c r="C1140" s="1109"/>
      <c r="D1140" s="305"/>
    </row>
    <row r="1141" spans="1:4" ht="12.75">
      <c r="A1141" s="17" t="s">
        <v>948</v>
      </c>
      <c r="B1141" s="18">
        <v>570</v>
      </c>
      <c r="C1141" s="1109"/>
      <c r="D1141" s="305"/>
    </row>
    <row r="1142" spans="1:4" ht="12.75">
      <c r="A1142" s="17" t="s">
        <v>949</v>
      </c>
      <c r="B1142" s="18">
        <v>570</v>
      </c>
      <c r="C1142" s="1109"/>
      <c r="D1142" s="305"/>
    </row>
    <row r="1143" spans="1:4" ht="12.75">
      <c r="A1143" s="17" t="s">
        <v>950</v>
      </c>
      <c r="B1143" s="18">
        <v>570</v>
      </c>
      <c r="C1143" s="1109"/>
      <c r="D1143" s="305"/>
    </row>
    <row r="1144" spans="1:4" ht="12.75">
      <c r="A1144" s="17" t="s">
        <v>951</v>
      </c>
      <c r="B1144" s="18">
        <v>570</v>
      </c>
      <c r="C1144" s="1109"/>
      <c r="D1144" s="305"/>
    </row>
    <row r="1145" spans="1:4" ht="12.75">
      <c r="A1145" s="17" t="s">
        <v>952</v>
      </c>
      <c r="B1145" s="18">
        <v>570</v>
      </c>
      <c r="C1145" s="1109"/>
      <c r="D1145" s="305"/>
    </row>
    <row r="1146" spans="1:4" ht="12.75">
      <c r="A1146" s="17" t="s">
        <v>953</v>
      </c>
      <c r="B1146" s="18">
        <v>570</v>
      </c>
      <c r="C1146" s="1109"/>
      <c r="D1146" s="305"/>
    </row>
    <row r="1147" spans="1:4" ht="12.75">
      <c r="A1147" s="17" t="s">
        <v>954</v>
      </c>
      <c r="B1147" s="18">
        <v>570</v>
      </c>
      <c r="C1147" s="1109"/>
      <c r="D1147" s="305"/>
    </row>
    <row r="1148" spans="1:4" ht="12.75">
      <c r="A1148" s="17" t="s">
        <v>955</v>
      </c>
      <c r="B1148" s="18">
        <v>570</v>
      </c>
      <c r="C1148" s="1109"/>
      <c r="D1148" s="305"/>
    </row>
    <row r="1149" spans="1:4" ht="12.75">
      <c r="A1149" s="17" t="s">
        <v>956</v>
      </c>
      <c r="B1149" s="18">
        <v>570</v>
      </c>
      <c r="C1149" s="1109"/>
      <c r="D1149" s="305"/>
    </row>
    <row r="1150" spans="1:4" ht="12.75">
      <c r="A1150" s="17" t="s">
        <v>957</v>
      </c>
      <c r="B1150" s="18">
        <v>570</v>
      </c>
      <c r="C1150" s="1109"/>
      <c r="D1150" s="305"/>
    </row>
    <row r="1151" spans="1:4" ht="12.75">
      <c r="A1151" s="17" t="s">
        <v>1505</v>
      </c>
      <c r="B1151" s="18">
        <v>330</v>
      </c>
      <c r="C1151" s="1109"/>
      <c r="D1151" s="306"/>
    </row>
    <row r="1152" spans="1:4" ht="12.75">
      <c r="A1152" s="17" t="s">
        <v>1506</v>
      </c>
      <c r="B1152" s="18">
        <v>330</v>
      </c>
      <c r="C1152" s="1109"/>
      <c r="D1152" s="306"/>
    </row>
    <row r="1153" spans="1:4" ht="12.75">
      <c r="A1153" s="17" t="s">
        <v>1507</v>
      </c>
      <c r="B1153" s="18">
        <v>330</v>
      </c>
      <c r="C1153" s="1109"/>
      <c r="D1153" s="306"/>
    </row>
    <row r="1154" spans="1:4" ht="12.75">
      <c r="A1154" s="17" t="s">
        <v>1508</v>
      </c>
      <c r="B1154" s="18">
        <v>330</v>
      </c>
      <c r="C1154" s="1109"/>
      <c r="D1154" s="306"/>
    </row>
    <row r="1155" spans="1:4" ht="12.75">
      <c r="A1155" s="17" t="s">
        <v>1509</v>
      </c>
      <c r="B1155" s="18">
        <v>330</v>
      </c>
      <c r="C1155" s="1109"/>
      <c r="D1155" s="306"/>
    </row>
    <row r="1156" spans="1:4" ht="12.75">
      <c r="A1156" s="17" t="s">
        <v>1510</v>
      </c>
      <c r="B1156" s="18">
        <v>330</v>
      </c>
      <c r="C1156" s="1109"/>
      <c r="D1156" s="306"/>
    </row>
    <row r="1157" spans="1:4" ht="12.75">
      <c r="A1157" s="17" t="s">
        <v>1511</v>
      </c>
      <c r="B1157" s="18">
        <v>330</v>
      </c>
      <c r="C1157" s="1109"/>
      <c r="D1157" s="306"/>
    </row>
    <row r="1158" spans="1:4" ht="12.75">
      <c r="A1158" s="17" t="s">
        <v>1512</v>
      </c>
      <c r="B1158" s="18">
        <v>330</v>
      </c>
      <c r="C1158" s="1109"/>
      <c r="D1158" s="306"/>
    </row>
    <row r="1159" spans="1:4" ht="12.75">
      <c r="A1159" s="17" t="s">
        <v>1513</v>
      </c>
      <c r="B1159" s="18">
        <v>330</v>
      </c>
      <c r="C1159" s="1109"/>
      <c r="D1159" s="306"/>
    </row>
    <row r="1160" spans="1:4" ht="12.75">
      <c r="A1160" s="17" t="s">
        <v>1514</v>
      </c>
      <c r="B1160" s="18">
        <v>330</v>
      </c>
      <c r="C1160" s="1109"/>
      <c r="D1160" s="306"/>
    </row>
    <row r="1161" spans="1:4" ht="12.75">
      <c r="A1161" s="17" t="s">
        <v>1515</v>
      </c>
      <c r="B1161" s="18">
        <v>330</v>
      </c>
      <c r="C1161" s="1109"/>
      <c r="D1161" s="306"/>
    </row>
    <row r="1162" spans="1:4" ht="12.75">
      <c r="A1162" s="17" t="s">
        <v>1516</v>
      </c>
      <c r="B1162" s="18">
        <v>330</v>
      </c>
      <c r="C1162" s="1109"/>
      <c r="D1162" s="306"/>
    </row>
    <row r="1163" spans="1:4" ht="12.75">
      <c r="A1163" s="17" t="s">
        <v>1517</v>
      </c>
      <c r="B1163" s="18">
        <v>330</v>
      </c>
      <c r="C1163" s="1109"/>
      <c r="D1163" s="306"/>
    </row>
    <row r="1164" spans="1:4" ht="12.75">
      <c r="A1164" s="17" t="s">
        <v>1518</v>
      </c>
      <c r="B1164" s="18">
        <v>330</v>
      </c>
      <c r="C1164" s="1109"/>
      <c r="D1164" s="306"/>
    </row>
    <row r="1165" spans="1:4" ht="12.75">
      <c r="A1165" s="17" t="s">
        <v>1519</v>
      </c>
      <c r="B1165" s="18">
        <v>330</v>
      </c>
      <c r="C1165" s="1109"/>
      <c r="D1165" s="306"/>
    </row>
    <row r="1166" spans="1:4" ht="12.75">
      <c r="A1166" s="17" t="s">
        <v>1433</v>
      </c>
      <c r="B1166" s="18">
        <v>330</v>
      </c>
      <c r="C1166" s="1109"/>
      <c r="D1166" s="306"/>
    </row>
    <row r="1167" spans="1:4" ht="12.75">
      <c r="A1167" s="17" t="s">
        <v>958</v>
      </c>
      <c r="B1167" s="18">
        <v>380</v>
      </c>
      <c r="C1167" s="1109"/>
      <c r="D1167" s="305"/>
    </row>
    <row r="1168" spans="1:4" ht="12.75">
      <c r="A1168" s="17" t="s">
        <v>959</v>
      </c>
      <c r="B1168" s="18">
        <v>380</v>
      </c>
      <c r="C1168" s="1109"/>
      <c r="D1168" s="305"/>
    </row>
    <row r="1169" spans="1:4" ht="12.75">
      <c r="A1169" s="17" t="s">
        <v>960</v>
      </c>
      <c r="B1169" s="18">
        <v>380</v>
      </c>
      <c r="C1169" s="1109"/>
      <c r="D1169" s="305"/>
    </row>
    <row r="1170" spans="1:4" ht="12.75">
      <c r="A1170" s="17" t="s">
        <v>961</v>
      </c>
      <c r="B1170" s="18">
        <v>380</v>
      </c>
      <c r="C1170" s="1109"/>
      <c r="D1170" s="305"/>
    </row>
    <row r="1171" spans="1:4" ht="12.75">
      <c r="A1171" s="17" t="s">
        <v>962</v>
      </c>
      <c r="B1171" s="18">
        <v>380</v>
      </c>
      <c r="C1171" s="1109"/>
      <c r="D1171" s="305"/>
    </row>
    <row r="1172" spans="1:4" ht="12.75">
      <c r="A1172" s="17" t="s">
        <v>963</v>
      </c>
      <c r="B1172" s="18">
        <v>380</v>
      </c>
      <c r="C1172" s="1109"/>
      <c r="D1172" s="305"/>
    </row>
    <row r="1173" spans="1:4" ht="12.75">
      <c r="A1173" s="17" t="s">
        <v>964</v>
      </c>
      <c r="B1173" s="18">
        <v>380</v>
      </c>
      <c r="C1173" s="1109"/>
      <c r="D1173" s="305"/>
    </row>
    <row r="1174" spans="1:4" ht="12.75">
      <c r="A1174" s="17" t="s">
        <v>965</v>
      </c>
      <c r="B1174" s="18">
        <v>380</v>
      </c>
      <c r="C1174" s="1109"/>
      <c r="D1174" s="305"/>
    </row>
    <row r="1175" spans="1:4" ht="12.75">
      <c r="A1175" s="17" t="s">
        <v>966</v>
      </c>
      <c r="B1175" s="18">
        <v>380</v>
      </c>
      <c r="C1175" s="1109"/>
      <c r="D1175" s="305"/>
    </row>
    <row r="1176" spans="1:4" ht="12.75">
      <c r="A1176" s="17" t="s">
        <v>967</v>
      </c>
      <c r="B1176" s="18">
        <v>380</v>
      </c>
      <c r="C1176" s="1109"/>
      <c r="D1176" s="305"/>
    </row>
    <row r="1177" spans="1:4" ht="12.75">
      <c r="A1177" s="17" t="s">
        <v>968</v>
      </c>
      <c r="B1177" s="18">
        <v>380</v>
      </c>
      <c r="C1177" s="1109"/>
      <c r="D1177" s="305"/>
    </row>
    <row r="1178" spans="1:4" ht="12.75">
      <c r="A1178" s="17" t="s">
        <v>969</v>
      </c>
      <c r="B1178" s="18">
        <v>380</v>
      </c>
      <c r="C1178" s="1109"/>
      <c r="D1178" s="305"/>
    </row>
    <row r="1179" spans="1:4" ht="12.75">
      <c r="A1179" s="17" t="s">
        <v>970</v>
      </c>
      <c r="B1179" s="18">
        <v>380</v>
      </c>
      <c r="C1179" s="1109"/>
      <c r="D1179" s="305"/>
    </row>
    <row r="1180" spans="1:4" ht="12.75">
      <c r="A1180" s="17" t="s">
        <v>971</v>
      </c>
      <c r="B1180" s="18">
        <v>380</v>
      </c>
      <c r="C1180" s="1109"/>
      <c r="D1180" s="305"/>
    </row>
    <row r="1181" spans="1:4" ht="12.75">
      <c r="A1181" s="17" t="s">
        <v>972</v>
      </c>
      <c r="B1181" s="18">
        <v>380</v>
      </c>
      <c r="C1181" s="1109"/>
      <c r="D1181" s="305"/>
    </row>
    <row r="1182" spans="1:4" ht="12.75">
      <c r="A1182" s="17" t="s">
        <v>973</v>
      </c>
      <c r="B1182" s="18">
        <v>380</v>
      </c>
      <c r="C1182" s="1109"/>
      <c r="D1182" s="305"/>
    </row>
    <row r="1183" spans="1:4" ht="12.75">
      <c r="A1183" s="17" t="s">
        <v>974</v>
      </c>
      <c r="B1183" s="18">
        <v>430</v>
      </c>
      <c r="C1183" s="1109"/>
      <c r="D1183" s="305"/>
    </row>
    <row r="1184" spans="1:4" ht="12.75">
      <c r="A1184" s="17" t="s">
        <v>975</v>
      </c>
      <c r="B1184" s="18">
        <v>430</v>
      </c>
      <c r="C1184" s="1109"/>
      <c r="D1184" s="305"/>
    </row>
    <row r="1185" spans="1:4" ht="12.75">
      <c r="A1185" s="17" t="s">
        <v>976</v>
      </c>
      <c r="B1185" s="18">
        <v>430</v>
      </c>
      <c r="C1185" s="1109"/>
      <c r="D1185" s="305"/>
    </row>
    <row r="1186" spans="1:4" ht="12.75">
      <c r="A1186" s="17" t="s">
        <v>977</v>
      </c>
      <c r="B1186" s="18">
        <v>430</v>
      </c>
      <c r="C1186" s="1109"/>
      <c r="D1186" s="305"/>
    </row>
    <row r="1187" spans="1:4" ht="12.75">
      <c r="A1187" s="17" t="s">
        <v>978</v>
      </c>
      <c r="B1187" s="18">
        <v>430</v>
      </c>
      <c r="C1187" s="1109"/>
      <c r="D1187" s="305"/>
    </row>
    <row r="1188" spans="1:4" ht="12.75">
      <c r="A1188" s="17" t="s">
        <v>979</v>
      </c>
      <c r="B1188" s="18">
        <v>430</v>
      </c>
      <c r="C1188" s="1109"/>
      <c r="D1188" s="305"/>
    </row>
    <row r="1189" spans="1:4" ht="12.75">
      <c r="A1189" s="17" t="s">
        <v>980</v>
      </c>
      <c r="B1189" s="18">
        <v>430</v>
      </c>
      <c r="C1189" s="1109"/>
      <c r="D1189" s="305"/>
    </row>
    <row r="1190" spans="1:4" ht="12.75">
      <c r="A1190" s="17" t="s">
        <v>981</v>
      </c>
      <c r="B1190" s="18">
        <v>430</v>
      </c>
      <c r="C1190" s="1109"/>
      <c r="D1190" s="305"/>
    </row>
    <row r="1191" spans="1:4" ht="12.75">
      <c r="A1191" s="17" t="s">
        <v>982</v>
      </c>
      <c r="B1191" s="18">
        <v>430</v>
      </c>
      <c r="C1191" s="1109"/>
      <c r="D1191" s="305"/>
    </row>
    <row r="1192" spans="1:4" ht="12.75">
      <c r="A1192" s="17" t="s">
        <v>983</v>
      </c>
      <c r="B1192" s="18">
        <v>430</v>
      </c>
      <c r="C1192" s="1109"/>
      <c r="D1192" s="305"/>
    </row>
    <row r="1193" spans="1:4" ht="12.75">
      <c r="A1193" s="17" t="s">
        <v>984</v>
      </c>
      <c r="B1193" s="18">
        <v>430</v>
      </c>
      <c r="C1193" s="1109"/>
      <c r="D1193" s="305"/>
    </row>
    <row r="1194" spans="1:4" ht="12.75">
      <c r="A1194" s="17" t="s">
        <v>985</v>
      </c>
      <c r="B1194" s="18">
        <v>430</v>
      </c>
      <c r="C1194" s="1109"/>
      <c r="D1194" s="305"/>
    </row>
    <row r="1195" spans="1:4" ht="12.75">
      <c r="A1195" s="17" t="s">
        <v>986</v>
      </c>
      <c r="B1195" s="18">
        <v>430</v>
      </c>
      <c r="C1195" s="1109"/>
      <c r="D1195" s="305"/>
    </row>
    <row r="1196" spans="1:4" ht="12.75">
      <c r="A1196" s="17" t="s">
        <v>987</v>
      </c>
      <c r="B1196" s="18">
        <v>430</v>
      </c>
      <c r="C1196" s="1109"/>
      <c r="D1196" s="305"/>
    </row>
    <row r="1197" spans="1:4" ht="12.75">
      <c r="A1197" s="17" t="s">
        <v>988</v>
      </c>
      <c r="B1197" s="18">
        <v>430</v>
      </c>
      <c r="C1197" s="1109"/>
      <c r="D1197" s="305"/>
    </row>
    <row r="1198" spans="1:4" ht="12.75">
      <c r="A1198" s="17" t="s">
        <v>989</v>
      </c>
      <c r="B1198" s="18">
        <v>430</v>
      </c>
      <c r="C1198" s="1109"/>
      <c r="D1198" s="305"/>
    </row>
    <row r="1199" spans="1:4" ht="12.75">
      <c r="A1199" s="17" t="s">
        <v>990</v>
      </c>
      <c r="B1199" s="18">
        <v>550</v>
      </c>
      <c r="C1199" s="1109"/>
      <c r="D1199" s="305"/>
    </row>
    <row r="1200" spans="1:4" ht="12.75">
      <c r="A1200" s="17" t="s">
        <v>991</v>
      </c>
      <c r="B1200" s="18">
        <v>550</v>
      </c>
      <c r="C1200" s="1109"/>
      <c r="D1200" s="305"/>
    </row>
    <row r="1201" spans="1:4" ht="12.75">
      <c r="A1201" s="17" t="s">
        <v>992</v>
      </c>
      <c r="B1201" s="18">
        <v>550</v>
      </c>
      <c r="C1201" s="1109"/>
      <c r="D1201" s="305"/>
    </row>
    <row r="1202" spans="1:4" ht="12.75">
      <c r="A1202" s="17" t="s">
        <v>993</v>
      </c>
      <c r="B1202" s="18">
        <v>550</v>
      </c>
      <c r="C1202" s="1109"/>
      <c r="D1202" s="305"/>
    </row>
    <row r="1203" spans="1:4" ht="12.75">
      <c r="A1203" s="17" t="s">
        <v>994</v>
      </c>
      <c r="B1203" s="18">
        <v>550</v>
      </c>
      <c r="C1203" s="1109"/>
      <c r="D1203" s="305"/>
    </row>
    <row r="1204" spans="1:4" ht="12.75">
      <c r="A1204" s="17" t="s">
        <v>995</v>
      </c>
      <c r="B1204" s="18">
        <v>550</v>
      </c>
      <c r="C1204" s="1109"/>
      <c r="D1204" s="305"/>
    </row>
    <row r="1205" spans="1:4" ht="12.75">
      <c r="A1205" s="17" t="s">
        <v>996</v>
      </c>
      <c r="B1205" s="18">
        <v>550</v>
      </c>
      <c r="C1205" s="1109"/>
      <c r="D1205" s="305"/>
    </row>
    <row r="1206" spans="1:4" ht="12.75">
      <c r="A1206" s="17" t="s">
        <v>997</v>
      </c>
      <c r="B1206" s="18">
        <v>550</v>
      </c>
      <c r="C1206" s="1109"/>
      <c r="D1206" s="305"/>
    </row>
    <row r="1207" spans="1:4" ht="12.75">
      <c r="A1207" s="17" t="s">
        <v>998</v>
      </c>
      <c r="B1207" s="18">
        <v>550</v>
      </c>
      <c r="C1207" s="1109"/>
      <c r="D1207" s="305"/>
    </row>
    <row r="1208" spans="1:4" ht="12.75">
      <c r="A1208" s="17" t="s">
        <v>999</v>
      </c>
      <c r="B1208" s="18">
        <v>550</v>
      </c>
      <c r="C1208" s="1109"/>
      <c r="D1208" s="305"/>
    </row>
    <row r="1209" spans="1:4" ht="12.75">
      <c r="A1209" s="17" t="s">
        <v>1000</v>
      </c>
      <c r="B1209" s="18">
        <v>550</v>
      </c>
      <c r="C1209" s="1109"/>
      <c r="D1209" s="305"/>
    </row>
    <row r="1210" spans="1:4" ht="12.75">
      <c r="A1210" s="17" t="s">
        <v>1001</v>
      </c>
      <c r="B1210" s="18">
        <v>550</v>
      </c>
      <c r="C1210" s="1109"/>
      <c r="D1210" s="305"/>
    </row>
    <row r="1211" spans="1:4" ht="12.75">
      <c r="A1211" s="17" t="s">
        <v>1002</v>
      </c>
      <c r="B1211" s="18">
        <v>550</v>
      </c>
      <c r="C1211" s="1109"/>
      <c r="D1211" s="305"/>
    </row>
    <row r="1212" spans="1:4" ht="12.75">
      <c r="A1212" s="17" t="s">
        <v>1003</v>
      </c>
      <c r="B1212" s="18">
        <v>550</v>
      </c>
      <c r="C1212" s="1109"/>
      <c r="D1212" s="305"/>
    </row>
    <row r="1213" spans="1:4" ht="12.75">
      <c r="A1213" s="17" t="s">
        <v>1004</v>
      </c>
      <c r="B1213" s="18">
        <v>550</v>
      </c>
      <c r="C1213" s="1109"/>
      <c r="D1213" s="305"/>
    </row>
    <row r="1214" spans="1:4" ht="12.75">
      <c r="A1214" s="17" t="s">
        <v>1005</v>
      </c>
      <c r="B1214" s="18">
        <v>550</v>
      </c>
      <c r="C1214" s="1109"/>
      <c r="D1214" s="305"/>
    </row>
    <row r="1215" spans="1:4" ht="12.75">
      <c r="A1215" s="17" t="s">
        <v>1520</v>
      </c>
      <c r="B1215" s="18">
        <v>640</v>
      </c>
      <c r="C1215" s="1109"/>
      <c r="D1215" s="306"/>
    </row>
    <row r="1216" spans="1:4" ht="12.75">
      <c r="A1216" s="17" t="s">
        <v>1521</v>
      </c>
      <c r="B1216" s="18">
        <v>640</v>
      </c>
      <c r="C1216" s="1109"/>
      <c r="D1216" s="306"/>
    </row>
    <row r="1217" spans="1:4" ht="12.75">
      <c r="A1217" s="17" t="s">
        <v>1522</v>
      </c>
      <c r="B1217" s="18">
        <v>640</v>
      </c>
      <c r="C1217" s="1109"/>
      <c r="D1217" s="306"/>
    </row>
    <row r="1218" spans="1:4" ht="12.75">
      <c r="A1218" s="17" t="s">
        <v>1523</v>
      </c>
      <c r="B1218" s="18">
        <v>640</v>
      </c>
      <c r="C1218" s="1109"/>
      <c r="D1218" s="306"/>
    </row>
    <row r="1219" spans="1:4" ht="12.75">
      <c r="A1219" s="17" t="s">
        <v>1524</v>
      </c>
      <c r="B1219" s="18">
        <v>640</v>
      </c>
      <c r="C1219" s="1109"/>
      <c r="D1219" s="306"/>
    </row>
    <row r="1220" spans="1:4" ht="12.75">
      <c r="A1220" s="17" t="s">
        <v>1525</v>
      </c>
      <c r="B1220" s="18">
        <v>640</v>
      </c>
      <c r="C1220" s="1109"/>
      <c r="D1220" s="306"/>
    </row>
    <row r="1221" spans="1:4" ht="12.75">
      <c r="A1221" s="17" t="s">
        <v>1526</v>
      </c>
      <c r="B1221" s="18">
        <v>640</v>
      </c>
      <c r="C1221" s="1109"/>
      <c r="D1221" s="306"/>
    </row>
    <row r="1222" spans="1:4" ht="12.75">
      <c r="A1222" s="17" t="s">
        <v>1527</v>
      </c>
      <c r="B1222" s="18">
        <v>640</v>
      </c>
      <c r="C1222" s="1109"/>
      <c r="D1222" s="306"/>
    </row>
    <row r="1223" spans="1:4" ht="12.75">
      <c r="A1223" s="17" t="s">
        <v>1528</v>
      </c>
      <c r="B1223" s="18">
        <v>640</v>
      </c>
      <c r="C1223" s="1109"/>
      <c r="D1223" s="306"/>
    </row>
    <row r="1224" spans="1:4" ht="12.75">
      <c r="A1224" s="17" t="s">
        <v>1529</v>
      </c>
      <c r="B1224" s="18">
        <v>640</v>
      </c>
      <c r="C1224" s="1109"/>
      <c r="D1224" s="306"/>
    </row>
    <row r="1225" spans="1:4" ht="12.75">
      <c r="A1225" s="17" t="s">
        <v>1530</v>
      </c>
      <c r="B1225" s="18">
        <v>640</v>
      </c>
      <c r="C1225" s="1109"/>
      <c r="D1225" s="306"/>
    </row>
    <row r="1226" spans="1:4" ht="12.75">
      <c r="A1226" s="17" t="s">
        <v>1531</v>
      </c>
      <c r="B1226" s="18">
        <v>640</v>
      </c>
      <c r="C1226" s="1109"/>
      <c r="D1226" s="306"/>
    </row>
    <row r="1227" spans="1:4" ht="12.75">
      <c r="A1227" s="17" t="s">
        <v>1532</v>
      </c>
      <c r="B1227" s="18">
        <v>640</v>
      </c>
      <c r="C1227" s="1109"/>
      <c r="D1227" s="306"/>
    </row>
    <row r="1228" spans="1:4" ht="12.75">
      <c r="A1228" s="17" t="s">
        <v>1533</v>
      </c>
      <c r="B1228" s="18">
        <v>640</v>
      </c>
      <c r="C1228" s="1109"/>
      <c r="D1228" s="306"/>
    </row>
    <row r="1229" spans="1:4" ht="12.75">
      <c r="A1229" s="17" t="s">
        <v>1534</v>
      </c>
      <c r="B1229" s="18">
        <v>640</v>
      </c>
      <c r="C1229" s="1109"/>
      <c r="D1229" s="306"/>
    </row>
    <row r="1230" spans="1:4" ht="12.75">
      <c r="A1230" s="17" t="s">
        <v>1434</v>
      </c>
      <c r="B1230" s="18">
        <v>640</v>
      </c>
      <c r="C1230" s="1109"/>
      <c r="D1230" s="306"/>
    </row>
    <row r="1231" spans="1:4" ht="12.75">
      <c r="A1231" s="17" t="s">
        <v>1006</v>
      </c>
      <c r="B1231" s="18">
        <v>740</v>
      </c>
      <c r="C1231" s="1109"/>
      <c r="D1231" s="305"/>
    </row>
    <row r="1232" spans="1:4" ht="12.75">
      <c r="A1232" s="17" t="s">
        <v>1007</v>
      </c>
      <c r="B1232" s="18">
        <v>740</v>
      </c>
      <c r="C1232" s="1109"/>
      <c r="D1232" s="305"/>
    </row>
    <row r="1233" spans="1:4" ht="12.75">
      <c r="A1233" s="17" t="s">
        <v>1008</v>
      </c>
      <c r="B1233" s="18">
        <v>740</v>
      </c>
      <c r="C1233" s="1109"/>
      <c r="D1233" s="305"/>
    </row>
    <row r="1234" spans="1:4" ht="12.75">
      <c r="A1234" s="17" t="s">
        <v>1009</v>
      </c>
      <c r="B1234" s="18">
        <v>740</v>
      </c>
      <c r="C1234" s="1109"/>
      <c r="D1234" s="305"/>
    </row>
    <row r="1235" spans="1:4" ht="12.75">
      <c r="A1235" s="17" t="s">
        <v>1010</v>
      </c>
      <c r="B1235" s="18">
        <v>740</v>
      </c>
      <c r="C1235" s="1109"/>
      <c r="D1235" s="305"/>
    </row>
    <row r="1236" spans="1:4" ht="12.75">
      <c r="A1236" s="17" t="s">
        <v>1011</v>
      </c>
      <c r="B1236" s="18">
        <v>740</v>
      </c>
      <c r="C1236" s="1109"/>
      <c r="D1236" s="305"/>
    </row>
    <row r="1237" spans="1:4" ht="12.75">
      <c r="A1237" s="17" t="s">
        <v>1012</v>
      </c>
      <c r="B1237" s="18">
        <v>740</v>
      </c>
      <c r="C1237" s="1109"/>
      <c r="D1237" s="305"/>
    </row>
    <row r="1238" spans="1:4" ht="12.75">
      <c r="A1238" s="17" t="s">
        <v>1013</v>
      </c>
      <c r="B1238" s="18">
        <v>740</v>
      </c>
      <c r="C1238" s="1109"/>
      <c r="D1238" s="305"/>
    </row>
    <row r="1239" spans="1:4" ht="12.75">
      <c r="A1239" s="17" t="s">
        <v>1014</v>
      </c>
      <c r="B1239" s="18">
        <v>740</v>
      </c>
      <c r="C1239" s="1109"/>
      <c r="D1239" s="305"/>
    </row>
    <row r="1240" spans="1:4" ht="12.75">
      <c r="A1240" s="17" t="s">
        <v>1015</v>
      </c>
      <c r="B1240" s="18">
        <v>740</v>
      </c>
      <c r="C1240" s="1109"/>
      <c r="D1240" s="305"/>
    </row>
    <row r="1241" spans="1:4" ht="12.75">
      <c r="A1241" s="17" t="s">
        <v>1016</v>
      </c>
      <c r="B1241" s="18">
        <v>740</v>
      </c>
      <c r="C1241" s="1109"/>
      <c r="D1241" s="305"/>
    </row>
    <row r="1242" spans="1:4" ht="12.75">
      <c r="A1242" s="17" t="s">
        <v>1017</v>
      </c>
      <c r="B1242" s="18">
        <v>740</v>
      </c>
      <c r="C1242" s="1109"/>
      <c r="D1242" s="305"/>
    </row>
    <row r="1243" spans="1:4" ht="12.75">
      <c r="A1243" s="17" t="s">
        <v>1018</v>
      </c>
      <c r="B1243" s="18">
        <v>740</v>
      </c>
      <c r="C1243" s="1109"/>
      <c r="D1243" s="305"/>
    </row>
    <row r="1244" spans="1:4" ht="12.75">
      <c r="A1244" s="17" t="s">
        <v>1019</v>
      </c>
      <c r="B1244" s="18">
        <v>740</v>
      </c>
      <c r="C1244" s="1109"/>
      <c r="D1244" s="305"/>
    </row>
    <row r="1245" spans="1:4" ht="12.75">
      <c r="A1245" s="17" t="s">
        <v>1020</v>
      </c>
      <c r="B1245" s="18">
        <v>740</v>
      </c>
      <c r="C1245" s="1109"/>
      <c r="D1245" s="305"/>
    </row>
    <row r="1246" spans="1:4" ht="12.75">
      <c r="A1246" s="17" t="s">
        <v>1021</v>
      </c>
      <c r="B1246" s="18">
        <v>740</v>
      </c>
      <c r="C1246" s="1109"/>
      <c r="D1246" s="305"/>
    </row>
    <row r="1247" spans="1:4" ht="12.75">
      <c r="A1247" s="17" t="s">
        <v>1022</v>
      </c>
      <c r="B1247" s="18">
        <v>850</v>
      </c>
      <c r="C1247" s="1109"/>
      <c r="D1247" s="305"/>
    </row>
    <row r="1248" spans="1:4" ht="12.75">
      <c r="A1248" s="17" t="s">
        <v>1023</v>
      </c>
      <c r="B1248" s="18">
        <v>850</v>
      </c>
      <c r="C1248" s="1109"/>
      <c r="D1248" s="305"/>
    </row>
    <row r="1249" spans="1:4" ht="12.75">
      <c r="A1249" s="17" t="s">
        <v>1024</v>
      </c>
      <c r="B1249" s="18">
        <v>850</v>
      </c>
      <c r="C1249" s="1109"/>
      <c r="D1249" s="305"/>
    </row>
    <row r="1250" spans="1:4" ht="12.75">
      <c r="A1250" s="17" t="s">
        <v>1025</v>
      </c>
      <c r="B1250" s="18">
        <v>850</v>
      </c>
      <c r="C1250" s="1109"/>
      <c r="D1250" s="305"/>
    </row>
    <row r="1251" spans="1:4" ht="12.75">
      <c r="A1251" s="17" t="s">
        <v>1026</v>
      </c>
      <c r="B1251" s="18">
        <v>850</v>
      </c>
      <c r="C1251" s="1109"/>
      <c r="D1251" s="305"/>
    </row>
    <row r="1252" spans="1:4" ht="12.75">
      <c r="A1252" s="17" t="s">
        <v>1027</v>
      </c>
      <c r="B1252" s="18">
        <v>850</v>
      </c>
      <c r="C1252" s="1109"/>
      <c r="D1252" s="305"/>
    </row>
    <row r="1253" spans="1:4" ht="12.75">
      <c r="A1253" s="17" t="s">
        <v>1028</v>
      </c>
      <c r="B1253" s="18">
        <v>850</v>
      </c>
      <c r="C1253" s="1109"/>
      <c r="D1253" s="305"/>
    </row>
    <row r="1254" spans="1:4" ht="12.75">
      <c r="A1254" s="17" t="s">
        <v>1029</v>
      </c>
      <c r="B1254" s="18">
        <v>850</v>
      </c>
      <c r="C1254" s="1109"/>
      <c r="D1254" s="305"/>
    </row>
    <row r="1255" spans="1:4" ht="12.75">
      <c r="A1255" s="17" t="s">
        <v>1030</v>
      </c>
      <c r="B1255" s="18">
        <v>850</v>
      </c>
      <c r="C1255" s="1109"/>
      <c r="D1255" s="305"/>
    </row>
    <row r="1256" spans="1:4" ht="12.75">
      <c r="A1256" s="17" t="s">
        <v>1031</v>
      </c>
      <c r="B1256" s="18">
        <v>850</v>
      </c>
      <c r="C1256" s="1109"/>
      <c r="D1256" s="305"/>
    </row>
    <row r="1257" spans="1:4" ht="12.75">
      <c r="A1257" s="17" t="s">
        <v>1032</v>
      </c>
      <c r="B1257" s="18">
        <v>850</v>
      </c>
      <c r="C1257" s="1109"/>
      <c r="D1257" s="305"/>
    </row>
    <row r="1258" spans="1:4" ht="12.75">
      <c r="A1258" s="17" t="s">
        <v>1033</v>
      </c>
      <c r="B1258" s="18">
        <v>850</v>
      </c>
      <c r="C1258" s="1109"/>
      <c r="D1258" s="305"/>
    </row>
    <row r="1259" spans="1:4" ht="12.75">
      <c r="A1259" s="17" t="s">
        <v>1034</v>
      </c>
      <c r="B1259" s="18">
        <v>850</v>
      </c>
      <c r="C1259" s="1109"/>
      <c r="D1259" s="305"/>
    </row>
    <row r="1260" spans="1:4" ht="12.75">
      <c r="A1260" s="17" t="s">
        <v>1035</v>
      </c>
      <c r="B1260" s="18">
        <v>850</v>
      </c>
      <c r="C1260" s="1109"/>
      <c r="D1260" s="305"/>
    </row>
    <row r="1261" spans="1:4" ht="12.75">
      <c r="A1261" s="17" t="s">
        <v>1036</v>
      </c>
      <c r="B1261" s="18">
        <v>850</v>
      </c>
      <c r="C1261" s="1109"/>
      <c r="D1261" s="305"/>
    </row>
    <row r="1262" spans="1:4" ht="12.75">
      <c r="A1262" s="17" t="s">
        <v>1037</v>
      </c>
      <c r="B1262" s="18">
        <v>850</v>
      </c>
      <c r="C1262" s="1109"/>
      <c r="D1262" s="305"/>
    </row>
    <row r="1263" spans="1:4" ht="12.75">
      <c r="A1263" s="17" t="s">
        <v>1565</v>
      </c>
      <c r="B1263" s="18">
        <v>950</v>
      </c>
      <c r="C1263" s="1109"/>
      <c r="D1263" s="306"/>
    </row>
    <row r="1264" spans="1:4" ht="12.75">
      <c r="A1264" s="17" t="s">
        <v>1566</v>
      </c>
      <c r="B1264" s="18">
        <v>950</v>
      </c>
      <c r="C1264" s="1109"/>
      <c r="D1264" s="306"/>
    </row>
    <row r="1265" spans="1:4" ht="12.75">
      <c r="A1265" s="17" t="s">
        <v>1567</v>
      </c>
      <c r="B1265" s="18">
        <v>950</v>
      </c>
      <c r="C1265" s="1109"/>
      <c r="D1265" s="306"/>
    </row>
    <row r="1266" spans="1:4" ht="12.75">
      <c r="A1266" s="17" t="s">
        <v>1568</v>
      </c>
      <c r="B1266" s="18">
        <v>950</v>
      </c>
      <c r="C1266" s="1109"/>
      <c r="D1266" s="306"/>
    </row>
    <row r="1267" spans="1:4" ht="12.75">
      <c r="A1267" s="17" t="s">
        <v>1569</v>
      </c>
      <c r="B1267" s="18">
        <v>950</v>
      </c>
      <c r="C1267" s="1109"/>
      <c r="D1267" s="306"/>
    </row>
    <row r="1268" spans="1:4" ht="12.75">
      <c r="A1268" s="17" t="s">
        <v>1570</v>
      </c>
      <c r="B1268" s="18">
        <v>950</v>
      </c>
      <c r="C1268" s="1109"/>
      <c r="D1268" s="306"/>
    </row>
    <row r="1269" spans="1:4" ht="12.75">
      <c r="A1269" s="17" t="s">
        <v>1571</v>
      </c>
      <c r="B1269" s="18">
        <v>950</v>
      </c>
      <c r="C1269" s="1109"/>
      <c r="D1269" s="306"/>
    </row>
    <row r="1270" spans="1:4" ht="12.75">
      <c r="A1270" s="17" t="s">
        <v>1572</v>
      </c>
      <c r="B1270" s="18">
        <v>950</v>
      </c>
      <c r="C1270" s="1109"/>
      <c r="D1270" s="306"/>
    </row>
    <row r="1271" spans="1:4" ht="12.75">
      <c r="A1271" s="17" t="s">
        <v>1573</v>
      </c>
      <c r="B1271" s="18">
        <v>950</v>
      </c>
      <c r="C1271" s="1109"/>
      <c r="D1271" s="306"/>
    </row>
    <row r="1272" spans="1:4" ht="12.75">
      <c r="A1272" s="17" t="s">
        <v>1574</v>
      </c>
      <c r="B1272" s="18">
        <v>950</v>
      </c>
      <c r="C1272" s="1109"/>
      <c r="D1272" s="306"/>
    </row>
    <row r="1273" spans="1:4" ht="12.75">
      <c r="A1273" s="17" t="s">
        <v>1575</v>
      </c>
      <c r="B1273" s="18">
        <v>950</v>
      </c>
      <c r="C1273" s="1109"/>
      <c r="D1273" s="306"/>
    </row>
    <row r="1274" spans="1:4" ht="12.75">
      <c r="A1274" s="17" t="s">
        <v>1576</v>
      </c>
      <c r="B1274" s="18">
        <v>950</v>
      </c>
      <c r="C1274" s="1109"/>
      <c r="D1274" s="306"/>
    </row>
    <row r="1275" spans="1:4" ht="12.75">
      <c r="A1275" s="17" t="s">
        <v>1577</v>
      </c>
      <c r="B1275" s="18">
        <v>950</v>
      </c>
      <c r="C1275" s="1109"/>
      <c r="D1275" s="306"/>
    </row>
    <row r="1276" spans="1:4" ht="12.75">
      <c r="A1276" s="17" t="s">
        <v>1578</v>
      </c>
      <c r="B1276" s="18">
        <v>950</v>
      </c>
      <c r="C1276" s="1109"/>
      <c r="D1276" s="306"/>
    </row>
    <row r="1277" spans="1:4" ht="12.75">
      <c r="A1277" s="17" t="s">
        <v>1579</v>
      </c>
      <c r="B1277" s="18">
        <v>950</v>
      </c>
      <c r="C1277" s="1109"/>
      <c r="D1277" s="306"/>
    </row>
    <row r="1278" spans="1:4" ht="12.75">
      <c r="A1278" s="17" t="s">
        <v>1435</v>
      </c>
      <c r="B1278" s="18">
        <v>950</v>
      </c>
      <c r="C1278" s="1109"/>
      <c r="D1278" s="306"/>
    </row>
    <row r="1279" spans="1:4" ht="12.75">
      <c r="A1279" s="17" t="s">
        <v>1038</v>
      </c>
      <c r="B1279" s="18">
        <v>450</v>
      </c>
      <c r="C1279" s="1109"/>
      <c r="D1279" s="305"/>
    </row>
    <row r="1280" spans="1:4" ht="12.75">
      <c r="A1280" s="17" t="s">
        <v>1039</v>
      </c>
      <c r="B1280" s="18">
        <v>450</v>
      </c>
      <c r="C1280" s="1109"/>
      <c r="D1280" s="305"/>
    </row>
    <row r="1281" spans="1:4" ht="12.75">
      <c r="A1281" s="17" t="s">
        <v>1040</v>
      </c>
      <c r="B1281" s="18">
        <v>450</v>
      </c>
      <c r="C1281" s="1109"/>
      <c r="D1281" s="305"/>
    </row>
    <row r="1282" spans="1:4" ht="12.75">
      <c r="A1282" s="17" t="s">
        <v>1041</v>
      </c>
      <c r="B1282" s="18">
        <v>450</v>
      </c>
      <c r="C1282" s="1109"/>
      <c r="D1282" s="305"/>
    </row>
    <row r="1283" spans="1:4" ht="12.75">
      <c r="A1283" s="17" t="s">
        <v>1042</v>
      </c>
      <c r="B1283" s="18">
        <v>450</v>
      </c>
      <c r="C1283" s="1109"/>
      <c r="D1283" s="305"/>
    </row>
    <row r="1284" spans="1:4" ht="12.75">
      <c r="A1284" s="17" t="s">
        <v>1043</v>
      </c>
      <c r="B1284" s="18">
        <v>450</v>
      </c>
      <c r="C1284" s="1109"/>
      <c r="D1284" s="305"/>
    </row>
    <row r="1285" spans="1:4" ht="12.75">
      <c r="A1285" s="17" t="s">
        <v>1044</v>
      </c>
      <c r="B1285" s="18">
        <v>450</v>
      </c>
      <c r="C1285" s="1109"/>
      <c r="D1285" s="305"/>
    </row>
    <row r="1286" spans="1:4" ht="12.75">
      <c r="A1286" s="17" t="s">
        <v>1045</v>
      </c>
      <c r="B1286" s="18">
        <v>450</v>
      </c>
      <c r="C1286" s="1109"/>
      <c r="D1286" s="305"/>
    </row>
    <row r="1287" spans="1:4" ht="12.75">
      <c r="A1287" s="17" t="s">
        <v>1046</v>
      </c>
      <c r="B1287" s="18">
        <v>450</v>
      </c>
      <c r="C1287" s="1109"/>
      <c r="D1287" s="305"/>
    </row>
    <row r="1288" spans="1:4" ht="12.75">
      <c r="A1288" s="17" t="s">
        <v>1047</v>
      </c>
      <c r="B1288" s="18">
        <v>450</v>
      </c>
      <c r="C1288" s="1109"/>
      <c r="D1288" s="305"/>
    </row>
    <row r="1289" spans="1:4" ht="12.75">
      <c r="A1289" s="17" t="s">
        <v>1048</v>
      </c>
      <c r="B1289" s="18">
        <v>450</v>
      </c>
      <c r="C1289" s="1109"/>
      <c r="D1289" s="305"/>
    </row>
    <row r="1290" spans="1:4" ht="12.75">
      <c r="A1290" s="17" t="s">
        <v>1049</v>
      </c>
      <c r="B1290" s="18">
        <v>450</v>
      </c>
      <c r="C1290" s="1109"/>
      <c r="D1290" s="305"/>
    </row>
    <row r="1291" spans="1:4" ht="12.75">
      <c r="A1291" s="17" t="s">
        <v>1050</v>
      </c>
      <c r="B1291" s="18">
        <v>450</v>
      </c>
      <c r="C1291" s="1109"/>
      <c r="D1291" s="305"/>
    </row>
    <row r="1292" spans="1:4" ht="12.75">
      <c r="A1292" s="17" t="s">
        <v>1051</v>
      </c>
      <c r="B1292" s="18">
        <v>450</v>
      </c>
      <c r="C1292" s="1109"/>
      <c r="D1292" s="305"/>
    </row>
    <row r="1293" spans="1:4" ht="12.75">
      <c r="A1293" s="17" t="s">
        <v>1052</v>
      </c>
      <c r="B1293" s="18">
        <v>450</v>
      </c>
      <c r="C1293" s="1109"/>
      <c r="D1293" s="305"/>
    </row>
    <row r="1294" spans="1:4" ht="12.75">
      <c r="A1294" s="17" t="s">
        <v>1053</v>
      </c>
      <c r="B1294" s="18">
        <v>450</v>
      </c>
      <c r="C1294" s="1109"/>
      <c r="D1294" s="305"/>
    </row>
    <row r="1295" spans="1:4" ht="12.75">
      <c r="A1295" s="17" t="s">
        <v>1580</v>
      </c>
      <c r="B1295" s="18">
        <v>430</v>
      </c>
      <c r="C1295" s="1109"/>
      <c r="D1295" s="306"/>
    </row>
    <row r="1296" spans="1:4" ht="12.75">
      <c r="A1296" s="17" t="s">
        <v>1581</v>
      </c>
      <c r="B1296" s="18">
        <v>430</v>
      </c>
      <c r="C1296" s="1109"/>
      <c r="D1296" s="306"/>
    </row>
    <row r="1297" spans="1:4" ht="12.75">
      <c r="A1297" s="17" t="s">
        <v>1582</v>
      </c>
      <c r="B1297" s="18">
        <v>430</v>
      </c>
      <c r="C1297" s="1109"/>
      <c r="D1297" s="306"/>
    </row>
    <row r="1298" spans="1:4" ht="12.75">
      <c r="A1298" s="17" t="s">
        <v>1583</v>
      </c>
      <c r="B1298" s="18">
        <v>430</v>
      </c>
      <c r="C1298" s="1109"/>
      <c r="D1298" s="306"/>
    </row>
    <row r="1299" spans="1:4" ht="12.75">
      <c r="A1299" s="17" t="s">
        <v>1584</v>
      </c>
      <c r="B1299" s="18">
        <v>430</v>
      </c>
      <c r="C1299" s="1109"/>
      <c r="D1299" s="306"/>
    </row>
    <row r="1300" spans="1:4" ht="12.75">
      <c r="A1300" s="17" t="s">
        <v>1585</v>
      </c>
      <c r="B1300" s="18">
        <v>430</v>
      </c>
      <c r="C1300" s="1109"/>
      <c r="D1300" s="306"/>
    </row>
    <row r="1301" spans="1:4" ht="12.75">
      <c r="A1301" s="17" t="s">
        <v>1586</v>
      </c>
      <c r="B1301" s="18">
        <v>430</v>
      </c>
      <c r="C1301" s="1109"/>
      <c r="D1301" s="306"/>
    </row>
    <row r="1302" spans="1:4" ht="12.75">
      <c r="A1302" s="17" t="s">
        <v>1587</v>
      </c>
      <c r="B1302" s="18">
        <v>430</v>
      </c>
      <c r="C1302" s="1109"/>
      <c r="D1302" s="306"/>
    </row>
    <row r="1303" spans="1:4" ht="12.75">
      <c r="A1303" s="17" t="s">
        <v>1588</v>
      </c>
      <c r="B1303" s="18">
        <v>430</v>
      </c>
      <c r="C1303" s="1109"/>
      <c r="D1303" s="306"/>
    </row>
    <row r="1304" spans="1:4" ht="12.75">
      <c r="A1304" s="17" t="s">
        <v>1589</v>
      </c>
      <c r="B1304" s="18">
        <v>430</v>
      </c>
      <c r="C1304" s="1109"/>
      <c r="D1304" s="306"/>
    </row>
    <row r="1305" spans="1:4" ht="12.75">
      <c r="A1305" s="17" t="s">
        <v>1590</v>
      </c>
      <c r="B1305" s="18">
        <v>430</v>
      </c>
      <c r="C1305" s="1109"/>
      <c r="D1305" s="306"/>
    </row>
    <row r="1306" spans="1:4" ht="12.75">
      <c r="A1306" s="17" t="s">
        <v>1591</v>
      </c>
      <c r="B1306" s="18">
        <v>430</v>
      </c>
      <c r="C1306" s="1109"/>
      <c r="D1306" s="306"/>
    </row>
    <row r="1307" spans="1:4" ht="12.75">
      <c r="A1307" s="17" t="s">
        <v>1592</v>
      </c>
      <c r="B1307" s="18">
        <v>430</v>
      </c>
      <c r="C1307" s="1109"/>
      <c r="D1307" s="306"/>
    </row>
    <row r="1308" spans="1:4" ht="12.75">
      <c r="A1308" s="17" t="s">
        <v>1593</v>
      </c>
      <c r="B1308" s="18">
        <v>430</v>
      </c>
      <c r="C1308" s="1109"/>
      <c r="D1308" s="306"/>
    </row>
    <row r="1309" spans="1:4" ht="12.75">
      <c r="A1309" s="17" t="s">
        <v>1594</v>
      </c>
      <c r="B1309" s="18">
        <v>430</v>
      </c>
      <c r="C1309" s="1109"/>
      <c r="D1309" s="306"/>
    </row>
    <row r="1310" spans="1:4" ht="12.75">
      <c r="A1310" s="17" t="s">
        <v>1436</v>
      </c>
      <c r="B1310" s="18">
        <v>430</v>
      </c>
      <c r="C1310" s="1109"/>
      <c r="D1310" s="306"/>
    </row>
    <row r="1311" spans="1:4" ht="12.75">
      <c r="A1311" s="17" t="s">
        <v>1595</v>
      </c>
      <c r="B1311" s="18">
        <v>550</v>
      </c>
      <c r="C1311" s="1109"/>
      <c r="D1311" s="306"/>
    </row>
    <row r="1312" spans="1:4" ht="12.75">
      <c r="A1312" s="17" t="s">
        <v>1596</v>
      </c>
      <c r="B1312" s="18">
        <v>550</v>
      </c>
      <c r="C1312" s="1109"/>
      <c r="D1312" s="306"/>
    </row>
    <row r="1313" spans="1:4" ht="12.75">
      <c r="A1313" s="17" t="s">
        <v>1597</v>
      </c>
      <c r="B1313" s="18">
        <v>550</v>
      </c>
      <c r="C1313" s="1109"/>
      <c r="D1313" s="306"/>
    </row>
    <row r="1314" spans="1:4" ht="12.75">
      <c r="A1314" s="17" t="s">
        <v>1598</v>
      </c>
      <c r="B1314" s="18">
        <v>550</v>
      </c>
      <c r="C1314" s="1109"/>
      <c r="D1314" s="306"/>
    </row>
    <row r="1315" spans="1:4" ht="12.75">
      <c r="A1315" s="17" t="s">
        <v>1599</v>
      </c>
      <c r="B1315" s="18">
        <v>550</v>
      </c>
      <c r="C1315" s="1109"/>
      <c r="D1315" s="306"/>
    </row>
    <row r="1316" spans="1:4" ht="12.75">
      <c r="A1316" s="17" t="s">
        <v>1600</v>
      </c>
      <c r="B1316" s="18">
        <v>550</v>
      </c>
      <c r="C1316" s="1109"/>
      <c r="D1316" s="306"/>
    </row>
    <row r="1317" spans="1:4" ht="12.75">
      <c r="A1317" s="17" t="s">
        <v>1601</v>
      </c>
      <c r="B1317" s="18">
        <v>550</v>
      </c>
      <c r="C1317" s="1109"/>
      <c r="D1317" s="306"/>
    </row>
    <row r="1318" spans="1:4" ht="12.75">
      <c r="A1318" s="17" t="s">
        <v>1602</v>
      </c>
      <c r="B1318" s="18">
        <v>550</v>
      </c>
      <c r="C1318" s="1109"/>
      <c r="D1318" s="306"/>
    </row>
    <row r="1319" spans="1:4" ht="12.75">
      <c r="A1319" s="17" t="s">
        <v>1603</v>
      </c>
      <c r="B1319" s="18">
        <v>550</v>
      </c>
      <c r="C1319" s="1109"/>
      <c r="D1319" s="306"/>
    </row>
    <row r="1320" spans="1:4" ht="12.75">
      <c r="A1320" s="17" t="s">
        <v>1604</v>
      </c>
      <c r="B1320" s="18">
        <v>550</v>
      </c>
      <c r="C1320" s="1109"/>
      <c r="D1320" s="306"/>
    </row>
    <row r="1321" spans="1:4" ht="12.75">
      <c r="A1321" s="17" t="s">
        <v>1605</v>
      </c>
      <c r="B1321" s="18">
        <v>550</v>
      </c>
      <c r="C1321" s="1109"/>
      <c r="D1321" s="306"/>
    </row>
    <row r="1322" spans="1:4" ht="12.75">
      <c r="A1322" s="17" t="s">
        <v>1606</v>
      </c>
      <c r="B1322" s="18">
        <v>550</v>
      </c>
      <c r="C1322" s="1109"/>
      <c r="D1322" s="306"/>
    </row>
    <row r="1323" spans="1:4" ht="12.75">
      <c r="A1323" s="17" t="s">
        <v>1607</v>
      </c>
      <c r="B1323" s="18">
        <v>550</v>
      </c>
      <c r="C1323" s="1109"/>
      <c r="D1323" s="306"/>
    </row>
    <row r="1324" spans="1:4" ht="12.75">
      <c r="A1324" s="17" t="s">
        <v>1608</v>
      </c>
      <c r="B1324" s="18">
        <v>550</v>
      </c>
      <c r="C1324" s="1109"/>
      <c r="D1324" s="306"/>
    </row>
    <row r="1325" spans="1:4" ht="12.75">
      <c r="A1325" s="17" t="s">
        <v>1609</v>
      </c>
      <c r="B1325" s="18">
        <v>550</v>
      </c>
      <c r="C1325" s="1109"/>
      <c r="D1325" s="306"/>
    </row>
    <row r="1326" spans="1:4" ht="12.75">
      <c r="A1326" s="17" t="s">
        <v>1437</v>
      </c>
      <c r="B1326" s="18">
        <v>550</v>
      </c>
      <c r="C1326" s="1109"/>
      <c r="D1326" s="306"/>
    </row>
    <row r="1327" spans="1:4" ht="12.75">
      <c r="A1327" s="17" t="s">
        <v>1610</v>
      </c>
      <c r="B1327" s="18">
        <v>850</v>
      </c>
      <c r="C1327" s="1109"/>
      <c r="D1327" s="306"/>
    </row>
    <row r="1328" spans="1:4" ht="12.75">
      <c r="A1328" s="17" t="s">
        <v>1611</v>
      </c>
      <c r="B1328" s="18">
        <v>850</v>
      </c>
      <c r="C1328" s="1109"/>
      <c r="D1328" s="306"/>
    </row>
    <row r="1329" spans="1:4" ht="12.75">
      <c r="A1329" s="17" t="s">
        <v>1612</v>
      </c>
      <c r="B1329" s="18">
        <v>850</v>
      </c>
      <c r="C1329" s="1109"/>
      <c r="D1329" s="306"/>
    </row>
    <row r="1330" spans="1:4" ht="12.75">
      <c r="A1330" s="17" t="s">
        <v>1613</v>
      </c>
      <c r="B1330" s="18">
        <v>850</v>
      </c>
      <c r="C1330" s="1109"/>
      <c r="D1330" s="306"/>
    </row>
    <row r="1331" spans="1:4" ht="12.75">
      <c r="A1331" s="17" t="s">
        <v>1614</v>
      </c>
      <c r="B1331" s="18">
        <v>850</v>
      </c>
      <c r="C1331" s="1109"/>
      <c r="D1331" s="306"/>
    </row>
    <row r="1332" spans="1:4" ht="12.75">
      <c r="A1332" s="17" t="s">
        <v>1615</v>
      </c>
      <c r="B1332" s="18">
        <v>850</v>
      </c>
      <c r="C1332" s="1109"/>
      <c r="D1332" s="306"/>
    </row>
    <row r="1333" spans="1:4" ht="12.75">
      <c r="A1333" s="17" t="s">
        <v>1616</v>
      </c>
      <c r="B1333" s="18">
        <v>850</v>
      </c>
      <c r="C1333" s="1109"/>
      <c r="D1333" s="306"/>
    </row>
    <row r="1334" spans="1:4" ht="12.75">
      <c r="A1334" s="17" t="s">
        <v>1617</v>
      </c>
      <c r="B1334" s="18">
        <v>850</v>
      </c>
      <c r="C1334" s="1109"/>
      <c r="D1334" s="306"/>
    </row>
    <row r="1335" spans="1:4" ht="12.75">
      <c r="A1335" s="17" t="s">
        <v>1618</v>
      </c>
      <c r="B1335" s="18">
        <v>850</v>
      </c>
      <c r="C1335" s="1109"/>
      <c r="D1335" s="306"/>
    </row>
    <row r="1336" spans="1:4" ht="12.75">
      <c r="A1336" s="17" t="s">
        <v>1619</v>
      </c>
      <c r="B1336" s="18">
        <v>850</v>
      </c>
      <c r="C1336" s="1109"/>
      <c r="D1336" s="306"/>
    </row>
    <row r="1337" spans="1:4" ht="12.75">
      <c r="A1337" s="17" t="s">
        <v>1620</v>
      </c>
      <c r="B1337" s="18">
        <v>850</v>
      </c>
      <c r="C1337" s="1109"/>
      <c r="D1337" s="306"/>
    </row>
    <row r="1338" spans="1:4" ht="12.75">
      <c r="A1338" s="17" t="s">
        <v>1621</v>
      </c>
      <c r="B1338" s="18">
        <v>850</v>
      </c>
      <c r="C1338" s="1109"/>
      <c r="D1338" s="306"/>
    </row>
    <row r="1339" spans="1:4" ht="12.75">
      <c r="A1339" s="17" t="s">
        <v>1622</v>
      </c>
      <c r="B1339" s="18">
        <v>850</v>
      </c>
      <c r="C1339" s="1109"/>
      <c r="D1339" s="306"/>
    </row>
    <row r="1340" spans="1:4" ht="12.75">
      <c r="A1340" s="17" t="s">
        <v>1623</v>
      </c>
      <c r="B1340" s="18">
        <v>850</v>
      </c>
      <c r="C1340" s="1109"/>
      <c r="D1340" s="306"/>
    </row>
    <row r="1341" spans="1:4" ht="12.75">
      <c r="A1341" s="17" t="s">
        <v>1624</v>
      </c>
      <c r="B1341" s="18">
        <v>850</v>
      </c>
      <c r="C1341" s="1109"/>
      <c r="D1341" s="306"/>
    </row>
    <row r="1342" spans="1:4" ht="12.75">
      <c r="A1342" s="17" t="s">
        <v>1438</v>
      </c>
      <c r="B1342" s="18">
        <v>850</v>
      </c>
      <c r="C1342" s="1109"/>
      <c r="D1342" s="306"/>
    </row>
    <row r="1343" spans="1:4" ht="12.75">
      <c r="A1343" s="17" t="s">
        <v>1445</v>
      </c>
      <c r="B1343" s="18">
        <v>1120</v>
      </c>
      <c r="C1343" s="1109"/>
      <c r="D1343" s="306"/>
    </row>
    <row r="1344" spans="1:4" ht="12.75">
      <c r="A1344" s="17" t="s">
        <v>1446</v>
      </c>
      <c r="B1344" s="18">
        <v>1120</v>
      </c>
      <c r="C1344" s="1109"/>
      <c r="D1344" s="306"/>
    </row>
    <row r="1345" spans="1:4" ht="12.75">
      <c r="A1345" s="17" t="s">
        <v>1447</v>
      </c>
      <c r="B1345" s="18">
        <v>1120</v>
      </c>
      <c r="C1345" s="1109"/>
      <c r="D1345" s="306"/>
    </row>
    <row r="1346" spans="1:4" ht="12.75">
      <c r="A1346" s="17" t="s">
        <v>1448</v>
      </c>
      <c r="B1346" s="18">
        <v>1120</v>
      </c>
      <c r="C1346" s="1109"/>
      <c r="D1346" s="306"/>
    </row>
    <row r="1347" spans="1:4" ht="12.75">
      <c r="A1347" s="17" t="s">
        <v>1449</v>
      </c>
      <c r="B1347" s="18">
        <v>1120</v>
      </c>
      <c r="C1347" s="1109"/>
      <c r="D1347" s="306"/>
    </row>
    <row r="1348" spans="1:4" ht="12.75">
      <c r="A1348" s="17" t="s">
        <v>1450</v>
      </c>
      <c r="B1348" s="18">
        <v>1120</v>
      </c>
      <c r="C1348" s="1109"/>
      <c r="D1348" s="306"/>
    </row>
    <row r="1349" spans="1:4" ht="12.75">
      <c r="A1349" s="17" t="s">
        <v>1451</v>
      </c>
      <c r="B1349" s="18">
        <v>1120</v>
      </c>
      <c r="C1349" s="1109"/>
      <c r="D1349" s="306"/>
    </row>
    <row r="1350" spans="1:4" ht="12.75">
      <c r="A1350" s="17" t="s">
        <v>1452</v>
      </c>
      <c r="B1350" s="18">
        <v>1120</v>
      </c>
      <c r="C1350" s="1109"/>
      <c r="D1350" s="306"/>
    </row>
    <row r="1351" spans="1:4" ht="12.75">
      <c r="A1351" s="17" t="s">
        <v>1453</v>
      </c>
      <c r="B1351" s="18">
        <v>1120</v>
      </c>
      <c r="C1351" s="1109"/>
      <c r="D1351" s="306"/>
    </row>
    <row r="1352" spans="1:4" ht="12.75">
      <c r="A1352" s="17" t="s">
        <v>1454</v>
      </c>
      <c r="B1352" s="18">
        <v>1120</v>
      </c>
      <c r="C1352" s="1109"/>
      <c r="D1352" s="306"/>
    </row>
    <row r="1353" spans="1:4" ht="12.75">
      <c r="A1353" s="17" t="s">
        <v>1455</v>
      </c>
      <c r="B1353" s="18">
        <v>1120</v>
      </c>
      <c r="C1353" s="1109"/>
      <c r="D1353" s="306"/>
    </row>
    <row r="1354" spans="1:4" ht="12.75">
      <c r="A1354" s="17" t="s">
        <v>1456</v>
      </c>
      <c r="B1354" s="18">
        <v>1120</v>
      </c>
      <c r="C1354" s="1109"/>
      <c r="D1354" s="306"/>
    </row>
    <row r="1355" spans="1:4" ht="12.75">
      <c r="A1355" s="17" t="s">
        <v>1457</v>
      </c>
      <c r="B1355" s="18">
        <v>1120</v>
      </c>
      <c r="C1355" s="1109"/>
      <c r="D1355" s="306"/>
    </row>
    <row r="1356" spans="1:4" ht="12.75">
      <c r="A1356" s="17" t="s">
        <v>1458</v>
      </c>
      <c r="B1356" s="18">
        <v>1120</v>
      </c>
      <c r="C1356" s="1109"/>
      <c r="D1356" s="306"/>
    </row>
    <row r="1357" spans="1:4" ht="12.75">
      <c r="A1357" s="17" t="s">
        <v>1459</v>
      </c>
      <c r="B1357" s="18">
        <v>1120</v>
      </c>
      <c r="C1357" s="1109"/>
      <c r="D1357" s="306"/>
    </row>
    <row r="1358" spans="1:4" ht="12.75">
      <c r="A1358" s="17" t="s">
        <v>1441</v>
      </c>
      <c r="B1358" s="18">
        <v>1120</v>
      </c>
      <c r="C1358" s="1109"/>
      <c r="D1358" s="306"/>
    </row>
    <row r="1359" spans="1:4" ht="12.75">
      <c r="A1359" s="17" t="s">
        <v>1460</v>
      </c>
      <c r="B1359" s="18">
        <v>1330</v>
      </c>
      <c r="C1359" s="1109"/>
      <c r="D1359" s="306"/>
    </row>
    <row r="1360" spans="1:4" ht="12.75">
      <c r="A1360" s="17" t="s">
        <v>1461</v>
      </c>
      <c r="B1360" s="18">
        <v>1330</v>
      </c>
      <c r="C1360" s="1109"/>
      <c r="D1360" s="306"/>
    </row>
    <row r="1361" spans="1:4" ht="12.75">
      <c r="A1361" s="17" t="s">
        <v>1462</v>
      </c>
      <c r="B1361" s="18">
        <v>1330</v>
      </c>
      <c r="C1361" s="1109"/>
      <c r="D1361" s="306"/>
    </row>
    <row r="1362" spans="1:4" ht="12.75">
      <c r="A1362" s="17" t="s">
        <v>1463</v>
      </c>
      <c r="B1362" s="18">
        <v>1330</v>
      </c>
      <c r="C1362" s="1109"/>
      <c r="D1362" s="306"/>
    </row>
    <row r="1363" spans="1:4" ht="12.75">
      <c r="A1363" s="17" t="s">
        <v>1464</v>
      </c>
      <c r="B1363" s="18">
        <v>1330</v>
      </c>
      <c r="C1363" s="1109"/>
      <c r="D1363" s="306"/>
    </row>
    <row r="1364" spans="1:4" ht="12.75">
      <c r="A1364" s="17" t="s">
        <v>1465</v>
      </c>
      <c r="B1364" s="18">
        <v>1330</v>
      </c>
      <c r="C1364" s="1109"/>
      <c r="D1364" s="306"/>
    </row>
    <row r="1365" spans="1:4" ht="12.75">
      <c r="A1365" s="17" t="s">
        <v>1466</v>
      </c>
      <c r="B1365" s="18">
        <v>1330</v>
      </c>
      <c r="C1365" s="1109"/>
      <c r="D1365" s="306"/>
    </row>
    <row r="1366" spans="1:4" ht="12.75">
      <c r="A1366" s="17" t="s">
        <v>1467</v>
      </c>
      <c r="B1366" s="18">
        <v>1330</v>
      </c>
      <c r="C1366" s="1109"/>
      <c r="D1366" s="306"/>
    </row>
    <row r="1367" spans="1:4" ht="12.75">
      <c r="A1367" s="17" t="s">
        <v>1468</v>
      </c>
      <c r="B1367" s="18">
        <v>1330</v>
      </c>
      <c r="C1367" s="1109"/>
      <c r="D1367" s="306"/>
    </row>
    <row r="1368" spans="1:4" ht="12.75">
      <c r="A1368" s="17" t="s">
        <v>1469</v>
      </c>
      <c r="B1368" s="18">
        <v>1330</v>
      </c>
      <c r="C1368" s="1109"/>
      <c r="D1368" s="306"/>
    </row>
    <row r="1369" spans="1:4" ht="12.75">
      <c r="A1369" s="17" t="s">
        <v>1470</v>
      </c>
      <c r="B1369" s="18">
        <v>1330</v>
      </c>
      <c r="C1369" s="1109"/>
      <c r="D1369" s="306"/>
    </row>
    <row r="1370" spans="1:4" ht="12.75">
      <c r="A1370" s="17" t="s">
        <v>1471</v>
      </c>
      <c r="B1370" s="18">
        <v>1330</v>
      </c>
      <c r="C1370" s="1109"/>
      <c r="D1370" s="306"/>
    </row>
    <row r="1371" spans="1:4" ht="12.75">
      <c r="A1371" s="17" t="s">
        <v>1472</v>
      </c>
      <c r="B1371" s="18">
        <v>1330</v>
      </c>
      <c r="C1371" s="1109"/>
      <c r="D1371" s="306"/>
    </row>
    <row r="1372" spans="1:4" ht="12.75">
      <c r="A1372" s="17" t="s">
        <v>1473</v>
      </c>
      <c r="B1372" s="18">
        <v>1330</v>
      </c>
      <c r="C1372" s="1109"/>
      <c r="D1372" s="306"/>
    </row>
    <row r="1373" spans="1:4" ht="12.75">
      <c r="A1373" s="17" t="s">
        <v>1474</v>
      </c>
      <c r="B1373" s="18">
        <v>1330</v>
      </c>
      <c r="C1373" s="1109"/>
      <c r="D1373" s="306"/>
    </row>
    <row r="1374" spans="1:4" ht="12.75">
      <c r="A1374" s="17" t="s">
        <v>1442</v>
      </c>
      <c r="B1374" s="18">
        <v>1330</v>
      </c>
      <c r="C1374" s="1109"/>
      <c r="D1374" s="306"/>
    </row>
    <row r="1375" spans="1:4" ht="12.75">
      <c r="A1375" s="17" t="s">
        <v>1475</v>
      </c>
      <c r="B1375" s="18">
        <v>1520</v>
      </c>
      <c r="C1375" s="1109"/>
      <c r="D1375" s="306"/>
    </row>
    <row r="1376" spans="1:4" ht="12.75">
      <c r="A1376" s="17" t="s">
        <v>1476</v>
      </c>
      <c r="B1376" s="18">
        <v>1520</v>
      </c>
      <c r="C1376" s="1109"/>
      <c r="D1376" s="306"/>
    </row>
    <row r="1377" spans="1:4" ht="12.75">
      <c r="A1377" s="17" t="s">
        <v>1477</v>
      </c>
      <c r="B1377" s="18">
        <v>1520</v>
      </c>
      <c r="C1377" s="1109"/>
      <c r="D1377" s="306"/>
    </row>
    <row r="1378" spans="1:4" ht="12.75">
      <c r="A1378" s="17" t="s">
        <v>1478</v>
      </c>
      <c r="B1378" s="18">
        <v>1520</v>
      </c>
      <c r="C1378" s="1109"/>
      <c r="D1378" s="306"/>
    </row>
    <row r="1379" spans="1:4" ht="12.75">
      <c r="A1379" s="17" t="s">
        <v>1479</v>
      </c>
      <c r="B1379" s="18">
        <v>1520</v>
      </c>
      <c r="C1379" s="1109"/>
      <c r="D1379" s="306"/>
    </row>
    <row r="1380" spans="1:4" ht="12.75">
      <c r="A1380" s="17" t="s">
        <v>1480</v>
      </c>
      <c r="B1380" s="18">
        <v>1520</v>
      </c>
      <c r="C1380" s="1109"/>
      <c r="D1380" s="306"/>
    </row>
    <row r="1381" spans="1:4" ht="12.75">
      <c r="A1381" s="17" t="s">
        <v>1481</v>
      </c>
      <c r="B1381" s="18">
        <v>1520</v>
      </c>
      <c r="C1381" s="1109"/>
      <c r="D1381" s="306"/>
    </row>
    <row r="1382" spans="1:4" ht="12.75">
      <c r="A1382" s="17" t="s">
        <v>1482</v>
      </c>
      <c r="B1382" s="18">
        <v>1520</v>
      </c>
      <c r="C1382" s="1109"/>
      <c r="D1382" s="306"/>
    </row>
    <row r="1383" spans="1:4" ht="12.75">
      <c r="A1383" s="17" t="s">
        <v>1483</v>
      </c>
      <c r="B1383" s="18">
        <v>1520</v>
      </c>
      <c r="C1383" s="1109"/>
      <c r="D1383" s="306"/>
    </row>
    <row r="1384" spans="1:4" ht="12.75">
      <c r="A1384" s="17" t="s">
        <v>1484</v>
      </c>
      <c r="B1384" s="18">
        <v>1520</v>
      </c>
      <c r="C1384" s="1109"/>
      <c r="D1384" s="306"/>
    </row>
    <row r="1385" spans="1:4" ht="12.75">
      <c r="A1385" s="17" t="s">
        <v>1485</v>
      </c>
      <c r="B1385" s="18">
        <v>1520</v>
      </c>
      <c r="C1385" s="1109"/>
      <c r="D1385" s="306"/>
    </row>
    <row r="1386" spans="1:4" ht="12.75">
      <c r="A1386" s="17" t="s">
        <v>1486</v>
      </c>
      <c r="B1386" s="18">
        <v>1520</v>
      </c>
      <c r="C1386" s="1109"/>
      <c r="D1386" s="306"/>
    </row>
    <row r="1387" spans="1:4" ht="12.75">
      <c r="A1387" s="17" t="s">
        <v>1487</v>
      </c>
      <c r="B1387" s="18">
        <v>1520</v>
      </c>
      <c r="C1387" s="1109"/>
      <c r="D1387" s="306"/>
    </row>
    <row r="1388" spans="1:4" ht="12.75">
      <c r="A1388" s="17" t="s">
        <v>1488</v>
      </c>
      <c r="B1388" s="18">
        <v>1520</v>
      </c>
      <c r="C1388" s="1109"/>
      <c r="D1388" s="306"/>
    </row>
    <row r="1389" spans="1:4" ht="12.75">
      <c r="A1389" s="17" t="s">
        <v>1489</v>
      </c>
      <c r="B1389" s="18">
        <v>1520</v>
      </c>
      <c r="C1389" s="1109"/>
      <c r="D1389" s="306"/>
    </row>
    <row r="1390" spans="1:4" ht="12.75">
      <c r="A1390" s="17" t="s">
        <v>1443</v>
      </c>
      <c r="B1390" s="18">
        <v>1520</v>
      </c>
      <c r="C1390" s="1109"/>
      <c r="D1390" s="306"/>
    </row>
    <row r="1391" spans="1:4" ht="12.75">
      <c r="A1391" s="17" t="s">
        <v>1490</v>
      </c>
      <c r="B1391" s="18">
        <v>1700</v>
      </c>
      <c r="C1391" s="1109"/>
      <c r="D1391" s="306"/>
    </row>
    <row r="1392" spans="1:4" ht="12.75">
      <c r="A1392" s="17" t="s">
        <v>1491</v>
      </c>
      <c r="B1392" s="18">
        <v>1700</v>
      </c>
      <c r="C1392" s="1109"/>
      <c r="D1392" s="306"/>
    </row>
    <row r="1393" spans="1:4" ht="12.75">
      <c r="A1393" s="17" t="s">
        <v>1492</v>
      </c>
      <c r="B1393" s="18">
        <v>1700</v>
      </c>
      <c r="C1393" s="1109"/>
      <c r="D1393" s="306"/>
    </row>
    <row r="1394" spans="1:4" ht="12.75">
      <c r="A1394" s="17" t="s">
        <v>1493</v>
      </c>
      <c r="B1394" s="18">
        <v>1700</v>
      </c>
      <c r="C1394" s="1109"/>
      <c r="D1394" s="306"/>
    </row>
    <row r="1395" spans="1:4" ht="12.75">
      <c r="A1395" s="17" t="s">
        <v>1494</v>
      </c>
      <c r="B1395" s="18">
        <v>1700</v>
      </c>
      <c r="C1395" s="1109"/>
      <c r="D1395" s="306"/>
    </row>
    <row r="1396" spans="1:4" ht="12.75">
      <c r="A1396" s="17" t="s">
        <v>1495</v>
      </c>
      <c r="B1396" s="18">
        <v>1700</v>
      </c>
      <c r="C1396" s="1109"/>
      <c r="D1396" s="306"/>
    </row>
    <row r="1397" spans="1:4" ht="12.75">
      <c r="A1397" s="17" t="s">
        <v>1496</v>
      </c>
      <c r="B1397" s="18">
        <v>1700</v>
      </c>
      <c r="C1397" s="1109"/>
      <c r="D1397" s="306"/>
    </row>
    <row r="1398" spans="1:4" ht="12.75">
      <c r="A1398" s="17" t="s">
        <v>1497</v>
      </c>
      <c r="B1398" s="18">
        <v>1700</v>
      </c>
      <c r="C1398" s="1109"/>
      <c r="D1398" s="306"/>
    </row>
    <row r="1399" spans="1:4" ht="12.75">
      <c r="A1399" s="17" t="s">
        <v>1498</v>
      </c>
      <c r="B1399" s="18">
        <v>1700</v>
      </c>
      <c r="C1399" s="1109"/>
      <c r="D1399" s="306"/>
    </row>
    <row r="1400" spans="1:4" ht="12.75">
      <c r="A1400" s="17" t="s">
        <v>1499</v>
      </c>
      <c r="B1400" s="18">
        <v>1700</v>
      </c>
      <c r="C1400" s="1109"/>
      <c r="D1400" s="306"/>
    </row>
    <row r="1401" spans="1:4" ht="12.75">
      <c r="A1401" s="17" t="s">
        <v>1500</v>
      </c>
      <c r="B1401" s="18">
        <v>1700</v>
      </c>
      <c r="C1401" s="1109"/>
      <c r="D1401" s="306"/>
    </row>
    <row r="1402" spans="1:4" ht="12.75">
      <c r="A1402" s="17" t="s">
        <v>1501</v>
      </c>
      <c r="B1402" s="18">
        <v>1700</v>
      </c>
      <c r="C1402" s="1109"/>
      <c r="D1402" s="306"/>
    </row>
    <row r="1403" spans="1:4" ht="12.75">
      <c r="A1403" s="17" t="s">
        <v>1502</v>
      </c>
      <c r="B1403" s="18">
        <v>1700</v>
      </c>
      <c r="C1403" s="1109"/>
      <c r="D1403" s="306"/>
    </row>
    <row r="1404" spans="1:4" ht="12.75">
      <c r="A1404" s="17" t="s">
        <v>1503</v>
      </c>
      <c r="B1404" s="18">
        <v>1700</v>
      </c>
      <c r="C1404" s="1109"/>
      <c r="D1404" s="306"/>
    </row>
    <row r="1405" spans="1:4" ht="12.75">
      <c r="A1405" s="17" t="s">
        <v>1504</v>
      </c>
      <c r="B1405" s="18">
        <v>1700</v>
      </c>
      <c r="C1405" s="1109"/>
      <c r="D1405" s="306"/>
    </row>
    <row r="1406" spans="1:4" ht="12.75">
      <c r="A1406" s="17" t="s">
        <v>1444</v>
      </c>
      <c r="B1406" s="18">
        <v>1700</v>
      </c>
      <c r="C1406" s="1109"/>
      <c r="D1406" s="306"/>
    </row>
    <row r="1407" spans="1:4" ht="12.75">
      <c r="A1407" s="17" t="s">
        <v>1054</v>
      </c>
      <c r="B1407" s="18">
        <v>1150</v>
      </c>
      <c r="C1407" s="1109"/>
      <c r="D1407" s="305"/>
    </row>
    <row r="1408" spans="1:4" ht="12.75">
      <c r="A1408" s="17" t="s">
        <v>1055</v>
      </c>
      <c r="B1408" s="18">
        <v>1150</v>
      </c>
      <c r="C1408" s="1109"/>
      <c r="D1408" s="305"/>
    </row>
    <row r="1409" spans="1:4" ht="12.75">
      <c r="A1409" s="17" t="s">
        <v>1056</v>
      </c>
      <c r="B1409" s="18">
        <v>1150</v>
      </c>
      <c r="C1409" s="1109"/>
      <c r="D1409" s="305"/>
    </row>
    <row r="1410" spans="1:4" ht="12.75">
      <c r="A1410" s="17" t="s">
        <v>1057</v>
      </c>
      <c r="B1410" s="18">
        <v>1150</v>
      </c>
      <c r="C1410" s="1109"/>
      <c r="D1410" s="305"/>
    </row>
    <row r="1411" spans="1:4" ht="12.75">
      <c r="A1411" s="17" t="s">
        <v>1058</v>
      </c>
      <c r="B1411" s="18">
        <v>1150</v>
      </c>
      <c r="C1411" s="1109"/>
      <c r="D1411" s="305"/>
    </row>
    <row r="1412" spans="1:4" ht="12.75">
      <c r="A1412" s="17" t="s">
        <v>1059</v>
      </c>
      <c r="B1412" s="18">
        <v>1150</v>
      </c>
      <c r="C1412" s="1109"/>
      <c r="D1412" s="305"/>
    </row>
    <row r="1413" spans="1:4" ht="12.75">
      <c r="A1413" s="17" t="s">
        <v>1060</v>
      </c>
      <c r="B1413" s="18">
        <v>1150</v>
      </c>
      <c r="C1413" s="1109"/>
      <c r="D1413" s="305"/>
    </row>
    <row r="1414" spans="1:4" ht="12.75">
      <c r="A1414" s="17" t="s">
        <v>1061</v>
      </c>
      <c r="B1414" s="18">
        <v>1150</v>
      </c>
      <c r="C1414" s="1109"/>
      <c r="D1414" s="305"/>
    </row>
    <row r="1415" spans="1:4" ht="12.75">
      <c r="A1415" s="17" t="s">
        <v>1062</v>
      </c>
      <c r="B1415" s="18">
        <v>1150</v>
      </c>
      <c r="C1415" s="1109"/>
      <c r="D1415" s="305"/>
    </row>
    <row r="1416" spans="1:4" ht="12.75">
      <c r="A1416" s="17" t="s">
        <v>1063</v>
      </c>
      <c r="B1416" s="18">
        <v>1150</v>
      </c>
      <c r="C1416" s="1109"/>
      <c r="D1416" s="305"/>
    </row>
    <row r="1417" spans="1:4" ht="12.75">
      <c r="A1417" s="17" t="s">
        <v>1064</v>
      </c>
      <c r="B1417" s="18">
        <v>1150</v>
      </c>
      <c r="C1417" s="1109"/>
      <c r="D1417" s="305"/>
    </row>
    <row r="1418" spans="1:4" ht="12.75">
      <c r="A1418" s="17" t="s">
        <v>1065</v>
      </c>
      <c r="B1418" s="18">
        <v>1150</v>
      </c>
      <c r="C1418" s="1109"/>
      <c r="D1418" s="305"/>
    </row>
    <row r="1419" spans="1:4" ht="12.75">
      <c r="A1419" s="17" t="s">
        <v>1066</v>
      </c>
      <c r="B1419" s="18">
        <v>1150</v>
      </c>
      <c r="C1419" s="1109"/>
      <c r="D1419" s="305"/>
    </row>
    <row r="1420" spans="1:4" ht="12.75">
      <c r="A1420" s="17" t="s">
        <v>1067</v>
      </c>
      <c r="B1420" s="18">
        <v>1150</v>
      </c>
      <c r="C1420" s="1109"/>
      <c r="D1420" s="305"/>
    </row>
    <row r="1421" spans="1:4" ht="12.75">
      <c r="A1421" s="17" t="s">
        <v>1068</v>
      </c>
      <c r="B1421" s="18">
        <v>1150</v>
      </c>
      <c r="C1421" s="1109"/>
      <c r="D1421" s="305"/>
    </row>
    <row r="1422" spans="1:4" ht="12.75">
      <c r="A1422" s="17" t="s">
        <v>1069</v>
      </c>
      <c r="B1422" s="18">
        <v>1150</v>
      </c>
      <c r="C1422" s="1109"/>
      <c r="D1422" s="305"/>
    </row>
    <row r="1423" spans="1:4" ht="12.75">
      <c r="A1423" s="17" t="s">
        <v>1070</v>
      </c>
      <c r="B1423" s="18">
        <v>400</v>
      </c>
      <c r="C1423" s="1109"/>
      <c r="D1423" s="305"/>
    </row>
    <row r="1424" spans="1:4" ht="12.75">
      <c r="A1424" s="17" t="s">
        <v>1071</v>
      </c>
      <c r="B1424" s="18">
        <v>400</v>
      </c>
      <c r="C1424" s="1109"/>
      <c r="D1424" s="305"/>
    </row>
    <row r="1425" spans="1:4" ht="12.75">
      <c r="A1425" s="17" t="s">
        <v>1072</v>
      </c>
      <c r="B1425" s="18">
        <v>400</v>
      </c>
      <c r="C1425" s="1109"/>
      <c r="D1425" s="305"/>
    </row>
    <row r="1426" spans="1:4" ht="12.75">
      <c r="A1426" s="17" t="s">
        <v>1073</v>
      </c>
      <c r="B1426" s="18">
        <v>400</v>
      </c>
      <c r="C1426" s="1109"/>
      <c r="D1426" s="305"/>
    </row>
    <row r="1427" spans="1:4" ht="12.75">
      <c r="A1427" s="17" t="s">
        <v>1074</v>
      </c>
      <c r="B1427" s="18">
        <v>400</v>
      </c>
      <c r="C1427" s="1109"/>
      <c r="D1427" s="305"/>
    </row>
    <row r="1428" spans="1:4" ht="12.75">
      <c r="A1428" s="17" t="s">
        <v>1075</v>
      </c>
      <c r="B1428" s="18">
        <v>400</v>
      </c>
      <c r="C1428" s="1109"/>
      <c r="D1428" s="305"/>
    </row>
    <row r="1429" spans="1:4" ht="12.75">
      <c r="A1429" s="17" t="s">
        <v>1076</v>
      </c>
      <c r="B1429" s="18">
        <v>400</v>
      </c>
      <c r="C1429" s="1109"/>
      <c r="D1429" s="305"/>
    </row>
    <row r="1430" spans="1:4" ht="12.75">
      <c r="A1430" s="17" t="s">
        <v>1077</v>
      </c>
      <c r="B1430" s="18">
        <v>400</v>
      </c>
      <c r="C1430" s="1109"/>
      <c r="D1430" s="305"/>
    </row>
    <row r="1431" spans="1:4" ht="12.75">
      <c r="A1431" s="17" t="s">
        <v>1078</v>
      </c>
      <c r="B1431" s="18">
        <v>400</v>
      </c>
      <c r="C1431" s="1109"/>
      <c r="D1431" s="305"/>
    </row>
    <row r="1432" spans="1:4" ht="12.75">
      <c r="A1432" s="17" t="s">
        <v>1079</v>
      </c>
      <c r="B1432" s="18">
        <v>400</v>
      </c>
      <c r="C1432" s="1109"/>
      <c r="D1432" s="305"/>
    </row>
    <row r="1433" spans="1:4" ht="12.75">
      <c r="A1433" s="17" t="s">
        <v>1080</v>
      </c>
      <c r="B1433" s="18">
        <v>400</v>
      </c>
      <c r="C1433" s="1109"/>
      <c r="D1433" s="305"/>
    </row>
    <row r="1434" spans="1:4" ht="12.75">
      <c r="A1434" s="17" t="s">
        <v>1081</v>
      </c>
      <c r="B1434" s="18">
        <v>400</v>
      </c>
      <c r="C1434" s="1109"/>
      <c r="D1434" s="305"/>
    </row>
    <row r="1435" spans="1:4" ht="12.75">
      <c r="A1435" s="17" t="s">
        <v>1082</v>
      </c>
      <c r="B1435" s="18">
        <v>400</v>
      </c>
      <c r="C1435" s="1109"/>
      <c r="D1435" s="305"/>
    </row>
    <row r="1436" spans="1:4" ht="12.75">
      <c r="A1436" s="17" t="s">
        <v>1083</v>
      </c>
      <c r="B1436" s="18">
        <v>400</v>
      </c>
      <c r="C1436" s="1109"/>
      <c r="D1436" s="305"/>
    </row>
    <row r="1437" spans="1:4" ht="12.75">
      <c r="A1437" s="17" t="s">
        <v>1084</v>
      </c>
      <c r="B1437" s="18">
        <v>400</v>
      </c>
      <c r="C1437" s="1109"/>
      <c r="D1437" s="305"/>
    </row>
    <row r="1438" spans="1:4" ht="12.75">
      <c r="A1438" s="17" t="s">
        <v>1085</v>
      </c>
      <c r="B1438" s="18">
        <v>400</v>
      </c>
      <c r="C1438" s="1109"/>
      <c r="D1438" s="305"/>
    </row>
    <row r="1439" spans="1:4" ht="12.75">
      <c r="A1439" s="17" t="s">
        <v>1086</v>
      </c>
      <c r="B1439" s="18">
        <v>600</v>
      </c>
      <c r="C1439" s="1109"/>
      <c r="D1439" s="305"/>
    </row>
    <row r="1440" spans="1:4" ht="12.75">
      <c r="A1440" s="17" t="s">
        <v>1087</v>
      </c>
      <c r="B1440" s="18">
        <v>600</v>
      </c>
      <c r="C1440" s="1109"/>
      <c r="D1440" s="305"/>
    </row>
    <row r="1441" spans="1:4" ht="12.75">
      <c r="A1441" s="17" t="s">
        <v>1088</v>
      </c>
      <c r="B1441" s="18">
        <v>600</v>
      </c>
      <c r="C1441" s="1109"/>
      <c r="D1441" s="305"/>
    </row>
    <row r="1442" spans="1:4" ht="12.75">
      <c r="A1442" s="17" t="s">
        <v>1089</v>
      </c>
      <c r="B1442" s="18">
        <v>600</v>
      </c>
      <c r="C1442" s="1109"/>
      <c r="D1442" s="305"/>
    </row>
    <row r="1443" spans="1:4" ht="12.75">
      <c r="A1443" s="17" t="s">
        <v>1090</v>
      </c>
      <c r="B1443" s="18">
        <v>600</v>
      </c>
      <c r="C1443" s="1109"/>
      <c r="D1443" s="305"/>
    </row>
    <row r="1444" spans="1:4" ht="12.75">
      <c r="A1444" s="17" t="s">
        <v>1091</v>
      </c>
      <c r="B1444" s="18">
        <v>600</v>
      </c>
      <c r="C1444" s="1109"/>
      <c r="D1444" s="305"/>
    </row>
    <row r="1445" spans="1:4" ht="12.75">
      <c r="A1445" s="17" t="s">
        <v>1092</v>
      </c>
      <c r="B1445" s="18">
        <v>600</v>
      </c>
      <c r="C1445" s="1109"/>
      <c r="D1445" s="305"/>
    </row>
    <row r="1446" spans="1:4" ht="12.75">
      <c r="A1446" s="17" t="s">
        <v>1093</v>
      </c>
      <c r="B1446" s="18">
        <v>600</v>
      </c>
      <c r="C1446" s="1109"/>
      <c r="D1446" s="305"/>
    </row>
    <row r="1447" spans="1:4" ht="12.75">
      <c r="A1447" s="17" t="s">
        <v>1094</v>
      </c>
      <c r="B1447" s="18">
        <v>600</v>
      </c>
      <c r="C1447" s="1109"/>
      <c r="D1447" s="305"/>
    </row>
    <row r="1448" spans="1:4" ht="12.75">
      <c r="A1448" s="17" t="s">
        <v>1095</v>
      </c>
      <c r="B1448" s="18">
        <v>600</v>
      </c>
      <c r="C1448" s="1109"/>
      <c r="D1448" s="305"/>
    </row>
    <row r="1449" spans="1:4" ht="12.75">
      <c r="A1449" s="17" t="s">
        <v>1096</v>
      </c>
      <c r="B1449" s="18">
        <v>600</v>
      </c>
      <c r="C1449" s="1109"/>
      <c r="D1449" s="305"/>
    </row>
    <row r="1450" spans="1:4" ht="12.75">
      <c r="A1450" s="17" t="s">
        <v>1097</v>
      </c>
      <c r="B1450" s="18">
        <v>600</v>
      </c>
      <c r="C1450" s="1109"/>
      <c r="D1450" s="305"/>
    </row>
    <row r="1451" spans="1:4" ht="12.75">
      <c r="A1451" s="17" t="s">
        <v>1098</v>
      </c>
      <c r="B1451" s="18">
        <v>600</v>
      </c>
      <c r="C1451" s="1109"/>
      <c r="D1451" s="305"/>
    </row>
    <row r="1452" spans="1:4" ht="12.75">
      <c r="A1452" s="17" t="s">
        <v>1099</v>
      </c>
      <c r="B1452" s="18">
        <v>600</v>
      </c>
      <c r="C1452" s="1109"/>
      <c r="D1452" s="305"/>
    </row>
    <row r="1453" spans="1:4" ht="12.75">
      <c r="A1453" s="17" t="s">
        <v>1100</v>
      </c>
      <c r="B1453" s="18">
        <v>600</v>
      </c>
      <c r="C1453" s="1109"/>
      <c r="D1453" s="305"/>
    </row>
    <row r="1454" spans="1:4" ht="12.75">
      <c r="A1454" s="17" t="s">
        <v>1101</v>
      </c>
      <c r="B1454" s="18">
        <v>600</v>
      </c>
      <c r="C1454" s="1109"/>
      <c r="D1454" s="305"/>
    </row>
    <row r="1455" spans="1:4" ht="12.75">
      <c r="A1455" s="17" t="s">
        <v>1102</v>
      </c>
      <c r="B1455" s="18">
        <v>760</v>
      </c>
      <c r="C1455" s="1109"/>
      <c r="D1455" s="305"/>
    </row>
    <row r="1456" spans="1:4" ht="12.75">
      <c r="A1456" s="17" t="s">
        <v>1103</v>
      </c>
      <c r="B1456" s="18">
        <v>760</v>
      </c>
      <c r="C1456" s="1109"/>
      <c r="D1456" s="305"/>
    </row>
    <row r="1457" spans="1:4" ht="12.75">
      <c r="A1457" s="17" t="s">
        <v>1104</v>
      </c>
      <c r="B1457" s="18">
        <v>760</v>
      </c>
      <c r="C1457" s="1109"/>
      <c r="D1457" s="305"/>
    </row>
    <row r="1458" spans="1:4" ht="12.75">
      <c r="A1458" s="17" t="s">
        <v>1105</v>
      </c>
      <c r="B1458" s="18">
        <v>760</v>
      </c>
      <c r="C1458" s="1109"/>
      <c r="D1458" s="305"/>
    </row>
    <row r="1459" spans="1:4" ht="12.75">
      <c r="A1459" s="17" t="s">
        <v>1106</v>
      </c>
      <c r="B1459" s="18">
        <v>760</v>
      </c>
      <c r="C1459" s="1109"/>
      <c r="D1459" s="305"/>
    </row>
    <row r="1460" spans="1:4" ht="12.75">
      <c r="A1460" s="17" t="s">
        <v>1107</v>
      </c>
      <c r="B1460" s="18">
        <v>760</v>
      </c>
      <c r="C1460" s="1109"/>
      <c r="D1460" s="305"/>
    </row>
    <row r="1461" spans="1:4" ht="12.75">
      <c r="A1461" s="17" t="s">
        <v>1108</v>
      </c>
      <c r="B1461" s="18">
        <v>760</v>
      </c>
      <c r="C1461" s="1109"/>
      <c r="D1461" s="305"/>
    </row>
    <row r="1462" spans="1:4" ht="12.75">
      <c r="A1462" s="17" t="s">
        <v>1109</v>
      </c>
      <c r="B1462" s="18">
        <v>760</v>
      </c>
      <c r="C1462" s="1109"/>
      <c r="D1462" s="305"/>
    </row>
    <row r="1463" spans="1:4" ht="12.75">
      <c r="A1463" s="17" t="s">
        <v>1110</v>
      </c>
      <c r="B1463" s="18">
        <v>760</v>
      </c>
      <c r="C1463" s="1109"/>
      <c r="D1463" s="305"/>
    </row>
    <row r="1464" spans="1:4" ht="12.75">
      <c r="A1464" s="17" t="s">
        <v>1111</v>
      </c>
      <c r="B1464" s="18">
        <v>760</v>
      </c>
      <c r="C1464" s="1109"/>
      <c r="D1464" s="305"/>
    </row>
    <row r="1465" spans="1:4" ht="12.75">
      <c r="A1465" s="17" t="s">
        <v>1112</v>
      </c>
      <c r="B1465" s="18">
        <v>760</v>
      </c>
      <c r="C1465" s="1109"/>
      <c r="D1465" s="305"/>
    </row>
    <row r="1466" spans="1:4" ht="12.75">
      <c r="A1466" s="17" t="s">
        <v>1113</v>
      </c>
      <c r="B1466" s="18">
        <v>760</v>
      </c>
      <c r="C1466" s="1109"/>
      <c r="D1466" s="305"/>
    </row>
    <row r="1467" spans="1:4" ht="12.75">
      <c r="A1467" s="17" t="s">
        <v>1114</v>
      </c>
      <c r="B1467" s="18">
        <v>760</v>
      </c>
      <c r="C1467" s="1109"/>
      <c r="D1467" s="305"/>
    </row>
    <row r="1468" spans="1:4" ht="12.75">
      <c r="A1468" s="17" t="s">
        <v>1115</v>
      </c>
      <c r="B1468" s="18">
        <v>760</v>
      </c>
      <c r="C1468" s="1109"/>
      <c r="D1468" s="305"/>
    </row>
    <row r="1469" spans="1:4" ht="12.75">
      <c r="A1469" s="17" t="s">
        <v>1116</v>
      </c>
      <c r="B1469" s="18">
        <v>760</v>
      </c>
      <c r="C1469" s="1109"/>
      <c r="D1469" s="305"/>
    </row>
    <row r="1470" spans="1:4" ht="13.5" thickBot="1">
      <c r="A1470" s="23" t="s">
        <v>1117</v>
      </c>
      <c r="B1470" s="24">
        <v>760</v>
      </c>
      <c r="C1470" s="1110"/>
      <c r="D1470" s="305"/>
    </row>
    <row r="1471" spans="1:4" ht="12.75" customHeight="1">
      <c r="A1471" s="16" t="s">
        <v>1118</v>
      </c>
      <c r="B1471" s="18">
        <v>1250</v>
      </c>
      <c r="C1471" s="1111" t="s">
        <v>1119</v>
      </c>
      <c r="D1471" s="305"/>
    </row>
    <row r="1472" spans="1:4" ht="12.75">
      <c r="A1472" s="16" t="s">
        <v>74</v>
      </c>
      <c r="B1472" s="18">
        <v>1250</v>
      </c>
      <c r="C1472" s="1112"/>
      <c r="D1472" s="305"/>
    </row>
    <row r="1473" spans="1:4" ht="12.75">
      <c r="A1473" s="16" t="s">
        <v>1120</v>
      </c>
      <c r="B1473" s="18">
        <v>1250</v>
      </c>
      <c r="C1473" s="1112"/>
      <c r="D1473" s="305"/>
    </row>
    <row r="1474" spans="1:4" ht="12.75">
      <c r="A1474" s="16" t="s">
        <v>1121</v>
      </c>
      <c r="B1474" s="18">
        <v>1250</v>
      </c>
      <c r="C1474" s="1112"/>
      <c r="D1474" s="305"/>
    </row>
    <row r="1475" spans="1:4" ht="12.75">
      <c r="A1475" s="16" t="s">
        <v>1122</v>
      </c>
      <c r="B1475" s="18">
        <v>1250</v>
      </c>
      <c r="C1475" s="1112"/>
      <c r="D1475" s="305"/>
    </row>
    <row r="1476" spans="1:4" ht="12.75">
      <c r="A1476" s="16" t="s">
        <v>1123</v>
      </c>
      <c r="B1476" s="18">
        <v>1250</v>
      </c>
      <c r="C1476" s="1112"/>
      <c r="D1476" s="305"/>
    </row>
    <row r="1477" spans="1:4" ht="12.75">
      <c r="A1477" s="16" t="s">
        <v>1262</v>
      </c>
      <c r="B1477" s="18">
        <v>1550</v>
      </c>
      <c r="C1477" s="1112"/>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118" t="s">
        <v>1160</v>
      </c>
      <c r="C4" s="1118" t="s">
        <v>1131</v>
      </c>
      <c r="D4" s="38" t="str">
        <f>CONCATENATE(A4,$B$4,$C$4)</f>
        <v>ABBC5000SEW</v>
      </c>
      <c r="E4" s="38" t="s">
        <v>1157</v>
      </c>
      <c r="F4" s="38">
        <v>1500</v>
      </c>
      <c r="G4" s="38">
        <v>5000</v>
      </c>
      <c r="H4" s="37" t="s">
        <v>1159</v>
      </c>
    </row>
    <row r="5" spans="1:8" ht="15">
      <c r="A5" s="40" t="s">
        <v>1139</v>
      </c>
      <c r="B5" s="1119"/>
      <c r="C5" s="1119"/>
      <c r="D5" s="41" t="str">
        <f>CONCATENATE(A5,$B$4,$C$4)</f>
        <v>KUKAC5000SEW</v>
      </c>
      <c r="E5" s="41" t="s">
        <v>1157</v>
      </c>
      <c r="F5" s="41">
        <v>1500</v>
      </c>
      <c r="G5" s="41">
        <v>5000</v>
      </c>
      <c r="H5" s="40" t="s">
        <v>1158</v>
      </c>
    </row>
    <row r="6" spans="1:8" ht="15.75" thickBot="1">
      <c r="A6" s="39" t="s">
        <v>1137</v>
      </c>
      <c r="B6" s="1120"/>
      <c r="C6" s="1119"/>
      <c r="D6" s="42" t="str">
        <f>CONCATENATE(A6,$B$4,$C$4)</f>
        <v>FanucC5000SEW</v>
      </c>
      <c r="E6" s="42" t="s">
        <v>1157</v>
      </c>
      <c r="F6" s="42">
        <v>1500</v>
      </c>
      <c r="G6" s="43">
        <v>5000</v>
      </c>
      <c r="H6" s="39" t="s">
        <v>1156</v>
      </c>
    </row>
    <row r="7" spans="1:8" ht="15">
      <c r="A7" s="37" t="s">
        <v>1129</v>
      </c>
      <c r="B7" s="1118" t="s">
        <v>1133</v>
      </c>
      <c r="C7" s="1119"/>
      <c r="D7" s="38" t="str">
        <f>CONCATENATE(A7,$B$7,$C$4)</f>
        <v>ABBC8000SEW</v>
      </c>
      <c r="E7" s="38" t="s">
        <v>1149</v>
      </c>
      <c r="F7" s="38">
        <v>1500</v>
      </c>
      <c r="G7" s="38">
        <v>8000</v>
      </c>
      <c r="H7" s="37" t="s">
        <v>1155</v>
      </c>
    </row>
    <row r="8" spans="1:8" ht="15">
      <c r="A8" s="40" t="s">
        <v>1139</v>
      </c>
      <c r="B8" s="1119"/>
      <c r="C8" s="1119"/>
      <c r="D8" s="41" t="str">
        <f>CONCATENATE(A8,$B$7,$C$4)</f>
        <v>KUKAC8000SEW</v>
      </c>
      <c r="E8" s="41" t="s">
        <v>1149</v>
      </c>
      <c r="F8" s="41">
        <v>1500</v>
      </c>
      <c r="G8" s="41">
        <v>8000</v>
      </c>
      <c r="H8" s="40" t="s">
        <v>1154</v>
      </c>
    </row>
    <row r="9" spans="1:8" ht="15.75" thickBot="1">
      <c r="A9" s="39" t="s">
        <v>1137</v>
      </c>
      <c r="B9" s="1120"/>
      <c r="C9" s="1119"/>
      <c r="D9" s="42" t="str">
        <f>CONCATENATE(A9,$B$7,$C$4)</f>
        <v>FanucC8000SEW</v>
      </c>
      <c r="E9" s="42" t="s">
        <v>1149</v>
      </c>
      <c r="F9" s="42">
        <v>1500</v>
      </c>
      <c r="G9" s="42">
        <v>8000</v>
      </c>
      <c r="H9" s="39" t="s">
        <v>1153</v>
      </c>
    </row>
    <row r="10" spans="1:8" ht="15">
      <c r="A10" s="37" t="s">
        <v>1129</v>
      </c>
      <c r="B10" s="1118" t="s">
        <v>1152</v>
      </c>
      <c r="C10" s="1119"/>
      <c r="D10" s="38" t="str">
        <f>CONCATENATE(A10,$B$10,$C$4)</f>
        <v>ABBC8000 TunnelSEW</v>
      </c>
      <c r="E10" s="38" t="s">
        <v>1149</v>
      </c>
      <c r="F10" s="38">
        <v>1500</v>
      </c>
      <c r="G10" s="38">
        <v>8000</v>
      </c>
      <c r="H10" s="37" t="s">
        <v>1151</v>
      </c>
    </row>
    <row r="11" spans="1:8" ht="15">
      <c r="A11" s="40" t="s">
        <v>1139</v>
      </c>
      <c r="B11" s="1119"/>
      <c r="C11" s="1119"/>
      <c r="D11" s="41" t="str">
        <f>CONCATENATE(A11,$B$10,$C$4)</f>
        <v>KUKAC8000 TunnelSEW</v>
      </c>
      <c r="E11" s="41" t="s">
        <v>1149</v>
      </c>
      <c r="F11" s="41">
        <v>1500</v>
      </c>
      <c r="G11" s="41">
        <v>8000</v>
      </c>
      <c r="H11" s="40" t="s">
        <v>1150</v>
      </c>
    </row>
    <row r="12" spans="1:8" ht="15.75" thickBot="1">
      <c r="A12" s="39" t="s">
        <v>1137</v>
      </c>
      <c r="B12" s="1120"/>
      <c r="C12" s="1119"/>
      <c r="D12" s="42" t="str">
        <f>CONCATENATE(A12,$B$10,$C$4)</f>
        <v>FanucC8000 TunnelSEW</v>
      </c>
      <c r="E12" s="42" t="s">
        <v>1149</v>
      </c>
      <c r="F12" s="42">
        <v>1500</v>
      </c>
      <c r="G12" s="42">
        <v>8000</v>
      </c>
      <c r="H12" s="39" t="s">
        <v>1148</v>
      </c>
    </row>
    <row r="13" spans="1:8" ht="15">
      <c r="A13" s="37" t="s">
        <v>1129</v>
      </c>
      <c r="B13" s="1118" t="s">
        <v>1147</v>
      </c>
      <c r="C13" s="1119"/>
      <c r="D13" s="38" t="str">
        <f>CONCATENATE(A13,$B$13,$C$4)</f>
        <v>ABBX100SEW</v>
      </c>
      <c r="E13" s="38" t="s">
        <v>1144</v>
      </c>
      <c r="F13" s="38">
        <v>2000</v>
      </c>
      <c r="G13" s="38">
        <v>12000</v>
      </c>
      <c r="H13" s="37" t="s">
        <v>1146</v>
      </c>
    </row>
    <row r="14" spans="1:8" ht="15">
      <c r="A14" s="40" t="s">
        <v>1139</v>
      </c>
      <c r="B14" s="1119"/>
      <c r="C14" s="1119"/>
      <c r="D14" s="41" t="str">
        <f>CONCATENATE(A14,$B$13,$C$4)</f>
        <v>KUKAX100SEW</v>
      </c>
      <c r="E14" s="41" t="s">
        <v>1144</v>
      </c>
      <c r="F14" s="41">
        <v>2000</v>
      </c>
      <c r="G14" s="41">
        <v>12000</v>
      </c>
      <c r="H14" s="40" t="s">
        <v>1145</v>
      </c>
    </row>
    <row r="15" spans="1:8" ht="15.75" thickBot="1">
      <c r="A15" s="39" t="s">
        <v>1137</v>
      </c>
      <c r="B15" s="1120"/>
      <c r="C15" s="1119"/>
      <c r="D15" s="36" t="str">
        <f>CONCATENATE(A15,$B$13,$C$4)</f>
        <v>FanucX100SEW</v>
      </c>
      <c r="E15" s="36" t="s">
        <v>1144</v>
      </c>
      <c r="F15" s="36">
        <v>2000</v>
      </c>
      <c r="G15" s="36">
        <v>12000</v>
      </c>
      <c r="H15" s="35" t="s">
        <v>1143</v>
      </c>
    </row>
    <row r="16" spans="1:8" ht="15.75" thickBot="1">
      <c r="A16" s="39" t="s">
        <v>1129</v>
      </c>
      <c r="B16" s="1118" t="s">
        <v>1142</v>
      </c>
      <c r="C16" s="1119"/>
      <c r="D16" s="39" t="str">
        <f>CONCATENATE(A16,$B$16,$C$4)</f>
        <v>ABBX120SEW</v>
      </c>
      <c r="E16" s="39" t="s">
        <v>1141</v>
      </c>
      <c r="F16" s="39">
        <v>2500</v>
      </c>
      <c r="G16" s="39">
        <v>19500</v>
      </c>
      <c r="H16" s="39" t="s">
        <v>1140</v>
      </c>
    </row>
    <row r="17" spans="1:8" ht="15">
      <c r="A17" s="37" t="s">
        <v>1139</v>
      </c>
      <c r="B17" s="1119"/>
      <c r="C17" s="1119"/>
      <c r="D17" s="38" t="str">
        <f>CONCATENATE(A17,$B$16,$C$4)</f>
        <v>KUKAX120SEW</v>
      </c>
      <c r="E17" s="38" t="s">
        <v>1136</v>
      </c>
      <c r="F17" s="38">
        <v>2500</v>
      </c>
      <c r="G17" s="38">
        <v>19500</v>
      </c>
      <c r="H17" s="37" t="s">
        <v>1138</v>
      </c>
    </row>
    <row r="18" spans="1:8" ht="15.75" thickBot="1">
      <c r="A18" s="35" t="s">
        <v>1137</v>
      </c>
      <c r="B18" s="1120"/>
      <c r="C18" s="1120"/>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Blatt_1_1600R01</vt:lpstr>
      <vt:lpstr>Punktplan LTVR_4_1600R01</vt:lpstr>
      <vt:lpstr>Materialliste</vt:lpstr>
      <vt:lpstr>Motordaten</vt:lpstr>
      <vt:lpstr>'Blatt 0'!Area_de_impressao</vt:lpstr>
      <vt:lpstr>Blatt_1_1600R01!Area_de_impressao</vt:lpstr>
      <vt:lpstr>'Punktplan LTVR_4_1600R01'!Area_de_impressao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2023-06-14T14:48:29Z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