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8" codeName="{7A2D7E96-6E34-419A-AE5F-296B3A7E7977}"/>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851D4C1A-5ECF-43B7-AA39-114D76DC204D}" xr6:coauthVersionLast="36" xr6:coauthVersionMax="36" xr10:uidLastSave="{00000000-0000-0000-0000-000000000000}"/>
  <bookViews>
    <workbookView xWindow="0" yWindow="0" windowWidth="28800" windowHeight="12225" tabRatio="659" activeTab="2" xr2:uid="{00000000-000D-0000-FFFF-FFFF00000000}"/>
  </bookViews>
  <sheets>
    <sheet name="Blatt 0" sheetId="1" r:id="rId1"/>
    <sheet name="Blatt_1_1250R01" sheetId="53" r:id="rId2"/>
    <sheet name="Punktplan LTVL_1_1250R01" sheetId="51" r:id="rId3"/>
    <sheet name="Materialliste" sheetId="21" r:id="rId4"/>
    <sheet name="Motordaten" sheetId="25" r:id="rId5"/>
  </sheets>
  <definedNames>
    <definedName name="_xlnm._FilterDatabase" localSheetId="2" hidden="1">'Punktplan LTVL_1_1250R01'!$M$19:$M$24</definedName>
    <definedName name="_xlnm.Print_Area" localSheetId="0">'Blatt 0'!$A$1:$AK$60</definedName>
    <definedName name="_xlnm.Print_Area" localSheetId="1">Blatt_1_1250R01!$A$1:$AK$60</definedName>
    <definedName name="_xlnm.Print_Area" localSheetId="2">'Punktplan LTVL_1_1250R01'!$A$3:$AX$44</definedName>
  </definedNames>
  <calcPr calcId="191029"/>
</workbook>
</file>

<file path=xl/calcChain.xml><?xml version="1.0" encoding="utf-8"?>
<calcChain xmlns="http://schemas.openxmlformats.org/spreadsheetml/2006/main">
  <c r="U21" i="51" l="1"/>
  <c r="U22" i="51"/>
  <c r="U23" i="51"/>
  <c r="U24" i="51"/>
  <c r="U25" i="51"/>
  <c r="R21" i="51"/>
  <c r="R22" i="51"/>
  <c r="R23" i="51"/>
  <c r="R24" i="51"/>
  <c r="R25" i="51"/>
  <c r="O59" i="53" l="1"/>
  <c r="O57" i="53"/>
  <c r="X59" i="53"/>
  <c r="X57" i="53"/>
  <c r="X55" i="53"/>
  <c r="AA59" i="53"/>
  <c r="AA57" i="53"/>
  <c r="AB55" i="53"/>
  <c r="AF58" i="53"/>
  <c r="AB54" i="53"/>
  <c r="AH53" i="53"/>
  <c r="B59" i="53"/>
  <c r="X43" i="51" l="1"/>
  <c r="R43" i="51"/>
  <c r="M43" i="51"/>
  <c r="AC42" i="51"/>
  <c r="X41" i="51"/>
  <c r="R41" i="51"/>
  <c r="M41" i="51"/>
  <c r="AF40" i="51"/>
  <c r="AE40" i="51"/>
  <c r="X39" i="51"/>
  <c r="R39" i="51"/>
  <c r="AJ38" i="51"/>
  <c r="AE38" i="51"/>
  <c r="X38" i="51"/>
  <c r="T38" i="51"/>
  <c r="P38" i="51"/>
  <c r="M38" i="51"/>
  <c r="I38" i="51"/>
  <c r="F38" i="51"/>
  <c r="C38"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I34" i="51"/>
  <c r="BF34" i="51"/>
  <c r="BE34" i="51"/>
  <c r="BD34" i="51"/>
  <c r="AL34" i="51"/>
  <c r="AK34" i="51"/>
  <c r="AJ34" i="51"/>
  <c r="AI34" i="51"/>
  <c r="AG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s="1"/>
  <c r="BI27" i="51"/>
  <c r="BF27" i="51"/>
  <c r="BE27" i="51"/>
  <c r="BD27" i="51"/>
  <c r="BS26" i="51"/>
  <c r="BT26" i="51" s="1"/>
  <c r="BM26" i="51"/>
  <c r="BL26" i="51"/>
  <c r="BK26" i="51"/>
  <c r="BI26" i="51"/>
  <c r="BF26" i="51"/>
  <c r="BE26" i="51"/>
  <c r="BD26" i="51"/>
  <c r="BS25" i="51"/>
  <c r="BT25" i="51" s="1"/>
  <c r="BM25" i="51"/>
  <c r="BL25" i="51"/>
  <c r="BK25" i="51"/>
  <c r="BJ25" i="51" s="1"/>
  <c r="BI25" i="51"/>
  <c r="BF25" i="51"/>
  <c r="BE25" i="51"/>
  <c r="BD25" i="51"/>
  <c r="BS24" i="51"/>
  <c r="BT24" i="51" s="1"/>
  <c r="BM24" i="51"/>
  <c r="BL24" i="51"/>
  <c r="BK24" i="51"/>
  <c r="BI24" i="51"/>
  <c r="BF24" i="51"/>
  <c r="BE24" i="51"/>
  <c r="BD24" i="51"/>
  <c r="BS23" i="51"/>
  <c r="BT23" i="51" s="1"/>
  <c r="BM23" i="51"/>
  <c r="BL23" i="51"/>
  <c r="BK23" i="51"/>
  <c r="BI23" i="51"/>
  <c r="BF23" i="51"/>
  <c r="X23" i="51" s="1"/>
  <c r="BE23" i="51"/>
  <c r="BD23" i="51"/>
  <c r="AL23" i="51"/>
  <c r="AK23" i="51"/>
  <c r="AJ23" i="51"/>
  <c r="AI23" i="51"/>
  <c r="AG23" i="51"/>
  <c r="AF23" i="51"/>
  <c r="BS22" i="51"/>
  <c r="BT22" i="51" s="1"/>
  <c r="BM22" i="51"/>
  <c r="BJ22" i="51" s="1"/>
  <c r="BL22" i="51"/>
  <c r="BK22" i="51"/>
  <c r="BI22" i="51"/>
  <c r="BF22" i="51"/>
  <c r="X22" i="51" s="1"/>
  <c r="BE22" i="51"/>
  <c r="BD22" i="51"/>
  <c r="AL22" i="51"/>
  <c r="AK22" i="51"/>
  <c r="AJ22" i="51"/>
  <c r="AI22" i="51"/>
  <c r="AG22" i="51"/>
  <c r="AF22" i="51"/>
  <c r="BS21" i="51"/>
  <c r="BT21" i="51" s="1"/>
  <c r="BM21" i="51"/>
  <c r="BL21" i="51"/>
  <c r="BK21" i="51"/>
  <c r="BJ21" i="51"/>
  <c r="Z21" i="51" s="1"/>
  <c r="BI21" i="51"/>
  <c r="BF21" i="51"/>
  <c r="BE21" i="51"/>
  <c r="BD21" i="5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34" i="51" l="1"/>
  <c r="Z22" i="51"/>
  <c r="BJ20" i="51"/>
  <c r="Z20" i="51" s="1"/>
  <c r="BJ24" i="5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AB19" i="51" s="1"/>
  <c r="BO19" i="51"/>
  <c r="BU22" i="51"/>
  <c r="BV22" i="51" s="1"/>
  <c r="AA22" i="51"/>
  <c r="AB22" i="51" s="1"/>
  <c r="BO22" i="51"/>
  <c r="BU26" i="51"/>
  <c r="BV26" i="51" s="1"/>
  <c r="AA23" i="51"/>
  <c r="BU24" i="51"/>
  <c r="BV24" i="51" s="1"/>
  <c r="BO26" i="51"/>
  <c r="BU29" i="51"/>
  <c r="BV29" i="51" s="1"/>
  <c r="BU23" i="51"/>
  <c r="BV23" i="51" s="1"/>
  <c r="BO24" i="51"/>
  <c r="BP34" i="51"/>
  <c r="BQ34" i="51"/>
  <c r="AB23" i="51" l="1"/>
  <c r="CC23" i="51" s="1"/>
  <c r="AH23" i="51" s="1"/>
  <c r="H36" i="51"/>
  <c r="H35" i="51"/>
  <c r="CC19" i="51"/>
  <c r="AH19"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BP23" i="51"/>
  <c r="AD23" i="51" s="1"/>
  <c r="BR25" i="51"/>
  <c r="BQ25" i="51"/>
  <c r="CG25" i="51" s="1"/>
  <c r="BP25"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23" i="51" l="1"/>
  <c r="CG23" i="51" s="1"/>
  <c r="X37" i="51" a="1"/>
  <c r="X37" i="51" s="1"/>
  <c r="O35" i="51"/>
  <c r="R35" i="51" s="1"/>
  <c r="O37" i="51"/>
  <c r="O36" i="51"/>
  <c r="R36" i="51" s="1"/>
  <c r="BD37" i="51" s="1"/>
  <c r="O38" i="51"/>
  <c r="BD40" i="51"/>
  <c r="T36" i="51" l="1"/>
  <c r="BD38" i="51"/>
  <c r="T37" i="51" s="1"/>
  <c r="AD37" i="51"/>
  <c r="AC37" i="51"/>
  <c r="AB37" i="51"/>
  <c r="AA37" i="51"/>
  <c r="AK4" i="51"/>
  <c r="O55" i="1" l="1"/>
  <c r="O55" i="53" s="1"/>
  <c r="M39" i="51" l="1"/>
  <c r="D4" i="25"/>
  <c r="D5" i="25"/>
  <c r="D6" i="25"/>
  <c r="D7" i="25"/>
  <c r="D8" i="25"/>
  <c r="D9" i="25"/>
  <c r="D10" i="25"/>
  <c r="D11" i="25"/>
  <c r="D12" i="25"/>
  <c r="D13" i="25"/>
  <c r="D14" i="25"/>
  <c r="D15" i="25"/>
  <c r="D16" i="25"/>
  <c r="D17" i="25"/>
  <c r="D18" i="25"/>
  <c r="AA38" i="51" l="1"/>
  <c r="R38" i="51"/>
  <c r="R37" i="51"/>
  <c r="BD41" i="5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2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200-000002000000}">
      <text>
        <r>
          <rPr>
            <b/>
            <sz val="12"/>
            <color indexed="81"/>
            <rFont val="Tahoma"/>
            <family val="2"/>
          </rPr>
          <t>alle Modelle für den der Plan gilt eintragen
enter all models for which the plan applies
Example: VW380, VW382</t>
        </r>
      </text>
    </comment>
    <comment ref="T6" authorId="1" shapeId="0" xr:uid="{00000000-0006-0000-0200-000003000000}">
      <text>
        <r>
          <rPr>
            <b/>
            <sz val="14"/>
            <color indexed="81"/>
            <rFont val="Tahoma"/>
            <family val="2"/>
          </rPr>
          <t>Gewerk und der Bauteilname eintragen
enter the craft and part name
Example: Seitenteil / SVHL</t>
        </r>
      </text>
    </comment>
    <comment ref="E35" authorId="2" shapeId="0" xr:uid="{00000000-0006-0000-0200-000004000000}">
      <text>
        <r>
          <rPr>
            <sz val="20"/>
            <color indexed="81"/>
            <rFont val="Tahoma"/>
            <family val="2"/>
          </rPr>
          <t>Zylinderdurchmesser auswählen!
Enter Cylinder Diameter!</t>
        </r>
      </text>
    </comment>
    <comment ref="L35" authorId="2" shapeId="0" xr:uid="{00000000-0006-0000-0200-00000500000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00000000-0006-0000-02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00000000-0006-0000-02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00000000-0006-0000-02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<sst xmlns="http://schemas.openxmlformats.org/spreadsheetml/2006/main" count="1860" uniqueCount="1688">
  <si>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</si>
  <si>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</si>
  <si>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</si>
  <si>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</si>
  <si>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</si>
  <si>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</si>
  <si>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</si>
  <si>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</si>
  <si>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</si>
  <si>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</si>
  <si>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</si>
  <si>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</si>
  <si>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</si>
  <si>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</si>
  <si>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</si>
  <si>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</si>
  <si>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</si>
  <si>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</si>
  <si>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</si>
  <si>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</si>
  <si>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</si>
  <si>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</si>
  <si>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</si>
  <si>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</si>
  <si>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</si>
  <si>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</si>
  <si>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</si>
  <si>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</si>
  <si>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</si>
  <si>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</si>
  <si>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</si>
  <si>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</si>
  <si>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</si>
  <si>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</si>
  <si>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</si>
  <si>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</si>
  <si>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</si>
  <si>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</si>
  <si>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</si>
  <si>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</si>
  <si>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</si>
  <si>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</si>
  <si>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</si>
  <si>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</si>
  <si>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</si>
  <si>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</si>
  <si>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</si>
  <si>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</si>
  <si>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</si>
  <si>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</si>
  <si>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</si>
  <si>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</si>
  <si>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</si>
  <si>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</si>
  <si>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</si>
  <si>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</si>
  <si>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</si>
  <si>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</si>
  <si>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</si>
  <si>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</si>
  <si>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</si>
  <si>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</si>
  <si>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</si>
  <si>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</si>
  <si>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</si>
  <si>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</si>
  <si>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</si>
  <si>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</si>
  <si>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</si>
  <si>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</si>
  <si>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</si>
  <si>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</si>
  <si>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</si>
  <si>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</si>
  <si>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</si>
  <si>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</si>
  <si>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</si>
  <si>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</si>
  <si>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</si>
  <si>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</si>
  <si>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</si>
  <si>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</si>
  <si>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</si>
  <si>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</si>
  <si>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</si>
  <si>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</si>
  <si>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</si>
  <si>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</si>
  <si>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</si>
  <si>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</si>
  <si>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</si>
  <si>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</si>
  <si>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</si>
  <si>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</si>
  <si>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</si>
  <si>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</si>
  <si>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</si>
  <si>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</si>
  <si>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</si>
  <si>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</si>
  <si>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</si>
  <si>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</si>
  <si>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</si>
  <si>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</si>
  <si>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</si>
  <si>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</si>
  <si>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</si>
  <si>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</si>
  <si>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</si>
  <si>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</si>
  <si>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</si>
  <si>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</si>
  <si>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</si>
  <si>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</si>
  <si>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</si>
  <si>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</si>
  <si>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</si>
  <si>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</si>
  <si>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</si>
  <si>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</si>
  <si>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</si>
  <si>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</si>
  <si>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</si>
  <si>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</si>
  <si>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</si>
  <si>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</si>
  <si>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</si>
  <si>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</si>
  <si>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</si>
  <si>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</si>
  <si>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</si>
  <si>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</si>
  <si>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</si>
  <si>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</si>
  <si>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</si>
  <si>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</si>
  <si>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</si>
  <si>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</si>
  <si>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</si>
  <si>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</si>
  <si>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</si>
  <si>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</si>
  <si>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</si>
  <si>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</si>
  <si>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</si>
  <si>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</si>
  <si>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</si>
  <si>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</si>
  <si>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</si>
  <si>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</si>
  <si>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</si>
  <si>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</si>
  <si>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</si>
  <si>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</si>
  <si>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</si>
  <si>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</si>
  <si>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</si>
  <si>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</si>
  <si>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</si>
  <si>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</si>
  <si>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</si>
  <si>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</si>
  <si>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</si>
  <si>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</si>
  <si>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</si>
  <si>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</si>
  <si>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</si>
  <si>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</si>
  <si>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</si>
  <si>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</si>
  <si>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</si>
  <si>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</si>
  <si>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</si>
  <si>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</si>
  <si>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</si>
  <si>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</si>
  <si>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</si>
  <si>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</si>
  <si>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</si>
  <si>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</si>
  <si>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</si>
  <si>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</si>
  <si>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</si>
  <si>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</si>
  <si>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</si>
  <si>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</si>
  <si>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</si>
  <si>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</si>
  <si>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</si>
  <si>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</si>
  <si>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</si>
  <si>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</si>
  <si>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</si>
  <si>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</si>
  <si>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</si>
  <si>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</si>
  <si>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</si>
  <si>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</si>
  <si>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</si>
  <si>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</si>
  <si>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</si>
  <si>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</si>
  <si>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</si>
  <si>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</si>
  <si>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</si>
  <si>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</si>
  <si>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</si>
  <si>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</si>
  <si>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</si>
  <si>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</si>
  <si>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</si>
  <si>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</si>
  <si>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</si>
  <si>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</si>
  <si>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</si>
  <si>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</si>
  <si>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</si>
  <si>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</si>
  <si>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</si>
  <si>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</si>
  <si>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</si>
  <si>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</si>
  <si>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</si>
  <si>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</si>
  <si>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</si>
  <si>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</si>
  <si>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</si>
  <si>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</si>
  <si>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</si>
  <si>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</si>
  <si>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</si>
  <si>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</si>
  <si>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</si>
  <si>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</si>
  <si>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</si>
  <si>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</si>
  <si>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</si>
  <si>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</si>
  <si>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</si>
  <si>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</si>
  <si>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</si>
  <si>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</si>
  <si>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</si>
  <si>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</si>
  <si>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</si>
  <si>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</si>
  <si>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</si>
  <si>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</si>
  <si>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</si>
  <si>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</si>
  <si>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</si>
  <si>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</si>
  <si>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</si>
  <si>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</si>
  <si>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</si>
  <si>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</si>
  <si>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</si>
  <si>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</si>
  <si>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</si>
  <si>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</si>
  <si>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</si>
  <si>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</si>
  <si>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</si>
  <si>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</si>
  <si>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</si>
  <si>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</si>
  <si>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</si>
  <si>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</si>
  <si>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</si>
  <si>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</si>
  <si>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</si>
  <si>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</si>
  <si>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</si>
  <si>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</si>
  <si>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</si>
  <si>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</si>
  <si>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</si>
  <si>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</si>
  <si>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</si>
  <si>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</si>
  <si>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</si>
  <si>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</si>
  <si>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</si>
  <si>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</si>
  <si>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</si>
  <si>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</si>
  <si>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</si>
  <si>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</si>
  <si>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</si>
  <si>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</si>
  <si>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</si>
  <si>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</si>
  <si>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</si>
  <si>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</si>
  <si>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</si>
  <si>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</si>
  <si>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</si>
  <si>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</si>
  <si>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</si>
  <si>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</si>
  <si>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</si>
  <si>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</si>
  <si>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</si>
  <si>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</si>
  <si>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</si>
  <si>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</si>
  <si>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</si>
  <si>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</si>
  <si>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</si>
  <si>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</si>
  <si>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</si>
  <si>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</si>
  <si>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</si>
  <si>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</si>
  <si>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</si>
  <si>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</si>
  <si>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</si>
  <si>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</si>
  <si>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</si>
  <si>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</si>
  <si>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</si>
  <si>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</si>
  <si>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</si>
  <si>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</si>
  <si>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</si>
  <si>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</si>
  <si>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</si>
  <si>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</si>
  <si>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</si>
  <si>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</si>
  <si>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</si>
  <si>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</si>
  <si>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</si>
  <si>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</si>
  <si>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</si>
  <si>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</si>
  <si>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</si>
  <si>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</si>
  <si>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</si>
  <si>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</si>
  <si>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</si>
  <si>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</si>
  <si>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</si>
  <si>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</si>
  <si>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</si>
  <si>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</si>
  <si>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</si>
  <si>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</si>
  <si>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</si>
  <si>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</si>
  <si>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</si>
  <si>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</si>
  <si>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</si>
  <si>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</si>
  <si>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</si>
  <si>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</si>
  <si>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</si>
  <si>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</si>
  <si>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</si>
  <si>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</si>
  <si>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</si>
  <si>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</si>
  <si>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</si>
  <si>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</si>
  <si>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</si>
  <si>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</si>
  <si>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</si>
  <si>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</si>
  <si>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</si>
  <si>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</si>
  <si>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</si>
  <si>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</si>
  <si>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</si>
  <si>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</si>
  <si>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</si>
  <si>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</si>
  <si>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</si>
  <si>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</si>
  <si>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</si>
  <si>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</si>
  <si>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</si>
  <si>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</si>
  <si>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</si>
  <si>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</si>
  <si>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</si>
  <si>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</si>
  <si>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</si>
  <si>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</si>
  <si>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</si>
  <si>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</si>
  <si>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</si>
  <si>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</si>
  <si>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</si>
  <si>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</si>
  <si>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</si>
  <si>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</si>
  <si>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</si>
  <si>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</si>
  <si>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</si>
  <si>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</si>
  <si>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</si>
  <si>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</si>
  <si>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</si>
  <si>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</si>
  <si>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</si>
  <si>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</si>
  <si>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</si>
  <si>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</si>
  <si>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</si>
  <si>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</si>
  <si>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</si>
  <si>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</si>
  <si>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</si>
  <si>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</si>
  <si>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</si>
  <si>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</si>
  <si>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</si>
  <si>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</si>
  <si>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</si>
  <si>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</si>
  <si>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</si>
  <si>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</si>
  <si>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</si>
  <si>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</si>
  <si>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</si>
  <si>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</si>
  <si>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</si>
  <si>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</si>
  <si>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</si>
  <si>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</si>
  <si>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</si>
  <si>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</si>
  <si>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</si>
  <si>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</si>
  <si>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</si>
  <si>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</si>
  <si>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</si>
  <si>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</si>
  <si>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</si>
  <si>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</si>
  <si>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</si>
  <si>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</si>
  <si>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</si>
  <si>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</si>
  <si>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</si>
  <si>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</si>
  <si>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</si>
  <si>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</si>
  <si>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</si>
  <si>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</si>
  <si>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</si>
  <si>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</si>
  <si>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</si>
  <si>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</si>
  <si>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</si>
  <si>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</si>
  <si>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</si>
  <si>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</si>
  <si>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</si>
  <si>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</si>
  <si>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</si>
  <si>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</si>
  <si>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</si>
  <si>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</si>
  <si>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</si>
  <si>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</si>
  <si>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</si>
  <si>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</si>
  <si>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</si>
  <si>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</si>
  <si>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</si>
  <si>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</si>
  <si>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</si>
  <si>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</si>
  <si>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</si>
  <si>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</si>
  <si>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</si>
  <si>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</si>
  <si>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</si>
  <si>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</si>
  <si>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</si>
  <si>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</si>
  <si>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</si>
  <si>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</si>
  <si>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</si>
  <si>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</si>
  <si>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</si>
  <si>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</si>
  <si>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</si>
  <si>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</si>
  <si>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</si>
  <si>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</si>
  <si>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</si>
  <si>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</si>
  <si>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</si>
  <si>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</si>
  <si>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</si>
  <si>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</si>
  <si>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</si>
  <si>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</si>
  <si>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</si>
  <si>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</si>
  <si>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</si>
  <si>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</si>
  <si>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</si>
  <si>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</si>
  <si>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</si>
  <si>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</si>
  <si>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</si>
  <si>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</si>
  <si>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</si>
  <si>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</si>
  <si>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</si>
  <si>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</si>
  <si>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</si>
  <si>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</si>
  <si>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</si>
  <si>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</si>
  <si>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</si>
  <si>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</si>
  <si>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</si>
  <si>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</si>
  <si>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</si>
  <si>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</si>
  <si>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</si>
  <si>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</si>
  <si>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</si>
  <si>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</si>
  <si>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</si>
  <si>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</si>
  <si>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</si>
  <si>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</si>
  <si>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</si>
  <si>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</si>
  <si>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</si>
  <si>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</si>
  <si>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</si>
  <si>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</si>
  <si>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</si>
  <si>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</si>
  <si>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</si>
  <si>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</si>
  <si>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</si>
  <si>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</si>
  <si>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</si>
  <si>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</si>
  <si>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</si>
  <si>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</si>
  <si>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</si>
  <si>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</si>
  <si>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</si>
  <si>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</si>
  <si>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</si>
  <si>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</si>
  <si>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</si>
  <si>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</si>
  <si>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</si>
  <si>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</si>
  <si>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</si>
  <si>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</si>
  <si>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</si>
  <si>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</si>
  <si>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</si>
  <si>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</si>
  <si>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</si>
  <si>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</si>
  <si>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</si>
  <si>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</si>
  <si>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</si>
  <si>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</si>
  <si>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</si>
  <si>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</si>
  <si>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</si>
  <si>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</si>
  <si>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</si>
  <si>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</si>
  <si>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</si>
  <si>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</si>
  <si>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</si>
  <si>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</si>
  <si>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</si>
  <si>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</si>
  <si>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</si>
  <si>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</si>
  <si>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</si>
  <si>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</si>
  <si>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</si>
  <si>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</si>
  <si>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</si>
  <si>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</si>
  <si>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</si>
  <si>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</si>
  <si>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</si>
  <si>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</si>
  <si>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</si>
  <si>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</si>
  <si>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</si>
  <si>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</si>
  <si>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</si>
  <si>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</si>
  <si>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</si>
  <si>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</si>
  <si>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</si>
  <si>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</si>
  <si>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</si>
  <si>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</si>
  <si>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</si>
  <si>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</si>
  <si>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</si>
  <si>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</si>
  <si>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</si>
  <si>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</si>
  <si>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</si>
  <si>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</si>
  <si>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</si>
  <si>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</si>
  <si>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</si>
  <si>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</si>
  <si>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</si>
  <si>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</si>
  <si>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</si>
  <si>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</si>
  <si>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</si>
  <si>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</si>
  <si>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</si>
  <si>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</si>
  <si>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</si>
  <si>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</si>
  <si>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</si>
  <si>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</si>
  <si>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</si>
  <si>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</si>
  <si>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</si>
  <si>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</si>
  <si>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</si>
  <si>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</si>
  <si>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</si>
  <si>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</si>
  <si>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</si>
  <si>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</si>
  <si>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</si>
  <si>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</si>
  <si>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</si>
  <si>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</si>
  <si>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</si>
  <si>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</si>
  <si>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</si>
  <si>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</si>
  <si>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</si>
  <si>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</si>
  <si>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</si>
  <si>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</si>
  <si>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</si>
  <si>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</si>
  <si>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</si>
  <si>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</si>
  <si>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</si>
  <si>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</si>
  <si>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</si>
  <si>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</si>
  <si>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</si>
  <si>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</si>
  <si>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</si>
  <si>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</si>
  <si>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</si>
  <si>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</si>
  <si>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</si>
  <si>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</si>
  <si>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</si>
  <si>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</si>
  <si>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</si>
  <si>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</si>
  <si>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</si>
  <si>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</si>
  <si>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</si>
  <si>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</si>
  <si>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</si>
  <si>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</si>
  <si>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</si>
  <si>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</si>
  <si>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</si>
  <si>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</si>
  <si>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</si>
  <si>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</si>
  <si>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</si>
  <si>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</si>
  <si>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</si>
  <si>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</si>
  <si>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</si>
  <si>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</si>
  <si>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</si>
  <si>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</si>
  <si>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</si>
  <si>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</si>
  <si>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</si>
  <si>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</si>
  <si>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</si>
  <si>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</si>
  <si>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</si>
  <si>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</si>
  <si>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</si>
  <si>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</si>
  <si>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</si>
  <si>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</si>
  <si>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</si>
  <si>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</si>
  <si>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</si>
  <si>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</si>
  <si>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</si>
  <si>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</si>
  <si>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</si>
  <si>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</si>
  <si>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</si>
  <si>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</si>
  <si>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</si>
  <si>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</si>
  <si>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</si>
  <si>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</si>
  <si>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</si>
  <si>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</si>
  <si>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</si>
  <si>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</si>
  <si>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</si>
  <si>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</si>
  <si>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</si>
  <si>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</si>
  <si>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</si>
  <si>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</si>
  <si>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</si>
  <si>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</si>
  <si>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</si>
  <si>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</si>
  <si>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</si>
  <si>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</si>
  <si>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</si>
  <si>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</si>
  <si>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</si>
  <si>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</si>
  <si>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</si>
  <si>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</si>
  <si>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</si>
  <si>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</si>
  <si>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</si>
  <si>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</si>
  <si>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</si>
  <si>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</si>
  <si>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</si>
  <si>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</si>
  <si>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</si>
  <si>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</si>
  <si>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</si>
  <si>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</si>
  <si>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</si>
  <si>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</si>
  <si>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</si>
  <si>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</si>
  <si>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</si>
  <si>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</si>
  <si>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</si>
  <si>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</si>
  <si>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</si>
  <si>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</si>
  <si>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</si>
  <si>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</si>
  <si>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</si>
  <si>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</si>
  <si>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</si>
  <si>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</si>
  <si>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</si>
  <si>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</si>
  <si>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</si>
  <si>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</si>
  <si>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</si>
  <si>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</si>
  <si>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</si>
  <si>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</si>
  <si>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</si>
  <si>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</si>
  <si>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</si>
  <si>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</si>
  <si>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</si>
  <si>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</si>
  <si>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</si>
  <si>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</si>
  <si>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</si>
  <si>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</si>
  <si>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</si>
  <si>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</si>
  <si>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</si>
  <si>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</si>
  <si>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</si>
  <si>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</si>
  <si>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</si>
  <si>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</si>
  <si>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</si>
  <si>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</si>
  <si>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</si>
  <si>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</si>
  <si>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</si>
  <si>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</si>
  <si>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</si>
  <si>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</si>
  <si>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</si>
  <si>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</si>
  <si>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</si>
  <si>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</si>
  <si>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</si>
  <si>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</si>
  <si>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</si>
  <si>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</si>
  <si>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</si>
  <si>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</si>
  <si>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</si>
  <si>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</si>
  <si>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</si>
  <si>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</si>
  <si>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</si>
  <si>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</si>
  <si>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</si>
  <si>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</si>
  <si>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</si>
  <si>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</si>
  <si>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</si>
  <si>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</si>
  <si>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</si>
  <si>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</si>
  <si>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</si>
  <si>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</si>
  <si>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</si>
  <si>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</si>
  <si>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</si>
  <si>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</si>
  <si>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</si>
  <si>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</si>
  <si>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</si>
  <si>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</si>
  <si>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</si>
  <si>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</si>
  <si>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</si>
  <si>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</si>
  <si>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</si>
  <si>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</si>
  <si>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</si>
  <si>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</si>
  <si>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</si>
  <si>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</si>
  <si>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</si>
  <si>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</si>
  <si>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</si>
  <si>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</si>
  <si>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</si>
  <si>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</si>
  <si>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</si>
  <si>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</si>
  <si>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</si>
  <si>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</si>
  <si>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</si>
  <si>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</si>
  <si>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</si>
  <si>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</si>
  <si>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</si>
  <si>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</si>
  <si>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</si>
  <si>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</si>
  <si>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</si>
  <si>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</si>
  <si>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</si>
  <si>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</si>
  <si>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</si>
  <si>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</si>
  <si>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</si>
  <si>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</si>
  <si>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</si>
  <si>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</si>
  <si>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</si>
  <si>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</si>
  <si>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</si>
  <si>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</si>
  <si>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</si>
  <si>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</si>
  <si>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</si>
  <si>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</si>
  <si>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</si>
  <si>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</si>
  <si>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</si>
  <si>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</si>
  <si>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</si>
  <si>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</si>
  <si>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</si>
  <si>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</si>
  <si>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</si>
  <si>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</si>
  <si>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</si>
  <si>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</si>
  <si>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</si>
  <si>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</si>
  <si>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</si>
  <si>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</si>
  <si>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</si>
  <si>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</si>
  <si>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</si>
  <si>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</si>
  <si>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</si>
  <si>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</si>
  <si>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</si>
  <si>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</si>
  <si>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</si>
  <si>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</si>
  <si>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</si>
  <si>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</si>
  <si>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</si>
  <si>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</si>
  <si>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</si>
  <si>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</si>
  <si>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</si>
  <si>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</si>
  <si>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</si>
  <si>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</si>
  <si>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</si>
  <si>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</si>
  <si>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</si>
  <si>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</si>
  <si>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</si>
  <si>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</si>
  <si>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</si>
  <si>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</si>
  <si>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</si>
  <si>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</si>
  <si>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</si>
  <si>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</si>
  <si>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</si>
  <si>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</si>
  <si>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</si>
  <si>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</si>
  <si>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</si>
  <si>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</si>
  <si>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</si>
  <si>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</si>
  <si>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</si>
  <si>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</si>
  <si>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</si>
  <si>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</si>
  <si>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</si>
  <si>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</si>
  <si>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</si>
  <si>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</si>
  <si>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</si>
  <si>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</si>
  <si>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</si>
  <si>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</si>
  <si>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</si>
  <si>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</si>
  <si>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</si>
  <si>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</si>
  <si>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</si>
  <si>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</si>
  <si>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</si>
  <si>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</si>
  <si>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</si>
  <si>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</si>
  <si>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</si>
  <si>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</si>
  <si>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</si>
  <si>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</si>
  <si>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</si>
  <si>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</si>
  <si>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</si>
  <si>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</si>
  <si>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</si>
  <si>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</si>
  <si>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</si>
  <si>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</si>
  <si>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</si>
  <si>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</si>
  <si>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</si>
  <si>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</si>
  <si>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</si>
  <si>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</si>
  <si>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</si>
  <si>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</si>
  <si>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</si>
  <si>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</si>
  <si>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</si>
  <si>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</si>
  <si>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</si>
  <si>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</si>
  <si>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</si>
  <si>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</si>
  <si>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</si>
  <si>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</si>
  <si>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</si>
  <si>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</si>
  <si>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</si>
  <si>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</si>
  <si>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</si>
  <si>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</si>
  <si>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</si>
  <si>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</si>
  <si>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</si>
  <si>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</si>
  <si>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</si>
  <si>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</si>
  <si>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</si>
  <si>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</si>
  <si>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</si>
  <si>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</si>
  <si>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</si>
  <si>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</si>
  <si>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</si>
  <si>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</si>
  <si>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</si>
  <si>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</si>
  <si>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</si>
  <si>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</si>
  <si>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</si>
  <si>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</si>
  <si>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</si>
  <si>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</si>
  <si>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</si>
  <si>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</si>
  <si>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</si>
  <si>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</si>
  <si>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</si>
  <si>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</si>
  <si>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</si>
  <si>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</si>
  <si>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</si>
  <si>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</si>
  <si>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</si>
  <si>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</si>
  <si>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</si>
  <si>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</si>
  <si>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</si>
  <si>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</si>
  <si>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</si>
  <si>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</si>
  <si>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</si>
  <si>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</si>
  <si>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</si>
  <si>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</si>
  <si>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</si>
  <si>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</si>
  <si>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</si>
  <si>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</si>
  <si>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</si>
  <si>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</si>
  <si>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</si>
  <si>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</si>
  <si>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</si>
  <si>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</si>
  <si>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</si>
  <si>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</si>
  <si>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</si>
  <si>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</si>
  <si>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</si>
  <si>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</si>
  <si>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</si>
  <si>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</si>
  <si>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</si>
  <si>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</si>
  <si>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</si>
  <si>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</si>
  <si>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</si>
  <si>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</si>
  <si>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</si>
  <si>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</si>
  <si>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</si>
  <si>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</si>
  <si>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</si>
  <si>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</si>
  <si>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</si>
  <si>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</si>
  <si>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</si>
  <si>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</si>
  <si>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</si>
  <si>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</si>
  <si>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</si>
  <si>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</si>
  <si>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</si>
  <si>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</si>
  <si>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</si>
  <si>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</si>
  <si>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</si>
  <si>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</si>
  <si>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</si>
  <si>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</si>
  <si>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</si>
  <si>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</si>
  <si>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</si>
  <si>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</si>
  <si>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</si>
  <si>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</si>
  <si>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</si>
  <si>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</si>
  <si>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</si>
  <si>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</si>
  <si>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</si>
  <si>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</si>
  <si>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</si>
  <si>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</si>
  <si>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</si>
  <si>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</si>
  <si>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</si>
  <si>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</si>
  <si>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</si>
  <si>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</si>
  <si>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</si>
  <si>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</si>
  <si>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</si>
  <si>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</si>
  <si>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</si>
  <si>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</si>
  <si>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</si>
  <si>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</si>
  <si>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</si>
  <si>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</si>
  <si>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</si>
  <si>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</si>
  <si>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</si>
  <si>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</si>
  <si>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</si>
  <si>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</si>
  <si>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</si>
  <si>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</si>
  <si>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</si>
  <si>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</si>
  <si>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</si>
  <si>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</si>
  <si>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</si>
  <si>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</si>
  <si>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</si>
  <si>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</si>
  <si>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</si>
  <si>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</si>
  <si>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</si>
  <si>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</si>
  <si>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</si>
  <si>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</si>
  <si>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</si>
  <si>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</si>
  <si>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</si>
  <si>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</si>
  <si>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</si>
  <si>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</si>
  <si>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</si>
  <si>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</si>
  <si>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</si>
  <si>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</si>
  <si>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</si>
  <si>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</si>
  <si>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</si>
  <si>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</si>
  <si>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</si>
  <si>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</si>
  <si>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</si>
  <si>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</si>
  <si>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</si>
  <si>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</si>
  <si>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</si>
  <si>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</si>
  <si>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</si>
  <si>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</si>
  <si>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</si>
  <si>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</si>
  <si>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</si>
  <si>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</si>
  <si>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</si>
  <si>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</si>
  <si>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</si>
  <si>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</si>
  <si>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</si>
  <si>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</si>
  <si>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</si>
  <si>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</si>
  <si>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</si>
  <si>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</si>
  <si>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</si>
  <si>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</si>
  <si>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</si>
  <si>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</si>
  <si>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</si>
  <si>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</si>
  <si>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</si>
  <si>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</si>
  <si>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</si>
  <si>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</si>
  <si>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</si>
  <si>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</si>
  <si>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</si>
  <si>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</si>
  <si>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</si>
  <si>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</si>
  <si>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</si>
  <si>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</si>
  <si>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</si>
  <si>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</si>
  <si>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</si>
  <si>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</si>
  <si>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</si>
  <si>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</si>
  <si>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</si>
  <si>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</si>
  <si>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</si>
  <si>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</si>
  <si>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</si>
  <si>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</si>
  <si>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</si>
  <si>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</si>
  <si>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</si>
  <si>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</si>
  <si>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</si>
  <si>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</si>
  <si>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</si>
  <si>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</si>
  <si>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</si>
  <si>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</si>
  <si>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</si>
  <si>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</si>
  <si>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</si>
  <si>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</si>
  <si>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</si>
  <si>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</si>
  <si>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</si>
  <si>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</si>
  <si>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</si>
  <si>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</si>
  <si>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</si>
  <si>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</si>
  <si>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</si>
  <si>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</si>
  <si>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</si>
  <si>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</si>
  <si>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</si>
  <si>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</si>
  <si>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</si>
  <si>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</si>
  <si>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</si>
  <si>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</si>
  <si>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</si>
  <si>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</si>
  <si>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</si>
  <si>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</si>
  <si>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</si>
  <si>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</si>
  <si>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</si>
  <si>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</si>
  <si>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</si>
  <si>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</si>
  <si>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</si>
  <si>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</si>
  <si>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</si>
  <si>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</si>
  <si>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</si>
  <si>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</si>
  <si>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</si>
  <si>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</si>
  <si>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</si>
  <si>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</si>
  <si>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</si>
  <si>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</si>
  <si>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</si>
  <si>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</si>
  <si>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</si>
  <si>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</si>
  <si>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</si>
  <si>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</si>
  <si>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</si>
  <si>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</si>
  <si>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</si>
  <si>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</si>
  <si>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</si>
  <si>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</si>
  <si>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</si>
  <si>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</si>
  <si>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</si>
  <si>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</si>
  <si>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</si>
  <si>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</si>
  <si>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</si>
  <si>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</si>
  <si>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</si>
  <si>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</si>
  <si>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</si>
  <si>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</si>
  <si>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</si>
  <si>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</si>
  <si>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</si>
  <si>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</si>
  <si>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</si>
  <si>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</si>
  <si>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</si>
  <si>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</si>
  <si>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</si>
  <si>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</si>
  <si>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</si>
  <si>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</si>
  <si>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</si>
  <si>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</si>
  <si>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</si>
  <si>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</si>
  <si>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</si>
  <si>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</si>
  <si>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</si>
  <si>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</si>
  <si>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</si>
  <si>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</si>
  <si>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</si>
  <si>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</si>
  <si>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</si>
  <si>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</si>
  <si>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</si>
  <si>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</si>
  <si>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</si>
  <si>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</si>
  <si>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</si>
  <si>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</si>
  <si>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</si>
  <si>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</si>
  <si>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</si>
  <si>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</si>
  <si>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</si>
  <si>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</si>
  <si>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</si>
  <si>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</si>
  <si>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</si>
  <si>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</si>
  <si>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</si>
  <si>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</si>
  <si>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</si>
  <si>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</si>
  <si>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</si>
  <si>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</si>
  <si>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</si>
  <si>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</si>
  <si>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</si>
  <si>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</si>
  <si>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</si>
  <si>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</si>
  <si>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</si>
  <si>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</si>
  <si>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</si>
  <si>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</si>
  <si>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</si>
  <si>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</si>
  <si>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</si>
  <si>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</si>
  <si>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</si>
  <si>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</si>
  <si>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</si>
  <si>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</si>
  <si>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</si>
  <si>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</si>
  <si>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</si>
  <si>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</si>
  <si>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</si>
  <si>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</si>
  <si>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</si>
  <si>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</si>
  <si>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</si>
  <si>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</si>
  <si>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</si>
  <si>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</si>
  <si>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</si>
  <si>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</si>
  <si>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</si>
  <si>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</si>
  <si>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</si>
  <si>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</si>
  <si>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</si>
  <si>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</si>
  <si>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</si>
  <si>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</si>
  <si>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</si>
  <si>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</si>
  <si>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</si>
  <si>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</si>
  <si>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</si>
  <si>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</si>
  <si>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</si>
  <si>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</si>
  <si>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</si>
  <si>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</si>
  <si>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</si>
  <si>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</si>
  <si>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</si>
  <si>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</si>
  <si>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</si>
  <si>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</si>
  <si>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</si>
  <si>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</si>
  <si>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</si>
  <si>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</si>
  <si>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</si>
  <si>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</si>
  <si>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</si>
  <si>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</si>
  <si>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</si>
  <si>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</si>
  <si>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</si>
  <si>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</si>
  <si>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</si>
  <si>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</si>
  <si>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</si>
  <si>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</si>
  <si>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</si>
  <si>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</si>
  <si>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</si>
  <si>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</si>
  <si>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</si>
  <si>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</si>
  <si>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</si>
  <si>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</si>
  <si>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</si>
  <si>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</si>
  <si>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</si>
  <si>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</si>
  <si>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</si>
  <si>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</si>
  <si>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</si>
  <si>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</si>
  <si>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</si>
  <si>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</si>
  <si>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</si>
  <si>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</si>
  <si>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</si>
  <si>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</si>
  <si>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</si>
  <si>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</si>
  <si>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</si>
  <si>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</si>
  <si>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</si>
  <si>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</si>
  <si>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</si>
  <si>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</si>
  <si>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</si>
  <si>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</si>
  <si>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</si>
  <si>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</si>
  <si>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</si>
  <si>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</si>
  <si>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</si>
  <si>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</si>
  <si>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</si>
  <si>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</si>
  <si>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</si>
  <si>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</si>
  <si>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</si>
  <si>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</si>
  <si>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</si>
  <si>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</si>
  <si>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</si>
  <si>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</si>
  <si>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</si>
  <si>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</si>
  <si>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</si>
  <si>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</si>
  <si>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</si>
  <si>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</si>
  <si>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</si>
  <si>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</si>
  <si>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</si>
  <si>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</si>
  <si>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</si>
  <si>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</si>
  <si>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</si>
  <si>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</si>
  <si>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</si>
  <si>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</si>
  <si>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</si>
  <si>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</si>
  <si>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</si>
  <si>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</si>
  <si>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</si>
  <si>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</si>
  <si>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</si>
  <si>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</si>
  <si>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</si>
  <si>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</si>
  <si>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</si>
  <si>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</si>
  <si>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</si>
  <si>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</si>
  <si>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</si>
  <si>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</si>
  <si>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</si>
  <si>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</si>
  <si>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</si>
  <si>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</si>
  <si>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</si>
  <si>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</si>
  <si>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</si>
  <si>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</si>
  <si>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</si>
  <si>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</si>
  <si>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</si>
  <si>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</si>
  <si>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</si>
  <si>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</si>
  <si>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</si>
  <si>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</si>
  <si>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</si>
  <si>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</si>
  <si>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</si>
  <si>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</si>
  <si>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</si>
  <si>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</si>
  <si>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</si>
  <si>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</si>
  <si>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</si>
  <si>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</si>
  <si>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</si>
  <si>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</si>
  <si>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</si>
  <si>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</si>
  <si>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</si>
  <si>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</si>
  <si>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</si>
  <si>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</si>
  <si>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</si>
  <si>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</si>
  <si>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</si>
  <si>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</si>
  <si>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</si>
  <si>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</si>
  <si>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</si>
  <si>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</si>
  <si>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</si>
  <si>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</si>
  <si>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</si>
  <si>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</si>
  <si>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</si>
  <si>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</si>
  <si>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</si>
  <si>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</si>
  <si>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</si>
  <si>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</si>
  <si>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</si>
  <si>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</si>
  <si>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</si>
  <si>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</si>
  <si>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</si>
  <si>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</si>
  <si>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</si>
  <si>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</si>
  <si>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</si>
  <si>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</si>
  <si>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</si>
  <si>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</si>
  <si>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</si>
  <si>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</si>
  <si>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</si>
  <si>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</si>
  <si>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</si>
  <si>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</si>
  <si>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</si>
  <si>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</si>
  <si>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</si>
  <si>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</si>
  <si>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</si>
  <si>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</si>
  <si>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</si>
  <si>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</si>
  <si>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</si>
  <si>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</si>
  <si>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</si>
  <si>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</si>
  <si>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</si>
  <si>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</si>
  <si>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</si>
  <si>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</si>
  <si>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</si>
  <si>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</si>
  <si>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</si>
  <si>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</si>
  <si>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</si>
  <si>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</si>
  <si>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</si>
  <si>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</si>
  <si>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</si>
  <si>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</si>
  <si>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</si>
  <si>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</si>
  <si>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</si>
  <si>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</si>
  <si>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</si>
  <si>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</si>
  <si>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</si>
  <si>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</si>
  <si>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</si>
  <si>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</si>
  <si>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</si>
  <si>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</si>
  <si>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</si>
  <si>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</si>
  <si>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</si>
  <si>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</si>
  <si>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</si>
  <si>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</si>
  <si>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</si>
  <si>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</si>
  <si>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</si>
  <si>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</si>
  <si>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</si>
  <si>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</si>
  <si>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</si>
  <si>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</si>
  <si>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</si>
  <si>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</si>
  <si>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</si>
  <si>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</si>
  <si>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</si>
  <si>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</si>
  <si>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</si>
  <si>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</si>
  <si>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</si>
  <si>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</si>
  <si>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</si>
  <si>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</si>
  <si>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</si>
  <si>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</si>
  <si>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</si>
  <si>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</si>
  <si>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</si>
  <si>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</si>
  <si>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</si>
  <si>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</si>
  <si>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</si>
  <si>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</si>
  <si>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</si>
  <si>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</si>
  <si>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</si>
  <si>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</si>
  <si>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</si>
  <si>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</si>
  <si>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</si>
  <si>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</si>
  <si>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</si>
  <si>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</si>
  <si>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</si>
  <si>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</si>
  <si>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</si>
  <si>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</si>
  <si>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</si>
  <si>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</si>
  <si>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</si>
  <si>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</si>
  <si>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</si>
  <si>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</si>
  <si>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</si>
  <si>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</si>
  <si>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</si>
  <si>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</si>
  <si>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</si>
  <si>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</si>
  <si>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</si>
  <si>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</si>
  <si>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C</t>
  </si>
  <si>
    <t>KJLTVL111250</t>
  </si>
  <si>
    <t xml:space="preserve"> </t>
  </si>
  <si>
    <t>5qa802035b_007_gps0001_L</t>
  </si>
  <si>
    <t>5qa802035b_007_gps0004_L</t>
  </si>
  <si>
    <t>5qa802035b_007_gps0006_L</t>
  </si>
  <si>
    <t>5qa802035b_029_adps0004_L</t>
  </si>
  <si>
    <t>5qa802035b_029_adps0006_L</t>
  </si>
  <si>
    <t>5qa802035b_013_nps0009_L</t>
  </si>
  <si>
    <t>5qa802035b_047_awps0001_L</t>
  </si>
  <si>
    <t>66-59D389109</t>
  </si>
  <si>
    <t/>
  </si>
  <si>
    <t>39D 1978-2</t>
  </si>
  <si>
    <t>Verschoben 
(Äko VZF2621)</t>
  </si>
  <si>
    <t>5Q0.810.063</t>
  </si>
  <si>
    <t>5QA.804.429</t>
  </si>
  <si>
    <t>5QA.804.507</t>
  </si>
  <si>
    <t>KJLTVL111250R01</t>
  </si>
  <si>
    <t>5QA.803.105</t>
  </si>
  <si>
    <t>5QA.803.209</t>
  </si>
  <si>
    <t>HX420LAD + Z100-M-B</t>
  </si>
  <si>
    <t>Änderungsindex :</t>
  </si>
  <si>
    <t>no. of drawings:</t>
  </si>
  <si>
    <t>drawing no.:</t>
  </si>
  <si>
    <t>drawn:</t>
  </si>
  <si>
    <t>seen:</t>
  </si>
  <si>
    <t>comp.</t>
  </si>
  <si>
    <t>GME</t>
  </si>
  <si>
    <t>CR440Y780T-DP GI40/40-U-O</t>
  </si>
  <si>
    <t>TL4225+AS150</t>
  </si>
  <si>
    <t>HX300LAD+Z100MB</t>
  </si>
  <si>
    <t>HX420LAD+Z100MB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</si>
</sst>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1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19" xfId="0"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6" fillId="0" borderId="18" xfId="0" applyFont="1" applyBorder="1" applyAlignment="1">
      <alignment horizontal="center" vertical="center"/>
    </xf>
    <xf numFmtId="230" fontId="21" fillId="0" borderId="18" xfId="0" applyNumberFormat="1" applyFont="1" applyBorder="1" applyAlignment="1">
      <alignment horizontal="center" vertical="center" shrinkToFit="1"/>
    </xf>
    <xf numFmtId="230" fontId="11" fillId="0" borderId="18" xfId="0" applyNumberFormat="1" applyFont="1" applyBorder="1" applyAlignment="1">
      <alignment horizontal="center" vertical="center"/>
    </xf>
    <xf numFmtId="0" fontId="8" fillId="0" borderId="18" xfId="0" applyFont="1" applyBorder="1" applyAlignment="1">
      <alignment horizontal="left"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0220000}"/>
    <cellStyle name="Moneda_!!!GO" xfId="8981" xr:uid="{00000000-0005-0000-0000-0000E1220000}"/>
    <cellStyle name="Monétaire [0]_!!!GO" xfId="8982" xr:uid="{00000000-0005-0000-0000-0000E2220000}"/>
    <cellStyle name="Monétaire_!!!GO" xfId="8983" xr:uid="{00000000-0005-0000-0000-0000E3220000}"/>
    <cellStyle name="Neutral 2" xfId="451" xr:uid="{00000000-0005-0000-0000-0000E5220000}"/>
    <cellStyle name="Neutral 2 2" xfId="452" xr:uid="{00000000-0005-0000-0000-0000E6220000}"/>
    <cellStyle name="Neutral 2 3" xfId="453" xr:uid="{00000000-0005-0000-0000-0000E7220000}"/>
    <cellStyle name="Neutral 3" xfId="454" xr:uid="{00000000-0005-0000-0000-0000E8220000}"/>
    <cellStyle name="Neutral 3 2" xfId="8984" xr:uid="{00000000-0005-0000-0000-0000E9220000}"/>
    <cellStyle name="Neutral 3 3" xfId="8985" xr:uid="{00000000-0005-0000-0000-0000EA220000}"/>
    <cellStyle name="Neutral 3 4" xfId="8986" xr:uid="{00000000-0005-0000-0000-0000EB220000}"/>
    <cellStyle name="Neutral 3 5" xfId="33414" xr:uid="{00000000-0005-0000-0000-0000EC220000}"/>
    <cellStyle name="Neutral 3_Spotweld Crossreference Master" xfId="8987" xr:uid="{00000000-0005-0000-0000-0000ED220000}"/>
    <cellStyle name="Neutral 4" xfId="8988" xr:uid="{00000000-0005-0000-0000-0000EE220000}"/>
    <cellStyle name="Neutral 4 2" xfId="8989" xr:uid="{00000000-0005-0000-0000-0000EF220000}"/>
    <cellStyle name="Neutral 4 3" xfId="33415" xr:uid="{00000000-0005-0000-0000-0000F0220000}"/>
    <cellStyle name="Neutral 5" xfId="8990" xr:uid="{00000000-0005-0000-0000-0000F1220000}"/>
    <cellStyle name="Neutral 6" xfId="8991" xr:uid="{00000000-0005-0000-0000-0000F2220000}"/>
    <cellStyle name="Neutral 7" xfId="8992" xr:uid="{00000000-0005-0000-0000-0000F3220000}"/>
    <cellStyle name="Neutral 8" xfId="8993" xr:uid="{00000000-0005-0000-0000-0000F4220000}"/>
    <cellStyle name="Neutro" xfId="23" builtinId="28" customBuiltin="1"/>
    <cellStyle name="no dec" xfId="8994" xr:uid="{00000000-0005-0000-0000-0000F5220000}"/>
    <cellStyle name="Normal" xfId="0" builtinId="0"/>
    <cellStyle name="Normal - Style1" xfId="8995" xr:uid="{00000000-0005-0000-0000-0000F7220000}"/>
    <cellStyle name="Normal - Style1 2" xfId="8996" xr:uid="{00000000-0005-0000-0000-0000F8220000}"/>
    <cellStyle name="Normal 10" xfId="8997" xr:uid="{00000000-0005-0000-0000-0000F9220000}"/>
    <cellStyle name="Normal 10 2" xfId="8998" xr:uid="{00000000-0005-0000-0000-0000FA220000}"/>
    <cellStyle name="Normal 10 3" xfId="8999" xr:uid="{00000000-0005-0000-0000-0000FB220000}"/>
    <cellStyle name="Normal 10 4" xfId="9000" xr:uid="{00000000-0005-0000-0000-0000FC220000}"/>
    <cellStyle name="Normal 10 5" xfId="9001" xr:uid="{00000000-0005-0000-0000-0000FD220000}"/>
    <cellStyle name="Normal 10_Spotweld Crossreference Master" xfId="9002" xr:uid="{00000000-0005-0000-0000-0000FE220000}"/>
    <cellStyle name="Normal 11" xfId="9003" xr:uid="{00000000-0005-0000-0000-0000FF220000}"/>
    <cellStyle name="Normal 11 2" xfId="9004" xr:uid="{00000000-0005-0000-0000-000000230000}"/>
    <cellStyle name="Normal 11 3" xfId="9005" xr:uid="{00000000-0005-0000-0000-000001230000}"/>
    <cellStyle name="Normal 11 4" xfId="9006" xr:uid="{00000000-0005-0000-0000-000002230000}"/>
    <cellStyle name="Normal 11 5" xfId="9007" xr:uid="{00000000-0005-0000-0000-000003230000}"/>
    <cellStyle name="Normal 11_Spotweld Crossreference Master" xfId="9008" xr:uid="{00000000-0005-0000-0000-000004230000}"/>
    <cellStyle name="Normal 12" xfId="9009" xr:uid="{00000000-0005-0000-0000-000005230000}"/>
    <cellStyle name="Normal 12 2" xfId="9010" xr:uid="{00000000-0005-0000-0000-000006230000}"/>
    <cellStyle name="Normal 12 3" xfId="9011" xr:uid="{00000000-0005-0000-0000-000007230000}"/>
    <cellStyle name="Normal 12 4" xfId="9012" xr:uid="{00000000-0005-0000-0000-000008230000}"/>
    <cellStyle name="Normal 12 5" xfId="9013" xr:uid="{00000000-0005-0000-0000-000009230000}"/>
    <cellStyle name="Normal 12_Spotweld Crossreference Master" xfId="9014" xr:uid="{00000000-0005-0000-0000-00000A230000}"/>
    <cellStyle name="Normal 13" xfId="9015" xr:uid="{00000000-0005-0000-0000-00000B230000}"/>
    <cellStyle name="Normal 13 2" xfId="9016" xr:uid="{00000000-0005-0000-0000-00000C230000}"/>
    <cellStyle name="Normal 13 3" xfId="9017" xr:uid="{00000000-0005-0000-0000-00000D230000}"/>
    <cellStyle name="Normal 13 4" xfId="9018" xr:uid="{00000000-0005-0000-0000-00000E230000}"/>
    <cellStyle name="Normal 13 5" xfId="9019" xr:uid="{00000000-0005-0000-0000-00000F230000}"/>
    <cellStyle name="Normal 13_Spotweld Crossreference Master" xfId="9020" xr:uid="{00000000-0005-0000-0000-000010230000}"/>
    <cellStyle name="Normal 14" xfId="9021" xr:uid="{00000000-0005-0000-0000-000011230000}"/>
    <cellStyle name="Normal 14 2" xfId="9022" xr:uid="{00000000-0005-0000-0000-000012230000}"/>
    <cellStyle name="Normal 14 3" xfId="9023" xr:uid="{00000000-0005-0000-0000-000013230000}"/>
    <cellStyle name="Normal 14 4" xfId="9024" xr:uid="{00000000-0005-0000-0000-000014230000}"/>
    <cellStyle name="Normal 14 5" xfId="9025" xr:uid="{00000000-0005-0000-0000-000015230000}"/>
    <cellStyle name="Normal 14_Spotweld Crossreference Master" xfId="9026" xr:uid="{00000000-0005-0000-0000-000016230000}"/>
    <cellStyle name="Normal 15" xfId="9027" xr:uid="{00000000-0005-0000-0000-000017230000}"/>
    <cellStyle name="Normal 15 2" xfId="9028" xr:uid="{00000000-0005-0000-0000-000018230000}"/>
    <cellStyle name="Normal 15 3" xfId="9029" xr:uid="{00000000-0005-0000-0000-000019230000}"/>
    <cellStyle name="Normal 15 4" xfId="9030" xr:uid="{00000000-0005-0000-0000-00001A230000}"/>
    <cellStyle name="Normal 15 5" xfId="9031" xr:uid="{00000000-0005-0000-0000-00001B230000}"/>
    <cellStyle name="Normal 15_Spotweld Crossreference Master" xfId="9032" xr:uid="{00000000-0005-0000-0000-00001C230000}"/>
    <cellStyle name="Normal 16" xfId="9033" xr:uid="{00000000-0005-0000-0000-00001D230000}"/>
    <cellStyle name="Normal 16 2" xfId="9034" xr:uid="{00000000-0005-0000-0000-00001E230000}"/>
    <cellStyle name="Normal 16 3" xfId="9035" xr:uid="{00000000-0005-0000-0000-00001F230000}"/>
    <cellStyle name="Normal 16 4" xfId="9036" xr:uid="{00000000-0005-0000-0000-000020230000}"/>
    <cellStyle name="Normal 16 5" xfId="9037" xr:uid="{00000000-0005-0000-0000-000021230000}"/>
    <cellStyle name="Normal 16_Spotweld Crossreference Master" xfId="9038" xr:uid="{00000000-0005-0000-0000-000022230000}"/>
    <cellStyle name="Normal 17" xfId="9039" xr:uid="{00000000-0005-0000-0000-000023230000}"/>
    <cellStyle name="Normal 17 2" xfId="9040" xr:uid="{00000000-0005-0000-0000-000024230000}"/>
    <cellStyle name="Normal 17 3" xfId="9041" xr:uid="{00000000-0005-0000-0000-000025230000}"/>
    <cellStyle name="Normal 17 4" xfId="9042" xr:uid="{00000000-0005-0000-0000-000026230000}"/>
    <cellStyle name="Normal 17 5" xfId="9043" xr:uid="{00000000-0005-0000-0000-000027230000}"/>
    <cellStyle name="Normal 17_Spotweld Crossreference Master" xfId="9044" xr:uid="{00000000-0005-0000-0000-000028230000}"/>
    <cellStyle name="Normal 18" xfId="9045" xr:uid="{00000000-0005-0000-0000-000029230000}"/>
    <cellStyle name="Normal 18 2" xfId="9046" xr:uid="{00000000-0005-0000-0000-00002A230000}"/>
    <cellStyle name="Normal 18 3" xfId="9047" xr:uid="{00000000-0005-0000-0000-00002B230000}"/>
    <cellStyle name="Normal 18 4" xfId="9048" xr:uid="{00000000-0005-0000-0000-00002C230000}"/>
    <cellStyle name="Normal 18 5" xfId="9049" xr:uid="{00000000-0005-0000-0000-00002D230000}"/>
    <cellStyle name="Normal 18_Spotweld Crossreference Master" xfId="9050" xr:uid="{00000000-0005-0000-0000-00002E230000}"/>
    <cellStyle name="Normal 19" xfId="9051" xr:uid="{00000000-0005-0000-0000-00002F230000}"/>
    <cellStyle name="Normal 19 2" xfId="9052" xr:uid="{00000000-0005-0000-0000-000030230000}"/>
    <cellStyle name="Normal 19 3" xfId="9053" xr:uid="{00000000-0005-0000-0000-000031230000}"/>
    <cellStyle name="Normal 19 4" xfId="9054" xr:uid="{00000000-0005-0000-0000-000032230000}"/>
    <cellStyle name="Normal 19 5" xfId="9055" xr:uid="{00000000-0005-0000-0000-000033230000}"/>
    <cellStyle name="Normal 19_Spotweld Crossreference Master" xfId="9056" xr:uid="{00000000-0005-0000-0000-000034230000}"/>
    <cellStyle name="Normal 2" xfId="455" xr:uid="{00000000-0005-0000-0000-000035230000}"/>
    <cellStyle name="Normal 2 2" xfId="9057" xr:uid="{00000000-0005-0000-0000-000036230000}"/>
    <cellStyle name="Normal 2 2 2" xfId="9058" xr:uid="{00000000-0005-0000-0000-000037230000}"/>
    <cellStyle name="Normal 2 2 2 2" xfId="9059" xr:uid="{00000000-0005-0000-0000-000038230000}"/>
    <cellStyle name="Normal 2 2 3" xfId="9060" xr:uid="{00000000-0005-0000-0000-000039230000}"/>
    <cellStyle name="Normal 2 2 3 2" xfId="9061" xr:uid="{00000000-0005-0000-0000-00003A230000}"/>
    <cellStyle name="Normal 2 2 4" xfId="9062" xr:uid="{00000000-0005-0000-0000-00003B230000}"/>
    <cellStyle name="Normal 2 2 4 2" xfId="9063" xr:uid="{00000000-0005-0000-0000-00003C230000}"/>
    <cellStyle name="Normal 2 2 5" xfId="9064" xr:uid="{00000000-0005-0000-0000-00003D230000}"/>
    <cellStyle name="Normal 2 2 6" xfId="9065" xr:uid="{00000000-0005-0000-0000-00003E230000}"/>
    <cellStyle name="Normal 2 3" xfId="9066" xr:uid="{00000000-0005-0000-0000-00003F230000}"/>
    <cellStyle name="Normal 2 3 2" xfId="9067" xr:uid="{00000000-0005-0000-0000-000040230000}"/>
    <cellStyle name="Normal 2 3 3" xfId="9068" xr:uid="{00000000-0005-0000-0000-000041230000}"/>
    <cellStyle name="Normal 2 4" xfId="9069" xr:uid="{00000000-0005-0000-0000-000042230000}"/>
    <cellStyle name="Normal 2 4 2" xfId="9070" xr:uid="{00000000-0005-0000-0000-000043230000}"/>
    <cellStyle name="Normal 2 4 3" xfId="9071" xr:uid="{00000000-0005-0000-0000-000044230000}"/>
    <cellStyle name="Normal 2 5" xfId="9072" xr:uid="{00000000-0005-0000-0000-000045230000}"/>
    <cellStyle name="Normal 2 5 2" xfId="9073" xr:uid="{00000000-0005-0000-0000-000046230000}"/>
    <cellStyle name="Normal 2 5 3" xfId="9074" xr:uid="{00000000-0005-0000-0000-000047230000}"/>
    <cellStyle name="Normal 2 6" xfId="9075" xr:uid="{00000000-0005-0000-0000-000048230000}"/>
    <cellStyle name="Normal 2 6 2" xfId="9076" xr:uid="{00000000-0005-0000-0000-000049230000}"/>
    <cellStyle name="Normal 2 7" xfId="9077" xr:uid="{00000000-0005-0000-0000-00004A230000}"/>
    <cellStyle name="Normal 2 8" xfId="9078" xr:uid="{00000000-0005-0000-0000-00004B230000}"/>
    <cellStyle name="Normal 2_Spotweld Crossreference Master" xfId="9079" xr:uid="{00000000-0005-0000-0000-00004C230000}"/>
    <cellStyle name="Normal 20" xfId="9080" xr:uid="{00000000-0005-0000-0000-00004D230000}"/>
    <cellStyle name="Normal 20 2" xfId="9081" xr:uid="{00000000-0005-0000-0000-00004E230000}"/>
    <cellStyle name="Normal 20 3" xfId="9082" xr:uid="{00000000-0005-0000-0000-00004F230000}"/>
    <cellStyle name="Normal 20 4" xfId="9083" xr:uid="{00000000-0005-0000-0000-000050230000}"/>
    <cellStyle name="Normal 20 5" xfId="9084" xr:uid="{00000000-0005-0000-0000-000051230000}"/>
    <cellStyle name="Normal 20_Spotweld Crossreference Master" xfId="9085" xr:uid="{00000000-0005-0000-0000-000052230000}"/>
    <cellStyle name="Normal 21" xfId="9086" xr:uid="{00000000-0005-0000-0000-000053230000}"/>
    <cellStyle name="Normal 21 2" xfId="9087" xr:uid="{00000000-0005-0000-0000-000054230000}"/>
    <cellStyle name="Normal 21 3" xfId="9088" xr:uid="{00000000-0005-0000-0000-000055230000}"/>
    <cellStyle name="Normal 21 4" xfId="9089" xr:uid="{00000000-0005-0000-0000-000056230000}"/>
    <cellStyle name="Normal 21 5" xfId="9090" xr:uid="{00000000-0005-0000-0000-000057230000}"/>
    <cellStyle name="Normal 21_Spotweld Crossreference Master" xfId="9091" xr:uid="{00000000-0005-0000-0000-000058230000}"/>
    <cellStyle name="Normal 22" xfId="9092" xr:uid="{00000000-0005-0000-0000-000059230000}"/>
    <cellStyle name="Normal 22 2" xfId="9093" xr:uid="{00000000-0005-0000-0000-00005A230000}"/>
    <cellStyle name="Normal 22 3" xfId="9094" xr:uid="{00000000-0005-0000-0000-00005B230000}"/>
    <cellStyle name="Normal 22 4" xfId="9095" xr:uid="{00000000-0005-0000-0000-00005C230000}"/>
    <cellStyle name="Normal 22_Spotweld Crossreference Master" xfId="9096" xr:uid="{00000000-0005-0000-0000-00005D230000}"/>
    <cellStyle name="Normal 23" xfId="9097" xr:uid="{00000000-0005-0000-0000-00005E230000}"/>
    <cellStyle name="Normal 23 2" xfId="9098" xr:uid="{00000000-0005-0000-0000-00005F230000}"/>
    <cellStyle name="Normal 23 3" xfId="9099" xr:uid="{00000000-0005-0000-0000-000060230000}"/>
    <cellStyle name="Normal 23 4" xfId="9100" xr:uid="{00000000-0005-0000-0000-000061230000}"/>
    <cellStyle name="Normal 23_Spotweld Crossreference Master" xfId="9101" xr:uid="{00000000-0005-0000-0000-000062230000}"/>
    <cellStyle name="Normal 24" xfId="9102" xr:uid="{00000000-0005-0000-0000-000063230000}"/>
    <cellStyle name="Normal 24 2" xfId="9103" xr:uid="{00000000-0005-0000-0000-000064230000}"/>
    <cellStyle name="Normal 24 3" xfId="9104" xr:uid="{00000000-0005-0000-0000-000065230000}"/>
    <cellStyle name="Normal 24 4" xfId="9105" xr:uid="{00000000-0005-0000-0000-000066230000}"/>
    <cellStyle name="Normal 24_Spotweld Crossreference Master" xfId="9106" xr:uid="{00000000-0005-0000-0000-000067230000}"/>
    <cellStyle name="Normal 25" xfId="9107" xr:uid="{00000000-0005-0000-0000-000068230000}"/>
    <cellStyle name="Normal 25 2" xfId="9108" xr:uid="{00000000-0005-0000-0000-000069230000}"/>
    <cellStyle name="Normal 25 3" xfId="9109" xr:uid="{00000000-0005-0000-0000-00006A230000}"/>
    <cellStyle name="Normal 25 4" xfId="9110" xr:uid="{00000000-0005-0000-0000-00006B230000}"/>
    <cellStyle name="Normal 25_Spotweld Crossreference Master" xfId="9111" xr:uid="{00000000-0005-0000-0000-00006C230000}"/>
    <cellStyle name="Normal 26" xfId="9112" xr:uid="{00000000-0005-0000-0000-00006D230000}"/>
    <cellStyle name="Normal 26 2" xfId="9113" xr:uid="{00000000-0005-0000-0000-00006E230000}"/>
    <cellStyle name="Normal 26 3" xfId="9114" xr:uid="{00000000-0005-0000-0000-00006F230000}"/>
    <cellStyle name="Normal 26 4" xfId="9115" xr:uid="{00000000-0005-0000-0000-000070230000}"/>
    <cellStyle name="Normal 26_Spotweld Crossreference Master" xfId="9116" xr:uid="{00000000-0005-0000-0000-000071230000}"/>
    <cellStyle name="Normal 27" xfId="9117" xr:uid="{00000000-0005-0000-0000-000072230000}"/>
    <cellStyle name="Normal 27 2" xfId="9118" xr:uid="{00000000-0005-0000-0000-000073230000}"/>
    <cellStyle name="Normal 27 3" xfId="9119" xr:uid="{00000000-0005-0000-0000-000074230000}"/>
    <cellStyle name="Normal 27 4" xfId="9120" xr:uid="{00000000-0005-0000-0000-000075230000}"/>
    <cellStyle name="Normal 27_Spotweld Crossreference Master" xfId="9121" xr:uid="{00000000-0005-0000-0000-000076230000}"/>
    <cellStyle name="Normal 28" xfId="9122" xr:uid="{00000000-0005-0000-0000-000077230000}"/>
    <cellStyle name="Normal 28 2" xfId="9123" xr:uid="{00000000-0005-0000-0000-000078230000}"/>
    <cellStyle name="Normal 28 3" xfId="9124" xr:uid="{00000000-0005-0000-0000-000079230000}"/>
    <cellStyle name="Normal 28 4" xfId="9125" xr:uid="{00000000-0005-0000-0000-00007A230000}"/>
    <cellStyle name="Normal 28_Spotweld Crossreference Master" xfId="9126" xr:uid="{00000000-0005-0000-0000-00007B230000}"/>
    <cellStyle name="Normal 29" xfId="9127" xr:uid="{00000000-0005-0000-0000-00007C230000}"/>
    <cellStyle name="Normal 29 2" xfId="9128" xr:uid="{00000000-0005-0000-0000-00007D230000}"/>
    <cellStyle name="Normal 29 3" xfId="9129" xr:uid="{00000000-0005-0000-0000-00007E230000}"/>
    <cellStyle name="Normal 29 4" xfId="9130" xr:uid="{00000000-0005-0000-0000-00007F230000}"/>
    <cellStyle name="Normal 29_Spotweld Crossreference Master" xfId="9131" xr:uid="{00000000-0005-0000-0000-000080230000}"/>
    <cellStyle name="Normal 3" xfId="456" xr:uid="{00000000-0005-0000-0000-000081230000}"/>
    <cellStyle name="Normal 3 2" xfId="9132" xr:uid="{00000000-0005-0000-0000-000082230000}"/>
    <cellStyle name="Normal 3 3" xfId="9133" xr:uid="{00000000-0005-0000-0000-000083230000}"/>
    <cellStyle name="Normal 3 4" xfId="9134" xr:uid="{00000000-0005-0000-0000-000084230000}"/>
    <cellStyle name="Normal 3 5" xfId="9135" xr:uid="{00000000-0005-0000-0000-000085230000}"/>
    <cellStyle name="Normal 3 6" xfId="9136" xr:uid="{00000000-0005-0000-0000-000086230000}"/>
    <cellStyle name="Normal 3_Spotweld Crossreference Master" xfId="9137" xr:uid="{00000000-0005-0000-0000-000087230000}"/>
    <cellStyle name="Normal 30" xfId="9138" xr:uid="{00000000-0005-0000-0000-000088230000}"/>
    <cellStyle name="Normal 31" xfId="9139" xr:uid="{00000000-0005-0000-0000-000089230000}"/>
    <cellStyle name="Normal 32" xfId="9140" xr:uid="{00000000-0005-0000-0000-00008A230000}"/>
    <cellStyle name="Normal 33" xfId="9141" xr:uid="{00000000-0005-0000-0000-00008B230000}"/>
    <cellStyle name="Normal 34" xfId="9142" xr:uid="{00000000-0005-0000-0000-00008C230000}"/>
    <cellStyle name="Normal 35" xfId="9143" xr:uid="{00000000-0005-0000-0000-00008D230000}"/>
    <cellStyle name="Normal 36" xfId="9144" xr:uid="{00000000-0005-0000-0000-00008E230000}"/>
    <cellStyle name="Normal 37" xfId="9145" xr:uid="{00000000-0005-0000-0000-00008F230000}"/>
    <cellStyle name="Normal 38" xfId="9146" xr:uid="{00000000-0005-0000-0000-000090230000}"/>
    <cellStyle name="Normal 39" xfId="9147" xr:uid="{00000000-0005-0000-0000-000091230000}"/>
    <cellStyle name="Normal 4" xfId="26" xr:uid="{00000000-0005-0000-0000-000092230000}"/>
    <cellStyle name="Normal 4 2" xfId="457" xr:uid="{00000000-0005-0000-0000-000093230000}"/>
    <cellStyle name="Normal 4 3" xfId="9148" xr:uid="{00000000-0005-0000-0000-000094230000}"/>
    <cellStyle name="Normal 4 4" xfId="9149" xr:uid="{00000000-0005-0000-0000-000095230000}"/>
    <cellStyle name="Normal 4 5" xfId="9150" xr:uid="{00000000-0005-0000-0000-000096230000}"/>
    <cellStyle name="Normal 4 6" xfId="9151" xr:uid="{00000000-0005-0000-0000-000097230000}"/>
    <cellStyle name="Normal 4_Spotweld Crossreference Master" xfId="9152" xr:uid="{00000000-0005-0000-0000-000098230000}"/>
    <cellStyle name="Normal 40" xfId="9153" xr:uid="{00000000-0005-0000-0000-000099230000}"/>
    <cellStyle name="Normal 41" xfId="9154" xr:uid="{00000000-0005-0000-0000-00009A230000}"/>
    <cellStyle name="Normal 42" xfId="9155" xr:uid="{00000000-0005-0000-0000-00009B230000}"/>
    <cellStyle name="Normal 43" xfId="9156" xr:uid="{00000000-0005-0000-0000-00009C230000}"/>
    <cellStyle name="Normal 44" xfId="9157" xr:uid="{00000000-0005-0000-0000-00009D230000}"/>
    <cellStyle name="Normal 45" xfId="9158" xr:uid="{00000000-0005-0000-0000-00009E230000}"/>
    <cellStyle name="Normal 46" xfId="9159" xr:uid="{00000000-0005-0000-0000-00009F230000}"/>
    <cellStyle name="Normal 47" xfId="9160" xr:uid="{00000000-0005-0000-0000-0000A0230000}"/>
    <cellStyle name="Normal 48" xfId="9161" xr:uid="{00000000-0005-0000-0000-0000A1230000}"/>
    <cellStyle name="Normal 49" xfId="9162" xr:uid="{00000000-0005-0000-0000-0000A2230000}"/>
    <cellStyle name="Normal 5" xfId="458" xr:uid="{00000000-0005-0000-0000-0000A3230000}"/>
    <cellStyle name="Normal 5 2" xfId="459" xr:uid="{00000000-0005-0000-0000-0000A4230000}"/>
    <cellStyle name="Normal 5 3" xfId="9163" xr:uid="{00000000-0005-0000-0000-0000A5230000}"/>
    <cellStyle name="Normal 5 4" xfId="9164" xr:uid="{00000000-0005-0000-0000-0000A6230000}"/>
    <cellStyle name="Normal 5 5" xfId="9165" xr:uid="{00000000-0005-0000-0000-0000A7230000}"/>
    <cellStyle name="Normal 5_Spotweld Crossreference Master" xfId="9166" xr:uid="{00000000-0005-0000-0000-0000A8230000}"/>
    <cellStyle name="Normal 51" xfId="9167" xr:uid="{00000000-0005-0000-0000-0000A9230000}"/>
    <cellStyle name="Normal 52" xfId="9168" xr:uid="{00000000-0005-0000-0000-0000AA230000}"/>
    <cellStyle name="Normal 53" xfId="9169" xr:uid="{00000000-0005-0000-0000-0000AB230000}"/>
    <cellStyle name="Normal 54" xfId="9170" xr:uid="{00000000-0005-0000-0000-0000AC230000}"/>
    <cellStyle name="Normal 55" xfId="9171" xr:uid="{00000000-0005-0000-0000-0000AD230000}"/>
    <cellStyle name="Normal 56" xfId="9172" xr:uid="{00000000-0005-0000-0000-0000AE230000}"/>
    <cellStyle name="Normal 57" xfId="9173" xr:uid="{00000000-0005-0000-0000-0000AF230000}"/>
    <cellStyle name="Normal 58" xfId="9174" xr:uid="{00000000-0005-0000-0000-0000B0230000}"/>
    <cellStyle name="Normal 59" xfId="9175" xr:uid="{00000000-0005-0000-0000-0000B1230000}"/>
    <cellStyle name="Normal 6" xfId="9176" xr:uid="{00000000-0005-0000-0000-0000B2230000}"/>
    <cellStyle name="Normal 6 2" xfId="9177" xr:uid="{00000000-0005-0000-0000-0000B3230000}"/>
    <cellStyle name="Normal 6 3" xfId="9178" xr:uid="{00000000-0005-0000-0000-0000B4230000}"/>
    <cellStyle name="Normal 6 4" xfId="9179" xr:uid="{00000000-0005-0000-0000-0000B5230000}"/>
    <cellStyle name="Normal 6 5" xfId="9180" xr:uid="{00000000-0005-0000-0000-0000B6230000}"/>
    <cellStyle name="Normal 6_Spotweld Crossreference Master" xfId="9181" xr:uid="{00000000-0005-0000-0000-0000B7230000}"/>
    <cellStyle name="Normal 60" xfId="9182" xr:uid="{00000000-0005-0000-0000-0000B8230000}"/>
    <cellStyle name="Normal 7" xfId="9183" xr:uid="{00000000-0005-0000-0000-0000B9230000}"/>
    <cellStyle name="Normal 7 2" xfId="9184" xr:uid="{00000000-0005-0000-0000-0000BA230000}"/>
    <cellStyle name="Normal 7 3" xfId="9185" xr:uid="{00000000-0005-0000-0000-0000BB230000}"/>
    <cellStyle name="Normal 7 4" xfId="9186" xr:uid="{00000000-0005-0000-0000-0000BC230000}"/>
    <cellStyle name="Normal 7 5" xfId="9187" xr:uid="{00000000-0005-0000-0000-0000BD230000}"/>
    <cellStyle name="Normal 7_Spotweld Crossreference Master" xfId="9188" xr:uid="{00000000-0005-0000-0000-0000BE230000}"/>
    <cellStyle name="Normal 8" xfId="9189" xr:uid="{00000000-0005-0000-0000-0000BF230000}"/>
    <cellStyle name="Normal 8 2" xfId="9190" xr:uid="{00000000-0005-0000-0000-0000C0230000}"/>
    <cellStyle name="Normal 8 3" xfId="9191" xr:uid="{00000000-0005-0000-0000-0000C1230000}"/>
    <cellStyle name="Normal 8 4" xfId="9192" xr:uid="{00000000-0005-0000-0000-0000C2230000}"/>
    <cellStyle name="Normal 8 5" xfId="9193" xr:uid="{00000000-0005-0000-0000-0000C3230000}"/>
    <cellStyle name="Normal 8_Spotweld Crossreference Master" xfId="9194" xr:uid="{00000000-0005-0000-0000-0000C4230000}"/>
    <cellStyle name="Normal 9" xfId="9195" xr:uid="{00000000-0005-0000-0000-0000C5230000}"/>
    <cellStyle name="Normal 9 2" xfId="9196" xr:uid="{00000000-0005-0000-0000-0000C6230000}"/>
    <cellStyle name="Normal 9 3" xfId="9197" xr:uid="{00000000-0005-0000-0000-0000C7230000}"/>
    <cellStyle name="Normal 9 4" xfId="9198" xr:uid="{00000000-0005-0000-0000-0000C8230000}"/>
    <cellStyle name="Normal 9 5" xfId="9199" xr:uid="{00000000-0005-0000-0000-0000C9230000}"/>
    <cellStyle name="Normal 9_Spotweld Crossreference Master" xfId="9200" xr:uid="{00000000-0005-0000-0000-0000CA230000}"/>
    <cellStyle name="Normal Summary" xfId="9201" xr:uid="{00000000-0005-0000-0000-0000CB230000}"/>
    <cellStyle name="Normal1" xfId="9202" xr:uid="{00000000-0005-0000-0000-0000CC230000}"/>
    <cellStyle name="Normale 2" xfId="9203" xr:uid="{00000000-0005-0000-0000-0000CD230000}"/>
    <cellStyle name="Normalny_Arkusz1" xfId="9204" xr:uid="{00000000-0005-0000-0000-0000CE230000}"/>
    <cellStyle name="Notas" xfId="9205" xr:uid="{00000000-0005-0000-0000-0000CF230000}"/>
    <cellStyle name="Notas 2" xfId="9206" xr:uid="{00000000-0005-0000-0000-0000D0230000}"/>
    <cellStyle name="Notas 2 2" xfId="9207" xr:uid="{00000000-0005-0000-0000-0000D1230000}"/>
    <cellStyle name="Notas 2 2 2" xfId="9208" xr:uid="{00000000-0005-0000-0000-0000D2230000}"/>
    <cellStyle name="Notas 2 3" xfId="9209" xr:uid="{00000000-0005-0000-0000-0000D3230000}"/>
    <cellStyle name="Notas 3" xfId="9210" xr:uid="{00000000-0005-0000-0000-0000D4230000}"/>
    <cellStyle name="Notas 3 2" xfId="9211" xr:uid="{00000000-0005-0000-0000-0000D5230000}"/>
    <cellStyle name="Notas 4" xfId="9212" xr:uid="{00000000-0005-0000-0000-0000D6230000}"/>
    <cellStyle name="Notas 4 2" xfId="9213" xr:uid="{00000000-0005-0000-0000-0000D7230000}"/>
    <cellStyle name="Notas 4 3" xfId="9214" xr:uid="{00000000-0005-0000-0000-0000D8230000}"/>
    <cellStyle name="Notas 4 4" xfId="9215" xr:uid="{00000000-0005-0000-0000-0000D9230000}"/>
    <cellStyle name="Notas 4 4 2" xfId="9216" xr:uid="{00000000-0005-0000-0000-0000DA230000}"/>
    <cellStyle name="Notas 4 4 3" xfId="9217" xr:uid="{00000000-0005-0000-0000-0000DB230000}"/>
    <cellStyle name="Note" xfId="460" xr:uid="{00000000-0005-0000-0000-0000DC230000}"/>
    <cellStyle name="Note 2" xfId="461" xr:uid="{00000000-0005-0000-0000-0000DD230000}"/>
    <cellStyle name="Note 2 2" xfId="9218" xr:uid="{00000000-0005-0000-0000-0000DE230000}"/>
    <cellStyle name="Note 2 2 2" xfId="9219" xr:uid="{00000000-0005-0000-0000-0000DF230000}"/>
    <cellStyle name="Note 2 3" xfId="9220" xr:uid="{00000000-0005-0000-0000-0000E0230000}"/>
    <cellStyle name="Note 3" xfId="462" xr:uid="{00000000-0005-0000-0000-0000E1230000}"/>
    <cellStyle name="Note 3 2" xfId="9221" xr:uid="{00000000-0005-0000-0000-0000E2230000}"/>
    <cellStyle name="Note 4" xfId="463" xr:uid="{00000000-0005-0000-0000-0000E3230000}"/>
    <cellStyle name="Note 4 2" xfId="464" xr:uid="{00000000-0005-0000-0000-0000E4230000}"/>
    <cellStyle name="Note 4 2 2" xfId="9222" xr:uid="{00000000-0005-0000-0000-0000E5230000}"/>
    <cellStyle name="Note 4 2 3" xfId="9223" xr:uid="{00000000-0005-0000-0000-0000E6230000}"/>
    <cellStyle name="Note 4 2 3 2" xfId="9224" xr:uid="{00000000-0005-0000-0000-0000E7230000}"/>
    <cellStyle name="Note 4 2 3 3" xfId="9225" xr:uid="{00000000-0005-0000-0000-0000E8230000}"/>
    <cellStyle name="Note 4 3" xfId="465" xr:uid="{00000000-0005-0000-0000-0000E9230000}"/>
    <cellStyle name="Note 4 3 2" xfId="466" xr:uid="{00000000-0005-0000-0000-0000EA230000}"/>
    <cellStyle name="Note 4 4" xfId="467" xr:uid="{00000000-0005-0000-0000-0000EB230000}"/>
    <cellStyle name="Note 4 5" xfId="468" xr:uid="{00000000-0005-0000-0000-0000EC230000}"/>
    <cellStyle name="Note 4 5 2" xfId="469" xr:uid="{00000000-0005-0000-0000-0000ED230000}"/>
    <cellStyle name="Note 5" xfId="9226" xr:uid="{00000000-0005-0000-0000-0000EE230000}"/>
    <cellStyle name="Note 5 2" xfId="9227" xr:uid="{00000000-0005-0000-0000-0000EF230000}"/>
    <cellStyle name="Note 5 3" xfId="9228" xr:uid="{00000000-0005-0000-0000-0000F0230000}"/>
    <cellStyle name="Notiz 2" xfId="470" xr:uid="{00000000-0005-0000-0000-0000F1230000}"/>
    <cellStyle name="Notiz 2 2" xfId="471" xr:uid="{00000000-0005-0000-0000-0000F2230000}"/>
    <cellStyle name="Notiz 2 2 2" xfId="472" xr:uid="{00000000-0005-0000-0000-0000F3230000}"/>
    <cellStyle name="Notiz 2 2 2 2" xfId="9229" xr:uid="{00000000-0005-0000-0000-0000F4230000}"/>
    <cellStyle name="Notiz 2 2 3" xfId="9230" xr:uid="{00000000-0005-0000-0000-0000F5230000}"/>
    <cellStyle name="Notiz 2 3" xfId="473" xr:uid="{00000000-0005-0000-0000-0000F6230000}"/>
    <cellStyle name="Notiz 2 3 2" xfId="474" xr:uid="{00000000-0005-0000-0000-0000F7230000}"/>
    <cellStyle name="Notiz 2 3 3" xfId="9231" xr:uid="{00000000-0005-0000-0000-0000F8230000}"/>
    <cellStyle name="Notiz 2 4" xfId="475" xr:uid="{00000000-0005-0000-0000-0000F9230000}"/>
    <cellStyle name="Notiz 2 5" xfId="476" xr:uid="{00000000-0005-0000-0000-0000FA230000}"/>
    <cellStyle name="Notiz 2 6" xfId="9232" xr:uid="{00000000-0005-0000-0000-0000FB230000}"/>
    <cellStyle name="Notiz 3" xfId="477" xr:uid="{00000000-0005-0000-0000-0000FC230000}"/>
    <cellStyle name="Notiz 3 2" xfId="9233" xr:uid="{00000000-0005-0000-0000-0000FD230000}"/>
    <cellStyle name="Notiz 3 2 2" xfId="9234" xr:uid="{00000000-0005-0000-0000-0000FE230000}"/>
    <cellStyle name="Notiz 3 2 2 2" xfId="9235" xr:uid="{00000000-0005-0000-0000-0000FF230000}"/>
    <cellStyle name="Notiz 3 2 2 3" xfId="9236" xr:uid="{00000000-0005-0000-0000-000000240000}"/>
    <cellStyle name="Notiz 3 2 3" xfId="9237" xr:uid="{00000000-0005-0000-0000-000001240000}"/>
    <cellStyle name="Notiz 3 3" xfId="9238" xr:uid="{00000000-0005-0000-0000-000002240000}"/>
    <cellStyle name="Notiz 3 3 2" xfId="9239" xr:uid="{00000000-0005-0000-0000-000003240000}"/>
    <cellStyle name="Notiz 3 3 3" xfId="9240" xr:uid="{00000000-0005-0000-0000-000004240000}"/>
    <cellStyle name="Notiz 3 4" xfId="9241" xr:uid="{00000000-0005-0000-0000-000005240000}"/>
    <cellStyle name="Notiz 4" xfId="478" xr:uid="{00000000-0005-0000-0000-000006240000}"/>
    <cellStyle name="Notiz 4 2" xfId="479" xr:uid="{00000000-0005-0000-0000-000007240000}"/>
    <cellStyle name="Notiz 4 2 2" xfId="9242" xr:uid="{00000000-0005-0000-0000-000008240000}"/>
    <cellStyle name="Notiz 4 2 3" xfId="9243" xr:uid="{00000000-0005-0000-0000-000009240000}"/>
    <cellStyle name="Notiz 4 2 4" xfId="9244" xr:uid="{00000000-0005-0000-0000-00000A240000}"/>
    <cellStyle name="Notiz 4 3" xfId="480" xr:uid="{00000000-0005-0000-0000-00000B240000}"/>
    <cellStyle name="Notiz 4 3 2" xfId="481" xr:uid="{00000000-0005-0000-0000-00000C240000}"/>
    <cellStyle name="Notiz 4 4" xfId="482" xr:uid="{00000000-0005-0000-0000-00000D240000}"/>
    <cellStyle name="Notiz 4 5" xfId="483" xr:uid="{00000000-0005-0000-0000-00000E240000}"/>
    <cellStyle name="Notiz 4 5 2" xfId="484" xr:uid="{00000000-0005-0000-0000-00000F240000}"/>
    <cellStyle name="Notiz 5" xfId="9245" xr:uid="{00000000-0005-0000-0000-000010240000}"/>
    <cellStyle name="Notiz 5 2" xfId="9246" xr:uid="{00000000-0005-0000-0000-000011240000}"/>
    <cellStyle name="Notiz 5 2 2" xfId="9247" xr:uid="{00000000-0005-0000-0000-000012240000}"/>
    <cellStyle name="Notiz 5 2 3" xfId="9248" xr:uid="{00000000-0005-0000-0000-000013240000}"/>
    <cellStyle name="Notiz 5 2 4" xfId="9249" xr:uid="{00000000-0005-0000-0000-000014240000}"/>
    <cellStyle name="Notiz 5 3" xfId="9250" xr:uid="{00000000-0005-0000-0000-000015240000}"/>
    <cellStyle name="Notiz 5 4" xfId="9251" xr:uid="{00000000-0005-0000-0000-000016240000}"/>
    <cellStyle name="Notiz 6" xfId="9252" xr:uid="{00000000-0005-0000-0000-000017240000}"/>
    <cellStyle name="Notiz 6 2" xfId="9253" xr:uid="{00000000-0005-0000-0000-000018240000}"/>
    <cellStyle name="Notiz 6 2 2" xfId="9254" xr:uid="{00000000-0005-0000-0000-000019240000}"/>
    <cellStyle name="Notiz 6 2 3" xfId="9255" xr:uid="{00000000-0005-0000-0000-00001A240000}"/>
    <cellStyle name="Notiz 7" xfId="9256" xr:uid="{00000000-0005-0000-0000-00001B240000}"/>
    <cellStyle name="Notiz 7 2" xfId="9257" xr:uid="{00000000-0005-0000-0000-00001C240000}"/>
    <cellStyle name="NoTotal" xfId="6" xr:uid="{00000000-0005-0000-0000-00001D240000}"/>
    <cellStyle name="NoTotal 2" xfId="33416" xr:uid="{00000000-0005-0000-0000-00001E240000}"/>
    <cellStyle name="NoTotal 3" xfId="33417" xr:uid="{00000000-0005-0000-0000-00001F240000}"/>
    <cellStyle name="NoValue" xfId="7" xr:uid="{00000000-0005-0000-0000-000020240000}"/>
    <cellStyle name="NoValue 2" xfId="33418" xr:uid="{00000000-0005-0000-0000-000021240000}"/>
    <cellStyle name="NoValue 3" xfId="33419" xr:uid="{00000000-0005-0000-0000-000022240000}"/>
    <cellStyle name="Œ…‹æØ‚è [0.00]_!!!GO" xfId="9258" xr:uid="{00000000-0005-0000-0000-000023240000}"/>
    <cellStyle name="Œ…‹æØ‚è_!!!GO" xfId="9259" xr:uid="{00000000-0005-0000-0000-000024240000}"/>
    <cellStyle name="Option_Added_Cont_Desc" xfId="9260" xr:uid="{00000000-0005-0000-0000-000025240000}"/>
    <cellStyle name="Output" xfId="9261" xr:uid="{00000000-0005-0000-0000-000026240000}"/>
    <cellStyle name="Output 2" xfId="485" xr:uid="{00000000-0005-0000-0000-000027240000}"/>
    <cellStyle name="Output 2 2" xfId="9262" xr:uid="{00000000-0005-0000-0000-000028240000}"/>
    <cellStyle name="Output 3" xfId="9263" xr:uid="{00000000-0005-0000-0000-000029240000}"/>
    <cellStyle name="per.style" xfId="9264" xr:uid="{00000000-0005-0000-0000-00002A240000}"/>
    <cellStyle name="per.style 2" xfId="9265" xr:uid="{00000000-0005-0000-0000-00002B240000}"/>
    <cellStyle name="per.style 2 2" xfId="9266" xr:uid="{00000000-0005-0000-0000-00002C240000}"/>
    <cellStyle name="Percent [0]" xfId="9267" xr:uid="{00000000-0005-0000-0000-00002D240000}"/>
    <cellStyle name="Percent [00]" xfId="9268" xr:uid="{00000000-0005-0000-0000-00002E240000}"/>
    <cellStyle name="Percent [2]" xfId="9269" xr:uid="{00000000-0005-0000-0000-00002F240000}"/>
    <cellStyle name="Percent [2] 2" xfId="9270" xr:uid="{00000000-0005-0000-0000-000030240000}"/>
    <cellStyle name="Percent [2] 2 2" xfId="9271" xr:uid="{00000000-0005-0000-0000-000031240000}"/>
    <cellStyle name="Percent 2" xfId="9272" xr:uid="{00000000-0005-0000-0000-000032240000}"/>
    <cellStyle name="Percent[0]" xfId="9273" xr:uid="{00000000-0005-0000-0000-000033240000}"/>
    <cellStyle name="Percent[0] 2" xfId="9274" xr:uid="{00000000-0005-0000-0000-000034240000}"/>
    <cellStyle name="Percent[0] 2 2" xfId="9275" xr:uid="{00000000-0005-0000-0000-000035240000}"/>
    <cellStyle name="Percent[2]" xfId="9276" xr:uid="{00000000-0005-0000-0000-000036240000}"/>
    <cellStyle name="Percent[2] 2" xfId="9277" xr:uid="{00000000-0005-0000-0000-000037240000}"/>
    <cellStyle name="Percent[2] 2 2" xfId="9278" xr:uid="{00000000-0005-0000-0000-000038240000}"/>
    <cellStyle name="PIDs" xfId="9279" xr:uid="{00000000-0005-0000-0000-000039240000}"/>
    <cellStyle name="Pounds" xfId="9280" xr:uid="{00000000-0005-0000-0000-00003A240000}"/>
    <cellStyle name="Preliminary_Data" xfId="9281" xr:uid="{00000000-0005-0000-0000-00003B240000}"/>
    <cellStyle name="PrePop Currency (0)" xfId="9282" xr:uid="{00000000-0005-0000-0000-00003C240000}"/>
    <cellStyle name="PrePop Currency (2)" xfId="9283" xr:uid="{00000000-0005-0000-0000-00003D240000}"/>
    <cellStyle name="PrePop Units (0)" xfId="9284" xr:uid="{00000000-0005-0000-0000-00003E240000}"/>
    <cellStyle name="PrePop Units (1)" xfId="9285" xr:uid="{00000000-0005-0000-0000-00003F240000}"/>
    <cellStyle name="PrePop Units (2)" xfId="9286" xr:uid="{00000000-0005-0000-0000-000040240000}"/>
    <cellStyle name="Prices_Data" xfId="9287" xr:uid="{00000000-0005-0000-0000-000041240000}"/>
    <cellStyle name="Prozent 10" xfId="9288" xr:uid="{00000000-0005-0000-0000-000042240000}"/>
    <cellStyle name="Prozent 2" xfId="9289" xr:uid="{00000000-0005-0000-0000-000043240000}"/>
    <cellStyle name="Prozent 2 2" xfId="9290" xr:uid="{00000000-0005-0000-0000-000044240000}"/>
    <cellStyle name="Prozent 3" xfId="9291" xr:uid="{00000000-0005-0000-0000-000045240000}"/>
    <cellStyle name="Prozent 3 2" xfId="9292" xr:uid="{00000000-0005-0000-0000-000046240000}"/>
    <cellStyle name="Prozent 3 2 2" xfId="9293" xr:uid="{00000000-0005-0000-0000-000047240000}"/>
    <cellStyle name="Prozent 3 3" xfId="9294" xr:uid="{00000000-0005-0000-0000-000048240000}"/>
    <cellStyle name="Prozent 3 4" xfId="9295" xr:uid="{00000000-0005-0000-0000-000049240000}"/>
    <cellStyle name="Prozent 3 5" xfId="9296" xr:uid="{00000000-0005-0000-0000-00004A240000}"/>
    <cellStyle name="Prozent 4" xfId="9297" xr:uid="{00000000-0005-0000-0000-00004B240000}"/>
    <cellStyle name="Prozent 4 2" xfId="9298" xr:uid="{00000000-0005-0000-0000-00004C240000}"/>
    <cellStyle name="Prozent 5" xfId="9299" xr:uid="{00000000-0005-0000-0000-00004D240000}"/>
    <cellStyle name="Prozent 5 2" xfId="9300" xr:uid="{00000000-0005-0000-0000-00004E240000}"/>
    <cellStyle name="Prozent 6" xfId="9301" xr:uid="{00000000-0005-0000-0000-00004F240000}"/>
    <cellStyle name="Prozent 7" xfId="9302" xr:uid="{00000000-0005-0000-0000-000050240000}"/>
    <cellStyle name="Prozent 8" xfId="9303" xr:uid="{00000000-0005-0000-0000-000051240000}"/>
    <cellStyle name="Prozent 9" xfId="9304" xr:uid="{00000000-0005-0000-0000-000052240000}"/>
    <cellStyle name="PSChar" xfId="9305" xr:uid="{00000000-0005-0000-0000-000053240000}"/>
    <cellStyle name="PSDate" xfId="9306" xr:uid="{00000000-0005-0000-0000-000054240000}"/>
    <cellStyle name="PSDec" xfId="9307" xr:uid="{00000000-0005-0000-0000-000055240000}"/>
    <cellStyle name="PSHeading" xfId="9308" xr:uid="{00000000-0005-0000-0000-000056240000}"/>
    <cellStyle name="PSInt" xfId="9309" xr:uid="{00000000-0005-0000-0000-000057240000}"/>
    <cellStyle name="PSSpacer" xfId="9310" xr:uid="{00000000-0005-0000-0000-000058240000}"/>
    <cellStyle name="reg_no_decimal" xfId="9311" xr:uid="{00000000-0005-0000-0000-000059240000}"/>
    <cellStyle name="Relation" xfId="8" xr:uid="{00000000-0005-0000-0000-00005A240000}"/>
    <cellStyle name="Relation 2" xfId="33420" xr:uid="{00000000-0005-0000-0000-00005B240000}"/>
    <cellStyle name="Relation 3" xfId="33421" xr:uid="{00000000-0005-0000-0000-00005C240000}"/>
    <cellStyle name="RowLevel_3_Scope of Supply C344C_C520_16.02.2011" xfId="9312" xr:uid="{00000000-0005-0000-0000-00005D240000}"/>
    <cellStyle name="RQDcells" xfId="9313" xr:uid="{00000000-0005-0000-0000-00005E240000}"/>
    <cellStyle name="RQDheading" xfId="9314" xr:uid="{00000000-0005-0000-0000-00005F240000}"/>
    <cellStyle name="RQDserial" xfId="9315" xr:uid="{00000000-0005-0000-0000-000060240000}"/>
    <cellStyle name="RQDtop" xfId="9316" xr:uid="{00000000-0005-0000-0000-000061240000}"/>
    <cellStyle name="Salida" xfId="9317" xr:uid="{00000000-0005-0000-0000-000062240000}"/>
    <cellStyle name="Schlecht 2" xfId="487" xr:uid="{00000000-0005-0000-0000-000063240000}"/>
    <cellStyle name="Schlecht 2 2" xfId="9318" xr:uid="{00000000-0005-0000-0000-000064240000}"/>
    <cellStyle name="Schlecht 2 3" xfId="9319" xr:uid="{00000000-0005-0000-0000-000065240000}"/>
    <cellStyle name="Schlecht 2 4" xfId="9320" xr:uid="{00000000-0005-0000-0000-000066240000}"/>
    <cellStyle name="Schlecht 2 5" xfId="9321" xr:uid="{00000000-0005-0000-0000-000067240000}"/>
    <cellStyle name="Schlecht 3" xfId="488" xr:uid="{00000000-0005-0000-0000-000068240000}"/>
    <cellStyle name="Schlecht 3 2" xfId="9322" xr:uid="{00000000-0005-0000-0000-000069240000}"/>
    <cellStyle name="Schlecht 3 3" xfId="9323" xr:uid="{00000000-0005-0000-0000-00006A240000}"/>
    <cellStyle name="Schlecht 3 4" xfId="9324" xr:uid="{00000000-0005-0000-0000-00006B240000}"/>
    <cellStyle name="Schlecht 3_Spotweld Crossreference Master" xfId="9325" xr:uid="{00000000-0005-0000-0000-00006C240000}"/>
    <cellStyle name="Schlecht 4" xfId="489" xr:uid="{00000000-0005-0000-0000-00006D240000}"/>
    <cellStyle name="Schlecht 4 2" xfId="9326" xr:uid="{00000000-0005-0000-0000-00006E240000}"/>
    <cellStyle name="Schlecht 5" xfId="9327" xr:uid="{00000000-0005-0000-0000-00006F240000}"/>
    <cellStyle name="Schlecht 5 2" xfId="9328" xr:uid="{00000000-0005-0000-0000-000070240000}"/>
    <cellStyle name="shade" xfId="9329" xr:uid="{00000000-0005-0000-0000-000071240000}"/>
    <cellStyle name="Single" xfId="9" xr:uid="{00000000-0005-0000-0000-000072240000}"/>
    <cellStyle name="Single 2" xfId="10" xr:uid="{00000000-0005-0000-0000-000073240000}"/>
    <cellStyle name="Single 2 2" xfId="20" xr:uid="{00000000-0005-0000-0000-000074240000}"/>
    <cellStyle name="Single 2 3" xfId="21" xr:uid="{00000000-0005-0000-0000-000075240000}"/>
    <cellStyle name="Single 3" xfId="33422" xr:uid="{00000000-0005-0000-0000-000076240000}"/>
    <cellStyle name="Single 3 2" xfId="33423" xr:uid="{00000000-0005-0000-0000-000077240000}"/>
    <cellStyle name="Single 4" xfId="33424" xr:uid="{00000000-0005-0000-0000-000078240000}"/>
    <cellStyle name="Single_readOnly" xfId="33425" xr:uid="{00000000-0005-0000-0000-000079240000}"/>
    <cellStyle name="Standaard 2" xfId="9330" xr:uid="{00000000-0005-0000-0000-00007A240000}"/>
    <cellStyle name="STANDARD 1" xfId="9331" xr:uid="{00000000-0005-0000-0000-00007B240000}"/>
    <cellStyle name="STANDARD 1 2" xfId="9332" xr:uid="{00000000-0005-0000-0000-00007C240000}"/>
    <cellStyle name="Standard 10" xfId="490" xr:uid="{00000000-0005-0000-0000-00007D240000}"/>
    <cellStyle name="Standard 10 10" xfId="28" xr:uid="{00000000-0005-0000-0000-00007E240000}"/>
    <cellStyle name="Standard 10 10 2" xfId="9334" xr:uid="{00000000-0005-0000-0000-00007F240000}"/>
    <cellStyle name="Standard 10 10 3" xfId="9333" xr:uid="{00000000-0005-0000-0000-000080240000}"/>
    <cellStyle name="Standard 10 11" xfId="9335" xr:uid="{00000000-0005-0000-0000-000081240000}"/>
    <cellStyle name="Standard 10 12" xfId="9336" xr:uid="{00000000-0005-0000-0000-000082240000}"/>
    <cellStyle name="Standard 10 13" xfId="9337" xr:uid="{00000000-0005-0000-0000-000083240000}"/>
    <cellStyle name="Standard 10 2" xfId="491" xr:uid="{00000000-0005-0000-0000-000084240000}"/>
    <cellStyle name="Standard 10 3" xfId="492" xr:uid="{00000000-0005-0000-0000-000085240000}"/>
    <cellStyle name="Standard 10 3 10" xfId="9338" xr:uid="{00000000-0005-0000-0000-000086240000}"/>
    <cellStyle name="Standard 10 3 11" xfId="33107" xr:uid="{00000000-0005-0000-0000-000087240000}"/>
    <cellStyle name="Standard 10 3 12" xfId="33182" xr:uid="{00000000-0005-0000-0000-000088240000}"/>
    <cellStyle name="Standard 10 3 13" xfId="33257" xr:uid="{00000000-0005-0000-0000-000089240000}"/>
    <cellStyle name="Standard 10 3 14" xfId="33332" xr:uid="{00000000-0005-0000-0000-00008A240000}"/>
    <cellStyle name="Standard 10 3 15" xfId="33426" xr:uid="{00000000-0005-0000-0000-00008B240000}"/>
    <cellStyle name="Standard 10 3 2" xfId="9339" xr:uid="{00000000-0005-0000-0000-00008C240000}"/>
    <cellStyle name="Standard 10 3 2 2" xfId="9340" xr:uid="{00000000-0005-0000-0000-00008D240000}"/>
    <cellStyle name="Standard 10 3 2 2 2" xfId="9341" xr:uid="{00000000-0005-0000-0000-00008E240000}"/>
    <cellStyle name="Standard 10 3 2 2 2 2" xfId="9342" xr:uid="{00000000-0005-0000-0000-00008F240000}"/>
    <cellStyle name="Standard 10 3 2 2 2 2 2" xfId="9343" xr:uid="{00000000-0005-0000-0000-000090240000}"/>
    <cellStyle name="Standard 10 3 2 2 2 2 3" xfId="9344" xr:uid="{00000000-0005-0000-0000-000091240000}"/>
    <cellStyle name="Standard 10 3 2 2 2 3" xfId="9345" xr:uid="{00000000-0005-0000-0000-000092240000}"/>
    <cellStyle name="Standard 10 3 2 2 2 3 2" xfId="9346" xr:uid="{00000000-0005-0000-0000-000093240000}"/>
    <cellStyle name="Standard 10 3 2 2 2 3 3" xfId="9347" xr:uid="{00000000-0005-0000-0000-000094240000}"/>
    <cellStyle name="Standard 10 3 2 2 2 4" xfId="9348" xr:uid="{00000000-0005-0000-0000-000095240000}"/>
    <cellStyle name="Standard 10 3 2 2 2 4 2" xfId="9349" xr:uid="{00000000-0005-0000-0000-000096240000}"/>
    <cellStyle name="Standard 10 3 2 2 2 5" xfId="9350" xr:uid="{00000000-0005-0000-0000-000097240000}"/>
    <cellStyle name="Standard 10 3 2 2 2 6" xfId="9351" xr:uid="{00000000-0005-0000-0000-000098240000}"/>
    <cellStyle name="Standard 10 3 2 2 3" xfId="9352" xr:uid="{00000000-0005-0000-0000-000099240000}"/>
    <cellStyle name="Standard 10 3 2 2 3 2" xfId="9353" xr:uid="{00000000-0005-0000-0000-00009A240000}"/>
    <cellStyle name="Standard 10 3 2 2 3 3" xfId="9354" xr:uid="{00000000-0005-0000-0000-00009B240000}"/>
    <cellStyle name="Standard 10 3 2 2 4" xfId="9355" xr:uid="{00000000-0005-0000-0000-00009C240000}"/>
    <cellStyle name="Standard 10 3 2 2 4 2" xfId="9356" xr:uid="{00000000-0005-0000-0000-00009D240000}"/>
    <cellStyle name="Standard 10 3 2 2 4 3" xfId="9357" xr:uid="{00000000-0005-0000-0000-00009E240000}"/>
    <cellStyle name="Standard 10 3 2 2 5" xfId="9358" xr:uid="{00000000-0005-0000-0000-00009F240000}"/>
    <cellStyle name="Standard 10 3 2 2 5 2" xfId="9359" xr:uid="{00000000-0005-0000-0000-0000A0240000}"/>
    <cellStyle name="Standard 10 3 2 2 6" xfId="9360" xr:uid="{00000000-0005-0000-0000-0000A1240000}"/>
    <cellStyle name="Standard 10 3 2 2 7" xfId="9361" xr:uid="{00000000-0005-0000-0000-0000A2240000}"/>
    <cellStyle name="Standard 10 3 2 3" xfId="9362" xr:uid="{00000000-0005-0000-0000-0000A3240000}"/>
    <cellStyle name="Standard 10 3 2 3 2" xfId="9363" xr:uid="{00000000-0005-0000-0000-0000A4240000}"/>
    <cellStyle name="Standard 10 3 2 3 2 2" xfId="9364" xr:uid="{00000000-0005-0000-0000-0000A5240000}"/>
    <cellStyle name="Standard 10 3 2 3 2 3" xfId="9365" xr:uid="{00000000-0005-0000-0000-0000A6240000}"/>
    <cellStyle name="Standard 10 3 2 3 3" xfId="9366" xr:uid="{00000000-0005-0000-0000-0000A7240000}"/>
    <cellStyle name="Standard 10 3 2 3 3 2" xfId="9367" xr:uid="{00000000-0005-0000-0000-0000A8240000}"/>
    <cellStyle name="Standard 10 3 2 3 3 3" xfId="9368" xr:uid="{00000000-0005-0000-0000-0000A9240000}"/>
    <cellStyle name="Standard 10 3 2 3 4" xfId="9369" xr:uid="{00000000-0005-0000-0000-0000AA240000}"/>
    <cellStyle name="Standard 10 3 2 3 4 2" xfId="9370" xr:uid="{00000000-0005-0000-0000-0000AB240000}"/>
    <cellStyle name="Standard 10 3 2 3 5" xfId="9371" xr:uid="{00000000-0005-0000-0000-0000AC240000}"/>
    <cellStyle name="Standard 10 3 2 3 6" xfId="9372" xr:uid="{00000000-0005-0000-0000-0000AD240000}"/>
    <cellStyle name="Standard 10 3 2 4" xfId="9373" xr:uid="{00000000-0005-0000-0000-0000AE240000}"/>
    <cellStyle name="Standard 10 3 2 4 2" xfId="9374" xr:uid="{00000000-0005-0000-0000-0000AF240000}"/>
    <cellStyle name="Standard 10 3 2 4 3" xfId="9375" xr:uid="{00000000-0005-0000-0000-0000B0240000}"/>
    <cellStyle name="Standard 10 3 2 5" xfId="9376" xr:uid="{00000000-0005-0000-0000-0000B1240000}"/>
    <cellStyle name="Standard 10 3 2 5 2" xfId="9377" xr:uid="{00000000-0005-0000-0000-0000B2240000}"/>
    <cellStyle name="Standard 10 3 2 5 3" xfId="9378" xr:uid="{00000000-0005-0000-0000-0000B3240000}"/>
    <cellStyle name="Standard 10 3 2 6" xfId="9379" xr:uid="{00000000-0005-0000-0000-0000B4240000}"/>
    <cellStyle name="Standard 10 3 2 6 2" xfId="9380" xr:uid="{00000000-0005-0000-0000-0000B5240000}"/>
    <cellStyle name="Standard 10 3 2 7" xfId="9381" xr:uid="{00000000-0005-0000-0000-0000B6240000}"/>
    <cellStyle name="Standard 10 3 2 8" xfId="9382" xr:uid="{00000000-0005-0000-0000-0000B7240000}"/>
    <cellStyle name="Standard 10 3 3" xfId="9383" xr:uid="{00000000-0005-0000-0000-0000B8240000}"/>
    <cellStyle name="Standard 10 3 3 2" xfId="9384" xr:uid="{00000000-0005-0000-0000-0000B9240000}"/>
    <cellStyle name="Standard 10 3 3 2 2" xfId="9385" xr:uid="{00000000-0005-0000-0000-0000BA240000}"/>
    <cellStyle name="Standard 10 3 3 2 2 2" xfId="9386" xr:uid="{00000000-0005-0000-0000-0000BB240000}"/>
    <cellStyle name="Standard 10 3 3 2 2 2 2" xfId="9387" xr:uid="{00000000-0005-0000-0000-0000BC240000}"/>
    <cellStyle name="Standard 10 3 3 2 2 2 3" xfId="9388" xr:uid="{00000000-0005-0000-0000-0000BD240000}"/>
    <cellStyle name="Standard 10 3 3 2 2 3" xfId="9389" xr:uid="{00000000-0005-0000-0000-0000BE240000}"/>
    <cellStyle name="Standard 10 3 3 2 2 3 2" xfId="9390" xr:uid="{00000000-0005-0000-0000-0000BF240000}"/>
    <cellStyle name="Standard 10 3 3 2 2 3 3" xfId="9391" xr:uid="{00000000-0005-0000-0000-0000C0240000}"/>
    <cellStyle name="Standard 10 3 3 2 2 4" xfId="9392" xr:uid="{00000000-0005-0000-0000-0000C1240000}"/>
    <cellStyle name="Standard 10 3 3 2 2 4 2" xfId="9393" xr:uid="{00000000-0005-0000-0000-0000C2240000}"/>
    <cellStyle name="Standard 10 3 3 2 2 5" xfId="9394" xr:uid="{00000000-0005-0000-0000-0000C3240000}"/>
    <cellStyle name="Standard 10 3 3 2 2 6" xfId="9395" xr:uid="{00000000-0005-0000-0000-0000C4240000}"/>
    <cellStyle name="Standard 10 3 3 2 3" xfId="9396" xr:uid="{00000000-0005-0000-0000-0000C5240000}"/>
    <cellStyle name="Standard 10 3 3 2 3 2" xfId="9397" xr:uid="{00000000-0005-0000-0000-0000C6240000}"/>
    <cellStyle name="Standard 10 3 3 2 3 3" xfId="9398" xr:uid="{00000000-0005-0000-0000-0000C7240000}"/>
    <cellStyle name="Standard 10 3 3 2 4" xfId="9399" xr:uid="{00000000-0005-0000-0000-0000C8240000}"/>
    <cellStyle name="Standard 10 3 3 2 4 2" xfId="9400" xr:uid="{00000000-0005-0000-0000-0000C9240000}"/>
    <cellStyle name="Standard 10 3 3 2 4 3" xfId="9401" xr:uid="{00000000-0005-0000-0000-0000CA240000}"/>
    <cellStyle name="Standard 10 3 3 2 5" xfId="9402" xr:uid="{00000000-0005-0000-0000-0000CB240000}"/>
    <cellStyle name="Standard 10 3 3 2 5 2" xfId="9403" xr:uid="{00000000-0005-0000-0000-0000CC240000}"/>
    <cellStyle name="Standard 10 3 3 2 6" xfId="9404" xr:uid="{00000000-0005-0000-0000-0000CD240000}"/>
    <cellStyle name="Standard 10 3 3 2 7" xfId="9405" xr:uid="{00000000-0005-0000-0000-0000CE240000}"/>
    <cellStyle name="Standard 10 3 3 3" xfId="9406" xr:uid="{00000000-0005-0000-0000-0000CF240000}"/>
    <cellStyle name="Standard 10 3 3 3 2" xfId="9407" xr:uid="{00000000-0005-0000-0000-0000D0240000}"/>
    <cellStyle name="Standard 10 3 3 3 2 2" xfId="9408" xr:uid="{00000000-0005-0000-0000-0000D1240000}"/>
    <cellStyle name="Standard 10 3 3 3 2 3" xfId="9409" xr:uid="{00000000-0005-0000-0000-0000D2240000}"/>
    <cellStyle name="Standard 10 3 3 3 3" xfId="9410" xr:uid="{00000000-0005-0000-0000-0000D3240000}"/>
    <cellStyle name="Standard 10 3 3 3 3 2" xfId="9411" xr:uid="{00000000-0005-0000-0000-0000D4240000}"/>
    <cellStyle name="Standard 10 3 3 3 3 3" xfId="9412" xr:uid="{00000000-0005-0000-0000-0000D5240000}"/>
    <cellStyle name="Standard 10 3 3 3 4" xfId="9413" xr:uid="{00000000-0005-0000-0000-0000D6240000}"/>
    <cellStyle name="Standard 10 3 3 3 4 2" xfId="9414" xr:uid="{00000000-0005-0000-0000-0000D7240000}"/>
    <cellStyle name="Standard 10 3 3 3 5" xfId="9415" xr:uid="{00000000-0005-0000-0000-0000D8240000}"/>
    <cellStyle name="Standard 10 3 3 3 6" xfId="9416" xr:uid="{00000000-0005-0000-0000-0000D9240000}"/>
    <cellStyle name="Standard 10 3 3 4" xfId="9417" xr:uid="{00000000-0005-0000-0000-0000DA240000}"/>
    <cellStyle name="Standard 10 3 3 4 2" xfId="9418" xr:uid="{00000000-0005-0000-0000-0000DB240000}"/>
    <cellStyle name="Standard 10 3 3 4 3" xfId="9419" xr:uid="{00000000-0005-0000-0000-0000DC240000}"/>
    <cellStyle name="Standard 10 3 3 5" xfId="9420" xr:uid="{00000000-0005-0000-0000-0000DD240000}"/>
    <cellStyle name="Standard 10 3 3 5 2" xfId="9421" xr:uid="{00000000-0005-0000-0000-0000DE240000}"/>
    <cellStyle name="Standard 10 3 3 5 3" xfId="9422" xr:uid="{00000000-0005-0000-0000-0000DF240000}"/>
    <cellStyle name="Standard 10 3 3 6" xfId="9423" xr:uid="{00000000-0005-0000-0000-0000E0240000}"/>
    <cellStyle name="Standard 10 3 3 6 2" xfId="9424" xr:uid="{00000000-0005-0000-0000-0000E1240000}"/>
    <cellStyle name="Standard 10 3 3 7" xfId="9425" xr:uid="{00000000-0005-0000-0000-0000E2240000}"/>
    <cellStyle name="Standard 10 3 3 8" xfId="9426" xr:uid="{00000000-0005-0000-0000-0000E3240000}"/>
    <cellStyle name="Standard 10 3 4" xfId="9427" xr:uid="{00000000-0005-0000-0000-0000E4240000}"/>
    <cellStyle name="Standard 10 3 4 2" xfId="9428" xr:uid="{00000000-0005-0000-0000-0000E5240000}"/>
    <cellStyle name="Standard 10 3 4 2 2" xfId="9429" xr:uid="{00000000-0005-0000-0000-0000E6240000}"/>
    <cellStyle name="Standard 10 3 4 2 2 2" xfId="9430" xr:uid="{00000000-0005-0000-0000-0000E7240000}"/>
    <cellStyle name="Standard 10 3 4 2 2 3" xfId="9431" xr:uid="{00000000-0005-0000-0000-0000E8240000}"/>
    <cellStyle name="Standard 10 3 4 2 3" xfId="9432" xr:uid="{00000000-0005-0000-0000-0000E9240000}"/>
    <cellStyle name="Standard 10 3 4 2 3 2" xfId="9433" xr:uid="{00000000-0005-0000-0000-0000EA240000}"/>
    <cellStyle name="Standard 10 3 4 2 3 3" xfId="9434" xr:uid="{00000000-0005-0000-0000-0000EB240000}"/>
    <cellStyle name="Standard 10 3 4 2 4" xfId="9435" xr:uid="{00000000-0005-0000-0000-0000EC240000}"/>
    <cellStyle name="Standard 10 3 4 2 4 2" xfId="9436" xr:uid="{00000000-0005-0000-0000-0000ED240000}"/>
    <cellStyle name="Standard 10 3 4 2 5" xfId="9437" xr:uid="{00000000-0005-0000-0000-0000EE240000}"/>
    <cellStyle name="Standard 10 3 4 2 6" xfId="9438" xr:uid="{00000000-0005-0000-0000-0000EF240000}"/>
    <cellStyle name="Standard 10 3 4 3" xfId="9439" xr:uid="{00000000-0005-0000-0000-0000F0240000}"/>
    <cellStyle name="Standard 10 3 4 3 2" xfId="9440" xr:uid="{00000000-0005-0000-0000-0000F1240000}"/>
    <cellStyle name="Standard 10 3 4 3 3" xfId="9441" xr:uid="{00000000-0005-0000-0000-0000F2240000}"/>
    <cellStyle name="Standard 10 3 4 4" xfId="9442" xr:uid="{00000000-0005-0000-0000-0000F3240000}"/>
    <cellStyle name="Standard 10 3 4 4 2" xfId="9443" xr:uid="{00000000-0005-0000-0000-0000F4240000}"/>
    <cellStyle name="Standard 10 3 4 4 3" xfId="9444" xr:uid="{00000000-0005-0000-0000-0000F5240000}"/>
    <cellStyle name="Standard 10 3 4 5" xfId="9445" xr:uid="{00000000-0005-0000-0000-0000F6240000}"/>
    <cellStyle name="Standard 10 3 4 5 2" xfId="9446" xr:uid="{00000000-0005-0000-0000-0000F7240000}"/>
    <cellStyle name="Standard 10 3 4 6" xfId="9447" xr:uid="{00000000-0005-0000-0000-0000F8240000}"/>
    <cellStyle name="Standard 10 3 4 7" xfId="9448" xr:uid="{00000000-0005-0000-0000-0000F9240000}"/>
    <cellStyle name="Standard 10 3 5" xfId="9449" xr:uid="{00000000-0005-0000-0000-0000FA240000}"/>
    <cellStyle name="Standard 10 3 5 2" xfId="9450" xr:uid="{00000000-0005-0000-0000-0000FB240000}"/>
    <cellStyle name="Standard 10 3 5 2 2" xfId="9451" xr:uid="{00000000-0005-0000-0000-0000FC240000}"/>
    <cellStyle name="Standard 10 3 5 2 3" xfId="9452" xr:uid="{00000000-0005-0000-0000-0000FD240000}"/>
    <cellStyle name="Standard 10 3 5 3" xfId="9453" xr:uid="{00000000-0005-0000-0000-0000FE240000}"/>
    <cellStyle name="Standard 10 3 5 3 2" xfId="9454" xr:uid="{00000000-0005-0000-0000-0000FF240000}"/>
    <cellStyle name="Standard 10 3 5 3 3" xfId="9455" xr:uid="{00000000-0005-0000-0000-000000250000}"/>
    <cellStyle name="Standard 10 3 5 4" xfId="9456" xr:uid="{00000000-0005-0000-0000-000001250000}"/>
    <cellStyle name="Standard 10 3 5 4 2" xfId="9457" xr:uid="{00000000-0005-0000-0000-000002250000}"/>
    <cellStyle name="Standard 10 3 5 5" xfId="9458" xr:uid="{00000000-0005-0000-0000-000003250000}"/>
    <cellStyle name="Standard 10 3 5 6" xfId="9459" xr:uid="{00000000-0005-0000-0000-000004250000}"/>
    <cellStyle name="Standard 10 3 6" xfId="9460" xr:uid="{00000000-0005-0000-0000-000005250000}"/>
    <cellStyle name="Standard 10 3 6 2" xfId="9461" xr:uid="{00000000-0005-0000-0000-000006250000}"/>
    <cellStyle name="Standard 10 3 6 3" xfId="9462" xr:uid="{00000000-0005-0000-0000-000007250000}"/>
    <cellStyle name="Standard 10 3 7" xfId="9463" xr:uid="{00000000-0005-0000-0000-000008250000}"/>
    <cellStyle name="Standard 10 3 7 2" xfId="9464" xr:uid="{00000000-0005-0000-0000-000009250000}"/>
    <cellStyle name="Standard 10 3 7 3" xfId="9465" xr:uid="{00000000-0005-0000-0000-00000A250000}"/>
    <cellStyle name="Standard 10 3 8" xfId="9466" xr:uid="{00000000-0005-0000-0000-00000B250000}"/>
    <cellStyle name="Standard 10 3 8 2" xfId="9467" xr:uid="{00000000-0005-0000-0000-00000C250000}"/>
    <cellStyle name="Standard 10 3 9" xfId="9468" xr:uid="{00000000-0005-0000-0000-00000D250000}"/>
    <cellStyle name="Standard 10 4" xfId="9469" xr:uid="{00000000-0005-0000-0000-00000E250000}"/>
    <cellStyle name="Standard 10 4 2" xfId="9470" xr:uid="{00000000-0005-0000-0000-00000F250000}"/>
    <cellStyle name="Standard 10 4 2 2" xfId="9471" xr:uid="{00000000-0005-0000-0000-000010250000}"/>
    <cellStyle name="Standard 10 4 2 2 2" xfId="9472" xr:uid="{00000000-0005-0000-0000-000011250000}"/>
    <cellStyle name="Standard 10 4 2 2 2 2" xfId="9473" xr:uid="{00000000-0005-0000-0000-000012250000}"/>
    <cellStyle name="Standard 10 4 2 2 2 3" xfId="9474" xr:uid="{00000000-0005-0000-0000-000013250000}"/>
    <cellStyle name="Standard 10 4 2 2 3" xfId="9475" xr:uid="{00000000-0005-0000-0000-000014250000}"/>
    <cellStyle name="Standard 10 4 2 2 3 2" xfId="9476" xr:uid="{00000000-0005-0000-0000-000015250000}"/>
    <cellStyle name="Standard 10 4 2 2 3 3" xfId="9477" xr:uid="{00000000-0005-0000-0000-000016250000}"/>
    <cellStyle name="Standard 10 4 2 2 4" xfId="9478" xr:uid="{00000000-0005-0000-0000-000017250000}"/>
    <cellStyle name="Standard 10 4 2 2 4 2" xfId="9479" xr:uid="{00000000-0005-0000-0000-000018250000}"/>
    <cellStyle name="Standard 10 4 2 2 5" xfId="9480" xr:uid="{00000000-0005-0000-0000-000019250000}"/>
    <cellStyle name="Standard 10 4 2 2 6" xfId="9481" xr:uid="{00000000-0005-0000-0000-00001A250000}"/>
    <cellStyle name="Standard 10 4 2 3" xfId="9482" xr:uid="{00000000-0005-0000-0000-00001B250000}"/>
    <cellStyle name="Standard 10 4 2 3 2" xfId="9483" xr:uid="{00000000-0005-0000-0000-00001C250000}"/>
    <cellStyle name="Standard 10 4 2 3 3" xfId="9484" xr:uid="{00000000-0005-0000-0000-00001D250000}"/>
    <cellStyle name="Standard 10 4 2 4" xfId="9485" xr:uid="{00000000-0005-0000-0000-00001E250000}"/>
    <cellStyle name="Standard 10 4 2 4 2" xfId="9486" xr:uid="{00000000-0005-0000-0000-00001F250000}"/>
    <cellStyle name="Standard 10 4 2 4 3" xfId="9487" xr:uid="{00000000-0005-0000-0000-000020250000}"/>
    <cellStyle name="Standard 10 4 2 5" xfId="9488" xr:uid="{00000000-0005-0000-0000-000021250000}"/>
    <cellStyle name="Standard 10 4 2 5 2" xfId="9489" xr:uid="{00000000-0005-0000-0000-000022250000}"/>
    <cellStyle name="Standard 10 4 2 6" xfId="9490" xr:uid="{00000000-0005-0000-0000-000023250000}"/>
    <cellStyle name="Standard 10 4 2 7" xfId="9491" xr:uid="{00000000-0005-0000-0000-000024250000}"/>
    <cellStyle name="Standard 10 4 3" xfId="9492" xr:uid="{00000000-0005-0000-0000-000025250000}"/>
    <cellStyle name="Standard 10 4 3 2" xfId="9493" xr:uid="{00000000-0005-0000-0000-000026250000}"/>
    <cellStyle name="Standard 10 4 3 2 2" xfId="9494" xr:uid="{00000000-0005-0000-0000-000027250000}"/>
    <cellStyle name="Standard 10 4 3 2 3" xfId="9495" xr:uid="{00000000-0005-0000-0000-000028250000}"/>
    <cellStyle name="Standard 10 4 3 3" xfId="9496" xr:uid="{00000000-0005-0000-0000-000029250000}"/>
    <cellStyle name="Standard 10 4 3 3 2" xfId="9497" xr:uid="{00000000-0005-0000-0000-00002A250000}"/>
    <cellStyle name="Standard 10 4 3 3 3" xfId="9498" xr:uid="{00000000-0005-0000-0000-00002B250000}"/>
    <cellStyle name="Standard 10 4 3 4" xfId="9499" xr:uid="{00000000-0005-0000-0000-00002C250000}"/>
    <cellStyle name="Standard 10 4 3 4 2" xfId="9500" xr:uid="{00000000-0005-0000-0000-00002D250000}"/>
    <cellStyle name="Standard 10 4 3 5" xfId="9501" xr:uid="{00000000-0005-0000-0000-00002E250000}"/>
    <cellStyle name="Standard 10 4 3 6" xfId="9502" xr:uid="{00000000-0005-0000-0000-00002F250000}"/>
    <cellStyle name="Standard 10 4 4" xfId="9503" xr:uid="{00000000-0005-0000-0000-000030250000}"/>
    <cellStyle name="Standard 10 4 4 2" xfId="9504" xr:uid="{00000000-0005-0000-0000-000031250000}"/>
    <cellStyle name="Standard 10 4 4 3" xfId="9505" xr:uid="{00000000-0005-0000-0000-000032250000}"/>
    <cellStyle name="Standard 10 4 5" xfId="9506" xr:uid="{00000000-0005-0000-0000-000033250000}"/>
    <cellStyle name="Standard 10 4 5 2" xfId="9507" xr:uid="{00000000-0005-0000-0000-000034250000}"/>
    <cellStyle name="Standard 10 4 5 3" xfId="9508" xr:uid="{00000000-0005-0000-0000-000035250000}"/>
    <cellStyle name="Standard 10 4 6" xfId="9509" xr:uid="{00000000-0005-0000-0000-000036250000}"/>
    <cellStyle name="Standard 10 4 6 2" xfId="9510" xr:uid="{00000000-0005-0000-0000-000037250000}"/>
    <cellStyle name="Standard 10 4 7" xfId="9511" xr:uid="{00000000-0005-0000-0000-000038250000}"/>
    <cellStyle name="Standard 10 4 8" xfId="9512" xr:uid="{00000000-0005-0000-0000-000039250000}"/>
    <cellStyle name="Standard 10 5" xfId="9513" xr:uid="{00000000-0005-0000-0000-00003A250000}"/>
    <cellStyle name="Standard 10 5 2" xfId="9514" xr:uid="{00000000-0005-0000-0000-00003B250000}"/>
    <cellStyle name="Standard 10 5 2 2" xfId="9515" xr:uid="{00000000-0005-0000-0000-00003C250000}"/>
    <cellStyle name="Standard 10 5 2 2 2" xfId="9516" xr:uid="{00000000-0005-0000-0000-00003D250000}"/>
    <cellStyle name="Standard 10 5 2 2 2 2" xfId="9517" xr:uid="{00000000-0005-0000-0000-00003E250000}"/>
    <cellStyle name="Standard 10 5 2 2 2 3" xfId="9518" xr:uid="{00000000-0005-0000-0000-00003F250000}"/>
    <cellStyle name="Standard 10 5 2 2 3" xfId="9519" xr:uid="{00000000-0005-0000-0000-000040250000}"/>
    <cellStyle name="Standard 10 5 2 2 3 2" xfId="9520" xr:uid="{00000000-0005-0000-0000-000041250000}"/>
    <cellStyle name="Standard 10 5 2 2 3 3" xfId="9521" xr:uid="{00000000-0005-0000-0000-000042250000}"/>
    <cellStyle name="Standard 10 5 2 2 4" xfId="9522" xr:uid="{00000000-0005-0000-0000-000043250000}"/>
    <cellStyle name="Standard 10 5 2 2 4 2" xfId="9523" xr:uid="{00000000-0005-0000-0000-000044250000}"/>
    <cellStyle name="Standard 10 5 2 2 5" xfId="9524" xr:uid="{00000000-0005-0000-0000-000045250000}"/>
    <cellStyle name="Standard 10 5 2 2 6" xfId="9525" xr:uid="{00000000-0005-0000-0000-000046250000}"/>
    <cellStyle name="Standard 10 5 2 3" xfId="9526" xr:uid="{00000000-0005-0000-0000-000047250000}"/>
    <cellStyle name="Standard 10 5 2 3 2" xfId="9527" xr:uid="{00000000-0005-0000-0000-000048250000}"/>
    <cellStyle name="Standard 10 5 2 3 3" xfId="9528" xr:uid="{00000000-0005-0000-0000-000049250000}"/>
    <cellStyle name="Standard 10 5 2 4" xfId="9529" xr:uid="{00000000-0005-0000-0000-00004A250000}"/>
    <cellStyle name="Standard 10 5 2 4 2" xfId="9530" xr:uid="{00000000-0005-0000-0000-00004B250000}"/>
    <cellStyle name="Standard 10 5 2 4 3" xfId="9531" xr:uid="{00000000-0005-0000-0000-00004C250000}"/>
    <cellStyle name="Standard 10 5 2 5" xfId="9532" xr:uid="{00000000-0005-0000-0000-00004D250000}"/>
    <cellStyle name="Standard 10 5 2 5 2" xfId="9533" xr:uid="{00000000-0005-0000-0000-00004E250000}"/>
    <cellStyle name="Standard 10 5 2 6" xfId="9534" xr:uid="{00000000-0005-0000-0000-00004F250000}"/>
    <cellStyle name="Standard 10 5 2 7" xfId="9535" xr:uid="{00000000-0005-0000-0000-000050250000}"/>
    <cellStyle name="Standard 10 5 3" xfId="9536" xr:uid="{00000000-0005-0000-0000-000051250000}"/>
    <cellStyle name="Standard 10 5 3 2" xfId="9537" xr:uid="{00000000-0005-0000-0000-000052250000}"/>
    <cellStyle name="Standard 10 5 3 2 2" xfId="9538" xr:uid="{00000000-0005-0000-0000-000053250000}"/>
    <cellStyle name="Standard 10 5 3 2 3" xfId="9539" xr:uid="{00000000-0005-0000-0000-000054250000}"/>
    <cellStyle name="Standard 10 5 3 3" xfId="9540" xr:uid="{00000000-0005-0000-0000-000055250000}"/>
    <cellStyle name="Standard 10 5 3 3 2" xfId="9541" xr:uid="{00000000-0005-0000-0000-000056250000}"/>
    <cellStyle name="Standard 10 5 3 3 3" xfId="9542" xr:uid="{00000000-0005-0000-0000-000057250000}"/>
    <cellStyle name="Standard 10 5 3 4" xfId="9543" xr:uid="{00000000-0005-0000-0000-000058250000}"/>
    <cellStyle name="Standard 10 5 3 4 2" xfId="9544" xr:uid="{00000000-0005-0000-0000-000059250000}"/>
    <cellStyle name="Standard 10 5 3 5" xfId="9545" xr:uid="{00000000-0005-0000-0000-00005A250000}"/>
    <cellStyle name="Standard 10 5 3 6" xfId="9546" xr:uid="{00000000-0005-0000-0000-00005B250000}"/>
    <cellStyle name="Standard 10 5 4" xfId="9547" xr:uid="{00000000-0005-0000-0000-00005C250000}"/>
    <cellStyle name="Standard 10 5 4 2" xfId="9548" xr:uid="{00000000-0005-0000-0000-00005D250000}"/>
    <cellStyle name="Standard 10 5 4 3" xfId="9549" xr:uid="{00000000-0005-0000-0000-00005E250000}"/>
    <cellStyle name="Standard 10 5 5" xfId="9550" xr:uid="{00000000-0005-0000-0000-00005F250000}"/>
    <cellStyle name="Standard 10 5 5 2" xfId="9551" xr:uid="{00000000-0005-0000-0000-000060250000}"/>
    <cellStyle name="Standard 10 5 5 3" xfId="9552" xr:uid="{00000000-0005-0000-0000-000061250000}"/>
    <cellStyle name="Standard 10 5 6" xfId="9553" xr:uid="{00000000-0005-0000-0000-000062250000}"/>
    <cellStyle name="Standard 10 5 6 2" xfId="9554" xr:uid="{00000000-0005-0000-0000-000063250000}"/>
    <cellStyle name="Standard 10 5 7" xfId="9555" xr:uid="{00000000-0005-0000-0000-000064250000}"/>
    <cellStyle name="Standard 10 5 8" xfId="9556" xr:uid="{00000000-0005-0000-0000-000065250000}"/>
    <cellStyle name="Standard 10 6" xfId="9557" xr:uid="{00000000-0005-0000-0000-000066250000}"/>
    <cellStyle name="Standard 10 6 2" xfId="9558" xr:uid="{00000000-0005-0000-0000-000067250000}"/>
    <cellStyle name="Standard 10 6 2 2" xfId="9559" xr:uid="{00000000-0005-0000-0000-000068250000}"/>
    <cellStyle name="Standard 10 6 2 2 2" xfId="9560" xr:uid="{00000000-0005-0000-0000-000069250000}"/>
    <cellStyle name="Standard 10 6 2 2 3" xfId="9561" xr:uid="{00000000-0005-0000-0000-00006A250000}"/>
    <cellStyle name="Standard 10 6 2 3" xfId="9562" xr:uid="{00000000-0005-0000-0000-00006B250000}"/>
    <cellStyle name="Standard 10 6 2 3 2" xfId="9563" xr:uid="{00000000-0005-0000-0000-00006C250000}"/>
    <cellStyle name="Standard 10 6 2 3 3" xfId="9564" xr:uid="{00000000-0005-0000-0000-00006D250000}"/>
    <cellStyle name="Standard 10 6 2 4" xfId="9565" xr:uid="{00000000-0005-0000-0000-00006E250000}"/>
    <cellStyle name="Standard 10 6 2 4 2" xfId="9566" xr:uid="{00000000-0005-0000-0000-00006F250000}"/>
    <cellStyle name="Standard 10 6 2 5" xfId="9567" xr:uid="{00000000-0005-0000-0000-000070250000}"/>
    <cellStyle name="Standard 10 6 2 6" xfId="9568" xr:uid="{00000000-0005-0000-0000-000071250000}"/>
    <cellStyle name="Standard 10 6 3" xfId="9569" xr:uid="{00000000-0005-0000-0000-000072250000}"/>
    <cellStyle name="Standard 10 6 3 2" xfId="9570" xr:uid="{00000000-0005-0000-0000-000073250000}"/>
    <cellStyle name="Standard 10 6 3 3" xfId="9571" xr:uid="{00000000-0005-0000-0000-000074250000}"/>
    <cellStyle name="Standard 10 6 4" xfId="9572" xr:uid="{00000000-0005-0000-0000-000075250000}"/>
    <cellStyle name="Standard 10 6 4 2" xfId="9573" xr:uid="{00000000-0005-0000-0000-000076250000}"/>
    <cellStyle name="Standard 10 6 4 3" xfId="9574" xr:uid="{00000000-0005-0000-0000-000077250000}"/>
    <cellStyle name="Standard 10 6 5" xfId="9575" xr:uid="{00000000-0005-0000-0000-000078250000}"/>
    <cellStyle name="Standard 10 6 5 2" xfId="9576" xr:uid="{00000000-0005-0000-0000-000079250000}"/>
    <cellStyle name="Standard 10 6 6" xfId="9577" xr:uid="{00000000-0005-0000-0000-00007A250000}"/>
    <cellStyle name="Standard 10 6 7" xfId="9578" xr:uid="{00000000-0005-0000-0000-00007B250000}"/>
    <cellStyle name="Standard 10 7" xfId="9579" xr:uid="{00000000-0005-0000-0000-00007C250000}"/>
    <cellStyle name="Standard 10 7 2" xfId="9580" xr:uid="{00000000-0005-0000-0000-00007D250000}"/>
    <cellStyle name="Standard 10 7 2 2" xfId="9581" xr:uid="{00000000-0005-0000-0000-00007E250000}"/>
    <cellStyle name="Standard 10 7 2 3" xfId="9582" xr:uid="{00000000-0005-0000-0000-00007F250000}"/>
    <cellStyle name="Standard 10 7 3" xfId="9583" xr:uid="{00000000-0005-0000-0000-000080250000}"/>
    <cellStyle name="Standard 10 7 3 2" xfId="9584" xr:uid="{00000000-0005-0000-0000-000081250000}"/>
    <cellStyle name="Standard 10 7 3 3" xfId="9585" xr:uid="{00000000-0005-0000-0000-000082250000}"/>
    <cellStyle name="Standard 10 7 4" xfId="9586" xr:uid="{00000000-0005-0000-0000-000083250000}"/>
    <cellStyle name="Standard 10 7 4 2" xfId="9587" xr:uid="{00000000-0005-0000-0000-000084250000}"/>
    <cellStyle name="Standard 10 7 5" xfId="9588" xr:uid="{00000000-0005-0000-0000-000085250000}"/>
    <cellStyle name="Standard 10 7 6" xfId="9589" xr:uid="{00000000-0005-0000-0000-000086250000}"/>
    <cellStyle name="Standard 10 8" xfId="9590" xr:uid="{00000000-0005-0000-0000-000087250000}"/>
    <cellStyle name="Standard 10 8 2" xfId="9591" xr:uid="{00000000-0005-0000-0000-000088250000}"/>
    <cellStyle name="Standard 10 8 3" xfId="9592" xr:uid="{00000000-0005-0000-0000-000089250000}"/>
    <cellStyle name="Standard 10 9" xfId="9593" xr:uid="{00000000-0005-0000-0000-00008A250000}"/>
    <cellStyle name="Standard 10 9 2" xfId="9594" xr:uid="{00000000-0005-0000-0000-00008B250000}"/>
    <cellStyle name="Standard 10 9 3" xfId="9595" xr:uid="{00000000-0005-0000-0000-00008C250000}"/>
    <cellStyle name="Standard 100" xfId="493" xr:uid="{00000000-0005-0000-0000-00008D250000}"/>
    <cellStyle name="Standard 101" xfId="494" xr:uid="{00000000-0005-0000-0000-00008E250000}"/>
    <cellStyle name="Standard 101 2" xfId="495" xr:uid="{00000000-0005-0000-0000-00008F250000}"/>
    <cellStyle name="Standard 101 3" xfId="496" xr:uid="{00000000-0005-0000-0000-000090250000}"/>
    <cellStyle name="Standard 101 3 2" xfId="497" xr:uid="{00000000-0005-0000-0000-000091250000}"/>
    <cellStyle name="Standard 102" xfId="498" xr:uid="{00000000-0005-0000-0000-000092250000}"/>
    <cellStyle name="Standard 102 2" xfId="499" xr:uid="{00000000-0005-0000-0000-000093250000}"/>
    <cellStyle name="Standard 103" xfId="27" xr:uid="{00000000-0005-0000-0000-000094250000}"/>
    <cellStyle name="Standard 103 2" xfId="789" xr:uid="{00000000-0005-0000-0000-000095250000}"/>
    <cellStyle name="Standard 104" xfId="9596" xr:uid="{00000000-0005-0000-0000-000096250000}"/>
    <cellStyle name="Standard 105" xfId="9597" xr:uid="{00000000-0005-0000-0000-000097250000}"/>
    <cellStyle name="Standard 106" xfId="9598" xr:uid="{00000000-0005-0000-0000-000098250000}"/>
    <cellStyle name="Standard 107" xfId="9599" xr:uid="{00000000-0005-0000-0000-000099250000}"/>
    <cellStyle name="Standard 108" xfId="9600" xr:uid="{00000000-0005-0000-0000-00009A250000}"/>
    <cellStyle name="Standard 109" xfId="9601" xr:uid="{00000000-0005-0000-0000-00009B250000}"/>
    <cellStyle name="Standard 11" xfId="500" xr:uid="{00000000-0005-0000-0000-00009C250000}"/>
    <cellStyle name="Standard 11 2" xfId="501" xr:uid="{00000000-0005-0000-0000-00009D250000}"/>
    <cellStyle name="Standard 11 2 2" xfId="33109" xr:uid="{00000000-0005-0000-0000-00009E250000}"/>
    <cellStyle name="Standard 11 2 2 2" xfId="33429" xr:uid="{00000000-0005-0000-0000-00009F250000}"/>
    <cellStyle name="Standard 11 2 3" xfId="33184" xr:uid="{00000000-0005-0000-0000-0000A0250000}"/>
    <cellStyle name="Standard 11 2 4" xfId="33259" xr:uid="{00000000-0005-0000-0000-0000A1250000}"/>
    <cellStyle name="Standard 11 2 5" xfId="33334" xr:uid="{00000000-0005-0000-0000-0000A2250000}"/>
    <cellStyle name="Standard 11 2 6" xfId="33428" xr:uid="{00000000-0005-0000-0000-0000A3250000}"/>
    <cellStyle name="Standard 11 3" xfId="9602" xr:uid="{00000000-0005-0000-0000-0000A4250000}"/>
    <cellStyle name="Standard 11 3 2" xfId="33430" xr:uid="{00000000-0005-0000-0000-0000A5250000}"/>
    <cellStyle name="Standard 11 4" xfId="9603" xr:uid="{00000000-0005-0000-0000-0000A6250000}"/>
    <cellStyle name="Standard 11 4 2" xfId="9604" xr:uid="{00000000-0005-0000-0000-0000A7250000}"/>
    <cellStyle name="Standard 11 4 3" xfId="9605" xr:uid="{00000000-0005-0000-0000-0000A8250000}"/>
    <cellStyle name="Standard 11 5" xfId="33108" xr:uid="{00000000-0005-0000-0000-0000A9250000}"/>
    <cellStyle name="Standard 11 6" xfId="33183" xr:uid="{00000000-0005-0000-0000-0000AA250000}"/>
    <cellStyle name="Standard 11 7" xfId="33258" xr:uid="{00000000-0005-0000-0000-0000AB250000}"/>
    <cellStyle name="Standard 11 8" xfId="33333" xr:uid="{00000000-0005-0000-0000-0000AC250000}"/>
    <cellStyle name="Standard 11 9" xfId="33427" xr:uid="{00000000-0005-0000-0000-0000AD250000}"/>
    <cellStyle name="Standard 110" xfId="9606" xr:uid="{00000000-0005-0000-0000-0000AE250000}"/>
    <cellStyle name="Standard 111" xfId="9607" xr:uid="{00000000-0005-0000-0000-0000AF250000}"/>
    <cellStyle name="Standard 112" xfId="9608" xr:uid="{00000000-0005-0000-0000-0000B0250000}"/>
    <cellStyle name="Standard 113" xfId="9609" xr:uid="{00000000-0005-0000-0000-0000B1250000}"/>
    <cellStyle name="Standard 114" xfId="9610" xr:uid="{00000000-0005-0000-0000-0000B2250000}"/>
    <cellStyle name="Standard 115" xfId="9611" xr:uid="{00000000-0005-0000-0000-0000B3250000}"/>
    <cellStyle name="Standard 116" xfId="9612" xr:uid="{00000000-0005-0000-0000-0000B4250000}"/>
    <cellStyle name="Standard 117" xfId="9613" xr:uid="{00000000-0005-0000-0000-0000B5250000}"/>
    <cellStyle name="Standard 118" xfId="9614" xr:uid="{00000000-0005-0000-0000-0000B6250000}"/>
    <cellStyle name="Standard 119" xfId="9615" xr:uid="{00000000-0005-0000-0000-0000B7250000}"/>
    <cellStyle name="Standard 12" xfId="502" xr:uid="{00000000-0005-0000-0000-0000B8250000}"/>
    <cellStyle name="Standard 12 10" xfId="9616" xr:uid="{00000000-0005-0000-0000-0000B9250000}"/>
    <cellStyle name="Standard 12 11" xfId="9617" xr:uid="{00000000-0005-0000-0000-0000BA250000}"/>
    <cellStyle name="Standard 12 12" xfId="33431" xr:uid="{00000000-0005-0000-0000-0000BB250000}"/>
    <cellStyle name="Standard 12 2" xfId="9618" xr:uid="{00000000-0005-0000-0000-0000BC250000}"/>
    <cellStyle name="Standard 12 2 2" xfId="9619" xr:uid="{00000000-0005-0000-0000-0000BD250000}"/>
    <cellStyle name="Standard 12 2 2 2" xfId="9620" xr:uid="{00000000-0005-0000-0000-0000BE250000}"/>
    <cellStyle name="Standard 12 2 2 2 2" xfId="9621" xr:uid="{00000000-0005-0000-0000-0000BF250000}"/>
    <cellStyle name="Standard 12 2 2 2 2 2" xfId="9622" xr:uid="{00000000-0005-0000-0000-0000C0250000}"/>
    <cellStyle name="Standard 12 2 2 2 2 3" xfId="9623" xr:uid="{00000000-0005-0000-0000-0000C1250000}"/>
    <cellStyle name="Standard 12 2 2 2 3" xfId="9624" xr:uid="{00000000-0005-0000-0000-0000C2250000}"/>
    <cellStyle name="Standard 12 2 2 2 3 2" xfId="9625" xr:uid="{00000000-0005-0000-0000-0000C3250000}"/>
    <cellStyle name="Standard 12 2 2 2 3 3" xfId="9626" xr:uid="{00000000-0005-0000-0000-0000C4250000}"/>
    <cellStyle name="Standard 12 2 2 2 4" xfId="9627" xr:uid="{00000000-0005-0000-0000-0000C5250000}"/>
    <cellStyle name="Standard 12 2 2 2 4 2" xfId="9628" xr:uid="{00000000-0005-0000-0000-0000C6250000}"/>
    <cellStyle name="Standard 12 2 2 2 5" xfId="9629" xr:uid="{00000000-0005-0000-0000-0000C7250000}"/>
    <cellStyle name="Standard 12 2 2 2 6" xfId="9630" xr:uid="{00000000-0005-0000-0000-0000C8250000}"/>
    <cellStyle name="Standard 12 2 2 3" xfId="9631" xr:uid="{00000000-0005-0000-0000-0000C9250000}"/>
    <cellStyle name="Standard 12 2 2 3 2" xfId="9632" xr:uid="{00000000-0005-0000-0000-0000CA250000}"/>
    <cellStyle name="Standard 12 2 2 3 3" xfId="9633" xr:uid="{00000000-0005-0000-0000-0000CB250000}"/>
    <cellStyle name="Standard 12 2 2 4" xfId="9634" xr:uid="{00000000-0005-0000-0000-0000CC250000}"/>
    <cellStyle name="Standard 12 2 2 4 2" xfId="9635" xr:uid="{00000000-0005-0000-0000-0000CD250000}"/>
    <cellStyle name="Standard 12 2 2 4 3" xfId="9636" xr:uid="{00000000-0005-0000-0000-0000CE250000}"/>
    <cellStyle name="Standard 12 2 2 5" xfId="9637" xr:uid="{00000000-0005-0000-0000-0000CF250000}"/>
    <cellStyle name="Standard 12 2 2 5 2" xfId="9638" xr:uid="{00000000-0005-0000-0000-0000D0250000}"/>
    <cellStyle name="Standard 12 2 2 6" xfId="9639" xr:uid="{00000000-0005-0000-0000-0000D1250000}"/>
    <cellStyle name="Standard 12 2 2 7" xfId="9640" xr:uid="{00000000-0005-0000-0000-0000D2250000}"/>
    <cellStyle name="Standard 12 2 3" xfId="9641" xr:uid="{00000000-0005-0000-0000-0000D3250000}"/>
    <cellStyle name="Standard 12 2 3 2" xfId="9642" xr:uid="{00000000-0005-0000-0000-0000D4250000}"/>
    <cellStyle name="Standard 12 2 3 2 2" xfId="9643" xr:uid="{00000000-0005-0000-0000-0000D5250000}"/>
    <cellStyle name="Standard 12 2 3 2 3" xfId="9644" xr:uid="{00000000-0005-0000-0000-0000D6250000}"/>
    <cellStyle name="Standard 12 2 3 3" xfId="9645" xr:uid="{00000000-0005-0000-0000-0000D7250000}"/>
    <cellStyle name="Standard 12 2 3 3 2" xfId="9646" xr:uid="{00000000-0005-0000-0000-0000D8250000}"/>
    <cellStyle name="Standard 12 2 3 3 3" xfId="9647" xr:uid="{00000000-0005-0000-0000-0000D9250000}"/>
    <cellStyle name="Standard 12 2 3 4" xfId="9648" xr:uid="{00000000-0005-0000-0000-0000DA250000}"/>
    <cellStyle name="Standard 12 2 3 4 2" xfId="9649" xr:uid="{00000000-0005-0000-0000-0000DB250000}"/>
    <cellStyle name="Standard 12 2 3 5" xfId="9650" xr:uid="{00000000-0005-0000-0000-0000DC250000}"/>
    <cellStyle name="Standard 12 2 3 6" xfId="9651" xr:uid="{00000000-0005-0000-0000-0000DD250000}"/>
    <cellStyle name="Standard 12 2 4" xfId="9652" xr:uid="{00000000-0005-0000-0000-0000DE250000}"/>
    <cellStyle name="Standard 12 2 4 2" xfId="9653" xr:uid="{00000000-0005-0000-0000-0000DF250000}"/>
    <cellStyle name="Standard 12 2 4 3" xfId="9654" xr:uid="{00000000-0005-0000-0000-0000E0250000}"/>
    <cellStyle name="Standard 12 2 5" xfId="9655" xr:uid="{00000000-0005-0000-0000-0000E1250000}"/>
    <cellStyle name="Standard 12 2 5 2" xfId="9656" xr:uid="{00000000-0005-0000-0000-0000E2250000}"/>
    <cellStyle name="Standard 12 2 5 3" xfId="9657" xr:uid="{00000000-0005-0000-0000-0000E3250000}"/>
    <cellStyle name="Standard 12 2 6" xfId="9658" xr:uid="{00000000-0005-0000-0000-0000E4250000}"/>
    <cellStyle name="Standard 12 2 6 2" xfId="9659" xr:uid="{00000000-0005-0000-0000-0000E5250000}"/>
    <cellStyle name="Standard 12 2 7" xfId="9660" xr:uid="{00000000-0005-0000-0000-0000E6250000}"/>
    <cellStyle name="Standard 12 2 8" xfId="9661" xr:uid="{00000000-0005-0000-0000-0000E7250000}"/>
    <cellStyle name="Standard 12 2 9" xfId="33432" xr:uid="{00000000-0005-0000-0000-0000E8250000}"/>
    <cellStyle name="Standard 12 3" xfId="9662" xr:uid="{00000000-0005-0000-0000-0000E9250000}"/>
    <cellStyle name="Standard 12 3 2" xfId="9663" xr:uid="{00000000-0005-0000-0000-0000EA250000}"/>
    <cellStyle name="Standard 12 3 2 2" xfId="9664" xr:uid="{00000000-0005-0000-0000-0000EB250000}"/>
    <cellStyle name="Standard 12 3 2 2 2" xfId="9665" xr:uid="{00000000-0005-0000-0000-0000EC250000}"/>
    <cellStyle name="Standard 12 3 2 2 2 2" xfId="9666" xr:uid="{00000000-0005-0000-0000-0000ED250000}"/>
    <cellStyle name="Standard 12 3 2 2 2 3" xfId="9667" xr:uid="{00000000-0005-0000-0000-0000EE250000}"/>
    <cellStyle name="Standard 12 3 2 2 3" xfId="9668" xr:uid="{00000000-0005-0000-0000-0000EF250000}"/>
    <cellStyle name="Standard 12 3 2 2 3 2" xfId="9669" xr:uid="{00000000-0005-0000-0000-0000F0250000}"/>
    <cellStyle name="Standard 12 3 2 2 3 3" xfId="9670" xr:uid="{00000000-0005-0000-0000-0000F1250000}"/>
    <cellStyle name="Standard 12 3 2 2 4" xfId="9671" xr:uid="{00000000-0005-0000-0000-0000F2250000}"/>
    <cellStyle name="Standard 12 3 2 2 4 2" xfId="9672" xr:uid="{00000000-0005-0000-0000-0000F3250000}"/>
    <cellStyle name="Standard 12 3 2 2 5" xfId="9673" xr:uid="{00000000-0005-0000-0000-0000F4250000}"/>
    <cellStyle name="Standard 12 3 2 2 6" xfId="9674" xr:uid="{00000000-0005-0000-0000-0000F5250000}"/>
    <cellStyle name="Standard 12 3 2 3" xfId="9675" xr:uid="{00000000-0005-0000-0000-0000F6250000}"/>
    <cellStyle name="Standard 12 3 2 3 2" xfId="9676" xr:uid="{00000000-0005-0000-0000-0000F7250000}"/>
    <cellStyle name="Standard 12 3 2 3 3" xfId="9677" xr:uid="{00000000-0005-0000-0000-0000F8250000}"/>
    <cellStyle name="Standard 12 3 2 4" xfId="9678" xr:uid="{00000000-0005-0000-0000-0000F9250000}"/>
    <cellStyle name="Standard 12 3 2 4 2" xfId="9679" xr:uid="{00000000-0005-0000-0000-0000FA250000}"/>
    <cellStyle name="Standard 12 3 2 4 3" xfId="9680" xr:uid="{00000000-0005-0000-0000-0000FB250000}"/>
    <cellStyle name="Standard 12 3 2 5" xfId="9681" xr:uid="{00000000-0005-0000-0000-0000FC250000}"/>
    <cellStyle name="Standard 12 3 2 5 2" xfId="9682" xr:uid="{00000000-0005-0000-0000-0000FD250000}"/>
    <cellStyle name="Standard 12 3 2 6" xfId="9683" xr:uid="{00000000-0005-0000-0000-0000FE250000}"/>
    <cellStyle name="Standard 12 3 2 7" xfId="9684" xr:uid="{00000000-0005-0000-0000-0000FF250000}"/>
    <cellStyle name="Standard 12 3 3" xfId="9685" xr:uid="{00000000-0005-0000-0000-000000260000}"/>
    <cellStyle name="Standard 12 3 3 2" xfId="9686" xr:uid="{00000000-0005-0000-0000-000001260000}"/>
    <cellStyle name="Standard 12 3 3 2 2" xfId="9687" xr:uid="{00000000-0005-0000-0000-000002260000}"/>
    <cellStyle name="Standard 12 3 3 2 3" xfId="9688" xr:uid="{00000000-0005-0000-0000-000003260000}"/>
    <cellStyle name="Standard 12 3 3 3" xfId="9689" xr:uid="{00000000-0005-0000-0000-000004260000}"/>
    <cellStyle name="Standard 12 3 3 3 2" xfId="9690" xr:uid="{00000000-0005-0000-0000-000005260000}"/>
    <cellStyle name="Standard 12 3 3 3 3" xfId="9691" xr:uid="{00000000-0005-0000-0000-000006260000}"/>
    <cellStyle name="Standard 12 3 3 4" xfId="9692" xr:uid="{00000000-0005-0000-0000-000007260000}"/>
    <cellStyle name="Standard 12 3 3 4 2" xfId="9693" xr:uid="{00000000-0005-0000-0000-000008260000}"/>
    <cellStyle name="Standard 12 3 3 5" xfId="9694" xr:uid="{00000000-0005-0000-0000-000009260000}"/>
    <cellStyle name="Standard 12 3 3 6" xfId="9695" xr:uid="{00000000-0005-0000-0000-00000A260000}"/>
    <cellStyle name="Standard 12 3 4" xfId="9696" xr:uid="{00000000-0005-0000-0000-00000B260000}"/>
    <cellStyle name="Standard 12 3 4 2" xfId="9697" xr:uid="{00000000-0005-0000-0000-00000C260000}"/>
    <cellStyle name="Standard 12 3 4 3" xfId="9698" xr:uid="{00000000-0005-0000-0000-00000D260000}"/>
    <cellStyle name="Standard 12 3 5" xfId="9699" xr:uid="{00000000-0005-0000-0000-00000E260000}"/>
    <cellStyle name="Standard 12 3 5 2" xfId="9700" xr:uid="{00000000-0005-0000-0000-00000F260000}"/>
    <cellStyle name="Standard 12 3 5 3" xfId="9701" xr:uid="{00000000-0005-0000-0000-000010260000}"/>
    <cellStyle name="Standard 12 3 6" xfId="9702" xr:uid="{00000000-0005-0000-0000-000011260000}"/>
    <cellStyle name="Standard 12 3 6 2" xfId="9703" xr:uid="{00000000-0005-0000-0000-000012260000}"/>
    <cellStyle name="Standard 12 3 7" xfId="9704" xr:uid="{00000000-0005-0000-0000-000013260000}"/>
    <cellStyle name="Standard 12 3 8" xfId="9705" xr:uid="{00000000-0005-0000-0000-000014260000}"/>
    <cellStyle name="Standard 12 4" xfId="9706" xr:uid="{00000000-0005-0000-0000-000015260000}"/>
    <cellStyle name="Standard 12 4 2" xfId="9707" xr:uid="{00000000-0005-0000-0000-000016260000}"/>
    <cellStyle name="Standard 12 4 2 2" xfId="9708" xr:uid="{00000000-0005-0000-0000-000017260000}"/>
    <cellStyle name="Standard 12 4 2 2 2" xfId="9709" xr:uid="{00000000-0005-0000-0000-000018260000}"/>
    <cellStyle name="Standard 12 4 2 2 3" xfId="9710" xr:uid="{00000000-0005-0000-0000-000019260000}"/>
    <cellStyle name="Standard 12 4 2 3" xfId="9711" xr:uid="{00000000-0005-0000-0000-00001A260000}"/>
    <cellStyle name="Standard 12 4 2 3 2" xfId="9712" xr:uid="{00000000-0005-0000-0000-00001B260000}"/>
    <cellStyle name="Standard 12 4 2 3 3" xfId="9713" xr:uid="{00000000-0005-0000-0000-00001C260000}"/>
    <cellStyle name="Standard 12 4 2 4" xfId="9714" xr:uid="{00000000-0005-0000-0000-00001D260000}"/>
    <cellStyle name="Standard 12 4 2 4 2" xfId="9715" xr:uid="{00000000-0005-0000-0000-00001E260000}"/>
    <cellStyle name="Standard 12 4 2 5" xfId="9716" xr:uid="{00000000-0005-0000-0000-00001F260000}"/>
    <cellStyle name="Standard 12 4 2 6" xfId="9717" xr:uid="{00000000-0005-0000-0000-000020260000}"/>
    <cellStyle name="Standard 12 4 3" xfId="9718" xr:uid="{00000000-0005-0000-0000-000021260000}"/>
    <cellStyle name="Standard 12 4 3 2" xfId="9719" xr:uid="{00000000-0005-0000-0000-000022260000}"/>
    <cellStyle name="Standard 12 4 3 3" xfId="9720" xr:uid="{00000000-0005-0000-0000-000023260000}"/>
    <cellStyle name="Standard 12 4 4" xfId="9721" xr:uid="{00000000-0005-0000-0000-000024260000}"/>
    <cellStyle name="Standard 12 4 4 2" xfId="9722" xr:uid="{00000000-0005-0000-0000-000025260000}"/>
    <cellStyle name="Standard 12 4 4 3" xfId="9723" xr:uid="{00000000-0005-0000-0000-000026260000}"/>
    <cellStyle name="Standard 12 4 5" xfId="9724" xr:uid="{00000000-0005-0000-0000-000027260000}"/>
    <cellStyle name="Standard 12 4 5 2" xfId="9725" xr:uid="{00000000-0005-0000-0000-000028260000}"/>
    <cellStyle name="Standard 12 4 6" xfId="9726" xr:uid="{00000000-0005-0000-0000-000029260000}"/>
    <cellStyle name="Standard 12 4 7" xfId="9727" xr:uid="{00000000-0005-0000-0000-00002A260000}"/>
    <cellStyle name="Standard 12 5" xfId="9728" xr:uid="{00000000-0005-0000-0000-00002B260000}"/>
    <cellStyle name="Standard 12 5 2" xfId="9729" xr:uid="{00000000-0005-0000-0000-00002C260000}"/>
    <cellStyle name="Standard 12 5 2 2" xfId="9730" xr:uid="{00000000-0005-0000-0000-00002D260000}"/>
    <cellStyle name="Standard 12 5 2 3" xfId="9731" xr:uid="{00000000-0005-0000-0000-00002E260000}"/>
    <cellStyle name="Standard 12 5 3" xfId="9732" xr:uid="{00000000-0005-0000-0000-00002F260000}"/>
    <cellStyle name="Standard 12 5 3 2" xfId="9733" xr:uid="{00000000-0005-0000-0000-000030260000}"/>
    <cellStyle name="Standard 12 5 3 3" xfId="9734" xr:uid="{00000000-0005-0000-0000-000031260000}"/>
    <cellStyle name="Standard 12 5 4" xfId="9735" xr:uid="{00000000-0005-0000-0000-000032260000}"/>
    <cellStyle name="Standard 12 5 4 2" xfId="9736" xr:uid="{00000000-0005-0000-0000-000033260000}"/>
    <cellStyle name="Standard 12 5 5" xfId="9737" xr:uid="{00000000-0005-0000-0000-000034260000}"/>
    <cellStyle name="Standard 12 5 6" xfId="9738" xr:uid="{00000000-0005-0000-0000-000035260000}"/>
    <cellStyle name="Standard 12 6" xfId="9739" xr:uid="{00000000-0005-0000-0000-000036260000}"/>
    <cellStyle name="Standard 12 6 2" xfId="9740" xr:uid="{00000000-0005-0000-0000-000037260000}"/>
    <cellStyle name="Standard 12 6 3" xfId="9741" xr:uid="{00000000-0005-0000-0000-000038260000}"/>
    <cellStyle name="Standard 12 7" xfId="9742" xr:uid="{00000000-0005-0000-0000-000039260000}"/>
    <cellStyle name="Standard 12 7 2" xfId="9743" xr:uid="{00000000-0005-0000-0000-00003A260000}"/>
    <cellStyle name="Standard 12 7 3" xfId="9744" xr:uid="{00000000-0005-0000-0000-00003B260000}"/>
    <cellStyle name="Standard 12 8" xfId="9745" xr:uid="{00000000-0005-0000-0000-00003C260000}"/>
    <cellStyle name="Standard 12 8 2" xfId="9746" xr:uid="{00000000-0005-0000-0000-00003D260000}"/>
    <cellStyle name="Standard 12 9" xfId="9747" xr:uid="{00000000-0005-0000-0000-00003E260000}"/>
    <cellStyle name="Standard 120" xfId="9748" xr:uid="{00000000-0005-0000-0000-00003F260000}"/>
    <cellStyle name="Standard 121" xfId="9749" xr:uid="{00000000-0005-0000-0000-000040260000}"/>
    <cellStyle name="Standard 122" xfId="9750" xr:uid="{00000000-0005-0000-0000-000041260000}"/>
    <cellStyle name="Standard 123" xfId="9751" xr:uid="{00000000-0005-0000-0000-000042260000}"/>
    <cellStyle name="Standard 124" xfId="9752" xr:uid="{00000000-0005-0000-0000-000043260000}"/>
    <cellStyle name="Standard 125" xfId="9753" xr:uid="{00000000-0005-0000-0000-000044260000}"/>
    <cellStyle name="Standard 126" xfId="9754" xr:uid="{00000000-0005-0000-0000-000045260000}"/>
    <cellStyle name="Standard 127" xfId="9755" xr:uid="{00000000-0005-0000-0000-000046260000}"/>
    <cellStyle name="Standard 128" xfId="9756" xr:uid="{00000000-0005-0000-0000-000047260000}"/>
    <cellStyle name="Standard 129" xfId="9757" xr:uid="{00000000-0005-0000-0000-000048260000}"/>
    <cellStyle name="Standard 13" xfId="503" xr:uid="{00000000-0005-0000-0000-000049260000}"/>
    <cellStyle name="Standard 13 10" xfId="33185" xr:uid="{00000000-0005-0000-0000-00004A260000}"/>
    <cellStyle name="Standard 13 11" xfId="33260" xr:uid="{00000000-0005-0000-0000-00004B260000}"/>
    <cellStyle name="Standard 13 12" xfId="33335" xr:uid="{00000000-0005-0000-0000-00004C260000}"/>
    <cellStyle name="Standard 13 13" xfId="33433" xr:uid="{00000000-0005-0000-0000-00004D260000}"/>
    <cellStyle name="Standard 13 2" xfId="9758" xr:uid="{00000000-0005-0000-0000-00004E260000}"/>
    <cellStyle name="Standard 13 2 2" xfId="9759" xr:uid="{00000000-0005-0000-0000-00004F260000}"/>
    <cellStyle name="Standard 13 2 2 2" xfId="9760" xr:uid="{00000000-0005-0000-0000-000050260000}"/>
    <cellStyle name="Standard 13 2 2 3" xfId="9761" xr:uid="{00000000-0005-0000-0000-000051260000}"/>
    <cellStyle name="Standard 13 2 3" xfId="9762" xr:uid="{00000000-0005-0000-0000-000052260000}"/>
    <cellStyle name="Standard 13 2 3 2" xfId="9763" xr:uid="{00000000-0005-0000-0000-000053260000}"/>
    <cellStyle name="Standard 13 2 3 3" xfId="9764" xr:uid="{00000000-0005-0000-0000-000054260000}"/>
    <cellStyle name="Standard 13 2 4" xfId="9765" xr:uid="{00000000-0005-0000-0000-000055260000}"/>
    <cellStyle name="Standard 13 2 4 2" xfId="9766" xr:uid="{00000000-0005-0000-0000-000056260000}"/>
    <cellStyle name="Standard 13 2 5" xfId="9767" xr:uid="{00000000-0005-0000-0000-000057260000}"/>
    <cellStyle name="Standard 13 2 6" xfId="9768" xr:uid="{00000000-0005-0000-0000-000058260000}"/>
    <cellStyle name="Standard 13 3" xfId="9769" xr:uid="{00000000-0005-0000-0000-000059260000}"/>
    <cellStyle name="Standard 13 3 2" xfId="9770" xr:uid="{00000000-0005-0000-0000-00005A260000}"/>
    <cellStyle name="Standard 13 3 3" xfId="9771" xr:uid="{00000000-0005-0000-0000-00005B260000}"/>
    <cellStyle name="Standard 13 4" xfId="9772" xr:uid="{00000000-0005-0000-0000-00005C260000}"/>
    <cellStyle name="Standard 13 4 2" xfId="9773" xr:uid="{00000000-0005-0000-0000-00005D260000}"/>
    <cellStyle name="Standard 13 4 3" xfId="9774" xr:uid="{00000000-0005-0000-0000-00005E260000}"/>
    <cellStyle name="Standard 13 5" xfId="9775" xr:uid="{00000000-0005-0000-0000-00005F260000}"/>
    <cellStyle name="Standard 13 5 2" xfId="9776" xr:uid="{00000000-0005-0000-0000-000060260000}"/>
    <cellStyle name="Standard 13 6" xfId="9777" xr:uid="{00000000-0005-0000-0000-000061260000}"/>
    <cellStyle name="Standard 13 7" xfId="9778" xr:uid="{00000000-0005-0000-0000-000062260000}"/>
    <cellStyle name="Standard 13 8" xfId="9779" xr:uid="{00000000-0005-0000-0000-000063260000}"/>
    <cellStyle name="Standard 13 9" xfId="33110" xr:uid="{00000000-0005-0000-0000-000064260000}"/>
    <cellStyle name="Standard 130" xfId="9780" xr:uid="{00000000-0005-0000-0000-000065260000}"/>
    <cellStyle name="Standard 131" xfId="9781" xr:uid="{00000000-0005-0000-0000-000066260000}"/>
    <cellStyle name="Standard 132" xfId="9782" xr:uid="{00000000-0005-0000-0000-000067260000}"/>
    <cellStyle name="Standard 133" xfId="9783" xr:uid="{00000000-0005-0000-0000-000068260000}"/>
    <cellStyle name="Standard 134" xfId="9784" xr:uid="{00000000-0005-0000-0000-000069260000}"/>
    <cellStyle name="Standard 135" xfId="9785" xr:uid="{00000000-0005-0000-0000-00006A260000}"/>
    <cellStyle name="Standard 136" xfId="9786" xr:uid="{00000000-0005-0000-0000-00006B260000}"/>
    <cellStyle name="Standard 137" xfId="9787" xr:uid="{00000000-0005-0000-0000-00006C260000}"/>
    <cellStyle name="Standard 138" xfId="9788" xr:uid="{00000000-0005-0000-0000-00006D260000}"/>
    <cellStyle name="Standard 139" xfId="9789" xr:uid="{00000000-0005-0000-0000-00006E260000}"/>
    <cellStyle name="Standard 14" xfId="504" xr:uid="{00000000-0005-0000-0000-00006F260000}"/>
    <cellStyle name="Standard 14 2" xfId="9790" xr:uid="{00000000-0005-0000-0000-000070260000}"/>
    <cellStyle name="Standard 14 2 2" xfId="9791" xr:uid="{00000000-0005-0000-0000-000071260000}"/>
    <cellStyle name="Standard 14 2 2 2" xfId="9792" xr:uid="{00000000-0005-0000-0000-000072260000}"/>
    <cellStyle name="Standard 14 2 2 3" xfId="9793" xr:uid="{00000000-0005-0000-0000-000073260000}"/>
    <cellStyle name="Standard 14 2 3" xfId="9794" xr:uid="{00000000-0005-0000-0000-000074260000}"/>
    <cellStyle name="Standard 14 2 3 2" xfId="9795" xr:uid="{00000000-0005-0000-0000-000075260000}"/>
    <cellStyle name="Standard 14 2 3 3" xfId="9796" xr:uid="{00000000-0005-0000-0000-000076260000}"/>
    <cellStyle name="Standard 14 2 4" xfId="9797" xr:uid="{00000000-0005-0000-0000-000077260000}"/>
    <cellStyle name="Standard 14 2 4 2" xfId="9798" xr:uid="{00000000-0005-0000-0000-000078260000}"/>
    <cellStyle name="Standard 14 2 5" xfId="9799" xr:uid="{00000000-0005-0000-0000-000079260000}"/>
    <cellStyle name="Standard 14 2 6" xfId="9800" xr:uid="{00000000-0005-0000-0000-00007A260000}"/>
    <cellStyle name="Standard 14 3" xfId="9801" xr:uid="{00000000-0005-0000-0000-00007B260000}"/>
    <cellStyle name="Standard 14 3 2" xfId="9802" xr:uid="{00000000-0005-0000-0000-00007C260000}"/>
    <cellStyle name="Standard 14 3 3" xfId="9803" xr:uid="{00000000-0005-0000-0000-00007D260000}"/>
    <cellStyle name="Standard 14 4" xfId="9804" xr:uid="{00000000-0005-0000-0000-00007E260000}"/>
    <cellStyle name="Standard 14 4 2" xfId="9805" xr:uid="{00000000-0005-0000-0000-00007F260000}"/>
    <cellStyle name="Standard 14 4 3" xfId="9806" xr:uid="{00000000-0005-0000-0000-000080260000}"/>
    <cellStyle name="Standard 14 5" xfId="9807" xr:uid="{00000000-0005-0000-0000-000081260000}"/>
    <cellStyle name="Standard 14 5 2" xfId="9808" xr:uid="{00000000-0005-0000-0000-000082260000}"/>
    <cellStyle name="Standard 14 6" xfId="9809" xr:uid="{00000000-0005-0000-0000-000083260000}"/>
    <cellStyle name="Standard 14 7" xfId="9810" xr:uid="{00000000-0005-0000-0000-000084260000}"/>
    <cellStyle name="Standard 14 8" xfId="9811" xr:uid="{00000000-0005-0000-0000-000085260000}"/>
    <cellStyle name="Standard 14 9" xfId="33434" xr:uid="{00000000-0005-0000-0000-000086260000}"/>
    <cellStyle name="Standard 140" xfId="9812" xr:uid="{00000000-0005-0000-0000-000087260000}"/>
    <cellStyle name="Standard 141" xfId="9813" xr:uid="{00000000-0005-0000-0000-000088260000}"/>
    <cellStyle name="Standard 142" xfId="9814" xr:uid="{00000000-0005-0000-0000-000089260000}"/>
    <cellStyle name="Standard 143" xfId="9815" xr:uid="{00000000-0005-0000-0000-00008A260000}"/>
    <cellStyle name="Standard 144" xfId="9816" xr:uid="{00000000-0005-0000-0000-00008B260000}"/>
    <cellStyle name="Standard 145" xfId="9817" xr:uid="{00000000-0005-0000-0000-00008C260000}"/>
    <cellStyle name="Standard 146" xfId="9818" xr:uid="{00000000-0005-0000-0000-00008D260000}"/>
    <cellStyle name="Standard 147" xfId="9819" xr:uid="{00000000-0005-0000-0000-00008E260000}"/>
    <cellStyle name="Standard 148" xfId="9820" xr:uid="{00000000-0005-0000-0000-00008F260000}"/>
    <cellStyle name="Standard 149" xfId="9821" xr:uid="{00000000-0005-0000-0000-000090260000}"/>
    <cellStyle name="Standard 15" xfId="505" xr:uid="{00000000-0005-0000-0000-000091260000}"/>
    <cellStyle name="Standard 15 2" xfId="9822" xr:uid="{00000000-0005-0000-0000-000092260000}"/>
    <cellStyle name="Standard 15 3" xfId="9823" xr:uid="{00000000-0005-0000-0000-000093260000}"/>
    <cellStyle name="Standard 15 3 2" xfId="9824" xr:uid="{00000000-0005-0000-0000-000094260000}"/>
    <cellStyle name="Standard 15 3 3" xfId="9825" xr:uid="{00000000-0005-0000-0000-000095260000}"/>
    <cellStyle name="Standard 15 4" xfId="9826" xr:uid="{00000000-0005-0000-0000-000096260000}"/>
    <cellStyle name="Standard 15 5" xfId="9827" xr:uid="{00000000-0005-0000-0000-000097260000}"/>
    <cellStyle name="Standard 150" xfId="9828" xr:uid="{00000000-0005-0000-0000-000098260000}"/>
    <cellStyle name="Standard 151" xfId="9829" xr:uid="{00000000-0005-0000-0000-000099260000}"/>
    <cellStyle name="Standard 152" xfId="9830" xr:uid="{00000000-0005-0000-0000-00009A260000}"/>
    <cellStyle name="Standard 153" xfId="9831" xr:uid="{00000000-0005-0000-0000-00009B260000}"/>
    <cellStyle name="Standard 154" xfId="9832" xr:uid="{00000000-0005-0000-0000-00009C260000}"/>
    <cellStyle name="Standard 155" xfId="9833" xr:uid="{00000000-0005-0000-0000-00009D260000}"/>
    <cellStyle name="Standard 156" xfId="9834" xr:uid="{00000000-0005-0000-0000-00009E260000}"/>
    <cellStyle name="Standard 157" xfId="9835" xr:uid="{00000000-0005-0000-0000-00009F260000}"/>
    <cellStyle name="Standard 158" xfId="9836" xr:uid="{00000000-0005-0000-0000-0000A0260000}"/>
    <cellStyle name="Standard 159" xfId="9837" xr:uid="{00000000-0005-0000-0000-0000A1260000}"/>
    <cellStyle name="Standard 16" xfId="506" xr:uid="{00000000-0005-0000-0000-0000A2260000}"/>
    <cellStyle name="Standard 16 10" xfId="33261" xr:uid="{00000000-0005-0000-0000-0000A3260000}"/>
    <cellStyle name="Standard 16 11" xfId="33336" xr:uid="{00000000-0005-0000-0000-0000A4260000}"/>
    <cellStyle name="Standard 16 2" xfId="9838" xr:uid="{00000000-0005-0000-0000-0000A5260000}"/>
    <cellStyle name="Standard 16 2 2" xfId="9839" xr:uid="{00000000-0005-0000-0000-0000A6260000}"/>
    <cellStyle name="Standard 16 2 3" xfId="9840" xr:uid="{00000000-0005-0000-0000-0000A7260000}"/>
    <cellStyle name="Standard 16 3" xfId="9841" xr:uid="{00000000-0005-0000-0000-0000A8260000}"/>
    <cellStyle name="Standard 16 3 2" xfId="9842" xr:uid="{00000000-0005-0000-0000-0000A9260000}"/>
    <cellStyle name="Standard 16 3 3" xfId="9843" xr:uid="{00000000-0005-0000-0000-0000AA260000}"/>
    <cellStyle name="Standard 16 4" xfId="9844" xr:uid="{00000000-0005-0000-0000-0000AB260000}"/>
    <cellStyle name="Standard 16 4 2" xfId="9845" xr:uid="{00000000-0005-0000-0000-0000AC260000}"/>
    <cellStyle name="Standard 16 5" xfId="9846" xr:uid="{00000000-0005-0000-0000-0000AD260000}"/>
    <cellStyle name="Standard 16 6" xfId="9847" xr:uid="{00000000-0005-0000-0000-0000AE260000}"/>
    <cellStyle name="Standard 16 7" xfId="9848" xr:uid="{00000000-0005-0000-0000-0000AF260000}"/>
    <cellStyle name="Standard 16 8" xfId="33111" xr:uid="{00000000-0005-0000-0000-0000B0260000}"/>
    <cellStyle name="Standard 16 9" xfId="33186" xr:uid="{00000000-0005-0000-0000-0000B1260000}"/>
    <cellStyle name="Standard 160" xfId="9849" xr:uid="{00000000-0005-0000-0000-0000B2260000}"/>
    <cellStyle name="Standard 161" xfId="9850" xr:uid="{00000000-0005-0000-0000-0000B3260000}"/>
    <cellStyle name="Standard 162" xfId="9851" xr:uid="{00000000-0005-0000-0000-0000B4260000}"/>
    <cellStyle name="Standard 163" xfId="9852" xr:uid="{00000000-0005-0000-0000-0000B5260000}"/>
    <cellStyle name="Standard 164" xfId="9853" xr:uid="{00000000-0005-0000-0000-0000B6260000}"/>
    <cellStyle name="Standard 165" xfId="9854" xr:uid="{00000000-0005-0000-0000-0000B7260000}"/>
    <cellStyle name="Standard 166" xfId="9855" xr:uid="{00000000-0005-0000-0000-0000B8260000}"/>
    <cellStyle name="Standard 167" xfId="9856" xr:uid="{00000000-0005-0000-0000-0000B9260000}"/>
    <cellStyle name="Standard 168" xfId="33347" xr:uid="{00000000-0005-0000-0000-0000BA260000}"/>
    <cellStyle name="Standard 168 2" xfId="33348" xr:uid="{00000000-0005-0000-0000-0000BB260000}"/>
    <cellStyle name="Standard 169" xfId="33508" xr:uid="{00000000-0005-0000-0000-0000BC260000}"/>
    <cellStyle name="Standard 17" xfId="507" xr:uid="{00000000-0005-0000-0000-0000BD260000}"/>
    <cellStyle name="Standard 17 2" xfId="9857" xr:uid="{00000000-0005-0000-0000-0000BE260000}"/>
    <cellStyle name="Standard 17 3" xfId="9858" xr:uid="{00000000-0005-0000-0000-0000BF260000}"/>
    <cellStyle name="Standard 17 4" xfId="33112" xr:uid="{00000000-0005-0000-0000-0000C0260000}"/>
    <cellStyle name="Standard 17 5" xfId="33187" xr:uid="{00000000-0005-0000-0000-0000C1260000}"/>
    <cellStyle name="Standard 17 6" xfId="33262" xr:uid="{00000000-0005-0000-0000-0000C2260000}"/>
    <cellStyle name="Standard 17 7" xfId="33337" xr:uid="{00000000-0005-0000-0000-0000C3260000}"/>
    <cellStyle name="Standard 170" xfId="30" xr:uid="{00000000-0005-0000-0000-0000C4260000}"/>
    <cellStyle name="Standard 171" xfId="29" xr:uid="{00000000-0005-0000-0000-0000C5260000}"/>
    <cellStyle name="Standard 172" xfId="33509" xr:uid="{00000000-0005-0000-0000-0000C6260000}"/>
    <cellStyle name="Standard 173" xfId="33510" xr:uid="{00000000-0005-0000-0000-0000C7260000}"/>
    <cellStyle name="Standard 18" xfId="508" xr:uid="{00000000-0005-0000-0000-0000C8260000}"/>
    <cellStyle name="Standard 18 2" xfId="9859" xr:uid="{00000000-0005-0000-0000-0000C9260000}"/>
    <cellStyle name="Standard 18 3" xfId="33113" xr:uid="{00000000-0005-0000-0000-0000CA260000}"/>
    <cellStyle name="Standard 18 4" xfId="33188" xr:uid="{00000000-0005-0000-0000-0000CB260000}"/>
    <cellStyle name="Standard 18 5" xfId="33263" xr:uid="{00000000-0005-0000-0000-0000CC260000}"/>
    <cellStyle name="Standard 18 6" xfId="33338" xr:uid="{00000000-0005-0000-0000-0000CD260000}"/>
    <cellStyle name="Standard 19" xfId="509" xr:uid="{00000000-0005-0000-0000-0000CE260000}"/>
    <cellStyle name="Standard 2" xfId="11" xr:uid="{00000000-0005-0000-0000-0000CF260000}"/>
    <cellStyle name="Standard 2 10" xfId="510" xr:uid="{00000000-0005-0000-0000-0000D0260000}"/>
    <cellStyle name="Standard 2 11" xfId="24" xr:uid="{00000000-0005-0000-0000-0000D1260000}"/>
    <cellStyle name="Standard 2 2" xfId="12" xr:uid="{00000000-0005-0000-0000-0000D2260000}"/>
    <cellStyle name="Standard 2 2 2" xfId="512" xr:uid="{00000000-0005-0000-0000-0000D3260000}"/>
    <cellStyle name="Standard 2 2 2 2" xfId="513" xr:uid="{00000000-0005-0000-0000-0000D4260000}"/>
    <cellStyle name="Standard 2 2 3" xfId="514" xr:uid="{00000000-0005-0000-0000-0000D5260000}"/>
    <cellStyle name="Standard 2 2 3 2" xfId="33436" xr:uid="{00000000-0005-0000-0000-0000D6260000}"/>
    <cellStyle name="Standard 2 2 3 3" xfId="33435" xr:uid="{00000000-0005-0000-0000-0000D7260000}"/>
    <cellStyle name="Standard 2 2 4" xfId="515" xr:uid="{00000000-0005-0000-0000-0000D8260000}"/>
    <cellStyle name="Standard 2 2 5" xfId="516" xr:uid="{00000000-0005-0000-0000-0000D9260000}"/>
    <cellStyle name="Standard 2 2 6" xfId="511" xr:uid="{00000000-0005-0000-0000-0000DA260000}"/>
    <cellStyle name="Standard 2 3" xfId="517" xr:uid="{00000000-0005-0000-0000-0000DB260000}"/>
    <cellStyle name="Standard 2 3 2" xfId="518" xr:uid="{00000000-0005-0000-0000-0000DC260000}"/>
    <cellStyle name="Standard 2 3 2 2" xfId="9860" xr:uid="{00000000-0005-0000-0000-0000DD260000}"/>
    <cellStyle name="Standard 2 3 2 3" xfId="9861" xr:uid="{00000000-0005-0000-0000-0000DE260000}"/>
    <cellStyle name="Standard 2 3 3" xfId="519" xr:uid="{00000000-0005-0000-0000-0000DF260000}"/>
    <cellStyle name="Standard 2 3 4" xfId="9862" xr:uid="{00000000-0005-0000-0000-0000E0260000}"/>
    <cellStyle name="Standard 2 4" xfId="520" xr:uid="{00000000-0005-0000-0000-0000E1260000}"/>
    <cellStyle name="Standard 2 4 2" xfId="521" xr:uid="{00000000-0005-0000-0000-0000E2260000}"/>
    <cellStyle name="Standard 2 4 3" xfId="522" xr:uid="{00000000-0005-0000-0000-0000E3260000}"/>
    <cellStyle name="Standard 2 4 4" xfId="523" xr:uid="{00000000-0005-0000-0000-0000E4260000}"/>
    <cellStyle name="Standard 2 5" xfId="524" xr:uid="{00000000-0005-0000-0000-0000E5260000}"/>
    <cellStyle name="Standard 2 5 2" xfId="525" xr:uid="{00000000-0005-0000-0000-0000E6260000}"/>
    <cellStyle name="Standard 2 5 2 2" xfId="33438" xr:uid="{00000000-0005-0000-0000-0000E7260000}"/>
    <cellStyle name="Standard 2 5 2 2 2" xfId="33439" xr:uid="{00000000-0005-0000-0000-0000E8260000}"/>
    <cellStyle name="Standard 2 5 2 3" xfId="33440" xr:uid="{00000000-0005-0000-0000-0000E9260000}"/>
    <cellStyle name="Standard 2 5 2 4" xfId="33437" xr:uid="{00000000-0005-0000-0000-0000EA260000}"/>
    <cellStyle name="Standard 2 5 3" xfId="33441" xr:uid="{00000000-0005-0000-0000-0000EB260000}"/>
    <cellStyle name="Standard 2 5 4" xfId="33442" xr:uid="{00000000-0005-0000-0000-0000EC260000}"/>
    <cellStyle name="Standard 2 6" xfId="526" xr:uid="{00000000-0005-0000-0000-0000ED260000}"/>
    <cellStyle name="Standard 2 6 2" xfId="527" xr:uid="{00000000-0005-0000-0000-0000EE260000}"/>
    <cellStyle name="Standard 2 6 2 2" xfId="33444" xr:uid="{00000000-0005-0000-0000-0000EF260000}"/>
    <cellStyle name="Standard 2 6 2 3" xfId="33443" xr:uid="{00000000-0005-0000-0000-0000F0260000}"/>
    <cellStyle name="Standard 2 7" xfId="528" xr:uid="{00000000-0005-0000-0000-0000F1260000}"/>
    <cellStyle name="Standard 2 7 2" xfId="33445" xr:uid="{00000000-0005-0000-0000-0000F2260000}"/>
    <cellStyle name="Standard 2 8" xfId="529" xr:uid="{00000000-0005-0000-0000-0000F3260000}"/>
    <cellStyle name="Standard 2 8 2" xfId="33446" xr:uid="{00000000-0005-0000-0000-0000F4260000}"/>
    <cellStyle name="Standard 2 9" xfId="530" xr:uid="{00000000-0005-0000-0000-0000F5260000}"/>
    <cellStyle name="Standard 2_IP_Adressen" xfId="531" xr:uid="{00000000-0005-0000-0000-0000F6260000}"/>
    <cellStyle name="Standard 20" xfId="532" xr:uid="{00000000-0005-0000-0000-0000F7260000}"/>
    <cellStyle name="Standard 20 2" xfId="533" xr:uid="{00000000-0005-0000-0000-0000F8260000}"/>
    <cellStyle name="Standard 207" xfId="9863" xr:uid="{00000000-0005-0000-0000-0000F9260000}"/>
    <cellStyle name="Standard 21" xfId="534" xr:uid="{00000000-0005-0000-0000-0000FA260000}"/>
    <cellStyle name="Standard 21 2" xfId="535" xr:uid="{00000000-0005-0000-0000-0000FB260000}"/>
    <cellStyle name="Standard 22" xfId="536" xr:uid="{00000000-0005-0000-0000-0000FC260000}"/>
    <cellStyle name="Standard 22 2" xfId="537" xr:uid="{00000000-0005-0000-0000-0000FD260000}"/>
    <cellStyle name="Standard 23" xfId="538" xr:uid="{00000000-0005-0000-0000-0000FE260000}"/>
    <cellStyle name="Standard 23 2" xfId="539" xr:uid="{00000000-0005-0000-0000-0000FF260000}"/>
    <cellStyle name="Standard 24" xfId="540" xr:uid="{00000000-0005-0000-0000-000000270000}"/>
    <cellStyle name="Standard 24 2" xfId="541" xr:uid="{00000000-0005-0000-0000-000001270000}"/>
    <cellStyle name="Standard 25" xfId="542" xr:uid="{00000000-0005-0000-0000-000002270000}"/>
    <cellStyle name="Standard 25 2" xfId="543" xr:uid="{00000000-0005-0000-0000-000003270000}"/>
    <cellStyle name="Standard 26" xfId="544" xr:uid="{00000000-0005-0000-0000-000004270000}"/>
    <cellStyle name="Standard 26 2" xfId="545" xr:uid="{00000000-0005-0000-0000-000005270000}"/>
    <cellStyle name="Standard 27" xfId="546" xr:uid="{00000000-0005-0000-0000-000006270000}"/>
    <cellStyle name="Standard 27 2" xfId="547" xr:uid="{00000000-0005-0000-0000-000007270000}"/>
    <cellStyle name="Standard 28" xfId="548" xr:uid="{00000000-0005-0000-0000-000008270000}"/>
    <cellStyle name="Standard 28 2" xfId="549" xr:uid="{00000000-0005-0000-0000-000009270000}"/>
    <cellStyle name="Standard 29" xfId="550" xr:uid="{00000000-0005-0000-0000-00000A270000}"/>
    <cellStyle name="Standard 29 2" xfId="551" xr:uid="{00000000-0005-0000-0000-00000B270000}"/>
    <cellStyle name="Standard 3" xfId="13" xr:uid="{00000000-0005-0000-0000-00000C270000}"/>
    <cellStyle name="Standard 3 2" xfId="552" xr:uid="{00000000-0005-0000-0000-00000D270000}"/>
    <cellStyle name="Standard 3 2 2" xfId="553" xr:uid="{00000000-0005-0000-0000-00000E270000}"/>
    <cellStyle name="Standard 3 2 2 10" xfId="9864" xr:uid="{00000000-0005-0000-0000-00000F270000}"/>
    <cellStyle name="Standard 3 2 2 11" xfId="9865" xr:uid="{00000000-0005-0000-0000-000010270000}"/>
    <cellStyle name="Standard 3 2 2 12" xfId="9866" xr:uid="{00000000-0005-0000-0000-000011270000}"/>
    <cellStyle name="Standard 3 2 2 13" xfId="9867" xr:uid="{00000000-0005-0000-0000-000012270000}"/>
    <cellStyle name="Standard 3 2 2 14" xfId="9868" xr:uid="{00000000-0005-0000-0000-000013270000}"/>
    <cellStyle name="Standard 3 2 2 2" xfId="554" xr:uid="{00000000-0005-0000-0000-000014270000}"/>
    <cellStyle name="Standard 3 2 2 2 10" xfId="9869" xr:uid="{00000000-0005-0000-0000-000015270000}"/>
    <cellStyle name="Standard 3 2 2 2 11" xfId="9870" xr:uid="{00000000-0005-0000-0000-000016270000}"/>
    <cellStyle name="Standard 3 2 2 2 2" xfId="9871" xr:uid="{00000000-0005-0000-0000-000017270000}"/>
    <cellStyle name="Standard 3 2 2 2 2 2" xfId="9872" xr:uid="{00000000-0005-0000-0000-000018270000}"/>
    <cellStyle name="Standard 3 2 2 2 2 2 2" xfId="9873" xr:uid="{00000000-0005-0000-0000-000019270000}"/>
    <cellStyle name="Standard 3 2 2 2 2 2 2 2" xfId="9874" xr:uid="{00000000-0005-0000-0000-00001A270000}"/>
    <cellStyle name="Standard 3 2 2 2 2 2 2 2 2" xfId="9875" xr:uid="{00000000-0005-0000-0000-00001B270000}"/>
    <cellStyle name="Standard 3 2 2 2 2 2 2 2 3" xfId="9876" xr:uid="{00000000-0005-0000-0000-00001C270000}"/>
    <cellStyle name="Standard 3 2 2 2 2 2 2 3" xfId="9877" xr:uid="{00000000-0005-0000-0000-00001D270000}"/>
    <cellStyle name="Standard 3 2 2 2 2 2 2 3 2" xfId="9878" xr:uid="{00000000-0005-0000-0000-00001E270000}"/>
    <cellStyle name="Standard 3 2 2 2 2 2 2 3 3" xfId="9879" xr:uid="{00000000-0005-0000-0000-00001F270000}"/>
    <cellStyle name="Standard 3 2 2 2 2 2 2 4" xfId="9880" xr:uid="{00000000-0005-0000-0000-000020270000}"/>
    <cellStyle name="Standard 3 2 2 2 2 2 2 4 2" xfId="9881" xr:uid="{00000000-0005-0000-0000-000021270000}"/>
    <cellStyle name="Standard 3 2 2 2 2 2 2 5" xfId="9882" xr:uid="{00000000-0005-0000-0000-000022270000}"/>
    <cellStyle name="Standard 3 2 2 2 2 2 2 6" xfId="9883" xr:uid="{00000000-0005-0000-0000-000023270000}"/>
    <cellStyle name="Standard 3 2 2 2 2 2 3" xfId="9884" xr:uid="{00000000-0005-0000-0000-000024270000}"/>
    <cellStyle name="Standard 3 2 2 2 2 2 3 2" xfId="9885" xr:uid="{00000000-0005-0000-0000-000025270000}"/>
    <cellStyle name="Standard 3 2 2 2 2 2 3 3" xfId="9886" xr:uid="{00000000-0005-0000-0000-000026270000}"/>
    <cellStyle name="Standard 3 2 2 2 2 2 4" xfId="9887" xr:uid="{00000000-0005-0000-0000-000027270000}"/>
    <cellStyle name="Standard 3 2 2 2 2 2 4 2" xfId="9888" xr:uid="{00000000-0005-0000-0000-000028270000}"/>
    <cellStyle name="Standard 3 2 2 2 2 2 4 3" xfId="9889" xr:uid="{00000000-0005-0000-0000-000029270000}"/>
    <cellStyle name="Standard 3 2 2 2 2 2 5" xfId="9890" xr:uid="{00000000-0005-0000-0000-00002A270000}"/>
    <cellStyle name="Standard 3 2 2 2 2 2 5 2" xfId="9891" xr:uid="{00000000-0005-0000-0000-00002B270000}"/>
    <cellStyle name="Standard 3 2 2 2 2 2 6" xfId="9892" xr:uid="{00000000-0005-0000-0000-00002C270000}"/>
    <cellStyle name="Standard 3 2 2 2 2 2 7" xfId="9893" xr:uid="{00000000-0005-0000-0000-00002D270000}"/>
    <cellStyle name="Standard 3 2 2 2 2 3" xfId="9894" xr:uid="{00000000-0005-0000-0000-00002E270000}"/>
    <cellStyle name="Standard 3 2 2 2 2 3 2" xfId="9895" xr:uid="{00000000-0005-0000-0000-00002F270000}"/>
    <cellStyle name="Standard 3 2 2 2 2 3 2 2" xfId="9896" xr:uid="{00000000-0005-0000-0000-000030270000}"/>
    <cellStyle name="Standard 3 2 2 2 2 3 2 3" xfId="9897" xr:uid="{00000000-0005-0000-0000-000031270000}"/>
    <cellStyle name="Standard 3 2 2 2 2 3 3" xfId="9898" xr:uid="{00000000-0005-0000-0000-000032270000}"/>
    <cellStyle name="Standard 3 2 2 2 2 3 3 2" xfId="9899" xr:uid="{00000000-0005-0000-0000-000033270000}"/>
    <cellStyle name="Standard 3 2 2 2 2 3 3 3" xfId="9900" xr:uid="{00000000-0005-0000-0000-000034270000}"/>
    <cellStyle name="Standard 3 2 2 2 2 3 4" xfId="9901" xr:uid="{00000000-0005-0000-0000-000035270000}"/>
    <cellStyle name="Standard 3 2 2 2 2 3 4 2" xfId="9902" xr:uid="{00000000-0005-0000-0000-000036270000}"/>
    <cellStyle name="Standard 3 2 2 2 2 3 5" xfId="9903" xr:uid="{00000000-0005-0000-0000-000037270000}"/>
    <cellStyle name="Standard 3 2 2 2 2 3 6" xfId="9904" xr:uid="{00000000-0005-0000-0000-000038270000}"/>
    <cellStyle name="Standard 3 2 2 2 2 4" xfId="9905" xr:uid="{00000000-0005-0000-0000-000039270000}"/>
    <cellStyle name="Standard 3 2 2 2 2 4 2" xfId="9906" xr:uid="{00000000-0005-0000-0000-00003A270000}"/>
    <cellStyle name="Standard 3 2 2 2 2 4 3" xfId="9907" xr:uid="{00000000-0005-0000-0000-00003B270000}"/>
    <cellStyle name="Standard 3 2 2 2 2 5" xfId="9908" xr:uid="{00000000-0005-0000-0000-00003C270000}"/>
    <cellStyle name="Standard 3 2 2 2 2 5 2" xfId="9909" xr:uid="{00000000-0005-0000-0000-00003D270000}"/>
    <cellStyle name="Standard 3 2 2 2 2 5 3" xfId="9910" xr:uid="{00000000-0005-0000-0000-00003E270000}"/>
    <cellStyle name="Standard 3 2 2 2 2 6" xfId="9911" xr:uid="{00000000-0005-0000-0000-00003F270000}"/>
    <cellStyle name="Standard 3 2 2 2 2 6 2" xfId="9912" xr:uid="{00000000-0005-0000-0000-000040270000}"/>
    <cellStyle name="Standard 3 2 2 2 2 7" xfId="9913" xr:uid="{00000000-0005-0000-0000-000041270000}"/>
    <cellStyle name="Standard 3 2 2 2 2 8" xfId="9914" xr:uid="{00000000-0005-0000-0000-000042270000}"/>
    <cellStyle name="Standard 3 2 2 2 2 9" xfId="9915" xr:uid="{00000000-0005-0000-0000-000043270000}"/>
    <cellStyle name="Standard 3 2 2 2 3" xfId="9916" xr:uid="{00000000-0005-0000-0000-000044270000}"/>
    <cellStyle name="Standard 3 2 2 2 3 2" xfId="9917" xr:uid="{00000000-0005-0000-0000-000045270000}"/>
    <cellStyle name="Standard 3 2 2 2 3 2 2" xfId="9918" xr:uid="{00000000-0005-0000-0000-000046270000}"/>
    <cellStyle name="Standard 3 2 2 2 3 2 2 2" xfId="9919" xr:uid="{00000000-0005-0000-0000-000047270000}"/>
    <cellStyle name="Standard 3 2 2 2 3 2 2 2 2" xfId="9920" xr:uid="{00000000-0005-0000-0000-000048270000}"/>
    <cellStyle name="Standard 3 2 2 2 3 2 2 2 3" xfId="9921" xr:uid="{00000000-0005-0000-0000-000049270000}"/>
    <cellStyle name="Standard 3 2 2 2 3 2 2 3" xfId="9922" xr:uid="{00000000-0005-0000-0000-00004A270000}"/>
    <cellStyle name="Standard 3 2 2 2 3 2 2 3 2" xfId="9923" xr:uid="{00000000-0005-0000-0000-00004B270000}"/>
    <cellStyle name="Standard 3 2 2 2 3 2 2 3 3" xfId="9924" xr:uid="{00000000-0005-0000-0000-00004C270000}"/>
    <cellStyle name="Standard 3 2 2 2 3 2 2 4" xfId="9925" xr:uid="{00000000-0005-0000-0000-00004D270000}"/>
    <cellStyle name="Standard 3 2 2 2 3 2 2 4 2" xfId="9926" xr:uid="{00000000-0005-0000-0000-00004E270000}"/>
    <cellStyle name="Standard 3 2 2 2 3 2 2 5" xfId="9927" xr:uid="{00000000-0005-0000-0000-00004F270000}"/>
    <cellStyle name="Standard 3 2 2 2 3 2 2 6" xfId="9928" xr:uid="{00000000-0005-0000-0000-000050270000}"/>
    <cellStyle name="Standard 3 2 2 2 3 2 3" xfId="9929" xr:uid="{00000000-0005-0000-0000-000051270000}"/>
    <cellStyle name="Standard 3 2 2 2 3 2 3 2" xfId="9930" xr:uid="{00000000-0005-0000-0000-000052270000}"/>
    <cellStyle name="Standard 3 2 2 2 3 2 3 3" xfId="9931" xr:uid="{00000000-0005-0000-0000-000053270000}"/>
    <cellStyle name="Standard 3 2 2 2 3 2 4" xfId="9932" xr:uid="{00000000-0005-0000-0000-000054270000}"/>
    <cellStyle name="Standard 3 2 2 2 3 2 4 2" xfId="9933" xr:uid="{00000000-0005-0000-0000-000055270000}"/>
    <cellStyle name="Standard 3 2 2 2 3 2 4 3" xfId="9934" xr:uid="{00000000-0005-0000-0000-000056270000}"/>
    <cellStyle name="Standard 3 2 2 2 3 2 5" xfId="9935" xr:uid="{00000000-0005-0000-0000-000057270000}"/>
    <cellStyle name="Standard 3 2 2 2 3 2 5 2" xfId="9936" xr:uid="{00000000-0005-0000-0000-000058270000}"/>
    <cellStyle name="Standard 3 2 2 2 3 2 6" xfId="9937" xr:uid="{00000000-0005-0000-0000-000059270000}"/>
    <cellStyle name="Standard 3 2 2 2 3 2 7" xfId="9938" xr:uid="{00000000-0005-0000-0000-00005A270000}"/>
    <cellStyle name="Standard 3 2 2 2 3 3" xfId="9939" xr:uid="{00000000-0005-0000-0000-00005B270000}"/>
    <cellStyle name="Standard 3 2 2 2 3 3 2" xfId="9940" xr:uid="{00000000-0005-0000-0000-00005C270000}"/>
    <cellStyle name="Standard 3 2 2 2 3 3 2 2" xfId="9941" xr:uid="{00000000-0005-0000-0000-00005D270000}"/>
    <cellStyle name="Standard 3 2 2 2 3 3 2 3" xfId="9942" xr:uid="{00000000-0005-0000-0000-00005E270000}"/>
    <cellStyle name="Standard 3 2 2 2 3 3 3" xfId="9943" xr:uid="{00000000-0005-0000-0000-00005F270000}"/>
    <cellStyle name="Standard 3 2 2 2 3 3 3 2" xfId="9944" xr:uid="{00000000-0005-0000-0000-000060270000}"/>
    <cellStyle name="Standard 3 2 2 2 3 3 3 3" xfId="9945" xr:uid="{00000000-0005-0000-0000-000061270000}"/>
    <cellStyle name="Standard 3 2 2 2 3 3 4" xfId="9946" xr:uid="{00000000-0005-0000-0000-000062270000}"/>
    <cellStyle name="Standard 3 2 2 2 3 3 4 2" xfId="9947" xr:uid="{00000000-0005-0000-0000-000063270000}"/>
    <cellStyle name="Standard 3 2 2 2 3 3 5" xfId="9948" xr:uid="{00000000-0005-0000-0000-000064270000}"/>
    <cellStyle name="Standard 3 2 2 2 3 3 6" xfId="9949" xr:uid="{00000000-0005-0000-0000-000065270000}"/>
    <cellStyle name="Standard 3 2 2 2 3 4" xfId="9950" xr:uid="{00000000-0005-0000-0000-000066270000}"/>
    <cellStyle name="Standard 3 2 2 2 3 4 2" xfId="9951" xr:uid="{00000000-0005-0000-0000-000067270000}"/>
    <cellStyle name="Standard 3 2 2 2 3 4 3" xfId="9952" xr:uid="{00000000-0005-0000-0000-000068270000}"/>
    <cellStyle name="Standard 3 2 2 2 3 5" xfId="9953" xr:uid="{00000000-0005-0000-0000-000069270000}"/>
    <cellStyle name="Standard 3 2 2 2 3 5 2" xfId="9954" xr:uid="{00000000-0005-0000-0000-00006A270000}"/>
    <cellStyle name="Standard 3 2 2 2 3 5 3" xfId="9955" xr:uid="{00000000-0005-0000-0000-00006B270000}"/>
    <cellStyle name="Standard 3 2 2 2 3 6" xfId="9956" xr:uid="{00000000-0005-0000-0000-00006C270000}"/>
    <cellStyle name="Standard 3 2 2 2 3 6 2" xfId="9957" xr:uid="{00000000-0005-0000-0000-00006D270000}"/>
    <cellStyle name="Standard 3 2 2 2 3 7" xfId="9958" xr:uid="{00000000-0005-0000-0000-00006E270000}"/>
    <cellStyle name="Standard 3 2 2 2 3 8" xfId="9959" xr:uid="{00000000-0005-0000-0000-00006F270000}"/>
    <cellStyle name="Standard 3 2 2 2 3 9" xfId="9960" xr:uid="{00000000-0005-0000-0000-000070270000}"/>
    <cellStyle name="Standard 3 2 2 2 4" xfId="9961" xr:uid="{00000000-0005-0000-0000-000071270000}"/>
    <cellStyle name="Standard 3 2 2 2 4 2" xfId="9962" xr:uid="{00000000-0005-0000-0000-000072270000}"/>
    <cellStyle name="Standard 3 2 2 2 4 2 2" xfId="9963" xr:uid="{00000000-0005-0000-0000-000073270000}"/>
    <cellStyle name="Standard 3 2 2 2 4 2 2 2" xfId="9964" xr:uid="{00000000-0005-0000-0000-000074270000}"/>
    <cellStyle name="Standard 3 2 2 2 4 2 2 3" xfId="9965" xr:uid="{00000000-0005-0000-0000-000075270000}"/>
    <cellStyle name="Standard 3 2 2 2 4 2 3" xfId="9966" xr:uid="{00000000-0005-0000-0000-000076270000}"/>
    <cellStyle name="Standard 3 2 2 2 4 2 3 2" xfId="9967" xr:uid="{00000000-0005-0000-0000-000077270000}"/>
    <cellStyle name="Standard 3 2 2 2 4 2 3 3" xfId="9968" xr:uid="{00000000-0005-0000-0000-000078270000}"/>
    <cellStyle name="Standard 3 2 2 2 4 2 4" xfId="9969" xr:uid="{00000000-0005-0000-0000-000079270000}"/>
    <cellStyle name="Standard 3 2 2 2 4 2 4 2" xfId="9970" xr:uid="{00000000-0005-0000-0000-00007A270000}"/>
    <cellStyle name="Standard 3 2 2 2 4 2 5" xfId="9971" xr:uid="{00000000-0005-0000-0000-00007B270000}"/>
    <cellStyle name="Standard 3 2 2 2 4 2 6" xfId="9972" xr:uid="{00000000-0005-0000-0000-00007C270000}"/>
    <cellStyle name="Standard 3 2 2 2 4 3" xfId="9973" xr:uid="{00000000-0005-0000-0000-00007D270000}"/>
    <cellStyle name="Standard 3 2 2 2 4 3 2" xfId="9974" xr:uid="{00000000-0005-0000-0000-00007E270000}"/>
    <cellStyle name="Standard 3 2 2 2 4 3 3" xfId="9975" xr:uid="{00000000-0005-0000-0000-00007F270000}"/>
    <cellStyle name="Standard 3 2 2 2 4 4" xfId="9976" xr:uid="{00000000-0005-0000-0000-000080270000}"/>
    <cellStyle name="Standard 3 2 2 2 4 4 2" xfId="9977" xr:uid="{00000000-0005-0000-0000-000081270000}"/>
    <cellStyle name="Standard 3 2 2 2 4 4 3" xfId="9978" xr:uid="{00000000-0005-0000-0000-000082270000}"/>
    <cellStyle name="Standard 3 2 2 2 4 5" xfId="9979" xr:uid="{00000000-0005-0000-0000-000083270000}"/>
    <cellStyle name="Standard 3 2 2 2 4 5 2" xfId="9980" xr:uid="{00000000-0005-0000-0000-000084270000}"/>
    <cellStyle name="Standard 3 2 2 2 4 6" xfId="9981" xr:uid="{00000000-0005-0000-0000-000085270000}"/>
    <cellStyle name="Standard 3 2 2 2 4 7" xfId="9982" xr:uid="{00000000-0005-0000-0000-000086270000}"/>
    <cellStyle name="Standard 3 2 2 2 4 8" xfId="9983" xr:uid="{00000000-0005-0000-0000-000087270000}"/>
    <cellStyle name="Standard 3 2 2 2 5" xfId="9984" xr:uid="{00000000-0005-0000-0000-000088270000}"/>
    <cellStyle name="Standard 3 2 2 2 5 2" xfId="9985" xr:uid="{00000000-0005-0000-0000-000089270000}"/>
    <cellStyle name="Standard 3 2 2 2 5 2 2" xfId="9986" xr:uid="{00000000-0005-0000-0000-00008A270000}"/>
    <cellStyle name="Standard 3 2 2 2 5 2 3" xfId="9987" xr:uid="{00000000-0005-0000-0000-00008B270000}"/>
    <cellStyle name="Standard 3 2 2 2 5 3" xfId="9988" xr:uid="{00000000-0005-0000-0000-00008C270000}"/>
    <cellStyle name="Standard 3 2 2 2 5 3 2" xfId="9989" xr:uid="{00000000-0005-0000-0000-00008D270000}"/>
    <cellStyle name="Standard 3 2 2 2 5 3 3" xfId="9990" xr:uid="{00000000-0005-0000-0000-00008E270000}"/>
    <cellStyle name="Standard 3 2 2 2 5 4" xfId="9991" xr:uid="{00000000-0005-0000-0000-00008F270000}"/>
    <cellStyle name="Standard 3 2 2 2 5 4 2" xfId="9992" xr:uid="{00000000-0005-0000-0000-000090270000}"/>
    <cellStyle name="Standard 3 2 2 2 5 5" xfId="9993" xr:uid="{00000000-0005-0000-0000-000091270000}"/>
    <cellStyle name="Standard 3 2 2 2 5 6" xfId="9994" xr:uid="{00000000-0005-0000-0000-000092270000}"/>
    <cellStyle name="Standard 3 2 2 2 6" xfId="9995" xr:uid="{00000000-0005-0000-0000-000093270000}"/>
    <cellStyle name="Standard 3 2 2 2 6 2" xfId="9996" xr:uid="{00000000-0005-0000-0000-000094270000}"/>
    <cellStyle name="Standard 3 2 2 2 6 3" xfId="9997" xr:uid="{00000000-0005-0000-0000-000095270000}"/>
    <cellStyle name="Standard 3 2 2 2 7" xfId="9998" xr:uid="{00000000-0005-0000-0000-000096270000}"/>
    <cellStyle name="Standard 3 2 2 2 7 2" xfId="9999" xr:uid="{00000000-0005-0000-0000-000097270000}"/>
    <cellStyle name="Standard 3 2 2 2 7 3" xfId="10000" xr:uid="{00000000-0005-0000-0000-000098270000}"/>
    <cellStyle name="Standard 3 2 2 2 8" xfId="10001" xr:uid="{00000000-0005-0000-0000-000099270000}"/>
    <cellStyle name="Standard 3 2 2 2 8 2" xfId="10002" xr:uid="{00000000-0005-0000-0000-00009A270000}"/>
    <cellStyle name="Standard 3 2 2 2 9" xfId="10003" xr:uid="{00000000-0005-0000-0000-00009B270000}"/>
    <cellStyle name="Standard 3 2 2 3" xfId="555" xr:uid="{00000000-0005-0000-0000-00009C270000}"/>
    <cellStyle name="Standard 3 2 2 3 2" xfId="556" xr:uid="{00000000-0005-0000-0000-00009D270000}"/>
    <cellStyle name="Standard 3 2 2 3 2 2" xfId="10004" xr:uid="{00000000-0005-0000-0000-00009E270000}"/>
    <cellStyle name="Standard 3 2 2 3 2 2 2" xfId="10005" xr:uid="{00000000-0005-0000-0000-00009F270000}"/>
    <cellStyle name="Standard 3 2 2 3 2 2 2 2" xfId="10006" xr:uid="{00000000-0005-0000-0000-0000A0270000}"/>
    <cellStyle name="Standard 3 2 2 3 2 2 2 3" xfId="10007" xr:uid="{00000000-0005-0000-0000-0000A1270000}"/>
    <cellStyle name="Standard 3 2 2 3 2 2 3" xfId="10008" xr:uid="{00000000-0005-0000-0000-0000A2270000}"/>
    <cellStyle name="Standard 3 2 2 3 2 2 3 2" xfId="10009" xr:uid="{00000000-0005-0000-0000-0000A3270000}"/>
    <cellStyle name="Standard 3 2 2 3 2 2 3 3" xfId="10010" xr:uid="{00000000-0005-0000-0000-0000A4270000}"/>
    <cellStyle name="Standard 3 2 2 3 2 2 4" xfId="10011" xr:uid="{00000000-0005-0000-0000-0000A5270000}"/>
    <cellStyle name="Standard 3 2 2 3 2 2 4 2" xfId="10012" xr:uid="{00000000-0005-0000-0000-0000A6270000}"/>
    <cellStyle name="Standard 3 2 2 3 2 2 5" xfId="10013" xr:uid="{00000000-0005-0000-0000-0000A7270000}"/>
    <cellStyle name="Standard 3 2 2 3 2 2 6" xfId="10014" xr:uid="{00000000-0005-0000-0000-0000A8270000}"/>
    <cellStyle name="Standard 3 2 2 3 2 3" xfId="10015" xr:uid="{00000000-0005-0000-0000-0000A9270000}"/>
    <cellStyle name="Standard 3 2 2 3 2 3 2" xfId="10016" xr:uid="{00000000-0005-0000-0000-0000AA270000}"/>
    <cellStyle name="Standard 3 2 2 3 2 3 3" xfId="10017" xr:uid="{00000000-0005-0000-0000-0000AB270000}"/>
    <cellStyle name="Standard 3 2 2 3 2 4" xfId="10018" xr:uid="{00000000-0005-0000-0000-0000AC270000}"/>
    <cellStyle name="Standard 3 2 2 3 2 4 2" xfId="10019" xr:uid="{00000000-0005-0000-0000-0000AD270000}"/>
    <cellStyle name="Standard 3 2 2 3 2 4 3" xfId="10020" xr:uid="{00000000-0005-0000-0000-0000AE270000}"/>
    <cellStyle name="Standard 3 2 2 3 2 5" xfId="10021" xr:uid="{00000000-0005-0000-0000-0000AF270000}"/>
    <cellStyle name="Standard 3 2 2 3 2 5 2" xfId="10022" xr:uid="{00000000-0005-0000-0000-0000B0270000}"/>
    <cellStyle name="Standard 3 2 2 3 2 6" xfId="10023" xr:uid="{00000000-0005-0000-0000-0000B1270000}"/>
    <cellStyle name="Standard 3 2 2 3 2 7" xfId="10024" xr:uid="{00000000-0005-0000-0000-0000B2270000}"/>
    <cellStyle name="Standard 3 2 2 3 3" xfId="10025" xr:uid="{00000000-0005-0000-0000-0000B3270000}"/>
    <cellStyle name="Standard 3 2 2 3 3 2" xfId="10026" xr:uid="{00000000-0005-0000-0000-0000B4270000}"/>
    <cellStyle name="Standard 3 2 2 3 3 2 2" xfId="10027" xr:uid="{00000000-0005-0000-0000-0000B5270000}"/>
    <cellStyle name="Standard 3 2 2 3 3 2 3" xfId="10028" xr:uid="{00000000-0005-0000-0000-0000B6270000}"/>
    <cellStyle name="Standard 3 2 2 3 3 3" xfId="10029" xr:uid="{00000000-0005-0000-0000-0000B7270000}"/>
    <cellStyle name="Standard 3 2 2 3 3 3 2" xfId="10030" xr:uid="{00000000-0005-0000-0000-0000B8270000}"/>
    <cellStyle name="Standard 3 2 2 3 3 3 3" xfId="10031" xr:uid="{00000000-0005-0000-0000-0000B9270000}"/>
    <cellStyle name="Standard 3 2 2 3 3 4" xfId="10032" xr:uid="{00000000-0005-0000-0000-0000BA270000}"/>
    <cellStyle name="Standard 3 2 2 3 3 4 2" xfId="10033" xr:uid="{00000000-0005-0000-0000-0000BB270000}"/>
    <cellStyle name="Standard 3 2 2 3 3 5" xfId="10034" xr:uid="{00000000-0005-0000-0000-0000BC270000}"/>
    <cellStyle name="Standard 3 2 2 3 3 6" xfId="10035" xr:uid="{00000000-0005-0000-0000-0000BD270000}"/>
    <cellStyle name="Standard 3 2 2 3 4" xfId="10036" xr:uid="{00000000-0005-0000-0000-0000BE270000}"/>
    <cellStyle name="Standard 3 2 2 3 4 2" xfId="10037" xr:uid="{00000000-0005-0000-0000-0000BF270000}"/>
    <cellStyle name="Standard 3 2 2 3 4 3" xfId="10038" xr:uid="{00000000-0005-0000-0000-0000C0270000}"/>
    <cellStyle name="Standard 3 2 2 3 5" xfId="10039" xr:uid="{00000000-0005-0000-0000-0000C1270000}"/>
    <cellStyle name="Standard 3 2 2 3 5 2" xfId="10040" xr:uid="{00000000-0005-0000-0000-0000C2270000}"/>
    <cellStyle name="Standard 3 2 2 3 5 3" xfId="10041" xr:uid="{00000000-0005-0000-0000-0000C3270000}"/>
    <cellStyle name="Standard 3 2 2 3 6" xfId="10042" xr:uid="{00000000-0005-0000-0000-0000C4270000}"/>
    <cellStyle name="Standard 3 2 2 3 6 2" xfId="10043" xr:uid="{00000000-0005-0000-0000-0000C5270000}"/>
    <cellStyle name="Standard 3 2 2 3 7" xfId="10044" xr:uid="{00000000-0005-0000-0000-0000C6270000}"/>
    <cellStyle name="Standard 3 2 2 3 8" xfId="10045" xr:uid="{00000000-0005-0000-0000-0000C7270000}"/>
    <cellStyle name="Standard 3 2 2 3 9" xfId="10046" xr:uid="{00000000-0005-0000-0000-0000C8270000}"/>
    <cellStyle name="Standard 3 2 2 4" xfId="557" xr:uid="{00000000-0005-0000-0000-0000C9270000}"/>
    <cellStyle name="Standard 3 2 2 4 2" xfId="10047" xr:uid="{00000000-0005-0000-0000-0000CA270000}"/>
    <cellStyle name="Standard 3 2 2 4 2 2" xfId="10048" xr:uid="{00000000-0005-0000-0000-0000CB270000}"/>
    <cellStyle name="Standard 3 2 2 4 2 2 2" xfId="10049" xr:uid="{00000000-0005-0000-0000-0000CC270000}"/>
    <cellStyle name="Standard 3 2 2 4 2 2 2 2" xfId="10050" xr:uid="{00000000-0005-0000-0000-0000CD270000}"/>
    <cellStyle name="Standard 3 2 2 4 2 2 2 3" xfId="10051" xr:uid="{00000000-0005-0000-0000-0000CE270000}"/>
    <cellStyle name="Standard 3 2 2 4 2 2 3" xfId="10052" xr:uid="{00000000-0005-0000-0000-0000CF270000}"/>
    <cellStyle name="Standard 3 2 2 4 2 2 3 2" xfId="10053" xr:uid="{00000000-0005-0000-0000-0000D0270000}"/>
    <cellStyle name="Standard 3 2 2 4 2 2 3 3" xfId="10054" xr:uid="{00000000-0005-0000-0000-0000D1270000}"/>
    <cellStyle name="Standard 3 2 2 4 2 2 4" xfId="10055" xr:uid="{00000000-0005-0000-0000-0000D2270000}"/>
    <cellStyle name="Standard 3 2 2 4 2 2 4 2" xfId="10056" xr:uid="{00000000-0005-0000-0000-0000D3270000}"/>
    <cellStyle name="Standard 3 2 2 4 2 2 5" xfId="10057" xr:uid="{00000000-0005-0000-0000-0000D4270000}"/>
    <cellStyle name="Standard 3 2 2 4 2 2 6" xfId="10058" xr:uid="{00000000-0005-0000-0000-0000D5270000}"/>
    <cellStyle name="Standard 3 2 2 4 2 3" xfId="10059" xr:uid="{00000000-0005-0000-0000-0000D6270000}"/>
    <cellStyle name="Standard 3 2 2 4 2 3 2" xfId="10060" xr:uid="{00000000-0005-0000-0000-0000D7270000}"/>
    <cellStyle name="Standard 3 2 2 4 2 3 3" xfId="10061" xr:uid="{00000000-0005-0000-0000-0000D8270000}"/>
    <cellStyle name="Standard 3 2 2 4 2 4" xfId="10062" xr:uid="{00000000-0005-0000-0000-0000D9270000}"/>
    <cellStyle name="Standard 3 2 2 4 2 4 2" xfId="10063" xr:uid="{00000000-0005-0000-0000-0000DA270000}"/>
    <cellStyle name="Standard 3 2 2 4 2 4 3" xfId="10064" xr:uid="{00000000-0005-0000-0000-0000DB270000}"/>
    <cellStyle name="Standard 3 2 2 4 2 5" xfId="10065" xr:uid="{00000000-0005-0000-0000-0000DC270000}"/>
    <cellStyle name="Standard 3 2 2 4 2 5 2" xfId="10066" xr:uid="{00000000-0005-0000-0000-0000DD270000}"/>
    <cellStyle name="Standard 3 2 2 4 2 6" xfId="10067" xr:uid="{00000000-0005-0000-0000-0000DE270000}"/>
    <cellStyle name="Standard 3 2 2 4 2 7" xfId="10068" xr:uid="{00000000-0005-0000-0000-0000DF270000}"/>
    <cellStyle name="Standard 3 2 2 4 3" xfId="10069" xr:uid="{00000000-0005-0000-0000-0000E0270000}"/>
    <cellStyle name="Standard 3 2 2 4 3 2" xfId="10070" xr:uid="{00000000-0005-0000-0000-0000E1270000}"/>
    <cellStyle name="Standard 3 2 2 4 3 2 2" xfId="10071" xr:uid="{00000000-0005-0000-0000-0000E2270000}"/>
    <cellStyle name="Standard 3 2 2 4 3 2 3" xfId="10072" xr:uid="{00000000-0005-0000-0000-0000E3270000}"/>
    <cellStyle name="Standard 3 2 2 4 3 3" xfId="10073" xr:uid="{00000000-0005-0000-0000-0000E4270000}"/>
    <cellStyle name="Standard 3 2 2 4 3 3 2" xfId="10074" xr:uid="{00000000-0005-0000-0000-0000E5270000}"/>
    <cellStyle name="Standard 3 2 2 4 3 3 3" xfId="10075" xr:uid="{00000000-0005-0000-0000-0000E6270000}"/>
    <cellStyle name="Standard 3 2 2 4 3 4" xfId="10076" xr:uid="{00000000-0005-0000-0000-0000E7270000}"/>
    <cellStyle name="Standard 3 2 2 4 3 4 2" xfId="10077" xr:uid="{00000000-0005-0000-0000-0000E8270000}"/>
    <cellStyle name="Standard 3 2 2 4 3 5" xfId="10078" xr:uid="{00000000-0005-0000-0000-0000E9270000}"/>
    <cellStyle name="Standard 3 2 2 4 3 6" xfId="10079" xr:uid="{00000000-0005-0000-0000-0000EA270000}"/>
    <cellStyle name="Standard 3 2 2 4 4" xfId="10080" xr:uid="{00000000-0005-0000-0000-0000EB270000}"/>
    <cellStyle name="Standard 3 2 2 4 4 2" xfId="10081" xr:uid="{00000000-0005-0000-0000-0000EC270000}"/>
    <cellStyle name="Standard 3 2 2 4 4 3" xfId="10082" xr:uid="{00000000-0005-0000-0000-0000ED270000}"/>
    <cellStyle name="Standard 3 2 2 4 5" xfId="10083" xr:uid="{00000000-0005-0000-0000-0000EE270000}"/>
    <cellStyle name="Standard 3 2 2 4 5 2" xfId="10084" xr:uid="{00000000-0005-0000-0000-0000EF270000}"/>
    <cellStyle name="Standard 3 2 2 4 5 3" xfId="10085" xr:uid="{00000000-0005-0000-0000-0000F0270000}"/>
    <cellStyle name="Standard 3 2 2 4 6" xfId="10086" xr:uid="{00000000-0005-0000-0000-0000F1270000}"/>
    <cellStyle name="Standard 3 2 2 4 6 2" xfId="10087" xr:uid="{00000000-0005-0000-0000-0000F2270000}"/>
    <cellStyle name="Standard 3 2 2 4 7" xfId="10088" xr:uid="{00000000-0005-0000-0000-0000F3270000}"/>
    <cellStyle name="Standard 3 2 2 4 8" xfId="10089" xr:uid="{00000000-0005-0000-0000-0000F4270000}"/>
    <cellStyle name="Standard 3 2 2 4 9" xfId="10090" xr:uid="{00000000-0005-0000-0000-0000F5270000}"/>
    <cellStyle name="Standard 3 2 2 5" xfId="558" xr:uid="{00000000-0005-0000-0000-0000F6270000}"/>
    <cellStyle name="Standard 3 2 2 5 2" xfId="559" xr:uid="{00000000-0005-0000-0000-0000F7270000}"/>
    <cellStyle name="Standard 3 2 2 5 2 2" xfId="10091" xr:uid="{00000000-0005-0000-0000-0000F8270000}"/>
    <cellStyle name="Standard 3 2 2 5 2 2 2" xfId="10092" xr:uid="{00000000-0005-0000-0000-0000F9270000}"/>
    <cellStyle name="Standard 3 2 2 5 2 2 3" xfId="10093" xr:uid="{00000000-0005-0000-0000-0000FA270000}"/>
    <cellStyle name="Standard 3 2 2 5 2 3" xfId="10094" xr:uid="{00000000-0005-0000-0000-0000FB270000}"/>
    <cellStyle name="Standard 3 2 2 5 2 3 2" xfId="10095" xr:uid="{00000000-0005-0000-0000-0000FC270000}"/>
    <cellStyle name="Standard 3 2 2 5 2 3 3" xfId="10096" xr:uid="{00000000-0005-0000-0000-0000FD270000}"/>
    <cellStyle name="Standard 3 2 2 5 2 4" xfId="10097" xr:uid="{00000000-0005-0000-0000-0000FE270000}"/>
    <cellStyle name="Standard 3 2 2 5 2 4 2" xfId="10098" xr:uid="{00000000-0005-0000-0000-0000FF270000}"/>
    <cellStyle name="Standard 3 2 2 5 2 5" xfId="10099" xr:uid="{00000000-0005-0000-0000-000000280000}"/>
    <cellStyle name="Standard 3 2 2 5 2 6" xfId="10100" xr:uid="{00000000-0005-0000-0000-000001280000}"/>
    <cellStyle name="Standard 3 2 2 5 3" xfId="10101" xr:uid="{00000000-0005-0000-0000-000002280000}"/>
    <cellStyle name="Standard 3 2 2 5 3 2" xfId="10102" xr:uid="{00000000-0005-0000-0000-000003280000}"/>
    <cellStyle name="Standard 3 2 2 5 3 3" xfId="10103" xr:uid="{00000000-0005-0000-0000-000004280000}"/>
    <cellStyle name="Standard 3 2 2 5 4" xfId="10104" xr:uid="{00000000-0005-0000-0000-000005280000}"/>
    <cellStyle name="Standard 3 2 2 5 4 2" xfId="10105" xr:uid="{00000000-0005-0000-0000-000006280000}"/>
    <cellStyle name="Standard 3 2 2 5 4 3" xfId="10106" xr:uid="{00000000-0005-0000-0000-000007280000}"/>
    <cellStyle name="Standard 3 2 2 5 5" xfId="10107" xr:uid="{00000000-0005-0000-0000-000008280000}"/>
    <cellStyle name="Standard 3 2 2 5 5 2" xfId="10108" xr:uid="{00000000-0005-0000-0000-000009280000}"/>
    <cellStyle name="Standard 3 2 2 5 6" xfId="10109" xr:uid="{00000000-0005-0000-0000-00000A280000}"/>
    <cellStyle name="Standard 3 2 2 5 7" xfId="10110" xr:uid="{00000000-0005-0000-0000-00000B280000}"/>
    <cellStyle name="Standard 3 2 2 5 8" xfId="10111" xr:uid="{00000000-0005-0000-0000-00000C280000}"/>
    <cellStyle name="Standard 3 2 2 6" xfId="10112" xr:uid="{00000000-0005-0000-0000-00000D280000}"/>
    <cellStyle name="Standard 3 2 2 6 2" xfId="10113" xr:uid="{00000000-0005-0000-0000-00000E280000}"/>
    <cellStyle name="Standard 3 2 2 6 2 2" xfId="10114" xr:uid="{00000000-0005-0000-0000-00000F280000}"/>
    <cellStyle name="Standard 3 2 2 6 2 3" xfId="10115" xr:uid="{00000000-0005-0000-0000-000010280000}"/>
    <cellStyle name="Standard 3 2 2 6 3" xfId="10116" xr:uid="{00000000-0005-0000-0000-000011280000}"/>
    <cellStyle name="Standard 3 2 2 6 3 2" xfId="10117" xr:uid="{00000000-0005-0000-0000-000012280000}"/>
    <cellStyle name="Standard 3 2 2 6 3 3" xfId="10118" xr:uid="{00000000-0005-0000-0000-000013280000}"/>
    <cellStyle name="Standard 3 2 2 6 4" xfId="10119" xr:uid="{00000000-0005-0000-0000-000014280000}"/>
    <cellStyle name="Standard 3 2 2 6 4 2" xfId="10120" xr:uid="{00000000-0005-0000-0000-000015280000}"/>
    <cellStyle name="Standard 3 2 2 6 5" xfId="10121" xr:uid="{00000000-0005-0000-0000-000016280000}"/>
    <cellStyle name="Standard 3 2 2 6 6" xfId="10122" xr:uid="{00000000-0005-0000-0000-000017280000}"/>
    <cellStyle name="Standard 3 2 2 7" xfId="10123" xr:uid="{00000000-0005-0000-0000-000018280000}"/>
    <cellStyle name="Standard 3 2 2 7 2" xfId="10124" xr:uid="{00000000-0005-0000-0000-000019280000}"/>
    <cellStyle name="Standard 3 2 2 7 3" xfId="10125" xr:uid="{00000000-0005-0000-0000-00001A280000}"/>
    <cellStyle name="Standard 3 2 2 8" xfId="10126" xr:uid="{00000000-0005-0000-0000-00001B280000}"/>
    <cellStyle name="Standard 3 2 2 8 2" xfId="10127" xr:uid="{00000000-0005-0000-0000-00001C280000}"/>
    <cellStyle name="Standard 3 2 2 8 3" xfId="10128" xr:uid="{00000000-0005-0000-0000-00001D280000}"/>
    <cellStyle name="Standard 3 2 2 9" xfId="10129" xr:uid="{00000000-0005-0000-0000-00001E280000}"/>
    <cellStyle name="Standard 3 2 2 9 2" xfId="10130" xr:uid="{00000000-0005-0000-0000-00001F280000}"/>
    <cellStyle name="Standard 3 2 3" xfId="10131" xr:uid="{00000000-0005-0000-0000-000020280000}"/>
    <cellStyle name="Standard 3 2 3 2" xfId="10132" xr:uid="{00000000-0005-0000-0000-000021280000}"/>
    <cellStyle name="Standard 3 2 3 3" xfId="10133" xr:uid="{00000000-0005-0000-0000-000022280000}"/>
    <cellStyle name="Standard 3 2 3 4" xfId="10134" xr:uid="{00000000-0005-0000-0000-000023280000}"/>
    <cellStyle name="Standard 3 2 3 5" xfId="10135" xr:uid="{00000000-0005-0000-0000-000024280000}"/>
    <cellStyle name="Standard 3 2 4" xfId="10136" xr:uid="{00000000-0005-0000-0000-000025280000}"/>
    <cellStyle name="Standard 3 2 4 2" xfId="10137" xr:uid="{00000000-0005-0000-0000-000026280000}"/>
    <cellStyle name="Standard 3 2 5" xfId="10138" xr:uid="{00000000-0005-0000-0000-000027280000}"/>
    <cellStyle name="Standard 3 2 5 2" xfId="10139" xr:uid="{00000000-0005-0000-0000-000028280000}"/>
    <cellStyle name="Standard 3 2 6" xfId="10140" xr:uid="{00000000-0005-0000-0000-000029280000}"/>
    <cellStyle name="Standard 3 2 6 2" xfId="10141" xr:uid="{00000000-0005-0000-0000-00002A280000}"/>
    <cellStyle name="Standard 3 2 7" xfId="10142" xr:uid="{00000000-0005-0000-0000-00002B280000}"/>
    <cellStyle name="Standard 3 3" xfId="560" xr:uid="{00000000-0005-0000-0000-00002C280000}"/>
    <cellStyle name="Standard 3 3 2" xfId="10143" xr:uid="{00000000-0005-0000-0000-00002D280000}"/>
    <cellStyle name="Standard 3 3 2 2" xfId="10144" xr:uid="{00000000-0005-0000-0000-00002E280000}"/>
    <cellStyle name="Standard 3 3 2 2 2" xfId="10145" xr:uid="{00000000-0005-0000-0000-00002F280000}"/>
    <cellStyle name="Standard 3 3 2 3" xfId="10146" xr:uid="{00000000-0005-0000-0000-000030280000}"/>
    <cellStyle name="Standard 3 3 2 4" xfId="10147" xr:uid="{00000000-0005-0000-0000-000031280000}"/>
    <cellStyle name="Standard 3 3 2 5" xfId="10148" xr:uid="{00000000-0005-0000-0000-000032280000}"/>
    <cellStyle name="Standard 3 3 3" xfId="10149" xr:uid="{00000000-0005-0000-0000-000033280000}"/>
    <cellStyle name="Standard 3 3 3 2" xfId="10150" xr:uid="{00000000-0005-0000-0000-000034280000}"/>
    <cellStyle name="Standard 3 3 4" xfId="10151" xr:uid="{00000000-0005-0000-0000-000035280000}"/>
    <cellStyle name="Standard 3 3 4 2" xfId="10152" xr:uid="{00000000-0005-0000-0000-000036280000}"/>
    <cellStyle name="Standard 3 3 5" xfId="10153" xr:uid="{00000000-0005-0000-0000-000037280000}"/>
    <cellStyle name="Standard 3 3 6" xfId="10154" xr:uid="{00000000-0005-0000-0000-000038280000}"/>
    <cellStyle name="Standard 3 3 7" xfId="10155" xr:uid="{00000000-0005-0000-0000-000039280000}"/>
    <cellStyle name="Standard 3 3 8" xfId="10156" xr:uid="{00000000-0005-0000-0000-00003A280000}"/>
    <cellStyle name="Standard 3 3 9" xfId="33448" xr:uid="{00000000-0005-0000-0000-00003B280000}"/>
    <cellStyle name="Standard 3 4" xfId="561" xr:uid="{00000000-0005-0000-0000-00003C280000}"/>
    <cellStyle name="Standard 3 4 2" xfId="10157" xr:uid="{00000000-0005-0000-0000-00003D280000}"/>
    <cellStyle name="Standard 3 4 2 2" xfId="10158" xr:uid="{00000000-0005-0000-0000-00003E280000}"/>
    <cellStyle name="Standard 3 4 2 2 2" xfId="33451" xr:uid="{00000000-0005-0000-0000-00003F280000}"/>
    <cellStyle name="Standard 3 4 2 3" xfId="33450" xr:uid="{00000000-0005-0000-0000-000040280000}"/>
    <cellStyle name="Standard 3 4 3" xfId="10159" xr:uid="{00000000-0005-0000-0000-000041280000}"/>
    <cellStyle name="Standard 3 4 3 2" xfId="33452" xr:uid="{00000000-0005-0000-0000-000042280000}"/>
    <cellStyle name="Standard 3 4 4" xfId="10160" xr:uid="{00000000-0005-0000-0000-000043280000}"/>
    <cellStyle name="Standard 3 4 4 2" xfId="10161" xr:uid="{00000000-0005-0000-0000-000044280000}"/>
    <cellStyle name="Standard 3 4 4 3" xfId="10162" xr:uid="{00000000-0005-0000-0000-000045280000}"/>
    <cellStyle name="Standard 3 4 5" xfId="10163" xr:uid="{00000000-0005-0000-0000-000046280000}"/>
    <cellStyle name="Standard 3 4 6" xfId="10164" xr:uid="{00000000-0005-0000-0000-000047280000}"/>
    <cellStyle name="Standard 3 4 7" xfId="33449" xr:uid="{00000000-0005-0000-0000-000048280000}"/>
    <cellStyle name="Standard 3 5" xfId="10165" xr:uid="{00000000-0005-0000-0000-000049280000}"/>
    <cellStyle name="Standard 3 5 2" xfId="10166" xr:uid="{00000000-0005-0000-0000-00004A280000}"/>
    <cellStyle name="Standard 3 5 3" xfId="10167" xr:uid="{00000000-0005-0000-0000-00004B280000}"/>
    <cellStyle name="Standard 3 6" xfId="10168" xr:uid="{00000000-0005-0000-0000-00004C280000}"/>
    <cellStyle name="Standard 3 6 10" xfId="10169" xr:uid="{00000000-0005-0000-0000-00004D280000}"/>
    <cellStyle name="Standard 3 6 11" xfId="10170" xr:uid="{00000000-0005-0000-0000-00004E280000}"/>
    <cellStyle name="Standard 3 6 12" xfId="10171" xr:uid="{00000000-0005-0000-0000-00004F280000}"/>
    <cellStyle name="Standard 3 6 13" xfId="33453" xr:uid="{00000000-0005-0000-0000-000050280000}"/>
    <cellStyle name="Standard 3 6 2" xfId="10172" xr:uid="{00000000-0005-0000-0000-000051280000}"/>
    <cellStyle name="Standard 3 6 2 10" xfId="10173" xr:uid="{00000000-0005-0000-0000-000052280000}"/>
    <cellStyle name="Standard 3 6 2 11" xfId="10174" xr:uid="{00000000-0005-0000-0000-000053280000}"/>
    <cellStyle name="Standard 3 6 2 2" xfId="10175" xr:uid="{00000000-0005-0000-0000-000054280000}"/>
    <cellStyle name="Standard 3 6 2 2 2" xfId="10176" xr:uid="{00000000-0005-0000-0000-000055280000}"/>
    <cellStyle name="Standard 3 6 2 2 2 2" xfId="10177" xr:uid="{00000000-0005-0000-0000-000056280000}"/>
    <cellStyle name="Standard 3 6 2 2 2 2 2" xfId="10178" xr:uid="{00000000-0005-0000-0000-000057280000}"/>
    <cellStyle name="Standard 3 6 2 2 2 2 2 2" xfId="10179" xr:uid="{00000000-0005-0000-0000-000058280000}"/>
    <cellStyle name="Standard 3 6 2 2 2 2 2 3" xfId="10180" xr:uid="{00000000-0005-0000-0000-000059280000}"/>
    <cellStyle name="Standard 3 6 2 2 2 2 3" xfId="10181" xr:uid="{00000000-0005-0000-0000-00005A280000}"/>
    <cellStyle name="Standard 3 6 2 2 2 2 3 2" xfId="10182" xr:uid="{00000000-0005-0000-0000-00005B280000}"/>
    <cellStyle name="Standard 3 6 2 2 2 2 3 3" xfId="10183" xr:uid="{00000000-0005-0000-0000-00005C280000}"/>
    <cellStyle name="Standard 3 6 2 2 2 2 4" xfId="10184" xr:uid="{00000000-0005-0000-0000-00005D280000}"/>
    <cellStyle name="Standard 3 6 2 2 2 2 4 2" xfId="10185" xr:uid="{00000000-0005-0000-0000-00005E280000}"/>
    <cellStyle name="Standard 3 6 2 2 2 2 5" xfId="10186" xr:uid="{00000000-0005-0000-0000-00005F280000}"/>
    <cellStyle name="Standard 3 6 2 2 2 2 6" xfId="10187" xr:uid="{00000000-0005-0000-0000-000060280000}"/>
    <cellStyle name="Standard 3 6 2 2 2 3" xfId="10188" xr:uid="{00000000-0005-0000-0000-000061280000}"/>
    <cellStyle name="Standard 3 6 2 2 2 3 2" xfId="10189" xr:uid="{00000000-0005-0000-0000-000062280000}"/>
    <cellStyle name="Standard 3 6 2 2 2 3 3" xfId="10190" xr:uid="{00000000-0005-0000-0000-000063280000}"/>
    <cellStyle name="Standard 3 6 2 2 2 4" xfId="10191" xr:uid="{00000000-0005-0000-0000-000064280000}"/>
    <cellStyle name="Standard 3 6 2 2 2 4 2" xfId="10192" xr:uid="{00000000-0005-0000-0000-000065280000}"/>
    <cellStyle name="Standard 3 6 2 2 2 4 3" xfId="10193" xr:uid="{00000000-0005-0000-0000-000066280000}"/>
    <cellStyle name="Standard 3 6 2 2 2 5" xfId="10194" xr:uid="{00000000-0005-0000-0000-000067280000}"/>
    <cellStyle name="Standard 3 6 2 2 2 5 2" xfId="10195" xr:uid="{00000000-0005-0000-0000-000068280000}"/>
    <cellStyle name="Standard 3 6 2 2 2 6" xfId="10196" xr:uid="{00000000-0005-0000-0000-000069280000}"/>
    <cellStyle name="Standard 3 6 2 2 2 7" xfId="10197" xr:uid="{00000000-0005-0000-0000-00006A280000}"/>
    <cellStyle name="Standard 3 6 2 2 3" xfId="10198" xr:uid="{00000000-0005-0000-0000-00006B280000}"/>
    <cellStyle name="Standard 3 6 2 2 3 2" xfId="10199" xr:uid="{00000000-0005-0000-0000-00006C280000}"/>
    <cellStyle name="Standard 3 6 2 2 3 2 2" xfId="10200" xr:uid="{00000000-0005-0000-0000-00006D280000}"/>
    <cellStyle name="Standard 3 6 2 2 3 2 3" xfId="10201" xr:uid="{00000000-0005-0000-0000-00006E280000}"/>
    <cellStyle name="Standard 3 6 2 2 3 3" xfId="10202" xr:uid="{00000000-0005-0000-0000-00006F280000}"/>
    <cellStyle name="Standard 3 6 2 2 3 3 2" xfId="10203" xr:uid="{00000000-0005-0000-0000-000070280000}"/>
    <cellStyle name="Standard 3 6 2 2 3 3 3" xfId="10204" xr:uid="{00000000-0005-0000-0000-000071280000}"/>
    <cellStyle name="Standard 3 6 2 2 3 4" xfId="10205" xr:uid="{00000000-0005-0000-0000-000072280000}"/>
    <cellStyle name="Standard 3 6 2 2 3 4 2" xfId="10206" xr:uid="{00000000-0005-0000-0000-000073280000}"/>
    <cellStyle name="Standard 3 6 2 2 3 5" xfId="10207" xr:uid="{00000000-0005-0000-0000-000074280000}"/>
    <cellStyle name="Standard 3 6 2 2 3 6" xfId="10208" xr:uid="{00000000-0005-0000-0000-000075280000}"/>
    <cellStyle name="Standard 3 6 2 2 4" xfId="10209" xr:uid="{00000000-0005-0000-0000-000076280000}"/>
    <cellStyle name="Standard 3 6 2 2 4 2" xfId="10210" xr:uid="{00000000-0005-0000-0000-000077280000}"/>
    <cellStyle name="Standard 3 6 2 2 4 3" xfId="10211" xr:uid="{00000000-0005-0000-0000-000078280000}"/>
    <cellStyle name="Standard 3 6 2 2 5" xfId="10212" xr:uid="{00000000-0005-0000-0000-000079280000}"/>
    <cellStyle name="Standard 3 6 2 2 5 2" xfId="10213" xr:uid="{00000000-0005-0000-0000-00007A280000}"/>
    <cellStyle name="Standard 3 6 2 2 5 3" xfId="10214" xr:uid="{00000000-0005-0000-0000-00007B280000}"/>
    <cellStyle name="Standard 3 6 2 2 6" xfId="10215" xr:uid="{00000000-0005-0000-0000-00007C280000}"/>
    <cellStyle name="Standard 3 6 2 2 6 2" xfId="10216" xr:uid="{00000000-0005-0000-0000-00007D280000}"/>
    <cellStyle name="Standard 3 6 2 2 7" xfId="10217" xr:uid="{00000000-0005-0000-0000-00007E280000}"/>
    <cellStyle name="Standard 3 6 2 2 8" xfId="10218" xr:uid="{00000000-0005-0000-0000-00007F280000}"/>
    <cellStyle name="Standard 3 6 2 3" xfId="10219" xr:uid="{00000000-0005-0000-0000-000080280000}"/>
    <cellStyle name="Standard 3 6 2 3 2" xfId="10220" xr:uid="{00000000-0005-0000-0000-000081280000}"/>
    <cellStyle name="Standard 3 6 2 3 2 2" xfId="10221" xr:uid="{00000000-0005-0000-0000-000082280000}"/>
    <cellStyle name="Standard 3 6 2 3 2 2 2" xfId="10222" xr:uid="{00000000-0005-0000-0000-000083280000}"/>
    <cellStyle name="Standard 3 6 2 3 2 2 2 2" xfId="10223" xr:uid="{00000000-0005-0000-0000-000084280000}"/>
    <cellStyle name="Standard 3 6 2 3 2 2 2 3" xfId="10224" xr:uid="{00000000-0005-0000-0000-000085280000}"/>
    <cellStyle name="Standard 3 6 2 3 2 2 3" xfId="10225" xr:uid="{00000000-0005-0000-0000-000086280000}"/>
    <cellStyle name="Standard 3 6 2 3 2 2 3 2" xfId="10226" xr:uid="{00000000-0005-0000-0000-000087280000}"/>
    <cellStyle name="Standard 3 6 2 3 2 2 3 3" xfId="10227" xr:uid="{00000000-0005-0000-0000-000088280000}"/>
    <cellStyle name="Standard 3 6 2 3 2 2 4" xfId="10228" xr:uid="{00000000-0005-0000-0000-000089280000}"/>
    <cellStyle name="Standard 3 6 2 3 2 2 4 2" xfId="10229" xr:uid="{00000000-0005-0000-0000-00008A280000}"/>
    <cellStyle name="Standard 3 6 2 3 2 2 5" xfId="10230" xr:uid="{00000000-0005-0000-0000-00008B280000}"/>
    <cellStyle name="Standard 3 6 2 3 2 2 6" xfId="10231" xr:uid="{00000000-0005-0000-0000-00008C280000}"/>
    <cellStyle name="Standard 3 6 2 3 2 3" xfId="10232" xr:uid="{00000000-0005-0000-0000-00008D280000}"/>
    <cellStyle name="Standard 3 6 2 3 2 3 2" xfId="10233" xr:uid="{00000000-0005-0000-0000-00008E280000}"/>
    <cellStyle name="Standard 3 6 2 3 2 3 3" xfId="10234" xr:uid="{00000000-0005-0000-0000-00008F280000}"/>
    <cellStyle name="Standard 3 6 2 3 2 4" xfId="10235" xr:uid="{00000000-0005-0000-0000-000090280000}"/>
    <cellStyle name="Standard 3 6 2 3 2 4 2" xfId="10236" xr:uid="{00000000-0005-0000-0000-000091280000}"/>
    <cellStyle name="Standard 3 6 2 3 2 4 3" xfId="10237" xr:uid="{00000000-0005-0000-0000-000092280000}"/>
    <cellStyle name="Standard 3 6 2 3 2 5" xfId="10238" xr:uid="{00000000-0005-0000-0000-000093280000}"/>
    <cellStyle name="Standard 3 6 2 3 2 5 2" xfId="10239" xr:uid="{00000000-0005-0000-0000-000094280000}"/>
    <cellStyle name="Standard 3 6 2 3 2 6" xfId="10240" xr:uid="{00000000-0005-0000-0000-000095280000}"/>
    <cellStyle name="Standard 3 6 2 3 2 7" xfId="10241" xr:uid="{00000000-0005-0000-0000-000096280000}"/>
    <cellStyle name="Standard 3 6 2 3 3" xfId="10242" xr:uid="{00000000-0005-0000-0000-000097280000}"/>
    <cellStyle name="Standard 3 6 2 3 3 2" xfId="10243" xr:uid="{00000000-0005-0000-0000-000098280000}"/>
    <cellStyle name="Standard 3 6 2 3 3 2 2" xfId="10244" xr:uid="{00000000-0005-0000-0000-000099280000}"/>
    <cellStyle name="Standard 3 6 2 3 3 2 3" xfId="10245" xr:uid="{00000000-0005-0000-0000-00009A280000}"/>
    <cellStyle name="Standard 3 6 2 3 3 3" xfId="10246" xr:uid="{00000000-0005-0000-0000-00009B280000}"/>
    <cellStyle name="Standard 3 6 2 3 3 3 2" xfId="10247" xr:uid="{00000000-0005-0000-0000-00009C280000}"/>
    <cellStyle name="Standard 3 6 2 3 3 3 3" xfId="10248" xr:uid="{00000000-0005-0000-0000-00009D280000}"/>
    <cellStyle name="Standard 3 6 2 3 3 4" xfId="10249" xr:uid="{00000000-0005-0000-0000-00009E280000}"/>
    <cellStyle name="Standard 3 6 2 3 3 4 2" xfId="10250" xr:uid="{00000000-0005-0000-0000-00009F280000}"/>
    <cellStyle name="Standard 3 6 2 3 3 5" xfId="10251" xr:uid="{00000000-0005-0000-0000-0000A0280000}"/>
    <cellStyle name="Standard 3 6 2 3 3 6" xfId="10252" xr:uid="{00000000-0005-0000-0000-0000A1280000}"/>
    <cellStyle name="Standard 3 6 2 3 4" xfId="10253" xr:uid="{00000000-0005-0000-0000-0000A2280000}"/>
    <cellStyle name="Standard 3 6 2 3 4 2" xfId="10254" xr:uid="{00000000-0005-0000-0000-0000A3280000}"/>
    <cellStyle name="Standard 3 6 2 3 4 3" xfId="10255" xr:uid="{00000000-0005-0000-0000-0000A4280000}"/>
    <cellStyle name="Standard 3 6 2 3 5" xfId="10256" xr:uid="{00000000-0005-0000-0000-0000A5280000}"/>
    <cellStyle name="Standard 3 6 2 3 5 2" xfId="10257" xr:uid="{00000000-0005-0000-0000-0000A6280000}"/>
    <cellStyle name="Standard 3 6 2 3 5 3" xfId="10258" xr:uid="{00000000-0005-0000-0000-0000A7280000}"/>
    <cellStyle name="Standard 3 6 2 3 6" xfId="10259" xr:uid="{00000000-0005-0000-0000-0000A8280000}"/>
    <cellStyle name="Standard 3 6 2 3 6 2" xfId="10260" xr:uid="{00000000-0005-0000-0000-0000A9280000}"/>
    <cellStyle name="Standard 3 6 2 3 7" xfId="10261" xr:uid="{00000000-0005-0000-0000-0000AA280000}"/>
    <cellStyle name="Standard 3 6 2 3 8" xfId="10262" xr:uid="{00000000-0005-0000-0000-0000AB280000}"/>
    <cellStyle name="Standard 3 6 2 4" xfId="10263" xr:uid="{00000000-0005-0000-0000-0000AC280000}"/>
    <cellStyle name="Standard 3 6 2 4 2" xfId="10264" xr:uid="{00000000-0005-0000-0000-0000AD280000}"/>
    <cellStyle name="Standard 3 6 2 4 2 2" xfId="10265" xr:uid="{00000000-0005-0000-0000-0000AE280000}"/>
    <cellStyle name="Standard 3 6 2 4 2 2 2" xfId="10266" xr:uid="{00000000-0005-0000-0000-0000AF280000}"/>
    <cellStyle name="Standard 3 6 2 4 2 2 3" xfId="10267" xr:uid="{00000000-0005-0000-0000-0000B0280000}"/>
    <cellStyle name="Standard 3 6 2 4 2 3" xfId="10268" xr:uid="{00000000-0005-0000-0000-0000B1280000}"/>
    <cellStyle name="Standard 3 6 2 4 2 3 2" xfId="10269" xr:uid="{00000000-0005-0000-0000-0000B2280000}"/>
    <cellStyle name="Standard 3 6 2 4 2 3 3" xfId="10270" xr:uid="{00000000-0005-0000-0000-0000B3280000}"/>
    <cellStyle name="Standard 3 6 2 4 2 4" xfId="10271" xr:uid="{00000000-0005-0000-0000-0000B4280000}"/>
    <cellStyle name="Standard 3 6 2 4 2 4 2" xfId="10272" xr:uid="{00000000-0005-0000-0000-0000B5280000}"/>
    <cellStyle name="Standard 3 6 2 4 2 5" xfId="10273" xr:uid="{00000000-0005-0000-0000-0000B6280000}"/>
    <cellStyle name="Standard 3 6 2 4 2 6" xfId="10274" xr:uid="{00000000-0005-0000-0000-0000B7280000}"/>
    <cellStyle name="Standard 3 6 2 4 3" xfId="10275" xr:uid="{00000000-0005-0000-0000-0000B8280000}"/>
    <cellStyle name="Standard 3 6 2 4 3 2" xfId="10276" xr:uid="{00000000-0005-0000-0000-0000B9280000}"/>
    <cellStyle name="Standard 3 6 2 4 3 3" xfId="10277" xr:uid="{00000000-0005-0000-0000-0000BA280000}"/>
    <cellStyle name="Standard 3 6 2 4 4" xfId="10278" xr:uid="{00000000-0005-0000-0000-0000BB280000}"/>
    <cellStyle name="Standard 3 6 2 4 4 2" xfId="10279" xr:uid="{00000000-0005-0000-0000-0000BC280000}"/>
    <cellStyle name="Standard 3 6 2 4 4 3" xfId="10280" xr:uid="{00000000-0005-0000-0000-0000BD280000}"/>
    <cellStyle name="Standard 3 6 2 4 5" xfId="10281" xr:uid="{00000000-0005-0000-0000-0000BE280000}"/>
    <cellStyle name="Standard 3 6 2 4 5 2" xfId="10282" xr:uid="{00000000-0005-0000-0000-0000BF280000}"/>
    <cellStyle name="Standard 3 6 2 4 6" xfId="10283" xr:uid="{00000000-0005-0000-0000-0000C0280000}"/>
    <cellStyle name="Standard 3 6 2 4 7" xfId="10284" xr:uid="{00000000-0005-0000-0000-0000C1280000}"/>
    <cellStyle name="Standard 3 6 2 5" xfId="10285" xr:uid="{00000000-0005-0000-0000-0000C2280000}"/>
    <cellStyle name="Standard 3 6 2 5 2" xfId="10286" xr:uid="{00000000-0005-0000-0000-0000C3280000}"/>
    <cellStyle name="Standard 3 6 2 5 2 2" xfId="10287" xr:uid="{00000000-0005-0000-0000-0000C4280000}"/>
    <cellStyle name="Standard 3 6 2 5 2 3" xfId="10288" xr:uid="{00000000-0005-0000-0000-0000C5280000}"/>
    <cellStyle name="Standard 3 6 2 5 3" xfId="10289" xr:uid="{00000000-0005-0000-0000-0000C6280000}"/>
    <cellStyle name="Standard 3 6 2 5 3 2" xfId="10290" xr:uid="{00000000-0005-0000-0000-0000C7280000}"/>
    <cellStyle name="Standard 3 6 2 5 3 3" xfId="10291" xr:uid="{00000000-0005-0000-0000-0000C8280000}"/>
    <cellStyle name="Standard 3 6 2 5 4" xfId="10292" xr:uid="{00000000-0005-0000-0000-0000C9280000}"/>
    <cellStyle name="Standard 3 6 2 5 4 2" xfId="10293" xr:uid="{00000000-0005-0000-0000-0000CA280000}"/>
    <cellStyle name="Standard 3 6 2 5 5" xfId="10294" xr:uid="{00000000-0005-0000-0000-0000CB280000}"/>
    <cellStyle name="Standard 3 6 2 5 6" xfId="10295" xr:uid="{00000000-0005-0000-0000-0000CC280000}"/>
    <cellStyle name="Standard 3 6 2 6" xfId="10296" xr:uid="{00000000-0005-0000-0000-0000CD280000}"/>
    <cellStyle name="Standard 3 6 2 6 2" xfId="10297" xr:uid="{00000000-0005-0000-0000-0000CE280000}"/>
    <cellStyle name="Standard 3 6 2 6 3" xfId="10298" xr:uid="{00000000-0005-0000-0000-0000CF280000}"/>
    <cellStyle name="Standard 3 6 2 7" xfId="10299" xr:uid="{00000000-0005-0000-0000-0000D0280000}"/>
    <cellStyle name="Standard 3 6 2 7 2" xfId="10300" xr:uid="{00000000-0005-0000-0000-0000D1280000}"/>
    <cellStyle name="Standard 3 6 2 7 3" xfId="10301" xr:uid="{00000000-0005-0000-0000-0000D2280000}"/>
    <cellStyle name="Standard 3 6 2 8" xfId="10302" xr:uid="{00000000-0005-0000-0000-0000D3280000}"/>
    <cellStyle name="Standard 3 6 2 8 2" xfId="10303" xr:uid="{00000000-0005-0000-0000-0000D4280000}"/>
    <cellStyle name="Standard 3 6 2 9" xfId="10304" xr:uid="{00000000-0005-0000-0000-0000D5280000}"/>
    <cellStyle name="Standard 3 6 3" xfId="10305" xr:uid="{00000000-0005-0000-0000-0000D6280000}"/>
    <cellStyle name="Standard 3 6 3 2" xfId="10306" xr:uid="{00000000-0005-0000-0000-0000D7280000}"/>
    <cellStyle name="Standard 3 6 3 2 2" xfId="10307" xr:uid="{00000000-0005-0000-0000-0000D8280000}"/>
    <cellStyle name="Standard 3 6 3 2 2 2" xfId="10308" xr:uid="{00000000-0005-0000-0000-0000D9280000}"/>
    <cellStyle name="Standard 3 6 3 2 2 2 2" xfId="10309" xr:uid="{00000000-0005-0000-0000-0000DA280000}"/>
    <cellStyle name="Standard 3 6 3 2 2 2 3" xfId="10310" xr:uid="{00000000-0005-0000-0000-0000DB280000}"/>
    <cellStyle name="Standard 3 6 3 2 2 3" xfId="10311" xr:uid="{00000000-0005-0000-0000-0000DC280000}"/>
    <cellStyle name="Standard 3 6 3 2 2 3 2" xfId="10312" xr:uid="{00000000-0005-0000-0000-0000DD280000}"/>
    <cellStyle name="Standard 3 6 3 2 2 3 3" xfId="10313" xr:uid="{00000000-0005-0000-0000-0000DE280000}"/>
    <cellStyle name="Standard 3 6 3 2 2 4" xfId="10314" xr:uid="{00000000-0005-0000-0000-0000DF280000}"/>
    <cellStyle name="Standard 3 6 3 2 2 4 2" xfId="10315" xr:uid="{00000000-0005-0000-0000-0000E0280000}"/>
    <cellStyle name="Standard 3 6 3 2 2 5" xfId="10316" xr:uid="{00000000-0005-0000-0000-0000E1280000}"/>
    <cellStyle name="Standard 3 6 3 2 2 6" xfId="10317" xr:uid="{00000000-0005-0000-0000-0000E2280000}"/>
    <cellStyle name="Standard 3 6 3 2 3" xfId="10318" xr:uid="{00000000-0005-0000-0000-0000E3280000}"/>
    <cellStyle name="Standard 3 6 3 2 3 2" xfId="10319" xr:uid="{00000000-0005-0000-0000-0000E4280000}"/>
    <cellStyle name="Standard 3 6 3 2 3 3" xfId="10320" xr:uid="{00000000-0005-0000-0000-0000E5280000}"/>
    <cellStyle name="Standard 3 6 3 2 4" xfId="10321" xr:uid="{00000000-0005-0000-0000-0000E6280000}"/>
    <cellStyle name="Standard 3 6 3 2 4 2" xfId="10322" xr:uid="{00000000-0005-0000-0000-0000E7280000}"/>
    <cellStyle name="Standard 3 6 3 2 4 3" xfId="10323" xr:uid="{00000000-0005-0000-0000-0000E8280000}"/>
    <cellStyle name="Standard 3 6 3 2 5" xfId="10324" xr:uid="{00000000-0005-0000-0000-0000E9280000}"/>
    <cellStyle name="Standard 3 6 3 2 5 2" xfId="10325" xr:uid="{00000000-0005-0000-0000-0000EA280000}"/>
    <cellStyle name="Standard 3 6 3 2 6" xfId="10326" xr:uid="{00000000-0005-0000-0000-0000EB280000}"/>
    <cellStyle name="Standard 3 6 3 2 7" xfId="10327" xr:uid="{00000000-0005-0000-0000-0000EC280000}"/>
    <cellStyle name="Standard 3 6 3 3" xfId="10328" xr:uid="{00000000-0005-0000-0000-0000ED280000}"/>
    <cellStyle name="Standard 3 6 3 3 2" xfId="10329" xr:uid="{00000000-0005-0000-0000-0000EE280000}"/>
    <cellStyle name="Standard 3 6 3 3 2 2" xfId="10330" xr:uid="{00000000-0005-0000-0000-0000EF280000}"/>
    <cellStyle name="Standard 3 6 3 3 2 3" xfId="10331" xr:uid="{00000000-0005-0000-0000-0000F0280000}"/>
    <cellStyle name="Standard 3 6 3 3 3" xfId="10332" xr:uid="{00000000-0005-0000-0000-0000F1280000}"/>
    <cellStyle name="Standard 3 6 3 3 3 2" xfId="10333" xr:uid="{00000000-0005-0000-0000-0000F2280000}"/>
    <cellStyle name="Standard 3 6 3 3 3 3" xfId="10334" xr:uid="{00000000-0005-0000-0000-0000F3280000}"/>
    <cellStyle name="Standard 3 6 3 3 4" xfId="10335" xr:uid="{00000000-0005-0000-0000-0000F4280000}"/>
    <cellStyle name="Standard 3 6 3 3 4 2" xfId="10336" xr:uid="{00000000-0005-0000-0000-0000F5280000}"/>
    <cellStyle name="Standard 3 6 3 3 5" xfId="10337" xr:uid="{00000000-0005-0000-0000-0000F6280000}"/>
    <cellStyle name="Standard 3 6 3 3 6" xfId="10338" xr:uid="{00000000-0005-0000-0000-0000F7280000}"/>
    <cellStyle name="Standard 3 6 3 4" xfId="10339" xr:uid="{00000000-0005-0000-0000-0000F8280000}"/>
    <cellStyle name="Standard 3 6 3 4 2" xfId="10340" xr:uid="{00000000-0005-0000-0000-0000F9280000}"/>
    <cellStyle name="Standard 3 6 3 4 3" xfId="10341" xr:uid="{00000000-0005-0000-0000-0000FA280000}"/>
    <cellStyle name="Standard 3 6 3 5" xfId="10342" xr:uid="{00000000-0005-0000-0000-0000FB280000}"/>
    <cellStyle name="Standard 3 6 3 5 2" xfId="10343" xr:uid="{00000000-0005-0000-0000-0000FC280000}"/>
    <cellStyle name="Standard 3 6 3 5 3" xfId="10344" xr:uid="{00000000-0005-0000-0000-0000FD280000}"/>
    <cellStyle name="Standard 3 6 3 6" xfId="10345" xr:uid="{00000000-0005-0000-0000-0000FE280000}"/>
    <cellStyle name="Standard 3 6 3 6 2" xfId="10346" xr:uid="{00000000-0005-0000-0000-0000FF280000}"/>
    <cellStyle name="Standard 3 6 3 7" xfId="10347" xr:uid="{00000000-0005-0000-0000-000000290000}"/>
    <cellStyle name="Standard 3 6 3 8" xfId="10348" xr:uid="{00000000-0005-0000-0000-000001290000}"/>
    <cellStyle name="Standard 3 6 4" xfId="10349" xr:uid="{00000000-0005-0000-0000-000002290000}"/>
    <cellStyle name="Standard 3 6 4 2" xfId="10350" xr:uid="{00000000-0005-0000-0000-000003290000}"/>
    <cellStyle name="Standard 3 6 4 2 2" xfId="10351" xr:uid="{00000000-0005-0000-0000-000004290000}"/>
    <cellStyle name="Standard 3 6 4 2 2 2" xfId="10352" xr:uid="{00000000-0005-0000-0000-000005290000}"/>
    <cellStyle name="Standard 3 6 4 2 2 2 2" xfId="10353" xr:uid="{00000000-0005-0000-0000-000006290000}"/>
    <cellStyle name="Standard 3 6 4 2 2 2 3" xfId="10354" xr:uid="{00000000-0005-0000-0000-000007290000}"/>
    <cellStyle name="Standard 3 6 4 2 2 3" xfId="10355" xr:uid="{00000000-0005-0000-0000-000008290000}"/>
    <cellStyle name="Standard 3 6 4 2 2 3 2" xfId="10356" xr:uid="{00000000-0005-0000-0000-000009290000}"/>
    <cellStyle name="Standard 3 6 4 2 2 3 3" xfId="10357" xr:uid="{00000000-0005-0000-0000-00000A290000}"/>
    <cellStyle name="Standard 3 6 4 2 2 4" xfId="10358" xr:uid="{00000000-0005-0000-0000-00000B290000}"/>
    <cellStyle name="Standard 3 6 4 2 2 4 2" xfId="10359" xr:uid="{00000000-0005-0000-0000-00000C290000}"/>
    <cellStyle name="Standard 3 6 4 2 2 5" xfId="10360" xr:uid="{00000000-0005-0000-0000-00000D290000}"/>
    <cellStyle name="Standard 3 6 4 2 2 6" xfId="10361" xr:uid="{00000000-0005-0000-0000-00000E290000}"/>
    <cellStyle name="Standard 3 6 4 2 3" xfId="10362" xr:uid="{00000000-0005-0000-0000-00000F290000}"/>
    <cellStyle name="Standard 3 6 4 2 3 2" xfId="10363" xr:uid="{00000000-0005-0000-0000-000010290000}"/>
    <cellStyle name="Standard 3 6 4 2 3 3" xfId="10364" xr:uid="{00000000-0005-0000-0000-000011290000}"/>
    <cellStyle name="Standard 3 6 4 2 4" xfId="10365" xr:uid="{00000000-0005-0000-0000-000012290000}"/>
    <cellStyle name="Standard 3 6 4 2 4 2" xfId="10366" xr:uid="{00000000-0005-0000-0000-000013290000}"/>
    <cellStyle name="Standard 3 6 4 2 4 3" xfId="10367" xr:uid="{00000000-0005-0000-0000-000014290000}"/>
    <cellStyle name="Standard 3 6 4 2 5" xfId="10368" xr:uid="{00000000-0005-0000-0000-000015290000}"/>
    <cellStyle name="Standard 3 6 4 2 5 2" xfId="10369" xr:uid="{00000000-0005-0000-0000-000016290000}"/>
    <cellStyle name="Standard 3 6 4 2 6" xfId="10370" xr:uid="{00000000-0005-0000-0000-000017290000}"/>
    <cellStyle name="Standard 3 6 4 2 7" xfId="10371" xr:uid="{00000000-0005-0000-0000-000018290000}"/>
    <cellStyle name="Standard 3 6 4 3" xfId="10372" xr:uid="{00000000-0005-0000-0000-000019290000}"/>
    <cellStyle name="Standard 3 6 4 3 2" xfId="10373" xr:uid="{00000000-0005-0000-0000-00001A290000}"/>
    <cellStyle name="Standard 3 6 4 3 2 2" xfId="10374" xr:uid="{00000000-0005-0000-0000-00001B290000}"/>
    <cellStyle name="Standard 3 6 4 3 2 3" xfId="10375" xr:uid="{00000000-0005-0000-0000-00001C290000}"/>
    <cellStyle name="Standard 3 6 4 3 3" xfId="10376" xr:uid="{00000000-0005-0000-0000-00001D290000}"/>
    <cellStyle name="Standard 3 6 4 3 3 2" xfId="10377" xr:uid="{00000000-0005-0000-0000-00001E290000}"/>
    <cellStyle name="Standard 3 6 4 3 3 3" xfId="10378" xr:uid="{00000000-0005-0000-0000-00001F290000}"/>
    <cellStyle name="Standard 3 6 4 3 4" xfId="10379" xr:uid="{00000000-0005-0000-0000-000020290000}"/>
    <cellStyle name="Standard 3 6 4 3 4 2" xfId="10380" xr:uid="{00000000-0005-0000-0000-000021290000}"/>
    <cellStyle name="Standard 3 6 4 3 5" xfId="10381" xr:uid="{00000000-0005-0000-0000-000022290000}"/>
    <cellStyle name="Standard 3 6 4 3 6" xfId="10382" xr:uid="{00000000-0005-0000-0000-000023290000}"/>
    <cellStyle name="Standard 3 6 4 4" xfId="10383" xr:uid="{00000000-0005-0000-0000-000024290000}"/>
    <cellStyle name="Standard 3 6 4 4 2" xfId="10384" xr:uid="{00000000-0005-0000-0000-000025290000}"/>
    <cellStyle name="Standard 3 6 4 4 3" xfId="10385" xr:uid="{00000000-0005-0000-0000-000026290000}"/>
    <cellStyle name="Standard 3 6 4 5" xfId="10386" xr:uid="{00000000-0005-0000-0000-000027290000}"/>
    <cellStyle name="Standard 3 6 4 5 2" xfId="10387" xr:uid="{00000000-0005-0000-0000-000028290000}"/>
    <cellStyle name="Standard 3 6 4 5 3" xfId="10388" xr:uid="{00000000-0005-0000-0000-000029290000}"/>
    <cellStyle name="Standard 3 6 4 6" xfId="10389" xr:uid="{00000000-0005-0000-0000-00002A290000}"/>
    <cellStyle name="Standard 3 6 4 6 2" xfId="10390" xr:uid="{00000000-0005-0000-0000-00002B290000}"/>
    <cellStyle name="Standard 3 6 4 7" xfId="10391" xr:uid="{00000000-0005-0000-0000-00002C290000}"/>
    <cellStyle name="Standard 3 6 4 8" xfId="10392" xr:uid="{00000000-0005-0000-0000-00002D290000}"/>
    <cellStyle name="Standard 3 6 5" xfId="10393" xr:uid="{00000000-0005-0000-0000-00002E290000}"/>
    <cellStyle name="Standard 3 6 5 2" xfId="10394" xr:uid="{00000000-0005-0000-0000-00002F290000}"/>
    <cellStyle name="Standard 3 6 5 2 2" xfId="10395" xr:uid="{00000000-0005-0000-0000-000030290000}"/>
    <cellStyle name="Standard 3 6 5 2 2 2" xfId="10396" xr:uid="{00000000-0005-0000-0000-000031290000}"/>
    <cellStyle name="Standard 3 6 5 2 2 3" xfId="10397" xr:uid="{00000000-0005-0000-0000-000032290000}"/>
    <cellStyle name="Standard 3 6 5 2 3" xfId="10398" xr:uid="{00000000-0005-0000-0000-000033290000}"/>
    <cellStyle name="Standard 3 6 5 2 3 2" xfId="10399" xr:uid="{00000000-0005-0000-0000-000034290000}"/>
    <cellStyle name="Standard 3 6 5 2 3 3" xfId="10400" xr:uid="{00000000-0005-0000-0000-000035290000}"/>
    <cellStyle name="Standard 3 6 5 2 4" xfId="10401" xr:uid="{00000000-0005-0000-0000-000036290000}"/>
    <cellStyle name="Standard 3 6 5 2 4 2" xfId="10402" xr:uid="{00000000-0005-0000-0000-000037290000}"/>
    <cellStyle name="Standard 3 6 5 2 5" xfId="10403" xr:uid="{00000000-0005-0000-0000-000038290000}"/>
    <cellStyle name="Standard 3 6 5 2 6" xfId="10404" xr:uid="{00000000-0005-0000-0000-000039290000}"/>
    <cellStyle name="Standard 3 6 5 3" xfId="10405" xr:uid="{00000000-0005-0000-0000-00003A290000}"/>
    <cellStyle name="Standard 3 6 5 3 2" xfId="10406" xr:uid="{00000000-0005-0000-0000-00003B290000}"/>
    <cellStyle name="Standard 3 6 5 3 3" xfId="10407" xr:uid="{00000000-0005-0000-0000-00003C290000}"/>
    <cellStyle name="Standard 3 6 5 4" xfId="10408" xr:uid="{00000000-0005-0000-0000-00003D290000}"/>
    <cellStyle name="Standard 3 6 5 4 2" xfId="10409" xr:uid="{00000000-0005-0000-0000-00003E290000}"/>
    <cellStyle name="Standard 3 6 5 4 3" xfId="10410" xr:uid="{00000000-0005-0000-0000-00003F290000}"/>
    <cellStyle name="Standard 3 6 5 5" xfId="10411" xr:uid="{00000000-0005-0000-0000-000040290000}"/>
    <cellStyle name="Standard 3 6 5 5 2" xfId="10412" xr:uid="{00000000-0005-0000-0000-000041290000}"/>
    <cellStyle name="Standard 3 6 5 6" xfId="10413" xr:uid="{00000000-0005-0000-0000-000042290000}"/>
    <cellStyle name="Standard 3 6 5 7" xfId="10414" xr:uid="{00000000-0005-0000-0000-000043290000}"/>
    <cellStyle name="Standard 3 6 6" xfId="10415" xr:uid="{00000000-0005-0000-0000-000044290000}"/>
    <cellStyle name="Standard 3 6 6 2" xfId="10416" xr:uid="{00000000-0005-0000-0000-000045290000}"/>
    <cellStyle name="Standard 3 6 6 2 2" xfId="10417" xr:uid="{00000000-0005-0000-0000-000046290000}"/>
    <cellStyle name="Standard 3 6 6 2 3" xfId="10418" xr:uid="{00000000-0005-0000-0000-000047290000}"/>
    <cellStyle name="Standard 3 6 6 3" xfId="10419" xr:uid="{00000000-0005-0000-0000-000048290000}"/>
    <cellStyle name="Standard 3 6 6 3 2" xfId="10420" xr:uid="{00000000-0005-0000-0000-000049290000}"/>
    <cellStyle name="Standard 3 6 6 3 3" xfId="10421" xr:uid="{00000000-0005-0000-0000-00004A290000}"/>
    <cellStyle name="Standard 3 6 6 4" xfId="10422" xr:uid="{00000000-0005-0000-0000-00004B290000}"/>
    <cellStyle name="Standard 3 6 6 4 2" xfId="10423" xr:uid="{00000000-0005-0000-0000-00004C290000}"/>
    <cellStyle name="Standard 3 6 6 5" xfId="10424" xr:uid="{00000000-0005-0000-0000-00004D290000}"/>
    <cellStyle name="Standard 3 6 6 6" xfId="10425" xr:uid="{00000000-0005-0000-0000-00004E290000}"/>
    <cellStyle name="Standard 3 6 7" xfId="10426" xr:uid="{00000000-0005-0000-0000-00004F290000}"/>
    <cellStyle name="Standard 3 6 7 2" xfId="10427" xr:uid="{00000000-0005-0000-0000-000050290000}"/>
    <cellStyle name="Standard 3 6 7 3" xfId="10428" xr:uid="{00000000-0005-0000-0000-000051290000}"/>
    <cellStyle name="Standard 3 6 8" xfId="10429" xr:uid="{00000000-0005-0000-0000-000052290000}"/>
    <cellStyle name="Standard 3 6 8 2" xfId="10430" xr:uid="{00000000-0005-0000-0000-000053290000}"/>
    <cellStyle name="Standard 3 6 8 3" xfId="10431" xr:uid="{00000000-0005-0000-0000-000054290000}"/>
    <cellStyle name="Standard 3 6 9" xfId="10432" xr:uid="{00000000-0005-0000-0000-000055290000}"/>
    <cellStyle name="Standard 3 6 9 2" xfId="10433" xr:uid="{00000000-0005-0000-0000-000056290000}"/>
    <cellStyle name="Standard 3 7" xfId="10434" xr:uid="{00000000-0005-0000-0000-000057290000}"/>
    <cellStyle name="Standard 3 7 10" xfId="10435" xr:uid="{00000000-0005-0000-0000-000058290000}"/>
    <cellStyle name="Standard 3 7 11" xfId="10436" xr:uid="{00000000-0005-0000-0000-000059290000}"/>
    <cellStyle name="Standard 3 7 12" xfId="10437" xr:uid="{00000000-0005-0000-0000-00005A290000}"/>
    <cellStyle name="Standard 3 7 13" xfId="33454" xr:uid="{00000000-0005-0000-0000-00005B290000}"/>
    <cellStyle name="Standard 3 7 2" xfId="10438" xr:uid="{00000000-0005-0000-0000-00005C290000}"/>
    <cellStyle name="Standard 3 7 2 10" xfId="10439" xr:uid="{00000000-0005-0000-0000-00005D290000}"/>
    <cellStyle name="Standard 3 7 2 2" xfId="10440" xr:uid="{00000000-0005-0000-0000-00005E290000}"/>
    <cellStyle name="Standard 3 7 2 2 2" xfId="10441" xr:uid="{00000000-0005-0000-0000-00005F290000}"/>
    <cellStyle name="Standard 3 7 2 2 2 2" xfId="10442" xr:uid="{00000000-0005-0000-0000-000060290000}"/>
    <cellStyle name="Standard 3 7 2 2 2 2 2" xfId="10443" xr:uid="{00000000-0005-0000-0000-000061290000}"/>
    <cellStyle name="Standard 3 7 2 2 2 2 2 2" xfId="10444" xr:uid="{00000000-0005-0000-0000-000062290000}"/>
    <cellStyle name="Standard 3 7 2 2 2 2 2 3" xfId="10445" xr:uid="{00000000-0005-0000-0000-000063290000}"/>
    <cellStyle name="Standard 3 7 2 2 2 2 3" xfId="10446" xr:uid="{00000000-0005-0000-0000-000064290000}"/>
    <cellStyle name="Standard 3 7 2 2 2 2 3 2" xfId="10447" xr:uid="{00000000-0005-0000-0000-000065290000}"/>
    <cellStyle name="Standard 3 7 2 2 2 2 3 3" xfId="10448" xr:uid="{00000000-0005-0000-0000-000066290000}"/>
    <cellStyle name="Standard 3 7 2 2 2 2 4" xfId="10449" xr:uid="{00000000-0005-0000-0000-000067290000}"/>
    <cellStyle name="Standard 3 7 2 2 2 2 4 2" xfId="10450" xr:uid="{00000000-0005-0000-0000-000068290000}"/>
    <cellStyle name="Standard 3 7 2 2 2 2 5" xfId="10451" xr:uid="{00000000-0005-0000-0000-000069290000}"/>
    <cellStyle name="Standard 3 7 2 2 2 2 6" xfId="10452" xr:uid="{00000000-0005-0000-0000-00006A290000}"/>
    <cellStyle name="Standard 3 7 2 2 2 3" xfId="10453" xr:uid="{00000000-0005-0000-0000-00006B290000}"/>
    <cellStyle name="Standard 3 7 2 2 2 3 2" xfId="10454" xr:uid="{00000000-0005-0000-0000-00006C290000}"/>
    <cellStyle name="Standard 3 7 2 2 2 3 3" xfId="10455" xr:uid="{00000000-0005-0000-0000-00006D290000}"/>
    <cellStyle name="Standard 3 7 2 2 2 4" xfId="10456" xr:uid="{00000000-0005-0000-0000-00006E290000}"/>
    <cellStyle name="Standard 3 7 2 2 2 4 2" xfId="10457" xr:uid="{00000000-0005-0000-0000-00006F290000}"/>
    <cellStyle name="Standard 3 7 2 2 2 4 3" xfId="10458" xr:uid="{00000000-0005-0000-0000-000070290000}"/>
    <cellStyle name="Standard 3 7 2 2 2 5" xfId="10459" xr:uid="{00000000-0005-0000-0000-000071290000}"/>
    <cellStyle name="Standard 3 7 2 2 2 5 2" xfId="10460" xr:uid="{00000000-0005-0000-0000-000072290000}"/>
    <cellStyle name="Standard 3 7 2 2 2 6" xfId="10461" xr:uid="{00000000-0005-0000-0000-000073290000}"/>
    <cellStyle name="Standard 3 7 2 2 2 7" xfId="10462" xr:uid="{00000000-0005-0000-0000-000074290000}"/>
    <cellStyle name="Standard 3 7 2 2 3" xfId="10463" xr:uid="{00000000-0005-0000-0000-000075290000}"/>
    <cellStyle name="Standard 3 7 2 2 3 2" xfId="10464" xr:uid="{00000000-0005-0000-0000-000076290000}"/>
    <cellStyle name="Standard 3 7 2 2 3 2 2" xfId="10465" xr:uid="{00000000-0005-0000-0000-000077290000}"/>
    <cellStyle name="Standard 3 7 2 2 3 2 3" xfId="10466" xr:uid="{00000000-0005-0000-0000-000078290000}"/>
    <cellStyle name="Standard 3 7 2 2 3 3" xfId="10467" xr:uid="{00000000-0005-0000-0000-000079290000}"/>
    <cellStyle name="Standard 3 7 2 2 3 3 2" xfId="10468" xr:uid="{00000000-0005-0000-0000-00007A290000}"/>
    <cellStyle name="Standard 3 7 2 2 3 3 3" xfId="10469" xr:uid="{00000000-0005-0000-0000-00007B290000}"/>
    <cellStyle name="Standard 3 7 2 2 3 4" xfId="10470" xr:uid="{00000000-0005-0000-0000-00007C290000}"/>
    <cellStyle name="Standard 3 7 2 2 3 4 2" xfId="10471" xr:uid="{00000000-0005-0000-0000-00007D290000}"/>
    <cellStyle name="Standard 3 7 2 2 3 5" xfId="10472" xr:uid="{00000000-0005-0000-0000-00007E290000}"/>
    <cellStyle name="Standard 3 7 2 2 3 6" xfId="10473" xr:uid="{00000000-0005-0000-0000-00007F290000}"/>
    <cellStyle name="Standard 3 7 2 2 4" xfId="10474" xr:uid="{00000000-0005-0000-0000-000080290000}"/>
    <cellStyle name="Standard 3 7 2 2 4 2" xfId="10475" xr:uid="{00000000-0005-0000-0000-000081290000}"/>
    <cellStyle name="Standard 3 7 2 2 4 3" xfId="10476" xr:uid="{00000000-0005-0000-0000-000082290000}"/>
    <cellStyle name="Standard 3 7 2 2 5" xfId="10477" xr:uid="{00000000-0005-0000-0000-000083290000}"/>
    <cellStyle name="Standard 3 7 2 2 5 2" xfId="10478" xr:uid="{00000000-0005-0000-0000-000084290000}"/>
    <cellStyle name="Standard 3 7 2 2 5 3" xfId="10479" xr:uid="{00000000-0005-0000-0000-000085290000}"/>
    <cellStyle name="Standard 3 7 2 2 6" xfId="10480" xr:uid="{00000000-0005-0000-0000-000086290000}"/>
    <cellStyle name="Standard 3 7 2 2 6 2" xfId="10481" xr:uid="{00000000-0005-0000-0000-000087290000}"/>
    <cellStyle name="Standard 3 7 2 2 7" xfId="10482" xr:uid="{00000000-0005-0000-0000-000088290000}"/>
    <cellStyle name="Standard 3 7 2 2 8" xfId="10483" xr:uid="{00000000-0005-0000-0000-000089290000}"/>
    <cellStyle name="Standard 3 7 2 3" xfId="10484" xr:uid="{00000000-0005-0000-0000-00008A290000}"/>
    <cellStyle name="Standard 3 7 2 3 2" xfId="10485" xr:uid="{00000000-0005-0000-0000-00008B290000}"/>
    <cellStyle name="Standard 3 7 2 3 2 2" xfId="10486" xr:uid="{00000000-0005-0000-0000-00008C290000}"/>
    <cellStyle name="Standard 3 7 2 3 2 2 2" xfId="10487" xr:uid="{00000000-0005-0000-0000-00008D290000}"/>
    <cellStyle name="Standard 3 7 2 3 2 2 2 2" xfId="10488" xr:uid="{00000000-0005-0000-0000-00008E290000}"/>
    <cellStyle name="Standard 3 7 2 3 2 2 2 3" xfId="10489" xr:uid="{00000000-0005-0000-0000-00008F290000}"/>
    <cellStyle name="Standard 3 7 2 3 2 2 3" xfId="10490" xr:uid="{00000000-0005-0000-0000-000090290000}"/>
    <cellStyle name="Standard 3 7 2 3 2 2 3 2" xfId="10491" xr:uid="{00000000-0005-0000-0000-000091290000}"/>
    <cellStyle name="Standard 3 7 2 3 2 2 3 3" xfId="10492" xr:uid="{00000000-0005-0000-0000-000092290000}"/>
    <cellStyle name="Standard 3 7 2 3 2 2 4" xfId="10493" xr:uid="{00000000-0005-0000-0000-000093290000}"/>
    <cellStyle name="Standard 3 7 2 3 2 2 4 2" xfId="10494" xr:uid="{00000000-0005-0000-0000-000094290000}"/>
    <cellStyle name="Standard 3 7 2 3 2 2 5" xfId="10495" xr:uid="{00000000-0005-0000-0000-000095290000}"/>
    <cellStyle name="Standard 3 7 2 3 2 2 6" xfId="10496" xr:uid="{00000000-0005-0000-0000-000096290000}"/>
    <cellStyle name="Standard 3 7 2 3 2 3" xfId="10497" xr:uid="{00000000-0005-0000-0000-000097290000}"/>
    <cellStyle name="Standard 3 7 2 3 2 3 2" xfId="10498" xr:uid="{00000000-0005-0000-0000-000098290000}"/>
    <cellStyle name="Standard 3 7 2 3 2 3 3" xfId="10499" xr:uid="{00000000-0005-0000-0000-000099290000}"/>
    <cellStyle name="Standard 3 7 2 3 2 4" xfId="10500" xr:uid="{00000000-0005-0000-0000-00009A290000}"/>
    <cellStyle name="Standard 3 7 2 3 2 4 2" xfId="10501" xr:uid="{00000000-0005-0000-0000-00009B290000}"/>
    <cellStyle name="Standard 3 7 2 3 2 4 3" xfId="10502" xr:uid="{00000000-0005-0000-0000-00009C290000}"/>
    <cellStyle name="Standard 3 7 2 3 2 5" xfId="10503" xr:uid="{00000000-0005-0000-0000-00009D290000}"/>
    <cellStyle name="Standard 3 7 2 3 2 5 2" xfId="10504" xr:uid="{00000000-0005-0000-0000-00009E290000}"/>
    <cellStyle name="Standard 3 7 2 3 2 6" xfId="10505" xr:uid="{00000000-0005-0000-0000-00009F290000}"/>
    <cellStyle name="Standard 3 7 2 3 2 7" xfId="10506" xr:uid="{00000000-0005-0000-0000-0000A0290000}"/>
    <cellStyle name="Standard 3 7 2 3 3" xfId="10507" xr:uid="{00000000-0005-0000-0000-0000A1290000}"/>
    <cellStyle name="Standard 3 7 2 3 3 2" xfId="10508" xr:uid="{00000000-0005-0000-0000-0000A2290000}"/>
    <cellStyle name="Standard 3 7 2 3 3 2 2" xfId="10509" xr:uid="{00000000-0005-0000-0000-0000A3290000}"/>
    <cellStyle name="Standard 3 7 2 3 3 2 3" xfId="10510" xr:uid="{00000000-0005-0000-0000-0000A4290000}"/>
    <cellStyle name="Standard 3 7 2 3 3 3" xfId="10511" xr:uid="{00000000-0005-0000-0000-0000A5290000}"/>
    <cellStyle name="Standard 3 7 2 3 3 3 2" xfId="10512" xr:uid="{00000000-0005-0000-0000-0000A6290000}"/>
    <cellStyle name="Standard 3 7 2 3 3 3 3" xfId="10513" xr:uid="{00000000-0005-0000-0000-0000A7290000}"/>
    <cellStyle name="Standard 3 7 2 3 3 4" xfId="10514" xr:uid="{00000000-0005-0000-0000-0000A8290000}"/>
    <cellStyle name="Standard 3 7 2 3 3 4 2" xfId="10515" xr:uid="{00000000-0005-0000-0000-0000A9290000}"/>
    <cellStyle name="Standard 3 7 2 3 3 5" xfId="10516" xr:uid="{00000000-0005-0000-0000-0000AA290000}"/>
    <cellStyle name="Standard 3 7 2 3 3 6" xfId="10517" xr:uid="{00000000-0005-0000-0000-0000AB290000}"/>
    <cellStyle name="Standard 3 7 2 3 4" xfId="10518" xr:uid="{00000000-0005-0000-0000-0000AC290000}"/>
    <cellStyle name="Standard 3 7 2 3 4 2" xfId="10519" xr:uid="{00000000-0005-0000-0000-0000AD290000}"/>
    <cellStyle name="Standard 3 7 2 3 4 3" xfId="10520" xr:uid="{00000000-0005-0000-0000-0000AE290000}"/>
    <cellStyle name="Standard 3 7 2 3 5" xfId="10521" xr:uid="{00000000-0005-0000-0000-0000AF290000}"/>
    <cellStyle name="Standard 3 7 2 3 5 2" xfId="10522" xr:uid="{00000000-0005-0000-0000-0000B0290000}"/>
    <cellStyle name="Standard 3 7 2 3 5 3" xfId="10523" xr:uid="{00000000-0005-0000-0000-0000B1290000}"/>
    <cellStyle name="Standard 3 7 2 3 6" xfId="10524" xr:uid="{00000000-0005-0000-0000-0000B2290000}"/>
    <cellStyle name="Standard 3 7 2 3 6 2" xfId="10525" xr:uid="{00000000-0005-0000-0000-0000B3290000}"/>
    <cellStyle name="Standard 3 7 2 3 7" xfId="10526" xr:uid="{00000000-0005-0000-0000-0000B4290000}"/>
    <cellStyle name="Standard 3 7 2 3 8" xfId="10527" xr:uid="{00000000-0005-0000-0000-0000B5290000}"/>
    <cellStyle name="Standard 3 7 2 4" xfId="10528" xr:uid="{00000000-0005-0000-0000-0000B6290000}"/>
    <cellStyle name="Standard 3 7 2 4 2" xfId="10529" xr:uid="{00000000-0005-0000-0000-0000B7290000}"/>
    <cellStyle name="Standard 3 7 2 4 2 2" xfId="10530" xr:uid="{00000000-0005-0000-0000-0000B8290000}"/>
    <cellStyle name="Standard 3 7 2 4 2 2 2" xfId="10531" xr:uid="{00000000-0005-0000-0000-0000B9290000}"/>
    <cellStyle name="Standard 3 7 2 4 2 2 3" xfId="10532" xr:uid="{00000000-0005-0000-0000-0000BA290000}"/>
    <cellStyle name="Standard 3 7 2 4 2 3" xfId="10533" xr:uid="{00000000-0005-0000-0000-0000BB290000}"/>
    <cellStyle name="Standard 3 7 2 4 2 3 2" xfId="10534" xr:uid="{00000000-0005-0000-0000-0000BC290000}"/>
    <cellStyle name="Standard 3 7 2 4 2 3 3" xfId="10535" xr:uid="{00000000-0005-0000-0000-0000BD290000}"/>
    <cellStyle name="Standard 3 7 2 4 2 4" xfId="10536" xr:uid="{00000000-0005-0000-0000-0000BE290000}"/>
    <cellStyle name="Standard 3 7 2 4 2 4 2" xfId="10537" xr:uid="{00000000-0005-0000-0000-0000BF290000}"/>
    <cellStyle name="Standard 3 7 2 4 2 5" xfId="10538" xr:uid="{00000000-0005-0000-0000-0000C0290000}"/>
    <cellStyle name="Standard 3 7 2 4 2 6" xfId="10539" xr:uid="{00000000-0005-0000-0000-0000C1290000}"/>
    <cellStyle name="Standard 3 7 2 4 3" xfId="10540" xr:uid="{00000000-0005-0000-0000-0000C2290000}"/>
    <cellStyle name="Standard 3 7 2 4 3 2" xfId="10541" xr:uid="{00000000-0005-0000-0000-0000C3290000}"/>
    <cellStyle name="Standard 3 7 2 4 3 3" xfId="10542" xr:uid="{00000000-0005-0000-0000-0000C4290000}"/>
    <cellStyle name="Standard 3 7 2 4 4" xfId="10543" xr:uid="{00000000-0005-0000-0000-0000C5290000}"/>
    <cellStyle name="Standard 3 7 2 4 4 2" xfId="10544" xr:uid="{00000000-0005-0000-0000-0000C6290000}"/>
    <cellStyle name="Standard 3 7 2 4 4 3" xfId="10545" xr:uid="{00000000-0005-0000-0000-0000C7290000}"/>
    <cellStyle name="Standard 3 7 2 4 5" xfId="10546" xr:uid="{00000000-0005-0000-0000-0000C8290000}"/>
    <cellStyle name="Standard 3 7 2 4 5 2" xfId="10547" xr:uid="{00000000-0005-0000-0000-0000C9290000}"/>
    <cellStyle name="Standard 3 7 2 4 6" xfId="10548" xr:uid="{00000000-0005-0000-0000-0000CA290000}"/>
    <cellStyle name="Standard 3 7 2 4 7" xfId="10549" xr:uid="{00000000-0005-0000-0000-0000CB290000}"/>
    <cellStyle name="Standard 3 7 2 5" xfId="10550" xr:uid="{00000000-0005-0000-0000-0000CC290000}"/>
    <cellStyle name="Standard 3 7 2 5 2" xfId="10551" xr:uid="{00000000-0005-0000-0000-0000CD290000}"/>
    <cellStyle name="Standard 3 7 2 5 2 2" xfId="10552" xr:uid="{00000000-0005-0000-0000-0000CE290000}"/>
    <cellStyle name="Standard 3 7 2 5 2 3" xfId="10553" xr:uid="{00000000-0005-0000-0000-0000CF290000}"/>
    <cellStyle name="Standard 3 7 2 5 3" xfId="10554" xr:uid="{00000000-0005-0000-0000-0000D0290000}"/>
    <cellStyle name="Standard 3 7 2 5 3 2" xfId="10555" xr:uid="{00000000-0005-0000-0000-0000D1290000}"/>
    <cellStyle name="Standard 3 7 2 5 3 3" xfId="10556" xr:uid="{00000000-0005-0000-0000-0000D2290000}"/>
    <cellStyle name="Standard 3 7 2 5 4" xfId="10557" xr:uid="{00000000-0005-0000-0000-0000D3290000}"/>
    <cellStyle name="Standard 3 7 2 5 4 2" xfId="10558" xr:uid="{00000000-0005-0000-0000-0000D4290000}"/>
    <cellStyle name="Standard 3 7 2 5 5" xfId="10559" xr:uid="{00000000-0005-0000-0000-0000D5290000}"/>
    <cellStyle name="Standard 3 7 2 5 6" xfId="10560" xr:uid="{00000000-0005-0000-0000-0000D6290000}"/>
    <cellStyle name="Standard 3 7 2 6" xfId="10561" xr:uid="{00000000-0005-0000-0000-0000D7290000}"/>
    <cellStyle name="Standard 3 7 2 6 2" xfId="10562" xr:uid="{00000000-0005-0000-0000-0000D8290000}"/>
    <cellStyle name="Standard 3 7 2 6 3" xfId="10563" xr:uid="{00000000-0005-0000-0000-0000D9290000}"/>
    <cellStyle name="Standard 3 7 2 7" xfId="10564" xr:uid="{00000000-0005-0000-0000-0000DA290000}"/>
    <cellStyle name="Standard 3 7 2 7 2" xfId="10565" xr:uid="{00000000-0005-0000-0000-0000DB290000}"/>
    <cellStyle name="Standard 3 7 2 7 3" xfId="10566" xr:uid="{00000000-0005-0000-0000-0000DC290000}"/>
    <cellStyle name="Standard 3 7 2 8" xfId="10567" xr:uid="{00000000-0005-0000-0000-0000DD290000}"/>
    <cellStyle name="Standard 3 7 2 8 2" xfId="10568" xr:uid="{00000000-0005-0000-0000-0000DE290000}"/>
    <cellStyle name="Standard 3 7 2 9" xfId="10569" xr:uid="{00000000-0005-0000-0000-0000DF290000}"/>
    <cellStyle name="Standard 3 7 3" xfId="10570" xr:uid="{00000000-0005-0000-0000-0000E0290000}"/>
    <cellStyle name="Standard 3 7 3 2" xfId="10571" xr:uid="{00000000-0005-0000-0000-0000E1290000}"/>
    <cellStyle name="Standard 3 7 3 2 2" xfId="10572" xr:uid="{00000000-0005-0000-0000-0000E2290000}"/>
    <cellStyle name="Standard 3 7 3 2 2 2" xfId="10573" xr:uid="{00000000-0005-0000-0000-0000E3290000}"/>
    <cellStyle name="Standard 3 7 3 2 2 2 2" xfId="10574" xr:uid="{00000000-0005-0000-0000-0000E4290000}"/>
    <cellStyle name="Standard 3 7 3 2 2 2 3" xfId="10575" xr:uid="{00000000-0005-0000-0000-0000E5290000}"/>
    <cellStyle name="Standard 3 7 3 2 2 3" xfId="10576" xr:uid="{00000000-0005-0000-0000-0000E6290000}"/>
    <cellStyle name="Standard 3 7 3 2 2 3 2" xfId="10577" xr:uid="{00000000-0005-0000-0000-0000E7290000}"/>
    <cellStyle name="Standard 3 7 3 2 2 3 3" xfId="10578" xr:uid="{00000000-0005-0000-0000-0000E8290000}"/>
    <cellStyle name="Standard 3 7 3 2 2 4" xfId="10579" xr:uid="{00000000-0005-0000-0000-0000E9290000}"/>
    <cellStyle name="Standard 3 7 3 2 2 4 2" xfId="10580" xr:uid="{00000000-0005-0000-0000-0000EA290000}"/>
    <cellStyle name="Standard 3 7 3 2 2 5" xfId="10581" xr:uid="{00000000-0005-0000-0000-0000EB290000}"/>
    <cellStyle name="Standard 3 7 3 2 2 6" xfId="10582" xr:uid="{00000000-0005-0000-0000-0000EC290000}"/>
    <cellStyle name="Standard 3 7 3 2 3" xfId="10583" xr:uid="{00000000-0005-0000-0000-0000ED290000}"/>
    <cellStyle name="Standard 3 7 3 2 3 2" xfId="10584" xr:uid="{00000000-0005-0000-0000-0000EE290000}"/>
    <cellStyle name="Standard 3 7 3 2 3 3" xfId="10585" xr:uid="{00000000-0005-0000-0000-0000EF290000}"/>
    <cellStyle name="Standard 3 7 3 2 4" xfId="10586" xr:uid="{00000000-0005-0000-0000-0000F0290000}"/>
    <cellStyle name="Standard 3 7 3 2 4 2" xfId="10587" xr:uid="{00000000-0005-0000-0000-0000F1290000}"/>
    <cellStyle name="Standard 3 7 3 2 4 3" xfId="10588" xr:uid="{00000000-0005-0000-0000-0000F2290000}"/>
    <cellStyle name="Standard 3 7 3 2 5" xfId="10589" xr:uid="{00000000-0005-0000-0000-0000F3290000}"/>
    <cellStyle name="Standard 3 7 3 2 5 2" xfId="10590" xr:uid="{00000000-0005-0000-0000-0000F4290000}"/>
    <cellStyle name="Standard 3 7 3 2 6" xfId="10591" xr:uid="{00000000-0005-0000-0000-0000F5290000}"/>
    <cellStyle name="Standard 3 7 3 2 7" xfId="10592" xr:uid="{00000000-0005-0000-0000-0000F6290000}"/>
    <cellStyle name="Standard 3 7 3 3" xfId="10593" xr:uid="{00000000-0005-0000-0000-0000F7290000}"/>
    <cellStyle name="Standard 3 7 3 3 2" xfId="10594" xr:uid="{00000000-0005-0000-0000-0000F8290000}"/>
    <cellStyle name="Standard 3 7 3 3 2 2" xfId="10595" xr:uid="{00000000-0005-0000-0000-0000F9290000}"/>
    <cellStyle name="Standard 3 7 3 3 2 3" xfId="10596" xr:uid="{00000000-0005-0000-0000-0000FA290000}"/>
    <cellStyle name="Standard 3 7 3 3 3" xfId="10597" xr:uid="{00000000-0005-0000-0000-0000FB290000}"/>
    <cellStyle name="Standard 3 7 3 3 3 2" xfId="10598" xr:uid="{00000000-0005-0000-0000-0000FC290000}"/>
    <cellStyle name="Standard 3 7 3 3 3 3" xfId="10599" xr:uid="{00000000-0005-0000-0000-0000FD290000}"/>
    <cellStyle name="Standard 3 7 3 3 4" xfId="10600" xr:uid="{00000000-0005-0000-0000-0000FE290000}"/>
    <cellStyle name="Standard 3 7 3 3 4 2" xfId="10601" xr:uid="{00000000-0005-0000-0000-0000FF290000}"/>
    <cellStyle name="Standard 3 7 3 3 5" xfId="10602" xr:uid="{00000000-0005-0000-0000-0000002A0000}"/>
    <cellStyle name="Standard 3 7 3 3 6" xfId="10603" xr:uid="{00000000-0005-0000-0000-0000012A0000}"/>
    <cellStyle name="Standard 3 7 3 4" xfId="10604" xr:uid="{00000000-0005-0000-0000-0000022A0000}"/>
    <cellStyle name="Standard 3 7 3 4 2" xfId="10605" xr:uid="{00000000-0005-0000-0000-0000032A0000}"/>
    <cellStyle name="Standard 3 7 3 4 3" xfId="10606" xr:uid="{00000000-0005-0000-0000-0000042A0000}"/>
    <cellStyle name="Standard 3 7 3 5" xfId="10607" xr:uid="{00000000-0005-0000-0000-0000052A0000}"/>
    <cellStyle name="Standard 3 7 3 5 2" xfId="10608" xr:uid="{00000000-0005-0000-0000-0000062A0000}"/>
    <cellStyle name="Standard 3 7 3 5 3" xfId="10609" xr:uid="{00000000-0005-0000-0000-0000072A0000}"/>
    <cellStyle name="Standard 3 7 3 6" xfId="10610" xr:uid="{00000000-0005-0000-0000-0000082A0000}"/>
    <cellStyle name="Standard 3 7 3 6 2" xfId="10611" xr:uid="{00000000-0005-0000-0000-0000092A0000}"/>
    <cellStyle name="Standard 3 7 3 7" xfId="10612" xr:uid="{00000000-0005-0000-0000-00000A2A0000}"/>
    <cellStyle name="Standard 3 7 3 8" xfId="10613" xr:uid="{00000000-0005-0000-0000-00000B2A0000}"/>
    <cellStyle name="Standard 3 7 4" xfId="10614" xr:uid="{00000000-0005-0000-0000-00000C2A0000}"/>
    <cellStyle name="Standard 3 7 4 2" xfId="10615" xr:uid="{00000000-0005-0000-0000-00000D2A0000}"/>
    <cellStyle name="Standard 3 7 4 2 2" xfId="10616" xr:uid="{00000000-0005-0000-0000-00000E2A0000}"/>
    <cellStyle name="Standard 3 7 4 2 2 2" xfId="10617" xr:uid="{00000000-0005-0000-0000-00000F2A0000}"/>
    <cellStyle name="Standard 3 7 4 2 2 2 2" xfId="10618" xr:uid="{00000000-0005-0000-0000-0000102A0000}"/>
    <cellStyle name="Standard 3 7 4 2 2 2 3" xfId="10619" xr:uid="{00000000-0005-0000-0000-0000112A0000}"/>
    <cellStyle name="Standard 3 7 4 2 2 3" xfId="10620" xr:uid="{00000000-0005-0000-0000-0000122A0000}"/>
    <cellStyle name="Standard 3 7 4 2 2 3 2" xfId="10621" xr:uid="{00000000-0005-0000-0000-0000132A0000}"/>
    <cellStyle name="Standard 3 7 4 2 2 3 3" xfId="10622" xr:uid="{00000000-0005-0000-0000-0000142A0000}"/>
    <cellStyle name="Standard 3 7 4 2 2 4" xfId="10623" xr:uid="{00000000-0005-0000-0000-0000152A0000}"/>
    <cellStyle name="Standard 3 7 4 2 2 4 2" xfId="10624" xr:uid="{00000000-0005-0000-0000-0000162A0000}"/>
    <cellStyle name="Standard 3 7 4 2 2 5" xfId="10625" xr:uid="{00000000-0005-0000-0000-0000172A0000}"/>
    <cellStyle name="Standard 3 7 4 2 2 6" xfId="10626" xr:uid="{00000000-0005-0000-0000-0000182A0000}"/>
    <cellStyle name="Standard 3 7 4 2 3" xfId="10627" xr:uid="{00000000-0005-0000-0000-0000192A0000}"/>
    <cellStyle name="Standard 3 7 4 2 3 2" xfId="10628" xr:uid="{00000000-0005-0000-0000-00001A2A0000}"/>
    <cellStyle name="Standard 3 7 4 2 3 3" xfId="10629" xr:uid="{00000000-0005-0000-0000-00001B2A0000}"/>
    <cellStyle name="Standard 3 7 4 2 4" xfId="10630" xr:uid="{00000000-0005-0000-0000-00001C2A0000}"/>
    <cellStyle name="Standard 3 7 4 2 4 2" xfId="10631" xr:uid="{00000000-0005-0000-0000-00001D2A0000}"/>
    <cellStyle name="Standard 3 7 4 2 4 3" xfId="10632" xr:uid="{00000000-0005-0000-0000-00001E2A0000}"/>
    <cellStyle name="Standard 3 7 4 2 5" xfId="10633" xr:uid="{00000000-0005-0000-0000-00001F2A0000}"/>
    <cellStyle name="Standard 3 7 4 2 5 2" xfId="10634" xr:uid="{00000000-0005-0000-0000-0000202A0000}"/>
    <cellStyle name="Standard 3 7 4 2 6" xfId="10635" xr:uid="{00000000-0005-0000-0000-0000212A0000}"/>
    <cellStyle name="Standard 3 7 4 2 7" xfId="10636" xr:uid="{00000000-0005-0000-0000-0000222A0000}"/>
    <cellStyle name="Standard 3 7 4 3" xfId="10637" xr:uid="{00000000-0005-0000-0000-0000232A0000}"/>
    <cellStyle name="Standard 3 7 4 3 2" xfId="10638" xr:uid="{00000000-0005-0000-0000-0000242A0000}"/>
    <cellStyle name="Standard 3 7 4 3 2 2" xfId="10639" xr:uid="{00000000-0005-0000-0000-0000252A0000}"/>
    <cellStyle name="Standard 3 7 4 3 2 3" xfId="10640" xr:uid="{00000000-0005-0000-0000-0000262A0000}"/>
    <cellStyle name="Standard 3 7 4 3 3" xfId="10641" xr:uid="{00000000-0005-0000-0000-0000272A0000}"/>
    <cellStyle name="Standard 3 7 4 3 3 2" xfId="10642" xr:uid="{00000000-0005-0000-0000-0000282A0000}"/>
    <cellStyle name="Standard 3 7 4 3 3 3" xfId="10643" xr:uid="{00000000-0005-0000-0000-0000292A0000}"/>
    <cellStyle name="Standard 3 7 4 3 4" xfId="10644" xr:uid="{00000000-0005-0000-0000-00002A2A0000}"/>
    <cellStyle name="Standard 3 7 4 3 4 2" xfId="10645" xr:uid="{00000000-0005-0000-0000-00002B2A0000}"/>
    <cellStyle name="Standard 3 7 4 3 5" xfId="10646" xr:uid="{00000000-0005-0000-0000-00002C2A0000}"/>
    <cellStyle name="Standard 3 7 4 3 6" xfId="10647" xr:uid="{00000000-0005-0000-0000-00002D2A0000}"/>
    <cellStyle name="Standard 3 7 4 4" xfId="10648" xr:uid="{00000000-0005-0000-0000-00002E2A0000}"/>
    <cellStyle name="Standard 3 7 4 4 2" xfId="10649" xr:uid="{00000000-0005-0000-0000-00002F2A0000}"/>
    <cellStyle name="Standard 3 7 4 4 3" xfId="10650" xr:uid="{00000000-0005-0000-0000-0000302A0000}"/>
    <cellStyle name="Standard 3 7 4 5" xfId="10651" xr:uid="{00000000-0005-0000-0000-0000312A0000}"/>
    <cellStyle name="Standard 3 7 4 5 2" xfId="10652" xr:uid="{00000000-0005-0000-0000-0000322A0000}"/>
    <cellStyle name="Standard 3 7 4 5 3" xfId="10653" xr:uid="{00000000-0005-0000-0000-0000332A0000}"/>
    <cellStyle name="Standard 3 7 4 6" xfId="10654" xr:uid="{00000000-0005-0000-0000-0000342A0000}"/>
    <cellStyle name="Standard 3 7 4 6 2" xfId="10655" xr:uid="{00000000-0005-0000-0000-0000352A0000}"/>
    <cellStyle name="Standard 3 7 4 7" xfId="10656" xr:uid="{00000000-0005-0000-0000-0000362A0000}"/>
    <cellStyle name="Standard 3 7 4 8" xfId="10657" xr:uid="{00000000-0005-0000-0000-0000372A0000}"/>
    <cellStyle name="Standard 3 7 5" xfId="10658" xr:uid="{00000000-0005-0000-0000-0000382A0000}"/>
    <cellStyle name="Standard 3 7 5 2" xfId="10659" xr:uid="{00000000-0005-0000-0000-0000392A0000}"/>
    <cellStyle name="Standard 3 7 5 2 2" xfId="10660" xr:uid="{00000000-0005-0000-0000-00003A2A0000}"/>
    <cellStyle name="Standard 3 7 5 2 2 2" xfId="10661" xr:uid="{00000000-0005-0000-0000-00003B2A0000}"/>
    <cellStyle name="Standard 3 7 5 2 2 3" xfId="10662" xr:uid="{00000000-0005-0000-0000-00003C2A0000}"/>
    <cellStyle name="Standard 3 7 5 2 3" xfId="10663" xr:uid="{00000000-0005-0000-0000-00003D2A0000}"/>
    <cellStyle name="Standard 3 7 5 2 3 2" xfId="10664" xr:uid="{00000000-0005-0000-0000-00003E2A0000}"/>
    <cellStyle name="Standard 3 7 5 2 3 3" xfId="10665" xr:uid="{00000000-0005-0000-0000-00003F2A0000}"/>
    <cellStyle name="Standard 3 7 5 2 4" xfId="10666" xr:uid="{00000000-0005-0000-0000-0000402A0000}"/>
    <cellStyle name="Standard 3 7 5 2 4 2" xfId="10667" xr:uid="{00000000-0005-0000-0000-0000412A0000}"/>
    <cellStyle name="Standard 3 7 5 2 5" xfId="10668" xr:uid="{00000000-0005-0000-0000-0000422A0000}"/>
    <cellStyle name="Standard 3 7 5 2 6" xfId="10669" xr:uid="{00000000-0005-0000-0000-0000432A0000}"/>
    <cellStyle name="Standard 3 7 5 3" xfId="10670" xr:uid="{00000000-0005-0000-0000-0000442A0000}"/>
    <cellStyle name="Standard 3 7 5 3 2" xfId="10671" xr:uid="{00000000-0005-0000-0000-0000452A0000}"/>
    <cellStyle name="Standard 3 7 5 3 3" xfId="10672" xr:uid="{00000000-0005-0000-0000-0000462A0000}"/>
    <cellStyle name="Standard 3 7 5 4" xfId="10673" xr:uid="{00000000-0005-0000-0000-0000472A0000}"/>
    <cellStyle name="Standard 3 7 5 4 2" xfId="10674" xr:uid="{00000000-0005-0000-0000-0000482A0000}"/>
    <cellStyle name="Standard 3 7 5 4 3" xfId="10675" xr:uid="{00000000-0005-0000-0000-0000492A0000}"/>
    <cellStyle name="Standard 3 7 5 5" xfId="10676" xr:uid="{00000000-0005-0000-0000-00004A2A0000}"/>
    <cellStyle name="Standard 3 7 5 5 2" xfId="10677" xr:uid="{00000000-0005-0000-0000-00004B2A0000}"/>
    <cellStyle name="Standard 3 7 5 6" xfId="10678" xr:uid="{00000000-0005-0000-0000-00004C2A0000}"/>
    <cellStyle name="Standard 3 7 5 7" xfId="10679" xr:uid="{00000000-0005-0000-0000-00004D2A0000}"/>
    <cellStyle name="Standard 3 7 6" xfId="10680" xr:uid="{00000000-0005-0000-0000-00004E2A0000}"/>
    <cellStyle name="Standard 3 7 6 2" xfId="10681" xr:uid="{00000000-0005-0000-0000-00004F2A0000}"/>
    <cellStyle name="Standard 3 7 6 2 2" xfId="10682" xr:uid="{00000000-0005-0000-0000-0000502A0000}"/>
    <cellStyle name="Standard 3 7 6 2 3" xfId="10683" xr:uid="{00000000-0005-0000-0000-0000512A0000}"/>
    <cellStyle name="Standard 3 7 6 3" xfId="10684" xr:uid="{00000000-0005-0000-0000-0000522A0000}"/>
    <cellStyle name="Standard 3 7 6 3 2" xfId="10685" xr:uid="{00000000-0005-0000-0000-0000532A0000}"/>
    <cellStyle name="Standard 3 7 6 3 3" xfId="10686" xr:uid="{00000000-0005-0000-0000-0000542A0000}"/>
    <cellStyle name="Standard 3 7 6 4" xfId="10687" xr:uid="{00000000-0005-0000-0000-0000552A0000}"/>
    <cellStyle name="Standard 3 7 6 4 2" xfId="10688" xr:uid="{00000000-0005-0000-0000-0000562A0000}"/>
    <cellStyle name="Standard 3 7 6 5" xfId="10689" xr:uid="{00000000-0005-0000-0000-0000572A0000}"/>
    <cellStyle name="Standard 3 7 6 6" xfId="10690" xr:uid="{00000000-0005-0000-0000-0000582A0000}"/>
    <cellStyle name="Standard 3 7 7" xfId="10691" xr:uid="{00000000-0005-0000-0000-0000592A0000}"/>
    <cellStyle name="Standard 3 7 7 2" xfId="10692" xr:uid="{00000000-0005-0000-0000-00005A2A0000}"/>
    <cellStyle name="Standard 3 7 7 3" xfId="10693" xr:uid="{00000000-0005-0000-0000-00005B2A0000}"/>
    <cellStyle name="Standard 3 7 8" xfId="10694" xr:uid="{00000000-0005-0000-0000-00005C2A0000}"/>
    <cellStyle name="Standard 3 7 8 2" xfId="10695" xr:uid="{00000000-0005-0000-0000-00005D2A0000}"/>
    <cellStyle name="Standard 3 7 8 3" xfId="10696" xr:uid="{00000000-0005-0000-0000-00005E2A0000}"/>
    <cellStyle name="Standard 3 7 9" xfId="10697" xr:uid="{00000000-0005-0000-0000-00005F2A0000}"/>
    <cellStyle name="Standard 3 7 9 2" xfId="10698" xr:uid="{00000000-0005-0000-0000-0000602A0000}"/>
    <cellStyle name="Standard 3 8" xfId="10699" xr:uid="{00000000-0005-0000-0000-0000612A0000}"/>
    <cellStyle name="Standard 3 9" xfId="33447" xr:uid="{00000000-0005-0000-0000-0000622A0000}"/>
    <cellStyle name="Standard 3_Spotweld Crossreference Master" xfId="10700" xr:uid="{00000000-0005-0000-0000-0000632A0000}"/>
    <cellStyle name="Standard 30" xfId="562" xr:uid="{00000000-0005-0000-0000-0000642A0000}"/>
    <cellStyle name="Standard 30 2" xfId="563" xr:uid="{00000000-0005-0000-0000-0000652A0000}"/>
    <cellStyle name="Standard 31" xfId="564" xr:uid="{00000000-0005-0000-0000-0000662A0000}"/>
    <cellStyle name="Standard 31 2" xfId="565" xr:uid="{00000000-0005-0000-0000-0000672A0000}"/>
    <cellStyle name="Standard 32" xfId="566" xr:uid="{00000000-0005-0000-0000-0000682A0000}"/>
    <cellStyle name="Standard 32 2" xfId="567" xr:uid="{00000000-0005-0000-0000-0000692A0000}"/>
    <cellStyle name="Standard 33" xfId="568" xr:uid="{00000000-0005-0000-0000-00006A2A0000}"/>
    <cellStyle name="Standard 33 2" xfId="569" xr:uid="{00000000-0005-0000-0000-00006B2A0000}"/>
    <cellStyle name="Standard 34" xfId="570" xr:uid="{00000000-0005-0000-0000-00006C2A0000}"/>
    <cellStyle name="Standard 34 2" xfId="571" xr:uid="{00000000-0005-0000-0000-00006D2A0000}"/>
    <cellStyle name="Standard 35" xfId="572" xr:uid="{00000000-0005-0000-0000-00006E2A0000}"/>
    <cellStyle name="Standard 35 2" xfId="573" xr:uid="{00000000-0005-0000-0000-00006F2A0000}"/>
    <cellStyle name="Standard 36" xfId="574" xr:uid="{00000000-0005-0000-0000-0000702A0000}"/>
    <cellStyle name="Standard 36 2" xfId="575" xr:uid="{00000000-0005-0000-0000-0000712A0000}"/>
    <cellStyle name="Standard 37" xfId="576" xr:uid="{00000000-0005-0000-0000-0000722A0000}"/>
    <cellStyle name="Standard 37 2" xfId="577" xr:uid="{00000000-0005-0000-0000-0000732A0000}"/>
    <cellStyle name="Standard 38" xfId="578" xr:uid="{00000000-0005-0000-0000-0000742A0000}"/>
    <cellStyle name="Standard 38 2" xfId="579" xr:uid="{00000000-0005-0000-0000-0000752A0000}"/>
    <cellStyle name="Standard 39" xfId="580" xr:uid="{00000000-0005-0000-0000-0000762A0000}"/>
    <cellStyle name="Standard 39 2" xfId="581" xr:uid="{00000000-0005-0000-0000-0000772A0000}"/>
    <cellStyle name="Standard 4" xfId="582" xr:uid="{00000000-0005-0000-0000-0000782A0000}"/>
    <cellStyle name="Standard 4 10" xfId="583" xr:uid="{00000000-0005-0000-0000-0000792A0000}"/>
    <cellStyle name="Standard 4 10 10" xfId="10701" xr:uid="{00000000-0005-0000-0000-00007A2A0000}"/>
    <cellStyle name="Standard 4 10 2" xfId="10702" xr:uid="{00000000-0005-0000-0000-00007B2A0000}"/>
    <cellStyle name="Standard 4 10 2 2" xfId="10703" xr:uid="{00000000-0005-0000-0000-00007C2A0000}"/>
    <cellStyle name="Standard 4 10 2 2 2" xfId="10704" xr:uid="{00000000-0005-0000-0000-00007D2A0000}"/>
    <cellStyle name="Standard 4 10 2 2 2 2" xfId="10705" xr:uid="{00000000-0005-0000-0000-00007E2A0000}"/>
    <cellStyle name="Standard 4 10 2 2 2 2 2" xfId="10706" xr:uid="{00000000-0005-0000-0000-00007F2A0000}"/>
    <cellStyle name="Standard 4 10 2 2 2 2 3" xfId="10707" xr:uid="{00000000-0005-0000-0000-0000802A0000}"/>
    <cellStyle name="Standard 4 10 2 2 2 3" xfId="10708" xr:uid="{00000000-0005-0000-0000-0000812A0000}"/>
    <cellStyle name="Standard 4 10 2 2 2 3 2" xfId="10709" xr:uid="{00000000-0005-0000-0000-0000822A0000}"/>
    <cellStyle name="Standard 4 10 2 2 2 3 3" xfId="10710" xr:uid="{00000000-0005-0000-0000-0000832A0000}"/>
    <cellStyle name="Standard 4 10 2 2 2 4" xfId="10711" xr:uid="{00000000-0005-0000-0000-0000842A0000}"/>
    <cellStyle name="Standard 4 10 2 2 2 4 2" xfId="10712" xr:uid="{00000000-0005-0000-0000-0000852A0000}"/>
    <cellStyle name="Standard 4 10 2 2 2 5" xfId="10713" xr:uid="{00000000-0005-0000-0000-0000862A0000}"/>
    <cellStyle name="Standard 4 10 2 2 2 6" xfId="10714" xr:uid="{00000000-0005-0000-0000-0000872A0000}"/>
    <cellStyle name="Standard 4 10 2 2 3" xfId="10715" xr:uid="{00000000-0005-0000-0000-0000882A0000}"/>
    <cellStyle name="Standard 4 10 2 2 3 2" xfId="10716" xr:uid="{00000000-0005-0000-0000-0000892A0000}"/>
    <cellStyle name="Standard 4 10 2 2 3 3" xfId="10717" xr:uid="{00000000-0005-0000-0000-00008A2A0000}"/>
    <cellStyle name="Standard 4 10 2 2 4" xfId="10718" xr:uid="{00000000-0005-0000-0000-00008B2A0000}"/>
    <cellStyle name="Standard 4 10 2 2 4 2" xfId="10719" xr:uid="{00000000-0005-0000-0000-00008C2A0000}"/>
    <cellStyle name="Standard 4 10 2 2 4 3" xfId="10720" xr:uid="{00000000-0005-0000-0000-00008D2A0000}"/>
    <cellStyle name="Standard 4 10 2 2 5" xfId="10721" xr:uid="{00000000-0005-0000-0000-00008E2A0000}"/>
    <cellStyle name="Standard 4 10 2 2 5 2" xfId="10722" xr:uid="{00000000-0005-0000-0000-00008F2A0000}"/>
    <cellStyle name="Standard 4 10 2 2 6" xfId="10723" xr:uid="{00000000-0005-0000-0000-0000902A0000}"/>
    <cellStyle name="Standard 4 10 2 2 7" xfId="10724" xr:uid="{00000000-0005-0000-0000-0000912A0000}"/>
    <cellStyle name="Standard 4 10 2 3" xfId="10725" xr:uid="{00000000-0005-0000-0000-0000922A0000}"/>
    <cellStyle name="Standard 4 10 2 3 2" xfId="10726" xr:uid="{00000000-0005-0000-0000-0000932A0000}"/>
    <cellStyle name="Standard 4 10 2 3 2 2" xfId="10727" xr:uid="{00000000-0005-0000-0000-0000942A0000}"/>
    <cellStyle name="Standard 4 10 2 3 2 3" xfId="10728" xr:uid="{00000000-0005-0000-0000-0000952A0000}"/>
    <cellStyle name="Standard 4 10 2 3 3" xfId="10729" xr:uid="{00000000-0005-0000-0000-0000962A0000}"/>
    <cellStyle name="Standard 4 10 2 3 3 2" xfId="10730" xr:uid="{00000000-0005-0000-0000-0000972A0000}"/>
    <cellStyle name="Standard 4 10 2 3 3 3" xfId="10731" xr:uid="{00000000-0005-0000-0000-0000982A0000}"/>
    <cellStyle name="Standard 4 10 2 3 4" xfId="10732" xr:uid="{00000000-0005-0000-0000-0000992A0000}"/>
    <cellStyle name="Standard 4 10 2 3 4 2" xfId="10733" xr:uid="{00000000-0005-0000-0000-00009A2A0000}"/>
    <cellStyle name="Standard 4 10 2 3 5" xfId="10734" xr:uid="{00000000-0005-0000-0000-00009B2A0000}"/>
    <cellStyle name="Standard 4 10 2 3 6" xfId="10735" xr:uid="{00000000-0005-0000-0000-00009C2A0000}"/>
    <cellStyle name="Standard 4 10 2 4" xfId="10736" xr:uid="{00000000-0005-0000-0000-00009D2A0000}"/>
    <cellStyle name="Standard 4 10 2 4 2" xfId="10737" xr:uid="{00000000-0005-0000-0000-00009E2A0000}"/>
    <cellStyle name="Standard 4 10 2 4 3" xfId="10738" xr:uid="{00000000-0005-0000-0000-00009F2A0000}"/>
    <cellStyle name="Standard 4 10 2 5" xfId="10739" xr:uid="{00000000-0005-0000-0000-0000A02A0000}"/>
    <cellStyle name="Standard 4 10 2 5 2" xfId="10740" xr:uid="{00000000-0005-0000-0000-0000A12A0000}"/>
    <cellStyle name="Standard 4 10 2 5 3" xfId="10741" xr:uid="{00000000-0005-0000-0000-0000A22A0000}"/>
    <cellStyle name="Standard 4 10 2 6" xfId="10742" xr:uid="{00000000-0005-0000-0000-0000A32A0000}"/>
    <cellStyle name="Standard 4 10 2 6 2" xfId="10743" xr:uid="{00000000-0005-0000-0000-0000A42A0000}"/>
    <cellStyle name="Standard 4 10 2 7" xfId="10744" xr:uid="{00000000-0005-0000-0000-0000A52A0000}"/>
    <cellStyle name="Standard 4 10 2 8" xfId="10745" xr:uid="{00000000-0005-0000-0000-0000A62A0000}"/>
    <cellStyle name="Standard 4 10 3" xfId="10746" xr:uid="{00000000-0005-0000-0000-0000A72A0000}"/>
    <cellStyle name="Standard 4 10 3 2" xfId="10747" xr:uid="{00000000-0005-0000-0000-0000A82A0000}"/>
    <cellStyle name="Standard 4 10 3 2 2" xfId="10748" xr:uid="{00000000-0005-0000-0000-0000A92A0000}"/>
    <cellStyle name="Standard 4 10 3 2 2 2" xfId="10749" xr:uid="{00000000-0005-0000-0000-0000AA2A0000}"/>
    <cellStyle name="Standard 4 10 3 2 2 2 2" xfId="10750" xr:uid="{00000000-0005-0000-0000-0000AB2A0000}"/>
    <cellStyle name="Standard 4 10 3 2 2 2 3" xfId="10751" xr:uid="{00000000-0005-0000-0000-0000AC2A0000}"/>
    <cellStyle name="Standard 4 10 3 2 2 3" xfId="10752" xr:uid="{00000000-0005-0000-0000-0000AD2A0000}"/>
    <cellStyle name="Standard 4 10 3 2 2 3 2" xfId="10753" xr:uid="{00000000-0005-0000-0000-0000AE2A0000}"/>
    <cellStyle name="Standard 4 10 3 2 2 3 3" xfId="10754" xr:uid="{00000000-0005-0000-0000-0000AF2A0000}"/>
    <cellStyle name="Standard 4 10 3 2 2 4" xfId="10755" xr:uid="{00000000-0005-0000-0000-0000B02A0000}"/>
    <cellStyle name="Standard 4 10 3 2 2 4 2" xfId="10756" xr:uid="{00000000-0005-0000-0000-0000B12A0000}"/>
    <cellStyle name="Standard 4 10 3 2 2 5" xfId="10757" xr:uid="{00000000-0005-0000-0000-0000B22A0000}"/>
    <cellStyle name="Standard 4 10 3 2 2 6" xfId="10758" xr:uid="{00000000-0005-0000-0000-0000B32A0000}"/>
    <cellStyle name="Standard 4 10 3 2 3" xfId="10759" xr:uid="{00000000-0005-0000-0000-0000B42A0000}"/>
    <cellStyle name="Standard 4 10 3 2 3 2" xfId="10760" xr:uid="{00000000-0005-0000-0000-0000B52A0000}"/>
    <cellStyle name="Standard 4 10 3 2 3 3" xfId="10761" xr:uid="{00000000-0005-0000-0000-0000B62A0000}"/>
    <cellStyle name="Standard 4 10 3 2 4" xfId="10762" xr:uid="{00000000-0005-0000-0000-0000B72A0000}"/>
    <cellStyle name="Standard 4 10 3 2 4 2" xfId="10763" xr:uid="{00000000-0005-0000-0000-0000B82A0000}"/>
    <cellStyle name="Standard 4 10 3 2 4 3" xfId="10764" xr:uid="{00000000-0005-0000-0000-0000B92A0000}"/>
    <cellStyle name="Standard 4 10 3 2 5" xfId="10765" xr:uid="{00000000-0005-0000-0000-0000BA2A0000}"/>
    <cellStyle name="Standard 4 10 3 2 5 2" xfId="10766" xr:uid="{00000000-0005-0000-0000-0000BB2A0000}"/>
    <cellStyle name="Standard 4 10 3 2 6" xfId="10767" xr:uid="{00000000-0005-0000-0000-0000BC2A0000}"/>
    <cellStyle name="Standard 4 10 3 2 7" xfId="10768" xr:uid="{00000000-0005-0000-0000-0000BD2A0000}"/>
    <cellStyle name="Standard 4 10 3 3" xfId="10769" xr:uid="{00000000-0005-0000-0000-0000BE2A0000}"/>
    <cellStyle name="Standard 4 10 3 3 2" xfId="10770" xr:uid="{00000000-0005-0000-0000-0000BF2A0000}"/>
    <cellStyle name="Standard 4 10 3 3 2 2" xfId="10771" xr:uid="{00000000-0005-0000-0000-0000C02A0000}"/>
    <cellStyle name="Standard 4 10 3 3 2 3" xfId="10772" xr:uid="{00000000-0005-0000-0000-0000C12A0000}"/>
    <cellStyle name="Standard 4 10 3 3 3" xfId="10773" xr:uid="{00000000-0005-0000-0000-0000C22A0000}"/>
    <cellStyle name="Standard 4 10 3 3 3 2" xfId="10774" xr:uid="{00000000-0005-0000-0000-0000C32A0000}"/>
    <cellStyle name="Standard 4 10 3 3 3 3" xfId="10775" xr:uid="{00000000-0005-0000-0000-0000C42A0000}"/>
    <cellStyle name="Standard 4 10 3 3 4" xfId="10776" xr:uid="{00000000-0005-0000-0000-0000C52A0000}"/>
    <cellStyle name="Standard 4 10 3 3 4 2" xfId="10777" xr:uid="{00000000-0005-0000-0000-0000C62A0000}"/>
    <cellStyle name="Standard 4 10 3 3 5" xfId="10778" xr:uid="{00000000-0005-0000-0000-0000C72A0000}"/>
    <cellStyle name="Standard 4 10 3 3 6" xfId="10779" xr:uid="{00000000-0005-0000-0000-0000C82A0000}"/>
    <cellStyle name="Standard 4 10 3 4" xfId="10780" xr:uid="{00000000-0005-0000-0000-0000C92A0000}"/>
    <cellStyle name="Standard 4 10 3 4 2" xfId="10781" xr:uid="{00000000-0005-0000-0000-0000CA2A0000}"/>
    <cellStyle name="Standard 4 10 3 4 3" xfId="10782" xr:uid="{00000000-0005-0000-0000-0000CB2A0000}"/>
    <cellStyle name="Standard 4 10 3 5" xfId="10783" xr:uid="{00000000-0005-0000-0000-0000CC2A0000}"/>
    <cellStyle name="Standard 4 10 3 5 2" xfId="10784" xr:uid="{00000000-0005-0000-0000-0000CD2A0000}"/>
    <cellStyle name="Standard 4 10 3 5 3" xfId="10785" xr:uid="{00000000-0005-0000-0000-0000CE2A0000}"/>
    <cellStyle name="Standard 4 10 3 6" xfId="10786" xr:uid="{00000000-0005-0000-0000-0000CF2A0000}"/>
    <cellStyle name="Standard 4 10 3 6 2" xfId="10787" xr:uid="{00000000-0005-0000-0000-0000D02A0000}"/>
    <cellStyle name="Standard 4 10 3 7" xfId="10788" xr:uid="{00000000-0005-0000-0000-0000D12A0000}"/>
    <cellStyle name="Standard 4 10 3 8" xfId="10789" xr:uid="{00000000-0005-0000-0000-0000D22A0000}"/>
    <cellStyle name="Standard 4 10 4" xfId="10790" xr:uid="{00000000-0005-0000-0000-0000D32A0000}"/>
    <cellStyle name="Standard 4 10 4 2" xfId="10791" xr:uid="{00000000-0005-0000-0000-0000D42A0000}"/>
    <cellStyle name="Standard 4 10 4 2 2" xfId="10792" xr:uid="{00000000-0005-0000-0000-0000D52A0000}"/>
    <cellStyle name="Standard 4 10 4 2 2 2" xfId="10793" xr:uid="{00000000-0005-0000-0000-0000D62A0000}"/>
    <cellStyle name="Standard 4 10 4 2 2 3" xfId="10794" xr:uid="{00000000-0005-0000-0000-0000D72A0000}"/>
    <cellStyle name="Standard 4 10 4 2 3" xfId="10795" xr:uid="{00000000-0005-0000-0000-0000D82A0000}"/>
    <cellStyle name="Standard 4 10 4 2 3 2" xfId="10796" xr:uid="{00000000-0005-0000-0000-0000D92A0000}"/>
    <cellStyle name="Standard 4 10 4 2 3 3" xfId="10797" xr:uid="{00000000-0005-0000-0000-0000DA2A0000}"/>
    <cellStyle name="Standard 4 10 4 2 4" xfId="10798" xr:uid="{00000000-0005-0000-0000-0000DB2A0000}"/>
    <cellStyle name="Standard 4 10 4 2 4 2" xfId="10799" xr:uid="{00000000-0005-0000-0000-0000DC2A0000}"/>
    <cellStyle name="Standard 4 10 4 2 5" xfId="10800" xr:uid="{00000000-0005-0000-0000-0000DD2A0000}"/>
    <cellStyle name="Standard 4 10 4 2 6" xfId="10801" xr:uid="{00000000-0005-0000-0000-0000DE2A0000}"/>
    <cellStyle name="Standard 4 10 4 3" xfId="10802" xr:uid="{00000000-0005-0000-0000-0000DF2A0000}"/>
    <cellStyle name="Standard 4 10 4 3 2" xfId="10803" xr:uid="{00000000-0005-0000-0000-0000E02A0000}"/>
    <cellStyle name="Standard 4 10 4 3 3" xfId="10804" xr:uid="{00000000-0005-0000-0000-0000E12A0000}"/>
    <cellStyle name="Standard 4 10 4 4" xfId="10805" xr:uid="{00000000-0005-0000-0000-0000E22A0000}"/>
    <cellStyle name="Standard 4 10 4 4 2" xfId="10806" xr:uid="{00000000-0005-0000-0000-0000E32A0000}"/>
    <cellStyle name="Standard 4 10 4 4 3" xfId="10807" xr:uid="{00000000-0005-0000-0000-0000E42A0000}"/>
    <cellStyle name="Standard 4 10 4 5" xfId="10808" xr:uid="{00000000-0005-0000-0000-0000E52A0000}"/>
    <cellStyle name="Standard 4 10 4 5 2" xfId="10809" xr:uid="{00000000-0005-0000-0000-0000E62A0000}"/>
    <cellStyle name="Standard 4 10 4 6" xfId="10810" xr:uid="{00000000-0005-0000-0000-0000E72A0000}"/>
    <cellStyle name="Standard 4 10 4 7" xfId="10811" xr:uid="{00000000-0005-0000-0000-0000E82A0000}"/>
    <cellStyle name="Standard 4 10 5" xfId="10812" xr:uid="{00000000-0005-0000-0000-0000E92A0000}"/>
    <cellStyle name="Standard 4 10 5 2" xfId="10813" xr:uid="{00000000-0005-0000-0000-0000EA2A0000}"/>
    <cellStyle name="Standard 4 10 5 2 2" xfId="10814" xr:uid="{00000000-0005-0000-0000-0000EB2A0000}"/>
    <cellStyle name="Standard 4 10 5 2 3" xfId="10815" xr:uid="{00000000-0005-0000-0000-0000EC2A0000}"/>
    <cellStyle name="Standard 4 10 5 3" xfId="10816" xr:uid="{00000000-0005-0000-0000-0000ED2A0000}"/>
    <cellStyle name="Standard 4 10 5 3 2" xfId="10817" xr:uid="{00000000-0005-0000-0000-0000EE2A0000}"/>
    <cellStyle name="Standard 4 10 5 3 3" xfId="10818" xr:uid="{00000000-0005-0000-0000-0000EF2A0000}"/>
    <cellStyle name="Standard 4 10 5 4" xfId="10819" xr:uid="{00000000-0005-0000-0000-0000F02A0000}"/>
    <cellStyle name="Standard 4 10 5 4 2" xfId="10820" xr:uid="{00000000-0005-0000-0000-0000F12A0000}"/>
    <cellStyle name="Standard 4 10 5 5" xfId="10821" xr:uid="{00000000-0005-0000-0000-0000F22A0000}"/>
    <cellStyle name="Standard 4 10 5 6" xfId="10822" xr:uid="{00000000-0005-0000-0000-0000F32A0000}"/>
    <cellStyle name="Standard 4 10 6" xfId="10823" xr:uid="{00000000-0005-0000-0000-0000F42A0000}"/>
    <cellStyle name="Standard 4 10 6 2" xfId="10824" xr:uid="{00000000-0005-0000-0000-0000F52A0000}"/>
    <cellStyle name="Standard 4 10 6 3" xfId="10825" xr:uid="{00000000-0005-0000-0000-0000F62A0000}"/>
    <cellStyle name="Standard 4 10 7" xfId="10826" xr:uid="{00000000-0005-0000-0000-0000F72A0000}"/>
    <cellStyle name="Standard 4 10 7 2" xfId="10827" xr:uid="{00000000-0005-0000-0000-0000F82A0000}"/>
    <cellStyle name="Standard 4 10 7 3" xfId="10828" xr:uid="{00000000-0005-0000-0000-0000F92A0000}"/>
    <cellStyle name="Standard 4 10 8" xfId="10829" xr:uid="{00000000-0005-0000-0000-0000FA2A0000}"/>
    <cellStyle name="Standard 4 10 8 2" xfId="10830" xr:uid="{00000000-0005-0000-0000-0000FB2A0000}"/>
    <cellStyle name="Standard 4 10 9" xfId="10831" xr:uid="{00000000-0005-0000-0000-0000FC2A0000}"/>
    <cellStyle name="Standard 4 11" xfId="10832" xr:uid="{00000000-0005-0000-0000-0000FD2A0000}"/>
    <cellStyle name="Standard 4 11 2" xfId="10833" xr:uid="{00000000-0005-0000-0000-0000FE2A0000}"/>
    <cellStyle name="Standard 4 11 2 2" xfId="10834" xr:uid="{00000000-0005-0000-0000-0000FF2A0000}"/>
    <cellStyle name="Standard 4 11 2 2 2" xfId="10835" xr:uid="{00000000-0005-0000-0000-0000002B0000}"/>
    <cellStyle name="Standard 4 11 2 2 2 2" xfId="10836" xr:uid="{00000000-0005-0000-0000-0000012B0000}"/>
    <cellStyle name="Standard 4 11 2 2 2 2 2" xfId="10837" xr:uid="{00000000-0005-0000-0000-0000022B0000}"/>
    <cellStyle name="Standard 4 11 2 2 2 2 3" xfId="10838" xr:uid="{00000000-0005-0000-0000-0000032B0000}"/>
    <cellStyle name="Standard 4 11 2 2 2 3" xfId="10839" xr:uid="{00000000-0005-0000-0000-0000042B0000}"/>
    <cellStyle name="Standard 4 11 2 2 2 3 2" xfId="10840" xr:uid="{00000000-0005-0000-0000-0000052B0000}"/>
    <cellStyle name="Standard 4 11 2 2 2 3 3" xfId="10841" xr:uid="{00000000-0005-0000-0000-0000062B0000}"/>
    <cellStyle name="Standard 4 11 2 2 2 4" xfId="10842" xr:uid="{00000000-0005-0000-0000-0000072B0000}"/>
    <cellStyle name="Standard 4 11 2 2 2 4 2" xfId="10843" xr:uid="{00000000-0005-0000-0000-0000082B0000}"/>
    <cellStyle name="Standard 4 11 2 2 2 5" xfId="10844" xr:uid="{00000000-0005-0000-0000-0000092B0000}"/>
    <cellStyle name="Standard 4 11 2 2 2 6" xfId="10845" xr:uid="{00000000-0005-0000-0000-00000A2B0000}"/>
    <cellStyle name="Standard 4 11 2 2 3" xfId="10846" xr:uid="{00000000-0005-0000-0000-00000B2B0000}"/>
    <cellStyle name="Standard 4 11 2 2 3 2" xfId="10847" xr:uid="{00000000-0005-0000-0000-00000C2B0000}"/>
    <cellStyle name="Standard 4 11 2 2 3 3" xfId="10848" xr:uid="{00000000-0005-0000-0000-00000D2B0000}"/>
    <cellStyle name="Standard 4 11 2 2 4" xfId="10849" xr:uid="{00000000-0005-0000-0000-00000E2B0000}"/>
    <cellStyle name="Standard 4 11 2 2 4 2" xfId="10850" xr:uid="{00000000-0005-0000-0000-00000F2B0000}"/>
    <cellStyle name="Standard 4 11 2 2 4 3" xfId="10851" xr:uid="{00000000-0005-0000-0000-0000102B0000}"/>
    <cellStyle name="Standard 4 11 2 2 5" xfId="10852" xr:uid="{00000000-0005-0000-0000-0000112B0000}"/>
    <cellStyle name="Standard 4 11 2 2 5 2" xfId="10853" xr:uid="{00000000-0005-0000-0000-0000122B0000}"/>
    <cellStyle name="Standard 4 11 2 2 6" xfId="10854" xr:uid="{00000000-0005-0000-0000-0000132B0000}"/>
    <cellStyle name="Standard 4 11 2 2 7" xfId="10855" xr:uid="{00000000-0005-0000-0000-0000142B0000}"/>
    <cellStyle name="Standard 4 11 2 3" xfId="10856" xr:uid="{00000000-0005-0000-0000-0000152B0000}"/>
    <cellStyle name="Standard 4 11 2 3 2" xfId="10857" xr:uid="{00000000-0005-0000-0000-0000162B0000}"/>
    <cellStyle name="Standard 4 11 2 3 2 2" xfId="10858" xr:uid="{00000000-0005-0000-0000-0000172B0000}"/>
    <cellStyle name="Standard 4 11 2 3 2 3" xfId="10859" xr:uid="{00000000-0005-0000-0000-0000182B0000}"/>
    <cellStyle name="Standard 4 11 2 3 3" xfId="10860" xr:uid="{00000000-0005-0000-0000-0000192B0000}"/>
    <cellStyle name="Standard 4 11 2 3 3 2" xfId="10861" xr:uid="{00000000-0005-0000-0000-00001A2B0000}"/>
    <cellStyle name="Standard 4 11 2 3 3 3" xfId="10862" xr:uid="{00000000-0005-0000-0000-00001B2B0000}"/>
    <cellStyle name="Standard 4 11 2 3 4" xfId="10863" xr:uid="{00000000-0005-0000-0000-00001C2B0000}"/>
    <cellStyle name="Standard 4 11 2 3 4 2" xfId="10864" xr:uid="{00000000-0005-0000-0000-00001D2B0000}"/>
    <cellStyle name="Standard 4 11 2 3 5" xfId="10865" xr:uid="{00000000-0005-0000-0000-00001E2B0000}"/>
    <cellStyle name="Standard 4 11 2 3 6" xfId="10866" xr:uid="{00000000-0005-0000-0000-00001F2B0000}"/>
    <cellStyle name="Standard 4 11 2 4" xfId="10867" xr:uid="{00000000-0005-0000-0000-0000202B0000}"/>
    <cellStyle name="Standard 4 11 2 4 2" xfId="10868" xr:uid="{00000000-0005-0000-0000-0000212B0000}"/>
    <cellStyle name="Standard 4 11 2 4 3" xfId="10869" xr:uid="{00000000-0005-0000-0000-0000222B0000}"/>
    <cellStyle name="Standard 4 11 2 5" xfId="10870" xr:uid="{00000000-0005-0000-0000-0000232B0000}"/>
    <cellStyle name="Standard 4 11 2 5 2" xfId="10871" xr:uid="{00000000-0005-0000-0000-0000242B0000}"/>
    <cellStyle name="Standard 4 11 2 5 3" xfId="10872" xr:uid="{00000000-0005-0000-0000-0000252B0000}"/>
    <cellStyle name="Standard 4 11 2 6" xfId="10873" xr:uid="{00000000-0005-0000-0000-0000262B0000}"/>
    <cellStyle name="Standard 4 11 2 6 2" xfId="10874" xr:uid="{00000000-0005-0000-0000-0000272B0000}"/>
    <cellStyle name="Standard 4 11 2 7" xfId="10875" xr:uid="{00000000-0005-0000-0000-0000282B0000}"/>
    <cellStyle name="Standard 4 11 2 8" xfId="10876" xr:uid="{00000000-0005-0000-0000-0000292B0000}"/>
    <cellStyle name="Standard 4 11 3" xfId="10877" xr:uid="{00000000-0005-0000-0000-00002A2B0000}"/>
    <cellStyle name="Standard 4 11 3 2" xfId="10878" xr:uid="{00000000-0005-0000-0000-00002B2B0000}"/>
    <cellStyle name="Standard 4 11 3 2 2" xfId="10879" xr:uid="{00000000-0005-0000-0000-00002C2B0000}"/>
    <cellStyle name="Standard 4 11 3 2 2 2" xfId="10880" xr:uid="{00000000-0005-0000-0000-00002D2B0000}"/>
    <cellStyle name="Standard 4 11 3 2 2 3" xfId="10881" xr:uid="{00000000-0005-0000-0000-00002E2B0000}"/>
    <cellStyle name="Standard 4 11 3 2 3" xfId="10882" xr:uid="{00000000-0005-0000-0000-00002F2B0000}"/>
    <cellStyle name="Standard 4 11 3 2 3 2" xfId="10883" xr:uid="{00000000-0005-0000-0000-0000302B0000}"/>
    <cellStyle name="Standard 4 11 3 2 3 3" xfId="10884" xr:uid="{00000000-0005-0000-0000-0000312B0000}"/>
    <cellStyle name="Standard 4 11 3 2 4" xfId="10885" xr:uid="{00000000-0005-0000-0000-0000322B0000}"/>
    <cellStyle name="Standard 4 11 3 2 4 2" xfId="10886" xr:uid="{00000000-0005-0000-0000-0000332B0000}"/>
    <cellStyle name="Standard 4 11 3 2 5" xfId="10887" xr:uid="{00000000-0005-0000-0000-0000342B0000}"/>
    <cellStyle name="Standard 4 11 3 2 6" xfId="10888" xr:uid="{00000000-0005-0000-0000-0000352B0000}"/>
    <cellStyle name="Standard 4 11 3 3" xfId="10889" xr:uid="{00000000-0005-0000-0000-0000362B0000}"/>
    <cellStyle name="Standard 4 11 3 3 2" xfId="10890" xr:uid="{00000000-0005-0000-0000-0000372B0000}"/>
    <cellStyle name="Standard 4 11 3 3 3" xfId="10891" xr:uid="{00000000-0005-0000-0000-0000382B0000}"/>
    <cellStyle name="Standard 4 11 3 4" xfId="10892" xr:uid="{00000000-0005-0000-0000-0000392B0000}"/>
    <cellStyle name="Standard 4 11 3 4 2" xfId="10893" xr:uid="{00000000-0005-0000-0000-00003A2B0000}"/>
    <cellStyle name="Standard 4 11 3 4 3" xfId="10894" xr:uid="{00000000-0005-0000-0000-00003B2B0000}"/>
    <cellStyle name="Standard 4 11 3 5" xfId="10895" xr:uid="{00000000-0005-0000-0000-00003C2B0000}"/>
    <cellStyle name="Standard 4 11 3 5 2" xfId="10896" xr:uid="{00000000-0005-0000-0000-00003D2B0000}"/>
    <cellStyle name="Standard 4 11 3 6" xfId="10897" xr:uid="{00000000-0005-0000-0000-00003E2B0000}"/>
    <cellStyle name="Standard 4 11 3 7" xfId="10898" xr:uid="{00000000-0005-0000-0000-00003F2B0000}"/>
    <cellStyle name="Standard 4 11 4" xfId="10899" xr:uid="{00000000-0005-0000-0000-0000402B0000}"/>
    <cellStyle name="Standard 4 11 4 2" xfId="10900" xr:uid="{00000000-0005-0000-0000-0000412B0000}"/>
    <cellStyle name="Standard 4 11 4 2 2" xfId="10901" xr:uid="{00000000-0005-0000-0000-0000422B0000}"/>
    <cellStyle name="Standard 4 11 4 2 3" xfId="10902" xr:uid="{00000000-0005-0000-0000-0000432B0000}"/>
    <cellStyle name="Standard 4 11 4 3" xfId="10903" xr:uid="{00000000-0005-0000-0000-0000442B0000}"/>
    <cellStyle name="Standard 4 11 4 3 2" xfId="10904" xr:uid="{00000000-0005-0000-0000-0000452B0000}"/>
    <cellStyle name="Standard 4 11 4 3 3" xfId="10905" xr:uid="{00000000-0005-0000-0000-0000462B0000}"/>
    <cellStyle name="Standard 4 11 4 4" xfId="10906" xr:uid="{00000000-0005-0000-0000-0000472B0000}"/>
    <cellStyle name="Standard 4 11 4 4 2" xfId="10907" xr:uid="{00000000-0005-0000-0000-0000482B0000}"/>
    <cellStyle name="Standard 4 11 4 5" xfId="10908" xr:uid="{00000000-0005-0000-0000-0000492B0000}"/>
    <cellStyle name="Standard 4 11 4 6" xfId="10909" xr:uid="{00000000-0005-0000-0000-00004A2B0000}"/>
    <cellStyle name="Standard 4 11 5" xfId="10910" xr:uid="{00000000-0005-0000-0000-00004B2B0000}"/>
    <cellStyle name="Standard 4 11 5 2" xfId="10911" xr:uid="{00000000-0005-0000-0000-00004C2B0000}"/>
    <cellStyle name="Standard 4 11 5 3" xfId="10912" xr:uid="{00000000-0005-0000-0000-00004D2B0000}"/>
    <cellStyle name="Standard 4 11 6" xfId="10913" xr:uid="{00000000-0005-0000-0000-00004E2B0000}"/>
    <cellStyle name="Standard 4 11 6 2" xfId="10914" xr:uid="{00000000-0005-0000-0000-00004F2B0000}"/>
    <cellStyle name="Standard 4 11 6 3" xfId="10915" xr:uid="{00000000-0005-0000-0000-0000502B0000}"/>
    <cellStyle name="Standard 4 11 7" xfId="10916" xr:uid="{00000000-0005-0000-0000-0000512B0000}"/>
    <cellStyle name="Standard 4 11 7 2" xfId="10917" xr:uid="{00000000-0005-0000-0000-0000522B0000}"/>
    <cellStyle name="Standard 4 11 8" xfId="10918" xr:uid="{00000000-0005-0000-0000-0000532B0000}"/>
    <cellStyle name="Standard 4 11 9" xfId="10919" xr:uid="{00000000-0005-0000-0000-0000542B0000}"/>
    <cellStyle name="Standard 4 12" xfId="10920" xr:uid="{00000000-0005-0000-0000-0000552B0000}"/>
    <cellStyle name="Standard 4 12 2" xfId="10921" xr:uid="{00000000-0005-0000-0000-0000562B0000}"/>
    <cellStyle name="Standard 4 12 2 2" xfId="10922" xr:uid="{00000000-0005-0000-0000-0000572B0000}"/>
    <cellStyle name="Standard 4 12 2 2 2" xfId="10923" xr:uid="{00000000-0005-0000-0000-0000582B0000}"/>
    <cellStyle name="Standard 4 12 2 2 2 2" xfId="10924" xr:uid="{00000000-0005-0000-0000-0000592B0000}"/>
    <cellStyle name="Standard 4 12 2 2 2 3" xfId="10925" xr:uid="{00000000-0005-0000-0000-00005A2B0000}"/>
    <cellStyle name="Standard 4 12 2 2 3" xfId="10926" xr:uid="{00000000-0005-0000-0000-00005B2B0000}"/>
    <cellStyle name="Standard 4 12 2 2 3 2" xfId="10927" xr:uid="{00000000-0005-0000-0000-00005C2B0000}"/>
    <cellStyle name="Standard 4 12 2 2 3 3" xfId="10928" xr:uid="{00000000-0005-0000-0000-00005D2B0000}"/>
    <cellStyle name="Standard 4 12 2 2 4" xfId="10929" xr:uid="{00000000-0005-0000-0000-00005E2B0000}"/>
    <cellStyle name="Standard 4 12 2 2 4 2" xfId="10930" xr:uid="{00000000-0005-0000-0000-00005F2B0000}"/>
    <cellStyle name="Standard 4 12 2 2 5" xfId="10931" xr:uid="{00000000-0005-0000-0000-0000602B0000}"/>
    <cellStyle name="Standard 4 12 2 2 6" xfId="10932" xr:uid="{00000000-0005-0000-0000-0000612B0000}"/>
    <cellStyle name="Standard 4 12 2 3" xfId="10933" xr:uid="{00000000-0005-0000-0000-0000622B0000}"/>
    <cellStyle name="Standard 4 12 2 3 2" xfId="10934" xr:uid="{00000000-0005-0000-0000-0000632B0000}"/>
    <cellStyle name="Standard 4 12 2 3 3" xfId="10935" xr:uid="{00000000-0005-0000-0000-0000642B0000}"/>
    <cellStyle name="Standard 4 12 2 4" xfId="10936" xr:uid="{00000000-0005-0000-0000-0000652B0000}"/>
    <cellStyle name="Standard 4 12 2 4 2" xfId="10937" xr:uid="{00000000-0005-0000-0000-0000662B0000}"/>
    <cellStyle name="Standard 4 12 2 4 3" xfId="10938" xr:uid="{00000000-0005-0000-0000-0000672B0000}"/>
    <cellStyle name="Standard 4 12 2 5" xfId="10939" xr:uid="{00000000-0005-0000-0000-0000682B0000}"/>
    <cellStyle name="Standard 4 12 2 5 2" xfId="10940" xr:uid="{00000000-0005-0000-0000-0000692B0000}"/>
    <cellStyle name="Standard 4 12 2 6" xfId="10941" xr:uid="{00000000-0005-0000-0000-00006A2B0000}"/>
    <cellStyle name="Standard 4 12 2 7" xfId="10942" xr:uid="{00000000-0005-0000-0000-00006B2B0000}"/>
    <cellStyle name="Standard 4 12 3" xfId="10943" xr:uid="{00000000-0005-0000-0000-00006C2B0000}"/>
    <cellStyle name="Standard 4 12 3 2" xfId="10944" xr:uid="{00000000-0005-0000-0000-00006D2B0000}"/>
    <cellStyle name="Standard 4 12 3 2 2" xfId="10945" xr:uid="{00000000-0005-0000-0000-00006E2B0000}"/>
    <cellStyle name="Standard 4 12 3 2 3" xfId="10946" xr:uid="{00000000-0005-0000-0000-00006F2B0000}"/>
    <cellStyle name="Standard 4 12 3 3" xfId="10947" xr:uid="{00000000-0005-0000-0000-0000702B0000}"/>
    <cellStyle name="Standard 4 12 3 3 2" xfId="10948" xr:uid="{00000000-0005-0000-0000-0000712B0000}"/>
    <cellStyle name="Standard 4 12 3 3 3" xfId="10949" xr:uid="{00000000-0005-0000-0000-0000722B0000}"/>
    <cellStyle name="Standard 4 12 3 4" xfId="10950" xr:uid="{00000000-0005-0000-0000-0000732B0000}"/>
    <cellStyle name="Standard 4 12 3 4 2" xfId="10951" xr:uid="{00000000-0005-0000-0000-0000742B0000}"/>
    <cellStyle name="Standard 4 12 3 5" xfId="10952" xr:uid="{00000000-0005-0000-0000-0000752B0000}"/>
    <cellStyle name="Standard 4 12 3 6" xfId="10953" xr:uid="{00000000-0005-0000-0000-0000762B0000}"/>
    <cellStyle name="Standard 4 12 4" xfId="10954" xr:uid="{00000000-0005-0000-0000-0000772B0000}"/>
    <cellStyle name="Standard 4 12 4 2" xfId="10955" xr:uid="{00000000-0005-0000-0000-0000782B0000}"/>
    <cellStyle name="Standard 4 12 4 3" xfId="10956" xr:uid="{00000000-0005-0000-0000-0000792B0000}"/>
    <cellStyle name="Standard 4 12 5" xfId="10957" xr:uid="{00000000-0005-0000-0000-00007A2B0000}"/>
    <cellStyle name="Standard 4 12 5 2" xfId="10958" xr:uid="{00000000-0005-0000-0000-00007B2B0000}"/>
    <cellStyle name="Standard 4 12 5 3" xfId="10959" xr:uid="{00000000-0005-0000-0000-00007C2B0000}"/>
    <cellStyle name="Standard 4 12 6" xfId="10960" xr:uid="{00000000-0005-0000-0000-00007D2B0000}"/>
    <cellStyle name="Standard 4 12 6 2" xfId="10961" xr:uid="{00000000-0005-0000-0000-00007E2B0000}"/>
    <cellStyle name="Standard 4 12 7" xfId="10962" xr:uid="{00000000-0005-0000-0000-00007F2B0000}"/>
    <cellStyle name="Standard 4 12 8" xfId="10963" xr:uid="{00000000-0005-0000-0000-0000802B0000}"/>
    <cellStyle name="Standard 4 13" xfId="10964" xr:uid="{00000000-0005-0000-0000-0000812B0000}"/>
    <cellStyle name="Standard 4 13 2" xfId="10965" xr:uid="{00000000-0005-0000-0000-0000822B0000}"/>
    <cellStyle name="Standard 4 13 2 2" xfId="10966" xr:uid="{00000000-0005-0000-0000-0000832B0000}"/>
    <cellStyle name="Standard 4 13 2 2 2" xfId="10967" xr:uid="{00000000-0005-0000-0000-0000842B0000}"/>
    <cellStyle name="Standard 4 13 2 2 3" xfId="10968" xr:uid="{00000000-0005-0000-0000-0000852B0000}"/>
    <cellStyle name="Standard 4 13 2 3" xfId="10969" xr:uid="{00000000-0005-0000-0000-0000862B0000}"/>
    <cellStyle name="Standard 4 13 2 3 2" xfId="10970" xr:uid="{00000000-0005-0000-0000-0000872B0000}"/>
    <cellStyle name="Standard 4 13 2 3 3" xfId="10971" xr:uid="{00000000-0005-0000-0000-0000882B0000}"/>
    <cellStyle name="Standard 4 13 2 4" xfId="10972" xr:uid="{00000000-0005-0000-0000-0000892B0000}"/>
    <cellStyle name="Standard 4 13 2 4 2" xfId="10973" xr:uid="{00000000-0005-0000-0000-00008A2B0000}"/>
    <cellStyle name="Standard 4 13 2 5" xfId="10974" xr:uid="{00000000-0005-0000-0000-00008B2B0000}"/>
    <cellStyle name="Standard 4 13 2 6" xfId="10975" xr:uid="{00000000-0005-0000-0000-00008C2B0000}"/>
    <cellStyle name="Standard 4 13 3" xfId="10976" xr:uid="{00000000-0005-0000-0000-00008D2B0000}"/>
    <cellStyle name="Standard 4 13 3 2" xfId="10977" xr:uid="{00000000-0005-0000-0000-00008E2B0000}"/>
    <cellStyle name="Standard 4 13 3 3" xfId="10978" xr:uid="{00000000-0005-0000-0000-00008F2B0000}"/>
    <cellStyle name="Standard 4 13 4" xfId="10979" xr:uid="{00000000-0005-0000-0000-0000902B0000}"/>
    <cellStyle name="Standard 4 13 4 2" xfId="10980" xr:uid="{00000000-0005-0000-0000-0000912B0000}"/>
    <cellStyle name="Standard 4 13 4 3" xfId="10981" xr:uid="{00000000-0005-0000-0000-0000922B0000}"/>
    <cellStyle name="Standard 4 13 5" xfId="10982" xr:uid="{00000000-0005-0000-0000-0000932B0000}"/>
    <cellStyle name="Standard 4 13 5 2" xfId="10983" xr:uid="{00000000-0005-0000-0000-0000942B0000}"/>
    <cellStyle name="Standard 4 13 6" xfId="10984" xr:uid="{00000000-0005-0000-0000-0000952B0000}"/>
    <cellStyle name="Standard 4 13 7" xfId="10985" xr:uid="{00000000-0005-0000-0000-0000962B0000}"/>
    <cellStyle name="Standard 4 14" xfId="10986" xr:uid="{00000000-0005-0000-0000-0000972B0000}"/>
    <cellStyle name="Standard 4 14 2" xfId="10987" xr:uid="{00000000-0005-0000-0000-0000982B0000}"/>
    <cellStyle name="Standard 4 14 2 2" xfId="10988" xr:uid="{00000000-0005-0000-0000-0000992B0000}"/>
    <cellStyle name="Standard 4 14 2 3" xfId="10989" xr:uid="{00000000-0005-0000-0000-00009A2B0000}"/>
    <cellStyle name="Standard 4 14 3" xfId="10990" xr:uid="{00000000-0005-0000-0000-00009B2B0000}"/>
    <cellStyle name="Standard 4 14 3 2" xfId="10991" xr:uid="{00000000-0005-0000-0000-00009C2B0000}"/>
    <cellStyle name="Standard 4 14 3 3" xfId="10992" xr:uid="{00000000-0005-0000-0000-00009D2B0000}"/>
    <cellStyle name="Standard 4 14 4" xfId="10993" xr:uid="{00000000-0005-0000-0000-00009E2B0000}"/>
    <cellStyle name="Standard 4 14 4 2" xfId="10994" xr:uid="{00000000-0005-0000-0000-00009F2B0000}"/>
    <cellStyle name="Standard 4 14 5" xfId="10995" xr:uid="{00000000-0005-0000-0000-0000A02B0000}"/>
    <cellStyle name="Standard 4 14 6" xfId="10996" xr:uid="{00000000-0005-0000-0000-0000A12B0000}"/>
    <cellStyle name="Standard 4 15" xfId="10997" xr:uid="{00000000-0005-0000-0000-0000A22B0000}"/>
    <cellStyle name="Standard 4 15 2" xfId="10998" xr:uid="{00000000-0005-0000-0000-0000A32B0000}"/>
    <cellStyle name="Standard 4 15 3" xfId="10999" xr:uid="{00000000-0005-0000-0000-0000A42B0000}"/>
    <cellStyle name="Standard 4 16" xfId="11000" xr:uid="{00000000-0005-0000-0000-0000A52B0000}"/>
    <cellStyle name="Standard 4 16 2" xfId="11001" xr:uid="{00000000-0005-0000-0000-0000A62B0000}"/>
    <cellStyle name="Standard 4 16 3" xfId="11002" xr:uid="{00000000-0005-0000-0000-0000A72B0000}"/>
    <cellStyle name="Standard 4 17" xfId="11003" xr:uid="{00000000-0005-0000-0000-0000A82B0000}"/>
    <cellStyle name="Standard 4 17 2" xfId="11004" xr:uid="{00000000-0005-0000-0000-0000A92B0000}"/>
    <cellStyle name="Standard 4 18" xfId="11005" xr:uid="{00000000-0005-0000-0000-0000AA2B0000}"/>
    <cellStyle name="Standard 4 19" xfId="11006" xr:uid="{00000000-0005-0000-0000-0000AB2B0000}"/>
    <cellStyle name="Standard 4 2" xfId="584" xr:uid="{00000000-0005-0000-0000-0000AC2B0000}"/>
    <cellStyle name="Standard 4 2 10" xfId="11007" xr:uid="{00000000-0005-0000-0000-0000AD2B0000}"/>
    <cellStyle name="Standard 4 2 10 2" xfId="11008" xr:uid="{00000000-0005-0000-0000-0000AE2B0000}"/>
    <cellStyle name="Standard 4 2 10 2 2" xfId="11009" xr:uid="{00000000-0005-0000-0000-0000AF2B0000}"/>
    <cellStyle name="Standard 4 2 10 2 2 2" xfId="11010" xr:uid="{00000000-0005-0000-0000-0000B02B0000}"/>
    <cellStyle name="Standard 4 2 10 2 2 2 2" xfId="11011" xr:uid="{00000000-0005-0000-0000-0000B12B0000}"/>
    <cellStyle name="Standard 4 2 10 2 2 2 3" xfId="11012" xr:uid="{00000000-0005-0000-0000-0000B22B0000}"/>
    <cellStyle name="Standard 4 2 10 2 2 3" xfId="11013" xr:uid="{00000000-0005-0000-0000-0000B32B0000}"/>
    <cellStyle name="Standard 4 2 10 2 2 3 2" xfId="11014" xr:uid="{00000000-0005-0000-0000-0000B42B0000}"/>
    <cellStyle name="Standard 4 2 10 2 2 3 3" xfId="11015" xr:uid="{00000000-0005-0000-0000-0000B52B0000}"/>
    <cellStyle name="Standard 4 2 10 2 2 4" xfId="11016" xr:uid="{00000000-0005-0000-0000-0000B62B0000}"/>
    <cellStyle name="Standard 4 2 10 2 2 4 2" xfId="11017" xr:uid="{00000000-0005-0000-0000-0000B72B0000}"/>
    <cellStyle name="Standard 4 2 10 2 2 5" xfId="11018" xr:uid="{00000000-0005-0000-0000-0000B82B0000}"/>
    <cellStyle name="Standard 4 2 10 2 2 6" xfId="11019" xr:uid="{00000000-0005-0000-0000-0000B92B0000}"/>
    <cellStyle name="Standard 4 2 10 2 3" xfId="11020" xr:uid="{00000000-0005-0000-0000-0000BA2B0000}"/>
    <cellStyle name="Standard 4 2 10 2 3 2" xfId="11021" xr:uid="{00000000-0005-0000-0000-0000BB2B0000}"/>
    <cellStyle name="Standard 4 2 10 2 3 3" xfId="11022" xr:uid="{00000000-0005-0000-0000-0000BC2B0000}"/>
    <cellStyle name="Standard 4 2 10 2 4" xfId="11023" xr:uid="{00000000-0005-0000-0000-0000BD2B0000}"/>
    <cellStyle name="Standard 4 2 10 2 4 2" xfId="11024" xr:uid="{00000000-0005-0000-0000-0000BE2B0000}"/>
    <cellStyle name="Standard 4 2 10 2 4 3" xfId="11025" xr:uid="{00000000-0005-0000-0000-0000BF2B0000}"/>
    <cellStyle name="Standard 4 2 10 2 5" xfId="11026" xr:uid="{00000000-0005-0000-0000-0000C02B0000}"/>
    <cellStyle name="Standard 4 2 10 2 5 2" xfId="11027" xr:uid="{00000000-0005-0000-0000-0000C12B0000}"/>
    <cellStyle name="Standard 4 2 10 2 6" xfId="11028" xr:uid="{00000000-0005-0000-0000-0000C22B0000}"/>
    <cellStyle name="Standard 4 2 10 2 7" xfId="11029" xr:uid="{00000000-0005-0000-0000-0000C32B0000}"/>
    <cellStyle name="Standard 4 2 10 3" xfId="11030" xr:uid="{00000000-0005-0000-0000-0000C42B0000}"/>
    <cellStyle name="Standard 4 2 10 3 2" xfId="11031" xr:uid="{00000000-0005-0000-0000-0000C52B0000}"/>
    <cellStyle name="Standard 4 2 10 3 2 2" xfId="11032" xr:uid="{00000000-0005-0000-0000-0000C62B0000}"/>
    <cellStyle name="Standard 4 2 10 3 2 3" xfId="11033" xr:uid="{00000000-0005-0000-0000-0000C72B0000}"/>
    <cellStyle name="Standard 4 2 10 3 3" xfId="11034" xr:uid="{00000000-0005-0000-0000-0000C82B0000}"/>
    <cellStyle name="Standard 4 2 10 3 3 2" xfId="11035" xr:uid="{00000000-0005-0000-0000-0000C92B0000}"/>
    <cellStyle name="Standard 4 2 10 3 3 3" xfId="11036" xr:uid="{00000000-0005-0000-0000-0000CA2B0000}"/>
    <cellStyle name="Standard 4 2 10 3 4" xfId="11037" xr:uid="{00000000-0005-0000-0000-0000CB2B0000}"/>
    <cellStyle name="Standard 4 2 10 3 4 2" xfId="11038" xr:uid="{00000000-0005-0000-0000-0000CC2B0000}"/>
    <cellStyle name="Standard 4 2 10 3 5" xfId="11039" xr:uid="{00000000-0005-0000-0000-0000CD2B0000}"/>
    <cellStyle name="Standard 4 2 10 3 6" xfId="11040" xr:uid="{00000000-0005-0000-0000-0000CE2B0000}"/>
    <cellStyle name="Standard 4 2 10 4" xfId="11041" xr:uid="{00000000-0005-0000-0000-0000CF2B0000}"/>
    <cellStyle name="Standard 4 2 10 4 2" xfId="11042" xr:uid="{00000000-0005-0000-0000-0000D02B0000}"/>
    <cellStyle name="Standard 4 2 10 4 3" xfId="11043" xr:uid="{00000000-0005-0000-0000-0000D12B0000}"/>
    <cellStyle name="Standard 4 2 10 5" xfId="11044" xr:uid="{00000000-0005-0000-0000-0000D22B0000}"/>
    <cellStyle name="Standard 4 2 10 5 2" xfId="11045" xr:uid="{00000000-0005-0000-0000-0000D32B0000}"/>
    <cellStyle name="Standard 4 2 10 5 3" xfId="11046" xr:uid="{00000000-0005-0000-0000-0000D42B0000}"/>
    <cellStyle name="Standard 4 2 10 6" xfId="11047" xr:uid="{00000000-0005-0000-0000-0000D52B0000}"/>
    <cellStyle name="Standard 4 2 10 6 2" xfId="11048" xr:uid="{00000000-0005-0000-0000-0000D62B0000}"/>
    <cellStyle name="Standard 4 2 10 7" xfId="11049" xr:uid="{00000000-0005-0000-0000-0000D72B0000}"/>
    <cellStyle name="Standard 4 2 10 8" xfId="11050" xr:uid="{00000000-0005-0000-0000-0000D82B0000}"/>
    <cellStyle name="Standard 4 2 11" xfId="11051" xr:uid="{00000000-0005-0000-0000-0000D92B0000}"/>
    <cellStyle name="Standard 4 2 11 2" xfId="11052" xr:uid="{00000000-0005-0000-0000-0000DA2B0000}"/>
    <cellStyle name="Standard 4 2 11 2 2" xfId="11053" xr:uid="{00000000-0005-0000-0000-0000DB2B0000}"/>
    <cellStyle name="Standard 4 2 11 2 2 2" xfId="11054" xr:uid="{00000000-0005-0000-0000-0000DC2B0000}"/>
    <cellStyle name="Standard 4 2 11 2 2 3" xfId="11055" xr:uid="{00000000-0005-0000-0000-0000DD2B0000}"/>
    <cellStyle name="Standard 4 2 11 2 3" xfId="11056" xr:uid="{00000000-0005-0000-0000-0000DE2B0000}"/>
    <cellStyle name="Standard 4 2 11 2 3 2" xfId="11057" xr:uid="{00000000-0005-0000-0000-0000DF2B0000}"/>
    <cellStyle name="Standard 4 2 11 2 3 3" xfId="11058" xr:uid="{00000000-0005-0000-0000-0000E02B0000}"/>
    <cellStyle name="Standard 4 2 11 2 4" xfId="11059" xr:uid="{00000000-0005-0000-0000-0000E12B0000}"/>
    <cellStyle name="Standard 4 2 11 2 4 2" xfId="11060" xr:uid="{00000000-0005-0000-0000-0000E22B0000}"/>
    <cellStyle name="Standard 4 2 11 2 5" xfId="11061" xr:uid="{00000000-0005-0000-0000-0000E32B0000}"/>
    <cellStyle name="Standard 4 2 11 2 6" xfId="11062" xr:uid="{00000000-0005-0000-0000-0000E42B0000}"/>
    <cellStyle name="Standard 4 2 11 3" xfId="11063" xr:uid="{00000000-0005-0000-0000-0000E52B0000}"/>
    <cellStyle name="Standard 4 2 11 3 2" xfId="11064" xr:uid="{00000000-0005-0000-0000-0000E62B0000}"/>
    <cellStyle name="Standard 4 2 11 3 3" xfId="11065" xr:uid="{00000000-0005-0000-0000-0000E72B0000}"/>
    <cellStyle name="Standard 4 2 11 4" xfId="11066" xr:uid="{00000000-0005-0000-0000-0000E82B0000}"/>
    <cellStyle name="Standard 4 2 11 4 2" xfId="11067" xr:uid="{00000000-0005-0000-0000-0000E92B0000}"/>
    <cellStyle name="Standard 4 2 11 4 3" xfId="11068" xr:uid="{00000000-0005-0000-0000-0000EA2B0000}"/>
    <cellStyle name="Standard 4 2 11 5" xfId="11069" xr:uid="{00000000-0005-0000-0000-0000EB2B0000}"/>
    <cellStyle name="Standard 4 2 11 5 2" xfId="11070" xr:uid="{00000000-0005-0000-0000-0000EC2B0000}"/>
    <cellStyle name="Standard 4 2 11 6" xfId="11071" xr:uid="{00000000-0005-0000-0000-0000ED2B0000}"/>
    <cellStyle name="Standard 4 2 11 7" xfId="11072" xr:uid="{00000000-0005-0000-0000-0000EE2B0000}"/>
    <cellStyle name="Standard 4 2 12" xfId="11073" xr:uid="{00000000-0005-0000-0000-0000EF2B0000}"/>
    <cellStyle name="Standard 4 2 12 2" xfId="11074" xr:uid="{00000000-0005-0000-0000-0000F02B0000}"/>
    <cellStyle name="Standard 4 2 12 2 2" xfId="11075" xr:uid="{00000000-0005-0000-0000-0000F12B0000}"/>
    <cellStyle name="Standard 4 2 12 2 3" xfId="11076" xr:uid="{00000000-0005-0000-0000-0000F22B0000}"/>
    <cellStyle name="Standard 4 2 12 3" xfId="11077" xr:uid="{00000000-0005-0000-0000-0000F32B0000}"/>
    <cellStyle name="Standard 4 2 12 3 2" xfId="11078" xr:uid="{00000000-0005-0000-0000-0000F42B0000}"/>
    <cellStyle name="Standard 4 2 12 3 3" xfId="11079" xr:uid="{00000000-0005-0000-0000-0000F52B0000}"/>
    <cellStyle name="Standard 4 2 12 4" xfId="11080" xr:uid="{00000000-0005-0000-0000-0000F62B0000}"/>
    <cellStyle name="Standard 4 2 12 4 2" xfId="11081" xr:uid="{00000000-0005-0000-0000-0000F72B0000}"/>
    <cellStyle name="Standard 4 2 12 5" xfId="11082" xr:uid="{00000000-0005-0000-0000-0000F82B0000}"/>
    <cellStyle name="Standard 4 2 12 6" xfId="11083" xr:uid="{00000000-0005-0000-0000-0000F92B0000}"/>
    <cellStyle name="Standard 4 2 13" xfId="11084" xr:uid="{00000000-0005-0000-0000-0000FA2B0000}"/>
    <cellStyle name="Standard 4 2 13 2" xfId="11085" xr:uid="{00000000-0005-0000-0000-0000FB2B0000}"/>
    <cellStyle name="Standard 4 2 13 3" xfId="11086" xr:uid="{00000000-0005-0000-0000-0000FC2B0000}"/>
    <cellStyle name="Standard 4 2 14" xfId="11087" xr:uid="{00000000-0005-0000-0000-0000FD2B0000}"/>
    <cellStyle name="Standard 4 2 14 2" xfId="11088" xr:uid="{00000000-0005-0000-0000-0000FE2B0000}"/>
    <cellStyle name="Standard 4 2 14 3" xfId="11089" xr:uid="{00000000-0005-0000-0000-0000FF2B0000}"/>
    <cellStyle name="Standard 4 2 15" xfId="11090" xr:uid="{00000000-0005-0000-0000-0000002C0000}"/>
    <cellStyle name="Standard 4 2 15 2" xfId="11091" xr:uid="{00000000-0005-0000-0000-0000012C0000}"/>
    <cellStyle name="Standard 4 2 16" xfId="11092" xr:uid="{00000000-0005-0000-0000-0000022C0000}"/>
    <cellStyle name="Standard 4 2 17" xfId="11093" xr:uid="{00000000-0005-0000-0000-0000032C0000}"/>
    <cellStyle name="Standard 4 2 2" xfId="585" xr:uid="{00000000-0005-0000-0000-0000042C0000}"/>
    <cellStyle name="Standard 4 2 2 10" xfId="11094" xr:uid="{00000000-0005-0000-0000-0000052C0000}"/>
    <cellStyle name="Standard 4 2 2 10 2" xfId="11095" xr:uid="{00000000-0005-0000-0000-0000062C0000}"/>
    <cellStyle name="Standard 4 2 2 10 2 2" xfId="11096" xr:uid="{00000000-0005-0000-0000-0000072C0000}"/>
    <cellStyle name="Standard 4 2 2 10 2 2 2" xfId="11097" xr:uid="{00000000-0005-0000-0000-0000082C0000}"/>
    <cellStyle name="Standard 4 2 2 10 2 2 3" xfId="11098" xr:uid="{00000000-0005-0000-0000-0000092C0000}"/>
    <cellStyle name="Standard 4 2 2 10 2 3" xfId="11099" xr:uid="{00000000-0005-0000-0000-00000A2C0000}"/>
    <cellStyle name="Standard 4 2 2 10 2 3 2" xfId="11100" xr:uid="{00000000-0005-0000-0000-00000B2C0000}"/>
    <cellStyle name="Standard 4 2 2 10 2 3 3" xfId="11101" xr:uid="{00000000-0005-0000-0000-00000C2C0000}"/>
    <cellStyle name="Standard 4 2 2 10 2 4" xfId="11102" xr:uid="{00000000-0005-0000-0000-00000D2C0000}"/>
    <cellStyle name="Standard 4 2 2 10 2 4 2" xfId="11103" xr:uid="{00000000-0005-0000-0000-00000E2C0000}"/>
    <cellStyle name="Standard 4 2 2 10 2 5" xfId="11104" xr:uid="{00000000-0005-0000-0000-00000F2C0000}"/>
    <cellStyle name="Standard 4 2 2 10 2 6" xfId="11105" xr:uid="{00000000-0005-0000-0000-0000102C0000}"/>
    <cellStyle name="Standard 4 2 2 10 3" xfId="11106" xr:uid="{00000000-0005-0000-0000-0000112C0000}"/>
    <cellStyle name="Standard 4 2 2 10 3 2" xfId="11107" xr:uid="{00000000-0005-0000-0000-0000122C0000}"/>
    <cellStyle name="Standard 4 2 2 10 3 3" xfId="11108" xr:uid="{00000000-0005-0000-0000-0000132C0000}"/>
    <cellStyle name="Standard 4 2 2 10 4" xfId="11109" xr:uid="{00000000-0005-0000-0000-0000142C0000}"/>
    <cellStyle name="Standard 4 2 2 10 4 2" xfId="11110" xr:uid="{00000000-0005-0000-0000-0000152C0000}"/>
    <cellStyle name="Standard 4 2 2 10 4 3" xfId="11111" xr:uid="{00000000-0005-0000-0000-0000162C0000}"/>
    <cellStyle name="Standard 4 2 2 10 5" xfId="11112" xr:uid="{00000000-0005-0000-0000-0000172C0000}"/>
    <cellStyle name="Standard 4 2 2 10 5 2" xfId="11113" xr:uid="{00000000-0005-0000-0000-0000182C0000}"/>
    <cellStyle name="Standard 4 2 2 10 6" xfId="11114" xr:uid="{00000000-0005-0000-0000-0000192C0000}"/>
    <cellStyle name="Standard 4 2 2 10 7" xfId="11115" xr:uid="{00000000-0005-0000-0000-00001A2C0000}"/>
    <cellStyle name="Standard 4 2 2 11" xfId="11116" xr:uid="{00000000-0005-0000-0000-00001B2C0000}"/>
    <cellStyle name="Standard 4 2 2 11 2" xfId="11117" xr:uid="{00000000-0005-0000-0000-00001C2C0000}"/>
    <cellStyle name="Standard 4 2 2 11 2 2" xfId="11118" xr:uid="{00000000-0005-0000-0000-00001D2C0000}"/>
    <cellStyle name="Standard 4 2 2 11 2 3" xfId="11119" xr:uid="{00000000-0005-0000-0000-00001E2C0000}"/>
    <cellStyle name="Standard 4 2 2 11 3" xfId="11120" xr:uid="{00000000-0005-0000-0000-00001F2C0000}"/>
    <cellStyle name="Standard 4 2 2 11 3 2" xfId="11121" xr:uid="{00000000-0005-0000-0000-0000202C0000}"/>
    <cellStyle name="Standard 4 2 2 11 3 3" xfId="11122" xr:uid="{00000000-0005-0000-0000-0000212C0000}"/>
    <cellStyle name="Standard 4 2 2 11 4" xfId="11123" xr:uid="{00000000-0005-0000-0000-0000222C0000}"/>
    <cellStyle name="Standard 4 2 2 11 4 2" xfId="11124" xr:uid="{00000000-0005-0000-0000-0000232C0000}"/>
    <cellStyle name="Standard 4 2 2 11 5" xfId="11125" xr:uid="{00000000-0005-0000-0000-0000242C0000}"/>
    <cellStyle name="Standard 4 2 2 11 6" xfId="11126" xr:uid="{00000000-0005-0000-0000-0000252C0000}"/>
    <cellStyle name="Standard 4 2 2 12" xfId="11127" xr:uid="{00000000-0005-0000-0000-0000262C0000}"/>
    <cellStyle name="Standard 4 2 2 12 2" xfId="11128" xr:uid="{00000000-0005-0000-0000-0000272C0000}"/>
    <cellStyle name="Standard 4 2 2 12 3" xfId="11129" xr:uid="{00000000-0005-0000-0000-0000282C0000}"/>
    <cellStyle name="Standard 4 2 2 13" xfId="11130" xr:uid="{00000000-0005-0000-0000-0000292C0000}"/>
    <cellStyle name="Standard 4 2 2 13 2" xfId="11131" xr:uid="{00000000-0005-0000-0000-00002A2C0000}"/>
    <cellStyle name="Standard 4 2 2 13 3" xfId="11132" xr:uid="{00000000-0005-0000-0000-00002B2C0000}"/>
    <cellStyle name="Standard 4 2 2 14" xfId="11133" xr:uid="{00000000-0005-0000-0000-00002C2C0000}"/>
    <cellStyle name="Standard 4 2 2 14 2" xfId="11134" xr:uid="{00000000-0005-0000-0000-00002D2C0000}"/>
    <cellStyle name="Standard 4 2 2 15" xfId="11135" xr:uid="{00000000-0005-0000-0000-00002E2C0000}"/>
    <cellStyle name="Standard 4 2 2 16" xfId="11136" xr:uid="{00000000-0005-0000-0000-00002F2C0000}"/>
    <cellStyle name="Standard 4 2 2 17" xfId="33455" xr:uid="{00000000-0005-0000-0000-0000302C0000}"/>
    <cellStyle name="Standard 4 2 2 2" xfId="11137" xr:uid="{00000000-0005-0000-0000-0000312C0000}"/>
    <cellStyle name="Standard 4 2 2 2 10" xfId="11138" xr:uid="{00000000-0005-0000-0000-0000322C0000}"/>
    <cellStyle name="Standard 4 2 2 2 10 2" xfId="11139" xr:uid="{00000000-0005-0000-0000-0000332C0000}"/>
    <cellStyle name="Standard 4 2 2 2 10 3" xfId="11140" xr:uid="{00000000-0005-0000-0000-0000342C0000}"/>
    <cellStyle name="Standard 4 2 2 2 11" xfId="11141" xr:uid="{00000000-0005-0000-0000-0000352C0000}"/>
    <cellStyle name="Standard 4 2 2 2 11 2" xfId="11142" xr:uid="{00000000-0005-0000-0000-0000362C0000}"/>
    <cellStyle name="Standard 4 2 2 2 11 3" xfId="11143" xr:uid="{00000000-0005-0000-0000-0000372C0000}"/>
    <cellStyle name="Standard 4 2 2 2 12" xfId="11144" xr:uid="{00000000-0005-0000-0000-0000382C0000}"/>
    <cellStyle name="Standard 4 2 2 2 12 2" xfId="11145" xr:uid="{00000000-0005-0000-0000-0000392C0000}"/>
    <cellStyle name="Standard 4 2 2 2 13" xfId="11146" xr:uid="{00000000-0005-0000-0000-00003A2C0000}"/>
    <cellStyle name="Standard 4 2 2 2 14" xfId="11147" xr:uid="{00000000-0005-0000-0000-00003B2C0000}"/>
    <cellStyle name="Standard 4 2 2 2 15" xfId="33456" xr:uid="{00000000-0005-0000-0000-00003C2C0000}"/>
    <cellStyle name="Standard 4 2 2 2 2" xfId="11148" xr:uid="{00000000-0005-0000-0000-00003D2C0000}"/>
    <cellStyle name="Standard 4 2 2 2 2 10" xfId="11149" xr:uid="{00000000-0005-0000-0000-00003E2C0000}"/>
    <cellStyle name="Standard 4 2 2 2 2 10 2" xfId="11150" xr:uid="{00000000-0005-0000-0000-00003F2C0000}"/>
    <cellStyle name="Standard 4 2 2 2 2 11" xfId="11151" xr:uid="{00000000-0005-0000-0000-0000402C0000}"/>
    <cellStyle name="Standard 4 2 2 2 2 12" xfId="11152" xr:uid="{00000000-0005-0000-0000-0000412C0000}"/>
    <cellStyle name="Standard 4 2 2 2 2 13" xfId="33457" xr:uid="{00000000-0005-0000-0000-0000422C0000}"/>
    <cellStyle name="Standard 4 2 2 2 2 2" xfId="11153" xr:uid="{00000000-0005-0000-0000-0000432C0000}"/>
    <cellStyle name="Standard 4 2 2 2 2 2 10" xfId="11154" xr:uid="{00000000-0005-0000-0000-0000442C0000}"/>
    <cellStyle name="Standard 4 2 2 2 2 2 11" xfId="11155" xr:uid="{00000000-0005-0000-0000-0000452C0000}"/>
    <cellStyle name="Standard 4 2 2 2 2 2 2" xfId="11156" xr:uid="{00000000-0005-0000-0000-0000462C0000}"/>
    <cellStyle name="Standard 4 2 2 2 2 2 2 10" xfId="11157" xr:uid="{00000000-0005-0000-0000-0000472C0000}"/>
    <cellStyle name="Standard 4 2 2 2 2 2 2 2" xfId="11158" xr:uid="{00000000-0005-0000-0000-0000482C0000}"/>
    <cellStyle name="Standard 4 2 2 2 2 2 2 2 2" xfId="11159" xr:uid="{00000000-0005-0000-0000-0000492C0000}"/>
    <cellStyle name="Standard 4 2 2 2 2 2 2 2 2 2" xfId="11160" xr:uid="{00000000-0005-0000-0000-00004A2C0000}"/>
    <cellStyle name="Standard 4 2 2 2 2 2 2 2 2 2 2" xfId="11161" xr:uid="{00000000-0005-0000-0000-00004B2C0000}"/>
    <cellStyle name="Standard 4 2 2 2 2 2 2 2 2 2 2 2" xfId="11162" xr:uid="{00000000-0005-0000-0000-00004C2C0000}"/>
    <cellStyle name="Standard 4 2 2 2 2 2 2 2 2 2 2 3" xfId="11163" xr:uid="{00000000-0005-0000-0000-00004D2C0000}"/>
    <cellStyle name="Standard 4 2 2 2 2 2 2 2 2 2 3" xfId="11164" xr:uid="{00000000-0005-0000-0000-00004E2C0000}"/>
    <cellStyle name="Standard 4 2 2 2 2 2 2 2 2 2 3 2" xfId="11165" xr:uid="{00000000-0005-0000-0000-00004F2C0000}"/>
    <cellStyle name="Standard 4 2 2 2 2 2 2 2 2 2 3 3" xfId="11166" xr:uid="{00000000-0005-0000-0000-0000502C0000}"/>
    <cellStyle name="Standard 4 2 2 2 2 2 2 2 2 2 4" xfId="11167" xr:uid="{00000000-0005-0000-0000-0000512C0000}"/>
    <cellStyle name="Standard 4 2 2 2 2 2 2 2 2 2 4 2" xfId="11168" xr:uid="{00000000-0005-0000-0000-0000522C0000}"/>
    <cellStyle name="Standard 4 2 2 2 2 2 2 2 2 2 5" xfId="11169" xr:uid="{00000000-0005-0000-0000-0000532C0000}"/>
    <cellStyle name="Standard 4 2 2 2 2 2 2 2 2 2 6" xfId="11170" xr:uid="{00000000-0005-0000-0000-0000542C0000}"/>
    <cellStyle name="Standard 4 2 2 2 2 2 2 2 2 3" xfId="11171" xr:uid="{00000000-0005-0000-0000-0000552C0000}"/>
    <cellStyle name="Standard 4 2 2 2 2 2 2 2 2 3 2" xfId="11172" xr:uid="{00000000-0005-0000-0000-0000562C0000}"/>
    <cellStyle name="Standard 4 2 2 2 2 2 2 2 2 3 3" xfId="11173" xr:uid="{00000000-0005-0000-0000-0000572C0000}"/>
    <cellStyle name="Standard 4 2 2 2 2 2 2 2 2 4" xfId="11174" xr:uid="{00000000-0005-0000-0000-0000582C0000}"/>
    <cellStyle name="Standard 4 2 2 2 2 2 2 2 2 4 2" xfId="11175" xr:uid="{00000000-0005-0000-0000-0000592C0000}"/>
    <cellStyle name="Standard 4 2 2 2 2 2 2 2 2 4 3" xfId="11176" xr:uid="{00000000-0005-0000-0000-00005A2C0000}"/>
    <cellStyle name="Standard 4 2 2 2 2 2 2 2 2 5" xfId="11177" xr:uid="{00000000-0005-0000-0000-00005B2C0000}"/>
    <cellStyle name="Standard 4 2 2 2 2 2 2 2 2 5 2" xfId="11178" xr:uid="{00000000-0005-0000-0000-00005C2C0000}"/>
    <cellStyle name="Standard 4 2 2 2 2 2 2 2 2 6" xfId="11179" xr:uid="{00000000-0005-0000-0000-00005D2C0000}"/>
    <cellStyle name="Standard 4 2 2 2 2 2 2 2 2 7" xfId="11180" xr:uid="{00000000-0005-0000-0000-00005E2C0000}"/>
    <cellStyle name="Standard 4 2 2 2 2 2 2 2 3" xfId="11181" xr:uid="{00000000-0005-0000-0000-00005F2C0000}"/>
    <cellStyle name="Standard 4 2 2 2 2 2 2 2 3 2" xfId="11182" xr:uid="{00000000-0005-0000-0000-0000602C0000}"/>
    <cellStyle name="Standard 4 2 2 2 2 2 2 2 3 2 2" xfId="11183" xr:uid="{00000000-0005-0000-0000-0000612C0000}"/>
    <cellStyle name="Standard 4 2 2 2 2 2 2 2 3 2 3" xfId="11184" xr:uid="{00000000-0005-0000-0000-0000622C0000}"/>
    <cellStyle name="Standard 4 2 2 2 2 2 2 2 3 3" xfId="11185" xr:uid="{00000000-0005-0000-0000-0000632C0000}"/>
    <cellStyle name="Standard 4 2 2 2 2 2 2 2 3 3 2" xfId="11186" xr:uid="{00000000-0005-0000-0000-0000642C0000}"/>
    <cellStyle name="Standard 4 2 2 2 2 2 2 2 3 3 3" xfId="11187" xr:uid="{00000000-0005-0000-0000-0000652C0000}"/>
    <cellStyle name="Standard 4 2 2 2 2 2 2 2 3 4" xfId="11188" xr:uid="{00000000-0005-0000-0000-0000662C0000}"/>
    <cellStyle name="Standard 4 2 2 2 2 2 2 2 3 4 2" xfId="11189" xr:uid="{00000000-0005-0000-0000-0000672C0000}"/>
    <cellStyle name="Standard 4 2 2 2 2 2 2 2 3 5" xfId="11190" xr:uid="{00000000-0005-0000-0000-0000682C0000}"/>
    <cellStyle name="Standard 4 2 2 2 2 2 2 2 3 6" xfId="11191" xr:uid="{00000000-0005-0000-0000-0000692C0000}"/>
    <cellStyle name="Standard 4 2 2 2 2 2 2 2 4" xfId="11192" xr:uid="{00000000-0005-0000-0000-00006A2C0000}"/>
    <cellStyle name="Standard 4 2 2 2 2 2 2 2 4 2" xfId="11193" xr:uid="{00000000-0005-0000-0000-00006B2C0000}"/>
    <cellStyle name="Standard 4 2 2 2 2 2 2 2 4 3" xfId="11194" xr:uid="{00000000-0005-0000-0000-00006C2C0000}"/>
    <cellStyle name="Standard 4 2 2 2 2 2 2 2 5" xfId="11195" xr:uid="{00000000-0005-0000-0000-00006D2C0000}"/>
    <cellStyle name="Standard 4 2 2 2 2 2 2 2 5 2" xfId="11196" xr:uid="{00000000-0005-0000-0000-00006E2C0000}"/>
    <cellStyle name="Standard 4 2 2 2 2 2 2 2 5 3" xfId="11197" xr:uid="{00000000-0005-0000-0000-00006F2C0000}"/>
    <cellStyle name="Standard 4 2 2 2 2 2 2 2 6" xfId="11198" xr:uid="{00000000-0005-0000-0000-0000702C0000}"/>
    <cellStyle name="Standard 4 2 2 2 2 2 2 2 6 2" xfId="11199" xr:uid="{00000000-0005-0000-0000-0000712C0000}"/>
    <cellStyle name="Standard 4 2 2 2 2 2 2 2 7" xfId="11200" xr:uid="{00000000-0005-0000-0000-0000722C0000}"/>
    <cellStyle name="Standard 4 2 2 2 2 2 2 2 8" xfId="11201" xr:uid="{00000000-0005-0000-0000-0000732C0000}"/>
    <cellStyle name="Standard 4 2 2 2 2 2 2 3" xfId="11202" xr:uid="{00000000-0005-0000-0000-0000742C0000}"/>
    <cellStyle name="Standard 4 2 2 2 2 2 2 3 2" xfId="11203" xr:uid="{00000000-0005-0000-0000-0000752C0000}"/>
    <cellStyle name="Standard 4 2 2 2 2 2 2 3 2 2" xfId="11204" xr:uid="{00000000-0005-0000-0000-0000762C0000}"/>
    <cellStyle name="Standard 4 2 2 2 2 2 2 3 2 2 2" xfId="11205" xr:uid="{00000000-0005-0000-0000-0000772C0000}"/>
    <cellStyle name="Standard 4 2 2 2 2 2 2 3 2 2 2 2" xfId="11206" xr:uid="{00000000-0005-0000-0000-0000782C0000}"/>
    <cellStyle name="Standard 4 2 2 2 2 2 2 3 2 2 2 3" xfId="11207" xr:uid="{00000000-0005-0000-0000-0000792C0000}"/>
    <cellStyle name="Standard 4 2 2 2 2 2 2 3 2 2 3" xfId="11208" xr:uid="{00000000-0005-0000-0000-00007A2C0000}"/>
    <cellStyle name="Standard 4 2 2 2 2 2 2 3 2 2 3 2" xfId="11209" xr:uid="{00000000-0005-0000-0000-00007B2C0000}"/>
    <cellStyle name="Standard 4 2 2 2 2 2 2 3 2 2 3 3" xfId="11210" xr:uid="{00000000-0005-0000-0000-00007C2C0000}"/>
    <cellStyle name="Standard 4 2 2 2 2 2 2 3 2 2 4" xfId="11211" xr:uid="{00000000-0005-0000-0000-00007D2C0000}"/>
    <cellStyle name="Standard 4 2 2 2 2 2 2 3 2 2 4 2" xfId="11212" xr:uid="{00000000-0005-0000-0000-00007E2C0000}"/>
    <cellStyle name="Standard 4 2 2 2 2 2 2 3 2 2 5" xfId="11213" xr:uid="{00000000-0005-0000-0000-00007F2C0000}"/>
    <cellStyle name="Standard 4 2 2 2 2 2 2 3 2 2 6" xfId="11214" xr:uid="{00000000-0005-0000-0000-0000802C0000}"/>
    <cellStyle name="Standard 4 2 2 2 2 2 2 3 2 3" xfId="11215" xr:uid="{00000000-0005-0000-0000-0000812C0000}"/>
    <cellStyle name="Standard 4 2 2 2 2 2 2 3 2 3 2" xfId="11216" xr:uid="{00000000-0005-0000-0000-0000822C0000}"/>
    <cellStyle name="Standard 4 2 2 2 2 2 2 3 2 3 3" xfId="11217" xr:uid="{00000000-0005-0000-0000-0000832C0000}"/>
    <cellStyle name="Standard 4 2 2 2 2 2 2 3 2 4" xfId="11218" xr:uid="{00000000-0005-0000-0000-0000842C0000}"/>
    <cellStyle name="Standard 4 2 2 2 2 2 2 3 2 4 2" xfId="11219" xr:uid="{00000000-0005-0000-0000-0000852C0000}"/>
    <cellStyle name="Standard 4 2 2 2 2 2 2 3 2 4 3" xfId="11220" xr:uid="{00000000-0005-0000-0000-0000862C0000}"/>
    <cellStyle name="Standard 4 2 2 2 2 2 2 3 2 5" xfId="11221" xr:uid="{00000000-0005-0000-0000-0000872C0000}"/>
    <cellStyle name="Standard 4 2 2 2 2 2 2 3 2 5 2" xfId="11222" xr:uid="{00000000-0005-0000-0000-0000882C0000}"/>
    <cellStyle name="Standard 4 2 2 2 2 2 2 3 2 6" xfId="11223" xr:uid="{00000000-0005-0000-0000-0000892C0000}"/>
    <cellStyle name="Standard 4 2 2 2 2 2 2 3 2 7" xfId="11224" xr:uid="{00000000-0005-0000-0000-00008A2C0000}"/>
    <cellStyle name="Standard 4 2 2 2 2 2 2 3 3" xfId="11225" xr:uid="{00000000-0005-0000-0000-00008B2C0000}"/>
    <cellStyle name="Standard 4 2 2 2 2 2 2 3 3 2" xfId="11226" xr:uid="{00000000-0005-0000-0000-00008C2C0000}"/>
    <cellStyle name="Standard 4 2 2 2 2 2 2 3 3 2 2" xfId="11227" xr:uid="{00000000-0005-0000-0000-00008D2C0000}"/>
    <cellStyle name="Standard 4 2 2 2 2 2 2 3 3 2 3" xfId="11228" xr:uid="{00000000-0005-0000-0000-00008E2C0000}"/>
    <cellStyle name="Standard 4 2 2 2 2 2 2 3 3 3" xfId="11229" xr:uid="{00000000-0005-0000-0000-00008F2C0000}"/>
    <cellStyle name="Standard 4 2 2 2 2 2 2 3 3 3 2" xfId="11230" xr:uid="{00000000-0005-0000-0000-0000902C0000}"/>
    <cellStyle name="Standard 4 2 2 2 2 2 2 3 3 3 3" xfId="11231" xr:uid="{00000000-0005-0000-0000-0000912C0000}"/>
    <cellStyle name="Standard 4 2 2 2 2 2 2 3 3 4" xfId="11232" xr:uid="{00000000-0005-0000-0000-0000922C0000}"/>
    <cellStyle name="Standard 4 2 2 2 2 2 2 3 3 4 2" xfId="11233" xr:uid="{00000000-0005-0000-0000-0000932C0000}"/>
    <cellStyle name="Standard 4 2 2 2 2 2 2 3 3 5" xfId="11234" xr:uid="{00000000-0005-0000-0000-0000942C0000}"/>
    <cellStyle name="Standard 4 2 2 2 2 2 2 3 3 6" xfId="11235" xr:uid="{00000000-0005-0000-0000-0000952C0000}"/>
    <cellStyle name="Standard 4 2 2 2 2 2 2 3 4" xfId="11236" xr:uid="{00000000-0005-0000-0000-0000962C0000}"/>
    <cellStyle name="Standard 4 2 2 2 2 2 2 3 4 2" xfId="11237" xr:uid="{00000000-0005-0000-0000-0000972C0000}"/>
    <cellStyle name="Standard 4 2 2 2 2 2 2 3 4 3" xfId="11238" xr:uid="{00000000-0005-0000-0000-0000982C0000}"/>
    <cellStyle name="Standard 4 2 2 2 2 2 2 3 5" xfId="11239" xr:uid="{00000000-0005-0000-0000-0000992C0000}"/>
    <cellStyle name="Standard 4 2 2 2 2 2 2 3 5 2" xfId="11240" xr:uid="{00000000-0005-0000-0000-00009A2C0000}"/>
    <cellStyle name="Standard 4 2 2 2 2 2 2 3 5 3" xfId="11241" xr:uid="{00000000-0005-0000-0000-00009B2C0000}"/>
    <cellStyle name="Standard 4 2 2 2 2 2 2 3 6" xfId="11242" xr:uid="{00000000-0005-0000-0000-00009C2C0000}"/>
    <cellStyle name="Standard 4 2 2 2 2 2 2 3 6 2" xfId="11243" xr:uid="{00000000-0005-0000-0000-00009D2C0000}"/>
    <cellStyle name="Standard 4 2 2 2 2 2 2 3 7" xfId="11244" xr:uid="{00000000-0005-0000-0000-00009E2C0000}"/>
    <cellStyle name="Standard 4 2 2 2 2 2 2 3 8" xfId="11245" xr:uid="{00000000-0005-0000-0000-00009F2C0000}"/>
    <cellStyle name="Standard 4 2 2 2 2 2 2 4" xfId="11246" xr:uid="{00000000-0005-0000-0000-0000A02C0000}"/>
    <cellStyle name="Standard 4 2 2 2 2 2 2 4 2" xfId="11247" xr:uid="{00000000-0005-0000-0000-0000A12C0000}"/>
    <cellStyle name="Standard 4 2 2 2 2 2 2 4 2 2" xfId="11248" xr:uid="{00000000-0005-0000-0000-0000A22C0000}"/>
    <cellStyle name="Standard 4 2 2 2 2 2 2 4 2 2 2" xfId="11249" xr:uid="{00000000-0005-0000-0000-0000A32C0000}"/>
    <cellStyle name="Standard 4 2 2 2 2 2 2 4 2 2 3" xfId="11250" xr:uid="{00000000-0005-0000-0000-0000A42C0000}"/>
    <cellStyle name="Standard 4 2 2 2 2 2 2 4 2 3" xfId="11251" xr:uid="{00000000-0005-0000-0000-0000A52C0000}"/>
    <cellStyle name="Standard 4 2 2 2 2 2 2 4 2 3 2" xfId="11252" xr:uid="{00000000-0005-0000-0000-0000A62C0000}"/>
    <cellStyle name="Standard 4 2 2 2 2 2 2 4 2 3 3" xfId="11253" xr:uid="{00000000-0005-0000-0000-0000A72C0000}"/>
    <cellStyle name="Standard 4 2 2 2 2 2 2 4 2 4" xfId="11254" xr:uid="{00000000-0005-0000-0000-0000A82C0000}"/>
    <cellStyle name="Standard 4 2 2 2 2 2 2 4 2 4 2" xfId="11255" xr:uid="{00000000-0005-0000-0000-0000A92C0000}"/>
    <cellStyle name="Standard 4 2 2 2 2 2 2 4 2 5" xfId="11256" xr:uid="{00000000-0005-0000-0000-0000AA2C0000}"/>
    <cellStyle name="Standard 4 2 2 2 2 2 2 4 2 6" xfId="11257" xr:uid="{00000000-0005-0000-0000-0000AB2C0000}"/>
    <cellStyle name="Standard 4 2 2 2 2 2 2 4 3" xfId="11258" xr:uid="{00000000-0005-0000-0000-0000AC2C0000}"/>
    <cellStyle name="Standard 4 2 2 2 2 2 2 4 3 2" xfId="11259" xr:uid="{00000000-0005-0000-0000-0000AD2C0000}"/>
    <cellStyle name="Standard 4 2 2 2 2 2 2 4 3 3" xfId="11260" xr:uid="{00000000-0005-0000-0000-0000AE2C0000}"/>
    <cellStyle name="Standard 4 2 2 2 2 2 2 4 4" xfId="11261" xr:uid="{00000000-0005-0000-0000-0000AF2C0000}"/>
    <cellStyle name="Standard 4 2 2 2 2 2 2 4 4 2" xfId="11262" xr:uid="{00000000-0005-0000-0000-0000B02C0000}"/>
    <cellStyle name="Standard 4 2 2 2 2 2 2 4 4 3" xfId="11263" xr:uid="{00000000-0005-0000-0000-0000B12C0000}"/>
    <cellStyle name="Standard 4 2 2 2 2 2 2 4 5" xfId="11264" xr:uid="{00000000-0005-0000-0000-0000B22C0000}"/>
    <cellStyle name="Standard 4 2 2 2 2 2 2 4 5 2" xfId="11265" xr:uid="{00000000-0005-0000-0000-0000B32C0000}"/>
    <cellStyle name="Standard 4 2 2 2 2 2 2 4 6" xfId="11266" xr:uid="{00000000-0005-0000-0000-0000B42C0000}"/>
    <cellStyle name="Standard 4 2 2 2 2 2 2 4 7" xfId="11267" xr:uid="{00000000-0005-0000-0000-0000B52C0000}"/>
    <cellStyle name="Standard 4 2 2 2 2 2 2 5" xfId="11268" xr:uid="{00000000-0005-0000-0000-0000B62C0000}"/>
    <cellStyle name="Standard 4 2 2 2 2 2 2 5 2" xfId="11269" xr:uid="{00000000-0005-0000-0000-0000B72C0000}"/>
    <cellStyle name="Standard 4 2 2 2 2 2 2 5 2 2" xfId="11270" xr:uid="{00000000-0005-0000-0000-0000B82C0000}"/>
    <cellStyle name="Standard 4 2 2 2 2 2 2 5 2 3" xfId="11271" xr:uid="{00000000-0005-0000-0000-0000B92C0000}"/>
    <cellStyle name="Standard 4 2 2 2 2 2 2 5 3" xfId="11272" xr:uid="{00000000-0005-0000-0000-0000BA2C0000}"/>
    <cellStyle name="Standard 4 2 2 2 2 2 2 5 3 2" xfId="11273" xr:uid="{00000000-0005-0000-0000-0000BB2C0000}"/>
    <cellStyle name="Standard 4 2 2 2 2 2 2 5 3 3" xfId="11274" xr:uid="{00000000-0005-0000-0000-0000BC2C0000}"/>
    <cellStyle name="Standard 4 2 2 2 2 2 2 5 4" xfId="11275" xr:uid="{00000000-0005-0000-0000-0000BD2C0000}"/>
    <cellStyle name="Standard 4 2 2 2 2 2 2 5 4 2" xfId="11276" xr:uid="{00000000-0005-0000-0000-0000BE2C0000}"/>
    <cellStyle name="Standard 4 2 2 2 2 2 2 5 5" xfId="11277" xr:uid="{00000000-0005-0000-0000-0000BF2C0000}"/>
    <cellStyle name="Standard 4 2 2 2 2 2 2 5 6" xfId="11278" xr:uid="{00000000-0005-0000-0000-0000C02C0000}"/>
    <cellStyle name="Standard 4 2 2 2 2 2 2 6" xfId="11279" xr:uid="{00000000-0005-0000-0000-0000C12C0000}"/>
    <cellStyle name="Standard 4 2 2 2 2 2 2 6 2" xfId="11280" xr:uid="{00000000-0005-0000-0000-0000C22C0000}"/>
    <cellStyle name="Standard 4 2 2 2 2 2 2 6 3" xfId="11281" xr:uid="{00000000-0005-0000-0000-0000C32C0000}"/>
    <cellStyle name="Standard 4 2 2 2 2 2 2 7" xfId="11282" xr:uid="{00000000-0005-0000-0000-0000C42C0000}"/>
    <cellStyle name="Standard 4 2 2 2 2 2 2 7 2" xfId="11283" xr:uid="{00000000-0005-0000-0000-0000C52C0000}"/>
    <cellStyle name="Standard 4 2 2 2 2 2 2 7 3" xfId="11284" xr:uid="{00000000-0005-0000-0000-0000C62C0000}"/>
    <cellStyle name="Standard 4 2 2 2 2 2 2 8" xfId="11285" xr:uid="{00000000-0005-0000-0000-0000C72C0000}"/>
    <cellStyle name="Standard 4 2 2 2 2 2 2 8 2" xfId="11286" xr:uid="{00000000-0005-0000-0000-0000C82C0000}"/>
    <cellStyle name="Standard 4 2 2 2 2 2 2 9" xfId="11287" xr:uid="{00000000-0005-0000-0000-0000C92C0000}"/>
    <cellStyle name="Standard 4 2 2 2 2 2 3" xfId="11288" xr:uid="{00000000-0005-0000-0000-0000CA2C0000}"/>
    <cellStyle name="Standard 4 2 2 2 2 2 3 2" xfId="11289" xr:uid="{00000000-0005-0000-0000-0000CB2C0000}"/>
    <cellStyle name="Standard 4 2 2 2 2 2 3 2 2" xfId="11290" xr:uid="{00000000-0005-0000-0000-0000CC2C0000}"/>
    <cellStyle name="Standard 4 2 2 2 2 2 3 2 2 2" xfId="11291" xr:uid="{00000000-0005-0000-0000-0000CD2C0000}"/>
    <cellStyle name="Standard 4 2 2 2 2 2 3 2 2 2 2" xfId="11292" xr:uid="{00000000-0005-0000-0000-0000CE2C0000}"/>
    <cellStyle name="Standard 4 2 2 2 2 2 3 2 2 2 3" xfId="11293" xr:uid="{00000000-0005-0000-0000-0000CF2C0000}"/>
    <cellStyle name="Standard 4 2 2 2 2 2 3 2 2 3" xfId="11294" xr:uid="{00000000-0005-0000-0000-0000D02C0000}"/>
    <cellStyle name="Standard 4 2 2 2 2 2 3 2 2 3 2" xfId="11295" xr:uid="{00000000-0005-0000-0000-0000D12C0000}"/>
    <cellStyle name="Standard 4 2 2 2 2 2 3 2 2 3 3" xfId="11296" xr:uid="{00000000-0005-0000-0000-0000D22C0000}"/>
    <cellStyle name="Standard 4 2 2 2 2 2 3 2 2 4" xfId="11297" xr:uid="{00000000-0005-0000-0000-0000D32C0000}"/>
    <cellStyle name="Standard 4 2 2 2 2 2 3 2 2 4 2" xfId="11298" xr:uid="{00000000-0005-0000-0000-0000D42C0000}"/>
    <cellStyle name="Standard 4 2 2 2 2 2 3 2 2 5" xfId="11299" xr:uid="{00000000-0005-0000-0000-0000D52C0000}"/>
    <cellStyle name="Standard 4 2 2 2 2 2 3 2 2 6" xfId="11300" xr:uid="{00000000-0005-0000-0000-0000D62C0000}"/>
    <cellStyle name="Standard 4 2 2 2 2 2 3 2 3" xfId="11301" xr:uid="{00000000-0005-0000-0000-0000D72C0000}"/>
    <cellStyle name="Standard 4 2 2 2 2 2 3 2 3 2" xfId="11302" xr:uid="{00000000-0005-0000-0000-0000D82C0000}"/>
    <cellStyle name="Standard 4 2 2 2 2 2 3 2 3 3" xfId="11303" xr:uid="{00000000-0005-0000-0000-0000D92C0000}"/>
    <cellStyle name="Standard 4 2 2 2 2 2 3 2 4" xfId="11304" xr:uid="{00000000-0005-0000-0000-0000DA2C0000}"/>
    <cellStyle name="Standard 4 2 2 2 2 2 3 2 4 2" xfId="11305" xr:uid="{00000000-0005-0000-0000-0000DB2C0000}"/>
    <cellStyle name="Standard 4 2 2 2 2 2 3 2 4 3" xfId="11306" xr:uid="{00000000-0005-0000-0000-0000DC2C0000}"/>
    <cellStyle name="Standard 4 2 2 2 2 2 3 2 5" xfId="11307" xr:uid="{00000000-0005-0000-0000-0000DD2C0000}"/>
    <cellStyle name="Standard 4 2 2 2 2 2 3 2 5 2" xfId="11308" xr:uid="{00000000-0005-0000-0000-0000DE2C0000}"/>
    <cellStyle name="Standard 4 2 2 2 2 2 3 2 6" xfId="11309" xr:uid="{00000000-0005-0000-0000-0000DF2C0000}"/>
    <cellStyle name="Standard 4 2 2 2 2 2 3 2 7" xfId="11310" xr:uid="{00000000-0005-0000-0000-0000E02C0000}"/>
    <cellStyle name="Standard 4 2 2 2 2 2 3 3" xfId="11311" xr:uid="{00000000-0005-0000-0000-0000E12C0000}"/>
    <cellStyle name="Standard 4 2 2 2 2 2 3 3 2" xfId="11312" xr:uid="{00000000-0005-0000-0000-0000E22C0000}"/>
    <cellStyle name="Standard 4 2 2 2 2 2 3 3 2 2" xfId="11313" xr:uid="{00000000-0005-0000-0000-0000E32C0000}"/>
    <cellStyle name="Standard 4 2 2 2 2 2 3 3 2 3" xfId="11314" xr:uid="{00000000-0005-0000-0000-0000E42C0000}"/>
    <cellStyle name="Standard 4 2 2 2 2 2 3 3 3" xfId="11315" xr:uid="{00000000-0005-0000-0000-0000E52C0000}"/>
    <cellStyle name="Standard 4 2 2 2 2 2 3 3 3 2" xfId="11316" xr:uid="{00000000-0005-0000-0000-0000E62C0000}"/>
    <cellStyle name="Standard 4 2 2 2 2 2 3 3 3 3" xfId="11317" xr:uid="{00000000-0005-0000-0000-0000E72C0000}"/>
    <cellStyle name="Standard 4 2 2 2 2 2 3 3 4" xfId="11318" xr:uid="{00000000-0005-0000-0000-0000E82C0000}"/>
    <cellStyle name="Standard 4 2 2 2 2 2 3 3 4 2" xfId="11319" xr:uid="{00000000-0005-0000-0000-0000E92C0000}"/>
    <cellStyle name="Standard 4 2 2 2 2 2 3 3 5" xfId="11320" xr:uid="{00000000-0005-0000-0000-0000EA2C0000}"/>
    <cellStyle name="Standard 4 2 2 2 2 2 3 3 6" xfId="11321" xr:uid="{00000000-0005-0000-0000-0000EB2C0000}"/>
    <cellStyle name="Standard 4 2 2 2 2 2 3 4" xfId="11322" xr:uid="{00000000-0005-0000-0000-0000EC2C0000}"/>
    <cellStyle name="Standard 4 2 2 2 2 2 3 4 2" xfId="11323" xr:uid="{00000000-0005-0000-0000-0000ED2C0000}"/>
    <cellStyle name="Standard 4 2 2 2 2 2 3 4 3" xfId="11324" xr:uid="{00000000-0005-0000-0000-0000EE2C0000}"/>
    <cellStyle name="Standard 4 2 2 2 2 2 3 5" xfId="11325" xr:uid="{00000000-0005-0000-0000-0000EF2C0000}"/>
    <cellStyle name="Standard 4 2 2 2 2 2 3 5 2" xfId="11326" xr:uid="{00000000-0005-0000-0000-0000F02C0000}"/>
    <cellStyle name="Standard 4 2 2 2 2 2 3 5 3" xfId="11327" xr:uid="{00000000-0005-0000-0000-0000F12C0000}"/>
    <cellStyle name="Standard 4 2 2 2 2 2 3 6" xfId="11328" xr:uid="{00000000-0005-0000-0000-0000F22C0000}"/>
    <cellStyle name="Standard 4 2 2 2 2 2 3 6 2" xfId="11329" xr:uid="{00000000-0005-0000-0000-0000F32C0000}"/>
    <cellStyle name="Standard 4 2 2 2 2 2 3 7" xfId="11330" xr:uid="{00000000-0005-0000-0000-0000F42C0000}"/>
    <cellStyle name="Standard 4 2 2 2 2 2 3 8" xfId="11331" xr:uid="{00000000-0005-0000-0000-0000F52C0000}"/>
    <cellStyle name="Standard 4 2 2 2 2 2 4" xfId="11332" xr:uid="{00000000-0005-0000-0000-0000F62C0000}"/>
    <cellStyle name="Standard 4 2 2 2 2 2 4 2" xfId="11333" xr:uid="{00000000-0005-0000-0000-0000F72C0000}"/>
    <cellStyle name="Standard 4 2 2 2 2 2 4 2 2" xfId="11334" xr:uid="{00000000-0005-0000-0000-0000F82C0000}"/>
    <cellStyle name="Standard 4 2 2 2 2 2 4 2 2 2" xfId="11335" xr:uid="{00000000-0005-0000-0000-0000F92C0000}"/>
    <cellStyle name="Standard 4 2 2 2 2 2 4 2 2 2 2" xfId="11336" xr:uid="{00000000-0005-0000-0000-0000FA2C0000}"/>
    <cellStyle name="Standard 4 2 2 2 2 2 4 2 2 2 3" xfId="11337" xr:uid="{00000000-0005-0000-0000-0000FB2C0000}"/>
    <cellStyle name="Standard 4 2 2 2 2 2 4 2 2 3" xfId="11338" xr:uid="{00000000-0005-0000-0000-0000FC2C0000}"/>
    <cellStyle name="Standard 4 2 2 2 2 2 4 2 2 3 2" xfId="11339" xr:uid="{00000000-0005-0000-0000-0000FD2C0000}"/>
    <cellStyle name="Standard 4 2 2 2 2 2 4 2 2 3 3" xfId="11340" xr:uid="{00000000-0005-0000-0000-0000FE2C0000}"/>
    <cellStyle name="Standard 4 2 2 2 2 2 4 2 2 4" xfId="11341" xr:uid="{00000000-0005-0000-0000-0000FF2C0000}"/>
    <cellStyle name="Standard 4 2 2 2 2 2 4 2 2 4 2" xfId="11342" xr:uid="{00000000-0005-0000-0000-0000002D0000}"/>
    <cellStyle name="Standard 4 2 2 2 2 2 4 2 2 5" xfId="11343" xr:uid="{00000000-0005-0000-0000-0000012D0000}"/>
    <cellStyle name="Standard 4 2 2 2 2 2 4 2 2 6" xfId="11344" xr:uid="{00000000-0005-0000-0000-0000022D0000}"/>
    <cellStyle name="Standard 4 2 2 2 2 2 4 2 3" xfId="11345" xr:uid="{00000000-0005-0000-0000-0000032D0000}"/>
    <cellStyle name="Standard 4 2 2 2 2 2 4 2 3 2" xfId="11346" xr:uid="{00000000-0005-0000-0000-0000042D0000}"/>
    <cellStyle name="Standard 4 2 2 2 2 2 4 2 3 3" xfId="11347" xr:uid="{00000000-0005-0000-0000-0000052D0000}"/>
    <cellStyle name="Standard 4 2 2 2 2 2 4 2 4" xfId="11348" xr:uid="{00000000-0005-0000-0000-0000062D0000}"/>
    <cellStyle name="Standard 4 2 2 2 2 2 4 2 4 2" xfId="11349" xr:uid="{00000000-0005-0000-0000-0000072D0000}"/>
    <cellStyle name="Standard 4 2 2 2 2 2 4 2 4 3" xfId="11350" xr:uid="{00000000-0005-0000-0000-0000082D0000}"/>
    <cellStyle name="Standard 4 2 2 2 2 2 4 2 5" xfId="11351" xr:uid="{00000000-0005-0000-0000-0000092D0000}"/>
    <cellStyle name="Standard 4 2 2 2 2 2 4 2 5 2" xfId="11352" xr:uid="{00000000-0005-0000-0000-00000A2D0000}"/>
    <cellStyle name="Standard 4 2 2 2 2 2 4 2 6" xfId="11353" xr:uid="{00000000-0005-0000-0000-00000B2D0000}"/>
    <cellStyle name="Standard 4 2 2 2 2 2 4 2 7" xfId="11354" xr:uid="{00000000-0005-0000-0000-00000C2D0000}"/>
    <cellStyle name="Standard 4 2 2 2 2 2 4 3" xfId="11355" xr:uid="{00000000-0005-0000-0000-00000D2D0000}"/>
    <cellStyle name="Standard 4 2 2 2 2 2 4 3 2" xfId="11356" xr:uid="{00000000-0005-0000-0000-00000E2D0000}"/>
    <cellStyle name="Standard 4 2 2 2 2 2 4 3 2 2" xfId="11357" xr:uid="{00000000-0005-0000-0000-00000F2D0000}"/>
    <cellStyle name="Standard 4 2 2 2 2 2 4 3 2 3" xfId="11358" xr:uid="{00000000-0005-0000-0000-0000102D0000}"/>
    <cellStyle name="Standard 4 2 2 2 2 2 4 3 3" xfId="11359" xr:uid="{00000000-0005-0000-0000-0000112D0000}"/>
    <cellStyle name="Standard 4 2 2 2 2 2 4 3 3 2" xfId="11360" xr:uid="{00000000-0005-0000-0000-0000122D0000}"/>
    <cellStyle name="Standard 4 2 2 2 2 2 4 3 3 3" xfId="11361" xr:uid="{00000000-0005-0000-0000-0000132D0000}"/>
    <cellStyle name="Standard 4 2 2 2 2 2 4 3 4" xfId="11362" xr:uid="{00000000-0005-0000-0000-0000142D0000}"/>
    <cellStyle name="Standard 4 2 2 2 2 2 4 3 4 2" xfId="11363" xr:uid="{00000000-0005-0000-0000-0000152D0000}"/>
    <cellStyle name="Standard 4 2 2 2 2 2 4 3 5" xfId="11364" xr:uid="{00000000-0005-0000-0000-0000162D0000}"/>
    <cellStyle name="Standard 4 2 2 2 2 2 4 3 6" xfId="11365" xr:uid="{00000000-0005-0000-0000-0000172D0000}"/>
    <cellStyle name="Standard 4 2 2 2 2 2 4 4" xfId="11366" xr:uid="{00000000-0005-0000-0000-0000182D0000}"/>
    <cellStyle name="Standard 4 2 2 2 2 2 4 4 2" xfId="11367" xr:uid="{00000000-0005-0000-0000-0000192D0000}"/>
    <cellStyle name="Standard 4 2 2 2 2 2 4 4 3" xfId="11368" xr:uid="{00000000-0005-0000-0000-00001A2D0000}"/>
    <cellStyle name="Standard 4 2 2 2 2 2 4 5" xfId="11369" xr:uid="{00000000-0005-0000-0000-00001B2D0000}"/>
    <cellStyle name="Standard 4 2 2 2 2 2 4 5 2" xfId="11370" xr:uid="{00000000-0005-0000-0000-00001C2D0000}"/>
    <cellStyle name="Standard 4 2 2 2 2 2 4 5 3" xfId="11371" xr:uid="{00000000-0005-0000-0000-00001D2D0000}"/>
    <cellStyle name="Standard 4 2 2 2 2 2 4 6" xfId="11372" xr:uid="{00000000-0005-0000-0000-00001E2D0000}"/>
    <cellStyle name="Standard 4 2 2 2 2 2 4 6 2" xfId="11373" xr:uid="{00000000-0005-0000-0000-00001F2D0000}"/>
    <cellStyle name="Standard 4 2 2 2 2 2 4 7" xfId="11374" xr:uid="{00000000-0005-0000-0000-0000202D0000}"/>
    <cellStyle name="Standard 4 2 2 2 2 2 4 8" xfId="11375" xr:uid="{00000000-0005-0000-0000-0000212D0000}"/>
    <cellStyle name="Standard 4 2 2 2 2 2 5" xfId="11376" xr:uid="{00000000-0005-0000-0000-0000222D0000}"/>
    <cellStyle name="Standard 4 2 2 2 2 2 5 2" xfId="11377" xr:uid="{00000000-0005-0000-0000-0000232D0000}"/>
    <cellStyle name="Standard 4 2 2 2 2 2 5 2 2" xfId="11378" xr:uid="{00000000-0005-0000-0000-0000242D0000}"/>
    <cellStyle name="Standard 4 2 2 2 2 2 5 2 2 2" xfId="11379" xr:uid="{00000000-0005-0000-0000-0000252D0000}"/>
    <cellStyle name="Standard 4 2 2 2 2 2 5 2 2 3" xfId="11380" xr:uid="{00000000-0005-0000-0000-0000262D0000}"/>
    <cellStyle name="Standard 4 2 2 2 2 2 5 2 3" xfId="11381" xr:uid="{00000000-0005-0000-0000-0000272D0000}"/>
    <cellStyle name="Standard 4 2 2 2 2 2 5 2 3 2" xfId="11382" xr:uid="{00000000-0005-0000-0000-0000282D0000}"/>
    <cellStyle name="Standard 4 2 2 2 2 2 5 2 3 3" xfId="11383" xr:uid="{00000000-0005-0000-0000-0000292D0000}"/>
    <cellStyle name="Standard 4 2 2 2 2 2 5 2 4" xfId="11384" xr:uid="{00000000-0005-0000-0000-00002A2D0000}"/>
    <cellStyle name="Standard 4 2 2 2 2 2 5 2 4 2" xfId="11385" xr:uid="{00000000-0005-0000-0000-00002B2D0000}"/>
    <cellStyle name="Standard 4 2 2 2 2 2 5 2 5" xfId="11386" xr:uid="{00000000-0005-0000-0000-00002C2D0000}"/>
    <cellStyle name="Standard 4 2 2 2 2 2 5 2 6" xfId="11387" xr:uid="{00000000-0005-0000-0000-00002D2D0000}"/>
    <cellStyle name="Standard 4 2 2 2 2 2 5 3" xfId="11388" xr:uid="{00000000-0005-0000-0000-00002E2D0000}"/>
    <cellStyle name="Standard 4 2 2 2 2 2 5 3 2" xfId="11389" xr:uid="{00000000-0005-0000-0000-00002F2D0000}"/>
    <cellStyle name="Standard 4 2 2 2 2 2 5 3 3" xfId="11390" xr:uid="{00000000-0005-0000-0000-0000302D0000}"/>
    <cellStyle name="Standard 4 2 2 2 2 2 5 4" xfId="11391" xr:uid="{00000000-0005-0000-0000-0000312D0000}"/>
    <cellStyle name="Standard 4 2 2 2 2 2 5 4 2" xfId="11392" xr:uid="{00000000-0005-0000-0000-0000322D0000}"/>
    <cellStyle name="Standard 4 2 2 2 2 2 5 4 3" xfId="11393" xr:uid="{00000000-0005-0000-0000-0000332D0000}"/>
    <cellStyle name="Standard 4 2 2 2 2 2 5 5" xfId="11394" xr:uid="{00000000-0005-0000-0000-0000342D0000}"/>
    <cellStyle name="Standard 4 2 2 2 2 2 5 5 2" xfId="11395" xr:uid="{00000000-0005-0000-0000-0000352D0000}"/>
    <cellStyle name="Standard 4 2 2 2 2 2 5 6" xfId="11396" xr:uid="{00000000-0005-0000-0000-0000362D0000}"/>
    <cellStyle name="Standard 4 2 2 2 2 2 5 7" xfId="11397" xr:uid="{00000000-0005-0000-0000-0000372D0000}"/>
    <cellStyle name="Standard 4 2 2 2 2 2 6" xfId="11398" xr:uid="{00000000-0005-0000-0000-0000382D0000}"/>
    <cellStyle name="Standard 4 2 2 2 2 2 6 2" xfId="11399" xr:uid="{00000000-0005-0000-0000-0000392D0000}"/>
    <cellStyle name="Standard 4 2 2 2 2 2 6 2 2" xfId="11400" xr:uid="{00000000-0005-0000-0000-00003A2D0000}"/>
    <cellStyle name="Standard 4 2 2 2 2 2 6 2 3" xfId="11401" xr:uid="{00000000-0005-0000-0000-00003B2D0000}"/>
    <cellStyle name="Standard 4 2 2 2 2 2 6 3" xfId="11402" xr:uid="{00000000-0005-0000-0000-00003C2D0000}"/>
    <cellStyle name="Standard 4 2 2 2 2 2 6 3 2" xfId="11403" xr:uid="{00000000-0005-0000-0000-00003D2D0000}"/>
    <cellStyle name="Standard 4 2 2 2 2 2 6 3 3" xfId="11404" xr:uid="{00000000-0005-0000-0000-00003E2D0000}"/>
    <cellStyle name="Standard 4 2 2 2 2 2 6 4" xfId="11405" xr:uid="{00000000-0005-0000-0000-00003F2D0000}"/>
    <cellStyle name="Standard 4 2 2 2 2 2 6 4 2" xfId="11406" xr:uid="{00000000-0005-0000-0000-0000402D0000}"/>
    <cellStyle name="Standard 4 2 2 2 2 2 6 5" xfId="11407" xr:uid="{00000000-0005-0000-0000-0000412D0000}"/>
    <cellStyle name="Standard 4 2 2 2 2 2 6 6" xfId="11408" xr:uid="{00000000-0005-0000-0000-0000422D0000}"/>
    <cellStyle name="Standard 4 2 2 2 2 2 7" xfId="11409" xr:uid="{00000000-0005-0000-0000-0000432D0000}"/>
    <cellStyle name="Standard 4 2 2 2 2 2 7 2" xfId="11410" xr:uid="{00000000-0005-0000-0000-0000442D0000}"/>
    <cellStyle name="Standard 4 2 2 2 2 2 7 3" xfId="11411" xr:uid="{00000000-0005-0000-0000-0000452D0000}"/>
    <cellStyle name="Standard 4 2 2 2 2 2 8" xfId="11412" xr:uid="{00000000-0005-0000-0000-0000462D0000}"/>
    <cellStyle name="Standard 4 2 2 2 2 2 8 2" xfId="11413" xr:uid="{00000000-0005-0000-0000-0000472D0000}"/>
    <cellStyle name="Standard 4 2 2 2 2 2 8 3" xfId="11414" xr:uid="{00000000-0005-0000-0000-0000482D0000}"/>
    <cellStyle name="Standard 4 2 2 2 2 2 9" xfId="11415" xr:uid="{00000000-0005-0000-0000-0000492D0000}"/>
    <cellStyle name="Standard 4 2 2 2 2 2 9 2" xfId="11416" xr:uid="{00000000-0005-0000-0000-00004A2D0000}"/>
    <cellStyle name="Standard 4 2 2 2 2 3" xfId="11417" xr:uid="{00000000-0005-0000-0000-00004B2D0000}"/>
    <cellStyle name="Standard 4 2 2 2 2 3 10" xfId="11418" xr:uid="{00000000-0005-0000-0000-00004C2D0000}"/>
    <cellStyle name="Standard 4 2 2 2 2 3 2" xfId="11419" xr:uid="{00000000-0005-0000-0000-00004D2D0000}"/>
    <cellStyle name="Standard 4 2 2 2 2 3 2 2" xfId="11420" xr:uid="{00000000-0005-0000-0000-00004E2D0000}"/>
    <cellStyle name="Standard 4 2 2 2 2 3 2 2 2" xfId="11421" xr:uid="{00000000-0005-0000-0000-00004F2D0000}"/>
    <cellStyle name="Standard 4 2 2 2 2 3 2 2 2 2" xfId="11422" xr:uid="{00000000-0005-0000-0000-0000502D0000}"/>
    <cellStyle name="Standard 4 2 2 2 2 3 2 2 2 2 2" xfId="11423" xr:uid="{00000000-0005-0000-0000-0000512D0000}"/>
    <cellStyle name="Standard 4 2 2 2 2 3 2 2 2 2 3" xfId="11424" xr:uid="{00000000-0005-0000-0000-0000522D0000}"/>
    <cellStyle name="Standard 4 2 2 2 2 3 2 2 2 3" xfId="11425" xr:uid="{00000000-0005-0000-0000-0000532D0000}"/>
    <cellStyle name="Standard 4 2 2 2 2 3 2 2 2 3 2" xfId="11426" xr:uid="{00000000-0005-0000-0000-0000542D0000}"/>
    <cellStyle name="Standard 4 2 2 2 2 3 2 2 2 3 3" xfId="11427" xr:uid="{00000000-0005-0000-0000-0000552D0000}"/>
    <cellStyle name="Standard 4 2 2 2 2 3 2 2 2 4" xfId="11428" xr:uid="{00000000-0005-0000-0000-0000562D0000}"/>
    <cellStyle name="Standard 4 2 2 2 2 3 2 2 2 4 2" xfId="11429" xr:uid="{00000000-0005-0000-0000-0000572D0000}"/>
    <cellStyle name="Standard 4 2 2 2 2 3 2 2 2 5" xfId="11430" xr:uid="{00000000-0005-0000-0000-0000582D0000}"/>
    <cellStyle name="Standard 4 2 2 2 2 3 2 2 2 6" xfId="11431" xr:uid="{00000000-0005-0000-0000-0000592D0000}"/>
    <cellStyle name="Standard 4 2 2 2 2 3 2 2 3" xfId="11432" xr:uid="{00000000-0005-0000-0000-00005A2D0000}"/>
    <cellStyle name="Standard 4 2 2 2 2 3 2 2 3 2" xfId="11433" xr:uid="{00000000-0005-0000-0000-00005B2D0000}"/>
    <cellStyle name="Standard 4 2 2 2 2 3 2 2 3 3" xfId="11434" xr:uid="{00000000-0005-0000-0000-00005C2D0000}"/>
    <cellStyle name="Standard 4 2 2 2 2 3 2 2 4" xfId="11435" xr:uid="{00000000-0005-0000-0000-00005D2D0000}"/>
    <cellStyle name="Standard 4 2 2 2 2 3 2 2 4 2" xfId="11436" xr:uid="{00000000-0005-0000-0000-00005E2D0000}"/>
    <cellStyle name="Standard 4 2 2 2 2 3 2 2 4 3" xfId="11437" xr:uid="{00000000-0005-0000-0000-00005F2D0000}"/>
    <cellStyle name="Standard 4 2 2 2 2 3 2 2 5" xfId="11438" xr:uid="{00000000-0005-0000-0000-0000602D0000}"/>
    <cellStyle name="Standard 4 2 2 2 2 3 2 2 5 2" xfId="11439" xr:uid="{00000000-0005-0000-0000-0000612D0000}"/>
    <cellStyle name="Standard 4 2 2 2 2 3 2 2 6" xfId="11440" xr:uid="{00000000-0005-0000-0000-0000622D0000}"/>
    <cellStyle name="Standard 4 2 2 2 2 3 2 2 7" xfId="11441" xr:uid="{00000000-0005-0000-0000-0000632D0000}"/>
    <cellStyle name="Standard 4 2 2 2 2 3 2 3" xfId="11442" xr:uid="{00000000-0005-0000-0000-0000642D0000}"/>
    <cellStyle name="Standard 4 2 2 2 2 3 2 3 2" xfId="11443" xr:uid="{00000000-0005-0000-0000-0000652D0000}"/>
    <cellStyle name="Standard 4 2 2 2 2 3 2 3 2 2" xfId="11444" xr:uid="{00000000-0005-0000-0000-0000662D0000}"/>
    <cellStyle name="Standard 4 2 2 2 2 3 2 3 2 3" xfId="11445" xr:uid="{00000000-0005-0000-0000-0000672D0000}"/>
    <cellStyle name="Standard 4 2 2 2 2 3 2 3 3" xfId="11446" xr:uid="{00000000-0005-0000-0000-0000682D0000}"/>
    <cellStyle name="Standard 4 2 2 2 2 3 2 3 3 2" xfId="11447" xr:uid="{00000000-0005-0000-0000-0000692D0000}"/>
    <cellStyle name="Standard 4 2 2 2 2 3 2 3 3 3" xfId="11448" xr:uid="{00000000-0005-0000-0000-00006A2D0000}"/>
    <cellStyle name="Standard 4 2 2 2 2 3 2 3 4" xfId="11449" xr:uid="{00000000-0005-0000-0000-00006B2D0000}"/>
    <cellStyle name="Standard 4 2 2 2 2 3 2 3 4 2" xfId="11450" xr:uid="{00000000-0005-0000-0000-00006C2D0000}"/>
    <cellStyle name="Standard 4 2 2 2 2 3 2 3 5" xfId="11451" xr:uid="{00000000-0005-0000-0000-00006D2D0000}"/>
    <cellStyle name="Standard 4 2 2 2 2 3 2 3 6" xfId="11452" xr:uid="{00000000-0005-0000-0000-00006E2D0000}"/>
    <cellStyle name="Standard 4 2 2 2 2 3 2 4" xfId="11453" xr:uid="{00000000-0005-0000-0000-00006F2D0000}"/>
    <cellStyle name="Standard 4 2 2 2 2 3 2 4 2" xfId="11454" xr:uid="{00000000-0005-0000-0000-0000702D0000}"/>
    <cellStyle name="Standard 4 2 2 2 2 3 2 4 3" xfId="11455" xr:uid="{00000000-0005-0000-0000-0000712D0000}"/>
    <cellStyle name="Standard 4 2 2 2 2 3 2 5" xfId="11456" xr:uid="{00000000-0005-0000-0000-0000722D0000}"/>
    <cellStyle name="Standard 4 2 2 2 2 3 2 5 2" xfId="11457" xr:uid="{00000000-0005-0000-0000-0000732D0000}"/>
    <cellStyle name="Standard 4 2 2 2 2 3 2 5 3" xfId="11458" xr:uid="{00000000-0005-0000-0000-0000742D0000}"/>
    <cellStyle name="Standard 4 2 2 2 2 3 2 6" xfId="11459" xr:uid="{00000000-0005-0000-0000-0000752D0000}"/>
    <cellStyle name="Standard 4 2 2 2 2 3 2 6 2" xfId="11460" xr:uid="{00000000-0005-0000-0000-0000762D0000}"/>
    <cellStyle name="Standard 4 2 2 2 2 3 2 7" xfId="11461" xr:uid="{00000000-0005-0000-0000-0000772D0000}"/>
    <cellStyle name="Standard 4 2 2 2 2 3 2 8" xfId="11462" xr:uid="{00000000-0005-0000-0000-0000782D0000}"/>
    <cellStyle name="Standard 4 2 2 2 2 3 3" xfId="11463" xr:uid="{00000000-0005-0000-0000-0000792D0000}"/>
    <cellStyle name="Standard 4 2 2 2 2 3 3 2" xfId="11464" xr:uid="{00000000-0005-0000-0000-00007A2D0000}"/>
    <cellStyle name="Standard 4 2 2 2 2 3 3 2 2" xfId="11465" xr:uid="{00000000-0005-0000-0000-00007B2D0000}"/>
    <cellStyle name="Standard 4 2 2 2 2 3 3 2 2 2" xfId="11466" xr:uid="{00000000-0005-0000-0000-00007C2D0000}"/>
    <cellStyle name="Standard 4 2 2 2 2 3 3 2 2 2 2" xfId="11467" xr:uid="{00000000-0005-0000-0000-00007D2D0000}"/>
    <cellStyle name="Standard 4 2 2 2 2 3 3 2 2 2 3" xfId="11468" xr:uid="{00000000-0005-0000-0000-00007E2D0000}"/>
    <cellStyle name="Standard 4 2 2 2 2 3 3 2 2 3" xfId="11469" xr:uid="{00000000-0005-0000-0000-00007F2D0000}"/>
    <cellStyle name="Standard 4 2 2 2 2 3 3 2 2 3 2" xfId="11470" xr:uid="{00000000-0005-0000-0000-0000802D0000}"/>
    <cellStyle name="Standard 4 2 2 2 2 3 3 2 2 3 3" xfId="11471" xr:uid="{00000000-0005-0000-0000-0000812D0000}"/>
    <cellStyle name="Standard 4 2 2 2 2 3 3 2 2 4" xfId="11472" xr:uid="{00000000-0005-0000-0000-0000822D0000}"/>
    <cellStyle name="Standard 4 2 2 2 2 3 3 2 2 4 2" xfId="11473" xr:uid="{00000000-0005-0000-0000-0000832D0000}"/>
    <cellStyle name="Standard 4 2 2 2 2 3 3 2 2 5" xfId="11474" xr:uid="{00000000-0005-0000-0000-0000842D0000}"/>
    <cellStyle name="Standard 4 2 2 2 2 3 3 2 2 6" xfId="11475" xr:uid="{00000000-0005-0000-0000-0000852D0000}"/>
    <cellStyle name="Standard 4 2 2 2 2 3 3 2 3" xfId="11476" xr:uid="{00000000-0005-0000-0000-0000862D0000}"/>
    <cellStyle name="Standard 4 2 2 2 2 3 3 2 3 2" xfId="11477" xr:uid="{00000000-0005-0000-0000-0000872D0000}"/>
    <cellStyle name="Standard 4 2 2 2 2 3 3 2 3 3" xfId="11478" xr:uid="{00000000-0005-0000-0000-0000882D0000}"/>
    <cellStyle name="Standard 4 2 2 2 2 3 3 2 4" xfId="11479" xr:uid="{00000000-0005-0000-0000-0000892D0000}"/>
    <cellStyle name="Standard 4 2 2 2 2 3 3 2 4 2" xfId="11480" xr:uid="{00000000-0005-0000-0000-00008A2D0000}"/>
    <cellStyle name="Standard 4 2 2 2 2 3 3 2 4 3" xfId="11481" xr:uid="{00000000-0005-0000-0000-00008B2D0000}"/>
    <cellStyle name="Standard 4 2 2 2 2 3 3 2 5" xfId="11482" xr:uid="{00000000-0005-0000-0000-00008C2D0000}"/>
    <cellStyle name="Standard 4 2 2 2 2 3 3 2 5 2" xfId="11483" xr:uid="{00000000-0005-0000-0000-00008D2D0000}"/>
    <cellStyle name="Standard 4 2 2 2 2 3 3 2 6" xfId="11484" xr:uid="{00000000-0005-0000-0000-00008E2D0000}"/>
    <cellStyle name="Standard 4 2 2 2 2 3 3 2 7" xfId="11485" xr:uid="{00000000-0005-0000-0000-00008F2D0000}"/>
    <cellStyle name="Standard 4 2 2 2 2 3 3 3" xfId="11486" xr:uid="{00000000-0005-0000-0000-0000902D0000}"/>
    <cellStyle name="Standard 4 2 2 2 2 3 3 3 2" xfId="11487" xr:uid="{00000000-0005-0000-0000-0000912D0000}"/>
    <cellStyle name="Standard 4 2 2 2 2 3 3 3 2 2" xfId="11488" xr:uid="{00000000-0005-0000-0000-0000922D0000}"/>
    <cellStyle name="Standard 4 2 2 2 2 3 3 3 2 3" xfId="11489" xr:uid="{00000000-0005-0000-0000-0000932D0000}"/>
    <cellStyle name="Standard 4 2 2 2 2 3 3 3 3" xfId="11490" xr:uid="{00000000-0005-0000-0000-0000942D0000}"/>
    <cellStyle name="Standard 4 2 2 2 2 3 3 3 3 2" xfId="11491" xr:uid="{00000000-0005-0000-0000-0000952D0000}"/>
    <cellStyle name="Standard 4 2 2 2 2 3 3 3 3 3" xfId="11492" xr:uid="{00000000-0005-0000-0000-0000962D0000}"/>
    <cellStyle name="Standard 4 2 2 2 2 3 3 3 4" xfId="11493" xr:uid="{00000000-0005-0000-0000-0000972D0000}"/>
    <cellStyle name="Standard 4 2 2 2 2 3 3 3 4 2" xfId="11494" xr:uid="{00000000-0005-0000-0000-0000982D0000}"/>
    <cellStyle name="Standard 4 2 2 2 2 3 3 3 5" xfId="11495" xr:uid="{00000000-0005-0000-0000-0000992D0000}"/>
    <cellStyle name="Standard 4 2 2 2 2 3 3 3 6" xfId="11496" xr:uid="{00000000-0005-0000-0000-00009A2D0000}"/>
    <cellStyle name="Standard 4 2 2 2 2 3 3 4" xfId="11497" xr:uid="{00000000-0005-0000-0000-00009B2D0000}"/>
    <cellStyle name="Standard 4 2 2 2 2 3 3 4 2" xfId="11498" xr:uid="{00000000-0005-0000-0000-00009C2D0000}"/>
    <cellStyle name="Standard 4 2 2 2 2 3 3 4 3" xfId="11499" xr:uid="{00000000-0005-0000-0000-00009D2D0000}"/>
    <cellStyle name="Standard 4 2 2 2 2 3 3 5" xfId="11500" xr:uid="{00000000-0005-0000-0000-00009E2D0000}"/>
    <cellStyle name="Standard 4 2 2 2 2 3 3 5 2" xfId="11501" xr:uid="{00000000-0005-0000-0000-00009F2D0000}"/>
    <cellStyle name="Standard 4 2 2 2 2 3 3 5 3" xfId="11502" xr:uid="{00000000-0005-0000-0000-0000A02D0000}"/>
    <cellStyle name="Standard 4 2 2 2 2 3 3 6" xfId="11503" xr:uid="{00000000-0005-0000-0000-0000A12D0000}"/>
    <cellStyle name="Standard 4 2 2 2 2 3 3 6 2" xfId="11504" xr:uid="{00000000-0005-0000-0000-0000A22D0000}"/>
    <cellStyle name="Standard 4 2 2 2 2 3 3 7" xfId="11505" xr:uid="{00000000-0005-0000-0000-0000A32D0000}"/>
    <cellStyle name="Standard 4 2 2 2 2 3 3 8" xfId="11506" xr:uid="{00000000-0005-0000-0000-0000A42D0000}"/>
    <cellStyle name="Standard 4 2 2 2 2 3 4" xfId="11507" xr:uid="{00000000-0005-0000-0000-0000A52D0000}"/>
    <cellStyle name="Standard 4 2 2 2 2 3 4 2" xfId="11508" xr:uid="{00000000-0005-0000-0000-0000A62D0000}"/>
    <cellStyle name="Standard 4 2 2 2 2 3 4 2 2" xfId="11509" xr:uid="{00000000-0005-0000-0000-0000A72D0000}"/>
    <cellStyle name="Standard 4 2 2 2 2 3 4 2 2 2" xfId="11510" xr:uid="{00000000-0005-0000-0000-0000A82D0000}"/>
    <cellStyle name="Standard 4 2 2 2 2 3 4 2 2 3" xfId="11511" xr:uid="{00000000-0005-0000-0000-0000A92D0000}"/>
    <cellStyle name="Standard 4 2 2 2 2 3 4 2 3" xfId="11512" xr:uid="{00000000-0005-0000-0000-0000AA2D0000}"/>
    <cellStyle name="Standard 4 2 2 2 2 3 4 2 3 2" xfId="11513" xr:uid="{00000000-0005-0000-0000-0000AB2D0000}"/>
    <cellStyle name="Standard 4 2 2 2 2 3 4 2 3 3" xfId="11514" xr:uid="{00000000-0005-0000-0000-0000AC2D0000}"/>
    <cellStyle name="Standard 4 2 2 2 2 3 4 2 4" xfId="11515" xr:uid="{00000000-0005-0000-0000-0000AD2D0000}"/>
    <cellStyle name="Standard 4 2 2 2 2 3 4 2 4 2" xfId="11516" xr:uid="{00000000-0005-0000-0000-0000AE2D0000}"/>
    <cellStyle name="Standard 4 2 2 2 2 3 4 2 5" xfId="11517" xr:uid="{00000000-0005-0000-0000-0000AF2D0000}"/>
    <cellStyle name="Standard 4 2 2 2 2 3 4 2 6" xfId="11518" xr:uid="{00000000-0005-0000-0000-0000B02D0000}"/>
    <cellStyle name="Standard 4 2 2 2 2 3 4 3" xfId="11519" xr:uid="{00000000-0005-0000-0000-0000B12D0000}"/>
    <cellStyle name="Standard 4 2 2 2 2 3 4 3 2" xfId="11520" xr:uid="{00000000-0005-0000-0000-0000B22D0000}"/>
    <cellStyle name="Standard 4 2 2 2 2 3 4 3 3" xfId="11521" xr:uid="{00000000-0005-0000-0000-0000B32D0000}"/>
    <cellStyle name="Standard 4 2 2 2 2 3 4 4" xfId="11522" xr:uid="{00000000-0005-0000-0000-0000B42D0000}"/>
    <cellStyle name="Standard 4 2 2 2 2 3 4 4 2" xfId="11523" xr:uid="{00000000-0005-0000-0000-0000B52D0000}"/>
    <cellStyle name="Standard 4 2 2 2 2 3 4 4 3" xfId="11524" xr:uid="{00000000-0005-0000-0000-0000B62D0000}"/>
    <cellStyle name="Standard 4 2 2 2 2 3 4 5" xfId="11525" xr:uid="{00000000-0005-0000-0000-0000B72D0000}"/>
    <cellStyle name="Standard 4 2 2 2 2 3 4 5 2" xfId="11526" xr:uid="{00000000-0005-0000-0000-0000B82D0000}"/>
    <cellStyle name="Standard 4 2 2 2 2 3 4 6" xfId="11527" xr:uid="{00000000-0005-0000-0000-0000B92D0000}"/>
    <cellStyle name="Standard 4 2 2 2 2 3 4 7" xfId="11528" xr:uid="{00000000-0005-0000-0000-0000BA2D0000}"/>
    <cellStyle name="Standard 4 2 2 2 2 3 5" xfId="11529" xr:uid="{00000000-0005-0000-0000-0000BB2D0000}"/>
    <cellStyle name="Standard 4 2 2 2 2 3 5 2" xfId="11530" xr:uid="{00000000-0005-0000-0000-0000BC2D0000}"/>
    <cellStyle name="Standard 4 2 2 2 2 3 5 2 2" xfId="11531" xr:uid="{00000000-0005-0000-0000-0000BD2D0000}"/>
    <cellStyle name="Standard 4 2 2 2 2 3 5 2 3" xfId="11532" xr:uid="{00000000-0005-0000-0000-0000BE2D0000}"/>
    <cellStyle name="Standard 4 2 2 2 2 3 5 3" xfId="11533" xr:uid="{00000000-0005-0000-0000-0000BF2D0000}"/>
    <cellStyle name="Standard 4 2 2 2 2 3 5 3 2" xfId="11534" xr:uid="{00000000-0005-0000-0000-0000C02D0000}"/>
    <cellStyle name="Standard 4 2 2 2 2 3 5 3 3" xfId="11535" xr:uid="{00000000-0005-0000-0000-0000C12D0000}"/>
    <cellStyle name="Standard 4 2 2 2 2 3 5 4" xfId="11536" xr:uid="{00000000-0005-0000-0000-0000C22D0000}"/>
    <cellStyle name="Standard 4 2 2 2 2 3 5 4 2" xfId="11537" xr:uid="{00000000-0005-0000-0000-0000C32D0000}"/>
    <cellStyle name="Standard 4 2 2 2 2 3 5 5" xfId="11538" xr:uid="{00000000-0005-0000-0000-0000C42D0000}"/>
    <cellStyle name="Standard 4 2 2 2 2 3 5 6" xfId="11539" xr:uid="{00000000-0005-0000-0000-0000C52D0000}"/>
    <cellStyle name="Standard 4 2 2 2 2 3 6" xfId="11540" xr:uid="{00000000-0005-0000-0000-0000C62D0000}"/>
    <cellStyle name="Standard 4 2 2 2 2 3 6 2" xfId="11541" xr:uid="{00000000-0005-0000-0000-0000C72D0000}"/>
    <cellStyle name="Standard 4 2 2 2 2 3 6 3" xfId="11542" xr:uid="{00000000-0005-0000-0000-0000C82D0000}"/>
    <cellStyle name="Standard 4 2 2 2 2 3 7" xfId="11543" xr:uid="{00000000-0005-0000-0000-0000C92D0000}"/>
    <cellStyle name="Standard 4 2 2 2 2 3 7 2" xfId="11544" xr:uid="{00000000-0005-0000-0000-0000CA2D0000}"/>
    <cellStyle name="Standard 4 2 2 2 2 3 7 3" xfId="11545" xr:uid="{00000000-0005-0000-0000-0000CB2D0000}"/>
    <cellStyle name="Standard 4 2 2 2 2 3 8" xfId="11546" xr:uid="{00000000-0005-0000-0000-0000CC2D0000}"/>
    <cellStyle name="Standard 4 2 2 2 2 3 8 2" xfId="11547" xr:uid="{00000000-0005-0000-0000-0000CD2D0000}"/>
    <cellStyle name="Standard 4 2 2 2 2 3 9" xfId="11548" xr:uid="{00000000-0005-0000-0000-0000CE2D0000}"/>
    <cellStyle name="Standard 4 2 2 2 2 4" xfId="11549" xr:uid="{00000000-0005-0000-0000-0000CF2D0000}"/>
    <cellStyle name="Standard 4 2 2 2 2 4 2" xfId="11550" xr:uid="{00000000-0005-0000-0000-0000D02D0000}"/>
    <cellStyle name="Standard 4 2 2 2 2 4 2 2" xfId="11551" xr:uid="{00000000-0005-0000-0000-0000D12D0000}"/>
    <cellStyle name="Standard 4 2 2 2 2 4 2 2 2" xfId="11552" xr:uid="{00000000-0005-0000-0000-0000D22D0000}"/>
    <cellStyle name="Standard 4 2 2 2 2 4 2 2 2 2" xfId="11553" xr:uid="{00000000-0005-0000-0000-0000D32D0000}"/>
    <cellStyle name="Standard 4 2 2 2 2 4 2 2 2 3" xfId="11554" xr:uid="{00000000-0005-0000-0000-0000D42D0000}"/>
    <cellStyle name="Standard 4 2 2 2 2 4 2 2 3" xfId="11555" xr:uid="{00000000-0005-0000-0000-0000D52D0000}"/>
    <cellStyle name="Standard 4 2 2 2 2 4 2 2 3 2" xfId="11556" xr:uid="{00000000-0005-0000-0000-0000D62D0000}"/>
    <cellStyle name="Standard 4 2 2 2 2 4 2 2 3 3" xfId="11557" xr:uid="{00000000-0005-0000-0000-0000D72D0000}"/>
    <cellStyle name="Standard 4 2 2 2 2 4 2 2 4" xfId="11558" xr:uid="{00000000-0005-0000-0000-0000D82D0000}"/>
    <cellStyle name="Standard 4 2 2 2 2 4 2 2 4 2" xfId="11559" xr:uid="{00000000-0005-0000-0000-0000D92D0000}"/>
    <cellStyle name="Standard 4 2 2 2 2 4 2 2 5" xfId="11560" xr:uid="{00000000-0005-0000-0000-0000DA2D0000}"/>
    <cellStyle name="Standard 4 2 2 2 2 4 2 2 6" xfId="11561" xr:uid="{00000000-0005-0000-0000-0000DB2D0000}"/>
    <cellStyle name="Standard 4 2 2 2 2 4 2 3" xfId="11562" xr:uid="{00000000-0005-0000-0000-0000DC2D0000}"/>
    <cellStyle name="Standard 4 2 2 2 2 4 2 3 2" xfId="11563" xr:uid="{00000000-0005-0000-0000-0000DD2D0000}"/>
    <cellStyle name="Standard 4 2 2 2 2 4 2 3 3" xfId="11564" xr:uid="{00000000-0005-0000-0000-0000DE2D0000}"/>
    <cellStyle name="Standard 4 2 2 2 2 4 2 4" xfId="11565" xr:uid="{00000000-0005-0000-0000-0000DF2D0000}"/>
    <cellStyle name="Standard 4 2 2 2 2 4 2 4 2" xfId="11566" xr:uid="{00000000-0005-0000-0000-0000E02D0000}"/>
    <cellStyle name="Standard 4 2 2 2 2 4 2 4 3" xfId="11567" xr:uid="{00000000-0005-0000-0000-0000E12D0000}"/>
    <cellStyle name="Standard 4 2 2 2 2 4 2 5" xfId="11568" xr:uid="{00000000-0005-0000-0000-0000E22D0000}"/>
    <cellStyle name="Standard 4 2 2 2 2 4 2 5 2" xfId="11569" xr:uid="{00000000-0005-0000-0000-0000E32D0000}"/>
    <cellStyle name="Standard 4 2 2 2 2 4 2 6" xfId="11570" xr:uid="{00000000-0005-0000-0000-0000E42D0000}"/>
    <cellStyle name="Standard 4 2 2 2 2 4 2 7" xfId="11571" xr:uid="{00000000-0005-0000-0000-0000E52D0000}"/>
    <cellStyle name="Standard 4 2 2 2 2 4 3" xfId="11572" xr:uid="{00000000-0005-0000-0000-0000E62D0000}"/>
    <cellStyle name="Standard 4 2 2 2 2 4 3 2" xfId="11573" xr:uid="{00000000-0005-0000-0000-0000E72D0000}"/>
    <cellStyle name="Standard 4 2 2 2 2 4 3 2 2" xfId="11574" xr:uid="{00000000-0005-0000-0000-0000E82D0000}"/>
    <cellStyle name="Standard 4 2 2 2 2 4 3 2 3" xfId="11575" xr:uid="{00000000-0005-0000-0000-0000E92D0000}"/>
    <cellStyle name="Standard 4 2 2 2 2 4 3 3" xfId="11576" xr:uid="{00000000-0005-0000-0000-0000EA2D0000}"/>
    <cellStyle name="Standard 4 2 2 2 2 4 3 3 2" xfId="11577" xr:uid="{00000000-0005-0000-0000-0000EB2D0000}"/>
    <cellStyle name="Standard 4 2 2 2 2 4 3 3 3" xfId="11578" xr:uid="{00000000-0005-0000-0000-0000EC2D0000}"/>
    <cellStyle name="Standard 4 2 2 2 2 4 3 4" xfId="11579" xr:uid="{00000000-0005-0000-0000-0000ED2D0000}"/>
    <cellStyle name="Standard 4 2 2 2 2 4 3 4 2" xfId="11580" xr:uid="{00000000-0005-0000-0000-0000EE2D0000}"/>
    <cellStyle name="Standard 4 2 2 2 2 4 3 5" xfId="11581" xr:uid="{00000000-0005-0000-0000-0000EF2D0000}"/>
    <cellStyle name="Standard 4 2 2 2 2 4 3 6" xfId="11582" xr:uid="{00000000-0005-0000-0000-0000F02D0000}"/>
    <cellStyle name="Standard 4 2 2 2 2 4 4" xfId="11583" xr:uid="{00000000-0005-0000-0000-0000F12D0000}"/>
    <cellStyle name="Standard 4 2 2 2 2 4 4 2" xfId="11584" xr:uid="{00000000-0005-0000-0000-0000F22D0000}"/>
    <cellStyle name="Standard 4 2 2 2 2 4 4 3" xfId="11585" xr:uid="{00000000-0005-0000-0000-0000F32D0000}"/>
    <cellStyle name="Standard 4 2 2 2 2 4 5" xfId="11586" xr:uid="{00000000-0005-0000-0000-0000F42D0000}"/>
    <cellStyle name="Standard 4 2 2 2 2 4 5 2" xfId="11587" xr:uid="{00000000-0005-0000-0000-0000F52D0000}"/>
    <cellStyle name="Standard 4 2 2 2 2 4 5 3" xfId="11588" xr:uid="{00000000-0005-0000-0000-0000F62D0000}"/>
    <cellStyle name="Standard 4 2 2 2 2 4 6" xfId="11589" xr:uid="{00000000-0005-0000-0000-0000F72D0000}"/>
    <cellStyle name="Standard 4 2 2 2 2 4 6 2" xfId="11590" xr:uid="{00000000-0005-0000-0000-0000F82D0000}"/>
    <cellStyle name="Standard 4 2 2 2 2 4 7" xfId="11591" xr:uid="{00000000-0005-0000-0000-0000F92D0000}"/>
    <cellStyle name="Standard 4 2 2 2 2 4 8" xfId="11592" xr:uid="{00000000-0005-0000-0000-0000FA2D0000}"/>
    <cellStyle name="Standard 4 2 2 2 2 5" xfId="11593" xr:uid="{00000000-0005-0000-0000-0000FB2D0000}"/>
    <cellStyle name="Standard 4 2 2 2 2 5 2" xfId="11594" xr:uid="{00000000-0005-0000-0000-0000FC2D0000}"/>
    <cellStyle name="Standard 4 2 2 2 2 5 2 2" xfId="11595" xr:uid="{00000000-0005-0000-0000-0000FD2D0000}"/>
    <cellStyle name="Standard 4 2 2 2 2 5 2 2 2" xfId="11596" xr:uid="{00000000-0005-0000-0000-0000FE2D0000}"/>
    <cellStyle name="Standard 4 2 2 2 2 5 2 2 2 2" xfId="11597" xr:uid="{00000000-0005-0000-0000-0000FF2D0000}"/>
    <cellStyle name="Standard 4 2 2 2 2 5 2 2 2 3" xfId="11598" xr:uid="{00000000-0005-0000-0000-0000002E0000}"/>
    <cellStyle name="Standard 4 2 2 2 2 5 2 2 3" xfId="11599" xr:uid="{00000000-0005-0000-0000-0000012E0000}"/>
    <cellStyle name="Standard 4 2 2 2 2 5 2 2 3 2" xfId="11600" xr:uid="{00000000-0005-0000-0000-0000022E0000}"/>
    <cellStyle name="Standard 4 2 2 2 2 5 2 2 3 3" xfId="11601" xr:uid="{00000000-0005-0000-0000-0000032E0000}"/>
    <cellStyle name="Standard 4 2 2 2 2 5 2 2 4" xfId="11602" xr:uid="{00000000-0005-0000-0000-0000042E0000}"/>
    <cellStyle name="Standard 4 2 2 2 2 5 2 2 4 2" xfId="11603" xr:uid="{00000000-0005-0000-0000-0000052E0000}"/>
    <cellStyle name="Standard 4 2 2 2 2 5 2 2 5" xfId="11604" xr:uid="{00000000-0005-0000-0000-0000062E0000}"/>
    <cellStyle name="Standard 4 2 2 2 2 5 2 2 6" xfId="11605" xr:uid="{00000000-0005-0000-0000-0000072E0000}"/>
    <cellStyle name="Standard 4 2 2 2 2 5 2 3" xfId="11606" xr:uid="{00000000-0005-0000-0000-0000082E0000}"/>
    <cellStyle name="Standard 4 2 2 2 2 5 2 3 2" xfId="11607" xr:uid="{00000000-0005-0000-0000-0000092E0000}"/>
    <cellStyle name="Standard 4 2 2 2 2 5 2 3 3" xfId="11608" xr:uid="{00000000-0005-0000-0000-00000A2E0000}"/>
    <cellStyle name="Standard 4 2 2 2 2 5 2 4" xfId="11609" xr:uid="{00000000-0005-0000-0000-00000B2E0000}"/>
    <cellStyle name="Standard 4 2 2 2 2 5 2 4 2" xfId="11610" xr:uid="{00000000-0005-0000-0000-00000C2E0000}"/>
    <cellStyle name="Standard 4 2 2 2 2 5 2 4 3" xfId="11611" xr:uid="{00000000-0005-0000-0000-00000D2E0000}"/>
    <cellStyle name="Standard 4 2 2 2 2 5 2 5" xfId="11612" xr:uid="{00000000-0005-0000-0000-00000E2E0000}"/>
    <cellStyle name="Standard 4 2 2 2 2 5 2 5 2" xfId="11613" xr:uid="{00000000-0005-0000-0000-00000F2E0000}"/>
    <cellStyle name="Standard 4 2 2 2 2 5 2 6" xfId="11614" xr:uid="{00000000-0005-0000-0000-0000102E0000}"/>
    <cellStyle name="Standard 4 2 2 2 2 5 2 7" xfId="11615" xr:uid="{00000000-0005-0000-0000-0000112E0000}"/>
    <cellStyle name="Standard 4 2 2 2 2 5 3" xfId="11616" xr:uid="{00000000-0005-0000-0000-0000122E0000}"/>
    <cellStyle name="Standard 4 2 2 2 2 5 3 2" xfId="11617" xr:uid="{00000000-0005-0000-0000-0000132E0000}"/>
    <cellStyle name="Standard 4 2 2 2 2 5 3 2 2" xfId="11618" xr:uid="{00000000-0005-0000-0000-0000142E0000}"/>
    <cellStyle name="Standard 4 2 2 2 2 5 3 2 3" xfId="11619" xr:uid="{00000000-0005-0000-0000-0000152E0000}"/>
    <cellStyle name="Standard 4 2 2 2 2 5 3 3" xfId="11620" xr:uid="{00000000-0005-0000-0000-0000162E0000}"/>
    <cellStyle name="Standard 4 2 2 2 2 5 3 3 2" xfId="11621" xr:uid="{00000000-0005-0000-0000-0000172E0000}"/>
    <cellStyle name="Standard 4 2 2 2 2 5 3 3 3" xfId="11622" xr:uid="{00000000-0005-0000-0000-0000182E0000}"/>
    <cellStyle name="Standard 4 2 2 2 2 5 3 4" xfId="11623" xr:uid="{00000000-0005-0000-0000-0000192E0000}"/>
    <cellStyle name="Standard 4 2 2 2 2 5 3 4 2" xfId="11624" xr:uid="{00000000-0005-0000-0000-00001A2E0000}"/>
    <cellStyle name="Standard 4 2 2 2 2 5 3 5" xfId="11625" xr:uid="{00000000-0005-0000-0000-00001B2E0000}"/>
    <cellStyle name="Standard 4 2 2 2 2 5 3 6" xfId="11626" xr:uid="{00000000-0005-0000-0000-00001C2E0000}"/>
    <cellStyle name="Standard 4 2 2 2 2 5 4" xfId="11627" xr:uid="{00000000-0005-0000-0000-00001D2E0000}"/>
    <cellStyle name="Standard 4 2 2 2 2 5 4 2" xfId="11628" xr:uid="{00000000-0005-0000-0000-00001E2E0000}"/>
    <cellStyle name="Standard 4 2 2 2 2 5 4 3" xfId="11629" xr:uid="{00000000-0005-0000-0000-00001F2E0000}"/>
    <cellStyle name="Standard 4 2 2 2 2 5 5" xfId="11630" xr:uid="{00000000-0005-0000-0000-0000202E0000}"/>
    <cellStyle name="Standard 4 2 2 2 2 5 5 2" xfId="11631" xr:uid="{00000000-0005-0000-0000-0000212E0000}"/>
    <cellStyle name="Standard 4 2 2 2 2 5 5 3" xfId="11632" xr:uid="{00000000-0005-0000-0000-0000222E0000}"/>
    <cellStyle name="Standard 4 2 2 2 2 5 6" xfId="11633" xr:uid="{00000000-0005-0000-0000-0000232E0000}"/>
    <cellStyle name="Standard 4 2 2 2 2 5 6 2" xfId="11634" xr:uid="{00000000-0005-0000-0000-0000242E0000}"/>
    <cellStyle name="Standard 4 2 2 2 2 5 7" xfId="11635" xr:uid="{00000000-0005-0000-0000-0000252E0000}"/>
    <cellStyle name="Standard 4 2 2 2 2 5 8" xfId="11636" xr:uid="{00000000-0005-0000-0000-0000262E0000}"/>
    <cellStyle name="Standard 4 2 2 2 2 6" xfId="11637" xr:uid="{00000000-0005-0000-0000-0000272E0000}"/>
    <cellStyle name="Standard 4 2 2 2 2 6 2" xfId="11638" xr:uid="{00000000-0005-0000-0000-0000282E0000}"/>
    <cellStyle name="Standard 4 2 2 2 2 6 2 2" xfId="11639" xr:uid="{00000000-0005-0000-0000-0000292E0000}"/>
    <cellStyle name="Standard 4 2 2 2 2 6 2 2 2" xfId="11640" xr:uid="{00000000-0005-0000-0000-00002A2E0000}"/>
    <cellStyle name="Standard 4 2 2 2 2 6 2 2 3" xfId="11641" xr:uid="{00000000-0005-0000-0000-00002B2E0000}"/>
    <cellStyle name="Standard 4 2 2 2 2 6 2 3" xfId="11642" xr:uid="{00000000-0005-0000-0000-00002C2E0000}"/>
    <cellStyle name="Standard 4 2 2 2 2 6 2 3 2" xfId="11643" xr:uid="{00000000-0005-0000-0000-00002D2E0000}"/>
    <cellStyle name="Standard 4 2 2 2 2 6 2 3 3" xfId="11644" xr:uid="{00000000-0005-0000-0000-00002E2E0000}"/>
    <cellStyle name="Standard 4 2 2 2 2 6 2 4" xfId="11645" xr:uid="{00000000-0005-0000-0000-00002F2E0000}"/>
    <cellStyle name="Standard 4 2 2 2 2 6 2 4 2" xfId="11646" xr:uid="{00000000-0005-0000-0000-0000302E0000}"/>
    <cellStyle name="Standard 4 2 2 2 2 6 2 5" xfId="11647" xr:uid="{00000000-0005-0000-0000-0000312E0000}"/>
    <cellStyle name="Standard 4 2 2 2 2 6 2 6" xfId="11648" xr:uid="{00000000-0005-0000-0000-0000322E0000}"/>
    <cellStyle name="Standard 4 2 2 2 2 6 3" xfId="11649" xr:uid="{00000000-0005-0000-0000-0000332E0000}"/>
    <cellStyle name="Standard 4 2 2 2 2 6 3 2" xfId="11650" xr:uid="{00000000-0005-0000-0000-0000342E0000}"/>
    <cellStyle name="Standard 4 2 2 2 2 6 3 3" xfId="11651" xr:uid="{00000000-0005-0000-0000-0000352E0000}"/>
    <cellStyle name="Standard 4 2 2 2 2 6 4" xfId="11652" xr:uid="{00000000-0005-0000-0000-0000362E0000}"/>
    <cellStyle name="Standard 4 2 2 2 2 6 4 2" xfId="11653" xr:uid="{00000000-0005-0000-0000-0000372E0000}"/>
    <cellStyle name="Standard 4 2 2 2 2 6 4 3" xfId="11654" xr:uid="{00000000-0005-0000-0000-0000382E0000}"/>
    <cellStyle name="Standard 4 2 2 2 2 6 5" xfId="11655" xr:uid="{00000000-0005-0000-0000-0000392E0000}"/>
    <cellStyle name="Standard 4 2 2 2 2 6 5 2" xfId="11656" xr:uid="{00000000-0005-0000-0000-00003A2E0000}"/>
    <cellStyle name="Standard 4 2 2 2 2 6 6" xfId="11657" xr:uid="{00000000-0005-0000-0000-00003B2E0000}"/>
    <cellStyle name="Standard 4 2 2 2 2 6 7" xfId="11658" xr:uid="{00000000-0005-0000-0000-00003C2E0000}"/>
    <cellStyle name="Standard 4 2 2 2 2 7" xfId="11659" xr:uid="{00000000-0005-0000-0000-00003D2E0000}"/>
    <cellStyle name="Standard 4 2 2 2 2 7 2" xfId="11660" xr:uid="{00000000-0005-0000-0000-00003E2E0000}"/>
    <cellStyle name="Standard 4 2 2 2 2 7 2 2" xfId="11661" xr:uid="{00000000-0005-0000-0000-00003F2E0000}"/>
    <cellStyle name="Standard 4 2 2 2 2 7 2 3" xfId="11662" xr:uid="{00000000-0005-0000-0000-0000402E0000}"/>
    <cellStyle name="Standard 4 2 2 2 2 7 3" xfId="11663" xr:uid="{00000000-0005-0000-0000-0000412E0000}"/>
    <cellStyle name="Standard 4 2 2 2 2 7 3 2" xfId="11664" xr:uid="{00000000-0005-0000-0000-0000422E0000}"/>
    <cellStyle name="Standard 4 2 2 2 2 7 3 3" xfId="11665" xr:uid="{00000000-0005-0000-0000-0000432E0000}"/>
    <cellStyle name="Standard 4 2 2 2 2 7 4" xfId="11666" xr:uid="{00000000-0005-0000-0000-0000442E0000}"/>
    <cellStyle name="Standard 4 2 2 2 2 7 4 2" xfId="11667" xr:uid="{00000000-0005-0000-0000-0000452E0000}"/>
    <cellStyle name="Standard 4 2 2 2 2 7 5" xfId="11668" xr:uid="{00000000-0005-0000-0000-0000462E0000}"/>
    <cellStyle name="Standard 4 2 2 2 2 7 6" xfId="11669" xr:uid="{00000000-0005-0000-0000-0000472E0000}"/>
    <cellStyle name="Standard 4 2 2 2 2 8" xfId="11670" xr:uid="{00000000-0005-0000-0000-0000482E0000}"/>
    <cellStyle name="Standard 4 2 2 2 2 8 2" xfId="11671" xr:uid="{00000000-0005-0000-0000-0000492E0000}"/>
    <cellStyle name="Standard 4 2 2 2 2 8 3" xfId="11672" xr:uid="{00000000-0005-0000-0000-00004A2E0000}"/>
    <cellStyle name="Standard 4 2 2 2 2 9" xfId="11673" xr:uid="{00000000-0005-0000-0000-00004B2E0000}"/>
    <cellStyle name="Standard 4 2 2 2 2 9 2" xfId="11674" xr:uid="{00000000-0005-0000-0000-00004C2E0000}"/>
    <cellStyle name="Standard 4 2 2 2 2 9 3" xfId="11675" xr:uid="{00000000-0005-0000-0000-00004D2E0000}"/>
    <cellStyle name="Standard 4 2 2 2 3" xfId="11676" xr:uid="{00000000-0005-0000-0000-00004E2E0000}"/>
    <cellStyle name="Standard 4 2 2 2 3 10" xfId="11677" xr:uid="{00000000-0005-0000-0000-00004F2E0000}"/>
    <cellStyle name="Standard 4 2 2 2 3 11" xfId="11678" xr:uid="{00000000-0005-0000-0000-0000502E0000}"/>
    <cellStyle name="Standard 4 2 2 2 3 2" xfId="11679" xr:uid="{00000000-0005-0000-0000-0000512E0000}"/>
    <cellStyle name="Standard 4 2 2 2 3 2 10" xfId="11680" xr:uid="{00000000-0005-0000-0000-0000522E0000}"/>
    <cellStyle name="Standard 4 2 2 2 3 2 2" xfId="11681" xr:uid="{00000000-0005-0000-0000-0000532E0000}"/>
    <cellStyle name="Standard 4 2 2 2 3 2 2 2" xfId="11682" xr:uid="{00000000-0005-0000-0000-0000542E0000}"/>
    <cellStyle name="Standard 4 2 2 2 3 2 2 2 2" xfId="11683" xr:uid="{00000000-0005-0000-0000-0000552E0000}"/>
    <cellStyle name="Standard 4 2 2 2 3 2 2 2 2 2" xfId="11684" xr:uid="{00000000-0005-0000-0000-0000562E0000}"/>
    <cellStyle name="Standard 4 2 2 2 3 2 2 2 2 2 2" xfId="11685" xr:uid="{00000000-0005-0000-0000-0000572E0000}"/>
    <cellStyle name="Standard 4 2 2 2 3 2 2 2 2 2 3" xfId="11686" xr:uid="{00000000-0005-0000-0000-0000582E0000}"/>
    <cellStyle name="Standard 4 2 2 2 3 2 2 2 2 3" xfId="11687" xr:uid="{00000000-0005-0000-0000-0000592E0000}"/>
    <cellStyle name="Standard 4 2 2 2 3 2 2 2 2 3 2" xfId="11688" xr:uid="{00000000-0005-0000-0000-00005A2E0000}"/>
    <cellStyle name="Standard 4 2 2 2 3 2 2 2 2 3 3" xfId="11689" xr:uid="{00000000-0005-0000-0000-00005B2E0000}"/>
    <cellStyle name="Standard 4 2 2 2 3 2 2 2 2 4" xfId="11690" xr:uid="{00000000-0005-0000-0000-00005C2E0000}"/>
    <cellStyle name="Standard 4 2 2 2 3 2 2 2 2 4 2" xfId="11691" xr:uid="{00000000-0005-0000-0000-00005D2E0000}"/>
    <cellStyle name="Standard 4 2 2 2 3 2 2 2 2 5" xfId="11692" xr:uid="{00000000-0005-0000-0000-00005E2E0000}"/>
    <cellStyle name="Standard 4 2 2 2 3 2 2 2 2 6" xfId="11693" xr:uid="{00000000-0005-0000-0000-00005F2E0000}"/>
    <cellStyle name="Standard 4 2 2 2 3 2 2 2 3" xfId="11694" xr:uid="{00000000-0005-0000-0000-0000602E0000}"/>
    <cellStyle name="Standard 4 2 2 2 3 2 2 2 3 2" xfId="11695" xr:uid="{00000000-0005-0000-0000-0000612E0000}"/>
    <cellStyle name="Standard 4 2 2 2 3 2 2 2 3 3" xfId="11696" xr:uid="{00000000-0005-0000-0000-0000622E0000}"/>
    <cellStyle name="Standard 4 2 2 2 3 2 2 2 4" xfId="11697" xr:uid="{00000000-0005-0000-0000-0000632E0000}"/>
    <cellStyle name="Standard 4 2 2 2 3 2 2 2 4 2" xfId="11698" xr:uid="{00000000-0005-0000-0000-0000642E0000}"/>
    <cellStyle name="Standard 4 2 2 2 3 2 2 2 4 3" xfId="11699" xr:uid="{00000000-0005-0000-0000-0000652E0000}"/>
    <cellStyle name="Standard 4 2 2 2 3 2 2 2 5" xfId="11700" xr:uid="{00000000-0005-0000-0000-0000662E0000}"/>
    <cellStyle name="Standard 4 2 2 2 3 2 2 2 5 2" xfId="11701" xr:uid="{00000000-0005-0000-0000-0000672E0000}"/>
    <cellStyle name="Standard 4 2 2 2 3 2 2 2 6" xfId="11702" xr:uid="{00000000-0005-0000-0000-0000682E0000}"/>
    <cellStyle name="Standard 4 2 2 2 3 2 2 2 7" xfId="11703" xr:uid="{00000000-0005-0000-0000-0000692E0000}"/>
    <cellStyle name="Standard 4 2 2 2 3 2 2 3" xfId="11704" xr:uid="{00000000-0005-0000-0000-00006A2E0000}"/>
    <cellStyle name="Standard 4 2 2 2 3 2 2 3 2" xfId="11705" xr:uid="{00000000-0005-0000-0000-00006B2E0000}"/>
    <cellStyle name="Standard 4 2 2 2 3 2 2 3 2 2" xfId="11706" xr:uid="{00000000-0005-0000-0000-00006C2E0000}"/>
    <cellStyle name="Standard 4 2 2 2 3 2 2 3 2 3" xfId="11707" xr:uid="{00000000-0005-0000-0000-00006D2E0000}"/>
    <cellStyle name="Standard 4 2 2 2 3 2 2 3 3" xfId="11708" xr:uid="{00000000-0005-0000-0000-00006E2E0000}"/>
    <cellStyle name="Standard 4 2 2 2 3 2 2 3 3 2" xfId="11709" xr:uid="{00000000-0005-0000-0000-00006F2E0000}"/>
    <cellStyle name="Standard 4 2 2 2 3 2 2 3 3 3" xfId="11710" xr:uid="{00000000-0005-0000-0000-0000702E0000}"/>
    <cellStyle name="Standard 4 2 2 2 3 2 2 3 4" xfId="11711" xr:uid="{00000000-0005-0000-0000-0000712E0000}"/>
    <cellStyle name="Standard 4 2 2 2 3 2 2 3 4 2" xfId="11712" xr:uid="{00000000-0005-0000-0000-0000722E0000}"/>
    <cellStyle name="Standard 4 2 2 2 3 2 2 3 5" xfId="11713" xr:uid="{00000000-0005-0000-0000-0000732E0000}"/>
    <cellStyle name="Standard 4 2 2 2 3 2 2 3 6" xfId="11714" xr:uid="{00000000-0005-0000-0000-0000742E0000}"/>
    <cellStyle name="Standard 4 2 2 2 3 2 2 4" xfId="11715" xr:uid="{00000000-0005-0000-0000-0000752E0000}"/>
    <cellStyle name="Standard 4 2 2 2 3 2 2 4 2" xfId="11716" xr:uid="{00000000-0005-0000-0000-0000762E0000}"/>
    <cellStyle name="Standard 4 2 2 2 3 2 2 4 3" xfId="11717" xr:uid="{00000000-0005-0000-0000-0000772E0000}"/>
    <cellStyle name="Standard 4 2 2 2 3 2 2 5" xfId="11718" xr:uid="{00000000-0005-0000-0000-0000782E0000}"/>
    <cellStyle name="Standard 4 2 2 2 3 2 2 5 2" xfId="11719" xr:uid="{00000000-0005-0000-0000-0000792E0000}"/>
    <cellStyle name="Standard 4 2 2 2 3 2 2 5 3" xfId="11720" xr:uid="{00000000-0005-0000-0000-00007A2E0000}"/>
    <cellStyle name="Standard 4 2 2 2 3 2 2 6" xfId="11721" xr:uid="{00000000-0005-0000-0000-00007B2E0000}"/>
    <cellStyle name="Standard 4 2 2 2 3 2 2 6 2" xfId="11722" xr:uid="{00000000-0005-0000-0000-00007C2E0000}"/>
    <cellStyle name="Standard 4 2 2 2 3 2 2 7" xfId="11723" xr:uid="{00000000-0005-0000-0000-00007D2E0000}"/>
    <cellStyle name="Standard 4 2 2 2 3 2 2 8" xfId="11724" xr:uid="{00000000-0005-0000-0000-00007E2E0000}"/>
    <cellStyle name="Standard 4 2 2 2 3 2 3" xfId="11725" xr:uid="{00000000-0005-0000-0000-00007F2E0000}"/>
    <cellStyle name="Standard 4 2 2 2 3 2 3 2" xfId="11726" xr:uid="{00000000-0005-0000-0000-0000802E0000}"/>
    <cellStyle name="Standard 4 2 2 2 3 2 3 2 2" xfId="11727" xr:uid="{00000000-0005-0000-0000-0000812E0000}"/>
    <cellStyle name="Standard 4 2 2 2 3 2 3 2 2 2" xfId="11728" xr:uid="{00000000-0005-0000-0000-0000822E0000}"/>
    <cellStyle name="Standard 4 2 2 2 3 2 3 2 2 2 2" xfId="11729" xr:uid="{00000000-0005-0000-0000-0000832E0000}"/>
    <cellStyle name="Standard 4 2 2 2 3 2 3 2 2 2 3" xfId="11730" xr:uid="{00000000-0005-0000-0000-0000842E0000}"/>
    <cellStyle name="Standard 4 2 2 2 3 2 3 2 2 3" xfId="11731" xr:uid="{00000000-0005-0000-0000-0000852E0000}"/>
    <cellStyle name="Standard 4 2 2 2 3 2 3 2 2 3 2" xfId="11732" xr:uid="{00000000-0005-0000-0000-0000862E0000}"/>
    <cellStyle name="Standard 4 2 2 2 3 2 3 2 2 3 3" xfId="11733" xr:uid="{00000000-0005-0000-0000-0000872E0000}"/>
    <cellStyle name="Standard 4 2 2 2 3 2 3 2 2 4" xfId="11734" xr:uid="{00000000-0005-0000-0000-0000882E0000}"/>
    <cellStyle name="Standard 4 2 2 2 3 2 3 2 2 4 2" xfId="11735" xr:uid="{00000000-0005-0000-0000-0000892E0000}"/>
    <cellStyle name="Standard 4 2 2 2 3 2 3 2 2 5" xfId="11736" xr:uid="{00000000-0005-0000-0000-00008A2E0000}"/>
    <cellStyle name="Standard 4 2 2 2 3 2 3 2 2 6" xfId="11737" xr:uid="{00000000-0005-0000-0000-00008B2E0000}"/>
    <cellStyle name="Standard 4 2 2 2 3 2 3 2 3" xfId="11738" xr:uid="{00000000-0005-0000-0000-00008C2E0000}"/>
    <cellStyle name="Standard 4 2 2 2 3 2 3 2 3 2" xfId="11739" xr:uid="{00000000-0005-0000-0000-00008D2E0000}"/>
    <cellStyle name="Standard 4 2 2 2 3 2 3 2 3 3" xfId="11740" xr:uid="{00000000-0005-0000-0000-00008E2E0000}"/>
    <cellStyle name="Standard 4 2 2 2 3 2 3 2 4" xfId="11741" xr:uid="{00000000-0005-0000-0000-00008F2E0000}"/>
    <cellStyle name="Standard 4 2 2 2 3 2 3 2 4 2" xfId="11742" xr:uid="{00000000-0005-0000-0000-0000902E0000}"/>
    <cellStyle name="Standard 4 2 2 2 3 2 3 2 4 3" xfId="11743" xr:uid="{00000000-0005-0000-0000-0000912E0000}"/>
    <cellStyle name="Standard 4 2 2 2 3 2 3 2 5" xfId="11744" xr:uid="{00000000-0005-0000-0000-0000922E0000}"/>
    <cellStyle name="Standard 4 2 2 2 3 2 3 2 5 2" xfId="11745" xr:uid="{00000000-0005-0000-0000-0000932E0000}"/>
    <cellStyle name="Standard 4 2 2 2 3 2 3 2 6" xfId="11746" xr:uid="{00000000-0005-0000-0000-0000942E0000}"/>
    <cellStyle name="Standard 4 2 2 2 3 2 3 2 7" xfId="11747" xr:uid="{00000000-0005-0000-0000-0000952E0000}"/>
    <cellStyle name="Standard 4 2 2 2 3 2 3 3" xfId="11748" xr:uid="{00000000-0005-0000-0000-0000962E0000}"/>
    <cellStyle name="Standard 4 2 2 2 3 2 3 3 2" xfId="11749" xr:uid="{00000000-0005-0000-0000-0000972E0000}"/>
    <cellStyle name="Standard 4 2 2 2 3 2 3 3 2 2" xfId="11750" xr:uid="{00000000-0005-0000-0000-0000982E0000}"/>
    <cellStyle name="Standard 4 2 2 2 3 2 3 3 2 3" xfId="11751" xr:uid="{00000000-0005-0000-0000-0000992E0000}"/>
    <cellStyle name="Standard 4 2 2 2 3 2 3 3 3" xfId="11752" xr:uid="{00000000-0005-0000-0000-00009A2E0000}"/>
    <cellStyle name="Standard 4 2 2 2 3 2 3 3 3 2" xfId="11753" xr:uid="{00000000-0005-0000-0000-00009B2E0000}"/>
    <cellStyle name="Standard 4 2 2 2 3 2 3 3 3 3" xfId="11754" xr:uid="{00000000-0005-0000-0000-00009C2E0000}"/>
    <cellStyle name="Standard 4 2 2 2 3 2 3 3 4" xfId="11755" xr:uid="{00000000-0005-0000-0000-00009D2E0000}"/>
    <cellStyle name="Standard 4 2 2 2 3 2 3 3 4 2" xfId="11756" xr:uid="{00000000-0005-0000-0000-00009E2E0000}"/>
    <cellStyle name="Standard 4 2 2 2 3 2 3 3 5" xfId="11757" xr:uid="{00000000-0005-0000-0000-00009F2E0000}"/>
    <cellStyle name="Standard 4 2 2 2 3 2 3 3 6" xfId="11758" xr:uid="{00000000-0005-0000-0000-0000A02E0000}"/>
    <cellStyle name="Standard 4 2 2 2 3 2 3 4" xfId="11759" xr:uid="{00000000-0005-0000-0000-0000A12E0000}"/>
    <cellStyle name="Standard 4 2 2 2 3 2 3 4 2" xfId="11760" xr:uid="{00000000-0005-0000-0000-0000A22E0000}"/>
    <cellStyle name="Standard 4 2 2 2 3 2 3 4 3" xfId="11761" xr:uid="{00000000-0005-0000-0000-0000A32E0000}"/>
    <cellStyle name="Standard 4 2 2 2 3 2 3 5" xfId="11762" xr:uid="{00000000-0005-0000-0000-0000A42E0000}"/>
    <cellStyle name="Standard 4 2 2 2 3 2 3 5 2" xfId="11763" xr:uid="{00000000-0005-0000-0000-0000A52E0000}"/>
    <cellStyle name="Standard 4 2 2 2 3 2 3 5 3" xfId="11764" xr:uid="{00000000-0005-0000-0000-0000A62E0000}"/>
    <cellStyle name="Standard 4 2 2 2 3 2 3 6" xfId="11765" xr:uid="{00000000-0005-0000-0000-0000A72E0000}"/>
    <cellStyle name="Standard 4 2 2 2 3 2 3 6 2" xfId="11766" xr:uid="{00000000-0005-0000-0000-0000A82E0000}"/>
    <cellStyle name="Standard 4 2 2 2 3 2 3 7" xfId="11767" xr:uid="{00000000-0005-0000-0000-0000A92E0000}"/>
    <cellStyle name="Standard 4 2 2 2 3 2 3 8" xfId="11768" xr:uid="{00000000-0005-0000-0000-0000AA2E0000}"/>
    <cellStyle name="Standard 4 2 2 2 3 2 4" xfId="11769" xr:uid="{00000000-0005-0000-0000-0000AB2E0000}"/>
    <cellStyle name="Standard 4 2 2 2 3 2 4 2" xfId="11770" xr:uid="{00000000-0005-0000-0000-0000AC2E0000}"/>
    <cellStyle name="Standard 4 2 2 2 3 2 4 2 2" xfId="11771" xr:uid="{00000000-0005-0000-0000-0000AD2E0000}"/>
    <cellStyle name="Standard 4 2 2 2 3 2 4 2 2 2" xfId="11772" xr:uid="{00000000-0005-0000-0000-0000AE2E0000}"/>
    <cellStyle name="Standard 4 2 2 2 3 2 4 2 2 3" xfId="11773" xr:uid="{00000000-0005-0000-0000-0000AF2E0000}"/>
    <cellStyle name="Standard 4 2 2 2 3 2 4 2 3" xfId="11774" xr:uid="{00000000-0005-0000-0000-0000B02E0000}"/>
    <cellStyle name="Standard 4 2 2 2 3 2 4 2 3 2" xfId="11775" xr:uid="{00000000-0005-0000-0000-0000B12E0000}"/>
    <cellStyle name="Standard 4 2 2 2 3 2 4 2 3 3" xfId="11776" xr:uid="{00000000-0005-0000-0000-0000B22E0000}"/>
    <cellStyle name="Standard 4 2 2 2 3 2 4 2 4" xfId="11777" xr:uid="{00000000-0005-0000-0000-0000B32E0000}"/>
    <cellStyle name="Standard 4 2 2 2 3 2 4 2 4 2" xfId="11778" xr:uid="{00000000-0005-0000-0000-0000B42E0000}"/>
    <cellStyle name="Standard 4 2 2 2 3 2 4 2 5" xfId="11779" xr:uid="{00000000-0005-0000-0000-0000B52E0000}"/>
    <cellStyle name="Standard 4 2 2 2 3 2 4 2 6" xfId="11780" xr:uid="{00000000-0005-0000-0000-0000B62E0000}"/>
    <cellStyle name="Standard 4 2 2 2 3 2 4 3" xfId="11781" xr:uid="{00000000-0005-0000-0000-0000B72E0000}"/>
    <cellStyle name="Standard 4 2 2 2 3 2 4 3 2" xfId="11782" xr:uid="{00000000-0005-0000-0000-0000B82E0000}"/>
    <cellStyle name="Standard 4 2 2 2 3 2 4 3 3" xfId="11783" xr:uid="{00000000-0005-0000-0000-0000B92E0000}"/>
    <cellStyle name="Standard 4 2 2 2 3 2 4 4" xfId="11784" xr:uid="{00000000-0005-0000-0000-0000BA2E0000}"/>
    <cellStyle name="Standard 4 2 2 2 3 2 4 4 2" xfId="11785" xr:uid="{00000000-0005-0000-0000-0000BB2E0000}"/>
    <cellStyle name="Standard 4 2 2 2 3 2 4 4 3" xfId="11786" xr:uid="{00000000-0005-0000-0000-0000BC2E0000}"/>
    <cellStyle name="Standard 4 2 2 2 3 2 4 5" xfId="11787" xr:uid="{00000000-0005-0000-0000-0000BD2E0000}"/>
    <cellStyle name="Standard 4 2 2 2 3 2 4 5 2" xfId="11788" xr:uid="{00000000-0005-0000-0000-0000BE2E0000}"/>
    <cellStyle name="Standard 4 2 2 2 3 2 4 6" xfId="11789" xr:uid="{00000000-0005-0000-0000-0000BF2E0000}"/>
    <cellStyle name="Standard 4 2 2 2 3 2 4 7" xfId="11790" xr:uid="{00000000-0005-0000-0000-0000C02E0000}"/>
    <cellStyle name="Standard 4 2 2 2 3 2 5" xfId="11791" xr:uid="{00000000-0005-0000-0000-0000C12E0000}"/>
    <cellStyle name="Standard 4 2 2 2 3 2 5 2" xfId="11792" xr:uid="{00000000-0005-0000-0000-0000C22E0000}"/>
    <cellStyle name="Standard 4 2 2 2 3 2 5 2 2" xfId="11793" xr:uid="{00000000-0005-0000-0000-0000C32E0000}"/>
    <cellStyle name="Standard 4 2 2 2 3 2 5 2 3" xfId="11794" xr:uid="{00000000-0005-0000-0000-0000C42E0000}"/>
    <cellStyle name="Standard 4 2 2 2 3 2 5 3" xfId="11795" xr:uid="{00000000-0005-0000-0000-0000C52E0000}"/>
    <cellStyle name="Standard 4 2 2 2 3 2 5 3 2" xfId="11796" xr:uid="{00000000-0005-0000-0000-0000C62E0000}"/>
    <cellStyle name="Standard 4 2 2 2 3 2 5 3 3" xfId="11797" xr:uid="{00000000-0005-0000-0000-0000C72E0000}"/>
    <cellStyle name="Standard 4 2 2 2 3 2 5 4" xfId="11798" xr:uid="{00000000-0005-0000-0000-0000C82E0000}"/>
    <cellStyle name="Standard 4 2 2 2 3 2 5 4 2" xfId="11799" xr:uid="{00000000-0005-0000-0000-0000C92E0000}"/>
    <cellStyle name="Standard 4 2 2 2 3 2 5 5" xfId="11800" xr:uid="{00000000-0005-0000-0000-0000CA2E0000}"/>
    <cellStyle name="Standard 4 2 2 2 3 2 5 6" xfId="11801" xr:uid="{00000000-0005-0000-0000-0000CB2E0000}"/>
    <cellStyle name="Standard 4 2 2 2 3 2 6" xfId="11802" xr:uid="{00000000-0005-0000-0000-0000CC2E0000}"/>
    <cellStyle name="Standard 4 2 2 2 3 2 6 2" xfId="11803" xr:uid="{00000000-0005-0000-0000-0000CD2E0000}"/>
    <cellStyle name="Standard 4 2 2 2 3 2 6 3" xfId="11804" xr:uid="{00000000-0005-0000-0000-0000CE2E0000}"/>
    <cellStyle name="Standard 4 2 2 2 3 2 7" xfId="11805" xr:uid="{00000000-0005-0000-0000-0000CF2E0000}"/>
    <cellStyle name="Standard 4 2 2 2 3 2 7 2" xfId="11806" xr:uid="{00000000-0005-0000-0000-0000D02E0000}"/>
    <cellStyle name="Standard 4 2 2 2 3 2 7 3" xfId="11807" xr:uid="{00000000-0005-0000-0000-0000D12E0000}"/>
    <cellStyle name="Standard 4 2 2 2 3 2 8" xfId="11808" xr:uid="{00000000-0005-0000-0000-0000D22E0000}"/>
    <cellStyle name="Standard 4 2 2 2 3 2 8 2" xfId="11809" xr:uid="{00000000-0005-0000-0000-0000D32E0000}"/>
    <cellStyle name="Standard 4 2 2 2 3 2 9" xfId="11810" xr:uid="{00000000-0005-0000-0000-0000D42E0000}"/>
    <cellStyle name="Standard 4 2 2 2 3 3" xfId="11811" xr:uid="{00000000-0005-0000-0000-0000D52E0000}"/>
    <cellStyle name="Standard 4 2 2 2 3 3 2" xfId="11812" xr:uid="{00000000-0005-0000-0000-0000D62E0000}"/>
    <cellStyle name="Standard 4 2 2 2 3 3 2 2" xfId="11813" xr:uid="{00000000-0005-0000-0000-0000D72E0000}"/>
    <cellStyle name="Standard 4 2 2 2 3 3 2 2 2" xfId="11814" xr:uid="{00000000-0005-0000-0000-0000D82E0000}"/>
    <cellStyle name="Standard 4 2 2 2 3 3 2 2 2 2" xfId="11815" xr:uid="{00000000-0005-0000-0000-0000D92E0000}"/>
    <cellStyle name="Standard 4 2 2 2 3 3 2 2 2 3" xfId="11816" xr:uid="{00000000-0005-0000-0000-0000DA2E0000}"/>
    <cellStyle name="Standard 4 2 2 2 3 3 2 2 3" xfId="11817" xr:uid="{00000000-0005-0000-0000-0000DB2E0000}"/>
    <cellStyle name="Standard 4 2 2 2 3 3 2 2 3 2" xfId="11818" xr:uid="{00000000-0005-0000-0000-0000DC2E0000}"/>
    <cellStyle name="Standard 4 2 2 2 3 3 2 2 3 3" xfId="11819" xr:uid="{00000000-0005-0000-0000-0000DD2E0000}"/>
    <cellStyle name="Standard 4 2 2 2 3 3 2 2 4" xfId="11820" xr:uid="{00000000-0005-0000-0000-0000DE2E0000}"/>
    <cellStyle name="Standard 4 2 2 2 3 3 2 2 4 2" xfId="11821" xr:uid="{00000000-0005-0000-0000-0000DF2E0000}"/>
    <cellStyle name="Standard 4 2 2 2 3 3 2 2 5" xfId="11822" xr:uid="{00000000-0005-0000-0000-0000E02E0000}"/>
    <cellStyle name="Standard 4 2 2 2 3 3 2 2 6" xfId="11823" xr:uid="{00000000-0005-0000-0000-0000E12E0000}"/>
    <cellStyle name="Standard 4 2 2 2 3 3 2 3" xfId="11824" xr:uid="{00000000-0005-0000-0000-0000E22E0000}"/>
    <cellStyle name="Standard 4 2 2 2 3 3 2 3 2" xfId="11825" xr:uid="{00000000-0005-0000-0000-0000E32E0000}"/>
    <cellStyle name="Standard 4 2 2 2 3 3 2 3 3" xfId="11826" xr:uid="{00000000-0005-0000-0000-0000E42E0000}"/>
    <cellStyle name="Standard 4 2 2 2 3 3 2 4" xfId="11827" xr:uid="{00000000-0005-0000-0000-0000E52E0000}"/>
    <cellStyle name="Standard 4 2 2 2 3 3 2 4 2" xfId="11828" xr:uid="{00000000-0005-0000-0000-0000E62E0000}"/>
    <cellStyle name="Standard 4 2 2 2 3 3 2 4 3" xfId="11829" xr:uid="{00000000-0005-0000-0000-0000E72E0000}"/>
    <cellStyle name="Standard 4 2 2 2 3 3 2 5" xfId="11830" xr:uid="{00000000-0005-0000-0000-0000E82E0000}"/>
    <cellStyle name="Standard 4 2 2 2 3 3 2 5 2" xfId="11831" xr:uid="{00000000-0005-0000-0000-0000E92E0000}"/>
    <cellStyle name="Standard 4 2 2 2 3 3 2 6" xfId="11832" xr:uid="{00000000-0005-0000-0000-0000EA2E0000}"/>
    <cellStyle name="Standard 4 2 2 2 3 3 2 7" xfId="11833" xr:uid="{00000000-0005-0000-0000-0000EB2E0000}"/>
    <cellStyle name="Standard 4 2 2 2 3 3 3" xfId="11834" xr:uid="{00000000-0005-0000-0000-0000EC2E0000}"/>
    <cellStyle name="Standard 4 2 2 2 3 3 3 2" xfId="11835" xr:uid="{00000000-0005-0000-0000-0000ED2E0000}"/>
    <cellStyle name="Standard 4 2 2 2 3 3 3 2 2" xfId="11836" xr:uid="{00000000-0005-0000-0000-0000EE2E0000}"/>
    <cellStyle name="Standard 4 2 2 2 3 3 3 2 3" xfId="11837" xr:uid="{00000000-0005-0000-0000-0000EF2E0000}"/>
    <cellStyle name="Standard 4 2 2 2 3 3 3 3" xfId="11838" xr:uid="{00000000-0005-0000-0000-0000F02E0000}"/>
    <cellStyle name="Standard 4 2 2 2 3 3 3 3 2" xfId="11839" xr:uid="{00000000-0005-0000-0000-0000F12E0000}"/>
    <cellStyle name="Standard 4 2 2 2 3 3 3 3 3" xfId="11840" xr:uid="{00000000-0005-0000-0000-0000F22E0000}"/>
    <cellStyle name="Standard 4 2 2 2 3 3 3 4" xfId="11841" xr:uid="{00000000-0005-0000-0000-0000F32E0000}"/>
    <cellStyle name="Standard 4 2 2 2 3 3 3 4 2" xfId="11842" xr:uid="{00000000-0005-0000-0000-0000F42E0000}"/>
    <cellStyle name="Standard 4 2 2 2 3 3 3 5" xfId="11843" xr:uid="{00000000-0005-0000-0000-0000F52E0000}"/>
    <cellStyle name="Standard 4 2 2 2 3 3 3 6" xfId="11844" xr:uid="{00000000-0005-0000-0000-0000F62E0000}"/>
    <cellStyle name="Standard 4 2 2 2 3 3 4" xfId="11845" xr:uid="{00000000-0005-0000-0000-0000F72E0000}"/>
    <cellStyle name="Standard 4 2 2 2 3 3 4 2" xfId="11846" xr:uid="{00000000-0005-0000-0000-0000F82E0000}"/>
    <cellStyle name="Standard 4 2 2 2 3 3 4 3" xfId="11847" xr:uid="{00000000-0005-0000-0000-0000F92E0000}"/>
    <cellStyle name="Standard 4 2 2 2 3 3 5" xfId="11848" xr:uid="{00000000-0005-0000-0000-0000FA2E0000}"/>
    <cellStyle name="Standard 4 2 2 2 3 3 5 2" xfId="11849" xr:uid="{00000000-0005-0000-0000-0000FB2E0000}"/>
    <cellStyle name="Standard 4 2 2 2 3 3 5 3" xfId="11850" xr:uid="{00000000-0005-0000-0000-0000FC2E0000}"/>
    <cellStyle name="Standard 4 2 2 2 3 3 6" xfId="11851" xr:uid="{00000000-0005-0000-0000-0000FD2E0000}"/>
    <cellStyle name="Standard 4 2 2 2 3 3 6 2" xfId="11852" xr:uid="{00000000-0005-0000-0000-0000FE2E0000}"/>
    <cellStyle name="Standard 4 2 2 2 3 3 7" xfId="11853" xr:uid="{00000000-0005-0000-0000-0000FF2E0000}"/>
    <cellStyle name="Standard 4 2 2 2 3 3 8" xfId="11854" xr:uid="{00000000-0005-0000-0000-0000002F0000}"/>
    <cellStyle name="Standard 4 2 2 2 3 4" xfId="11855" xr:uid="{00000000-0005-0000-0000-0000012F0000}"/>
    <cellStyle name="Standard 4 2 2 2 3 4 2" xfId="11856" xr:uid="{00000000-0005-0000-0000-0000022F0000}"/>
    <cellStyle name="Standard 4 2 2 2 3 4 2 2" xfId="11857" xr:uid="{00000000-0005-0000-0000-0000032F0000}"/>
    <cellStyle name="Standard 4 2 2 2 3 4 2 2 2" xfId="11858" xr:uid="{00000000-0005-0000-0000-0000042F0000}"/>
    <cellStyle name="Standard 4 2 2 2 3 4 2 2 2 2" xfId="11859" xr:uid="{00000000-0005-0000-0000-0000052F0000}"/>
    <cellStyle name="Standard 4 2 2 2 3 4 2 2 2 3" xfId="11860" xr:uid="{00000000-0005-0000-0000-0000062F0000}"/>
    <cellStyle name="Standard 4 2 2 2 3 4 2 2 3" xfId="11861" xr:uid="{00000000-0005-0000-0000-0000072F0000}"/>
    <cellStyle name="Standard 4 2 2 2 3 4 2 2 3 2" xfId="11862" xr:uid="{00000000-0005-0000-0000-0000082F0000}"/>
    <cellStyle name="Standard 4 2 2 2 3 4 2 2 3 3" xfId="11863" xr:uid="{00000000-0005-0000-0000-0000092F0000}"/>
    <cellStyle name="Standard 4 2 2 2 3 4 2 2 4" xfId="11864" xr:uid="{00000000-0005-0000-0000-00000A2F0000}"/>
    <cellStyle name="Standard 4 2 2 2 3 4 2 2 4 2" xfId="11865" xr:uid="{00000000-0005-0000-0000-00000B2F0000}"/>
    <cellStyle name="Standard 4 2 2 2 3 4 2 2 5" xfId="11866" xr:uid="{00000000-0005-0000-0000-00000C2F0000}"/>
    <cellStyle name="Standard 4 2 2 2 3 4 2 2 6" xfId="11867" xr:uid="{00000000-0005-0000-0000-00000D2F0000}"/>
    <cellStyle name="Standard 4 2 2 2 3 4 2 3" xfId="11868" xr:uid="{00000000-0005-0000-0000-00000E2F0000}"/>
    <cellStyle name="Standard 4 2 2 2 3 4 2 3 2" xfId="11869" xr:uid="{00000000-0005-0000-0000-00000F2F0000}"/>
    <cellStyle name="Standard 4 2 2 2 3 4 2 3 3" xfId="11870" xr:uid="{00000000-0005-0000-0000-0000102F0000}"/>
    <cellStyle name="Standard 4 2 2 2 3 4 2 4" xfId="11871" xr:uid="{00000000-0005-0000-0000-0000112F0000}"/>
    <cellStyle name="Standard 4 2 2 2 3 4 2 4 2" xfId="11872" xr:uid="{00000000-0005-0000-0000-0000122F0000}"/>
    <cellStyle name="Standard 4 2 2 2 3 4 2 4 3" xfId="11873" xr:uid="{00000000-0005-0000-0000-0000132F0000}"/>
    <cellStyle name="Standard 4 2 2 2 3 4 2 5" xfId="11874" xr:uid="{00000000-0005-0000-0000-0000142F0000}"/>
    <cellStyle name="Standard 4 2 2 2 3 4 2 5 2" xfId="11875" xr:uid="{00000000-0005-0000-0000-0000152F0000}"/>
    <cellStyle name="Standard 4 2 2 2 3 4 2 6" xfId="11876" xr:uid="{00000000-0005-0000-0000-0000162F0000}"/>
    <cellStyle name="Standard 4 2 2 2 3 4 2 7" xfId="11877" xr:uid="{00000000-0005-0000-0000-0000172F0000}"/>
    <cellStyle name="Standard 4 2 2 2 3 4 3" xfId="11878" xr:uid="{00000000-0005-0000-0000-0000182F0000}"/>
    <cellStyle name="Standard 4 2 2 2 3 4 3 2" xfId="11879" xr:uid="{00000000-0005-0000-0000-0000192F0000}"/>
    <cellStyle name="Standard 4 2 2 2 3 4 3 2 2" xfId="11880" xr:uid="{00000000-0005-0000-0000-00001A2F0000}"/>
    <cellStyle name="Standard 4 2 2 2 3 4 3 2 3" xfId="11881" xr:uid="{00000000-0005-0000-0000-00001B2F0000}"/>
    <cellStyle name="Standard 4 2 2 2 3 4 3 3" xfId="11882" xr:uid="{00000000-0005-0000-0000-00001C2F0000}"/>
    <cellStyle name="Standard 4 2 2 2 3 4 3 3 2" xfId="11883" xr:uid="{00000000-0005-0000-0000-00001D2F0000}"/>
    <cellStyle name="Standard 4 2 2 2 3 4 3 3 3" xfId="11884" xr:uid="{00000000-0005-0000-0000-00001E2F0000}"/>
    <cellStyle name="Standard 4 2 2 2 3 4 3 4" xfId="11885" xr:uid="{00000000-0005-0000-0000-00001F2F0000}"/>
    <cellStyle name="Standard 4 2 2 2 3 4 3 4 2" xfId="11886" xr:uid="{00000000-0005-0000-0000-0000202F0000}"/>
    <cellStyle name="Standard 4 2 2 2 3 4 3 5" xfId="11887" xr:uid="{00000000-0005-0000-0000-0000212F0000}"/>
    <cellStyle name="Standard 4 2 2 2 3 4 3 6" xfId="11888" xr:uid="{00000000-0005-0000-0000-0000222F0000}"/>
    <cellStyle name="Standard 4 2 2 2 3 4 4" xfId="11889" xr:uid="{00000000-0005-0000-0000-0000232F0000}"/>
    <cellStyle name="Standard 4 2 2 2 3 4 4 2" xfId="11890" xr:uid="{00000000-0005-0000-0000-0000242F0000}"/>
    <cellStyle name="Standard 4 2 2 2 3 4 4 3" xfId="11891" xr:uid="{00000000-0005-0000-0000-0000252F0000}"/>
    <cellStyle name="Standard 4 2 2 2 3 4 5" xfId="11892" xr:uid="{00000000-0005-0000-0000-0000262F0000}"/>
    <cellStyle name="Standard 4 2 2 2 3 4 5 2" xfId="11893" xr:uid="{00000000-0005-0000-0000-0000272F0000}"/>
    <cellStyle name="Standard 4 2 2 2 3 4 5 3" xfId="11894" xr:uid="{00000000-0005-0000-0000-0000282F0000}"/>
    <cellStyle name="Standard 4 2 2 2 3 4 6" xfId="11895" xr:uid="{00000000-0005-0000-0000-0000292F0000}"/>
    <cellStyle name="Standard 4 2 2 2 3 4 6 2" xfId="11896" xr:uid="{00000000-0005-0000-0000-00002A2F0000}"/>
    <cellStyle name="Standard 4 2 2 2 3 4 7" xfId="11897" xr:uid="{00000000-0005-0000-0000-00002B2F0000}"/>
    <cellStyle name="Standard 4 2 2 2 3 4 8" xfId="11898" xr:uid="{00000000-0005-0000-0000-00002C2F0000}"/>
    <cellStyle name="Standard 4 2 2 2 3 5" xfId="11899" xr:uid="{00000000-0005-0000-0000-00002D2F0000}"/>
    <cellStyle name="Standard 4 2 2 2 3 5 2" xfId="11900" xr:uid="{00000000-0005-0000-0000-00002E2F0000}"/>
    <cellStyle name="Standard 4 2 2 2 3 5 2 2" xfId="11901" xr:uid="{00000000-0005-0000-0000-00002F2F0000}"/>
    <cellStyle name="Standard 4 2 2 2 3 5 2 2 2" xfId="11902" xr:uid="{00000000-0005-0000-0000-0000302F0000}"/>
    <cellStyle name="Standard 4 2 2 2 3 5 2 2 3" xfId="11903" xr:uid="{00000000-0005-0000-0000-0000312F0000}"/>
    <cellStyle name="Standard 4 2 2 2 3 5 2 3" xfId="11904" xr:uid="{00000000-0005-0000-0000-0000322F0000}"/>
    <cellStyle name="Standard 4 2 2 2 3 5 2 3 2" xfId="11905" xr:uid="{00000000-0005-0000-0000-0000332F0000}"/>
    <cellStyle name="Standard 4 2 2 2 3 5 2 3 3" xfId="11906" xr:uid="{00000000-0005-0000-0000-0000342F0000}"/>
    <cellStyle name="Standard 4 2 2 2 3 5 2 4" xfId="11907" xr:uid="{00000000-0005-0000-0000-0000352F0000}"/>
    <cellStyle name="Standard 4 2 2 2 3 5 2 4 2" xfId="11908" xr:uid="{00000000-0005-0000-0000-0000362F0000}"/>
    <cellStyle name="Standard 4 2 2 2 3 5 2 5" xfId="11909" xr:uid="{00000000-0005-0000-0000-0000372F0000}"/>
    <cellStyle name="Standard 4 2 2 2 3 5 2 6" xfId="11910" xr:uid="{00000000-0005-0000-0000-0000382F0000}"/>
    <cellStyle name="Standard 4 2 2 2 3 5 3" xfId="11911" xr:uid="{00000000-0005-0000-0000-0000392F0000}"/>
    <cellStyle name="Standard 4 2 2 2 3 5 3 2" xfId="11912" xr:uid="{00000000-0005-0000-0000-00003A2F0000}"/>
    <cellStyle name="Standard 4 2 2 2 3 5 3 3" xfId="11913" xr:uid="{00000000-0005-0000-0000-00003B2F0000}"/>
    <cellStyle name="Standard 4 2 2 2 3 5 4" xfId="11914" xr:uid="{00000000-0005-0000-0000-00003C2F0000}"/>
    <cellStyle name="Standard 4 2 2 2 3 5 4 2" xfId="11915" xr:uid="{00000000-0005-0000-0000-00003D2F0000}"/>
    <cellStyle name="Standard 4 2 2 2 3 5 4 3" xfId="11916" xr:uid="{00000000-0005-0000-0000-00003E2F0000}"/>
    <cellStyle name="Standard 4 2 2 2 3 5 5" xfId="11917" xr:uid="{00000000-0005-0000-0000-00003F2F0000}"/>
    <cellStyle name="Standard 4 2 2 2 3 5 5 2" xfId="11918" xr:uid="{00000000-0005-0000-0000-0000402F0000}"/>
    <cellStyle name="Standard 4 2 2 2 3 5 6" xfId="11919" xr:uid="{00000000-0005-0000-0000-0000412F0000}"/>
    <cellStyle name="Standard 4 2 2 2 3 5 7" xfId="11920" xr:uid="{00000000-0005-0000-0000-0000422F0000}"/>
    <cellStyle name="Standard 4 2 2 2 3 6" xfId="11921" xr:uid="{00000000-0005-0000-0000-0000432F0000}"/>
    <cellStyle name="Standard 4 2 2 2 3 6 2" xfId="11922" xr:uid="{00000000-0005-0000-0000-0000442F0000}"/>
    <cellStyle name="Standard 4 2 2 2 3 6 2 2" xfId="11923" xr:uid="{00000000-0005-0000-0000-0000452F0000}"/>
    <cellStyle name="Standard 4 2 2 2 3 6 2 3" xfId="11924" xr:uid="{00000000-0005-0000-0000-0000462F0000}"/>
    <cellStyle name="Standard 4 2 2 2 3 6 3" xfId="11925" xr:uid="{00000000-0005-0000-0000-0000472F0000}"/>
    <cellStyle name="Standard 4 2 2 2 3 6 3 2" xfId="11926" xr:uid="{00000000-0005-0000-0000-0000482F0000}"/>
    <cellStyle name="Standard 4 2 2 2 3 6 3 3" xfId="11927" xr:uid="{00000000-0005-0000-0000-0000492F0000}"/>
    <cellStyle name="Standard 4 2 2 2 3 6 4" xfId="11928" xr:uid="{00000000-0005-0000-0000-00004A2F0000}"/>
    <cellStyle name="Standard 4 2 2 2 3 6 4 2" xfId="11929" xr:uid="{00000000-0005-0000-0000-00004B2F0000}"/>
    <cellStyle name="Standard 4 2 2 2 3 6 5" xfId="11930" xr:uid="{00000000-0005-0000-0000-00004C2F0000}"/>
    <cellStyle name="Standard 4 2 2 2 3 6 6" xfId="11931" xr:uid="{00000000-0005-0000-0000-00004D2F0000}"/>
    <cellStyle name="Standard 4 2 2 2 3 7" xfId="11932" xr:uid="{00000000-0005-0000-0000-00004E2F0000}"/>
    <cellStyle name="Standard 4 2 2 2 3 7 2" xfId="11933" xr:uid="{00000000-0005-0000-0000-00004F2F0000}"/>
    <cellStyle name="Standard 4 2 2 2 3 7 3" xfId="11934" xr:uid="{00000000-0005-0000-0000-0000502F0000}"/>
    <cellStyle name="Standard 4 2 2 2 3 8" xfId="11935" xr:uid="{00000000-0005-0000-0000-0000512F0000}"/>
    <cellStyle name="Standard 4 2 2 2 3 8 2" xfId="11936" xr:uid="{00000000-0005-0000-0000-0000522F0000}"/>
    <cellStyle name="Standard 4 2 2 2 3 8 3" xfId="11937" xr:uid="{00000000-0005-0000-0000-0000532F0000}"/>
    <cellStyle name="Standard 4 2 2 2 3 9" xfId="11938" xr:uid="{00000000-0005-0000-0000-0000542F0000}"/>
    <cellStyle name="Standard 4 2 2 2 3 9 2" xfId="11939" xr:uid="{00000000-0005-0000-0000-0000552F0000}"/>
    <cellStyle name="Standard 4 2 2 2 4" xfId="11940" xr:uid="{00000000-0005-0000-0000-0000562F0000}"/>
    <cellStyle name="Standard 4 2 2 2 4 10" xfId="11941" xr:uid="{00000000-0005-0000-0000-0000572F0000}"/>
    <cellStyle name="Standard 4 2 2 2 4 11" xfId="11942" xr:uid="{00000000-0005-0000-0000-0000582F0000}"/>
    <cellStyle name="Standard 4 2 2 2 4 2" xfId="11943" xr:uid="{00000000-0005-0000-0000-0000592F0000}"/>
    <cellStyle name="Standard 4 2 2 2 4 2 10" xfId="11944" xr:uid="{00000000-0005-0000-0000-00005A2F0000}"/>
    <cellStyle name="Standard 4 2 2 2 4 2 2" xfId="11945" xr:uid="{00000000-0005-0000-0000-00005B2F0000}"/>
    <cellStyle name="Standard 4 2 2 2 4 2 2 2" xfId="11946" xr:uid="{00000000-0005-0000-0000-00005C2F0000}"/>
    <cellStyle name="Standard 4 2 2 2 4 2 2 2 2" xfId="11947" xr:uid="{00000000-0005-0000-0000-00005D2F0000}"/>
    <cellStyle name="Standard 4 2 2 2 4 2 2 2 2 2" xfId="11948" xr:uid="{00000000-0005-0000-0000-00005E2F0000}"/>
    <cellStyle name="Standard 4 2 2 2 4 2 2 2 2 2 2" xfId="11949" xr:uid="{00000000-0005-0000-0000-00005F2F0000}"/>
    <cellStyle name="Standard 4 2 2 2 4 2 2 2 2 2 3" xfId="11950" xr:uid="{00000000-0005-0000-0000-0000602F0000}"/>
    <cellStyle name="Standard 4 2 2 2 4 2 2 2 2 3" xfId="11951" xr:uid="{00000000-0005-0000-0000-0000612F0000}"/>
    <cellStyle name="Standard 4 2 2 2 4 2 2 2 2 3 2" xfId="11952" xr:uid="{00000000-0005-0000-0000-0000622F0000}"/>
    <cellStyle name="Standard 4 2 2 2 4 2 2 2 2 3 3" xfId="11953" xr:uid="{00000000-0005-0000-0000-0000632F0000}"/>
    <cellStyle name="Standard 4 2 2 2 4 2 2 2 2 4" xfId="11954" xr:uid="{00000000-0005-0000-0000-0000642F0000}"/>
    <cellStyle name="Standard 4 2 2 2 4 2 2 2 2 4 2" xfId="11955" xr:uid="{00000000-0005-0000-0000-0000652F0000}"/>
    <cellStyle name="Standard 4 2 2 2 4 2 2 2 2 5" xfId="11956" xr:uid="{00000000-0005-0000-0000-0000662F0000}"/>
    <cellStyle name="Standard 4 2 2 2 4 2 2 2 2 6" xfId="11957" xr:uid="{00000000-0005-0000-0000-0000672F0000}"/>
    <cellStyle name="Standard 4 2 2 2 4 2 2 2 3" xfId="11958" xr:uid="{00000000-0005-0000-0000-0000682F0000}"/>
    <cellStyle name="Standard 4 2 2 2 4 2 2 2 3 2" xfId="11959" xr:uid="{00000000-0005-0000-0000-0000692F0000}"/>
    <cellStyle name="Standard 4 2 2 2 4 2 2 2 3 3" xfId="11960" xr:uid="{00000000-0005-0000-0000-00006A2F0000}"/>
    <cellStyle name="Standard 4 2 2 2 4 2 2 2 4" xfId="11961" xr:uid="{00000000-0005-0000-0000-00006B2F0000}"/>
    <cellStyle name="Standard 4 2 2 2 4 2 2 2 4 2" xfId="11962" xr:uid="{00000000-0005-0000-0000-00006C2F0000}"/>
    <cellStyle name="Standard 4 2 2 2 4 2 2 2 4 3" xfId="11963" xr:uid="{00000000-0005-0000-0000-00006D2F0000}"/>
    <cellStyle name="Standard 4 2 2 2 4 2 2 2 5" xfId="11964" xr:uid="{00000000-0005-0000-0000-00006E2F0000}"/>
    <cellStyle name="Standard 4 2 2 2 4 2 2 2 5 2" xfId="11965" xr:uid="{00000000-0005-0000-0000-00006F2F0000}"/>
    <cellStyle name="Standard 4 2 2 2 4 2 2 2 6" xfId="11966" xr:uid="{00000000-0005-0000-0000-0000702F0000}"/>
    <cellStyle name="Standard 4 2 2 2 4 2 2 2 7" xfId="11967" xr:uid="{00000000-0005-0000-0000-0000712F0000}"/>
    <cellStyle name="Standard 4 2 2 2 4 2 2 3" xfId="11968" xr:uid="{00000000-0005-0000-0000-0000722F0000}"/>
    <cellStyle name="Standard 4 2 2 2 4 2 2 3 2" xfId="11969" xr:uid="{00000000-0005-0000-0000-0000732F0000}"/>
    <cellStyle name="Standard 4 2 2 2 4 2 2 3 2 2" xfId="11970" xr:uid="{00000000-0005-0000-0000-0000742F0000}"/>
    <cellStyle name="Standard 4 2 2 2 4 2 2 3 2 3" xfId="11971" xr:uid="{00000000-0005-0000-0000-0000752F0000}"/>
    <cellStyle name="Standard 4 2 2 2 4 2 2 3 3" xfId="11972" xr:uid="{00000000-0005-0000-0000-0000762F0000}"/>
    <cellStyle name="Standard 4 2 2 2 4 2 2 3 3 2" xfId="11973" xr:uid="{00000000-0005-0000-0000-0000772F0000}"/>
    <cellStyle name="Standard 4 2 2 2 4 2 2 3 3 3" xfId="11974" xr:uid="{00000000-0005-0000-0000-0000782F0000}"/>
    <cellStyle name="Standard 4 2 2 2 4 2 2 3 4" xfId="11975" xr:uid="{00000000-0005-0000-0000-0000792F0000}"/>
    <cellStyle name="Standard 4 2 2 2 4 2 2 3 4 2" xfId="11976" xr:uid="{00000000-0005-0000-0000-00007A2F0000}"/>
    <cellStyle name="Standard 4 2 2 2 4 2 2 3 5" xfId="11977" xr:uid="{00000000-0005-0000-0000-00007B2F0000}"/>
    <cellStyle name="Standard 4 2 2 2 4 2 2 3 6" xfId="11978" xr:uid="{00000000-0005-0000-0000-00007C2F0000}"/>
    <cellStyle name="Standard 4 2 2 2 4 2 2 4" xfId="11979" xr:uid="{00000000-0005-0000-0000-00007D2F0000}"/>
    <cellStyle name="Standard 4 2 2 2 4 2 2 4 2" xfId="11980" xr:uid="{00000000-0005-0000-0000-00007E2F0000}"/>
    <cellStyle name="Standard 4 2 2 2 4 2 2 4 3" xfId="11981" xr:uid="{00000000-0005-0000-0000-00007F2F0000}"/>
    <cellStyle name="Standard 4 2 2 2 4 2 2 5" xfId="11982" xr:uid="{00000000-0005-0000-0000-0000802F0000}"/>
    <cellStyle name="Standard 4 2 2 2 4 2 2 5 2" xfId="11983" xr:uid="{00000000-0005-0000-0000-0000812F0000}"/>
    <cellStyle name="Standard 4 2 2 2 4 2 2 5 3" xfId="11984" xr:uid="{00000000-0005-0000-0000-0000822F0000}"/>
    <cellStyle name="Standard 4 2 2 2 4 2 2 6" xfId="11985" xr:uid="{00000000-0005-0000-0000-0000832F0000}"/>
    <cellStyle name="Standard 4 2 2 2 4 2 2 6 2" xfId="11986" xr:uid="{00000000-0005-0000-0000-0000842F0000}"/>
    <cellStyle name="Standard 4 2 2 2 4 2 2 7" xfId="11987" xr:uid="{00000000-0005-0000-0000-0000852F0000}"/>
    <cellStyle name="Standard 4 2 2 2 4 2 2 8" xfId="11988" xr:uid="{00000000-0005-0000-0000-0000862F0000}"/>
    <cellStyle name="Standard 4 2 2 2 4 2 3" xfId="11989" xr:uid="{00000000-0005-0000-0000-0000872F0000}"/>
    <cellStyle name="Standard 4 2 2 2 4 2 3 2" xfId="11990" xr:uid="{00000000-0005-0000-0000-0000882F0000}"/>
    <cellStyle name="Standard 4 2 2 2 4 2 3 2 2" xfId="11991" xr:uid="{00000000-0005-0000-0000-0000892F0000}"/>
    <cellStyle name="Standard 4 2 2 2 4 2 3 2 2 2" xfId="11992" xr:uid="{00000000-0005-0000-0000-00008A2F0000}"/>
    <cellStyle name="Standard 4 2 2 2 4 2 3 2 2 2 2" xfId="11993" xr:uid="{00000000-0005-0000-0000-00008B2F0000}"/>
    <cellStyle name="Standard 4 2 2 2 4 2 3 2 2 2 3" xfId="11994" xr:uid="{00000000-0005-0000-0000-00008C2F0000}"/>
    <cellStyle name="Standard 4 2 2 2 4 2 3 2 2 3" xfId="11995" xr:uid="{00000000-0005-0000-0000-00008D2F0000}"/>
    <cellStyle name="Standard 4 2 2 2 4 2 3 2 2 3 2" xfId="11996" xr:uid="{00000000-0005-0000-0000-00008E2F0000}"/>
    <cellStyle name="Standard 4 2 2 2 4 2 3 2 2 3 3" xfId="11997" xr:uid="{00000000-0005-0000-0000-00008F2F0000}"/>
    <cellStyle name="Standard 4 2 2 2 4 2 3 2 2 4" xfId="11998" xr:uid="{00000000-0005-0000-0000-0000902F0000}"/>
    <cellStyle name="Standard 4 2 2 2 4 2 3 2 2 4 2" xfId="11999" xr:uid="{00000000-0005-0000-0000-0000912F0000}"/>
    <cellStyle name="Standard 4 2 2 2 4 2 3 2 2 5" xfId="12000" xr:uid="{00000000-0005-0000-0000-0000922F0000}"/>
    <cellStyle name="Standard 4 2 2 2 4 2 3 2 2 6" xfId="12001" xr:uid="{00000000-0005-0000-0000-0000932F0000}"/>
    <cellStyle name="Standard 4 2 2 2 4 2 3 2 3" xfId="12002" xr:uid="{00000000-0005-0000-0000-0000942F0000}"/>
    <cellStyle name="Standard 4 2 2 2 4 2 3 2 3 2" xfId="12003" xr:uid="{00000000-0005-0000-0000-0000952F0000}"/>
    <cellStyle name="Standard 4 2 2 2 4 2 3 2 3 3" xfId="12004" xr:uid="{00000000-0005-0000-0000-0000962F0000}"/>
    <cellStyle name="Standard 4 2 2 2 4 2 3 2 4" xfId="12005" xr:uid="{00000000-0005-0000-0000-0000972F0000}"/>
    <cellStyle name="Standard 4 2 2 2 4 2 3 2 4 2" xfId="12006" xr:uid="{00000000-0005-0000-0000-0000982F0000}"/>
    <cellStyle name="Standard 4 2 2 2 4 2 3 2 4 3" xfId="12007" xr:uid="{00000000-0005-0000-0000-0000992F0000}"/>
    <cellStyle name="Standard 4 2 2 2 4 2 3 2 5" xfId="12008" xr:uid="{00000000-0005-0000-0000-00009A2F0000}"/>
    <cellStyle name="Standard 4 2 2 2 4 2 3 2 5 2" xfId="12009" xr:uid="{00000000-0005-0000-0000-00009B2F0000}"/>
    <cellStyle name="Standard 4 2 2 2 4 2 3 2 6" xfId="12010" xr:uid="{00000000-0005-0000-0000-00009C2F0000}"/>
    <cellStyle name="Standard 4 2 2 2 4 2 3 2 7" xfId="12011" xr:uid="{00000000-0005-0000-0000-00009D2F0000}"/>
    <cellStyle name="Standard 4 2 2 2 4 2 3 3" xfId="12012" xr:uid="{00000000-0005-0000-0000-00009E2F0000}"/>
    <cellStyle name="Standard 4 2 2 2 4 2 3 3 2" xfId="12013" xr:uid="{00000000-0005-0000-0000-00009F2F0000}"/>
    <cellStyle name="Standard 4 2 2 2 4 2 3 3 2 2" xfId="12014" xr:uid="{00000000-0005-0000-0000-0000A02F0000}"/>
    <cellStyle name="Standard 4 2 2 2 4 2 3 3 2 3" xfId="12015" xr:uid="{00000000-0005-0000-0000-0000A12F0000}"/>
    <cellStyle name="Standard 4 2 2 2 4 2 3 3 3" xfId="12016" xr:uid="{00000000-0005-0000-0000-0000A22F0000}"/>
    <cellStyle name="Standard 4 2 2 2 4 2 3 3 3 2" xfId="12017" xr:uid="{00000000-0005-0000-0000-0000A32F0000}"/>
    <cellStyle name="Standard 4 2 2 2 4 2 3 3 3 3" xfId="12018" xr:uid="{00000000-0005-0000-0000-0000A42F0000}"/>
    <cellStyle name="Standard 4 2 2 2 4 2 3 3 4" xfId="12019" xr:uid="{00000000-0005-0000-0000-0000A52F0000}"/>
    <cellStyle name="Standard 4 2 2 2 4 2 3 3 4 2" xfId="12020" xr:uid="{00000000-0005-0000-0000-0000A62F0000}"/>
    <cellStyle name="Standard 4 2 2 2 4 2 3 3 5" xfId="12021" xr:uid="{00000000-0005-0000-0000-0000A72F0000}"/>
    <cellStyle name="Standard 4 2 2 2 4 2 3 3 6" xfId="12022" xr:uid="{00000000-0005-0000-0000-0000A82F0000}"/>
    <cellStyle name="Standard 4 2 2 2 4 2 3 4" xfId="12023" xr:uid="{00000000-0005-0000-0000-0000A92F0000}"/>
    <cellStyle name="Standard 4 2 2 2 4 2 3 4 2" xfId="12024" xr:uid="{00000000-0005-0000-0000-0000AA2F0000}"/>
    <cellStyle name="Standard 4 2 2 2 4 2 3 4 3" xfId="12025" xr:uid="{00000000-0005-0000-0000-0000AB2F0000}"/>
    <cellStyle name="Standard 4 2 2 2 4 2 3 5" xfId="12026" xr:uid="{00000000-0005-0000-0000-0000AC2F0000}"/>
    <cellStyle name="Standard 4 2 2 2 4 2 3 5 2" xfId="12027" xr:uid="{00000000-0005-0000-0000-0000AD2F0000}"/>
    <cellStyle name="Standard 4 2 2 2 4 2 3 5 3" xfId="12028" xr:uid="{00000000-0005-0000-0000-0000AE2F0000}"/>
    <cellStyle name="Standard 4 2 2 2 4 2 3 6" xfId="12029" xr:uid="{00000000-0005-0000-0000-0000AF2F0000}"/>
    <cellStyle name="Standard 4 2 2 2 4 2 3 6 2" xfId="12030" xr:uid="{00000000-0005-0000-0000-0000B02F0000}"/>
    <cellStyle name="Standard 4 2 2 2 4 2 3 7" xfId="12031" xr:uid="{00000000-0005-0000-0000-0000B12F0000}"/>
    <cellStyle name="Standard 4 2 2 2 4 2 3 8" xfId="12032" xr:uid="{00000000-0005-0000-0000-0000B22F0000}"/>
    <cellStyle name="Standard 4 2 2 2 4 2 4" xfId="12033" xr:uid="{00000000-0005-0000-0000-0000B32F0000}"/>
    <cellStyle name="Standard 4 2 2 2 4 2 4 2" xfId="12034" xr:uid="{00000000-0005-0000-0000-0000B42F0000}"/>
    <cellStyle name="Standard 4 2 2 2 4 2 4 2 2" xfId="12035" xr:uid="{00000000-0005-0000-0000-0000B52F0000}"/>
    <cellStyle name="Standard 4 2 2 2 4 2 4 2 2 2" xfId="12036" xr:uid="{00000000-0005-0000-0000-0000B62F0000}"/>
    <cellStyle name="Standard 4 2 2 2 4 2 4 2 2 3" xfId="12037" xr:uid="{00000000-0005-0000-0000-0000B72F0000}"/>
    <cellStyle name="Standard 4 2 2 2 4 2 4 2 3" xfId="12038" xr:uid="{00000000-0005-0000-0000-0000B82F0000}"/>
    <cellStyle name="Standard 4 2 2 2 4 2 4 2 3 2" xfId="12039" xr:uid="{00000000-0005-0000-0000-0000B92F0000}"/>
    <cellStyle name="Standard 4 2 2 2 4 2 4 2 3 3" xfId="12040" xr:uid="{00000000-0005-0000-0000-0000BA2F0000}"/>
    <cellStyle name="Standard 4 2 2 2 4 2 4 2 4" xfId="12041" xr:uid="{00000000-0005-0000-0000-0000BB2F0000}"/>
    <cellStyle name="Standard 4 2 2 2 4 2 4 2 4 2" xfId="12042" xr:uid="{00000000-0005-0000-0000-0000BC2F0000}"/>
    <cellStyle name="Standard 4 2 2 2 4 2 4 2 5" xfId="12043" xr:uid="{00000000-0005-0000-0000-0000BD2F0000}"/>
    <cellStyle name="Standard 4 2 2 2 4 2 4 2 6" xfId="12044" xr:uid="{00000000-0005-0000-0000-0000BE2F0000}"/>
    <cellStyle name="Standard 4 2 2 2 4 2 4 3" xfId="12045" xr:uid="{00000000-0005-0000-0000-0000BF2F0000}"/>
    <cellStyle name="Standard 4 2 2 2 4 2 4 3 2" xfId="12046" xr:uid="{00000000-0005-0000-0000-0000C02F0000}"/>
    <cellStyle name="Standard 4 2 2 2 4 2 4 3 3" xfId="12047" xr:uid="{00000000-0005-0000-0000-0000C12F0000}"/>
    <cellStyle name="Standard 4 2 2 2 4 2 4 4" xfId="12048" xr:uid="{00000000-0005-0000-0000-0000C22F0000}"/>
    <cellStyle name="Standard 4 2 2 2 4 2 4 4 2" xfId="12049" xr:uid="{00000000-0005-0000-0000-0000C32F0000}"/>
    <cellStyle name="Standard 4 2 2 2 4 2 4 4 3" xfId="12050" xr:uid="{00000000-0005-0000-0000-0000C42F0000}"/>
    <cellStyle name="Standard 4 2 2 2 4 2 4 5" xfId="12051" xr:uid="{00000000-0005-0000-0000-0000C52F0000}"/>
    <cellStyle name="Standard 4 2 2 2 4 2 4 5 2" xfId="12052" xr:uid="{00000000-0005-0000-0000-0000C62F0000}"/>
    <cellStyle name="Standard 4 2 2 2 4 2 4 6" xfId="12053" xr:uid="{00000000-0005-0000-0000-0000C72F0000}"/>
    <cellStyle name="Standard 4 2 2 2 4 2 4 7" xfId="12054" xr:uid="{00000000-0005-0000-0000-0000C82F0000}"/>
    <cellStyle name="Standard 4 2 2 2 4 2 5" xfId="12055" xr:uid="{00000000-0005-0000-0000-0000C92F0000}"/>
    <cellStyle name="Standard 4 2 2 2 4 2 5 2" xfId="12056" xr:uid="{00000000-0005-0000-0000-0000CA2F0000}"/>
    <cellStyle name="Standard 4 2 2 2 4 2 5 2 2" xfId="12057" xr:uid="{00000000-0005-0000-0000-0000CB2F0000}"/>
    <cellStyle name="Standard 4 2 2 2 4 2 5 2 3" xfId="12058" xr:uid="{00000000-0005-0000-0000-0000CC2F0000}"/>
    <cellStyle name="Standard 4 2 2 2 4 2 5 3" xfId="12059" xr:uid="{00000000-0005-0000-0000-0000CD2F0000}"/>
    <cellStyle name="Standard 4 2 2 2 4 2 5 3 2" xfId="12060" xr:uid="{00000000-0005-0000-0000-0000CE2F0000}"/>
    <cellStyle name="Standard 4 2 2 2 4 2 5 3 3" xfId="12061" xr:uid="{00000000-0005-0000-0000-0000CF2F0000}"/>
    <cellStyle name="Standard 4 2 2 2 4 2 5 4" xfId="12062" xr:uid="{00000000-0005-0000-0000-0000D02F0000}"/>
    <cellStyle name="Standard 4 2 2 2 4 2 5 4 2" xfId="12063" xr:uid="{00000000-0005-0000-0000-0000D12F0000}"/>
    <cellStyle name="Standard 4 2 2 2 4 2 5 5" xfId="12064" xr:uid="{00000000-0005-0000-0000-0000D22F0000}"/>
    <cellStyle name="Standard 4 2 2 2 4 2 5 6" xfId="12065" xr:uid="{00000000-0005-0000-0000-0000D32F0000}"/>
    <cellStyle name="Standard 4 2 2 2 4 2 6" xfId="12066" xr:uid="{00000000-0005-0000-0000-0000D42F0000}"/>
    <cellStyle name="Standard 4 2 2 2 4 2 6 2" xfId="12067" xr:uid="{00000000-0005-0000-0000-0000D52F0000}"/>
    <cellStyle name="Standard 4 2 2 2 4 2 6 3" xfId="12068" xr:uid="{00000000-0005-0000-0000-0000D62F0000}"/>
    <cellStyle name="Standard 4 2 2 2 4 2 7" xfId="12069" xr:uid="{00000000-0005-0000-0000-0000D72F0000}"/>
    <cellStyle name="Standard 4 2 2 2 4 2 7 2" xfId="12070" xr:uid="{00000000-0005-0000-0000-0000D82F0000}"/>
    <cellStyle name="Standard 4 2 2 2 4 2 7 3" xfId="12071" xr:uid="{00000000-0005-0000-0000-0000D92F0000}"/>
    <cellStyle name="Standard 4 2 2 2 4 2 8" xfId="12072" xr:uid="{00000000-0005-0000-0000-0000DA2F0000}"/>
    <cellStyle name="Standard 4 2 2 2 4 2 8 2" xfId="12073" xr:uid="{00000000-0005-0000-0000-0000DB2F0000}"/>
    <cellStyle name="Standard 4 2 2 2 4 2 9" xfId="12074" xr:uid="{00000000-0005-0000-0000-0000DC2F0000}"/>
    <cellStyle name="Standard 4 2 2 2 4 3" xfId="12075" xr:uid="{00000000-0005-0000-0000-0000DD2F0000}"/>
    <cellStyle name="Standard 4 2 2 2 4 3 2" xfId="12076" xr:uid="{00000000-0005-0000-0000-0000DE2F0000}"/>
    <cellStyle name="Standard 4 2 2 2 4 3 2 2" xfId="12077" xr:uid="{00000000-0005-0000-0000-0000DF2F0000}"/>
    <cellStyle name="Standard 4 2 2 2 4 3 2 2 2" xfId="12078" xr:uid="{00000000-0005-0000-0000-0000E02F0000}"/>
    <cellStyle name="Standard 4 2 2 2 4 3 2 2 2 2" xfId="12079" xr:uid="{00000000-0005-0000-0000-0000E12F0000}"/>
    <cellStyle name="Standard 4 2 2 2 4 3 2 2 2 3" xfId="12080" xr:uid="{00000000-0005-0000-0000-0000E22F0000}"/>
    <cellStyle name="Standard 4 2 2 2 4 3 2 2 3" xfId="12081" xr:uid="{00000000-0005-0000-0000-0000E32F0000}"/>
    <cellStyle name="Standard 4 2 2 2 4 3 2 2 3 2" xfId="12082" xr:uid="{00000000-0005-0000-0000-0000E42F0000}"/>
    <cellStyle name="Standard 4 2 2 2 4 3 2 2 3 3" xfId="12083" xr:uid="{00000000-0005-0000-0000-0000E52F0000}"/>
    <cellStyle name="Standard 4 2 2 2 4 3 2 2 4" xfId="12084" xr:uid="{00000000-0005-0000-0000-0000E62F0000}"/>
    <cellStyle name="Standard 4 2 2 2 4 3 2 2 4 2" xfId="12085" xr:uid="{00000000-0005-0000-0000-0000E72F0000}"/>
    <cellStyle name="Standard 4 2 2 2 4 3 2 2 5" xfId="12086" xr:uid="{00000000-0005-0000-0000-0000E82F0000}"/>
    <cellStyle name="Standard 4 2 2 2 4 3 2 2 6" xfId="12087" xr:uid="{00000000-0005-0000-0000-0000E92F0000}"/>
    <cellStyle name="Standard 4 2 2 2 4 3 2 3" xfId="12088" xr:uid="{00000000-0005-0000-0000-0000EA2F0000}"/>
    <cellStyle name="Standard 4 2 2 2 4 3 2 3 2" xfId="12089" xr:uid="{00000000-0005-0000-0000-0000EB2F0000}"/>
    <cellStyle name="Standard 4 2 2 2 4 3 2 3 3" xfId="12090" xr:uid="{00000000-0005-0000-0000-0000EC2F0000}"/>
    <cellStyle name="Standard 4 2 2 2 4 3 2 4" xfId="12091" xr:uid="{00000000-0005-0000-0000-0000ED2F0000}"/>
    <cellStyle name="Standard 4 2 2 2 4 3 2 4 2" xfId="12092" xr:uid="{00000000-0005-0000-0000-0000EE2F0000}"/>
    <cellStyle name="Standard 4 2 2 2 4 3 2 4 3" xfId="12093" xr:uid="{00000000-0005-0000-0000-0000EF2F0000}"/>
    <cellStyle name="Standard 4 2 2 2 4 3 2 5" xfId="12094" xr:uid="{00000000-0005-0000-0000-0000F02F0000}"/>
    <cellStyle name="Standard 4 2 2 2 4 3 2 5 2" xfId="12095" xr:uid="{00000000-0005-0000-0000-0000F12F0000}"/>
    <cellStyle name="Standard 4 2 2 2 4 3 2 6" xfId="12096" xr:uid="{00000000-0005-0000-0000-0000F22F0000}"/>
    <cellStyle name="Standard 4 2 2 2 4 3 2 7" xfId="12097" xr:uid="{00000000-0005-0000-0000-0000F32F0000}"/>
    <cellStyle name="Standard 4 2 2 2 4 3 3" xfId="12098" xr:uid="{00000000-0005-0000-0000-0000F42F0000}"/>
    <cellStyle name="Standard 4 2 2 2 4 3 3 2" xfId="12099" xr:uid="{00000000-0005-0000-0000-0000F52F0000}"/>
    <cellStyle name="Standard 4 2 2 2 4 3 3 2 2" xfId="12100" xr:uid="{00000000-0005-0000-0000-0000F62F0000}"/>
    <cellStyle name="Standard 4 2 2 2 4 3 3 2 3" xfId="12101" xr:uid="{00000000-0005-0000-0000-0000F72F0000}"/>
    <cellStyle name="Standard 4 2 2 2 4 3 3 3" xfId="12102" xr:uid="{00000000-0005-0000-0000-0000F82F0000}"/>
    <cellStyle name="Standard 4 2 2 2 4 3 3 3 2" xfId="12103" xr:uid="{00000000-0005-0000-0000-0000F92F0000}"/>
    <cellStyle name="Standard 4 2 2 2 4 3 3 3 3" xfId="12104" xr:uid="{00000000-0005-0000-0000-0000FA2F0000}"/>
    <cellStyle name="Standard 4 2 2 2 4 3 3 4" xfId="12105" xr:uid="{00000000-0005-0000-0000-0000FB2F0000}"/>
    <cellStyle name="Standard 4 2 2 2 4 3 3 4 2" xfId="12106" xr:uid="{00000000-0005-0000-0000-0000FC2F0000}"/>
    <cellStyle name="Standard 4 2 2 2 4 3 3 5" xfId="12107" xr:uid="{00000000-0005-0000-0000-0000FD2F0000}"/>
    <cellStyle name="Standard 4 2 2 2 4 3 3 6" xfId="12108" xr:uid="{00000000-0005-0000-0000-0000FE2F0000}"/>
    <cellStyle name="Standard 4 2 2 2 4 3 4" xfId="12109" xr:uid="{00000000-0005-0000-0000-0000FF2F0000}"/>
    <cellStyle name="Standard 4 2 2 2 4 3 4 2" xfId="12110" xr:uid="{00000000-0005-0000-0000-000000300000}"/>
    <cellStyle name="Standard 4 2 2 2 4 3 4 3" xfId="12111" xr:uid="{00000000-0005-0000-0000-000001300000}"/>
    <cellStyle name="Standard 4 2 2 2 4 3 5" xfId="12112" xr:uid="{00000000-0005-0000-0000-000002300000}"/>
    <cellStyle name="Standard 4 2 2 2 4 3 5 2" xfId="12113" xr:uid="{00000000-0005-0000-0000-000003300000}"/>
    <cellStyle name="Standard 4 2 2 2 4 3 5 3" xfId="12114" xr:uid="{00000000-0005-0000-0000-000004300000}"/>
    <cellStyle name="Standard 4 2 2 2 4 3 6" xfId="12115" xr:uid="{00000000-0005-0000-0000-000005300000}"/>
    <cellStyle name="Standard 4 2 2 2 4 3 6 2" xfId="12116" xr:uid="{00000000-0005-0000-0000-000006300000}"/>
    <cellStyle name="Standard 4 2 2 2 4 3 7" xfId="12117" xr:uid="{00000000-0005-0000-0000-000007300000}"/>
    <cellStyle name="Standard 4 2 2 2 4 3 8" xfId="12118" xr:uid="{00000000-0005-0000-0000-000008300000}"/>
    <cellStyle name="Standard 4 2 2 2 4 4" xfId="12119" xr:uid="{00000000-0005-0000-0000-000009300000}"/>
    <cellStyle name="Standard 4 2 2 2 4 4 2" xfId="12120" xr:uid="{00000000-0005-0000-0000-00000A300000}"/>
    <cellStyle name="Standard 4 2 2 2 4 4 2 2" xfId="12121" xr:uid="{00000000-0005-0000-0000-00000B300000}"/>
    <cellStyle name="Standard 4 2 2 2 4 4 2 2 2" xfId="12122" xr:uid="{00000000-0005-0000-0000-00000C300000}"/>
    <cellStyle name="Standard 4 2 2 2 4 4 2 2 2 2" xfId="12123" xr:uid="{00000000-0005-0000-0000-00000D300000}"/>
    <cellStyle name="Standard 4 2 2 2 4 4 2 2 2 3" xfId="12124" xr:uid="{00000000-0005-0000-0000-00000E300000}"/>
    <cellStyle name="Standard 4 2 2 2 4 4 2 2 3" xfId="12125" xr:uid="{00000000-0005-0000-0000-00000F300000}"/>
    <cellStyle name="Standard 4 2 2 2 4 4 2 2 3 2" xfId="12126" xr:uid="{00000000-0005-0000-0000-000010300000}"/>
    <cellStyle name="Standard 4 2 2 2 4 4 2 2 3 3" xfId="12127" xr:uid="{00000000-0005-0000-0000-000011300000}"/>
    <cellStyle name="Standard 4 2 2 2 4 4 2 2 4" xfId="12128" xr:uid="{00000000-0005-0000-0000-000012300000}"/>
    <cellStyle name="Standard 4 2 2 2 4 4 2 2 4 2" xfId="12129" xr:uid="{00000000-0005-0000-0000-000013300000}"/>
    <cellStyle name="Standard 4 2 2 2 4 4 2 2 5" xfId="12130" xr:uid="{00000000-0005-0000-0000-000014300000}"/>
    <cellStyle name="Standard 4 2 2 2 4 4 2 2 6" xfId="12131" xr:uid="{00000000-0005-0000-0000-000015300000}"/>
    <cellStyle name="Standard 4 2 2 2 4 4 2 3" xfId="12132" xr:uid="{00000000-0005-0000-0000-000016300000}"/>
    <cellStyle name="Standard 4 2 2 2 4 4 2 3 2" xfId="12133" xr:uid="{00000000-0005-0000-0000-000017300000}"/>
    <cellStyle name="Standard 4 2 2 2 4 4 2 3 3" xfId="12134" xr:uid="{00000000-0005-0000-0000-000018300000}"/>
    <cellStyle name="Standard 4 2 2 2 4 4 2 4" xfId="12135" xr:uid="{00000000-0005-0000-0000-000019300000}"/>
    <cellStyle name="Standard 4 2 2 2 4 4 2 4 2" xfId="12136" xr:uid="{00000000-0005-0000-0000-00001A300000}"/>
    <cellStyle name="Standard 4 2 2 2 4 4 2 4 3" xfId="12137" xr:uid="{00000000-0005-0000-0000-00001B300000}"/>
    <cellStyle name="Standard 4 2 2 2 4 4 2 5" xfId="12138" xr:uid="{00000000-0005-0000-0000-00001C300000}"/>
    <cellStyle name="Standard 4 2 2 2 4 4 2 5 2" xfId="12139" xr:uid="{00000000-0005-0000-0000-00001D300000}"/>
    <cellStyle name="Standard 4 2 2 2 4 4 2 6" xfId="12140" xr:uid="{00000000-0005-0000-0000-00001E300000}"/>
    <cellStyle name="Standard 4 2 2 2 4 4 2 7" xfId="12141" xr:uid="{00000000-0005-0000-0000-00001F300000}"/>
    <cellStyle name="Standard 4 2 2 2 4 4 3" xfId="12142" xr:uid="{00000000-0005-0000-0000-000020300000}"/>
    <cellStyle name="Standard 4 2 2 2 4 4 3 2" xfId="12143" xr:uid="{00000000-0005-0000-0000-000021300000}"/>
    <cellStyle name="Standard 4 2 2 2 4 4 3 2 2" xfId="12144" xr:uid="{00000000-0005-0000-0000-000022300000}"/>
    <cellStyle name="Standard 4 2 2 2 4 4 3 2 3" xfId="12145" xr:uid="{00000000-0005-0000-0000-000023300000}"/>
    <cellStyle name="Standard 4 2 2 2 4 4 3 3" xfId="12146" xr:uid="{00000000-0005-0000-0000-000024300000}"/>
    <cellStyle name="Standard 4 2 2 2 4 4 3 3 2" xfId="12147" xr:uid="{00000000-0005-0000-0000-000025300000}"/>
    <cellStyle name="Standard 4 2 2 2 4 4 3 3 3" xfId="12148" xr:uid="{00000000-0005-0000-0000-000026300000}"/>
    <cellStyle name="Standard 4 2 2 2 4 4 3 4" xfId="12149" xr:uid="{00000000-0005-0000-0000-000027300000}"/>
    <cellStyle name="Standard 4 2 2 2 4 4 3 4 2" xfId="12150" xr:uid="{00000000-0005-0000-0000-000028300000}"/>
    <cellStyle name="Standard 4 2 2 2 4 4 3 5" xfId="12151" xr:uid="{00000000-0005-0000-0000-000029300000}"/>
    <cellStyle name="Standard 4 2 2 2 4 4 3 6" xfId="12152" xr:uid="{00000000-0005-0000-0000-00002A300000}"/>
    <cellStyle name="Standard 4 2 2 2 4 4 4" xfId="12153" xr:uid="{00000000-0005-0000-0000-00002B300000}"/>
    <cellStyle name="Standard 4 2 2 2 4 4 4 2" xfId="12154" xr:uid="{00000000-0005-0000-0000-00002C300000}"/>
    <cellStyle name="Standard 4 2 2 2 4 4 4 3" xfId="12155" xr:uid="{00000000-0005-0000-0000-00002D300000}"/>
    <cellStyle name="Standard 4 2 2 2 4 4 5" xfId="12156" xr:uid="{00000000-0005-0000-0000-00002E300000}"/>
    <cellStyle name="Standard 4 2 2 2 4 4 5 2" xfId="12157" xr:uid="{00000000-0005-0000-0000-00002F300000}"/>
    <cellStyle name="Standard 4 2 2 2 4 4 5 3" xfId="12158" xr:uid="{00000000-0005-0000-0000-000030300000}"/>
    <cellStyle name="Standard 4 2 2 2 4 4 6" xfId="12159" xr:uid="{00000000-0005-0000-0000-000031300000}"/>
    <cellStyle name="Standard 4 2 2 2 4 4 6 2" xfId="12160" xr:uid="{00000000-0005-0000-0000-000032300000}"/>
    <cellStyle name="Standard 4 2 2 2 4 4 7" xfId="12161" xr:uid="{00000000-0005-0000-0000-000033300000}"/>
    <cellStyle name="Standard 4 2 2 2 4 4 8" xfId="12162" xr:uid="{00000000-0005-0000-0000-000034300000}"/>
    <cellStyle name="Standard 4 2 2 2 4 5" xfId="12163" xr:uid="{00000000-0005-0000-0000-000035300000}"/>
    <cellStyle name="Standard 4 2 2 2 4 5 2" xfId="12164" xr:uid="{00000000-0005-0000-0000-000036300000}"/>
    <cellStyle name="Standard 4 2 2 2 4 5 2 2" xfId="12165" xr:uid="{00000000-0005-0000-0000-000037300000}"/>
    <cellStyle name="Standard 4 2 2 2 4 5 2 2 2" xfId="12166" xr:uid="{00000000-0005-0000-0000-000038300000}"/>
    <cellStyle name="Standard 4 2 2 2 4 5 2 2 3" xfId="12167" xr:uid="{00000000-0005-0000-0000-000039300000}"/>
    <cellStyle name="Standard 4 2 2 2 4 5 2 3" xfId="12168" xr:uid="{00000000-0005-0000-0000-00003A300000}"/>
    <cellStyle name="Standard 4 2 2 2 4 5 2 3 2" xfId="12169" xr:uid="{00000000-0005-0000-0000-00003B300000}"/>
    <cellStyle name="Standard 4 2 2 2 4 5 2 3 3" xfId="12170" xr:uid="{00000000-0005-0000-0000-00003C300000}"/>
    <cellStyle name="Standard 4 2 2 2 4 5 2 4" xfId="12171" xr:uid="{00000000-0005-0000-0000-00003D300000}"/>
    <cellStyle name="Standard 4 2 2 2 4 5 2 4 2" xfId="12172" xr:uid="{00000000-0005-0000-0000-00003E300000}"/>
    <cellStyle name="Standard 4 2 2 2 4 5 2 5" xfId="12173" xr:uid="{00000000-0005-0000-0000-00003F300000}"/>
    <cellStyle name="Standard 4 2 2 2 4 5 2 6" xfId="12174" xr:uid="{00000000-0005-0000-0000-000040300000}"/>
    <cellStyle name="Standard 4 2 2 2 4 5 3" xfId="12175" xr:uid="{00000000-0005-0000-0000-000041300000}"/>
    <cellStyle name="Standard 4 2 2 2 4 5 3 2" xfId="12176" xr:uid="{00000000-0005-0000-0000-000042300000}"/>
    <cellStyle name="Standard 4 2 2 2 4 5 3 3" xfId="12177" xr:uid="{00000000-0005-0000-0000-000043300000}"/>
    <cellStyle name="Standard 4 2 2 2 4 5 4" xfId="12178" xr:uid="{00000000-0005-0000-0000-000044300000}"/>
    <cellStyle name="Standard 4 2 2 2 4 5 4 2" xfId="12179" xr:uid="{00000000-0005-0000-0000-000045300000}"/>
    <cellStyle name="Standard 4 2 2 2 4 5 4 3" xfId="12180" xr:uid="{00000000-0005-0000-0000-000046300000}"/>
    <cellStyle name="Standard 4 2 2 2 4 5 5" xfId="12181" xr:uid="{00000000-0005-0000-0000-000047300000}"/>
    <cellStyle name="Standard 4 2 2 2 4 5 5 2" xfId="12182" xr:uid="{00000000-0005-0000-0000-000048300000}"/>
    <cellStyle name="Standard 4 2 2 2 4 5 6" xfId="12183" xr:uid="{00000000-0005-0000-0000-000049300000}"/>
    <cellStyle name="Standard 4 2 2 2 4 5 7" xfId="12184" xr:uid="{00000000-0005-0000-0000-00004A300000}"/>
    <cellStyle name="Standard 4 2 2 2 4 6" xfId="12185" xr:uid="{00000000-0005-0000-0000-00004B300000}"/>
    <cellStyle name="Standard 4 2 2 2 4 6 2" xfId="12186" xr:uid="{00000000-0005-0000-0000-00004C300000}"/>
    <cellStyle name="Standard 4 2 2 2 4 6 2 2" xfId="12187" xr:uid="{00000000-0005-0000-0000-00004D300000}"/>
    <cellStyle name="Standard 4 2 2 2 4 6 2 3" xfId="12188" xr:uid="{00000000-0005-0000-0000-00004E300000}"/>
    <cellStyle name="Standard 4 2 2 2 4 6 3" xfId="12189" xr:uid="{00000000-0005-0000-0000-00004F300000}"/>
    <cellStyle name="Standard 4 2 2 2 4 6 3 2" xfId="12190" xr:uid="{00000000-0005-0000-0000-000050300000}"/>
    <cellStyle name="Standard 4 2 2 2 4 6 3 3" xfId="12191" xr:uid="{00000000-0005-0000-0000-000051300000}"/>
    <cellStyle name="Standard 4 2 2 2 4 6 4" xfId="12192" xr:uid="{00000000-0005-0000-0000-000052300000}"/>
    <cellStyle name="Standard 4 2 2 2 4 6 4 2" xfId="12193" xr:uid="{00000000-0005-0000-0000-000053300000}"/>
    <cellStyle name="Standard 4 2 2 2 4 6 5" xfId="12194" xr:uid="{00000000-0005-0000-0000-000054300000}"/>
    <cellStyle name="Standard 4 2 2 2 4 6 6" xfId="12195" xr:uid="{00000000-0005-0000-0000-000055300000}"/>
    <cellStyle name="Standard 4 2 2 2 4 7" xfId="12196" xr:uid="{00000000-0005-0000-0000-000056300000}"/>
    <cellStyle name="Standard 4 2 2 2 4 7 2" xfId="12197" xr:uid="{00000000-0005-0000-0000-000057300000}"/>
    <cellStyle name="Standard 4 2 2 2 4 7 3" xfId="12198" xr:uid="{00000000-0005-0000-0000-000058300000}"/>
    <cellStyle name="Standard 4 2 2 2 4 8" xfId="12199" xr:uid="{00000000-0005-0000-0000-000059300000}"/>
    <cellStyle name="Standard 4 2 2 2 4 8 2" xfId="12200" xr:uid="{00000000-0005-0000-0000-00005A300000}"/>
    <cellStyle name="Standard 4 2 2 2 4 8 3" xfId="12201" xr:uid="{00000000-0005-0000-0000-00005B300000}"/>
    <cellStyle name="Standard 4 2 2 2 4 9" xfId="12202" xr:uid="{00000000-0005-0000-0000-00005C300000}"/>
    <cellStyle name="Standard 4 2 2 2 4 9 2" xfId="12203" xr:uid="{00000000-0005-0000-0000-00005D300000}"/>
    <cellStyle name="Standard 4 2 2 2 5" xfId="12204" xr:uid="{00000000-0005-0000-0000-00005E300000}"/>
    <cellStyle name="Standard 4 2 2 2 5 10" xfId="12205" xr:uid="{00000000-0005-0000-0000-00005F300000}"/>
    <cellStyle name="Standard 4 2 2 2 5 2" xfId="12206" xr:uid="{00000000-0005-0000-0000-000060300000}"/>
    <cellStyle name="Standard 4 2 2 2 5 2 2" xfId="12207" xr:uid="{00000000-0005-0000-0000-000061300000}"/>
    <cellStyle name="Standard 4 2 2 2 5 2 2 2" xfId="12208" xr:uid="{00000000-0005-0000-0000-000062300000}"/>
    <cellStyle name="Standard 4 2 2 2 5 2 2 2 2" xfId="12209" xr:uid="{00000000-0005-0000-0000-000063300000}"/>
    <cellStyle name="Standard 4 2 2 2 5 2 2 2 2 2" xfId="12210" xr:uid="{00000000-0005-0000-0000-000064300000}"/>
    <cellStyle name="Standard 4 2 2 2 5 2 2 2 2 3" xfId="12211" xr:uid="{00000000-0005-0000-0000-000065300000}"/>
    <cellStyle name="Standard 4 2 2 2 5 2 2 2 3" xfId="12212" xr:uid="{00000000-0005-0000-0000-000066300000}"/>
    <cellStyle name="Standard 4 2 2 2 5 2 2 2 3 2" xfId="12213" xr:uid="{00000000-0005-0000-0000-000067300000}"/>
    <cellStyle name="Standard 4 2 2 2 5 2 2 2 3 3" xfId="12214" xr:uid="{00000000-0005-0000-0000-000068300000}"/>
    <cellStyle name="Standard 4 2 2 2 5 2 2 2 4" xfId="12215" xr:uid="{00000000-0005-0000-0000-000069300000}"/>
    <cellStyle name="Standard 4 2 2 2 5 2 2 2 4 2" xfId="12216" xr:uid="{00000000-0005-0000-0000-00006A300000}"/>
    <cellStyle name="Standard 4 2 2 2 5 2 2 2 5" xfId="12217" xr:uid="{00000000-0005-0000-0000-00006B300000}"/>
    <cellStyle name="Standard 4 2 2 2 5 2 2 2 6" xfId="12218" xr:uid="{00000000-0005-0000-0000-00006C300000}"/>
    <cellStyle name="Standard 4 2 2 2 5 2 2 3" xfId="12219" xr:uid="{00000000-0005-0000-0000-00006D300000}"/>
    <cellStyle name="Standard 4 2 2 2 5 2 2 3 2" xfId="12220" xr:uid="{00000000-0005-0000-0000-00006E300000}"/>
    <cellStyle name="Standard 4 2 2 2 5 2 2 3 3" xfId="12221" xr:uid="{00000000-0005-0000-0000-00006F300000}"/>
    <cellStyle name="Standard 4 2 2 2 5 2 2 4" xfId="12222" xr:uid="{00000000-0005-0000-0000-000070300000}"/>
    <cellStyle name="Standard 4 2 2 2 5 2 2 4 2" xfId="12223" xr:uid="{00000000-0005-0000-0000-000071300000}"/>
    <cellStyle name="Standard 4 2 2 2 5 2 2 4 3" xfId="12224" xr:uid="{00000000-0005-0000-0000-000072300000}"/>
    <cellStyle name="Standard 4 2 2 2 5 2 2 5" xfId="12225" xr:uid="{00000000-0005-0000-0000-000073300000}"/>
    <cellStyle name="Standard 4 2 2 2 5 2 2 5 2" xfId="12226" xr:uid="{00000000-0005-0000-0000-000074300000}"/>
    <cellStyle name="Standard 4 2 2 2 5 2 2 6" xfId="12227" xr:uid="{00000000-0005-0000-0000-000075300000}"/>
    <cellStyle name="Standard 4 2 2 2 5 2 2 7" xfId="12228" xr:uid="{00000000-0005-0000-0000-000076300000}"/>
    <cellStyle name="Standard 4 2 2 2 5 2 3" xfId="12229" xr:uid="{00000000-0005-0000-0000-000077300000}"/>
    <cellStyle name="Standard 4 2 2 2 5 2 3 2" xfId="12230" xr:uid="{00000000-0005-0000-0000-000078300000}"/>
    <cellStyle name="Standard 4 2 2 2 5 2 3 2 2" xfId="12231" xr:uid="{00000000-0005-0000-0000-000079300000}"/>
    <cellStyle name="Standard 4 2 2 2 5 2 3 2 3" xfId="12232" xr:uid="{00000000-0005-0000-0000-00007A300000}"/>
    <cellStyle name="Standard 4 2 2 2 5 2 3 3" xfId="12233" xr:uid="{00000000-0005-0000-0000-00007B300000}"/>
    <cellStyle name="Standard 4 2 2 2 5 2 3 3 2" xfId="12234" xr:uid="{00000000-0005-0000-0000-00007C300000}"/>
    <cellStyle name="Standard 4 2 2 2 5 2 3 3 3" xfId="12235" xr:uid="{00000000-0005-0000-0000-00007D300000}"/>
    <cellStyle name="Standard 4 2 2 2 5 2 3 4" xfId="12236" xr:uid="{00000000-0005-0000-0000-00007E300000}"/>
    <cellStyle name="Standard 4 2 2 2 5 2 3 4 2" xfId="12237" xr:uid="{00000000-0005-0000-0000-00007F300000}"/>
    <cellStyle name="Standard 4 2 2 2 5 2 3 5" xfId="12238" xr:uid="{00000000-0005-0000-0000-000080300000}"/>
    <cellStyle name="Standard 4 2 2 2 5 2 3 6" xfId="12239" xr:uid="{00000000-0005-0000-0000-000081300000}"/>
    <cellStyle name="Standard 4 2 2 2 5 2 4" xfId="12240" xr:uid="{00000000-0005-0000-0000-000082300000}"/>
    <cellStyle name="Standard 4 2 2 2 5 2 4 2" xfId="12241" xr:uid="{00000000-0005-0000-0000-000083300000}"/>
    <cellStyle name="Standard 4 2 2 2 5 2 4 3" xfId="12242" xr:uid="{00000000-0005-0000-0000-000084300000}"/>
    <cellStyle name="Standard 4 2 2 2 5 2 5" xfId="12243" xr:uid="{00000000-0005-0000-0000-000085300000}"/>
    <cellStyle name="Standard 4 2 2 2 5 2 5 2" xfId="12244" xr:uid="{00000000-0005-0000-0000-000086300000}"/>
    <cellStyle name="Standard 4 2 2 2 5 2 5 3" xfId="12245" xr:uid="{00000000-0005-0000-0000-000087300000}"/>
    <cellStyle name="Standard 4 2 2 2 5 2 6" xfId="12246" xr:uid="{00000000-0005-0000-0000-000088300000}"/>
    <cellStyle name="Standard 4 2 2 2 5 2 6 2" xfId="12247" xr:uid="{00000000-0005-0000-0000-000089300000}"/>
    <cellStyle name="Standard 4 2 2 2 5 2 7" xfId="12248" xr:uid="{00000000-0005-0000-0000-00008A300000}"/>
    <cellStyle name="Standard 4 2 2 2 5 2 8" xfId="12249" xr:uid="{00000000-0005-0000-0000-00008B300000}"/>
    <cellStyle name="Standard 4 2 2 2 5 3" xfId="12250" xr:uid="{00000000-0005-0000-0000-00008C300000}"/>
    <cellStyle name="Standard 4 2 2 2 5 3 2" xfId="12251" xr:uid="{00000000-0005-0000-0000-00008D300000}"/>
    <cellStyle name="Standard 4 2 2 2 5 3 2 2" xfId="12252" xr:uid="{00000000-0005-0000-0000-00008E300000}"/>
    <cellStyle name="Standard 4 2 2 2 5 3 2 2 2" xfId="12253" xr:uid="{00000000-0005-0000-0000-00008F300000}"/>
    <cellStyle name="Standard 4 2 2 2 5 3 2 2 2 2" xfId="12254" xr:uid="{00000000-0005-0000-0000-000090300000}"/>
    <cellStyle name="Standard 4 2 2 2 5 3 2 2 2 3" xfId="12255" xr:uid="{00000000-0005-0000-0000-000091300000}"/>
    <cellStyle name="Standard 4 2 2 2 5 3 2 2 3" xfId="12256" xr:uid="{00000000-0005-0000-0000-000092300000}"/>
    <cellStyle name="Standard 4 2 2 2 5 3 2 2 3 2" xfId="12257" xr:uid="{00000000-0005-0000-0000-000093300000}"/>
    <cellStyle name="Standard 4 2 2 2 5 3 2 2 3 3" xfId="12258" xr:uid="{00000000-0005-0000-0000-000094300000}"/>
    <cellStyle name="Standard 4 2 2 2 5 3 2 2 4" xfId="12259" xr:uid="{00000000-0005-0000-0000-000095300000}"/>
    <cellStyle name="Standard 4 2 2 2 5 3 2 2 4 2" xfId="12260" xr:uid="{00000000-0005-0000-0000-000096300000}"/>
    <cellStyle name="Standard 4 2 2 2 5 3 2 2 5" xfId="12261" xr:uid="{00000000-0005-0000-0000-000097300000}"/>
    <cellStyle name="Standard 4 2 2 2 5 3 2 2 6" xfId="12262" xr:uid="{00000000-0005-0000-0000-000098300000}"/>
    <cellStyle name="Standard 4 2 2 2 5 3 2 3" xfId="12263" xr:uid="{00000000-0005-0000-0000-000099300000}"/>
    <cellStyle name="Standard 4 2 2 2 5 3 2 3 2" xfId="12264" xr:uid="{00000000-0005-0000-0000-00009A300000}"/>
    <cellStyle name="Standard 4 2 2 2 5 3 2 3 3" xfId="12265" xr:uid="{00000000-0005-0000-0000-00009B300000}"/>
    <cellStyle name="Standard 4 2 2 2 5 3 2 4" xfId="12266" xr:uid="{00000000-0005-0000-0000-00009C300000}"/>
    <cellStyle name="Standard 4 2 2 2 5 3 2 4 2" xfId="12267" xr:uid="{00000000-0005-0000-0000-00009D300000}"/>
    <cellStyle name="Standard 4 2 2 2 5 3 2 4 3" xfId="12268" xr:uid="{00000000-0005-0000-0000-00009E300000}"/>
    <cellStyle name="Standard 4 2 2 2 5 3 2 5" xfId="12269" xr:uid="{00000000-0005-0000-0000-00009F300000}"/>
    <cellStyle name="Standard 4 2 2 2 5 3 2 5 2" xfId="12270" xr:uid="{00000000-0005-0000-0000-0000A0300000}"/>
    <cellStyle name="Standard 4 2 2 2 5 3 2 6" xfId="12271" xr:uid="{00000000-0005-0000-0000-0000A1300000}"/>
    <cellStyle name="Standard 4 2 2 2 5 3 2 7" xfId="12272" xr:uid="{00000000-0005-0000-0000-0000A2300000}"/>
    <cellStyle name="Standard 4 2 2 2 5 3 3" xfId="12273" xr:uid="{00000000-0005-0000-0000-0000A3300000}"/>
    <cellStyle name="Standard 4 2 2 2 5 3 3 2" xfId="12274" xr:uid="{00000000-0005-0000-0000-0000A4300000}"/>
    <cellStyle name="Standard 4 2 2 2 5 3 3 2 2" xfId="12275" xr:uid="{00000000-0005-0000-0000-0000A5300000}"/>
    <cellStyle name="Standard 4 2 2 2 5 3 3 2 3" xfId="12276" xr:uid="{00000000-0005-0000-0000-0000A6300000}"/>
    <cellStyle name="Standard 4 2 2 2 5 3 3 3" xfId="12277" xr:uid="{00000000-0005-0000-0000-0000A7300000}"/>
    <cellStyle name="Standard 4 2 2 2 5 3 3 3 2" xfId="12278" xr:uid="{00000000-0005-0000-0000-0000A8300000}"/>
    <cellStyle name="Standard 4 2 2 2 5 3 3 3 3" xfId="12279" xr:uid="{00000000-0005-0000-0000-0000A9300000}"/>
    <cellStyle name="Standard 4 2 2 2 5 3 3 4" xfId="12280" xr:uid="{00000000-0005-0000-0000-0000AA300000}"/>
    <cellStyle name="Standard 4 2 2 2 5 3 3 4 2" xfId="12281" xr:uid="{00000000-0005-0000-0000-0000AB300000}"/>
    <cellStyle name="Standard 4 2 2 2 5 3 3 5" xfId="12282" xr:uid="{00000000-0005-0000-0000-0000AC300000}"/>
    <cellStyle name="Standard 4 2 2 2 5 3 3 6" xfId="12283" xr:uid="{00000000-0005-0000-0000-0000AD300000}"/>
    <cellStyle name="Standard 4 2 2 2 5 3 4" xfId="12284" xr:uid="{00000000-0005-0000-0000-0000AE300000}"/>
    <cellStyle name="Standard 4 2 2 2 5 3 4 2" xfId="12285" xr:uid="{00000000-0005-0000-0000-0000AF300000}"/>
    <cellStyle name="Standard 4 2 2 2 5 3 4 3" xfId="12286" xr:uid="{00000000-0005-0000-0000-0000B0300000}"/>
    <cellStyle name="Standard 4 2 2 2 5 3 5" xfId="12287" xr:uid="{00000000-0005-0000-0000-0000B1300000}"/>
    <cellStyle name="Standard 4 2 2 2 5 3 5 2" xfId="12288" xr:uid="{00000000-0005-0000-0000-0000B2300000}"/>
    <cellStyle name="Standard 4 2 2 2 5 3 5 3" xfId="12289" xr:uid="{00000000-0005-0000-0000-0000B3300000}"/>
    <cellStyle name="Standard 4 2 2 2 5 3 6" xfId="12290" xr:uid="{00000000-0005-0000-0000-0000B4300000}"/>
    <cellStyle name="Standard 4 2 2 2 5 3 6 2" xfId="12291" xr:uid="{00000000-0005-0000-0000-0000B5300000}"/>
    <cellStyle name="Standard 4 2 2 2 5 3 7" xfId="12292" xr:uid="{00000000-0005-0000-0000-0000B6300000}"/>
    <cellStyle name="Standard 4 2 2 2 5 3 8" xfId="12293" xr:uid="{00000000-0005-0000-0000-0000B7300000}"/>
    <cellStyle name="Standard 4 2 2 2 5 4" xfId="12294" xr:uid="{00000000-0005-0000-0000-0000B8300000}"/>
    <cellStyle name="Standard 4 2 2 2 5 4 2" xfId="12295" xr:uid="{00000000-0005-0000-0000-0000B9300000}"/>
    <cellStyle name="Standard 4 2 2 2 5 4 2 2" xfId="12296" xr:uid="{00000000-0005-0000-0000-0000BA300000}"/>
    <cellStyle name="Standard 4 2 2 2 5 4 2 2 2" xfId="12297" xr:uid="{00000000-0005-0000-0000-0000BB300000}"/>
    <cellStyle name="Standard 4 2 2 2 5 4 2 2 3" xfId="12298" xr:uid="{00000000-0005-0000-0000-0000BC300000}"/>
    <cellStyle name="Standard 4 2 2 2 5 4 2 3" xfId="12299" xr:uid="{00000000-0005-0000-0000-0000BD300000}"/>
    <cellStyle name="Standard 4 2 2 2 5 4 2 3 2" xfId="12300" xr:uid="{00000000-0005-0000-0000-0000BE300000}"/>
    <cellStyle name="Standard 4 2 2 2 5 4 2 3 3" xfId="12301" xr:uid="{00000000-0005-0000-0000-0000BF300000}"/>
    <cellStyle name="Standard 4 2 2 2 5 4 2 4" xfId="12302" xr:uid="{00000000-0005-0000-0000-0000C0300000}"/>
    <cellStyle name="Standard 4 2 2 2 5 4 2 4 2" xfId="12303" xr:uid="{00000000-0005-0000-0000-0000C1300000}"/>
    <cellStyle name="Standard 4 2 2 2 5 4 2 5" xfId="12304" xr:uid="{00000000-0005-0000-0000-0000C2300000}"/>
    <cellStyle name="Standard 4 2 2 2 5 4 2 6" xfId="12305" xr:uid="{00000000-0005-0000-0000-0000C3300000}"/>
    <cellStyle name="Standard 4 2 2 2 5 4 3" xfId="12306" xr:uid="{00000000-0005-0000-0000-0000C4300000}"/>
    <cellStyle name="Standard 4 2 2 2 5 4 3 2" xfId="12307" xr:uid="{00000000-0005-0000-0000-0000C5300000}"/>
    <cellStyle name="Standard 4 2 2 2 5 4 3 3" xfId="12308" xr:uid="{00000000-0005-0000-0000-0000C6300000}"/>
    <cellStyle name="Standard 4 2 2 2 5 4 4" xfId="12309" xr:uid="{00000000-0005-0000-0000-0000C7300000}"/>
    <cellStyle name="Standard 4 2 2 2 5 4 4 2" xfId="12310" xr:uid="{00000000-0005-0000-0000-0000C8300000}"/>
    <cellStyle name="Standard 4 2 2 2 5 4 4 3" xfId="12311" xr:uid="{00000000-0005-0000-0000-0000C9300000}"/>
    <cellStyle name="Standard 4 2 2 2 5 4 5" xfId="12312" xr:uid="{00000000-0005-0000-0000-0000CA300000}"/>
    <cellStyle name="Standard 4 2 2 2 5 4 5 2" xfId="12313" xr:uid="{00000000-0005-0000-0000-0000CB300000}"/>
    <cellStyle name="Standard 4 2 2 2 5 4 6" xfId="12314" xr:uid="{00000000-0005-0000-0000-0000CC300000}"/>
    <cellStyle name="Standard 4 2 2 2 5 4 7" xfId="12315" xr:uid="{00000000-0005-0000-0000-0000CD300000}"/>
    <cellStyle name="Standard 4 2 2 2 5 5" xfId="12316" xr:uid="{00000000-0005-0000-0000-0000CE300000}"/>
    <cellStyle name="Standard 4 2 2 2 5 5 2" xfId="12317" xr:uid="{00000000-0005-0000-0000-0000CF300000}"/>
    <cellStyle name="Standard 4 2 2 2 5 5 2 2" xfId="12318" xr:uid="{00000000-0005-0000-0000-0000D0300000}"/>
    <cellStyle name="Standard 4 2 2 2 5 5 2 3" xfId="12319" xr:uid="{00000000-0005-0000-0000-0000D1300000}"/>
    <cellStyle name="Standard 4 2 2 2 5 5 3" xfId="12320" xr:uid="{00000000-0005-0000-0000-0000D2300000}"/>
    <cellStyle name="Standard 4 2 2 2 5 5 3 2" xfId="12321" xr:uid="{00000000-0005-0000-0000-0000D3300000}"/>
    <cellStyle name="Standard 4 2 2 2 5 5 3 3" xfId="12322" xr:uid="{00000000-0005-0000-0000-0000D4300000}"/>
    <cellStyle name="Standard 4 2 2 2 5 5 4" xfId="12323" xr:uid="{00000000-0005-0000-0000-0000D5300000}"/>
    <cellStyle name="Standard 4 2 2 2 5 5 4 2" xfId="12324" xr:uid="{00000000-0005-0000-0000-0000D6300000}"/>
    <cellStyle name="Standard 4 2 2 2 5 5 5" xfId="12325" xr:uid="{00000000-0005-0000-0000-0000D7300000}"/>
    <cellStyle name="Standard 4 2 2 2 5 5 6" xfId="12326" xr:uid="{00000000-0005-0000-0000-0000D8300000}"/>
    <cellStyle name="Standard 4 2 2 2 5 6" xfId="12327" xr:uid="{00000000-0005-0000-0000-0000D9300000}"/>
    <cellStyle name="Standard 4 2 2 2 5 6 2" xfId="12328" xr:uid="{00000000-0005-0000-0000-0000DA300000}"/>
    <cellStyle name="Standard 4 2 2 2 5 6 3" xfId="12329" xr:uid="{00000000-0005-0000-0000-0000DB300000}"/>
    <cellStyle name="Standard 4 2 2 2 5 7" xfId="12330" xr:uid="{00000000-0005-0000-0000-0000DC300000}"/>
    <cellStyle name="Standard 4 2 2 2 5 7 2" xfId="12331" xr:uid="{00000000-0005-0000-0000-0000DD300000}"/>
    <cellStyle name="Standard 4 2 2 2 5 7 3" xfId="12332" xr:uid="{00000000-0005-0000-0000-0000DE300000}"/>
    <cellStyle name="Standard 4 2 2 2 5 8" xfId="12333" xr:uid="{00000000-0005-0000-0000-0000DF300000}"/>
    <cellStyle name="Standard 4 2 2 2 5 8 2" xfId="12334" xr:uid="{00000000-0005-0000-0000-0000E0300000}"/>
    <cellStyle name="Standard 4 2 2 2 5 9" xfId="12335" xr:uid="{00000000-0005-0000-0000-0000E1300000}"/>
    <cellStyle name="Standard 4 2 2 2 6" xfId="12336" xr:uid="{00000000-0005-0000-0000-0000E2300000}"/>
    <cellStyle name="Standard 4 2 2 2 6 2" xfId="12337" xr:uid="{00000000-0005-0000-0000-0000E3300000}"/>
    <cellStyle name="Standard 4 2 2 2 6 2 2" xfId="12338" xr:uid="{00000000-0005-0000-0000-0000E4300000}"/>
    <cellStyle name="Standard 4 2 2 2 6 2 2 2" xfId="12339" xr:uid="{00000000-0005-0000-0000-0000E5300000}"/>
    <cellStyle name="Standard 4 2 2 2 6 2 2 2 2" xfId="12340" xr:uid="{00000000-0005-0000-0000-0000E6300000}"/>
    <cellStyle name="Standard 4 2 2 2 6 2 2 2 3" xfId="12341" xr:uid="{00000000-0005-0000-0000-0000E7300000}"/>
    <cellStyle name="Standard 4 2 2 2 6 2 2 3" xfId="12342" xr:uid="{00000000-0005-0000-0000-0000E8300000}"/>
    <cellStyle name="Standard 4 2 2 2 6 2 2 3 2" xfId="12343" xr:uid="{00000000-0005-0000-0000-0000E9300000}"/>
    <cellStyle name="Standard 4 2 2 2 6 2 2 3 3" xfId="12344" xr:uid="{00000000-0005-0000-0000-0000EA300000}"/>
    <cellStyle name="Standard 4 2 2 2 6 2 2 4" xfId="12345" xr:uid="{00000000-0005-0000-0000-0000EB300000}"/>
    <cellStyle name="Standard 4 2 2 2 6 2 2 4 2" xfId="12346" xr:uid="{00000000-0005-0000-0000-0000EC300000}"/>
    <cellStyle name="Standard 4 2 2 2 6 2 2 5" xfId="12347" xr:uid="{00000000-0005-0000-0000-0000ED300000}"/>
    <cellStyle name="Standard 4 2 2 2 6 2 2 6" xfId="12348" xr:uid="{00000000-0005-0000-0000-0000EE300000}"/>
    <cellStyle name="Standard 4 2 2 2 6 2 3" xfId="12349" xr:uid="{00000000-0005-0000-0000-0000EF300000}"/>
    <cellStyle name="Standard 4 2 2 2 6 2 3 2" xfId="12350" xr:uid="{00000000-0005-0000-0000-0000F0300000}"/>
    <cellStyle name="Standard 4 2 2 2 6 2 3 3" xfId="12351" xr:uid="{00000000-0005-0000-0000-0000F1300000}"/>
    <cellStyle name="Standard 4 2 2 2 6 2 4" xfId="12352" xr:uid="{00000000-0005-0000-0000-0000F2300000}"/>
    <cellStyle name="Standard 4 2 2 2 6 2 4 2" xfId="12353" xr:uid="{00000000-0005-0000-0000-0000F3300000}"/>
    <cellStyle name="Standard 4 2 2 2 6 2 4 3" xfId="12354" xr:uid="{00000000-0005-0000-0000-0000F4300000}"/>
    <cellStyle name="Standard 4 2 2 2 6 2 5" xfId="12355" xr:uid="{00000000-0005-0000-0000-0000F5300000}"/>
    <cellStyle name="Standard 4 2 2 2 6 2 5 2" xfId="12356" xr:uid="{00000000-0005-0000-0000-0000F6300000}"/>
    <cellStyle name="Standard 4 2 2 2 6 2 6" xfId="12357" xr:uid="{00000000-0005-0000-0000-0000F7300000}"/>
    <cellStyle name="Standard 4 2 2 2 6 2 7" xfId="12358" xr:uid="{00000000-0005-0000-0000-0000F8300000}"/>
    <cellStyle name="Standard 4 2 2 2 6 3" xfId="12359" xr:uid="{00000000-0005-0000-0000-0000F9300000}"/>
    <cellStyle name="Standard 4 2 2 2 6 3 2" xfId="12360" xr:uid="{00000000-0005-0000-0000-0000FA300000}"/>
    <cellStyle name="Standard 4 2 2 2 6 3 2 2" xfId="12361" xr:uid="{00000000-0005-0000-0000-0000FB300000}"/>
    <cellStyle name="Standard 4 2 2 2 6 3 2 3" xfId="12362" xr:uid="{00000000-0005-0000-0000-0000FC300000}"/>
    <cellStyle name="Standard 4 2 2 2 6 3 3" xfId="12363" xr:uid="{00000000-0005-0000-0000-0000FD300000}"/>
    <cellStyle name="Standard 4 2 2 2 6 3 3 2" xfId="12364" xr:uid="{00000000-0005-0000-0000-0000FE300000}"/>
    <cellStyle name="Standard 4 2 2 2 6 3 3 3" xfId="12365" xr:uid="{00000000-0005-0000-0000-0000FF300000}"/>
    <cellStyle name="Standard 4 2 2 2 6 3 4" xfId="12366" xr:uid="{00000000-0005-0000-0000-000000310000}"/>
    <cellStyle name="Standard 4 2 2 2 6 3 4 2" xfId="12367" xr:uid="{00000000-0005-0000-0000-000001310000}"/>
    <cellStyle name="Standard 4 2 2 2 6 3 5" xfId="12368" xr:uid="{00000000-0005-0000-0000-000002310000}"/>
    <cellStyle name="Standard 4 2 2 2 6 3 6" xfId="12369" xr:uid="{00000000-0005-0000-0000-000003310000}"/>
    <cellStyle name="Standard 4 2 2 2 6 4" xfId="12370" xr:uid="{00000000-0005-0000-0000-000004310000}"/>
    <cellStyle name="Standard 4 2 2 2 6 4 2" xfId="12371" xr:uid="{00000000-0005-0000-0000-000005310000}"/>
    <cellStyle name="Standard 4 2 2 2 6 4 3" xfId="12372" xr:uid="{00000000-0005-0000-0000-000006310000}"/>
    <cellStyle name="Standard 4 2 2 2 6 5" xfId="12373" xr:uid="{00000000-0005-0000-0000-000007310000}"/>
    <cellStyle name="Standard 4 2 2 2 6 5 2" xfId="12374" xr:uid="{00000000-0005-0000-0000-000008310000}"/>
    <cellStyle name="Standard 4 2 2 2 6 5 3" xfId="12375" xr:uid="{00000000-0005-0000-0000-000009310000}"/>
    <cellStyle name="Standard 4 2 2 2 6 6" xfId="12376" xr:uid="{00000000-0005-0000-0000-00000A310000}"/>
    <cellStyle name="Standard 4 2 2 2 6 6 2" xfId="12377" xr:uid="{00000000-0005-0000-0000-00000B310000}"/>
    <cellStyle name="Standard 4 2 2 2 6 7" xfId="12378" xr:uid="{00000000-0005-0000-0000-00000C310000}"/>
    <cellStyle name="Standard 4 2 2 2 6 8" xfId="12379" xr:uid="{00000000-0005-0000-0000-00000D310000}"/>
    <cellStyle name="Standard 4 2 2 2 7" xfId="12380" xr:uid="{00000000-0005-0000-0000-00000E310000}"/>
    <cellStyle name="Standard 4 2 2 2 7 2" xfId="12381" xr:uid="{00000000-0005-0000-0000-00000F310000}"/>
    <cellStyle name="Standard 4 2 2 2 7 2 2" xfId="12382" xr:uid="{00000000-0005-0000-0000-000010310000}"/>
    <cellStyle name="Standard 4 2 2 2 7 2 2 2" xfId="12383" xr:uid="{00000000-0005-0000-0000-000011310000}"/>
    <cellStyle name="Standard 4 2 2 2 7 2 2 2 2" xfId="12384" xr:uid="{00000000-0005-0000-0000-000012310000}"/>
    <cellStyle name="Standard 4 2 2 2 7 2 2 2 3" xfId="12385" xr:uid="{00000000-0005-0000-0000-000013310000}"/>
    <cellStyle name="Standard 4 2 2 2 7 2 2 3" xfId="12386" xr:uid="{00000000-0005-0000-0000-000014310000}"/>
    <cellStyle name="Standard 4 2 2 2 7 2 2 3 2" xfId="12387" xr:uid="{00000000-0005-0000-0000-000015310000}"/>
    <cellStyle name="Standard 4 2 2 2 7 2 2 3 3" xfId="12388" xr:uid="{00000000-0005-0000-0000-000016310000}"/>
    <cellStyle name="Standard 4 2 2 2 7 2 2 4" xfId="12389" xr:uid="{00000000-0005-0000-0000-000017310000}"/>
    <cellStyle name="Standard 4 2 2 2 7 2 2 4 2" xfId="12390" xr:uid="{00000000-0005-0000-0000-000018310000}"/>
    <cellStyle name="Standard 4 2 2 2 7 2 2 5" xfId="12391" xr:uid="{00000000-0005-0000-0000-000019310000}"/>
    <cellStyle name="Standard 4 2 2 2 7 2 2 6" xfId="12392" xr:uid="{00000000-0005-0000-0000-00001A310000}"/>
    <cellStyle name="Standard 4 2 2 2 7 2 3" xfId="12393" xr:uid="{00000000-0005-0000-0000-00001B310000}"/>
    <cellStyle name="Standard 4 2 2 2 7 2 3 2" xfId="12394" xr:uid="{00000000-0005-0000-0000-00001C310000}"/>
    <cellStyle name="Standard 4 2 2 2 7 2 3 3" xfId="12395" xr:uid="{00000000-0005-0000-0000-00001D310000}"/>
    <cellStyle name="Standard 4 2 2 2 7 2 4" xfId="12396" xr:uid="{00000000-0005-0000-0000-00001E310000}"/>
    <cellStyle name="Standard 4 2 2 2 7 2 4 2" xfId="12397" xr:uid="{00000000-0005-0000-0000-00001F310000}"/>
    <cellStyle name="Standard 4 2 2 2 7 2 4 3" xfId="12398" xr:uid="{00000000-0005-0000-0000-000020310000}"/>
    <cellStyle name="Standard 4 2 2 2 7 2 5" xfId="12399" xr:uid="{00000000-0005-0000-0000-000021310000}"/>
    <cellStyle name="Standard 4 2 2 2 7 2 5 2" xfId="12400" xr:uid="{00000000-0005-0000-0000-000022310000}"/>
    <cellStyle name="Standard 4 2 2 2 7 2 6" xfId="12401" xr:uid="{00000000-0005-0000-0000-000023310000}"/>
    <cellStyle name="Standard 4 2 2 2 7 2 7" xfId="12402" xr:uid="{00000000-0005-0000-0000-000024310000}"/>
    <cellStyle name="Standard 4 2 2 2 7 3" xfId="12403" xr:uid="{00000000-0005-0000-0000-000025310000}"/>
    <cellStyle name="Standard 4 2 2 2 7 3 2" xfId="12404" xr:uid="{00000000-0005-0000-0000-000026310000}"/>
    <cellStyle name="Standard 4 2 2 2 7 3 2 2" xfId="12405" xr:uid="{00000000-0005-0000-0000-000027310000}"/>
    <cellStyle name="Standard 4 2 2 2 7 3 2 3" xfId="12406" xr:uid="{00000000-0005-0000-0000-000028310000}"/>
    <cellStyle name="Standard 4 2 2 2 7 3 3" xfId="12407" xr:uid="{00000000-0005-0000-0000-000029310000}"/>
    <cellStyle name="Standard 4 2 2 2 7 3 3 2" xfId="12408" xr:uid="{00000000-0005-0000-0000-00002A310000}"/>
    <cellStyle name="Standard 4 2 2 2 7 3 3 3" xfId="12409" xr:uid="{00000000-0005-0000-0000-00002B310000}"/>
    <cellStyle name="Standard 4 2 2 2 7 3 4" xfId="12410" xr:uid="{00000000-0005-0000-0000-00002C310000}"/>
    <cellStyle name="Standard 4 2 2 2 7 3 4 2" xfId="12411" xr:uid="{00000000-0005-0000-0000-00002D310000}"/>
    <cellStyle name="Standard 4 2 2 2 7 3 5" xfId="12412" xr:uid="{00000000-0005-0000-0000-00002E310000}"/>
    <cellStyle name="Standard 4 2 2 2 7 3 6" xfId="12413" xr:uid="{00000000-0005-0000-0000-00002F310000}"/>
    <cellStyle name="Standard 4 2 2 2 7 4" xfId="12414" xr:uid="{00000000-0005-0000-0000-000030310000}"/>
    <cellStyle name="Standard 4 2 2 2 7 4 2" xfId="12415" xr:uid="{00000000-0005-0000-0000-000031310000}"/>
    <cellStyle name="Standard 4 2 2 2 7 4 3" xfId="12416" xr:uid="{00000000-0005-0000-0000-000032310000}"/>
    <cellStyle name="Standard 4 2 2 2 7 5" xfId="12417" xr:uid="{00000000-0005-0000-0000-000033310000}"/>
    <cellStyle name="Standard 4 2 2 2 7 5 2" xfId="12418" xr:uid="{00000000-0005-0000-0000-000034310000}"/>
    <cellStyle name="Standard 4 2 2 2 7 5 3" xfId="12419" xr:uid="{00000000-0005-0000-0000-000035310000}"/>
    <cellStyle name="Standard 4 2 2 2 7 6" xfId="12420" xr:uid="{00000000-0005-0000-0000-000036310000}"/>
    <cellStyle name="Standard 4 2 2 2 7 6 2" xfId="12421" xr:uid="{00000000-0005-0000-0000-000037310000}"/>
    <cellStyle name="Standard 4 2 2 2 7 7" xfId="12422" xr:uid="{00000000-0005-0000-0000-000038310000}"/>
    <cellStyle name="Standard 4 2 2 2 7 8" xfId="12423" xr:uid="{00000000-0005-0000-0000-000039310000}"/>
    <cellStyle name="Standard 4 2 2 2 8" xfId="12424" xr:uid="{00000000-0005-0000-0000-00003A310000}"/>
    <cellStyle name="Standard 4 2 2 2 8 2" xfId="12425" xr:uid="{00000000-0005-0000-0000-00003B310000}"/>
    <cellStyle name="Standard 4 2 2 2 8 2 2" xfId="12426" xr:uid="{00000000-0005-0000-0000-00003C310000}"/>
    <cellStyle name="Standard 4 2 2 2 8 2 2 2" xfId="12427" xr:uid="{00000000-0005-0000-0000-00003D310000}"/>
    <cellStyle name="Standard 4 2 2 2 8 2 2 3" xfId="12428" xr:uid="{00000000-0005-0000-0000-00003E310000}"/>
    <cellStyle name="Standard 4 2 2 2 8 2 3" xfId="12429" xr:uid="{00000000-0005-0000-0000-00003F310000}"/>
    <cellStyle name="Standard 4 2 2 2 8 2 3 2" xfId="12430" xr:uid="{00000000-0005-0000-0000-000040310000}"/>
    <cellStyle name="Standard 4 2 2 2 8 2 3 3" xfId="12431" xr:uid="{00000000-0005-0000-0000-000041310000}"/>
    <cellStyle name="Standard 4 2 2 2 8 2 4" xfId="12432" xr:uid="{00000000-0005-0000-0000-000042310000}"/>
    <cellStyle name="Standard 4 2 2 2 8 2 4 2" xfId="12433" xr:uid="{00000000-0005-0000-0000-000043310000}"/>
    <cellStyle name="Standard 4 2 2 2 8 2 5" xfId="12434" xr:uid="{00000000-0005-0000-0000-000044310000}"/>
    <cellStyle name="Standard 4 2 2 2 8 2 6" xfId="12435" xr:uid="{00000000-0005-0000-0000-000045310000}"/>
    <cellStyle name="Standard 4 2 2 2 8 3" xfId="12436" xr:uid="{00000000-0005-0000-0000-000046310000}"/>
    <cellStyle name="Standard 4 2 2 2 8 3 2" xfId="12437" xr:uid="{00000000-0005-0000-0000-000047310000}"/>
    <cellStyle name="Standard 4 2 2 2 8 3 3" xfId="12438" xr:uid="{00000000-0005-0000-0000-000048310000}"/>
    <cellStyle name="Standard 4 2 2 2 8 4" xfId="12439" xr:uid="{00000000-0005-0000-0000-000049310000}"/>
    <cellStyle name="Standard 4 2 2 2 8 4 2" xfId="12440" xr:uid="{00000000-0005-0000-0000-00004A310000}"/>
    <cellStyle name="Standard 4 2 2 2 8 4 3" xfId="12441" xr:uid="{00000000-0005-0000-0000-00004B310000}"/>
    <cellStyle name="Standard 4 2 2 2 8 5" xfId="12442" xr:uid="{00000000-0005-0000-0000-00004C310000}"/>
    <cellStyle name="Standard 4 2 2 2 8 5 2" xfId="12443" xr:uid="{00000000-0005-0000-0000-00004D310000}"/>
    <cellStyle name="Standard 4 2 2 2 8 6" xfId="12444" xr:uid="{00000000-0005-0000-0000-00004E310000}"/>
    <cellStyle name="Standard 4 2 2 2 8 7" xfId="12445" xr:uid="{00000000-0005-0000-0000-00004F310000}"/>
    <cellStyle name="Standard 4 2 2 2 9" xfId="12446" xr:uid="{00000000-0005-0000-0000-000050310000}"/>
    <cellStyle name="Standard 4 2 2 2 9 2" xfId="12447" xr:uid="{00000000-0005-0000-0000-000051310000}"/>
    <cellStyle name="Standard 4 2 2 2 9 2 2" xfId="12448" xr:uid="{00000000-0005-0000-0000-000052310000}"/>
    <cellStyle name="Standard 4 2 2 2 9 2 3" xfId="12449" xr:uid="{00000000-0005-0000-0000-000053310000}"/>
    <cellStyle name="Standard 4 2 2 2 9 3" xfId="12450" xr:uid="{00000000-0005-0000-0000-000054310000}"/>
    <cellStyle name="Standard 4 2 2 2 9 3 2" xfId="12451" xr:uid="{00000000-0005-0000-0000-000055310000}"/>
    <cellStyle name="Standard 4 2 2 2 9 3 3" xfId="12452" xr:uid="{00000000-0005-0000-0000-000056310000}"/>
    <cellStyle name="Standard 4 2 2 2 9 4" xfId="12453" xr:uid="{00000000-0005-0000-0000-000057310000}"/>
    <cellStyle name="Standard 4 2 2 2 9 4 2" xfId="12454" xr:uid="{00000000-0005-0000-0000-000058310000}"/>
    <cellStyle name="Standard 4 2 2 2 9 5" xfId="12455" xr:uid="{00000000-0005-0000-0000-000059310000}"/>
    <cellStyle name="Standard 4 2 2 2 9 6" xfId="12456" xr:uid="{00000000-0005-0000-0000-00005A310000}"/>
    <cellStyle name="Standard 4 2 2 3" xfId="12457" xr:uid="{00000000-0005-0000-0000-00005B310000}"/>
    <cellStyle name="Standard 4 2 2 3 10" xfId="12458" xr:uid="{00000000-0005-0000-0000-00005C310000}"/>
    <cellStyle name="Standard 4 2 2 3 10 2" xfId="12459" xr:uid="{00000000-0005-0000-0000-00005D310000}"/>
    <cellStyle name="Standard 4 2 2 3 10 3" xfId="12460" xr:uid="{00000000-0005-0000-0000-00005E310000}"/>
    <cellStyle name="Standard 4 2 2 3 11" xfId="12461" xr:uid="{00000000-0005-0000-0000-00005F310000}"/>
    <cellStyle name="Standard 4 2 2 3 11 2" xfId="12462" xr:uid="{00000000-0005-0000-0000-000060310000}"/>
    <cellStyle name="Standard 4 2 2 3 12" xfId="12463" xr:uid="{00000000-0005-0000-0000-000061310000}"/>
    <cellStyle name="Standard 4 2 2 3 13" xfId="12464" xr:uid="{00000000-0005-0000-0000-000062310000}"/>
    <cellStyle name="Standard 4 2 2 3 14" xfId="33458" xr:uid="{00000000-0005-0000-0000-000063310000}"/>
    <cellStyle name="Standard 4 2 2 3 2" xfId="12465" xr:uid="{00000000-0005-0000-0000-000064310000}"/>
    <cellStyle name="Standard 4 2 2 3 2 10" xfId="12466" xr:uid="{00000000-0005-0000-0000-000065310000}"/>
    <cellStyle name="Standard 4 2 2 3 2 11" xfId="12467" xr:uid="{00000000-0005-0000-0000-000066310000}"/>
    <cellStyle name="Standard 4 2 2 3 2 2" xfId="12468" xr:uid="{00000000-0005-0000-0000-000067310000}"/>
    <cellStyle name="Standard 4 2 2 3 2 2 10" xfId="12469" xr:uid="{00000000-0005-0000-0000-000068310000}"/>
    <cellStyle name="Standard 4 2 2 3 2 2 2" xfId="12470" xr:uid="{00000000-0005-0000-0000-000069310000}"/>
    <cellStyle name="Standard 4 2 2 3 2 2 2 2" xfId="12471" xr:uid="{00000000-0005-0000-0000-00006A310000}"/>
    <cellStyle name="Standard 4 2 2 3 2 2 2 2 2" xfId="12472" xr:uid="{00000000-0005-0000-0000-00006B310000}"/>
    <cellStyle name="Standard 4 2 2 3 2 2 2 2 2 2" xfId="12473" xr:uid="{00000000-0005-0000-0000-00006C310000}"/>
    <cellStyle name="Standard 4 2 2 3 2 2 2 2 2 2 2" xfId="12474" xr:uid="{00000000-0005-0000-0000-00006D310000}"/>
    <cellStyle name="Standard 4 2 2 3 2 2 2 2 2 2 3" xfId="12475" xr:uid="{00000000-0005-0000-0000-00006E310000}"/>
    <cellStyle name="Standard 4 2 2 3 2 2 2 2 2 3" xfId="12476" xr:uid="{00000000-0005-0000-0000-00006F310000}"/>
    <cellStyle name="Standard 4 2 2 3 2 2 2 2 2 3 2" xfId="12477" xr:uid="{00000000-0005-0000-0000-000070310000}"/>
    <cellStyle name="Standard 4 2 2 3 2 2 2 2 2 3 3" xfId="12478" xr:uid="{00000000-0005-0000-0000-000071310000}"/>
    <cellStyle name="Standard 4 2 2 3 2 2 2 2 2 4" xfId="12479" xr:uid="{00000000-0005-0000-0000-000072310000}"/>
    <cellStyle name="Standard 4 2 2 3 2 2 2 2 2 4 2" xfId="12480" xr:uid="{00000000-0005-0000-0000-000073310000}"/>
    <cellStyle name="Standard 4 2 2 3 2 2 2 2 2 5" xfId="12481" xr:uid="{00000000-0005-0000-0000-000074310000}"/>
    <cellStyle name="Standard 4 2 2 3 2 2 2 2 2 6" xfId="12482" xr:uid="{00000000-0005-0000-0000-000075310000}"/>
    <cellStyle name="Standard 4 2 2 3 2 2 2 2 3" xfId="12483" xr:uid="{00000000-0005-0000-0000-000076310000}"/>
    <cellStyle name="Standard 4 2 2 3 2 2 2 2 3 2" xfId="12484" xr:uid="{00000000-0005-0000-0000-000077310000}"/>
    <cellStyle name="Standard 4 2 2 3 2 2 2 2 3 3" xfId="12485" xr:uid="{00000000-0005-0000-0000-000078310000}"/>
    <cellStyle name="Standard 4 2 2 3 2 2 2 2 4" xfId="12486" xr:uid="{00000000-0005-0000-0000-000079310000}"/>
    <cellStyle name="Standard 4 2 2 3 2 2 2 2 4 2" xfId="12487" xr:uid="{00000000-0005-0000-0000-00007A310000}"/>
    <cellStyle name="Standard 4 2 2 3 2 2 2 2 4 3" xfId="12488" xr:uid="{00000000-0005-0000-0000-00007B310000}"/>
    <cellStyle name="Standard 4 2 2 3 2 2 2 2 5" xfId="12489" xr:uid="{00000000-0005-0000-0000-00007C310000}"/>
    <cellStyle name="Standard 4 2 2 3 2 2 2 2 5 2" xfId="12490" xr:uid="{00000000-0005-0000-0000-00007D310000}"/>
    <cellStyle name="Standard 4 2 2 3 2 2 2 2 6" xfId="12491" xr:uid="{00000000-0005-0000-0000-00007E310000}"/>
    <cellStyle name="Standard 4 2 2 3 2 2 2 2 7" xfId="12492" xr:uid="{00000000-0005-0000-0000-00007F310000}"/>
    <cellStyle name="Standard 4 2 2 3 2 2 2 3" xfId="12493" xr:uid="{00000000-0005-0000-0000-000080310000}"/>
    <cellStyle name="Standard 4 2 2 3 2 2 2 3 2" xfId="12494" xr:uid="{00000000-0005-0000-0000-000081310000}"/>
    <cellStyle name="Standard 4 2 2 3 2 2 2 3 2 2" xfId="12495" xr:uid="{00000000-0005-0000-0000-000082310000}"/>
    <cellStyle name="Standard 4 2 2 3 2 2 2 3 2 3" xfId="12496" xr:uid="{00000000-0005-0000-0000-000083310000}"/>
    <cellStyle name="Standard 4 2 2 3 2 2 2 3 3" xfId="12497" xr:uid="{00000000-0005-0000-0000-000084310000}"/>
    <cellStyle name="Standard 4 2 2 3 2 2 2 3 3 2" xfId="12498" xr:uid="{00000000-0005-0000-0000-000085310000}"/>
    <cellStyle name="Standard 4 2 2 3 2 2 2 3 3 3" xfId="12499" xr:uid="{00000000-0005-0000-0000-000086310000}"/>
    <cellStyle name="Standard 4 2 2 3 2 2 2 3 4" xfId="12500" xr:uid="{00000000-0005-0000-0000-000087310000}"/>
    <cellStyle name="Standard 4 2 2 3 2 2 2 3 4 2" xfId="12501" xr:uid="{00000000-0005-0000-0000-000088310000}"/>
    <cellStyle name="Standard 4 2 2 3 2 2 2 3 5" xfId="12502" xr:uid="{00000000-0005-0000-0000-000089310000}"/>
    <cellStyle name="Standard 4 2 2 3 2 2 2 3 6" xfId="12503" xr:uid="{00000000-0005-0000-0000-00008A310000}"/>
    <cellStyle name="Standard 4 2 2 3 2 2 2 4" xfId="12504" xr:uid="{00000000-0005-0000-0000-00008B310000}"/>
    <cellStyle name="Standard 4 2 2 3 2 2 2 4 2" xfId="12505" xr:uid="{00000000-0005-0000-0000-00008C310000}"/>
    <cellStyle name="Standard 4 2 2 3 2 2 2 4 3" xfId="12506" xr:uid="{00000000-0005-0000-0000-00008D310000}"/>
    <cellStyle name="Standard 4 2 2 3 2 2 2 5" xfId="12507" xr:uid="{00000000-0005-0000-0000-00008E310000}"/>
    <cellStyle name="Standard 4 2 2 3 2 2 2 5 2" xfId="12508" xr:uid="{00000000-0005-0000-0000-00008F310000}"/>
    <cellStyle name="Standard 4 2 2 3 2 2 2 5 3" xfId="12509" xr:uid="{00000000-0005-0000-0000-000090310000}"/>
    <cellStyle name="Standard 4 2 2 3 2 2 2 6" xfId="12510" xr:uid="{00000000-0005-0000-0000-000091310000}"/>
    <cellStyle name="Standard 4 2 2 3 2 2 2 6 2" xfId="12511" xr:uid="{00000000-0005-0000-0000-000092310000}"/>
    <cellStyle name="Standard 4 2 2 3 2 2 2 7" xfId="12512" xr:uid="{00000000-0005-0000-0000-000093310000}"/>
    <cellStyle name="Standard 4 2 2 3 2 2 2 8" xfId="12513" xr:uid="{00000000-0005-0000-0000-000094310000}"/>
    <cellStyle name="Standard 4 2 2 3 2 2 3" xfId="12514" xr:uid="{00000000-0005-0000-0000-000095310000}"/>
    <cellStyle name="Standard 4 2 2 3 2 2 3 2" xfId="12515" xr:uid="{00000000-0005-0000-0000-000096310000}"/>
    <cellStyle name="Standard 4 2 2 3 2 2 3 2 2" xfId="12516" xr:uid="{00000000-0005-0000-0000-000097310000}"/>
    <cellStyle name="Standard 4 2 2 3 2 2 3 2 2 2" xfId="12517" xr:uid="{00000000-0005-0000-0000-000098310000}"/>
    <cellStyle name="Standard 4 2 2 3 2 2 3 2 2 2 2" xfId="12518" xr:uid="{00000000-0005-0000-0000-000099310000}"/>
    <cellStyle name="Standard 4 2 2 3 2 2 3 2 2 2 3" xfId="12519" xr:uid="{00000000-0005-0000-0000-00009A310000}"/>
    <cellStyle name="Standard 4 2 2 3 2 2 3 2 2 3" xfId="12520" xr:uid="{00000000-0005-0000-0000-00009B310000}"/>
    <cellStyle name="Standard 4 2 2 3 2 2 3 2 2 3 2" xfId="12521" xr:uid="{00000000-0005-0000-0000-00009C310000}"/>
    <cellStyle name="Standard 4 2 2 3 2 2 3 2 2 3 3" xfId="12522" xr:uid="{00000000-0005-0000-0000-00009D310000}"/>
    <cellStyle name="Standard 4 2 2 3 2 2 3 2 2 4" xfId="12523" xr:uid="{00000000-0005-0000-0000-00009E310000}"/>
    <cellStyle name="Standard 4 2 2 3 2 2 3 2 2 4 2" xfId="12524" xr:uid="{00000000-0005-0000-0000-00009F310000}"/>
    <cellStyle name="Standard 4 2 2 3 2 2 3 2 2 5" xfId="12525" xr:uid="{00000000-0005-0000-0000-0000A0310000}"/>
    <cellStyle name="Standard 4 2 2 3 2 2 3 2 2 6" xfId="12526" xr:uid="{00000000-0005-0000-0000-0000A1310000}"/>
    <cellStyle name="Standard 4 2 2 3 2 2 3 2 3" xfId="12527" xr:uid="{00000000-0005-0000-0000-0000A2310000}"/>
    <cellStyle name="Standard 4 2 2 3 2 2 3 2 3 2" xfId="12528" xr:uid="{00000000-0005-0000-0000-0000A3310000}"/>
    <cellStyle name="Standard 4 2 2 3 2 2 3 2 3 3" xfId="12529" xr:uid="{00000000-0005-0000-0000-0000A4310000}"/>
    <cellStyle name="Standard 4 2 2 3 2 2 3 2 4" xfId="12530" xr:uid="{00000000-0005-0000-0000-0000A5310000}"/>
    <cellStyle name="Standard 4 2 2 3 2 2 3 2 4 2" xfId="12531" xr:uid="{00000000-0005-0000-0000-0000A6310000}"/>
    <cellStyle name="Standard 4 2 2 3 2 2 3 2 4 3" xfId="12532" xr:uid="{00000000-0005-0000-0000-0000A7310000}"/>
    <cellStyle name="Standard 4 2 2 3 2 2 3 2 5" xfId="12533" xr:uid="{00000000-0005-0000-0000-0000A8310000}"/>
    <cellStyle name="Standard 4 2 2 3 2 2 3 2 5 2" xfId="12534" xr:uid="{00000000-0005-0000-0000-0000A9310000}"/>
    <cellStyle name="Standard 4 2 2 3 2 2 3 2 6" xfId="12535" xr:uid="{00000000-0005-0000-0000-0000AA310000}"/>
    <cellStyle name="Standard 4 2 2 3 2 2 3 2 7" xfId="12536" xr:uid="{00000000-0005-0000-0000-0000AB310000}"/>
    <cellStyle name="Standard 4 2 2 3 2 2 3 3" xfId="12537" xr:uid="{00000000-0005-0000-0000-0000AC310000}"/>
    <cellStyle name="Standard 4 2 2 3 2 2 3 3 2" xfId="12538" xr:uid="{00000000-0005-0000-0000-0000AD310000}"/>
    <cellStyle name="Standard 4 2 2 3 2 2 3 3 2 2" xfId="12539" xr:uid="{00000000-0005-0000-0000-0000AE310000}"/>
    <cellStyle name="Standard 4 2 2 3 2 2 3 3 2 3" xfId="12540" xr:uid="{00000000-0005-0000-0000-0000AF310000}"/>
    <cellStyle name="Standard 4 2 2 3 2 2 3 3 3" xfId="12541" xr:uid="{00000000-0005-0000-0000-0000B0310000}"/>
    <cellStyle name="Standard 4 2 2 3 2 2 3 3 3 2" xfId="12542" xr:uid="{00000000-0005-0000-0000-0000B1310000}"/>
    <cellStyle name="Standard 4 2 2 3 2 2 3 3 3 3" xfId="12543" xr:uid="{00000000-0005-0000-0000-0000B2310000}"/>
    <cellStyle name="Standard 4 2 2 3 2 2 3 3 4" xfId="12544" xr:uid="{00000000-0005-0000-0000-0000B3310000}"/>
    <cellStyle name="Standard 4 2 2 3 2 2 3 3 4 2" xfId="12545" xr:uid="{00000000-0005-0000-0000-0000B4310000}"/>
    <cellStyle name="Standard 4 2 2 3 2 2 3 3 5" xfId="12546" xr:uid="{00000000-0005-0000-0000-0000B5310000}"/>
    <cellStyle name="Standard 4 2 2 3 2 2 3 3 6" xfId="12547" xr:uid="{00000000-0005-0000-0000-0000B6310000}"/>
    <cellStyle name="Standard 4 2 2 3 2 2 3 4" xfId="12548" xr:uid="{00000000-0005-0000-0000-0000B7310000}"/>
    <cellStyle name="Standard 4 2 2 3 2 2 3 4 2" xfId="12549" xr:uid="{00000000-0005-0000-0000-0000B8310000}"/>
    <cellStyle name="Standard 4 2 2 3 2 2 3 4 3" xfId="12550" xr:uid="{00000000-0005-0000-0000-0000B9310000}"/>
    <cellStyle name="Standard 4 2 2 3 2 2 3 5" xfId="12551" xr:uid="{00000000-0005-0000-0000-0000BA310000}"/>
    <cellStyle name="Standard 4 2 2 3 2 2 3 5 2" xfId="12552" xr:uid="{00000000-0005-0000-0000-0000BB310000}"/>
    <cellStyle name="Standard 4 2 2 3 2 2 3 5 3" xfId="12553" xr:uid="{00000000-0005-0000-0000-0000BC310000}"/>
    <cellStyle name="Standard 4 2 2 3 2 2 3 6" xfId="12554" xr:uid="{00000000-0005-0000-0000-0000BD310000}"/>
    <cellStyle name="Standard 4 2 2 3 2 2 3 6 2" xfId="12555" xr:uid="{00000000-0005-0000-0000-0000BE310000}"/>
    <cellStyle name="Standard 4 2 2 3 2 2 3 7" xfId="12556" xr:uid="{00000000-0005-0000-0000-0000BF310000}"/>
    <cellStyle name="Standard 4 2 2 3 2 2 3 8" xfId="12557" xr:uid="{00000000-0005-0000-0000-0000C0310000}"/>
    <cellStyle name="Standard 4 2 2 3 2 2 4" xfId="12558" xr:uid="{00000000-0005-0000-0000-0000C1310000}"/>
    <cellStyle name="Standard 4 2 2 3 2 2 4 2" xfId="12559" xr:uid="{00000000-0005-0000-0000-0000C2310000}"/>
    <cellStyle name="Standard 4 2 2 3 2 2 4 2 2" xfId="12560" xr:uid="{00000000-0005-0000-0000-0000C3310000}"/>
    <cellStyle name="Standard 4 2 2 3 2 2 4 2 2 2" xfId="12561" xr:uid="{00000000-0005-0000-0000-0000C4310000}"/>
    <cellStyle name="Standard 4 2 2 3 2 2 4 2 2 3" xfId="12562" xr:uid="{00000000-0005-0000-0000-0000C5310000}"/>
    <cellStyle name="Standard 4 2 2 3 2 2 4 2 3" xfId="12563" xr:uid="{00000000-0005-0000-0000-0000C6310000}"/>
    <cellStyle name="Standard 4 2 2 3 2 2 4 2 3 2" xfId="12564" xr:uid="{00000000-0005-0000-0000-0000C7310000}"/>
    <cellStyle name="Standard 4 2 2 3 2 2 4 2 3 3" xfId="12565" xr:uid="{00000000-0005-0000-0000-0000C8310000}"/>
    <cellStyle name="Standard 4 2 2 3 2 2 4 2 4" xfId="12566" xr:uid="{00000000-0005-0000-0000-0000C9310000}"/>
    <cellStyle name="Standard 4 2 2 3 2 2 4 2 4 2" xfId="12567" xr:uid="{00000000-0005-0000-0000-0000CA310000}"/>
    <cellStyle name="Standard 4 2 2 3 2 2 4 2 5" xfId="12568" xr:uid="{00000000-0005-0000-0000-0000CB310000}"/>
    <cellStyle name="Standard 4 2 2 3 2 2 4 2 6" xfId="12569" xr:uid="{00000000-0005-0000-0000-0000CC310000}"/>
    <cellStyle name="Standard 4 2 2 3 2 2 4 3" xfId="12570" xr:uid="{00000000-0005-0000-0000-0000CD310000}"/>
    <cellStyle name="Standard 4 2 2 3 2 2 4 3 2" xfId="12571" xr:uid="{00000000-0005-0000-0000-0000CE310000}"/>
    <cellStyle name="Standard 4 2 2 3 2 2 4 3 3" xfId="12572" xr:uid="{00000000-0005-0000-0000-0000CF310000}"/>
    <cellStyle name="Standard 4 2 2 3 2 2 4 4" xfId="12573" xr:uid="{00000000-0005-0000-0000-0000D0310000}"/>
    <cellStyle name="Standard 4 2 2 3 2 2 4 4 2" xfId="12574" xr:uid="{00000000-0005-0000-0000-0000D1310000}"/>
    <cellStyle name="Standard 4 2 2 3 2 2 4 4 3" xfId="12575" xr:uid="{00000000-0005-0000-0000-0000D2310000}"/>
    <cellStyle name="Standard 4 2 2 3 2 2 4 5" xfId="12576" xr:uid="{00000000-0005-0000-0000-0000D3310000}"/>
    <cellStyle name="Standard 4 2 2 3 2 2 4 5 2" xfId="12577" xr:uid="{00000000-0005-0000-0000-0000D4310000}"/>
    <cellStyle name="Standard 4 2 2 3 2 2 4 6" xfId="12578" xr:uid="{00000000-0005-0000-0000-0000D5310000}"/>
    <cellStyle name="Standard 4 2 2 3 2 2 4 7" xfId="12579" xr:uid="{00000000-0005-0000-0000-0000D6310000}"/>
    <cellStyle name="Standard 4 2 2 3 2 2 5" xfId="12580" xr:uid="{00000000-0005-0000-0000-0000D7310000}"/>
    <cellStyle name="Standard 4 2 2 3 2 2 5 2" xfId="12581" xr:uid="{00000000-0005-0000-0000-0000D8310000}"/>
    <cellStyle name="Standard 4 2 2 3 2 2 5 2 2" xfId="12582" xr:uid="{00000000-0005-0000-0000-0000D9310000}"/>
    <cellStyle name="Standard 4 2 2 3 2 2 5 2 3" xfId="12583" xr:uid="{00000000-0005-0000-0000-0000DA310000}"/>
    <cellStyle name="Standard 4 2 2 3 2 2 5 3" xfId="12584" xr:uid="{00000000-0005-0000-0000-0000DB310000}"/>
    <cellStyle name="Standard 4 2 2 3 2 2 5 3 2" xfId="12585" xr:uid="{00000000-0005-0000-0000-0000DC310000}"/>
    <cellStyle name="Standard 4 2 2 3 2 2 5 3 3" xfId="12586" xr:uid="{00000000-0005-0000-0000-0000DD310000}"/>
    <cellStyle name="Standard 4 2 2 3 2 2 5 4" xfId="12587" xr:uid="{00000000-0005-0000-0000-0000DE310000}"/>
    <cellStyle name="Standard 4 2 2 3 2 2 5 4 2" xfId="12588" xr:uid="{00000000-0005-0000-0000-0000DF310000}"/>
    <cellStyle name="Standard 4 2 2 3 2 2 5 5" xfId="12589" xr:uid="{00000000-0005-0000-0000-0000E0310000}"/>
    <cellStyle name="Standard 4 2 2 3 2 2 5 6" xfId="12590" xr:uid="{00000000-0005-0000-0000-0000E1310000}"/>
    <cellStyle name="Standard 4 2 2 3 2 2 6" xfId="12591" xr:uid="{00000000-0005-0000-0000-0000E2310000}"/>
    <cellStyle name="Standard 4 2 2 3 2 2 6 2" xfId="12592" xr:uid="{00000000-0005-0000-0000-0000E3310000}"/>
    <cellStyle name="Standard 4 2 2 3 2 2 6 3" xfId="12593" xr:uid="{00000000-0005-0000-0000-0000E4310000}"/>
    <cellStyle name="Standard 4 2 2 3 2 2 7" xfId="12594" xr:uid="{00000000-0005-0000-0000-0000E5310000}"/>
    <cellStyle name="Standard 4 2 2 3 2 2 7 2" xfId="12595" xr:uid="{00000000-0005-0000-0000-0000E6310000}"/>
    <cellStyle name="Standard 4 2 2 3 2 2 7 3" xfId="12596" xr:uid="{00000000-0005-0000-0000-0000E7310000}"/>
    <cellStyle name="Standard 4 2 2 3 2 2 8" xfId="12597" xr:uid="{00000000-0005-0000-0000-0000E8310000}"/>
    <cellStyle name="Standard 4 2 2 3 2 2 8 2" xfId="12598" xr:uid="{00000000-0005-0000-0000-0000E9310000}"/>
    <cellStyle name="Standard 4 2 2 3 2 2 9" xfId="12599" xr:uid="{00000000-0005-0000-0000-0000EA310000}"/>
    <cellStyle name="Standard 4 2 2 3 2 3" xfId="12600" xr:uid="{00000000-0005-0000-0000-0000EB310000}"/>
    <cellStyle name="Standard 4 2 2 3 2 3 2" xfId="12601" xr:uid="{00000000-0005-0000-0000-0000EC310000}"/>
    <cellStyle name="Standard 4 2 2 3 2 3 2 2" xfId="12602" xr:uid="{00000000-0005-0000-0000-0000ED310000}"/>
    <cellStyle name="Standard 4 2 2 3 2 3 2 2 2" xfId="12603" xr:uid="{00000000-0005-0000-0000-0000EE310000}"/>
    <cellStyle name="Standard 4 2 2 3 2 3 2 2 2 2" xfId="12604" xr:uid="{00000000-0005-0000-0000-0000EF310000}"/>
    <cellStyle name="Standard 4 2 2 3 2 3 2 2 2 3" xfId="12605" xr:uid="{00000000-0005-0000-0000-0000F0310000}"/>
    <cellStyle name="Standard 4 2 2 3 2 3 2 2 3" xfId="12606" xr:uid="{00000000-0005-0000-0000-0000F1310000}"/>
    <cellStyle name="Standard 4 2 2 3 2 3 2 2 3 2" xfId="12607" xr:uid="{00000000-0005-0000-0000-0000F2310000}"/>
    <cellStyle name="Standard 4 2 2 3 2 3 2 2 3 3" xfId="12608" xr:uid="{00000000-0005-0000-0000-0000F3310000}"/>
    <cellStyle name="Standard 4 2 2 3 2 3 2 2 4" xfId="12609" xr:uid="{00000000-0005-0000-0000-0000F4310000}"/>
    <cellStyle name="Standard 4 2 2 3 2 3 2 2 4 2" xfId="12610" xr:uid="{00000000-0005-0000-0000-0000F5310000}"/>
    <cellStyle name="Standard 4 2 2 3 2 3 2 2 5" xfId="12611" xr:uid="{00000000-0005-0000-0000-0000F6310000}"/>
    <cellStyle name="Standard 4 2 2 3 2 3 2 2 6" xfId="12612" xr:uid="{00000000-0005-0000-0000-0000F7310000}"/>
    <cellStyle name="Standard 4 2 2 3 2 3 2 3" xfId="12613" xr:uid="{00000000-0005-0000-0000-0000F8310000}"/>
    <cellStyle name="Standard 4 2 2 3 2 3 2 3 2" xfId="12614" xr:uid="{00000000-0005-0000-0000-0000F9310000}"/>
    <cellStyle name="Standard 4 2 2 3 2 3 2 3 3" xfId="12615" xr:uid="{00000000-0005-0000-0000-0000FA310000}"/>
    <cellStyle name="Standard 4 2 2 3 2 3 2 4" xfId="12616" xr:uid="{00000000-0005-0000-0000-0000FB310000}"/>
    <cellStyle name="Standard 4 2 2 3 2 3 2 4 2" xfId="12617" xr:uid="{00000000-0005-0000-0000-0000FC310000}"/>
    <cellStyle name="Standard 4 2 2 3 2 3 2 4 3" xfId="12618" xr:uid="{00000000-0005-0000-0000-0000FD310000}"/>
    <cellStyle name="Standard 4 2 2 3 2 3 2 5" xfId="12619" xr:uid="{00000000-0005-0000-0000-0000FE310000}"/>
    <cellStyle name="Standard 4 2 2 3 2 3 2 5 2" xfId="12620" xr:uid="{00000000-0005-0000-0000-0000FF310000}"/>
    <cellStyle name="Standard 4 2 2 3 2 3 2 6" xfId="12621" xr:uid="{00000000-0005-0000-0000-000000320000}"/>
    <cellStyle name="Standard 4 2 2 3 2 3 2 7" xfId="12622" xr:uid="{00000000-0005-0000-0000-000001320000}"/>
    <cellStyle name="Standard 4 2 2 3 2 3 3" xfId="12623" xr:uid="{00000000-0005-0000-0000-000002320000}"/>
    <cellStyle name="Standard 4 2 2 3 2 3 3 2" xfId="12624" xr:uid="{00000000-0005-0000-0000-000003320000}"/>
    <cellStyle name="Standard 4 2 2 3 2 3 3 2 2" xfId="12625" xr:uid="{00000000-0005-0000-0000-000004320000}"/>
    <cellStyle name="Standard 4 2 2 3 2 3 3 2 3" xfId="12626" xr:uid="{00000000-0005-0000-0000-000005320000}"/>
    <cellStyle name="Standard 4 2 2 3 2 3 3 3" xfId="12627" xr:uid="{00000000-0005-0000-0000-000006320000}"/>
    <cellStyle name="Standard 4 2 2 3 2 3 3 3 2" xfId="12628" xr:uid="{00000000-0005-0000-0000-000007320000}"/>
    <cellStyle name="Standard 4 2 2 3 2 3 3 3 3" xfId="12629" xr:uid="{00000000-0005-0000-0000-000008320000}"/>
    <cellStyle name="Standard 4 2 2 3 2 3 3 4" xfId="12630" xr:uid="{00000000-0005-0000-0000-000009320000}"/>
    <cellStyle name="Standard 4 2 2 3 2 3 3 4 2" xfId="12631" xr:uid="{00000000-0005-0000-0000-00000A320000}"/>
    <cellStyle name="Standard 4 2 2 3 2 3 3 5" xfId="12632" xr:uid="{00000000-0005-0000-0000-00000B320000}"/>
    <cellStyle name="Standard 4 2 2 3 2 3 3 6" xfId="12633" xr:uid="{00000000-0005-0000-0000-00000C320000}"/>
    <cellStyle name="Standard 4 2 2 3 2 3 4" xfId="12634" xr:uid="{00000000-0005-0000-0000-00000D320000}"/>
    <cellStyle name="Standard 4 2 2 3 2 3 4 2" xfId="12635" xr:uid="{00000000-0005-0000-0000-00000E320000}"/>
    <cellStyle name="Standard 4 2 2 3 2 3 4 3" xfId="12636" xr:uid="{00000000-0005-0000-0000-00000F320000}"/>
    <cellStyle name="Standard 4 2 2 3 2 3 5" xfId="12637" xr:uid="{00000000-0005-0000-0000-000010320000}"/>
    <cellStyle name="Standard 4 2 2 3 2 3 5 2" xfId="12638" xr:uid="{00000000-0005-0000-0000-000011320000}"/>
    <cellStyle name="Standard 4 2 2 3 2 3 5 3" xfId="12639" xr:uid="{00000000-0005-0000-0000-000012320000}"/>
    <cellStyle name="Standard 4 2 2 3 2 3 6" xfId="12640" xr:uid="{00000000-0005-0000-0000-000013320000}"/>
    <cellStyle name="Standard 4 2 2 3 2 3 6 2" xfId="12641" xr:uid="{00000000-0005-0000-0000-000014320000}"/>
    <cellStyle name="Standard 4 2 2 3 2 3 7" xfId="12642" xr:uid="{00000000-0005-0000-0000-000015320000}"/>
    <cellStyle name="Standard 4 2 2 3 2 3 8" xfId="12643" xr:uid="{00000000-0005-0000-0000-000016320000}"/>
    <cellStyle name="Standard 4 2 2 3 2 4" xfId="12644" xr:uid="{00000000-0005-0000-0000-000017320000}"/>
    <cellStyle name="Standard 4 2 2 3 2 4 2" xfId="12645" xr:uid="{00000000-0005-0000-0000-000018320000}"/>
    <cellStyle name="Standard 4 2 2 3 2 4 2 2" xfId="12646" xr:uid="{00000000-0005-0000-0000-000019320000}"/>
    <cellStyle name="Standard 4 2 2 3 2 4 2 2 2" xfId="12647" xr:uid="{00000000-0005-0000-0000-00001A320000}"/>
    <cellStyle name="Standard 4 2 2 3 2 4 2 2 2 2" xfId="12648" xr:uid="{00000000-0005-0000-0000-00001B320000}"/>
    <cellStyle name="Standard 4 2 2 3 2 4 2 2 2 3" xfId="12649" xr:uid="{00000000-0005-0000-0000-00001C320000}"/>
    <cellStyle name="Standard 4 2 2 3 2 4 2 2 3" xfId="12650" xr:uid="{00000000-0005-0000-0000-00001D320000}"/>
    <cellStyle name="Standard 4 2 2 3 2 4 2 2 3 2" xfId="12651" xr:uid="{00000000-0005-0000-0000-00001E320000}"/>
    <cellStyle name="Standard 4 2 2 3 2 4 2 2 3 3" xfId="12652" xr:uid="{00000000-0005-0000-0000-00001F320000}"/>
    <cellStyle name="Standard 4 2 2 3 2 4 2 2 4" xfId="12653" xr:uid="{00000000-0005-0000-0000-000020320000}"/>
    <cellStyle name="Standard 4 2 2 3 2 4 2 2 4 2" xfId="12654" xr:uid="{00000000-0005-0000-0000-000021320000}"/>
    <cellStyle name="Standard 4 2 2 3 2 4 2 2 5" xfId="12655" xr:uid="{00000000-0005-0000-0000-000022320000}"/>
    <cellStyle name="Standard 4 2 2 3 2 4 2 2 6" xfId="12656" xr:uid="{00000000-0005-0000-0000-000023320000}"/>
    <cellStyle name="Standard 4 2 2 3 2 4 2 3" xfId="12657" xr:uid="{00000000-0005-0000-0000-000024320000}"/>
    <cellStyle name="Standard 4 2 2 3 2 4 2 3 2" xfId="12658" xr:uid="{00000000-0005-0000-0000-000025320000}"/>
    <cellStyle name="Standard 4 2 2 3 2 4 2 3 3" xfId="12659" xr:uid="{00000000-0005-0000-0000-000026320000}"/>
    <cellStyle name="Standard 4 2 2 3 2 4 2 4" xfId="12660" xr:uid="{00000000-0005-0000-0000-000027320000}"/>
    <cellStyle name="Standard 4 2 2 3 2 4 2 4 2" xfId="12661" xr:uid="{00000000-0005-0000-0000-000028320000}"/>
    <cellStyle name="Standard 4 2 2 3 2 4 2 4 3" xfId="12662" xr:uid="{00000000-0005-0000-0000-000029320000}"/>
    <cellStyle name="Standard 4 2 2 3 2 4 2 5" xfId="12663" xr:uid="{00000000-0005-0000-0000-00002A320000}"/>
    <cellStyle name="Standard 4 2 2 3 2 4 2 5 2" xfId="12664" xr:uid="{00000000-0005-0000-0000-00002B320000}"/>
    <cellStyle name="Standard 4 2 2 3 2 4 2 6" xfId="12665" xr:uid="{00000000-0005-0000-0000-00002C320000}"/>
    <cellStyle name="Standard 4 2 2 3 2 4 2 7" xfId="12666" xr:uid="{00000000-0005-0000-0000-00002D320000}"/>
    <cellStyle name="Standard 4 2 2 3 2 4 3" xfId="12667" xr:uid="{00000000-0005-0000-0000-00002E320000}"/>
    <cellStyle name="Standard 4 2 2 3 2 4 3 2" xfId="12668" xr:uid="{00000000-0005-0000-0000-00002F320000}"/>
    <cellStyle name="Standard 4 2 2 3 2 4 3 2 2" xfId="12669" xr:uid="{00000000-0005-0000-0000-000030320000}"/>
    <cellStyle name="Standard 4 2 2 3 2 4 3 2 3" xfId="12670" xr:uid="{00000000-0005-0000-0000-000031320000}"/>
    <cellStyle name="Standard 4 2 2 3 2 4 3 3" xfId="12671" xr:uid="{00000000-0005-0000-0000-000032320000}"/>
    <cellStyle name="Standard 4 2 2 3 2 4 3 3 2" xfId="12672" xr:uid="{00000000-0005-0000-0000-000033320000}"/>
    <cellStyle name="Standard 4 2 2 3 2 4 3 3 3" xfId="12673" xr:uid="{00000000-0005-0000-0000-000034320000}"/>
    <cellStyle name="Standard 4 2 2 3 2 4 3 4" xfId="12674" xr:uid="{00000000-0005-0000-0000-000035320000}"/>
    <cellStyle name="Standard 4 2 2 3 2 4 3 4 2" xfId="12675" xr:uid="{00000000-0005-0000-0000-000036320000}"/>
    <cellStyle name="Standard 4 2 2 3 2 4 3 5" xfId="12676" xr:uid="{00000000-0005-0000-0000-000037320000}"/>
    <cellStyle name="Standard 4 2 2 3 2 4 3 6" xfId="12677" xr:uid="{00000000-0005-0000-0000-000038320000}"/>
    <cellStyle name="Standard 4 2 2 3 2 4 4" xfId="12678" xr:uid="{00000000-0005-0000-0000-000039320000}"/>
    <cellStyle name="Standard 4 2 2 3 2 4 4 2" xfId="12679" xr:uid="{00000000-0005-0000-0000-00003A320000}"/>
    <cellStyle name="Standard 4 2 2 3 2 4 4 3" xfId="12680" xr:uid="{00000000-0005-0000-0000-00003B320000}"/>
    <cellStyle name="Standard 4 2 2 3 2 4 5" xfId="12681" xr:uid="{00000000-0005-0000-0000-00003C320000}"/>
    <cellStyle name="Standard 4 2 2 3 2 4 5 2" xfId="12682" xr:uid="{00000000-0005-0000-0000-00003D320000}"/>
    <cellStyle name="Standard 4 2 2 3 2 4 5 3" xfId="12683" xr:uid="{00000000-0005-0000-0000-00003E320000}"/>
    <cellStyle name="Standard 4 2 2 3 2 4 6" xfId="12684" xr:uid="{00000000-0005-0000-0000-00003F320000}"/>
    <cellStyle name="Standard 4 2 2 3 2 4 6 2" xfId="12685" xr:uid="{00000000-0005-0000-0000-000040320000}"/>
    <cellStyle name="Standard 4 2 2 3 2 4 7" xfId="12686" xr:uid="{00000000-0005-0000-0000-000041320000}"/>
    <cellStyle name="Standard 4 2 2 3 2 4 8" xfId="12687" xr:uid="{00000000-0005-0000-0000-000042320000}"/>
    <cellStyle name="Standard 4 2 2 3 2 5" xfId="12688" xr:uid="{00000000-0005-0000-0000-000043320000}"/>
    <cellStyle name="Standard 4 2 2 3 2 5 2" xfId="12689" xr:uid="{00000000-0005-0000-0000-000044320000}"/>
    <cellStyle name="Standard 4 2 2 3 2 5 2 2" xfId="12690" xr:uid="{00000000-0005-0000-0000-000045320000}"/>
    <cellStyle name="Standard 4 2 2 3 2 5 2 2 2" xfId="12691" xr:uid="{00000000-0005-0000-0000-000046320000}"/>
    <cellStyle name="Standard 4 2 2 3 2 5 2 2 3" xfId="12692" xr:uid="{00000000-0005-0000-0000-000047320000}"/>
    <cellStyle name="Standard 4 2 2 3 2 5 2 3" xfId="12693" xr:uid="{00000000-0005-0000-0000-000048320000}"/>
    <cellStyle name="Standard 4 2 2 3 2 5 2 3 2" xfId="12694" xr:uid="{00000000-0005-0000-0000-000049320000}"/>
    <cellStyle name="Standard 4 2 2 3 2 5 2 3 3" xfId="12695" xr:uid="{00000000-0005-0000-0000-00004A320000}"/>
    <cellStyle name="Standard 4 2 2 3 2 5 2 4" xfId="12696" xr:uid="{00000000-0005-0000-0000-00004B320000}"/>
    <cellStyle name="Standard 4 2 2 3 2 5 2 4 2" xfId="12697" xr:uid="{00000000-0005-0000-0000-00004C320000}"/>
    <cellStyle name="Standard 4 2 2 3 2 5 2 5" xfId="12698" xr:uid="{00000000-0005-0000-0000-00004D320000}"/>
    <cellStyle name="Standard 4 2 2 3 2 5 2 6" xfId="12699" xr:uid="{00000000-0005-0000-0000-00004E320000}"/>
    <cellStyle name="Standard 4 2 2 3 2 5 3" xfId="12700" xr:uid="{00000000-0005-0000-0000-00004F320000}"/>
    <cellStyle name="Standard 4 2 2 3 2 5 3 2" xfId="12701" xr:uid="{00000000-0005-0000-0000-000050320000}"/>
    <cellStyle name="Standard 4 2 2 3 2 5 3 3" xfId="12702" xr:uid="{00000000-0005-0000-0000-000051320000}"/>
    <cellStyle name="Standard 4 2 2 3 2 5 4" xfId="12703" xr:uid="{00000000-0005-0000-0000-000052320000}"/>
    <cellStyle name="Standard 4 2 2 3 2 5 4 2" xfId="12704" xr:uid="{00000000-0005-0000-0000-000053320000}"/>
    <cellStyle name="Standard 4 2 2 3 2 5 4 3" xfId="12705" xr:uid="{00000000-0005-0000-0000-000054320000}"/>
    <cellStyle name="Standard 4 2 2 3 2 5 5" xfId="12706" xr:uid="{00000000-0005-0000-0000-000055320000}"/>
    <cellStyle name="Standard 4 2 2 3 2 5 5 2" xfId="12707" xr:uid="{00000000-0005-0000-0000-000056320000}"/>
    <cellStyle name="Standard 4 2 2 3 2 5 6" xfId="12708" xr:uid="{00000000-0005-0000-0000-000057320000}"/>
    <cellStyle name="Standard 4 2 2 3 2 5 7" xfId="12709" xr:uid="{00000000-0005-0000-0000-000058320000}"/>
    <cellStyle name="Standard 4 2 2 3 2 6" xfId="12710" xr:uid="{00000000-0005-0000-0000-000059320000}"/>
    <cellStyle name="Standard 4 2 2 3 2 6 2" xfId="12711" xr:uid="{00000000-0005-0000-0000-00005A320000}"/>
    <cellStyle name="Standard 4 2 2 3 2 6 2 2" xfId="12712" xr:uid="{00000000-0005-0000-0000-00005B320000}"/>
    <cellStyle name="Standard 4 2 2 3 2 6 2 3" xfId="12713" xr:uid="{00000000-0005-0000-0000-00005C320000}"/>
    <cellStyle name="Standard 4 2 2 3 2 6 3" xfId="12714" xr:uid="{00000000-0005-0000-0000-00005D320000}"/>
    <cellStyle name="Standard 4 2 2 3 2 6 3 2" xfId="12715" xr:uid="{00000000-0005-0000-0000-00005E320000}"/>
    <cellStyle name="Standard 4 2 2 3 2 6 3 3" xfId="12716" xr:uid="{00000000-0005-0000-0000-00005F320000}"/>
    <cellStyle name="Standard 4 2 2 3 2 6 4" xfId="12717" xr:uid="{00000000-0005-0000-0000-000060320000}"/>
    <cellStyle name="Standard 4 2 2 3 2 6 4 2" xfId="12718" xr:uid="{00000000-0005-0000-0000-000061320000}"/>
    <cellStyle name="Standard 4 2 2 3 2 6 5" xfId="12719" xr:uid="{00000000-0005-0000-0000-000062320000}"/>
    <cellStyle name="Standard 4 2 2 3 2 6 6" xfId="12720" xr:uid="{00000000-0005-0000-0000-000063320000}"/>
    <cellStyle name="Standard 4 2 2 3 2 7" xfId="12721" xr:uid="{00000000-0005-0000-0000-000064320000}"/>
    <cellStyle name="Standard 4 2 2 3 2 7 2" xfId="12722" xr:uid="{00000000-0005-0000-0000-000065320000}"/>
    <cellStyle name="Standard 4 2 2 3 2 7 3" xfId="12723" xr:uid="{00000000-0005-0000-0000-000066320000}"/>
    <cellStyle name="Standard 4 2 2 3 2 8" xfId="12724" xr:uid="{00000000-0005-0000-0000-000067320000}"/>
    <cellStyle name="Standard 4 2 2 3 2 8 2" xfId="12725" xr:uid="{00000000-0005-0000-0000-000068320000}"/>
    <cellStyle name="Standard 4 2 2 3 2 8 3" xfId="12726" xr:uid="{00000000-0005-0000-0000-000069320000}"/>
    <cellStyle name="Standard 4 2 2 3 2 9" xfId="12727" xr:uid="{00000000-0005-0000-0000-00006A320000}"/>
    <cellStyle name="Standard 4 2 2 3 2 9 2" xfId="12728" xr:uid="{00000000-0005-0000-0000-00006B320000}"/>
    <cellStyle name="Standard 4 2 2 3 3" xfId="12729" xr:uid="{00000000-0005-0000-0000-00006C320000}"/>
    <cellStyle name="Standard 4 2 2 3 3 10" xfId="12730" xr:uid="{00000000-0005-0000-0000-00006D320000}"/>
    <cellStyle name="Standard 4 2 2 3 3 11" xfId="12731" xr:uid="{00000000-0005-0000-0000-00006E320000}"/>
    <cellStyle name="Standard 4 2 2 3 3 2" xfId="12732" xr:uid="{00000000-0005-0000-0000-00006F320000}"/>
    <cellStyle name="Standard 4 2 2 3 3 2 10" xfId="12733" xr:uid="{00000000-0005-0000-0000-000070320000}"/>
    <cellStyle name="Standard 4 2 2 3 3 2 2" xfId="12734" xr:uid="{00000000-0005-0000-0000-000071320000}"/>
    <cellStyle name="Standard 4 2 2 3 3 2 2 2" xfId="12735" xr:uid="{00000000-0005-0000-0000-000072320000}"/>
    <cellStyle name="Standard 4 2 2 3 3 2 2 2 2" xfId="12736" xr:uid="{00000000-0005-0000-0000-000073320000}"/>
    <cellStyle name="Standard 4 2 2 3 3 2 2 2 2 2" xfId="12737" xr:uid="{00000000-0005-0000-0000-000074320000}"/>
    <cellStyle name="Standard 4 2 2 3 3 2 2 2 2 2 2" xfId="12738" xr:uid="{00000000-0005-0000-0000-000075320000}"/>
    <cellStyle name="Standard 4 2 2 3 3 2 2 2 2 2 3" xfId="12739" xr:uid="{00000000-0005-0000-0000-000076320000}"/>
    <cellStyle name="Standard 4 2 2 3 3 2 2 2 2 3" xfId="12740" xr:uid="{00000000-0005-0000-0000-000077320000}"/>
    <cellStyle name="Standard 4 2 2 3 3 2 2 2 2 3 2" xfId="12741" xr:uid="{00000000-0005-0000-0000-000078320000}"/>
    <cellStyle name="Standard 4 2 2 3 3 2 2 2 2 3 3" xfId="12742" xr:uid="{00000000-0005-0000-0000-000079320000}"/>
    <cellStyle name="Standard 4 2 2 3 3 2 2 2 2 4" xfId="12743" xr:uid="{00000000-0005-0000-0000-00007A320000}"/>
    <cellStyle name="Standard 4 2 2 3 3 2 2 2 2 4 2" xfId="12744" xr:uid="{00000000-0005-0000-0000-00007B320000}"/>
    <cellStyle name="Standard 4 2 2 3 3 2 2 2 2 5" xfId="12745" xr:uid="{00000000-0005-0000-0000-00007C320000}"/>
    <cellStyle name="Standard 4 2 2 3 3 2 2 2 2 6" xfId="12746" xr:uid="{00000000-0005-0000-0000-00007D320000}"/>
    <cellStyle name="Standard 4 2 2 3 3 2 2 2 3" xfId="12747" xr:uid="{00000000-0005-0000-0000-00007E320000}"/>
    <cellStyle name="Standard 4 2 2 3 3 2 2 2 3 2" xfId="12748" xr:uid="{00000000-0005-0000-0000-00007F320000}"/>
    <cellStyle name="Standard 4 2 2 3 3 2 2 2 3 3" xfId="12749" xr:uid="{00000000-0005-0000-0000-000080320000}"/>
    <cellStyle name="Standard 4 2 2 3 3 2 2 2 4" xfId="12750" xr:uid="{00000000-0005-0000-0000-000081320000}"/>
    <cellStyle name="Standard 4 2 2 3 3 2 2 2 4 2" xfId="12751" xr:uid="{00000000-0005-0000-0000-000082320000}"/>
    <cellStyle name="Standard 4 2 2 3 3 2 2 2 4 3" xfId="12752" xr:uid="{00000000-0005-0000-0000-000083320000}"/>
    <cellStyle name="Standard 4 2 2 3 3 2 2 2 5" xfId="12753" xr:uid="{00000000-0005-0000-0000-000084320000}"/>
    <cellStyle name="Standard 4 2 2 3 3 2 2 2 5 2" xfId="12754" xr:uid="{00000000-0005-0000-0000-000085320000}"/>
    <cellStyle name="Standard 4 2 2 3 3 2 2 2 6" xfId="12755" xr:uid="{00000000-0005-0000-0000-000086320000}"/>
    <cellStyle name="Standard 4 2 2 3 3 2 2 2 7" xfId="12756" xr:uid="{00000000-0005-0000-0000-000087320000}"/>
    <cellStyle name="Standard 4 2 2 3 3 2 2 3" xfId="12757" xr:uid="{00000000-0005-0000-0000-000088320000}"/>
    <cellStyle name="Standard 4 2 2 3 3 2 2 3 2" xfId="12758" xr:uid="{00000000-0005-0000-0000-000089320000}"/>
    <cellStyle name="Standard 4 2 2 3 3 2 2 3 2 2" xfId="12759" xr:uid="{00000000-0005-0000-0000-00008A320000}"/>
    <cellStyle name="Standard 4 2 2 3 3 2 2 3 2 3" xfId="12760" xr:uid="{00000000-0005-0000-0000-00008B320000}"/>
    <cellStyle name="Standard 4 2 2 3 3 2 2 3 3" xfId="12761" xr:uid="{00000000-0005-0000-0000-00008C320000}"/>
    <cellStyle name="Standard 4 2 2 3 3 2 2 3 3 2" xfId="12762" xr:uid="{00000000-0005-0000-0000-00008D320000}"/>
    <cellStyle name="Standard 4 2 2 3 3 2 2 3 3 3" xfId="12763" xr:uid="{00000000-0005-0000-0000-00008E320000}"/>
    <cellStyle name="Standard 4 2 2 3 3 2 2 3 4" xfId="12764" xr:uid="{00000000-0005-0000-0000-00008F320000}"/>
    <cellStyle name="Standard 4 2 2 3 3 2 2 3 4 2" xfId="12765" xr:uid="{00000000-0005-0000-0000-000090320000}"/>
    <cellStyle name="Standard 4 2 2 3 3 2 2 3 5" xfId="12766" xr:uid="{00000000-0005-0000-0000-000091320000}"/>
    <cellStyle name="Standard 4 2 2 3 3 2 2 3 6" xfId="12767" xr:uid="{00000000-0005-0000-0000-000092320000}"/>
    <cellStyle name="Standard 4 2 2 3 3 2 2 4" xfId="12768" xr:uid="{00000000-0005-0000-0000-000093320000}"/>
    <cellStyle name="Standard 4 2 2 3 3 2 2 4 2" xfId="12769" xr:uid="{00000000-0005-0000-0000-000094320000}"/>
    <cellStyle name="Standard 4 2 2 3 3 2 2 4 3" xfId="12770" xr:uid="{00000000-0005-0000-0000-000095320000}"/>
    <cellStyle name="Standard 4 2 2 3 3 2 2 5" xfId="12771" xr:uid="{00000000-0005-0000-0000-000096320000}"/>
    <cellStyle name="Standard 4 2 2 3 3 2 2 5 2" xfId="12772" xr:uid="{00000000-0005-0000-0000-000097320000}"/>
    <cellStyle name="Standard 4 2 2 3 3 2 2 5 3" xfId="12773" xr:uid="{00000000-0005-0000-0000-000098320000}"/>
    <cellStyle name="Standard 4 2 2 3 3 2 2 6" xfId="12774" xr:uid="{00000000-0005-0000-0000-000099320000}"/>
    <cellStyle name="Standard 4 2 2 3 3 2 2 6 2" xfId="12775" xr:uid="{00000000-0005-0000-0000-00009A320000}"/>
    <cellStyle name="Standard 4 2 2 3 3 2 2 7" xfId="12776" xr:uid="{00000000-0005-0000-0000-00009B320000}"/>
    <cellStyle name="Standard 4 2 2 3 3 2 2 8" xfId="12777" xr:uid="{00000000-0005-0000-0000-00009C320000}"/>
    <cellStyle name="Standard 4 2 2 3 3 2 3" xfId="12778" xr:uid="{00000000-0005-0000-0000-00009D320000}"/>
    <cellStyle name="Standard 4 2 2 3 3 2 3 2" xfId="12779" xr:uid="{00000000-0005-0000-0000-00009E320000}"/>
    <cellStyle name="Standard 4 2 2 3 3 2 3 2 2" xfId="12780" xr:uid="{00000000-0005-0000-0000-00009F320000}"/>
    <cellStyle name="Standard 4 2 2 3 3 2 3 2 2 2" xfId="12781" xr:uid="{00000000-0005-0000-0000-0000A0320000}"/>
    <cellStyle name="Standard 4 2 2 3 3 2 3 2 2 2 2" xfId="12782" xr:uid="{00000000-0005-0000-0000-0000A1320000}"/>
    <cellStyle name="Standard 4 2 2 3 3 2 3 2 2 2 3" xfId="12783" xr:uid="{00000000-0005-0000-0000-0000A2320000}"/>
    <cellStyle name="Standard 4 2 2 3 3 2 3 2 2 3" xfId="12784" xr:uid="{00000000-0005-0000-0000-0000A3320000}"/>
    <cellStyle name="Standard 4 2 2 3 3 2 3 2 2 3 2" xfId="12785" xr:uid="{00000000-0005-0000-0000-0000A4320000}"/>
    <cellStyle name="Standard 4 2 2 3 3 2 3 2 2 3 3" xfId="12786" xr:uid="{00000000-0005-0000-0000-0000A5320000}"/>
    <cellStyle name="Standard 4 2 2 3 3 2 3 2 2 4" xfId="12787" xr:uid="{00000000-0005-0000-0000-0000A6320000}"/>
    <cellStyle name="Standard 4 2 2 3 3 2 3 2 2 4 2" xfId="12788" xr:uid="{00000000-0005-0000-0000-0000A7320000}"/>
    <cellStyle name="Standard 4 2 2 3 3 2 3 2 2 5" xfId="12789" xr:uid="{00000000-0005-0000-0000-0000A8320000}"/>
    <cellStyle name="Standard 4 2 2 3 3 2 3 2 2 6" xfId="12790" xr:uid="{00000000-0005-0000-0000-0000A9320000}"/>
    <cellStyle name="Standard 4 2 2 3 3 2 3 2 3" xfId="12791" xr:uid="{00000000-0005-0000-0000-0000AA320000}"/>
    <cellStyle name="Standard 4 2 2 3 3 2 3 2 3 2" xfId="12792" xr:uid="{00000000-0005-0000-0000-0000AB320000}"/>
    <cellStyle name="Standard 4 2 2 3 3 2 3 2 3 3" xfId="12793" xr:uid="{00000000-0005-0000-0000-0000AC320000}"/>
    <cellStyle name="Standard 4 2 2 3 3 2 3 2 4" xfId="12794" xr:uid="{00000000-0005-0000-0000-0000AD320000}"/>
    <cellStyle name="Standard 4 2 2 3 3 2 3 2 4 2" xfId="12795" xr:uid="{00000000-0005-0000-0000-0000AE320000}"/>
    <cellStyle name="Standard 4 2 2 3 3 2 3 2 4 3" xfId="12796" xr:uid="{00000000-0005-0000-0000-0000AF320000}"/>
    <cellStyle name="Standard 4 2 2 3 3 2 3 2 5" xfId="12797" xr:uid="{00000000-0005-0000-0000-0000B0320000}"/>
    <cellStyle name="Standard 4 2 2 3 3 2 3 2 5 2" xfId="12798" xr:uid="{00000000-0005-0000-0000-0000B1320000}"/>
    <cellStyle name="Standard 4 2 2 3 3 2 3 2 6" xfId="12799" xr:uid="{00000000-0005-0000-0000-0000B2320000}"/>
    <cellStyle name="Standard 4 2 2 3 3 2 3 2 7" xfId="12800" xr:uid="{00000000-0005-0000-0000-0000B3320000}"/>
    <cellStyle name="Standard 4 2 2 3 3 2 3 3" xfId="12801" xr:uid="{00000000-0005-0000-0000-0000B4320000}"/>
    <cellStyle name="Standard 4 2 2 3 3 2 3 3 2" xfId="12802" xr:uid="{00000000-0005-0000-0000-0000B5320000}"/>
    <cellStyle name="Standard 4 2 2 3 3 2 3 3 2 2" xfId="12803" xr:uid="{00000000-0005-0000-0000-0000B6320000}"/>
    <cellStyle name="Standard 4 2 2 3 3 2 3 3 2 3" xfId="12804" xr:uid="{00000000-0005-0000-0000-0000B7320000}"/>
    <cellStyle name="Standard 4 2 2 3 3 2 3 3 3" xfId="12805" xr:uid="{00000000-0005-0000-0000-0000B8320000}"/>
    <cellStyle name="Standard 4 2 2 3 3 2 3 3 3 2" xfId="12806" xr:uid="{00000000-0005-0000-0000-0000B9320000}"/>
    <cellStyle name="Standard 4 2 2 3 3 2 3 3 3 3" xfId="12807" xr:uid="{00000000-0005-0000-0000-0000BA320000}"/>
    <cellStyle name="Standard 4 2 2 3 3 2 3 3 4" xfId="12808" xr:uid="{00000000-0005-0000-0000-0000BB320000}"/>
    <cellStyle name="Standard 4 2 2 3 3 2 3 3 4 2" xfId="12809" xr:uid="{00000000-0005-0000-0000-0000BC320000}"/>
    <cellStyle name="Standard 4 2 2 3 3 2 3 3 5" xfId="12810" xr:uid="{00000000-0005-0000-0000-0000BD320000}"/>
    <cellStyle name="Standard 4 2 2 3 3 2 3 3 6" xfId="12811" xr:uid="{00000000-0005-0000-0000-0000BE320000}"/>
    <cellStyle name="Standard 4 2 2 3 3 2 3 4" xfId="12812" xr:uid="{00000000-0005-0000-0000-0000BF320000}"/>
    <cellStyle name="Standard 4 2 2 3 3 2 3 4 2" xfId="12813" xr:uid="{00000000-0005-0000-0000-0000C0320000}"/>
    <cellStyle name="Standard 4 2 2 3 3 2 3 4 3" xfId="12814" xr:uid="{00000000-0005-0000-0000-0000C1320000}"/>
    <cellStyle name="Standard 4 2 2 3 3 2 3 5" xfId="12815" xr:uid="{00000000-0005-0000-0000-0000C2320000}"/>
    <cellStyle name="Standard 4 2 2 3 3 2 3 5 2" xfId="12816" xr:uid="{00000000-0005-0000-0000-0000C3320000}"/>
    <cellStyle name="Standard 4 2 2 3 3 2 3 5 3" xfId="12817" xr:uid="{00000000-0005-0000-0000-0000C4320000}"/>
    <cellStyle name="Standard 4 2 2 3 3 2 3 6" xfId="12818" xr:uid="{00000000-0005-0000-0000-0000C5320000}"/>
    <cellStyle name="Standard 4 2 2 3 3 2 3 6 2" xfId="12819" xr:uid="{00000000-0005-0000-0000-0000C6320000}"/>
    <cellStyle name="Standard 4 2 2 3 3 2 3 7" xfId="12820" xr:uid="{00000000-0005-0000-0000-0000C7320000}"/>
    <cellStyle name="Standard 4 2 2 3 3 2 3 8" xfId="12821" xr:uid="{00000000-0005-0000-0000-0000C8320000}"/>
    <cellStyle name="Standard 4 2 2 3 3 2 4" xfId="12822" xr:uid="{00000000-0005-0000-0000-0000C9320000}"/>
    <cellStyle name="Standard 4 2 2 3 3 2 4 2" xfId="12823" xr:uid="{00000000-0005-0000-0000-0000CA320000}"/>
    <cellStyle name="Standard 4 2 2 3 3 2 4 2 2" xfId="12824" xr:uid="{00000000-0005-0000-0000-0000CB320000}"/>
    <cellStyle name="Standard 4 2 2 3 3 2 4 2 2 2" xfId="12825" xr:uid="{00000000-0005-0000-0000-0000CC320000}"/>
    <cellStyle name="Standard 4 2 2 3 3 2 4 2 2 3" xfId="12826" xr:uid="{00000000-0005-0000-0000-0000CD320000}"/>
    <cellStyle name="Standard 4 2 2 3 3 2 4 2 3" xfId="12827" xr:uid="{00000000-0005-0000-0000-0000CE320000}"/>
    <cellStyle name="Standard 4 2 2 3 3 2 4 2 3 2" xfId="12828" xr:uid="{00000000-0005-0000-0000-0000CF320000}"/>
    <cellStyle name="Standard 4 2 2 3 3 2 4 2 3 3" xfId="12829" xr:uid="{00000000-0005-0000-0000-0000D0320000}"/>
    <cellStyle name="Standard 4 2 2 3 3 2 4 2 4" xfId="12830" xr:uid="{00000000-0005-0000-0000-0000D1320000}"/>
    <cellStyle name="Standard 4 2 2 3 3 2 4 2 4 2" xfId="12831" xr:uid="{00000000-0005-0000-0000-0000D2320000}"/>
    <cellStyle name="Standard 4 2 2 3 3 2 4 2 5" xfId="12832" xr:uid="{00000000-0005-0000-0000-0000D3320000}"/>
    <cellStyle name="Standard 4 2 2 3 3 2 4 2 6" xfId="12833" xr:uid="{00000000-0005-0000-0000-0000D4320000}"/>
    <cellStyle name="Standard 4 2 2 3 3 2 4 3" xfId="12834" xr:uid="{00000000-0005-0000-0000-0000D5320000}"/>
    <cellStyle name="Standard 4 2 2 3 3 2 4 3 2" xfId="12835" xr:uid="{00000000-0005-0000-0000-0000D6320000}"/>
    <cellStyle name="Standard 4 2 2 3 3 2 4 3 3" xfId="12836" xr:uid="{00000000-0005-0000-0000-0000D7320000}"/>
    <cellStyle name="Standard 4 2 2 3 3 2 4 4" xfId="12837" xr:uid="{00000000-0005-0000-0000-0000D8320000}"/>
    <cellStyle name="Standard 4 2 2 3 3 2 4 4 2" xfId="12838" xr:uid="{00000000-0005-0000-0000-0000D9320000}"/>
    <cellStyle name="Standard 4 2 2 3 3 2 4 4 3" xfId="12839" xr:uid="{00000000-0005-0000-0000-0000DA320000}"/>
    <cellStyle name="Standard 4 2 2 3 3 2 4 5" xfId="12840" xr:uid="{00000000-0005-0000-0000-0000DB320000}"/>
    <cellStyle name="Standard 4 2 2 3 3 2 4 5 2" xfId="12841" xr:uid="{00000000-0005-0000-0000-0000DC320000}"/>
    <cellStyle name="Standard 4 2 2 3 3 2 4 6" xfId="12842" xr:uid="{00000000-0005-0000-0000-0000DD320000}"/>
    <cellStyle name="Standard 4 2 2 3 3 2 4 7" xfId="12843" xr:uid="{00000000-0005-0000-0000-0000DE320000}"/>
    <cellStyle name="Standard 4 2 2 3 3 2 5" xfId="12844" xr:uid="{00000000-0005-0000-0000-0000DF320000}"/>
    <cellStyle name="Standard 4 2 2 3 3 2 5 2" xfId="12845" xr:uid="{00000000-0005-0000-0000-0000E0320000}"/>
    <cellStyle name="Standard 4 2 2 3 3 2 5 2 2" xfId="12846" xr:uid="{00000000-0005-0000-0000-0000E1320000}"/>
    <cellStyle name="Standard 4 2 2 3 3 2 5 2 3" xfId="12847" xr:uid="{00000000-0005-0000-0000-0000E2320000}"/>
    <cellStyle name="Standard 4 2 2 3 3 2 5 3" xfId="12848" xr:uid="{00000000-0005-0000-0000-0000E3320000}"/>
    <cellStyle name="Standard 4 2 2 3 3 2 5 3 2" xfId="12849" xr:uid="{00000000-0005-0000-0000-0000E4320000}"/>
    <cellStyle name="Standard 4 2 2 3 3 2 5 3 3" xfId="12850" xr:uid="{00000000-0005-0000-0000-0000E5320000}"/>
    <cellStyle name="Standard 4 2 2 3 3 2 5 4" xfId="12851" xr:uid="{00000000-0005-0000-0000-0000E6320000}"/>
    <cellStyle name="Standard 4 2 2 3 3 2 5 4 2" xfId="12852" xr:uid="{00000000-0005-0000-0000-0000E7320000}"/>
    <cellStyle name="Standard 4 2 2 3 3 2 5 5" xfId="12853" xr:uid="{00000000-0005-0000-0000-0000E8320000}"/>
    <cellStyle name="Standard 4 2 2 3 3 2 5 6" xfId="12854" xr:uid="{00000000-0005-0000-0000-0000E9320000}"/>
    <cellStyle name="Standard 4 2 2 3 3 2 6" xfId="12855" xr:uid="{00000000-0005-0000-0000-0000EA320000}"/>
    <cellStyle name="Standard 4 2 2 3 3 2 6 2" xfId="12856" xr:uid="{00000000-0005-0000-0000-0000EB320000}"/>
    <cellStyle name="Standard 4 2 2 3 3 2 6 3" xfId="12857" xr:uid="{00000000-0005-0000-0000-0000EC320000}"/>
    <cellStyle name="Standard 4 2 2 3 3 2 7" xfId="12858" xr:uid="{00000000-0005-0000-0000-0000ED320000}"/>
    <cellStyle name="Standard 4 2 2 3 3 2 7 2" xfId="12859" xr:uid="{00000000-0005-0000-0000-0000EE320000}"/>
    <cellStyle name="Standard 4 2 2 3 3 2 7 3" xfId="12860" xr:uid="{00000000-0005-0000-0000-0000EF320000}"/>
    <cellStyle name="Standard 4 2 2 3 3 2 8" xfId="12861" xr:uid="{00000000-0005-0000-0000-0000F0320000}"/>
    <cellStyle name="Standard 4 2 2 3 3 2 8 2" xfId="12862" xr:uid="{00000000-0005-0000-0000-0000F1320000}"/>
    <cellStyle name="Standard 4 2 2 3 3 2 9" xfId="12863" xr:uid="{00000000-0005-0000-0000-0000F2320000}"/>
    <cellStyle name="Standard 4 2 2 3 3 3" xfId="12864" xr:uid="{00000000-0005-0000-0000-0000F3320000}"/>
    <cellStyle name="Standard 4 2 2 3 3 3 2" xfId="12865" xr:uid="{00000000-0005-0000-0000-0000F4320000}"/>
    <cellStyle name="Standard 4 2 2 3 3 3 2 2" xfId="12866" xr:uid="{00000000-0005-0000-0000-0000F5320000}"/>
    <cellStyle name="Standard 4 2 2 3 3 3 2 2 2" xfId="12867" xr:uid="{00000000-0005-0000-0000-0000F6320000}"/>
    <cellStyle name="Standard 4 2 2 3 3 3 2 2 2 2" xfId="12868" xr:uid="{00000000-0005-0000-0000-0000F7320000}"/>
    <cellStyle name="Standard 4 2 2 3 3 3 2 2 2 3" xfId="12869" xr:uid="{00000000-0005-0000-0000-0000F8320000}"/>
    <cellStyle name="Standard 4 2 2 3 3 3 2 2 3" xfId="12870" xr:uid="{00000000-0005-0000-0000-0000F9320000}"/>
    <cellStyle name="Standard 4 2 2 3 3 3 2 2 3 2" xfId="12871" xr:uid="{00000000-0005-0000-0000-0000FA320000}"/>
    <cellStyle name="Standard 4 2 2 3 3 3 2 2 3 3" xfId="12872" xr:uid="{00000000-0005-0000-0000-0000FB320000}"/>
    <cellStyle name="Standard 4 2 2 3 3 3 2 2 4" xfId="12873" xr:uid="{00000000-0005-0000-0000-0000FC320000}"/>
    <cellStyle name="Standard 4 2 2 3 3 3 2 2 4 2" xfId="12874" xr:uid="{00000000-0005-0000-0000-0000FD320000}"/>
    <cellStyle name="Standard 4 2 2 3 3 3 2 2 5" xfId="12875" xr:uid="{00000000-0005-0000-0000-0000FE320000}"/>
    <cellStyle name="Standard 4 2 2 3 3 3 2 2 6" xfId="12876" xr:uid="{00000000-0005-0000-0000-0000FF320000}"/>
    <cellStyle name="Standard 4 2 2 3 3 3 2 3" xfId="12877" xr:uid="{00000000-0005-0000-0000-000000330000}"/>
    <cellStyle name="Standard 4 2 2 3 3 3 2 3 2" xfId="12878" xr:uid="{00000000-0005-0000-0000-000001330000}"/>
    <cellStyle name="Standard 4 2 2 3 3 3 2 3 3" xfId="12879" xr:uid="{00000000-0005-0000-0000-000002330000}"/>
    <cellStyle name="Standard 4 2 2 3 3 3 2 4" xfId="12880" xr:uid="{00000000-0005-0000-0000-000003330000}"/>
    <cellStyle name="Standard 4 2 2 3 3 3 2 4 2" xfId="12881" xr:uid="{00000000-0005-0000-0000-000004330000}"/>
    <cellStyle name="Standard 4 2 2 3 3 3 2 4 3" xfId="12882" xr:uid="{00000000-0005-0000-0000-000005330000}"/>
    <cellStyle name="Standard 4 2 2 3 3 3 2 5" xfId="12883" xr:uid="{00000000-0005-0000-0000-000006330000}"/>
    <cellStyle name="Standard 4 2 2 3 3 3 2 5 2" xfId="12884" xr:uid="{00000000-0005-0000-0000-000007330000}"/>
    <cellStyle name="Standard 4 2 2 3 3 3 2 6" xfId="12885" xr:uid="{00000000-0005-0000-0000-000008330000}"/>
    <cellStyle name="Standard 4 2 2 3 3 3 2 7" xfId="12886" xr:uid="{00000000-0005-0000-0000-000009330000}"/>
    <cellStyle name="Standard 4 2 2 3 3 3 3" xfId="12887" xr:uid="{00000000-0005-0000-0000-00000A330000}"/>
    <cellStyle name="Standard 4 2 2 3 3 3 3 2" xfId="12888" xr:uid="{00000000-0005-0000-0000-00000B330000}"/>
    <cellStyle name="Standard 4 2 2 3 3 3 3 2 2" xfId="12889" xr:uid="{00000000-0005-0000-0000-00000C330000}"/>
    <cellStyle name="Standard 4 2 2 3 3 3 3 2 3" xfId="12890" xr:uid="{00000000-0005-0000-0000-00000D330000}"/>
    <cellStyle name="Standard 4 2 2 3 3 3 3 3" xfId="12891" xr:uid="{00000000-0005-0000-0000-00000E330000}"/>
    <cellStyle name="Standard 4 2 2 3 3 3 3 3 2" xfId="12892" xr:uid="{00000000-0005-0000-0000-00000F330000}"/>
    <cellStyle name="Standard 4 2 2 3 3 3 3 3 3" xfId="12893" xr:uid="{00000000-0005-0000-0000-000010330000}"/>
    <cellStyle name="Standard 4 2 2 3 3 3 3 4" xfId="12894" xr:uid="{00000000-0005-0000-0000-000011330000}"/>
    <cellStyle name="Standard 4 2 2 3 3 3 3 4 2" xfId="12895" xr:uid="{00000000-0005-0000-0000-000012330000}"/>
    <cellStyle name="Standard 4 2 2 3 3 3 3 5" xfId="12896" xr:uid="{00000000-0005-0000-0000-000013330000}"/>
    <cellStyle name="Standard 4 2 2 3 3 3 3 6" xfId="12897" xr:uid="{00000000-0005-0000-0000-000014330000}"/>
    <cellStyle name="Standard 4 2 2 3 3 3 4" xfId="12898" xr:uid="{00000000-0005-0000-0000-000015330000}"/>
    <cellStyle name="Standard 4 2 2 3 3 3 4 2" xfId="12899" xr:uid="{00000000-0005-0000-0000-000016330000}"/>
    <cellStyle name="Standard 4 2 2 3 3 3 4 3" xfId="12900" xr:uid="{00000000-0005-0000-0000-000017330000}"/>
    <cellStyle name="Standard 4 2 2 3 3 3 5" xfId="12901" xr:uid="{00000000-0005-0000-0000-000018330000}"/>
    <cellStyle name="Standard 4 2 2 3 3 3 5 2" xfId="12902" xr:uid="{00000000-0005-0000-0000-000019330000}"/>
    <cellStyle name="Standard 4 2 2 3 3 3 5 3" xfId="12903" xr:uid="{00000000-0005-0000-0000-00001A330000}"/>
    <cellStyle name="Standard 4 2 2 3 3 3 6" xfId="12904" xr:uid="{00000000-0005-0000-0000-00001B330000}"/>
    <cellStyle name="Standard 4 2 2 3 3 3 6 2" xfId="12905" xr:uid="{00000000-0005-0000-0000-00001C330000}"/>
    <cellStyle name="Standard 4 2 2 3 3 3 7" xfId="12906" xr:uid="{00000000-0005-0000-0000-00001D330000}"/>
    <cellStyle name="Standard 4 2 2 3 3 3 8" xfId="12907" xr:uid="{00000000-0005-0000-0000-00001E330000}"/>
    <cellStyle name="Standard 4 2 2 3 3 4" xfId="12908" xr:uid="{00000000-0005-0000-0000-00001F330000}"/>
    <cellStyle name="Standard 4 2 2 3 3 4 2" xfId="12909" xr:uid="{00000000-0005-0000-0000-000020330000}"/>
    <cellStyle name="Standard 4 2 2 3 3 4 2 2" xfId="12910" xr:uid="{00000000-0005-0000-0000-000021330000}"/>
    <cellStyle name="Standard 4 2 2 3 3 4 2 2 2" xfId="12911" xr:uid="{00000000-0005-0000-0000-000022330000}"/>
    <cellStyle name="Standard 4 2 2 3 3 4 2 2 2 2" xfId="12912" xr:uid="{00000000-0005-0000-0000-000023330000}"/>
    <cellStyle name="Standard 4 2 2 3 3 4 2 2 2 3" xfId="12913" xr:uid="{00000000-0005-0000-0000-000024330000}"/>
    <cellStyle name="Standard 4 2 2 3 3 4 2 2 3" xfId="12914" xr:uid="{00000000-0005-0000-0000-000025330000}"/>
    <cellStyle name="Standard 4 2 2 3 3 4 2 2 3 2" xfId="12915" xr:uid="{00000000-0005-0000-0000-000026330000}"/>
    <cellStyle name="Standard 4 2 2 3 3 4 2 2 3 3" xfId="12916" xr:uid="{00000000-0005-0000-0000-000027330000}"/>
    <cellStyle name="Standard 4 2 2 3 3 4 2 2 4" xfId="12917" xr:uid="{00000000-0005-0000-0000-000028330000}"/>
    <cellStyle name="Standard 4 2 2 3 3 4 2 2 4 2" xfId="12918" xr:uid="{00000000-0005-0000-0000-000029330000}"/>
    <cellStyle name="Standard 4 2 2 3 3 4 2 2 5" xfId="12919" xr:uid="{00000000-0005-0000-0000-00002A330000}"/>
    <cellStyle name="Standard 4 2 2 3 3 4 2 2 6" xfId="12920" xr:uid="{00000000-0005-0000-0000-00002B330000}"/>
    <cellStyle name="Standard 4 2 2 3 3 4 2 3" xfId="12921" xr:uid="{00000000-0005-0000-0000-00002C330000}"/>
    <cellStyle name="Standard 4 2 2 3 3 4 2 3 2" xfId="12922" xr:uid="{00000000-0005-0000-0000-00002D330000}"/>
    <cellStyle name="Standard 4 2 2 3 3 4 2 3 3" xfId="12923" xr:uid="{00000000-0005-0000-0000-00002E330000}"/>
    <cellStyle name="Standard 4 2 2 3 3 4 2 4" xfId="12924" xr:uid="{00000000-0005-0000-0000-00002F330000}"/>
    <cellStyle name="Standard 4 2 2 3 3 4 2 4 2" xfId="12925" xr:uid="{00000000-0005-0000-0000-000030330000}"/>
    <cellStyle name="Standard 4 2 2 3 3 4 2 4 3" xfId="12926" xr:uid="{00000000-0005-0000-0000-000031330000}"/>
    <cellStyle name="Standard 4 2 2 3 3 4 2 5" xfId="12927" xr:uid="{00000000-0005-0000-0000-000032330000}"/>
    <cellStyle name="Standard 4 2 2 3 3 4 2 5 2" xfId="12928" xr:uid="{00000000-0005-0000-0000-000033330000}"/>
    <cellStyle name="Standard 4 2 2 3 3 4 2 6" xfId="12929" xr:uid="{00000000-0005-0000-0000-000034330000}"/>
    <cellStyle name="Standard 4 2 2 3 3 4 2 7" xfId="12930" xr:uid="{00000000-0005-0000-0000-000035330000}"/>
    <cellStyle name="Standard 4 2 2 3 3 4 3" xfId="12931" xr:uid="{00000000-0005-0000-0000-000036330000}"/>
    <cellStyle name="Standard 4 2 2 3 3 4 3 2" xfId="12932" xr:uid="{00000000-0005-0000-0000-000037330000}"/>
    <cellStyle name="Standard 4 2 2 3 3 4 3 2 2" xfId="12933" xr:uid="{00000000-0005-0000-0000-000038330000}"/>
    <cellStyle name="Standard 4 2 2 3 3 4 3 2 3" xfId="12934" xr:uid="{00000000-0005-0000-0000-000039330000}"/>
    <cellStyle name="Standard 4 2 2 3 3 4 3 3" xfId="12935" xr:uid="{00000000-0005-0000-0000-00003A330000}"/>
    <cellStyle name="Standard 4 2 2 3 3 4 3 3 2" xfId="12936" xr:uid="{00000000-0005-0000-0000-00003B330000}"/>
    <cellStyle name="Standard 4 2 2 3 3 4 3 3 3" xfId="12937" xr:uid="{00000000-0005-0000-0000-00003C330000}"/>
    <cellStyle name="Standard 4 2 2 3 3 4 3 4" xfId="12938" xr:uid="{00000000-0005-0000-0000-00003D330000}"/>
    <cellStyle name="Standard 4 2 2 3 3 4 3 4 2" xfId="12939" xr:uid="{00000000-0005-0000-0000-00003E330000}"/>
    <cellStyle name="Standard 4 2 2 3 3 4 3 5" xfId="12940" xr:uid="{00000000-0005-0000-0000-00003F330000}"/>
    <cellStyle name="Standard 4 2 2 3 3 4 3 6" xfId="12941" xr:uid="{00000000-0005-0000-0000-000040330000}"/>
    <cellStyle name="Standard 4 2 2 3 3 4 4" xfId="12942" xr:uid="{00000000-0005-0000-0000-000041330000}"/>
    <cellStyle name="Standard 4 2 2 3 3 4 4 2" xfId="12943" xr:uid="{00000000-0005-0000-0000-000042330000}"/>
    <cellStyle name="Standard 4 2 2 3 3 4 4 3" xfId="12944" xr:uid="{00000000-0005-0000-0000-000043330000}"/>
    <cellStyle name="Standard 4 2 2 3 3 4 5" xfId="12945" xr:uid="{00000000-0005-0000-0000-000044330000}"/>
    <cellStyle name="Standard 4 2 2 3 3 4 5 2" xfId="12946" xr:uid="{00000000-0005-0000-0000-000045330000}"/>
    <cellStyle name="Standard 4 2 2 3 3 4 5 3" xfId="12947" xr:uid="{00000000-0005-0000-0000-000046330000}"/>
    <cellStyle name="Standard 4 2 2 3 3 4 6" xfId="12948" xr:uid="{00000000-0005-0000-0000-000047330000}"/>
    <cellStyle name="Standard 4 2 2 3 3 4 6 2" xfId="12949" xr:uid="{00000000-0005-0000-0000-000048330000}"/>
    <cellStyle name="Standard 4 2 2 3 3 4 7" xfId="12950" xr:uid="{00000000-0005-0000-0000-000049330000}"/>
    <cellStyle name="Standard 4 2 2 3 3 4 8" xfId="12951" xr:uid="{00000000-0005-0000-0000-00004A330000}"/>
    <cellStyle name="Standard 4 2 2 3 3 5" xfId="12952" xr:uid="{00000000-0005-0000-0000-00004B330000}"/>
    <cellStyle name="Standard 4 2 2 3 3 5 2" xfId="12953" xr:uid="{00000000-0005-0000-0000-00004C330000}"/>
    <cellStyle name="Standard 4 2 2 3 3 5 2 2" xfId="12954" xr:uid="{00000000-0005-0000-0000-00004D330000}"/>
    <cellStyle name="Standard 4 2 2 3 3 5 2 2 2" xfId="12955" xr:uid="{00000000-0005-0000-0000-00004E330000}"/>
    <cellStyle name="Standard 4 2 2 3 3 5 2 2 3" xfId="12956" xr:uid="{00000000-0005-0000-0000-00004F330000}"/>
    <cellStyle name="Standard 4 2 2 3 3 5 2 3" xfId="12957" xr:uid="{00000000-0005-0000-0000-000050330000}"/>
    <cellStyle name="Standard 4 2 2 3 3 5 2 3 2" xfId="12958" xr:uid="{00000000-0005-0000-0000-000051330000}"/>
    <cellStyle name="Standard 4 2 2 3 3 5 2 3 3" xfId="12959" xr:uid="{00000000-0005-0000-0000-000052330000}"/>
    <cellStyle name="Standard 4 2 2 3 3 5 2 4" xfId="12960" xr:uid="{00000000-0005-0000-0000-000053330000}"/>
    <cellStyle name="Standard 4 2 2 3 3 5 2 4 2" xfId="12961" xr:uid="{00000000-0005-0000-0000-000054330000}"/>
    <cellStyle name="Standard 4 2 2 3 3 5 2 5" xfId="12962" xr:uid="{00000000-0005-0000-0000-000055330000}"/>
    <cellStyle name="Standard 4 2 2 3 3 5 2 6" xfId="12963" xr:uid="{00000000-0005-0000-0000-000056330000}"/>
    <cellStyle name="Standard 4 2 2 3 3 5 3" xfId="12964" xr:uid="{00000000-0005-0000-0000-000057330000}"/>
    <cellStyle name="Standard 4 2 2 3 3 5 3 2" xfId="12965" xr:uid="{00000000-0005-0000-0000-000058330000}"/>
    <cellStyle name="Standard 4 2 2 3 3 5 3 3" xfId="12966" xr:uid="{00000000-0005-0000-0000-000059330000}"/>
    <cellStyle name="Standard 4 2 2 3 3 5 4" xfId="12967" xr:uid="{00000000-0005-0000-0000-00005A330000}"/>
    <cellStyle name="Standard 4 2 2 3 3 5 4 2" xfId="12968" xr:uid="{00000000-0005-0000-0000-00005B330000}"/>
    <cellStyle name="Standard 4 2 2 3 3 5 4 3" xfId="12969" xr:uid="{00000000-0005-0000-0000-00005C330000}"/>
    <cellStyle name="Standard 4 2 2 3 3 5 5" xfId="12970" xr:uid="{00000000-0005-0000-0000-00005D330000}"/>
    <cellStyle name="Standard 4 2 2 3 3 5 5 2" xfId="12971" xr:uid="{00000000-0005-0000-0000-00005E330000}"/>
    <cellStyle name="Standard 4 2 2 3 3 5 6" xfId="12972" xr:uid="{00000000-0005-0000-0000-00005F330000}"/>
    <cellStyle name="Standard 4 2 2 3 3 5 7" xfId="12973" xr:uid="{00000000-0005-0000-0000-000060330000}"/>
    <cellStyle name="Standard 4 2 2 3 3 6" xfId="12974" xr:uid="{00000000-0005-0000-0000-000061330000}"/>
    <cellStyle name="Standard 4 2 2 3 3 6 2" xfId="12975" xr:uid="{00000000-0005-0000-0000-000062330000}"/>
    <cellStyle name="Standard 4 2 2 3 3 6 2 2" xfId="12976" xr:uid="{00000000-0005-0000-0000-000063330000}"/>
    <cellStyle name="Standard 4 2 2 3 3 6 2 3" xfId="12977" xr:uid="{00000000-0005-0000-0000-000064330000}"/>
    <cellStyle name="Standard 4 2 2 3 3 6 3" xfId="12978" xr:uid="{00000000-0005-0000-0000-000065330000}"/>
    <cellStyle name="Standard 4 2 2 3 3 6 3 2" xfId="12979" xr:uid="{00000000-0005-0000-0000-000066330000}"/>
    <cellStyle name="Standard 4 2 2 3 3 6 3 3" xfId="12980" xr:uid="{00000000-0005-0000-0000-000067330000}"/>
    <cellStyle name="Standard 4 2 2 3 3 6 4" xfId="12981" xr:uid="{00000000-0005-0000-0000-000068330000}"/>
    <cellStyle name="Standard 4 2 2 3 3 6 4 2" xfId="12982" xr:uid="{00000000-0005-0000-0000-000069330000}"/>
    <cellStyle name="Standard 4 2 2 3 3 6 5" xfId="12983" xr:uid="{00000000-0005-0000-0000-00006A330000}"/>
    <cellStyle name="Standard 4 2 2 3 3 6 6" xfId="12984" xr:uid="{00000000-0005-0000-0000-00006B330000}"/>
    <cellStyle name="Standard 4 2 2 3 3 7" xfId="12985" xr:uid="{00000000-0005-0000-0000-00006C330000}"/>
    <cellStyle name="Standard 4 2 2 3 3 7 2" xfId="12986" xr:uid="{00000000-0005-0000-0000-00006D330000}"/>
    <cellStyle name="Standard 4 2 2 3 3 7 3" xfId="12987" xr:uid="{00000000-0005-0000-0000-00006E330000}"/>
    <cellStyle name="Standard 4 2 2 3 3 8" xfId="12988" xr:uid="{00000000-0005-0000-0000-00006F330000}"/>
    <cellStyle name="Standard 4 2 2 3 3 8 2" xfId="12989" xr:uid="{00000000-0005-0000-0000-000070330000}"/>
    <cellStyle name="Standard 4 2 2 3 3 8 3" xfId="12990" xr:uid="{00000000-0005-0000-0000-000071330000}"/>
    <cellStyle name="Standard 4 2 2 3 3 9" xfId="12991" xr:uid="{00000000-0005-0000-0000-000072330000}"/>
    <cellStyle name="Standard 4 2 2 3 3 9 2" xfId="12992" xr:uid="{00000000-0005-0000-0000-000073330000}"/>
    <cellStyle name="Standard 4 2 2 3 4" xfId="12993" xr:uid="{00000000-0005-0000-0000-000074330000}"/>
    <cellStyle name="Standard 4 2 2 3 4 10" xfId="12994" xr:uid="{00000000-0005-0000-0000-000075330000}"/>
    <cellStyle name="Standard 4 2 2 3 4 2" xfId="12995" xr:uid="{00000000-0005-0000-0000-000076330000}"/>
    <cellStyle name="Standard 4 2 2 3 4 2 2" xfId="12996" xr:uid="{00000000-0005-0000-0000-000077330000}"/>
    <cellStyle name="Standard 4 2 2 3 4 2 2 2" xfId="12997" xr:uid="{00000000-0005-0000-0000-000078330000}"/>
    <cellStyle name="Standard 4 2 2 3 4 2 2 2 2" xfId="12998" xr:uid="{00000000-0005-0000-0000-000079330000}"/>
    <cellStyle name="Standard 4 2 2 3 4 2 2 2 2 2" xfId="12999" xr:uid="{00000000-0005-0000-0000-00007A330000}"/>
    <cellStyle name="Standard 4 2 2 3 4 2 2 2 2 3" xfId="13000" xr:uid="{00000000-0005-0000-0000-00007B330000}"/>
    <cellStyle name="Standard 4 2 2 3 4 2 2 2 3" xfId="13001" xr:uid="{00000000-0005-0000-0000-00007C330000}"/>
    <cellStyle name="Standard 4 2 2 3 4 2 2 2 3 2" xfId="13002" xr:uid="{00000000-0005-0000-0000-00007D330000}"/>
    <cellStyle name="Standard 4 2 2 3 4 2 2 2 3 3" xfId="13003" xr:uid="{00000000-0005-0000-0000-00007E330000}"/>
    <cellStyle name="Standard 4 2 2 3 4 2 2 2 4" xfId="13004" xr:uid="{00000000-0005-0000-0000-00007F330000}"/>
    <cellStyle name="Standard 4 2 2 3 4 2 2 2 4 2" xfId="13005" xr:uid="{00000000-0005-0000-0000-000080330000}"/>
    <cellStyle name="Standard 4 2 2 3 4 2 2 2 5" xfId="13006" xr:uid="{00000000-0005-0000-0000-000081330000}"/>
    <cellStyle name="Standard 4 2 2 3 4 2 2 2 6" xfId="13007" xr:uid="{00000000-0005-0000-0000-000082330000}"/>
    <cellStyle name="Standard 4 2 2 3 4 2 2 3" xfId="13008" xr:uid="{00000000-0005-0000-0000-000083330000}"/>
    <cellStyle name="Standard 4 2 2 3 4 2 2 3 2" xfId="13009" xr:uid="{00000000-0005-0000-0000-000084330000}"/>
    <cellStyle name="Standard 4 2 2 3 4 2 2 3 3" xfId="13010" xr:uid="{00000000-0005-0000-0000-000085330000}"/>
    <cellStyle name="Standard 4 2 2 3 4 2 2 4" xfId="13011" xr:uid="{00000000-0005-0000-0000-000086330000}"/>
    <cellStyle name="Standard 4 2 2 3 4 2 2 4 2" xfId="13012" xr:uid="{00000000-0005-0000-0000-000087330000}"/>
    <cellStyle name="Standard 4 2 2 3 4 2 2 4 3" xfId="13013" xr:uid="{00000000-0005-0000-0000-000088330000}"/>
    <cellStyle name="Standard 4 2 2 3 4 2 2 5" xfId="13014" xr:uid="{00000000-0005-0000-0000-000089330000}"/>
    <cellStyle name="Standard 4 2 2 3 4 2 2 5 2" xfId="13015" xr:uid="{00000000-0005-0000-0000-00008A330000}"/>
    <cellStyle name="Standard 4 2 2 3 4 2 2 6" xfId="13016" xr:uid="{00000000-0005-0000-0000-00008B330000}"/>
    <cellStyle name="Standard 4 2 2 3 4 2 2 7" xfId="13017" xr:uid="{00000000-0005-0000-0000-00008C330000}"/>
    <cellStyle name="Standard 4 2 2 3 4 2 3" xfId="13018" xr:uid="{00000000-0005-0000-0000-00008D330000}"/>
    <cellStyle name="Standard 4 2 2 3 4 2 3 2" xfId="13019" xr:uid="{00000000-0005-0000-0000-00008E330000}"/>
    <cellStyle name="Standard 4 2 2 3 4 2 3 2 2" xfId="13020" xr:uid="{00000000-0005-0000-0000-00008F330000}"/>
    <cellStyle name="Standard 4 2 2 3 4 2 3 2 3" xfId="13021" xr:uid="{00000000-0005-0000-0000-000090330000}"/>
    <cellStyle name="Standard 4 2 2 3 4 2 3 3" xfId="13022" xr:uid="{00000000-0005-0000-0000-000091330000}"/>
    <cellStyle name="Standard 4 2 2 3 4 2 3 3 2" xfId="13023" xr:uid="{00000000-0005-0000-0000-000092330000}"/>
    <cellStyle name="Standard 4 2 2 3 4 2 3 3 3" xfId="13024" xr:uid="{00000000-0005-0000-0000-000093330000}"/>
    <cellStyle name="Standard 4 2 2 3 4 2 3 4" xfId="13025" xr:uid="{00000000-0005-0000-0000-000094330000}"/>
    <cellStyle name="Standard 4 2 2 3 4 2 3 4 2" xfId="13026" xr:uid="{00000000-0005-0000-0000-000095330000}"/>
    <cellStyle name="Standard 4 2 2 3 4 2 3 5" xfId="13027" xr:uid="{00000000-0005-0000-0000-000096330000}"/>
    <cellStyle name="Standard 4 2 2 3 4 2 3 6" xfId="13028" xr:uid="{00000000-0005-0000-0000-000097330000}"/>
    <cellStyle name="Standard 4 2 2 3 4 2 4" xfId="13029" xr:uid="{00000000-0005-0000-0000-000098330000}"/>
    <cellStyle name="Standard 4 2 2 3 4 2 4 2" xfId="13030" xr:uid="{00000000-0005-0000-0000-000099330000}"/>
    <cellStyle name="Standard 4 2 2 3 4 2 4 3" xfId="13031" xr:uid="{00000000-0005-0000-0000-00009A330000}"/>
    <cellStyle name="Standard 4 2 2 3 4 2 5" xfId="13032" xr:uid="{00000000-0005-0000-0000-00009B330000}"/>
    <cellStyle name="Standard 4 2 2 3 4 2 5 2" xfId="13033" xr:uid="{00000000-0005-0000-0000-00009C330000}"/>
    <cellStyle name="Standard 4 2 2 3 4 2 5 3" xfId="13034" xr:uid="{00000000-0005-0000-0000-00009D330000}"/>
    <cellStyle name="Standard 4 2 2 3 4 2 6" xfId="13035" xr:uid="{00000000-0005-0000-0000-00009E330000}"/>
    <cellStyle name="Standard 4 2 2 3 4 2 6 2" xfId="13036" xr:uid="{00000000-0005-0000-0000-00009F330000}"/>
    <cellStyle name="Standard 4 2 2 3 4 2 7" xfId="13037" xr:uid="{00000000-0005-0000-0000-0000A0330000}"/>
    <cellStyle name="Standard 4 2 2 3 4 2 8" xfId="13038" xr:uid="{00000000-0005-0000-0000-0000A1330000}"/>
    <cellStyle name="Standard 4 2 2 3 4 3" xfId="13039" xr:uid="{00000000-0005-0000-0000-0000A2330000}"/>
    <cellStyle name="Standard 4 2 2 3 4 3 2" xfId="13040" xr:uid="{00000000-0005-0000-0000-0000A3330000}"/>
    <cellStyle name="Standard 4 2 2 3 4 3 2 2" xfId="13041" xr:uid="{00000000-0005-0000-0000-0000A4330000}"/>
    <cellStyle name="Standard 4 2 2 3 4 3 2 2 2" xfId="13042" xr:uid="{00000000-0005-0000-0000-0000A5330000}"/>
    <cellStyle name="Standard 4 2 2 3 4 3 2 2 2 2" xfId="13043" xr:uid="{00000000-0005-0000-0000-0000A6330000}"/>
    <cellStyle name="Standard 4 2 2 3 4 3 2 2 2 3" xfId="13044" xr:uid="{00000000-0005-0000-0000-0000A7330000}"/>
    <cellStyle name="Standard 4 2 2 3 4 3 2 2 3" xfId="13045" xr:uid="{00000000-0005-0000-0000-0000A8330000}"/>
    <cellStyle name="Standard 4 2 2 3 4 3 2 2 3 2" xfId="13046" xr:uid="{00000000-0005-0000-0000-0000A9330000}"/>
    <cellStyle name="Standard 4 2 2 3 4 3 2 2 3 3" xfId="13047" xr:uid="{00000000-0005-0000-0000-0000AA330000}"/>
    <cellStyle name="Standard 4 2 2 3 4 3 2 2 4" xfId="13048" xr:uid="{00000000-0005-0000-0000-0000AB330000}"/>
    <cellStyle name="Standard 4 2 2 3 4 3 2 2 4 2" xfId="13049" xr:uid="{00000000-0005-0000-0000-0000AC330000}"/>
    <cellStyle name="Standard 4 2 2 3 4 3 2 2 5" xfId="13050" xr:uid="{00000000-0005-0000-0000-0000AD330000}"/>
    <cellStyle name="Standard 4 2 2 3 4 3 2 2 6" xfId="13051" xr:uid="{00000000-0005-0000-0000-0000AE330000}"/>
    <cellStyle name="Standard 4 2 2 3 4 3 2 3" xfId="13052" xr:uid="{00000000-0005-0000-0000-0000AF330000}"/>
    <cellStyle name="Standard 4 2 2 3 4 3 2 3 2" xfId="13053" xr:uid="{00000000-0005-0000-0000-0000B0330000}"/>
    <cellStyle name="Standard 4 2 2 3 4 3 2 3 3" xfId="13054" xr:uid="{00000000-0005-0000-0000-0000B1330000}"/>
    <cellStyle name="Standard 4 2 2 3 4 3 2 4" xfId="13055" xr:uid="{00000000-0005-0000-0000-0000B2330000}"/>
    <cellStyle name="Standard 4 2 2 3 4 3 2 4 2" xfId="13056" xr:uid="{00000000-0005-0000-0000-0000B3330000}"/>
    <cellStyle name="Standard 4 2 2 3 4 3 2 4 3" xfId="13057" xr:uid="{00000000-0005-0000-0000-0000B4330000}"/>
    <cellStyle name="Standard 4 2 2 3 4 3 2 5" xfId="13058" xr:uid="{00000000-0005-0000-0000-0000B5330000}"/>
    <cellStyle name="Standard 4 2 2 3 4 3 2 5 2" xfId="13059" xr:uid="{00000000-0005-0000-0000-0000B6330000}"/>
    <cellStyle name="Standard 4 2 2 3 4 3 2 6" xfId="13060" xr:uid="{00000000-0005-0000-0000-0000B7330000}"/>
    <cellStyle name="Standard 4 2 2 3 4 3 2 7" xfId="13061" xr:uid="{00000000-0005-0000-0000-0000B8330000}"/>
    <cellStyle name="Standard 4 2 2 3 4 3 3" xfId="13062" xr:uid="{00000000-0005-0000-0000-0000B9330000}"/>
    <cellStyle name="Standard 4 2 2 3 4 3 3 2" xfId="13063" xr:uid="{00000000-0005-0000-0000-0000BA330000}"/>
    <cellStyle name="Standard 4 2 2 3 4 3 3 2 2" xfId="13064" xr:uid="{00000000-0005-0000-0000-0000BB330000}"/>
    <cellStyle name="Standard 4 2 2 3 4 3 3 2 3" xfId="13065" xr:uid="{00000000-0005-0000-0000-0000BC330000}"/>
    <cellStyle name="Standard 4 2 2 3 4 3 3 3" xfId="13066" xr:uid="{00000000-0005-0000-0000-0000BD330000}"/>
    <cellStyle name="Standard 4 2 2 3 4 3 3 3 2" xfId="13067" xr:uid="{00000000-0005-0000-0000-0000BE330000}"/>
    <cellStyle name="Standard 4 2 2 3 4 3 3 3 3" xfId="13068" xr:uid="{00000000-0005-0000-0000-0000BF330000}"/>
    <cellStyle name="Standard 4 2 2 3 4 3 3 4" xfId="13069" xr:uid="{00000000-0005-0000-0000-0000C0330000}"/>
    <cellStyle name="Standard 4 2 2 3 4 3 3 4 2" xfId="13070" xr:uid="{00000000-0005-0000-0000-0000C1330000}"/>
    <cellStyle name="Standard 4 2 2 3 4 3 3 5" xfId="13071" xr:uid="{00000000-0005-0000-0000-0000C2330000}"/>
    <cellStyle name="Standard 4 2 2 3 4 3 3 6" xfId="13072" xr:uid="{00000000-0005-0000-0000-0000C3330000}"/>
    <cellStyle name="Standard 4 2 2 3 4 3 4" xfId="13073" xr:uid="{00000000-0005-0000-0000-0000C4330000}"/>
    <cellStyle name="Standard 4 2 2 3 4 3 4 2" xfId="13074" xr:uid="{00000000-0005-0000-0000-0000C5330000}"/>
    <cellStyle name="Standard 4 2 2 3 4 3 4 3" xfId="13075" xr:uid="{00000000-0005-0000-0000-0000C6330000}"/>
    <cellStyle name="Standard 4 2 2 3 4 3 5" xfId="13076" xr:uid="{00000000-0005-0000-0000-0000C7330000}"/>
    <cellStyle name="Standard 4 2 2 3 4 3 5 2" xfId="13077" xr:uid="{00000000-0005-0000-0000-0000C8330000}"/>
    <cellStyle name="Standard 4 2 2 3 4 3 5 3" xfId="13078" xr:uid="{00000000-0005-0000-0000-0000C9330000}"/>
    <cellStyle name="Standard 4 2 2 3 4 3 6" xfId="13079" xr:uid="{00000000-0005-0000-0000-0000CA330000}"/>
    <cellStyle name="Standard 4 2 2 3 4 3 6 2" xfId="13080" xr:uid="{00000000-0005-0000-0000-0000CB330000}"/>
    <cellStyle name="Standard 4 2 2 3 4 3 7" xfId="13081" xr:uid="{00000000-0005-0000-0000-0000CC330000}"/>
    <cellStyle name="Standard 4 2 2 3 4 3 8" xfId="13082" xr:uid="{00000000-0005-0000-0000-0000CD330000}"/>
    <cellStyle name="Standard 4 2 2 3 4 4" xfId="13083" xr:uid="{00000000-0005-0000-0000-0000CE330000}"/>
    <cellStyle name="Standard 4 2 2 3 4 4 2" xfId="13084" xr:uid="{00000000-0005-0000-0000-0000CF330000}"/>
    <cellStyle name="Standard 4 2 2 3 4 4 2 2" xfId="13085" xr:uid="{00000000-0005-0000-0000-0000D0330000}"/>
    <cellStyle name="Standard 4 2 2 3 4 4 2 2 2" xfId="13086" xr:uid="{00000000-0005-0000-0000-0000D1330000}"/>
    <cellStyle name="Standard 4 2 2 3 4 4 2 2 3" xfId="13087" xr:uid="{00000000-0005-0000-0000-0000D2330000}"/>
    <cellStyle name="Standard 4 2 2 3 4 4 2 3" xfId="13088" xr:uid="{00000000-0005-0000-0000-0000D3330000}"/>
    <cellStyle name="Standard 4 2 2 3 4 4 2 3 2" xfId="13089" xr:uid="{00000000-0005-0000-0000-0000D4330000}"/>
    <cellStyle name="Standard 4 2 2 3 4 4 2 3 3" xfId="13090" xr:uid="{00000000-0005-0000-0000-0000D5330000}"/>
    <cellStyle name="Standard 4 2 2 3 4 4 2 4" xfId="13091" xr:uid="{00000000-0005-0000-0000-0000D6330000}"/>
    <cellStyle name="Standard 4 2 2 3 4 4 2 4 2" xfId="13092" xr:uid="{00000000-0005-0000-0000-0000D7330000}"/>
    <cellStyle name="Standard 4 2 2 3 4 4 2 5" xfId="13093" xr:uid="{00000000-0005-0000-0000-0000D8330000}"/>
    <cellStyle name="Standard 4 2 2 3 4 4 2 6" xfId="13094" xr:uid="{00000000-0005-0000-0000-0000D9330000}"/>
    <cellStyle name="Standard 4 2 2 3 4 4 3" xfId="13095" xr:uid="{00000000-0005-0000-0000-0000DA330000}"/>
    <cellStyle name="Standard 4 2 2 3 4 4 3 2" xfId="13096" xr:uid="{00000000-0005-0000-0000-0000DB330000}"/>
    <cellStyle name="Standard 4 2 2 3 4 4 3 3" xfId="13097" xr:uid="{00000000-0005-0000-0000-0000DC330000}"/>
    <cellStyle name="Standard 4 2 2 3 4 4 4" xfId="13098" xr:uid="{00000000-0005-0000-0000-0000DD330000}"/>
    <cellStyle name="Standard 4 2 2 3 4 4 4 2" xfId="13099" xr:uid="{00000000-0005-0000-0000-0000DE330000}"/>
    <cellStyle name="Standard 4 2 2 3 4 4 4 3" xfId="13100" xr:uid="{00000000-0005-0000-0000-0000DF330000}"/>
    <cellStyle name="Standard 4 2 2 3 4 4 5" xfId="13101" xr:uid="{00000000-0005-0000-0000-0000E0330000}"/>
    <cellStyle name="Standard 4 2 2 3 4 4 5 2" xfId="13102" xr:uid="{00000000-0005-0000-0000-0000E1330000}"/>
    <cellStyle name="Standard 4 2 2 3 4 4 6" xfId="13103" xr:uid="{00000000-0005-0000-0000-0000E2330000}"/>
    <cellStyle name="Standard 4 2 2 3 4 4 7" xfId="13104" xr:uid="{00000000-0005-0000-0000-0000E3330000}"/>
    <cellStyle name="Standard 4 2 2 3 4 5" xfId="13105" xr:uid="{00000000-0005-0000-0000-0000E4330000}"/>
    <cellStyle name="Standard 4 2 2 3 4 5 2" xfId="13106" xr:uid="{00000000-0005-0000-0000-0000E5330000}"/>
    <cellStyle name="Standard 4 2 2 3 4 5 2 2" xfId="13107" xr:uid="{00000000-0005-0000-0000-0000E6330000}"/>
    <cellStyle name="Standard 4 2 2 3 4 5 2 3" xfId="13108" xr:uid="{00000000-0005-0000-0000-0000E7330000}"/>
    <cellStyle name="Standard 4 2 2 3 4 5 3" xfId="13109" xr:uid="{00000000-0005-0000-0000-0000E8330000}"/>
    <cellStyle name="Standard 4 2 2 3 4 5 3 2" xfId="13110" xr:uid="{00000000-0005-0000-0000-0000E9330000}"/>
    <cellStyle name="Standard 4 2 2 3 4 5 3 3" xfId="13111" xr:uid="{00000000-0005-0000-0000-0000EA330000}"/>
    <cellStyle name="Standard 4 2 2 3 4 5 4" xfId="13112" xr:uid="{00000000-0005-0000-0000-0000EB330000}"/>
    <cellStyle name="Standard 4 2 2 3 4 5 4 2" xfId="13113" xr:uid="{00000000-0005-0000-0000-0000EC330000}"/>
    <cellStyle name="Standard 4 2 2 3 4 5 5" xfId="13114" xr:uid="{00000000-0005-0000-0000-0000ED330000}"/>
    <cellStyle name="Standard 4 2 2 3 4 5 6" xfId="13115" xr:uid="{00000000-0005-0000-0000-0000EE330000}"/>
    <cellStyle name="Standard 4 2 2 3 4 6" xfId="13116" xr:uid="{00000000-0005-0000-0000-0000EF330000}"/>
    <cellStyle name="Standard 4 2 2 3 4 6 2" xfId="13117" xr:uid="{00000000-0005-0000-0000-0000F0330000}"/>
    <cellStyle name="Standard 4 2 2 3 4 6 3" xfId="13118" xr:uid="{00000000-0005-0000-0000-0000F1330000}"/>
    <cellStyle name="Standard 4 2 2 3 4 7" xfId="13119" xr:uid="{00000000-0005-0000-0000-0000F2330000}"/>
    <cellStyle name="Standard 4 2 2 3 4 7 2" xfId="13120" xr:uid="{00000000-0005-0000-0000-0000F3330000}"/>
    <cellStyle name="Standard 4 2 2 3 4 7 3" xfId="13121" xr:uid="{00000000-0005-0000-0000-0000F4330000}"/>
    <cellStyle name="Standard 4 2 2 3 4 8" xfId="13122" xr:uid="{00000000-0005-0000-0000-0000F5330000}"/>
    <cellStyle name="Standard 4 2 2 3 4 8 2" xfId="13123" xr:uid="{00000000-0005-0000-0000-0000F6330000}"/>
    <cellStyle name="Standard 4 2 2 3 4 9" xfId="13124" xr:uid="{00000000-0005-0000-0000-0000F7330000}"/>
    <cellStyle name="Standard 4 2 2 3 5" xfId="13125" xr:uid="{00000000-0005-0000-0000-0000F8330000}"/>
    <cellStyle name="Standard 4 2 2 3 5 2" xfId="13126" xr:uid="{00000000-0005-0000-0000-0000F9330000}"/>
    <cellStyle name="Standard 4 2 2 3 5 2 2" xfId="13127" xr:uid="{00000000-0005-0000-0000-0000FA330000}"/>
    <cellStyle name="Standard 4 2 2 3 5 2 2 2" xfId="13128" xr:uid="{00000000-0005-0000-0000-0000FB330000}"/>
    <cellStyle name="Standard 4 2 2 3 5 2 2 2 2" xfId="13129" xr:uid="{00000000-0005-0000-0000-0000FC330000}"/>
    <cellStyle name="Standard 4 2 2 3 5 2 2 2 3" xfId="13130" xr:uid="{00000000-0005-0000-0000-0000FD330000}"/>
    <cellStyle name="Standard 4 2 2 3 5 2 2 3" xfId="13131" xr:uid="{00000000-0005-0000-0000-0000FE330000}"/>
    <cellStyle name="Standard 4 2 2 3 5 2 2 3 2" xfId="13132" xr:uid="{00000000-0005-0000-0000-0000FF330000}"/>
    <cellStyle name="Standard 4 2 2 3 5 2 2 3 3" xfId="13133" xr:uid="{00000000-0005-0000-0000-000000340000}"/>
    <cellStyle name="Standard 4 2 2 3 5 2 2 4" xfId="13134" xr:uid="{00000000-0005-0000-0000-000001340000}"/>
    <cellStyle name="Standard 4 2 2 3 5 2 2 4 2" xfId="13135" xr:uid="{00000000-0005-0000-0000-000002340000}"/>
    <cellStyle name="Standard 4 2 2 3 5 2 2 5" xfId="13136" xr:uid="{00000000-0005-0000-0000-000003340000}"/>
    <cellStyle name="Standard 4 2 2 3 5 2 2 6" xfId="13137" xr:uid="{00000000-0005-0000-0000-000004340000}"/>
    <cellStyle name="Standard 4 2 2 3 5 2 3" xfId="13138" xr:uid="{00000000-0005-0000-0000-000005340000}"/>
    <cellStyle name="Standard 4 2 2 3 5 2 3 2" xfId="13139" xr:uid="{00000000-0005-0000-0000-000006340000}"/>
    <cellStyle name="Standard 4 2 2 3 5 2 3 3" xfId="13140" xr:uid="{00000000-0005-0000-0000-000007340000}"/>
    <cellStyle name="Standard 4 2 2 3 5 2 4" xfId="13141" xr:uid="{00000000-0005-0000-0000-000008340000}"/>
    <cellStyle name="Standard 4 2 2 3 5 2 4 2" xfId="13142" xr:uid="{00000000-0005-0000-0000-000009340000}"/>
    <cellStyle name="Standard 4 2 2 3 5 2 4 3" xfId="13143" xr:uid="{00000000-0005-0000-0000-00000A340000}"/>
    <cellStyle name="Standard 4 2 2 3 5 2 5" xfId="13144" xr:uid="{00000000-0005-0000-0000-00000B340000}"/>
    <cellStyle name="Standard 4 2 2 3 5 2 5 2" xfId="13145" xr:uid="{00000000-0005-0000-0000-00000C340000}"/>
    <cellStyle name="Standard 4 2 2 3 5 2 6" xfId="13146" xr:uid="{00000000-0005-0000-0000-00000D340000}"/>
    <cellStyle name="Standard 4 2 2 3 5 2 7" xfId="13147" xr:uid="{00000000-0005-0000-0000-00000E340000}"/>
    <cellStyle name="Standard 4 2 2 3 5 3" xfId="13148" xr:uid="{00000000-0005-0000-0000-00000F340000}"/>
    <cellStyle name="Standard 4 2 2 3 5 3 2" xfId="13149" xr:uid="{00000000-0005-0000-0000-000010340000}"/>
    <cellStyle name="Standard 4 2 2 3 5 3 2 2" xfId="13150" xr:uid="{00000000-0005-0000-0000-000011340000}"/>
    <cellStyle name="Standard 4 2 2 3 5 3 2 3" xfId="13151" xr:uid="{00000000-0005-0000-0000-000012340000}"/>
    <cellStyle name="Standard 4 2 2 3 5 3 3" xfId="13152" xr:uid="{00000000-0005-0000-0000-000013340000}"/>
    <cellStyle name="Standard 4 2 2 3 5 3 3 2" xfId="13153" xr:uid="{00000000-0005-0000-0000-000014340000}"/>
    <cellStyle name="Standard 4 2 2 3 5 3 3 3" xfId="13154" xr:uid="{00000000-0005-0000-0000-000015340000}"/>
    <cellStyle name="Standard 4 2 2 3 5 3 4" xfId="13155" xr:uid="{00000000-0005-0000-0000-000016340000}"/>
    <cellStyle name="Standard 4 2 2 3 5 3 4 2" xfId="13156" xr:uid="{00000000-0005-0000-0000-000017340000}"/>
    <cellStyle name="Standard 4 2 2 3 5 3 5" xfId="13157" xr:uid="{00000000-0005-0000-0000-000018340000}"/>
    <cellStyle name="Standard 4 2 2 3 5 3 6" xfId="13158" xr:uid="{00000000-0005-0000-0000-000019340000}"/>
    <cellStyle name="Standard 4 2 2 3 5 4" xfId="13159" xr:uid="{00000000-0005-0000-0000-00001A340000}"/>
    <cellStyle name="Standard 4 2 2 3 5 4 2" xfId="13160" xr:uid="{00000000-0005-0000-0000-00001B340000}"/>
    <cellStyle name="Standard 4 2 2 3 5 4 3" xfId="13161" xr:uid="{00000000-0005-0000-0000-00001C340000}"/>
    <cellStyle name="Standard 4 2 2 3 5 5" xfId="13162" xr:uid="{00000000-0005-0000-0000-00001D340000}"/>
    <cellStyle name="Standard 4 2 2 3 5 5 2" xfId="13163" xr:uid="{00000000-0005-0000-0000-00001E340000}"/>
    <cellStyle name="Standard 4 2 2 3 5 5 3" xfId="13164" xr:uid="{00000000-0005-0000-0000-00001F340000}"/>
    <cellStyle name="Standard 4 2 2 3 5 6" xfId="13165" xr:uid="{00000000-0005-0000-0000-000020340000}"/>
    <cellStyle name="Standard 4 2 2 3 5 6 2" xfId="13166" xr:uid="{00000000-0005-0000-0000-000021340000}"/>
    <cellStyle name="Standard 4 2 2 3 5 7" xfId="13167" xr:uid="{00000000-0005-0000-0000-000022340000}"/>
    <cellStyle name="Standard 4 2 2 3 5 8" xfId="13168" xr:uid="{00000000-0005-0000-0000-000023340000}"/>
    <cellStyle name="Standard 4 2 2 3 6" xfId="13169" xr:uid="{00000000-0005-0000-0000-000024340000}"/>
    <cellStyle name="Standard 4 2 2 3 6 2" xfId="13170" xr:uid="{00000000-0005-0000-0000-000025340000}"/>
    <cellStyle name="Standard 4 2 2 3 6 2 2" xfId="13171" xr:uid="{00000000-0005-0000-0000-000026340000}"/>
    <cellStyle name="Standard 4 2 2 3 6 2 2 2" xfId="13172" xr:uid="{00000000-0005-0000-0000-000027340000}"/>
    <cellStyle name="Standard 4 2 2 3 6 2 2 2 2" xfId="13173" xr:uid="{00000000-0005-0000-0000-000028340000}"/>
    <cellStyle name="Standard 4 2 2 3 6 2 2 2 3" xfId="13174" xr:uid="{00000000-0005-0000-0000-000029340000}"/>
    <cellStyle name="Standard 4 2 2 3 6 2 2 3" xfId="13175" xr:uid="{00000000-0005-0000-0000-00002A340000}"/>
    <cellStyle name="Standard 4 2 2 3 6 2 2 3 2" xfId="13176" xr:uid="{00000000-0005-0000-0000-00002B340000}"/>
    <cellStyle name="Standard 4 2 2 3 6 2 2 3 3" xfId="13177" xr:uid="{00000000-0005-0000-0000-00002C340000}"/>
    <cellStyle name="Standard 4 2 2 3 6 2 2 4" xfId="13178" xr:uid="{00000000-0005-0000-0000-00002D340000}"/>
    <cellStyle name="Standard 4 2 2 3 6 2 2 4 2" xfId="13179" xr:uid="{00000000-0005-0000-0000-00002E340000}"/>
    <cellStyle name="Standard 4 2 2 3 6 2 2 5" xfId="13180" xr:uid="{00000000-0005-0000-0000-00002F340000}"/>
    <cellStyle name="Standard 4 2 2 3 6 2 2 6" xfId="13181" xr:uid="{00000000-0005-0000-0000-000030340000}"/>
    <cellStyle name="Standard 4 2 2 3 6 2 3" xfId="13182" xr:uid="{00000000-0005-0000-0000-000031340000}"/>
    <cellStyle name="Standard 4 2 2 3 6 2 3 2" xfId="13183" xr:uid="{00000000-0005-0000-0000-000032340000}"/>
    <cellStyle name="Standard 4 2 2 3 6 2 3 3" xfId="13184" xr:uid="{00000000-0005-0000-0000-000033340000}"/>
    <cellStyle name="Standard 4 2 2 3 6 2 4" xfId="13185" xr:uid="{00000000-0005-0000-0000-000034340000}"/>
    <cellStyle name="Standard 4 2 2 3 6 2 4 2" xfId="13186" xr:uid="{00000000-0005-0000-0000-000035340000}"/>
    <cellStyle name="Standard 4 2 2 3 6 2 4 3" xfId="13187" xr:uid="{00000000-0005-0000-0000-000036340000}"/>
    <cellStyle name="Standard 4 2 2 3 6 2 5" xfId="13188" xr:uid="{00000000-0005-0000-0000-000037340000}"/>
    <cellStyle name="Standard 4 2 2 3 6 2 5 2" xfId="13189" xr:uid="{00000000-0005-0000-0000-000038340000}"/>
    <cellStyle name="Standard 4 2 2 3 6 2 6" xfId="13190" xr:uid="{00000000-0005-0000-0000-000039340000}"/>
    <cellStyle name="Standard 4 2 2 3 6 2 7" xfId="13191" xr:uid="{00000000-0005-0000-0000-00003A340000}"/>
    <cellStyle name="Standard 4 2 2 3 6 3" xfId="13192" xr:uid="{00000000-0005-0000-0000-00003B340000}"/>
    <cellStyle name="Standard 4 2 2 3 6 3 2" xfId="13193" xr:uid="{00000000-0005-0000-0000-00003C340000}"/>
    <cellStyle name="Standard 4 2 2 3 6 3 2 2" xfId="13194" xr:uid="{00000000-0005-0000-0000-00003D340000}"/>
    <cellStyle name="Standard 4 2 2 3 6 3 2 3" xfId="13195" xr:uid="{00000000-0005-0000-0000-00003E340000}"/>
    <cellStyle name="Standard 4 2 2 3 6 3 3" xfId="13196" xr:uid="{00000000-0005-0000-0000-00003F340000}"/>
    <cellStyle name="Standard 4 2 2 3 6 3 3 2" xfId="13197" xr:uid="{00000000-0005-0000-0000-000040340000}"/>
    <cellStyle name="Standard 4 2 2 3 6 3 3 3" xfId="13198" xr:uid="{00000000-0005-0000-0000-000041340000}"/>
    <cellStyle name="Standard 4 2 2 3 6 3 4" xfId="13199" xr:uid="{00000000-0005-0000-0000-000042340000}"/>
    <cellStyle name="Standard 4 2 2 3 6 3 4 2" xfId="13200" xr:uid="{00000000-0005-0000-0000-000043340000}"/>
    <cellStyle name="Standard 4 2 2 3 6 3 5" xfId="13201" xr:uid="{00000000-0005-0000-0000-000044340000}"/>
    <cellStyle name="Standard 4 2 2 3 6 3 6" xfId="13202" xr:uid="{00000000-0005-0000-0000-000045340000}"/>
    <cellStyle name="Standard 4 2 2 3 6 4" xfId="13203" xr:uid="{00000000-0005-0000-0000-000046340000}"/>
    <cellStyle name="Standard 4 2 2 3 6 4 2" xfId="13204" xr:uid="{00000000-0005-0000-0000-000047340000}"/>
    <cellStyle name="Standard 4 2 2 3 6 4 3" xfId="13205" xr:uid="{00000000-0005-0000-0000-000048340000}"/>
    <cellStyle name="Standard 4 2 2 3 6 5" xfId="13206" xr:uid="{00000000-0005-0000-0000-000049340000}"/>
    <cellStyle name="Standard 4 2 2 3 6 5 2" xfId="13207" xr:uid="{00000000-0005-0000-0000-00004A340000}"/>
    <cellStyle name="Standard 4 2 2 3 6 5 3" xfId="13208" xr:uid="{00000000-0005-0000-0000-00004B340000}"/>
    <cellStyle name="Standard 4 2 2 3 6 6" xfId="13209" xr:uid="{00000000-0005-0000-0000-00004C340000}"/>
    <cellStyle name="Standard 4 2 2 3 6 6 2" xfId="13210" xr:uid="{00000000-0005-0000-0000-00004D340000}"/>
    <cellStyle name="Standard 4 2 2 3 6 7" xfId="13211" xr:uid="{00000000-0005-0000-0000-00004E340000}"/>
    <cellStyle name="Standard 4 2 2 3 6 8" xfId="13212" xr:uid="{00000000-0005-0000-0000-00004F340000}"/>
    <cellStyle name="Standard 4 2 2 3 7" xfId="13213" xr:uid="{00000000-0005-0000-0000-000050340000}"/>
    <cellStyle name="Standard 4 2 2 3 7 2" xfId="13214" xr:uid="{00000000-0005-0000-0000-000051340000}"/>
    <cellStyle name="Standard 4 2 2 3 7 2 2" xfId="13215" xr:uid="{00000000-0005-0000-0000-000052340000}"/>
    <cellStyle name="Standard 4 2 2 3 7 2 2 2" xfId="13216" xr:uid="{00000000-0005-0000-0000-000053340000}"/>
    <cellStyle name="Standard 4 2 2 3 7 2 2 3" xfId="13217" xr:uid="{00000000-0005-0000-0000-000054340000}"/>
    <cellStyle name="Standard 4 2 2 3 7 2 3" xfId="13218" xr:uid="{00000000-0005-0000-0000-000055340000}"/>
    <cellStyle name="Standard 4 2 2 3 7 2 3 2" xfId="13219" xr:uid="{00000000-0005-0000-0000-000056340000}"/>
    <cellStyle name="Standard 4 2 2 3 7 2 3 3" xfId="13220" xr:uid="{00000000-0005-0000-0000-000057340000}"/>
    <cellStyle name="Standard 4 2 2 3 7 2 4" xfId="13221" xr:uid="{00000000-0005-0000-0000-000058340000}"/>
    <cellStyle name="Standard 4 2 2 3 7 2 4 2" xfId="13222" xr:uid="{00000000-0005-0000-0000-000059340000}"/>
    <cellStyle name="Standard 4 2 2 3 7 2 5" xfId="13223" xr:uid="{00000000-0005-0000-0000-00005A340000}"/>
    <cellStyle name="Standard 4 2 2 3 7 2 6" xfId="13224" xr:uid="{00000000-0005-0000-0000-00005B340000}"/>
    <cellStyle name="Standard 4 2 2 3 7 3" xfId="13225" xr:uid="{00000000-0005-0000-0000-00005C340000}"/>
    <cellStyle name="Standard 4 2 2 3 7 3 2" xfId="13226" xr:uid="{00000000-0005-0000-0000-00005D340000}"/>
    <cellStyle name="Standard 4 2 2 3 7 3 3" xfId="13227" xr:uid="{00000000-0005-0000-0000-00005E340000}"/>
    <cellStyle name="Standard 4 2 2 3 7 4" xfId="13228" xr:uid="{00000000-0005-0000-0000-00005F340000}"/>
    <cellStyle name="Standard 4 2 2 3 7 4 2" xfId="13229" xr:uid="{00000000-0005-0000-0000-000060340000}"/>
    <cellStyle name="Standard 4 2 2 3 7 4 3" xfId="13230" xr:uid="{00000000-0005-0000-0000-000061340000}"/>
    <cellStyle name="Standard 4 2 2 3 7 5" xfId="13231" xr:uid="{00000000-0005-0000-0000-000062340000}"/>
    <cellStyle name="Standard 4 2 2 3 7 5 2" xfId="13232" xr:uid="{00000000-0005-0000-0000-000063340000}"/>
    <cellStyle name="Standard 4 2 2 3 7 6" xfId="13233" xr:uid="{00000000-0005-0000-0000-000064340000}"/>
    <cellStyle name="Standard 4 2 2 3 7 7" xfId="13234" xr:uid="{00000000-0005-0000-0000-000065340000}"/>
    <cellStyle name="Standard 4 2 2 3 8" xfId="13235" xr:uid="{00000000-0005-0000-0000-000066340000}"/>
    <cellStyle name="Standard 4 2 2 3 8 2" xfId="13236" xr:uid="{00000000-0005-0000-0000-000067340000}"/>
    <cellStyle name="Standard 4 2 2 3 8 2 2" xfId="13237" xr:uid="{00000000-0005-0000-0000-000068340000}"/>
    <cellStyle name="Standard 4 2 2 3 8 2 3" xfId="13238" xr:uid="{00000000-0005-0000-0000-000069340000}"/>
    <cellStyle name="Standard 4 2 2 3 8 3" xfId="13239" xr:uid="{00000000-0005-0000-0000-00006A340000}"/>
    <cellStyle name="Standard 4 2 2 3 8 3 2" xfId="13240" xr:uid="{00000000-0005-0000-0000-00006B340000}"/>
    <cellStyle name="Standard 4 2 2 3 8 3 3" xfId="13241" xr:uid="{00000000-0005-0000-0000-00006C340000}"/>
    <cellStyle name="Standard 4 2 2 3 8 4" xfId="13242" xr:uid="{00000000-0005-0000-0000-00006D340000}"/>
    <cellStyle name="Standard 4 2 2 3 8 4 2" xfId="13243" xr:uid="{00000000-0005-0000-0000-00006E340000}"/>
    <cellStyle name="Standard 4 2 2 3 8 5" xfId="13244" xr:uid="{00000000-0005-0000-0000-00006F340000}"/>
    <cellStyle name="Standard 4 2 2 3 8 6" xfId="13245" xr:uid="{00000000-0005-0000-0000-000070340000}"/>
    <cellStyle name="Standard 4 2 2 3 9" xfId="13246" xr:uid="{00000000-0005-0000-0000-000071340000}"/>
    <cellStyle name="Standard 4 2 2 3 9 2" xfId="13247" xr:uid="{00000000-0005-0000-0000-000072340000}"/>
    <cellStyle name="Standard 4 2 2 3 9 3" xfId="13248" xr:uid="{00000000-0005-0000-0000-000073340000}"/>
    <cellStyle name="Standard 4 2 2 4" xfId="13249" xr:uid="{00000000-0005-0000-0000-000074340000}"/>
    <cellStyle name="Standard 4 2 2 4 10" xfId="13250" xr:uid="{00000000-0005-0000-0000-000075340000}"/>
    <cellStyle name="Standard 4 2 2 4 10 2" xfId="13251" xr:uid="{00000000-0005-0000-0000-000076340000}"/>
    <cellStyle name="Standard 4 2 2 4 11" xfId="13252" xr:uid="{00000000-0005-0000-0000-000077340000}"/>
    <cellStyle name="Standard 4 2 2 4 12" xfId="13253" xr:uid="{00000000-0005-0000-0000-000078340000}"/>
    <cellStyle name="Standard 4 2 2 4 2" xfId="13254" xr:uid="{00000000-0005-0000-0000-000079340000}"/>
    <cellStyle name="Standard 4 2 2 4 2 10" xfId="13255" xr:uid="{00000000-0005-0000-0000-00007A340000}"/>
    <cellStyle name="Standard 4 2 2 4 2 11" xfId="13256" xr:uid="{00000000-0005-0000-0000-00007B340000}"/>
    <cellStyle name="Standard 4 2 2 4 2 2" xfId="13257" xr:uid="{00000000-0005-0000-0000-00007C340000}"/>
    <cellStyle name="Standard 4 2 2 4 2 2 10" xfId="13258" xr:uid="{00000000-0005-0000-0000-00007D340000}"/>
    <cellStyle name="Standard 4 2 2 4 2 2 2" xfId="13259" xr:uid="{00000000-0005-0000-0000-00007E340000}"/>
    <cellStyle name="Standard 4 2 2 4 2 2 2 2" xfId="13260" xr:uid="{00000000-0005-0000-0000-00007F340000}"/>
    <cellStyle name="Standard 4 2 2 4 2 2 2 2 2" xfId="13261" xr:uid="{00000000-0005-0000-0000-000080340000}"/>
    <cellStyle name="Standard 4 2 2 4 2 2 2 2 2 2" xfId="13262" xr:uid="{00000000-0005-0000-0000-000081340000}"/>
    <cellStyle name="Standard 4 2 2 4 2 2 2 2 2 2 2" xfId="13263" xr:uid="{00000000-0005-0000-0000-000082340000}"/>
    <cellStyle name="Standard 4 2 2 4 2 2 2 2 2 2 3" xfId="13264" xr:uid="{00000000-0005-0000-0000-000083340000}"/>
    <cellStyle name="Standard 4 2 2 4 2 2 2 2 2 3" xfId="13265" xr:uid="{00000000-0005-0000-0000-000084340000}"/>
    <cellStyle name="Standard 4 2 2 4 2 2 2 2 2 3 2" xfId="13266" xr:uid="{00000000-0005-0000-0000-000085340000}"/>
    <cellStyle name="Standard 4 2 2 4 2 2 2 2 2 3 3" xfId="13267" xr:uid="{00000000-0005-0000-0000-000086340000}"/>
    <cellStyle name="Standard 4 2 2 4 2 2 2 2 2 4" xfId="13268" xr:uid="{00000000-0005-0000-0000-000087340000}"/>
    <cellStyle name="Standard 4 2 2 4 2 2 2 2 2 4 2" xfId="13269" xr:uid="{00000000-0005-0000-0000-000088340000}"/>
    <cellStyle name="Standard 4 2 2 4 2 2 2 2 2 5" xfId="13270" xr:uid="{00000000-0005-0000-0000-000089340000}"/>
    <cellStyle name="Standard 4 2 2 4 2 2 2 2 2 6" xfId="13271" xr:uid="{00000000-0005-0000-0000-00008A340000}"/>
    <cellStyle name="Standard 4 2 2 4 2 2 2 2 3" xfId="13272" xr:uid="{00000000-0005-0000-0000-00008B340000}"/>
    <cellStyle name="Standard 4 2 2 4 2 2 2 2 3 2" xfId="13273" xr:uid="{00000000-0005-0000-0000-00008C340000}"/>
    <cellStyle name="Standard 4 2 2 4 2 2 2 2 3 3" xfId="13274" xr:uid="{00000000-0005-0000-0000-00008D340000}"/>
    <cellStyle name="Standard 4 2 2 4 2 2 2 2 4" xfId="13275" xr:uid="{00000000-0005-0000-0000-00008E340000}"/>
    <cellStyle name="Standard 4 2 2 4 2 2 2 2 4 2" xfId="13276" xr:uid="{00000000-0005-0000-0000-00008F340000}"/>
    <cellStyle name="Standard 4 2 2 4 2 2 2 2 4 3" xfId="13277" xr:uid="{00000000-0005-0000-0000-000090340000}"/>
    <cellStyle name="Standard 4 2 2 4 2 2 2 2 5" xfId="13278" xr:uid="{00000000-0005-0000-0000-000091340000}"/>
    <cellStyle name="Standard 4 2 2 4 2 2 2 2 5 2" xfId="13279" xr:uid="{00000000-0005-0000-0000-000092340000}"/>
    <cellStyle name="Standard 4 2 2 4 2 2 2 2 6" xfId="13280" xr:uid="{00000000-0005-0000-0000-000093340000}"/>
    <cellStyle name="Standard 4 2 2 4 2 2 2 2 7" xfId="13281" xr:uid="{00000000-0005-0000-0000-000094340000}"/>
    <cellStyle name="Standard 4 2 2 4 2 2 2 3" xfId="13282" xr:uid="{00000000-0005-0000-0000-000095340000}"/>
    <cellStyle name="Standard 4 2 2 4 2 2 2 3 2" xfId="13283" xr:uid="{00000000-0005-0000-0000-000096340000}"/>
    <cellStyle name="Standard 4 2 2 4 2 2 2 3 2 2" xfId="13284" xr:uid="{00000000-0005-0000-0000-000097340000}"/>
    <cellStyle name="Standard 4 2 2 4 2 2 2 3 2 3" xfId="13285" xr:uid="{00000000-0005-0000-0000-000098340000}"/>
    <cellStyle name="Standard 4 2 2 4 2 2 2 3 3" xfId="13286" xr:uid="{00000000-0005-0000-0000-000099340000}"/>
    <cellStyle name="Standard 4 2 2 4 2 2 2 3 3 2" xfId="13287" xr:uid="{00000000-0005-0000-0000-00009A340000}"/>
    <cellStyle name="Standard 4 2 2 4 2 2 2 3 3 3" xfId="13288" xr:uid="{00000000-0005-0000-0000-00009B340000}"/>
    <cellStyle name="Standard 4 2 2 4 2 2 2 3 4" xfId="13289" xr:uid="{00000000-0005-0000-0000-00009C340000}"/>
    <cellStyle name="Standard 4 2 2 4 2 2 2 3 4 2" xfId="13290" xr:uid="{00000000-0005-0000-0000-00009D340000}"/>
    <cellStyle name="Standard 4 2 2 4 2 2 2 3 5" xfId="13291" xr:uid="{00000000-0005-0000-0000-00009E340000}"/>
    <cellStyle name="Standard 4 2 2 4 2 2 2 3 6" xfId="13292" xr:uid="{00000000-0005-0000-0000-00009F340000}"/>
    <cellStyle name="Standard 4 2 2 4 2 2 2 4" xfId="13293" xr:uid="{00000000-0005-0000-0000-0000A0340000}"/>
    <cellStyle name="Standard 4 2 2 4 2 2 2 4 2" xfId="13294" xr:uid="{00000000-0005-0000-0000-0000A1340000}"/>
    <cellStyle name="Standard 4 2 2 4 2 2 2 4 3" xfId="13295" xr:uid="{00000000-0005-0000-0000-0000A2340000}"/>
    <cellStyle name="Standard 4 2 2 4 2 2 2 5" xfId="13296" xr:uid="{00000000-0005-0000-0000-0000A3340000}"/>
    <cellStyle name="Standard 4 2 2 4 2 2 2 5 2" xfId="13297" xr:uid="{00000000-0005-0000-0000-0000A4340000}"/>
    <cellStyle name="Standard 4 2 2 4 2 2 2 5 3" xfId="13298" xr:uid="{00000000-0005-0000-0000-0000A5340000}"/>
    <cellStyle name="Standard 4 2 2 4 2 2 2 6" xfId="13299" xr:uid="{00000000-0005-0000-0000-0000A6340000}"/>
    <cellStyle name="Standard 4 2 2 4 2 2 2 6 2" xfId="13300" xr:uid="{00000000-0005-0000-0000-0000A7340000}"/>
    <cellStyle name="Standard 4 2 2 4 2 2 2 7" xfId="13301" xr:uid="{00000000-0005-0000-0000-0000A8340000}"/>
    <cellStyle name="Standard 4 2 2 4 2 2 2 8" xfId="13302" xr:uid="{00000000-0005-0000-0000-0000A9340000}"/>
    <cellStyle name="Standard 4 2 2 4 2 2 3" xfId="13303" xr:uid="{00000000-0005-0000-0000-0000AA340000}"/>
    <cellStyle name="Standard 4 2 2 4 2 2 3 2" xfId="13304" xr:uid="{00000000-0005-0000-0000-0000AB340000}"/>
    <cellStyle name="Standard 4 2 2 4 2 2 3 2 2" xfId="13305" xr:uid="{00000000-0005-0000-0000-0000AC340000}"/>
    <cellStyle name="Standard 4 2 2 4 2 2 3 2 2 2" xfId="13306" xr:uid="{00000000-0005-0000-0000-0000AD340000}"/>
    <cellStyle name="Standard 4 2 2 4 2 2 3 2 2 2 2" xfId="13307" xr:uid="{00000000-0005-0000-0000-0000AE340000}"/>
    <cellStyle name="Standard 4 2 2 4 2 2 3 2 2 2 3" xfId="13308" xr:uid="{00000000-0005-0000-0000-0000AF340000}"/>
    <cellStyle name="Standard 4 2 2 4 2 2 3 2 2 3" xfId="13309" xr:uid="{00000000-0005-0000-0000-0000B0340000}"/>
    <cellStyle name="Standard 4 2 2 4 2 2 3 2 2 3 2" xfId="13310" xr:uid="{00000000-0005-0000-0000-0000B1340000}"/>
    <cellStyle name="Standard 4 2 2 4 2 2 3 2 2 3 3" xfId="13311" xr:uid="{00000000-0005-0000-0000-0000B2340000}"/>
    <cellStyle name="Standard 4 2 2 4 2 2 3 2 2 4" xfId="13312" xr:uid="{00000000-0005-0000-0000-0000B3340000}"/>
    <cellStyle name="Standard 4 2 2 4 2 2 3 2 2 4 2" xfId="13313" xr:uid="{00000000-0005-0000-0000-0000B4340000}"/>
    <cellStyle name="Standard 4 2 2 4 2 2 3 2 2 5" xfId="13314" xr:uid="{00000000-0005-0000-0000-0000B5340000}"/>
    <cellStyle name="Standard 4 2 2 4 2 2 3 2 2 6" xfId="13315" xr:uid="{00000000-0005-0000-0000-0000B6340000}"/>
    <cellStyle name="Standard 4 2 2 4 2 2 3 2 3" xfId="13316" xr:uid="{00000000-0005-0000-0000-0000B7340000}"/>
    <cellStyle name="Standard 4 2 2 4 2 2 3 2 3 2" xfId="13317" xr:uid="{00000000-0005-0000-0000-0000B8340000}"/>
    <cellStyle name="Standard 4 2 2 4 2 2 3 2 3 3" xfId="13318" xr:uid="{00000000-0005-0000-0000-0000B9340000}"/>
    <cellStyle name="Standard 4 2 2 4 2 2 3 2 4" xfId="13319" xr:uid="{00000000-0005-0000-0000-0000BA340000}"/>
    <cellStyle name="Standard 4 2 2 4 2 2 3 2 4 2" xfId="13320" xr:uid="{00000000-0005-0000-0000-0000BB340000}"/>
    <cellStyle name="Standard 4 2 2 4 2 2 3 2 4 3" xfId="13321" xr:uid="{00000000-0005-0000-0000-0000BC340000}"/>
    <cellStyle name="Standard 4 2 2 4 2 2 3 2 5" xfId="13322" xr:uid="{00000000-0005-0000-0000-0000BD340000}"/>
    <cellStyle name="Standard 4 2 2 4 2 2 3 2 5 2" xfId="13323" xr:uid="{00000000-0005-0000-0000-0000BE340000}"/>
    <cellStyle name="Standard 4 2 2 4 2 2 3 2 6" xfId="13324" xr:uid="{00000000-0005-0000-0000-0000BF340000}"/>
    <cellStyle name="Standard 4 2 2 4 2 2 3 2 7" xfId="13325" xr:uid="{00000000-0005-0000-0000-0000C0340000}"/>
    <cellStyle name="Standard 4 2 2 4 2 2 3 3" xfId="13326" xr:uid="{00000000-0005-0000-0000-0000C1340000}"/>
    <cellStyle name="Standard 4 2 2 4 2 2 3 3 2" xfId="13327" xr:uid="{00000000-0005-0000-0000-0000C2340000}"/>
    <cellStyle name="Standard 4 2 2 4 2 2 3 3 2 2" xfId="13328" xr:uid="{00000000-0005-0000-0000-0000C3340000}"/>
    <cellStyle name="Standard 4 2 2 4 2 2 3 3 2 3" xfId="13329" xr:uid="{00000000-0005-0000-0000-0000C4340000}"/>
    <cellStyle name="Standard 4 2 2 4 2 2 3 3 3" xfId="13330" xr:uid="{00000000-0005-0000-0000-0000C5340000}"/>
    <cellStyle name="Standard 4 2 2 4 2 2 3 3 3 2" xfId="13331" xr:uid="{00000000-0005-0000-0000-0000C6340000}"/>
    <cellStyle name="Standard 4 2 2 4 2 2 3 3 3 3" xfId="13332" xr:uid="{00000000-0005-0000-0000-0000C7340000}"/>
    <cellStyle name="Standard 4 2 2 4 2 2 3 3 4" xfId="13333" xr:uid="{00000000-0005-0000-0000-0000C8340000}"/>
    <cellStyle name="Standard 4 2 2 4 2 2 3 3 4 2" xfId="13334" xr:uid="{00000000-0005-0000-0000-0000C9340000}"/>
    <cellStyle name="Standard 4 2 2 4 2 2 3 3 5" xfId="13335" xr:uid="{00000000-0005-0000-0000-0000CA340000}"/>
    <cellStyle name="Standard 4 2 2 4 2 2 3 3 6" xfId="13336" xr:uid="{00000000-0005-0000-0000-0000CB340000}"/>
    <cellStyle name="Standard 4 2 2 4 2 2 3 4" xfId="13337" xr:uid="{00000000-0005-0000-0000-0000CC340000}"/>
    <cellStyle name="Standard 4 2 2 4 2 2 3 4 2" xfId="13338" xr:uid="{00000000-0005-0000-0000-0000CD340000}"/>
    <cellStyle name="Standard 4 2 2 4 2 2 3 4 3" xfId="13339" xr:uid="{00000000-0005-0000-0000-0000CE340000}"/>
    <cellStyle name="Standard 4 2 2 4 2 2 3 5" xfId="13340" xr:uid="{00000000-0005-0000-0000-0000CF340000}"/>
    <cellStyle name="Standard 4 2 2 4 2 2 3 5 2" xfId="13341" xr:uid="{00000000-0005-0000-0000-0000D0340000}"/>
    <cellStyle name="Standard 4 2 2 4 2 2 3 5 3" xfId="13342" xr:uid="{00000000-0005-0000-0000-0000D1340000}"/>
    <cellStyle name="Standard 4 2 2 4 2 2 3 6" xfId="13343" xr:uid="{00000000-0005-0000-0000-0000D2340000}"/>
    <cellStyle name="Standard 4 2 2 4 2 2 3 6 2" xfId="13344" xr:uid="{00000000-0005-0000-0000-0000D3340000}"/>
    <cellStyle name="Standard 4 2 2 4 2 2 3 7" xfId="13345" xr:uid="{00000000-0005-0000-0000-0000D4340000}"/>
    <cellStyle name="Standard 4 2 2 4 2 2 3 8" xfId="13346" xr:uid="{00000000-0005-0000-0000-0000D5340000}"/>
    <cellStyle name="Standard 4 2 2 4 2 2 4" xfId="13347" xr:uid="{00000000-0005-0000-0000-0000D6340000}"/>
    <cellStyle name="Standard 4 2 2 4 2 2 4 2" xfId="13348" xr:uid="{00000000-0005-0000-0000-0000D7340000}"/>
    <cellStyle name="Standard 4 2 2 4 2 2 4 2 2" xfId="13349" xr:uid="{00000000-0005-0000-0000-0000D8340000}"/>
    <cellStyle name="Standard 4 2 2 4 2 2 4 2 2 2" xfId="13350" xr:uid="{00000000-0005-0000-0000-0000D9340000}"/>
    <cellStyle name="Standard 4 2 2 4 2 2 4 2 2 3" xfId="13351" xr:uid="{00000000-0005-0000-0000-0000DA340000}"/>
    <cellStyle name="Standard 4 2 2 4 2 2 4 2 3" xfId="13352" xr:uid="{00000000-0005-0000-0000-0000DB340000}"/>
    <cellStyle name="Standard 4 2 2 4 2 2 4 2 3 2" xfId="13353" xr:uid="{00000000-0005-0000-0000-0000DC340000}"/>
    <cellStyle name="Standard 4 2 2 4 2 2 4 2 3 3" xfId="13354" xr:uid="{00000000-0005-0000-0000-0000DD340000}"/>
    <cellStyle name="Standard 4 2 2 4 2 2 4 2 4" xfId="13355" xr:uid="{00000000-0005-0000-0000-0000DE340000}"/>
    <cellStyle name="Standard 4 2 2 4 2 2 4 2 4 2" xfId="13356" xr:uid="{00000000-0005-0000-0000-0000DF340000}"/>
    <cellStyle name="Standard 4 2 2 4 2 2 4 2 5" xfId="13357" xr:uid="{00000000-0005-0000-0000-0000E0340000}"/>
    <cellStyle name="Standard 4 2 2 4 2 2 4 2 6" xfId="13358" xr:uid="{00000000-0005-0000-0000-0000E1340000}"/>
    <cellStyle name="Standard 4 2 2 4 2 2 4 3" xfId="13359" xr:uid="{00000000-0005-0000-0000-0000E2340000}"/>
    <cellStyle name="Standard 4 2 2 4 2 2 4 3 2" xfId="13360" xr:uid="{00000000-0005-0000-0000-0000E3340000}"/>
    <cellStyle name="Standard 4 2 2 4 2 2 4 3 3" xfId="13361" xr:uid="{00000000-0005-0000-0000-0000E4340000}"/>
    <cellStyle name="Standard 4 2 2 4 2 2 4 4" xfId="13362" xr:uid="{00000000-0005-0000-0000-0000E5340000}"/>
    <cellStyle name="Standard 4 2 2 4 2 2 4 4 2" xfId="13363" xr:uid="{00000000-0005-0000-0000-0000E6340000}"/>
    <cellStyle name="Standard 4 2 2 4 2 2 4 4 3" xfId="13364" xr:uid="{00000000-0005-0000-0000-0000E7340000}"/>
    <cellStyle name="Standard 4 2 2 4 2 2 4 5" xfId="13365" xr:uid="{00000000-0005-0000-0000-0000E8340000}"/>
    <cellStyle name="Standard 4 2 2 4 2 2 4 5 2" xfId="13366" xr:uid="{00000000-0005-0000-0000-0000E9340000}"/>
    <cellStyle name="Standard 4 2 2 4 2 2 4 6" xfId="13367" xr:uid="{00000000-0005-0000-0000-0000EA340000}"/>
    <cellStyle name="Standard 4 2 2 4 2 2 4 7" xfId="13368" xr:uid="{00000000-0005-0000-0000-0000EB340000}"/>
    <cellStyle name="Standard 4 2 2 4 2 2 5" xfId="13369" xr:uid="{00000000-0005-0000-0000-0000EC340000}"/>
    <cellStyle name="Standard 4 2 2 4 2 2 5 2" xfId="13370" xr:uid="{00000000-0005-0000-0000-0000ED340000}"/>
    <cellStyle name="Standard 4 2 2 4 2 2 5 2 2" xfId="13371" xr:uid="{00000000-0005-0000-0000-0000EE340000}"/>
    <cellStyle name="Standard 4 2 2 4 2 2 5 2 3" xfId="13372" xr:uid="{00000000-0005-0000-0000-0000EF340000}"/>
    <cellStyle name="Standard 4 2 2 4 2 2 5 3" xfId="13373" xr:uid="{00000000-0005-0000-0000-0000F0340000}"/>
    <cellStyle name="Standard 4 2 2 4 2 2 5 3 2" xfId="13374" xr:uid="{00000000-0005-0000-0000-0000F1340000}"/>
    <cellStyle name="Standard 4 2 2 4 2 2 5 3 3" xfId="13375" xr:uid="{00000000-0005-0000-0000-0000F2340000}"/>
    <cellStyle name="Standard 4 2 2 4 2 2 5 4" xfId="13376" xr:uid="{00000000-0005-0000-0000-0000F3340000}"/>
    <cellStyle name="Standard 4 2 2 4 2 2 5 4 2" xfId="13377" xr:uid="{00000000-0005-0000-0000-0000F4340000}"/>
    <cellStyle name="Standard 4 2 2 4 2 2 5 5" xfId="13378" xr:uid="{00000000-0005-0000-0000-0000F5340000}"/>
    <cellStyle name="Standard 4 2 2 4 2 2 5 6" xfId="13379" xr:uid="{00000000-0005-0000-0000-0000F6340000}"/>
    <cellStyle name="Standard 4 2 2 4 2 2 6" xfId="13380" xr:uid="{00000000-0005-0000-0000-0000F7340000}"/>
    <cellStyle name="Standard 4 2 2 4 2 2 6 2" xfId="13381" xr:uid="{00000000-0005-0000-0000-0000F8340000}"/>
    <cellStyle name="Standard 4 2 2 4 2 2 6 3" xfId="13382" xr:uid="{00000000-0005-0000-0000-0000F9340000}"/>
    <cellStyle name="Standard 4 2 2 4 2 2 7" xfId="13383" xr:uid="{00000000-0005-0000-0000-0000FA340000}"/>
    <cellStyle name="Standard 4 2 2 4 2 2 7 2" xfId="13384" xr:uid="{00000000-0005-0000-0000-0000FB340000}"/>
    <cellStyle name="Standard 4 2 2 4 2 2 7 3" xfId="13385" xr:uid="{00000000-0005-0000-0000-0000FC340000}"/>
    <cellStyle name="Standard 4 2 2 4 2 2 8" xfId="13386" xr:uid="{00000000-0005-0000-0000-0000FD340000}"/>
    <cellStyle name="Standard 4 2 2 4 2 2 8 2" xfId="13387" xr:uid="{00000000-0005-0000-0000-0000FE340000}"/>
    <cellStyle name="Standard 4 2 2 4 2 2 9" xfId="13388" xr:uid="{00000000-0005-0000-0000-0000FF340000}"/>
    <cellStyle name="Standard 4 2 2 4 2 3" xfId="13389" xr:uid="{00000000-0005-0000-0000-000000350000}"/>
    <cellStyle name="Standard 4 2 2 4 2 3 2" xfId="13390" xr:uid="{00000000-0005-0000-0000-000001350000}"/>
    <cellStyle name="Standard 4 2 2 4 2 3 2 2" xfId="13391" xr:uid="{00000000-0005-0000-0000-000002350000}"/>
    <cellStyle name="Standard 4 2 2 4 2 3 2 2 2" xfId="13392" xr:uid="{00000000-0005-0000-0000-000003350000}"/>
    <cellStyle name="Standard 4 2 2 4 2 3 2 2 2 2" xfId="13393" xr:uid="{00000000-0005-0000-0000-000004350000}"/>
    <cellStyle name="Standard 4 2 2 4 2 3 2 2 2 3" xfId="13394" xr:uid="{00000000-0005-0000-0000-000005350000}"/>
    <cellStyle name="Standard 4 2 2 4 2 3 2 2 3" xfId="13395" xr:uid="{00000000-0005-0000-0000-000006350000}"/>
    <cellStyle name="Standard 4 2 2 4 2 3 2 2 3 2" xfId="13396" xr:uid="{00000000-0005-0000-0000-000007350000}"/>
    <cellStyle name="Standard 4 2 2 4 2 3 2 2 3 3" xfId="13397" xr:uid="{00000000-0005-0000-0000-000008350000}"/>
    <cellStyle name="Standard 4 2 2 4 2 3 2 2 4" xfId="13398" xr:uid="{00000000-0005-0000-0000-000009350000}"/>
    <cellStyle name="Standard 4 2 2 4 2 3 2 2 4 2" xfId="13399" xr:uid="{00000000-0005-0000-0000-00000A350000}"/>
    <cellStyle name="Standard 4 2 2 4 2 3 2 2 5" xfId="13400" xr:uid="{00000000-0005-0000-0000-00000B350000}"/>
    <cellStyle name="Standard 4 2 2 4 2 3 2 2 6" xfId="13401" xr:uid="{00000000-0005-0000-0000-00000C350000}"/>
    <cellStyle name="Standard 4 2 2 4 2 3 2 3" xfId="13402" xr:uid="{00000000-0005-0000-0000-00000D350000}"/>
    <cellStyle name="Standard 4 2 2 4 2 3 2 3 2" xfId="13403" xr:uid="{00000000-0005-0000-0000-00000E350000}"/>
    <cellStyle name="Standard 4 2 2 4 2 3 2 3 3" xfId="13404" xr:uid="{00000000-0005-0000-0000-00000F350000}"/>
    <cellStyle name="Standard 4 2 2 4 2 3 2 4" xfId="13405" xr:uid="{00000000-0005-0000-0000-000010350000}"/>
    <cellStyle name="Standard 4 2 2 4 2 3 2 4 2" xfId="13406" xr:uid="{00000000-0005-0000-0000-000011350000}"/>
    <cellStyle name="Standard 4 2 2 4 2 3 2 4 3" xfId="13407" xr:uid="{00000000-0005-0000-0000-000012350000}"/>
    <cellStyle name="Standard 4 2 2 4 2 3 2 5" xfId="13408" xr:uid="{00000000-0005-0000-0000-000013350000}"/>
    <cellStyle name="Standard 4 2 2 4 2 3 2 5 2" xfId="13409" xr:uid="{00000000-0005-0000-0000-000014350000}"/>
    <cellStyle name="Standard 4 2 2 4 2 3 2 6" xfId="13410" xr:uid="{00000000-0005-0000-0000-000015350000}"/>
    <cellStyle name="Standard 4 2 2 4 2 3 2 7" xfId="13411" xr:uid="{00000000-0005-0000-0000-000016350000}"/>
    <cellStyle name="Standard 4 2 2 4 2 3 3" xfId="13412" xr:uid="{00000000-0005-0000-0000-000017350000}"/>
    <cellStyle name="Standard 4 2 2 4 2 3 3 2" xfId="13413" xr:uid="{00000000-0005-0000-0000-000018350000}"/>
    <cellStyle name="Standard 4 2 2 4 2 3 3 2 2" xfId="13414" xr:uid="{00000000-0005-0000-0000-000019350000}"/>
    <cellStyle name="Standard 4 2 2 4 2 3 3 2 3" xfId="13415" xr:uid="{00000000-0005-0000-0000-00001A350000}"/>
    <cellStyle name="Standard 4 2 2 4 2 3 3 3" xfId="13416" xr:uid="{00000000-0005-0000-0000-00001B350000}"/>
    <cellStyle name="Standard 4 2 2 4 2 3 3 3 2" xfId="13417" xr:uid="{00000000-0005-0000-0000-00001C350000}"/>
    <cellStyle name="Standard 4 2 2 4 2 3 3 3 3" xfId="13418" xr:uid="{00000000-0005-0000-0000-00001D350000}"/>
    <cellStyle name="Standard 4 2 2 4 2 3 3 4" xfId="13419" xr:uid="{00000000-0005-0000-0000-00001E350000}"/>
    <cellStyle name="Standard 4 2 2 4 2 3 3 4 2" xfId="13420" xr:uid="{00000000-0005-0000-0000-00001F350000}"/>
    <cellStyle name="Standard 4 2 2 4 2 3 3 5" xfId="13421" xr:uid="{00000000-0005-0000-0000-000020350000}"/>
    <cellStyle name="Standard 4 2 2 4 2 3 3 6" xfId="13422" xr:uid="{00000000-0005-0000-0000-000021350000}"/>
    <cellStyle name="Standard 4 2 2 4 2 3 4" xfId="13423" xr:uid="{00000000-0005-0000-0000-000022350000}"/>
    <cellStyle name="Standard 4 2 2 4 2 3 4 2" xfId="13424" xr:uid="{00000000-0005-0000-0000-000023350000}"/>
    <cellStyle name="Standard 4 2 2 4 2 3 4 3" xfId="13425" xr:uid="{00000000-0005-0000-0000-000024350000}"/>
    <cellStyle name="Standard 4 2 2 4 2 3 5" xfId="13426" xr:uid="{00000000-0005-0000-0000-000025350000}"/>
    <cellStyle name="Standard 4 2 2 4 2 3 5 2" xfId="13427" xr:uid="{00000000-0005-0000-0000-000026350000}"/>
    <cellStyle name="Standard 4 2 2 4 2 3 5 3" xfId="13428" xr:uid="{00000000-0005-0000-0000-000027350000}"/>
    <cellStyle name="Standard 4 2 2 4 2 3 6" xfId="13429" xr:uid="{00000000-0005-0000-0000-000028350000}"/>
    <cellStyle name="Standard 4 2 2 4 2 3 6 2" xfId="13430" xr:uid="{00000000-0005-0000-0000-000029350000}"/>
    <cellStyle name="Standard 4 2 2 4 2 3 7" xfId="13431" xr:uid="{00000000-0005-0000-0000-00002A350000}"/>
    <cellStyle name="Standard 4 2 2 4 2 3 8" xfId="13432" xr:uid="{00000000-0005-0000-0000-00002B350000}"/>
    <cellStyle name="Standard 4 2 2 4 2 4" xfId="13433" xr:uid="{00000000-0005-0000-0000-00002C350000}"/>
    <cellStyle name="Standard 4 2 2 4 2 4 2" xfId="13434" xr:uid="{00000000-0005-0000-0000-00002D350000}"/>
    <cellStyle name="Standard 4 2 2 4 2 4 2 2" xfId="13435" xr:uid="{00000000-0005-0000-0000-00002E350000}"/>
    <cellStyle name="Standard 4 2 2 4 2 4 2 2 2" xfId="13436" xr:uid="{00000000-0005-0000-0000-00002F350000}"/>
    <cellStyle name="Standard 4 2 2 4 2 4 2 2 2 2" xfId="13437" xr:uid="{00000000-0005-0000-0000-000030350000}"/>
    <cellStyle name="Standard 4 2 2 4 2 4 2 2 2 3" xfId="13438" xr:uid="{00000000-0005-0000-0000-000031350000}"/>
    <cellStyle name="Standard 4 2 2 4 2 4 2 2 3" xfId="13439" xr:uid="{00000000-0005-0000-0000-000032350000}"/>
    <cellStyle name="Standard 4 2 2 4 2 4 2 2 3 2" xfId="13440" xr:uid="{00000000-0005-0000-0000-000033350000}"/>
    <cellStyle name="Standard 4 2 2 4 2 4 2 2 3 3" xfId="13441" xr:uid="{00000000-0005-0000-0000-000034350000}"/>
    <cellStyle name="Standard 4 2 2 4 2 4 2 2 4" xfId="13442" xr:uid="{00000000-0005-0000-0000-000035350000}"/>
    <cellStyle name="Standard 4 2 2 4 2 4 2 2 4 2" xfId="13443" xr:uid="{00000000-0005-0000-0000-000036350000}"/>
    <cellStyle name="Standard 4 2 2 4 2 4 2 2 5" xfId="13444" xr:uid="{00000000-0005-0000-0000-000037350000}"/>
    <cellStyle name="Standard 4 2 2 4 2 4 2 2 6" xfId="13445" xr:uid="{00000000-0005-0000-0000-000038350000}"/>
    <cellStyle name="Standard 4 2 2 4 2 4 2 3" xfId="13446" xr:uid="{00000000-0005-0000-0000-000039350000}"/>
    <cellStyle name="Standard 4 2 2 4 2 4 2 3 2" xfId="13447" xr:uid="{00000000-0005-0000-0000-00003A350000}"/>
    <cellStyle name="Standard 4 2 2 4 2 4 2 3 3" xfId="13448" xr:uid="{00000000-0005-0000-0000-00003B350000}"/>
    <cellStyle name="Standard 4 2 2 4 2 4 2 4" xfId="13449" xr:uid="{00000000-0005-0000-0000-00003C350000}"/>
    <cellStyle name="Standard 4 2 2 4 2 4 2 4 2" xfId="13450" xr:uid="{00000000-0005-0000-0000-00003D350000}"/>
    <cellStyle name="Standard 4 2 2 4 2 4 2 4 3" xfId="13451" xr:uid="{00000000-0005-0000-0000-00003E350000}"/>
    <cellStyle name="Standard 4 2 2 4 2 4 2 5" xfId="13452" xr:uid="{00000000-0005-0000-0000-00003F350000}"/>
    <cellStyle name="Standard 4 2 2 4 2 4 2 5 2" xfId="13453" xr:uid="{00000000-0005-0000-0000-000040350000}"/>
    <cellStyle name="Standard 4 2 2 4 2 4 2 6" xfId="13454" xr:uid="{00000000-0005-0000-0000-000041350000}"/>
    <cellStyle name="Standard 4 2 2 4 2 4 2 7" xfId="13455" xr:uid="{00000000-0005-0000-0000-000042350000}"/>
    <cellStyle name="Standard 4 2 2 4 2 4 3" xfId="13456" xr:uid="{00000000-0005-0000-0000-000043350000}"/>
    <cellStyle name="Standard 4 2 2 4 2 4 3 2" xfId="13457" xr:uid="{00000000-0005-0000-0000-000044350000}"/>
    <cellStyle name="Standard 4 2 2 4 2 4 3 2 2" xfId="13458" xr:uid="{00000000-0005-0000-0000-000045350000}"/>
    <cellStyle name="Standard 4 2 2 4 2 4 3 2 3" xfId="13459" xr:uid="{00000000-0005-0000-0000-000046350000}"/>
    <cellStyle name="Standard 4 2 2 4 2 4 3 3" xfId="13460" xr:uid="{00000000-0005-0000-0000-000047350000}"/>
    <cellStyle name="Standard 4 2 2 4 2 4 3 3 2" xfId="13461" xr:uid="{00000000-0005-0000-0000-000048350000}"/>
    <cellStyle name="Standard 4 2 2 4 2 4 3 3 3" xfId="13462" xr:uid="{00000000-0005-0000-0000-000049350000}"/>
    <cellStyle name="Standard 4 2 2 4 2 4 3 4" xfId="13463" xr:uid="{00000000-0005-0000-0000-00004A350000}"/>
    <cellStyle name="Standard 4 2 2 4 2 4 3 4 2" xfId="13464" xr:uid="{00000000-0005-0000-0000-00004B350000}"/>
    <cellStyle name="Standard 4 2 2 4 2 4 3 5" xfId="13465" xr:uid="{00000000-0005-0000-0000-00004C350000}"/>
    <cellStyle name="Standard 4 2 2 4 2 4 3 6" xfId="13466" xr:uid="{00000000-0005-0000-0000-00004D350000}"/>
    <cellStyle name="Standard 4 2 2 4 2 4 4" xfId="13467" xr:uid="{00000000-0005-0000-0000-00004E350000}"/>
    <cellStyle name="Standard 4 2 2 4 2 4 4 2" xfId="13468" xr:uid="{00000000-0005-0000-0000-00004F350000}"/>
    <cellStyle name="Standard 4 2 2 4 2 4 4 3" xfId="13469" xr:uid="{00000000-0005-0000-0000-000050350000}"/>
    <cellStyle name="Standard 4 2 2 4 2 4 5" xfId="13470" xr:uid="{00000000-0005-0000-0000-000051350000}"/>
    <cellStyle name="Standard 4 2 2 4 2 4 5 2" xfId="13471" xr:uid="{00000000-0005-0000-0000-000052350000}"/>
    <cellStyle name="Standard 4 2 2 4 2 4 5 3" xfId="13472" xr:uid="{00000000-0005-0000-0000-000053350000}"/>
    <cellStyle name="Standard 4 2 2 4 2 4 6" xfId="13473" xr:uid="{00000000-0005-0000-0000-000054350000}"/>
    <cellStyle name="Standard 4 2 2 4 2 4 6 2" xfId="13474" xr:uid="{00000000-0005-0000-0000-000055350000}"/>
    <cellStyle name="Standard 4 2 2 4 2 4 7" xfId="13475" xr:uid="{00000000-0005-0000-0000-000056350000}"/>
    <cellStyle name="Standard 4 2 2 4 2 4 8" xfId="13476" xr:uid="{00000000-0005-0000-0000-000057350000}"/>
    <cellStyle name="Standard 4 2 2 4 2 5" xfId="13477" xr:uid="{00000000-0005-0000-0000-000058350000}"/>
    <cellStyle name="Standard 4 2 2 4 2 5 2" xfId="13478" xr:uid="{00000000-0005-0000-0000-000059350000}"/>
    <cellStyle name="Standard 4 2 2 4 2 5 2 2" xfId="13479" xr:uid="{00000000-0005-0000-0000-00005A350000}"/>
    <cellStyle name="Standard 4 2 2 4 2 5 2 2 2" xfId="13480" xr:uid="{00000000-0005-0000-0000-00005B350000}"/>
    <cellStyle name="Standard 4 2 2 4 2 5 2 2 3" xfId="13481" xr:uid="{00000000-0005-0000-0000-00005C350000}"/>
    <cellStyle name="Standard 4 2 2 4 2 5 2 3" xfId="13482" xr:uid="{00000000-0005-0000-0000-00005D350000}"/>
    <cellStyle name="Standard 4 2 2 4 2 5 2 3 2" xfId="13483" xr:uid="{00000000-0005-0000-0000-00005E350000}"/>
    <cellStyle name="Standard 4 2 2 4 2 5 2 3 3" xfId="13484" xr:uid="{00000000-0005-0000-0000-00005F350000}"/>
    <cellStyle name="Standard 4 2 2 4 2 5 2 4" xfId="13485" xr:uid="{00000000-0005-0000-0000-000060350000}"/>
    <cellStyle name="Standard 4 2 2 4 2 5 2 4 2" xfId="13486" xr:uid="{00000000-0005-0000-0000-000061350000}"/>
    <cellStyle name="Standard 4 2 2 4 2 5 2 5" xfId="13487" xr:uid="{00000000-0005-0000-0000-000062350000}"/>
    <cellStyle name="Standard 4 2 2 4 2 5 2 6" xfId="13488" xr:uid="{00000000-0005-0000-0000-000063350000}"/>
    <cellStyle name="Standard 4 2 2 4 2 5 3" xfId="13489" xr:uid="{00000000-0005-0000-0000-000064350000}"/>
    <cellStyle name="Standard 4 2 2 4 2 5 3 2" xfId="13490" xr:uid="{00000000-0005-0000-0000-000065350000}"/>
    <cellStyle name="Standard 4 2 2 4 2 5 3 3" xfId="13491" xr:uid="{00000000-0005-0000-0000-000066350000}"/>
    <cellStyle name="Standard 4 2 2 4 2 5 4" xfId="13492" xr:uid="{00000000-0005-0000-0000-000067350000}"/>
    <cellStyle name="Standard 4 2 2 4 2 5 4 2" xfId="13493" xr:uid="{00000000-0005-0000-0000-000068350000}"/>
    <cellStyle name="Standard 4 2 2 4 2 5 4 3" xfId="13494" xr:uid="{00000000-0005-0000-0000-000069350000}"/>
    <cellStyle name="Standard 4 2 2 4 2 5 5" xfId="13495" xr:uid="{00000000-0005-0000-0000-00006A350000}"/>
    <cellStyle name="Standard 4 2 2 4 2 5 5 2" xfId="13496" xr:uid="{00000000-0005-0000-0000-00006B350000}"/>
    <cellStyle name="Standard 4 2 2 4 2 5 6" xfId="13497" xr:uid="{00000000-0005-0000-0000-00006C350000}"/>
    <cellStyle name="Standard 4 2 2 4 2 5 7" xfId="13498" xr:uid="{00000000-0005-0000-0000-00006D350000}"/>
    <cellStyle name="Standard 4 2 2 4 2 6" xfId="13499" xr:uid="{00000000-0005-0000-0000-00006E350000}"/>
    <cellStyle name="Standard 4 2 2 4 2 6 2" xfId="13500" xr:uid="{00000000-0005-0000-0000-00006F350000}"/>
    <cellStyle name="Standard 4 2 2 4 2 6 2 2" xfId="13501" xr:uid="{00000000-0005-0000-0000-000070350000}"/>
    <cellStyle name="Standard 4 2 2 4 2 6 2 3" xfId="13502" xr:uid="{00000000-0005-0000-0000-000071350000}"/>
    <cellStyle name="Standard 4 2 2 4 2 6 3" xfId="13503" xr:uid="{00000000-0005-0000-0000-000072350000}"/>
    <cellStyle name="Standard 4 2 2 4 2 6 3 2" xfId="13504" xr:uid="{00000000-0005-0000-0000-000073350000}"/>
    <cellStyle name="Standard 4 2 2 4 2 6 3 3" xfId="13505" xr:uid="{00000000-0005-0000-0000-000074350000}"/>
    <cellStyle name="Standard 4 2 2 4 2 6 4" xfId="13506" xr:uid="{00000000-0005-0000-0000-000075350000}"/>
    <cellStyle name="Standard 4 2 2 4 2 6 4 2" xfId="13507" xr:uid="{00000000-0005-0000-0000-000076350000}"/>
    <cellStyle name="Standard 4 2 2 4 2 6 5" xfId="13508" xr:uid="{00000000-0005-0000-0000-000077350000}"/>
    <cellStyle name="Standard 4 2 2 4 2 6 6" xfId="13509" xr:uid="{00000000-0005-0000-0000-000078350000}"/>
    <cellStyle name="Standard 4 2 2 4 2 7" xfId="13510" xr:uid="{00000000-0005-0000-0000-000079350000}"/>
    <cellStyle name="Standard 4 2 2 4 2 7 2" xfId="13511" xr:uid="{00000000-0005-0000-0000-00007A350000}"/>
    <cellStyle name="Standard 4 2 2 4 2 7 3" xfId="13512" xr:uid="{00000000-0005-0000-0000-00007B350000}"/>
    <cellStyle name="Standard 4 2 2 4 2 8" xfId="13513" xr:uid="{00000000-0005-0000-0000-00007C350000}"/>
    <cellStyle name="Standard 4 2 2 4 2 8 2" xfId="13514" xr:uid="{00000000-0005-0000-0000-00007D350000}"/>
    <cellStyle name="Standard 4 2 2 4 2 8 3" xfId="13515" xr:uid="{00000000-0005-0000-0000-00007E350000}"/>
    <cellStyle name="Standard 4 2 2 4 2 9" xfId="13516" xr:uid="{00000000-0005-0000-0000-00007F350000}"/>
    <cellStyle name="Standard 4 2 2 4 2 9 2" xfId="13517" xr:uid="{00000000-0005-0000-0000-000080350000}"/>
    <cellStyle name="Standard 4 2 2 4 3" xfId="13518" xr:uid="{00000000-0005-0000-0000-000081350000}"/>
    <cellStyle name="Standard 4 2 2 4 3 10" xfId="13519" xr:uid="{00000000-0005-0000-0000-000082350000}"/>
    <cellStyle name="Standard 4 2 2 4 3 2" xfId="13520" xr:uid="{00000000-0005-0000-0000-000083350000}"/>
    <cellStyle name="Standard 4 2 2 4 3 2 2" xfId="13521" xr:uid="{00000000-0005-0000-0000-000084350000}"/>
    <cellStyle name="Standard 4 2 2 4 3 2 2 2" xfId="13522" xr:uid="{00000000-0005-0000-0000-000085350000}"/>
    <cellStyle name="Standard 4 2 2 4 3 2 2 2 2" xfId="13523" xr:uid="{00000000-0005-0000-0000-000086350000}"/>
    <cellStyle name="Standard 4 2 2 4 3 2 2 2 2 2" xfId="13524" xr:uid="{00000000-0005-0000-0000-000087350000}"/>
    <cellStyle name="Standard 4 2 2 4 3 2 2 2 2 3" xfId="13525" xr:uid="{00000000-0005-0000-0000-000088350000}"/>
    <cellStyle name="Standard 4 2 2 4 3 2 2 2 3" xfId="13526" xr:uid="{00000000-0005-0000-0000-000089350000}"/>
    <cellStyle name="Standard 4 2 2 4 3 2 2 2 3 2" xfId="13527" xr:uid="{00000000-0005-0000-0000-00008A350000}"/>
    <cellStyle name="Standard 4 2 2 4 3 2 2 2 3 3" xfId="13528" xr:uid="{00000000-0005-0000-0000-00008B350000}"/>
    <cellStyle name="Standard 4 2 2 4 3 2 2 2 4" xfId="13529" xr:uid="{00000000-0005-0000-0000-00008C350000}"/>
    <cellStyle name="Standard 4 2 2 4 3 2 2 2 4 2" xfId="13530" xr:uid="{00000000-0005-0000-0000-00008D350000}"/>
    <cellStyle name="Standard 4 2 2 4 3 2 2 2 5" xfId="13531" xr:uid="{00000000-0005-0000-0000-00008E350000}"/>
    <cellStyle name="Standard 4 2 2 4 3 2 2 2 6" xfId="13532" xr:uid="{00000000-0005-0000-0000-00008F350000}"/>
    <cellStyle name="Standard 4 2 2 4 3 2 2 3" xfId="13533" xr:uid="{00000000-0005-0000-0000-000090350000}"/>
    <cellStyle name="Standard 4 2 2 4 3 2 2 3 2" xfId="13534" xr:uid="{00000000-0005-0000-0000-000091350000}"/>
    <cellStyle name="Standard 4 2 2 4 3 2 2 3 3" xfId="13535" xr:uid="{00000000-0005-0000-0000-000092350000}"/>
    <cellStyle name="Standard 4 2 2 4 3 2 2 4" xfId="13536" xr:uid="{00000000-0005-0000-0000-000093350000}"/>
    <cellStyle name="Standard 4 2 2 4 3 2 2 4 2" xfId="13537" xr:uid="{00000000-0005-0000-0000-000094350000}"/>
    <cellStyle name="Standard 4 2 2 4 3 2 2 4 3" xfId="13538" xr:uid="{00000000-0005-0000-0000-000095350000}"/>
    <cellStyle name="Standard 4 2 2 4 3 2 2 5" xfId="13539" xr:uid="{00000000-0005-0000-0000-000096350000}"/>
    <cellStyle name="Standard 4 2 2 4 3 2 2 5 2" xfId="13540" xr:uid="{00000000-0005-0000-0000-000097350000}"/>
    <cellStyle name="Standard 4 2 2 4 3 2 2 6" xfId="13541" xr:uid="{00000000-0005-0000-0000-000098350000}"/>
    <cellStyle name="Standard 4 2 2 4 3 2 2 7" xfId="13542" xr:uid="{00000000-0005-0000-0000-000099350000}"/>
    <cellStyle name="Standard 4 2 2 4 3 2 3" xfId="13543" xr:uid="{00000000-0005-0000-0000-00009A350000}"/>
    <cellStyle name="Standard 4 2 2 4 3 2 3 2" xfId="13544" xr:uid="{00000000-0005-0000-0000-00009B350000}"/>
    <cellStyle name="Standard 4 2 2 4 3 2 3 2 2" xfId="13545" xr:uid="{00000000-0005-0000-0000-00009C350000}"/>
    <cellStyle name="Standard 4 2 2 4 3 2 3 2 3" xfId="13546" xr:uid="{00000000-0005-0000-0000-00009D350000}"/>
    <cellStyle name="Standard 4 2 2 4 3 2 3 3" xfId="13547" xr:uid="{00000000-0005-0000-0000-00009E350000}"/>
    <cellStyle name="Standard 4 2 2 4 3 2 3 3 2" xfId="13548" xr:uid="{00000000-0005-0000-0000-00009F350000}"/>
    <cellStyle name="Standard 4 2 2 4 3 2 3 3 3" xfId="13549" xr:uid="{00000000-0005-0000-0000-0000A0350000}"/>
    <cellStyle name="Standard 4 2 2 4 3 2 3 4" xfId="13550" xr:uid="{00000000-0005-0000-0000-0000A1350000}"/>
    <cellStyle name="Standard 4 2 2 4 3 2 3 4 2" xfId="13551" xr:uid="{00000000-0005-0000-0000-0000A2350000}"/>
    <cellStyle name="Standard 4 2 2 4 3 2 3 5" xfId="13552" xr:uid="{00000000-0005-0000-0000-0000A3350000}"/>
    <cellStyle name="Standard 4 2 2 4 3 2 3 6" xfId="13553" xr:uid="{00000000-0005-0000-0000-0000A4350000}"/>
    <cellStyle name="Standard 4 2 2 4 3 2 4" xfId="13554" xr:uid="{00000000-0005-0000-0000-0000A5350000}"/>
    <cellStyle name="Standard 4 2 2 4 3 2 4 2" xfId="13555" xr:uid="{00000000-0005-0000-0000-0000A6350000}"/>
    <cellStyle name="Standard 4 2 2 4 3 2 4 3" xfId="13556" xr:uid="{00000000-0005-0000-0000-0000A7350000}"/>
    <cellStyle name="Standard 4 2 2 4 3 2 5" xfId="13557" xr:uid="{00000000-0005-0000-0000-0000A8350000}"/>
    <cellStyle name="Standard 4 2 2 4 3 2 5 2" xfId="13558" xr:uid="{00000000-0005-0000-0000-0000A9350000}"/>
    <cellStyle name="Standard 4 2 2 4 3 2 5 3" xfId="13559" xr:uid="{00000000-0005-0000-0000-0000AA350000}"/>
    <cellStyle name="Standard 4 2 2 4 3 2 6" xfId="13560" xr:uid="{00000000-0005-0000-0000-0000AB350000}"/>
    <cellStyle name="Standard 4 2 2 4 3 2 6 2" xfId="13561" xr:uid="{00000000-0005-0000-0000-0000AC350000}"/>
    <cellStyle name="Standard 4 2 2 4 3 2 7" xfId="13562" xr:uid="{00000000-0005-0000-0000-0000AD350000}"/>
    <cellStyle name="Standard 4 2 2 4 3 2 8" xfId="13563" xr:uid="{00000000-0005-0000-0000-0000AE350000}"/>
    <cellStyle name="Standard 4 2 2 4 3 3" xfId="13564" xr:uid="{00000000-0005-0000-0000-0000AF350000}"/>
    <cellStyle name="Standard 4 2 2 4 3 3 2" xfId="13565" xr:uid="{00000000-0005-0000-0000-0000B0350000}"/>
    <cellStyle name="Standard 4 2 2 4 3 3 2 2" xfId="13566" xr:uid="{00000000-0005-0000-0000-0000B1350000}"/>
    <cellStyle name="Standard 4 2 2 4 3 3 2 2 2" xfId="13567" xr:uid="{00000000-0005-0000-0000-0000B2350000}"/>
    <cellStyle name="Standard 4 2 2 4 3 3 2 2 2 2" xfId="13568" xr:uid="{00000000-0005-0000-0000-0000B3350000}"/>
    <cellStyle name="Standard 4 2 2 4 3 3 2 2 2 3" xfId="13569" xr:uid="{00000000-0005-0000-0000-0000B4350000}"/>
    <cellStyle name="Standard 4 2 2 4 3 3 2 2 3" xfId="13570" xr:uid="{00000000-0005-0000-0000-0000B5350000}"/>
    <cellStyle name="Standard 4 2 2 4 3 3 2 2 3 2" xfId="13571" xr:uid="{00000000-0005-0000-0000-0000B6350000}"/>
    <cellStyle name="Standard 4 2 2 4 3 3 2 2 3 3" xfId="13572" xr:uid="{00000000-0005-0000-0000-0000B7350000}"/>
    <cellStyle name="Standard 4 2 2 4 3 3 2 2 4" xfId="13573" xr:uid="{00000000-0005-0000-0000-0000B8350000}"/>
    <cellStyle name="Standard 4 2 2 4 3 3 2 2 4 2" xfId="13574" xr:uid="{00000000-0005-0000-0000-0000B9350000}"/>
    <cellStyle name="Standard 4 2 2 4 3 3 2 2 5" xfId="13575" xr:uid="{00000000-0005-0000-0000-0000BA350000}"/>
    <cellStyle name="Standard 4 2 2 4 3 3 2 2 6" xfId="13576" xr:uid="{00000000-0005-0000-0000-0000BB350000}"/>
    <cellStyle name="Standard 4 2 2 4 3 3 2 3" xfId="13577" xr:uid="{00000000-0005-0000-0000-0000BC350000}"/>
    <cellStyle name="Standard 4 2 2 4 3 3 2 3 2" xfId="13578" xr:uid="{00000000-0005-0000-0000-0000BD350000}"/>
    <cellStyle name="Standard 4 2 2 4 3 3 2 3 3" xfId="13579" xr:uid="{00000000-0005-0000-0000-0000BE350000}"/>
    <cellStyle name="Standard 4 2 2 4 3 3 2 4" xfId="13580" xr:uid="{00000000-0005-0000-0000-0000BF350000}"/>
    <cellStyle name="Standard 4 2 2 4 3 3 2 4 2" xfId="13581" xr:uid="{00000000-0005-0000-0000-0000C0350000}"/>
    <cellStyle name="Standard 4 2 2 4 3 3 2 4 3" xfId="13582" xr:uid="{00000000-0005-0000-0000-0000C1350000}"/>
    <cellStyle name="Standard 4 2 2 4 3 3 2 5" xfId="13583" xr:uid="{00000000-0005-0000-0000-0000C2350000}"/>
    <cellStyle name="Standard 4 2 2 4 3 3 2 5 2" xfId="13584" xr:uid="{00000000-0005-0000-0000-0000C3350000}"/>
    <cellStyle name="Standard 4 2 2 4 3 3 2 6" xfId="13585" xr:uid="{00000000-0005-0000-0000-0000C4350000}"/>
    <cellStyle name="Standard 4 2 2 4 3 3 2 7" xfId="13586" xr:uid="{00000000-0005-0000-0000-0000C5350000}"/>
    <cellStyle name="Standard 4 2 2 4 3 3 3" xfId="13587" xr:uid="{00000000-0005-0000-0000-0000C6350000}"/>
    <cellStyle name="Standard 4 2 2 4 3 3 3 2" xfId="13588" xr:uid="{00000000-0005-0000-0000-0000C7350000}"/>
    <cellStyle name="Standard 4 2 2 4 3 3 3 2 2" xfId="13589" xr:uid="{00000000-0005-0000-0000-0000C8350000}"/>
    <cellStyle name="Standard 4 2 2 4 3 3 3 2 3" xfId="13590" xr:uid="{00000000-0005-0000-0000-0000C9350000}"/>
    <cellStyle name="Standard 4 2 2 4 3 3 3 3" xfId="13591" xr:uid="{00000000-0005-0000-0000-0000CA350000}"/>
    <cellStyle name="Standard 4 2 2 4 3 3 3 3 2" xfId="13592" xr:uid="{00000000-0005-0000-0000-0000CB350000}"/>
    <cellStyle name="Standard 4 2 2 4 3 3 3 3 3" xfId="13593" xr:uid="{00000000-0005-0000-0000-0000CC350000}"/>
    <cellStyle name="Standard 4 2 2 4 3 3 3 4" xfId="13594" xr:uid="{00000000-0005-0000-0000-0000CD350000}"/>
    <cellStyle name="Standard 4 2 2 4 3 3 3 4 2" xfId="13595" xr:uid="{00000000-0005-0000-0000-0000CE350000}"/>
    <cellStyle name="Standard 4 2 2 4 3 3 3 5" xfId="13596" xr:uid="{00000000-0005-0000-0000-0000CF350000}"/>
    <cellStyle name="Standard 4 2 2 4 3 3 3 6" xfId="13597" xr:uid="{00000000-0005-0000-0000-0000D0350000}"/>
    <cellStyle name="Standard 4 2 2 4 3 3 4" xfId="13598" xr:uid="{00000000-0005-0000-0000-0000D1350000}"/>
    <cellStyle name="Standard 4 2 2 4 3 3 4 2" xfId="13599" xr:uid="{00000000-0005-0000-0000-0000D2350000}"/>
    <cellStyle name="Standard 4 2 2 4 3 3 4 3" xfId="13600" xr:uid="{00000000-0005-0000-0000-0000D3350000}"/>
    <cellStyle name="Standard 4 2 2 4 3 3 5" xfId="13601" xr:uid="{00000000-0005-0000-0000-0000D4350000}"/>
    <cellStyle name="Standard 4 2 2 4 3 3 5 2" xfId="13602" xr:uid="{00000000-0005-0000-0000-0000D5350000}"/>
    <cellStyle name="Standard 4 2 2 4 3 3 5 3" xfId="13603" xr:uid="{00000000-0005-0000-0000-0000D6350000}"/>
    <cellStyle name="Standard 4 2 2 4 3 3 6" xfId="13604" xr:uid="{00000000-0005-0000-0000-0000D7350000}"/>
    <cellStyle name="Standard 4 2 2 4 3 3 6 2" xfId="13605" xr:uid="{00000000-0005-0000-0000-0000D8350000}"/>
    <cellStyle name="Standard 4 2 2 4 3 3 7" xfId="13606" xr:uid="{00000000-0005-0000-0000-0000D9350000}"/>
    <cellStyle name="Standard 4 2 2 4 3 3 8" xfId="13607" xr:uid="{00000000-0005-0000-0000-0000DA350000}"/>
    <cellStyle name="Standard 4 2 2 4 3 4" xfId="13608" xr:uid="{00000000-0005-0000-0000-0000DB350000}"/>
    <cellStyle name="Standard 4 2 2 4 3 4 2" xfId="13609" xr:uid="{00000000-0005-0000-0000-0000DC350000}"/>
    <cellStyle name="Standard 4 2 2 4 3 4 2 2" xfId="13610" xr:uid="{00000000-0005-0000-0000-0000DD350000}"/>
    <cellStyle name="Standard 4 2 2 4 3 4 2 2 2" xfId="13611" xr:uid="{00000000-0005-0000-0000-0000DE350000}"/>
    <cellStyle name="Standard 4 2 2 4 3 4 2 2 3" xfId="13612" xr:uid="{00000000-0005-0000-0000-0000DF350000}"/>
    <cellStyle name="Standard 4 2 2 4 3 4 2 3" xfId="13613" xr:uid="{00000000-0005-0000-0000-0000E0350000}"/>
    <cellStyle name="Standard 4 2 2 4 3 4 2 3 2" xfId="13614" xr:uid="{00000000-0005-0000-0000-0000E1350000}"/>
    <cellStyle name="Standard 4 2 2 4 3 4 2 3 3" xfId="13615" xr:uid="{00000000-0005-0000-0000-0000E2350000}"/>
    <cellStyle name="Standard 4 2 2 4 3 4 2 4" xfId="13616" xr:uid="{00000000-0005-0000-0000-0000E3350000}"/>
    <cellStyle name="Standard 4 2 2 4 3 4 2 4 2" xfId="13617" xr:uid="{00000000-0005-0000-0000-0000E4350000}"/>
    <cellStyle name="Standard 4 2 2 4 3 4 2 5" xfId="13618" xr:uid="{00000000-0005-0000-0000-0000E5350000}"/>
    <cellStyle name="Standard 4 2 2 4 3 4 2 6" xfId="13619" xr:uid="{00000000-0005-0000-0000-0000E6350000}"/>
    <cellStyle name="Standard 4 2 2 4 3 4 3" xfId="13620" xr:uid="{00000000-0005-0000-0000-0000E7350000}"/>
    <cellStyle name="Standard 4 2 2 4 3 4 3 2" xfId="13621" xr:uid="{00000000-0005-0000-0000-0000E8350000}"/>
    <cellStyle name="Standard 4 2 2 4 3 4 3 3" xfId="13622" xr:uid="{00000000-0005-0000-0000-0000E9350000}"/>
    <cellStyle name="Standard 4 2 2 4 3 4 4" xfId="13623" xr:uid="{00000000-0005-0000-0000-0000EA350000}"/>
    <cellStyle name="Standard 4 2 2 4 3 4 4 2" xfId="13624" xr:uid="{00000000-0005-0000-0000-0000EB350000}"/>
    <cellStyle name="Standard 4 2 2 4 3 4 4 3" xfId="13625" xr:uid="{00000000-0005-0000-0000-0000EC350000}"/>
    <cellStyle name="Standard 4 2 2 4 3 4 5" xfId="13626" xr:uid="{00000000-0005-0000-0000-0000ED350000}"/>
    <cellStyle name="Standard 4 2 2 4 3 4 5 2" xfId="13627" xr:uid="{00000000-0005-0000-0000-0000EE350000}"/>
    <cellStyle name="Standard 4 2 2 4 3 4 6" xfId="13628" xr:uid="{00000000-0005-0000-0000-0000EF350000}"/>
    <cellStyle name="Standard 4 2 2 4 3 4 7" xfId="13629" xr:uid="{00000000-0005-0000-0000-0000F0350000}"/>
    <cellStyle name="Standard 4 2 2 4 3 5" xfId="13630" xr:uid="{00000000-0005-0000-0000-0000F1350000}"/>
    <cellStyle name="Standard 4 2 2 4 3 5 2" xfId="13631" xr:uid="{00000000-0005-0000-0000-0000F2350000}"/>
    <cellStyle name="Standard 4 2 2 4 3 5 2 2" xfId="13632" xr:uid="{00000000-0005-0000-0000-0000F3350000}"/>
    <cellStyle name="Standard 4 2 2 4 3 5 2 3" xfId="13633" xr:uid="{00000000-0005-0000-0000-0000F4350000}"/>
    <cellStyle name="Standard 4 2 2 4 3 5 3" xfId="13634" xr:uid="{00000000-0005-0000-0000-0000F5350000}"/>
    <cellStyle name="Standard 4 2 2 4 3 5 3 2" xfId="13635" xr:uid="{00000000-0005-0000-0000-0000F6350000}"/>
    <cellStyle name="Standard 4 2 2 4 3 5 3 3" xfId="13636" xr:uid="{00000000-0005-0000-0000-0000F7350000}"/>
    <cellStyle name="Standard 4 2 2 4 3 5 4" xfId="13637" xr:uid="{00000000-0005-0000-0000-0000F8350000}"/>
    <cellStyle name="Standard 4 2 2 4 3 5 4 2" xfId="13638" xr:uid="{00000000-0005-0000-0000-0000F9350000}"/>
    <cellStyle name="Standard 4 2 2 4 3 5 5" xfId="13639" xr:uid="{00000000-0005-0000-0000-0000FA350000}"/>
    <cellStyle name="Standard 4 2 2 4 3 5 6" xfId="13640" xr:uid="{00000000-0005-0000-0000-0000FB350000}"/>
    <cellStyle name="Standard 4 2 2 4 3 6" xfId="13641" xr:uid="{00000000-0005-0000-0000-0000FC350000}"/>
    <cellStyle name="Standard 4 2 2 4 3 6 2" xfId="13642" xr:uid="{00000000-0005-0000-0000-0000FD350000}"/>
    <cellStyle name="Standard 4 2 2 4 3 6 3" xfId="13643" xr:uid="{00000000-0005-0000-0000-0000FE350000}"/>
    <cellStyle name="Standard 4 2 2 4 3 7" xfId="13644" xr:uid="{00000000-0005-0000-0000-0000FF350000}"/>
    <cellStyle name="Standard 4 2 2 4 3 7 2" xfId="13645" xr:uid="{00000000-0005-0000-0000-000000360000}"/>
    <cellStyle name="Standard 4 2 2 4 3 7 3" xfId="13646" xr:uid="{00000000-0005-0000-0000-000001360000}"/>
    <cellStyle name="Standard 4 2 2 4 3 8" xfId="13647" xr:uid="{00000000-0005-0000-0000-000002360000}"/>
    <cellStyle name="Standard 4 2 2 4 3 8 2" xfId="13648" xr:uid="{00000000-0005-0000-0000-000003360000}"/>
    <cellStyle name="Standard 4 2 2 4 3 9" xfId="13649" xr:uid="{00000000-0005-0000-0000-000004360000}"/>
    <cellStyle name="Standard 4 2 2 4 4" xfId="13650" xr:uid="{00000000-0005-0000-0000-000005360000}"/>
    <cellStyle name="Standard 4 2 2 4 4 2" xfId="13651" xr:uid="{00000000-0005-0000-0000-000006360000}"/>
    <cellStyle name="Standard 4 2 2 4 4 2 2" xfId="13652" xr:uid="{00000000-0005-0000-0000-000007360000}"/>
    <cellStyle name="Standard 4 2 2 4 4 2 2 2" xfId="13653" xr:uid="{00000000-0005-0000-0000-000008360000}"/>
    <cellStyle name="Standard 4 2 2 4 4 2 2 2 2" xfId="13654" xr:uid="{00000000-0005-0000-0000-000009360000}"/>
    <cellStyle name="Standard 4 2 2 4 4 2 2 2 3" xfId="13655" xr:uid="{00000000-0005-0000-0000-00000A360000}"/>
    <cellStyle name="Standard 4 2 2 4 4 2 2 3" xfId="13656" xr:uid="{00000000-0005-0000-0000-00000B360000}"/>
    <cellStyle name="Standard 4 2 2 4 4 2 2 3 2" xfId="13657" xr:uid="{00000000-0005-0000-0000-00000C360000}"/>
    <cellStyle name="Standard 4 2 2 4 4 2 2 3 3" xfId="13658" xr:uid="{00000000-0005-0000-0000-00000D360000}"/>
    <cellStyle name="Standard 4 2 2 4 4 2 2 4" xfId="13659" xr:uid="{00000000-0005-0000-0000-00000E360000}"/>
    <cellStyle name="Standard 4 2 2 4 4 2 2 4 2" xfId="13660" xr:uid="{00000000-0005-0000-0000-00000F360000}"/>
    <cellStyle name="Standard 4 2 2 4 4 2 2 5" xfId="13661" xr:uid="{00000000-0005-0000-0000-000010360000}"/>
    <cellStyle name="Standard 4 2 2 4 4 2 2 6" xfId="13662" xr:uid="{00000000-0005-0000-0000-000011360000}"/>
    <cellStyle name="Standard 4 2 2 4 4 2 3" xfId="13663" xr:uid="{00000000-0005-0000-0000-000012360000}"/>
    <cellStyle name="Standard 4 2 2 4 4 2 3 2" xfId="13664" xr:uid="{00000000-0005-0000-0000-000013360000}"/>
    <cellStyle name="Standard 4 2 2 4 4 2 3 3" xfId="13665" xr:uid="{00000000-0005-0000-0000-000014360000}"/>
    <cellStyle name="Standard 4 2 2 4 4 2 4" xfId="13666" xr:uid="{00000000-0005-0000-0000-000015360000}"/>
    <cellStyle name="Standard 4 2 2 4 4 2 4 2" xfId="13667" xr:uid="{00000000-0005-0000-0000-000016360000}"/>
    <cellStyle name="Standard 4 2 2 4 4 2 4 3" xfId="13668" xr:uid="{00000000-0005-0000-0000-000017360000}"/>
    <cellStyle name="Standard 4 2 2 4 4 2 5" xfId="13669" xr:uid="{00000000-0005-0000-0000-000018360000}"/>
    <cellStyle name="Standard 4 2 2 4 4 2 5 2" xfId="13670" xr:uid="{00000000-0005-0000-0000-000019360000}"/>
    <cellStyle name="Standard 4 2 2 4 4 2 6" xfId="13671" xr:uid="{00000000-0005-0000-0000-00001A360000}"/>
    <cellStyle name="Standard 4 2 2 4 4 2 7" xfId="13672" xr:uid="{00000000-0005-0000-0000-00001B360000}"/>
    <cellStyle name="Standard 4 2 2 4 4 3" xfId="13673" xr:uid="{00000000-0005-0000-0000-00001C360000}"/>
    <cellStyle name="Standard 4 2 2 4 4 3 2" xfId="13674" xr:uid="{00000000-0005-0000-0000-00001D360000}"/>
    <cellStyle name="Standard 4 2 2 4 4 3 2 2" xfId="13675" xr:uid="{00000000-0005-0000-0000-00001E360000}"/>
    <cellStyle name="Standard 4 2 2 4 4 3 2 3" xfId="13676" xr:uid="{00000000-0005-0000-0000-00001F360000}"/>
    <cellStyle name="Standard 4 2 2 4 4 3 3" xfId="13677" xr:uid="{00000000-0005-0000-0000-000020360000}"/>
    <cellStyle name="Standard 4 2 2 4 4 3 3 2" xfId="13678" xr:uid="{00000000-0005-0000-0000-000021360000}"/>
    <cellStyle name="Standard 4 2 2 4 4 3 3 3" xfId="13679" xr:uid="{00000000-0005-0000-0000-000022360000}"/>
    <cellStyle name="Standard 4 2 2 4 4 3 4" xfId="13680" xr:uid="{00000000-0005-0000-0000-000023360000}"/>
    <cellStyle name="Standard 4 2 2 4 4 3 4 2" xfId="13681" xr:uid="{00000000-0005-0000-0000-000024360000}"/>
    <cellStyle name="Standard 4 2 2 4 4 3 5" xfId="13682" xr:uid="{00000000-0005-0000-0000-000025360000}"/>
    <cellStyle name="Standard 4 2 2 4 4 3 6" xfId="13683" xr:uid="{00000000-0005-0000-0000-000026360000}"/>
    <cellStyle name="Standard 4 2 2 4 4 4" xfId="13684" xr:uid="{00000000-0005-0000-0000-000027360000}"/>
    <cellStyle name="Standard 4 2 2 4 4 4 2" xfId="13685" xr:uid="{00000000-0005-0000-0000-000028360000}"/>
    <cellStyle name="Standard 4 2 2 4 4 4 3" xfId="13686" xr:uid="{00000000-0005-0000-0000-000029360000}"/>
    <cellStyle name="Standard 4 2 2 4 4 5" xfId="13687" xr:uid="{00000000-0005-0000-0000-00002A360000}"/>
    <cellStyle name="Standard 4 2 2 4 4 5 2" xfId="13688" xr:uid="{00000000-0005-0000-0000-00002B360000}"/>
    <cellStyle name="Standard 4 2 2 4 4 5 3" xfId="13689" xr:uid="{00000000-0005-0000-0000-00002C360000}"/>
    <cellStyle name="Standard 4 2 2 4 4 6" xfId="13690" xr:uid="{00000000-0005-0000-0000-00002D360000}"/>
    <cellStyle name="Standard 4 2 2 4 4 6 2" xfId="13691" xr:uid="{00000000-0005-0000-0000-00002E360000}"/>
    <cellStyle name="Standard 4 2 2 4 4 7" xfId="13692" xr:uid="{00000000-0005-0000-0000-00002F360000}"/>
    <cellStyle name="Standard 4 2 2 4 4 8" xfId="13693" xr:uid="{00000000-0005-0000-0000-000030360000}"/>
    <cellStyle name="Standard 4 2 2 4 5" xfId="13694" xr:uid="{00000000-0005-0000-0000-000031360000}"/>
    <cellStyle name="Standard 4 2 2 4 5 2" xfId="13695" xr:uid="{00000000-0005-0000-0000-000032360000}"/>
    <cellStyle name="Standard 4 2 2 4 5 2 2" xfId="13696" xr:uid="{00000000-0005-0000-0000-000033360000}"/>
    <cellStyle name="Standard 4 2 2 4 5 2 2 2" xfId="13697" xr:uid="{00000000-0005-0000-0000-000034360000}"/>
    <cellStyle name="Standard 4 2 2 4 5 2 2 2 2" xfId="13698" xr:uid="{00000000-0005-0000-0000-000035360000}"/>
    <cellStyle name="Standard 4 2 2 4 5 2 2 2 3" xfId="13699" xr:uid="{00000000-0005-0000-0000-000036360000}"/>
    <cellStyle name="Standard 4 2 2 4 5 2 2 3" xfId="13700" xr:uid="{00000000-0005-0000-0000-000037360000}"/>
    <cellStyle name="Standard 4 2 2 4 5 2 2 3 2" xfId="13701" xr:uid="{00000000-0005-0000-0000-000038360000}"/>
    <cellStyle name="Standard 4 2 2 4 5 2 2 3 3" xfId="13702" xr:uid="{00000000-0005-0000-0000-000039360000}"/>
    <cellStyle name="Standard 4 2 2 4 5 2 2 4" xfId="13703" xr:uid="{00000000-0005-0000-0000-00003A360000}"/>
    <cellStyle name="Standard 4 2 2 4 5 2 2 4 2" xfId="13704" xr:uid="{00000000-0005-0000-0000-00003B360000}"/>
    <cellStyle name="Standard 4 2 2 4 5 2 2 5" xfId="13705" xr:uid="{00000000-0005-0000-0000-00003C360000}"/>
    <cellStyle name="Standard 4 2 2 4 5 2 2 6" xfId="13706" xr:uid="{00000000-0005-0000-0000-00003D360000}"/>
    <cellStyle name="Standard 4 2 2 4 5 2 3" xfId="13707" xr:uid="{00000000-0005-0000-0000-00003E360000}"/>
    <cellStyle name="Standard 4 2 2 4 5 2 3 2" xfId="13708" xr:uid="{00000000-0005-0000-0000-00003F360000}"/>
    <cellStyle name="Standard 4 2 2 4 5 2 3 3" xfId="13709" xr:uid="{00000000-0005-0000-0000-000040360000}"/>
    <cellStyle name="Standard 4 2 2 4 5 2 4" xfId="13710" xr:uid="{00000000-0005-0000-0000-000041360000}"/>
    <cellStyle name="Standard 4 2 2 4 5 2 4 2" xfId="13711" xr:uid="{00000000-0005-0000-0000-000042360000}"/>
    <cellStyle name="Standard 4 2 2 4 5 2 4 3" xfId="13712" xr:uid="{00000000-0005-0000-0000-000043360000}"/>
    <cellStyle name="Standard 4 2 2 4 5 2 5" xfId="13713" xr:uid="{00000000-0005-0000-0000-000044360000}"/>
    <cellStyle name="Standard 4 2 2 4 5 2 5 2" xfId="13714" xr:uid="{00000000-0005-0000-0000-000045360000}"/>
    <cellStyle name="Standard 4 2 2 4 5 2 6" xfId="13715" xr:uid="{00000000-0005-0000-0000-000046360000}"/>
    <cellStyle name="Standard 4 2 2 4 5 2 7" xfId="13716" xr:uid="{00000000-0005-0000-0000-000047360000}"/>
    <cellStyle name="Standard 4 2 2 4 5 3" xfId="13717" xr:uid="{00000000-0005-0000-0000-000048360000}"/>
    <cellStyle name="Standard 4 2 2 4 5 3 2" xfId="13718" xr:uid="{00000000-0005-0000-0000-000049360000}"/>
    <cellStyle name="Standard 4 2 2 4 5 3 2 2" xfId="13719" xr:uid="{00000000-0005-0000-0000-00004A360000}"/>
    <cellStyle name="Standard 4 2 2 4 5 3 2 3" xfId="13720" xr:uid="{00000000-0005-0000-0000-00004B360000}"/>
    <cellStyle name="Standard 4 2 2 4 5 3 3" xfId="13721" xr:uid="{00000000-0005-0000-0000-00004C360000}"/>
    <cellStyle name="Standard 4 2 2 4 5 3 3 2" xfId="13722" xr:uid="{00000000-0005-0000-0000-00004D360000}"/>
    <cellStyle name="Standard 4 2 2 4 5 3 3 3" xfId="13723" xr:uid="{00000000-0005-0000-0000-00004E360000}"/>
    <cellStyle name="Standard 4 2 2 4 5 3 4" xfId="13724" xr:uid="{00000000-0005-0000-0000-00004F360000}"/>
    <cellStyle name="Standard 4 2 2 4 5 3 4 2" xfId="13725" xr:uid="{00000000-0005-0000-0000-000050360000}"/>
    <cellStyle name="Standard 4 2 2 4 5 3 5" xfId="13726" xr:uid="{00000000-0005-0000-0000-000051360000}"/>
    <cellStyle name="Standard 4 2 2 4 5 3 6" xfId="13727" xr:uid="{00000000-0005-0000-0000-000052360000}"/>
    <cellStyle name="Standard 4 2 2 4 5 4" xfId="13728" xr:uid="{00000000-0005-0000-0000-000053360000}"/>
    <cellStyle name="Standard 4 2 2 4 5 4 2" xfId="13729" xr:uid="{00000000-0005-0000-0000-000054360000}"/>
    <cellStyle name="Standard 4 2 2 4 5 4 3" xfId="13730" xr:uid="{00000000-0005-0000-0000-000055360000}"/>
    <cellStyle name="Standard 4 2 2 4 5 5" xfId="13731" xr:uid="{00000000-0005-0000-0000-000056360000}"/>
    <cellStyle name="Standard 4 2 2 4 5 5 2" xfId="13732" xr:uid="{00000000-0005-0000-0000-000057360000}"/>
    <cellStyle name="Standard 4 2 2 4 5 5 3" xfId="13733" xr:uid="{00000000-0005-0000-0000-000058360000}"/>
    <cellStyle name="Standard 4 2 2 4 5 6" xfId="13734" xr:uid="{00000000-0005-0000-0000-000059360000}"/>
    <cellStyle name="Standard 4 2 2 4 5 6 2" xfId="13735" xr:uid="{00000000-0005-0000-0000-00005A360000}"/>
    <cellStyle name="Standard 4 2 2 4 5 7" xfId="13736" xr:uid="{00000000-0005-0000-0000-00005B360000}"/>
    <cellStyle name="Standard 4 2 2 4 5 8" xfId="13737" xr:uid="{00000000-0005-0000-0000-00005C360000}"/>
    <cellStyle name="Standard 4 2 2 4 6" xfId="13738" xr:uid="{00000000-0005-0000-0000-00005D360000}"/>
    <cellStyle name="Standard 4 2 2 4 6 2" xfId="13739" xr:uid="{00000000-0005-0000-0000-00005E360000}"/>
    <cellStyle name="Standard 4 2 2 4 6 2 2" xfId="13740" xr:uid="{00000000-0005-0000-0000-00005F360000}"/>
    <cellStyle name="Standard 4 2 2 4 6 2 2 2" xfId="13741" xr:uid="{00000000-0005-0000-0000-000060360000}"/>
    <cellStyle name="Standard 4 2 2 4 6 2 2 3" xfId="13742" xr:uid="{00000000-0005-0000-0000-000061360000}"/>
    <cellStyle name="Standard 4 2 2 4 6 2 3" xfId="13743" xr:uid="{00000000-0005-0000-0000-000062360000}"/>
    <cellStyle name="Standard 4 2 2 4 6 2 3 2" xfId="13744" xr:uid="{00000000-0005-0000-0000-000063360000}"/>
    <cellStyle name="Standard 4 2 2 4 6 2 3 3" xfId="13745" xr:uid="{00000000-0005-0000-0000-000064360000}"/>
    <cellStyle name="Standard 4 2 2 4 6 2 4" xfId="13746" xr:uid="{00000000-0005-0000-0000-000065360000}"/>
    <cellStyle name="Standard 4 2 2 4 6 2 4 2" xfId="13747" xr:uid="{00000000-0005-0000-0000-000066360000}"/>
    <cellStyle name="Standard 4 2 2 4 6 2 5" xfId="13748" xr:uid="{00000000-0005-0000-0000-000067360000}"/>
    <cellStyle name="Standard 4 2 2 4 6 2 6" xfId="13749" xr:uid="{00000000-0005-0000-0000-000068360000}"/>
    <cellStyle name="Standard 4 2 2 4 6 3" xfId="13750" xr:uid="{00000000-0005-0000-0000-000069360000}"/>
    <cellStyle name="Standard 4 2 2 4 6 3 2" xfId="13751" xr:uid="{00000000-0005-0000-0000-00006A360000}"/>
    <cellStyle name="Standard 4 2 2 4 6 3 3" xfId="13752" xr:uid="{00000000-0005-0000-0000-00006B360000}"/>
    <cellStyle name="Standard 4 2 2 4 6 4" xfId="13753" xr:uid="{00000000-0005-0000-0000-00006C360000}"/>
    <cellStyle name="Standard 4 2 2 4 6 4 2" xfId="13754" xr:uid="{00000000-0005-0000-0000-00006D360000}"/>
    <cellStyle name="Standard 4 2 2 4 6 4 3" xfId="13755" xr:uid="{00000000-0005-0000-0000-00006E360000}"/>
    <cellStyle name="Standard 4 2 2 4 6 5" xfId="13756" xr:uid="{00000000-0005-0000-0000-00006F360000}"/>
    <cellStyle name="Standard 4 2 2 4 6 5 2" xfId="13757" xr:uid="{00000000-0005-0000-0000-000070360000}"/>
    <cellStyle name="Standard 4 2 2 4 6 6" xfId="13758" xr:uid="{00000000-0005-0000-0000-000071360000}"/>
    <cellStyle name="Standard 4 2 2 4 6 7" xfId="13759" xr:uid="{00000000-0005-0000-0000-000072360000}"/>
    <cellStyle name="Standard 4 2 2 4 7" xfId="13760" xr:uid="{00000000-0005-0000-0000-000073360000}"/>
    <cellStyle name="Standard 4 2 2 4 7 2" xfId="13761" xr:uid="{00000000-0005-0000-0000-000074360000}"/>
    <cellStyle name="Standard 4 2 2 4 7 2 2" xfId="13762" xr:uid="{00000000-0005-0000-0000-000075360000}"/>
    <cellStyle name="Standard 4 2 2 4 7 2 3" xfId="13763" xr:uid="{00000000-0005-0000-0000-000076360000}"/>
    <cellStyle name="Standard 4 2 2 4 7 3" xfId="13764" xr:uid="{00000000-0005-0000-0000-000077360000}"/>
    <cellStyle name="Standard 4 2 2 4 7 3 2" xfId="13765" xr:uid="{00000000-0005-0000-0000-000078360000}"/>
    <cellStyle name="Standard 4 2 2 4 7 3 3" xfId="13766" xr:uid="{00000000-0005-0000-0000-000079360000}"/>
    <cellStyle name="Standard 4 2 2 4 7 4" xfId="13767" xr:uid="{00000000-0005-0000-0000-00007A360000}"/>
    <cellStyle name="Standard 4 2 2 4 7 4 2" xfId="13768" xr:uid="{00000000-0005-0000-0000-00007B360000}"/>
    <cellStyle name="Standard 4 2 2 4 7 5" xfId="13769" xr:uid="{00000000-0005-0000-0000-00007C360000}"/>
    <cellStyle name="Standard 4 2 2 4 7 6" xfId="13770" xr:uid="{00000000-0005-0000-0000-00007D360000}"/>
    <cellStyle name="Standard 4 2 2 4 8" xfId="13771" xr:uid="{00000000-0005-0000-0000-00007E360000}"/>
    <cellStyle name="Standard 4 2 2 4 8 2" xfId="13772" xr:uid="{00000000-0005-0000-0000-00007F360000}"/>
    <cellStyle name="Standard 4 2 2 4 8 3" xfId="13773" xr:uid="{00000000-0005-0000-0000-000080360000}"/>
    <cellStyle name="Standard 4 2 2 4 9" xfId="13774" xr:uid="{00000000-0005-0000-0000-000081360000}"/>
    <cellStyle name="Standard 4 2 2 4 9 2" xfId="13775" xr:uid="{00000000-0005-0000-0000-000082360000}"/>
    <cellStyle name="Standard 4 2 2 4 9 3" xfId="13776" xr:uid="{00000000-0005-0000-0000-000083360000}"/>
    <cellStyle name="Standard 4 2 2 5" xfId="13777" xr:uid="{00000000-0005-0000-0000-000084360000}"/>
    <cellStyle name="Standard 4 2 2 5 10" xfId="13778" xr:uid="{00000000-0005-0000-0000-000085360000}"/>
    <cellStyle name="Standard 4 2 2 5 11" xfId="13779" xr:uid="{00000000-0005-0000-0000-000086360000}"/>
    <cellStyle name="Standard 4 2 2 5 2" xfId="13780" xr:uid="{00000000-0005-0000-0000-000087360000}"/>
    <cellStyle name="Standard 4 2 2 5 2 10" xfId="13781" xr:uid="{00000000-0005-0000-0000-000088360000}"/>
    <cellStyle name="Standard 4 2 2 5 2 2" xfId="13782" xr:uid="{00000000-0005-0000-0000-000089360000}"/>
    <cellStyle name="Standard 4 2 2 5 2 2 2" xfId="13783" xr:uid="{00000000-0005-0000-0000-00008A360000}"/>
    <cellStyle name="Standard 4 2 2 5 2 2 2 2" xfId="13784" xr:uid="{00000000-0005-0000-0000-00008B360000}"/>
    <cellStyle name="Standard 4 2 2 5 2 2 2 2 2" xfId="13785" xr:uid="{00000000-0005-0000-0000-00008C360000}"/>
    <cellStyle name="Standard 4 2 2 5 2 2 2 2 2 2" xfId="13786" xr:uid="{00000000-0005-0000-0000-00008D360000}"/>
    <cellStyle name="Standard 4 2 2 5 2 2 2 2 2 3" xfId="13787" xr:uid="{00000000-0005-0000-0000-00008E360000}"/>
    <cellStyle name="Standard 4 2 2 5 2 2 2 2 3" xfId="13788" xr:uid="{00000000-0005-0000-0000-00008F360000}"/>
    <cellStyle name="Standard 4 2 2 5 2 2 2 2 3 2" xfId="13789" xr:uid="{00000000-0005-0000-0000-000090360000}"/>
    <cellStyle name="Standard 4 2 2 5 2 2 2 2 3 3" xfId="13790" xr:uid="{00000000-0005-0000-0000-000091360000}"/>
    <cellStyle name="Standard 4 2 2 5 2 2 2 2 4" xfId="13791" xr:uid="{00000000-0005-0000-0000-000092360000}"/>
    <cellStyle name="Standard 4 2 2 5 2 2 2 2 4 2" xfId="13792" xr:uid="{00000000-0005-0000-0000-000093360000}"/>
    <cellStyle name="Standard 4 2 2 5 2 2 2 2 5" xfId="13793" xr:uid="{00000000-0005-0000-0000-000094360000}"/>
    <cellStyle name="Standard 4 2 2 5 2 2 2 2 6" xfId="13794" xr:uid="{00000000-0005-0000-0000-000095360000}"/>
    <cellStyle name="Standard 4 2 2 5 2 2 2 3" xfId="13795" xr:uid="{00000000-0005-0000-0000-000096360000}"/>
    <cellStyle name="Standard 4 2 2 5 2 2 2 3 2" xfId="13796" xr:uid="{00000000-0005-0000-0000-000097360000}"/>
    <cellStyle name="Standard 4 2 2 5 2 2 2 3 3" xfId="13797" xr:uid="{00000000-0005-0000-0000-000098360000}"/>
    <cellStyle name="Standard 4 2 2 5 2 2 2 4" xfId="13798" xr:uid="{00000000-0005-0000-0000-000099360000}"/>
    <cellStyle name="Standard 4 2 2 5 2 2 2 4 2" xfId="13799" xr:uid="{00000000-0005-0000-0000-00009A360000}"/>
    <cellStyle name="Standard 4 2 2 5 2 2 2 4 3" xfId="13800" xr:uid="{00000000-0005-0000-0000-00009B360000}"/>
    <cellStyle name="Standard 4 2 2 5 2 2 2 5" xfId="13801" xr:uid="{00000000-0005-0000-0000-00009C360000}"/>
    <cellStyle name="Standard 4 2 2 5 2 2 2 5 2" xfId="13802" xr:uid="{00000000-0005-0000-0000-00009D360000}"/>
    <cellStyle name="Standard 4 2 2 5 2 2 2 6" xfId="13803" xr:uid="{00000000-0005-0000-0000-00009E360000}"/>
    <cellStyle name="Standard 4 2 2 5 2 2 2 7" xfId="13804" xr:uid="{00000000-0005-0000-0000-00009F360000}"/>
    <cellStyle name="Standard 4 2 2 5 2 2 3" xfId="13805" xr:uid="{00000000-0005-0000-0000-0000A0360000}"/>
    <cellStyle name="Standard 4 2 2 5 2 2 3 2" xfId="13806" xr:uid="{00000000-0005-0000-0000-0000A1360000}"/>
    <cellStyle name="Standard 4 2 2 5 2 2 3 2 2" xfId="13807" xr:uid="{00000000-0005-0000-0000-0000A2360000}"/>
    <cellStyle name="Standard 4 2 2 5 2 2 3 2 3" xfId="13808" xr:uid="{00000000-0005-0000-0000-0000A3360000}"/>
    <cellStyle name="Standard 4 2 2 5 2 2 3 3" xfId="13809" xr:uid="{00000000-0005-0000-0000-0000A4360000}"/>
    <cellStyle name="Standard 4 2 2 5 2 2 3 3 2" xfId="13810" xr:uid="{00000000-0005-0000-0000-0000A5360000}"/>
    <cellStyle name="Standard 4 2 2 5 2 2 3 3 3" xfId="13811" xr:uid="{00000000-0005-0000-0000-0000A6360000}"/>
    <cellStyle name="Standard 4 2 2 5 2 2 3 4" xfId="13812" xr:uid="{00000000-0005-0000-0000-0000A7360000}"/>
    <cellStyle name="Standard 4 2 2 5 2 2 3 4 2" xfId="13813" xr:uid="{00000000-0005-0000-0000-0000A8360000}"/>
    <cellStyle name="Standard 4 2 2 5 2 2 3 5" xfId="13814" xr:uid="{00000000-0005-0000-0000-0000A9360000}"/>
    <cellStyle name="Standard 4 2 2 5 2 2 3 6" xfId="13815" xr:uid="{00000000-0005-0000-0000-0000AA360000}"/>
    <cellStyle name="Standard 4 2 2 5 2 2 4" xfId="13816" xr:uid="{00000000-0005-0000-0000-0000AB360000}"/>
    <cellStyle name="Standard 4 2 2 5 2 2 4 2" xfId="13817" xr:uid="{00000000-0005-0000-0000-0000AC360000}"/>
    <cellStyle name="Standard 4 2 2 5 2 2 4 3" xfId="13818" xr:uid="{00000000-0005-0000-0000-0000AD360000}"/>
    <cellStyle name="Standard 4 2 2 5 2 2 5" xfId="13819" xr:uid="{00000000-0005-0000-0000-0000AE360000}"/>
    <cellStyle name="Standard 4 2 2 5 2 2 5 2" xfId="13820" xr:uid="{00000000-0005-0000-0000-0000AF360000}"/>
    <cellStyle name="Standard 4 2 2 5 2 2 5 3" xfId="13821" xr:uid="{00000000-0005-0000-0000-0000B0360000}"/>
    <cellStyle name="Standard 4 2 2 5 2 2 6" xfId="13822" xr:uid="{00000000-0005-0000-0000-0000B1360000}"/>
    <cellStyle name="Standard 4 2 2 5 2 2 6 2" xfId="13823" xr:uid="{00000000-0005-0000-0000-0000B2360000}"/>
    <cellStyle name="Standard 4 2 2 5 2 2 7" xfId="13824" xr:uid="{00000000-0005-0000-0000-0000B3360000}"/>
    <cellStyle name="Standard 4 2 2 5 2 2 8" xfId="13825" xr:uid="{00000000-0005-0000-0000-0000B4360000}"/>
    <cellStyle name="Standard 4 2 2 5 2 3" xfId="13826" xr:uid="{00000000-0005-0000-0000-0000B5360000}"/>
    <cellStyle name="Standard 4 2 2 5 2 3 2" xfId="13827" xr:uid="{00000000-0005-0000-0000-0000B6360000}"/>
    <cellStyle name="Standard 4 2 2 5 2 3 2 2" xfId="13828" xr:uid="{00000000-0005-0000-0000-0000B7360000}"/>
    <cellStyle name="Standard 4 2 2 5 2 3 2 2 2" xfId="13829" xr:uid="{00000000-0005-0000-0000-0000B8360000}"/>
    <cellStyle name="Standard 4 2 2 5 2 3 2 2 2 2" xfId="13830" xr:uid="{00000000-0005-0000-0000-0000B9360000}"/>
    <cellStyle name="Standard 4 2 2 5 2 3 2 2 2 3" xfId="13831" xr:uid="{00000000-0005-0000-0000-0000BA360000}"/>
    <cellStyle name="Standard 4 2 2 5 2 3 2 2 3" xfId="13832" xr:uid="{00000000-0005-0000-0000-0000BB360000}"/>
    <cellStyle name="Standard 4 2 2 5 2 3 2 2 3 2" xfId="13833" xr:uid="{00000000-0005-0000-0000-0000BC360000}"/>
    <cellStyle name="Standard 4 2 2 5 2 3 2 2 3 3" xfId="13834" xr:uid="{00000000-0005-0000-0000-0000BD360000}"/>
    <cellStyle name="Standard 4 2 2 5 2 3 2 2 4" xfId="13835" xr:uid="{00000000-0005-0000-0000-0000BE360000}"/>
    <cellStyle name="Standard 4 2 2 5 2 3 2 2 4 2" xfId="13836" xr:uid="{00000000-0005-0000-0000-0000BF360000}"/>
    <cellStyle name="Standard 4 2 2 5 2 3 2 2 5" xfId="13837" xr:uid="{00000000-0005-0000-0000-0000C0360000}"/>
    <cellStyle name="Standard 4 2 2 5 2 3 2 2 6" xfId="13838" xr:uid="{00000000-0005-0000-0000-0000C1360000}"/>
    <cellStyle name="Standard 4 2 2 5 2 3 2 3" xfId="13839" xr:uid="{00000000-0005-0000-0000-0000C2360000}"/>
    <cellStyle name="Standard 4 2 2 5 2 3 2 3 2" xfId="13840" xr:uid="{00000000-0005-0000-0000-0000C3360000}"/>
    <cellStyle name="Standard 4 2 2 5 2 3 2 3 3" xfId="13841" xr:uid="{00000000-0005-0000-0000-0000C4360000}"/>
    <cellStyle name="Standard 4 2 2 5 2 3 2 4" xfId="13842" xr:uid="{00000000-0005-0000-0000-0000C5360000}"/>
    <cellStyle name="Standard 4 2 2 5 2 3 2 4 2" xfId="13843" xr:uid="{00000000-0005-0000-0000-0000C6360000}"/>
    <cellStyle name="Standard 4 2 2 5 2 3 2 4 3" xfId="13844" xr:uid="{00000000-0005-0000-0000-0000C7360000}"/>
    <cellStyle name="Standard 4 2 2 5 2 3 2 5" xfId="13845" xr:uid="{00000000-0005-0000-0000-0000C8360000}"/>
    <cellStyle name="Standard 4 2 2 5 2 3 2 5 2" xfId="13846" xr:uid="{00000000-0005-0000-0000-0000C9360000}"/>
    <cellStyle name="Standard 4 2 2 5 2 3 2 6" xfId="13847" xr:uid="{00000000-0005-0000-0000-0000CA360000}"/>
    <cellStyle name="Standard 4 2 2 5 2 3 2 7" xfId="13848" xr:uid="{00000000-0005-0000-0000-0000CB360000}"/>
    <cellStyle name="Standard 4 2 2 5 2 3 3" xfId="13849" xr:uid="{00000000-0005-0000-0000-0000CC360000}"/>
    <cellStyle name="Standard 4 2 2 5 2 3 3 2" xfId="13850" xr:uid="{00000000-0005-0000-0000-0000CD360000}"/>
    <cellStyle name="Standard 4 2 2 5 2 3 3 2 2" xfId="13851" xr:uid="{00000000-0005-0000-0000-0000CE360000}"/>
    <cellStyle name="Standard 4 2 2 5 2 3 3 2 3" xfId="13852" xr:uid="{00000000-0005-0000-0000-0000CF360000}"/>
    <cellStyle name="Standard 4 2 2 5 2 3 3 3" xfId="13853" xr:uid="{00000000-0005-0000-0000-0000D0360000}"/>
    <cellStyle name="Standard 4 2 2 5 2 3 3 3 2" xfId="13854" xr:uid="{00000000-0005-0000-0000-0000D1360000}"/>
    <cellStyle name="Standard 4 2 2 5 2 3 3 3 3" xfId="13855" xr:uid="{00000000-0005-0000-0000-0000D2360000}"/>
    <cellStyle name="Standard 4 2 2 5 2 3 3 4" xfId="13856" xr:uid="{00000000-0005-0000-0000-0000D3360000}"/>
    <cellStyle name="Standard 4 2 2 5 2 3 3 4 2" xfId="13857" xr:uid="{00000000-0005-0000-0000-0000D4360000}"/>
    <cellStyle name="Standard 4 2 2 5 2 3 3 5" xfId="13858" xr:uid="{00000000-0005-0000-0000-0000D5360000}"/>
    <cellStyle name="Standard 4 2 2 5 2 3 3 6" xfId="13859" xr:uid="{00000000-0005-0000-0000-0000D6360000}"/>
    <cellStyle name="Standard 4 2 2 5 2 3 4" xfId="13860" xr:uid="{00000000-0005-0000-0000-0000D7360000}"/>
    <cellStyle name="Standard 4 2 2 5 2 3 4 2" xfId="13861" xr:uid="{00000000-0005-0000-0000-0000D8360000}"/>
    <cellStyle name="Standard 4 2 2 5 2 3 4 3" xfId="13862" xr:uid="{00000000-0005-0000-0000-0000D9360000}"/>
    <cellStyle name="Standard 4 2 2 5 2 3 5" xfId="13863" xr:uid="{00000000-0005-0000-0000-0000DA360000}"/>
    <cellStyle name="Standard 4 2 2 5 2 3 5 2" xfId="13864" xr:uid="{00000000-0005-0000-0000-0000DB360000}"/>
    <cellStyle name="Standard 4 2 2 5 2 3 5 3" xfId="13865" xr:uid="{00000000-0005-0000-0000-0000DC360000}"/>
    <cellStyle name="Standard 4 2 2 5 2 3 6" xfId="13866" xr:uid="{00000000-0005-0000-0000-0000DD360000}"/>
    <cellStyle name="Standard 4 2 2 5 2 3 6 2" xfId="13867" xr:uid="{00000000-0005-0000-0000-0000DE360000}"/>
    <cellStyle name="Standard 4 2 2 5 2 3 7" xfId="13868" xr:uid="{00000000-0005-0000-0000-0000DF360000}"/>
    <cellStyle name="Standard 4 2 2 5 2 3 8" xfId="13869" xr:uid="{00000000-0005-0000-0000-0000E0360000}"/>
    <cellStyle name="Standard 4 2 2 5 2 4" xfId="13870" xr:uid="{00000000-0005-0000-0000-0000E1360000}"/>
    <cellStyle name="Standard 4 2 2 5 2 4 2" xfId="13871" xr:uid="{00000000-0005-0000-0000-0000E2360000}"/>
    <cellStyle name="Standard 4 2 2 5 2 4 2 2" xfId="13872" xr:uid="{00000000-0005-0000-0000-0000E3360000}"/>
    <cellStyle name="Standard 4 2 2 5 2 4 2 2 2" xfId="13873" xr:uid="{00000000-0005-0000-0000-0000E4360000}"/>
    <cellStyle name="Standard 4 2 2 5 2 4 2 2 3" xfId="13874" xr:uid="{00000000-0005-0000-0000-0000E5360000}"/>
    <cellStyle name="Standard 4 2 2 5 2 4 2 3" xfId="13875" xr:uid="{00000000-0005-0000-0000-0000E6360000}"/>
    <cellStyle name="Standard 4 2 2 5 2 4 2 3 2" xfId="13876" xr:uid="{00000000-0005-0000-0000-0000E7360000}"/>
    <cellStyle name="Standard 4 2 2 5 2 4 2 3 3" xfId="13877" xr:uid="{00000000-0005-0000-0000-0000E8360000}"/>
    <cellStyle name="Standard 4 2 2 5 2 4 2 4" xfId="13878" xr:uid="{00000000-0005-0000-0000-0000E9360000}"/>
    <cellStyle name="Standard 4 2 2 5 2 4 2 4 2" xfId="13879" xr:uid="{00000000-0005-0000-0000-0000EA360000}"/>
    <cellStyle name="Standard 4 2 2 5 2 4 2 5" xfId="13880" xr:uid="{00000000-0005-0000-0000-0000EB360000}"/>
    <cellStyle name="Standard 4 2 2 5 2 4 2 6" xfId="13881" xr:uid="{00000000-0005-0000-0000-0000EC360000}"/>
    <cellStyle name="Standard 4 2 2 5 2 4 3" xfId="13882" xr:uid="{00000000-0005-0000-0000-0000ED360000}"/>
    <cellStyle name="Standard 4 2 2 5 2 4 3 2" xfId="13883" xr:uid="{00000000-0005-0000-0000-0000EE360000}"/>
    <cellStyle name="Standard 4 2 2 5 2 4 3 3" xfId="13884" xr:uid="{00000000-0005-0000-0000-0000EF360000}"/>
    <cellStyle name="Standard 4 2 2 5 2 4 4" xfId="13885" xr:uid="{00000000-0005-0000-0000-0000F0360000}"/>
    <cellStyle name="Standard 4 2 2 5 2 4 4 2" xfId="13886" xr:uid="{00000000-0005-0000-0000-0000F1360000}"/>
    <cellStyle name="Standard 4 2 2 5 2 4 4 3" xfId="13887" xr:uid="{00000000-0005-0000-0000-0000F2360000}"/>
    <cellStyle name="Standard 4 2 2 5 2 4 5" xfId="13888" xr:uid="{00000000-0005-0000-0000-0000F3360000}"/>
    <cellStyle name="Standard 4 2 2 5 2 4 5 2" xfId="13889" xr:uid="{00000000-0005-0000-0000-0000F4360000}"/>
    <cellStyle name="Standard 4 2 2 5 2 4 6" xfId="13890" xr:uid="{00000000-0005-0000-0000-0000F5360000}"/>
    <cellStyle name="Standard 4 2 2 5 2 4 7" xfId="13891" xr:uid="{00000000-0005-0000-0000-0000F6360000}"/>
    <cellStyle name="Standard 4 2 2 5 2 5" xfId="13892" xr:uid="{00000000-0005-0000-0000-0000F7360000}"/>
    <cellStyle name="Standard 4 2 2 5 2 5 2" xfId="13893" xr:uid="{00000000-0005-0000-0000-0000F8360000}"/>
    <cellStyle name="Standard 4 2 2 5 2 5 2 2" xfId="13894" xr:uid="{00000000-0005-0000-0000-0000F9360000}"/>
    <cellStyle name="Standard 4 2 2 5 2 5 2 3" xfId="13895" xr:uid="{00000000-0005-0000-0000-0000FA360000}"/>
    <cellStyle name="Standard 4 2 2 5 2 5 3" xfId="13896" xr:uid="{00000000-0005-0000-0000-0000FB360000}"/>
    <cellStyle name="Standard 4 2 2 5 2 5 3 2" xfId="13897" xr:uid="{00000000-0005-0000-0000-0000FC360000}"/>
    <cellStyle name="Standard 4 2 2 5 2 5 3 3" xfId="13898" xr:uid="{00000000-0005-0000-0000-0000FD360000}"/>
    <cellStyle name="Standard 4 2 2 5 2 5 4" xfId="13899" xr:uid="{00000000-0005-0000-0000-0000FE360000}"/>
    <cellStyle name="Standard 4 2 2 5 2 5 4 2" xfId="13900" xr:uid="{00000000-0005-0000-0000-0000FF360000}"/>
    <cellStyle name="Standard 4 2 2 5 2 5 5" xfId="13901" xr:uid="{00000000-0005-0000-0000-000000370000}"/>
    <cellStyle name="Standard 4 2 2 5 2 5 6" xfId="13902" xr:uid="{00000000-0005-0000-0000-000001370000}"/>
    <cellStyle name="Standard 4 2 2 5 2 6" xfId="13903" xr:uid="{00000000-0005-0000-0000-000002370000}"/>
    <cellStyle name="Standard 4 2 2 5 2 6 2" xfId="13904" xr:uid="{00000000-0005-0000-0000-000003370000}"/>
    <cellStyle name="Standard 4 2 2 5 2 6 3" xfId="13905" xr:uid="{00000000-0005-0000-0000-000004370000}"/>
    <cellStyle name="Standard 4 2 2 5 2 7" xfId="13906" xr:uid="{00000000-0005-0000-0000-000005370000}"/>
    <cellStyle name="Standard 4 2 2 5 2 7 2" xfId="13907" xr:uid="{00000000-0005-0000-0000-000006370000}"/>
    <cellStyle name="Standard 4 2 2 5 2 7 3" xfId="13908" xr:uid="{00000000-0005-0000-0000-000007370000}"/>
    <cellStyle name="Standard 4 2 2 5 2 8" xfId="13909" xr:uid="{00000000-0005-0000-0000-000008370000}"/>
    <cellStyle name="Standard 4 2 2 5 2 8 2" xfId="13910" xr:uid="{00000000-0005-0000-0000-000009370000}"/>
    <cellStyle name="Standard 4 2 2 5 2 9" xfId="13911" xr:uid="{00000000-0005-0000-0000-00000A370000}"/>
    <cellStyle name="Standard 4 2 2 5 3" xfId="13912" xr:uid="{00000000-0005-0000-0000-00000B370000}"/>
    <cellStyle name="Standard 4 2 2 5 3 2" xfId="13913" xr:uid="{00000000-0005-0000-0000-00000C370000}"/>
    <cellStyle name="Standard 4 2 2 5 3 2 2" xfId="13914" xr:uid="{00000000-0005-0000-0000-00000D370000}"/>
    <cellStyle name="Standard 4 2 2 5 3 2 2 2" xfId="13915" xr:uid="{00000000-0005-0000-0000-00000E370000}"/>
    <cellStyle name="Standard 4 2 2 5 3 2 2 2 2" xfId="13916" xr:uid="{00000000-0005-0000-0000-00000F370000}"/>
    <cellStyle name="Standard 4 2 2 5 3 2 2 2 3" xfId="13917" xr:uid="{00000000-0005-0000-0000-000010370000}"/>
    <cellStyle name="Standard 4 2 2 5 3 2 2 3" xfId="13918" xr:uid="{00000000-0005-0000-0000-000011370000}"/>
    <cellStyle name="Standard 4 2 2 5 3 2 2 3 2" xfId="13919" xr:uid="{00000000-0005-0000-0000-000012370000}"/>
    <cellStyle name="Standard 4 2 2 5 3 2 2 3 3" xfId="13920" xr:uid="{00000000-0005-0000-0000-000013370000}"/>
    <cellStyle name="Standard 4 2 2 5 3 2 2 4" xfId="13921" xr:uid="{00000000-0005-0000-0000-000014370000}"/>
    <cellStyle name="Standard 4 2 2 5 3 2 2 4 2" xfId="13922" xr:uid="{00000000-0005-0000-0000-000015370000}"/>
    <cellStyle name="Standard 4 2 2 5 3 2 2 5" xfId="13923" xr:uid="{00000000-0005-0000-0000-000016370000}"/>
    <cellStyle name="Standard 4 2 2 5 3 2 2 6" xfId="13924" xr:uid="{00000000-0005-0000-0000-000017370000}"/>
    <cellStyle name="Standard 4 2 2 5 3 2 3" xfId="13925" xr:uid="{00000000-0005-0000-0000-000018370000}"/>
    <cellStyle name="Standard 4 2 2 5 3 2 3 2" xfId="13926" xr:uid="{00000000-0005-0000-0000-000019370000}"/>
    <cellStyle name="Standard 4 2 2 5 3 2 3 3" xfId="13927" xr:uid="{00000000-0005-0000-0000-00001A370000}"/>
    <cellStyle name="Standard 4 2 2 5 3 2 4" xfId="13928" xr:uid="{00000000-0005-0000-0000-00001B370000}"/>
    <cellStyle name="Standard 4 2 2 5 3 2 4 2" xfId="13929" xr:uid="{00000000-0005-0000-0000-00001C370000}"/>
    <cellStyle name="Standard 4 2 2 5 3 2 4 3" xfId="13930" xr:uid="{00000000-0005-0000-0000-00001D370000}"/>
    <cellStyle name="Standard 4 2 2 5 3 2 5" xfId="13931" xr:uid="{00000000-0005-0000-0000-00001E370000}"/>
    <cellStyle name="Standard 4 2 2 5 3 2 5 2" xfId="13932" xr:uid="{00000000-0005-0000-0000-00001F370000}"/>
    <cellStyle name="Standard 4 2 2 5 3 2 6" xfId="13933" xr:uid="{00000000-0005-0000-0000-000020370000}"/>
    <cellStyle name="Standard 4 2 2 5 3 2 7" xfId="13934" xr:uid="{00000000-0005-0000-0000-000021370000}"/>
    <cellStyle name="Standard 4 2 2 5 3 3" xfId="13935" xr:uid="{00000000-0005-0000-0000-000022370000}"/>
    <cellStyle name="Standard 4 2 2 5 3 3 2" xfId="13936" xr:uid="{00000000-0005-0000-0000-000023370000}"/>
    <cellStyle name="Standard 4 2 2 5 3 3 2 2" xfId="13937" xr:uid="{00000000-0005-0000-0000-000024370000}"/>
    <cellStyle name="Standard 4 2 2 5 3 3 2 3" xfId="13938" xr:uid="{00000000-0005-0000-0000-000025370000}"/>
    <cellStyle name="Standard 4 2 2 5 3 3 3" xfId="13939" xr:uid="{00000000-0005-0000-0000-000026370000}"/>
    <cellStyle name="Standard 4 2 2 5 3 3 3 2" xfId="13940" xr:uid="{00000000-0005-0000-0000-000027370000}"/>
    <cellStyle name="Standard 4 2 2 5 3 3 3 3" xfId="13941" xr:uid="{00000000-0005-0000-0000-000028370000}"/>
    <cellStyle name="Standard 4 2 2 5 3 3 4" xfId="13942" xr:uid="{00000000-0005-0000-0000-000029370000}"/>
    <cellStyle name="Standard 4 2 2 5 3 3 4 2" xfId="13943" xr:uid="{00000000-0005-0000-0000-00002A370000}"/>
    <cellStyle name="Standard 4 2 2 5 3 3 5" xfId="13944" xr:uid="{00000000-0005-0000-0000-00002B370000}"/>
    <cellStyle name="Standard 4 2 2 5 3 3 6" xfId="13945" xr:uid="{00000000-0005-0000-0000-00002C370000}"/>
    <cellStyle name="Standard 4 2 2 5 3 4" xfId="13946" xr:uid="{00000000-0005-0000-0000-00002D370000}"/>
    <cellStyle name="Standard 4 2 2 5 3 4 2" xfId="13947" xr:uid="{00000000-0005-0000-0000-00002E370000}"/>
    <cellStyle name="Standard 4 2 2 5 3 4 3" xfId="13948" xr:uid="{00000000-0005-0000-0000-00002F370000}"/>
    <cellStyle name="Standard 4 2 2 5 3 5" xfId="13949" xr:uid="{00000000-0005-0000-0000-000030370000}"/>
    <cellStyle name="Standard 4 2 2 5 3 5 2" xfId="13950" xr:uid="{00000000-0005-0000-0000-000031370000}"/>
    <cellStyle name="Standard 4 2 2 5 3 5 3" xfId="13951" xr:uid="{00000000-0005-0000-0000-000032370000}"/>
    <cellStyle name="Standard 4 2 2 5 3 6" xfId="13952" xr:uid="{00000000-0005-0000-0000-000033370000}"/>
    <cellStyle name="Standard 4 2 2 5 3 6 2" xfId="13953" xr:uid="{00000000-0005-0000-0000-000034370000}"/>
    <cellStyle name="Standard 4 2 2 5 3 7" xfId="13954" xr:uid="{00000000-0005-0000-0000-000035370000}"/>
    <cellStyle name="Standard 4 2 2 5 3 8" xfId="13955" xr:uid="{00000000-0005-0000-0000-000036370000}"/>
    <cellStyle name="Standard 4 2 2 5 4" xfId="13956" xr:uid="{00000000-0005-0000-0000-000037370000}"/>
    <cellStyle name="Standard 4 2 2 5 4 2" xfId="13957" xr:uid="{00000000-0005-0000-0000-000038370000}"/>
    <cellStyle name="Standard 4 2 2 5 4 2 2" xfId="13958" xr:uid="{00000000-0005-0000-0000-000039370000}"/>
    <cellStyle name="Standard 4 2 2 5 4 2 2 2" xfId="13959" xr:uid="{00000000-0005-0000-0000-00003A370000}"/>
    <cellStyle name="Standard 4 2 2 5 4 2 2 2 2" xfId="13960" xr:uid="{00000000-0005-0000-0000-00003B370000}"/>
    <cellStyle name="Standard 4 2 2 5 4 2 2 2 3" xfId="13961" xr:uid="{00000000-0005-0000-0000-00003C370000}"/>
    <cellStyle name="Standard 4 2 2 5 4 2 2 3" xfId="13962" xr:uid="{00000000-0005-0000-0000-00003D370000}"/>
    <cellStyle name="Standard 4 2 2 5 4 2 2 3 2" xfId="13963" xr:uid="{00000000-0005-0000-0000-00003E370000}"/>
    <cellStyle name="Standard 4 2 2 5 4 2 2 3 3" xfId="13964" xr:uid="{00000000-0005-0000-0000-00003F370000}"/>
    <cellStyle name="Standard 4 2 2 5 4 2 2 4" xfId="13965" xr:uid="{00000000-0005-0000-0000-000040370000}"/>
    <cellStyle name="Standard 4 2 2 5 4 2 2 4 2" xfId="13966" xr:uid="{00000000-0005-0000-0000-000041370000}"/>
    <cellStyle name="Standard 4 2 2 5 4 2 2 5" xfId="13967" xr:uid="{00000000-0005-0000-0000-000042370000}"/>
    <cellStyle name="Standard 4 2 2 5 4 2 2 6" xfId="13968" xr:uid="{00000000-0005-0000-0000-000043370000}"/>
    <cellStyle name="Standard 4 2 2 5 4 2 3" xfId="13969" xr:uid="{00000000-0005-0000-0000-000044370000}"/>
    <cellStyle name="Standard 4 2 2 5 4 2 3 2" xfId="13970" xr:uid="{00000000-0005-0000-0000-000045370000}"/>
    <cellStyle name="Standard 4 2 2 5 4 2 3 3" xfId="13971" xr:uid="{00000000-0005-0000-0000-000046370000}"/>
    <cellStyle name="Standard 4 2 2 5 4 2 4" xfId="13972" xr:uid="{00000000-0005-0000-0000-000047370000}"/>
    <cellStyle name="Standard 4 2 2 5 4 2 4 2" xfId="13973" xr:uid="{00000000-0005-0000-0000-000048370000}"/>
    <cellStyle name="Standard 4 2 2 5 4 2 4 3" xfId="13974" xr:uid="{00000000-0005-0000-0000-000049370000}"/>
    <cellStyle name="Standard 4 2 2 5 4 2 5" xfId="13975" xr:uid="{00000000-0005-0000-0000-00004A370000}"/>
    <cellStyle name="Standard 4 2 2 5 4 2 5 2" xfId="13976" xr:uid="{00000000-0005-0000-0000-00004B370000}"/>
    <cellStyle name="Standard 4 2 2 5 4 2 6" xfId="13977" xr:uid="{00000000-0005-0000-0000-00004C370000}"/>
    <cellStyle name="Standard 4 2 2 5 4 2 7" xfId="13978" xr:uid="{00000000-0005-0000-0000-00004D370000}"/>
    <cellStyle name="Standard 4 2 2 5 4 3" xfId="13979" xr:uid="{00000000-0005-0000-0000-00004E370000}"/>
    <cellStyle name="Standard 4 2 2 5 4 3 2" xfId="13980" xr:uid="{00000000-0005-0000-0000-00004F370000}"/>
    <cellStyle name="Standard 4 2 2 5 4 3 2 2" xfId="13981" xr:uid="{00000000-0005-0000-0000-000050370000}"/>
    <cellStyle name="Standard 4 2 2 5 4 3 2 3" xfId="13982" xr:uid="{00000000-0005-0000-0000-000051370000}"/>
    <cellStyle name="Standard 4 2 2 5 4 3 3" xfId="13983" xr:uid="{00000000-0005-0000-0000-000052370000}"/>
    <cellStyle name="Standard 4 2 2 5 4 3 3 2" xfId="13984" xr:uid="{00000000-0005-0000-0000-000053370000}"/>
    <cellStyle name="Standard 4 2 2 5 4 3 3 3" xfId="13985" xr:uid="{00000000-0005-0000-0000-000054370000}"/>
    <cellStyle name="Standard 4 2 2 5 4 3 4" xfId="13986" xr:uid="{00000000-0005-0000-0000-000055370000}"/>
    <cellStyle name="Standard 4 2 2 5 4 3 4 2" xfId="13987" xr:uid="{00000000-0005-0000-0000-000056370000}"/>
    <cellStyle name="Standard 4 2 2 5 4 3 5" xfId="13988" xr:uid="{00000000-0005-0000-0000-000057370000}"/>
    <cellStyle name="Standard 4 2 2 5 4 3 6" xfId="13989" xr:uid="{00000000-0005-0000-0000-000058370000}"/>
    <cellStyle name="Standard 4 2 2 5 4 4" xfId="13990" xr:uid="{00000000-0005-0000-0000-000059370000}"/>
    <cellStyle name="Standard 4 2 2 5 4 4 2" xfId="13991" xr:uid="{00000000-0005-0000-0000-00005A370000}"/>
    <cellStyle name="Standard 4 2 2 5 4 4 3" xfId="13992" xr:uid="{00000000-0005-0000-0000-00005B370000}"/>
    <cellStyle name="Standard 4 2 2 5 4 5" xfId="13993" xr:uid="{00000000-0005-0000-0000-00005C370000}"/>
    <cellStyle name="Standard 4 2 2 5 4 5 2" xfId="13994" xr:uid="{00000000-0005-0000-0000-00005D370000}"/>
    <cellStyle name="Standard 4 2 2 5 4 5 3" xfId="13995" xr:uid="{00000000-0005-0000-0000-00005E370000}"/>
    <cellStyle name="Standard 4 2 2 5 4 6" xfId="13996" xr:uid="{00000000-0005-0000-0000-00005F370000}"/>
    <cellStyle name="Standard 4 2 2 5 4 6 2" xfId="13997" xr:uid="{00000000-0005-0000-0000-000060370000}"/>
    <cellStyle name="Standard 4 2 2 5 4 7" xfId="13998" xr:uid="{00000000-0005-0000-0000-000061370000}"/>
    <cellStyle name="Standard 4 2 2 5 4 8" xfId="13999" xr:uid="{00000000-0005-0000-0000-000062370000}"/>
    <cellStyle name="Standard 4 2 2 5 5" xfId="14000" xr:uid="{00000000-0005-0000-0000-000063370000}"/>
    <cellStyle name="Standard 4 2 2 5 5 2" xfId="14001" xr:uid="{00000000-0005-0000-0000-000064370000}"/>
    <cellStyle name="Standard 4 2 2 5 5 2 2" xfId="14002" xr:uid="{00000000-0005-0000-0000-000065370000}"/>
    <cellStyle name="Standard 4 2 2 5 5 2 2 2" xfId="14003" xr:uid="{00000000-0005-0000-0000-000066370000}"/>
    <cellStyle name="Standard 4 2 2 5 5 2 2 3" xfId="14004" xr:uid="{00000000-0005-0000-0000-000067370000}"/>
    <cellStyle name="Standard 4 2 2 5 5 2 3" xfId="14005" xr:uid="{00000000-0005-0000-0000-000068370000}"/>
    <cellStyle name="Standard 4 2 2 5 5 2 3 2" xfId="14006" xr:uid="{00000000-0005-0000-0000-000069370000}"/>
    <cellStyle name="Standard 4 2 2 5 5 2 3 3" xfId="14007" xr:uid="{00000000-0005-0000-0000-00006A370000}"/>
    <cellStyle name="Standard 4 2 2 5 5 2 4" xfId="14008" xr:uid="{00000000-0005-0000-0000-00006B370000}"/>
    <cellStyle name="Standard 4 2 2 5 5 2 4 2" xfId="14009" xr:uid="{00000000-0005-0000-0000-00006C370000}"/>
    <cellStyle name="Standard 4 2 2 5 5 2 5" xfId="14010" xr:uid="{00000000-0005-0000-0000-00006D370000}"/>
    <cellStyle name="Standard 4 2 2 5 5 2 6" xfId="14011" xr:uid="{00000000-0005-0000-0000-00006E370000}"/>
    <cellStyle name="Standard 4 2 2 5 5 3" xfId="14012" xr:uid="{00000000-0005-0000-0000-00006F370000}"/>
    <cellStyle name="Standard 4 2 2 5 5 3 2" xfId="14013" xr:uid="{00000000-0005-0000-0000-000070370000}"/>
    <cellStyle name="Standard 4 2 2 5 5 3 3" xfId="14014" xr:uid="{00000000-0005-0000-0000-000071370000}"/>
    <cellStyle name="Standard 4 2 2 5 5 4" xfId="14015" xr:uid="{00000000-0005-0000-0000-000072370000}"/>
    <cellStyle name="Standard 4 2 2 5 5 4 2" xfId="14016" xr:uid="{00000000-0005-0000-0000-000073370000}"/>
    <cellStyle name="Standard 4 2 2 5 5 4 3" xfId="14017" xr:uid="{00000000-0005-0000-0000-000074370000}"/>
    <cellStyle name="Standard 4 2 2 5 5 5" xfId="14018" xr:uid="{00000000-0005-0000-0000-000075370000}"/>
    <cellStyle name="Standard 4 2 2 5 5 5 2" xfId="14019" xr:uid="{00000000-0005-0000-0000-000076370000}"/>
    <cellStyle name="Standard 4 2 2 5 5 6" xfId="14020" xr:uid="{00000000-0005-0000-0000-000077370000}"/>
    <cellStyle name="Standard 4 2 2 5 5 7" xfId="14021" xr:uid="{00000000-0005-0000-0000-000078370000}"/>
    <cellStyle name="Standard 4 2 2 5 6" xfId="14022" xr:uid="{00000000-0005-0000-0000-000079370000}"/>
    <cellStyle name="Standard 4 2 2 5 6 2" xfId="14023" xr:uid="{00000000-0005-0000-0000-00007A370000}"/>
    <cellStyle name="Standard 4 2 2 5 6 2 2" xfId="14024" xr:uid="{00000000-0005-0000-0000-00007B370000}"/>
    <cellStyle name="Standard 4 2 2 5 6 2 3" xfId="14025" xr:uid="{00000000-0005-0000-0000-00007C370000}"/>
    <cellStyle name="Standard 4 2 2 5 6 3" xfId="14026" xr:uid="{00000000-0005-0000-0000-00007D370000}"/>
    <cellStyle name="Standard 4 2 2 5 6 3 2" xfId="14027" xr:uid="{00000000-0005-0000-0000-00007E370000}"/>
    <cellStyle name="Standard 4 2 2 5 6 3 3" xfId="14028" xr:uid="{00000000-0005-0000-0000-00007F370000}"/>
    <cellStyle name="Standard 4 2 2 5 6 4" xfId="14029" xr:uid="{00000000-0005-0000-0000-000080370000}"/>
    <cellStyle name="Standard 4 2 2 5 6 4 2" xfId="14030" xr:uid="{00000000-0005-0000-0000-000081370000}"/>
    <cellStyle name="Standard 4 2 2 5 6 5" xfId="14031" xr:uid="{00000000-0005-0000-0000-000082370000}"/>
    <cellStyle name="Standard 4 2 2 5 6 6" xfId="14032" xr:uid="{00000000-0005-0000-0000-000083370000}"/>
    <cellStyle name="Standard 4 2 2 5 7" xfId="14033" xr:uid="{00000000-0005-0000-0000-000084370000}"/>
    <cellStyle name="Standard 4 2 2 5 7 2" xfId="14034" xr:uid="{00000000-0005-0000-0000-000085370000}"/>
    <cellStyle name="Standard 4 2 2 5 7 3" xfId="14035" xr:uid="{00000000-0005-0000-0000-000086370000}"/>
    <cellStyle name="Standard 4 2 2 5 8" xfId="14036" xr:uid="{00000000-0005-0000-0000-000087370000}"/>
    <cellStyle name="Standard 4 2 2 5 8 2" xfId="14037" xr:uid="{00000000-0005-0000-0000-000088370000}"/>
    <cellStyle name="Standard 4 2 2 5 8 3" xfId="14038" xr:uid="{00000000-0005-0000-0000-000089370000}"/>
    <cellStyle name="Standard 4 2 2 5 9" xfId="14039" xr:uid="{00000000-0005-0000-0000-00008A370000}"/>
    <cellStyle name="Standard 4 2 2 5 9 2" xfId="14040" xr:uid="{00000000-0005-0000-0000-00008B370000}"/>
    <cellStyle name="Standard 4 2 2 6" xfId="14041" xr:uid="{00000000-0005-0000-0000-00008C370000}"/>
    <cellStyle name="Standard 4 2 2 6 10" xfId="14042" xr:uid="{00000000-0005-0000-0000-00008D370000}"/>
    <cellStyle name="Standard 4 2 2 6 11" xfId="14043" xr:uid="{00000000-0005-0000-0000-00008E370000}"/>
    <cellStyle name="Standard 4 2 2 6 2" xfId="14044" xr:uid="{00000000-0005-0000-0000-00008F370000}"/>
    <cellStyle name="Standard 4 2 2 6 2 10" xfId="14045" xr:uid="{00000000-0005-0000-0000-000090370000}"/>
    <cellStyle name="Standard 4 2 2 6 2 2" xfId="14046" xr:uid="{00000000-0005-0000-0000-000091370000}"/>
    <cellStyle name="Standard 4 2 2 6 2 2 2" xfId="14047" xr:uid="{00000000-0005-0000-0000-000092370000}"/>
    <cellStyle name="Standard 4 2 2 6 2 2 2 2" xfId="14048" xr:uid="{00000000-0005-0000-0000-000093370000}"/>
    <cellStyle name="Standard 4 2 2 6 2 2 2 2 2" xfId="14049" xr:uid="{00000000-0005-0000-0000-000094370000}"/>
    <cellStyle name="Standard 4 2 2 6 2 2 2 2 2 2" xfId="14050" xr:uid="{00000000-0005-0000-0000-000095370000}"/>
    <cellStyle name="Standard 4 2 2 6 2 2 2 2 2 3" xfId="14051" xr:uid="{00000000-0005-0000-0000-000096370000}"/>
    <cellStyle name="Standard 4 2 2 6 2 2 2 2 3" xfId="14052" xr:uid="{00000000-0005-0000-0000-000097370000}"/>
    <cellStyle name="Standard 4 2 2 6 2 2 2 2 3 2" xfId="14053" xr:uid="{00000000-0005-0000-0000-000098370000}"/>
    <cellStyle name="Standard 4 2 2 6 2 2 2 2 3 3" xfId="14054" xr:uid="{00000000-0005-0000-0000-000099370000}"/>
    <cellStyle name="Standard 4 2 2 6 2 2 2 2 4" xfId="14055" xr:uid="{00000000-0005-0000-0000-00009A370000}"/>
    <cellStyle name="Standard 4 2 2 6 2 2 2 2 4 2" xfId="14056" xr:uid="{00000000-0005-0000-0000-00009B370000}"/>
    <cellStyle name="Standard 4 2 2 6 2 2 2 2 5" xfId="14057" xr:uid="{00000000-0005-0000-0000-00009C370000}"/>
    <cellStyle name="Standard 4 2 2 6 2 2 2 2 6" xfId="14058" xr:uid="{00000000-0005-0000-0000-00009D370000}"/>
    <cellStyle name="Standard 4 2 2 6 2 2 2 3" xfId="14059" xr:uid="{00000000-0005-0000-0000-00009E370000}"/>
    <cellStyle name="Standard 4 2 2 6 2 2 2 3 2" xfId="14060" xr:uid="{00000000-0005-0000-0000-00009F370000}"/>
    <cellStyle name="Standard 4 2 2 6 2 2 2 3 3" xfId="14061" xr:uid="{00000000-0005-0000-0000-0000A0370000}"/>
    <cellStyle name="Standard 4 2 2 6 2 2 2 4" xfId="14062" xr:uid="{00000000-0005-0000-0000-0000A1370000}"/>
    <cellStyle name="Standard 4 2 2 6 2 2 2 4 2" xfId="14063" xr:uid="{00000000-0005-0000-0000-0000A2370000}"/>
    <cellStyle name="Standard 4 2 2 6 2 2 2 4 3" xfId="14064" xr:uid="{00000000-0005-0000-0000-0000A3370000}"/>
    <cellStyle name="Standard 4 2 2 6 2 2 2 5" xfId="14065" xr:uid="{00000000-0005-0000-0000-0000A4370000}"/>
    <cellStyle name="Standard 4 2 2 6 2 2 2 5 2" xfId="14066" xr:uid="{00000000-0005-0000-0000-0000A5370000}"/>
    <cellStyle name="Standard 4 2 2 6 2 2 2 6" xfId="14067" xr:uid="{00000000-0005-0000-0000-0000A6370000}"/>
    <cellStyle name="Standard 4 2 2 6 2 2 2 7" xfId="14068" xr:uid="{00000000-0005-0000-0000-0000A7370000}"/>
    <cellStyle name="Standard 4 2 2 6 2 2 3" xfId="14069" xr:uid="{00000000-0005-0000-0000-0000A8370000}"/>
    <cellStyle name="Standard 4 2 2 6 2 2 3 2" xfId="14070" xr:uid="{00000000-0005-0000-0000-0000A9370000}"/>
    <cellStyle name="Standard 4 2 2 6 2 2 3 2 2" xfId="14071" xr:uid="{00000000-0005-0000-0000-0000AA370000}"/>
    <cellStyle name="Standard 4 2 2 6 2 2 3 2 3" xfId="14072" xr:uid="{00000000-0005-0000-0000-0000AB370000}"/>
    <cellStyle name="Standard 4 2 2 6 2 2 3 3" xfId="14073" xr:uid="{00000000-0005-0000-0000-0000AC370000}"/>
    <cellStyle name="Standard 4 2 2 6 2 2 3 3 2" xfId="14074" xr:uid="{00000000-0005-0000-0000-0000AD370000}"/>
    <cellStyle name="Standard 4 2 2 6 2 2 3 3 3" xfId="14075" xr:uid="{00000000-0005-0000-0000-0000AE370000}"/>
    <cellStyle name="Standard 4 2 2 6 2 2 3 4" xfId="14076" xr:uid="{00000000-0005-0000-0000-0000AF370000}"/>
    <cellStyle name="Standard 4 2 2 6 2 2 3 4 2" xfId="14077" xr:uid="{00000000-0005-0000-0000-0000B0370000}"/>
    <cellStyle name="Standard 4 2 2 6 2 2 3 5" xfId="14078" xr:uid="{00000000-0005-0000-0000-0000B1370000}"/>
    <cellStyle name="Standard 4 2 2 6 2 2 3 6" xfId="14079" xr:uid="{00000000-0005-0000-0000-0000B2370000}"/>
    <cellStyle name="Standard 4 2 2 6 2 2 4" xfId="14080" xr:uid="{00000000-0005-0000-0000-0000B3370000}"/>
    <cellStyle name="Standard 4 2 2 6 2 2 4 2" xfId="14081" xr:uid="{00000000-0005-0000-0000-0000B4370000}"/>
    <cellStyle name="Standard 4 2 2 6 2 2 4 3" xfId="14082" xr:uid="{00000000-0005-0000-0000-0000B5370000}"/>
    <cellStyle name="Standard 4 2 2 6 2 2 5" xfId="14083" xr:uid="{00000000-0005-0000-0000-0000B6370000}"/>
    <cellStyle name="Standard 4 2 2 6 2 2 5 2" xfId="14084" xr:uid="{00000000-0005-0000-0000-0000B7370000}"/>
    <cellStyle name="Standard 4 2 2 6 2 2 5 3" xfId="14085" xr:uid="{00000000-0005-0000-0000-0000B8370000}"/>
    <cellStyle name="Standard 4 2 2 6 2 2 6" xfId="14086" xr:uid="{00000000-0005-0000-0000-0000B9370000}"/>
    <cellStyle name="Standard 4 2 2 6 2 2 6 2" xfId="14087" xr:uid="{00000000-0005-0000-0000-0000BA370000}"/>
    <cellStyle name="Standard 4 2 2 6 2 2 7" xfId="14088" xr:uid="{00000000-0005-0000-0000-0000BB370000}"/>
    <cellStyle name="Standard 4 2 2 6 2 2 8" xfId="14089" xr:uid="{00000000-0005-0000-0000-0000BC370000}"/>
    <cellStyle name="Standard 4 2 2 6 2 3" xfId="14090" xr:uid="{00000000-0005-0000-0000-0000BD370000}"/>
    <cellStyle name="Standard 4 2 2 6 2 3 2" xfId="14091" xr:uid="{00000000-0005-0000-0000-0000BE370000}"/>
    <cellStyle name="Standard 4 2 2 6 2 3 2 2" xfId="14092" xr:uid="{00000000-0005-0000-0000-0000BF370000}"/>
    <cellStyle name="Standard 4 2 2 6 2 3 2 2 2" xfId="14093" xr:uid="{00000000-0005-0000-0000-0000C0370000}"/>
    <cellStyle name="Standard 4 2 2 6 2 3 2 2 2 2" xfId="14094" xr:uid="{00000000-0005-0000-0000-0000C1370000}"/>
    <cellStyle name="Standard 4 2 2 6 2 3 2 2 2 3" xfId="14095" xr:uid="{00000000-0005-0000-0000-0000C2370000}"/>
    <cellStyle name="Standard 4 2 2 6 2 3 2 2 3" xfId="14096" xr:uid="{00000000-0005-0000-0000-0000C3370000}"/>
    <cellStyle name="Standard 4 2 2 6 2 3 2 2 3 2" xfId="14097" xr:uid="{00000000-0005-0000-0000-0000C4370000}"/>
    <cellStyle name="Standard 4 2 2 6 2 3 2 2 3 3" xfId="14098" xr:uid="{00000000-0005-0000-0000-0000C5370000}"/>
    <cellStyle name="Standard 4 2 2 6 2 3 2 2 4" xfId="14099" xr:uid="{00000000-0005-0000-0000-0000C6370000}"/>
    <cellStyle name="Standard 4 2 2 6 2 3 2 2 4 2" xfId="14100" xr:uid="{00000000-0005-0000-0000-0000C7370000}"/>
    <cellStyle name="Standard 4 2 2 6 2 3 2 2 5" xfId="14101" xr:uid="{00000000-0005-0000-0000-0000C8370000}"/>
    <cellStyle name="Standard 4 2 2 6 2 3 2 2 6" xfId="14102" xr:uid="{00000000-0005-0000-0000-0000C9370000}"/>
    <cellStyle name="Standard 4 2 2 6 2 3 2 3" xfId="14103" xr:uid="{00000000-0005-0000-0000-0000CA370000}"/>
    <cellStyle name="Standard 4 2 2 6 2 3 2 3 2" xfId="14104" xr:uid="{00000000-0005-0000-0000-0000CB370000}"/>
    <cellStyle name="Standard 4 2 2 6 2 3 2 3 3" xfId="14105" xr:uid="{00000000-0005-0000-0000-0000CC370000}"/>
    <cellStyle name="Standard 4 2 2 6 2 3 2 4" xfId="14106" xr:uid="{00000000-0005-0000-0000-0000CD370000}"/>
    <cellStyle name="Standard 4 2 2 6 2 3 2 4 2" xfId="14107" xr:uid="{00000000-0005-0000-0000-0000CE370000}"/>
    <cellStyle name="Standard 4 2 2 6 2 3 2 4 3" xfId="14108" xr:uid="{00000000-0005-0000-0000-0000CF370000}"/>
    <cellStyle name="Standard 4 2 2 6 2 3 2 5" xfId="14109" xr:uid="{00000000-0005-0000-0000-0000D0370000}"/>
    <cellStyle name="Standard 4 2 2 6 2 3 2 5 2" xfId="14110" xr:uid="{00000000-0005-0000-0000-0000D1370000}"/>
    <cellStyle name="Standard 4 2 2 6 2 3 2 6" xfId="14111" xr:uid="{00000000-0005-0000-0000-0000D2370000}"/>
    <cellStyle name="Standard 4 2 2 6 2 3 2 7" xfId="14112" xr:uid="{00000000-0005-0000-0000-0000D3370000}"/>
    <cellStyle name="Standard 4 2 2 6 2 3 3" xfId="14113" xr:uid="{00000000-0005-0000-0000-0000D4370000}"/>
    <cellStyle name="Standard 4 2 2 6 2 3 3 2" xfId="14114" xr:uid="{00000000-0005-0000-0000-0000D5370000}"/>
    <cellStyle name="Standard 4 2 2 6 2 3 3 2 2" xfId="14115" xr:uid="{00000000-0005-0000-0000-0000D6370000}"/>
    <cellStyle name="Standard 4 2 2 6 2 3 3 2 3" xfId="14116" xr:uid="{00000000-0005-0000-0000-0000D7370000}"/>
    <cellStyle name="Standard 4 2 2 6 2 3 3 3" xfId="14117" xr:uid="{00000000-0005-0000-0000-0000D8370000}"/>
    <cellStyle name="Standard 4 2 2 6 2 3 3 3 2" xfId="14118" xr:uid="{00000000-0005-0000-0000-0000D9370000}"/>
    <cellStyle name="Standard 4 2 2 6 2 3 3 3 3" xfId="14119" xr:uid="{00000000-0005-0000-0000-0000DA370000}"/>
    <cellStyle name="Standard 4 2 2 6 2 3 3 4" xfId="14120" xr:uid="{00000000-0005-0000-0000-0000DB370000}"/>
    <cellStyle name="Standard 4 2 2 6 2 3 3 4 2" xfId="14121" xr:uid="{00000000-0005-0000-0000-0000DC370000}"/>
    <cellStyle name="Standard 4 2 2 6 2 3 3 5" xfId="14122" xr:uid="{00000000-0005-0000-0000-0000DD370000}"/>
    <cellStyle name="Standard 4 2 2 6 2 3 3 6" xfId="14123" xr:uid="{00000000-0005-0000-0000-0000DE370000}"/>
    <cellStyle name="Standard 4 2 2 6 2 3 4" xfId="14124" xr:uid="{00000000-0005-0000-0000-0000DF370000}"/>
    <cellStyle name="Standard 4 2 2 6 2 3 4 2" xfId="14125" xr:uid="{00000000-0005-0000-0000-0000E0370000}"/>
    <cellStyle name="Standard 4 2 2 6 2 3 4 3" xfId="14126" xr:uid="{00000000-0005-0000-0000-0000E1370000}"/>
    <cellStyle name="Standard 4 2 2 6 2 3 5" xfId="14127" xr:uid="{00000000-0005-0000-0000-0000E2370000}"/>
    <cellStyle name="Standard 4 2 2 6 2 3 5 2" xfId="14128" xr:uid="{00000000-0005-0000-0000-0000E3370000}"/>
    <cellStyle name="Standard 4 2 2 6 2 3 5 3" xfId="14129" xr:uid="{00000000-0005-0000-0000-0000E4370000}"/>
    <cellStyle name="Standard 4 2 2 6 2 3 6" xfId="14130" xr:uid="{00000000-0005-0000-0000-0000E5370000}"/>
    <cellStyle name="Standard 4 2 2 6 2 3 6 2" xfId="14131" xr:uid="{00000000-0005-0000-0000-0000E6370000}"/>
    <cellStyle name="Standard 4 2 2 6 2 3 7" xfId="14132" xr:uid="{00000000-0005-0000-0000-0000E7370000}"/>
    <cellStyle name="Standard 4 2 2 6 2 3 8" xfId="14133" xr:uid="{00000000-0005-0000-0000-0000E8370000}"/>
    <cellStyle name="Standard 4 2 2 6 2 4" xfId="14134" xr:uid="{00000000-0005-0000-0000-0000E9370000}"/>
    <cellStyle name="Standard 4 2 2 6 2 4 2" xfId="14135" xr:uid="{00000000-0005-0000-0000-0000EA370000}"/>
    <cellStyle name="Standard 4 2 2 6 2 4 2 2" xfId="14136" xr:uid="{00000000-0005-0000-0000-0000EB370000}"/>
    <cellStyle name="Standard 4 2 2 6 2 4 2 2 2" xfId="14137" xr:uid="{00000000-0005-0000-0000-0000EC370000}"/>
    <cellStyle name="Standard 4 2 2 6 2 4 2 2 3" xfId="14138" xr:uid="{00000000-0005-0000-0000-0000ED370000}"/>
    <cellStyle name="Standard 4 2 2 6 2 4 2 3" xfId="14139" xr:uid="{00000000-0005-0000-0000-0000EE370000}"/>
    <cellStyle name="Standard 4 2 2 6 2 4 2 3 2" xfId="14140" xr:uid="{00000000-0005-0000-0000-0000EF370000}"/>
    <cellStyle name="Standard 4 2 2 6 2 4 2 3 3" xfId="14141" xr:uid="{00000000-0005-0000-0000-0000F0370000}"/>
    <cellStyle name="Standard 4 2 2 6 2 4 2 4" xfId="14142" xr:uid="{00000000-0005-0000-0000-0000F1370000}"/>
    <cellStyle name="Standard 4 2 2 6 2 4 2 4 2" xfId="14143" xr:uid="{00000000-0005-0000-0000-0000F2370000}"/>
    <cellStyle name="Standard 4 2 2 6 2 4 2 5" xfId="14144" xr:uid="{00000000-0005-0000-0000-0000F3370000}"/>
    <cellStyle name="Standard 4 2 2 6 2 4 2 6" xfId="14145" xr:uid="{00000000-0005-0000-0000-0000F4370000}"/>
    <cellStyle name="Standard 4 2 2 6 2 4 3" xfId="14146" xr:uid="{00000000-0005-0000-0000-0000F5370000}"/>
    <cellStyle name="Standard 4 2 2 6 2 4 3 2" xfId="14147" xr:uid="{00000000-0005-0000-0000-0000F6370000}"/>
    <cellStyle name="Standard 4 2 2 6 2 4 3 3" xfId="14148" xr:uid="{00000000-0005-0000-0000-0000F7370000}"/>
    <cellStyle name="Standard 4 2 2 6 2 4 4" xfId="14149" xr:uid="{00000000-0005-0000-0000-0000F8370000}"/>
    <cellStyle name="Standard 4 2 2 6 2 4 4 2" xfId="14150" xr:uid="{00000000-0005-0000-0000-0000F9370000}"/>
    <cellStyle name="Standard 4 2 2 6 2 4 4 3" xfId="14151" xr:uid="{00000000-0005-0000-0000-0000FA370000}"/>
    <cellStyle name="Standard 4 2 2 6 2 4 5" xfId="14152" xr:uid="{00000000-0005-0000-0000-0000FB370000}"/>
    <cellStyle name="Standard 4 2 2 6 2 4 5 2" xfId="14153" xr:uid="{00000000-0005-0000-0000-0000FC370000}"/>
    <cellStyle name="Standard 4 2 2 6 2 4 6" xfId="14154" xr:uid="{00000000-0005-0000-0000-0000FD370000}"/>
    <cellStyle name="Standard 4 2 2 6 2 4 7" xfId="14155" xr:uid="{00000000-0005-0000-0000-0000FE370000}"/>
    <cellStyle name="Standard 4 2 2 6 2 5" xfId="14156" xr:uid="{00000000-0005-0000-0000-0000FF370000}"/>
    <cellStyle name="Standard 4 2 2 6 2 5 2" xfId="14157" xr:uid="{00000000-0005-0000-0000-000000380000}"/>
    <cellStyle name="Standard 4 2 2 6 2 5 2 2" xfId="14158" xr:uid="{00000000-0005-0000-0000-000001380000}"/>
    <cellStyle name="Standard 4 2 2 6 2 5 2 3" xfId="14159" xr:uid="{00000000-0005-0000-0000-000002380000}"/>
    <cellStyle name="Standard 4 2 2 6 2 5 3" xfId="14160" xr:uid="{00000000-0005-0000-0000-000003380000}"/>
    <cellStyle name="Standard 4 2 2 6 2 5 3 2" xfId="14161" xr:uid="{00000000-0005-0000-0000-000004380000}"/>
    <cellStyle name="Standard 4 2 2 6 2 5 3 3" xfId="14162" xr:uid="{00000000-0005-0000-0000-000005380000}"/>
    <cellStyle name="Standard 4 2 2 6 2 5 4" xfId="14163" xr:uid="{00000000-0005-0000-0000-000006380000}"/>
    <cellStyle name="Standard 4 2 2 6 2 5 4 2" xfId="14164" xr:uid="{00000000-0005-0000-0000-000007380000}"/>
    <cellStyle name="Standard 4 2 2 6 2 5 5" xfId="14165" xr:uid="{00000000-0005-0000-0000-000008380000}"/>
    <cellStyle name="Standard 4 2 2 6 2 5 6" xfId="14166" xr:uid="{00000000-0005-0000-0000-000009380000}"/>
    <cellStyle name="Standard 4 2 2 6 2 6" xfId="14167" xr:uid="{00000000-0005-0000-0000-00000A380000}"/>
    <cellStyle name="Standard 4 2 2 6 2 6 2" xfId="14168" xr:uid="{00000000-0005-0000-0000-00000B380000}"/>
    <cellStyle name="Standard 4 2 2 6 2 6 3" xfId="14169" xr:uid="{00000000-0005-0000-0000-00000C380000}"/>
    <cellStyle name="Standard 4 2 2 6 2 7" xfId="14170" xr:uid="{00000000-0005-0000-0000-00000D380000}"/>
    <cellStyle name="Standard 4 2 2 6 2 7 2" xfId="14171" xr:uid="{00000000-0005-0000-0000-00000E380000}"/>
    <cellStyle name="Standard 4 2 2 6 2 7 3" xfId="14172" xr:uid="{00000000-0005-0000-0000-00000F380000}"/>
    <cellStyle name="Standard 4 2 2 6 2 8" xfId="14173" xr:uid="{00000000-0005-0000-0000-000010380000}"/>
    <cellStyle name="Standard 4 2 2 6 2 8 2" xfId="14174" xr:uid="{00000000-0005-0000-0000-000011380000}"/>
    <cellStyle name="Standard 4 2 2 6 2 9" xfId="14175" xr:uid="{00000000-0005-0000-0000-000012380000}"/>
    <cellStyle name="Standard 4 2 2 6 3" xfId="14176" xr:uid="{00000000-0005-0000-0000-000013380000}"/>
    <cellStyle name="Standard 4 2 2 6 3 2" xfId="14177" xr:uid="{00000000-0005-0000-0000-000014380000}"/>
    <cellStyle name="Standard 4 2 2 6 3 2 2" xfId="14178" xr:uid="{00000000-0005-0000-0000-000015380000}"/>
    <cellStyle name="Standard 4 2 2 6 3 2 2 2" xfId="14179" xr:uid="{00000000-0005-0000-0000-000016380000}"/>
    <cellStyle name="Standard 4 2 2 6 3 2 2 2 2" xfId="14180" xr:uid="{00000000-0005-0000-0000-000017380000}"/>
    <cellStyle name="Standard 4 2 2 6 3 2 2 2 3" xfId="14181" xr:uid="{00000000-0005-0000-0000-000018380000}"/>
    <cellStyle name="Standard 4 2 2 6 3 2 2 3" xfId="14182" xr:uid="{00000000-0005-0000-0000-000019380000}"/>
    <cellStyle name="Standard 4 2 2 6 3 2 2 3 2" xfId="14183" xr:uid="{00000000-0005-0000-0000-00001A380000}"/>
    <cellStyle name="Standard 4 2 2 6 3 2 2 3 3" xfId="14184" xr:uid="{00000000-0005-0000-0000-00001B380000}"/>
    <cellStyle name="Standard 4 2 2 6 3 2 2 4" xfId="14185" xr:uid="{00000000-0005-0000-0000-00001C380000}"/>
    <cellStyle name="Standard 4 2 2 6 3 2 2 4 2" xfId="14186" xr:uid="{00000000-0005-0000-0000-00001D380000}"/>
    <cellStyle name="Standard 4 2 2 6 3 2 2 5" xfId="14187" xr:uid="{00000000-0005-0000-0000-00001E380000}"/>
    <cellStyle name="Standard 4 2 2 6 3 2 2 6" xfId="14188" xr:uid="{00000000-0005-0000-0000-00001F380000}"/>
    <cellStyle name="Standard 4 2 2 6 3 2 3" xfId="14189" xr:uid="{00000000-0005-0000-0000-000020380000}"/>
    <cellStyle name="Standard 4 2 2 6 3 2 3 2" xfId="14190" xr:uid="{00000000-0005-0000-0000-000021380000}"/>
    <cellStyle name="Standard 4 2 2 6 3 2 3 3" xfId="14191" xr:uid="{00000000-0005-0000-0000-000022380000}"/>
    <cellStyle name="Standard 4 2 2 6 3 2 4" xfId="14192" xr:uid="{00000000-0005-0000-0000-000023380000}"/>
    <cellStyle name="Standard 4 2 2 6 3 2 4 2" xfId="14193" xr:uid="{00000000-0005-0000-0000-000024380000}"/>
    <cellStyle name="Standard 4 2 2 6 3 2 4 3" xfId="14194" xr:uid="{00000000-0005-0000-0000-000025380000}"/>
    <cellStyle name="Standard 4 2 2 6 3 2 5" xfId="14195" xr:uid="{00000000-0005-0000-0000-000026380000}"/>
    <cellStyle name="Standard 4 2 2 6 3 2 5 2" xfId="14196" xr:uid="{00000000-0005-0000-0000-000027380000}"/>
    <cellStyle name="Standard 4 2 2 6 3 2 6" xfId="14197" xr:uid="{00000000-0005-0000-0000-000028380000}"/>
    <cellStyle name="Standard 4 2 2 6 3 2 7" xfId="14198" xr:uid="{00000000-0005-0000-0000-000029380000}"/>
    <cellStyle name="Standard 4 2 2 6 3 3" xfId="14199" xr:uid="{00000000-0005-0000-0000-00002A380000}"/>
    <cellStyle name="Standard 4 2 2 6 3 3 2" xfId="14200" xr:uid="{00000000-0005-0000-0000-00002B380000}"/>
    <cellStyle name="Standard 4 2 2 6 3 3 2 2" xfId="14201" xr:uid="{00000000-0005-0000-0000-00002C380000}"/>
    <cellStyle name="Standard 4 2 2 6 3 3 2 3" xfId="14202" xr:uid="{00000000-0005-0000-0000-00002D380000}"/>
    <cellStyle name="Standard 4 2 2 6 3 3 3" xfId="14203" xr:uid="{00000000-0005-0000-0000-00002E380000}"/>
    <cellStyle name="Standard 4 2 2 6 3 3 3 2" xfId="14204" xr:uid="{00000000-0005-0000-0000-00002F380000}"/>
    <cellStyle name="Standard 4 2 2 6 3 3 3 3" xfId="14205" xr:uid="{00000000-0005-0000-0000-000030380000}"/>
    <cellStyle name="Standard 4 2 2 6 3 3 4" xfId="14206" xr:uid="{00000000-0005-0000-0000-000031380000}"/>
    <cellStyle name="Standard 4 2 2 6 3 3 4 2" xfId="14207" xr:uid="{00000000-0005-0000-0000-000032380000}"/>
    <cellStyle name="Standard 4 2 2 6 3 3 5" xfId="14208" xr:uid="{00000000-0005-0000-0000-000033380000}"/>
    <cellStyle name="Standard 4 2 2 6 3 3 6" xfId="14209" xr:uid="{00000000-0005-0000-0000-000034380000}"/>
    <cellStyle name="Standard 4 2 2 6 3 4" xfId="14210" xr:uid="{00000000-0005-0000-0000-000035380000}"/>
    <cellStyle name="Standard 4 2 2 6 3 4 2" xfId="14211" xr:uid="{00000000-0005-0000-0000-000036380000}"/>
    <cellStyle name="Standard 4 2 2 6 3 4 3" xfId="14212" xr:uid="{00000000-0005-0000-0000-000037380000}"/>
    <cellStyle name="Standard 4 2 2 6 3 5" xfId="14213" xr:uid="{00000000-0005-0000-0000-000038380000}"/>
    <cellStyle name="Standard 4 2 2 6 3 5 2" xfId="14214" xr:uid="{00000000-0005-0000-0000-000039380000}"/>
    <cellStyle name="Standard 4 2 2 6 3 5 3" xfId="14215" xr:uid="{00000000-0005-0000-0000-00003A380000}"/>
    <cellStyle name="Standard 4 2 2 6 3 6" xfId="14216" xr:uid="{00000000-0005-0000-0000-00003B380000}"/>
    <cellStyle name="Standard 4 2 2 6 3 6 2" xfId="14217" xr:uid="{00000000-0005-0000-0000-00003C380000}"/>
    <cellStyle name="Standard 4 2 2 6 3 7" xfId="14218" xr:uid="{00000000-0005-0000-0000-00003D380000}"/>
    <cellStyle name="Standard 4 2 2 6 3 8" xfId="14219" xr:uid="{00000000-0005-0000-0000-00003E380000}"/>
    <cellStyle name="Standard 4 2 2 6 4" xfId="14220" xr:uid="{00000000-0005-0000-0000-00003F380000}"/>
    <cellStyle name="Standard 4 2 2 6 4 2" xfId="14221" xr:uid="{00000000-0005-0000-0000-000040380000}"/>
    <cellStyle name="Standard 4 2 2 6 4 2 2" xfId="14222" xr:uid="{00000000-0005-0000-0000-000041380000}"/>
    <cellStyle name="Standard 4 2 2 6 4 2 2 2" xfId="14223" xr:uid="{00000000-0005-0000-0000-000042380000}"/>
    <cellStyle name="Standard 4 2 2 6 4 2 2 2 2" xfId="14224" xr:uid="{00000000-0005-0000-0000-000043380000}"/>
    <cellStyle name="Standard 4 2 2 6 4 2 2 2 3" xfId="14225" xr:uid="{00000000-0005-0000-0000-000044380000}"/>
    <cellStyle name="Standard 4 2 2 6 4 2 2 3" xfId="14226" xr:uid="{00000000-0005-0000-0000-000045380000}"/>
    <cellStyle name="Standard 4 2 2 6 4 2 2 3 2" xfId="14227" xr:uid="{00000000-0005-0000-0000-000046380000}"/>
    <cellStyle name="Standard 4 2 2 6 4 2 2 3 3" xfId="14228" xr:uid="{00000000-0005-0000-0000-000047380000}"/>
    <cellStyle name="Standard 4 2 2 6 4 2 2 4" xfId="14229" xr:uid="{00000000-0005-0000-0000-000048380000}"/>
    <cellStyle name="Standard 4 2 2 6 4 2 2 4 2" xfId="14230" xr:uid="{00000000-0005-0000-0000-000049380000}"/>
    <cellStyle name="Standard 4 2 2 6 4 2 2 5" xfId="14231" xr:uid="{00000000-0005-0000-0000-00004A380000}"/>
    <cellStyle name="Standard 4 2 2 6 4 2 2 6" xfId="14232" xr:uid="{00000000-0005-0000-0000-00004B380000}"/>
    <cellStyle name="Standard 4 2 2 6 4 2 3" xfId="14233" xr:uid="{00000000-0005-0000-0000-00004C380000}"/>
    <cellStyle name="Standard 4 2 2 6 4 2 3 2" xfId="14234" xr:uid="{00000000-0005-0000-0000-00004D380000}"/>
    <cellStyle name="Standard 4 2 2 6 4 2 3 3" xfId="14235" xr:uid="{00000000-0005-0000-0000-00004E380000}"/>
    <cellStyle name="Standard 4 2 2 6 4 2 4" xfId="14236" xr:uid="{00000000-0005-0000-0000-00004F380000}"/>
    <cellStyle name="Standard 4 2 2 6 4 2 4 2" xfId="14237" xr:uid="{00000000-0005-0000-0000-000050380000}"/>
    <cellStyle name="Standard 4 2 2 6 4 2 4 3" xfId="14238" xr:uid="{00000000-0005-0000-0000-000051380000}"/>
    <cellStyle name="Standard 4 2 2 6 4 2 5" xfId="14239" xr:uid="{00000000-0005-0000-0000-000052380000}"/>
    <cellStyle name="Standard 4 2 2 6 4 2 5 2" xfId="14240" xr:uid="{00000000-0005-0000-0000-000053380000}"/>
    <cellStyle name="Standard 4 2 2 6 4 2 6" xfId="14241" xr:uid="{00000000-0005-0000-0000-000054380000}"/>
    <cellStyle name="Standard 4 2 2 6 4 2 7" xfId="14242" xr:uid="{00000000-0005-0000-0000-000055380000}"/>
    <cellStyle name="Standard 4 2 2 6 4 3" xfId="14243" xr:uid="{00000000-0005-0000-0000-000056380000}"/>
    <cellStyle name="Standard 4 2 2 6 4 3 2" xfId="14244" xr:uid="{00000000-0005-0000-0000-000057380000}"/>
    <cellStyle name="Standard 4 2 2 6 4 3 2 2" xfId="14245" xr:uid="{00000000-0005-0000-0000-000058380000}"/>
    <cellStyle name="Standard 4 2 2 6 4 3 2 3" xfId="14246" xr:uid="{00000000-0005-0000-0000-000059380000}"/>
    <cellStyle name="Standard 4 2 2 6 4 3 3" xfId="14247" xr:uid="{00000000-0005-0000-0000-00005A380000}"/>
    <cellStyle name="Standard 4 2 2 6 4 3 3 2" xfId="14248" xr:uid="{00000000-0005-0000-0000-00005B380000}"/>
    <cellStyle name="Standard 4 2 2 6 4 3 3 3" xfId="14249" xr:uid="{00000000-0005-0000-0000-00005C380000}"/>
    <cellStyle name="Standard 4 2 2 6 4 3 4" xfId="14250" xr:uid="{00000000-0005-0000-0000-00005D380000}"/>
    <cellStyle name="Standard 4 2 2 6 4 3 4 2" xfId="14251" xr:uid="{00000000-0005-0000-0000-00005E380000}"/>
    <cellStyle name="Standard 4 2 2 6 4 3 5" xfId="14252" xr:uid="{00000000-0005-0000-0000-00005F380000}"/>
    <cellStyle name="Standard 4 2 2 6 4 3 6" xfId="14253" xr:uid="{00000000-0005-0000-0000-000060380000}"/>
    <cellStyle name="Standard 4 2 2 6 4 4" xfId="14254" xr:uid="{00000000-0005-0000-0000-000061380000}"/>
    <cellStyle name="Standard 4 2 2 6 4 4 2" xfId="14255" xr:uid="{00000000-0005-0000-0000-000062380000}"/>
    <cellStyle name="Standard 4 2 2 6 4 4 3" xfId="14256" xr:uid="{00000000-0005-0000-0000-000063380000}"/>
    <cellStyle name="Standard 4 2 2 6 4 5" xfId="14257" xr:uid="{00000000-0005-0000-0000-000064380000}"/>
    <cellStyle name="Standard 4 2 2 6 4 5 2" xfId="14258" xr:uid="{00000000-0005-0000-0000-000065380000}"/>
    <cellStyle name="Standard 4 2 2 6 4 5 3" xfId="14259" xr:uid="{00000000-0005-0000-0000-000066380000}"/>
    <cellStyle name="Standard 4 2 2 6 4 6" xfId="14260" xr:uid="{00000000-0005-0000-0000-000067380000}"/>
    <cellStyle name="Standard 4 2 2 6 4 6 2" xfId="14261" xr:uid="{00000000-0005-0000-0000-000068380000}"/>
    <cellStyle name="Standard 4 2 2 6 4 7" xfId="14262" xr:uid="{00000000-0005-0000-0000-000069380000}"/>
    <cellStyle name="Standard 4 2 2 6 4 8" xfId="14263" xr:uid="{00000000-0005-0000-0000-00006A380000}"/>
    <cellStyle name="Standard 4 2 2 6 5" xfId="14264" xr:uid="{00000000-0005-0000-0000-00006B380000}"/>
    <cellStyle name="Standard 4 2 2 6 5 2" xfId="14265" xr:uid="{00000000-0005-0000-0000-00006C380000}"/>
    <cellStyle name="Standard 4 2 2 6 5 2 2" xfId="14266" xr:uid="{00000000-0005-0000-0000-00006D380000}"/>
    <cellStyle name="Standard 4 2 2 6 5 2 2 2" xfId="14267" xr:uid="{00000000-0005-0000-0000-00006E380000}"/>
    <cellStyle name="Standard 4 2 2 6 5 2 2 3" xfId="14268" xr:uid="{00000000-0005-0000-0000-00006F380000}"/>
    <cellStyle name="Standard 4 2 2 6 5 2 3" xfId="14269" xr:uid="{00000000-0005-0000-0000-000070380000}"/>
    <cellStyle name="Standard 4 2 2 6 5 2 3 2" xfId="14270" xr:uid="{00000000-0005-0000-0000-000071380000}"/>
    <cellStyle name="Standard 4 2 2 6 5 2 3 3" xfId="14271" xr:uid="{00000000-0005-0000-0000-000072380000}"/>
    <cellStyle name="Standard 4 2 2 6 5 2 4" xfId="14272" xr:uid="{00000000-0005-0000-0000-000073380000}"/>
    <cellStyle name="Standard 4 2 2 6 5 2 4 2" xfId="14273" xr:uid="{00000000-0005-0000-0000-000074380000}"/>
    <cellStyle name="Standard 4 2 2 6 5 2 5" xfId="14274" xr:uid="{00000000-0005-0000-0000-000075380000}"/>
    <cellStyle name="Standard 4 2 2 6 5 2 6" xfId="14275" xr:uid="{00000000-0005-0000-0000-000076380000}"/>
    <cellStyle name="Standard 4 2 2 6 5 3" xfId="14276" xr:uid="{00000000-0005-0000-0000-000077380000}"/>
    <cellStyle name="Standard 4 2 2 6 5 3 2" xfId="14277" xr:uid="{00000000-0005-0000-0000-000078380000}"/>
    <cellStyle name="Standard 4 2 2 6 5 3 3" xfId="14278" xr:uid="{00000000-0005-0000-0000-000079380000}"/>
    <cellStyle name="Standard 4 2 2 6 5 4" xfId="14279" xr:uid="{00000000-0005-0000-0000-00007A380000}"/>
    <cellStyle name="Standard 4 2 2 6 5 4 2" xfId="14280" xr:uid="{00000000-0005-0000-0000-00007B380000}"/>
    <cellStyle name="Standard 4 2 2 6 5 4 3" xfId="14281" xr:uid="{00000000-0005-0000-0000-00007C380000}"/>
    <cellStyle name="Standard 4 2 2 6 5 5" xfId="14282" xr:uid="{00000000-0005-0000-0000-00007D380000}"/>
    <cellStyle name="Standard 4 2 2 6 5 5 2" xfId="14283" xr:uid="{00000000-0005-0000-0000-00007E380000}"/>
    <cellStyle name="Standard 4 2 2 6 5 6" xfId="14284" xr:uid="{00000000-0005-0000-0000-00007F380000}"/>
    <cellStyle name="Standard 4 2 2 6 5 7" xfId="14285" xr:uid="{00000000-0005-0000-0000-000080380000}"/>
    <cellStyle name="Standard 4 2 2 6 6" xfId="14286" xr:uid="{00000000-0005-0000-0000-000081380000}"/>
    <cellStyle name="Standard 4 2 2 6 6 2" xfId="14287" xr:uid="{00000000-0005-0000-0000-000082380000}"/>
    <cellStyle name="Standard 4 2 2 6 6 2 2" xfId="14288" xr:uid="{00000000-0005-0000-0000-000083380000}"/>
    <cellStyle name="Standard 4 2 2 6 6 2 3" xfId="14289" xr:uid="{00000000-0005-0000-0000-000084380000}"/>
    <cellStyle name="Standard 4 2 2 6 6 3" xfId="14290" xr:uid="{00000000-0005-0000-0000-000085380000}"/>
    <cellStyle name="Standard 4 2 2 6 6 3 2" xfId="14291" xr:uid="{00000000-0005-0000-0000-000086380000}"/>
    <cellStyle name="Standard 4 2 2 6 6 3 3" xfId="14292" xr:uid="{00000000-0005-0000-0000-000087380000}"/>
    <cellStyle name="Standard 4 2 2 6 6 4" xfId="14293" xr:uid="{00000000-0005-0000-0000-000088380000}"/>
    <cellStyle name="Standard 4 2 2 6 6 4 2" xfId="14294" xr:uid="{00000000-0005-0000-0000-000089380000}"/>
    <cellStyle name="Standard 4 2 2 6 6 5" xfId="14295" xr:uid="{00000000-0005-0000-0000-00008A380000}"/>
    <cellStyle name="Standard 4 2 2 6 6 6" xfId="14296" xr:uid="{00000000-0005-0000-0000-00008B380000}"/>
    <cellStyle name="Standard 4 2 2 6 7" xfId="14297" xr:uid="{00000000-0005-0000-0000-00008C380000}"/>
    <cellStyle name="Standard 4 2 2 6 7 2" xfId="14298" xr:uid="{00000000-0005-0000-0000-00008D380000}"/>
    <cellStyle name="Standard 4 2 2 6 7 3" xfId="14299" xr:uid="{00000000-0005-0000-0000-00008E380000}"/>
    <cellStyle name="Standard 4 2 2 6 8" xfId="14300" xr:uid="{00000000-0005-0000-0000-00008F380000}"/>
    <cellStyle name="Standard 4 2 2 6 8 2" xfId="14301" xr:uid="{00000000-0005-0000-0000-000090380000}"/>
    <cellStyle name="Standard 4 2 2 6 8 3" xfId="14302" xr:uid="{00000000-0005-0000-0000-000091380000}"/>
    <cellStyle name="Standard 4 2 2 6 9" xfId="14303" xr:uid="{00000000-0005-0000-0000-000092380000}"/>
    <cellStyle name="Standard 4 2 2 6 9 2" xfId="14304" xr:uid="{00000000-0005-0000-0000-000093380000}"/>
    <cellStyle name="Standard 4 2 2 7" xfId="14305" xr:uid="{00000000-0005-0000-0000-000094380000}"/>
    <cellStyle name="Standard 4 2 2 7 10" xfId="14306" xr:uid="{00000000-0005-0000-0000-000095380000}"/>
    <cellStyle name="Standard 4 2 2 7 2" xfId="14307" xr:uid="{00000000-0005-0000-0000-000096380000}"/>
    <cellStyle name="Standard 4 2 2 7 2 2" xfId="14308" xr:uid="{00000000-0005-0000-0000-000097380000}"/>
    <cellStyle name="Standard 4 2 2 7 2 2 2" xfId="14309" xr:uid="{00000000-0005-0000-0000-000098380000}"/>
    <cellStyle name="Standard 4 2 2 7 2 2 2 2" xfId="14310" xr:uid="{00000000-0005-0000-0000-000099380000}"/>
    <cellStyle name="Standard 4 2 2 7 2 2 2 2 2" xfId="14311" xr:uid="{00000000-0005-0000-0000-00009A380000}"/>
    <cellStyle name="Standard 4 2 2 7 2 2 2 2 3" xfId="14312" xr:uid="{00000000-0005-0000-0000-00009B380000}"/>
    <cellStyle name="Standard 4 2 2 7 2 2 2 3" xfId="14313" xr:uid="{00000000-0005-0000-0000-00009C380000}"/>
    <cellStyle name="Standard 4 2 2 7 2 2 2 3 2" xfId="14314" xr:uid="{00000000-0005-0000-0000-00009D380000}"/>
    <cellStyle name="Standard 4 2 2 7 2 2 2 3 3" xfId="14315" xr:uid="{00000000-0005-0000-0000-00009E380000}"/>
    <cellStyle name="Standard 4 2 2 7 2 2 2 4" xfId="14316" xr:uid="{00000000-0005-0000-0000-00009F380000}"/>
    <cellStyle name="Standard 4 2 2 7 2 2 2 4 2" xfId="14317" xr:uid="{00000000-0005-0000-0000-0000A0380000}"/>
    <cellStyle name="Standard 4 2 2 7 2 2 2 5" xfId="14318" xr:uid="{00000000-0005-0000-0000-0000A1380000}"/>
    <cellStyle name="Standard 4 2 2 7 2 2 2 6" xfId="14319" xr:uid="{00000000-0005-0000-0000-0000A2380000}"/>
    <cellStyle name="Standard 4 2 2 7 2 2 3" xfId="14320" xr:uid="{00000000-0005-0000-0000-0000A3380000}"/>
    <cellStyle name="Standard 4 2 2 7 2 2 3 2" xfId="14321" xr:uid="{00000000-0005-0000-0000-0000A4380000}"/>
    <cellStyle name="Standard 4 2 2 7 2 2 3 3" xfId="14322" xr:uid="{00000000-0005-0000-0000-0000A5380000}"/>
    <cellStyle name="Standard 4 2 2 7 2 2 4" xfId="14323" xr:uid="{00000000-0005-0000-0000-0000A6380000}"/>
    <cellStyle name="Standard 4 2 2 7 2 2 4 2" xfId="14324" xr:uid="{00000000-0005-0000-0000-0000A7380000}"/>
    <cellStyle name="Standard 4 2 2 7 2 2 4 3" xfId="14325" xr:uid="{00000000-0005-0000-0000-0000A8380000}"/>
    <cellStyle name="Standard 4 2 2 7 2 2 5" xfId="14326" xr:uid="{00000000-0005-0000-0000-0000A9380000}"/>
    <cellStyle name="Standard 4 2 2 7 2 2 5 2" xfId="14327" xr:uid="{00000000-0005-0000-0000-0000AA380000}"/>
    <cellStyle name="Standard 4 2 2 7 2 2 6" xfId="14328" xr:uid="{00000000-0005-0000-0000-0000AB380000}"/>
    <cellStyle name="Standard 4 2 2 7 2 2 7" xfId="14329" xr:uid="{00000000-0005-0000-0000-0000AC380000}"/>
    <cellStyle name="Standard 4 2 2 7 2 3" xfId="14330" xr:uid="{00000000-0005-0000-0000-0000AD380000}"/>
    <cellStyle name="Standard 4 2 2 7 2 3 2" xfId="14331" xr:uid="{00000000-0005-0000-0000-0000AE380000}"/>
    <cellStyle name="Standard 4 2 2 7 2 3 2 2" xfId="14332" xr:uid="{00000000-0005-0000-0000-0000AF380000}"/>
    <cellStyle name="Standard 4 2 2 7 2 3 2 3" xfId="14333" xr:uid="{00000000-0005-0000-0000-0000B0380000}"/>
    <cellStyle name="Standard 4 2 2 7 2 3 3" xfId="14334" xr:uid="{00000000-0005-0000-0000-0000B1380000}"/>
    <cellStyle name="Standard 4 2 2 7 2 3 3 2" xfId="14335" xr:uid="{00000000-0005-0000-0000-0000B2380000}"/>
    <cellStyle name="Standard 4 2 2 7 2 3 3 3" xfId="14336" xr:uid="{00000000-0005-0000-0000-0000B3380000}"/>
    <cellStyle name="Standard 4 2 2 7 2 3 4" xfId="14337" xr:uid="{00000000-0005-0000-0000-0000B4380000}"/>
    <cellStyle name="Standard 4 2 2 7 2 3 4 2" xfId="14338" xr:uid="{00000000-0005-0000-0000-0000B5380000}"/>
    <cellStyle name="Standard 4 2 2 7 2 3 5" xfId="14339" xr:uid="{00000000-0005-0000-0000-0000B6380000}"/>
    <cellStyle name="Standard 4 2 2 7 2 3 6" xfId="14340" xr:uid="{00000000-0005-0000-0000-0000B7380000}"/>
    <cellStyle name="Standard 4 2 2 7 2 4" xfId="14341" xr:uid="{00000000-0005-0000-0000-0000B8380000}"/>
    <cellStyle name="Standard 4 2 2 7 2 4 2" xfId="14342" xr:uid="{00000000-0005-0000-0000-0000B9380000}"/>
    <cellStyle name="Standard 4 2 2 7 2 4 3" xfId="14343" xr:uid="{00000000-0005-0000-0000-0000BA380000}"/>
    <cellStyle name="Standard 4 2 2 7 2 5" xfId="14344" xr:uid="{00000000-0005-0000-0000-0000BB380000}"/>
    <cellStyle name="Standard 4 2 2 7 2 5 2" xfId="14345" xr:uid="{00000000-0005-0000-0000-0000BC380000}"/>
    <cellStyle name="Standard 4 2 2 7 2 5 3" xfId="14346" xr:uid="{00000000-0005-0000-0000-0000BD380000}"/>
    <cellStyle name="Standard 4 2 2 7 2 6" xfId="14347" xr:uid="{00000000-0005-0000-0000-0000BE380000}"/>
    <cellStyle name="Standard 4 2 2 7 2 6 2" xfId="14348" xr:uid="{00000000-0005-0000-0000-0000BF380000}"/>
    <cellStyle name="Standard 4 2 2 7 2 7" xfId="14349" xr:uid="{00000000-0005-0000-0000-0000C0380000}"/>
    <cellStyle name="Standard 4 2 2 7 2 8" xfId="14350" xr:uid="{00000000-0005-0000-0000-0000C1380000}"/>
    <cellStyle name="Standard 4 2 2 7 3" xfId="14351" xr:uid="{00000000-0005-0000-0000-0000C2380000}"/>
    <cellStyle name="Standard 4 2 2 7 3 2" xfId="14352" xr:uid="{00000000-0005-0000-0000-0000C3380000}"/>
    <cellStyle name="Standard 4 2 2 7 3 2 2" xfId="14353" xr:uid="{00000000-0005-0000-0000-0000C4380000}"/>
    <cellStyle name="Standard 4 2 2 7 3 2 2 2" xfId="14354" xr:uid="{00000000-0005-0000-0000-0000C5380000}"/>
    <cellStyle name="Standard 4 2 2 7 3 2 2 2 2" xfId="14355" xr:uid="{00000000-0005-0000-0000-0000C6380000}"/>
    <cellStyle name="Standard 4 2 2 7 3 2 2 2 3" xfId="14356" xr:uid="{00000000-0005-0000-0000-0000C7380000}"/>
    <cellStyle name="Standard 4 2 2 7 3 2 2 3" xfId="14357" xr:uid="{00000000-0005-0000-0000-0000C8380000}"/>
    <cellStyle name="Standard 4 2 2 7 3 2 2 3 2" xfId="14358" xr:uid="{00000000-0005-0000-0000-0000C9380000}"/>
    <cellStyle name="Standard 4 2 2 7 3 2 2 3 3" xfId="14359" xr:uid="{00000000-0005-0000-0000-0000CA380000}"/>
    <cellStyle name="Standard 4 2 2 7 3 2 2 4" xfId="14360" xr:uid="{00000000-0005-0000-0000-0000CB380000}"/>
    <cellStyle name="Standard 4 2 2 7 3 2 2 4 2" xfId="14361" xr:uid="{00000000-0005-0000-0000-0000CC380000}"/>
    <cellStyle name="Standard 4 2 2 7 3 2 2 5" xfId="14362" xr:uid="{00000000-0005-0000-0000-0000CD380000}"/>
    <cellStyle name="Standard 4 2 2 7 3 2 2 6" xfId="14363" xr:uid="{00000000-0005-0000-0000-0000CE380000}"/>
    <cellStyle name="Standard 4 2 2 7 3 2 3" xfId="14364" xr:uid="{00000000-0005-0000-0000-0000CF380000}"/>
    <cellStyle name="Standard 4 2 2 7 3 2 3 2" xfId="14365" xr:uid="{00000000-0005-0000-0000-0000D0380000}"/>
    <cellStyle name="Standard 4 2 2 7 3 2 3 3" xfId="14366" xr:uid="{00000000-0005-0000-0000-0000D1380000}"/>
    <cellStyle name="Standard 4 2 2 7 3 2 4" xfId="14367" xr:uid="{00000000-0005-0000-0000-0000D2380000}"/>
    <cellStyle name="Standard 4 2 2 7 3 2 4 2" xfId="14368" xr:uid="{00000000-0005-0000-0000-0000D3380000}"/>
    <cellStyle name="Standard 4 2 2 7 3 2 4 3" xfId="14369" xr:uid="{00000000-0005-0000-0000-0000D4380000}"/>
    <cellStyle name="Standard 4 2 2 7 3 2 5" xfId="14370" xr:uid="{00000000-0005-0000-0000-0000D5380000}"/>
    <cellStyle name="Standard 4 2 2 7 3 2 5 2" xfId="14371" xr:uid="{00000000-0005-0000-0000-0000D6380000}"/>
    <cellStyle name="Standard 4 2 2 7 3 2 6" xfId="14372" xr:uid="{00000000-0005-0000-0000-0000D7380000}"/>
    <cellStyle name="Standard 4 2 2 7 3 2 7" xfId="14373" xr:uid="{00000000-0005-0000-0000-0000D8380000}"/>
    <cellStyle name="Standard 4 2 2 7 3 3" xfId="14374" xr:uid="{00000000-0005-0000-0000-0000D9380000}"/>
    <cellStyle name="Standard 4 2 2 7 3 3 2" xfId="14375" xr:uid="{00000000-0005-0000-0000-0000DA380000}"/>
    <cellStyle name="Standard 4 2 2 7 3 3 2 2" xfId="14376" xr:uid="{00000000-0005-0000-0000-0000DB380000}"/>
    <cellStyle name="Standard 4 2 2 7 3 3 2 3" xfId="14377" xr:uid="{00000000-0005-0000-0000-0000DC380000}"/>
    <cellStyle name="Standard 4 2 2 7 3 3 3" xfId="14378" xr:uid="{00000000-0005-0000-0000-0000DD380000}"/>
    <cellStyle name="Standard 4 2 2 7 3 3 3 2" xfId="14379" xr:uid="{00000000-0005-0000-0000-0000DE380000}"/>
    <cellStyle name="Standard 4 2 2 7 3 3 3 3" xfId="14380" xr:uid="{00000000-0005-0000-0000-0000DF380000}"/>
    <cellStyle name="Standard 4 2 2 7 3 3 4" xfId="14381" xr:uid="{00000000-0005-0000-0000-0000E0380000}"/>
    <cellStyle name="Standard 4 2 2 7 3 3 4 2" xfId="14382" xr:uid="{00000000-0005-0000-0000-0000E1380000}"/>
    <cellStyle name="Standard 4 2 2 7 3 3 5" xfId="14383" xr:uid="{00000000-0005-0000-0000-0000E2380000}"/>
    <cellStyle name="Standard 4 2 2 7 3 3 6" xfId="14384" xr:uid="{00000000-0005-0000-0000-0000E3380000}"/>
    <cellStyle name="Standard 4 2 2 7 3 4" xfId="14385" xr:uid="{00000000-0005-0000-0000-0000E4380000}"/>
    <cellStyle name="Standard 4 2 2 7 3 4 2" xfId="14386" xr:uid="{00000000-0005-0000-0000-0000E5380000}"/>
    <cellStyle name="Standard 4 2 2 7 3 4 3" xfId="14387" xr:uid="{00000000-0005-0000-0000-0000E6380000}"/>
    <cellStyle name="Standard 4 2 2 7 3 5" xfId="14388" xr:uid="{00000000-0005-0000-0000-0000E7380000}"/>
    <cellStyle name="Standard 4 2 2 7 3 5 2" xfId="14389" xr:uid="{00000000-0005-0000-0000-0000E8380000}"/>
    <cellStyle name="Standard 4 2 2 7 3 5 3" xfId="14390" xr:uid="{00000000-0005-0000-0000-0000E9380000}"/>
    <cellStyle name="Standard 4 2 2 7 3 6" xfId="14391" xr:uid="{00000000-0005-0000-0000-0000EA380000}"/>
    <cellStyle name="Standard 4 2 2 7 3 6 2" xfId="14392" xr:uid="{00000000-0005-0000-0000-0000EB380000}"/>
    <cellStyle name="Standard 4 2 2 7 3 7" xfId="14393" xr:uid="{00000000-0005-0000-0000-0000EC380000}"/>
    <cellStyle name="Standard 4 2 2 7 3 8" xfId="14394" xr:uid="{00000000-0005-0000-0000-0000ED380000}"/>
    <cellStyle name="Standard 4 2 2 7 4" xfId="14395" xr:uid="{00000000-0005-0000-0000-0000EE380000}"/>
    <cellStyle name="Standard 4 2 2 7 4 2" xfId="14396" xr:uid="{00000000-0005-0000-0000-0000EF380000}"/>
    <cellStyle name="Standard 4 2 2 7 4 2 2" xfId="14397" xr:uid="{00000000-0005-0000-0000-0000F0380000}"/>
    <cellStyle name="Standard 4 2 2 7 4 2 2 2" xfId="14398" xr:uid="{00000000-0005-0000-0000-0000F1380000}"/>
    <cellStyle name="Standard 4 2 2 7 4 2 2 3" xfId="14399" xr:uid="{00000000-0005-0000-0000-0000F2380000}"/>
    <cellStyle name="Standard 4 2 2 7 4 2 3" xfId="14400" xr:uid="{00000000-0005-0000-0000-0000F3380000}"/>
    <cellStyle name="Standard 4 2 2 7 4 2 3 2" xfId="14401" xr:uid="{00000000-0005-0000-0000-0000F4380000}"/>
    <cellStyle name="Standard 4 2 2 7 4 2 3 3" xfId="14402" xr:uid="{00000000-0005-0000-0000-0000F5380000}"/>
    <cellStyle name="Standard 4 2 2 7 4 2 4" xfId="14403" xr:uid="{00000000-0005-0000-0000-0000F6380000}"/>
    <cellStyle name="Standard 4 2 2 7 4 2 4 2" xfId="14404" xr:uid="{00000000-0005-0000-0000-0000F7380000}"/>
    <cellStyle name="Standard 4 2 2 7 4 2 5" xfId="14405" xr:uid="{00000000-0005-0000-0000-0000F8380000}"/>
    <cellStyle name="Standard 4 2 2 7 4 2 6" xfId="14406" xr:uid="{00000000-0005-0000-0000-0000F9380000}"/>
    <cellStyle name="Standard 4 2 2 7 4 3" xfId="14407" xr:uid="{00000000-0005-0000-0000-0000FA380000}"/>
    <cellStyle name="Standard 4 2 2 7 4 3 2" xfId="14408" xr:uid="{00000000-0005-0000-0000-0000FB380000}"/>
    <cellStyle name="Standard 4 2 2 7 4 3 3" xfId="14409" xr:uid="{00000000-0005-0000-0000-0000FC380000}"/>
    <cellStyle name="Standard 4 2 2 7 4 4" xfId="14410" xr:uid="{00000000-0005-0000-0000-0000FD380000}"/>
    <cellStyle name="Standard 4 2 2 7 4 4 2" xfId="14411" xr:uid="{00000000-0005-0000-0000-0000FE380000}"/>
    <cellStyle name="Standard 4 2 2 7 4 4 3" xfId="14412" xr:uid="{00000000-0005-0000-0000-0000FF380000}"/>
    <cellStyle name="Standard 4 2 2 7 4 5" xfId="14413" xr:uid="{00000000-0005-0000-0000-000000390000}"/>
    <cellStyle name="Standard 4 2 2 7 4 5 2" xfId="14414" xr:uid="{00000000-0005-0000-0000-000001390000}"/>
    <cellStyle name="Standard 4 2 2 7 4 6" xfId="14415" xr:uid="{00000000-0005-0000-0000-000002390000}"/>
    <cellStyle name="Standard 4 2 2 7 4 7" xfId="14416" xr:uid="{00000000-0005-0000-0000-000003390000}"/>
    <cellStyle name="Standard 4 2 2 7 5" xfId="14417" xr:uid="{00000000-0005-0000-0000-000004390000}"/>
    <cellStyle name="Standard 4 2 2 7 5 2" xfId="14418" xr:uid="{00000000-0005-0000-0000-000005390000}"/>
    <cellStyle name="Standard 4 2 2 7 5 2 2" xfId="14419" xr:uid="{00000000-0005-0000-0000-000006390000}"/>
    <cellStyle name="Standard 4 2 2 7 5 2 3" xfId="14420" xr:uid="{00000000-0005-0000-0000-000007390000}"/>
    <cellStyle name="Standard 4 2 2 7 5 3" xfId="14421" xr:uid="{00000000-0005-0000-0000-000008390000}"/>
    <cellStyle name="Standard 4 2 2 7 5 3 2" xfId="14422" xr:uid="{00000000-0005-0000-0000-000009390000}"/>
    <cellStyle name="Standard 4 2 2 7 5 3 3" xfId="14423" xr:uid="{00000000-0005-0000-0000-00000A390000}"/>
    <cellStyle name="Standard 4 2 2 7 5 4" xfId="14424" xr:uid="{00000000-0005-0000-0000-00000B390000}"/>
    <cellStyle name="Standard 4 2 2 7 5 4 2" xfId="14425" xr:uid="{00000000-0005-0000-0000-00000C390000}"/>
    <cellStyle name="Standard 4 2 2 7 5 5" xfId="14426" xr:uid="{00000000-0005-0000-0000-00000D390000}"/>
    <cellStyle name="Standard 4 2 2 7 5 6" xfId="14427" xr:uid="{00000000-0005-0000-0000-00000E390000}"/>
    <cellStyle name="Standard 4 2 2 7 6" xfId="14428" xr:uid="{00000000-0005-0000-0000-00000F390000}"/>
    <cellStyle name="Standard 4 2 2 7 6 2" xfId="14429" xr:uid="{00000000-0005-0000-0000-000010390000}"/>
    <cellStyle name="Standard 4 2 2 7 6 3" xfId="14430" xr:uid="{00000000-0005-0000-0000-000011390000}"/>
    <cellStyle name="Standard 4 2 2 7 7" xfId="14431" xr:uid="{00000000-0005-0000-0000-000012390000}"/>
    <cellStyle name="Standard 4 2 2 7 7 2" xfId="14432" xr:uid="{00000000-0005-0000-0000-000013390000}"/>
    <cellStyle name="Standard 4 2 2 7 7 3" xfId="14433" xr:uid="{00000000-0005-0000-0000-000014390000}"/>
    <cellStyle name="Standard 4 2 2 7 8" xfId="14434" xr:uid="{00000000-0005-0000-0000-000015390000}"/>
    <cellStyle name="Standard 4 2 2 7 8 2" xfId="14435" xr:uid="{00000000-0005-0000-0000-000016390000}"/>
    <cellStyle name="Standard 4 2 2 7 9" xfId="14436" xr:uid="{00000000-0005-0000-0000-000017390000}"/>
    <cellStyle name="Standard 4 2 2 8" xfId="14437" xr:uid="{00000000-0005-0000-0000-000018390000}"/>
    <cellStyle name="Standard 4 2 2 8 2" xfId="14438" xr:uid="{00000000-0005-0000-0000-000019390000}"/>
    <cellStyle name="Standard 4 2 2 8 2 2" xfId="14439" xr:uid="{00000000-0005-0000-0000-00001A390000}"/>
    <cellStyle name="Standard 4 2 2 8 2 2 2" xfId="14440" xr:uid="{00000000-0005-0000-0000-00001B390000}"/>
    <cellStyle name="Standard 4 2 2 8 2 2 2 2" xfId="14441" xr:uid="{00000000-0005-0000-0000-00001C390000}"/>
    <cellStyle name="Standard 4 2 2 8 2 2 2 2 2" xfId="14442" xr:uid="{00000000-0005-0000-0000-00001D390000}"/>
    <cellStyle name="Standard 4 2 2 8 2 2 2 2 3" xfId="14443" xr:uid="{00000000-0005-0000-0000-00001E390000}"/>
    <cellStyle name="Standard 4 2 2 8 2 2 2 3" xfId="14444" xr:uid="{00000000-0005-0000-0000-00001F390000}"/>
    <cellStyle name="Standard 4 2 2 8 2 2 2 3 2" xfId="14445" xr:uid="{00000000-0005-0000-0000-000020390000}"/>
    <cellStyle name="Standard 4 2 2 8 2 2 2 3 3" xfId="14446" xr:uid="{00000000-0005-0000-0000-000021390000}"/>
    <cellStyle name="Standard 4 2 2 8 2 2 2 4" xfId="14447" xr:uid="{00000000-0005-0000-0000-000022390000}"/>
    <cellStyle name="Standard 4 2 2 8 2 2 2 4 2" xfId="14448" xr:uid="{00000000-0005-0000-0000-000023390000}"/>
    <cellStyle name="Standard 4 2 2 8 2 2 2 5" xfId="14449" xr:uid="{00000000-0005-0000-0000-000024390000}"/>
    <cellStyle name="Standard 4 2 2 8 2 2 2 6" xfId="14450" xr:uid="{00000000-0005-0000-0000-000025390000}"/>
    <cellStyle name="Standard 4 2 2 8 2 2 3" xfId="14451" xr:uid="{00000000-0005-0000-0000-000026390000}"/>
    <cellStyle name="Standard 4 2 2 8 2 2 3 2" xfId="14452" xr:uid="{00000000-0005-0000-0000-000027390000}"/>
    <cellStyle name="Standard 4 2 2 8 2 2 3 3" xfId="14453" xr:uid="{00000000-0005-0000-0000-000028390000}"/>
    <cellStyle name="Standard 4 2 2 8 2 2 4" xfId="14454" xr:uid="{00000000-0005-0000-0000-000029390000}"/>
    <cellStyle name="Standard 4 2 2 8 2 2 4 2" xfId="14455" xr:uid="{00000000-0005-0000-0000-00002A390000}"/>
    <cellStyle name="Standard 4 2 2 8 2 2 4 3" xfId="14456" xr:uid="{00000000-0005-0000-0000-00002B390000}"/>
    <cellStyle name="Standard 4 2 2 8 2 2 5" xfId="14457" xr:uid="{00000000-0005-0000-0000-00002C390000}"/>
    <cellStyle name="Standard 4 2 2 8 2 2 5 2" xfId="14458" xr:uid="{00000000-0005-0000-0000-00002D390000}"/>
    <cellStyle name="Standard 4 2 2 8 2 2 6" xfId="14459" xr:uid="{00000000-0005-0000-0000-00002E390000}"/>
    <cellStyle name="Standard 4 2 2 8 2 2 7" xfId="14460" xr:uid="{00000000-0005-0000-0000-00002F390000}"/>
    <cellStyle name="Standard 4 2 2 8 2 3" xfId="14461" xr:uid="{00000000-0005-0000-0000-000030390000}"/>
    <cellStyle name="Standard 4 2 2 8 2 3 2" xfId="14462" xr:uid="{00000000-0005-0000-0000-000031390000}"/>
    <cellStyle name="Standard 4 2 2 8 2 3 2 2" xfId="14463" xr:uid="{00000000-0005-0000-0000-000032390000}"/>
    <cellStyle name="Standard 4 2 2 8 2 3 2 3" xfId="14464" xr:uid="{00000000-0005-0000-0000-000033390000}"/>
    <cellStyle name="Standard 4 2 2 8 2 3 3" xfId="14465" xr:uid="{00000000-0005-0000-0000-000034390000}"/>
    <cellStyle name="Standard 4 2 2 8 2 3 3 2" xfId="14466" xr:uid="{00000000-0005-0000-0000-000035390000}"/>
    <cellStyle name="Standard 4 2 2 8 2 3 3 3" xfId="14467" xr:uid="{00000000-0005-0000-0000-000036390000}"/>
    <cellStyle name="Standard 4 2 2 8 2 3 4" xfId="14468" xr:uid="{00000000-0005-0000-0000-000037390000}"/>
    <cellStyle name="Standard 4 2 2 8 2 3 4 2" xfId="14469" xr:uid="{00000000-0005-0000-0000-000038390000}"/>
    <cellStyle name="Standard 4 2 2 8 2 3 5" xfId="14470" xr:uid="{00000000-0005-0000-0000-000039390000}"/>
    <cellStyle name="Standard 4 2 2 8 2 3 6" xfId="14471" xr:uid="{00000000-0005-0000-0000-00003A390000}"/>
    <cellStyle name="Standard 4 2 2 8 2 4" xfId="14472" xr:uid="{00000000-0005-0000-0000-00003B390000}"/>
    <cellStyle name="Standard 4 2 2 8 2 4 2" xfId="14473" xr:uid="{00000000-0005-0000-0000-00003C390000}"/>
    <cellStyle name="Standard 4 2 2 8 2 4 3" xfId="14474" xr:uid="{00000000-0005-0000-0000-00003D390000}"/>
    <cellStyle name="Standard 4 2 2 8 2 5" xfId="14475" xr:uid="{00000000-0005-0000-0000-00003E390000}"/>
    <cellStyle name="Standard 4 2 2 8 2 5 2" xfId="14476" xr:uid="{00000000-0005-0000-0000-00003F390000}"/>
    <cellStyle name="Standard 4 2 2 8 2 5 3" xfId="14477" xr:uid="{00000000-0005-0000-0000-000040390000}"/>
    <cellStyle name="Standard 4 2 2 8 2 6" xfId="14478" xr:uid="{00000000-0005-0000-0000-000041390000}"/>
    <cellStyle name="Standard 4 2 2 8 2 6 2" xfId="14479" xr:uid="{00000000-0005-0000-0000-000042390000}"/>
    <cellStyle name="Standard 4 2 2 8 2 7" xfId="14480" xr:uid="{00000000-0005-0000-0000-000043390000}"/>
    <cellStyle name="Standard 4 2 2 8 2 8" xfId="14481" xr:uid="{00000000-0005-0000-0000-000044390000}"/>
    <cellStyle name="Standard 4 2 2 8 3" xfId="14482" xr:uid="{00000000-0005-0000-0000-000045390000}"/>
    <cellStyle name="Standard 4 2 2 8 3 2" xfId="14483" xr:uid="{00000000-0005-0000-0000-000046390000}"/>
    <cellStyle name="Standard 4 2 2 8 3 2 2" xfId="14484" xr:uid="{00000000-0005-0000-0000-000047390000}"/>
    <cellStyle name="Standard 4 2 2 8 3 2 2 2" xfId="14485" xr:uid="{00000000-0005-0000-0000-000048390000}"/>
    <cellStyle name="Standard 4 2 2 8 3 2 2 3" xfId="14486" xr:uid="{00000000-0005-0000-0000-000049390000}"/>
    <cellStyle name="Standard 4 2 2 8 3 2 3" xfId="14487" xr:uid="{00000000-0005-0000-0000-00004A390000}"/>
    <cellStyle name="Standard 4 2 2 8 3 2 3 2" xfId="14488" xr:uid="{00000000-0005-0000-0000-00004B390000}"/>
    <cellStyle name="Standard 4 2 2 8 3 2 3 3" xfId="14489" xr:uid="{00000000-0005-0000-0000-00004C390000}"/>
    <cellStyle name="Standard 4 2 2 8 3 2 4" xfId="14490" xr:uid="{00000000-0005-0000-0000-00004D390000}"/>
    <cellStyle name="Standard 4 2 2 8 3 2 4 2" xfId="14491" xr:uid="{00000000-0005-0000-0000-00004E390000}"/>
    <cellStyle name="Standard 4 2 2 8 3 2 5" xfId="14492" xr:uid="{00000000-0005-0000-0000-00004F390000}"/>
    <cellStyle name="Standard 4 2 2 8 3 2 6" xfId="14493" xr:uid="{00000000-0005-0000-0000-000050390000}"/>
    <cellStyle name="Standard 4 2 2 8 3 3" xfId="14494" xr:uid="{00000000-0005-0000-0000-000051390000}"/>
    <cellStyle name="Standard 4 2 2 8 3 3 2" xfId="14495" xr:uid="{00000000-0005-0000-0000-000052390000}"/>
    <cellStyle name="Standard 4 2 2 8 3 3 3" xfId="14496" xr:uid="{00000000-0005-0000-0000-000053390000}"/>
    <cellStyle name="Standard 4 2 2 8 3 4" xfId="14497" xr:uid="{00000000-0005-0000-0000-000054390000}"/>
    <cellStyle name="Standard 4 2 2 8 3 4 2" xfId="14498" xr:uid="{00000000-0005-0000-0000-000055390000}"/>
    <cellStyle name="Standard 4 2 2 8 3 4 3" xfId="14499" xr:uid="{00000000-0005-0000-0000-000056390000}"/>
    <cellStyle name="Standard 4 2 2 8 3 5" xfId="14500" xr:uid="{00000000-0005-0000-0000-000057390000}"/>
    <cellStyle name="Standard 4 2 2 8 3 5 2" xfId="14501" xr:uid="{00000000-0005-0000-0000-000058390000}"/>
    <cellStyle name="Standard 4 2 2 8 3 6" xfId="14502" xr:uid="{00000000-0005-0000-0000-000059390000}"/>
    <cellStyle name="Standard 4 2 2 8 3 7" xfId="14503" xr:uid="{00000000-0005-0000-0000-00005A390000}"/>
    <cellStyle name="Standard 4 2 2 8 4" xfId="14504" xr:uid="{00000000-0005-0000-0000-00005B390000}"/>
    <cellStyle name="Standard 4 2 2 8 4 2" xfId="14505" xr:uid="{00000000-0005-0000-0000-00005C390000}"/>
    <cellStyle name="Standard 4 2 2 8 4 2 2" xfId="14506" xr:uid="{00000000-0005-0000-0000-00005D390000}"/>
    <cellStyle name="Standard 4 2 2 8 4 2 3" xfId="14507" xr:uid="{00000000-0005-0000-0000-00005E390000}"/>
    <cellStyle name="Standard 4 2 2 8 4 3" xfId="14508" xr:uid="{00000000-0005-0000-0000-00005F390000}"/>
    <cellStyle name="Standard 4 2 2 8 4 3 2" xfId="14509" xr:uid="{00000000-0005-0000-0000-000060390000}"/>
    <cellStyle name="Standard 4 2 2 8 4 3 3" xfId="14510" xr:uid="{00000000-0005-0000-0000-000061390000}"/>
    <cellStyle name="Standard 4 2 2 8 4 4" xfId="14511" xr:uid="{00000000-0005-0000-0000-000062390000}"/>
    <cellStyle name="Standard 4 2 2 8 4 4 2" xfId="14512" xr:uid="{00000000-0005-0000-0000-000063390000}"/>
    <cellStyle name="Standard 4 2 2 8 4 5" xfId="14513" xr:uid="{00000000-0005-0000-0000-000064390000}"/>
    <cellStyle name="Standard 4 2 2 8 4 6" xfId="14514" xr:uid="{00000000-0005-0000-0000-000065390000}"/>
    <cellStyle name="Standard 4 2 2 8 5" xfId="14515" xr:uid="{00000000-0005-0000-0000-000066390000}"/>
    <cellStyle name="Standard 4 2 2 8 5 2" xfId="14516" xr:uid="{00000000-0005-0000-0000-000067390000}"/>
    <cellStyle name="Standard 4 2 2 8 5 3" xfId="14517" xr:uid="{00000000-0005-0000-0000-000068390000}"/>
    <cellStyle name="Standard 4 2 2 8 6" xfId="14518" xr:uid="{00000000-0005-0000-0000-000069390000}"/>
    <cellStyle name="Standard 4 2 2 8 6 2" xfId="14519" xr:uid="{00000000-0005-0000-0000-00006A390000}"/>
    <cellStyle name="Standard 4 2 2 8 6 3" xfId="14520" xr:uid="{00000000-0005-0000-0000-00006B390000}"/>
    <cellStyle name="Standard 4 2 2 8 7" xfId="14521" xr:uid="{00000000-0005-0000-0000-00006C390000}"/>
    <cellStyle name="Standard 4 2 2 8 7 2" xfId="14522" xr:uid="{00000000-0005-0000-0000-00006D390000}"/>
    <cellStyle name="Standard 4 2 2 8 8" xfId="14523" xr:uid="{00000000-0005-0000-0000-00006E390000}"/>
    <cellStyle name="Standard 4 2 2 8 9" xfId="14524" xr:uid="{00000000-0005-0000-0000-00006F390000}"/>
    <cellStyle name="Standard 4 2 2 9" xfId="14525" xr:uid="{00000000-0005-0000-0000-000070390000}"/>
    <cellStyle name="Standard 4 2 2 9 2" xfId="14526" xr:uid="{00000000-0005-0000-0000-000071390000}"/>
    <cellStyle name="Standard 4 2 2 9 2 2" xfId="14527" xr:uid="{00000000-0005-0000-0000-000072390000}"/>
    <cellStyle name="Standard 4 2 2 9 2 2 2" xfId="14528" xr:uid="{00000000-0005-0000-0000-000073390000}"/>
    <cellStyle name="Standard 4 2 2 9 2 2 2 2" xfId="14529" xr:uid="{00000000-0005-0000-0000-000074390000}"/>
    <cellStyle name="Standard 4 2 2 9 2 2 2 3" xfId="14530" xr:uid="{00000000-0005-0000-0000-000075390000}"/>
    <cellStyle name="Standard 4 2 2 9 2 2 3" xfId="14531" xr:uid="{00000000-0005-0000-0000-000076390000}"/>
    <cellStyle name="Standard 4 2 2 9 2 2 3 2" xfId="14532" xr:uid="{00000000-0005-0000-0000-000077390000}"/>
    <cellStyle name="Standard 4 2 2 9 2 2 3 3" xfId="14533" xr:uid="{00000000-0005-0000-0000-000078390000}"/>
    <cellStyle name="Standard 4 2 2 9 2 2 4" xfId="14534" xr:uid="{00000000-0005-0000-0000-000079390000}"/>
    <cellStyle name="Standard 4 2 2 9 2 2 4 2" xfId="14535" xr:uid="{00000000-0005-0000-0000-00007A390000}"/>
    <cellStyle name="Standard 4 2 2 9 2 2 5" xfId="14536" xr:uid="{00000000-0005-0000-0000-00007B390000}"/>
    <cellStyle name="Standard 4 2 2 9 2 2 6" xfId="14537" xr:uid="{00000000-0005-0000-0000-00007C390000}"/>
    <cellStyle name="Standard 4 2 2 9 2 3" xfId="14538" xr:uid="{00000000-0005-0000-0000-00007D390000}"/>
    <cellStyle name="Standard 4 2 2 9 2 3 2" xfId="14539" xr:uid="{00000000-0005-0000-0000-00007E390000}"/>
    <cellStyle name="Standard 4 2 2 9 2 3 3" xfId="14540" xr:uid="{00000000-0005-0000-0000-00007F390000}"/>
    <cellStyle name="Standard 4 2 2 9 2 4" xfId="14541" xr:uid="{00000000-0005-0000-0000-000080390000}"/>
    <cellStyle name="Standard 4 2 2 9 2 4 2" xfId="14542" xr:uid="{00000000-0005-0000-0000-000081390000}"/>
    <cellStyle name="Standard 4 2 2 9 2 4 3" xfId="14543" xr:uid="{00000000-0005-0000-0000-000082390000}"/>
    <cellStyle name="Standard 4 2 2 9 2 5" xfId="14544" xr:uid="{00000000-0005-0000-0000-000083390000}"/>
    <cellStyle name="Standard 4 2 2 9 2 5 2" xfId="14545" xr:uid="{00000000-0005-0000-0000-000084390000}"/>
    <cellStyle name="Standard 4 2 2 9 2 6" xfId="14546" xr:uid="{00000000-0005-0000-0000-000085390000}"/>
    <cellStyle name="Standard 4 2 2 9 2 7" xfId="14547" xr:uid="{00000000-0005-0000-0000-000086390000}"/>
    <cellStyle name="Standard 4 2 2 9 3" xfId="14548" xr:uid="{00000000-0005-0000-0000-000087390000}"/>
    <cellStyle name="Standard 4 2 2 9 3 2" xfId="14549" xr:uid="{00000000-0005-0000-0000-000088390000}"/>
    <cellStyle name="Standard 4 2 2 9 3 2 2" xfId="14550" xr:uid="{00000000-0005-0000-0000-000089390000}"/>
    <cellStyle name="Standard 4 2 2 9 3 2 3" xfId="14551" xr:uid="{00000000-0005-0000-0000-00008A390000}"/>
    <cellStyle name="Standard 4 2 2 9 3 3" xfId="14552" xr:uid="{00000000-0005-0000-0000-00008B390000}"/>
    <cellStyle name="Standard 4 2 2 9 3 3 2" xfId="14553" xr:uid="{00000000-0005-0000-0000-00008C390000}"/>
    <cellStyle name="Standard 4 2 2 9 3 3 3" xfId="14554" xr:uid="{00000000-0005-0000-0000-00008D390000}"/>
    <cellStyle name="Standard 4 2 2 9 3 4" xfId="14555" xr:uid="{00000000-0005-0000-0000-00008E390000}"/>
    <cellStyle name="Standard 4 2 2 9 3 4 2" xfId="14556" xr:uid="{00000000-0005-0000-0000-00008F390000}"/>
    <cellStyle name="Standard 4 2 2 9 3 5" xfId="14557" xr:uid="{00000000-0005-0000-0000-000090390000}"/>
    <cellStyle name="Standard 4 2 2 9 3 6" xfId="14558" xr:uid="{00000000-0005-0000-0000-000091390000}"/>
    <cellStyle name="Standard 4 2 2 9 4" xfId="14559" xr:uid="{00000000-0005-0000-0000-000092390000}"/>
    <cellStyle name="Standard 4 2 2 9 4 2" xfId="14560" xr:uid="{00000000-0005-0000-0000-000093390000}"/>
    <cellStyle name="Standard 4 2 2 9 4 3" xfId="14561" xr:uid="{00000000-0005-0000-0000-000094390000}"/>
    <cellStyle name="Standard 4 2 2 9 5" xfId="14562" xr:uid="{00000000-0005-0000-0000-000095390000}"/>
    <cellStyle name="Standard 4 2 2 9 5 2" xfId="14563" xr:uid="{00000000-0005-0000-0000-000096390000}"/>
    <cellStyle name="Standard 4 2 2 9 5 3" xfId="14564" xr:uid="{00000000-0005-0000-0000-000097390000}"/>
    <cellStyle name="Standard 4 2 2 9 6" xfId="14565" xr:uid="{00000000-0005-0000-0000-000098390000}"/>
    <cellStyle name="Standard 4 2 2 9 6 2" xfId="14566" xr:uid="{00000000-0005-0000-0000-000099390000}"/>
    <cellStyle name="Standard 4 2 2 9 7" xfId="14567" xr:uid="{00000000-0005-0000-0000-00009A390000}"/>
    <cellStyle name="Standard 4 2 2 9 8" xfId="14568" xr:uid="{00000000-0005-0000-0000-00009B390000}"/>
    <cellStyle name="Standard 4 2 3" xfId="14569" xr:uid="{00000000-0005-0000-0000-00009C390000}"/>
    <cellStyle name="Standard 4 2 3 10" xfId="14570" xr:uid="{00000000-0005-0000-0000-00009D390000}"/>
    <cellStyle name="Standard 4 2 3 10 2" xfId="14571" xr:uid="{00000000-0005-0000-0000-00009E390000}"/>
    <cellStyle name="Standard 4 2 3 10 3" xfId="14572" xr:uid="{00000000-0005-0000-0000-00009F390000}"/>
    <cellStyle name="Standard 4 2 3 11" xfId="14573" xr:uid="{00000000-0005-0000-0000-0000A0390000}"/>
    <cellStyle name="Standard 4 2 3 11 2" xfId="14574" xr:uid="{00000000-0005-0000-0000-0000A1390000}"/>
    <cellStyle name="Standard 4 2 3 11 3" xfId="14575" xr:uid="{00000000-0005-0000-0000-0000A2390000}"/>
    <cellStyle name="Standard 4 2 3 12" xfId="14576" xr:uid="{00000000-0005-0000-0000-0000A3390000}"/>
    <cellStyle name="Standard 4 2 3 12 2" xfId="14577" xr:uid="{00000000-0005-0000-0000-0000A4390000}"/>
    <cellStyle name="Standard 4 2 3 13" xfId="14578" xr:uid="{00000000-0005-0000-0000-0000A5390000}"/>
    <cellStyle name="Standard 4 2 3 14" xfId="14579" xr:uid="{00000000-0005-0000-0000-0000A6390000}"/>
    <cellStyle name="Standard 4 2 3 15" xfId="33459" xr:uid="{00000000-0005-0000-0000-0000A7390000}"/>
    <cellStyle name="Standard 4 2 3 2" xfId="14580" xr:uid="{00000000-0005-0000-0000-0000A8390000}"/>
    <cellStyle name="Standard 4 2 3 2 10" xfId="14581" xr:uid="{00000000-0005-0000-0000-0000A9390000}"/>
    <cellStyle name="Standard 4 2 3 2 10 2" xfId="14582" xr:uid="{00000000-0005-0000-0000-0000AA390000}"/>
    <cellStyle name="Standard 4 2 3 2 11" xfId="14583" xr:uid="{00000000-0005-0000-0000-0000AB390000}"/>
    <cellStyle name="Standard 4 2 3 2 12" xfId="14584" xr:uid="{00000000-0005-0000-0000-0000AC390000}"/>
    <cellStyle name="Standard 4 2 3 2 13" xfId="33460" xr:uid="{00000000-0005-0000-0000-0000AD390000}"/>
    <cellStyle name="Standard 4 2 3 2 2" xfId="14585" xr:uid="{00000000-0005-0000-0000-0000AE390000}"/>
    <cellStyle name="Standard 4 2 3 2 2 10" xfId="14586" xr:uid="{00000000-0005-0000-0000-0000AF390000}"/>
    <cellStyle name="Standard 4 2 3 2 2 11" xfId="14587" xr:uid="{00000000-0005-0000-0000-0000B0390000}"/>
    <cellStyle name="Standard 4 2 3 2 2 12" xfId="33461" xr:uid="{00000000-0005-0000-0000-0000B1390000}"/>
    <cellStyle name="Standard 4 2 3 2 2 2" xfId="14588" xr:uid="{00000000-0005-0000-0000-0000B2390000}"/>
    <cellStyle name="Standard 4 2 3 2 2 2 10" xfId="14589" xr:uid="{00000000-0005-0000-0000-0000B3390000}"/>
    <cellStyle name="Standard 4 2 3 2 2 2 2" xfId="14590" xr:uid="{00000000-0005-0000-0000-0000B4390000}"/>
    <cellStyle name="Standard 4 2 3 2 2 2 2 2" xfId="14591" xr:uid="{00000000-0005-0000-0000-0000B5390000}"/>
    <cellStyle name="Standard 4 2 3 2 2 2 2 2 2" xfId="14592" xr:uid="{00000000-0005-0000-0000-0000B6390000}"/>
    <cellStyle name="Standard 4 2 3 2 2 2 2 2 2 2" xfId="14593" xr:uid="{00000000-0005-0000-0000-0000B7390000}"/>
    <cellStyle name="Standard 4 2 3 2 2 2 2 2 2 2 2" xfId="14594" xr:uid="{00000000-0005-0000-0000-0000B8390000}"/>
    <cellStyle name="Standard 4 2 3 2 2 2 2 2 2 2 3" xfId="14595" xr:uid="{00000000-0005-0000-0000-0000B9390000}"/>
    <cellStyle name="Standard 4 2 3 2 2 2 2 2 2 3" xfId="14596" xr:uid="{00000000-0005-0000-0000-0000BA390000}"/>
    <cellStyle name="Standard 4 2 3 2 2 2 2 2 2 3 2" xfId="14597" xr:uid="{00000000-0005-0000-0000-0000BB390000}"/>
    <cellStyle name="Standard 4 2 3 2 2 2 2 2 2 3 3" xfId="14598" xr:uid="{00000000-0005-0000-0000-0000BC390000}"/>
    <cellStyle name="Standard 4 2 3 2 2 2 2 2 2 4" xfId="14599" xr:uid="{00000000-0005-0000-0000-0000BD390000}"/>
    <cellStyle name="Standard 4 2 3 2 2 2 2 2 2 4 2" xfId="14600" xr:uid="{00000000-0005-0000-0000-0000BE390000}"/>
    <cellStyle name="Standard 4 2 3 2 2 2 2 2 2 5" xfId="14601" xr:uid="{00000000-0005-0000-0000-0000BF390000}"/>
    <cellStyle name="Standard 4 2 3 2 2 2 2 2 2 6" xfId="14602" xr:uid="{00000000-0005-0000-0000-0000C0390000}"/>
    <cellStyle name="Standard 4 2 3 2 2 2 2 2 3" xfId="14603" xr:uid="{00000000-0005-0000-0000-0000C1390000}"/>
    <cellStyle name="Standard 4 2 3 2 2 2 2 2 3 2" xfId="14604" xr:uid="{00000000-0005-0000-0000-0000C2390000}"/>
    <cellStyle name="Standard 4 2 3 2 2 2 2 2 3 3" xfId="14605" xr:uid="{00000000-0005-0000-0000-0000C3390000}"/>
    <cellStyle name="Standard 4 2 3 2 2 2 2 2 4" xfId="14606" xr:uid="{00000000-0005-0000-0000-0000C4390000}"/>
    <cellStyle name="Standard 4 2 3 2 2 2 2 2 4 2" xfId="14607" xr:uid="{00000000-0005-0000-0000-0000C5390000}"/>
    <cellStyle name="Standard 4 2 3 2 2 2 2 2 4 3" xfId="14608" xr:uid="{00000000-0005-0000-0000-0000C6390000}"/>
    <cellStyle name="Standard 4 2 3 2 2 2 2 2 5" xfId="14609" xr:uid="{00000000-0005-0000-0000-0000C7390000}"/>
    <cellStyle name="Standard 4 2 3 2 2 2 2 2 5 2" xfId="14610" xr:uid="{00000000-0005-0000-0000-0000C8390000}"/>
    <cellStyle name="Standard 4 2 3 2 2 2 2 2 6" xfId="14611" xr:uid="{00000000-0005-0000-0000-0000C9390000}"/>
    <cellStyle name="Standard 4 2 3 2 2 2 2 2 7" xfId="14612" xr:uid="{00000000-0005-0000-0000-0000CA390000}"/>
    <cellStyle name="Standard 4 2 3 2 2 2 2 3" xfId="14613" xr:uid="{00000000-0005-0000-0000-0000CB390000}"/>
    <cellStyle name="Standard 4 2 3 2 2 2 2 3 2" xfId="14614" xr:uid="{00000000-0005-0000-0000-0000CC390000}"/>
    <cellStyle name="Standard 4 2 3 2 2 2 2 3 2 2" xfId="14615" xr:uid="{00000000-0005-0000-0000-0000CD390000}"/>
    <cellStyle name="Standard 4 2 3 2 2 2 2 3 2 3" xfId="14616" xr:uid="{00000000-0005-0000-0000-0000CE390000}"/>
    <cellStyle name="Standard 4 2 3 2 2 2 2 3 3" xfId="14617" xr:uid="{00000000-0005-0000-0000-0000CF390000}"/>
    <cellStyle name="Standard 4 2 3 2 2 2 2 3 3 2" xfId="14618" xr:uid="{00000000-0005-0000-0000-0000D0390000}"/>
    <cellStyle name="Standard 4 2 3 2 2 2 2 3 3 3" xfId="14619" xr:uid="{00000000-0005-0000-0000-0000D1390000}"/>
    <cellStyle name="Standard 4 2 3 2 2 2 2 3 4" xfId="14620" xr:uid="{00000000-0005-0000-0000-0000D2390000}"/>
    <cellStyle name="Standard 4 2 3 2 2 2 2 3 4 2" xfId="14621" xr:uid="{00000000-0005-0000-0000-0000D3390000}"/>
    <cellStyle name="Standard 4 2 3 2 2 2 2 3 5" xfId="14622" xr:uid="{00000000-0005-0000-0000-0000D4390000}"/>
    <cellStyle name="Standard 4 2 3 2 2 2 2 3 6" xfId="14623" xr:uid="{00000000-0005-0000-0000-0000D5390000}"/>
    <cellStyle name="Standard 4 2 3 2 2 2 2 4" xfId="14624" xr:uid="{00000000-0005-0000-0000-0000D6390000}"/>
    <cellStyle name="Standard 4 2 3 2 2 2 2 4 2" xfId="14625" xr:uid="{00000000-0005-0000-0000-0000D7390000}"/>
    <cellStyle name="Standard 4 2 3 2 2 2 2 4 3" xfId="14626" xr:uid="{00000000-0005-0000-0000-0000D8390000}"/>
    <cellStyle name="Standard 4 2 3 2 2 2 2 5" xfId="14627" xr:uid="{00000000-0005-0000-0000-0000D9390000}"/>
    <cellStyle name="Standard 4 2 3 2 2 2 2 5 2" xfId="14628" xr:uid="{00000000-0005-0000-0000-0000DA390000}"/>
    <cellStyle name="Standard 4 2 3 2 2 2 2 5 3" xfId="14629" xr:uid="{00000000-0005-0000-0000-0000DB390000}"/>
    <cellStyle name="Standard 4 2 3 2 2 2 2 6" xfId="14630" xr:uid="{00000000-0005-0000-0000-0000DC390000}"/>
    <cellStyle name="Standard 4 2 3 2 2 2 2 6 2" xfId="14631" xr:uid="{00000000-0005-0000-0000-0000DD390000}"/>
    <cellStyle name="Standard 4 2 3 2 2 2 2 7" xfId="14632" xr:uid="{00000000-0005-0000-0000-0000DE390000}"/>
    <cellStyle name="Standard 4 2 3 2 2 2 2 8" xfId="14633" xr:uid="{00000000-0005-0000-0000-0000DF390000}"/>
    <cellStyle name="Standard 4 2 3 2 2 2 3" xfId="14634" xr:uid="{00000000-0005-0000-0000-0000E0390000}"/>
    <cellStyle name="Standard 4 2 3 2 2 2 3 2" xfId="14635" xr:uid="{00000000-0005-0000-0000-0000E1390000}"/>
    <cellStyle name="Standard 4 2 3 2 2 2 3 2 2" xfId="14636" xr:uid="{00000000-0005-0000-0000-0000E2390000}"/>
    <cellStyle name="Standard 4 2 3 2 2 2 3 2 2 2" xfId="14637" xr:uid="{00000000-0005-0000-0000-0000E3390000}"/>
    <cellStyle name="Standard 4 2 3 2 2 2 3 2 2 2 2" xfId="14638" xr:uid="{00000000-0005-0000-0000-0000E4390000}"/>
    <cellStyle name="Standard 4 2 3 2 2 2 3 2 2 2 3" xfId="14639" xr:uid="{00000000-0005-0000-0000-0000E5390000}"/>
    <cellStyle name="Standard 4 2 3 2 2 2 3 2 2 3" xfId="14640" xr:uid="{00000000-0005-0000-0000-0000E6390000}"/>
    <cellStyle name="Standard 4 2 3 2 2 2 3 2 2 3 2" xfId="14641" xr:uid="{00000000-0005-0000-0000-0000E7390000}"/>
    <cellStyle name="Standard 4 2 3 2 2 2 3 2 2 3 3" xfId="14642" xr:uid="{00000000-0005-0000-0000-0000E8390000}"/>
    <cellStyle name="Standard 4 2 3 2 2 2 3 2 2 4" xfId="14643" xr:uid="{00000000-0005-0000-0000-0000E9390000}"/>
    <cellStyle name="Standard 4 2 3 2 2 2 3 2 2 4 2" xfId="14644" xr:uid="{00000000-0005-0000-0000-0000EA390000}"/>
    <cellStyle name="Standard 4 2 3 2 2 2 3 2 2 5" xfId="14645" xr:uid="{00000000-0005-0000-0000-0000EB390000}"/>
    <cellStyle name="Standard 4 2 3 2 2 2 3 2 2 6" xfId="14646" xr:uid="{00000000-0005-0000-0000-0000EC390000}"/>
    <cellStyle name="Standard 4 2 3 2 2 2 3 2 3" xfId="14647" xr:uid="{00000000-0005-0000-0000-0000ED390000}"/>
    <cellStyle name="Standard 4 2 3 2 2 2 3 2 3 2" xfId="14648" xr:uid="{00000000-0005-0000-0000-0000EE390000}"/>
    <cellStyle name="Standard 4 2 3 2 2 2 3 2 3 3" xfId="14649" xr:uid="{00000000-0005-0000-0000-0000EF390000}"/>
    <cellStyle name="Standard 4 2 3 2 2 2 3 2 4" xfId="14650" xr:uid="{00000000-0005-0000-0000-0000F0390000}"/>
    <cellStyle name="Standard 4 2 3 2 2 2 3 2 4 2" xfId="14651" xr:uid="{00000000-0005-0000-0000-0000F1390000}"/>
    <cellStyle name="Standard 4 2 3 2 2 2 3 2 4 3" xfId="14652" xr:uid="{00000000-0005-0000-0000-0000F2390000}"/>
    <cellStyle name="Standard 4 2 3 2 2 2 3 2 5" xfId="14653" xr:uid="{00000000-0005-0000-0000-0000F3390000}"/>
    <cellStyle name="Standard 4 2 3 2 2 2 3 2 5 2" xfId="14654" xr:uid="{00000000-0005-0000-0000-0000F4390000}"/>
    <cellStyle name="Standard 4 2 3 2 2 2 3 2 6" xfId="14655" xr:uid="{00000000-0005-0000-0000-0000F5390000}"/>
    <cellStyle name="Standard 4 2 3 2 2 2 3 2 7" xfId="14656" xr:uid="{00000000-0005-0000-0000-0000F6390000}"/>
    <cellStyle name="Standard 4 2 3 2 2 2 3 3" xfId="14657" xr:uid="{00000000-0005-0000-0000-0000F7390000}"/>
    <cellStyle name="Standard 4 2 3 2 2 2 3 3 2" xfId="14658" xr:uid="{00000000-0005-0000-0000-0000F8390000}"/>
    <cellStyle name="Standard 4 2 3 2 2 2 3 3 2 2" xfId="14659" xr:uid="{00000000-0005-0000-0000-0000F9390000}"/>
    <cellStyle name="Standard 4 2 3 2 2 2 3 3 2 3" xfId="14660" xr:uid="{00000000-0005-0000-0000-0000FA390000}"/>
    <cellStyle name="Standard 4 2 3 2 2 2 3 3 3" xfId="14661" xr:uid="{00000000-0005-0000-0000-0000FB390000}"/>
    <cellStyle name="Standard 4 2 3 2 2 2 3 3 3 2" xfId="14662" xr:uid="{00000000-0005-0000-0000-0000FC390000}"/>
    <cellStyle name="Standard 4 2 3 2 2 2 3 3 3 3" xfId="14663" xr:uid="{00000000-0005-0000-0000-0000FD390000}"/>
    <cellStyle name="Standard 4 2 3 2 2 2 3 3 4" xfId="14664" xr:uid="{00000000-0005-0000-0000-0000FE390000}"/>
    <cellStyle name="Standard 4 2 3 2 2 2 3 3 4 2" xfId="14665" xr:uid="{00000000-0005-0000-0000-0000FF390000}"/>
    <cellStyle name="Standard 4 2 3 2 2 2 3 3 5" xfId="14666" xr:uid="{00000000-0005-0000-0000-0000003A0000}"/>
    <cellStyle name="Standard 4 2 3 2 2 2 3 3 6" xfId="14667" xr:uid="{00000000-0005-0000-0000-0000013A0000}"/>
    <cellStyle name="Standard 4 2 3 2 2 2 3 4" xfId="14668" xr:uid="{00000000-0005-0000-0000-0000023A0000}"/>
    <cellStyle name="Standard 4 2 3 2 2 2 3 4 2" xfId="14669" xr:uid="{00000000-0005-0000-0000-0000033A0000}"/>
    <cellStyle name="Standard 4 2 3 2 2 2 3 4 3" xfId="14670" xr:uid="{00000000-0005-0000-0000-0000043A0000}"/>
    <cellStyle name="Standard 4 2 3 2 2 2 3 5" xfId="14671" xr:uid="{00000000-0005-0000-0000-0000053A0000}"/>
    <cellStyle name="Standard 4 2 3 2 2 2 3 5 2" xfId="14672" xr:uid="{00000000-0005-0000-0000-0000063A0000}"/>
    <cellStyle name="Standard 4 2 3 2 2 2 3 5 3" xfId="14673" xr:uid="{00000000-0005-0000-0000-0000073A0000}"/>
    <cellStyle name="Standard 4 2 3 2 2 2 3 6" xfId="14674" xr:uid="{00000000-0005-0000-0000-0000083A0000}"/>
    <cellStyle name="Standard 4 2 3 2 2 2 3 6 2" xfId="14675" xr:uid="{00000000-0005-0000-0000-0000093A0000}"/>
    <cellStyle name="Standard 4 2 3 2 2 2 3 7" xfId="14676" xr:uid="{00000000-0005-0000-0000-00000A3A0000}"/>
    <cellStyle name="Standard 4 2 3 2 2 2 3 8" xfId="14677" xr:uid="{00000000-0005-0000-0000-00000B3A0000}"/>
    <cellStyle name="Standard 4 2 3 2 2 2 4" xfId="14678" xr:uid="{00000000-0005-0000-0000-00000C3A0000}"/>
    <cellStyle name="Standard 4 2 3 2 2 2 4 2" xfId="14679" xr:uid="{00000000-0005-0000-0000-00000D3A0000}"/>
    <cellStyle name="Standard 4 2 3 2 2 2 4 2 2" xfId="14680" xr:uid="{00000000-0005-0000-0000-00000E3A0000}"/>
    <cellStyle name="Standard 4 2 3 2 2 2 4 2 2 2" xfId="14681" xr:uid="{00000000-0005-0000-0000-00000F3A0000}"/>
    <cellStyle name="Standard 4 2 3 2 2 2 4 2 2 3" xfId="14682" xr:uid="{00000000-0005-0000-0000-0000103A0000}"/>
    <cellStyle name="Standard 4 2 3 2 2 2 4 2 3" xfId="14683" xr:uid="{00000000-0005-0000-0000-0000113A0000}"/>
    <cellStyle name="Standard 4 2 3 2 2 2 4 2 3 2" xfId="14684" xr:uid="{00000000-0005-0000-0000-0000123A0000}"/>
    <cellStyle name="Standard 4 2 3 2 2 2 4 2 3 3" xfId="14685" xr:uid="{00000000-0005-0000-0000-0000133A0000}"/>
    <cellStyle name="Standard 4 2 3 2 2 2 4 2 4" xfId="14686" xr:uid="{00000000-0005-0000-0000-0000143A0000}"/>
    <cellStyle name="Standard 4 2 3 2 2 2 4 2 4 2" xfId="14687" xr:uid="{00000000-0005-0000-0000-0000153A0000}"/>
    <cellStyle name="Standard 4 2 3 2 2 2 4 2 5" xfId="14688" xr:uid="{00000000-0005-0000-0000-0000163A0000}"/>
    <cellStyle name="Standard 4 2 3 2 2 2 4 2 6" xfId="14689" xr:uid="{00000000-0005-0000-0000-0000173A0000}"/>
    <cellStyle name="Standard 4 2 3 2 2 2 4 3" xfId="14690" xr:uid="{00000000-0005-0000-0000-0000183A0000}"/>
    <cellStyle name="Standard 4 2 3 2 2 2 4 3 2" xfId="14691" xr:uid="{00000000-0005-0000-0000-0000193A0000}"/>
    <cellStyle name="Standard 4 2 3 2 2 2 4 3 3" xfId="14692" xr:uid="{00000000-0005-0000-0000-00001A3A0000}"/>
    <cellStyle name="Standard 4 2 3 2 2 2 4 4" xfId="14693" xr:uid="{00000000-0005-0000-0000-00001B3A0000}"/>
    <cellStyle name="Standard 4 2 3 2 2 2 4 4 2" xfId="14694" xr:uid="{00000000-0005-0000-0000-00001C3A0000}"/>
    <cellStyle name="Standard 4 2 3 2 2 2 4 4 3" xfId="14695" xr:uid="{00000000-0005-0000-0000-00001D3A0000}"/>
    <cellStyle name="Standard 4 2 3 2 2 2 4 5" xfId="14696" xr:uid="{00000000-0005-0000-0000-00001E3A0000}"/>
    <cellStyle name="Standard 4 2 3 2 2 2 4 5 2" xfId="14697" xr:uid="{00000000-0005-0000-0000-00001F3A0000}"/>
    <cellStyle name="Standard 4 2 3 2 2 2 4 6" xfId="14698" xr:uid="{00000000-0005-0000-0000-0000203A0000}"/>
    <cellStyle name="Standard 4 2 3 2 2 2 4 7" xfId="14699" xr:uid="{00000000-0005-0000-0000-0000213A0000}"/>
    <cellStyle name="Standard 4 2 3 2 2 2 5" xfId="14700" xr:uid="{00000000-0005-0000-0000-0000223A0000}"/>
    <cellStyle name="Standard 4 2 3 2 2 2 5 2" xfId="14701" xr:uid="{00000000-0005-0000-0000-0000233A0000}"/>
    <cellStyle name="Standard 4 2 3 2 2 2 5 2 2" xfId="14702" xr:uid="{00000000-0005-0000-0000-0000243A0000}"/>
    <cellStyle name="Standard 4 2 3 2 2 2 5 2 3" xfId="14703" xr:uid="{00000000-0005-0000-0000-0000253A0000}"/>
    <cellStyle name="Standard 4 2 3 2 2 2 5 3" xfId="14704" xr:uid="{00000000-0005-0000-0000-0000263A0000}"/>
    <cellStyle name="Standard 4 2 3 2 2 2 5 3 2" xfId="14705" xr:uid="{00000000-0005-0000-0000-0000273A0000}"/>
    <cellStyle name="Standard 4 2 3 2 2 2 5 3 3" xfId="14706" xr:uid="{00000000-0005-0000-0000-0000283A0000}"/>
    <cellStyle name="Standard 4 2 3 2 2 2 5 4" xfId="14707" xr:uid="{00000000-0005-0000-0000-0000293A0000}"/>
    <cellStyle name="Standard 4 2 3 2 2 2 5 4 2" xfId="14708" xr:uid="{00000000-0005-0000-0000-00002A3A0000}"/>
    <cellStyle name="Standard 4 2 3 2 2 2 5 5" xfId="14709" xr:uid="{00000000-0005-0000-0000-00002B3A0000}"/>
    <cellStyle name="Standard 4 2 3 2 2 2 5 6" xfId="14710" xr:uid="{00000000-0005-0000-0000-00002C3A0000}"/>
    <cellStyle name="Standard 4 2 3 2 2 2 6" xfId="14711" xr:uid="{00000000-0005-0000-0000-00002D3A0000}"/>
    <cellStyle name="Standard 4 2 3 2 2 2 6 2" xfId="14712" xr:uid="{00000000-0005-0000-0000-00002E3A0000}"/>
    <cellStyle name="Standard 4 2 3 2 2 2 6 3" xfId="14713" xr:uid="{00000000-0005-0000-0000-00002F3A0000}"/>
    <cellStyle name="Standard 4 2 3 2 2 2 7" xfId="14714" xr:uid="{00000000-0005-0000-0000-0000303A0000}"/>
    <cellStyle name="Standard 4 2 3 2 2 2 7 2" xfId="14715" xr:uid="{00000000-0005-0000-0000-0000313A0000}"/>
    <cellStyle name="Standard 4 2 3 2 2 2 7 3" xfId="14716" xr:uid="{00000000-0005-0000-0000-0000323A0000}"/>
    <cellStyle name="Standard 4 2 3 2 2 2 8" xfId="14717" xr:uid="{00000000-0005-0000-0000-0000333A0000}"/>
    <cellStyle name="Standard 4 2 3 2 2 2 8 2" xfId="14718" xr:uid="{00000000-0005-0000-0000-0000343A0000}"/>
    <cellStyle name="Standard 4 2 3 2 2 2 9" xfId="14719" xr:uid="{00000000-0005-0000-0000-0000353A0000}"/>
    <cellStyle name="Standard 4 2 3 2 2 3" xfId="14720" xr:uid="{00000000-0005-0000-0000-0000363A0000}"/>
    <cellStyle name="Standard 4 2 3 2 2 3 2" xfId="14721" xr:uid="{00000000-0005-0000-0000-0000373A0000}"/>
    <cellStyle name="Standard 4 2 3 2 2 3 2 2" xfId="14722" xr:uid="{00000000-0005-0000-0000-0000383A0000}"/>
    <cellStyle name="Standard 4 2 3 2 2 3 2 2 2" xfId="14723" xr:uid="{00000000-0005-0000-0000-0000393A0000}"/>
    <cellStyle name="Standard 4 2 3 2 2 3 2 2 2 2" xfId="14724" xr:uid="{00000000-0005-0000-0000-00003A3A0000}"/>
    <cellStyle name="Standard 4 2 3 2 2 3 2 2 2 3" xfId="14725" xr:uid="{00000000-0005-0000-0000-00003B3A0000}"/>
    <cellStyle name="Standard 4 2 3 2 2 3 2 2 3" xfId="14726" xr:uid="{00000000-0005-0000-0000-00003C3A0000}"/>
    <cellStyle name="Standard 4 2 3 2 2 3 2 2 3 2" xfId="14727" xr:uid="{00000000-0005-0000-0000-00003D3A0000}"/>
    <cellStyle name="Standard 4 2 3 2 2 3 2 2 3 3" xfId="14728" xr:uid="{00000000-0005-0000-0000-00003E3A0000}"/>
    <cellStyle name="Standard 4 2 3 2 2 3 2 2 4" xfId="14729" xr:uid="{00000000-0005-0000-0000-00003F3A0000}"/>
    <cellStyle name="Standard 4 2 3 2 2 3 2 2 4 2" xfId="14730" xr:uid="{00000000-0005-0000-0000-0000403A0000}"/>
    <cellStyle name="Standard 4 2 3 2 2 3 2 2 5" xfId="14731" xr:uid="{00000000-0005-0000-0000-0000413A0000}"/>
    <cellStyle name="Standard 4 2 3 2 2 3 2 2 6" xfId="14732" xr:uid="{00000000-0005-0000-0000-0000423A0000}"/>
    <cellStyle name="Standard 4 2 3 2 2 3 2 3" xfId="14733" xr:uid="{00000000-0005-0000-0000-0000433A0000}"/>
    <cellStyle name="Standard 4 2 3 2 2 3 2 3 2" xfId="14734" xr:uid="{00000000-0005-0000-0000-0000443A0000}"/>
    <cellStyle name="Standard 4 2 3 2 2 3 2 3 3" xfId="14735" xr:uid="{00000000-0005-0000-0000-0000453A0000}"/>
    <cellStyle name="Standard 4 2 3 2 2 3 2 4" xfId="14736" xr:uid="{00000000-0005-0000-0000-0000463A0000}"/>
    <cellStyle name="Standard 4 2 3 2 2 3 2 4 2" xfId="14737" xr:uid="{00000000-0005-0000-0000-0000473A0000}"/>
    <cellStyle name="Standard 4 2 3 2 2 3 2 4 3" xfId="14738" xr:uid="{00000000-0005-0000-0000-0000483A0000}"/>
    <cellStyle name="Standard 4 2 3 2 2 3 2 5" xfId="14739" xr:uid="{00000000-0005-0000-0000-0000493A0000}"/>
    <cellStyle name="Standard 4 2 3 2 2 3 2 5 2" xfId="14740" xr:uid="{00000000-0005-0000-0000-00004A3A0000}"/>
    <cellStyle name="Standard 4 2 3 2 2 3 2 6" xfId="14741" xr:uid="{00000000-0005-0000-0000-00004B3A0000}"/>
    <cellStyle name="Standard 4 2 3 2 2 3 2 7" xfId="14742" xr:uid="{00000000-0005-0000-0000-00004C3A0000}"/>
    <cellStyle name="Standard 4 2 3 2 2 3 3" xfId="14743" xr:uid="{00000000-0005-0000-0000-00004D3A0000}"/>
    <cellStyle name="Standard 4 2 3 2 2 3 3 2" xfId="14744" xr:uid="{00000000-0005-0000-0000-00004E3A0000}"/>
    <cellStyle name="Standard 4 2 3 2 2 3 3 2 2" xfId="14745" xr:uid="{00000000-0005-0000-0000-00004F3A0000}"/>
    <cellStyle name="Standard 4 2 3 2 2 3 3 2 3" xfId="14746" xr:uid="{00000000-0005-0000-0000-0000503A0000}"/>
    <cellStyle name="Standard 4 2 3 2 2 3 3 3" xfId="14747" xr:uid="{00000000-0005-0000-0000-0000513A0000}"/>
    <cellStyle name="Standard 4 2 3 2 2 3 3 3 2" xfId="14748" xr:uid="{00000000-0005-0000-0000-0000523A0000}"/>
    <cellStyle name="Standard 4 2 3 2 2 3 3 3 3" xfId="14749" xr:uid="{00000000-0005-0000-0000-0000533A0000}"/>
    <cellStyle name="Standard 4 2 3 2 2 3 3 4" xfId="14750" xr:uid="{00000000-0005-0000-0000-0000543A0000}"/>
    <cellStyle name="Standard 4 2 3 2 2 3 3 4 2" xfId="14751" xr:uid="{00000000-0005-0000-0000-0000553A0000}"/>
    <cellStyle name="Standard 4 2 3 2 2 3 3 5" xfId="14752" xr:uid="{00000000-0005-0000-0000-0000563A0000}"/>
    <cellStyle name="Standard 4 2 3 2 2 3 3 6" xfId="14753" xr:uid="{00000000-0005-0000-0000-0000573A0000}"/>
    <cellStyle name="Standard 4 2 3 2 2 3 4" xfId="14754" xr:uid="{00000000-0005-0000-0000-0000583A0000}"/>
    <cellStyle name="Standard 4 2 3 2 2 3 4 2" xfId="14755" xr:uid="{00000000-0005-0000-0000-0000593A0000}"/>
    <cellStyle name="Standard 4 2 3 2 2 3 4 3" xfId="14756" xr:uid="{00000000-0005-0000-0000-00005A3A0000}"/>
    <cellStyle name="Standard 4 2 3 2 2 3 5" xfId="14757" xr:uid="{00000000-0005-0000-0000-00005B3A0000}"/>
    <cellStyle name="Standard 4 2 3 2 2 3 5 2" xfId="14758" xr:uid="{00000000-0005-0000-0000-00005C3A0000}"/>
    <cellStyle name="Standard 4 2 3 2 2 3 5 3" xfId="14759" xr:uid="{00000000-0005-0000-0000-00005D3A0000}"/>
    <cellStyle name="Standard 4 2 3 2 2 3 6" xfId="14760" xr:uid="{00000000-0005-0000-0000-00005E3A0000}"/>
    <cellStyle name="Standard 4 2 3 2 2 3 6 2" xfId="14761" xr:uid="{00000000-0005-0000-0000-00005F3A0000}"/>
    <cellStyle name="Standard 4 2 3 2 2 3 7" xfId="14762" xr:uid="{00000000-0005-0000-0000-0000603A0000}"/>
    <cellStyle name="Standard 4 2 3 2 2 3 8" xfId="14763" xr:uid="{00000000-0005-0000-0000-0000613A0000}"/>
    <cellStyle name="Standard 4 2 3 2 2 4" xfId="14764" xr:uid="{00000000-0005-0000-0000-0000623A0000}"/>
    <cellStyle name="Standard 4 2 3 2 2 4 2" xfId="14765" xr:uid="{00000000-0005-0000-0000-0000633A0000}"/>
    <cellStyle name="Standard 4 2 3 2 2 4 2 2" xfId="14766" xr:uid="{00000000-0005-0000-0000-0000643A0000}"/>
    <cellStyle name="Standard 4 2 3 2 2 4 2 2 2" xfId="14767" xr:uid="{00000000-0005-0000-0000-0000653A0000}"/>
    <cellStyle name="Standard 4 2 3 2 2 4 2 2 2 2" xfId="14768" xr:uid="{00000000-0005-0000-0000-0000663A0000}"/>
    <cellStyle name="Standard 4 2 3 2 2 4 2 2 2 3" xfId="14769" xr:uid="{00000000-0005-0000-0000-0000673A0000}"/>
    <cellStyle name="Standard 4 2 3 2 2 4 2 2 3" xfId="14770" xr:uid="{00000000-0005-0000-0000-0000683A0000}"/>
    <cellStyle name="Standard 4 2 3 2 2 4 2 2 3 2" xfId="14771" xr:uid="{00000000-0005-0000-0000-0000693A0000}"/>
    <cellStyle name="Standard 4 2 3 2 2 4 2 2 3 3" xfId="14772" xr:uid="{00000000-0005-0000-0000-00006A3A0000}"/>
    <cellStyle name="Standard 4 2 3 2 2 4 2 2 4" xfId="14773" xr:uid="{00000000-0005-0000-0000-00006B3A0000}"/>
    <cellStyle name="Standard 4 2 3 2 2 4 2 2 4 2" xfId="14774" xr:uid="{00000000-0005-0000-0000-00006C3A0000}"/>
    <cellStyle name="Standard 4 2 3 2 2 4 2 2 5" xfId="14775" xr:uid="{00000000-0005-0000-0000-00006D3A0000}"/>
    <cellStyle name="Standard 4 2 3 2 2 4 2 2 6" xfId="14776" xr:uid="{00000000-0005-0000-0000-00006E3A0000}"/>
    <cellStyle name="Standard 4 2 3 2 2 4 2 3" xfId="14777" xr:uid="{00000000-0005-0000-0000-00006F3A0000}"/>
    <cellStyle name="Standard 4 2 3 2 2 4 2 3 2" xfId="14778" xr:uid="{00000000-0005-0000-0000-0000703A0000}"/>
    <cellStyle name="Standard 4 2 3 2 2 4 2 3 3" xfId="14779" xr:uid="{00000000-0005-0000-0000-0000713A0000}"/>
    <cellStyle name="Standard 4 2 3 2 2 4 2 4" xfId="14780" xr:uid="{00000000-0005-0000-0000-0000723A0000}"/>
    <cellStyle name="Standard 4 2 3 2 2 4 2 4 2" xfId="14781" xr:uid="{00000000-0005-0000-0000-0000733A0000}"/>
    <cellStyle name="Standard 4 2 3 2 2 4 2 4 3" xfId="14782" xr:uid="{00000000-0005-0000-0000-0000743A0000}"/>
    <cellStyle name="Standard 4 2 3 2 2 4 2 5" xfId="14783" xr:uid="{00000000-0005-0000-0000-0000753A0000}"/>
    <cellStyle name="Standard 4 2 3 2 2 4 2 5 2" xfId="14784" xr:uid="{00000000-0005-0000-0000-0000763A0000}"/>
    <cellStyle name="Standard 4 2 3 2 2 4 2 6" xfId="14785" xr:uid="{00000000-0005-0000-0000-0000773A0000}"/>
    <cellStyle name="Standard 4 2 3 2 2 4 2 7" xfId="14786" xr:uid="{00000000-0005-0000-0000-0000783A0000}"/>
    <cellStyle name="Standard 4 2 3 2 2 4 3" xfId="14787" xr:uid="{00000000-0005-0000-0000-0000793A0000}"/>
    <cellStyle name="Standard 4 2 3 2 2 4 3 2" xfId="14788" xr:uid="{00000000-0005-0000-0000-00007A3A0000}"/>
    <cellStyle name="Standard 4 2 3 2 2 4 3 2 2" xfId="14789" xr:uid="{00000000-0005-0000-0000-00007B3A0000}"/>
    <cellStyle name="Standard 4 2 3 2 2 4 3 2 3" xfId="14790" xr:uid="{00000000-0005-0000-0000-00007C3A0000}"/>
    <cellStyle name="Standard 4 2 3 2 2 4 3 3" xfId="14791" xr:uid="{00000000-0005-0000-0000-00007D3A0000}"/>
    <cellStyle name="Standard 4 2 3 2 2 4 3 3 2" xfId="14792" xr:uid="{00000000-0005-0000-0000-00007E3A0000}"/>
    <cellStyle name="Standard 4 2 3 2 2 4 3 3 3" xfId="14793" xr:uid="{00000000-0005-0000-0000-00007F3A0000}"/>
    <cellStyle name="Standard 4 2 3 2 2 4 3 4" xfId="14794" xr:uid="{00000000-0005-0000-0000-0000803A0000}"/>
    <cellStyle name="Standard 4 2 3 2 2 4 3 4 2" xfId="14795" xr:uid="{00000000-0005-0000-0000-0000813A0000}"/>
    <cellStyle name="Standard 4 2 3 2 2 4 3 5" xfId="14796" xr:uid="{00000000-0005-0000-0000-0000823A0000}"/>
    <cellStyle name="Standard 4 2 3 2 2 4 3 6" xfId="14797" xr:uid="{00000000-0005-0000-0000-0000833A0000}"/>
    <cellStyle name="Standard 4 2 3 2 2 4 4" xfId="14798" xr:uid="{00000000-0005-0000-0000-0000843A0000}"/>
    <cellStyle name="Standard 4 2 3 2 2 4 4 2" xfId="14799" xr:uid="{00000000-0005-0000-0000-0000853A0000}"/>
    <cellStyle name="Standard 4 2 3 2 2 4 4 3" xfId="14800" xr:uid="{00000000-0005-0000-0000-0000863A0000}"/>
    <cellStyle name="Standard 4 2 3 2 2 4 5" xfId="14801" xr:uid="{00000000-0005-0000-0000-0000873A0000}"/>
    <cellStyle name="Standard 4 2 3 2 2 4 5 2" xfId="14802" xr:uid="{00000000-0005-0000-0000-0000883A0000}"/>
    <cellStyle name="Standard 4 2 3 2 2 4 5 3" xfId="14803" xr:uid="{00000000-0005-0000-0000-0000893A0000}"/>
    <cellStyle name="Standard 4 2 3 2 2 4 6" xfId="14804" xr:uid="{00000000-0005-0000-0000-00008A3A0000}"/>
    <cellStyle name="Standard 4 2 3 2 2 4 6 2" xfId="14805" xr:uid="{00000000-0005-0000-0000-00008B3A0000}"/>
    <cellStyle name="Standard 4 2 3 2 2 4 7" xfId="14806" xr:uid="{00000000-0005-0000-0000-00008C3A0000}"/>
    <cellStyle name="Standard 4 2 3 2 2 4 8" xfId="14807" xr:uid="{00000000-0005-0000-0000-00008D3A0000}"/>
    <cellStyle name="Standard 4 2 3 2 2 5" xfId="14808" xr:uid="{00000000-0005-0000-0000-00008E3A0000}"/>
    <cellStyle name="Standard 4 2 3 2 2 5 2" xfId="14809" xr:uid="{00000000-0005-0000-0000-00008F3A0000}"/>
    <cellStyle name="Standard 4 2 3 2 2 5 2 2" xfId="14810" xr:uid="{00000000-0005-0000-0000-0000903A0000}"/>
    <cellStyle name="Standard 4 2 3 2 2 5 2 2 2" xfId="14811" xr:uid="{00000000-0005-0000-0000-0000913A0000}"/>
    <cellStyle name="Standard 4 2 3 2 2 5 2 2 3" xfId="14812" xr:uid="{00000000-0005-0000-0000-0000923A0000}"/>
    <cellStyle name="Standard 4 2 3 2 2 5 2 3" xfId="14813" xr:uid="{00000000-0005-0000-0000-0000933A0000}"/>
    <cellStyle name="Standard 4 2 3 2 2 5 2 3 2" xfId="14814" xr:uid="{00000000-0005-0000-0000-0000943A0000}"/>
    <cellStyle name="Standard 4 2 3 2 2 5 2 3 3" xfId="14815" xr:uid="{00000000-0005-0000-0000-0000953A0000}"/>
    <cellStyle name="Standard 4 2 3 2 2 5 2 4" xfId="14816" xr:uid="{00000000-0005-0000-0000-0000963A0000}"/>
    <cellStyle name="Standard 4 2 3 2 2 5 2 4 2" xfId="14817" xr:uid="{00000000-0005-0000-0000-0000973A0000}"/>
    <cellStyle name="Standard 4 2 3 2 2 5 2 5" xfId="14818" xr:uid="{00000000-0005-0000-0000-0000983A0000}"/>
    <cellStyle name="Standard 4 2 3 2 2 5 2 6" xfId="14819" xr:uid="{00000000-0005-0000-0000-0000993A0000}"/>
    <cellStyle name="Standard 4 2 3 2 2 5 3" xfId="14820" xr:uid="{00000000-0005-0000-0000-00009A3A0000}"/>
    <cellStyle name="Standard 4 2 3 2 2 5 3 2" xfId="14821" xr:uid="{00000000-0005-0000-0000-00009B3A0000}"/>
    <cellStyle name="Standard 4 2 3 2 2 5 3 3" xfId="14822" xr:uid="{00000000-0005-0000-0000-00009C3A0000}"/>
    <cellStyle name="Standard 4 2 3 2 2 5 4" xfId="14823" xr:uid="{00000000-0005-0000-0000-00009D3A0000}"/>
    <cellStyle name="Standard 4 2 3 2 2 5 4 2" xfId="14824" xr:uid="{00000000-0005-0000-0000-00009E3A0000}"/>
    <cellStyle name="Standard 4 2 3 2 2 5 4 3" xfId="14825" xr:uid="{00000000-0005-0000-0000-00009F3A0000}"/>
    <cellStyle name="Standard 4 2 3 2 2 5 5" xfId="14826" xr:uid="{00000000-0005-0000-0000-0000A03A0000}"/>
    <cellStyle name="Standard 4 2 3 2 2 5 5 2" xfId="14827" xr:uid="{00000000-0005-0000-0000-0000A13A0000}"/>
    <cellStyle name="Standard 4 2 3 2 2 5 6" xfId="14828" xr:uid="{00000000-0005-0000-0000-0000A23A0000}"/>
    <cellStyle name="Standard 4 2 3 2 2 5 7" xfId="14829" xr:uid="{00000000-0005-0000-0000-0000A33A0000}"/>
    <cellStyle name="Standard 4 2 3 2 2 6" xfId="14830" xr:uid="{00000000-0005-0000-0000-0000A43A0000}"/>
    <cellStyle name="Standard 4 2 3 2 2 6 2" xfId="14831" xr:uid="{00000000-0005-0000-0000-0000A53A0000}"/>
    <cellStyle name="Standard 4 2 3 2 2 6 2 2" xfId="14832" xr:uid="{00000000-0005-0000-0000-0000A63A0000}"/>
    <cellStyle name="Standard 4 2 3 2 2 6 2 3" xfId="14833" xr:uid="{00000000-0005-0000-0000-0000A73A0000}"/>
    <cellStyle name="Standard 4 2 3 2 2 6 3" xfId="14834" xr:uid="{00000000-0005-0000-0000-0000A83A0000}"/>
    <cellStyle name="Standard 4 2 3 2 2 6 3 2" xfId="14835" xr:uid="{00000000-0005-0000-0000-0000A93A0000}"/>
    <cellStyle name="Standard 4 2 3 2 2 6 3 3" xfId="14836" xr:uid="{00000000-0005-0000-0000-0000AA3A0000}"/>
    <cellStyle name="Standard 4 2 3 2 2 6 4" xfId="14837" xr:uid="{00000000-0005-0000-0000-0000AB3A0000}"/>
    <cellStyle name="Standard 4 2 3 2 2 6 4 2" xfId="14838" xr:uid="{00000000-0005-0000-0000-0000AC3A0000}"/>
    <cellStyle name="Standard 4 2 3 2 2 6 5" xfId="14839" xr:uid="{00000000-0005-0000-0000-0000AD3A0000}"/>
    <cellStyle name="Standard 4 2 3 2 2 6 6" xfId="14840" xr:uid="{00000000-0005-0000-0000-0000AE3A0000}"/>
    <cellStyle name="Standard 4 2 3 2 2 7" xfId="14841" xr:uid="{00000000-0005-0000-0000-0000AF3A0000}"/>
    <cellStyle name="Standard 4 2 3 2 2 7 2" xfId="14842" xr:uid="{00000000-0005-0000-0000-0000B03A0000}"/>
    <cellStyle name="Standard 4 2 3 2 2 7 3" xfId="14843" xr:uid="{00000000-0005-0000-0000-0000B13A0000}"/>
    <cellStyle name="Standard 4 2 3 2 2 8" xfId="14844" xr:uid="{00000000-0005-0000-0000-0000B23A0000}"/>
    <cellStyle name="Standard 4 2 3 2 2 8 2" xfId="14845" xr:uid="{00000000-0005-0000-0000-0000B33A0000}"/>
    <cellStyle name="Standard 4 2 3 2 2 8 3" xfId="14846" xr:uid="{00000000-0005-0000-0000-0000B43A0000}"/>
    <cellStyle name="Standard 4 2 3 2 2 9" xfId="14847" xr:uid="{00000000-0005-0000-0000-0000B53A0000}"/>
    <cellStyle name="Standard 4 2 3 2 2 9 2" xfId="14848" xr:uid="{00000000-0005-0000-0000-0000B63A0000}"/>
    <cellStyle name="Standard 4 2 3 2 3" xfId="14849" xr:uid="{00000000-0005-0000-0000-0000B73A0000}"/>
    <cellStyle name="Standard 4 2 3 2 3 10" xfId="14850" xr:uid="{00000000-0005-0000-0000-0000B83A0000}"/>
    <cellStyle name="Standard 4 2 3 2 3 2" xfId="14851" xr:uid="{00000000-0005-0000-0000-0000B93A0000}"/>
    <cellStyle name="Standard 4 2 3 2 3 2 2" xfId="14852" xr:uid="{00000000-0005-0000-0000-0000BA3A0000}"/>
    <cellStyle name="Standard 4 2 3 2 3 2 2 2" xfId="14853" xr:uid="{00000000-0005-0000-0000-0000BB3A0000}"/>
    <cellStyle name="Standard 4 2 3 2 3 2 2 2 2" xfId="14854" xr:uid="{00000000-0005-0000-0000-0000BC3A0000}"/>
    <cellStyle name="Standard 4 2 3 2 3 2 2 2 2 2" xfId="14855" xr:uid="{00000000-0005-0000-0000-0000BD3A0000}"/>
    <cellStyle name="Standard 4 2 3 2 3 2 2 2 2 3" xfId="14856" xr:uid="{00000000-0005-0000-0000-0000BE3A0000}"/>
    <cellStyle name="Standard 4 2 3 2 3 2 2 2 3" xfId="14857" xr:uid="{00000000-0005-0000-0000-0000BF3A0000}"/>
    <cellStyle name="Standard 4 2 3 2 3 2 2 2 3 2" xfId="14858" xr:uid="{00000000-0005-0000-0000-0000C03A0000}"/>
    <cellStyle name="Standard 4 2 3 2 3 2 2 2 3 3" xfId="14859" xr:uid="{00000000-0005-0000-0000-0000C13A0000}"/>
    <cellStyle name="Standard 4 2 3 2 3 2 2 2 4" xfId="14860" xr:uid="{00000000-0005-0000-0000-0000C23A0000}"/>
    <cellStyle name="Standard 4 2 3 2 3 2 2 2 4 2" xfId="14861" xr:uid="{00000000-0005-0000-0000-0000C33A0000}"/>
    <cellStyle name="Standard 4 2 3 2 3 2 2 2 5" xfId="14862" xr:uid="{00000000-0005-0000-0000-0000C43A0000}"/>
    <cellStyle name="Standard 4 2 3 2 3 2 2 2 6" xfId="14863" xr:uid="{00000000-0005-0000-0000-0000C53A0000}"/>
    <cellStyle name="Standard 4 2 3 2 3 2 2 3" xfId="14864" xr:uid="{00000000-0005-0000-0000-0000C63A0000}"/>
    <cellStyle name="Standard 4 2 3 2 3 2 2 3 2" xfId="14865" xr:uid="{00000000-0005-0000-0000-0000C73A0000}"/>
    <cellStyle name="Standard 4 2 3 2 3 2 2 3 3" xfId="14866" xr:uid="{00000000-0005-0000-0000-0000C83A0000}"/>
    <cellStyle name="Standard 4 2 3 2 3 2 2 4" xfId="14867" xr:uid="{00000000-0005-0000-0000-0000C93A0000}"/>
    <cellStyle name="Standard 4 2 3 2 3 2 2 4 2" xfId="14868" xr:uid="{00000000-0005-0000-0000-0000CA3A0000}"/>
    <cellStyle name="Standard 4 2 3 2 3 2 2 4 3" xfId="14869" xr:uid="{00000000-0005-0000-0000-0000CB3A0000}"/>
    <cellStyle name="Standard 4 2 3 2 3 2 2 5" xfId="14870" xr:uid="{00000000-0005-0000-0000-0000CC3A0000}"/>
    <cellStyle name="Standard 4 2 3 2 3 2 2 5 2" xfId="14871" xr:uid="{00000000-0005-0000-0000-0000CD3A0000}"/>
    <cellStyle name="Standard 4 2 3 2 3 2 2 6" xfId="14872" xr:uid="{00000000-0005-0000-0000-0000CE3A0000}"/>
    <cellStyle name="Standard 4 2 3 2 3 2 2 7" xfId="14873" xr:uid="{00000000-0005-0000-0000-0000CF3A0000}"/>
    <cellStyle name="Standard 4 2 3 2 3 2 3" xfId="14874" xr:uid="{00000000-0005-0000-0000-0000D03A0000}"/>
    <cellStyle name="Standard 4 2 3 2 3 2 3 2" xfId="14875" xr:uid="{00000000-0005-0000-0000-0000D13A0000}"/>
    <cellStyle name="Standard 4 2 3 2 3 2 3 2 2" xfId="14876" xr:uid="{00000000-0005-0000-0000-0000D23A0000}"/>
    <cellStyle name="Standard 4 2 3 2 3 2 3 2 3" xfId="14877" xr:uid="{00000000-0005-0000-0000-0000D33A0000}"/>
    <cellStyle name="Standard 4 2 3 2 3 2 3 3" xfId="14878" xr:uid="{00000000-0005-0000-0000-0000D43A0000}"/>
    <cellStyle name="Standard 4 2 3 2 3 2 3 3 2" xfId="14879" xr:uid="{00000000-0005-0000-0000-0000D53A0000}"/>
    <cellStyle name="Standard 4 2 3 2 3 2 3 3 3" xfId="14880" xr:uid="{00000000-0005-0000-0000-0000D63A0000}"/>
    <cellStyle name="Standard 4 2 3 2 3 2 3 4" xfId="14881" xr:uid="{00000000-0005-0000-0000-0000D73A0000}"/>
    <cellStyle name="Standard 4 2 3 2 3 2 3 4 2" xfId="14882" xr:uid="{00000000-0005-0000-0000-0000D83A0000}"/>
    <cellStyle name="Standard 4 2 3 2 3 2 3 5" xfId="14883" xr:uid="{00000000-0005-0000-0000-0000D93A0000}"/>
    <cellStyle name="Standard 4 2 3 2 3 2 3 6" xfId="14884" xr:uid="{00000000-0005-0000-0000-0000DA3A0000}"/>
    <cellStyle name="Standard 4 2 3 2 3 2 4" xfId="14885" xr:uid="{00000000-0005-0000-0000-0000DB3A0000}"/>
    <cellStyle name="Standard 4 2 3 2 3 2 4 2" xfId="14886" xr:uid="{00000000-0005-0000-0000-0000DC3A0000}"/>
    <cellStyle name="Standard 4 2 3 2 3 2 4 3" xfId="14887" xr:uid="{00000000-0005-0000-0000-0000DD3A0000}"/>
    <cellStyle name="Standard 4 2 3 2 3 2 5" xfId="14888" xr:uid="{00000000-0005-0000-0000-0000DE3A0000}"/>
    <cellStyle name="Standard 4 2 3 2 3 2 5 2" xfId="14889" xr:uid="{00000000-0005-0000-0000-0000DF3A0000}"/>
    <cellStyle name="Standard 4 2 3 2 3 2 5 3" xfId="14890" xr:uid="{00000000-0005-0000-0000-0000E03A0000}"/>
    <cellStyle name="Standard 4 2 3 2 3 2 6" xfId="14891" xr:uid="{00000000-0005-0000-0000-0000E13A0000}"/>
    <cellStyle name="Standard 4 2 3 2 3 2 6 2" xfId="14892" xr:uid="{00000000-0005-0000-0000-0000E23A0000}"/>
    <cellStyle name="Standard 4 2 3 2 3 2 7" xfId="14893" xr:uid="{00000000-0005-0000-0000-0000E33A0000}"/>
    <cellStyle name="Standard 4 2 3 2 3 2 8" xfId="14894" xr:uid="{00000000-0005-0000-0000-0000E43A0000}"/>
    <cellStyle name="Standard 4 2 3 2 3 3" xfId="14895" xr:uid="{00000000-0005-0000-0000-0000E53A0000}"/>
    <cellStyle name="Standard 4 2 3 2 3 3 2" xfId="14896" xr:uid="{00000000-0005-0000-0000-0000E63A0000}"/>
    <cellStyle name="Standard 4 2 3 2 3 3 2 2" xfId="14897" xr:uid="{00000000-0005-0000-0000-0000E73A0000}"/>
    <cellStyle name="Standard 4 2 3 2 3 3 2 2 2" xfId="14898" xr:uid="{00000000-0005-0000-0000-0000E83A0000}"/>
    <cellStyle name="Standard 4 2 3 2 3 3 2 2 2 2" xfId="14899" xr:uid="{00000000-0005-0000-0000-0000E93A0000}"/>
    <cellStyle name="Standard 4 2 3 2 3 3 2 2 2 3" xfId="14900" xr:uid="{00000000-0005-0000-0000-0000EA3A0000}"/>
    <cellStyle name="Standard 4 2 3 2 3 3 2 2 3" xfId="14901" xr:uid="{00000000-0005-0000-0000-0000EB3A0000}"/>
    <cellStyle name="Standard 4 2 3 2 3 3 2 2 3 2" xfId="14902" xr:uid="{00000000-0005-0000-0000-0000EC3A0000}"/>
    <cellStyle name="Standard 4 2 3 2 3 3 2 2 3 3" xfId="14903" xr:uid="{00000000-0005-0000-0000-0000ED3A0000}"/>
    <cellStyle name="Standard 4 2 3 2 3 3 2 2 4" xfId="14904" xr:uid="{00000000-0005-0000-0000-0000EE3A0000}"/>
    <cellStyle name="Standard 4 2 3 2 3 3 2 2 4 2" xfId="14905" xr:uid="{00000000-0005-0000-0000-0000EF3A0000}"/>
    <cellStyle name="Standard 4 2 3 2 3 3 2 2 5" xfId="14906" xr:uid="{00000000-0005-0000-0000-0000F03A0000}"/>
    <cellStyle name="Standard 4 2 3 2 3 3 2 2 6" xfId="14907" xr:uid="{00000000-0005-0000-0000-0000F13A0000}"/>
    <cellStyle name="Standard 4 2 3 2 3 3 2 3" xfId="14908" xr:uid="{00000000-0005-0000-0000-0000F23A0000}"/>
    <cellStyle name="Standard 4 2 3 2 3 3 2 3 2" xfId="14909" xr:uid="{00000000-0005-0000-0000-0000F33A0000}"/>
    <cellStyle name="Standard 4 2 3 2 3 3 2 3 3" xfId="14910" xr:uid="{00000000-0005-0000-0000-0000F43A0000}"/>
    <cellStyle name="Standard 4 2 3 2 3 3 2 4" xfId="14911" xr:uid="{00000000-0005-0000-0000-0000F53A0000}"/>
    <cellStyle name="Standard 4 2 3 2 3 3 2 4 2" xfId="14912" xr:uid="{00000000-0005-0000-0000-0000F63A0000}"/>
    <cellStyle name="Standard 4 2 3 2 3 3 2 4 3" xfId="14913" xr:uid="{00000000-0005-0000-0000-0000F73A0000}"/>
    <cellStyle name="Standard 4 2 3 2 3 3 2 5" xfId="14914" xr:uid="{00000000-0005-0000-0000-0000F83A0000}"/>
    <cellStyle name="Standard 4 2 3 2 3 3 2 5 2" xfId="14915" xr:uid="{00000000-0005-0000-0000-0000F93A0000}"/>
    <cellStyle name="Standard 4 2 3 2 3 3 2 6" xfId="14916" xr:uid="{00000000-0005-0000-0000-0000FA3A0000}"/>
    <cellStyle name="Standard 4 2 3 2 3 3 2 7" xfId="14917" xr:uid="{00000000-0005-0000-0000-0000FB3A0000}"/>
    <cellStyle name="Standard 4 2 3 2 3 3 3" xfId="14918" xr:uid="{00000000-0005-0000-0000-0000FC3A0000}"/>
    <cellStyle name="Standard 4 2 3 2 3 3 3 2" xfId="14919" xr:uid="{00000000-0005-0000-0000-0000FD3A0000}"/>
    <cellStyle name="Standard 4 2 3 2 3 3 3 2 2" xfId="14920" xr:uid="{00000000-0005-0000-0000-0000FE3A0000}"/>
    <cellStyle name="Standard 4 2 3 2 3 3 3 2 3" xfId="14921" xr:uid="{00000000-0005-0000-0000-0000FF3A0000}"/>
    <cellStyle name="Standard 4 2 3 2 3 3 3 3" xfId="14922" xr:uid="{00000000-0005-0000-0000-0000003B0000}"/>
    <cellStyle name="Standard 4 2 3 2 3 3 3 3 2" xfId="14923" xr:uid="{00000000-0005-0000-0000-0000013B0000}"/>
    <cellStyle name="Standard 4 2 3 2 3 3 3 3 3" xfId="14924" xr:uid="{00000000-0005-0000-0000-0000023B0000}"/>
    <cellStyle name="Standard 4 2 3 2 3 3 3 4" xfId="14925" xr:uid="{00000000-0005-0000-0000-0000033B0000}"/>
    <cellStyle name="Standard 4 2 3 2 3 3 3 4 2" xfId="14926" xr:uid="{00000000-0005-0000-0000-0000043B0000}"/>
    <cellStyle name="Standard 4 2 3 2 3 3 3 5" xfId="14927" xr:uid="{00000000-0005-0000-0000-0000053B0000}"/>
    <cellStyle name="Standard 4 2 3 2 3 3 3 6" xfId="14928" xr:uid="{00000000-0005-0000-0000-0000063B0000}"/>
    <cellStyle name="Standard 4 2 3 2 3 3 4" xfId="14929" xr:uid="{00000000-0005-0000-0000-0000073B0000}"/>
    <cellStyle name="Standard 4 2 3 2 3 3 4 2" xfId="14930" xr:uid="{00000000-0005-0000-0000-0000083B0000}"/>
    <cellStyle name="Standard 4 2 3 2 3 3 4 3" xfId="14931" xr:uid="{00000000-0005-0000-0000-0000093B0000}"/>
    <cellStyle name="Standard 4 2 3 2 3 3 5" xfId="14932" xr:uid="{00000000-0005-0000-0000-00000A3B0000}"/>
    <cellStyle name="Standard 4 2 3 2 3 3 5 2" xfId="14933" xr:uid="{00000000-0005-0000-0000-00000B3B0000}"/>
    <cellStyle name="Standard 4 2 3 2 3 3 5 3" xfId="14934" xr:uid="{00000000-0005-0000-0000-00000C3B0000}"/>
    <cellStyle name="Standard 4 2 3 2 3 3 6" xfId="14935" xr:uid="{00000000-0005-0000-0000-00000D3B0000}"/>
    <cellStyle name="Standard 4 2 3 2 3 3 6 2" xfId="14936" xr:uid="{00000000-0005-0000-0000-00000E3B0000}"/>
    <cellStyle name="Standard 4 2 3 2 3 3 7" xfId="14937" xr:uid="{00000000-0005-0000-0000-00000F3B0000}"/>
    <cellStyle name="Standard 4 2 3 2 3 3 8" xfId="14938" xr:uid="{00000000-0005-0000-0000-0000103B0000}"/>
    <cellStyle name="Standard 4 2 3 2 3 4" xfId="14939" xr:uid="{00000000-0005-0000-0000-0000113B0000}"/>
    <cellStyle name="Standard 4 2 3 2 3 4 2" xfId="14940" xr:uid="{00000000-0005-0000-0000-0000123B0000}"/>
    <cellStyle name="Standard 4 2 3 2 3 4 2 2" xfId="14941" xr:uid="{00000000-0005-0000-0000-0000133B0000}"/>
    <cellStyle name="Standard 4 2 3 2 3 4 2 2 2" xfId="14942" xr:uid="{00000000-0005-0000-0000-0000143B0000}"/>
    <cellStyle name="Standard 4 2 3 2 3 4 2 2 3" xfId="14943" xr:uid="{00000000-0005-0000-0000-0000153B0000}"/>
    <cellStyle name="Standard 4 2 3 2 3 4 2 3" xfId="14944" xr:uid="{00000000-0005-0000-0000-0000163B0000}"/>
    <cellStyle name="Standard 4 2 3 2 3 4 2 3 2" xfId="14945" xr:uid="{00000000-0005-0000-0000-0000173B0000}"/>
    <cellStyle name="Standard 4 2 3 2 3 4 2 3 3" xfId="14946" xr:uid="{00000000-0005-0000-0000-0000183B0000}"/>
    <cellStyle name="Standard 4 2 3 2 3 4 2 4" xfId="14947" xr:uid="{00000000-0005-0000-0000-0000193B0000}"/>
    <cellStyle name="Standard 4 2 3 2 3 4 2 4 2" xfId="14948" xr:uid="{00000000-0005-0000-0000-00001A3B0000}"/>
    <cellStyle name="Standard 4 2 3 2 3 4 2 5" xfId="14949" xr:uid="{00000000-0005-0000-0000-00001B3B0000}"/>
    <cellStyle name="Standard 4 2 3 2 3 4 2 6" xfId="14950" xr:uid="{00000000-0005-0000-0000-00001C3B0000}"/>
    <cellStyle name="Standard 4 2 3 2 3 4 3" xfId="14951" xr:uid="{00000000-0005-0000-0000-00001D3B0000}"/>
    <cellStyle name="Standard 4 2 3 2 3 4 3 2" xfId="14952" xr:uid="{00000000-0005-0000-0000-00001E3B0000}"/>
    <cellStyle name="Standard 4 2 3 2 3 4 3 3" xfId="14953" xr:uid="{00000000-0005-0000-0000-00001F3B0000}"/>
    <cellStyle name="Standard 4 2 3 2 3 4 4" xfId="14954" xr:uid="{00000000-0005-0000-0000-0000203B0000}"/>
    <cellStyle name="Standard 4 2 3 2 3 4 4 2" xfId="14955" xr:uid="{00000000-0005-0000-0000-0000213B0000}"/>
    <cellStyle name="Standard 4 2 3 2 3 4 4 3" xfId="14956" xr:uid="{00000000-0005-0000-0000-0000223B0000}"/>
    <cellStyle name="Standard 4 2 3 2 3 4 5" xfId="14957" xr:uid="{00000000-0005-0000-0000-0000233B0000}"/>
    <cellStyle name="Standard 4 2 3 2 3 4 5 2" xfId="14958" xr:uid="{00000000-0005-0000-0000-0000243B0000}"/>
    <cellStyle name="Standard 4 2 3 2 3 4 6" xfId="14959" xr:uid="{00000000-0005-0000-0000-0000253B0000}"/>
    <cellStyle name="Standard 4 2 3 2 3 4 7" xfId="14960" xr:uid="{00000000-0005-0000-0000-0000263B0000}"/>
    <cellStyle name="Standard 4 2 3 2 3 5" xfId="14961" xr:uid="{00000000-0005-0000-0000-0000273B0000}"/>
    <cellStyle name="Standard 4 2 3 2 3 5 2" xfId="14962" xr:uid="{00000000-0005-0000-0000-0000283B0000}"/>
    <cellStyle name="Standard 4 2 3 2 3 5 2 2" xfId="14963" xr:uid="{00000000-0005-0000-0000-0000293B0000}"/>
    <cellStyle name="Standard 4 2 3 2 3 5 2 3" xfId="14964" xr:uid="{00000000-0005-0000-0000-00002A3B0000}"/>
    <cellStyle name="Standard 4 2 3 2 3 5 3" xfId="14965" xr:uid="{00000000-0005-0000-0000-00002B3B0000}"/>
    <cellStyle name="Standard 4 2 3 2 3 5 3 2" xfId="14966" xr:uid="{00000000-0005-0000-0000-00002C3B0000}"/>
    <cellStyle name="Standard 4 2 3 2 3 5 3 3" xfId="14967" xr:uid="{00000000-0005-0000-0000-00002D3B0000}"/>
    <cellStyle name="Standard 4 2 3 2 3 5 4" xfId="14968" xr:uid="{00000000-0005-0000-0000-00002E3B0000}"/>
    <cellStyle name="Standard 4 2 3 2 3 5 4 2" xfId="14969" xr:uid="{00000000-0005-0000-0000-00002F3B0000}"/>
    <cellStyle name="Standard 4 2 3 2 3 5 5" xfId="14970" xr:uid="{00000000-0005-0000-0000-0000303B0000}"/>
    <cellStyle name="Standard 4 2 3 2 3 5 6" xfId="14971" xr:uid="{00000000-0005-0000-0000-0000313B0000}"/>
    <cellStyle name="Standard 4 2 3 2 3 6" xfId="14972" xr:uid="{00000000-0005-0000-0000-0000323B0000}"/>
    <cellStyle name="Standard 4 2 3 2 3 6 2" xfId="14973" xr:uid="{00000000-0005-0000-0000-0000333B0000}"/>
    <cellStyle name="Standard 4 2 3 2 3 6 3" xfId="14974" xr:uid="{00000000-0005-0000-0000-0000343B0000}"/>
    <cellStyle name="Standard 4 2 3 2 3 7" xfId="14975" xr:uid="{00000000-0005-0000-0000-0000353B0000}"/>
    <cellStyle name="Standard 4 2 3 2 3 7 2" xfId="14976" xr:uid="{00000000-0005-0000-0000-0000363B0000}"/>
    <cellStyle name="Standard 4 2 3 2 3 7 3" xfId="14977" xr:uid="{00000000-0005-0000-0000-0000373B0000}"/>
    <cellStyle name="Standard 4 2 3 2 3 8" xfId="14978" xr:uid="{00000000-0005-0000-0000-0000383B0000}"/>
    <cellStyle name="Standard 4 2 3 2 3 8 2" xfId="14979" xr:uid="{00000000-0005-0000-0000-0000393B0000}"/>
    <cellStyle name="Standard 4 2 3 2 3 9" xfId="14980" xr:uid="{00000000-0005-0000-0000-00003A3B0000}"/>
    <cellStyle name="Standard 4 2 3 2 4" xfId="14981" xr:uid="{00000000-0005-0000-0000-00003B3B0000}"/>
    <cellStyle name="Standard 4 2 3 2 4 2" xfId="14982" xr:uid="{00000000-0005-0000-0000-00003C3B0000}"/>
    <cellStyle name="Standard 4 2 3 2 4 2 2" xfId="14983" xr:uid="{00000000-0005-0000-0000-00003D3B0000}"/>
    <cellStyle name="Standard 4 2 3 2 4 2 2 2" xfId="14984" xr:uid="{00000000-0005-0000-0000-00003E3B0000}"/>
    <cellStyle name="Standard 4 2 3 2 4 2 2 2 2" xfId="14985" xr:uid="{00000000-0005-0000-0000-00003F3B0000}"/>
    <cellStyle name="Standard 4 2 3 2 4 2 2 2 3" xfId="14986" xr:uid="{00000000-0005-0000-0000-0000403B0000}"/>
    <cellStyle name="Standard 4 2 3 2 4 2 2 3" xfId="14987" xr:uid="{00000000-0005-0000-0000-0000413B0000}"/>
    <cellStyle name="Standard 4 2 3 2 4 2 2 3 2" xfId="14988" xr:uid="{00000000-0005-0000-0000-0000423B0000}"/>
    <cellStyle name="Standard 4 2 3 2 4 2 2 3 3" xfId="14989" xr:uid="{00000000-0005-0000-0000-0000433B0000}"/>
    <cellStyle name="Standard 4 2 3 2 4 2 2 4" xfId="14990" xr:uid="{00000000-0005-0000-0000-0000443B0000}"/>
    <cellStyle name="Standard 4 2 3 2 4 2 2 4 2" xfId="14991" xr:uid="{00000000-0005-0000-0000-0000453B0000}"/>
    <cellStyle name="Standard 4 2 3 2 4 2 2 5" xfId="14992" xr:uid="{00000000-0005-0000-0000-0000463B0000}"/>
    <cellStyle name="Standard 4 2 3 2 4 2 2 6" xfId="14993" xr:uid="{00000000-0005-0000-0000-0000473B0000}"/>
    <cellStyle name="Standard 4 2 3 2 4 2 3" xfId="14994" xr:uid="{00000000-0005-0000-0000-0000483B0000}"/>
    <cellStyle name="Standard 4 2 3 2 4 2 3 2" xfId="14995" xr:uid="{00000000-0005-0000-0000-0000493B0000}"/>
    <cellStyle name="Standard 4 2 3 2 4 2 3 3" xfId="14996" xr:uid="{00000000-0005-0000-0000-00004A3B0000}"/>
    <cellStyle name="Standard 4 2 3 2 4 2 4" xfId="14997" xr:uid="{00000000-0005-0000-0000-00004B3B0000}"/>
    <cellStyle name="Standard 4 2 3 2 4 2 4 2" xfId="14998" xr:uid="{00000000-0005-0000-0000-00004C3B0000}"/>
    <cellStyle name="Standard 4 2 3 2 4 2 4 3" xfId="14999" xr:uid="{00000000-0005-0000-0000-00004D3B0000}"/>
    <cellStyle name="Standard 4 2 3 2 4 2 5" xfId="15000" xr:uid="{00000000-0005-0000-0000-00004E3B0000}"/>
    <cellStyle name="Standard 4 2 3 2 4 2 5 2" xfId="15001" xr:uid="{00000000-0005-0000-0000-00004F3B0000}"/>
    <cellStyle name="Standard 4 2 3 2 4 2 6" xfId="15002" xr:uid="{00000000-0005-0000-0000-0000503B0000}"/>
    <cellStyle name="Standard 4 2 3 2 4 2 7" xfId="15003" xr:uid="{00000000-0005-0000-0000-0000513B0000}"/>
    <cellStyle name="Standard 4 2 3 2 4 3" xfId="15004" xr:uid="{00000000-0005-0000-0000-0000523B0000}"/>
    <cellStyle name="Standard 4 2 3 2 4 3 2" xfId="15005" xr:uid="{00000000-0005-0000-0000-0000533B0000}"/>
    <cellStyle name="Standard 4 2 3 2 4 3 2 2" xfId="15006" xr:uid="{00000000-0005-0000-0000-0000543B0000}"/>
    <cellStyle name="Standard 4 2 3 2 4 3 2 3" xfId="15007" xr:uid="{00000000-0005-0000-0000-0000553B0000}"/>
    <cellStyle name="Standard 4 2 3 2 4 3 3" xfId="15008" xr:uid="{00000000-0005-0000-0000-0000563B0000}"/>
    <cellStyle name="Standard 4 2 3 2 4 3 3 2" xfId="15009" xr:uid="{00000000-0005-0000-0000-0000573B0000}"/>
    <cellStyle name="Standard 4 2 3 2 4 3 3 3" xfId="15010" xr:uid="{00000000-0005-0000-0000-0000583B0000}"/>
    <cellStyle name="Standard 4 2 3 2 4 3 4" xfId="15011" xr:uid="{00000000-0005-0000-0000-0000593B0000}"/>
    <cellStyle name="Standard 4 2 3 2 4 3 4 2" xfId="15012" xr:uid="{00000000-0005-0000-0000-00005A3B0000}"/>
    <cellStyle name="Standard 4 2 3 2 4 3 5" xfId="15013" xr:uid="{00000000-0005-0000-0000-00005B3B0000}"/>
    <cellStyle name="Standard 4 2 3 2 4 3 6" xfId="15014" xr:uid="{00000000-0005-0000-0000-00005C3B0000}"/>
    <cellStyle name="Standard 4 2 3 2 4 4" xfId="15015" xr:uid="{00000000-0005-0000-0000-00005D3B0000}"/>
    <cellStyle name="Standard 4 2 3 2 4 4 2" xfId="15016" xr:uid="{00000000-0005-0000-0000-00005E3B0000}"/>
    <cellStyle name="Standard 4 2 3 2 4 4 3" xfId="15017" xr:uid="{00000000-0005-0000-0000-00005F3B0000}"/>
    <cellStyle name="Standard 4 2 3 2 4 5" xfId="15018" xr:uid="{00000000-0005-0000-0000-0000603B0000}"/>
    <cellStyle name="Standard 4 2 3 2 4 5 2" xfId="15019" xr:uid="{00000000-0005-0000-0000-0000613B0000}"/>
    <cellStyle name="Standard 4 2 3 2 4 5 3" xfId="15020" xr:uid="{00000000-0005-0000-0000-0000623B0000}"/>
    <cellStyle name="Standard 4 2 3 2 4 6" xfId="15021" xr:uid="{00000000-0005-0000-0000-0000633B0000}"/>
    <cellStyle name="Standard 4 2 3 2 4 6 2" xfId="15022" xr:uid="{00000000-0005-0000-0000-0000643B0000}"/>
    <cellStyle name="Standard 4 2 3 2 4 7" xfId="15023" xr:uid="{00000000-0005-0000-0000-0000653B0000}"/>
    <cellStyle name="Standard 4 2 3 2 4 8" xfId="15024" xr:uid="{00000000-0005-0000-0000-0000663B0000}"/>
    <cellStyle name="Standard 4 2 3 2 5" xfId="15025" xr:uid="{00000000-0005-0000-0000-0000673B0000}"/>
    <cellStyle name="Standard 4 2 3 2 5 2" xfId="15026" xr:uid="{00000000-0005-0000-0000-0000683B0000}"/>
    <cellStyle name="Standard 4 2 3 2 5 2 2" xfId="15027" xr:uid="{00000000-0005-0000-0000-0000693B0000}"/>
    <cellStyle name="Standard 4 2 3 2 5 2 2 2" xfId="15028" xr:uid="{00000000-0005-0000-0000-00006A3B0000}"/>
    <cellStyle name="Standard 4 2 3 2 5 2 2 2 2" xfId="15029" xr:uid="{00000000-0005-0000-0000-00006B3B0000}"/>
    <cellStyle name="Standard 4 2 3 2 5 2 2 2 3" xfId="15030" xr:uid="{00000000-0005-0000-0000-00006C3B0000}"/>
    <cellStyle name="Standard 4 2 3 2 5 2 2 3" xfId="15031" xr:uid="{00000000-0005-0000-0000-00006D3B0000}"/>
    <cellStyle name="Standard 4 2 3 2 5 2 2 3 2" xfId="15032" xr:uid="{00000000-0005-0000-0000-00006E3B0000}"/>
    <cellStyle name="Standard 4 2 3 2 5 2 2 3 3" xfId="15033" xr:uid="{00000000-0005-0000-0000-00006F3B0000}"/>
    <cellStyle name="Standard 4 2 3 2 5 2 2 4" xfId="15034" xr:uid="{00000000-0005-0000-0000-0000703B0000}"/>
    <cellStyle name="Standard 4 2 3 2 5 2 2 4 2" xfId="15035" xr:uid="{00000000-0005-0000-0000-0000713B0000}"/>
    <cellStyle name="Standard 4 2 3 2 5 2 2 5" xfId="15036" xr:uid="{00000000-0005-0000-0000-0000723B0000}"/>
    <cellStyle name="Standard 4 2 3 2 5 2 2 6" xfId="15037" xr:uid="{00000000-0005-0000-0000-0000733B0000}"/>
    <cellStyle name="Standard 4 2 3 2 5 2 3" xfId="15038" xr:uid="{00000000-0005-0000-0000-0000743B0000}"/>
    <cellStyle name="Standard 4 2 3 2 5 2 3 2" xfId="15039" xr:uid="{00000000-0005-0000-0000-0000753B0000}"/>
    <cellStyle name="Standard 4 2 3 2 5 2 3 3" xfId="15040" xr:uid="{00000000-0005-0000-0000-0000763B0000}"/>
    <cellStyle name="Standard 4 2 3 2 5 2 4" xfId="15041" xr:uid="{00000000-0005-0000-0000-0000773B0000}"/>
    <cellStyle name="Standard 4 2 3 2 5 2 4 2" xfId="15042" xr:uid="{00000000-0005-0000-0000-0000783B0000}"/>
    <cellStyle name="Standard 4 2 3 2 5 2 4 3" xfId="15043" xr:uid="{00000000-0005-0000-0000-0000793B0000}"/>
    <cellStyle name="Standard 4 2 3 2 5 2 5" xfId="15044" xr:uid="{00000000-0005-0000-0000-00007A3B0000}"/>
    <cellStyle name="Standard 4 2 3 2 5 2 5 2" xfId="15045" xr:uid="{00000000-0005-0000-0000-00007B3B0000}"/>
    <cellStyle name="Standard 4 2 3 2 5 2 6" xfId="15046" xr:uid="{00000000-0005-0000-0000-00007C3B0000}"/>
    <cellStyle name="Standard 4 2 3 2 5 2 7" xfId="15047" xr:uid="{00000000-0005-0000-0000-00007D3B0000}"/>
    <cellStyle name="Standard 4 2 3 2 5 3" xfId="15048" xr:uid="{00000000-0005-0000-0000-00007E3B0000}"/>
    <cellStyle name="Standard 4 2 3 2 5 3 2" xfId="15049" xr:uid="{00000000-0005-0000-0000-00007F3B0000}"/>
    <cellStyle name="Standard 4 2 3 2 5 3 2 2" xfId="15050" xr:uid="{00000000-0005-0000-0000-0000803B0000}"/>
    <cellStyle name="Standard 4 2 3 2 5 3 2 3" xfId="15051" xr:uid="{00000000-0005-0000-0000-0000813B0000}"/>
    <cellStyle name="Standard 4 2 3 2 5 3 3" xfId="15052" xr:uid="{00000000-0005-0000-0000-0000823B0000}"/>
    <cellStyle name="Standard 4 2 3 2 5 3 3 2" xfId="15053" xr:uid="{00000000-0005-0000-0000-0000833B0000}"/>
    <cellStyle name="Standard 4 2 3 2 5 3 3 3" xfId="15054" xr:uid="{00000000-0005-0000-0000-0000843B0000}"/>
    <cellStyle name="Standard 4 2 3 2 5 3 4" xfId="15055" xr:uid="{00000000-0005-0000-0000-0000853B0000}"/>
    <cellStyle name="Standard 4 2 3 2 5 3 4 2" xfId="15056" xr:uid="{00000000-0005-0000-0000-0000863B0000}"/>
    <cellStyle name="Standard 4 2 3 2 5 3 5" xfId="15057" xr:uid="{00000000-0005-0000-0000-0000873B0000}"/>
    <cellStyle name="Standard 4 2 3 2 5 3 6" xfId="15058" xr:uid="{00000000-0005-0000-0000-0000883B0000}"/>
    <cellStyle name="Standard 4 2 3 2 5 4" xfId="15059" xr:uid="{00000000-0005-0000-0000-0000893B0000}"/>
    <cellStyle name="Standard 4 2 3 2 5 4 2" xfId="15060" xr:uid="{00000000-0005-0000-0000-00008A3B0000}"/>
    <cellStyle name="Standard 4 2 3 2 5 4 3" xfId="15061" xr:uid="{00000000-0005-0000-0000-00008B3B0000}"/>
    <cellStyle name="Standard 4 2 3 2 5 5" xfId="15062" xr:uid="{00000000-0005-0000-0000-00008C3B0000}"/>
    <cellStyle name="Standard 4 2 3 2 5 5 2" xfId="15063" xr:uid="{00000000-0005-0000-0000-00008D3B0000}"/>
    <cellStyle name="Standard 4 2 3 2 5 5 3" xfId="15064" xr:uid="{00000000-0005-0000-0000-00008E3B0000}"/>
    <cellStyle name="Standard 4 2 3 2 5 6" xfId="15065" xr:uid="{00000000-0005-0000-0000-00008F3B0000}"/>
    <cellStyle name="Standard 4 2 3 2 5 6 2" xfId="15066" xr:uid="{00000000-0005-0000-0000-0000903B0000}"/>
    <cellStyle name="Standard 4 2 3 2 5 7" xfId="15067" xr:uid="{00000000-0005-0000-0000-0000913B0000}"/>
    <cellStyle name="Standard 4 2 3 2 5 8" xfId="15068" xr:uid="{00000000-0005-0000-0000-0000923B0000}"/>
    <cellStyle name="Standard 4 2 3 2 6" xfId="15069" xr:uid="{00000000-0005-0000-0000-0000933B0000}"/>
    <cellStyle name="Standard 4 2 3 2 6 2" xfId="15070" xr:uid="{00000000-0005-0000-0000-0000943B0000}"/>
    <cellStyle name="Standard 4 2 3 2 6 2 2" xfId="15071" xr:uid="{00000000-0005-0000-0000-0000953B0000}"/>
    <cellStyle name="Standard 4 2 3 2 6 2 2 2" xfId="15072" xr:uid="{00000000-0005-0000-0000-0000963B0000}"/>
    <cellStyle name="Standard 4 2 3 2 6 2 2 3" xfId="15073" xr:uid="{00000000-0005-0000-0000-0000973B0000}"/>
    <cellStyle name="Standard 4 2 3 2 6 2 3" xfId="15074" xr:uid="{00000000-0005-0000-0000-0000983B0000}"/>
    <cellStyle name="Standard 4 2 3 2 6 2 3 2" xfId="15075" xr:uid="{00000000-0005-0000-0000-0000993B0000}"/>
    <cellStyle name="Standard 4 2 3 2 6 2 3 3" xfId="15076" xr:uid="{00000000-0005-0000-0000-00009A3B0000}"/>
    <cellStyle name="Standard 4 2 3 2 6 2 4" xfId="15077" xr:uid="{00000000-0005-0000-0000-00009B3B0000}"/>
    <cellStyle name="Standard 4 2 3 2 6 2 4 2" xfId="15078" xr:uid="{00000000-0005-0000-0000-00009C3B0000}"/>
    <cellStyle name="Standard 4 2 3 2 6 2 5" xfId="15079" xr:uid="{00000000-0005-0000-0000-00009D3B0000}"/>
    <cellStyle name="Standard 4 2 3 2 6 2 6" xfId="15080" xr:uid="{00000000-0005-0000-0000-00009E3B0000}"/>
    <cellStyle name="Standard 4 2 3 2 6 3" xfId="15081" xr:uid="{00000000-0005-0000-0000-00009F3B0000}"/>
    <cellStyle name="Standard 4 2 3 2 6 3 2" xfId="15082" xr:uid="{00000000-0005-0000-0000-0000A03B0000}"/>
    <cellStyle name="Standard 4 2 3 2 6 3 3" xfId="15083" xr:uid="{00000000-0005-0000-0000-0000A13B0000}"/>
    <cellStyle name="Standard 4 2 3 2 6 4" xfId="15084" xr:uid="{00000000-0005-0000-0000-0000A23B0000}"/>
    <cellStyle name="Standard 4 2 3 2 6 4 2" xfId="15085" xr:uid="{00000000-0005-0000-0000-0000A33B0000}"/>
    <cellStyle name="Standard 4 2 3 2 6 4 3" xfId="15086" xr:uid="{00000000-0005-0000-0000-0000A43B0000}"/>
    <cellStyle name="Standard 4 2 3 2 6 5" xfId="15087" xr:uid="{00000000-0005-0000-0000-0000A53B0000}"/>
    <cellStyle name="Standard 4 2 3 2 6 5 2" xfId="15088" xr:uid="{00000000-0005-0000-0000-0000A63B0000}"/>
    <cellStyle name="Standard 4 2 3 2 6 6" xfId="15089" xr:uid="{00000000-0005-0000-0000-0000A73B0000}"/>
    <cellStyle name="Standard 4 2 3 2 6 7" xfId="15090" xr:uid="{00000000-0005-0000-0000-0000A83B0000}"/>
    <cellStyle name="Standard 4 2 3 2 7" xfId="15091" xr:uid="{00000000-0005-0000-0000-0000A93B0000}"/>
    <cellStyle name="Standard 4 2 3 2 7 2" xfId="15092" xr:uid="{00000000-0005-0000-0000-0000AA3B0000}"/>
    <cellStyle name="Standard 4 2 3 2 7 2 2" xfId="15093" xr:uid="{00000000-0005-0000-0000-0000AB3B0000}"/>
    <cellStyle name="Standard 4 2 3 2 7 2 3" xfId="15094" xr:uid="{00000000-0005-0000-0000-0000AC3B0000}"/>
    <cellStyle name="Standard 4 2 3 2 7 3" xfId="15095" xr:uid="{00000000-0005-0000-0000-0000AD3B0000}"/>
    <cellStyle name="Standard 4 2 3 2 7 3 2" xfId="15096" xr:uid="{00000000-0005-0000-0000-0000AE3B0000}"/>
    <cellStyle name="Standard 4 2 3 2 7 3 3" xfId="15097" xr:uid="{00000000-0005-0000-0000-0000AF3B0000}"/>
    <cellStyle name="Standard 4 2 3 2 7 4" xfId="15098" xr:uid="{00000000-0005-0000-0000-0000B03B0000}"/>
    <cellStyle name="Standard 4 2 3 2 7 4 2" xfId="15099" xr:uid="{00000000-0005-0000-0000-0000B13B0000}"/>
    <cellStyle name="Standard 4 2 3 2 7 5" xfId="15100" xr:uid="{00000000-0005-0000-0000-0000B23B0000}"/>
    <cellStyle name="Standard 4 2 3 2 7 6" xfId="15101" xr:uid="{00000000-0005-0000-0000-0000B33B0000}"/>
    <cellStyle name="Standard 4 2 3 2 8" xfId="15102" xr:uid="{00000000-0005-0000-0000-0000B43B0000}"/>
    <cellStyle name="Standard 4 2 3 2 8 2" xfId="15103" xr:uid="{00000000-0005-0000-0000-0000B53B0000}"/>
    <cellStyle name="Standard 4 2 3 2 8 3" xfId="15104" xr:uid="{00000000-0005-0000-0000-0000B63B0000}"/>
    <cellStyle name="Standard 4 2 3 2 9" xfId="15105" xr:uid="{00000000-0005-0000-0000-0000B73B0000}"/>
    <cellStyle name="Standard 4 2 3 2 9 2" xfId="15106" xr:uid="{00000000-0005-0000-0000-0000B83B0000}"/>
    <cellStyle name="Standard 4 2 3 2 9 3" xfId="15107" xr:uid="{00000000-0005-0000-0000-0000B93B0000}"/>
    <cellStyle name="Standard 4 2 3 3" xfId="15108" xr:uid="{00000000-0005-0000-0000-0000BA3B0000}"/>
    <cellStyle name="Standard 4 2 3 3 10" xfId="15109" xr:uid="{00000000-0005-0000-0000-0000BB3B0000}"/>
    <cellStyle name="Standard 4 2 3 3 11" xfId="15110" xr:uid="{00000000-0005-0000-0000-0000BC3B0000}"/>
    <cellStyle name="Standard 4 2 3 3 12" xfId="33462" xr:uid="{00000000-0005-0000-0000-0000BD3B0000}"/>
    <cellStyle name="Standard 4 2 3 3 2" xfId="15111" xr:uid="{00000000-0005-0000-0000-0000BE3B0000}"/>
    <cellStyle name="Standard 4 2 3 3 2 10" xfId="15112" xr:uid="{00000000-0005-0000-0000-0000BF3B0000}"/>
    <cellStyle name="Standard 4 2 3 3 2 2" xfId="15113" xr:uid="{00000000-0005-0000-0000-0000C03B0000}"/>
    <cellStyle name="Standard 4 2 3 3 2 2 2" xfId="15114" xr:uid="{00000000-0005-0000-0000-0000C13B0000}"/>
    <cellStyle name="Standard 4 2 3 3 2 2 2 2" xfId="15115" xr:uid="{00000000-0005-0000-0000-0000C23B0000}"/>
    <cellStyle name="Standard 4 2 3 3 2 2 2 2 2" xfId="15116" xr:uid="{00000000-0005-0000-0000-0000C33B0000}"/>
    <cellStyle name="Standard 4 2 3 3 2 2 2 2 2 2" xfId="15117" xr:uid="{00000000-0005-0000-0000-0000C43B0000}"/>
    <cellStyle name="Standard 4 2 3 3 2 2 2 2 2 3" xfId="15118" xr:uid="{00000000-0005-0000-0000-0000C53B0000}"/>
    <cellStyle name="Standard 4 2 3 3 2 2 2 2 3" xfId="15119" xr:uid="{00000000-0005-0000-0000-0000C63B0000}"/>
    <cellStyle name="Standard 4 2 3 3 2 2 2 2 3 2" xfId="15120" xr:uid="{00000000-0005-0000-0000-0000C73B0000}"/>
    <cellStyle name="Standard 4 2 3 3 2 2 2 2 3 3" xfId="15121" xr:uid="{00000000-0005-0000-0000-0000C83B0000}"/>
    <cellStyle name="Standard 4 2 3 3 2 2 2 2 4" xfId="15122" xr:uid="{00000000-0005-0000-0000-0000C93B0000}"/>
    <cellStyle name="Standard 4 2 3 3 2 2 2 2 4 2" xfId="15123" xr:uid="{00000000-0005-0000-0000-0000CA3B0000}"/>
    <cellStyle name="Standard 4 2 3 3 2 2 2 2 5" xfId="15124" xr:uid="{00000000-0005-0000-0000-0000CB3B0000}"/>
    <cellStyle name="Standard 4 2 3 3 2 2 2 2 6" xfId="15125" xr:uid="{00000000-0005-0000-0000-0000CC3B0000}"/>
    <cellStyle name="Standard 4 2 3 3 2 2 2 3" xfId="15126" xr:uid="{00000000-0005-0000-0000-0000CD3B0000}"/>
    <cellStyle name="Standard 4 2 3 3 2 2 2 3 2" xfId="15127" xr:uid="{00000000-0005-0000-0000-0000CE3B0000}"/>
    <cellStyle name="Standard 4 2 3 3 2 2 2 3 3" xfId="15128" xr:uid="{00000000-0005-0000-0000-0000CF3B0000}"/>
    <cellStyle name="Standard 4 2 3 3 2 2 2 4" xfId="15129" xr:uid="{00000000-0005-0000-0000-0000D03B0000}"/>
    <cellStyle name="Standard 4 2 3 3 2 2 2 4 2" xfId="15130" xr:uid="{00000000-0005-0000-0000-0000D13B0000}"/>
    <cellStyle name="Standard 4 2 3 3 2 2 2 4 3" xfId="15131" xr:uid="{00000000-0005-0000-0000-0000D23B0000}"/>
    <cellStyle name="Standard 4 2 3 3 2 2 2 5" xfId="15132" xr:uid="{00000000-0005-0000-0000-0000D33B0000}"/>
    <cellStyle name="Standard 4 2 3 3 2 2 2 5 2" xfId="15133" xr:uid="{00000000-0005-0000-0000-0000D43B0000}"/>
    <cellStyle name="Standard 4 2 3 3 2 2 2 6" xfId="15134" xr:uid="{00000000-0005-0000-0000-0000D53B0000}"/>
    <cellStyle name="Standard 4 2 3 3 2 2 2 7" xfId="15135" xr:uid="{00000000-0005-0000-0000-0000D63B0000}"/>
    <cellStyle name="Standard 4 2 3 3 2 2 3" xfId="15136" xr:uid="{00000000-0005-0000-0000-0000D73B0000}"/>
    <cellStyle name="Standard 4 2 3 3 2 2 3 2" xfId="15137" xr:uid="{00000000-0005-0000-0000-0000D83B0000}"/>
    <cellStyle name="Standard 4 2 3 3 2 2 3 2 2" xfId="15138" xr:uid="{00000000-0005-0000-0000-0000D93B0000}"/>
    <cellStyle name="Standard 4 2 3 3 2 2 3 2 3" xfId="15139" xr:uid="{00000000-0005-0000-0000-0000DA3B0000}"/>
    <cellStyle name="Standard 4 2 3 3 2 2 3 3" xfId="15140" xr:uid="{00000000-0005-0000-0000-0000DB3B0000}"/>
    <cellStyle name="Standard 4 2 3 3 2 2 3 3 2" xfId="15141" xr:uid="{00000000-0005-0000-0000-0000DC3B0000}"/>
    <cellStyle name="Standard 4 2 3 3 2 2 3 3 3" xfId="15142" xr:uid="{00000000-0005-0000-0000-0000DD3B0000}"/>
    <cellStyle name="Standard 4 2 3 3 2 2 3 4" xfId="15143" xr:uid="{00000000-0005-0000-0000-0000DE3B0000}"/>
    <cellStyle name="Standard 4 2 3 3 2 2 3 4 2" xfId="15144" xr:uid="{00000000-0005-0000-0000-0000DF3B0000}"/>
    <cellStyle name="Standard 4 2 3 3 2 2 3 5" xfId="15145" xr:uid="{00000000-0005-0000-0000-0000E03B0000}"/>
    <cellStyle name="Standard 4 2 3 3 2 2 3 6" xfId="15146" xr:uid="{00000000-0005-0000-0000-0000E13B0000}"/>
    <cellStyle name="Standard 4 2 3 3 2 2 4" xfId="15147" xr:uid="{00000000-0005-0000-0000-0000E23B0000}"/>
    <cellStyle name="Standard 4 2 3 3 2 2 4 2" xfId="15148" xr:uid="{00000000-0005-0000-0000-0000E33B0000}"/>
    <cellStyle name="Standard 4 2 3 3 2 2 4 3" xfId="15149" xr:uid="{00000000-0005-0000-0000-0000E43B0000}"/>
    <cellStyle name="Standard 4 2 3 3 2 2 5" xfId="15150" xr:uid="{00000000-0005-0000-0000-0000E53B0000}"/>
    <cellStyle name="Standard 4 2 3 3 2 2 5 2" xfId="15151" xr:uid="{00000000-0005-0000-0000-0000E63B0000}"/>
    <cellStyle name="Standard 4 2 3 3 2 2 5 3" xfId="15152" xr:uid="{00000000-0005-0000-0000-0000E73B0000}"/>
    <cellStyle name="Standard 4 2 3 3 2 2 6" xfId="15153" xr:uid="{00000000-0005-0000-0000-0000E83B0000}"/>
    <cellStyle name="Standard 4 2 3 3 2 2 6 2" xfId="15154" xr:uid="{00000000-0005-0000-0000-0000E93B0000}"/>
    <cellStyle name="Standard 4 2 3 3 2 2 7" xfId="15155" xr:uid="{00000000-0005-0000-0000-0000EA3B0000}"/>
    <cellStyle name="Standard 4 2 3 3 2 2 8" xfId="15156" xr:uid="{00000000-0005-0000-0000-0000EB3B0000}"/>
    <cellStyle name="Standard 4 2 3 3 2 3" xfId="15157" xr:uid="{00000000-0005-0000-0000-0000EC3B0000}"/>
    <cellStyle name="Standard 4 2 3 3 2 3 2" xfId="15158" xr:uid="{00000000-0005-0000-0000-0000ED3B0000}"/>
    <cellStyle name="Standard 4 2 3 3 2 3 2 2" xfId="15159" xr:uid="{00000000-0005-0000-0000-0000EE3B0000}"/>
    <cellStyle name="Standard 4 2 3 3 2 3 2 2 2" xfId="15160" xr:uid="{00000000-0005-0000-0000-0000EF3B0000}"/>
    <cellStyle name="Standard 4 2 3 3 2 3 2 2 2 2" xfId="15161" xr:uid="{00000000-0005-0000-0000-0000F03B0000}"/>
    <cellStyle name="Standard 4 2 3 3 2 3 2 2 2 3" xfId="15162" xr:uid="{00000000-0005-0000-0000-0000F13B0000}"/>
    <cellStyle name="Standard 4 2 3 3 2 3 2 2 3" xfId="15163" xr:uid="{00000000-0005-0000-0000-0000F23B0000}"/>
    <cellStyle name="Standard 4 2 3 3 2 3 2 2 3 2" xfId="15164" xr:uid="{00000000-0005-0000-0000-0000F33B0000}"/>
    <cellStyle name="Standard 4 2 3 3 2 3 2 2 3 3" xfId="15165" xr:uid="{00000000-0005-0000-0000-0000F43B0000}"/>
    <cellStyle name="Standard 4 2 3 3 2 3 2 2 4" xfId="15166" xr:uid="{00000000-0005-0000-0000-0000F53B0000}"/>
    <cellStyle name="Standard 4 2 3 3 2 3 2 2 4 2" xfId="15167" xr:uid="{00000000-0005-0000-0000-0000F63B0000}"/>
    <cellStyle name="Standard 4 2 3 3 2 3 2 2 5" xfId="15168" xr:uid="{00000000-0005-0000-0000-0000F73B0000}"/>
    <cellStyle name="Standard 4 2 3 3 2 3 2 2 6" xfId="15169" xr:uid="{00000000-0005-0000-0000-0000F83B0000}"/>
    <cellStyle name="Standard 4 2 3 3 2 3 2 3" xfId="15170" xr:uid="{00000000-0005-0000-0000-0000F93B0000}"/>
    <cellStyle name="Standard 4 2 3 3 2 3 2 3 2" xfId="15171" xr:uid="{00000000-0005-0000-0000-0000FA3B0000}"/>
    <cellStyle name="Standard 4 2 3 3 2 3 2 3 3" xfId="15172" xr:uid="{00000000-0005-0000-0000-0000FB3B0000}"/>
    <cellStyle name="Standard 4 2 3 3 2 3 2 4" xfId="15173" xr:uid="{00000000-0005-0000-0000-0000FC3B0000}"/>
    <cellStyle name="Standard 4 2 3 3 2 3 2 4 2" xfId="15174" xr:uid="{00000000-0005-0000-0000-0000FD3B0000}"/>
    <cellStyle name="Standard 4 2 3 3 2 3 2 4 3" xfId="15175" xr:uid="{00000000-0005-0000-0000-0000FE3B0000}"/>
    <cellStyle name="Standard 4 2 3 3 2 3 2 5" xfId="15176" xr:uid="{00000000-0005-0000-0000-0000FF3B0000}"/>
    <cellStyle name="Standard 4 2 3 3 2 3 2 5 2" xfId="15177" xr:uid="{00000000-0005-0000-0000-0000003C0000}"/>
    <cellStyle name="Standard 4 2 3 3 2 3 2 6" xfId="15178" xr:uid="{00000000-0005-0000-0000-0000013C0000}"/>
    <cellStyle name="Standard 4 2 3 3 2 3 2 7" xfId="15179" xr:uid="{00000000-0005-0000-0000-0000023C0000}"/>
    <cellStyle name="Standard 4 2 3 3 2 3 3" xfId="15180" xr:uid="{00000000-0005-0000-0000-0000033C0000}"/>
    <cellStyle name="Standard 4 2 3 3 2 3 3 2" xfId="15181" xr:uid="{00000000-0005-0000-0000-0000043C0000}"/>
    <cellStyle name="Standard 4 2 3 3 2 3 3 2 2" xfId="15182" xr:uid="{00000000-0005-0000-0000-0000053C0000}"/>
    <cellStyle name="Standard 4 2 3 3 2 3 3 2 3" xfId="15183" xr:uid="{00000000-0005-0000-0000-0000063C0000}"/>
    <cellStyle name="Standard 4 2 3 3 2 3 3 3" xfId="15184" xr:uid="{00000000-0005-0000-0000-0000073C0000}"/>
    <cellStyle name="Standard 4 2 3 3 2 3 3 3 2" xfId="15185" xr:uid="{00000000-0005-0000-0000-0000083C0000}"/>
    <cellStyle name="Standard 4 2 3 3 2 3 3 3 3" xfId="15186" xr:uid="{00000000-0005-0000-0000-0000093C0000}"/>
    <cellStyle name="Standard 4 2 3 3 2 3 3 4" xfId="15187" xr:uid="{00000000-0005-0000-0000-00000A3C0000}"/>
    <cellStyle name="Standard 4 2 3 3 2 3 3 4 2" xfId="15188" xr:uid="{00000000-0005-0000-0000-00000B3C0000}"/>
    <cellStyle name="Standard 4 2 3 3 2 3 3 5" xfId="15189" xr:uid="{00000000-0005-0000-0000-00000C3C0000}"/>
    <cellStyle name="Standard 4 2 3 3 2 3 3 6" xfId="15190" xr:uid="{00000000-0005-0000-0000-00000D3C0000}"/>
    <cellStyle name="Standard 4 2 3 3 2 3 4" xfId="15191" xr:uid="{00000000-0005-0000-0000-00000E3C0000}"/>
    <cellStyle name="Standard 4 2 3 3 2 3 4 2" xfId="15192" xr:uid="{00000000-0005-0000-0000-00000F3C0000}"/>
    <cellStyle name="Standard 4 2 3 3 2 3 4 3" xfId="15193" xr:uid="{00000000-0005-0000-0000-0000103C0000}"/>
    <cellStyle name="Standard 4 2 3 3 2 3 5" xfId="15194" xr:uid="{00000000-0005-0000-0000-0000113C0000}"/>
    <cellStyle name="Standard 4 2 3 3 2 3 5 2" xfId="15195" xr:uid="{00000000-0005-0000-0000-0000123C0000}"/>
    <cellStyle name="Standard 4 2 3 3 2 3 5 3" xfId="15196" xr:uid="{00000000-0005-0000-0000-0000133C0000}"/>
    <cellStyle name="Standard 4 2 3 3 2 3 6" xfId="15197" xr:uid="{00000000-0005-0000-0000-0000143C0000}"/>
    <cellStyle name="Standard 4 2 3 3 2 3 6 2" xfId="15198" xr:uid="{00000000-0005-0000-0000-0000153C0000}"/>
    <cellStyle name="Standard 4 2 3 3 2 3 7" xfId="15199" xr:uid="{00000000-0005-0000-0000-0000163C0000}"/>
    <cellStyle name="Standard 4 2 3 3 2 3 8" xfId="15200" xr:uid="{00000000-0005-0000-0000-0000173C0000}"/>
    <cellStyle name="Standard 4 2 3 3 2 4" xfId="15201" xr:uid="{00000000-0005-0000-0000-0000183C0000}"/>
    <cellStyle name="Standard 4 2 3 3 2 4 2" xfId="15202" xr:uid="{00000000-0005-0000-0000-0000193C0000}"/>
    <cellStyle name="Standard 4 2 3 3 2 4 2 2" xfId="15203" xr:uid="{00000000-0005-0000-0000-00001A3C0000}"/>
    <cellStyle name="Standard 4 2 3 3 2 4 2 2 2" xfId="15204" xr:uid="{00000000-0005-0000-0000-00001B3C0000}"/>
    <cellStyle name="Standard 4 2 3 3 2 4 2 2 3" xfId="15205" xr:uid="{00000000-0005-0000-0000-00001C3C0000}"/>
    <cellStyle name="Standard 4 2 3 3 2 4 2 3" xfId="15206" xr:uid="{00000000-0005-0000-0000-00001D3C0000}"/>
    <cellStyle name="Standard 4 2 3 3 2 4 2 3 2" xfId="15207" xr:uid="{00000000-0005-0000-0000-00001E3C0000}"/>
    <cellStyle name="Standard 4 2 3 3 2 4 2 3 3" xfId="15208" xr:uid="{00000000-0005-0000-0000-00001F3C0000}"/>
    <cellStyle name="Standard 4 2 3 3 2 4 2 4" xfId="15209" xr:uid="{00000000-0005-0000-0000-0000203C0000}"/>
    <cellStyle name="Standard 4 2 3 3 2 4 2 4 2" xfId="15210" xr:uid="{00000000-0005-0000-0000-0000213C0000}"/>
    <cellStyle name="Standard 4 2 3 3 2 4 2 5" xfId="15211" xr:uid="{00000000-0005-0000-0000-0000223C0000}"/>
    <cellStyle name="Standard 4 2 3 3 2 4 2 6" xfId="15212" xr:uid="{00000000-0005-0000-0000-0000233C0000}"/>
    <cellStyle name="Standard 4 2 3 3 2 4 3" xfId="15213" xr:uid="{00000000-0005-0000-0000-0000243C0000}"/>
    <cellStyle name="Standard 4 2 3 3 2 4 3 2" xfId="15214" xr:uid="{00000000-0005-0000-0000-0000253C0000}"/>
    <cellStyle name="Standard 4 2 3 3 2 4 3 3" xfId="15215" xr:uid="{00000000-0005-0000-0000-0000263C0000}"/>
    <cellStyle name="Standard 4 2 3 3 2 4 4" xfId="15216" xr:uid="{00000000-0005-0000-0000-0000273C0000}"/>
    <cellStyle name="Standard 4 2 3 3 2 4 4 2" xfId="15217" xr:uid="{00000000-0005-0000-0000-0000283C0000}"/>
    <cellStyle name="Standard 4 2 3 3 2 4 4 3" xfId="15218" xr:uid="{00000000-0005-0000-0000-0000293C0000}"/>
    <cellStyle name="Standard 4 2 3 3 2 4 5" xfId="15219" xr:uid="{00000000-0005-0000-0000-00002A3C0000}"/>
    <cellStyle name="Standard 4 2 3 3 2 4 5 2" xfId="15220" xr:uid="{00000000-0005-0000-0000-00002B3C0000}"/>
    <cellStyle name="Standard 4 2 3 3 2 4 6" xfId="15221" xr:uid="{00000000-0005-0000-0000-00002C3C0000}"/>
    <cellStyle name="Standard 4 2 3 3 2 4 7" xfId="15222" xr:uid="{00000000-0005-0000-0000-00002D3C0000}"/>
    <cellStyle name="Standard 4 2 3 3 2 5" xfId="15223" xr:uid="{00000000-0005-0000-0000-00002E3C0000}"/>
    <cellStyle name="Standard 4 2 3 3 2 5 2" xfId="15224" xr:uid="{00000000-0005-0000-0000-00002F3C0000}"/>
    <cellStyle name="Standard 4 2 3 3 2 5 2 2" xfId="15225" xr:uid="{00000000-0005-0000-0000-0000303C0000}"/>
    <cellStyle name="Standard 4 2 3 3 2 5 2 3" xfId="15226" xr:uid="{00000000-0005-0000-0000-0000313C0000}"/>
    <cellStyle name="Standard 4 2 3 3 2 5 3" xfId="15227" xr:uid="{00000000-0005-0000-0000-0000323C0000}"/>
    <cellStyle name="Standard 4 2 3 3 2 5 3 2" xfId="15228" xr:uid="{00000000-0005-0000-0000-0000333C0000}"/>
    <cellStyle name="Standard 4 2 3 3 2 5 3 3" xfId="15229" xr:uid="{00000000-0005-0000-0000-0000343C0000}"/>
    <cellStyle name="Standard 4 2 3 3 2 5 4" xfId="15230" xr:uid="{00000000-0005-0000-0000-0000353C0000}"/>
    <cellStyle name="Standard 4 2 3 3 2 5 4 2" xfId="15231" xr:uid="{00000000-0005-0000-0000-0000363C0000}"/>
    <cellStyle name="Standard 4 2 3 3 2 5 5" xfId="15232" xr:uid="{00000000-0005-0000-0000-0000373C0000}"/>
    <cellStyle name="Standard 4 2 3 3 2 5 6" xfId="15233" xr:uid="{00000000-0005-0000-0000-0000383C0000}"/>
    <cellStyle name="Standard 4 2 3 3 2 6" xfId="15234" xr:uid="{00000000-0005-0000-0000-0000393C0000}"/>
    <cellStyle name="Standard 4 2 3 3 2 6 2" xfId="15235" xr:uid="{00000000-0005-0000-0000-00003A3C0000}"/>
    <cellStyle name="Standard 4 2 3 3 2 6 3" xfId="15236" xr:uid="{00000000-0005-0000-0000-00003B3C0000}"/>
    <cellStyle name="Standard 4 2 3 3 2 7" xfId="15237" xr:uid="{00000000-0005-0000-0000-00003C3C0000}"/>
    <cellStyle name="Standard 4 2 3 3 2 7 2" xfId="15238" xr:uid="{00000000-0005-0000-0000-00003D3C0000}"/>
    <cellStyle name="Standard 4 2 3 3 2 7 3" xfId="15239" xr:uid="{00000000-0005-0000-0000-00003E3C0000}"/>
    <cellStyle name="Standard 4 2 3 3 2 8" xfId="15240" xr:uid="{00000000-0005-0000-0000-00003F3C0000}"/>
    <cellStyle name="Standard 4 2 3 3 2 8 2" xfId="15241" xr:uid="{00000000-0005-0000-0000-0000403C0000}"/>
    <cellStyle name="Standard 4 2 3 3 2 9" xfId="15242" xr:uid="{00000000-0005-0000-0000-0000413C0000}"/>
    <cellStyle name="Standard 4 2 3 3 3" xfId="15243" xr:uid="{00000000-0005-0000-0000-0000423C0000}"/>
    <cellStyle name="Standard 4 2 3 3 3 2" xfId="15244" xr:uid="{00000000-0005-0000-0000-0000433C0000}"/>
    <cellStyle name="Standard 4 2 3 3 3 2 2" xfId="15245" xr:uid="{00000000-0005-0000-0000-0000443C0000}"/>
    <cellStyle name="Standard 4 2 3 3 3 2 2 2" xfId="15246" xr:uid="{00000000-0005-0000-0000-0000453C0000}"/>
    <cellStyle name="Standard 4 2 3 3 3 2 2 2 2" xfId="15247" xr:uid="{00000000-0005-0000-0000-0000463C0000}"/>
    <cellStyle name="Standard 4 2 3 3 3 2 2 2 3" xfId="15248" xr:uid="{00000000-0005-0000-0000-0000473C0000}"/>
    <cellStyle name="Standard 4 2 3 3 3 2 2 3" xfId="15249" xr:uid="{00000000-0005-0000-0000-0000483C0000}"/>
    <cellStyle name="Standard 4 2 3 3 3 2 2 3 2" xfId="15250" xr:uid="{00000000-0005-0000-0000-0000493C0000}"/>
    <cellStyle name="Standard 4 2 3 3 3 2 2 3 3" xfId="15251" xr:uid="{00000000-0005-0000-0000-00004A3C0000}"/>
    <cellStyle name="Standard 4 2 3 3 3 2 2 4" xfId="15252" xr:uid="{00000000-0005-0000-0000-00004B3C0000}"/>
    <cellStyle name="Standard 4 2 3 3 3 2 2 4 2" xfId="15253" xr:uid="{00000000-0005-0000-0000-00004C3C0000}"/>
    <cellStyle name="Standard 4 2 3 3 3 2 2 5" xfId="15254" xr:uid="{00000000-0005-0000-0000-00004D3C0000}"/>
    <cellStyle name="Standard 4 2 3 3 3 2 2 6" xfId="15255" xr:uid="{00000000-0005-0000-0000-00004E3C0000}"/>
    <cellStyle name="Standard 4 2 3 3 3 2 3" xfId="15256" xr:uid="{00000000-0005-0000-0000-00004F3C0000}"/>
    <cellStyle name="Standard 4 2 3 3 3 2 3 2" xfId="15257" xr:uid="{00000000-0005-0000-0000-0000503C0000}"/>
    <cellStyle name="Standard 4 2 3 3 3 2 3 3" xfId="15258" xr:uid="{00000000-0005-0000-0000-0000513C0000}"/>
    <cellStyle name="Standard 4 2 3 3 3 2 4" xfId="15259" xr:uid="{00000000-0005-0000-0000-0000523C0000}"/>
    <cellStyle name="Standard 4 2 3 3 3 2 4 2" xfId="15260" xr:uid="{00000000-0005-0000-0000-0000533C0000}"/>
    <cellStyle name="Standard 4 2 3 3 3 2 4 3" xfId="15261" xr:uid="{00000000-0005-0000-0000-0000543C0000}"/>
    <cellStyle name="Standard 4 2 3 3 3 2 5" xfId="15262" xr:uid="{00000000-0005-0000-0000-0000553C0000}"/>
    <cellStyle name="Standard 4 2 3 3 3 2 5 2" xfId="15263" xr:uid="{00000000-0005-0000-0000-0000563C0000}"/>
    <cellStyle name="Standard 4 2 3 3 3 2 6" xfId="15264" xr:uid="{00000000-0005-0000-0000-0000573C0000}"/>
    <cellStyle name="Standard 4 2 3 3 3 2 7" xfId="15265" xr:uid="{00000000-0005-0000-0000-0000583C0000}"/>
    <cellStyle name="Standard 4 2 3 3 3 3" xfId="15266" xr:uid="{00000000-0005-0000-0000-0000593C0000}"/>
    <cellStyle name="Standard 4 2 3 3 3 3 2" xfId="15267" xr:uid="{00000000-0005-0000-0000-00005A3C0000}"/>
    <cellStyle name="Standard 4 2 3 3 3 3 2 2" xfId="15268" xr:uid="{00000000-0005-0000-0000-00005B3C0000}"/>
    <cellStyle name="Standard 4 2 3 3 3 3 2 3" xfId="15269" xr:uid="{00000000-0005-0000-0000-00005C3C0000}"/>
    <cellStyle name="Standard 4 2 3 3 3 3 3" xfId="15270" xr:uid="{00000000-0005-0000-0000-00005D3C0000}"/>
    <cellStyle name="Standard 4 2 3 3 3 3 3 2" xfId="15271" xr:uid="{00000000-0005-0000-0000-00005E3C0000}"/>
    <cellStyle name="Standard 4 2 3 3 3 3 3 3" xfId="15272" xr:uid="{00000000-0005-0000-0000-00005F3C0000}"/>
    <cellStyle name="Standard 4 2 3 3 3 3 4" xfId="15273" xr:uid="{00000000-0005-0000-0000-0000603C0000}"/>
    <cellStyle name="Standard 4 2 3 3 3 3 4 2" xfId="15274" xr:uid="{00000000-0005-0000-0000-0000613C0000}"/>
    <cellStyle name="Standard 4 2 3 3 3 3 5" xfId="15275" xr:uid="{00000000-0005-0000-0000-0000623C0000}"/>
    <cellStyle name="Standard 4 2 3 3 3 3 6" xfId="15276" xr:uid="{00000000-0005-0000-0000-0000633C0000}"/>
    <cellStyle name="Standard 4 2 3 3 3 4" xfId="15277" xr:uid="{00000000-0005-0000-0000-0000643C0000}"/>
    <cellStyle name="Standard 4 2 3 3 3 4 2" xfId="15278" xr:uid="{00000000-0005-0000-0000-0000653C0000}"/>
    <cellStyle name="Standard 4 2 3 3 3 4 3" xfId="15279" xr:uid="{00000000-0005-0000-0000-0000663C0000}"/>
    <cellStyle name="Standard 4 2 3 3 3 5" xfId="15280" xr:uid="{00000000-0005-0000-0000-0000673C0000}"/>
    <cellStyle name="Standard 4 2 3 3 3 5 2" xfId="15281" xr:uid="{00000000-0005-0000-0000-0000683C0000}"/>
    <cellStyle name="Standard 4 2 3 3 3 5 3" xfId="15282" xr:uid="{00000000-0005-0000-0000-0000693C0000}"/>
    <cellStyle name="Standard 4 2 3 3 3 6" xfId="15283" xr:uid="{00000000-0005-0000-0000-00006A3C0000}"/>
    <cellStyle name="Standard 4 2 3 3 3 6 2" xfId="15284" xr:uid="{00000000-0005-0000-0000-00006B3C0000}"/>
    <cellStyle name="Standard 4 2 3 3 3 7" xfId="15285" xr:uid="{00000000-0005-0000-0000-00006C3C0000}"/>
    <cellStyle name="Standard 4 2 3 3 3 8" xfId="15286" xr:uid="{00000000-0005-0000-0000-00006D3C0000}"/>
    <cellStyle name="Standard 4 2 3 3 4" xfId="15287" xr:uid="{00000000-0005-0000-0000-00006E3C0000}"/>
    <cellStyle name="Standard 4 2 3 3 4 2" xfId="15288" xr:uid="{00000000-0005-0000-0000-00006F3C0000}"/>
    <cellStyle name="Standard 4 2 3 3 4 2 2" xfId="15289" xr:uid="{00000000-0005-0000-0000-0000703C0000}"/>
    <cellStyle name="Standard 4 2 3 3 4 2 2 2" xfId="15290" xr:uid="{00000000-0005-0000-0000-0000713C0000}"/>
    <cellStyle name="Standard 4 2 3 3 4 2 2 2 2" xfId="15291" xr:uid="{00000000-0005-0000-0000-0000723C0000}"/>
    <cellStyle name="Standard 4 2 3 3 4 2 2 2 3" xfId="15292" xr:uid="{00000000-0005-0000-0000-0000733C0000}"/>
    <cellStyle name="Standard 4 2 3 3 4 2 2 3" xfId="15293" xr:uid="{00000000-0005-0000-0000-0000743C0000}"/>
    <cellStyle name="Standard 4 2 3 3 4 2 2 3 2" xfId="15294" xr:uid="{00000000-0005-0000-0000-0000753C0000}"/>
    <cellStyle name="Standard 4 2 3 3 4 2 2 3 3" xfId="15295" xr:uid="{00000000-0005-0000-0000-0000763C0000}"/>
    <cellStyle name="Standard 4 2 3 3 4 2 2 4" xfId="15296" xr:uid="{00000000-0005-0000-0000-0000773C0000}"/>
    <cellStyle name="Standard 4 2 3 3 4 2 2 4 2" xfId="15297" xr:uid="{00000000-0005-0000-0000-0000783C0000}"/>
    <cellStyle name="Standard 4 2 3 3 4 2 2 5" xfId="15298" xr:uid="{00000000-0005-0000-0000-0000793C0000}"/>
    <cellStyle name="Standard 4 2 3 3 4 2 2 6" xfId="15299" xr:uid="{00000000-0005-0000-0000-00007A3C0000}"/>
    <cellStyle name="Standard 4 2 3 3 4 2 3" xfId="15300" xr:uid="{00000000-0005-0000-0000-00007B3C0000}"/>
    <cellStyle name="Standard 4 2 3 3 4 2 3 2" xfId="15301" xr:uid="{00000000-0005-0000-0000-00007C3C0000}"/>
    <cellStyle name="Standard 4 2 3 3 4 2 3 3" xfId="15302" xr:uid="{00000000-0005-0000-0000-00007D3C0000}"/>
    <cellStyle name="Standard 4 2 3 3 4 2 4" xfId="15303" xr:uid="{00000000-0005-0000-0000-00007E3C0000}"/>
    <cellStyle name="Standard 4 2 3 3 4 2 4 2" xfId="15304" xr:uid="{00000000-0005-0000-0000-00007F3C0000}"/>
    <cellStyle name="Standard 4 2 3 3 4 2 4 3" xfId="15305" xr:uid="{00000000-0005-0000-0000-0000803C0000}"/>
    <cellStyle name="Standard 4 2 3 3 4 2 5" xfId="15306" xr:uid="{00000000-0005-0000-0000-0000813C0000}"/>
    <cellStyle name="Standard 4 2 3 3 4 2 5 2" xfId="15307" xr:uid="{00000000-0005-0000-0000-0000823C0000}"/>
    <cellStyle name="Standard 4 2 3 3 4 2 6" xfId="15308" xr:uid="{00000000-0005-0000-0000-0000833C0000}"/>
    <cellStyle name="Standard 4 2 3 3 4 2 7" xfId="15309" xr:uid="{00000000-0005-0000-0000-0000843C0000}"/>
    <cellStyle name="Standard 4 2 3 3 4 3" xfId="15310" xr:uid="{00000000-0005-0000-0000-0000853C0000}"/>
    <cellStyle name="Standard 4 2 3 3 4 3 2" xfId="15311" xr:uid="{00000000-0005-0000-0000-0000863C0000}"/>
    <cellStyle name="Standard 4 2 3 3 4 3 2 2" xfId="15312" xr:uid="{00000000-0005-0000-0000-0000873C0000}"/>
    <cellStyle name="Standard 4 2 3 3 4 3 2 3" xfId="15313" xr:uid="{00000000-0005-0000-0000-0000883C0000}"/>
    <cellStyle name="Standard 4 2 3 3 4 3 3" xfId="15314" xr:uid="{00000000-0005-0000-0000-0000893C0000}"/>
    <cellStyle name="Standard 4 2 3 3 4 3 3 2" xfId="15315" xr:uid="{00000000-0005-0000-0000-00008A3C0000}"/>
    <cellStyle name="Standard 4 2 3 3 4 3 3 3" xfId="15316" xr:uid="{00000000-0005-0000-0000-00008B3C0000}"/>
    <cellStyle name="Standard 4 2 3 3 4 3 4" xfId="15317" xr:uid="{00000000-0005-0000-0000-00008C3C0000}"/>
    <cellStyle name="Standard 4 2 3 3 4 3 4 2" xfId="15318" xr:uid="{00000000-0005-0000-0000-00008D3C0000}"/>
    <cellStyle name="Standard 4 2 3 3 4 3 5" xfId="15319" xr:uid="{00000000-0005-0000-0000-00008E3C0000}"/>
    <cellStyle name="Standard 4 2 3 3 4 3 6" xfId="15320" xr:uid="{00000000-0005-0000-0000-00008F3C0000}"/>
    <cellStyle name="Standard 4 2 3 3 4 4" xfId="15321" xr:uid="{00000000-0005-0000-0000-0000903C0000}"/>
    <cellStyle name="Standard 4 2 3 3 4 4 2" xfId="15322" xr:uid="{00000000-0005-0000-0000-0000913C0000}"/>
    <cellStyle name="Standard 4 2 3 3 4 4 3" xfId="15323" xr:uid="{00000000-0005-0000-0000-0000923C0000}"/>
    <cellStyle name="Standard 4 2 3 3 4 5" xfId="15324" xr:uid="{00000000-0005-0000-0000-0000933C0000}"/>
    <cellStyle name="Standard 4 2 3 3 4 5 2" xfId="15325" xr:uid="{00000000-0005-0000-0000-0000943C0000}"/>
    <cellStyle name="Standard 4 2 3 3 4 5 3" xfId="15326" xr:uid="{00000000-0005-0000-0000-0000953C0000}"/>
    <cellStyle name="Standard 4 2 3 3 4 6" xfId="15327" xr:uid="{00000000-0005-0000-0000-0000963C0000}"/>
    <cellStyle name="Standard 4 2 3 3 4 6 2" xfId="15328" xr:uid="{00000000-0005-0000-0000-0000973C0000}"/>
    <cellStyle name="Standard 4 2 3 3 4 7" xfId="15329" xr:uid="{00000000-0005-0000-0000-0000983C0000}"/>
    <cellStyle name="Standard 4 2 3 3 4 8" xfId="15330" xr:uid="{00000000-0005-0000-0000-0000993C0000}"/>
    <cellStyle name="Standard 4 2 3 3 5" xfId="15331" xr:uid="{00000000-0005-0000-0000-00009A3C0000}"/>
    <cellStyle name="Standard 4 2 3 3 5 2" xfId="15332" xr:uid="{00000000-0005-0000-0000-00009B3C0000}"/>
    <cellStyle name="Standard 4 2 3 3 5 2 2" xfId="15333" xr:uid="{00000000-0005-0000-0000-00009C3C0000}"/>
    <cellStyle name="Standard 4 2 3 3 5 2 2 2" xfId="15334" xr:uid="{00000000-0005-0000-0000-00009D3C0000}"/>
    <cellStyle name="Standard 4 2 3 3 5 2 2 3" xfId="15335" xr:uid="{00000000-0005-0000-0000-00009E3C0000}"/>
    <cellStyle name="Standard 4 2 3 3 5 2 3" xfId="15336" xr:uid="{00000000-0005-0000-0000-00009F3C0000}"/>
    <cellStyle name="Standard 4 2 3 3 5 2 3 2" xfId="15337" xr:uid="{00000000-0005-0000-0000-0000A03C0000}"/>
    <cellStyle name="Standard 4 2 3 3 5 2 3 3" xfId="15338" xr:uid="{00000000-0005-0000-0000-0000A13C0000}"/>
    <cellStyle name="Standard 4 2 3 3 5 2 4" xfId="15339" xr:uid="{00000000-0005-0000-0000-0000A23C0000}"/>
    <cellStyle name="Standard 4 2 3 3 5 2 4 2" xfId="15340" xr:uid="{00000000-0005-0000-0000-0000A33C0000}"/>
    <cellStyle name="Standard 4 2 3 3 5 2 5" xfId="15341" xr:uid="{00000000-0005-0000-0000-0000A43C0000}"/>
    <cellStyle name="Standard 4 2 3 3 5 2 6" xfId="15342" xr:uid="{00000000-0005-0000-0000-0000A53C0000}"/>
    <cellStyle name="Standard 4 2 3 3 5 3" xfId="15343" xr:uid="{00000000-0005-0000-0000-0000A63C0000}"/>
    <cellStyle name="Standard 4 2 3 3 5 3 2" xfId="15344" xr:uid="{00000000-0005-0000-0000-0000A73C0000}"/>
    <cellStyle name="Standard 4 2 3 3 5 3 3" xfId="15345" xr:uid="{00000000-0005-0000-0000-0000A83C0000}"/>
    <cellStyle name="Standard 4 2 3 3 5 4" xfId="15346" xr:uid="{00000000-0005-0000-0000-0000A93C0000}"/>
    <cellStyle name="Standard 4 2 3 3 5 4 2" xfId="15347" xr:uid="{00000000-0005-0000-0000-0000AA3C0000}"/>
    <cellStyle name="Standard 4 2 3 3 5 4 3" xfId="15348" xr:uid="{00000000-0005-0000-0000-0000AB3C0000}"/>
    <cellStyle name="Standard 4 2 3 3 5 5" xfId="15349" xr:uid="{00000000-0005-0000-0000-0000AC3C0000}"/>
    <cellStyle name="Standard 4 2 3 3 5 5 2" xfId="15350" xr:uid="{00000000-0005-0000-0000-0000AD3C0000}"/>
    <cellStyle name="Standard 4 2 3 3 5 6" xfId="15351" xr:uid="{00000000-0005-0000-0000-0000AE3C0000}"/>
    <cellStyle name="Standard 4 2 3 3 5 7" xfId="15352" xr:uid="{00000000-0005-0000-0000-0000AF3C0000}"/>
    <cellStyle name="Standard 4 2 3 3 6" xfId="15353" xr:uid="{00000000-0005-0000-0000-0000B03C0000}"/>
    <cellStyle name="Standard 4 2 3 3 6 2" xfId="15354" xr:uid="{00000000-0005-0000-0000-0000B13C0000}"/>
    <cellStyle name="Standard 4 2 3 3 6 2 2" xfId="15355" xr:uid="{00000000-0005-0000-0000-0000B23C0000}"/>
    <cellStyle name="Standard 4 2 3 3 6 2 3" xfId="15356" xr:uid="{00000000-0005-0000-0000-0000B33C0000}"/>
    <cellStyle name="Standard 4 2 3 3 6 3" xfId="15357" xr:uid="{00000000-0005-0000-0000-0000B43C0000}"/>
    <cellStyle name="Standard 4 2 3 3 6 3 2" xfId="15358" xr:uid="{00000000-0005-0000-0000-0000B53C0000}"/>
    <cellStyle name="Standard 4 2 3 3 6 3 3" xfId="15359" xr:uid="{00000000-0005-0000-0000-0000B63C0000}"/>
    <cellStyle name="Standard 4 2 3 3 6 4" xfId="15360" xr:uid="{00000000-0005-0000-0000-0000B73C0000}"/>
    <cellStyle name="Standard 4 2 3 3 6 4 2" xfId="15361" xr:uid="{00000000-0005-0000-0000-0000B83C0000}"/>
    <cellStyle name="Standard 4 2 3 3 6 5" xfId="15362" xr:uid="{00000000-0005-0000-0000-0000B93C0000}"/>
    <cellStyle name="Standard 4 2 3 3 6 6" xfId="15363" xr:uid="{00000000-0005-0000-0000-0000BA3C0000}"/>
    <cellStyle name="Standard 4 2 3 3 7" xfId="15364" xr:uid="{00000000-0005-0000-0000-0000BB3C0000}"/>
    <cellStyle name="Standard 4 2 3 3 7 2" xfId="15365" xr:uid="{00000000-0005-0000-0000-0000BC3C0000}"/>
    <cellStyle name="Standard 4 2 3 3 7 3" xfId="15366" xr:uid="{00000000-0005-0000-0000-0000BD3C0000}"/>
    <cellStyle name="Standard 4 2 3 3 8" xfId="15367" xr:uid="{00000000-0005-0000-0000-0000BE3C0000}"/>
    <cellStyle name="Standard 4 2 3 3 8 2" xfId="15368" xr:uid="{00000000-0005-0000-0000-0000BF3C0000}"/>
    <cellStyle name="Standard 4 2 3 3 8 3" xfId="15369" xr:uid="{00000000-0005-0000-0000-0000C03C0000}"/>
    <cellStyle name="Standard 4 2 3 3 9" xfId="15370" xr:uid="{00000000-0005-0000-0000-0000C13C0000}"/>
    <cellStyle name="Standard 4 2 3 3 9 2" xfId="15371" xr:uid="{00000000-0005-0000-0000-0000C23C0000}"/>
    <cellStyle name="Standard 4 2 3 4" xfId="15372" xr:uid="{00000000-0005-0000-0000-0000C33C0000}"/>
    <cellStyle name="Standard 4 2 3 4 10" xfId="15373" xr:uid="{00000000-0005-0000-0000-0000C43C0000}"/>
    <cellStyle name="Standard 4 2 3 4 11" xfId="15374" xr:uid="{00000000-0005-0000-0000-0000C53C0000}"/>
    <cellStyle name="Standard 4 2 3 4 2" xfId="15375" xr:uid="{00000000-0005-0000-0000-0000C63C0000}"/>
    <cellStyle name="Standard 4 2 3 4 2 10" xfId="15376" xr:uid="{00000000-0005-0000-0000-0000C73C0000}"/>
    <cellStyle name="Standard 4 2 3 4 2 2" xfId="15377" xr:uid="{00000000-0005-0000-0000-0000C83C0000}"/>
    <cellStyle name="Standard 4 2 3 4 2 2 2" xfId="15378" xr:uid="{00000000-0005-0000-0000-0000C93C0000}"/>
    <cellStyle name="Standard 4 2 3 4 2 2 2 2" xfId="15379" xr:uid="{00000000-0005-0000-0000-0000CA3C0000}"/>
    <cellStyle name="Standard 4 2 3 4 2 2 2 2 2" xfId="15380" xr:uid="{00000000-0005-0000-0000-0000CB3C0000}"/>
    <cellStyle name="Standard 4 2 3 4 2 2 2 2 2 2" xfId="15381" xr:uid="{00000000-0005-0000-0000-0000CC3C0000}"/>
    <cellStyle name="Standard 4 2 3 4 2 2 2 2 2 3" xfId="15382" xr:uid="{00000000-0005-0000-0000-0000CD3C0000}"/>
    <cellStyle name="Standard 4 2 3 4 2 2 2 2 3" xfId="15383" xr:uid="{00000000-0005-0000-0000-0000CE3C0000}"/>
    <cellStyle name="Standard 4 2 3 4 2 2 2 2 3 2" xfId="15384" xr:uid="{00000000-0005-0000-0000-0000CF3C0000}"/>
    <cellStyle name="Standard 4 2 3 4 2 2 2 2 3 3" xfId="15385" xr:uid="{00000000-0005-0000-0000-0000D03C0000}"/>
    <cellStyle name="Standard 4 2 3 4 2 2 2 2 4" xfId="15386" xr:uid="{00000000-0005-0000-0000-0000D13C0000}"/>
    <cellStyle name="Standard 4 2 3 4 2 2 2 2 4 2" xfId="15387" xr:uid="{00000000-0005-0000-0000-0000D23C0000}"/>
    <cellStyle name="Standard 4 2 3 4 2 2 2 2 5" xfId="15388" xr:uid="{00000000-0005-0000-0000-0000D33C0000}"/>
    <cellStyle name="Standard 4 2 3 4 2 2 2 2 6" xfId="15389" xr:uid="{00000000-0005-0000-0000-0000D43C0000}"/>
    <cellStyle name="Standard 4 2 3 4 2 2 2 3" xfId="15390" xr:uid="{00000000-0005-0000-0000-0000D53C0000}"/>
    <cellStyle name="Standard 4 2 3 4 2 2 2 3 2" xfId="15391" xr:uid="{00000000-0005-0000-0000-0000D63C0000}"/>
    <cellStyle name="Standard 4 2 3 4 2 2 2 3 3" xfId="15392" xr:uid="{00000000-0005-0000-0000-0000D73C0000}"/>
    <cellStyle name="Standard 4 2 3 4 2 2 2 4" xfId="15393" xr:uid="{00000000-0005-0000-0000-0000D83C0000}"/>
    <cellStyle name="Standard 4 2 3 4 2 2 2 4 2" xfId="15394" xr:uid="{00000000-0005-0000-0000-0000D93C0000}"/>
    <cellStyle name="Standard 4 2 3 4 2 2 2 4 3" xfId="15395" xr:uid="{00000000-0005-0000-0000-0000DA3C0000}"/>
    <cellStyle name="Standard 4 2 3 4 2 2 2 5" xfId="15396" xr:uid="{00000000-0005-0000-0000-0000DB3C0000}"/>
    <cellStyle name="Standard 4 2 3 4 2 2 2 5 2" xfId="15397" xr:uid="{00000000-0005-0000-0000-0000DC3C0000}"/>
    <cellStyle name="Standard 4 2 3 4 2 2 2 6" xfId="15398" xr:uid="{00000000-0005-0000-0000-0000DD3C0000}"/>
    <cellStyle name="Standard 4 2 3 4 2 2 2 7" xfId="15399" xr:uid="{00000000-0005-0000-0000-0000DE3C0000}"/>
    <cellStyle name="Standard 4 2 3 4 2 2 3" xfId="15400" xr:uid="{00000000-0005-0000-0000-0000DF3C0000}"/>
    <cellStyle name="Standard 4 2 3 4 2 2 3 2" xfId="15401" xr:uid="{00000000-0005-0000-0000-0000E03C0000}"/>
    <cellStyle name="Standard 4 2 3 4 2 2 3 2 2" xfId="15402" xr:uid="{00000000-0005-0000-0000-0000E13C0000}"/>
    <cellStyle name="Standard 4 2 3 4 2 2 3 2 3" xfId="15403" xr:uid="{00000000-0005-0000-0000-0000E23C0000}"/>
    <cellStyle name="Standard 4 2 3 4 2 2 3 3" xfId="15404" xr:uid="{00000000-0005-0000-0000-0000E33C0000}"/>
    <cellStyle name="Standard 4 2 3 4 2 2 3 3 2" xfId="15405" xr:uid="{00000000-0005-0000-0000-0000E43C0000}"/>
    <cellStyle name="Standard 4 2 3 4 2 2 3 3 3" xfId="15406" xr:uid="{00000000-0005-0000-0000-0000E53C0000}"/>
    <cellStyle name="Standard 4 2 3 4 2 2 3 4" xfId="15407" xr:uid="{00000000-0005-0000-0000-0000E63C0000}"/>
    <cellStyle name="Standard 4 2 3 4 2 2 3 4 2" xfId="15408" xr:uid="{00000000-0005-0000-0000-0000E73C0000}"/>
    <cellStyle name="Standard 4 2 3 4 2 2 3 5" xfId="15409" xr:uid="{00000000-0005-0000-0000-0000E83C0000}"/>
    <cellStyle name="Standard 4 2 3 4 2 2 3 6" xfId="15410" xr:uid="{00000000-0005-0000-0000-0000E93C0000}"/>
    <cellStyle name="Standard 4 2 3 4 2 2 4" xfId="15411" xr:uid="{00000000-0005-0000-0000-0000EA3C0000}"/>
    <cellStyle name="Standard 4 2 3 4 2 2 4 2" xfId="15412" xr:uid="{00000000-0005-0000-0000-0000EB3C0000}"/>
    <cellStyle name="Standard 4 2 3 4 2 2 4 3" xfId="15413" xr:uid="{00000000-0005-0000-0000-0000EC3C0000}"/>
    <cellStyle name="Standard 4 2 3 4 2 2 5" xfId="15414" xr:uid="{00000000-0005-0000-0000-0000ED3C0000}"/>
    <cellStyle name="Standard 4 2 3 4 2 2 5 2" xfId="15415" xr:uid="{00000000-0005-0000-0000-0000EE3C0000}"/>
    <cellStyle name="Standard 4 2 3 4 2 2 5 3" xfId="15416" xr:uid="{00000000-0005-0000-0000-0000EF3C0000}"/>
    <cellStyle name="Standard 4 2 3 4 2 2 6" xfId="15417" xr:uid="{00000000-0005-0000-0000-0000F03C0000}"/>
    <cellStyle name="Standard 4 2 3 4 2 2 6 2" xfId="15418" xr:uid="{00000000-0005-0000-0000-0000F13C0000}"/>
    <cellStyle name="Standard 4 2 3 4 2 2 7" xfId="15419" xr:uid="{00000000-0005-0000-0000-0000F23C0000}"/>
    <cellStyle name="Standard 4 2 3 4 2 2 8" xfId="15420" xr:uid="{00000000-0005-0000-0000-0000F33C0000}"/>
    <cellStyle name="Standard 4 2 3 4 2 3" xfId="15421" xr:uid="{00000000-0005-0000-0000-0000F43C0000}"/>
    <cellStyle name="Standard 4 2 3 4 2 3 2" xfId="15422" xr:uid="{00000000-0005-0000-0000-0000F53C0000}"/>
    <cellStyle name="Standard 4 2 3 4 2 3 2 2" xfId="15423" xr:uid="{00000000-0005-0000-0000-0000F63C0000}"/>
    <cellStyle name="Standard 4 2 3 4 2 3 2 2 2" xfId="15424" xr:uid="{00000000-0005-0000-0000-0000F73C0000}"/>
    <cellStyle name="Standard 4 2 3 4 2 3 2 2 2 2" xfId="15425" xr:uid="{00000000-0005-0000-0000-0000F83C0000}"/>
    <cellStyle name="Standard 4 2 3 4 2 3 2 2 2 3" xfId="15426" xr:uid="{00000000-0005-0000-0000-0000F93C0000}"/>
    <cellStyle name="Standard 4 2 3 4 2 3 2 2 3" xfId="15427" xr:uid="{00000000-0005-0000-0000-0000FA3C0000}"/>
    <cellStyle name="Standard 4 2 3 4 2 3 2 2 3 2" xfId="15428" xr:uid="{00000000-0005-0000-0000-0000FB3C0000}"/>
    <cellStyle name="Standard 4 2 3 4 2 3 2 2 3 3" xfId="15429" xr:uid="{00000000-0005-0000-0000-0000FC3C0000}"/>
    <cellStyle name="Standard 4 2 3 4 2 3 2 2 4" xfId="15430" xr:uid="{00000000-0005-0000-0000-0000FD3C0000}"/>
    <cellStyle name="Standard 4 2 3 4 2 3 2 2 4 2" xfId="15431" xr:uid="{00000000-0005-0000-0000-0000FE3C0000}"/>
    <cellStyle name="Standard 4 2 3 4 2 3 2 2 5" xfId="15432" xr:uid="{00000000-0005-0000-0000-0000FF3C0000}"/>
    <cellStyle name="Standard 4 2 3 4 2 3 2 2 6" xfId="15433" xr:uid="{00000000-0005-0000-0000-0000003D0000}"/>
    <cellStyle name="Standard 4 2 3 4 2 3 2 3" xfId="15434" xr:uid="{00000000-0005-0000-0000-0000013D0000}"/>
    <cellStyle name="Standard 4 2 3 4 2 3 2 3 2" xfId="15435" xr:uid="{00000000-0005-0000-0000-0000023D0000}"/>
    <cellStyle name="Standard 4 2 3 4 2 3 2 3 3" xfId="15436" xr:uid="{00000000-0005-0000-0000-0000033D0000}"/>
    <cellStyle name="Standard 4 2 3 4 2 3 2 4" xfId="15437" xr:uid="{00000000-0005-0000-0000-0000043D0000}"/>
    <cellStyle name="Standard 4 2 3 4 2 3 2 4 2" xfId="15438" xr:uid="{00000000-0005-0000-0000-0000053D0000}"/>
    <cellStyle name="Standard 4 2 3 4 2 3 2 4 3" xfId="15439" xr:uid="{00000000-0005-0000-0000-0000063D0000}"/>
    <cellStyle name="Standard 4 2 3 4 2 3 2 5" xfId="15440" xr:uid="{00000000-0005-0000-0000-0000073D0000}"/>
    <cellStyle name="Standard 4 2 3 4 2 3 2 5 2" xfId="15441" xr:uid="{00000000-0005-0000-0000-0000083D0000}"/>
    <cellStyle name="Standard 4 2 3 4 2 3 2 6" xfId="15442" xr:uid="{00000000-0005-0000-0000-0000093D0000}"/>
    <cellStyle name="Standard 4 2 3 4 2 3 2 7" xfId="15443" xr:uid="{00000000-0005-0000-0000-00000A3D0000}"/>
    <cellStyle name="Standard 4 2 3 4 2 3 3" xfId="15444" xr:uid="{00000000-0005-0000-0000-00000B3D0000}"/>
    <cellStyle name="Standard 4 2 3 4 2 3 3 2" xfId="15445" xr:uid="{00000000-0005-0000-0000-00000C3D0000}"/>
    <cellStyle name="Standard 4 2 3 4 2 3 3 2 2" xfId="15446" xr:uid="{00000000-0005-0000-0000-00000D3D0000}"/>
    <cellStyle name="Standard 4 2 3 4 2 3 3 2 3" xfId="15447" xr:uid="{00000000-0005-0000-0000-00000E3D0000}"/>
    <cellStyle name="Standard 4 2 3 4 2 3 3 3" xfId="15448" xr:uid="{00000000-0005-0000-0000-00000F3D0000}"/>
    <cellStyle name="Standard 4 2 3 4 2 3 3 3 2" xfId="15449" xr:uid="{00000000-0005-0000-0000-0000103D0000}"/>
    <cellStyle name="Standard 4 2 3 4 2 3 3 3 3" xfId="15450" xr:uid="{00000000-0005-0000-0000-0000113D0000}"/>
    <cellStyle name="Standard 4 2 3 4 2 3 3 4" xfId="15451" xr:uid="{00000000-0005-0000-0000-0000123D0000}"/>
    <cellStyle name="Standard 4 2 3 4 2 3 3 4 2" xfId="15452" xr:uid="{00000000-0005-0000-0000-0000133D0000}"/>
    <cellStyle name="Standard 4 2 3 4 2 3 3 5" xfId="15453" xr:uid="{00000000-0005-0000-0000-0000143D0000}"/>
    <cellStyle name="Standard 4 2 3 4 2 3 3 6" xfId="15454" xr:uid="{00000000-0005-0000-0000-0000153D0000}"/>
    <cellStyle name="Standard 4 2 3 4 2 3 4" xfId="15455" xr:uid="{00000000-0005-0000-0000-0000163D0000}"/>
    <cellStyle name="Standard 4 2 3 4 2 3 4 2" xfId="15456" xr:uid="{00000000-0005-0000-0000-0000173D0000}"/>
    <cellStyle name="Standard 4 2 3 4 2 3 4 3" xfId="15457" xr:uid="{00000000-0005-0000-0000-0000183D0000}"/>
    <cellStyle name="Standard 4 2 3 4 2 3 5" xfId="15458" xr:uid="{00000000-0005-0000-0000-0000193D0000}"/>
    <cellStyle name="Standard 4 2 3 4 2 3 5 2" xfId="15459" xr:uid="{00000000-0005-0000-0000-00001A3D0000}"/>
    <cellStyle name="Standard 4 2 3 4 2 3 5 3" xfId="15460" xr:uid="{00000000-0005-0000-0000-00001B3D0000}"/>
    <cellStyle name="Standard 4 2 3 4 2 3 6" xfId="15461" xr:uid="{00000000-0005-0000-0000-00001C3D0000}"/>
    <cellStyle name="Standard 4 2 3 4 2 3 6 2" xfId="15462" xr:uid="{00000000-0005-0000-0000-00001D3D0000}"/>
    <cellStyle name="Standard 4 2 3 4 2 3 7" xfId="15463" xr:uid="{00000000-0005-0000-0000-00001E3D0000}"/>
    <cellStyle name="Standard 4 2 3 4 2 3 8" xfId="15464" xr:uid="{00000000-0005-0000-0000-00001F3D0000}"/>
    <cellStyle name="Standard 4 2 3 4 2 4" xfId="15465" xr:uid="{00000000-0005-0000-0000-0000203D0000}"/>
    <cellStyle name="Standard 4 2 3 4 2 4 2" xfId="15466" xr:uid="{00000000-0005-0000-0000-0000213D0000}"/>
    <cellStyle name="Standard 4 2 3 4 2 4 2 2" xfId="15467" xr:uid="{00000000-0005-0000-0000-0000223D0000}"/>
    <cellStyle name="Standard 4 2 3 4 2 4 2 2 2" xfId="15468" xr:uid="{00000000-0005-0000-0000-0000233D0000}"/>
    <cellStyle name="Standard 4 2 3 4 2 4 2 2 3" xfId="15469" xr:uid="{00000000-0005-0000-0000-0000243D0000}"/>
    <cellStyle name="Standard 4 2 3 4 2 4 2 3" xfId="15470" xr:uid="{00000000-0005-0000-0000-0000253D0000}"/>
    <cellStyle name="Standard 4 2 3 4 2 4 2 3 2" xfId="15471" xr:uid="{00000000-0005-0000-0000-0000263D0000}"/>
    <cellStyle name="Standard 4 2 3 4 2 4 2 3 3" xfId="15472" xr:uid="{00000000-0005-0000-0000-0000273D0000}"/>
    <cellStyle name="Standard 4 2 3 4 2 4 2 4" xfId="15473" xr:uid="{00000000-0005-0000-0000-0000283D0000}"/>
    <cellStyle name="Standard 4 2 3 4 2 4 2 4 2" xfId="15474" xr:uid="{00000000-0005-0000-0000-0000293D0000}"/>
    <cellStyle name="Standard 4 2 3 4 2 4 2 5" xfId="15475" xr:uid="{00000000-0005-0000-0000-00002A3D0000}"/>
    <cellStyle name="Standard 4 2 3 4 2 4 2 6" xfId="15476" xr:uid="{00000000-0005-0000-0000-00002B3D0000}"/>
    <cellStyle name="Standard 4 2 3 4 2 4 3" xfId="15477" xr:uid="{00000000-0005-0000-0000-00002C3D0000}"/>
    <cellStyle name="Standard 4 2 3 4 2 4 3 2" xfId="15478" xr:uid="{00000000-0005-0000-0000-00002D3D0000}"/>
    <cellStyle name="Standard 4 2 3 4 2 4 3 3" xfId="15479" xr:uid="{00000000-0005-0000-0000-00002E3D0000}"/>
    <cellStyle name="Standard 4 2 3 4 2 4 4" xfId="15480" xr:uid="{00000000-0005-0000-0000-00002F3D0000}"/>
    <cellStyle name="Standard 4 2 3 4 2 4 4 2" xfId="15481" xr:uid="{00000000-0005-0000-0000-0000303D0000}"/>
    <cellStyle name="Standard 4 2 3 4 2 4 4 3" xfId="15482" xr:uid="{00000000-0005-0000-0000-0000313D0000}"/>
    <cellStyle name="Standard 4 2 3 4 2 4 5" xfId="15483" xr:uid="{00000000-0005-0000-0000-0000323D0000}"/>
    <cellStyle name="Standard 4 2 3 4 2 4 5 2" xfId="15484" xr:uid="{00000000-0005-0000-0000-0000333D0000}"/>
    <cellStyle name="Standard 4 2 3 4 2 4 6" xfId="15485" xr:uid="{00000000-0005-0000-0000-0000343D0000}"/>
    <cellStyle name="Standard 4 2 3 4 2 4 7" xfId="15486" xr:uid="{00000000-0005-0000-0000-0000353D0000}"/>
    <cellStyle name="Standard 4 2 3 4 2 5" xfId="15487" xr:uid="{00000000-0005-0000-0000-0000363D0000}"/>
    <cellStyle name="Standard 4 2 3 4 2 5 2" xfId="15488" xr:uid="{00000000-0005-0000-0000-0000373D0000}"/>
    <cellStyle name="Standard 4 2 3 4 2 5 2 2" xfId="15489" xr:uid="{00000000-0005-0000-0000-0000383D0000}"/>
    <cellStyle name="Standard 4 2 3 4 2 5 2 3" xfId="15490" xr:uid="{00000000-0005-0000-0000-0000393D0000}"/>
    <cellStyle name="Standard 4 2 3 4 2 5 3" xfId="15491" xr:uid="{00000000-0005-0000-0000-00003A3D0000}"/>
    <cellStyle name="Standard 4 2 3 4 2 5 3 2" xfId="15492" xr:uid="{00000000-0005-0000-0000-00003B3D0000}"/>
    <cellStyle name="Standard 4 2 3 4 2 5 3 3" xfId="15493" xr:uid="{00000000-0005-0000-0000-00003C3D0000}"/>
    <cellStyle name="Standard 4 2 3 4 2 5 4" xfId="15494" xr:uid="{00000000-0005-0000-0000-00003D3D0000}"/>
    <cellStyle name="Standard 4 2 3 4 2 5 4 2" xfId="15495" xr:uid="{00000000-0005-0000-0000-00003E3D0000}"/>
    <cellStyle name="Standard 4 2 3 4 2 5 5" xfId="15496" xr:uid="{00000000-0005-0000-0000-00003F3D0000}"/>
    <cellStyle name="Standard 4 2 3 4 2 5 6" xfId="15497" xr:uid="{00000000-0005-0000-0000-0000403D0000}"/>
    <cellStyle name="Standard 4 2 3 4 2 6" xfId="15498" xr:uid="{00000000-0005-0000-0000-0000413D0000}"/>
    <cellStyle name="Standard 4 2 3 4 2 6 2" xfId="15499" xr:uid="{00000000-0005-0000-0000-0000423D0000}"/>
    <cellStyle name="Standard 4 2 3 4 2 6 3" xfId="15500" xr:uid="{00000000-0005-0000-0000-0000433D0000}"/>
    <cellStyle name="Standard 4 2 3 4 2 7" xfId="15501" xr:uid="{00000000-0005-0000-0000-0000443D0000}"/>
    <cellStyle name="Standard 4 2 3 4 2 7 2" xfId="15502" xr:uid="{00000000-0005-0000-0000-0000453D0000}"/>
    <cellStyle name="Standard 4 2 3 4 2 7 3" xfId="15503" xr:uid="{00000000-0005-0000-0000-0000463D0000}"/>
    <cellStyle name="Standard 4 2 3 4 2 8" xfId="15504" xr:uid="{00000000-0005-0000-0000-0000473D0000}"/>
    <cellStyle name="Standard 4 2 3 4 2 8 2" xfId="15505" xr:uid="{00000000-0005-0000-0000-0000483D0000}"/>
    <cellStyle name="Standard 4 2 3 4 2 9" xfId="15506" xr:uid="{00000000-0005-0000-0000-0000493D0000}"/>
    <cellStyle name="Standard 4 2 3 4 3" xfId="15507" xr:uid="{00000000-0005-0000-0000-00004A3D0000}"/>
    <cellStyle name="Standard 4 2 3 4 3 2" xfId="15508" xr:uid="{00000000-0005-0000-0000-00004B3D0000}"/>
    <cellStyle name="Standard 4 2 3 4 3 2 2" xfId="15509" xr:uid="{00000000-0005-0000-0000-00004C3D0000}"/>
    <cellStyle name="Standard 4 2 3 4 3 2 2 2" xfId="15510" xr:uid="{00000000-0005-0000-0000-00004D3D0000}"/>
    <cellStyle name="Standard 4 2 3 4 3 2 2 2 2" xfId="15511" xr:uid="{00000000-0005-0000-0000-00004E3D0000}"/>
    <cellStyle name="Standard 4 2 3 4 3 2 2 2 3" xfId="15512" xr:uid="{00000000-0005-0000-0000-00004F3D0000}"/>
    <cellStyle name="Standard 4 2 3 4 3 2 2 3" xfId="15513" xr:uid="{00000000-0005-0000-0000-0000503D0000}"/>
    <cellStyle name="Standard 4 2 3 4 3 2 2 3 2" xfId="15514" xr:uid="{00000000-0005-0000-0000-0000513D0000}"/>
    <cellStyle name="Standard 4 2 3 4 3 2 2 3 3" xfId="15515" xr:uid="{00000000-0005-0000-0000-0000523D0000}"/>
    <cellStyle name="Standard 4 2 3 4 3 2 2 4" xfId="15516" xr:uid="{00000000-0005-0000-0000-0000533D0000}"/>
    <cellStyle name="Standard 4 2 3 4 3 2 2 4 2" xfId="15517" xr:uid="{00000000-0005-0000-0000-0000543D0000}"/>
    <cellStyle name="Standard 4 2 3 4 3 2 2 5" xfId="15518" xr:uid="{00000000-0005-0000-0000-0000553D0000}"/>
    <cellStyle name="Standard 4 2 3 4 3 2 2 6" xfId="15519" xr:uid="{00000000-0005-0000-0000-0000563D0000}"/>
    <cellStyle name="Standard 4 2 3 4 3 2 3" xfId="15520" xr:uid="{00000000-0005-0000-0000-0000573D0000}"/>
    <cellStyle name="Standard 4 2 3 4 3 2 3 2" xfId="15521" xr:uid="{00000000-0005-0000-0000-0000583D0000}"/>
    <cellStyle name="Standard 4 2 3 4 3 2 3 3" xfId="15522" xr:uid="{00000000-0005-0000-0000-0000593D0000}"/>
    <cellStyle name="Standard 4 2 3 4 3 2 4" xfId="15523" xr:uid="{00000000-0005-0000-0000-00005A3D0000}"/>
    <cellStyle name="Standard 4 2 3 4 3 2 4 2" xfId="15524" xr:uid="{00000000-0005-0000-0000-00005B3D0000}"/>
    <cellStyle name="Standard 4 2 3 4 3 2 4 3" xfId="15525" xr:uid="{00000000-0005-0000-0000-00005C3D0000}"/>
    <cellStyle name="Standard 4 2 3 4 3 2 5" xfId="15526" xr:uid="{00000000-0005-0000-0000-00005D3D0000}"/>
    <cellStyle name="Standard 4 2 3 4 3 2 5 2" xfId="15527" xr:uid="{00000000-0005-0000-0000-00005E3D0000}"/>
    <cellStyle name="Standard 4 2 3 4 3 2 6" xfId="15528" xr:uid="{00000000-0005-0000-0000-00005F3D0000}"/>
    <cellStyle name="Standard 4 2 3 4 3 2 7" xfId="15529" xr:uid="{00000000-0005-0000-0000-0000603D0000}"/>
    <cellStyle name="Standard 4 2 3 4 3 3" xfId="15530" xr:uid="{00000000-0005-0000-0000-0000613D0000}"/>
    <cellStyle name="Standard 4 2 3 4 3 3 2" xfId="15531" xr:uid="{00000000-0005-0000-0000-0000623D0000}"/>
    <cellStyle name="Standard 4 2 3 4 3 3 2 2" xfId="15532" xr:uid="{00000000-0005-0000-0000-0000633D0000}"/>
    <cellStyle name="Standard 4 2 3 4 3 3 2 3" xfId="15533" xr:uid="{00000000-0005-0000-0000-0000643D0000}"/>
    <cellStyle name="Standard 4 2 3 4 3 3 3" xfId="15534" xr:uid="{00000000-0005-0000-0000-0000653D0000}"/>
    <cellStyle name="Standard 4 2 3 4 3 3 3 2" xfId="15535" xr:uid="{00000000-0005-0000-0000-0000663D0000}"/>
    <cellStyle name="Standard 4 2 3 4 3 3 3 3" xfId="15536" xr:uid="{00000000-0005-0000-0000-0000673D0000}"/>
    <cellStyle name="Standard 4 2 3 4 3 3 4" xfId="15537" xr:uid="{00000000-0005-0000-0000-0000683D0000}"/>
    <cellStyle name="Standard 4 2 3 4 3 3 4 2" xfId="15538" xr:uid="{00000000-0005-0000-0000-0000693D0000}"/>
    <cellStyle name="Standard 4 2 3 4 3 3 5" xfId="15539" xr:uid="{00000000-0005-0000-0000-00006A3D0000}"/>
    <cellStyle name="Standard 4 2 3 4 3 3 6" xfId="15540" xr:uid="{00000000-0005-0000-0000-00006B3D0000}"/>
    <cellStyle name="Standard 4 2 3 4 3 4" xfId="15541" xr:uid="{00000000-0005-0000-0000-00006C3D0000}"/>
    <cellStyle name="Standard 4 2 3 4 3 4 2" xfId="15542" xr:uid="{00000000-0005-0000-0000-00006D3D0000}"/>
    <cellStyle name="Standard 4 2 3 4 3 4 3" xfId="15543" xr:uid="{00000000-0005-0000-0000-00006E3D0000}"/>
    <cellStyle name="Standard 4 2 3 4 3 5" xfId="15544" xr:uid="{00000000-0005-0000-0000-00006F3D0000}"/>
    <cellStyle name="Standard 4 2 3 4 3 5 2" xfId="15545" xr:uid="{00000000-0005-0000-0000-0000703D0000}"/>
    <cellStyle name="Standard 4 2 3 4 3 5 3" xfId="15546" xr:uid="{00000000-0005-0000-0000-0000713D0000}"/>
    <cellStyle name="Standard 4 2 3 4 3 6" xfId="15547" xr:uid="{00000000-0005-0000-0000-0000723D0000}"/>
    <cellStyle name="Standard 4 2 3 4 3 6 2" xfId="15548" xr:uid="{00000000-0005-0000-0000-0000733D0000}"/>
    <cellStyle name="Standard 4 2 3 4 3 7" xfId="15549" xr:uid="{00000000-0005-0000-0000-0000743D0000}"/>
    <cellStyle name="Standard 4 2 3 4 3 8" xfId="15550" xr:uid="{00000000-0005-0000-0000-0000753D0000}"/>
    <cellStyle name="Standard 4 2 3 4 4" xfId="15551" xr:uid="{00000000-0005-0000-0000-0000763D0000}"/>
    <cellStyle name="Standard 4 2 3 4 4 2" xfId="15552" xr:uid="{00000000-0005-0000-0000-0000773D0000}"/>
    <cellStyle name="Standard 4 2 3 4 4 2 2" xfId="15553" xr:uid="{00000000-0005-0000-0000-0000783D0000}"/>
    <cellStyle name="Standard 4 2 3 4 4 2 2 2" xfId="15554" xr:uid="{00000000-0005-0000-0000-0000793D0000}"/>
    <cellStyle name="Standard 4 2 3 4 4 2 2 2 2" xfId="15555" xr:uid="{00000000-0005-0000-0000-00007A3D0000}"/>
    <cellStyle name="Standard 4 2 3 4 4 2 2 2 3" xfId="15556" xr:uid="{00000000-0005-0000-0000-00007B3D0000}"/>
    <cellStyle name="Standard 4 2 3 4 4 2 2 3" xfId="15557" xr:uid="{00000000-0005-0000-0000-00007C3D0000}"/>
    <cellStyle name="Standard 4 2 3 4 4 2 2 3 2" xfId="15558" xr:uid="{00000000-0005-0000-0000-00007D3D0000}"/>
    <cellStyle name="Standard 4 2 3 4 4 2 2 3 3" xfId="15559" xr:uid="{00000000-0005-0000-0000-00007E3D0000}"/>
    <cellStyle name="Standard 4 2 3 4 4 2 2 4" xfId="15560" xr:uid="{00000000-0005-0000-0000-00007F3D0000}"/>
    <cellStyle name="Standard 4 2 3 4 4 2 2 4 2" xfId="15561" xr:uid="{00000000-0005-0000-0000-0000803D0000}"/>
    <cellStyle name="Standard 4 2 3 4 4 2 2 5" xfId="15562" xr:uid="{00000000-0005-0000-0000-0000813D0000}"/>
    <cellStyle name="Standard 4 2 3 4 4 2 2 6" xfId="15563" xr:uid="{00000000-0005-0000-0000-0000823D0000}"/>
    <cellStyle name="Standard 4 2 3 4 4 2 3" xfId="15564" xr:uid="{00000000-0005-0000-0000-0000833D0000}"/>
    <cellStyle name="Standard 4 2 3 4 4 2 3 2" xfId="15565" xr:uid="{00000000-0005-0000-0000-0000843D0000}"/>
    <cellStyle name="Standard 4 2 3 4 4 2 3 3" xfId="15566" xr:uid="{00000000-0005-0000-0000-0000853D0000}"/>
    <cellStyle name="Standard 4 2 3 4 4 2 4" xfId="15567" xr:uid="{00000000-0005-0000-0000-0000863D0000}"/>
    <cellStyle name="Standard 4 2 3 4 4 2 4 2" xfId="15568" xr:uid="{00000000-0005-0000-0000-0000873D0000}"/>
    <cellStyle name="Standard 4 2 3 4 4 2 4 3" xfId="15569" xr:uid="{00000000-0005-0000-0000-0000883D0000}"/>
    <cellStyle name="Standard 4 2 3 4 4 2 5" xfId="15570" xr:uid="{00000000-0005-0000-0000-0000893D0000}"/>
    <cellStyle name="Standard 4 2 3 4 4 2 5 2" xfId="15571" xr:uid="{00000000-0005-0000-0000-00008A3D0000}"/>
    <cellStyle name="Standard 4 2 3 4 4 2 6" xfId="15572" xr:uid="{00000000-0005-0000-0000-00008B3D0000}"/>
    <cellStyle name="Standard 4 2 3 4 4 2 7" xfId="15573" xr:uid="{00000000-0005-0000-0000-00008C3D0000}"/>
    <cellStyle name="Standard 4 2 3 4 4 3" xfId="15574" xr:uid="{00000000-0005-0000-0000-00008D3D0000}"/>
    <cellStyle name="Standard 4 2 3 4 4 3 2" xfId="15575" xr:uid="{00000000-0005-0000-0000-00008E3D0000}"/>
    <cellStyle name="Standard 4 2 3 4 4 3 2 2" xfId="15576" xr:uid="{00000000-0005-0000-0000-00008F3D0000}"/>
    <cellStyle name="Standard 4 2 3 4 4 3 2 3" xfId="15577" xr:uid="{00000000-0005-0000-0000-0000903D0000}"/>
    <cellStyle name="Standard 4 2 3 4 4 3 3" xfId="15578" xr:uid="{00000000-0005-0000-0000-0000913D0000}"/>
    <cellStyle name="Standard 4 2 3 4 4 3 3 2" xfId="15579" xr:uid="{00000000-0005-0000-0000-0000923D0000}"/>
    <cellStyle name="Standard 4 2 3 4 4 3 3 3" xfId="15580" xr:uid="{00000000-0005-0000-0000-0000933D0000}"/>
    <cellStyle name="Standard 4 2 3 4 4 3 4" xfId="15581" xr:uid="{00000000-0005-0000-0000-0000943D0000}"/>
    <cellStyle name="Standard 4 2 3 4 4 3 4 2" xfId="15582" xr:uid="{00000000-0005-0000-0000-0000953D0000}"/>
    <cellStyle name="Standard 4 2 3 4 4 3 5" xfId="15583" xr:uid="{00000000-0005-0000-0000-0000963D0000}"/>
    <cellStyle name="Standard 4 2 3 4 4 3 6" xfId="15584" xr:uid="{00000000-0005-0000-0000-0000973D0000}"/>
    <cellStyle name="Standard 4 2 3 4 4 4" xfId="15585" xr:uid="{00000000-0005-0000-0000-0000983D0000}"/>
    <cellStyle name="Standard 4 2 3 4 4 4 2" xfId="15586" xr:uid="{00000000-0005-0000-0000-0000993D0000}"/>
    <cellStyle name="Standard 4 2 3 4 4 4 3" xfId="15587" xr:uid="{00000000-0005-0000-0000-00009A3D0000}"/>
    <cellStyle name="Standard 4 2 3 4 4 5" xfId="15588" xr:uid="{00000000-0005-0000-0000-00009B3D0000}"/>
    <cellStyle name="Standard 4 2 3 4 4 5 2" xfId="15589" xr:uid="{00000000-0005-0000-0000-00009C3D0000}"/>
    <cellStyle name="Standard 4 2 3 4 4 5 3" xfId="15590" xr:uid="{00000000-0005-0000-0000-00009D3D0000}"/>
    <cellStyle name="Standard 4 2 3 4 4 6" xfId="15591" xr:uid="{00000000-0005-0000-0000-00009E3D0000}"/>
    <cellStyle name="Standard 4 2 3 4 4 6 2" xfId="15592" xr:uid="{00000000-0005-0000-0000-00009F3D0000}"/>
    <cellStyle name="Standard 4 2 3 4 4 7" xfId="15593" xr:uid="{00000000-0005-0000-0000-0000A03D0000}"/>
    <cellStyle name="Standard 4 2 3 4 4 8" xfId="15594" xr:uid="{00000000-0005-0000-0000-0000A13D0000}"/>
    <cellStyle name="Standard 4 2 3 4 5" xfId="15595" xr:uid="{00000000-0005-0000-0000-0000A23D0000}"/>
    <cellStyle name="Standard 4 2 3 4 5 2" xfId="15596" xr:uid="{00000000-0005-0000-0000-0000A33D0000}"/>
    <cellStyle name="Standard 4 2 3 4 5 2 2" xfId="15597" xr:uid="{00000000-0005-0000-0000-0000A43D0000}"/>
    <cellStyle name="Standard 4 2 3 4 5 2 2 2" xfId="15598" xr:uid="{00000000-0005-0000-0000-0000A53D0000}"/>
    <cellStyle name="Standard 4 2 3 4 5 2 2 3" xfId="15599" xr:uid="{00000000-0005-0000-0000-0000A63D0000}"/>
    <cellStyle name="Standard 4 2 3 4 5 2 3" xfId="15600" xr:uid="{00000000-0005-0000-0000-0000A73D0000}"/>
    <cellStyle name="Standard 4 2 3 4 5 2 3 2" xfId="15601" xr:uid="{00000000-0005-0000-0000-0000A83D0000}"/>
    <cellStyle name="Standard 4 2 3 4 5 2 3 3" xfId="15602" xr:uid="{00000000-0005-0000-0000-0000A93D0000}"/>
    <cellStyle name="Standard 4 2 3 4 5 2 4" xfId="15603" xr:uid="{00000000-0005-0000-0000-0000AA3D0000}"/>
    <cellStyle name="Standard 4 2 3 4 5 2 4 2" xfId="15604" xr:uid="{00000000-0005-0000-0000-0000AB3D0000}"/>
    <cellStyle name="Standard 4 2 3 4 5 2 5" xfId="15605" xr:uid="{00000000-0005-0000-0000-0000AC3D0000}"/>
    <cellStyle name="Standard 4 2 3 4 5 2 6" xfId="15606" xr:uid="{00000000-0005-0000-0000-0000AD3D0000}"/>
    <cellStyle name="Standard 4 2 3 4 5 3" xfId="15607" xr:uid="{00000000-0005-0000-0000-0000AE3D0000}"/>
    <cellStyle name="Standard 4 2 3 4 5 3 2" xfId="15608" xr:uid="{00000000-0005-0000-0000-0000AF3D0000}"/>
    <cellStyle name="Standard 4 2 3 4 5 3 3" xfId="15609" xr:uid="{00000000-0005-0000-0000-0000B03D0000}"/>
    <cellStyle name="Standard 4 2 3 4 5 4" xfId="15610" xr:uid="{00000000-0005-0000-0000-0000B13D0000}"/>
    <cellStyle name="Standard 4 2 3 4 5 4 2" xfId="15611" xr:uid="{00000000-0005-0000-0000-0000B23D0000}"/>
    <cellStyle name="Standard 4 2 3 4 5 4 3" xfId="15612" xr:uid="{00000000-0005-0000-0000-0000B33D0000}"/>
    <cellStyle name="Standard 4 2 3 4 5 5" xfId="15613" xr:uid="{00000000-0005-0000-0000-0000B43D0000}"/>
    <cellStyle name="Standard 4 2 3 4 5 5 2" xfId="15614" xr:uid="{00000000-0005-0000-0000-0000B53D0000}"/>
    <cellStyle name="Standard 4 2 3 4 5 6" xfId="15615" xr:uid="{00000000-0005-0000-0000-0000B63D0000}"/>
    <cellStyle name="Standard 4 2 3 4 5 7" xfId="15616" xr:uid="{00000000-0005-0000-0000-0000B73D0000}"/>
    <cellStyle name="Standard 4 2 3 4 6" xfId="15617" xr:uid="{00000000-0005-0000-0000-0000B83D0000}"/>
    <cellStyle name="Standard 4 2 3 4 6 2" xfId="15618" xr:uid="{00000000-0005-0000-0000-0000B93D0000}"/>
    <cellStyle name="Standard 4 2 3 4 6 2 2" xfId="15619" xr:uid="{00000000-0005-0000-0000-0000BA3D0000}"/>
    <cellStyle name="Standard 4 2 3 4 6 2 3" xfId="15620" xr:uid="{00000000-0005-0000-0000-0000BB3D0000}"/>
    <cellStyle name="Standard 4 2 3 4 6 3" xfId="15621" xr:uid="{00000000-0005-0000-0000-0000BC3D0000}"/>
    <cellStyle name="Standard 4 2 3 4 6 3 2" xfId="15622" xr:uid="{00000000-0005-0000-0000-0000BD3D0000}"/>
    <cellStyle name="Standard 4 2 3 4 6 3 3" xfId="15623" xr:uid="{00000000-0005-0000-0000-0000BE3D0000}"/>
    <cellStyle name="Standard 4 2 3 4 6 4" xfId="15624" xr:uid="{00000000-0005-0000-0000-0000BF3D0000}"/>
    <cellStyle name="Standard 4 2 3 4 6 4 2" xfId="15625" xr:uid="{00000000-0005-0000-0000-0000C03D0000}"/>
    <cellStyle name="Standard 4 2 3 4 6 5" xfId="15626" xr:uid="{00000000-0005-0000-0000-0000C13D0000}"/>
    <cellStyle name="Standard 4 2 3 4 6 6" xfId="15627" xr:uid="{00000000-0005-0000-0000-0000C23D0000}"/>
    <cellStyle name="Standard 4 2 3 4 7" xfId="15628" xr:uid="{00000000-0005-0000-0000-0000C33D0000}"/>
    <cellStyle name="Standard 4 2 3 4 7 2" xfId="15629" xr:uid="{00000000-0005-0000-0000-0000C43D0000}"/>
    <cellStyle name="Standard 4 2 3 4 7 3" xfId="15630" xr:uid="{00000000-0005-0000-0000-0000C53D0000}"/>
    <cellStyle name="Standard 4 2 3 4 8" xfId="15631" xr:uid="{00000000-0005-0000-0000-0000C63D0000}"/>
    <cellStyle name="Standard 4 2 3 4 8 2" xfId="15632" xr:uid="{00000000-0005-0000-0000-0000C73D0000}"/>
    <cellStyle name="Standard 4 2 3 4 8 3" xfId="15633" xr:uid="{00000000-0005-0000-0000-0000C83D0000}"/>
    <cellStyle name="Standard 4 2 3 4 9" xfId="15634" xr:uid="{00000000-0005-0000-0000-0000C93D0000}"/>
    <cellStyle name="Standard 4 2 3 4 9 2" xfId="15635" xr:uid="{00000000-0005-0000-0000-0000CA3D0000}"/>
    <cellStyle name="Standard 4 2 3 5" xfId="15636" xr:uid="{00000000-0005-0000-0000-0000CB3D0000}"/>
    <cellStyle name="Standard 4 2 3 5 10" xfId="15637" xr:uid="{00000000-0005-0000-0000-0000CC3D0000}"/>
    <cellStyle name="Standard 4 2 3 5 2" xfId="15638" xr:uid="{00000000-0005-0000-0000-0000CD3D0000}"/>
    <cellStyle name="Standard 4 2 3 5 2 2" xfId="15639" xr:uid="{00000000-0005-0000-0000-0000CE3D0000}"/>
    <cellStyle name="Standard 4 2 3 5 2 2 2" xfId="15640" xr:uid="{00000000-0005-0000-0000-0000CF3D0000}"/>
    <cellStyle name="Standard 4 2 3 5 2 2 2 2" xfId="15641" xr:uid="{00000000-0005-0000-0000-0000D03D0000}"/>
    <cellStyle name="Standard 4 2 3 5 2 2 2 2 2" xfId="15642" xr:uid="{00000000-0005-0000-0000-0000D13D0000}"/>
    <cellStyle name="Standard 4 2 3 5 2 2 2 2 3" xfId="15643" xr:uid="{00000000-0005-0000-0000-0000D23D0000}"/>
    <cellStyle name="Standard 4 2 3 5 2 2 2 3" xfId="15644" xr:uid="{00000000-0005-0000-0000-0000D33D0000}"/>
    <cellStyle name="Standard 4 2 3 5 2 2 2 3 2" xfId="15645" xr:uid="{00000000-0005-0000-0000-0000D43D0000}"/>
    <cellStyle name="Standard 4 2 3 5 2 2 2 3 3" xfId="15646" xr:uid="{00000000-0005-0000-0000-0000D53D0000}"/>
    <cellStyle name="Standard 4 2 3 5 2 2 2 4" xfId="15647" xr:uid="{00000000-0005-0000-0000-0000D63D0000}"/>
    <cellStyle name="Standard 4 2 3 5 2 2 2 4 2" xfId="15648" xr:uid="{00000000-0005-0000-0000-0000D73D0000}"/>
    <cellStyle name="Standard 4 2 3 5 2 2 2 5" xfId="15649" xr:uid="{00000000-0005-0000-0000-0000D83D0000}"/>
    <cellStyle name="Standard 4 2 3 5 2 2 2 6" xfId="15650" xr:uid="{00000000-0005-0000-0000-0000D93D0000}"/>
    <cellStyle name="Standard 4 2 3 5 2 2 3" xfId="15651" xr:uid="{00000000-0005-0000-0000-0000DA3D0000}"/>
    <cellStyle name="Standard 4 2 3 5 2 2 3 2" xfId="15652" xr:uid="{00000000-0005-0000-0000-0000DB3D0000}"/>
    <cellStyle name="Standard 4 2 3 5 2 2 3 3" xfId="15653" xr:uid="{00000000-0005-0000-0000-0000DC3D0000}"/>
    <cellStyle name="Standard 4 2 3 5 2 2 4" xfId="15654" xr:uid="{00000000-0005-0000-0000-0000DD3D0000}"/>
    <cellStyle name="Standard 4 2 3 5 2 2 4 2" xfId="15655" xr:uid="{00000000-0005-0000-0000-0000DE3D0000}"/>
    <cellStyle name="Standard 4 2 3 5 2 2 4 3" xfId="15656" xr:uid="{00000000-0005-0000-0000-0000DF3D0000}"/>
    <cellStyle name="Standard 4 2 3 5 2 2 5" xfId="15657" xr:uid="{00000000-0005-0000-0000-0000E03D0000}"/>
    <cellStyle name="Standard 4 2 3 5 2 2 5 2" xfId="15658" xr:uid="{00000000-0005-0000-0000-0000E13D0000}"/>
    <cellStyle name="Standard 4 2 3 5 2 2 6" xfId="15659" xr:uid="{00000000-0005-0000-0000-0000E23D0000}"/>
    <cellStyle name="Standard 4 2 3 5 2 2 7" xfId="15660" xr:uid="{00000000-0005-0000-0000-0000E33D0000}"/>
    <cellStyle name="Standard 4 2 3 5 2 3" xfId="15661" xr:uid="{00000000-0005-0000-0000-0000E43D0000}"/>
    <cellStyle name="Standard 4 2 3 5 2 3 2" xfId="15662" xr:uid="{00000000-0005-0000-0000-0000E53D0000}"/>
    <cellStyle name="Standard 4 2 3 5 2 3 2 2" xfId="15663" xr:uid="{00000000-0005-0000-0000-0000E63D0000}"/>
    <cellStyle name="Standard 4 2 3 5 2 3 2 3" xfId="15664" xr:uid="{00000000-0005-0000-0000-0000E73D0000}"/>
    <cellStyle name="Standard 4 2 3 5 2 3 3" xfId="15665" xr:uid="{00000000-0005-0000-0000-0000E83D0000}"/>
    <cellStyle name="Standard 4 2 3 5 2 3 3 2" xfId="15666" xr:uid="{00000000-0005-0000-0000-0000E93D0000}"/>
    <cellStyle name="Standard 4 2 3 5 2 3 3 3" xfId="15667" xr:uid="{00000000-0005-0000-0000-0000EA3D0000}"/>
    <cellStyle name="Standard 4 2 3 5 2 3 4" xfId="15668" xr:uid="{00000000-0005-0000-0000-0000EB3D0000}"/>
    <cellStyle name="Standard 4 2 3 5 2 3 4 2" xfId="15669" xr:uid="{00000000-0005-0000-0000-0000EC3D0000}"/>
    <cellStyle name="Standard 4 2 3 5 2 3 5" xfId="15670" xr:uid="{00000000-0005-0000-0000-0000ED3D0000}"/>
    <cellStyle name="Standard 4 2 3 5 2 3 6" xfId="15671" xr:uid="{00000000-0005-0000-0000-0000EE3D0000}"/>
    <cellStyle name="Standard 4 2 3 5 2 4" xfId="15672" xr:uid="{00000000-0005-0000-0000-0000EF3D0000}"/>
    <cellStyle name="Standard 4 2 3 5 2 4 2" xfId="15673" xr:uid="{00000000-0005-0000-0000-0000F03D0000}"/>
    <cellStyle name="Standard 4 2 3 5 2 4 3" xfId="15674" xr:uid="{00000000-0005-0000-0000-0000F13D0000}"/>
    <cellStyle name="Standard 4 2 3 5 2 5" xfId="15675" xr:uid="{00000000-0005-0000-0000-0000F23D0000}"/>
    <cellStyle name="Standard 4 2 3 5 2 5 2" xfId="15676" xr:uid="{00000000-0005-0000-0000-0000F33D0000}"/>
    <cellStyle name="Standard 4 2 3 5 2 5 3" xfId="15677" xr:uid="{00000000-0005-0000-0000-0000F43D0000}"/>
    <cellStyle name="Standard 4 2 3 5 2 6" xfId="15678" xr:uid="{00000000-0005-0000-0000-0000F53D0000}"/>
    <cellStyle name="Standard 4 2 3 5 2 6 2" xfId="15679" xr:uid="{00000000-0005-0000-0000-0000F63D0000}"/>
    <cellStyle name="Standard 4 2 3 5 2 7" xfId="15680" xr:uid="{00000000-0005-0000-0000-0000F73D0000}"/>
    <cellStyle name="Standard 4 2 3 5 2 8" xfId="15681" xr:uid="{00000000-0005-0000-0000-0000F83D0000}"/>
    <cellStyle name="Standard 4 2 3 5 3" xfId="15682" xr:uid="{00000000-0005-0000-0000-0000F93D0000}"/>
    <cellStyle name="Standard 4 2 3 5 3 2" xfId="15683" xr:uid="{00000000-0005-0000-0000-0000FA3D0000}"/>
    <cellStyle name="Standard 4 2 3 5 3 2 2" xfId="15684" xr:uid="{00000000-0005-0000-0000-0000FB3D0000}"/>
    <cellStyle name="Standard 4 2 3 5 3 2 2 2" xfId="15685" xr:uid="{00000000-0005-0000-0000-0000FC3D0000}"/>
    <cellStyle name="Standard 4 2 3 5 3 2 2 2 2" xfId="15686" xr:uid="{00000000-0005-0000-0000-0000FD3D0000}"/>
    <cellStyle name="Standard 4 2 3 5 3 2 2 2 3" xfId="15687" xr:uid="{00000000-0005-0000-0000-0000FE3D0000}"/>
    <cellStyle name="Standard 4 2 3 5 3 2 2 3" xfId="15688" xr:uid="{00000000-0005-0000-0000-0000FF3D0000}"/>
    <cellStyle name="Standard 4 2 3 5 3 2 2 3 2" xfId="15689" xr:uid="{00000000-0005-0000-0000-0000003E0000}"/>
    <cellStyle name="Standard 4 2 3 5 3 2 2 3 3" xfId="15690" xr:uid="{00000000-0005-0000-0000-0000013E0000}"/>
    <cellStyle name="Standard 4 2 3 5 3 2 2 4" xfId="15691" xr:uid="{00000000-0005-0000-0000-0000023E0000}"/>
    <cellStyle name="Standard 4 2 3 5 3 2 2 4 2" xfId="15692" xr:uid="{00000000-0005-0000-0000-0000033E0000}"/>
    <cellStyle name="Standard 4 2 3 5 3 2 2 5" xfId="15693" xr:uid="{00000000-0005-0000-0000-0000043E0000}"/>
    <cellStyle name="Standard 4 2 3 5 3 2 2 6" xfId="15694" xr:uid="{00000000-0005-0000-0000-0000053E0000}"/>
    <cellStyle name="Standard 4 2 3 5 3 2 3" xfId="15695" xr:uid="{00000000-0005-0000-0000-0000063E0000}"/>
    <cellStyle name="Standard 4 2 3 5 3 2 3 2" xfId="15696" xr:uid="{00000000-0005-0000-0000-0000073E0000}"/>
    <cellStyle name="Standard 4 2 3 5 3 2 3 3" xfId="15697" xr:uid="{00000000-0005-0000-0000-0000083E0000}"/>
    <cellStyle name="Standard 4 2 3 5 3 2 4" xfId="15698" xr:uid="{00000000-0005-0000-0000-0000093E0000}"/>
    <cellStyle name="Standard 4 2 3 5 3 2 4 2" xfId="15699" xr:uid="{00000000-0005-0000-0000-00000A3E0000}"/>
    <cellStyle name="Standard 4 2 3 5 3 2 4 3" xfId="15700" xr:uid="{00000000-0005-0000-0000-00000B3E0000}"/>
    <cellStyle name="Standard 4 2 3 5 3 2 5" xfId="15701" xr:uid="{00000000-0005-0000-0000-00000C3E0000}"/>
    <cellStyle name="Standard 4 2 3 5 3 2 5 2" xfId="15702" xr:uid="{00000000-0005-0000-0000-00000D3E0000}"/>
    <cellStyle name="Standard 4 2 3 5 3 2 6" xfId="15703" xr:uid="{00000000-0005-0000-0000-00000E3E0000}"/>
    <cellStyle name="Standard 4 2 3 5 3 2 7" xfId="15704" xr:uid="{00000000-0005-0000-0000-00000F3E0000}"/>
    <cellStyle name="Standard 4 2 3 5 3 3" xfId="15705" xr:uid="{00000000-0005-0000-0000-0000103E0000}"/>
    <cellStyle name="Standard 4 2 3 5 3 3 2" xfId="15706" xr:uid="{00000000-0005-0000-0000-0000113E0000}"/>
    <cellStyle name="Standard 4 2 3 5 3 3 2 2" xfId="15707" xr:uid="{00000000-0005-0000-0000-0000123E0000}"/>
    <cellStyle name="Standard 4 2 3 5 3 3 2 3" xfId="15708" xr:uid="{00000000-0005-0000-0000-0000133E0000}"/>
    <cellStyle name="Standard 4 2 3 5 3 3 3" xfId="15709" xr:uid="{00000000-0005-0000-0000-0000143E0000}"/>
    <cellStyle name="Standard 4 2 3 5 3 3 3 2" xfId="15710" xr:uid="{00000000-0005-0000-0000-0000153E0000}"/>
    <cellStyle name="Standard 4 2 3 5 3 3 3 3" xfId="15711" xr:uid="{00000000-0005-0000-0000-0000163E0000}"/>
    <cellStyle name="Standard 4 2 3 5 3 3 4" xfId="15712" xr:uid="{00000000-0005-0000-0000-0000173E0000}"/>
    <cellStyle name="Standard 4 2 3 5 3 3 4 2" xfId="15713" xr:uid="{00000000-0005-0000-0000-0000183E0000}"/>
    <cellStyle name="Standard 4 2 3 5 3 3 5" xfId="15714" xr:uid="{00000000-0005-0000-0000-0000193E0000}"/>
    <cellStyle name="Standard 4 2 3 5 3 3 6" xfId="15715" xr:uid="{00000000-0005-0000-0000-00001A3E0000}"/>
    <cellStyle name="Standard 4 2 3 5 3 4" xfId="15716" xr:uid="{00000000-0005-0000-0000-00001B3E0000}"/>
    <cellStyle name="Standard 4 2 3 5 3 4 2" xfId="15717" xr:uid="{00000000-0005-0000-0000-00001C3E0000}"/>
    <cellStyle name="Standard 4 2 3 5 3 4 3" xfId="15718" xr:uid="{00000000-0005-0000-0000-00001D3E0000}"/>
    <cellStyle name="Standard 4 2 3 5 3 5" xfId="15719" xr:uid="{00000000-0005-0000-0000-00001E3E0000}"/>
    <cellStyle name="Standard 4 2 3 5 3 5 2" xfId="15720" xr:uid="{00000000-0005-0000-0000-00001F3E0000}"/>
    <cellStyle name="Standard 4 2 3 5 3 5 3" xfId="15721" xr:uid="{00000000-0005-0000-0000-0000203E0000}"/>
    <cellStyle name="Standard 4 2 3 5 3 6" xfId="15722" xr:uid="{00000000-0005-0000-0000-0000213E0000}"/>
    <cellStyle name="Standard 4 2 3 5 3 6 2" xfId="15723" xr:uid="{00000000-0005-0000-0000-0000223E0000}"/>
    <cellStyle name="Standard 4 2 3 5 3 7" xfId="15724" xr:uid="{00000000-0005-0000-0000-0000233E0000}"/>
    <cellStyle name="Standard 4 2 3 5 3 8" xfId="15725" xr:uid="{00000000-0005-0000-0000-0000243E0000}"/>
    <cellStyle name="Standard 4 2 3 5 4" xfId="15726" xr:uid="{00000000-0005-0000-0000-0000253E0000}"/>
    <cellStyle name="Standard 4 2 3 5 4 2" xfId="15727" xr:uid="{00000000-0005-0000-0000-0000263E0000}"/>
    <cellStyle name="Standard 4 2 3 5 4 2 2" xfId="15728" xr:uid="{00000000-0005-0000-0000-0000273E0000}"/>
    <cellStyle name="Standard 4 2 3 5 4 2 2 2" xfId="15729" xr:uid="{00000000-0005-0000-0000-0000283E0000}"/>
    <cellStyle name="Standard 4 2 3 5 4 2 2 3" xfId="15730" xr:uid="{00000000-0005-0000-0000-0000293E0000}"/>
    <cellStyle name="Standard 4 2 3 5 4 2 3" xfId="15731" xr:uid="{00000000-0005-0000-0000-00002A3E0000}"/>
    <cellStyle name="Standard 4 2 3 5 4 2 3 2" xfId="15732" xr:uid="{00000000-0005-0000-0000-00002B3E0000}"/>
    <cellStyle name="Standard 4 2 3 5 4 2 3 3" xfId="15733" xr:uid="{00000000-0005-0000-0000-00002C3E0000}"/>
    <cellStyle name="Standard 4 2 3 5 4 2 4" xfId="15734" xr:uid="{00000000-0005-0000-0000-00002D3E0000}"/>
    <cellStyle name="Standard 4 2 3 5 4 2 4 2" xfId="15735" xr:uid="{00000000-0005-0000-0000-00002E3E0000}"/>
    <cellStyle name="Standard 4 2 3 5 4 2 5" xfId="15736" xr:uid="{00000000-0005-0000-0000-00002F3E0000}"/>
    <cellStyle name="Standard 4 2 3 5 4 2 6" xfId="15737" xr:uid="{00000000-0005-0000-0000-0000303E0000}"/>
    <cellStyle name="Standard 4 2 3 5 4 3" xfId="15738" xr:uid="{00000000-0005-0000-0000-0000313E0000}"/>
    <cellStyle name="Standard 4 2 3 5 4 3 2" xfId="15739" xr:uid="{00000000-0005-0000-0000-0000323E0000}"/>
    <cellStyle name="Standard 4 2 3 5 4 3 3" xfId="15740" xr:uid="{00000000-0005-0000-0000-0000333E0000}"/>
    <cellStyle name="Standard 4 2 3 5 4 4" xfId="15741" xr:uid="{00000000-0005-0000-0000-0000343E0000}"/>
    <cellStyle name="Standard 4 2 3 5 4 4 2" xfId="15742" xr:uid="{00000000-0005-0000-0000-0000353E0000}"/>
    <cellStyle name="Standard 4 2 3 5 4 4 3" xfId="15743" xr:uid="{00000000-0005-0000-0000-0000363E0000}"/>
    <cellStyle name="Standard 4 2 3 5 4 5" xfId="15744" xr:uid="{00000000-0005-0000-0000-0000373E0000}"/>
    <cellStyle name="Standard 4 2 3 5 4 5 2" xfId="15745" xr:uid="{00000000-0005-0000-0000-0000383E0000}"/>
    <cellStyle name="Standard 4 2 3 5 4 6" xfId="15746" xr:uid="{00000000-0005-0000-0000-0000393E0000}"/>
    <cellStyle name="Standard 4 2 3 5 4 7" xfId="15747" xr:uid="{00000000-0005-0000-0000-00003A3E0000}"/>
    <cellStyle name="Standard 4 2 3 5 5" xfId="15748" xr:uid="{00000000-0005-0000-0000-00003B3E0000}"/>
    <cellStyle name="Standard 4 2 3 5 5 2" xfId="15749" xr:uid="{00000000-0005-0000-0000-00003C3E0000}"/>
    <cellStyle name="Standard 4 2 3 5 5 2 2" xfId="15750" xr:uid="{00000000-0005-0000-0000-00003D3E0000}"/>
    <cellStyle name="Standard 4 2 3 5 5 2 3" xfId="15751" xr:uid="{00000000-0005-0000-0000-00003E3E0000}"/>
    <cellStyle name="Standard 4 2 3 5 5 3" xfId="15752" xr:uid="{00000000-0005-0000-0000-00003F3E0000}"/>
    <cellStyle name="Standard 4 2 3 5 5 3 2" xfId="15753" xr:uid="{00000000-0005-0000-0000-0000403E0000}"/>
    <cellStyle name="Standard 4 2 3 5 5 3 3" xfId="15754" xr:uid="{00000000-0005-0000-0000-0000413E0000}"/>
    <cellStyle name="Standard 4 2 3 5 5 4" xfId="15755" xr:uid="{00000000-0005-0000-0000-0000423E0000}"/>
    <cellStyle name="Standard 4 2 3 5 5 4 2" xfId="15756" xr:uid="{00000000-0005-0000-0000-0000433E0000}"/>
    <cellStyle name="Standard 4 2 3 5 5 5" xfId="15757" xr:uid="{00000000-0005-0000-0000-0000443E0000}"/>
    <cellStyle name="Standard 4 2 3 5 5 6" xfId="15758" xr:uid="{00000000-0005-0000-0000-0000453E0000}"/>
    <cellStyle name="Standard 4 2 3 5 6" xfId="15759" xr:uid="{00000000-0005-0000-0000-0000463E0000}"/>
    <cellStyle name="Standard 4 2 3 5 6 2" xfId="15760" xr:uid="{00000000-0005-0000-0000-0000473E0000}"/>
    <cellStyle name="Standard 4 2 3 5 6 3" xfId="15761" xr:uid="{00000000-0005-0000-0000-0000483E0000}"/>
    <cellStyle name="Standard 4 2 3 5 7" xfId="15762" xr:uid="{00000000-0005-0000-0000-0000493E0000}"/>
    <cellStyle name="Standard 4 2 3 5 7 2" xfId="15763" xr:uid="{00000000-0005-0000-0000-00004A3E0000}"/>
    <cellStyle name="Standard 4 2 3 5 7 3" xfId="15764" xr:uid="{00000000-0005-0000-0000-00004B3E0000}"/>
    <cellStyle name="Standard 4 2 3 5 8" xfId="15765" xr:uid="{00000000-0005-0000-0000-00004C3E0000}"/>
    <cellStyle name="Standard 4 2 3 5 8 2" xfId="15766" xr:uid="{00000000-0005-0000-0000-00004D3E0000}"/>
    <cellStyle name="Standard 4 2 3 5 9" xfId="15767" xr:uid="{00000000-0005-0000-0000-00004E3E0000}"/>
    <cellStyle name="Standard 4 2 3 6" xfId="15768" xr:uid="{00000000-0005-0000-0000-00004F3E0000}"/>
    <cellStyle name="Standard 4 2 3 6 2" xfId="15769" xr:uid="{00000000-0005-0000-0000-0000503E0000}"/>
    <cellStyle name="Standard 4 2 3 6 2 2" xfId="15770" xr:uid="{00000000-0005-0000-0000-0000513E0000}"/>
    <cellStyle name="Standard 4 2 3 6 2 2 2" xfId="15771" xr:uid="{00000000-0005-0000-0000-0000523E0000}"/>
    <cellStyle name="Standard 4 2 3 6 2 2 2 2" xfId="15772" xr:uid="{00000000-0005-0000-0000-0000533E0000}"/>
    <cellStyle name="Standard 4 2 3 6 2 2 2 3" xfId="15773" xr:uid="{00000000-0005-0000-0000-0000543E0000}"/>
    <cellStyle name="Standard 4 2 3 6 2 2 3" xfId="15774" xr:uid="{00000000-0005-0000-0000-0000553E0000}"/>
    <cellStyle name="Standard 4 2 3 6 2 2 3 2" xfId="15775" xr:uid="{00000000-0005-0000-0000-0000563E0000}"/>
    <cellStyle name="Standard 4 2 3 6 2 2 3 3" xfId="15776" xr:uid="{00000000-0005-0000-0000-0000573E0000}"/>
    <cellStyle name="Standard 4 2 3 6 2 2 4" xfId="15777" xr:uid="{00000000-0005-0000-0000-0000583E0000}"/>
    <cellStyle name="Standard 4 2 3 6 2 2 4 2" xfId="15778" xr:uid="{00000000-0005-0000-0000-0000593E0000}"/>
    <cellStyle name="Standard 4 2 3 6 2 2 5" xfId="15779" xr:uid="{00000000-0005-0000-0000-00005A3E0000}"/>
    <cellStyle name="Standard 4 2 3 6 2 2 6" xfId="15780" xr:uid="{00000000-0005-0000-0000-00005B3E0000}"/>
    <cellStyle name="Standard 4 2 3 6 2 3" xfId="15781" xr:uid="{00000000-0005-0000-0000-00005C3E0000}"/>
    <cellStyle name="Standard 4 2 3 6 2 3 2" xfId="15782" xr:uid="{00000000-0005-0000-0000-00005D3E0000}"/>
    <cellStyle name="Standard 4 2 3 6 2 3 3" xfId="15783" xr:uid="{00000000-0005-0000-0000-00005E3E0000}"/>
    <cellStyle name="Standard 4 2 3 6 2 4" xfId="15784" xr:uid="{00000000-0005-0000-0000-00005F3E0000}"/>
    <cellStyle name="Standard 4 2 3 6 2 4 2" xfId="15785" xr:uid="{00000000-0005-0000-0000-0000603E0000}"/>
    <cellStyle name="Standard 4 2 3 6 2 4 3" xfId="15786" xr:uid="{00000000-0005-0000-0000-0000613E0000}"/>
    <cellStyle name="Standard 4 2 3 6 2 5" xfId="15787" xr:uid="{00000000-0005-0000-0000-0000623E0000}"/>
    <cellStyle name="Standard 4 2 3 6 2 5 2" xfId="15788" xr:uid="{00000000-0005-0000-0000-0000633E0000}"/>
    <cellStyle name="Standard 4 2 3 6 2 6" xfId="15789" xr:uid="{00000000-0005-0000-0000-0000643E0000}"/>
    <cellStyle name="Standard 4 2 3 6 2 7" xfId="15790" xr:uid="{00000000-0005-0000-0000-0000653E0000}"/>
    <cellStyle name="Standard 4 2 3 6 3" xfId="15791" xr:uid="{00000000-0005-0000-0000-0000663E0000}"/>
    <cellStyle name="Standard 4 2 3 6 3 2" xfId="15792" xr:uid="{00000000-0005-0000-0000-0000673E0000}"/>
    <cellStyle name="Standard 4 2 3 6 3 2 2" xfId="15793" xr:uid="{00000000-0005-0000-0000-0000683E0000}"/>
    <cellStyle name="Standard 4 2 3 6 3 2 3" xfId="15794" xr:uid="{00000000-0005-0000-0000-0000693E0000}"/>
    <cellStyle name="Standard 4 2 3 6 3 3" xfId="15795" xr:uid="{00000000-0005-0000-0000-00006A3E0000}"/>
    <cellStyle name="Standard 4 2 3 6 3 3 2" xfId="15796" xr:uid="{00000000-0005-0000-0000-00006B3E0000}"/>
    <cellStyle name="Standard 4 2 3 6 3 3 3" xfId="15797" xr:uid="{00000000-0005-0000-0000-00006C3E0000}"/>
    <cellStyle name="Standard 4 2 3 6 3 4" xfId="15798" xr:uid="{00000000-0005-0000-0000-00006D3E0000}"/>
    <cellStyle name="Standard 4 2 3 6 3 4 2" xfId="15799" xr:uid="{00000000-0005-0000-0000-00006E3E0000}"/>
    <cellStyle name="Standard 4 2 3 6 3 5" xfId="15800" xr:uid="{00000000-0005-0000-0000-00006F3E0000}"/>
    <cellStyle name="Standard 4 2 3 6 3 6" xfId="15801" xr:uid="{00000000-0005-0000-0000-0000703E0000}"/>
    <cellStyle name="Standard 4 2 3 6 4" xfId="15802" xr:uid="{00000000-0005-0000-0000-0000713E0000}"/>
    <cellStyle name="Standard 4 2 3 6 4 2" xfId="15803" xr:uid="{00000000-0005-0000-0000-0000723E0000}"/>
    <cellStyle name="Standard 4 2 3 6 4 3" xfId="15804" xr:uid="{00000000-0005-0000-0000-0000733E0000}"/>
    <cellStyle name="Standard 4 2 3 6 5" xfId="15805" xr:uid="{00000000-0005-0000-0000-0000743E0000}"/>
    <cellStyle name="Standard 4 2 3 6 5 2" xfId="15806" xr:uid="{00000000-0005-0000-0000-0000753E0000}"/>
    <cellStyle name="Standard 4 2 3 6 5 3" xfId="15807" xr:uid="{00000000-0005-0000-0000-0000763E0000}"/>
    <cellStyle name="Standard 4 2 3 6 6" xfId="15808" xr:uid="{00000000-0005-0000-0000-0000773E0000}"/>
    <cellStyle name="Standard 4 2 3 6 6 2" xfId="15809" xr:uid="{00000000-0005-0000-0000-0000783E0000}"/>
    <cellStyle name="Standard 4 2 3 6 7" xfId="15810" xr:uid="{00000000-0005-0000-0000-0000793E0000}"/>
    <cellStyle name="Standard 4 2 3 6 8" xfId="15811" xr:uid="{00000000-0005-0000-0000-00007A3E0000}"/>
    <cellStyle name="Standard 4 2 3 7" xfId="15812" xr:uid="{00000000-0005-0000-0000-00007B3E0000}"/>
    <cellStyle name="Standard 4 2 3 7 2" xfId="15813" xr:uid="{00000000-0005-0000-0000-00007C3E0000}"/>
    <cellStyle name="Standard 4 2 3 7 2 2" xfId="15814" xr:uid="{00000000-0005-0000-0000-00007D3E0000}"/>
    <cellStyle name="Standard 4 2 3 7 2 2 2" xfId="15815" xr:uid="{00000000-0005-0000-0000-00007E3E0000}"/>
    <cellStyle name="Standard 4 2 3 7 2 2 2 2" xfId="15816" xr:uid="{00000000-0005-0000-0000-00007F3E0000}"/>
    <cellStyle name="Standard 4 2 3 7 2 2 2 3" xfId="15817" xr:uid="{00000000-0005-0000-0000-0000803E0000}"/>
    <cellStyle name="Standard 4 2 3 7 2 2 3" xfId="15818" xr:uid="{00000000-0005-0000-0000-0000813E0000}"/>
    <cellStyle name="Standard 4 2 3 7 2 2 3 2" xfId="15819" xr:uid="{00000000-0005-0000-0000-0000823E0000}"/>
    <cellStyle name="Standard 4 2 3 7 2 2 3 3" xfId="15820" xr:uid="{00000000-0005-0000-0000-0000833E0000}"/>
    <cellStyle name="Standard 4 2 3 7 2 2 4" xfId="15821" xr:uid="{00000000-0005-0000-0000-0000843E0000}"/>
    <cellStyle name="Standard 4 2 3 7 2 2 4 2" xfId="15822" xr:uid="{00000000-0005-0000-0000-0000853E0000}"/>
    <cellStyle name="Standard 4 2 3 7 2 2 5" xfId="15823" xr:uid="{00000000-0005-0000-0000-0000863E0000}"/>
    <cellStyle name="Standard 4 2 3 7 2 2 6" xfId="15824" xr:uid="{00000000-0005-0000-0000-0000873E0000}"/>
    <cellStyle name="Standard 4 2 3 7 2 3" xfId="15825" xr:uid="{00000000-0005-0000-0000-0000883E0000}"/>
    <cellStyle name="Standard 4 2 3 7 2 3 2" xfId="15826" xr:uid="{00000000-0005-0000-0000-0000893E0000}"/>
    <cellStyle name="Standard 4 2 3 7 2 3 3" xfId="15827" xr:uid="{00000000-0005-0000-0000-00008A3E0000}"/>
    <cellStyle name="Standard 4 2 3 7 2 4" xfId="15828" xr:uid="{00000000-0005-0000-0000-00008B3E0000}"/>
    <cellStyle name="Standard 4 2 3 7 2 4 2" xfId="15829" xr:uid="{00000000-0005-0000-0000-00008C3E0000}"/>
    <cellStyle name="Standard 4 2 3 7 2 4 3" xfId="15830" xr:uid="{00000000-0005-0000-0000-00008D3E0000}"/>
    <cellStyle name="Standard 4 2 3 7 2 5" xfId="15831" xr:uid="{00000000-0005-0000-0000-00008E3E0000}"/>
    <cellStyle name="Standard 4 2 3 7 2 5 2" xfId="15832" xr:uid="{00000000-0005-0000-0000-00008F3E0000}"/>
    <cellStyle name="Standard 4 2 3 7 2 6" xfId="15833" xr:uid="{00000000-0005-0000-0000-0000903E0000}"/>
    <cellStyle name="Standard 4 2 3 7 2 7" xfId="15834" xr:uid="{00000000-0005-0000-0000-0000913E0000}"/>
    <cellStyle name="Standard 4 2 3 7 3" xfId="15835" xr:uid="{00000000-0005-0000-0000-0000923E0000}"/>
    <cellStyle name="Standard 4 2 3 7 3 2" xfId="15836" xr:uid="{00000000-0005-0000-0000-0000933E0000}"/>
    <cellStyle name="Standard 4 2 3 7 3 2 2" xfId="15837" xr:uid="{00000000-0005-0000-0000-0000943E0000}"/>
    <cellStyle name="Standard 4 2 3 7 3 2 3" xfId="15838" xr:uid="{00000000-0005-0000-0000-0000953E0000}"/>
    <cellStyle name="Standard 4 2 3 7 3 3" xfId="15839" xr:uid="{00000000-0005-0000-0000-0000963E0000}"/>
    <cellStyle name="Standard 4 2 3 7 3 3 2" xfId="15840" xr:uid="{00000000-0005-0000-0000-0000973E0000}"/>
    <cellStyle name="Standard 4 2 3 7 3 3 3" xfId="15841" xr:uid="{00000000-0005-0000-0000-0000983E0000}"/>
    <cellStyle name="Standard 4 2 3 7 3 4" xfId="15842" xr:uid="{00000000-0005-0000-0000-0000993E0000}"/>
    <cellStyle name="Standard 4 2 3 7 3 4 2" xfId="15843" xr:uid="{00000000-0005-0000-0000-00009A3E0000}"/>
    <cellStyle name="Standard 4 2 3 7 3 5" xfId="15844" xr:uid="{00000000-0005-0000-0000-00009B3E0000}"/>
    <cellStyle name="Standard 4 2 3 7 3 6" xfId="15845" xr:uid="{00000000-0005-0000-0000-00009C3E0000}"/>
    <cellStyle name="Standard 4 2 3 7 4" xfId="15846" xr:uid="{00000000-0005-0000-0000-00009D3E0000}"/>
    <cellStyle name="Standard 4 2 3 7 4 2" xfId="15847" xr:uid="{00000000-0005-0000-0000-00009E3E0000}"/>
    <cellStyle name="Standard 4 2 3 7 4 3" xfId="15848" xr:uid="{00000000-0005-0000-0000-00009F3E0000}"/>
    <cellStyle name="Standard 4 2 3 7 5" xfId="15849" xr:uid="{00000000-0005-0000-0000-0000A03E0000}"/>
    <cellStyle name="Standard 4 2 3 7 5 2" xfId="15850" xr:uid="{00000000-0005-0000-0000-0000A13E0000}"/>
    <cellStyle name="Standard 4 2 3 7 5 3" xfId="15851" xr:uid="{00000000-0005-0000-0000-0000A23E0000}"/>
    <cellStyle name="Standard 4 2 3 7 6" xfId="15852" xr:uid="{00000000-0005-0000-0000-0000A33E0000}"/>
    <cellStyle name="Standard 4 2 3 7 6 2" xfId="15853" xr:uid="{00000000-0005-0000-0000-0000A43E0000}"/>
    <cellStyle name="Standard 4 2 3 7 7" xfId="15854" xr:uid="{00000000-0005-0000-0000-0000A53E0000}"/>
    <cellStyle name="Standard 4 2 3 7 8" xfId="15855" xr:uid="{00000000-0005-0000-0000-0000A63E0000}"/>
    <cellStyle name="Standard 4 2 3 8" xfId="15856" xr:uid="{00000000-0005-0000-0000-0000A73E0000}"/>
    <cellStyle name="Standard 4 2 3 8 2" xfId="15857" xr:uid="{00000000-0005-0000-0000-0000A83E0000}"/>
    <cellStyle name="Standard 4 2 3 8 2 2" xfId="15858" xr:uid="{00000000-0005-0000-0000-0000A93E0000}"/>
    <cellStyle name="Standard 4 2 3 8 2 2 2" xfId="15859" xr:uid="{00000000-0005-0000-0000-0000AA3E0000}"/>
    <cellStyle name="Standard 4 2 3 8 2 2 3" xfId="15860" xr:uid="{00000000-0005-0000-0000-0000AB3E0000}"/>
    <cellStyle name="Standard 4 2 3 8 2 3" xfId="15861" xr:uid="{00000000-0005-0000-0000-0000AC3E0000}"/>
    <cellStyle name="Standard 4 2 3 8 2 3 2" xfId="15862" xr:uid="{00000000-0005-0000-0000-0000AD3E0000}"/>
    <cellStyle name="Standard 4 2 3 8 2 3 3" xfId="15863" xr:uid="{00000000-0005-0000-0000-0000AE3E0000}"/>
    <cellStyle name="Standard 4 2 3 8 2 4" xfId="15864" xr:uid="{00000000-0005-0000-0000-0000AF3E0000}"/>
    <cellStyle name="Standard 4 2 3 8 2 4 2" xfId="15865" xr:uid="{00000000-0005-0000-0000-0000B03E0000}"/>
    <cellStyle name="Standard 4 2 3 8 2 5" xfId="15866" xr:uid="{00000000-0005-0000-0000-0000B13E0000}"/>
    <cellStyle name="Standard 4 2 3 8 2 6" xfId="15867" xr:uid="{00000000-0005-0000-0000-0000B23E0000}"/>
    <cellStyle name="Standard 4 2 3 8 3" xfId="15868" xr:uid="{00000000-0005-0000-0000-0000B33E0000}"/>
    <cellStyle name="Standard 4 2 3 8 3 2" xfId="15869" xr:uid="{00000000-0005-0000-0000-0000B43E0000}"/>
    <cellStyle name="Standard 4 2 3 8 3 3" xfId="15870" xr:uid="{00000000-0005-0000-0000-0000B53E0000}"/>
    <cellStyle name="Standard 4 2 3 8 4" xfId="15871" xr:uid="{00000000-0005-0000-0000-0000B63E0000}"/>
    <cellStyle name="Standard 4 2 3 8 4 2" xfId="15872" xr:uid="{00000000-0005-0000-0000-0000B73E0000}"/>
    <cellStyle name="Standard 4 2 3 8 4 3" xfId="15873" xr:uid="{00000000-0005-0000-0000-0000B83E0000}"/>
    <cellStyle name="Standard 4 2 3 8 5" xfId="15874" xr:uid="{00000000-0005-0000-0000-0000B93E0000}"/>
    <cellStyle name="Standard 4 2 3 8 5 2" xfId="15875" xr:uid="{00000000-0005-0000-0000-0000BA3E0000}"/>
    <cellStyle name="Standard 4 2 3 8 6" xfId="15876" xr:uid="{00000000-0005-0000-0000-0000BB3E0000}"/>
    <cellStyle name="Standard 4 2 3 8 7" xfId="15877" xr:uid="{00000000-0005-0000-0000-0000BC3E0000}"/>
    <cellStyle name="Standard 4 2 3 9" xfId="15878" xr:uid="{00000000-0005-0000-0000-0000BD3E0000}"/>
    <cellStyle name="Standard 4 2 3 9 2" xfId="15879" xr:uid="{00000000-0005-0000-0000-0000BE3E0000}"/>
    <cellStyle name="Standard 4 2 3 9 2 2" xfId="15880" xr:uid="{00000000-0005-0000-0000-0000BF3E0000}"/>
    <cellStyle name="Standard 4 2 3 9 2 3" xfId="15881" xr:uid="{00000000-0005-0000-0000-0000C03E0000}"/>
    <cellStyle name="Standard 4 2 3 9 3" xfId="15882" xr:uid="{00000000-0005-0000-0000-0000C13E0000}"/>
    <cellStyle name="Standard 4 2 3 9 3 2" xfId="15883" xr:uid="{00000000-0005-0000-0000-0000C23E0000}"/>
    <cellStyle name="Standard 4 2 3 9 3 3" xfId="15884" xr:uid="{00000000-0005-0000-0000-0000C33E0000}"/>
    <cellStyle name="Standard 4 2 3 9 4" xfId="15885" xr:uid="{00000000-0005-0000-0000-0000C43E0000}"/>
    <cellStyle name="Standard 4 2 3 9 4 2" xfId="15886" xr:uid="{00000000-0005-0000-0000-0000C53E0000}"/>
    <cellStyle name="Standard 4 2 3 9 5" xfId="15887" xr:uid="{00000000-0005-0000-0000-0000C63E0000}"/>
    <cellStyle name="Standard 4 2 3 9 6" xfId="15888" xr:uid="{00000000-0005-0000-0000-0000C73E0000}"/>
    <cellStyle name="Standard 4 2 4" xfId="15889" xr:uid="{00000000-0005-0000-0000-0000C83E0000}"/>
    <cellStyle name="Standard 4 2 4 10" xfId="15890" xr:uid="{00000000-0005-0000-0000-0000C93E0000}"/>
    <cellStyle name="Standard 4 2 4 10 2" xfId="15891" xr:uid="{00000000-0005-0000-0000-0000CA3E0000}"/>
    <cellStyle name="Standard 4 2 4 10 3" xfId="15892" xr:uid="{00000000-0005-0000-0000-0000CB3E0000}"/>
    <cellStyle name="Standard 4 2 4 11" xfId="15893" xr:uid="{00000000-0005-0000-0000-0000CC3E0000}"/>
    <cellStyle name="Standard 4 2 4 11 2" xfId="15894" xr:uid="{00000000-0005-0000-0000-0000CD3E0000}"/>
    <cellStyle name="Standard 4 2 4 12" xfId="15895" xr:uid="{00000000-0005-0000-0000-0000CE3E0000}"/>
    <cellStyle name="Standard 4 2 4 13" xfId="15896" xr:uid="{00000000-0005-0000-0000-0000CF3E0000}"/>
    <cellStyle name="Standard 4 2 4 2" xfId="15897" xr:uid="{00000000-0005-0000-0000-0000D03E0000}"/>
    <cellStyle name="Standard 4 2 4 2 10" xfId="15898" xr:uid="{00000000-0005-0000-0000-0000D13E0000}"/>
    <cellStyle name="Standard 4 2 4 2 11" xfId="15899" xr:uid="{00000000-0005-0000-0000-0000D23E0000}"/>
    <cellStyle name="Standard 4 2 4 2 2" xfId="15900" xr:uid="{00000000-0005-0000-0000-0000D33E0000}"/>
    <cellStyle name="Standard 4 2 4 2 2 10" xfId="15901" xr:uid="{00000000-0005-0000-0000-0000D43E0000}"/>
    <cellStyle name="Standard 4 2 4 2 2 2" xfId="15902" xr:uid="{00000000-0005-0000-0000-0000D53E0000}"/>
    <cellStyle name="Standard 4 2 4 2 2 2 2" xfId="15903" xr:uid="{00000000-0005-0000-0000-0000D63E0000}"/>
    <cellStyle name="Standard 4 2 4 2 2 2 2 2" xfId="15904" xr:uid="{00000000-0005-0000-0000-0000D73E0000}"/>
    <cellStyle name="Standard 4 2 4 2 2 2 2 2 2" xfId="15905" xr:uid="{00000000-0005-0000-0000-0000D83E0000}"/>
    <cellStyle name="Standard 4 2 4 2 2 2 2 2 2 2" xfId="15906" xr:uid="{00000000-0005-0000-0000-0000D93E0000}"/>
    <cellStyle name="Standard 4 2 4 2 2 2 2 2 2 3" xfId="15907" xr:uid="{00000000-0005-0000-0000-0000DA3E0000}"/>
    <cellStyle name="Standard 4 2 4 2 2 2 2 2 3" xfId="15908" xr:uid="{00000000-0005-0000-0000-0000DB3E0000}"/>
    <cellStyle name="Standard 4 2 4 2 2 2 2 2 3 2" xfId="15909" xr:uid="{00000000-0005-0000-0000-0000DC3E0000}"/>
    <cellStyle name="Standard 4 2 4 2 2 2 2 2 3 3" xfId="15910" xr:uid="{00000000-0005-0000-0000-0000DD3E0000}"/>
    <cellStyle name="Standard 4 2 4 2 2 2 2 2 4" xfId="15911" xr:uid="{00000000-0005-0000-0000-0000DE3E0000}"/>
    <cellStyle name="Standard 4 2 4 2 2 2 2 2 4 2" xfId="15912" xr:uid="{00000000-0005-0000-0000-0000DF3E0000}"/>
    <cellStyle name="Standard 4 2 4 2 2 2 2 2 5" xfId="15913" xr:uid="{00000000-0005-0000-0000-0000E03E0000}"/>
    <cellStyle name="Standard 4 2 4 2 2 2 2 2 6" xfId="15914" xr:uid="{00000000-0005-0000-0000-0000E13E0000}"/>
    <cellStyle name="Standard 4 2 4 2 2 2 2 3" xfId="15915" xr:uid="{00000000-0005-0000-0000-0000E23E0000}"/>
    <cellStyle name="Standard 4 2 4 2 2 2 2 3 2" xfId="15916" xr:uid="{00000000-0005-0000-0000-0000E33E0000}"/>
    <cellStyle name="Standard 4 2 4 2 2 2 2 3 3" xfId="15917" xr:uid="{00000000-0005-0000-0000-0000E43E0000}"/>
    <cellStyle name="Standard 4 2 4 2 2 2 2 4" xfId="15918" xr:uid="{00000000-0005-0000-0000-0000E53E0000}"/>
    <cellStyle name="Standard 4 2 4 2 2 2 2 4 2" xfId="15919" xr:uid="{00000000-0005-0000-0000-0000E63E0000}"/>
    <cellStyle name="Standard 4 2 4 2 2 2 2 4 3" xfId="15920" xr:uid="{00000000-0005-0000-0000-0000E73E0000}"/>
    <cellStyle name="Standard 4 2 4 2 2 2 2 5" xfId="15921" xr:uid="{00000000-0005-0000-0000-0000E83E0000}"/>
    <cellStyle name="Standard 4 2 4 2 2 2 2 5 2" xfId="15922" xr:uid="{00000000-0005-0000-0000-0000E93E0000}"/>
    <cellStyle name="Standard 4 2 4 2 2 2 2 6" xfId="15923" xr:uid="{00000000-0005-0000-0000-0000EA3E0000}"/>
    <cellStyle name="Standard 4 2 4 2 2 2 2 7" xfId="15924" xr:uid="{00000000-0005-0000-0000-0000EB3E0000}"/>
    <cellStyle name="Standard 4 2 4 2 2 2 3" xfId="15925" xr:uid="{00000000-0005-0000-0000-0000EC3E0000}"/>
    <cellStyle name="Standard 4 2 4 2 2 2 3 2" xfId="15926" xr:uid="{00000000-0005-0000-0000-0000ED3E0000}"/>
    <cellStyle name="Standard 4 2 4 2 2 2 3 2 2" xfId="15927" xr:uid="{00000000-0005-0000-0000-0000EE3E0000}"/>
    <cellStyle name="Standard 4 2 4 2 2 2 3 2 3" xfId="15928" xr:uid="{00000000-0005-0000-0000-0000EF3E0000}"/>
    <cellStyle name="Standard 4 2 4 2 2 2 3 3" xfId="15929" xr:uid="{00000000-0005-0000-0000-0000F03E0000}"/>
    <cellStyle name="Standard 4 2 4 2 2 2 3 3 2" xfId="15930" xr:uid="{00000000-0005-0000-0000-0000F13E0000}"/>
    <cellStyle name="Standard 4 2 4 2 2 2 3 3 3" xfId="15931" xr:uid="{00000000-0005-0000-0000-0000F23E0000}"/>
    <cellStyle name="Standard 4 2 4 2 2 2 3 4" xfId="15932" xr:uid="{00000000-0005-0000-0000-0000F33E0000}"/>
    <cellStyle name="Standard 4 2 4 2 2 2 3 4 2" xfId="15933" xr:uid="{00000000-0005-0000-0000-0000F43E0000}"/>
    <cellStyle name="Standard 4 2 4 2 2 2 3 5" xfId="15934" xr:uid="{00000000-0005-0000-0000-0000F53E0000}"/>
    <cellStyle name="Standard 4 2 4 2 2 2 3 6" xfId="15935" xr:uid="{00000000-0005-0000-0000-0000F63E0000}"/>
    <cellStyle name="Standard 4 2 4 2 2 2 4" xfId="15936" xr:uid="{00000000-0005-0000-0000-0000F73E0000}"/>
    <cellStyle name="Standard 4 2 4 2 2 2 4 2" xfId="15937" xr:uid="{00000000-0005-0000-0000-0000F83E0000}"/>
    <cellStyle name="Standard 4 2 4 2 2 2 4 3" xfId="15938" xr:uid="{00000000-0005-0000-0000-0000F93E0000}"/>
    <cellStyle name="Standard 4 2 4 2 2 2 5" xfId="15939" xr:uid="{00000000-0005-0000-0000-0000FA3E0000}"/>
    <cellStyle name="Standard 4 2 4 2 2 2 5 2" xfId="15940" xr:uid="{00000000-0005-0000-0000-0000FB3E0000}"/>
    <cellStyle name="Standard 4 2 4 2 2 2 5 3" xfId="15941" xr:uid="{00000000-0005-0000-0000-0000FC3E0000}"/>
    <cellStyle name="Standard 4 2 4 2 2 2 6" xfId="15942" xr:uid="{00000000-0005-0000-0000-0000FD3E0000}"/>
    <cellStyle name="Standard 4 2 4 2 2 2 6 2" xfId="15943" xr:uid="{00000000-0005-0000-0000-0000FE3E0000}"/>
    <cellStyle name="Standard 4 2 4 2 2 2 7" xfId="15944" xr:uid="{00000000-0005-0000-0000-0000FF3E0000}"/>
    <cellStyle name="Standard 4 2 4 2 2 2 8" xfId="15945" xr:uid="{00000000-0005-0000-0000-0000003F0000}"/>
    <cellStyle name="Standard 4 2 4 2 2 3" xfId="15946" xr:uid="{00000000-0005-0000-0000-0000013F0000}"/>
    <cellStyle name="Standard 4 2 4 2 2 3 2" xfId="15947" xr:uid="{00000000-0005-0000-0000-0000023F0000}"/>
    <cellStyle name="Standard 4 2 4 2 2 3 2 2" xfId="15948" xr:uid="{00000000-0005-0000-0000-0000033F0000}"/>
    <cellStyle name="Standard 4 2 4 2 2 3 2 2 2" xfId="15949" xr:uid="{00000000-0005-0000-0000-0000043F0000}"/>
    <cellStyle name="Standard 4 2 4 2 2 3 2 2 2 2" xfId="15950" xr:uid="{00000000-0005-0000-0000-0000053F0000}"/>
    <cellStyle name="Standard 4 2 4 2 2 3 2 2 2 3" xfId="15951" xr:uid="{00000000-0005-0000-0000-0000063F0000}"/>
    <cellStyle name="Standard 4 2 4 2 2 3 2 2 3" xfId="15952" xr:uid="{00000000-0005-0000-0000-0000073F0000}"/>
    <cellStyle name="Standard 4 2 4 2 2 3 2 2 3 2" xfId="15953" xr:uid="{00000000-0005-0000-0000-0000083F0000}"/>
    <cellStyle name="Standard 4 2 4 2 2 3 2 2 3 3" xfId="15954" xr:uid="{00000000-0005-0000-0000-0000093F0000}"/>
    <cellStyle name="Standard 4 2 4 2 2 3 2 2 4" xfId="15955" xr:uid="{00000000-0005-0000-0000-00000A3F0000}"/>
    <cellStyle name="Standard 4 2 4 2 2 3 2 2 4 2" xfId="15956" xr:uid="{00000000-0005-0000-0000-00000B3F0000}"/>
    <cellStyle name="Standard 4 2 4 2 2 3 2 2 5" xfId="15957" xr:uid="{00000000-0005-0000-0000-00000C3F0000}"/>
    <cellStyle name="Standard 4 2 4 2 2 3 2 2 6" xfId="15958" xr:uid="{00000000-0005-0000-0000-00000D3F0000}"/>
    <cellStyle name="Standard 4 2 4 2 2 3 2 3" xfId="15959" xr:uid="{00000000-0005-0000-0000-00000E3F0000}"/>
    <cellStyle name="Standard 4 2 4 2 2 3 2 3 2" xfId="15960" xr:uid="{00000000-0005-0000-0000-00000F3F0000}"/>
    <cellStyle name="Standard 4 2 4 2 2 3 2 3 3" xfId="15961" xr:uid="{00000000-0005-0000-0000-0000103F0000}"/>
    <cellStyle name="Standard 4 2 4 2 2 3 2 4" xfId="15962" xr:uid="{00000000-0005-0000-0000-0000113F0000}"/>
    <cellStyle name="Standard 4 2 4 2 2 3 2 4 2" xfId="15963" xr:uid="{00000000-0005-0000-0000-0000123F0000}"/>
    <cellStyle name="Standard 4 2 4 2 2 3 2 4 3" xfId="15964" xr:uid="{00000000-0005-0000-0000-0000133F0000}"/>
    <cellStyle name="Standard 4 2 4 2 2 3 2 5" xfId="15965" xr:uid="{00000000-0005-0000-0000-0000143F0000}"/>
    <cellStyle name="Standard 4 2 4 2 2 3 2 5 2" xfId="15966" xr:uid="{00000000-0005-0000-0000-0000153F0000}"/>
    <cellStyle name="Standard 4 2 4 2 2 3 2 6" xfId="15967" xr:uid="{00000000-0005-0000-0000-0000163F0000}"/>
    <cellStyle name="Standard 4 2 4 2 2 3 2 7" xfId="15968" xr:uid="{00000000-0005-0000-0000-0000173F0000}"/>
    <cellStyle name="Standard 4 2 4 2 2 3 3" xfId="15969" xr:uid="{00000000-0005-0000-0000-0000183F0000}"/>
    <cellStyle name="Standard 4 2 4 2 2 3 3 2" xfId="15970" xr:uid="{00000000-0005-0000-0000-0000193F0000}"/>
    <cellStyle name="Standard 4 2 4 2 2 3 3 2 2" xfId="15971" xr:uid="{00000000-0005-0000-0000-00001A3F0000}"/>
    <cellStyle name="Standard 4 2 4 2 2 3 3 2 3" xfId="15972" xr:uid="{00000000-0005-0000-0000-00001B3F0000}"/>
    <cellStyle name="Standard 4 2 4 2 2 3 3 3" xfId="15973" xr:uid="{00000000-0005-0000-0000-00001C3F0000}"/>
    <cellStyle name="Standard 4 2 4 2 2 3 3 3 2" xfId="15974" xr:uid="{00000000-0005-0000-0000-00001D3F0000}"/>
    <cellStyle name="Standard 4 2 4 2 2 3 3 3 3" xfId="15975" xr:uid="{00000000-0005-0000-0000-00001E3F0000}"/>
    <cellStyle name="Standard 4 2 4 2 2 3 3 4" xfId="15976" xr:uid="{00000000-0005-0000-0000-00001F3F0000}"/>
    <cellStyle name="Standard 4 2 4 2 2 3 3 4 2" xfId="15977" xr:uid="{00000000-0005-0000-0000-0000203F0000}"/>
    <cellStyle name="Standard 4 2 4 2 2 3 3 5" xfId="15978" xr:uid="{00000000-0005-0000-0000-0000213F0000}"/>
    <cellStyle name="Standard 4 2 4 2 2 3 3 6" xfId="15979" xr:uid="{00000000-0005-0000-0000-0000223F0000}"/>
    <cellStyle name="Standard 4 2 4 2 2 3 4" xfId="15980" xr:uid="{00000000-0005-0000-0000-0000233F0000}"/>
    <cellStyle name="Standard 4 2 4 2 2 3 4 2" xfId="15981" xr:uid="{00000000-0005-0000-0000-0000243F0000}"/>
    <cellStyle name="Standard 4 2 4 2 2 3 4 3" xfId="15982" xr:uid="{00000000-0005-0000-0000-0000253F0000}"/>
    <cellStyle name="Standard 4 2 4 2 2 3 5" xfId="15983" xr:uid="{00000000-0005-0000-0000-0000263F0000}"/>
    <cellStyle name="Standard 4 2 4 2 2 3 5 2" xfId="15984" xr:uid="{00000000-0005-0000-0000-0000273F0000}"/>
    <cellStyle name="Standard 4 2 4 2 2 3 5 3" xfId="15985" xr:uid="{00000000-0005-0000-0000-0000283F0000}"/>
    <cellStyle name="Standard 4 2 4 2 2 3 6" xfId="15986" xr:uid="{00000000-0005-0000-0000-0000293F0000}"/>
    <cellStyle name="Standard 4 2 4 2 2 3 6 2" xfId="15987" xr:uid="{00000000-0005-0000-0000-00002A3F0000}"/>
    <cellStyle name="Standard 4 2 4 2 2 3 7" xfId="15988" xr:uid="{00000000-0005-0000-0000-00002B3F0000}"/>
    <cellStyle name="Standard 4 2 4 2 2 3 8" xfId="15989" xr:uid="{00000000-0005-0000-0000-00002C3F0000}"/>
    <cellStyle name="Standard 4 2 4 2 2 4" xfId="15990" xr:uid="{00000000-0005-0000-0000-00002D3F0000}"/>
    <cellStyle name="Standard 4 2 4 2 2 4 2" xfId="15991" xr:uid="{00000000-0005-0000-0000-00002E3F0000}"/>
    <cellStyle name="Standard 4 2 4 2 2 4 2 2" xfId="15992" xr:uid="{00000000-0005-0000-0000-00002F3F0000}"/>
    <cellStyle name="Standard 4 2 4 2 2 4 2 2 2" xfId="15993" xr:uid="{00000000-0005-0000-0000-0000303F0000}"/>
    <cellStyle name="Standard 4 2 4 2 2 4 2 2 3" xfId="15994" xr:uid="{00000000-0005-0000-0000-0000313F0000}"/>
    <cellStyle name="Standard 4 2 4 2 2 4 2 3" xfId="15995" xr:uid="{00000000-0005-0000-0000-0000323F0000}"/>
    <cellStyle name="Standard 4 2 4 2 2 4 2 3 2" xfId="15996" xr:uid="{00000000-0005-0000-0000-0000333F0000}"/>
    <cellStyle name="Standard 4 2 4 2 2 4 2 3 3" xfId="15997" xr:uid="{00000000-0005-0000-0000-0000343F0000}"/>
    <cellStyle name="Standard 4 2 4 2 2 4 2 4" xfId="15998" xr:uid="{00000000-0005-0000-0000-0000353F0000}"/>
    <cellStyle name="Standard 4 2 4 2 2 4 2 4 2" xfId="15999" xr:uid="{00000000-0005-0000-0000-0000363F0000}"/>
    <cellStyle name="Standard 4 2 4 2 2 4 2 5" xfId="16000" xr:uid="{00000000-0005-0000-0000-0000373F0000}"/>
    <cellStyle name="Standard 4 2 4 2 2 4 2 6" xfId="16001" xr:uid="{00000000-0005-0000-0000-0000383F0000}"/>
    <cellStyle name="Standard 4 2 4 2 2 4 3" xfId="16002" xr:uid="{00000000-0005-0000-0000-0000393F0000}"/>
    <cellStyle name="Standard 4 2 4 2 2 4 3 2" xfId="16003" xr:uid="{00000000-0005-0000-0000-00003A3F0000}"/>
    <cellStyle name="Standard 4 2 4 2 2 4 3 3" xfId="16004" xr:uid="{00000000-0005-0000-0000-00003B3F0000}"/>
    <cellStyle name="Standard 4 2 4 2 2 4 4" xfId="16005" xr:uid="{00000000-0005-0000-0000-00003C3F0000}"/>
    <cellStyle name="Standard 4 2 4 2 2 4 4 2" xfId="16006" xr:uid="{00000000-0005-0000-0000-00003D3F0000}"/>
    <cellStyle name="Standard 4 2 4 2 2 4 4 3" xfId="16007" xr:uid="{00000000-0005-0000-0000-00003E3F0000}"/>
    <cellStyle name="Standard 4 2 4 2 2 4 5" xfId="16008" xr:uid="{00000000-0005-0000-0000-00003F3F0000}"/>
    <cellStyle name="Standard 4 2 4 2 2 4 5 2" xfId="16009" xr:uid="{00000000-0005-0000-0000-0000403F0000}"/>
    <cellStyle name="Standard 4 2 4 2 2 4 6" xfId="16010" xr:uid="{00000000-0005-0000-0000-0000413F0000}"/>
    <cellStyle name="Standard 4 2 4 2 2 4 7" xfId="16011" xr:uid="{00000000-0005-0000-0000-0000423F0000}"/>
    <cellStyle name="Standard 4 2 4 2 2 5" xfId="16012" xr:uid="{00000000-0005-0000-0000-0000433F0000}"/>
    <cellStyle name="Standard 4 2 4 2 2 5 2" xfId="16013" xr:uid="{00000000-0005-0000-0000-0000443F0000}"/>
    <cellStyle name="Standard 4 2 4 2 2 5 2 2" xfId="16014" xr:uid="{00000000-0005-0000-0000-0000453F0000}"/>
    <cellStyle name="Standard 4 2 4 2 2 5 2 3" xfId="16015" xr:uid="{00000000-0005-0000-0000-0000463F0000}"/>
    <cellStyle name="Standard 4 2 4 2 2 5 3" xfId="16016" xr:uid="{00000000-0005-0000-0000-0000473F0000}"/>
    <cellStyle name="Standard 4 2 4 2 2 5 3 2" xfId="16017" xr:uid="{00000000-0005-0000-0000-0000483F0000}"/>
    <cellStyle name="Standard 4 2 4 2 2 5 3 3" xfId="16018" xr:uid="{00000000-0005-0000-0000-0000493F0000}"/>
    <cellStyle name="Standard 4 2 4 2 2 5 4" xfId="16019" xr:uid="{00000000-0005-0000-0000-00004A3F0000}"/>
    <cellStyle name="Standard 4 2 4 2 2 5 4 2" xfId="16020" xr:uid="{00000000-0005-0000-0000-00004B3F0000}"/>
    <cellStyle name="Standard 4 2 4 2 2 5 5" xfId="16021" xr:uid="{00000000-0005-0000-0000-00004C3F0000}"/>
    <cellStyle name="Standard 4 2 4 2 2 5 6" xfId="16022" xr:uid="{00000000-0005-0000-0000-00004D3F0000}"/>
    <cellStyle name="Standard 4 2 4 2 2 6" xfId="16023" xr:uid="{00000000-0005-0000-0000-00004E3F0000}"/>
    <cellStyle name="Standard 4 2 4 2 2 6 2" xfId="16024" xr:uid="{00000000-0005-0000-0000-00004F3F0000}"/>
    <cellStyle name="Standard 4 2 4 2 2 6 3" xfId="16025" xr:uid="{00000000-0005-0000-0000-0000503F0000}"/>
    <cellStyle name="Standard 4 2 4 2 2 7" xfId="16026" xr:uid="{00000000-0005-0000-0000-0000513F0000}"/>
    <cellStyle name="Standard 4 2 4 2 2 7 2" xfId="16027" xr:uid="{00000000-0005-0000-0000-0000523F0000}"/>
    <cellStyle name="Standard 4 2 4 2 2 7 3" xfId="16028" xr:uid="{00000000-0005-0000-0000-0000533F0000}"/>
    <cellStyle name="Standard 4 2 4 2 2 8" xfId="16029" xr:uid="{00000000-0005-0000-0000-0000543F0000}"/>
    <cellStyle name="Standard 4 2 4 2 2 8 2" xfId="16030" xr:uid="{00000000-0005-0000-0000-0000553F0000}"/>
    <cellStyle name="Standard 4 2 4 2 2 9" xfId="16031" xr:uid="{00000000-0005-0000-0000-0000563F0000}"/>
    <cellStyle name="Standard 4 2 4 2 3" xfId="16032" xr:uid="{00000000-0005-0000-0000-0000573F0000}"/>
    <cellStyle name="Standard 4 2 4 2 3 2" xfId="16033" xr:uid="{00000000-0005-0000-0000-0000583F0000}"/>
    <cellStyle name="Standard 4 2 4 2 3 2 2" xfId="16034" xr:uid="{00000000-0005-0000-0000-0000593F0000}"/>
    <cellStyle name="Standard 4 2 4 2 3 2 2 2" xfId="16035" xr:uid="{00000000-0005-0000-0000-00005A3F0000}"/>
    <cellStyle name="Standard 4 2 4 2 3 2 2 2 2" xfId="16036" xr:uid="{00000000-0005-0000-0000-00005B3F0000}"/>
    <cellStyle name="Standard 4 2 4 2 3 2 2 2 3" xfId="16037" xr:uid="{00000000-0005-0000-0000-00005C3F0000}"/>
    <cellStyle name="Standard 4 2 4 2 3 2 2 3" xfId="16038" xr:uid="{00000000-0005-0000-0000-00005D3F0000}"/>
    <cellStyle name="Standard 4 2 4 2 3 2 2 3 2" xfId="16039" xr:uid="{00000000-0005-0000-0000-00005E3F0000}"/>
    <cellStyle name="Standard 4 2 4 2 3 2 2 3 3" xfId="16040" xr:uid="{00000000-0005-0000-0000-00005F3F0000}"/>
    <cellStyle name="Standard 4 2 4 2 3 2 2 4" xfId="16041" xr:uid="{00000000-0005-0000-0000-0000603F0000}"/>
    <cellStyle name="Standard 4 2 4 2 3 2 2 4 2" xfId="16042" xr:uid="{00000000-0005-0000-0000-0000613F0000}"/>
    <cellStyle name="Standard 4 2 4 2 3 2 2 5" xfId="16043" xr:uid="{00000000-0005-0000-0000-0000623F0000}"/>
    <cellStyle name="Standard 4 2 4 2 3 2 2 6" xfId="16044" xr:uid="{00000000-0005-0000-0000-0000633F0000}"/>
    <cellStyle name="Standard 4 2 4 2 3 2 3" xfId="16045" xr:uid="{00000000-0005-0000-0000-0000643F0000}"/>
    <cellStyle name="Standard 4 2 4 2 3 2 3 2" xfId="16046" xr:uid="{00000000-0005-0000-0000-0000653F0000}"/>
    <cellStyle name="Standard 4 2 4 2 3 2 3 3" xfId="16047" xr:uid="{00000000-0005-0000-0000-0000663F0000}"/>
    <cellStyle name="Standard 4 2 4 2 3 2 4" xfId="16048" xr:uid="{00000000-0005-0000-0000-0000673F0000}"/>
    <cellStyle name="Standard 4 2 4 2 3 2 4 2" xfId="16049" xr:uid="{00000000-0005-0000-0000-0000683F0000}"/>
    <cellStyle name="Standard 4 2 4 2 3 2 4 3" xfId="16050" xr:uid="{00000000-0005-0000-0000-0000693F0000}"/>
    <cellStyle name="Standard 4 2 4 2 3 2 5" xfId="16051" xr:uid="{00000000-0005-0000-0000-00006A3F0000}"/>
    <cellStyle name="Standard 4 2 4 2 3 2 5 2" xfId="16052" xr:uid="{00000000-0005-0000-0000-00006B3F0000}"/>
    <cellStyle name="Standard 4 2 4 2 3 2 6" xfId="16053" xr:uid="{00000000-0005-0000-0000-00006C3F0000}"/>
    <cellStyle name="Standard 4 2 4 2 3 2 7" xfId="16054" xr:uid="{00000000-0005-0000-0000-00006D3F0000}"/>
    <cellStyle name="Standard 4 2 4 2 3 3" xfId="16055" xr:uid="{00000000-0005-0000-0000-00006E3F0000}"/>
    <cellStyle name="Standard 4 2 4 2 3 3 2" xfId="16056" xr:uid="{00000000-0005-0000-0000-00006F3F0000}"/>
    <cellStyle name="Standard 4 2 4 2 3 3 2 2" xfId="16057" xr:uid="{00000000-0005-0000-0000-0000703F0000}"/>
    <cellStyle name="Standard 4 2 4 2 3 3 2 3" xfId="16058" xr:uid="{00000000-0005-0000-0000-0000713F0000}"/>
    <cellStyle name="Standard 4 2 4 2 3 3 3" xfId="16059" xr:uid="{00000000-0005-0000-0000-0000723F0000}"/>
    <cellStyle name="Standard 4 2 4 2 3 3 3 2" xfId="16060" xr:uid="{00000000-0005-0000-0000-0000733F0000}"/>
    <cellStyle name="Standard 4 2 4 2 3 3 3 3" xfId="16061" xr:uid="{00000000-0005-0000-0000-0000743F0000}"/>
    <cellStyle name="Standard 4 2 4 2 3 3 4" xfId="16062" xr:uid="{00000000-0005-0000-0000-0000753F0000}"/>
    <cellStyle name="Standard 4 2 4 2 3 3 4 2" xfId="16063" xr:uid="{00000000-0005-0000-0000-0000763F0000}"/>
    <cellStyle name="Standard 4 2 4 2 3 3 5" xfId="16064" xr:uid="{00000000-0005-0000-0000-0000773F0000}"/>
    <cellStyle name="Standard 4 2 4 2 3 3 6" xfId="16065" xr:uid="{00000000-0005-0000-0000-0000783F0000}"/>
    <cellStyle name="Standard 4 2 4 2 3 4" xfId="16066" xr:uid="{00000000-0005-0000-0000-0000793F0000}"/>
    <cellStyle name="Standard 4 2 4 2 3 4 2" xfId="16067" xr:uid="{00000000-0005-0000-0000-00007A3F0000}"/>
    <cellStyle name="Standard 4 2 4 2 3 4 3" xfId="16068" xr:uid="{00000000-0005-0000-0000-00007B3F0000}"/>
    <cellStyle name="Standard 4 2 4 2 3 5" xfId="16069" xr:uid="{00000000-0005-0000-0000-00007C3F0000}"/>
    <cellStyle name="Standard 4 2 4 2 3 5 2" xfId="16070" xr:uid="{00000000-0005-0000-0000-00007D3F0000}"/>
    <cellStyle name="Standard 4 2 4 2 3 5 3" xfId="16071" xr:uid="{00000000-0005-0000-0000-00007E3F0000}"/>
    <cellStyle name="Standard 4 2 4 2 3 6" xfId="16072" xr:uid="{00000000-0005-0000-0000-00007F3F0000}"/>
    <cellStyle name="Standard 4 2 4 2 3 6 2" xfId="16073" xr:uid="{00000000-0005-0000-0000-0000803F0000}"/>
    <cellStyle name="Standard 4 2 4 2 3 7" xfId="16074" xr:uid="{00000000-0005-0000-0000-0000813F0000}"/>
    <cellStyle name="Standard 4 2 4 2 3 8" xfId="16075" xr:uid="{00000000-0005-0000-0000-0000823F0000}"/>
    <cellStyle name="Standard 4 2 4 2 4" xfId="16076" xr:uid="{00000000-0005-0000-0000-0000833F0000}"/>
    <cellStyle name="Standard 4 2 4 2 4 2" xfId="16077" xr:uid="{00000000-0005-0000-0000-0000843F0000}"/>
    <cellStyle name="Standard 4 2 4 2 4 2 2" xfId="16078" xr:uid="{00000000-0005-0000-0000-0000853F0000}"/>
    <cellStyle name="Standard 4 2 4 2 4 2 2 2" xfId="16079" xr:uid="{00000000-0005-0000-0000-0000863F0000}"/>
    <cellStyle name="Standard 4 2 4 2 4 2 2 2 2" xfId="16080" xr:uid="{00000000-0005-0000-0000-0000873F0000}"/>
    <cellStyle name="Standard 4 2 4 2 4 2 2 2 3" xfId="16081" xr:uid="{00000000-0005-0000-0000-0000883F0000}"/>
    <cellStyle name="Standard 4 2 4 2 4 2 2 3" xfId="16082" xr:uid="{00000000-0005-0000-0000-0000893F0000}"/>
    <cellStyle name="Standard 4 2 4 2 4 2 2 3 2" xfId="16083" xr:uid="{00000000-0005-0000-0000-00008A3F0000}"/>
    <cellStyle name="Standard 4 2 4 2 4 2 2 3 3" xfId="16084" xr:uid="{00000000-0005-0000-0000-00008B3F0000}"/>
    <cellStyle name="Standard 4 2 4 2 4 2 2 4" xfId="16085" xr:uid="{00000000-0005-0000-0000-00008C3F0000}"/>
    <cellStyle name="Standard 4 2 4 2 4 2 2 4 2" xfId="16086" xr:uid="{00000000-0005-0000-0000-00008D3F0000}"/>
    <cellStyle name="Standard 4 2 4 2 4 2 2 5" xfId="16087" xr:uid="{00000000-0005-0000-0000-00008E3F0000}"/>
    <cellStyle name="Standard 4 2 4 2 4 2 2 6" xfId="16088" xr:uid="{00000000-0005-0000-0000-00008F3F0000}"/>
    <cellStyle name="Standard 4 2 4 2 4 2 3" xfId="16089" xr:uid="{00000000-0005-0000-0000-0000903F0000}"/>
    <cellStyle name="Standard 4 2 4 2 4 2 3 2" xfId="16090" xr:uid="{00000000-0005-0000-0000-0000913F0000}"/>
    <cellStyle name="Standard 4 2 4 2 4 2 3 3" xfId="16091" xr:uid="{00000000-0005-0000-0000-0000923F0000}"/>
    <cellStyle name="Standard 4 2 4 2 4 2 4" xfId="16092" xr:uid="{00000000-0005-0000-0000-0000933F0000}"/>
    <cellStyle name="Standard 4 2 4 2 4 2 4 2" xfId="16093" xr:uid="{00000000-0005-0000-0000-0000943F0000}"/>
    <cellStyle name="Standard 4 2 4 2 4 2 4 3" xfId="16094" xr:uid="{00000000-0005-0000-0000-0000953F0000}"/>
    <cellStyle name="Standard 4 2 4 2 4 2 5" xfId="16095" xr:uid="{00000000-0005-0000-0000-0000963F0000}"/>
    <cellStyle name="Standard 4 2 4 2 4 2 5 2" xfId="16096" xr:uid="{00000000-0005-0000-0000-0000973F0000}"/>
    <cellStyle name="Standard 4 2 4 2 4 2 6" xfId="16097" xr:uid="{00000000-0005-0000-0000-0000983F0000}"/>
    <cellStyle name="Standard 4 2 4 2 4 2 7" xfId="16098" xr:uid="{00000000-0005-0000-0000-0000993F0000}"/>
    <cellStyle name="Standard 4 2 4 2 4 3" xfId="16099" xr:uid="{00000000-0005-0000-0000-00009A3F0000}"/>
    <cellStyle name="Standard 4 2 4 2 4 3 2" xfId="16100" xr:uid="{00000000-0005-0000-0000-00009B3F0000}"/>
    <cellStyle name="Standard 4 2 4 2 4 3 2 2" xfId="16101" xr:uid="{00000000-0005-0000-0000-00009C3F0000}"/>
    <cellStyle name="Standard 4 2 4 2 4 3 2 3" xfId="16102" xr:uid="{00000000-0005-0000-0000-00009D3F0000}"/>
    <cellStyle name="Standard 4 2 4 2 4 3 3" xfId="16103" xr:uid="{00000000-0005-0000-0000-00009E3F0000}"/>
    <cellStyle name="Standard 4 2 4 2 4 3 3 2" xfId="16104" xr:uid="{00000000-0005-0000-0000-00009F3F0000}"/>
    <cellStyle name="Standard 4 2 4 2 4 3 3 3" xfId="16105" xr:uid="{00000000-0005-0000-0000-0000A03F0000}"/>
    <cellStyle name="Standard 4 2 4 2 4 3 4" xfId="16106" xr:uid="{00000000-0005-0000-0000-0000A13F0000}"/>
    <cellStyle name="Standard 4 2 4 2 4 3 4 2" xfId="16107" xr:uid="{00000000-0005-0000-0000-0000A23F0000}"/>
    <cellStyle name="Standard 4 2 4 2 4 3 5" xfId="16108" xr:uid="{00000000-0005-0000-0000-0000A33F0000}"/>
    <cellStyle name="Standard 4 2 4 2 4 3 6" xfId="16109" xr:uid="{00000000-0005-0000-0000-0000A43F0000}"/>
    <cellStyle name="Standard 4 2 4 2 4 4" xfId="16110" xr:uid="{00000000-0005-0000-0000-0000A53F0000}"/>
    <cellStyle name="Standard 4 2 4 2 4 4 2" xfId="16111" xr:uid="{00000000-0005-0000-0000-0000A63F0000}"/>
    <cellStyle name="Standard 4 2 4 2 4 4 3" xfId="16112" xr:uid="{00000000-0005-0000-0000-0000A73F0000}"/>
    <cellStyle name="Standard 4 2 4 2 4 5" xfId="16113" xr:uid="{00000000-0005-0000-0000-0000A83F0000}"/>
    <cellStyle name="Standard 4 2 4 2 4 5 2" xfId="16114" xr:uid="{00000000-0005-0000-0000-0000A93F0000}"/>
    <cellStyle name="Standard 4 2 4 2 4 5 3" xfId="16115" xr:uid="{00000000-0005-0000-0000-0000AA3F0000}"/>
    <cellStyle name="Standard 4 2 4 2 4 6" xfId="16116" xr:uid="{00000000-0005-0000-0000-0000AB3F0000}"/>
    <cellStyle name="Standard 4 2 4 2 4 6 2" xfId="16117" xr:uid="{00000000-0005-0000-0000-0000AC3F0000}"/>
    <cellStyle name="Standard 4 2 4 2 4 7" xfId="16118" xr:uid="{00000000-0005-0000-0000-0000AD3F0000}"/>
    <cellStyle name="Standard 4 2 4 2 4 8" xfId="16119" xr:uid="{00000000-0005-0000-0000-0000AE3F0000}"/>
    <cellStyle name="Standard 4 2 4 2 5" xfId="16120" xr:uid="{00000000-0005-0000-0000-0000AF3F0000}"/>
    <cellStyle name="Standard 4 2 4 2 5 2" xfId="16121" xr:uid="{00000000-0005-0000-0000-0000B03F0000}"/>
    <cellStyle name="Standard 4 2 4 2 5 2 2" xfId="16122" xr:uid="{00000000-0005-0000-0000-0000B13F0000}"/>
    <cellStyle name="Standard 4 2 4 2 5 2 2 2" xfId="16123" xr:uid="{00000000-0005-0000-0000-0000B23F0000}"/>
    <cellStyle name="Standard 4 2 4 2 5 2 2 3" xfId="16124" xr:uid="{00000000-0005-0000-0000-0000B33F0000}"/>
    <cellStyle name="Standard 4 2 4 2 5 2 3" xfId="16125" xr:uid="{00000000-0005-0000-0000-0000B43F0000}"/>
    <cellStyle name="Standard 4 2 4 2 5 2 3 2" xfId="16126" xr:uid="{00000000-0005-0000-0000-0000B53F0000}"/>
    <cellStyle name="Standard 4 2 4 2 5 2 3 3" xfId="16127" xr:uid="{00000000-0005-0000-0000-0000B63F0000}"/>
    <cellStyle name="Standard 4 2 4 2 5 2 4" xfId="16128" xr:uid="{00000000-0005-0000-0000-0000B73F0000}"/>
    <cellStyle name="Standard 4 2 4 2 5 2 4 2" xfId="16129" xr:uid="{00000000-0005-0000-0000-0000B83F0000}"/>
    <cellStyle name="Standard 4 2 4 2 5 2 5" xfId="16130" xr:uid="{00000000-0005-0000-0000-0000B93F0000}"/>
    <cellStyle name="Standard 4 2 4 2 5 2 6" xfId="16131" xr:uid="{00000000-0005-0000-0000-0000BA3F0000}"/>
    <cellStyle name="Standard 4 2 4 2 5 3" xfId="16132" xr:uid="{00000000-0005-0000-0000-0000BB3F0000}"/>
    <cellStyle name="Standard 4 2 4 2 5 3 2" xfId="16133" xr:uid="{00000000-0005-0000-0000-0000BC3F0000}"/>
    <cellStyle name="Standard 4 2 4 2 5 3 3" xfId="16134" xr:uid="{00000000-0005-0000-0000-0000BD3F0000}"/>
    <cellStyle name="Standard 4 2 4 2 5 4" xfId="16135" xr:uid="{00000000-0005-0000-0000-0000BE3F0000}"/>
    <cellStyle name="Standard 4 2 4 2 5 4 2" xfId="16136" xr:uid="{00000000-0005-0000-0000-0000BF3F0000}"/>
    <cellStyle name="Standard 4 2 4 2 5 4 3" xfId="16137" xr:uid="{00000000-0005-0000-0000-0000C03F0000}"/>
    <cellStyle name="Standard 4 2 4 2 5 5" xfId="16138" xr:uid="{00000000-0005-0000-0000-0000C13F0000}"/>
    <cellStyle name="Standard 4 2 4 2 5 5 2" xfId="16139" xr:uid="{00000000-0005-0000-0000-0000C23F0000}"/>
    <cellStyle name="Standard 4 2 4 2 5 6" xfId="16140" xr:uid="{00000000-0005-0000-0000-0000C33F0000}"/>
    <cellStyle name="Standard 4 2 4 2 5 7" xfId="16141" xr:uid="{00000000-0005-0000-0000-0000C43F0000}"/>
    <cellStyle name="Standard 4 2 4 2 6" xfId="16142" xr:uid="{00000000-0005-0000-0000-0000C53F0000}"/>
    <cellStyle name="Standard 4 2 4 2 6 2" xfId="16143" xr:uid="{00000000-0005-0000-0000-0000C63F0000}"/>
    <cellStyle name="Standard 4 2 4 2 6 2 2" xfId="16144" xr:uid="{00000000-0005-0000-0000-0000C73F0000}"/>
    <cellStyle name="Standard 4 2 4 2 6 2 3" xfId="16145" xr:uid="{00000000-0005-0000-0000-0000C83F0000}"/>
    <cellStyle name="Standard 4 2 4 2 6 3" xfId="16146" xr:uid="{00000000-0005-0000-0000-0000C93F0000}"/>
    <cellStyle name="Standard 4 2 4 2 6 3 2" xfId="16147" xr:uid="{00000000-0005-0000-0000-0000CA3F0000}"/>
    <cellStyle name="Standard 4 2 4 2 6 3 3" xfId="16148" xr:uid="{00000000-0005-0000-0000-0000CB3F0000}"/>
    <cellStyle name="Standard 4 2 4 2 6 4" xfId="16149" xr:uid="{00000000-0005-0000-0000-0000CC3F0000}"/>
    <cellStyle name="Standard 4 2 4 2 6 4 2" xfId="16150" xr:uid="{00000000-0005-0000-0000-0000CD3F0000}"/>
    <cellStyle name="Standard 4 2 4 2 6 5" xfId="16151" xr:uid="{00000000-0005-0000-0000-0000CE3F0000}"/>
    <cellStyle name="Standard 4 2 4 2 6 6" xfId="16152" xr:uid="{00000000-0005-0000-0000-0000CF3F0000}"/>
    <cellStyle name="Standard 4 2 4 2 7" xfId="16153" xr:uid="{00000000-0005-0000-0000-0000D03F0000}"/>
    <cellStyle name="Standard 4 2 4 2 7 2" xfId="16154" xr:uid="{00000000-0005-0000-0000-0000D13F0000}"/>
    <cellStyle name="Standard 4 2 4 2 7 3" xfId="16155" xr:uid="{00000000-0005-0000-0000-0000D23F0000}"/>
    <cellStyle name="Standard 4 2 4 2 8" xfId="16156" xr:uid="{00000000-0005-0000-0000-0000D33F0000}"/>
    <cellStyle name="Standard 4 2 4 2 8 2" xfId="16157" xr:uid="{00000000-0005-0000-0000-0000D43F0000}"/>
    <cellStyle name="Standard 4 2 4 2 8 3" xfId="16158" xr:uid="{00000000-0005-0000-0000-0000D53F0000}"/>
    <cellStyle name="Standard 4 2 4 2 9" xfId="16159" xr:uid="{00000000-0005-0000-0000-0000D63F0000}"/>
    <cellStyle name="Standard 4 2 4 2 9 2" xfId="16160" xr:uid="{00000000-0005-0000-0000-0000D73F0000}"/>
    <cellStyle name="Standard 4 2 4 3" xfId="16161" xr:uid="{00000000-0005-0000-0000-0000D83F0000}"/>
    <cellStyle name="Standard 4 2 4 3 10" xfId="16162" xr:uid="{00000000-0005-0000-0000-0000D93F0000}"/>
    <cellStyle name="Standard 4 2 4 3 11" xfId="16163" xr:uid="{00000000-0005-0000-0000-0000DA3F0000}"/>
    <cellStyle name="Standard 4 2 4 3 2" xfId="16164" xr:uid="{00000000-0005-0000-0000-0000DB3F0000}"/>
    <cellStyle name="Standard 4 2 4 3 2 10" xfId="16165" xr:uid="{00000000-0005-0000-0000-0000DC3F0000}"/>
    <cellStyle name="Standard 4 2 4 3 2 2" xfId="16166" xr:uid="{00000000-0005-0000-0000-0000DD3F0000}"/>
    <cellStyle name="Standard 4 2 4 3 2 2 2" xfId="16167" xr:uid="{00000000-0005-0000-0000-0000DE3F0000}"/>
    <cellStyle name="Standard 4 2 4 3 2 2 2 2" xfId="16168" xr:uid="{00000000-0005-0000-0000-0000DF3F0000}"/>
    <cellStyle name="Standard 4 2 4 3 2 2 2 2 2" xfId="16169" xr:uid="{00000000-0005-0000-0000-0000E03F0000}"/>
    <cellStyle name="Standard 4 2 4 3 2 2 2 2 2 2" xfId="16170" xr:uid="{00000000-0005-0000-0000-0000E13F0000}"/>
    <cellStyle name="Standard 4 2 4 3 2 2 2 2 2 3" xfId="16171" xr:uid="{00000000-0005-0000-0000-0000E23F0000}"/>
    <cellStyle name="Standard 4 2 4 3 2 2 2 2 3" xfId="16172" xr:uid="{00000000-0005-0000-0000-0000E33F0000}"/>
    <cellStyle name="Standard 4 2 4 3 2 2 2 2 3 2" xfId="16173" xr:uid="{00000000-0005-0000-0000-0000E43F0000}"/>
    <cellStyle name="Standard 4 2 4 3 2 2 2 2 3 3" xfId="16174" xr:uid="{00000000-0005-0000-0000-0000E53F0000}"/>
    <cellStyle name="Standard 4 2 4 3 2 2 2 2 4" xfId="16175" xr:uid="{00000000-0005-0000-0000-0000E63F0000}"/>
    <cellStyle name="Standard 4 2 4 3 2 2 2 2 4 2" xfId="16176" xr:uid="{00000000-0005-0000-0000-0000E73F0000}"/>
    <cellStyle name="Standard 4 2 4 3 2 2 2 2 5" xfId="16177" xr:uid="{00000000-0005-0000-0000-0000E83F0000}"/>
    <cellStyle name="Standard 4 2 4 3 2 2 2 2 6" xfId="16178" xr:uid="{00000000-0005-0000-0000-0000E93F0000}"/>
    <cellStyle name="Standard 4 2 4 3 2 2 2 3" xfId="16179" xr:uid="{00000000-0005-0000-0000-0000EA3F0000}"/>
    <cellStyle name="Standard 4 2 4 3 2 2 2 3 2" xfId="16180" xr:uid="{00000000-0005-0000-0000-0000EB3F0000}"/>
    <cellStyle name="Standard 4 2 4 3 2 2 2 3 3" xfId="16181" xr:uid="{00000000-0005-0000-0000-0000EC3F0000}"/>
    <cellStyle name="Standard 4 2 4 3 2 2 2 4" xfId="16182" xr:uid="{00000000-0005-0000-0000-0000ED3F0000}"/>
    <cellStyle name="Standard 4 2 4 3 2 2 2 4 2" xfId="16183" xr:uid="{00000000-0005-0000-0000-0000EE3F0000}"/>
    <cellStyle name="Standard 4 2 4 3 2 2 2 4 3" xfId="16184" xr:uid="{00000000-0005-0000-0000-0000EF3F0000}"/>
    <cellStyle name="Standard 4 2 4 3 2 2 2 5" xfId="16185" xr:uid="{00000000-0005-0000-0000-0000F03F0000}"/>
    <cellStyle name="Standard 4 2 4 3 2 2 2 5 2" xfId="16186" xr:uid="{00000000-0005-0000-0000-0000F13F0000}"/>
    <cellStyle name="Standard 4 2 4 3 2 2 2 6" xfId="16187" xr:uid="{00000000-0005-0000-0000-0000F23F0000}"/>
    <cellStyle name="Standard 4 2 4 3 2 2 2 7" xfId="16188" xr:uid="{00000000-0005-0000-0000-0000F33F0000}"/>
    <cellStyle name="Standard 4 2 4 3 2 2 3" xfId="16189" xr:uid="{00000000-0005-0000-0000-0000F43F0000}"/>
    <cellStyle name="Standard 4 2 4 3 2 2 3 2" xfId="16190" xr:uid="{00000000-0005-0000-0000-0000F53F0000}"/>
    <cellStyle name="Standard 4 2 4 3 2 2 3 2 2" xfId="16191" xr:uid="{00000000-0005-0000-0000-0000F63F0000}"/>
    <cellStyle name="Standard 4 2 4 3 2 2 3 2 3" xfId="16192" xr:uid="{00000000-0005-0000-0000-0000F73F0000}"/>
    <cellStyle name="Standard 4 2 4 3 2 2 3 3" xfId="16193" xr:uid="{00000000-0005-0000-0000-0000F83F0000}"/>
    <cellStyle name="Standard 4 2 4 3 2 2 3 3 2" xfId="16194" xr:uid="{00000000-0005-0000-0000-0000F93F0000}"/>
    <cellStyle name="Standard 4 2 4 3 2 2 3 3 3" xfId="16195" xr:uid="{00000000-0005-0000-0000-0000FA3F0000}"/>
    <cellStyle name="Standard 4 2 4 3 2 2 3 4" xfId="16196" xr:uid="{00000000-0005-0000-0000-0000FB3F0000}"/>
    <cellStyle name="Standard 4 2 4 3 2 2 3 4 2" xfId="16197" xr:uid="{00000000-0005-0000-0000-0000FC3F0000}"/>
    <cellStyle name="Standard 4 2 4 3 2 2 3 5" xfId="16198" xr:uid="{00000000-0005-0000-0000-0000FD3F0000}"/>
    <cellStyle name="Standard 4 2 4 3 2 2 3 6" xfId="16199" xr:uid="{00000000-0005-0000-0000-0000FE3F0000}"/>
    <cellStyle name="Standard 4 2 4 3 2 2 4" xfId="16200" xr:uid="{00000000-0005-0000-0000-0000FF3F0000}"/>
    <cellStyle name="Standard 4 2 4 3 2 2 4 2" xfId="16201" xr:uid="{00000000-0005-0000-0000-000000400000}"/>
    <cellStyle name="Standard 4 2 4 3 2 2 4 3" xfId="16202" xr:uid="{00000000-0005-0000-0000-000001400000}"/>
    <cellStyle name="Standard 4 2 4 3 2 2 5" xfId="16203" xr:uid="{00000000-0005-0000-0000-000002400000}"/>
    <cellStyle name="Standard 4 2 4 3 2 2 5 2" xfId="16204" xr:uid="{00000000-0005-0000-0000-000003400000}"/>
    <cellStyle name="Standard 4 2 4 3 2 2 5 3" xfId="16205" xr:uid="{00000000-0005-0000-0000-000004400000}"/>
    <cellStyle name="Standard 4 2 4 3 2 2 6" xfId="16206" xr:uid="{00000000-0005-0000-0000-000005400000}"/>
    <cellStyle name="Standard 4 2 4 3 2 2 6 2" xfId="16207" xr:uid="{00000000-0005-0000-0000-000006400000}"/>
    <cellStyle name="Standard 4 2 4 3 2 2 7" xfId="16208" xr:uid="{00000000-0005-0000-0000-000007400000}"/>
    <cellStyle name="Standard 4 2 4 3 2 2 8" xfId="16209" xr:uid="{00000000-0005-0000-0000-000008400000}"/>
    <cellStyle name="Standard 4 2 4 3 2 3" xfId="16210" xr:uid="{00000000-0005-0000-0000-000009400000}"/>
    <cellStyle name="Standard 4 2 4 3 2 3 2" xfId="16211" xr:uid="{00000000-0005-0000-0000-00000A400000}"/>
    <cellStyle name="Standard 4 2 4 3 2 3 2 2" xfId="16212" xr:uid="{00000000-0005-0000-0000-00000B400000}"/>
    <cellStyle name="Standard 4 2 4 3 2 3 2 2 2" xfId="16213" xr:uid="{00000000-0005-0000-0000-00000C400000}"/>
    <cellStyle name="Standard 4 2 4 3 2 3 2 2 2 2" xfId="16214" xr:uid="{00000000-0005-0000-0000-00000D400000}"/>
    <cellStyle name="Standard 4 2 4 3 2 3 2 2 2 3" xfId="16215" xr:uid="{00000000-0005-0000-0000-00000E400000}"/>
    <cellStyle name="Standard 4 2 4 3 2 3 2 2 3" xfId="16216" xr:uid="{00000000-0005-0000-0000-00000F400000}"/>
    <cellStyle name="Standard 4 2 4 3 2 3 2 2 3 2" xfId="16217" xr:uid="{00000000-0005-0000-0000-000010400000}"/>
    <cellStyle name="Standard 4 2 4 3 2 3 2 2 3 3" xfId="16218" xr:uid="{00000000-0005-0000-0000-000011400000}"/>
    <cellStyle name="Standard 4 2 4 3 2 3 2 2 4" xfId="16219" xr:uid="{00000000-0005-0000-0000-000012400000}"/>
    <cellStyle name="Standard 4 2 4 3 2 3 2 2 4 2" xfId="16220" xr:uid="{00000000-0005-0000-0000-000013400000}"/>
    <cellStyle name="Standard 4 2 4 3 2 3 2 2 5" xfId="16221" xr:uid="{00000000-0005-0000-0000-000014400000}"/>
    <cellStyle name="Standard 4 2 4 3 2 3 2 2 6" xfId="16222" xr:uid="{00000000-0005-0000-0000-000015400000}"/>
    <cellStyle name="Standard 4 2 4 3 2 3 2 3" xfId="16223" xr:uid="{00000000-0005-0000-0000-000016400000}"/>
    <cellStyle name="Standard 4 2 4 3 2 3 2 3 2" xfId="16224" xr:uid="{00000000-0005-0000-0000-000017400000}"/>
    <cellStyle name="Standard 4 2 4 3 2 3 2 3 3" xfId="16225" xr:uid="{00000000-0005-0000-0000-000018400000}"/>
    <cellStyle name="Standard 4 2 4 3 2 3 2 4" xfId="16226" xr:uid="{00000000-0005-0000-0000-000019400000}"/>
    <cellStyle name="Standard 4 2 4 3 2 3 2 4 2" xfId="16227" xr:uid="{00000000-0005-0000-0000-00001A400000}"/>
    <cellStyle name="Standard 4 2 4 3 2 3 2 4 3" xfId="16228" xr:uid="{00000000-0005-0000-0000-00001B400000}"/>
    <cellStyle name="Standard 4 2 4 3 2 3 2 5" xfId="16229" xr:uid="{00000000-0005-0000-0000-00001C400000}"/>
    <cellStyle name="Standard 4 2 4 3 2 3 2 5 2" xfId="16230" xr:uid="{00000000-0005-0000-0000-00001D400000}"/>
    <cellStyle name="Standard 4 2 4 3 2 3 2 6" xfId="16231" xr:uid="{00000000-0005-0000-0000-00001E400000}"/>
    <cellStyle name="Standard 4 2 4 3 2 3 2 7" xfId="16232" xr:uid="{00000000-0005-0000-0000-00001F400000}"/>
    <cellStyle name="Standard 4 2 4 3 2 3 3" xfId="16233" xr:uid="{00000000-0005-0000-0000-000020400000}"/>
    <cellStyle name="Standard 4 2 4 3 2 3 3 2" xfId="16234" xr:uid="{00000000-0005-0000-0000-000021400000}"/>
    <cellStyle name="Standard 4 2 4 3 2 3 3 2 2" xfId="16235" xr:uid="{00000000-0005-0000-0000-000022400000}"/>
    <cellStyle name="Standard 4 2 4 3 2 3 3 2 3" xfId="16236" xr:uid="{00000000-0005-0000-0000-000023400000}"/>
    <cellStyle name="Standard 4 2 4 3 2 3 3 3" xfId="16237" xr:uid="{00000000-0005-0000-0000-000024400000}"/>
    <cellStyle name="Standard 4 2 4 3 2 3 3 3 2" xfId="16238" xr:uid="{00000000-0005-0000-0000-000025400000}"/>
    <cellStyle name="Standard 4 2 4 3 2 3 3 3 3" xfId="16239" xr:uid="{00000000-0005-0000-0000-000026400000}"/>
    <cellStyle name="Standard 4 2 4 3 2 3 3 4" xfId="16240" xr:uid="{00000000-0005-0000-0000-000027400000}"/>
    <cellStyle name="Standard 4 2 4 3 2 3 3 4 2" xfId="16241" xr:uid="{00000000-0005-0000-0000-000028400000}"/>
    <cellStyle name="Standard 4 2 4 3 2 3 3 5" xfId="16242" xr:uid="{00000000-0005-0000-0000-000029400000}"/>
    <cellStyle name="Standard 4 2 4 3 2 3 3 6" xfId="16243" xr:uid="{00000000-0005-0000-0000-00002A400000}"/>
    <cellStyle name="Standard 4 2 4 3 2 3 4" xfId="16244" xr:uid="{00000000-0005-0000-0000-00002B400000}"/>
    <cellStyle name="Standard 4 2 4 3 2 3 4 2" xfId="16245" xr:uid="{00000000-0005-0000-0000-00002C400000}"/>
    <cellStyle name="Standard 4 2 4 3 2 3 4 3" xfId="16246" xr:uid="{00000000-0005-0000-0000-00002D400000}"/>
    <cellStyle name="Standard 4 2 4 3 2 3 5" xfId="16247" xr:uid="{00000000-0005-0000-0000-00002E400000}"/>
    <cellStyle name="Standard 4 2 4 3 2 3 5 2" xfId="16248" xr:uid="{00000000-0005-0000-0000-00002F400000}"/>
    <cellStyle name="Standard 4 2 4 3 2 3 5 3" xfId="16249" xr:uid="{00000000-0005-0000-0000-000030400000}"/>
    <cellStyle name="Standard 4 2 4 3 2 3 6" xfId="16250" xr:uid="{00000000-0005-0000-0000-000031400000}"/>
    <cellStyle name="Standard 4 2 4 3 2 3 6 2" xfId="16251" xr:uid="{00000000-0005-0000-0000-000032400000}"/>
    <cellStyle name="Standard 4 2 4 3 2 3 7" xfId="16252" xr:uid="{00000000-0005-0000-0000-000033400000}"/>
    <cellStyle name="Standard 4 2 4 3 2 3 8" xfId="16253" xr:uid="{00000000-0005-0000-0000-000034400000}"/>
    <cellStyle name="Standard 4 2 4 3 2 4" xfId="16254" xr:uid="{00000000-0005-0000-0000-000035400000}"/>
    <cellStyle name="Standard 4 2 4 3 2 4 2" xfId="16255" xr:uid="{00000000-0005-0000-0000-000036400000}"/>
    <cellStyle name="Standard 4 2 4 3 2 4 2 2" xfId="16256" xr:uid="{00000000-0005-0000-0000-000037400000}"/>
    <cellStyle name="Standard 4 2 4 3 2 4 2 2 2" xfId="16257" xr:uid="{00000000-0005-0000-0000-000038400000}"/>
    <cellStyle name="Standard 4 2 4 3 2 4 2 2 3" xfId="16258" xr:uid="{00000000-0005-0000-0000-000039400000}"/>
    <cellStyle name="Standard 4 2 4 3 2 4 2 3" xfId="16259" xr:uid="{00000000-0005-0000-0000-00003A400000}"/>
    <cellStyle name="Standard 4 2 4 3 2 4 2 3 2" xfId="16260" xr:uid="{00000000-0005-0000-0000-00003B400000}"/>
    <cellStyle name="Standard 4 2 4 3 2 4 2 3 3" xfId="16261" xr:uid="{00000000-0005-0000-0000-00003C400000}"/>
    <cellStyle name="Standard 4 2 4 3 2 4 2 4" xfId="16262" xr:uid="{00000000-0005-0000-0000-00003D400000}"/>
    <cellStyle name="Standard 4 2 4 3 2 4 2 4 2" xfId="16263" xr:uid="{00000000-0005-0000-0000-00003E400000}"/>
    <cellStyle name="Standard 4 2 4 3 2 4 2 5" xfId="16264" xr:uid="{00000000-0005-0000-0000-00003F400000}"/>
    <cellStyle name="Standard 4 2 4 3 2 4 2 6" xfId="16265" xr:uid="{00000000-0005-0000-0000-000040400000}"/>
    <cellStyle name="Standard 4 2 4 3 2 4 3" xfId="16266" xr:uid="{00000000-0005-0000-0000-000041400000}"/>
    <cellStyle name="Standard 4 2 4 3 2 4 3 2" xfId="16267" xr:uid="{00000000-0005-0000-0000-000042400000}"/>
    <cellStyle name="Standard 4 2 4 3 2 4 3 3" xfId="16268" xr:uid="{00000000-0005-0000-0000-000043400000}"/>
    <cellStyle name="Standard 4 2 4 3 2 4 4" xfId="16269" xr:uid="{00000000-0005-0000-0000-000044400000}"/>
    <cellStyle name="Standard 4 2 4 3 2 4 4 2" xfId="16270" xr:uid="{00000000-0005-0000-0000-000045400000}"/>
    <cellStyle name="Standard 4 2 4 3 2 4 4 3" xfId="16271" xr:uid="{00000000-0005-0000-0000-000046400000}"/>
    <cellStyle name="Standard 4 2 4 3 2 4 5" xfId="16272" xr:uid="{00000000-0005-0000-0000-000047400000}"/>
    <cellStyle name="Standard 4 2 4 3 2 4 5 2" xfId="16273" xr:uid="{00000000-0005-0000-0000-000048400000}"/>
    <cellStyle name="Standard 4 2 4 3 2 4 6" xfId="16274" xr:uid="{00000000-0005-0000-0000-000049400000}"/>
    <cellStyle name="Standard 4 2 4 3 2 4 7" xfId="16275" xr:uid="{00000000-0005-0000-0000-00004A400000}"/>
    <cellStyle name="Standard 4 2 4 3 2 5" xfId="16276" xr:uid="{00000000-0005-0000-0000-00004B400000}"/>
    <cellStyle name="Standard 4 2 4 3 2 5 2" xfId="16277" xr:uid="{00000000-0005-0000-0000-00004C400000}"/>
    <cellStyle name="Standard 4 2 4 3 2 5 2 2" xfId="16278" xr:uid="{00000000-0005-0000-0000-00004D400000}"/>
    <cellStyle name="Standard 4 2 4 3 2 5 2 3" xfId="16279" xr:uid="{00000000-0005-0000-0000-00004E400000}"/>
    <cellStyle name="Standard 4 2 4 3 2 5 3" xfId="16280" xr:uid="{00000000-0005-0000-0000-00004F400000}"/>
    <cellStyle name="Standard 4 2 4 3 2 5 3 2" xfId="16281" xr:uid="{00000000-0005-0000-0000-000050400000}"/>
    <cellStyle name="Standard 4 2 4 3 2 5 3 3" xfId="16282" xr:uid="{00000000-0005-0000-0000-000051400000}"/>
    <cellStyle name="Standard 4 2 4 3 2 5 4" xfId="16283" xr:uid="{00000000-0005-0000-0000-000052400000}"/>
    <cellStyle name="Standard 4 2 4 3 2 5 4 2" xfId="16284" xr:uid="{00000000-0005-0000-0000-000053400000}"/>
    <cellStyle name="Standard 4 2 4 3 2 5 5" xfId="16285" xr:uid="{00000000-0005-0000-0000-000054400000}"/>
    <cellStyle name="Standard 4 2 4 3 2 5 6" xfId="16286" xr:uid="{00000000-0005-0000-0000-000055400000}"/>
    <cellStyle name="Standard 4 2 4 3 2 6" xfId="16287" xr:uid="{00000000-0005-0000-0000-000056400000}"/>
    <cellStyle name="Standard 4 2 4 3 2 6 2" xfId="16288" xr:uid="{00000000-0005-0000-0000-000057400000}"/>
    <cellStyle name="Standard 4 2 4 3 2 6 3" xfId="16289" xr:uid="{00000000-0005-0000-0000-000058400000}"/>
    <cellStyle name="Standard 4 2 4 3 2 7" xfId="16290" xr:uid="{00000000-0005-0000-0000-000059400000}"/>
    <cellStyle name="Standard 4 2 4 3 2 7 2" xfId="16291" xr:uid="{00000000-0005-0000-0000-00005A400000}"/>
    <cellStyle name="Standard 4 2 4 3 2 7 3" xfId="16292" xr:uid="{00000000-0005-0000-0000-00005B400000}"/>
    <cellStyle name="Standard 4 2 4 3 2 8" xfId="16293" xr:uid="{00000000-0005-0000-0000-00005C400000}"/>
    <cellStyle name="Standard 4 2 4 3 2 8 2" xfId="16294" xr:uid="{00000000-0005-0000-0000-00005D400000}"/>
    <cellStyle name="Standard 4 2 4 3 2 9" xfId="16295" xr:uid="{00000000-0005-0000-0000-00005E400000}"/>
    <cellStyle name="Standard 4 2 4 3 3" xfId="16296" xr:uid="{00000000-0005-0000-0000-00005F400000}"/>
    <cellStyle name="Standard 4 2 4 3 3 2" xfId="16297" xr:uid="{00000000-0005-0000-0000-000060400000}"/>
    <cellStyle name="Standard 4 2 4 3 3 2 2" xfId="16298" xr:uid="{00000000-0005-0000-0000-000061400000}"/>
    <cellStyle name="Standard 4 2 4 3 3 2 2 2" xfId="16299" xr:uid="{00000000-0005-0000-0000-000062400000}"/>
    <cellStyle name="Standard 4 2 4 3 3 2 2 2 2" xfId="16300" xr:uid="{00000000-0005-0000-0000-000063400000}"/>
    <cellStyle name="Standard 4 2 4 3 3 2 2 2 3" xfId="16301" xr:uid="{00000000-0005-0000-0000-000064400000}"/>
    <cellStyle name="Standard 4 2 4 3 3 2 2 3" xfId="16302" xr:uid="{00000000-0005-0000-0000-000065400000}"/>
    <cellStyle name="Standard 4 2 4 3 3 2 2 3 2" xfId="16303" xr:uid="{00000000-0005-0000-0000-000066400000}"/>
    <cellStyle name="Standard 4 2 4 3 3 2 2 3 3" xfId="16304" xr:uid="{00000000-0005-0000-0000-000067400000}"/>
    <cellStyle name="Standard 4 2 4 3 3 2 2 4" xfId="16305" xr:uid="{00000000-0005-0000-0000-000068400000}"/>
    <cellStyle name="Standard 4 2 4 3 3 2 2 4 2" xfId="16306" xr:uid="{00000000-0005-0000-0000-000069400000}"/>
    <cellStyle name="Standard 4 2 4 3 3 2 2 5" xfId="16307" xr:uid="{00000000-0005-0000-0000-00006A400000}"/>
    <cellStyle name="Standard 4 2 4 3 3 2 2 6" xfId="16308" xr:uid="{00000000-0005-0000-0000-00006B400000}"/>
    <cellStyle name="Standard 4 2 4 3 3 2 3" xfId="16309" xr:uid="{00000000-0005-0000-0000-00006C400000}"/>
    <cellStyle name="Standard 4 2 4 3 3 2 3 2" xfId="16310" xr:uid="{00000000-0005-0000-0000-00006D400000}"/>
    <cellStyle name="Standard 4 2 4 3 3 2 3 3" xfId="16311" xr:uid="{00000000-0005-0000-0000-00006E400000}"/>
    <cellStyle name="Standard 4 2 4 3 3 2 4" xfId="16312" xr:uid="{00000000-0005-0000-0000-00006F400000}"/>
    <cellStyle name="Standard 4 2 4 3 3 2 4 2" xfId="16313" xr:uid="{00000000-0005-0000-0000-000070400000}"/>
    <cellStyle name="Standard 4 2 4 3 3 2 4 3" xfId="16314" xr:uid="{00000000-0005-0000-0000-000071400000}"/>
    <cellStyle name="Standard 4 2 4 3 3 2 5" xfId="16315" xr:uid="{00000000-0005-0000-0000-000072400000}"/>
    <cellStyle name="Standard 4 2 4 3 3 2 5 2" xfId="16316" xr:uid="{00000000-0005-0000-0000-000073400000}"/>
    <cellStyle name="Standard 4 2 4 3 3 2 6" xfId="16317" xr:uid="{00000000-0005-0000-0000-000074400000}"/>
    <cellStyle name="Standard 4 2 4 3 3 2 7" xfId="16318" xr:uid="{00000000-0005-0000-0000-000075400000}"/>
    <cellStyle name="Standard 4 2 4 3 3 3" xfId="16319" xr:uid="{00000000-0005-0000-0000-000076400000}"/>
    <cellStyle name="Standard 4 2 4 3 3 3 2" xfId="16320" xr:uid="{00000000-0005-0000-0000-000077400000}"/>
    <cellStyle name="Standard 4 2 4 3 3 3 2 2" xfId="16321" xr:uid="{00000000-0005-0000-0000-000078400000}"/>
    <cellStyle name="Standard 4 2 4 3 3 3 2 3" xfId="16322" xr:uid="{00000000-0005-0000-0000-000079400000}"/>
    <cellStyle name="Standard 4 2 4 3 3 3 3" xfId="16323" xr:uid="{00000000-0005-0000-0000-00007A400000}"/>
    <cellStyle name="Standard 4 2 4 3 3 3 3 2" xfId="16324" xr:uid="{00000000-0005-0000-0000-00007B400000}"/>
    <cellStyle name="Standard 4 2 4 3 3 3 3 3" xfId="16325" xr:uid="{00000000-0005-0000-0000-00007C400000}"/>
    <cellStyle name="Standard 4 2 4 3 3 3 4" xfId="16326" xr:uid="{00000000-0005-0000-0000-00007D400000}"/>
    <cellStyle name="Standard 4 2 4 3 3 3 4 2" xfId="16327" xr:uid="{00000000-0005-0000-0000-00007E400000}"/>
    <cellStyle name="Standard 4 2 4 3 3 3 5" xfId="16328" xr:uid="{00000000-0005-0000-0000-00007F400000}"/>
    <cellStyle name="Standard 4 2 4 3 3 3 6" xfId="16329" xr:uid="{00000000-0005-0000-0000-000080400000}"/>
    <cellStyle name="Standard 4 2 4 3 3 4" xfId="16330" xr:uid="{00000000-0005-0000-0000-000081400000}"/>
    <cellStyle name="Standard 4 2 4 3 3 4 2" xfId="16331" xr:uid="{00000000-0005-0000-0000-000082400000}"/>
    <cellStyle name="Standard 4 2 4 3 3 4 3" xfId="16332" xr:uid="{00000000-0005-0000-0000-000083400000}"/>
    <cellStyle name="Standard 4 2 4 3 3 5" xfId="16333" xr:uid="{00000000-0005-0000-0000-000084400000}"/>
    <cellStyle name="Standard 4 2 4 3 3 5 2" xfId="16334" xr:uid="{00000000-0005-0000-0000-000085400000}"/>
    <cellStyle name="Standard 4 2 4 3 3 5 3" xfId="16335" xr:uid="{00000000-0005-0000-0000-000086400000}"/>
    <cellStyle name="Standard 4 2 4 3 3 6" xfId="16336" xr:uid="{00000000-0005-0000-0000-000087400000}"/>
    <cellStyle name="Standard 4 2 4 3 3 6 2" xfId="16337" xr:uid="{00000000-0005-0000-0000-000088400000}"/>
    <cellStyle name="Standard 4 2 4 3 3 7" xfId="16338" xr:uid="{00000000-0005-0000-0000-000089400000}"/>
    <cellStyle name="Standard 4 2 4 3 3 8" xfId="16339" xr:uid="{00000000-0005-0000-0000-00008A400000}"/>
    <cellStyle name="Standard 4 2 4 3 4" xfId="16340" xr:uid="{00000000-0005-0000-0000-00008B400000}"/>
    <cellStyle name="Standard 4 2 4 3 4 2" xfId="16341" xr:uid="{00000000-0005-0000-0000-00008C400000}"/>
    <cellStyle name="Standard 4 2 4 3 4 2 2" xfId="16342" xr:uid="{00000000-0005-0000-0000-00008D400000}"/>
    <cellStyle name="Standard 4 2 4 3 4 2 2 2" xfId="16343" xr:uid="{00000000-0005-0000-0000-00008E400000}"/>
    <cellStyle name="Standard 4 2 4 3 4 2 2 2 2" xfId="16344" xr:uid="{00000000-0005-0000-0000-00008F400000}"/>
    <cellStyle name="Standard 4 2 4 3 4 2 2 2 3" xfId="16345" xr:uid="{00000000-0005-0000-0000-000090400000}"/>
    <cellStyle name="Standard 4 2 4 3 4 2 2 3" xfId="16346" xr:uid="{00000000-0005-0000-0000-000091400000}"/>
    <cellStyle name="Standard 4 2 4 3 4 2 2 3 2" xfId="16347" xr:uid="{00000000-0005-0000-0000-000092400000}"/>
    <cellStyle name="Standard 4 2 4 3 4 2 2 3 3" xfId="16348" xr:uid="{00000000-0005-0000-0000-000093400000}"/>
    <cellStyle name="Standard 4 2 4 3 4 2 2 4" xfId="16349" xr:uid="{00000000-0005-0000-0000-000094400000}"/>
    <cellStyle name="Standard 4 2 4 3 4 2 2 4 2" xfId="16350" xr:uid="{00000000-0005-0000-0000-000095400000}"/>
    <cellStyle name="Standard 4 2 4 3 4 2 2 5" xfId="16351" xr:uid="{00000000-0005-0000-0000-000096400000}"/>
    <cellStyle name="Standard 4 2 4 3 4 2 2 6" xfId="16352" xr:uid="{00000000-0005-0000-0000-000097400000}"/>
    <cellStyle name="Standard 4 2 4 3 4 2 3" xfId="16353" xr:uid="{00000000-0005-0000-0000-000098400000}"/>
    <cellStyle name="Standard 4 2 4 3 4 2 3 2" xfId="16354" xr:uid="{00000000-0005-0000-0000-000099400000}"/>
    <cellStyle name="Standard 4 2 4 3 4 2 3 3" xfId="16355" xr:uid="{00000000-0005-0000-0000-00009A400000}"/>
    <cellStyle name="Standard 4 2 4 3 4 2 4" xfId="16356" xr:uid="{00000000-0005-0000-0000-00009B400000}"/>
    <cellStyle name="Standard 4 2 4 3 4 2 4 2" xfId="16357" xr:uid="{00000000-0005-0000-0000-00009C400000}"/>
    <cellStyle name="Standard 4 2 4 3 4 2 4 3" xfId="16358" xr:uid="{00000000-0005-0000-0000-00009D400000}"/>
    <cellStyle name="Standard 4 2 4 3 4 2 5" xfId="16359" xr:uid="{00000000-0005-0000-0000-00009E400000}"/>
    <cellStyle name="Standard 4 2 4 3 4 2 5 2" xfId="16360" xr:uid="{00000000-0005-0000-0000-00009F400000}"/>
    <cellStyle name="Standard 4 2 4 3 4 2 6" xfId="16361" xr:uid="{00000000-0005-0000-0000-0000A0400000}"/>
    <cellStyle name="Standard 4 2 4 3 4 2 7" xfId="16362" xr:uid="{00000000-0005-0000-0000-0000A1400000}"/>
    <cellStyle name="Standard 4 2 4 3 4 3" xfId="16363" xr:uid="{00000000-0005-0000-0000-0000A2400000}"/>
    <cellStyle name="Standard 4 2 4 3 4 3 2" xfId="16364" xr:uid="{00000000-0005-0000-0000-0000A3400000}"/>
    <cellStyle name="Standard 4 2 4 3 4 3 2 2" xfId="16365" xr:uid="{00000000-0005-0000-0000-0000A4400000}"/>
    <cellStyle name="Standard 4 2 4 3 4 3 2 3" xfId="16366" xr:uid="{00000000-0005-0000-0000-0000A5400000}"/>
    <cellStyle name="Standard 4 2 4 3 4 3 3" xfId="16367" xr:uid="{00000000-0005-0000-0000-0000A6400000}"/>
    <cellStyle name="Standard 4 2 4 3 4 3 3 2" xfId="16368" xr:uid="{00000000-0005-0000-0000-0000A7400000}"/>
    <cellStyle name="Standard 4 2 4 3 4 3 3 3" xfId="16369" xr:uid="{00000000-0005-0000-0000-0000A8400000}"/>
    <cellStyle name="Standard 4 2 4 3 4 3 4" xfId="16370" xr:uid="{00000000-0005-0000-0000-0000A9400000}"/>
    <cellStyle name="Standard 4 2 4 3 4 3 4 2" xfId="16371" xr:uid="{00000000-0005-0000-0000-0000AA400000}"/>
    <cellStyle name="Standard 4 2 4 3 4 3 5" xfId="16372" xr:uid="{00000000-0005-0000-0000-0000AB400000}"/>
    <cellStyle name="Standard 4 2 4 3 4 3 6" xfId="16373" xr:uid="{00000000-0005-0000-0000-0000AC400000}"/>
    <cellStyle name="Standard 4 2 4 3 4 4" xfId="16374" xr:uid="{00000000-0005-0000-0000-0000AD400000}"/>
    <cellStyle name="Standard 4 2 4 3 4 4 2" xfId="16375" xr:uid="{00000000-0005-0000-0000-0000AE400000}"/>
    <cellStyle name="Standard 4 2 4 3 4 4 3" xfId="16376" xr:uid="{00000000-0005-0000-0000-0000AF400000}"/>
    <cellStyle name="Standard 4 2 4 3 4 5" xfId="16377" xr:uid="{00000000-0005-0000-0000-0000B0400000}"/>
    <cellStyle name="Standard 4 2 4 3 4 5 2" xfId="16378" xr:uid="{00000000-0005-0000-0000-0000B1400000}"/>
    <cellStyle name="Standard 4 2 4 3 4 5 3" xfId="16379" xr:uid="{00000000-0005-0000-0000-0000B2400000}"/>
    <cellStyle name="Standard 4 2 4 3 4 6" xfId="16380" xr:uid="{00000000-0005-0000-0000-0000B3400000}"/>
    <cellStyle name="Standard 4 2 4 3 4 6 2" xfId="16381" xr:uid="{00000000-0005-0000-0000-0000B4400000}"/>
    <cellStyle name="Standard 4 2 4 3 4 7" xfId="16382" xr:uid="{00000000-0005-0000-0000-0000B5400000}"/>
    <cellStyle name="Standard 4 2 4 3 4 8" xfId="16383" xr:uid="{00000000-0005-0000-0000-0000B6400000}"/>
    <cellStyle name="Standard 4 2 4 3 5" xfId="16384" xr:uid="{00000000-0005-0000-0000-0000B7400000}"/>
    <cellStyle name="Standard 4 2 4 3 5 2" xfId="16385" xr:uid="{00000000-0005-0000-0000-0000B8400000}"/>
    <cellStyle name="Standard 4 2 4 3 5 2 2" xfId="16386" xr:uid="{00000000-0005-0000-0000-0000B9400000}"/>
    <cellStyle name="Standard 4 2 4 3 5 2 2 2" xfId="16387" xr:uid="{00000000-0005-0000-0000-0000BA400000}"/>
    <cellStyle name="Standard 4 2 4 3 5 2 2 3" xfId="16388" xr:uid="{00000000-0005-0000-0000-0000BB400000}"/>
    <cellStyle name="Standard 4 2 4 3 5 2 3" xfId="16389" xr:uid="{00000000-0005-0000-0000-0000BC400000}"/>
    <cellStyle name="Standard 4 2 4 3 5 2 3 2" xfId="16390" xr:uid="{00000000-0005-0000-0000-0000BD400000}"/>
    <cellStyle name="Standard 4 2 4 3 5 2 3 3" xfId="16391" xr:uid="{00000000-0005-0000-0000-0000BE400000}"/>
    <cellStyle name="Standard 4 2 4 3 5 2 4" xfId="16392" xr:uid="{00000000-0005-0000-0000-0000BF400000}"/>
    <cellStyle name="Standard 4 2 4 3 5 2 4 2" xfId="16393" xr:uid="{00000000-0005-0000-0000-0000C0400000}"/>
    <cellStyle name="Standard 4 2 4 3 5 2 5" xfId="16394" xr:uid="{00000000-0005-0000-0000-0000C1400000}"/>
    <cellStyle name="Standard 4 2 4 3 5 2 6" xfId="16395" xr:uid="{00000000-0005-0000-0000-0000C2400000}"/>
    <cellStyle name="Standard 4 2 4 3 5 3" xfId="16396" xr:uid="{00000000-0005-0000-0000-0000C3400000}"/>
    <cellStyle name="Standard 4 2 4 3 5 3 2" xfId="16397" xr:uid="{00000000-0005-0000-0000-0000C4400000}"/>
    <cellStyle name="Standard 4 2 4 3 5 3 3" xfId="16398" xr:uid="{00000000-0005-0000-0000-0000C5400000}"/>
    <cellStyle name="Standard 4 2 4 3 5 4" xfId="16399" xr:uid="{00000000-0005-0000-0000-0000C6400000}"/>
    <cellStyle name="Standard 4 2 4 3 5 4 2" xfId="16400" xr:uid="{00000000-0005-0000-0000-0000C7400000}"/>
    <cellStyle name="Standard 4 2 4 3 5 4 3" xfId="16401" xr:uid="{00000000-0005-0000-0000-0000C8400000}"/>
    <cellStyle name="Standard 4 2 4 3 5 5" xfId="16402" xr:uid="{00000000-0005-0000-0000-0000C9400000}"/>
    <cellStyle name="Standard 4 2 4 3 5 5 2" xfId="16403" xr:uid="{00000000-0005-0000-0000-0000CA400000}"/>
    <cellStyle name="Standard 4 2 4 3 5 6" xfId="16404" xr:uid="{00000000-0005-0000-0000-0000CB400000}"/>
    <cellStyle name="Standard 4 2 4 3 5 7" xfId="16405" xr:uid="{00000000-0005-0000-0000-0000CC400000}"/>
    <cellStyle name="Standard 4 2 4 3 6" xfId="16406" xr:uid="{00000000-0005-0000-0000-0000CD400000}"/>
    <cellStyle name="Standard 4 2 4 3 6 2" xfId="16407" xr:uid="{00000000-0005-0000-0000-0000CE400000}"/>
    <cellStyle name="Standard 4 2 4 3 6 2 2" xfId="16408" xr:uid="{00000000-0005-0000-0000-0000CF400000}"/>
    <cellStyle name="Standard 4 2 4 3 6 2 3" xfId="16409" xr:uid="{00000000-0005-0000-0000-0000D0400000}"/>
    <cellStyle name="Standard 4 2 4 3 6 3" xfId="16410" xr:uid="{00000000-0005-0000-0000-0000D1400000}"/>
    <cellStyle name="Standard 4 2 4 3 6 3 2" xfId="16411" xr:uid="{00000000-0005-0000-0000-0000D2400000}"/>
    <cellStyle name="Standard 4 2 4 3 6 3 3" xfId="16412" xr:uid="{00000000-0005-0000-0000-0000D3400000}"/>
    <cellStyle name="Standard 4 2 4 3 6 4" xfId="16413" xr:uid="{00000000-0005-0000-0000-0000D4400000}"/>
    <cellStyle name="Standard 4 2 4 3 6 4 2" xfId="16414" xr:uid="{00000000-0005-0000-0000-0000D5400000}"/>
    <cellStyle name="Standard 4 2 4 3 6 5" xfId="16415" xr:uid="{00000000-0005-0000-0000-0000D6400000}"/>
    <cellStyle name="Standard 4 2 4 3 6 6" xfId="16416" xr:uid="{00000000-0005-0000-0000-0000D7400000}"/>
    <cellStyle name="Standard 4 2 4 3 7" xfId="16417" xr:uid="{00000000-0005-0000-0000-0000D8400000}"/>
    <cellStyle name="Standard 4 2 4 3 7 2" xfId="16418" xr:uid="{00000000-0005-0000-0000-0000D9400000}"/>
    <cellStyle name="Standard 4 2 4 3 7 3" xfId="16419" xr:uid="{00000000-0005-0000-0000-0000DA400000}"/>
    <cellStyle name="Standard 4 2 4 3 8" xfId="16420" xr:uid="{00000000-0005-0000-0000-0000DB400000}"/>
    <cellStyle name="Standard 4 2 4 3 8 2" xfId="16421" xr:uid="{00000000-0005-0000-0000-0000DC400000}"/>
    <cellStyle name="Standard 4 2 4 3 8 3" xfId="16422" xr:uid="{00000000-0005-0000-0000-0000DD400000}"/>
    <cellStyle name="Standard 4 2 4 3 9" xfId="16423" xr:uid="{00000000-0005-0000-0000-0000DE400000}"/>
    <cellStyle name="Standard 4 2 4 3 9 2" xfId="16424" xr:uid="{00000000-0005-0000-0000-0000DF400000}"/>
    <cellStyle name="Standard 4 2 4 4" xfId="16425" xr:uid="{00000000-0005-0000-0000-0000E0400000}"/>
    <cellStyle name="Standard 4 2 4 4 10" xfId="16426" xr:uid="{00000000-0005-0000-0000-0000E1400000}"/>
    <cellStyle name="Standard 4 2 4 4 2" xfId="16427" xr:uid="{00000000-0005-0000-0000-0000E2400000}"/>
    <cellStyle name="Standard 4 2 4 4 2 2" xfId="16428" xr:uid="{00000000-0005-0000-0000-0000E3400000}"/>
    <cellStyle name="Standard 4 2 4 4 2 2 2" xfId="16429" xr:uid="{00000000-0005-0000-0000-0000E4400000}"/>
    <cellStyle name="Standard 4 2 4 4 2 2 2 2" xfId="16430" xr:uid="{00000000-0005-0000-0000-0000E5400000}"/>
    <cellStyle name="Standard 4 2 4 4 2 2 2 2 2" xfId="16431" xr:uid="{00000000-0005-0000-0000-0000E6400000}"/>
    <cellStyle name="Standard 4 2 4 4 2 2 2 2 3" xfId="16432" xr:uid="{00000000-0005-0000-0000-0000E7400000}"/>
    <cellStyle name="Standard 4 2 4 4 2 2 2 3" xfId="16433" xr:uid="{00000000-0005-0000-0000-0000E8400000}"/>
    <cellStyle name="Standard 4 2 4 4 2 2 2 3 2" xfId="16434" xr:uid="{00000000-0005-0000-0000-0000E9400000}"/>
    <cellStyle name="Standard 4 2 4 4 2 2 2 3 3" xfId="16435" xr:uid="{00000000-0005-0000-0000-0000EA400000}"/>
    <cellStyle name="Standard 4 2 4 4 2 2 2 4" xfId="16436" xr:uid="{00000000-0005-0000-0000-0000EB400000}"/>
    <cellStyle name="Standard 4 2 4 4 2 2 2 4 2" xfId="16437" xr:uid="{00000000-0005-0000-0000-0000EC400000}"/>
    <cellStyle name="Standard 4 2 4 4 2 2 2 5" xfId="16438" xr:uid="{00000000-0005-0000-0000-0000ED400000}"/>
    <cellStyle name="Standard 4 2 4 4 2 2 2 6" xfId="16439" xr:uid="{00000000-0005-0000-0000-0000EE400000}"/>
    <cellStyle name="Standard 4 2 4 4 2 2 3" xfId="16440" xr:uid="{00000000-0005-0000-0000-0000EF400000}"/>
    <cellStyle name="Standard 4 2 4 4 2 2 3 2" xfId="16441" xr:uid="{00000000-0005-0000-0000-0000F0400000}"/>
    <cellStyle name="Standard 4 2 4 4 2 2 3 3" xfId="16442" xr:uid="{00000000-0005-0000-0000-0000F1400000}"/>
    <cellStyle name="Standard 4 2 4 4 2 2 4" xfId="16443" xr:uid="{00000000-0005-0000-0000-0000F2400000}"/>
    <cellStyle name="Standard 4 2 4 4 2 2 4 2" xfId="16444" xr:uid="{00000000-0005-0000-0000-0000F3400000}"/>
    <cellStyle name="Standard 4 2 4 4 2 2 4 3" xfId="16445" xr:uid="{00000000-0005-0000-0000-0000F4400000}"/>
    <cellStyle name="Standard 4 2 4 4 2 2 5" xfId="16446" xr:uid="{00000000-0005-0000-0000-0000F5400000}"/>
    <cellStyle name="Standard 4 2 4 4 2 2 5 2" xfId="16447" xr:uid="{00000000-0005-0000-0000-0000F6400000}"/>
    <cellStyle name="Standard 4 2 4 4 2 2 6" xfId="16448" xr:uid="{00000000-0005-0000-0000-0000F7400000}"/>
    <cellStyle name="Standard 4 2 4 4 2 2 7" xfId="16449" xr:uid="{00000000-0005-0000-0000-0000F8400000}"/>
    <cellStyle name="Standard 4 2 4 4 2 3" xfId="16450" xr:uid="{00000000-0005-0000-0000-0000F9400000}"/>
    <cellStyle name="Standard 4 2 4 4 2 3 2" xfId="16451" xr:uid="{00000000-0005-0000-0000-0000FA400000}"/>
    <cellStyle name="Standard 4 2 4 4 2 3 2 2" xfId="16452" xr:uid="{00000000-0005-0000-0000-0000FB400000}"/>
    <cellStyle name="Standard 4 2 4 4 2 3 2 3" xfId="16453" xr:uid="{00000000-0005-0000-0000-0000FC400000}"/>
    <cellStyle name="Standard 4 2 4 4 2 3 3" xfId="16454" xr:uid="{00000000-0005-0000-0000-0000FD400000}"/>
    <cellStyle name="Standard 4 2 4 4 2 3 3 2" xfId="16455" xr:uid="{00000000-0005-0000-0000-0000FE400000}"/>
    <cellStyle name="Standard 4 2 4 4 2 3 3 3" xfId="16456" xr:uid="{00000000-0005-0000-0000-0000FF400000}"/>
    <cellStyle name="Standard 4 2 4 4 2 3 4" xfId="16457" xr:uid="{00000000-0005-0000-0000-000000410000}"/>
    <cellStyle name="Standard 4 2 4 4 2 3 4 2" xfId="16458" xr:uid="{00000000-0005-0000-0000-000001410000}"/>
    <cellStyle name="Standard 4 2 4 4 2 3 5" xfId="16459" xr:uid="{00000000-0005-0000-0000-000002410000}"/>
    <cellStyle name="Standard 4 2 4 4 2 3 6" xfId="16460" xr:uid="{00000000-0005-0000-0000-000003410000}"/>
    <cellStyle name="Standard 4 2 4 4 2 4" xfId="16461" xr:uid="{00000000-0005-0000-0000-000004410000}"/>
    <cellStyle name="Standard 4 2 4 4 2 4 2" xfId="16462" xr:uid="{00000000-0005-0000-0000-000005410000}"/>
    <cellStyle name="Standard 4 2 4 4 2 4 3" xfId="16463" xr:uid="{00000000-0005-0000-0000-000006410000}"/>
    <cellStyle name="Standard 4 2 4 4 2 5" xfId="16464" xr:uid="{00000000-0005-0000-0000-000007410000}"/>
    <cellStyle name="Standard 4 2 4 4 2 5 2" xfId="16465" xr:uid="{00000000-0005-0000-0000-000008410000}"/>
    <cellStyle name="Standard 4 2 4 4 2 5 3" xfId="16466" xr:uid="{00000000-0005-0000-0000-000009410000}"/>
    <cellStyle name="Standard 4 2 4 4 2 6" xfId="16467" xr:uid="{00000000-0005-0000-0000-00000A410000}"/>
    <cellStyle name="Standard 4 2 4 4 2 6 2" xfId="16468" xr:uid="{00000000-0005-0000-0000-00000B410000}"/>
    <cellStyle name="Standard 4 2 4 4 2 7" xfId="16469" xr:uid="{00000000-0005-0000-0000-00000C410000}"/>
    <cellStyle name="Standard 4 2 4 4 2 8" xfId="16470" xr:uid="{00000000-0005-0000-0000-00000D410000}"/>
    <cellStyle name="Standard 4 2 4 4 3" xfId="16471" xr:uid="{00000000-0005-0000-0000-00000E410000}"/>
    <cellStyle name="Standard 4 2 4 4 3 2" xfId="16472" xr:uid="{00000000-0005-0000-0000-00000F410000}"/>
    <cellStyle name="Standard 4 2 4 4 3 2 2" xfId="16473" xr:uid="{00000000-0005-0000-0000-000010410000}"/>
    <cellStyle name="Standard 4 2 4 4 3 2 2 2" xfId="16474" xr:uid="{00000000-0005-0000-0000-000011410000}"/>
    <cellStyle name="Standard 4 2 4 4 3 2 2 2 2" xfId="16475" xr:uid="{00000000-0005-0000-0000-000012410000}"/>
    <cellStyle name="Standard 4 2 4 4 3 2 2 2 3" xfId="16476" xr:uid="{00000000-0005-0000-0000-000013410000}"/>
    <cellStyle name="Standard 4 2 4 4 3 2 2 3" xfId="16477" xr:uid="{00000000-0005-0000-0000-000014410000}"/>
    <cellStyle name="Standard 4 2 4 4 3 2 2 3 2" xfId="16478" xr:uid="{00000000-0005-0000-0000-000015410000}"/>
    <cellStyle name="Standard 4 2 4 4 3 2 2 3 3" xfId="16479" xr:uid="{00000000-0005-0000-0000-000016410000}"/>
    <cellStyle name="Standard 4 2 4 4 3 2 2 4" xfId="16480" xr:uid="{00000000-0005-0000-0000-000017410000}"/>
    <cellStyle name="Standard 4 2 4 4 3 2 2 4 2" xfId="16481" xr:uid="{00000000-0005-0000-0000-000018410000}"/>
    <cellStyle name="Standard 4 2 4 4 3 2 2 5" xfId="16482" xr:uid="{00000000-0005-0000-0000-000019410000}"/>
    <cellStyle name="Standard 4 2 4 4 3 2 2 6" xfId="16483" xr:uid="{00000000-0005-0000-0000-00001A410000}"/>
    <cellStyle name="Standard 4 2 4 4 3 2 3" xfId="16484" xr:uid="{00000000-0005-0000-0000-00001B410000}"/>
    <cellStyle name="Standard 4 2 4 4 3 2 3 2" xfId="16485" xr:uid="{00000000-0005-0000-0000-00001C410000}"/>
    <cellStyle name="Standard 4 2 4 4 3 2 3 3" xfId="16486" xr:uid="{00000000-0005-0000-0000-00001D410000}"/>
    <cellStyle name="Standard 4 2 4 4 3 2 4" xfId="16487" xr:uid="{00000000-0005-0000-0000-00001E410000}"/>
    <cellStyle name="Standard 4 2 4 4 3 2 4 2" xfId="16488" xr:uid="{00000000-0005-0000-0000-00001F410000}"/>
    <cellStyle name="Standard 4 2 4 4 3 2 4 3" xfId="16489" xr:uid="{00000000-0005-0000-0000-000020410000}"/>
    <cellStyle name="Standard 4 2 4 4 3 2 5" xfId="16490" xr:uid="{00000000-0005-0000-0000-000021410000}"/>
    <cellStyle name="Standard 4 2 4 4 3 2 5 2" xfId="16491" xr:uid="{00000000-0005-0000-0000-000022410000}"/>
    <cellStyle name="Standard 4 2 4 4 3 2 6" xfId="16492" xr:uid="{00000000-0005-0000-0000-000023410000}"/>
    <cellStyle name="Standard 4 2 4 4 3 2 7" xfId="16493" xr:uid="{00000000-0005-0000-0000-000024410000}"/>
    <cellStyle name="Standard 4 2 4 4 3 3" xfId="16494" xr:uid="{00000000-0005-0000-0000-000025410000}"/>
    <cellStyle name="Standard 4 2 4 4 3 3 2" xfId="16495" xr:uid="{00000000-0005-0000-0000-000026410000}"/>
    <cellStyle name="Standard 4 2 4 4 3 3 2 2" xfId="16496" xr:uid="{00000000-0005-0000-0000-000027410000}"/>
    <cellStyle name="Standard 4 2 4 4 3 3 2 3" xfId="16497" xr:uid="{00000000-0005-0000-0000-000028410000}"/>
    <cellStyle name="Standard 4 2 4 4 3 3 3" xfId="16498" xr:uid="{00000000-0005-0000-0000-000029410000}"/>
    <cellStyle name="Standard 4 2 4 4 3 3 3 2" xfId="16499" xr:uid="{00000000-0005-0000-0000-00002A410000}"/>
    <cellStyle name="Standard 4 2 4 4 3 3 3 3" xfId="16500" xr:uid="{00000000-0005-0000-0000-00002B410000}"/>
    <cellStyle name="Standard 4 2 4 4 3 3 4" xfId="16501" xr:uid="{00000000-0005-0000-0000-00002C410000}"/>
    <cellStyle name="Standard 4 2 4 4 3 3 4 2" xfId="16502" xr:uid="{00000000-0005-0000-0000-00002D410000}"/>
    <cellStyle name="Standard 4 2 4 4 3 3 5" xfId="16503" xr:uid="{00000000-0005-0000-0000-00002E410000}"/>
    <cellStyle name="Standard 4 2 4 4 3 3 6" xfId="16504" xr:uid="{00000000-0005-0000-0000-00002F410000}"/>
    <cellStyle name="Standard 4 2 4 4 3 4" xfId="16505" xr:uid="{00000000-0005-0000-0000-000030410000}"/>
    <cellStyle name="Standard 4 2 4 4 3 4 2" xfId="16506" xr:uid="{00000000-0005-0000-0000-000031410000}"/>
    <cellStyle name="Standard 4 2 4 4 3 4 3" xfId="16507" xr:uid="{00000000-0005-0000-0000-000032410000}"/>
    <cellStyle name="Standard 4 2 4 4 3 5" xfId="16508" xr:uid="{00000000-0005-0000-0000-000033410000}"/>
    <cellStyle name="Standard 4 2 4 4 3 5 2" xfId="16509" xr:uid="{00000000-0005-0000-0000-000034410000}"/>
    <cellStyle name="Standard 4 2 4 4 3 5 3" xfId="16510" xr:uid="{00000000-0005-0000-0000-000035410000}"/>
    <cellStyle name="Standard 4 2 4 4 3 6" xfId="16511" xr:uid="{00000000-0005-0000-0000-000036410000}"/>
    <cellStyle name="Standard 4 2 4 4 3 6 2" xfId="16512" xr:uid="{00000000-0005-0000-0000-000037410000}"/>
    <cellStyle name="Standard 4 2 4 4 3 7" xfId="16513" xr:uid="{00000000-0005-0000-0000-000038410000}"/>
    <cellStyle name="Standard 4 2 4 4 3 8" xfId="16514" xr:uid="{00000000-0005-0000-0000-000039410000}"/>
    <cellStyle name="Standard 4 2 4 4 4" xfId="16515" xr:uid="{00000000-0005-0000-0000-00003A410000}"/>
    <cellStyle name="Standard 4 2 4 4 4 2" xfId="16516" xr:uid="{00000000-0005-0000-0000-00003B410000}"/>
    <cellStyle name="Standard 4 2 4 4 4 2 2" xfId="16517" xr:uid="{00000000-0005-0000-0000-00003C410000}"/>
    <cellStyle name="Standard 4 2 4 4 4 2 2 2" xfId="16518" xr:uid="{00000000-0005-0000-0000-00003D410000}"/>
    <cellStyle name="Standard 4 2 4 4 4 2 2 3" xfId="16519" xr:uid="{00000000-0005-0000-0000-00003E410000}"/>
    <cellStyle name="Standard 4 2 4 4 4 2 3" xfId="16520" xr:uid="{00000000-0005-0000-0000-00003F410000}"/>
    <cellStyle name="Standard 4 2 4 4 4 2 3 2" xfId="16521" xr:uid="{00000000-0005-0000-0000-000040410000}"/>
    <cellStyle name="Standard 4 2 4 4 4 2 3 3" xfId="16522" xr:uid="{00000000-0005-0000-0000-000041410000}"/>
    <cellStyle name="Standard 4 2 4 4 4 2 4" xfId="16523" xr:uid="{00000000-0005-0000-0000-000042410000}"/>
    <cellStyle name="Standard 4 2 4 4 4 2 4 2" xfId="16524" xr:uid="{00000000-0005-0000-0000-000043410000}"/>
    <cellStyle name="Standard 4 2 4 4 4 2 5" xfId="16525" xr:uid="{00000000-0005-0000-0000-000044410000}"/>
    <cellStyle name="Standard 4 2 4 4 4 2 6" xfId="16526" xr:uid="{00000000-0005-0000-0000-000045410000}"/>
    <cellStyle name="Standard 4 2 4 4 4 3" xfId="16527" xr:uid="{00000000-0005-0000-0000-000046410000}"/>
    <cellStyle name="Standard 4 2 4 4 4 3 2" xfId="16528" xr:uid="{00000000-0005-0000-0000-000047410000}"/>
    <cellStyle name="Standard 4 2 4 4 4 3 3" xfId="16529" xr:uid="{00000000-0005-0000-0000-000048410000}"/>
    <cellStyle name="Standard 4 2 4 4 4 4" xfId="16530" xr:uid="{00000000-0005-0000-0000-000049410000}"/>
    <cellStyle name="Standard 4 2 4 4 4 4 2" xfId="16531" xr:uid="{00000000-0005-0000-0000-00004A410000}"/>
    <cellStyle name="Standard 4 2 4 4 4 4 3" xfId="16532" xr:uid="{00000000-0005-0000-0000-00004B410000}"/>
    <cellStyle name="Standard 4 2 4 4 4 5" xfId="16533" xr:uid="{00000000-0005-0000-0000-00004C410000}"/>
    <cellStyle name="Standard 4 2 4 4 4 5 2" xfId="16534" xr:uid="{00000000-0005-0000-0000-00004D410000}"/>
    <cellStyle name="Standard 4 2 4 4 4 6" xfId="16535" xr:uid="{00000000-0005-0000-0000-00004E410000}"/>
    <cellStyle name="Standard 4 2 4 4 4 7" xfId="16536" xr:uid="{00000000-0005-0000-0000-00004F410000}"/>
    <cellStyle name="Standard 4 2 4 4 5" xfId="16537" xr:uid="{00000000-0005-0000-0000-000050410000}"/>
    <cellStyle name="Standard 4 2 4 4 5 2" xfId="16538" xr:uid="{00000000-0005-0000-0000-000051410000}"/>
    <cellStyle name="Standard 4 2 4 4 5 2 2" xfId="16539" xr:uid="{00000000-0005-0000-0000-000052410000}"/>
    <cellStyle name="Standard 4 2 4 4 5 2 3" xfId="16540" xr:uid="{00000000-0005-0000-0000-000053410000}"/>
    <cellStyle name="Standard 4 2 4 4 5 3" xfId="16541" xr:uid="{00000000-0005-0000-0000-000054410000}"/>
    <cellStyle name="Standard 4 2 4 4 5 3 2" xfId="16542" xr:uid="{00000000-0005-0000-0000-000055410000}"/>
    <cellStyle name="Standard 4 2 4 4 5 3 3" xfId="16543" xr:uid="{00000000-0005-0000-0000-000056410000}"/>
    <cellStyle name="Standard 4 2 4 4 5 4" xfId="16544" xr:uid="{00000000-0005-0000-0000-000057410000}"/>
    <cellStyle name="Standard 4 2 4 4 5 4 2" xfId="16545" xr:uid="{00000000-0005-0000-0000-000058410000}"/>
    <cellStyle name="Standard 4 2 4 4 5 5" xfId="16546" xr:uid="{00000000-0005-0000-0000-000059410000}"/>
    <cellStyle name="Standard 4 2 4 4 5 6" xfId="16547" xr:uid="{00000000-0005-0000-0000-00005A410000}"/>
    <cellStyle name="Standard 4 2 4 4 6" xfId="16548" xr:uid="{00000000-0005-0000-0000-00005B410000}"/>
    <cellStyle name="Standard 4 2 4 4 6 2" xfId="16549" xr:uid="{00000000-0005-0000-0000-00005C410000}"/>
    <cellStyle name="Standard 4 2 4 4 6 3" xfId="16550" xr:uid="{00000000-0005-0000-0000-00005D410000}"/>
    <cellStyle name="Standard 4 2 4 4 7" xfId="16551" xr:uid="{00000000-0005-0000-0000-00005E410000}"/>
    <cellStyle name="Standard 4 2 4 4 7 2" xfId="16552" xr:uid="{00000000-0005-0000-0000-00005F410000}"/>
    <cellStyle name="Standard 4 2 4 4 7 3" xfId="16553" xr:uid="{00000000-0005-0000-0000-000060410000}"/>
    <cellStyle name="Standard 4 2 4 4 8" xfId="16554" xr:uid="{00000000-0005-0000-0000-000061410000}"/>
    <cellStyle name="Standard 4 2 4 4 8 2" xfId="16555" xr:uid="{00000000-0005-0000-0000-000062410000}"/>
    <cellStyle name="Standard 4 2 4 4 9" xfId="16556" xr:uid="{00000000-0005-0000-0000-000063410000}"/>
    <cellStyle name="Standard 4 2 4 5" xfId="16557" xr:uid="{00000000-0005-0000-0000-000064410000}"/>
    <cellStyle name="Standard 4 2 4 5 2" xfId="16558" xr:uid="{00000000-0005-0000-0000-000065410000}"/>
    <cellStyle name="Standard 4 2 4 5 2 2" xfId="16559" xr:uid="{00000000-0005-0000-0000-000066410000}"/>
    <cellStyle name="Standard 4 2 4 5 2 2 2" xfId="16560" xr:uid="{00000000-0005-0000-0000-000067410000}"/>
    <cellStyle name="Standard 4 2 4 5 2 2 2 2" xfId="16561" xr:uid="{00000000-0005-0000-0000-000068410000}"/>
    <cellStyle name="Standard 4 2 4 5 2 2 2 3" xfId="16562" xr:uid="{00000000-0005-0000-0000-000069410000}"/>
    <cellStyle name="Standard 4 2 4 5 2 2 3" xfId="16563" xr:uid="{00000000-0005-0000-0000-00006A410000}"/>
    <cellStyle name="Standard 4 2 4 5 2 2 3 2" xfId="16564" xr:uid="{00000000-0005-0000-0000-00006B410000}"/>
    <cellStyle name="Standard 4 2 4 5 2 2 3 3" xfId="16565" xr:uid="{00000000-0005-0000-0000-00006C410000}"/>
    <cellStyle name="Standard 4 2 4 5 2 2 4" xfId="16566" xr:uid="{00000000-0005-0000-0000-00006D410000}"/>
    <cellStyle name="Standard 4 2 4 5 2 2 4 2" xfId="16567" xr:uid="{00000000-0005-0000-0000-00006E410000}"/>
    <cellStyle name="Standard 4 2 4 5 2 2 5" xfId="16568" xr:uid="{00000000-0005-0000-0000-00006F410000}"/>
    <cellStyle name="Standard 4 2 4 5 2 2 6" xfId="16569" xr:uid="{00000000-0005-0000-0000-000070410000}"/>
    <cellStyle name="Standard 4 2 4 5 2 3" xfId="16570" xr:uid="{00000000-0005-0000-0000-000071410000}"/>
    <cellStyle name="Standard 4 2 4 5 2 3 2" xfId="16571" xr:uid="{00000000-0005-0000-0000-000072410000}"/>
    <cellStyle name="Standard 4 2 4 5 2 3 3" xfId="16572" xr:uid="{00000000-0005-0000-0000-000073410000}"/>
    <cellStyle name="Standard 4 2 4 5 2 4" xfId="16573" xr:uid="{00000000-0005-0000-0000-000074410000}"/>
    <cellStyle name="Standard 4 2 4 5 2 4 2" xfId="16574" xr:uid="{00000000-0005-0000-0000-000075410000}"/>
    <cellStyle name="Standard 4 2 4 5 2 4 3" xfId="16575" xr:uid="{00000000-0005-0000-0000-000076410000}"/>
    <cellStyle name="Standard 4 2 4 5 2 5" xfId="16576" xr:uid="{00000000-0005-0000-0000-000077410000}"/>
    <cellStyle name="Standard 4 2 4 5 2 5 2" xfId="16577" xr:uid="{00000000-0005-0000-0000-000078410000}"/>
    <cellStyle name="Standard 4 2 4 5 2 6" xfId="16578" xr:uid="{00000000-0005-0000-0000-000079410000}"/>
    <cellStyle name="Standard 4 2 4 5 2 7" xfId="16579" xr:uid="{00000000-0005-0000-0000-00007A410000}"/>
    <cellStyle name="Standard 4 2 4 5 3" xfId="16580" xr:uid="{00000000-0005-0000-0000-00007B410000}"/>
    <cellStyle name="Standard 4 2 4 5 3 2" xfId="16581" xr:uid="{00000000-0005-0000-0000-00007C410000}"/>
    <cellStyle name="Standard 4 2 4 5 3 2 2" xfId="16582" xr:uid="{00000000-0005-0000-0000-00007D410000}"/>
    <cellStyle name="Standard 4 2 4 5 3 2 3" xfId="16583" xr:uid="{00000000-0005-0000-0000-00007E410000}"/>
    <cellStyle name="Standard 4 2 4 5 3 3" xfId="16584" xr:uid="{00000000-0005-0000-0000-00007F410000}"/>
    <cellStyle name="Standard 4 2 4 5 3 3 2" xfId="16585" xr:uid="{00000000-0005-0000-0000-000080410000}"/>
    <cellStyle name="Standard 4 2 4 5 3 3 3" xfId="16586" xr:uid="{00000000-0005-0000-0000-000081410000}"/>
    <cellStyle name="Standard 4 2 4 5 3 4" xfId="16587" xr:uid="{00000000-0005-0000-0000-000082410000}"/>
    <cellStyle name="Standard 4 2 4 5 3 4 2" xfId="16588" xr:uid="{00000000-0005-0000-0000-000083410000}"/>
    <cellStyle name="Standard 4 2 4 5 3 5" xfId="16589" xr:uid="{00000000-0005-0000-0000-000084410000}"/>
    <cellStyle name="Standard 4 2 4 5 3 6" xfId="16590" xr:uid="{00000000-0005-0000-0000-000085410000}"/>
    <cellStyle name="Standard 4 2 4 5 4" xfId="16591" xr:uid="{00000000-0005-0000-0000-000086410000}"/>
    <cellStyle name="Standard 4 2 4 5 4 2" xfId="16592" xr:uid="{00000000-0005-0000-0000-000087410000}"/>
    <cellStyle name="Standard 4 2 4 5 4 3" xfId="16593" xr:uid="{00000000-0005-0000-0000-000088410000}"/>
    <cellStyle name="Standard 4 2 4 5 5" xfId="16594" xr:uid="{00000000-0005-0000-0000-000089410000}"/>
    <cellStyle name="Standard 4 2 4 5 5 2" xfId="16595" xr:uid="{00000000-0005-0000-0000-00008A410000}"/>
    <cellStyle name="Standard 4 2 4 5 5 3" xfId="16596" xr:uid="{00000000-0005-0000-0000-00008B410000}"/>
    <cellStyle name="Standard 4 2 4 5 6" xfId="16597" xr:uid="{00000000-0005-0000-0000-00008C410000}"/>
    <cellStyle name="Standard 4 2 4 5 6 2" xfId="16598" xr:uid="{00000000-0005-0000-0000-00008D410000}"/>
    <cellStyle name="Standard 4 2 4 5 7" xfId="16599" xr:uid="{00000000-0005-0000-0000-00008E410000}"/>
    <cellStyle name="Standard 4 2 4 5 8" xfId="16600" xr:uid="{00000000-0005-0000-0000-00008F410000}"/>
    <cellStyle name="Standard 4 2 4 6" xfId="16601" xr:uid="{00000000-0005-0000-0000-000090410000}"/>
    <cellStyle name="Standard 4 2 4 6 2" xfId="16602" xr:uid="{00000000-0005-0000-0000-000091410000}"/>
    <cellStyle name="Standard 4 2 4 6 2 2" xfId="16603" xr:uid="{00000000-0005-0000-0000-000092410000}"/>
    <cellStyle name="Standard 4 2 4 6 2 2 2" xfId="16604" xr:uid="{00000000-0005-0000-0000-000093410000}"/>
    <cellStyle name="Standard 4 2 4 6 2 2 2 2" xfId="16605" xr:uid="{00000000-0005-0000-0000-000094410000}"/>
    <cellStyle name="Standard 4 2 4 6 2 2 2 3" xfId="16606" xr:uid="{00000000-0005-0000-0000-000095410000}"/>
    <cellStyle name="Standard 4 2 4 6 2 2 3" xfId="16607" xr:uid="{00000000-0005-0000-0000-000096410000}"/>
    <cellStyle name="Standard 4 2 4 6 2 2 3 2" xfId="16608" xr:uid="{00000000-0005-0000-0000-000097410000}"/>
    <cellStyle name="Standard 4 2 4 6 2 2 3 3" xfId="16609" xr:uid="{00000000-0005-0000-0000-000098410000}"/>
    <cellStyle name="Standard 4 2 4 6 2 2 4" xfId="16610" xr:uid="{00000000-0005-0000-0000-000099410000}"/>
    <cellStyle name="Standard 4 2 4 6 2 2 4 2" xfId="16611" xr:uid="{00000000-0005-0000-0000-00009A410000}"/>
    <cellStyle name="Standard 4 2 4 6 2 2 5" xfId="16612" xr:uid="{00000000-0005-0000-0000-00009B410000}"/>
    <cellStyle name="Standard 4 2 4 6 2 2 6" xfId="16613" xr:uid="{00000000-0005-0000-0000-00009C410000}"/>
    <cellStyle name="Standard 4 2 4 6 2 3" xfId="16614" xr:uid="{00000000-0005-0000-0000-00009D410000}"/>
    <cellStyle name="Standard 4 2 4 6 2 3 2" xfId="16615" xr:uid="{00000000-0005-0000-0000-00009E410000}"/>
    <cellStyle name="Standard 4 2 4 6 2 3 3" xfId="16616" xr:uid="{00000000-0005-0000-0000-00009F410000}"/>
    <cellStyle name="Standard 4 2 4 6 2 4" xfId="16617" xr:uid="{00000000-0005-0000-0000-0000A0410000}"/>
    <cellStyle name="Standard 4 2 4 6 2 4 2" xfId="16618" xr:uid="{00000000-0005-0000-0000-0000A1410000}"/>
    <cellStyle name="Standard 4 2 4 6 2 4 3" xfId="16619" xr:uid="{00000000-0005-0000-0000-0000A2410000}"/>
    <cellStyle name="Standard 4 2 4 6 2 5" xfId="16620" xr:uid="{00000000-0005-0000-0000-0000A3410000}"/>
    <cellStyle name="Standard 4 2 4 6 2 5 2" xfId="16621" xr:uid="{00000000-0005-0000-0000-0000A4410000}"/>
    <cellStyle name="Standard 4 2 4 6 2 6" xfId="16622" xr:uid="{00000000-0005-0000-0000-0000A5410000}"/>
    <cellStyle name="Standard 4 2 4 6 2 7" xfId="16623" xr:uid="{00000000-0005-0000-0000-0000A6410000}"/>
    <cellStyle name="Standard 4 2 4 6 3" xfId="16624" xr:uid="{00000000-0005-0000-0000-0000A7410000}"/>
    <cellStyle name="Standard 4 2 4 6 3 2" xfId="16625" xr:uid="{00000000-0005-0000-0000-0000A8410000}"/>
    <cellStyle name="Standard 4 2 4 6 3 2 2" xfId="16626" xr:uid="{00000000-0005-0000-0000-0000A9410000}"/>
    <cellStyle name="Standard 4 2 4 6 3 2 3" xfId="16627" xr:uid="{00000000-0005-0000-0000-0000AA410000}"/>
    <cellStyle name="Standard 4 2 4 6 3 3" xfId="16628" xr:uid="{00000000-0005-0000-0000-0000AB410000}"/>
    <cellStyle name="Standard 4 2 4 6 3 3 2" xfId="16629" xr:uid="{00000000-0005-0000-0000-0000AC410000}"/>
    <cellStyle name="Standard 4 2 4 6 3 3 3" xfId="16630" xr:uid="{00000000-0005-0000-0000-0000AD410000}"/>
    <cellStyle name="Standard 4 2 4 6 3 4" xfId="16631" xr:uid="{00000000-0005-0000-0000-0000AE410000}"/>
    <cellStyle name="Standard 4 2 4 6 3 4 2" xfId="16632" xr:uid="{00000000-0005-0000-0000-0000AF410000}"/>
    <cellStyle name="Standard 4 2 4 6 3 5" xfId="16633" xr:uid="{00000000-0005-0000-0000-0000B0410000}"/>
    <cellStyle name="Standard 4 2 4 6 3 6" xfId="16634" xr:uid="{00000000-0005-0000-0000-0000B1410000}"/>
    <cellStyle name="Standard 4 2 4 6 4" xfId="16635" xr:uid="{00000000-0005-0000-0000-0000B2410000}"/>
    <cellStyle name="Standard 4 2 4 6 4 2" xfId="16636" xr:uid="{00000000-0005-0000-0000-0000B3410000}"/>
    <cellStyle name="Standard 4 2 4 6 4 3" xfId="16637" xr:uid="{00000000-0005-0000-0000-0000B4410000}"/>
    <cellStyle name="Standard 4 2 4 6 5" xfId="16638" xr:uid="{00000000-0005-0000-0000-0000B5410000}"/>
    <cellStyle name="Standard 4 2 4 6 5 2" xfId="16639" xr:uid="{00000000-0005-0000-0000-0000B6410000}"/>
    <cellStyle name="Standard 4 2 4 6 5 3" xfId="16640" xr:uid="{00000000-0005-0000-0000-0000B7410000}"/>
    <cellStyle name="Standard 4 2 4 6 6" xfId="16641" xr:uid="{00000000-0005-0000-0000-0000B8410000}"/>
    <cellStyle name="Standard 4 2 4 6 6 2" xfId="16642" xr:uid="{00000000-0005-0000-0000-0000B9410000}"/>
    <cellStyle name="Standard 4 2 4 6 7" xfId="16643" xr:uid="{00000000-0005-0000-0000-0000BA410000}"/>
    <cellStyle name="Standard 4 2 4 6 8" xfId="16644" xr:uid="{00000000-0005-0000-0000-0000BB410000}"/>
    <cellStyle name="Standard 4 2 4 7" xfId="16645" xr:uid="{00000000-0005-0000-0000-0000BC410000}"/>
    <cellStyle name="Standard 4 2 4 7 2" xfId="16646" xr:uid="{00000000-0005-0000-0000-0000BD410000}"/>
    <cellStyle name="Standard 4 2 4 7 2 2" xfId="16647" xr:uid="{00000000-0005-0000-0000-0000BE410000}"/>
    <cellStyle name="Standard 4 2 4 7 2 2 2" xfId="16648" xr:uid="{00000000-0005-0000-0000-0000BF410000}"/>
    <cellStyle name="Standard 4 2 4 7 2 2 3" xfId="16649" xr:uid="{00000000-0005-0000-0000-0000C0410000}"/>
    <cellStyle name="Standard 4 2 4 7 2 3" xfId="16650" xr:uid="{00000000-0005-0000-0000-0000C1410000}"/>
    <cellStyle name="Standard 4 2 4 7 2 3 2" xfId="16651" xr:uid="{00000000-0005-0000-0000-0000C2410000}"/>
    <cellStyle name="Standard 4 2 4 7 2 3 3" xfId="16652" xr:uid="{00000000-0005-0000-0000-0000C3410000}"/>
    <cellStyle name="Standard 4 2 4 7 2 4" xfId="16653" xr:uid="{00000000-0005-0000-0000-0000C4410000}"/>
    <cellStyle name="Standard 4 2 4 7 2 4 2" xfId="16654" xr:uid="{00000000-0005-0000-0000-0000C5410000}"/>
    <cellStyle name="Standard 4 2 4 7 2 5" xfId="16655" xr:uid="{00000000-0005-0000-0000-0000C6410000}"/>
    <cellStyle name="Standard 4 2 4 7 2 6" xfId="16656" xr:uid="{00000000-0005-0000-0000-0000C7410000}"/>
    <cellStyle name="Standard 4 2 4 7 3" xfId="16657" xr:uid="{00000000-0005-0000-0000-0000C8410000}"/>
    <cellStyle name="Standard 4 2 4 7 3 2" xfId="16658" xr:uid="{00000000-0005-0000-0000-0000C9410000}"/>
    <cellStyle name="Standard 4 2 4 7 3 3" xfId="16659" xr:uid="{00000000-0005-0000-0000-0000CA410000}"/>
    <cellStyle name="Standard 4 2 4 7 4" xfId="16660" xr:uid="{00000000-0005-0000-0000-0000CB410000}"/>
    <cellStyle name="Standard 4 2 4 7 4 2" xfId="16661" xr:uid="{00000000-0005-0000-0000-0000CC410000}"/>
    <cellStyle name="Standard 4 2 4 7 4 3" xfId="16662" xr:uid="{00000000-0005-0000-0000-0000CD410000}"/>
    <cellStyle name="Standard 4 2 4 7 5" xfId="16663" xr:uid="{00000000-0005-0000-0000-0000CE410000}"/>
    <cellStyle name="Standard 4 2 4 7 5 2" xfId="16664" xr:uid="{00000000-0005-0000-0000-0000CF410000}"/>
    <cellStyle name="Standard 4 2 4 7 6" xfId="16665" xr:uid="{00000000-0005-0000-0000-0000D0410000}"/>
    <cellStyle name="Standard 4 2 4 7 7" xfId="16666" xr:uid="{00000000-0005-0000-0000-0000D1410000}"/>
    <cellStyle name="Standard 4 2 4 8" xfId="16667" xr:uid="{00000000-0005-0000-0000-0000D2410000}"/>
    <cellStyle name="Standard 4 2 4 8 2" xfId="16668" xr:uid="{00000000-0005-0000-0000-0000D3410000}"/>
    <cellStyle name="Standard 4 2 4 8 2 2" xfId="16669" xr:uid="{00000000-0005-0000-0000-0000D4410000}"/>
    <cellStyle name="Standard 4 2 4 8 2 3" xfId="16670" xr:uid="{00000000-0005-0000-0000-0000D5410000}"/>
    <cellStyle name="Standard 4 2 4 8 3" xfId="16671" xr:uid="{00000000-0005-0000-0000-0000D6410000}"/>
    <cellStyle name="Standard 4 2 4 8 3 2" xfId="16672" xr:uid="{00000000-0005-0000-0000-0000D7410000}"/>
    <cellStyle name="Standard 4 2 4 8 3 3" xfId="16673" xr:uid="{00000000-0005-0000-0000-0000D8410000}"/>
    <cellStyle name="Standard 4 2 4 8 4" xfId="16674" xr:uid="{00000000-0005-0000-0000-0000D9410000}"/>
    <cellStyle name="Standard 4 2 4 8 4 2" xfId="16675" xr:uid="{00000000-0005-0000-0000-0000DA410000}"/>
    <cellStyle name="Standard 4 2 4 8 5" xfId="16676" xr:uid="{00000000-0005-0000-0000-0000DB410000}"/>
    <cellStyle name="Standard 4 2 4 8 6" xfId="16677" xr:uid="{00000000-0005-0000-0000-0000DC410000}"/>
    <cellStyle name="Standard 4 2 4 9" xfId="16678" xr:uid="{00000000-0005-0000-0000-0000DD410000}"/>
    <cellStyle name="Standard 4 2 4 9 2" xfId="16679" xr:uid="{00000000-0005-0000-0000-0000DE410000}"/>
    <cellStyle name="Standard 4 2 4 9 3" xfId="16680" xr:uid="{00000000-0005-0000-0000-0000DF410000}"/>
    <cellStyle name="Standard 4 2 5" xfId="16681" xr:uid="{00000000-0005-0000-0000-0000E0410000}"/>
    <cellStyle name="Standard 4 2 5 10" xfId="16682" xr:uid="{00000000-0005-0000-0000-0000E1410000}"/>
    <cellStyle name="Standard 4 2 5 10 2" xfId="16683" xr:uid="{00000000-0005-0000-0000-0000E2410000}"/>
    <cellStyle name="Standard 4 2 5 11" xfId="16684" xr:uid="{00000000-0005-0000-0000-0000E3410000}"/>
    <cellStyle name="Standard 4 2 5 12" xfId="16685" xr:uid="{00000000-0005-0000-0000-0000E4410000}"/>
    <cellStyle name="Standard 4 2 5 2" xfId="16686" xr:uid="{00000000-0005-0000-0000-0000E5410000}"/>
    <cellStyle name="Standard 4 2 5 2 10" xfId="16687" xr:uid="{00000000-0005-0000-0000-0000E6410000}"/>
    <cellStyle name="Standard 4 2 5 2 11" xfId="16688" xr:uid="{00000000-0005-0000-0000-0000E7410000}"/>
    <cellStyle name="Standard 4 2 5 2 2" xfId="16689" xr:uid="{00000000-0005-0000-0000-0000E8410000}"/>
    <cellStyle name="Standard 4 2 5 2 2 10" xfId="16690" xr:uid="{00000000-0005-0000-0000-0000E9410000}"/>
    <cellStyle name="Standard 4 2 5 2 2 2" xfId="16691" xr:uid="{00000000-0005-0000-0000-0000EA410000}"/>
    <cellStyle name="Standard 4 2 5 2 2 2 2" xfId="16692" xr:uid="{00000000-0005-0000-0000-0000EB410000}"/>
    <cellStyle name="Standard 4 2 5 2 2 2 2 2" xfId="16693" xr:uid="{00000000-0005-0000-0000-0000EC410000}"/>
    <cellStyle name="Standard 4 2 5 2 2 2 2 2 2" xfId="16694" xr:uid="{00000000-0005-0000-0000-0000ED410000}"/>
    <cellStyle name="Standard 4 2 5 2 2 2 2 2 2 2" xfId="16695" xr:uid="{00000000-0005-0000-0000-0000EE410000}"/>
    <cellStyle name="Standard 4 2 5 2 2 2 2 2 2 3" xfId="16696" xr:uid="{00000000-0005-0000-0000-0000EF410000}"/>
    <cellStyle name="Standard 4 2 5 2 2 2 2 2 3" xfId="16697" xr:uid="{00000000-0005-0000-0000-0000F0410000}"/>
    <cellStyle name="Standard 4 2 5 2 2 2 2 2 3 2" xfId="16698" xr:uid="{00000000-0005-0000-0000-0000F1410000}"/>
    <cellStyle name="Standard 4 2 5 2 2 2 2 2 3 3" xfId="16699" xr:uid="{00000000-0005-0000-0000-0000F2410000}"/>
    <cellStyle name="Standard 4 2 5 2 2 2 2 2 4" xfId="16700" xr:uid="{00000000-0005-0000-0000-0000F3410000}"/>
    <cellStyle name="Standard 4 2 5 2 2 2 2 2 4 2" xfId="16701" xr:uid="{00000000-0005-0000-0000-0000F4410000}"/>
    <cellStyle name="Standard 4 2 5 2 2 2 2 2 5" xfId="16702" xr:uid="{00000000-0005-0000-0000-0000F5410000}"/>
    <cellStyle name="Standard 4 2 5 2 2 2 2 2 6" xfId="16703" xr:uid="{00000000-0005-0000-0000-0000F6410000}"/>
    <cellStyle name="Standard 4 2 5 2 2 2 2 3" xfId="16704" xr:uid="{00000000-0005-0000-0000-0000F7410000}"/>
    <cellStyle name="Standard 4 2 5 2 2 2 2 3 2" xfId="16705" xr:uid="{00000000-0005-0000-0000-0000F8410000}"/>
    <cellStyle name="Standard 4 2 5 2 2 2 2 3 3" xfId="16706" xr:uid="{00000000-0005-0000-0000-0000F9410000}"/>
    <cellStyle name="Standard 4 2 5 2 2 2 2 4" xfId="16707" xr:uid="{00000000-0005-0000-0000-0000FA410000}"/>
    <cellStyle name="Standard 4 2 5 2 2 2 2 4 2" xfId="16708" xr:uid="{00000000-0005-0000-0000-0000FB410000}"/>
    <cellStyle name="Standard 4 2 5 2 2 2 2 4 3" xfId="16709" xr:uid="{00000000-0005-0000-0000-0000FC410000}"/>
    <cellStyle name="Standard 4 2 5 2 2 2 2 5" xfId="16710" xr:uid="{00000000-0005-0000-0000-0000FD410000}"/>
    <cellStyle name="Standard 4 2 5 2 2 2 2 5 2" xfId="16711" xr:uid="{00000000-0005-0000-0000-0000FE410000}"/>
    <cellStyle name="Standard 4 2 5 2 2 2 2 6" xfId="16712" xr:uid="{00000000-0005-0000-0000-0000FF410000}"/>
    <cellStyle name="Standard 4 2 5 2 2 2 2 7" xfId="16713" xr:uid="{00000000-0005-0000-0000-000000420000}"/>
    <cellStyle name="Standard 4 2 5 2 2 2 3" xfId="16714" xr:uid="{00000000-0005-0000-0000-000001420000}"/>
    <cellStyle name="Standard 4 2 5 2 2 2 3 2" xfId="16715" xr:uid="{00000000-0005-0000-0000-000002420000}"/>
    <cellStyle name="Standard 4 2 5 2 2 2 3 2 2" xfId="16716" xr:uid="{00000000-0005-0000-0000-000003420000}"/>
    <cellStyle name="Standard 4 2 5 2 2 2 3 2 3" xfId="16717" xr:uid="{00000000-0005-0000-0000-000004420000}"/>
    <cellStyle name="Standard 4 2 5 2 2 2 3 3" xfId="16718" xr:uid="{00000000-0005-0000-0000-000005420000}"/>
    <cellStyle name="Standard 4 2 5 2 2 2 3 3 2" xfId="16719" xr:uid="{00000000-0005-0000-0000-000006420000}"/>
    <cellStyle name="Standard 4 2 5 2 2 2 3 3 3" xfId="16720" xr:uid="{00000000-0005-0000-0000-000007420000}"/>
    <cellStyle name="Standard 4 2 5 2 2 2 3 4" xfId="16721" xr:uid="{00000000-0005-0000-0000-000008420000}"/>
    <cellStyle name="Standard 4 2 5 2 2 2 3 4 2" xfId="16722" xr:uid="{00000000-0005-0000-0000-000009420000}"/>
    <cellStyle name="Standard 4 2 5 2 2 2 3 5" xfId="16723" xr:uid="{00000000-0005-0000-0000-00000A420000}"/>
    <cellStyle name="Standard 4 2 5 2 2 2 3 6" xfId="16724" xr:uid="{00000000-0005-0000-0000-00000B420000}"/>
    <cellStyle name="Standard 4 2 5 2 2 2 4" xfId="16725" xr:uid="{00000000-0005-0000-0000-00000C420000}"/>
    <cellStyle name="Standard 4 2 5 2 2 2 4 2" xfId="16726" xr:uid="{00000000-0005-0000-0000-00000D420000}"/>
    <cellStyle name="Standard 4 2 5 2 2 2 4 3" xfId="16727" xr:uid="{00000000-0005-0000-0000-00000E420000}"/>
    <cellStyle name="Standard 4 2 5 2 2 2 5" xfId="16728" xr:uid="{00000000-0005-0000-0000-00000F420000}"/>
    <cellStyle name="Standard 4 2 5 2 2 2 5 2" xfId="16729" xr:uid="{00000000-0005-0000-0000-000010420000}"/>
    <cellStyle name="Standard 4 2 5 2 2 2 5 3" xfId="16730" xr:uid="{00000000-0005-0000-0000-000011420000}"/>
    <cellStyle name="Standard 4 2 5 2 2 2 6" xfId="16731" xr:uid="{00000000-0005-0000-0000-000012420000}"/>
    <cellStyle name="Standard 4 2 5 2 2 2 6 2" xfId="16732" xr:uid="{00000000-0005-0000-0000-000013420000}"/>
    <cellStyle name="Standard 4 2 5 2 2 2 7" xfId="16733" xr:uid="{00000000-0005-0000-0000-000014420000}"/>
    <cellStyle name="Standard 4 2 5 2 2 2 8" xfId="16734" xr:uid="{00000000-0005-0000-0000-000015420000}"/>
    <cellStyle name="Standard 4 2 5 2 2 3" xfId="16735" xr:uid="{00000000-0005-0000-0000-000016420000}"/>
    <cellStyle name="Standard 4 2 5 2 2 3 2" xfId="16736" xr:uid="{00000000-0005-0000-0000-000017420000}"/>
    <cellStyle name="Standard 4 2 5 2 2 3 2 2" xfId="16737" xr:uid="{00000000-0005-0000-0000-000018420000}"/>
    <cellStyle name="Standard 4 2 5 2 2 3 2 2 2" xfId="16738" xr:uid="{00000000-0005-0000-0000-000019420000}"/>
    <cellStyle name="Standard 4 2 5 2 2 3 2 2 2 2" xfId="16739" xr:uid="{00000000-0005-0000-0000-00001A420000}"/>
    <cellStyle name="Standard 4 2 5 2 2 3 2 2 2 3" xfId="16740" xr:uid="{00000000-0005-0000-0000-00001B420000}"/>
    <cellStyle name="Standard 4 2 5 2 2 3 2 2 3" xfId="16741" xr:uid="{00000000-0005-0000-0000-00001C420000}"/>
    <cellStyle name="Standard 4 2 5 2 2 3 2 2 3 2" xfId="16742" xr:uid="{00000000-0005-0000-0000-00001D420000}"/>
    <cellStyle name="Standard 4 2 5 2 2 3 2 2 3 3" xfId="16743" xr:uid="{00000000-0005-0000-0000-00001E420000}"/>
    <cellStyle name="Standard 4 2 5 2 2 3 2 2 4" xfId="16744" xr:uid="{00000000-0005-0000-0000-00001F420000}"/>
    <cellStyle name="Standard 4 2 5 2 2 3 2 2 4 2" xfId="16745" xr:uid="{00000000-0005-0000-0000-000020420000}"/>
    <cellStyle name="Standard 4 2 5 2 2 3 2 2 5" xfId="16746" xr:uid="{00000000-0005-0000-0000-000021420000}"/>
    <cellStyle name="Standard 4 2 5 2 2 3 2 2 6" xfId="16747" xr:uid="{00000000-0005-0000-0000-000022420000}"/>
    <cellStyle name="Standard 4 2 5 2 2 3 2 3" xfId="16748" xr:uid="{00000000-0005-0000-0000-000023420000}"/>
    <cellStyle name="Standard 4 2 5 2 2 3 2 3 2" xfId="16749" xr:uid="{00000000-0005-0000-0000-000024420000}"/>
    <cellStyle name="Standard 4 2 5 2 2 3 2 3 3" xfId="16750" xr:uid="{00000000-0005-0000-0000-000025420000}"/>
    <cellStyle name="Standard 4 2 5 2 2 3 2 4" xfId="16751" xr:uid="{00000000-0005-0000-0000-000026420000}"/>
    <cellStyle name="Standard 4 2 5 2 2 3 2 4 2" xfId="16752" xr:uid="{00000000-0005-0000-0000-000027420000}"/>
    <cellStyle name="Standard 4 2 5 2 2 3 2 4 3" xfId="16753" xr:uid="{00000000-0005-0000-0000-000028420000}"/>
    <cellStyle name="Standard 4 2 5 2 2 3 2 5" xfId="16754" xr:uid="{00000000-0005-0000-0000-000029420000}"/>
    <cellStyle name="Standard 4 2 5 2 2 3 2 5 2" xfId="16755" xr:uid="{00000000-0005-0000-0000-00002A420000}"/>
    <cellStyle name="Standard 4 2 5 2 2 3 2 6" xfId="16756" xr:uid="{00000000-0005-0000-0000-00002B420000}"/>
    <cellStyle name="Standard 4 2 5 2 2 3 2 7" xfId="16757" xr:uid="{00000000-0005-0000-0000-00002C420000}"/>
    <cellStyle name="Standard 4 2 5 2 2 3 3" xfId="16758" xr:uid="{00000000-0005-0000-0000-00002D420000}"/>
    <cellStyle name="Standard 4 2 5 2 2 3 3 2" xfId="16759" xr:uid="{00000000-0005-0000-0000-00002E420000}"/>
    <cellStyle name="Standard 4 2 5 2 2 3 3 2 2" xfId="16760" xr:uid="{00000000-0005-0000-0000-00002F420000}"/>
    <cellStyle name="Standard 4 2 5 2 2 3 3 2 3" xfId="16761" xr:uid="{00000000-0005-0000-0000-000030420000}"/>
    <cellStyle name="Standard 4 2 5 2 2 3 3 3" xfId="16762" xr:uid="{00000000-0005-0000-0000-000031420000}"/>
    <cellStyle name="Standard 4 2 5 2 2 3 3 3 2" xfId="16763" xr:uid="{00000000-0005-0000-0000-000032420000}"/>
    <cellStyle name="Standard 4 2 5 2 2 3 3 3 3" xfId="16764" xr:uid="{00000000-0005-0000-0000-000033420000}"/>
    <cellStyle name="Standard 4 2 5 2 2 3 3 4" xfId="16765" xr:uid="{00000000-0005-0000-0000-000034420000}"/>
    <cellStyle name="Standard 4 2 5 2 2 3 3 4 2" xfId="16766" xr:uid="{00000000-0005-0000-0000-000035420000}"/>
    <cellStyle name="Standard 4 2 5 2 2 3 3 5" xfId="16767" xr:uid="{00000000-0005-0000-0000-000036420000}"/>
    <cellStyle name="Standard 4 2 5 2 2 3 3 6" xfId="16768" xr:uid="{00000000-0005-0000-0000-000037420000}"/>
    <cellStyle name="Standard 4 2 5 2 2 3 4" xfId="16769" xr:uid="{00000000-0005-0000-0000-000038420000}"/>
    <cellStyle name="Standard 4 2 5 2 2 3 4 2" xfId="16770" xr:uid="{00000000-0005-0000-0000-000039420000}"/>
    <cellStyle name="Standard 4 2 5 2 2 3 4 3" xfId="16771" xr:uid="{00000000-0005-0000-0000-00003A420000}"/>
    <cellStyle name="Standard 4 2 5 2 2 3 5" xfId="16772" xr:uid="{00000000-0005-0000-0000-00003B420000}"/>
    <cellStyle name="Standard 4 2 5 2 2 3 5 2" xfId="16773" xr:uid="{00000000-0005-0000-0000-00003C420000}"/>
    <cellStyle name="Standard 4 2 5 2 2 3 5 3" xfId="16774" xr:uid="{00000000-0005-0000-0000-00003D420000}"/>
    <cellStyle name="Standard 4 2 5 2 2 3 6" xfId="16775" xr:uid="{00000000-0005-0000-0000-00003E420000}"/>
    <cellStyle name="Standard 4 2 5 2 2 3 6 2" xfId="16776" xr:uid="{00000000-0005-0000-0000-00003F420000}"/>
    <cellStyle name="Standard 4 2 5 2 2 3 7" xfId="16777" xr:uid="{00000000-0005-0000-0000-000040420000}"/>
    <cellStyle name="Standard 4 2 5 2 2 3 8" xfId="16778" xr:uid="{00000000-0005-0000-0000-000041420000}"/>
    <cellStyle name="Standard 4 2 5 2 2 4" xfId="16779" xr:uid="{00000000-0005-0000-0000-000042420000}"/>
    <cellStyle name="Standard 4 2 5 2 2 4 2" xfId="16780" xr:uid="{00000000-0005-0000-0000-000043420000}"/>
    <cellStyle name="Standard 4 2 5 2 2 4 2 2" xfId="16781" xr:uid="{00000000-0005-0000-0000-000044420000}"/>
    <cellStyle name="Standard 4 2 5 2 2 4 2 2 2" xfId="16782" xr:uid="{00000000-0005-0000-0000-000045420000}"/>
    <cellStyle name="Standard 4 2 5 2 2 4 2 2 3" xfId="16783" xr:uid="{00000000-0005-0000-0000-000046420000}"/>
    <cellStyle name="Standard 4 2 5 2 2 4 2 3" xfId="16784" xr:uid="{00000000-0005-0000-0000-000047420000}"/>
    <cellStyle name="Standard 4 2 5 2 2 4 2 3 2" xfId="16785" xr:uid="{00000000-0005-0000-0000-000048420000}"/>
    <cellStyle name="Standard 4 2 5 2 2 4 2 3 3" xfId="16786" xr:uid="{00000000-0005-0000-0000-000049420000}"/>
    <cellStyle name="Standard 4 2 5 2 2 4 2 4" xfId="16787" xr:uid="{00000000-0005-0000-0000-00004A420000}"/>
    <cellStyle name="Standard 4 2 5 2 2 4 2 4 2" xfId="16788" xr:uid="{00000000-0005-0000-0000-00004B420000}"/>
    <cellStyle name="Standard 4 2 5 2 2 4 2 5" xfId="16789" xr:uid="{00000000-0005-0000-0000-00004C420000}"/>
    <cellStyle name="Standard 4 2 5 2 2 4 2 6" xfId="16790" xr:uid="{00000000-0005-0000-0000-00004D420000}"/>
    <cellStyle name="Standard 4 2 5 2 2 4 3" xfId="16791" xr:uid="{00000000-0005-0000-0000-00004E420000}"/>
    <cellStyle name="Standard 4 2 5 2 2 4 3 2" xfId="16792" xr:uid="{00000000-0005-0000-0000-00004F420000}"/>
    <cellStyle name="Standard 4 2 5 2 2 4 3 3" xfId="16793" xr:uid="{00000000-0005-0000-0000-000050420000}"/>
    <cellStyle name="Standard 4 2 5 2 2 4 4" xfId="16794" xr:uid="{00000000-0005-0000-0000-000051420000}"/>
    <cellStyle name="Standard 4 2 5 2 2 4 4 2" xfId="16795" xr:uid="{00000000-0005-0000-0000-000052420000}"/>
    <cellStyle name="Standard 4 2 5 2 2 4 4 3" xfId="16796" xr:uid="{00000000-0005-0000-0000-000053420000}"/>
    <cellStyle name="Standard 4 2 5 2 2 4 5" xfId="16797" xr:uid="{00000000-0005-0000-0000-000054420000}"/>
    <cellStyle name="Standard 4 2 5 2 2 4 5 2" xfId="16798" xr:uid="{00000000-0005-0000-0000-000055420000}"/>
    <cellStyle name="Standard 4 2 5 2 2 4 6" xfId="16799" xr:uid="{00000000-0005-0000-0000-000056420000}"/>
    <cellStyle name="Standard 4 2 5 2 2 4 7" xfId="16800" xr:uid="{00000000-0005-0000-0000-000057420000}"/>
    <cellStyle name="Standard 4 2 5 2 2 5" xfId="16801" xr:uid="{00000000-0005-0000-0000-000058420000}"/>
    <cellStyle name="Standard 4 2 5 2 2 5 2" xfId="16802" xr:uid="{00000000-0005-0000-0000-000059420000}"/>
    <cellStyle name="Standard 4 2 5 2 2 5 2 2" xfId="16803" xr:uid="{00000000-0005-0000-0000-00005A420000}"/>
    <cellStyle name="Standard 4 2 5 2 2 5 2 3" xfId="16804" xr:uid="{00000000-0005-0000-0000-00005B420000}"/>
    <cellStyle name="Standard 4 2 5 2 2 5 3" xfId="16805" xr:uid="{00000000-0005-0000-0000-00005C420000}"/>
    <cellStyle name="Standard 4 2 5 2 2 5 3 2" xfId="16806" xr:uid="{00000000-0005-0000-0000-00005D420000}"/>
    <cellStyle name="Standard 4 2 5 2 2 5 3 3" xfId="16807" xr:uid="{00000000-0005-0000-0000-00005E420000}"/>
    <cellStyle name="Standard 4 2 5 2 2 5 4" xfId="16808" xr:uid="{00000000-0005-0000-0000-00005F420000}"/>
    <cellStyle name="Standard 4 2 5 2 2 5 4 2" xfId="16809" xr:uid="{00000000-0005-0000-0000-000060420000}"/>
    <cellStyle name="Standard 4 2 5 2 2 5 5" xfId="16810" xr:uid="{00000000-0005-0000-0000-000061420000}"/>
    <cellStyle name="Standard 4 2 5 2 2 5 6" xfId="16811" xr:uid="{00000000-0005-0000-0000-000062420000}"/>
    <cellStyle name="Standard 4 2 5 2 2 6" xfId="16812" xr:uid="{00000000-0005-0000-0000-000063420000}"/>
    <cellStyle name="Standard 4 2 5 2 2 6 2" xfId="16813" xr:uid="{00000000-0005-0000-0000-000064420000}"/>
    <cellStyle name="Standard 4 2 5 2 2 6 3" xfId="16814" xr:uid="{00000000-0005-0000-0000-000065420000}"/>
    <cellStyle name="Standard 4 2 5 2 2 7" xfId="16815" xr:uid="{00000000-0005-0000-0000-000066420000}"/>
    <cellStyle name="Standard 4 2 5 2 2 7 2" xfId="16816" xr:uid="{00000000-0005-0000-0000-000067420000}"/>
    <cellStyle name="Standard 4 2 5 2 2 7 3" xfId="16817" xr:uid="{00000000-0005-0000-0000-000068420000}"/>
    <cellStyle name="Standard 4 2 5 2 2 8" xfId="16818" xr:uid="{00000000-0005-0000-0000-000069420000}"/>
    <cellStyle name="Standard 4 2 5 2 2 8 2" xfId="16819" xr:uid="{00000000-0005-0000-0000-00006A420000}"/>
    <cellStyle name="Standard 4 2 5 2 2 9" xfId="16820" xr:uid="{00000000-0005-0000-0000-00006B420000}"/>
    <cellStyle name="Standard 4 2 5 2 3" xfId="16821" xr:uid="{00000000-0005-0000-0000-00006C420000}"/>
    <cellStyle name="Standard 4 2 5 2 3 2" xfId="16822" xr:uid="{00000000-0005-0000-0000-00006D420000}"/>
    <cellStyle name="Standard 4 2 5 2 3 2 2" xfId="16823" xr:uid="{00000000-0005-0000-0000-00006E420000}"/>
    <cellStyle name="Standard 4 2 5 2 3 2 2 2" xfId="16824" xr:uid="{00000000-0005-0000-0000-00006F420000}"/>
    <cellStyle name="Standard 4 2 5 2 3 2 2 2 2" xfId="16825" xr:uid="{00000000-0005-0000-0000-000070420000}"/>
    <cellStyle name="Standard 4 2 5 2 3 2 2 2 3" xfId="16826" xr:uid="{00000000-0005-0000-0000-000071420000}"/>
    <cellStyle name="Standard 4 2 5 2 3 2 2 3" xfId="16827" xr:uid="{00000000-0005-0000-0000-000072420000}"/>
    <cellStyle name="Standard 4 2 5 2 3 2 2 3 2" xfId="16828" xr:uid="{00000000-0005-0000-0000-000073420000}"/>
    <cellStyle name="Standard 4 2 5 2 3 2 2 3 3" xfId="16829" xr:uid="{00000000-0005-0000-0000-000074420000}"/>
    <cellStyle name="Standard 4 2 5 2 3 2 2 4" xfId="16830" xr:uid="{00000000-0005-0000-0000-000075420000}"/>
    <cellStyle name="Standard 4 2 5 2 3 2 2 4 2" xfId="16831" xr:uid="{00000000-0005-0000-0000-000076420000}"/>
    <cellStyle name="Standard 4 2 5 2 3 2 2 5" xfId="16832" xr:uid="{00000000-0005-0000-0000-000077420000}"/>
    <cellStyle name="Standard 4 2 5 2 3 2 2 6" xfId="16833" xr:uid="{00000000-0005-0000-0000-000078420000}"/>
    <cellStyle name="Standard 4 2 5 2 3 2 3" xfId="16834" xr:uid="{00000000-0005-0000-0000-000079420000}"/>
    <cellStyle name="Standard 4 2 5 2 3 2 3 2" xfId="16835" xr:uid="{00000000-0005-0000-0000-00007A420000}"/>
    <cellStyle name="Standard 4 2 5 2 3 2 3 3" xfId="16836" xr:uid="{00000000-0005-0000-0000-00007B420000}"/>
    <cellStyle name="Standard 4 2 5 2 3 2 4" xfId="16837" xr:uid="{00000000-0005-0000-0000-00007C420000}"/>
    <cellStyle name="Standard 4 2 5 2 3 2 4 2" xfId="16838" xr:uid="{00000000-0005-0000-0000-00007D420000}"/>
    <cellStyle name="Standard 4 2 5 2 3 2 4 3" xfId="16839" xr:uid="{00000000-0005-0000-0000-00007E420000}"/>
    <cellStyle name="Standard 4 2 5 2 3 2 5" xfId="16840" xr:uid="{00000000-0005-0000-0000-00007F420000}"/>
    <cellStyle name="Standard 4 2 5 2 3 2 5 2" xfId="16841" xr:uid="{00000000-0005-0000-0000-000080420000}"/>
    <cellStyle name="Standard 4 2 5 2 3 2 6" xfId="16842" xr:uid="{00000000-0005-0000-0000-000081420000}"/>
    <cellStyle name="Standard 4 2 5 2 3 2 7" xfId="16843" xr:uid="{00000000-0005-0000-0000-000082420000}"/>
    <cellStyle name="Standard 4 2 5 2 3 3" xfId="16844" xr:uid="{00000000-0005-0000-0000-000083420000}"/>
    <cellStyle name="Standard 4 2 5 2 3 3 2" xfId="16845" xr:uid="{00000000-0005-0000-0000-000084420000}"/>
    <cellStyle name="Standard 4 2 5 2 3 3 2 2" xfId="16846" xr:uid="{00000000-0005-0000-0000-000085420000}"/>
    <cellStyle name="Standard 4 2 5 2 3 3 2 3" xfId="16847" xr:uid="{00000000-0005-0000-0000-000086420000}"/>
    <cellStyle name="Standard 4 2 5 2 3 3 3" xfId="16848" xr:uid="{00000000-0005-0000-0000-000087420000}"/>
    <cellStyle name="Standard 4 2 5 2 3 3 3 2" xfId="16849" xr:uid="{00000000-0005-0000-0000-000088420000}"/>
    <cellStyle name="Standard 4 2 5 2 3 3 3 3" xfId="16850" xr:uid="{00000000-0005-0000-0000-000089420000}"/>
    <cellStyle name="Standard 4 2 5 2 3 3 4" xfId="16851" xr:uid="{00000000-0005-0000-0000-00008A420000}"/>
    <cellStyle name="Standard 4 2 5 2 3 3 4 2" xfId="16852" xr:uid="{00000000-0005-0000-0000-00008B420000}"/>
    <cellStyle name="Standard 4 2 5 2 3 3 5" xfId="16853" xr:uid="{00000000-0005-0000-0000-00008C420000}"/>
    <cellStyle name="Standard 4 2 5 2 3 3 6" xfId="16854" xr:uid="{00000000-0005-0000-0000-00008D420000}"/>
    <cellStyle name="Standard 4 2 5 2 3 4" xfId="16855" xr:uid="{00000000-0005-0000-0000-00008E420000}"/>
    <cellStyle name="Standard 4 2 5 2 3 4 2" xfId="16856" xr:uid="{00000000-0005-0000-0000-00008F420000}"/>
    <cellStyle name="Standard 4 2 5 2 3 4 3" xfId="16857" xr:uid="{00000000-0005-0000-0000-000090420000}"/>
    <cellStyle name="Standard 4 2 5 2 3 5" xfId="16858" xr:uid="{00000000-0005-0000-0000-000091420000}"/>
    <cellStyle name="Standard 4 2 5 2 3 5 2" xfId="16859" xr:uid="{00000000-0005-0000-0000-000092420000}"/>
    <cellStyle name="Standard 4 2 5 2 3 5 3" xfId="16860" xr:uid="{00000000-0005-0000-0000-000093420000}"/>
    <cellStyle name="Standard 4 2 5 2 3 6" xfId="16861" xr:uid="{00000000-0005-0000-0000-000094420000}"/>
    <cellStyle name="Standard 4 2 5 2 3 6 2" xfId="16862" xr:uid="{00000000-0005-0000-0000-000095420000}"/>
    <cellStyle name="Standard 4 2 5 2 3 7" xfId="16863" xr:uid="{00000000-0005-0000-0000-000096420000}"/>
    <cellStyle name="Standard 4 2 5 2 3 8" xfId="16864" xr:uid="{00000000-0005-0000-0000-000097420000}"/>
    <cellStyle name="Standard 4 2 5 2 4" xfId="16865" xr:uid="{00000000-0005-0000-0000-000098420000}"/>
    <cellStyle name="Standard 4 2 5 2 4 2" xfId="16866" xr:uid="{00000000-0005-0000-0000-000099420000}"/>
    <cellStyle name="Standard 4 2 5 2 4 2 2" xfId="16867" xr:uid="{00000000-0005-0000-0000-00009A420000}"/>
    <cellStyle name="Standard 4 2 5 2 4 2 2 2" xfId="16868" xr:uid="{00000000-0005-0000-0000-00009B420000}"/>
    <cellStyle name="Standard 4 2 5 2 4 2 2 2 2" xfId="16869" xr:uid="{00000000-0005-0000-0000-00009C420000}"/>
    <cellStyle name="Standard 4 2 5 2 4 2 2 2 3" xfId="16870" xr:uid="{00000000-0005-0000-0000-00009D420000}"/>
    <cellStyle name="Standard 4 2 5 2 4 2 2 3" xfId="16871" xr:uid="{00000000-0005-0000-0000-00009E420000}"/>
    <cellStyle name="Standard 4 2 5 2 4 2 2 3 2" xfId="16872" xr:uid="{00000000-0005-0000-0000-00009F420000}"/>
    <cellStyle name="Standard 4 2 5 2 4 2 2 3 3" xfId="16873" xr:uid="{00000000-0005-0000-0000-0000A0420000}"/>
    <cellStyle name="Standard 4 2 5 2 4 2 2 4" xfId="16874" xr:uid="{00000000-0005-0000-0000-0000A1420000}"/>
    <cellStyle name="Standard 4 2 5 2 4 2 2 4 2" xfId="16875" xr:uid="{00000000-0005-0000-0000-0000A2420000}"/>
    <cellStyle name="Standard 4 2 5 2 4 2 2 5" xfId="16876" xr:uid="{00000000-0005-0000-0000-0000A3420000}"/>
    <cellStyle name="Standard 4 2 5 2 4 2 2 6" xfId="16877" xr:uid="{00000000-0005-0000-0000-0000A4420000}"/>
    <cellStyle name="Standard 4 2 5 2 4 2 3" xfId="16878" xr:uid="{00000000-0005-0000-0000-0000A5420000}"/>
    <cellStyle name="Standard 4 2 5 2 4 2 3 2" xfId="16879" xr:uid="{00000000-0005-0000-0000-0000A6420000}"/>
    <cellStyle name="Standard 4 2 5 2 4 2 3 3" xfId="16880" xr:uid="{00000000-0005-0000-0000-0000A7420000}"/>
    <cellStyle name="Standard 4 2 5 2 4 2 4" xfId="16881" xr:uid="{00000000-0005-0000-0000-0000A8420000}"/>
    <cellStyle name="Standard 4 2 5 2 4 2 4 2" xfId="16882" xr:uid="{00000000-0005-0000-0000-0000A9420000}"/>
    <cellStyle name="Standard 4 2 5 2 4 2 4 3" xfId="16883" xr:uid="{00000000-0005-0000-0000-0000AA420000}"/>
    <cellStyle name="Standard 4 2 5 2 4 2 5" xfId="16884" xr:uid="{00000000-0005-0000-0000-0000AB420000}"/>
    <cellStyle name="Standard 4 2 5 2 4 2 5 2" xfId="16885" xr:uid="{00000000-0005-0000-0000-0000AC420000}"/>
    <cellStyle name="Standard 4 2 5 2 4 2 6" xfId="16886" xr:uid="{00000000-0005-0000-0000-0000AD420000}"/>
    <cellStyle name="Standard 4 2 5 2 4 2 7" xfId="16887" xr:uid="{00000000-0005-0000-0000-0000AE420000}"/>
    <cellStyle name="Standard 4 2 5 2 4 3" xfId="16888" xr:uid="{00000000-0005-0000-0000-0000AF420000}"/>
    <cellStyle name="Standard 4 2 5 2 4 3 2" xfId="16889" xr:uid="{00000000-0005-0000-0000-0000B0420000}"/>
    <cellStyle name="Standard 4 2 5 2 4 3 2 2" xfId="16890" xr:uid="{00000000-0005-0000-0000-0000B1420000}"/>
    <cellStyle name="Standard 4 2 5 2 4 3 2 3" xfId="16891" xr:uid="{00000000-0005-0000-0000-0000B2420000}"/>
    <cellStyle name="Standard 4 2 5 2 4 3 3" xfId="16892" xr:uid="{00000000-0005-0000-0000-0000B3420000}"/>
    <cellStyle name="Standard 4 2 5 2 4 3 3 2" xfId="16893" xr:uid="{00000000-0005-0000-0000-0000B4420000}"/>
    <cellStyle name="Standard 4 2 5 2 4 3 3 3" xfId="16894" xr:uid="{00000000-0005-0000-0000-0000B5420000}"/>
    <cellStyle name="Standard 4 2 5 2 4 3 4" xfId="16895" xr:uid="{00000000-0005-0000-0000-0000B6420000}"/>
    <cellStyle name="Standard 4 2 5 2 4 3 4 2" xfId="16896" xr:uid="{00000000-0005-0000-0000-0000B7420000}"/>
    <cellStyle name="Standard 4 2 5 2 4 3 5" xfId="16897" xr:uid="{00000000-0005-0000-0000-0000B8420000}"/>
    <cellStyle name="Standard 4 2 5 2 4 3 6" xfId="16898" xr:uid="{00000000-0005-0000-0000-0000B9420000}"/>
    <cellStyle name="Standard 4 2 5 2 4 4" xfId="16899" xr:uid="{00000000-0005-0000-0000-0000BA420000}"/>
    <cellStyle name="Standard 4 2 5 2 4 4 2" xfId="16900" xr:uid="{00000000-0005-0000-0000-0000BB420000}"/>
    <cellStyle name="Standard 4 2 5 2 4 4 3" xfId="16901" xr:uid="{00000000-0005-0000-0000-0000BC420000}"/>
    <cellStyle name="Standard 4 2 5 2 4 5" xfId="16902" xr:uid="{00000000-0005-0000-0000-0000BD420000}"/>
    <cellStyle name="Standard 4 2 5 2 4 5 2" xfId="16903" xr:uid="{00000000-0005-0000-0000-0000BE420000}"/>
    <cellStyle name="Standard 4 2 5 2 4 5 3" xfId="16904" xr:uid="{00000000-0005-0000-0000-0000BF420000}"/>
    <cellStyle name="Standard 4 2 5 2 4 6" xfId="16905" xr:uid="{00000000-0005-0000-0000-0000C0420000}"/>
    <cellStyle name="Standard 4 2 5 2 4 6 2" xfId="16906" xr:uid="{00000000-0005-0000-0000-0000C1420000}"/>
    <cellStyle name="Standard 4 2 5 2 4 7" xfId="16907" xr:uid="{00000000-0005-0000-0000-0000C2420000}"/>
    <cellStyle name="Standard 4 2 5 2 4 8" xfId="16908" xr:uid="{00000000-0005-0000-0000-0000C3420000}"/>
    <cellStyle name="Standard 4 2 5 2 5" xfId="16909" xr:uid="{00000000-0005-0000-0000-0000C4420000}"/>
    <cellStyle name="Standard 4 2 5 2 5 2" xfId="16910" xr:uid="{00000000-0005-0000-0000-0000C5420000}"/>
    <cellStyle name="Standard 4 2 5 2 5 2 2" xfId="16911" xr:uid="{00000000-0005-0000-0000-0000C6420000}"/>
    <cellStyle name="Standard 4 2 5 2 5 2 2 2" xfId="16912" xr:uid="{00000000-0005-0000-0000-0000C7420000}"/>
    <cellStyle name="Standard 4 2 5 2 5 2 2 3" xfId="16913" xr:uid="{00000000-0005-0000-0000-0000C8420000}"/>
    <cellStyle name="Standard 4 2 5 2 5 2 3" xfId="16914" xr:uid="{00000000-0005-0000-0000-0000C9420000}"/>
    <cellStyle name="Standard 4 2 5 2 5 2 3 2" xfId="16915" xr:uid="{00000000-0005-0000-0000-0000CA420000}"/>
    <cellStyle name="Standard 4 2 5 2 5 2 3 3" xfId="16916" xr:uid="{00000000-0005-0000-0000-0000CB420000}"/>
    <cellStyle name="Standard 4 2 5 2 5 2 4" xfId="16917" xr:uid="{00000000-0005-0000-0000-0000CC420000}"/>
    <cellStyle name="Standard 4 2 5 2 5 2 4 2" xfId="16918" xr:uid="{00000000-0005-0000-0000-0000CD420000}"/>
    <cellStyle name="Standard 4 2 5 2 5 2 5" xfId="16919" xr:uid="{00000000-0005-0000-0000-0000CE420000}"/>
    <cellStyle name="Standard 4 2 5 2 5 2 6" xfId="16920" xr:uid="{00000000-0005-0000-0000-0000CF420000}"/>
    <cellStyle name="Standard 4 2 5 2 5 3" xfId="16921" xr:uid="{00000000-0005-0000-0000-0000D0420000}"/>
    <cellStyle name="Standard 4 2 5 2 5 3 2" xfId="16922" xr:uid="{00000000-0005-0000-0000-0000D1420000}"/>
    <cellStyle name="Standard 4 2 5 2 5 3 3" xfId="16923" xr:uid="{00000000-0005-0000-0000-0000D2420000}"/>
    <cellStyle name="Standard 4 2 5 2 5 4" xfId="16924" xr:uid="{00000000-0005-0000-0000-0000D3420000}"/>
    <cellStyle name="Standard 4 2 5 2 5 4 2" xfId="16925" xr:uid="{00000000-0005-0000-0000-0000D4420000}"/>
    <cellStyle name="Standard 4 2 5 2 5 4 3" xfId="16926" xr:uid="{00000000-0005-0000-0000-0000D5420000}"/>
    <cellStyle name="Standard 4 2 5 2 5 5" xfId="16927" xr:uid="{00000000-0005-0000-0000-0000D6420000}"/>
    <cellStyle name="Standard 4 2 5 2 5 5 2" xfId="16928" xr:uid="{00000000-0005-0000-0000-0000D7420000}"/>
    <cellStyle name="Standard 4 2 5 2 5 6" xfId="16929" xr:uid="{00000000-0005-0000-0000-0000D8420000}"/>
    <cellStyle name="Standard 4 2 5 2 5 7" xfId="16930" xr:uid="{00000000-0005-0000-0000-0000D9420000}"/>
    <cellStyle name="Standard 4 2 5 2 6" xfId="16931" xr:uid="{00000000-0005-0000-0000-0000DA420000}"/>
    <cellStyle name="Standard 4 2 5 2 6 2" xfId="16932" xr:uid="{00000000-0005-0000-0000-0000DB420000}"/>
    <cellStyle name="Standard 4 2 5 2 6 2 2" xfId="16933" xr:uid="{00000000-0005-0000-0000-0000DC420000}"/>
    <cellStyle name="Standard 4 2 5 2 6 2 3" xfId="16934" xr:uid="{00000000-0005-0000-0000-0000DD420000}"/>
    <cellStyle name="Standard 4 2 5 2 6 3" xfId="16935" xr:uid="{00000000-0005-0000-0000-0000DE420000}"/>
    <cellStyle name="Standard 4 2 5 2 6 3 2" xfId="16936" xr:uid="{00000000-0005-0000-0000-0000DF420000}"/>
    <cellStyle name="Standard 4 2 5 2 6 3 3" xfId="16937" xr:uid="{00000000-0005-0000-0000-0000E0420000}"/>
    <cellStyle name="Standard 4 2 5 2 6 4" xfId="16938" xr:uid="{00000000-0005-0000-0000-0000E1420000}"/>
    <cellStyle name="Standard 4 2 5 2 6 4 2" xfId="16939" xr:uid="{00000000-0005-0000-0000-0000E2420000}"/>
    <cellStyle name="Standard 4 2 5 2 6 5" xfId="16940" xr:uid="{00000000-0005-0000-0000-0000E3420000}"/>
    <cellStyle name="Standard 4 2 5 2 6 6" xfId="16941" xr:uid="{00000000-0005-0000-0000-0000E4420000}"/>
    <cellStyle name="Standard 4 2 5 2 7" xfId="16942" xr:uid="{00000000-0005-0000-0000-0000E5420000}"/>
    <cellStyle name="Standard 4 2 5 2 7 2" xfId="16943" xr:uid="{00000000-0005-0000-0000-0000E6420000}"/>
    <cellStyle name="Standard 4 2 5 2 7 3" xfId="16944" xr:uid="{00000000-0005-0000-0000-0000E7420000}"/>
    <cellStyle name="Standard 4 2 5 2 8" xfId="16945" xr:uid="{00000000-0005-0000-0000-0000E8420000}"/>
    <cellStyle name="Standard 4 2 5 2 8 2" xfId="16946" xr:uid="{00000000-0005-0000-0000-0000E9420000}"/>
    <cellStyle name="Standard 4 2 5 2 8 3" xfId="16947" xr:uid="{00000000-0005-0000-0000-0000EA420000}"/>
    <cellStyle name="Standard 4 2 5 2 9" xfId="16948" xr:uid="{00000000-0005-0000-0000-0000EB420000}"/>
    <cellStyle name="Standard 4 2 5 2 9 2" xfId="16949" xr:uid="{00000000-0005-0000-0000-0000EC420000}"/>
    <cellStyle name="Standard 4 2 5 3" xfId="16950" xr:uid="{00000000-0005-0000-0000-0000ED420000}"/>
    <cellStyle name="Standard 4 2 5 3 10" xfId="16951" xr:uid="{00000000-0005-0000-0000-0000EE420000}"/>
    <cellStyle name="Standard 4 2 5 3 2" xfId="16952" xr:uid="{00000000-0005-0000-0000-0000EF420000}"/>
    <cellStyle name="Standard 4 2 5 3 2 2" xfId="16953" xr:uid="{00000000-0005-0000-0000-0000F0420000}"/>
    <cellStyle name="Standard 4 2 5 3 2 2 2" xfId="16954" xr:uid="{00000000-0005-0000-0000-0000F1420000}"/>
    <cellStyle name="Standard 4 2 5 3 2 2 2 2" xfId="16955" xr:uid="{00000000-0005-0000-0000-0000F2420000}"/>
    <cellStyle name="Standard 4 2 5 3 2 2 2 2 2" xfId="16956" xr:uid="{00000000-0005-0000-0000-0000F3420000}"/>
    <cellStyle name="Standard 4 2 5 3 2 2 2 2 3" xfId="16957" xr:uid="{00000000-0005-0000-0000-0000F4420000}"/>
    <cellStyle name="Standard 4 2 5 3 2 2 2 3" xfId="16958" xr:uid="{00000000-0005-0000-0000-0000F5420000}"/>
    <cellStyle name="Standard 4 2 5 3 2 2 2 3 2" xfId="16959" xr:uid="{00000000-0005-0000-0000-0000F6420000}"/>
    <cellStyle name="Standard 4 2 5 3 2 2 2 3 3" xfId="16960" xr:uid="{00000000-0005-0000-0000-0000F7420000}"/>
    <cellStyle name="Standard 4 2 5 3 2 2 2 4" xfId="16961" xr:uid="{00000000-0005-0000-0000-0000F8420000}"/>
    <cellStyle name="Standard 4 2 5 3 2 2 2 4 2" xfId="16962" xr:uid="{00000000-0005-0000-0000-0000F9420000}"/>
    <cellStyle name="Standard 4 2 5 3 2 2 2 5" xfId="16963" xr:uid="{00000000-0005-0000-0000-0000FA420000}"/>
    <cellStyle name="Standard 4 2 5 3 2 2 2 6" xfId="16964" xr:uid="{00000000-0005-0000-0000-0000FB420000}"/>
    <cellStyle name="Standard 4 2 5 3 2 2 3" xfId="16965" xr:uid="{00000000-0005-0000-0000-0000FC420000}"/>
    <cellStyle name="Standard 4 2 5 3 2 2 3 2" xfId="16966" xr:uid="{00000000-0005-0000-0000-0000FD420000}"/>
    <cellStyle name="Standard 4 2 5 3 2 2 3 3" xfId="16967" xr:uid="{00000000-0005-0000-0000-0000FE420000}"/>
    <cellStyle name="Standard 4 2 5 3 2 2 4" xfId="16968" xr:uid="{00000000-0005-0000-0000-0000FF420000}"/>
    <cellStyle name="Standard 4 2 5 3 2 2 4 2" xfId="16969" xr:uid="{00000000-0005-0000-0000-000000430000}"/>
    <cellStyle name="Standard 4 2 5 3 2 2 4 3" xfId="16970" xr:uid="{00000000-0005-0000-0000-000001430000}"/>
    <cellStyle name="Standard 4 2 5 3 2 2 5" xfId="16971" xr:uid="{00000000-0005-0000-0000-000002430000}"/>
    <cellStyle name="Standard 4 2 5 3 2 2 5 2" xfId="16972" xr:uid="{00000000-0005-0000-0000-000003430000}"/>
    <cellStyle name="Standard 4 2 5 3 2 2 6" xfId="16973" xr:uid="{00000000-0005-0000-0000-000004430000}"/>
    <cellStyle name="Standard 4 2 5 3 2 2 7" xfId="16974" xr:uid="{00000000-0005-0000-0000-000005430000}"/>
    <cellStyle name="Standard 4 2 5 3 2 3" xfId="16975" xr:uid="{00000000-0005-0000-0000-000006430000}"/>
    <cellStyle name="Standard 4 2 5 3 2 3 2" xfId="16976" xr:uid="{00000000-0005-0000-0000-000007430000}"/>
    <cellStyle name="Standard 4 2 5 3 2 3 2 2" xfId="16977" xr:uid="{00000000-0005-0000-0000-000008430000}"/>
    <cellStyle name="Standard 4 2 5 3 2 3 2 3" xfId="16978" xr:uid="{00000000-0005-0000-0000-000009430000}"/>
    <cellStyle name="Standard 4 2 5 3 2 3 3" xfId="16979" xr:uid="{00000000-0005-0000-0000-00000A430000}"/>
    <cellStyle name="Standard 4 2 5 3 2 3 3 2" xfId="16980" xr:uid="{00000000-0005-0000-0000-00000B430000}"/>
    <cellStyle name="Standard 4 2 5 3 2 3 3 3" xfId="16981" xr:uid="{00000000-0005-0000-0000-00000C430000}"/>
    <cellStyle name="Standard 4 2 5 3 2 3 4" xfId="16982" xr:uid="{00000000-0005-0000-0000-00000D430000}"/>
    <cellStyle name="Standard 4 2 5 3 2 3 4 2" xfId="16983" xr:uid="{00000000-0005-0000-0000-00000E430000}"/>
    <cellStyle name="Standard 4 2 5 3 2 3 5" xfId="16984" xr:uid="{00000000-0005-0000-0000-00000F430000}"/>
    <cellStyle name="Standard 4 2 5 3 2 3 6" xfId="16985" xr:uid="{00000000-0005-0000-0000-000010430000}"/>
    <cellStyle name="Standard 4 2 5 3 2 4" xfId="16986" xr:uid="{00000000-0005-0000-0000-000011430000}"/>
    <cellStyle name="Standard 4 2 5 3 2 4 2" xfId="16987" xr:uid="{00000000-0005-0000-0000-000012430000}"/>
    <cellStyle name="Standard 4 2 5 3 2 4 3" xfId="16988" xr:uid="{00000000-0005-0000-0000-000013430000}"/>
    <cellStyle name="Standard 4 2 5 3 2 5" xfId="16989" xr:uid="{00000000-0005-0000-0000-000014430000}"/>
    <cellStyle name="Standard 4 2 5 3 2 5 2" xfId="16990" xr:uid="{00000000-0005-0000-0000-000015430000}"/>
    <cellStyle name="Standard 4 2 5 3 2 5 3" xfId="16991" xr:uid="{00000000-0005-0000-0000-000016430000}"/>
    <cellStyle name="Standard 4 2 5 3 2 6" xfId="16992" xr:uid="{00000000-0005-0000-0000-000017430000}"/>
    <cellStyle name="Standard 4 2 5 3 2 6 2" xfId="16993" xr:uid="{00000000-0005-0000-0000-000018430000}"/>
    <cellStyle name="Standard 4 2 5 3 2 7" xfId="16994" xr:uid="{00000000-0005-0000-0000-000019430000}"/>
    <cellStyle name="Standard 4 2 5 3 2 8" xfId="16995" xr:uid="{00000000-0005-0000-0000-00001A430000}"/>
    <cellStyle name="Standard 4 2 5 3 3" xfId="16996" xr:uid="{00000000-0005-0000-0000-00001B430000}"/>
    <cellStyle name="Standard 4 2 5 3 3 2" xfId="16997" xr:uid="{00000000-0005-0000-0000-00001C430000}"/>
    <cellStyle name="Standard 4 2 5 3 3 2 2" xfId="16998" xr:uid="{00000000-0005-0000-0000-00001D430000}"/>
    <cellStyle name="Standard 4 2 5 3 3 2 2 2" xfId="16999" xr:uid="{00000000-0005-0000-0000-00001E430000}"/>
    <cellStyle name="Standard 4 2 5 3 3 2 2 2 2" xfId="17000" xr:uid="{00000000-0005-0000-0000-00001F430000}"/>
    <cellStyle name="Standard 4 2 5 3 3 2 2 2 3" xfId="17001" xr:uid="{00000000-0005-0000-0000-000020430000}"/>
    <cellStyle name="Standard 4 2 5 3 3 2 2 3" xfId="17002" xr:uid="{00000000-0005-0000-0000-000021430000}"/>
    <cellStyle name="Standard 4 2 5 3 3 2 2 3 2" xfId="17003" xr:uid="{00000000-0005-0000-0000-000022430000}"/>
    <cellStyle name="Standard 4 2 5 3 3 2 2 3 3" xfId="17004" xr:uid="{00000000-0005-0000-0000-000023430000}"/>
    <cellStyle name="Standard 4 2 5 3 3 2 2 4" xfId="17005" xr:uid="{00000000-0005-0000-0000-000024430000}"/>
    <cellStyle name="Standard 4 2 5 3 3 2 2 4 2" xfId="17006" xr:uid="{00000000-0005-0000-0000-000025430000}"/>
    <cellStyle name="Standard 4 2 5 3 3 2 2 5" xfId="17007" xr:uid="{00000000-0005-0000-0000-000026430000}"/>
    <cellStyle name="Standard 4 2 5 3 3 2 2 6" xfId="17008" xr:uid="{00000000-0005-0000-0000-000027430000}"/>
    <cellStyle name="Standard 4 2 5 3 3 2 3" xfId="17009" xr:uid="{00000000-0005-0000-0000-000028430000}"/>
    <cellStyle name="Standard 4 2 5 3 3 2 3 2" xfId="17010" xr:uid="{00000000-0005-0000-0000-000029430000}"/>
    <cellStyle name="Standard 4 2 5 3 3 2 3 3" xfId="17011" xr:uid="{00000000-0005-0000-0000-00002A430000}"/>
    <cellStyle name="Standard 4 2 5 3 3 2 4" xfId="17012" xr:uid="{00000000-0005-0000-0000-00002B430000}"/>
    <cellStyle name="Standard 4 2 5 3 3 2 4 2" xfId="17013" xr:uid="{00000000-0005-0000-0000-00002C430000}"/>
    <cellStyle name="Standard 4 2 5 3 3 2 4 3" xfId="17014" xr:uid="{00000000-0005-0000-0000-00002D430000}"/>
    <cellStyle name="Standard 4 2 5 3 3 2 5" xfId="17015" xr:uid="{00000000-0005-0000-0000-00002E430000}"/>
    <cellStyle name="Standard 4 2 5 3 3 2 5 2" xfId="17016" xr:uid="{00000000-0005-0000-0000-00002F430000}"/>
    <cellStyle name="Standard 4 2 5 3 3 2 6" xfId="17017" xr:uid="{00000000-0005-0000-0000-000030430000}"/>
    <cellStyle name="Standard 4 2 5 3 3 2 7" xfId="17018" xr:uid="{00000000-0005-0000-0000-000031430000}"/>
    <cellStyle name="Standard 4 2 5 3 3 3" xfId="17019" xr:uid="{00000000-0005-0000-0000-000032430000}"/>
    <cellStyle name="Standard 4 2 5 3 3 3 2" xfId="17020" xr:uid="{00000000-0005-0000-0000-000033430000}"/>
    <cellStyle name="Standard 4 2 5 3 3 3 2 2" xfId="17021" xr:uid="{00000000-0005-0000-0000-000034430000}"/>
    <cellStyle name="Standard 4 2 5 3 3 3 2 3" xfId="17022" xr:uid="{00000000-0005-0000-0000-000035430000}"/>
    <cellStyle name="Standard 4 2 5 3 3 3 3" xfId="17023" xr:uid="{00000000-0005-0000-0000-000036430000}"/>
    <cellStyle name="Standard 4 2 5 3 3 3 3 2" xfId="17024" xr:uid="{00000000-0005-0000-0000-000037430000}"/>
    <cellStyle name="Standard 4 2 5 3 3 3 3 3" xfId="17025" xr:uid="{00000000-0005-0000-0000-000038430000}"/>
    <cellStyle name="Standard 4 2 5 3 3 3 4" xfId="17026" xr:uid="{00000000-0005-0000-0000-000039430000}"/>
    <cellStyle name="Standard 4 2 5 3 3 3 4 2" xfId="17027" xr:uid="{00000000-0005-0000-0000-00003A430000}"/>
    <cellStyle name="Standard 4 2 5 3 3 3 5" xfId="17028" xr:uid="{00000000-0005-0000-0000-00003B430000}"/>
    <cellStyle name="Standard 4 2 5 3 3 3 6" xfId="17029" xr:uid="{00000000-0005-0000-0000-00003C430000}"/>
    <cellStyle name="Standard 4 2 5 3 3 4" xfId="17030" xr:uid="{00000000-0005-0000-0000-00003D430000}"/>
    <cellStyle name="Standard 4 2 5 3 3 4 2" xfId="17031" xr:uid="{00000000-0005-0000-0000-00003E430000}"/>
    <cellStyle name="Standard 4 2 5 3 3 4 3" xfId="17032" xr:uid="{00000000-0005-0000-0000-00003F430000}"/>
    <cellStyle name="Standard 4 2 5 3 3 5" xfId="17033" xr:uid="{00000000-0005-0000-0000-000040430000}"/>
    <cellStyle name="Standard 4 2 5 3 3 5 2" xfId="17034" xr:uid="{00000000-0005-0000-0000-000041430000}"/>
    <cellStyle name="Standard 4 2 5 3 3 5 3" xfId="17035" xr:uid="{00000000-0005-0000-0000-000042430000}"/>
    <cellStyle name="Standard 4 2 5 3 3 6" xfId="17036" xr:uid="{00000000-0005-0000-0000-000043430000}"/>
    <cellStyle name="Standard 4 2 5 3 3 6 2" xfId="17037" xr:uid="{00000000-0005-0000-0000-000044430000}"/>
    <cellStyle name="Standard 4 2 5 3 3 7" xfId="17038" xr:uid="{00000000-0005-0000-0000-000045430000}"/>
    <cellStyle name="Standard 4 2 5 3 3 8" xfId="17039" xr:uid="{00000000-0005-0000-0000-000046430000}"/>
    <cellStyle name="Standard 4 2 5 3 4" xfId="17040" xr:uid="{00000000-0005-0000-0000-000047430000}"/>
    <cellStyle name="Standard 4 2 5 3 4 2" xfId="17041" xr:uid="{00000000-0005-0000-0000-000048430000}"/>
    <cellStyle name="Standard 4 2 5 3 4 2 2" xfId="17042" xr:uid="{00000000-0005-0000-0000-000049430000}"/>
    <cellStyle name="Standard 4 2 5 3 4 2 2 2" xfId="17043" xr:uid="{00000000-0005-0000-0000-00004A430000}"/>
    <cellStyle name="Standard 4 2 5 3 4 2 2 3" xfId="17044" xr:uid="{00000000-0005-0000-0000-00004B430000}"/>
    <cellStyle name="Standard 4 2 5 3 4 2 3" xfId="17045" xr:uid="{00000000-0005-0000-0000-00004C430000}"/>
    <cellStyle name="Standard 4 2 5 3 4 2 3 2" xfId="17046" xr:uid="{00000000-0005-0000-0000-00004D430000}"/>
    <cellStyle name="Standard 4 2 5 3 4 2 3 3" xfId="17047" xr:uid="{00000000-0005-0000-0000-00004E430000}"/>
    <cellStyle name="Standard 4 2 5 3 4 2 4" xfId="17048" xr:uid="{00000000-0005-0000-0000-00004F430000}"/>
    <cellStyle name="Standard 4 2 5 3 4 2 4 2" xfId="17049" xr:uid="{00000000-0005-0000-0000-000050430000}"/>
    <cellStyle name="Standard 4 2 5 3 4 2 5" xfId="17050" xr:uid="{00000000-0005-0000-0000-000051430000}"/>
    <cellStyle name="Standard 4 2 5 3 4 2 6" xfId="17051" xr:uid="{00000000-0005-0000-0000-000052430000}"/>
    <cellStyle name="Standard 4 2 5 3 4 3" xfId="17052" xr:uid="{00000000-0005-0000-0000-000053430000}"/>
    <cellStyle name="Standard 4 2 5 3 4 3 2" xfId="17053" xr:uid="{00000000-0005-0000-0000-000054430000}"/>
    <cellStyle name="Standard 4 2 5 3 4 3 3" xfId="17054" xr:uid="{00000000-0005-0000-0000-000055430000}"/>
    <cellStyle name="Standard 4 2 5 3 4 4" xfId="17055" xr:uid="{00000000-0005-0000-0000-000056430000}"/>
    <cellStyle name="Standard 4 2 5 3 4 4 2" xfId="17056" xr:uid="{00000000-0005-0000-0000-000057430000}"/>
    <cellStyle name="Standard 4 2 5 3 4 4 3" xfId="17057" xr:uid="{00000000-0005-0000-0000-000058430000}"/>
    <cellStyle name="Standard 4 2 5 3 4 5" xfId="17058" xr:uid="{00000000-0005-0000-0000-000059430000}"/>
    <cellStyle name="Standard 4 2 5 3 4 5 2" xfId="17059" xr:uid="{00000000-0005-0000-0000-00005A430000}"/>
    <cellStyle name="Standard 4 2 5 3 4 6" xfId="17060" xr:uid="{00000000-0005-0000-0000-00005B430000}"/>
    <cellStyle name="Standard 4 2 5 3 4 7" xfId="17061" xr:uid="{00000000-0005-0000-0000-00005C430000}"/>
    <cellStyle name="Standard 4 2 5 3 5" xfId="17062" xr:uid="{00000000-0005-0000-0000-00005D430000}"/>
    <cellStyle name="Standard 4 2 5 3 5 2" xfId="17063" xr:uid="{00000000-0005-0000-0000-00005E430000}"/>
    <cellStyle name="Standard 4 2 5 3 5 2 2" xfId="17064" xr:uid="{00000000-0005-0000-0000-00005F430000}"/>
    <cellStyle name="Standard 4 2 5 3 5 2 3" xfId="17065" xr:uid="{00000000-0005-0000-0000-000060430000}"/>
    <cellStyle name="Standard 4 2 5 3 5 3" xfId="17066" xr:uid="{00000000-0005-0000-0000-000061430000}"/>
    <cellStyle name="Standard 4 2 5 3 5 3 2" xfId="17067" xr:uid="{00000000-0005-0000-0000-000062430000}"/>
    <cellStyle name="Standard 4 2 5 3 5 3 3" xfId="17068" xr:uid="{00000000-0005-0000-0000-000063430000}"/>
    <cellStyle name="Standard 4 2 5 3 5 4" xfId="17069" xr:uid="{00000000-0005-0000-0000-000064430000}"/>
    <cellStyle name="Standard 4 2 5 3 5 4 2" xfId="17070" xr:uid="{00000000-0005-0000-0000-000065430000}"/>
    <cellStyle name="Standard 4 2 5 3 5 5" xfId="17071" xr:uid="{00000000-0005-0000-0000-000066430000}"/>
    <cellStyle name="Standard 4 2 5 3 5 6" xfId="17072" xr:uid="{00000000-0005-0000-0000-000067430000}"/>
    <cellStyle name="Standard 4 2 5 3 6" xfId="17073" xr:uid="{00000000-0005-0000-0000-000068430000}"/>
    <cellStyle name="Standard 4 2 5 3 6 2" xfId="17074" xr:uid="{00000000-0005-0000-0000-000069430000}"/>
    <cellStyle name="Standard 4 2 5 3 6 3" xfId="17075" xr:uid="{00000000-0005-0000-0000-00006A430000}"/>
    <cellStyle name="Standard 4 2 5 3 7" xfId="17076" xr:uid="{00000000-0005-0000-0000-00006B430000}"/>
    <cellStyle name="Standard 4 2 5 3 7 2" xfId="17077" xr:uid="{00000000-0005-0000-0000-00006C430000}"/>
    <cellStyle name="Standard 4 2 5 3 7 3" xfId="17078" xr:uid="{00000000-0005-0000-0000-00006D430000}"/>
    <cellStyle name="Standard 4 2 5 3 8" xfId="17079" xr:uid="{00000000-0005-0000-0000-00006E430000}"/>
    <cellStyle name="Standard 4 2 5 3 8 2" xfId="17080" xr:uid="{00000000-0005-0000-0000-00006F430000}"/>
    <cellStyle name="Standard 4 2 5 3 9" xfId="17081" xr:uid="{00000000-0005-0000-0000-000070430000}"/>
    <cellStyle name="Standard 4 2 5 4" xfId="17082" xr:uid="{00000000-0005-0000-0000-000071430000}"/>
    <cellStyle name="Standard 4 2 5 4 2" xfId="17083" xr:uid="{00000000-0005-0000-0000-000072430000}"/>
    <cellStyle name="Standard 4 2 5 4 2 2" xfId="17084" xr:uid="{00000000-0005-0000-0000-000073430000}"/>
    <cellStyle name="Standard 4 2 5 4 2 2 2" xfId="17085" xr:uid="{00000000-0005-0000-0000-000074430000}"/>
    <cellStyle name="Standard 4 2 5 4 2 2 2 2" xfId="17086" xr:uid="{00000000-0005-0000-0000-000075430000}"/>
    <cellStyle name="Standard 4 2 5 4 2 2 2 3" xfId="17087" xr:uid="{00000000-0005-0000-0000-000076430000}"/>
    <cellStyle name="Standard 4 2 5 4 2 2 3" xfId="17088" xr:uid="{00000000-0005-0000-0000-000077430000}"/>
    <cellStyle name="Standard 4 2 5 4 2 2 3 2" xfId="17089" xr:uid="{00000000-0005-0000-0000-000078430000}"/>
    <cellStyle name="Standard 4 2 5 4 2 2 3 3" xfId="17090" xr:uid="{00000000-0005-0000-0000-000079430000}"/>
    <cellStyle name="Standard 4 2 5 4 2 2 4" xfId="17091" xr:uid="{00000000-0005-0000-0000-00007A430000}"/>
    <cellStyle name="Standard 4 2 5 4 2 2 4 2" xfId="17092" xr:uid="{00000000-0005-0000-0000-00007B430000}"/>
    <cellStyle name="Standard 4 2 5 4 2 2 5" xfId="17093" xr:uid="{00000000-0005-0000-0000-00007C430000}"/>
    <cellStyle name="Standard 4 2 5 4 2 2 6" xfId="17094" xr:uid="{00000000-0005-0000-0000-00007D430000}"/>
    <cellStyle name="Standard 4 2 5 4 2 3" xfId="17095" xr:uid="{00000000-0005-0000-0000-00007E430000}"/>
    <cellStyle name="Standard 4 2 5 4 2 3 2" xfId="17096" xr:uid="{00000000-0005-0000-0000-00007F430000}"/>
    <cellStyle name="Standard 4 2 5 4 2 3 3" xfId="17097" xr:uid="{00000000-0005-0000-0000-000080430000}"/>
    <cellStyle name="Standard 4 2 5 4 2 4" xfId="17098" xr:uid="{00000000-0005-0000-0000-000081430000}"/>
    <cellStyle name="Standard 4 2 5 4 2 4 2" xfId="17099" xr:uid="{00000000-0005-0000-0000-000082430000}"/>
    <cellStyle name="Standard 4 2 5 4 2 4 3" xfId="17100" xr:uid="{00000000-0005-0000-0000-000083430000}"/>
    <cellStyle name="Standard 4 2 5 4 2 5" xfId="17101" xr:uid="{00000000-0005-0000-0000-000084430000}"/>
    <cellStyle name="Standard 4 2 5 4 2 5 2" xfId="17102" xr:uid="{00000000-0005-0000-0000-000085430000}"/>
    <cellStyle name="Standard 4 2 5 4 2 6" xfId="17103" xr:uid="{00000000-0005-0000-0000-000086430000}"/>
    <cellStyle name="Standard 4 2 5 4 2 7" xfId="17104" xr:uid="{00000000-0005-0000-0000-000087430000}"/>
    <cellStyle name="Standard 4 2 5 4 3" xfId="17105" xr:uid="{00000000-0005-0000-0000-000088430000}"/>
    <cellStyle name="Standard 4 2 5 4 3 2" xfId="17106" xr:uid="{00000000-0005-0000-0000-000089430000}"/>
    <cellStyle name="Standard 4 2 5 4 3 2 2" xfId="17107" xr:uid="{00000000-0005-0000-0000-00008A430000}"/>
    <cellStyle name="Standard 4 2 5 4 3 2 3" xfId="17108" xr:uid="{00000000-0005-0000-0000-00008B430000}"/>
    <cellStyle name="Standard 4 2 5 4 3 3" xfId="17109" xr:uid="{00000000-0005-0000-0000-00008C430000}"/>
    <cellStyle name="Standard 4 2 5 4 3 3 2" xfId="17110" xr:uid="{00000000-0005-0000-0000-00008D430000}"/>
    <cellStyle name="Standard 4 2 5 4 3 3 3" xfId="17111" xr:uid="{00000000-0005-0000-0000-00008E430000}"/>
    <cellStyle name="Standard 4 2 5 4 3 4" xfId="17112" xr:uid="{00000000-0005-0000-0000-00008F430000}"/>
    <cellStyle name="Standard 4 2 5 4 3 4 2" xfId="17113" xr:uid="{00000000-0005-0000-0000-000090430000}"/>
    <cellStyle name="Standard 4 2 5 4 3 5" xfId="17114" xr:uid="{00000000-0005-0000-0000-000091430000}"/>
    <cellStyle name="Standard 4 2 5 4 3 6" xfId="17115" xr:uid="{00000000-0005-0000-0000-000092430000}"/>
    <cellStyle name="Standard 4 2 5 4 4" xfId="17116" xr:uid="{00000000-0005-0000-0000-000093430000}"/>
    <cellStyle name="Standard 4 2 5 4 4 2" xfId="17117" xr:uid="{00000000-0005-0000-0000-000094430000}"/>
    <cellStyle name="Standard 4 2 5 4 4 3" xfId="17118" xr:uid="{00000000-0005-0000-0000-000095430000}"/>
    <cellStyle name="Standard 4 2 5 4 5" xfId="17119" xr:uid="{00000000-0005-0000-0000-000096430000}"/>
    <cellStyle name="Standard 4 2 5 4 5 2" xfId="17120" xr:uid="{00000000-0005-0000-0000-000097430000}"/>
    <cellStyle name="Standard 4 2 5 4 5 3" xfId="17121" xr:uid="{00000000-0005-0000-0000-000098430000}"/>
    <cellStyle name="Standard 4 2 5 4 6" xfId="17122" xr:uid="{00000000-0005-0000-0000-000099430000}"/>
    <cellStyle name="Standard 4 2 5 4 6 2" xfId="17123" xr:uid="{00000000-0005-0000-0000-00009A430000}"/>
    <cellStyle name="Standard 4 2 5 4 7" xfId="17124" xr:uid="{00000000-0005-0000-0000-00009B430000}"/>
    <cellStyle name="Standard 4 2 5 4 8" xfId="17125" xr:uid="{00000000-0005-0000-0000-00009C430000}"/>
    <cellStyle name="Standard 4 2 5 5" xfId="17126" xr:uid="{00000000-0005-0000-0000-00009D430000}"/>
    <cellStyle name="Standard 4 2 5 5 2" xfId="17127" xr:uid="{00000000-0005-0000-0000-00009E430000}"/>
    <cellStyle name="Standard 4 2 5 5 2 2" xfId="17128" xr:uid="{00000000-0005-0000-0000-00009F430000}"/>
    <cellStyle name="Standard 4 2 5 5 2 2 2" xfId="17129" xr:uid="{00000000-0005-0000-0000-0000A0430000}"/>
    <cellStyle name="Standard 4 2 5 5 2 2 2 2" xfId="17130" xr:uid="{00000000-0005-0000-0000-0000A1430000}"/>
    <cellStyle name="Standard 4 2 5 5 2 2 2 3" xfId="17131" xr:uid="{00000000-0005-0000-0000-0000A2430000}"/>
    <cellStyle name="Standard 4 2 5 5 2 2 3" xfId="17132" xr:uid="{00000000-0005-0000-0000-0000A3430000}"/>
    <cellStyle name="Standard 4 2 5 5 2 2 3 2" xfId="17133" xr:uid="{00000000-0005-0000-0000-0000A4430000}"/>
    <cellStyle name="Standard 4 2 5 5 2 2 3 3" xfId="17134" xr:uid="{00000000-0005-0000-0000-0000A5430000}"/>
    <cellStyle name="Standard 4 2 5 5 2 2 4" xfId="17135" xr:uid="{00000000-0005-0000-0000-0000A6430000}"/>
    <cellStyle name="Standard 4 2 5 5 2 2 4 2" xfId="17136" xr:uid="{00000000-0005-0000-0000-0000A7430000}"/>
    <cellStyle name="Standard 4 2 5 5 2 2 5" xfId="17137" xr:uid="{00000000-0005-0000-0000-0000A8430000}"/>
    <cellStyle name="Standard 4 2 5 5 2 2 6" xfId="17138" xr:uid="{00000000-0005-0000-0000-0000A9430000}"/>
    <cellStyle name="Standard 4 2 5 5 2 3" xfId="17139" xr:uid="{00000000-0005-0000-0000-0000AA430000}"/>
    <cellStyle name="Standard 4 2 5 5 2 3 2" xfId="17140" xr:uid="{00000000-0005-0000-0000-0000AB430000}"/>
    <cellStyle name="Standard 4 2 5 5 2 3 3" xfId="17141" xr:uid="{00000000-0005-0000-0000-0000AC430000}"/>
    <cellStyle name="Standard 4 2 5 5 2 4" xfId="17142" xr:uid="{00000000-0005-0000-0000-0000AD430000}"/>
    <cellStyle name="Standard 4 2 5 5 2 4 2" xfId="17143" xr:uid="{00000000-0005-0000-0000-0000AE430000}"/>
    <cellStyle name="Standard 4 2 5 5 2 4 3" xfId="17144" xr:uid="{00000000-0005-0000-0000-0000AF430000}"/>
    <cellStyle name="Standard 4 2 5 5 2 5" xfId="17145" xr:uid="{00000000-0005-0000-0000-0000B0430000}"/>
    <cellStyle name="Standard 4 2 5 5 2 5 2" xfId="17146" xr:uid="{00000000-0005-0000-0000-0000B1430000}"/>
    <cellStyle name="Standard 4 2 5 5 2 6" xfId="17147" xr:uid="{00000000-0005-0000-0000-0000B2430000}"/>
    <cellStyle name="Standard 4 2 5 5 2 7" xfId="17148" xr:uid="{00000000-0005-0000-0000-0000B3430000}"/>
    <cellStyle name="Standard 4 2 5 5 3" xfId="17149" xr:uid="{00000000-0005-0000-0000-0000B4430000}"/>
    <cellStyle name="Standard 4 2 5 5 3 2" xfId="17150" xr:uid="{00000000-0005-0000-0000-0000B5430000}"/>
    <cellStyle name="Standard 4 2 5 5 3 2 2" xfId="17151" xr:uid="{00000000-0005-0000-0000-0000B6430000}"/>
    <cellStyle name="Standard 4 2 5 5 3 2 3" xfId="17152" xr:uid="{00000000-0005-0000-0000-0000B7430000}"/>
    <cellStyle name="Standard 4 2 5 5 3 3" xfId="17153" xr:uid="{00000000-0005-0000-0000-0000B8430000}"/>
    <cellStyle name="Standard 4 2 5 5 3 3 2" xfId="17154" xr:uid="{00000000-0005-0000-0000-0000B9430000}"/>
    <cellStyle name="Standard 4 2 5 5 3 3 3" xfId="17155" xr:uid="{00000000-0005-0000-0000-0000BA430000}"/>
    <cellStyle name="Standard 4 2 5 5 3 4" xfId="17156" xr:uid="{00000000-0005-0000-0000-0000BB430000}"/>
    <cellStyle name="Standard 4 2 5 5 3 4 2" xfId="17157" xr:uid="{00000000-0005-0000-0000-0000BC430000}"/>
    <cellStyle name="Standard 4 2 5 5 3 5" xfId="17158" xr:uid="{00000000-0005-0000-0000-0000BD430000}"/>
    <cellStyle name="Standard 4 2 5 5 3 6" xfId="17159" xr:uid="{00000000-0005-0000-0000-0000BE430000}"/>
    <cellStyle name="Standard 4 2 5 5 4" xfId="17160" xr:uid="{00000000-0005-0000-0000-0000BF430000}"/>
    <cellStyle name="Standard 4 2 5 5 4 2" xfId="17161" xr:uid="{00000000-0005-0000-0000-0000C0430000}"/>
    <cellStyle name="Standard 4 2 5 5 4 3" xfId="17162" xr:uid="{00000000-0005-0000-0000-0000C1430000}"/>
    <cellStyle name="Standard 4 2 5 5 5" xfId="17163" xr:uid="{00000000-0005-0000-0000-0000C2430000}"/>
    <cellStyle name="Standard 4 2 5 5 5 2" xfId="17164" xr:uid="{00000000-0005-0000-0000-0000C3430000}"/>
    <cellStyle name="Standard 4 2 5 5 5 3" xfId="17165" xr:uid="{00000000-0005-0000-0000-0000C4430000}"/>
    <cellStyle name="Standard 4 2 5 5 6" xfId="17166" xr:uid="{00000000-0005-0000-0000-0000C5430000}"/>
    <cellStyle name="Standard 4 2 5 5 6 2" xfId="17167" xr:uid="{00000000-0005-0000-0000-0000C6430000}"/>
    <cellStyle name="Standard 4 2 5 5 7" xfId="17168" xr:uid="{00000000-0005-0000-0000-0000C7430000}"/>
    <cellStyle name="Standard 4 2 5 5 8" xfId="17169" xr:uid="{00000000-0005-0000-0000-0000C8430000}"/>
    <cellStyle name="Standard 4 2 5 6" xfId="17170" xr:uid="{00000000-0005-0000-0000-0000C9430000}"/>
    <cellStyle name="Standard 4 2 5 6 2" xfId="17171" xr:uid="{00000000-0005-0000-0000-0000CA430000}"/>
    <cellStyle name="Standard 4 2 5 6 2 2" xfId="17172" xr:uid="{00000000-0005-0000-0000-0000CB430000}"/>
    <cellStyle name="Standard 4 2 5 6 2 2 2" xfId="17173" xr:uid="{00000000-0005-0000-0000-0000CC430000}"/>
    <cellStyle name="Standard 4 2 5 6 2 2 3" xfId="17174" xr:uid="{00000000-0005-0000-0000-0000CD430000}"/>
    <cellStyle name="Standard 4 2 5 6 2 3" xfId="17175" xr:uid="{00000000-0005-0000-0000-0000CE430000}"/>
    <cellStyle name="Standard 4 2 5 6 2 3 2" xfId="17176" xr:uid="{00000000-0005-0000-0000-0000CF430000}"/>
    <cellStyle name="Standard 4 2 5 6 2 3 3" xfId="17177" xr:uid="{00000000-0005-0000-0000-0000D0430000}"/>
    <cellStyle name="Standard 4 2 5 6 2 4" xfId="17178" xr:uid="{00000000-0005-0000-0000-0000D1430000}"/>
    <cellStyle name="Standard 4 2 5 6 2 4 2" xfId="17179" xr:uid="{00000000-0005-0000-0000-0000D2430000}"/>
    <cellStyle name="Standard 4 2 5 6 2 5" xfId="17180" xr:uid="{00000000-0005-0000-0000-0000D3430000}"/>
    <cellStyle name="Standard 4 2 5 6 2 6" xfId="17181" xr:uid="{00000000-0005-0000-0000-0000D4430000}"/>
    <cellStyle name="Standard 4 2 5 6 3" xfId="17182" xr:uid="{00000000-0005-0000-0000-0000D5430000}"/>
    <cellStyle name="Standard 4 2 5 6 3 2" xfId="17183" xr:uid="{00000000-0005-0000-0000-0000D6430000}"/>
    <cellStyle name="Standard 4 2 5 6 3 3" xfId="17184" xr:uid="{00000000-0005-0000-0000-0000D7430000}"/>
    <cellStyle name="Standard 4 2 5 6 4" xfId="17185" xr:uid="{00000000-0005-0000-0000-0000D8430000}"/>
    <cellStyle name="Standard 4 2 5 6 4 2" xfId="17186" xr:uid="{00000000-0005-0000-0000-0000D9430000}"/>
    <cellStyle name="Standard 4 2 5 6 4 3" xfId="17187" xr:uid="{00000000-0005-0000-0000-0000DA430000}"/>
    <cellStyle name="Standard 4 2 5 6 5" xfId="17188" xr:uid="{00000000-0005-0000-0000-0000DB430000}"/>
    <cellStyle name="Standard 4 2 5 6 5 2" xfId="17189" xr:uid="{00000000-0005-0000-0000-0000DC430000}"/>
    <cellStyle name="Standard 4 2 5 6 6" xfId="17190" xr:uid="{00000000-0005-0000-0000-0000DD430000}"/>
    <cellStyle name="Standard 4 2 5 6 7" xfId="17191" xr:uid="{00000000-0005-0000-0000-0000DE430000}"/>
    <cellStyle name="Standard 4 2 5 7" xfId="17192" xr:uid="{00000000-0005-0000-0000-0000DF430000}"/>
    <cellStyle name="Standard 4 2 5 7 2" xfId="17193" xr:uid="{00000000-0005-0000-0000-0000E0430000}"/>
    <cellStyle name="Standard 4 2 5 7 2 2" xfId="17194" xr:uid="{00000000-0005-0000-0000-0000E1430000}"/>
    <cellStyle name="Standard 4 2 5 7 2 3" xfId="17195" xr:uid="{00000000-0005-0000-0000-0000E2430000}"/>
    <cellStyle name="Standard 4 2 5 7 3" xfId="17196" xr:uid="{00000000-0005-0000-0000-0000E3430000}"/>
    <cellStyle name="Standard 4 2 5 7 3 2" xfId="17197" xr:uid="{00000000-0005-0000-0000-0000E4430000}"/>
    <cellStyle name="Standard 4 2 5 7 3 3" xfId="17198" xr:uid="{00000000-0005-0000-0000-0000E5430000}"/>
    <cellStyle name="Standard 4 2 5 7 4" xfId="17199" xr:uid="{00000000-0005-0000-0000-0000E6430000}"/>
    <cellStyle name="Standard 4 2 5 7 4 2" xfId="17200" xr:uid="{00000000-0005-0000-0000-0000E7430000}"/>
    <cellStyle name="Standard 4 2 5 7 5" xfId="17201" xr:uid="{00000000-0005-0000-0000-0000E8430000}"/>
    <cellStyle name="Standard 4 2 5 7 6" xfId="17202" xr:uid="{00000000-0005-0000-0000-0000E9430000}"/>
    <cellStyle name="Standard 4 2 5 8" xfId="17203" xr:uid="{00000000-0005-0000-0000-0000EA430000}"/>
    <cellStyle name="Standard 4 2 5 8 2" xfId="17204" xr:uid="{00000000-0005-0000-0000-0000EB430000}"/>
    <cellStyle name="Standard 4 2 5 8 3" xfId="17205" xr:uid="{00000000-0005-0000-0000-0000EC430000}"/>
    <cellStyle name="Standard 4 2 5 9" xfId="17206" xr:uid="{00000000-0005-0000-0000-0000ED430000}"/>
    <cellStyle name="Standard 4 2 5 9 2" xfId="17207" xr:uid="{00000000-0005-0000-0000-0000EE430000}"/>
    <cellStyle name="Standard 4 2 5 9 3" xfId="17208" xr:uid="{00000000-0005-0000-0000-0000EF430000}"/>
    <cellStyle name="Standard 4 2 6" xfId="17209" xr:uid="{00000000-0005-0000-0000-0000F0430000}"/>
    <cellStyle name="Standard 4 2 6 10" xfId="17210" xr:uid="{00000000-0005-0000-0000-0000F1430000}"/>
    <cellStyle name="Standard 4 2 6 11" xfId="17211" xr:uid="{00000000-0005-0000-0000-0000F2430000}"/>
    <cellStyle name="Standard 4 2 6 2" xfId="17212" xr:uid="{00000000-0005-0000-0000-0000F3430000}"/>
    <cellStyle name="Standard 4 2 6 2 10" xfId="17213" xr:uid="{00000000-0005-0000-0000-0000F4430000}"/>
    <cellStyle name="Standard 4 2 6 2 2" xfId="17214" xr:uid="{00000000-0005-0000-0000-0000F5430000}"/>
    <cellStyle name="Standard 4 2 6 2 2 2" xfId="17215" xr:uid="{00000000-0005-0000-0000-0000F6430000}"/>
    <cellStyle name="Standard 4 2 6 2 2 2 2" xfId="17216" xr:uid="{00000000-0005-0000-0000-0000F7430000}"/>
    <cellStyle name="Standard 4 2 6 2 2 2 2 2" xfId="17217" xr:uid="{00000000-0005-0000-0000-0000F8430000}"/>
    <cellStyle name="Standard 4 2 6 2 2 2 2 2 2" xfId="17218" xr:uid="{00000000-0005-0000-0000-0000F9430000}"/>
    <cellStyle name="Standard 4 2 6 2 2 2 2 2 3" xfId="17219" xr:uid="{00000000-0005-0000-0000-0000FA430000}"/>
    <cellStyle name="Standard 4 2 6 2 2 2 2 3" xfId="17220" xr:uid="{00000000-0005-0000-0000-0000FB430000}"/>
    <cellStyle name="Standard 4 2 6 2 2 2 2 3 2" xfId="17221" xr:uid="{00000000-0005-0000-0000-0000FC430000}"/>
    <cellStyle name="Standard 4 2 6 2 2 2 2 3 3" xfId="17222" xr:uid="{00000000-0005-0000-0000-0000FD430000}"/>
    <cellStyle name="Standard 4 2 6 2 2 2 2 4" xfId="17223" xr:uid="{00000000-0005-0000-0000-0000FE430000}"/>
    <cellStyle name="Standard 4 2 6 2 2 2 2 4 2" xfId="17224" xr:uid="{00000000-0005-0000-0000-0000FF430000}"/>
    <cellStyle name="Standard 4 2 6 2 2 2 2 5" xfId="17225" xr:uid="{00000000-0005-0000-0000-000000440000}"/>
    <cellStyle name="Standard 4 2 6 2 2 2 2 6" xfId="17226" xr:uid="{00000000-0005-0000-0000-000001440000}"/>
    <cellStyle name="Standard 4 2 6 2 2 2 3" xfId="17227" xr:uid="{00000000-0005-0000-0000-000002440000}"/>
    <cellStyle name="Standard 4 2 6 2 2 2 3 2" xfId="17228" xr:uid="{00000000-0005-0000-0000-000003440000}"/>
    <cellStyle name="Standard 4 2 6 2 2 2 3 3" xfId="17229" xr:uid="{00000000-0005-0000-0000-000004440000}"/>
    <cellStyle name="Standard 4 2 6 2 2 2 4" xfId="17230" xr:uid="{00000000-0005-0000-0000-000005440000}"/>
    <cellStyle name="Standard 4 2 6 2 2 2 4 2" xfId="17231" xr:uid="{00000000-0005-0000-0000-000006440000}"/>
    <cellStyle name="Standard 4 2 6 2 2 2 4 3" xfId="17232" xr:uid="{00000000-0005-0000-0000-000007440000}"/>
    <cellStyle name="Standard 4 2 6 2 2 2 5" xfId="17233" xr:uid="{00000000-0005-0000-0000-000008440000}"/>
    <cellStyle name="Standard 4 2 6 2 2 2 5 2" xfId="17234" xr:uid="{00000000-0005-0000-0000-000009440000}"/>
    <cellStyle name="Standard 4 2 6 2 2 2 6" xfId="17235" xr:uid="{00000000-0005-0000-0000-00000A440000}"/>
    <cellStyle name="Standard 4 2 6 2 2 2 7" xfId="17236" xr:uid="{00000000-0005-0000-0000-00000B440000}"/>
    <cellStyle name="Standard 4 2 6 2 2 3" xfId="17237" xr:uid="{00000000-0005-0000-0000-00000C440000}"/>
    <cellStyle name="Standard 4 2 6 2 2 3 2" xfId="17238" xr:uid="{00000000-0005-0000-0000-00000D440000}"/>
    <cellStyle name="Standard 4 2 6 2 2 3 2 2" xfId="17239" xr:uid="{00000000-0005-0000-0000-00000E440000}"/>
    <cellStyle name="Standard 4 2 6 2 2 3 2 3" xfId="17240" xr:uid="{00000000-0005-0000-0000-00000F440000}"/>
    <cellStyle name="Standard 4 2 6 2 2 3 3" xfId="17241" xr:uid="{00000000-0005-0000-0000-000010440000}"/>
    <cellStyle name="Standard 4 2 6 2 2 3 3 2" xfId="17242" xr:uid="{00000000-0005-0000-0000-000011440000}"/>
    <cellStyle name="Standard 4 2 6 2 2 3 3 3" xfId="17243" xr:uid="{00000000-0005-0000-0000-000012440000}"/>
    <cellStyle name="Standard 4 2 6 2 2 3 4" xfId="17244" xr:uid="{00000000-0005-0000-0000-000013440000}"/>
    <cellStyle name="Standard 4 2 6 2 2 3 4 2" xfId="17245" xr:uid="{00000000-0005-0000-0000-000014440000}"/>
    <cellStyle name="Standard 4 2 6 2 2 3 5" xfId="17246" xr:uid="{00000000-0005-0000-0000-000015440000}"/>
    <cellStyle name="Standard 4 2 6 2 2 3 6" xfId="17247" xr:uid="{00000000-0005-0000-0000-000016440000}"/>
    <cellStyle name="Standard 4 2 6 2 2 4" xfId="17248" xr:uid="{00000000-0005-0000-0000-000017440000}"/>
    <cellStyle name="Standard 4 2 6 2 2 4 2" xfId="17249" xr:uid="{00000000-0005-0000-0000-000018440000}"/>
    <cellStyle name="Standard 4 2 6 2 2 4 3" xfId="17250" xr:uid="{00000000-0005-0000-0000-000019440000}"/>
    <cellStyle name="Standard 4 2 6 2 2 5" xfId="17251" xr:uid="{00000000-0005-0000-0000-00001A440000}"/>
    <cellStyle name="Standard 4 2 6 2 2 5 2" xfId="17252" xr:uid="{00000000-0005-0000-0000-00001B440000}"/>
    <cellStyle name="Standard 4 2 6 2 2 5 3" xfId="17253" xr:uid="{00000000-0005-0000-0000-00001C440000}"/>
    <cellStyle name="Standard 4 2 6 2 2 6" xfId="17254" xr:uid="{00000000-0005-0000-0000-00001D440000}"/>
    <cellStyle name="Standard 4 2 6 2 2 6 2" xfId="17255" xr:uid="{00000000-0005-0000-0000-00001E440000}"/>
    <cellStyle name="Standard 4 2 6 2 2 7" xfId="17256" xr:uid="{00000000-0005-0000-0000-00001F440000}"/>
    <cellStyle name="Standard 4 2 6 2 2 8" xfId="17257" xr:uid="{00000000-0005-0000-0000-000020440000}"/>
    <cellStyle name="Standard 4 2 6 2 3" xfId="17258" xr:uid="{00000000-0005-0000-0000-000021440000}"/>
    <cellStyle name="Standard 4 2 6 2 3 2" xfId="17259" xr:uid="{00000000-0005-0000-0000-000022440000}"/>
    <cellStyle name="Standard 4 2 6 2 3 2 2" xfId="17260" xr:uid="{00000000-0005-0000-0000-000023440000}"/>
    <cellStyle name="Standard 4 2 6 2 3 2 2 2" xfId="17261" xr:uid="{00000000-0005-0000-0000-000024440000}"/>
    <cellStyle name="Standard 4 2 6 2 3 2 2 2 2" xfId="17262" xr:uid="{00000000-0005-0000-0000-000025440000}"/>
    <cellStyle name="Standard 4 2 6 2 3 2 2 2 3" xfId="17263" xr:uid="{00000000-0005-0000-0000-000026440000}"/>
    <cellStyle name="Standard 4 2 6 2 3 2 2 3" xfId="17264" xr:uid="{00000000-0005-0000-0000-000027440000}"/>
    <cellStyle name="Standard 4 2 6 2 3 2 2 3 2" xfId="17265" xr:uid="{00000000-0005-0000-0000-000028440000}"/>
    <cellStyle name="Standard 4 2 6 2 3 2 2 3 3" xfId="17266" xr:uid="{00000000-0005-0000-0000-000029440000}"/>
    <cellStyle name="Standard 4 2 6 2 3 2 2 4" xfId="17267" xr:uid="{00000000-0005-0000-0000-00002A440000}"/>
    <cellStyle name="Standard 4 2 6 2 3 2 2 4 2" xfId="17268" xr:uid="{00000000-0005-0000-0000-00002B440000}"/>
    <cellStyle name="Standard 4 2 6 2 3 2 2 5" xfId="17269" xr:uid="{00000000-0005-0000-0000-00002C440000}"/>
    <cellStyle name="Standard 4 2 6 2 3 2 2 6" xfId="17270" xr:uid="{00000000-0005-0000-0000-00002D440000}"/>
    <cellStyle name="Standard 4 2 6 2 3 2 3" xfId="17271" xr:uid="{00000000-0005-0000-0000-00002E440000}"/>
    <cellStyle name="Standard 4 2 6 2 3 2 3 2" xfId="17272" xr:uid="{00000000-0005-0000-0000-00002F440000}"/>
    <cellStyle name="Standard 4 2 6 2 3 2 3 3" xfId="17273" xr:uid="{00000000-0005-0000-0000-000030440000}"/>
    <cellStyle name="Standard 4 2 6 2 3 2 4" xfId="17274" xr:uid="{00000000-0005-0000-0000-000031440000}"/>
    <cellStyle name="Standard 4 2 6 2 3 2 4 2" xfId="17275" xr:uid="{00000000-0005-0000-0000-000032440000}"/>
    <cellStyle name="Standard 4 2 6 2 3 2 4 3" xfId="17276" xr:uid="{00000000-0005-0000-0000-000033440000}"/>
    <cellStyle name="Standard 4 2 6 2 3 2 5" xfId="17277" xr:uid="{00000000-0005-0000-0000-000034440000}"/>
    <cellStyle name="Standard 4 2 6 2 3 2 5 2" xfId="17278" xr:uid="{00000000-0005-0000-0000-000035440000}"/>
    <cellStyle name="Standard 4 2 6 2 3 2 6" xfId="17279" xr:uid="{00000000-0005-0000-0000-000036440000}"/>
    <cellStyle name="Standard 4 2 6 2 3 2 7" xfId="17280" xr:uid="{00000000-0005-0000-0000-000037440000}"/>
    <cellStyle name="Standard 4 2 6 2 3 3" xfId="17281" xr:uid="{00000000-0005-0000-0000-000038440000}"/>
    <cellStyle name="Standard 4 2 6 2 3 3 2" xfId="17282" xr:uid="{00000000-0005-0000-0000-000039440000}"/>
    <cellStyle name="Standard 4 2 6 2 3 3 2 2" xfId="17283" xr:uid="{00000000-0005-0000-0000-00003A440000}"/>
    <cellStyle name="Standard 4 2 6 2 3 3 2 3" xfId="17284" xr:uid="{00000000-0005-0000-0000-00003B440000}"/>
    <cellStyle name="Standard 4 2 6 2 3 3 3" xfId="17285" xr:uid="{00000000-0005-0000-0000-00003C440000}"/>
    <cellStyle name="Standard 4 2 6 2 3 3 3 2" xfId="17286" xr:uid="{00000000-0005-0000-0000-00003D440000}"/>
    <cellStyle name="Standard 4 2 6 2 3 3 3 3" xfId="17287" xr:uid="{00000000-0005-0000-0000-00003E440000}"/>
    <cellStyle name="Standard 4 2 6 2 3 3 4" xfId="17288" xr:uid="{00000000-0005-0000-0000-00003F440000}"/>
    <cellStyle name="Standard 4 2 6 2 3 3 4 2" xfId="17289" xr:uid="{00000000-0005-0000-0000-000040440000}"/>
    <cellStyle name="Standard 4 2 6 2 3 3 5" xfId="17290" xr:uid="{00000000-0005-0000-0000-000041440000}"/>
    <cellStyle name="Standard 4 2 6 2 3 3 6" xfId="17291" xr:uid="{00000000-0005-0000-0000-000042440000}"/>
    <cellStyle name="Standard 4 2 6 2 3 4" xfId="17292" xr:uid="{00000000-0005-0000-0000-000043440000}"/>
    <cellStyle name="Standard 4 2 6 2 3 4 2" xfId="17293" xr:uid="{00000000-0005-0000-0000-000044440000}"/>
    <cellStyle name="Standard 4 2 6 2 3 4 3" xfId="17294" xr:uid="{00000000-0005-0000-0000-000045440000}"/>
    <cellStyle name="Standard 4 2 6 2 3 5" xfId="17295" xr:uid="{00000000-0005-0000-0000-000046440000}"/>
    <cellStyle name="Standard 4 2 6 2 3 5 2" xfId="17296" xr:uid="{00000000-0005-0000-0000-000047440000}"/>
    <cellStyle name="Standard 4 2 6 2 3 5 3" xfId="17297" xr:uid="{00000000-0005-0000-0000-000048440000}"/>
    <cellStyle name="Standard 4 2 6 2 3 6" xfId="17298" xr:uid="{00000000-0005-0000-0000-000049440000}"/>
    <cellStyle name="Standard 4 2 6 2 3 6 2" xfId="17299" xr:uid="{00000000-0005-0000-0000-00004A440000}"/>
    <cellStyle name="Standard 4 2 6 2 3 7" xfId="17300" xr:uid="{00000000-0005-0000-0000-00004B440000}"/>
    <cellStyle name="Standard 4 2 6 2 3 8" xfId="17301" xr:uid="{00000000-0005-0000-0000-00004C440000}"/>
    <cellStyle name="Standard 4 2 6 2 4" xfId="17302" xr:uid="{00000000-0005-0000-0000-00004D440000}"/>
    <cellStyle name="Standard 4 2 6 2 4 2" xfId="17303" xr:uid="{00000000-0005-0000-0000-00004E440000}"/>
    <cellStyle name="Standard 4 2 6 2 4 2 2" xfId="17304" xr:uid="{00000000-0005-0000-0000-00004F440000}"/>
    <cellStyle name="Standard 4 2 6 2 4 2 2 2" xfId="17305" xr:uid="{00000000-0005-0000-0000-000050440000}"/>
    <cellStyle name="Standard 4 2 6 2 4 2 2 3" xfId="17306" xr:uid="{00000000-0005-0000-0000-000051440000}"/>
    <cellStyle name="Standard 4 2 6 2 4 2 3" xfId="17307" xr:uid="{00000000-0005-0000-0000-000052440000}"/>
    <cellStyle name="Standard 4 2 6 2 4 2 3 2" xfId="17308" xr:uid="{00000000-0005-0000-0000-000053440000}"/>
    <cellStyle name="Standard 4 2 6 2 4 2 3 3" xfId="17309" xr:uid="{00000000-0005-0000-0000-000054440000}"/>
    <cellStyle name="Standard 4 2 6 2 4 2 4" xfId="17310" xr:uid="{00000000-0005-0000-0000-000055440000}"/>
    <cellStyle name="Standard 4 2 6 2 4 2 4 2" xfId="17311" xr:uid="{00000000-0005-0000-0000-000056440000}"/>
    <cellStyle name="Standard 4 2 6 2 4 2 5" xfId="17312" xr:uid="{00000000-0005-0000-0000-000057440000}"/>
    <cellStyle name="Standard 4 2 6 2 4 2 6" xfId="17313" xr:uid="{00000000-0005-0000-0000-000058440000}"/>
    <cellStyle name="Standard 4 2 6 2 4 3" xfId="17314" xr:uid="{00000000-0005-0000-0000-000059440000}"/>
    <cellStyle name="Standard 4 2 6 2 4 3 2" xfId="17315" xr:uid="{00000000-0005-0000-0000-00005A440000}"/>
    <cellStyle name="Standard 4 2 6 2 4 3 3" xfId="17316" xr:uid="{00000000-0005-0000-0000-00005B440000}"/>
    <cellStyle name="Standard 4 2 6 2 4 4" xfId="17317" xr:uid="{00000000-0005-0000-0000-00005C440000}"/>
    <cellStyle name="Standard 4 2 6 2 4 4 2" xfId="17318" xr:uid="{00000000-0005-0000-0000-00005D440000}"/>
    <cellStyle name="Standard 4 2 6 2 4 4 3" xfId="17319" xr:uid="{00000000-0005-0000-0000-00005E440000}"/>
    <cellStyle name="Standard 4 2 6 2 4 5" xfId="17320" xr:uid="{00000000-0005-0000-0000-00005F440000}"/>
    <cellStyle name="Standard 4 2 6 2 4 5 2" xfId="17321" xr:uid="{00000000-0005-0000-0000-000060440000}"/>
    <cellStyle name="Standard 4 2 6 2 4 6" xfId="17322" xr:uid="{00000000-0005-0000-0000-000061440000}"/>
    <cellStyle name="Standard 4 2 6 2 4 7" xfId="17323" xr:uid="{00000000-0005-0000-0000-000062440000}"/>
    <cellStyle name="Standard 4 2 6 2 5" xfId="17324" xr:uid="{00000000-0005-0000-0000-000063440000}"/>
    <cellStyle name="Standard 4 2 6 2 5 2" xfId="17325" xr:uid="{00000000-0005-0000-0000-000064440000}"/>
    <cellStyle name="Standard 4 2 6 2 5 2 2" xfId="17326" xr:uid="{00000000-0005-0000-0000-000065440000}"/>
    <cellStyle name="Standard 4 2 6 2 5 2 3" xfId="17327" xr:uid="{00000000-0005-0000-0000-000066440000}"/>
    <cellStyle name="Standard 4 2 6 2 5 3" xfId="17328" xr:uid="{00000000-0005-0000-0000-000067440000}"/>
    <cellStyle name="Standard 4 2 6 2 5 3 2" xfId="17329" xr:uid="{00000000-0005-0000-0000-000068440000}"/>
    <cellStyle name="Standard 4 2 6 2 5 3 3" xfId="17330" xr:uid="{00000000-0005-0000-0000-000069440000}"/>
    <cellStyle name="Standard 4 2 6 2 5 4" xfId="17331" xr:uid="{00000000-0005-0000-0000-00006A440000}"/>
    <cellStyle name="Standard 4 2 6 2 5 4 2" xfId="17332" xr:uid="{00000000-0005-0000-0000-00006B440000}"/>
    <cellStyle name="Standard 4 2 6 2 5 5" xfId="17333" xr:uid="{00000000-0005-0000-0000-00006C440000}"/>
    <cellStyle name="Standard 4 2 6 2 5 6" xfId="17334" xr:uid="{00000000-0005-0000-0000-00006D440000}"/>
    <cellStyle name="Standard 4 2 6 2 6" xfId="17335" xr:uid="{00000000-0005-0000-0000-00006E440000}"/>
    <cellStyle name="Standard 4 2 6 2 6 2" xfId="17336" xr:uid="{00000000-0005-0000-0000-00006F440000}"/>
    <cellStyle name="Standard 4 2 6 2 6 3" xfId="17337" xr:uid="{00000000-0005-0000-0000-000070440000}"/>
    <cellStyle name="Standard 4 2 6 2 7" xfId="17338" xr:uid="{00000000-0005-0000-0000-000071440000}"/>
    <cellStyle name="Standard 4 2 6 2 7 2" xfId="17339" xr:uid="{00000000-0005-0000-0000-000072440000}"/>
    <cellStyle name="Standard 4 2 6 2 7 3" xfId="17340" xr:uid="{00000000-0005-0000-0000-000073440000}"/>
    <cellStyle name="Standard 4 2 6 2 8" xfId="17341" xr:uid="{00000000-0005-0000-0000-000074440000}"/>
    <cellStyle name="Standard 4 2 6 2 8 2" xfId="17342" xr:uid="{00000000-0005-0000-0000-000075440000}"/>
    <cellStyle name="Standard 4 2 6 2 9" xfId="17343" xr:uid="{00000000-0005-0000-0000-000076440000}"/>
    <cellStyle name="Standard 4 2 6 3" xfId="17344" xr:uid="{00000000-0005-0000-0000-000077440000}"/>
    <cellStyle name="Standard 4 2 6 3 2" xfId="17345" xr:uid="{00000000-0005-0000-0000-000078440000}"/>
    <cellStyle name="Standard 4 2 6 3 2 2" xfId="17346" xr:uid="{00000000-0005-0000-0000-000079440000}"/>
    <cellStyle name="Standard 4 2 6 3 2 2 2" xfId="17347" xr:uid="{00000000-0005-0000-0000-00007A440000}"/>
    <cellStyle name="Standard 4 2 6 3 2 2 2 2" xfId="17348" xr:uid="{00000000-0005-0000-0000-00007B440000}"/>
    <cellStyle name="Standard 4 2 6 3 2 2 2 3" xfId="17349" xr:uid="{00000000-0005-0000-0000-00007C440000}"/>
    <cellStyle name="Standard 4 2 6 3 2 2 3" xfId="17350" xr:uid="{00000000-0005-0000-0000-00007D440000}"/>
    <cellStyle name="Standard 4 2 6 3 2 2 3 2" xfId="17351" xr:uid="{00000000-0005-0000-0000-00007E440000}"/>
    <cellStyle name="Standard 4 2 6 3 2 2 3 3" xfId="17352" xr:uid="{00000000-0005-0000-0000-00007F440000}"/>
    <cellStyle name="Standard 4 2 6 3 2 2 4" xfId="17353" xr:uid="{00000000-0005-0000-0000-000080440000}"/>
    <cellStyle name="Standard 4 2 6 3 2 2 4 2" xfId="17354" xr:uid="{00000000-0005-0000-0000-000081440000}"/>
    <cellStyle name="Standard 4 2 6 3 2 2 5" xfId="17355" xr:uid="{00000000-0005-0000-0000-000082440000}"/>
    <cellStyle name="Standard 4 2 6 3 2 2 6" xfId="17356" xr:uid="{00000000-0005-0000-0000-000083440000}"/>
    <cellStyle name="Standard 4 2 6 3 2 3" xfId="17357" xr:uid="{00000000-0005-0000-0000-000084440000}"/>
    <cellStyle name="Standard 4 2 6 3 2 3 2" xfId="17358" xr:uid="{00000000-0005-0000-0000-000085440000}"/>
    <cellStyle name="Standard 4 2 6 3 2 3 3" xfId="17359" xr:uid="{00000000-0005-0000-0000-000086440000}"/>
    <cellStyle name="Standard 4 2 6 3 2 4" xfId="17360" xr:uid="{00000000-0005-0000-0000-000087440000}"/>
    <cellStyle name="Standard 4 2 6 3 2 4 2" xfId="17361" xr:uid="{00000000-0005-0000-0000-000088440000}"/>
    <cellStyle name="Standard 4 2 6 3 2 4 3" xfId="17362" xr:uid="{00000000-0005-0000-0000-000089440000}"/>
    <cellStyle name="Standard 4 2 6 3 2 5" xfId="17363" xr:uid="{00000000-0005-0000-0000-00008A440000}"/>
    <cellStyle name="Standard 4 2 6 3 2 5 2" xfId="17364" xr:uid="{00000000-0005-0000-0000-00008B440000}"/>
    <cellStyle name="Standard 4 2 6 3 2 6" xfId="17365" xr:uid="{00000000-0005-0000-0000-00008C440000}"/>
    <cellStyle name="Standard 4 2 6 3 2 7" xfId="17366" xr:uid="{00000000-0005-0000-0000-00008D440000}"/>
    <cellStyle name="Standard 4 2 6 3 3" xfId="17367" xr:uid="{00000000-0005-0000-0000-00008E440000}"/>
    <cellStyle name="Standard 4 2 6 3 3 2" xfId="17368" xr:uid="{00000000-0005-0000-0000-00008F440000}"/>
    <cellStyle name="Standard 4 2 6 3 3 2 2" xfId="17369" xr:uid="{00000000-0005-0000-0000-000090440000}"/>
    <cellStyle name="Standard 4 2 6 3 3 2 3" xfId="17370" xr:uid="{00000000-0005-0000-0000-000091440000}"/>
    <cellStyle name="Standard 4 2 6 3 3 3" xfId="17371" xr:uid="{00000000-0005-0000-0000-000092440000}"/>
    <cellStyle name="Standard 4 2 6 3 3 3 2" xfId="17372" xr:uid="{00000000-0005-0000-0000-000093440000}"/>
    <cellStyle name="Standard 4 2 6 3 3 3 3" xfId="17373" xr:uid="{00000000-0005-0000-0000-000094440000}"/>
    <cellStyle name="Standard 4 2 6 3 3 4" xfId="17374" xr:uid="{00000000-0005-0000-0000-000095440000}"/>
    <cellStyle name="Standard 4 2 6 3 3 4 2" xfId="17375" xr:uid="{00000000-0005-0000-0000-000096440000}"/>
    <cellStyle name="Standard 4 2 6 3 3 5" xfId="17376" xr:uid="{00000000-0005-0000-0000-000097440000}"/>
    <cellStyle name="Standard 4 2 6 3 3 6" xfId="17377" xr:uid="{00000000-0005-0000-0000-000098440000}"/>
    <cellStyle name="Standard 4 2 6 3 4" xfId="17378" xr:uid="{00000000-0005-0000-0000-000099440000}"/>
    <cellStyle name="Standard 4 2 6 3 4 2" xfId="17379" xr:uid="{00000000-0005-0000-0000-00009A440000}"/>
    <cellStyle name="Standard 4 2 6 3 4 3" xfId="17380" xr:uid="{00000000-0005-0000-0000-00009B440000}"/>
    <cellStyle name="Standard 4 2 6 3 5" xfId="17381" xr:uid="{00000000-0005-0000-0000-00009C440000}"/>
    <cellStyle name="Standard 4 2 6 3 5 2" xfId="17382" xr:uid="{00000000-0005-0000-0000-00009D440000}"/>
    <cellStyle name="Standard 4 2 6 3 5 3" xfId="17383" xr:uid="{00000000-0005-0000-0000-00009E440000}"/>
    <cellStyle name="Standard 4 2 6 3 6" xfId="17384" xr:uid="{00000000-0005-0000-0000-00009F440000}"/>
    <cellStyle name="Standard 4 2 6 3 6 2" xfId="17385" xr:uid="{00000000-0005-0000-0000-0000A0440000}"/>
    <cellStyle name="Standard 4 2 6 3 7" xfId="17386" xr:uid="{00000000-0005-0000-0000-0000A1440000}"/>
    <cellStyle name="Standard 4 2 6 3 8" xfId="17387" xr:uid="{00000000-0005-0000-0000-0000A2440000}"/>
    <cellStyle name="Standard 4 2 6 4" xfId="17388" xr:uid="{00000000-0005-0000-0000-0000A3440000}"/>
    <cellStyle name="Standard 4 2 6 4 2" xfId="17389" xr:uid="{00000000-0005-0000-0000-0000A4440000}"/>
    <cellStyle name="Standard 4 2 6 4 2 2" xfId="17390" xr:uid="{00000000-0005-0000-0000-0000A5440000}"/>
    <cellStyle name="Standard 4 2 6 4 2 2 2" xfId="17391" xr:uid="{00000000-0005-0000-0000-0000A6440000}"/>
    <cellStyle name="Standard 4 2 6 4 2 2 2 2" xfId="17392" xr:uid="{00000000-0005-0000-0000-0000A7440000}"/>
    <cellStyle name="Standard 4 2 6 4 2 2 2 3" xfId="17393" xr:uid="{00000000-0005-0000-0000-0000A8440000}"/>
    <cellStyle name="Standard 4 2 6 4 2 2 3" xfId="17394" xr:uid="{00000000-0005-0000-0000-0000A9440000}"/>
    <cellStyle name="Standard 4 2 6 4 2 2 3 2" xfId="17395" xr:uid="{00000000-0005-0000-0000-0000AA440000}"/>
    <cellStyle name="Standard 4 2 6 4 2 2 3 3" xfId="17396" xr:uid="{00000000-0005-0000-0000-0000AB440000}"/>
    <cellStyle name="Standard 4 2 6 4 2 2 4" xfId="17397" xr:uid="{00000000-0005-0000-0000-0000AC440000}"/>
    <cellStyle name="Standard 4 2 6 4 2 2 4 2" xfId="17398" xr:uid="{00000000-0005-0000-0000-0000AD440000}"/>
    <cellStyle name="Standard 4 2 6 4 2 2 5" xfId="17399" xr:uid="{00000000-0005-0000-0000-0000AE440000}"/>
    <cellStyle name="Standard 4 2 6 4 2 2 6" xfId="17400" xr:uid="{00000000-0005-0000-0000-0000AF440000}"/>
    <cellStyle name="Standard 4 2 6 4 2 3" xfId="17401" xr:uid="{00000000-0005-0000-0000-0000B0440000}"/>
    <cellStyle name="Standard 4 2 6 4 2 3 2" xfId="17402" xr:uid="{00000000-0005-0000-0000-0000B1440000}"/>
    <cellStyle name="Standard 4 2 6 4 2 3 3" xfId="17403" xr:uid="{00000000-0005-0000-0000-0000B2440000}"/>
    <cellStyle name="Standard 4 2 6 4 2 4" xfId="17404" xr:uid="{00000000-0005-0000-0000-0000B3440000}"/>
    <cellStyle name="Standard 4 2 6 4 2 4 2" xfId="17405" xr:uid="{00000000-0005-0000-0000-0000B4440000}"/>
    <cellStyle name="Standard 4 2 6 4 2 4 3" xfId="17406" xr:uid="{00000000-0005-0000-0000-0000B5440000}"/>
    <cellStyle name="Standard 4 2 6 4 2 5" xfId="17407" xr:uid="{00000000-0005-0000-0000-0000B6440000}"/>
    <cellStyle name="Standard 4 2 6 4 2 5 2" xfId="17408" xr:uid="{00000000-0005-0000-0000-0000B7440000}"/>
    <cellStyle name="Standard 4 2 6 4 2 6" xfId="17409" xr:uid="{00000000-0005-0000-0000-0000B8440000}"/>
    <cellStyle name="Standard 4 2 6 4 2 7" xfId="17410" xr:uid="{00000000-0005-0000-0000-0000B9440000}"/>
    <cellStyle name="Standard 4 2 6 4 3" xfId="17411" xr:uid="{00000000-0005-0000-0000-0000BA440000}"/>
    <cellStyle name="Standard 4 2 6 4 3 2" xfId="17412" xr:uid="{00000000-0005-0000-0000-0000BB440000}"/>
    <cellStyle name="Standard 4 2 6 4 3 2 2" xfId="17413" xr:uid="{00000000-0005-0000-0000-0000BC440000}"/>
    <cellStyle name="Standard 4 2 6 4 3 2 3" xfId="17414" xr:uid="{00000000-0005-0000-0000-0000BD440000}"/>
    <cellStyle name="Standard 4 2 6 4 3 3" xfId="17415" xr:uid="{00000000-0005-0000-0000-0000BE440000}"/>
    <cellStyle name="Standard 4 2 6 4 3 3 2" xfId="17416" xr:uid="{00000000-0005-0000-0000-0000BF440000}"/>
    <cellStyle name="Standard 4 2 6 4 3 3 3" xfId="17417" xr:uid="{00000000-0005-0000-0000-0000C0440000}"/>
    <cellStyle name="Standard 4 2 6 4 3 4" xfId="17418" xr:uid="{00000000-0005-0000-0000-0000C1440000}"/>
    <cellStyle name="Standard 4 2 6 4 3 4 2" xfId="17419" xr:uid="{00000000-0005-0000-0000-0000C2440000}"/>
    <cellStyle name="Standard 4 2 6 4 3 5" xfId="17420" xr:uid="{00000000-0005-0000-0000-0000C3440000}"/>
    <cellStyle name="Standard 4 2 6 4 3 6" xfId="17421" xr:uid="{00000000-0005-0000-0000-0000C4440000}"/>
    <cellStyle name="Standard 4 2 6 4 4" xfId="17422" xr:uid="{00000000-0005-0000-0000-0000C5440000}"/>
    <cellStyle name="Standard 4 2 6 4 4 2" xfId="17423" xr:uid="{00000000-0005-0000-0000-0000C6440000}"/>
    <cellStyle name="Standard 4 2 6 4 4 3" xfId="17424" xr:uid="{00000000-0005-0000-0000-0000C7440000}"/>
    <cellStyle name="Standard 4 2 6 4 5" xfId="17425" xr:uid="{00000000-0005-0000-0000-0000C8440000}"/>
    <cellStyle name="Standard 4 2 6 4 5 2" xfId="17426" xr:uid="{00000000-0005-0000-0000-0000C9440000}"/>
    <cellStyle name="Standard 4 2 6 4 5 3" xfId="17427" xr:uid="{00000000-0005-0000-0000-0000CA440000}"/>
    <cellStyle name="Standard 4 2 6 4 6" xfId="17428" xr:uid="{00000000-0005-0000-0000-0000CB440000}"/>
    <cellStyle name="Standard 4 2 6 4 6 2" xfId="17429" xr:uid="{00000000-0005-0000-0000-0000CC440000}"/>
    <cellStyle name="Standard 4 2 6 4 7" xfId="17430" xr:uid="{00000000-0005-0000-0000-0000CD440000}"/>
    <cellStyle name="Standard 4 2 6 4 8" xfId="17431" xr:uid="{00000000-0005-0000-0000-0000CE440000}"/>
    <cellStyle name="Standard 4 2 6 5" xfId="17432" xr:uid="{00000000-0005-0000-0000-0000CF440000}"/>
    <cellStyle name="Standard 4 2 6 5 2" xfId="17433" xr:uid="{00000000-0005-0000-0000-0000D0440000}"/>
    <cellStyle name="Standard 4 2 6 5 2 2" xfId="17434" xr:uid="{00000000-0005-0000-0000-0000D1440000}"/>
    <cellStyle name="Standard 4 2 6 5 2 2 2" xfId="17435" xr:uid="{00000000-0005-0000-0000-0000D2440000}"/>
    <cellStyle name="Standard 4 2 6 5 2 2 3" xfId="17436" xr:uid="{00000000-0005-0000-0000-0000D3440000}"/>
    <cellStyle name="Standard 4 2 6 5 2 3" xfId="17437" xr:uid="{00000000-0005-0000-0000-0000D4440000}"/>
    <cellStyle name="Standard 4 2 6 5 2 3 2" xfId="17438" xr:uid="{00000000-0005-0000-0000-0000D5440000}"/>
    <cellStyle name="Standard 4 2 6 5 2 3 3" xfId="17439" xr:uid="{00000000-0005-0000-0000-0000D6440000}"/>
    <cellStyle name="Standard 4 2 6 5 2 4" xfId="17440" xr:uid="{00000000-0005-0000-0000-0000D7440000}"/>
    <cellStyle name="Standard 4 2 6 5 2 4 2" xfId="17441" xr:uid="{00000000-0005-0000-0000-0000D8440000}"/>
    <cellStyle name="Standard 4 2 6 5 2 5" xfId="17442" xr:uid="{00000000-0005-0000-0000-0000D9440000}"/>
    <cellStyle name="Standard 4 2 6 5 2 6" xfId="17443" xr:uid="{00000000-0005-0000-0000-0000DA440000}"/>
    <cellStyle name="Standard 4 2 6 5 3" xfId="17444" xr:uid="{00000000-0005-0000-0000-0000DB440000}"/>
    <cellStyle name="Standard 4 2 6 5 3 2" xfId="17445" xr:uid="{00000000-0005-0000-0000-0000DC440000}"/>
    <cellStyle name="Standard 4 2 6 5 3 3" xfId="17446" xr:uid="{00000000-0005-0000-0000-0000DD440000}"/>
    <cellStyle name="Standard 4 2 6 5 4" xfId="17447" xr:uid="{00000000-0005-0000-0000-0000DE440000}"/>
    <cellStyle name="Standard 4 2 6 5 4 2" xfId="17448" xr:uid="{00000000-0005-0000-0000-0000DF440000}"/>
    <cellStyle name="Standard 4 2 6 5 4 3" xfId="17449" xr:uid="{00000000-0005-0000-0000-0000E0440000}"/>
    <cellStyle name="Standard 4 2 6 5 5" xfId="17450" xr:uid="{00000000-0005-0000-0000-0000E1440000}"/>
    <cellStyle name="Standard 4 2 6 5 5 2" xfId="17451" xr:uid="{00000000-0005-0000-0000-0000E2440000}"/>
    <cellStyle name="Standard 4 2 6 5 6" xfId="17452" xr:uid="{00000000-0005-0000-0000-0000E3440000}"/>
    <cellStyle name="Standard 4 2 6 5 7" xfId="17453" xr:uid="{00000000-0005-0000-0000-0000E4440000}"/>
    <cellStyle name="Standard 4 2 6 6" xfId="17454" xr:uid="{00000000-0005-0000-0000-0000E5440000}"/>
    <cellStyle name="Standard 4 2 6 6 2" xfId="17455" xr:uid="{00000000-0005-0000-0000-0000E6440000}"/>
    <cellStyle name="Standard 4 2 6 6 2 2" xfId="17456" xr:uid="{00000000-0005-0000-0000-0000E7440000}"/>
    <cellStyle name="Standard 4 2 6 6 2 3" xfId="17457" xr:uid="{00000000-0005-0000-0000-0000E8440000}"/>
    <cellStyle name="Standard 4 2 6 6 3" xfId="17458" xr:uid="{00000000-0005-0000-0000-0000E9440000}"/>
    <cellStyle name="Standard 4 2 6 6 3 2" xfId="17459" xr:uid="{00000000-0005-0000-0000-0000EA440000}"/>
    <cellStyle name="Standard 4 2 6 6 3 3" xfId="17460" xr:uid="{00000000-0005-0000-0000-0000EB440000}"/>
    <cellStyle name="Standard 4 2 6 6 4" xfId="17461" xr:uid="{00000000-0005-0000-0000-0000EC440000}"/>
    <cellStyle name="Standard 4 2 6 6 4 2" xfId="17462" xr:uid="{00000000-0005-0000-0000-0000ED440000}"/>
    <cellStyle name="Standard 4 2 6 6 5" xfId="17463" xr:uid="{00000000-0005-0000-0000-0000EE440000}"/>
    <cellStyle name="Standard 4 2 6 6 6" xfId="17464" xr:uid="{00000000-0005-0000-0000-0000EF440000}"/>
    <cellStyle name="Standard 4 2 6 7" xfId="17465" xr:uid="{00000000-0005-0000-0000-0000F0440000}"/>
    <cellStyle name="Standard 4 2 6 7 2" xfId="17466" xr:uid="{00000000-0005-0000-0000-0000F1440000}"/>
    <cellStyle name="Standard 4 2 6 7 3" xfId="17467" xr:uid="{00000000-0005-0000-0000-0000F2440000}"/>
    <cellStyle name="Standard 4 2 6 8" xfId="17468" xr:uid="{00000000-0005-0000-0000-0000F3440000}"/>
    <cellStyle name="Standard 4 2 6 8 2" xfId="17469" xr:uid="{00000000-0005-0000-0000-0000F4440000}"/>
    <cellStyle name="Standard 4 2 6 8 3" xfId="17470" xr:uid="{00000000-0005-0000-0000-0000F5440000}"/>
    <cellStyle name="Standard 4 2 6 9" xfId="17471" xr:uid="{00000000-0005-0000-0000-0000F6440000}"/>
    <cellStyle name="Standard 4 2 6 9 2" xfId="17472" xr:uid="{00000000-0005-0000-0000-0000F7440000}"/>
    <cellStyle name="Standard 4 2 7" xfId="17473" xr:uid="{00000000-0005-0000-0000-0000F8440000}"/>
    <cellStyle name="Standard 4 2 7 10" xfId="17474" xr:uid="{00000000-0005-0000-0000-0000F9440000}"/>
    <cellStyle name="Standard 4 2 7 11" xfId="17475" xr:uid="{00000000-0005-0000-0000-0000FA440000}"/>
    <cellStyle name="Standard 4 2 7 2" xfId="17476" xr:uid="{00000000-0005-0000-0000-0000FB440000}"/>
    <cellStyle name="Standard 4 2 7 2 10" xfId="17477" xr:uid="{00000000-0005-0000-0000-0000FC440000}"/>
    <cellStyle name="Standard 4 2 7 2 2" xfId="17478" xr:uid="{00000000-0005-0000-0000-0000FD440000}"/>
    <cellStyle name="Standard 4 2 7 2 2 2" xfId="17479" xr:uid="{00000000-0005-0000-0000-0000FE440000}"/>
    <cellStyle name="Standard 4 2 7 2 2 2 2" xfId="17480" xr:uid="{00000000-0005-0000-0000-0000FF440000}"/>
    <cellStyle name="Standard 4 2 7 2 2 2 2 2" xfId="17481" xr:uid="{00000000-0005-0000-0000-000000450000}"/>
    <cellStyle name="Standard 4 2 7 2 2 2 2 2 2" xfId="17482" xr:uid="{00000000-0005-0000-0000-000001450000}"/>
    <cellStyle name="Standard 4 2 7 2 2 2 2 2 3" xfId="17483" xr:uid="{00000000-0005-0000-0000-000002450000}"/>
    <cellStyle name="Standard 4 2 7 2 2 2 2 3" xfId="17484" xr:uid="{00000000-0005-0000-0000-000003450000}"/>
    <cellStyle name="Standard 4 2 7 2 2 2 2 3 2" xfId="17485" xr:uid="{00000000-0005-0000-0000-000004450000}"/>
    <cellStyle name="Standard 4 2 7 2 2 2 2 3 3" xfId="17486" xr:uid="{00000000-0005-0000-0000-000005450000}"/>
    <cellStyle name="Standard 4 2 7 2 2 2 2 4" xfId="17487" xr:uid="{00000000-0005-0000-0000-000006450000}"/>
    <cellStyle name="Standard 4 2 7 2 2 2 2 4 2" xfId="17488" xr:uid="{00000000-0005-0000-0000-000007450000}"/>
    <cellStyle name="Standard 4 2 7 2 2 2 2 5" xfId="17489" xr:uid="{00000000-0005-0000-0000-000008450000}"/>
    <cellStyle name="Standard 4 2 7 2 2 2 2 6" xfId="17490" xr:uid="{00000000-0005-0000-0000-000009450000}"/>
    <cellStyle name="Standard 4 2 7 2 2 2 3" xfId="17491" xr:uid="{00000000-0005-0000-0000-00000A450000}"/>
    <cellStyle name="Standard 4 2 7 2 2 2 3 2" xfId="17492" xr:uid="{00000000-0005-0000-0000-00000B450000}"/>
    <cellStyle name="Standard 4 2 7 2 2 2 3 3" xfId="17493" xr:uid="{00000000-0005-0000-0000-00000C450000}"/>
    <cellStyle name="Standard 4 2 7 2 2 2 4" xfId="17494" xr:uid="{00000000-0005-0000-0000-00000D450000}"/>
    <cellStyle name="Standard 4 2 7 2 2 2 4 2" xfId="17495" xr:uid="{00000000-0005-0000-0000-00000E450000}"/>
    <cellStyle name="Standard 4 2 7 2 2 2 4 3" xfId="17496" xr:uid="{00000000-0005-0000-0000-00000F450000}"/>
    <cellStyle name="Standard 4 2 7 2 2 2 5" xfId="17497" xr:uid="{00000000-0005-0000-0000-000010450000}"/>
    <cellStyle name="Standard 4 2 7 2 2 2 5 2" xfId="17498" xr:uid="{00000000-0005-0000-0000-000011450000}"/>
    <cellStyle name="Standard 4 2 7 2 2 2 6" xfId="17499" xr:uid="{00000000-0005-0000-0000-000012450000}"/>
    <cellStyle name="Standard 4 2 7 2 2 2 7" xfId="17500" xr:uid="{00000000-0005-0000-0000-000013450000}"/>
    <cellStyle name="Standard 4 2 7 2 2 3" xfId="17501" xr:uid="{00000000-0005-0000-0000-000014450000}"/>
    <cellStyle name="Standard 4 2 7 2 2 3 2" xfId="17502" xr:uid="{00000000-0005-0000-0000-000015450000}"/>
    <cellStyle name="Standard 4 2 7 2 2 3 2 2" xfId="17503" xr:uid="{00000000-0005-0000-0000-000016450000}"/>
    <cellStyle name="Standard 4 2 7 2 2 3 2 3" xfId="17504" xr:uid="{00000000-0005-0000-0000-000017450000}"/>
    <cellStyle name="Standard 4 2 7 2 2 3 3" xfId="17505" xr:uid="{00000000-0005-0000-0000-000018450000}"/>
    <cellStyle name="Standard 4 2 7 2 2 3 3 2" xfId="17506" xr:uid="{00000000-0005-0000-0000-000019450000}"/>
    <cellStyle name="Standard 4 2 7 2 2 3 3 3" xfId="17507" xr:uid="{00000000-0005-0000-0000-00001A450000}"/>
    <cellStyle name="Standard 4 2 7 2 2 3 4" xfId="17508" xr:uid="{00000000-0005-0000-0000-00001B450000}"/>
    <cellStyle name="Standard 4 2 7 2 2 3 4 2" xfId="17509" xr:uid="{00000000-0005-0000-0000-00001C450000}"/>
    <cellStyle name="Standard 4 2 7 2 2 3 5" xfId="17510" xr:uid="{00000000-0005-0000-0000-00001D450000}"/>
    <cellStyle name="Standard 4 2 7 2 2 3 6" xfId="17511" xr:uid="{00000000-0005-0000-0000-00001E450000}"/>
    <cellStyle name="Standard 4 2 7 2 2 4" xfId="17512" xr:uid="{00000000-0005-0000-0000-00001F450000}"/>
    <cellStyle name="Standard 4 2 7 2 2 4 2" xfId="17513" xr:uid="{00000000-0005-0000-0000-000020450000}"/>
    <cellStyle name="Standard 4 2 7 2 2 4 3" xfId="17514" xr:uid="{00000000-0005-0000-0000-000021450000}"/>
    <cellStyle name="Standard 4 2 7 2 2 5" xfId="17515" xr:uid="{00000000-0005-0000-0000-000022450000}"/>
    <cellStyle name="Standard 4 2 7 2 2 5 2" xfId="17516" xr:uid="{00000000-0005-0000-0000-000023450000}"/>
    <cellStyle name="Standard 4 2 7 2 2 5 3" xfId="17517" xr:uid="{00000000-0005-0000-0000-000024450000}"/>
    <cellStyle name="Standard 4 2 7 2 2 6" xfId="17518" xr:uid="{00000000-0005-0000-0000-000025450000}"/>
    <cellStyle name="Standard 4 2 7 2 2 6 2" xfId="17519" xr:uid="{00000000-0005-0000-0000-000026450000}"/>
    <cellStyle name="Standard 4 2 7 2 2 7" xfId="17520" xr:uid="{00000000-0005-0000-0000-000027450000}"/>
    <cellStyle name="Standard 4 2 7 2 2 8" xfId="17521" xr:uid="{00000000-0005-0000-0000-000028450000}"/>
    <cellStyle name="Standard 4 2 7 2 3" xfId="17522" xr:uid="{00000000-0005-0000-0000-000029450000}"/>
    <cellStyle name="Standard 4 2 7 2 3 2" xfId="17523" xr:uid="{00000000-0005-0000-0000-00002A450000}"/>
    <cellStyle name="Standard 4 2 7 2 3 2 2" xfId="17524" xr:uid="{00000000-0005-0000-0000-00002B450000}"/>
    <cellStyle name="Standard 4 2 7 2 3 2 2 2" xfId="17525" xr:uid="{00000000-0005-0000-0000-00002C450000}"/>
    <cellStyle name="Standard 4 2 7 2 3 2 2 2 2" xfId="17526" xr:uid="{00000000-0005-0000-0000-00002D450000}"/>
    <cellStyle name="Standard 4 2 7 2 3 2 2 2 3" xfId="17527" xr:uid="{00000000-0005-0000-0000-00002E450000}"/>
    <cellStyle name="Standard 4 2 7 2 3 2 2 3" xfId="17528" xr:uid="{00000000-0005-0000-0000-00002F450000}"/>
    <cellStyle name="Standard 4 2 7 2 3 2 2 3 2" xfId="17529" xr:uid="{00000000-0005-0000-0000-000030450000}"/>
    <cellStyle name="Standard 4 2 7 2 3 2 2 3 3" xfId="17530" xr:uid="{00000000-0005-0000-0000-000031450000}"/>
    <cellStyle name="Standard 4 2 7 2 3 2 2 4" xfId="17531" xr:uid="{00000000-0005-0000-0000-000032450000}"/>
    <cellStyle name="Standard 4 2 7 2 3 2 2 4 2" xfId="17532" xr:uid="{00000000-0005-0000-0000-000033450000}"/>
    <cellStyle name="Standard 4 2 7 2 3 2 2 5" xfId="17533" xr:uid="{00000000-0005-0000-0000-000034450000}"/>
    <cellStyle name="Standard 4 2 7 2 3 2 2 6" xfId="17534" xr:uid="{00000000-0005-0000-0000-000035450000}"/>
    <cellStyle name="Standard 4 2 7 2 3 2 3" xfId="17535" xr:uid="{00000000-0005-0000-0000-000036450000}"/>
    <cellStyle name="Standard 4 2 7 2 3 2 3 2" xfId="17536" xr:uid="{00000000-0005-0000-0000-000037450000}"/>
    <cellStyle name="Standard 4 2 7 2 3 2 3 3" xfId="17537" xr:uid="{00000000-0005-0000-0000-000038450000}"/>
    <cellStyle name="Standard 4 2 7 2 3 2 4" xfId="17538" xr:uid="{00000000-0005-0000-0000-000039450000}"/>
    <cellStyle name="Standard 4 2 7 2 3 2 4 2" xfId="17539" xr:uid="{00000000-0005-0000-0000-00003A450000}"/>
    <cellStyle name="Standard 4 2 7 2 3 2 4 3" xfId="17540" xr:uid="{00000000-0005-0000-0000-00003B450000}"/>
    <cellStyle name="Standard 4 2 7 2 3 2 5" xfId="17541" xr:uid="{00000000-0005-0000-0000-00003C450000}"/>
    <cellStyle name="Standard 4 2 7 2 3 2 5 2" xfId="17542" xr:uid="{00000000-0005-0000-0000-00003D450000}"/>
    <cellStyle name="Standard 4 2 7 2 3 2 6" xfId="17543" xr:uid="{00000000-0005-0000-0000-00003E450000}"/>
    <cellStyle name="Standard 4 2 7 2 3 2 7" xfId="17544" xr:uid="{00000000-0005-0000-0000-00003F450000}"/>
    <cellStyle name="Standard 4 2 7 2 3 3" xfId="17545" xr:uid="{00000000-0005-0000-0000-000040450000}"/>
    <cellStyle name="Standard 4 2 7 2 3 3 2" xfId="17546" xr:uid="{00000000-0005-0000-0000-000041450000}"/>
    <cellStyle name="Standard 4 2 7 2 3 3 2 2" xfId="17547" xr:uid="{00000000-0005-0000-0000-000042450000}"/>
    <cellStyle name="Standard 4 2 7 2 3 3 2 3" xfId="17548" xr:uid="{00000000-0005-0000-0000-000043450000}"/>
    <cellStyle name="Standard 4 2 7 2 3 3 3" xfId="17549" xr:uid="{00000000-0005-0000-0000-000044450000}"/>
    <cellStyle name="Standard 4 2 7 2 3 3 3 2" xfId="17550" xr:uid="{00000000-0005-0000-0000-000045450000}"/>
    <cellStyle name="Standard 4 2 7 2 3 3 3 3" xfId="17551" xr:uid="{00000000-0005-0000-0000-000046450000}"/>
    <cellStyle name="Standard 4 2 7 2 3 3 4" xfId="17552" xr:uid="{00000000-0005-0000-0000-000047450000}"/>
    <cellStyle name="Standard 4 2 7 2 3 3 4 2" xfId="17553" xr:uid="{00000000-0005-0000-0000-000048450000}"/>
    <cellStyle name="Standard 4 2 7 2 3 3 5" xfId="17554" xr:uid="{00000000-0005-0000-0000-000049450000}"/>
    <cellStyle name="Standard 4 2 7 2 3 3 6" xfId="17555" xr:uid="{00000000-0005-0000-0000-00004A450000}"/>
    <cellStyle name="Standard 4 2 7 2 3 4" xfId="17556" xr:uid="{00000000-0005-0000-0000-00004B450000}"/>
    <cellStyle name="Standard 4 2 7 2 3 4 2" xfId="17557" xr:uid="{00000000-0005-0000-0000-00004C450000}"/>
    <cellStyle name="Standard 4 2 7 2 3 4 3" xfId="17558" xr:uid="{00000000-0005-0000-0000-00004D450000}"/>
    <cellStyle name="Standard 4 2 7 2 3 5" xfId="17559" xr:uid="{00000000-0005-0000-0000-00004E450000}"/>
    <cellStyle name="Standard 4 2 7 2 3 5 2" xfId="17560" xr:uid="{00000000-0005-0000-0000-00004F450000}"/>
    <cellStyle name="Standard 4 2 7 2 3 5 3" xfId="17561" xr:uid="{00000000-0005-0000-0000-000050450000}"/>
    <cellStyle name="Standard 4 2 7 2 3 6" xfId="17562" xr:uid="{00000000-0005-0000-0000-000051450000}"/>
    <cellStyle name="Standard 4 2 7 2 3 6 2" xfId="17563" xr:uid="{00000000-0005-0000-0000-000052450000}"/>
    <cellStyle name="Standard 4 2 7 2 3 7" xfId="17564" xr:uid="{00000000-0005-0000-0000-000053450000}"/>
    <cellStyle name="Standard 4 2 7 2 3 8" xfId="17565" xr:uid="{00000000-0005-0000-0000-000054450000}"/>
    <cellStyle name="Standard 4 2 7 2 4" xfId="17566" xr:uid="{00000000-0005-0000-0000-000055450000}"/>
    <cellStyle name="Standard 4 2 7 2 4 2" xfId="17567" xr:uid="{00000000-0005-0000-0000-000056450000}"/>
    <cellStyle name="Standard 4 2 7 2 4 2 2" xfId="17568" xr:uid="{00000000-0005-0000-0000-000057450000}"/>
    <cellStyle name="Standard 4 2 7 2 4 2 2 2" xfId="17569" xr:uid="{00000000-0005-0000-0000-000058450000}"/>
    <cellStyle name="Standard 4 2 7 2 4 2 2 3" xfId="17570" xr:uid="{00000000-0005-0000-0000-000059450000}"/>
    <cellStyle name="Standard 4 2 7 2 4 2 3" xfId="17571" xr:uid="{00000000-0005-0000-0000-00005A450000}"/>
    <cellStyle name="Standard 4 2 7 2 4 2 3 2" xfId="17572" xr:uid="{00000000-0005-0000-0000-00005B450000}"/>
    <cellStyle name="Standard 4 2 7 2 4 2 3 3" xfId="17573" xr:uid="{00000000-0005-0000-0000-00005C450000}"/>
    <cellStyle name="Standard 4 2 7 2 4 2 4" xfId="17574" xr:uid="{00000000-0005-0000-0000-00005D450000}"/>
    <cellStyle name="Standard 4 2 7 2 4 2 4 2" xfId="17575" xr:uid="{00000000-0005-0000-0000-00005E450000}"/>
    <cellStyle name="Standard 4 2 7 2 4 2 5" xfId="17576" xr:uid="{00000000-0005-0000-0000-00005F450000}"/>
    <cellStyle name="Standard 4 2 7 2 4 2 6" xfId="17577" xr:uid="{00000000-0005-0000-0000-000060450000}"/>
    <cellStyle name="Standard 4 2 7 2 4 3" xfId="17578" xr:uid="{00000000-0005-0000-0000-000061450000}"/>
    <cellStyle name="Standard 4 2 7 2 4 3 2" xfId="17579" xr:uid="{00000000-0005-0000-0000-000062450000}"/>
    <cellStyle name="Standard 4 2 7 2 4 3 3" xfId="17580" xr:uid="{00000000-0005-0000-0000-000063450000}"/>
    <cellStyle name="Standard 4 2 7 2 4 4" xfId="17581" xr:uid="{00000000-0005-0000-0000-000064450000}"/>
    <cellStyle name="Standard 4 2 7 2 4 4 2" xfId="17582" xr:uid="{00000000-0005-0000-0000-000065450000}"/>
    <cellStyle name="Standard 4 2 7 2 4 4 3" xfId="17583" xr:uid="{00000000-0005-0000-0000-000066450000}"/>
    <cellStyle name="Standard 4 2 7 2 4 5" xfId="17584" xr:uid="{00000000-0005-0000-0000-000067450000}"/>
    <cellStyle name="Standard 4 2 7 2 4 5 2" xfId="17585" xr:uid="{00000000-0005-0000-0000-000068450000}"/>
    <cellStyle name="Standard 4 2 7 2 4 6" xfId="17586" xr:uid="{00000000-0005-0000-0000-000069450000}"/>
    <cellStyle name="Standard 4 2 7 2 4 7" xfId="17587" xr:uid="{00000000-0005-0000-0000-00006A450000}"/>
    <cellStyle name="Standard 4 2 7 2 5" xfId="17588" xr:uid="{00000000-0005-0000-0000-00006B450000}"/>
    <cellStyle name="Standard 4 2 7 2 5 2" xfId="17589" xr:uid="{00000000-0005-0000-0000-00006C450000}"/>
    <cellStyle name="Standard 4 2 7 2 5 2 2" xfId="17590" xr:uid="{00000000-0005-0000-0000-00006D450000}"/>
    <cellStyle name="Standard 4 2 7 2 5 2 3" xfId="17591" xr:uid="{00000000-0005-0000-0000-00006E450000}"/>
    <cellStyle name="Standard 4 2 7 2 5 3" xfId="17592" xr:uid="{00000000-0005-0000-0000-00006F450000}"/>
    <cellStyle name="Standard 4 2 7 2 5 3 2" xfId="17593" xr:uid="{00000000-0005-0000-0000-000070450000}"/>
    <cellStyle name="Standard 4 2 7 2 5 3 3" xfId="17594" xr:uid="{00000000-0005-0000-0000-000071450000}"/>
    <cellStyle name="Standard 4 2 7 2 5 4" xfId="17595" xr:uid="{00000000-0005-0000-0000-000072450000}"/>
    <cellStyle name="Standard 4 2 7 2 5 4 2" xfId="17596" xr:uid="{00000000-0005-0000-0000-000073450000}"/>
    <cellStyle name="Standard 4 2 7 2 5 5" xfId="17597" xr:uid="{00000000-0005-0000-0000-000074450000}"/>
    <cellStyle name="Standard 4 2 7 2 5 6" xfId="17598" xr:uid="{00000000-0005-0000-0000-000075450000}"/>
    <cellStyle name="Standard 4 2 7 2 6" xfId="17599" xr:uid="{00000000-0005-0000-0000-000076450000}"/>
    <cellStyle name="Standard 4 2 7 2 6 2" xfId="17600" xr:uid="{00000000-0005-0000-0000-000077450000}"/>
    <cellStyle name="Standard 4 2 7 2 6 3" xfId="17601" xr:uid="{00000000-0005-0000-0000-000078450000}"/>
    <cellStyle name="Standard 4 2 7 2 7" xfId="17602" xr:uid="{00000000-0005-0000-0000-000079450000}"/>
    <cellStyle name="Standard 4 2 7 2 7 2" xfId="17603" xr:uid="{00000000-0005-0000-0000-00007A450000}"/>
    <cellStyle name="Standard 4 2 7 2 7 3" xfId="17604" xr:uid="{00000000-0005-0000-0000-00007B450000}"/>
    <cellStyle name="Standard 4 2 7 2 8" xfId="17605" xr:uid="{00000000-0005-0000-0000-00007C450000}"/>
    <cellStyle name="Standard 4 2 7 2 8 2" xfId="17606" xr:uid="{00000000-0005-0000-0000-00007D450000}"/>
    <cellStyle name="Standard 4 2 7 2 9" xfId="17607" xr:uid="{00000000-0005-0000-0000-00007E450000}"/>
    <cellStyle name="Standard 4 2 7 3" xfId="17608" xr:uid="{00000000-0005-0000-0000-00007F450000}"/>
    <cellStyle name="Standard 4 2 7 3 2" xfId="17609" xr:uid="{00000000-0005-0000-0000-000080450000}"/>
    <cellStyle name="Standard 4 2 7 3 2 2" xfId="17610" xr:uid="{00000000-0005-0000-0000-000081450000}"/>
    <cellStyle name="Standard 4 2 7 3 2 2 2" xfId="17611" xr:uid="{00000000-0005-0000-0000-000082450000}"/>
    <cellStyle name="Standard 4 2 7 3 2 2 2 2" xfId="17612" xr:uid="{00000000-0005-0000-0000-000083450000}"/>
    <cellStyle name="Standard 4 2 7 3 2 2 2 3" xfId="17613" xr:uid="{00000000-0005-0000-0000-000084450000}"/>
    <cellStyle name="Standard 4 2 7 3 2 2 3" xfId="17614" xr:uid="{00000000-0005-0000-0000-000085450000}"/>
    <cellStyle name="Standard 4 2 7 3 2 2 3 2" xfId="17615" xr:uid="{00000000-0005-0000-0000-000086450000}"/>
    <cellStyle name="Standard 4 2 7 3 2 2 3 3" xfId="17616" xr:uid="{00000000-0005-0000-0000-000087450000}"/>
    <cellStyle name="Standard 4 2 7 3 2 2 4" xfId="17617" xr:uid="{00000000-0005-0000-0000-000088450000}"/>
    <cellStyle name="Standard 4 2 7 3 2 2 4 2" xfId="17618" xr:uid="{00000000-0005-0000-0000-000089450000}"/>
    <cellStyle name="Standard 4 2 7 3 2 2 5" xfId="17619" xr:uid="{00000000-0005-0000-0000-00008A450000}"/>
    <cellStyle name="Standard 4 2 7 3 2 2 6" xfId="17620" xr:uid="{00000000-0005-0000-0000-00008B450000}"/>
    <cellStyle name="Standard 4 2 7 3 2 3" xfId="17621" xr:uid="{00000000-0005-0000-0000-00008C450000}"/>
    <cellStyle name="Standard 4 2 7 3 2 3 2" xfId="17622" xr:uid="{00000000-0005-0000-0000-00008D450000}"/>
    <cellStyle name="Standard 4 2 7 3 2 3 3" xfId="17623" xr:uid="{00000000-0005-0000-0000-00008E450000}"/>
    <cellStyle name="Standard 4 2 7 3 2 4" xfId="17624" xr:uid="{00000000-0005-0000-0000-00008F450000}"/>
    <cellStyle name="Standard 4 2 7 3 2 4 2" xfId="17625" xr:uid="{00000000-0005-0000-0000-000090450000}"/>
    <cellStyle name="Standard 4 2 7 3 2 4 3" xfId="17626" xr:uid="{00000000-0005-0000-0000-000091450000}"/>
    <cellStyle name="Standard 4 2 7 3 2 5" xfId="17627" xr:uid="{00000000-0005-0000-0000-000092450000}"/>
    <cellStyle name="Standard 4 2 7 3 2 5 2" xfId="17628" xr:uid="{00000000-0005-0000-0000-000093450000}"/>
    <cellStyle name="Standard 4 2 7 3 2 6" xfId="17629" xr:uid="{00000000-0005-0000-0000-000094450000}"/>
    <cellStyle name="Standard 4 2 7 3 2 7" xfId="17630" xr:uid="{00000000-0005-0000-0000-000095450000}"/>
    <cellStyle name="Standard 4 2 7 3 3" xfId="17631" xr:uid="{00000000-0005-0000-0000-000096450000}"/>
    <cellStyle name="Standard 4 2 7 3 3 2" xfId="17632" xr:uid="{00000000-0005-0000-0000-000097450000}"/>
    <cellStyle name="Standard 4 2 7 3 3 2 2" xfId="17633" xr:uid="{00000000-0005-0000-0000-000098450000}"/>
    <cellStyle name="Standard 4 2 7 3 3 2 3" xfId="17634" xr:uid="{00000000-0005-0000-0000-000099450000}"/>
    <cellStyle name="Standard 4 2 7 3 3 3" xfId="17635" xr:uid="{00000000-0005-0000-0000-00009A450000}"/>
    <cellStyle name="Standard 4 2 7 3 3 3 2" xfId="17636" xr:uid="{00000000-0005-0000-0000-00009B450000}"/>
    <cellStyle name="Standard 4 2 7 3 3 3 3" xfId="17637" xr:uid="{00000000-0005-0000-0000-00009C450000}"/>
    <cellStyle name="Standard 4 2 7 3 3 4" xfId="17638" xr:uid="{00000000-0005-0000-0000-00009D450000}"/>
    <cellStyle name="Standard 4 2 7 3 3 4 2" xfId="17639" xr:uid="{00000000-0005-0000-0000-00009E450000}"/>
    <cellStyle name="Standard 4 2 7 3 3 5" xfId="17640" xr:uid="{00000000-0005-0000-0000-00009F450000}"/>
    <cellStyle name="Standard 4 2 7 3 3 6" xfId="17641" xr:uid="{00000000-0005-0000-0000-0000A0450000}"/>
    <cellStyle name="Standard 4 2 7 3 4" xfId="17642" xr:uid="{00000000-0005-0000-0000-0000A1450000}"/>
    <cellStyle name="Standard 4 2 7 3 4 2" xfId="17643" xr:uid="{00000000-0005-0000-0000-0000A2450000}"/>
    <cellStyle name="Standard 4 2 7 3 4 3" xfId="17644" xr:uid="{00000000-0005-0000-0000-0000A3450000}"/>
    <cellStyle name="Standard 4 2 7 3 5" xfId="17645" xr:uid="{00000000-0005-0000-0000-0000A4450000}"/>
    <cellStyle name="Standard 4 2 7 3 5 2" xfId="17646" xr:uid="{00000000-0005-0000-0000-0000A5450000}"/>
    <cellStyle name="Standard 4 2 7 3 5 3" xfId="17647" xr:uid="{00000000-0005-0000-0000-0000A6450000}"/>
    <cellStyle name="Standard 4 2 7 3 6" xfId="17648" xr:uid="{00000000-0005-0000-0000-0000A7450000}"/>
    <cellStyle name="Standard 4 2 7 3 6 2" xfId="17649" xr:uid="{00000000-0005-0000-0000-0000A8450000}"/>
    <cellStyle name="Standard 4 2 7 3 7" xfId="17650" xr:uid="{00000000-0005-0000-0000-0000A9450000}"/>
    <cellStyle name="Standard 4 2 7 3 8" xfId="17651" xr:uid="{00000000-0005-0000-0000-0000AA450000}"/>
    <cellStyle name="Standard 4 2 7 4" xfId="17652" xr:uid="{00000000-0005-0000-0000-0000AB450000}"/>
    <cellStyle name="Standard 4 2 7 4 2" xfId="17653" xr:uid="{00000000-0005-0000-0000-0000AC450000}"/>
    <cellStyle name="Standard 4 2 7 4 2 2" xfId="17654" xr:uid="{00000000-0005-0000-0000-0000AD450000}"/>
    <cellStyle name="Standard 4 2 7 4 2 2 2" xfId="17655" xr:uid="{00000000-0005-0000-0000-0000AE450000}"/>
    <cellStyle name="Standard 4 2 7 4 2 2 2 2" xfId="17656" xr:uid="{00000000-0005-0000-0000-0000AF450000}"/>
    <cellStyle name="Standard 4 2 7 4 2 2 2 3" xfId="17657" xr:uid="{00000000-0005-0000-0000-0000B0450000}"/>
    <cellStyle name="Standard 4 2 7 4 2 2 3" xfId="17658" xr:uid="{00000000-0005-0000-0000-0000B1450000}"/>
    <cellStyle name="Standard 4 2 7 4 2 2 3 2" xfId="17659" xr:uid="{00000000-0005-0000-0000-0000B2450000}"/>
    <cellStyle name="Standard 4 2 7 4 2 2 3 3" xfId="17660" xr:uid="{00000000-0005-0000-0000-0000B3450000}"/>
    <cellStyle name="Standard 4 2 7 4 2 2 4" xfId="17661" xr:uid="{00000000-0005-0000-0000-0000B4450000}"/>
    <cellStyle name="Standard 4 2 7 4 2 2 4 2" xfId="17662" xr:uid="{00000000-0005-0000-0000-0000B5450000}"/>
    <cellStyle name="Standard 4 2 7 4 2 2 5" xfId="17663" xr:uid="{00000000-0005-0000-0000-0000B6450000}"/>
    <cellStyle name="Standard 4 2 7 4 2 2 6" xfId="17664" xr:uid="{00000000-0005-0000-0000-0000B7450000}"/>
    <cellStyle name="Standard 4 2 7 4 2 3" xfId="17665" xr:uid="{00000000-0005-0000-0000-0000B8450000}"/>
    <cellStyle name="Standard 4 2 7 4 2 3 2" xfId="17666" xr:uid="{00000000-0005-0000-0000-0000B9450000}"/>
    <cellStyle name="Standard 4 2 7 4 2 3 3" xfId="17667" xr:uid="{00000000-0005-0000-0000-0000BA450000}"/>
    <cellStyle name="Standard 4 2 7 4 2 4" xfId="17668" xr:uid="{00000000-0005-0000-0000-0000BB450000}"/>
    <cellStyle name="Standard 4 2 7 4 2 4 2" xfId="17669" xr:uid="{00000000-0005-0000-0000-0000BC450000}"/>
    <cellStyle name="Standard 4 2 7 4 2 4 3" xfId="17670" xr:uid="{00000000-0005-0000-0000-0000BD450000}"/>
    <cellStyle name="Standard 4 2 7 4 2 5" xfId="17671" xr:uid="{00000000-0005-0000-0000-0000BE450000}"/>
    <cellStyle name="Standard 4 2 7 4 2 5 2" xfId="17672" xr:uid="{00000000-0005-0000-0000-0000BF450000}"/>
    <cellStyle name="Standard 4 2 7 4 2 6" xfId="17673" xr:uid="{00000000-0005-0000-0000-0000C0450000}"/>
    <cellStyle name="Standard 4 2 7 4 2 7" xfId="17674" xr:uid="{00000000-0005-0000-0000-0000C1450000}"/>
    <cellStyle name="Standard 4 2 7 4 3" xfId="17675" xr:uid="{00000000-0005-0000-0000-0000C2450000}"/>
    <cellStyle name="Standard 4 2 7 4 3 2" xfId="17676" xr:uid="{00000000-0005-0000-0000-0000C3450000}"/>
    <cellStyle name="Standard 4 2 7 4 3 2 2" xfId="17677" xr:uid="{00000000-0005-0000-0000-0000C4450000}"/>
    <cellStyle name="Standard 4 2 7 4 3 2 3" xfId="17678" xr:uid="{00000000-0005-0000-0000-0000C5450000}"/>
    <cellStyle name="Standard 4 2 7 4 3 3" xfId="17679" xr:uid="{00000000-0005-0000-0000-0000C6450000}"/>
    <cellStyle name="Standard 4 2 7 4 3 3 2" xfId="17680" xr:uid="{00000000-0005-0000-0000-0000C7450000}"/>
    <cellStyle name="Standard 4 2 7 4 3 3 3" xfId="17681" xr:uid="{00000000-0005-0000-0000-0000C8450000}"/>
    <cellStyle name="Standard 4 2 7 4 3 4" xfId="17682" xr:uid="{00000000-0005-0000-0000-0000C9450000}"/>
    <cellStyle name="Standard 4 2 7 4 3 4 2" xfId="17683" xr:uid="{00000000-0005-0000-0000-0000CA450000}"/>
    <cellStyle name="Standard 4 2 7 4 3 5" xfId="17684" xr:uid="{00000000-0005-0000-0000-0000CB450000}"/>
    <cellStyle name="Standard 4 2 7 4 3 6" xfId="17685" xr:uid="{00000000-0005-0000-0000-0000CC450000}"/>
    <cellStyle name="Standard 4 2 7 4 4" xfId="17686" xr:uid="{00000000-0005-0000-0000-0000CD450000}"/>
    <cellStyle name="Standard 4 2 7 4 4 2" xfId="17687" xr:uid="{00000000-0005-0000-0000-0000CE450000}"/>
    <cellStyle name="Standard 4 2 7 4 4 3" xfId="17688" xr:uid="{00000000-0005-0000-0000-0000CF450000}"/>
    <cellStyle name="Standard 4 2 7 4 5" xfId="17689" xr:uid="{00000000-0005-0000-0000-0000D0450000}"/>
    <cellStyle name="Standard 4 2 7 4 5 2" xfId="17690" xr:uid="{00000000-0005-0000-0000-0000D1450000}"/>
    <cellStyle name="Standard 4 2 7 4 5 3" xfId="17691" xr:uid="{00000000-0005-0000-0000-0000D2450000}"/>
    <cellStyle name="Standard 4 2 7 4 6" xfId="17692" xr:uid="{00000000-0005-0000-0000-0000D3450000}"/>
    <cellStyle name="Standard 4 2 7 4 6 2" xfId="17693" xr:uid="{00000000-0005-0000-0000-0000D4450000}"/>
    <cellStyle name="Standard 4 2 7 4 7" xfId="17694" xr:uid="{00000000-0005-0000-0000-0000D5450000}"/>
    <cellStyle name="Standard 4 2 7 4 8" xfId="17695" xr:uid="{00000000-0005-0000-0000-0000D6450000}"/>
    <cellStyle name="Standard 4 2 7 5" xfId="17696" xr:uid="{00000000-0005-0000-0000-0000D7450000}"/>
    <cellStyle name="Standard 4 2 7 5 2" xfId="17697" xr:uid="{00000000-0005-0000-0000-0000D8450000}"/>
    <cellStyle name="Standard 4 2 7 5 2 2" xfId="17698" xr:uid="{00000000-0005-0000-0000-0000D9450000}"/>
    <cellStyle name="Standard 4 2 7 5 2 2 2" xfId="17699" xr:uid="{00000000-0005-0000-0000-0000DA450000}"/>
    <cellStyle name="Standard 4 2 7 5 2 2 3" xfId="17700" xr:uid="{00000000-0005-0000-0000-0000DB450000}"/>
    <cellStyle name="Standard 4 2 7 5 2 3" xfId="17701" xr:uid="{00000000-0005-0000-0000-0000DC450000}"/>
    <cellStyle name="Standard 4 2 7 5 2 3 2" xfId="17702" xr:uid="{00000000-0005-0000-0000-0000DD450000}"/>
    <cellStyle name="Standard 4 2 7 5 2 3 3" xfId="17703" xr:uid="{00000000-0005-0000-0000-0000DE450000}"/>
    <cellStyle name="Standard 4 2 7 5 2 4" xfId="17704" xr:uid="{00000000-0005-0000-0000-0000DF450000}"/>
    <cellStyle name="Standard 4 2 7 5 2 4 2" xfId="17705" xr:uid="{00000000-0005-0000-0000-0000E0450000}"/>
    <cellStyle name="Standard 4 2 7 5 2 5" xfId="17706" xr:uid="{00000000-0005-0000-0000-0000E1450000}"/>
    <cellStyle name="Standard 4 2 7 5 2 6" xfId="17707" xr:uid="{00000000-0005-0000-0000-0000E2450000}"/>
    <cellStyle name="Standard 4 2 7 5 3" xfId="17708" xr:uid="{00000000-0005-0000-0000-0000E3450000}"/>
    <cellStyle name="Standard 4 2 7 5 3 2" xfId="17709" xr:uid="{00000000-0005-0000-0000-0000E4450000}"/>
    <cellStyle name="Standard 4 2 7 5 3 3" xfId="17710" xr:uid="{00000000-0005-0000-0000-0000E5450000}"/>
    <cellStyle name="Standard 4 2 7 5 4" xfId="17711" xr:uid="{00000000-0005-0000-0000-0000E6450000}"/>
    <cellStyle name="Standard 4 2 7 5 4 2" xfId="17712" xr:uid="{00000000-0005-0000-0000-0000E7450000}"/>
    <cellStyle name="Standard 4 2 7 5 4 3" xfId="17713" xr:uid="{00000000-0005-0000-0000-0000E8450000}"/>
    <cellStyle name="Standard 4 2 7 5 5" xfId="17714" xr:uid="{00000000-0005-0000-0000-0000E9450000}"/>
    <cellStyle name="Standard 4 2 7 5 5 2" xfId="17715" xr:uid="{00000000-0005-0000-0000-0000EA450000}"/>
    <cellStyle name="Standard 4 2 7 5 6" xfId="17716" xr:uid="{00000000-0005-0000-0000-0000EB450000}"/>
    <cellStyle name="Standard 4 2 7 5 7" xfId="17717" xr:uid="{00000000-0005-0000-0000-0000EC450000}"/>
    <cellStyle name="Standard 4 2 7 6" xfId="17718" xr:uid="{00000000-0005-0000-0000-0000ED450000}"/>
    <cellStyle name="Standard 4 2 7 6 2" xfId="17719" xr:uid="{00000000-0005-0000-0000-0000EE450000}"/>
    <cellStyle name="Standard 4 2 7 6 2 2" xfId="17720" xr:uid="{00000000-0005-0000-0000-0000EF450000}"/>
    <cellStyle name="Standard 4 2 7 6 2 3" xfId="17721" xr:uid="{00000000-0005-0000-0000-0000F0450000}"/>
    <cellStyle name="Standard 4 2 7 6 3" xfId="17722" xr:uid="{00000000-0005-0000-0000-0000F1450000}"/>
    <cellStyle name="Standard 4 2 7 6 3 2" xfId="17723" xr:uid="{00000000-0005-0000-0000-0000F2450000}"/>
    <cellStyle name="Standard 4 2 7 6 3 3" xfId="17724" xr:uid="{00000000-0005-0000-0000-0000F3450000}"/>
    <cellStyle name="Standard 4 2 7 6 4" xfId="17725" xr:uid="{00000000-0005-0000-0000-0000F4450000}"/>
    <cellStyle name="Standard 4 2 7 6 4 2" xfId="17726" xr:uid="{00000000-0005-0000-0000-0000F5450000}"/>
    <cellStyle name="Standard 4 2 7 6 5" xfId="17727" xr:uid="{00000000-0005-0000-0000-0000F6450000}"/>
    <cellStyle name="Standard 4 2 7 6 6" xfId="17728" xr:uid="{00000000-0005-0000-0000-0000F7450000}"/>
    <cellStyle name="Standard 4 2 7 7" xfId="17729" xr:uid="{00000000-0005-0000-0000-0000F8450000}"/>
    <cellStyle name="Standard 4 2 7 7 2" xfId="17730" xr:uid="{00000000-0005-0000-0000-0000F9450000}"/>
    <cellStyle name="Standard 4 2 7 7 3" xfId="17731" xr:uid="{00000000-0005-0000-0000-0000FA450000}"/>
    <cellStyle name="Standard 4 2 7 8" xfId="17732" xr:uid="{00000000-0005-0000-0000-0000FB450000}"/>
    <cellStyle name="Standard 4 2 7 8 2" xfId="17733" xr:uid="{00000000-0005-0000-0000-0000FC450000}"/>
    <cellStyle name="Standard 4 2 7 8 3" xfId="17734" xr:uid="{00000000-0005-0000-0000-0000FD450000}"/>
    <cellStyle name="Standard 4 2 7 9" xfId="17735" xr:uid="{00000000-0005-0000-0000-0000FE450000}"/>
    <cellStyle name="Standard 4 2 7 9 2" xfId="17736" xr:uid="{00000000-0005-0000-0000-0000FF450000}"/>
    <cellStyle name="Standard 4 2 8" xfId="17737" xr:uid="{00000000-0005-0000-0000-000000460000}"/>
    <cellStyle name="Standard 4 2 8 10" xfId="17738" xr:uid="{00000000-0005-0000-0000-000001460000}"/>
    <cellStyle name="Standard 4 2 8 2" xfId="17739" xr:uid="{00000000-0005-0000-0000-000002460000}"/>
    <cellStyle name="Standard 4 2 8 2 2" xfId="17740" xr:uid="{00000000-0005-0000-0000-000003460000}"/>
    <cellStyle name="Standard 4 2 8 2 2 2" xfId="17741" xr:uid="{00000000-0005-0000-0000-000004460000}"/>
    <cellStyle name="Standard 4 2 8 2 2 2 2" xfId="17742" xr:uid="{00000000-0005-0000-0000-000005460000}"/>
    <cellStyle name="Standard 4 2 8 2 2 2 2 2" xfId="17743" xr:uid="{00000000-0005-0000-0000-000006460000}"/>
    <cellStyle name="Standard 4 2 8 2 2 2 2 3" xfId="17744" xr:uid="{00000000-0005-0000-0000-000007460000}"/>
    <cellStyle name="Standard 4 2 8 2 2 2 3" xfId="17745" xr:uid="{00000000-0005-0000-0000-000008460000}"/>
    <cellStyle name="Standard 4 2 8 2 2 2 3 2" xfId="17746" xr:uid="{00000000-0005-0000-0000-000009460000}"/>
    <cellStyle name="Standard 4 2 8 2 2 2 3 3" xfId="17747" xr:uid="{00000000-0005-0000-0000-00000A460000}"/>
    <cellStyle name="Standard 4 2 8 2 2 2 4" xfId="17748" xr:uid="{00000000-0005-0000-0000-00000B460000}"/>
    <cellStyle name="Standard 4 2 8 2 2 2 4 2" xfId="17749" xr:uid="{00000000-0005-0000-0000-00000C460000}"/>
    <cellStyle name="Standard 4 2 8 2 2 2 5" xfId="17750" xr:uid="{00000000-0005-0000-0000-00000D460000}"/>
    <cellStyle name="Standard 4 2 8 2 2 2 6" xfId="17751" xr:uid="{00000000-0005-0000-0000-00000E460000}"/>
    <cellStyle name="Standard 4 2 8 2 2 3" xfId="17752" xr:uid="{00000000-0005-0000-0000-00000F460000}"/>
    <cellStyle name="Standard 4 2 8 2 2 3 2" xfId="17753" xr:uid="{00000000-0005-0000-0000-000010460000}"/>
    <cellStyle name="Standard 4 2 8 2 2 3 3" xfId="17754" xr:uid="{00000000-0005-0000-0000-000011460000}"/>
    <cellStyle name="Standard 4 2 8 2 2 4" xfId="17755" xr:uid="{00000000-0005-0000-0000-000012460000}"/>
    <cellStyle name="Standard 4 2 8 2 2 4 2" xfId="17756" xr:uid="{00000000-0005-0000-0000-000013460000}"/>
    <cellStyle name="Standard 4 2 8 2 2 4 3" xfId="17757" xr:uid="{00000000-0005-0000-0000-000014460000}"/>
    <cellStyle name="Standard 4 2 8 2 2 5" xfId="17758" xr:uid="{00000000-0005-0000-0000-000015460000}"/>
    <cellStyle name="Standard 4 2 8 2 2 5 2" xfId="17759" xr:uid="{00000000-0005-0000-0000-000016460000}"/>
    <cellStyle name="Standard 4 2 8 2 2 6" xfId="17760" xr:uid="{00000000-0005-0000-0000-000017460000}"/>
    <cellStyle name="Standard 4 2 8 2 2 7" xfId="17761" xr:uid="{00000000-0005-0000-0000-000018460000}"/>
    <cellStyle name="Standard 4 2 8 2 3" xfId="17762" xr:uid="{00000000-0005-0000-0000-000019460000}"/>
    <cellStyle name="Standard 4 2 8 2 3 2" xfId="17763" xr:uid="{00000000-0005-0000-0000-00001A460000}"/>
    <cellStyle name="Standard 4 2 8 2 3 2 2" xfId="17764" xr:uid="{00000000-0005-0000-0000-00001B460000}"/>
    <cellStyle name="Standard 4 2 8 2 3 2 3" xfId="17765" xr:uid="{00000000-0005-0000-0000-00001C460000}"/>
    <cellStyle name="Standard 4 2 8 2 3 3" xfId="17766" xr:uid="{00000000-0005-0000-0000-00001D460000}"/>
    <cellStyle name="Standard 4 2 8 2 3 3 2" xfId="17767" xr:uid="{00000000-0005-0000-0000-00001E460000}"/>
    <cellStyle name="Standard 4 2 8 2 3 3 3" xfId="17768" xr:uid="{00000000-0005-0000-0000-00001F460000}"/>
    <cellStyle name="Standard 4 2 8 2 3 4" xfId="17769" xr:uid="{00000000-0005-0000-0000-000020460000}"/>
    <cellStyle name="Standard 4 2 8 2 3 4 2" xfId="17770" xr:uid="{00000000-0005-0000-0000-000021460000}"/>
    <cellStyle name="Standard 4 2 8 2 3 5" xfId="17771" xr:uid="{00000000-0005-0000-0000-000022460000}"/>
    <cellStyle name="Standard 4 2 8 2 3 6" xfId="17772" xr:uid="{00000000-0005-0000-0000-000023460000}"/>
    <cellStyle name="Standard 4 2 8 2 4" xfId="17773" xr:uid="{00000000-0005-0000-0000-000024460000}"/>
    <cellStyle name="Standard 4 2 8 2 4 2" xfId="17774" xr:uid="{00000000-0005-0000-0000-000025460000}"/>
    <cellStyle name="Standard 4 2 8 2 4 3" xfId="17775" xr:uid="{00000000-0005-0000-0000-000026460000}"/>
    <cellStyle name="Standard 4 2 8 2 5" xfId="17776" xr:uid="{00000000-0005-0000-0000-000027460000}"/>
    <cellStyle name="Standard 4 2 8 2 5 2" xfId="17777" xr:uid="{00000000-0005-0000-0000-000028460000}"/>
    <cellStyle name="Standard 4 2 8 2 5 3" xfId="17778" xr:uid="{00000000-0005-0000-0000-000029460000}"/>
    <cellStyle name="Standard 4 2 8 2 6" xfId="17779" xr:uid="{00000000-0005-0000-0000-00002A460000}"/>
    <cellStyle name="Standard 4 2 8 2 6 2" xfId="17780" xr:uid="{00000000-0005-0000-0000-00002B460000}"/>
    <cellStyle name="Standard 4 2 8 2 7" xfId="17781" xr:uid="{00000000-0005-0000-0000-00002C460000}"/>
    <cellStyle name="Standard 4 2 8 2 8" xfId="17782" xr:uid="{00000000-0005-0000-0000-00002D460000}"/>
    <cellStyle name="Standard 4 2 8 3" xfId="17783" xr:uid="{00000000-0005-0000-0000-00002E460000}"/>
    <cellStyle name="Standard 4 2 8 3 2" xfId="17784" xr:uid="{00000000-0005-0000-0000-00002F460000}"/>
    <cellStyle name="Standard 4 2 8 3 2 2" xfId="17785" xr:uid="{00000000-0005-0000-0000-000030460000}"/>
    <cellStyle name="Standard 4 2 8 3 2 2 2" xfId="17786" xr:uid="{00000000-0005-0000-0000-000031460000}"/>
    <cellStyle name="Standard 4 2 8 3 2 2 2 2" xfId="17787" xr:uid="{00000000-0005-0000-0000-000032460000}"/>
    <cellStyle name="Standard 4 2 8 3 2 2 2 3" xfId="17788" xr:uid="{00000000-0005-0000-0000-000033460000}"/>
    <cellStyle name="Standard 4 2 8 3 2 2 3" xfId="17789" xr:uid="{00000000-0005-0000-0000-000034460000}"/>
    <cellStyle name="Standard 4 2 8 3 2 2 3 2" xfId="17790" xr:uid="{00000000-0005-0000-0000-000035460000}"/>
    <cellStyle name="Standard 4 2 8 3 2 2 3 3" xfId="17791" xr:uid="{00000000-0005-0000-0000-000036460000}"/>
    <cellStyle name="Standard 4 2 8 3 2 2 4" xfId="17792" xr:uid="{00000000-0005-0000-0000-000037460000}"/>
    <cellStyle name="Standard 4 2 8 3 2 2 4 2" xfId="17793" xr:uid="{00000000-0005-0000-0000-000038460000}"/>
    <cellStyle name="Standard 4 2 8 3 2 2 5" xfId="17794" xr:uid="{00000000-0005-0000-0000-000039460000}"/>
    <cellStyle name="Standard 4 2 8 3 2 2 6" xfId="17795" xr:uid="{00000000-0005-0000-0000-00003A460000}"/>
    <cellStyle name="Standard 4 2 8 3 2 3" xfId="17796" xr:uid="{00000000-0005-0000-0000-00003B460000}"/>
    <cellStyle name="Standard 4 2 8 3 2 3 2" xfId="17797" xr:uid="{00000000-0005-0000-0000-00003C460000}"/>
    <cellStyle name="Standard 4 2 8 3 2 3 3" xfId="17798" xr:uid="{00000000-0005-0000-0000-00003D460000}"/>
    <cellStyle name="Standard 4 2 8 3 2 4" xfId="17799" xr:uid="{00000000-0005-0000-0000-00003E460000}"/>
    <cellStyle name="Standard 4 2 8 3 2 4 2" xfId="17800" xr:uid="{00000000-0005-0000-0000-00003F460000}"/>
    <cellStyle name="Standard 4 2 8 3 2 4 3" xfId="17801" xr:uid="{00000000-0005-0000-0000-000040460000}"/>
    <cellStyle name="Standard 4 2 8 3 2 5" xfId="17802" xr:uid="{00000000-0005-0000-0000-000041460000}"/>
    <cellStyle name="Standard 4 2 8 3 2 5 2" xfId="17803" xr:uid="{00000000-0005-0000-0000-000042460000}"/>
    <cellStyle name="Standard 4 2 8 3 2 6" xfId="17804" xr:uid="{00000000-0005-0000-0000-000043460000}"/>
    <cellStyle name="Standard 4 2 8 3 2 7" xfId="17805" xr:uid="{00000000-0005-0000-0000-000044460000}"/>
    <cellStyle name="Standard 4 2 8 3 3" xfId="17806" xr:uid="{00000000-0005-0000-0000-000045460000}"/>
    <cellStyle name="Standard 4 2 8 3 3 2" xfId="17807" xr:uid="{00000000-0005-0000-0000-000046460000}"/>
    <cellStyle name="Standard 4 2 8 3 3 2 2" xfId="17808" xr:uid="{00000000-0005-0000-0000-000047460000}"/>
    <cellStyle name="Standard 4 2 8 3 3 2 3" xfId="17809" xr:uid="{00000000-0005-0000-0000-000048460000}"/>
    <cellStyle name="Standard 4 2 8 3 3 3" xfId="17810" xr:uid="{00000000-0005-0000-0000-000049460000}"/>
    <cellStyle name="Standard 4 2 8 3 3 3 2" xfId="17811" xr:uid="{00000000-0005-0000-0000-00004A460000}"/>
    <cellStyle name="Standard 4 2 8 3 3 3 3" xfId="17812" xr:uid="{00000000-0005-0000-0000-00004B460000}"/>
    <cellStyle name="Standard 4 2 8 3 3 4" xfId="17813" xr:uid="{00000000-0005-0000-0000-00004C460000}"/>
    <cellStyle name="Standard 4 2 8 3 3 4 2" xfId="17814" xr:uid="{00000000-0005-0000-0000-00004D460000}"/>
    <cellStyle name="Standard 4 2 8 3 3 5" xfId="17815" xr:uid="{00000000-0005-0000-0000-00004E460000}"/>
    <cellStyle name="Standard 4 2 8 3 3 6" xfId="17816" xr:uid="{00000000-0005-0000-0000-00004F460000}"/>
    <cellStyle name="Standard 4 2 8 3 4" xfId="17817" xr:uid="{00000000-0005-0000-0000-000050460000}"/>
    <cellStyle name="Standard 4 2 8 3 4 2" xfId="17818" xr:uid="{00000000-0005-0000-0000-000051460000}"/>
    <cellStyle name="Standard 4 2 8 3 4 3" xfId="17819" xr:uid="{00000000-0005-0000-0000-000052460000}"/>
    <cellStyle name="Standard 4 2 8 3 5" xfId="17820" xr:uid="{00000000-0005-0000-0000-000053460000}"/>
    <cellStyle name="Standard 4 2 8 3 5 2" xfId="17821" xr:uid="{00000000-0005-0000-0000-000054460000}"/>
    <cellStyle name="Standard 4 2 8 3 5 3" xfId="17822" xr:uid="{00000000-0005-0000-0000-000055460000}"/>
    <cellStyle name="Standard 4 2 8 3 6" xfId="17823" xr:uid="{00000000-0005-0000-0000-000056460000}"/>
    <cellStyle name="Standard 4 2 8 3 6 2" xfId="17824" xr:uid="{00000000-0005-0000-0000-000057460000}"/>
    <cellStyle name="Standard 4 2 8 3 7" xfId="17825" xr:uid="{00000000-0005-0000-0000-000058460000}"/>
    <cellStyle name="Standard 4 2 8 3 8" xfId="17826" xr:uid="{00000000-0005-0000-0000-000059460000}"/>
    <cellStyle name="Standard 4 2 8 4" xfId="17827" xr:uid="{00000000-0005-0000-0000-00005A460000}"/>
    <cellStyle name="Standard 4 2 8 4 2" xfId="17828" xr:uid="{00000000-0005-0000-0000-00005B460000}"/>
    <cellStyle name="Standard 4 2 8 4 2 2" xfId="17829" xr:uid="{00000000-0005-0000-0000-00005C460000}"/>
    <cellStyle name="Standard 4 2 8 4 2 2 2" xfId="17830" xr:uid="{00000000-0005-0000-0000-00005D460000}"/>
    <cellStyle name="Standard 4 2 8 4 2 2 3" xfId="17831" xr:uid="{00000000-0005-0000-0000-00005E460000}"/>
    <cellStyle name="Standard 4 2 8 4 2 3" xfId="17832" xr:uid="{00000000-0005-0000-0000-00005F460000}"/>
    <cellStyle name="Standard 4 2 8 4 2 3 2" xfId="17833" xr:uid="{00000000-0005-0000-0000-000060460000}"/>
    <cellStyle name="Standard 4 2 8 4 2 3 3" xfId="17834" xr:uid="{00000000-0005-0000-0000-000061460000}"/>
    <cellStyle name="Standard 4 2 8 4 2 4" xfId="17835" xr:uid="{00000000-0005-0000-0000-000062460000}"/>
    <cellStyle name="Standard 4 2 8 4 2 4 2" xfId="17836" xr:uid="{00000000-0005-0000-0000-000063460000}"/>
    <cellStyle name="Standard 4 2 8 4 2 5" xfId="17837" xr:uid="{00000000-0005-0000-0000-000064460000}"/>
    <cellStyle name="Standard 4 2 8 4 2 6" xfId="17838" xr:uid="{00000000-0005-0000-0000-000065460000}"/>
    <cellStyle name="Standard 4 2 8 4 3" xfId="17839" xr:uid="{00000000-0005-0000-0000-000066460000}"/>
    <cellStyle name="Standard 4 2 8 4 3 2" xfId="17840" xr:uid="{00000000-0005-0000-0000-000067460000}"/>
    <cellStyle name="Standard 4 2 8 4 3 3" xfId="17841" xr:uid="{00000000-0005-0000-0000-000068460000}"/>
    <cellStyle name="Standard 4 2 8 4 4" xfId="17842" xr:uid="{00000000-0005-0000-0000-000069460000}"/>
    <cellStyle name="Standard 4 2 8 4 4 2" xfId="17843" xr:uid="{00000000-0005-0000-0000-00006A460000}"/>
    <cellStyle name="Standard 4 2 8 4 4 3" xfId="17844" xr:uid="{00000000-0005-0000-0000-00006B460000}"/>
    <cellStyle name="Standard 4 2 8 4 5" xfId="17845" xr:uid="{00000000-0005-0000-0000-00006C460000}"/>
    <cellStyle name="Standard 4 2 8 4 5 2" xfId="17846" xr:uid="{00000000-0005-0000-0000-00006D460000}"/>
    <cellStyle name="Standard 4 2 8 4 6" xfId="17847" xr:uid="{00000000-0005-0000-0000-00006E460000}"/>
    <cellStyle name="Standard 4 2 8 4 7" xfId="17848" xr:uid="{00000000-0005-0000-0000-00006F460000}"/>
    <cellStyle name="Standard 4 2 8 5" xfId="17849" xr:uid="{00000000-0005-0000-0000-000070460000}"/>
    <cellStyle name="Standard 4 2 8 5 2" xfId="17850" xr:uid="{00000000-0005-0000-0000-000071460000}"/>
    <cellStyle name="Standard 4 2 8 5 2 2" xfId="17851" xr:uid="{00000000-0005-0000-0000-000072460000}"/>
    <cellStyle name="Standard 4 2 8 5 2 3" xfId="17852" xr:uid="{00000000-0005-0000-0000-000073460000}"/>
    <cellStyle name="Standard 4 2 8 5 3" xfId="17853" xr:uid="{00000000-0005-0000-0000-000074460000}"/>
    <cellStyle name="Standard 4 2 8 5 3 2" xfId="17854" xr:uid="{00000000-0005-0000-0000-000075460000}"/>
    <cellStyle name="Standard 4 2 8 5 3 3" xfId="17855" xr:uid="{00000000-0005-0000-0000-000076460000}"/>
    <cellStyle name="Standard 4 2 8 5 4" xfId="17856" xr:uid="{00000000-0005-0000-0000-000077460000}"/>
    <cellStyle name="Standard 4 2 8 5 4 2" xfId="17857" xr:uid="{00000000-0005-0000-0000-000078460000}"/>
    <cellStyle name="Standard 4 2 8 5 5" xfId="17858" xr:uid="{00000000-0005-0000-0000-000079460000}"/>
    <cellStyle name="Standard 4 2 8 5 6" xfId="17859" xr:uid="{00000000-0005-0000-0000-00007A460000}"/>
    <cellStyle name="Standard 4 2 8 6" xfId="17860" xr:uid="{00000000-0005-0000-0000-00007B460000}"/>
    <cellStyle name="Standard 4 2 8 6 2" xfId="17861" xr:uid="{00000000-0005-0000-0000-00007C460000}"/>
    <cellStyle name="Standard 4 2 8 6 3" xfId="17862" xr:uid="{00000000-0005-0000-0000-00007D460000}"/>
    <cellStyle name="Standard 4 2 8 7" xfId="17863" xr:uid="{00000000-0005-0000-0000-00007E460000}"/>
    <cellStyle name="Standard 4 2 8 7 2" xfId="17864" xr:uid="{00000000-0005-0000-0000-00007F460000}"/>
    <cellStyle name="Standard 4 2 8 7 3" xfId="17865" xr:uid="{00000000-0005-0000-0000-000080460000}"/>
    <cellStyle name="Standard 4 2 8 8" xfId="17866" xr:uid="{00000000-0005-0000-0000-000081460000}"/>
    <cellStyle name="Standard 4 2 8 8 2" xfId="17867" xr:uid="{00000000-0005-0000-0000-000082460000}"/>
    <cellStyle name="Standard 4 2 8 9" xfId="17868" xr:uid="{00000000-0005-0000-0000-000083460000}"/>
    <cellStyle name="Standard 4 2 9" xfId="17869" xr:uid="{00000000-0005-0000-0000-000084460000}"/>
    <cellStyle name="Standard 4 2 9 2" xfId="17870" xr:uid="{00000000-0005-0000-0000-000085460000}"/>
    <cellStyle name="Standard 4 2 9 2 2" xfId="17871" xr:uid="{00000000-0005-0000-0000-000086460000}"/>
    <cellStyle name="Standard 4 2 9 2 2 2" xfId="17872" xr:uid="{00000000-0005-0000-0000-000087460000}"/>
    <cellStyle name="Standard 4 2 9 2 2 2 2" xfId="17873" xr:uid="{00000000-0005-0000-0000-000088460000}"/>
    <cellStyle name="Standard 4 2 9 2 2 2 2 2" xfId="17874" xr:uid="{00000000-0005-0000-0000-000089460000}"/>
    <cellStyle name="Standard 4 2 9 2 2 2 2 3" xfId="17875" xr:uid="{00000000-0005-0000-0000-00008A460000}"/>
    <cellStyle name="Standard 4 2 9 2 2 2 3" xfId="17876" xr:uid="{00000000-0005-0000-0000-00008B460000}"/>
    <cellStyle name="Standard 4 2 9 2 2 2 3 2" xfId="17877" xr:uid="{00000000-0005-0000-0000-00008C460000}"/>
    <cellStyle name="Standard 4 2 9 2 2 2 3 3" xfId="17878" xr:uid="{00000000-0005-0000-0000-00008D460000}"/>
    <cellStyle name="Standard 4 2 9 2 2 2 4" xfId="17879" xr:uid="{00000000-0005-0000-0000-00008E460000}"/>
    <cellStyle name="Standard 4 2 9 2 2 2 4 2" xfId="17880" xr:uid="{00000000-0005-0000-0000-00008F460000}"/>
    <cellStyle name="Standard 4 2 9 2 2 2 5" xfId="17881" xr:uid="{00000000-0005-0000-0000-000090460000}"/>
    <cellStyle name="Standard 4 2 9 2 2 2 6" xfId="17882" xr:uid="{00000000-0005-0000-0000-000091460000}"/>
    <cellStyle name="Standard 4 2 9 2 2 3" xfId="17883" xr:uid="{00000000-0005-0000-0000-000092460000}"/>
    <cellStyle name="Standard 4 2 9 2 2 3 2" xfId="17884" xr:uid="{00000000-0005-0000-0000-000093460000}"/>
    <cellStyle name="Standard 4 2 9 2 2 3 3" xfId="17885" xr:uid="{00000000-0005-0000-0000-000094460000}"/>
    <cellStyle name="Standard 4 2 9 2 2 4" xfId="17886" xr:uid="{00000000-0005-0000-0000-000095460000}"/>
    <cellStyle name="Standard 4 2 9 2 2 4 2" xfId="17887" xr:uid="{00000000-0005-0000-0000-000096460000}"/>
    <cellStyle name="Standard 4 2 9 2 2 4 3" xfId="17888" xr:uid="{00000000-0005-0000-0000-000097460000}"/>
    <cellStyle name="Standard 4 2 9 2 2 5" xfId="17889" xr:uid="{00000000-0005-0000-0000-000098460000}"/>
    <cellStyle name="Standard 4 2 9 2 2 5 2" xfId="17890" xr:uid="{00000000-0005-0000-0000-000099460000}"/>
    <cellStyle name="Standard 4 2 9 2 2 6" xfId="17891" xr:uid="{00000000-0005-0000-0000-00009A460000}"/>
    <cellStyle name="Standard 4 2 9 2 2 7" xfId="17892" xr:uid="{00000000-0005-0000-0000-00009B460000}"/>
    <cellStyle name="Standard 4 2 9 2 3" xfId="17893" xr:uid="{00000000-0005-0000-0000-00009C460000}"/>
    <cellStyle name="Standard 4 2 9 2 3 2" xfId="17894" xr:uid="{00000000-0005-0000-0000-00009D460000}"/>
    <cellStyle name="Standard 4 2 9 2 3 2 2" xfId="17895" xr:uid="{00000000-0005-0000-0000-00009E460000}"/>
    <cellStyle name="Standard 4 2 9 2 3 2 3" xfId="17896" xr:uid="{00000000-0005-0000-0000-00009F460000}"/>
    <cellStyle name="Standard 4 2 9 2 3 3" xfId="17897" xr:uid="{00000000-0005-0000-0000-0000A0460000}"/>
    <cellStyle name="Standard 4 2 9 2 3 3 2" xfId="17898" xr:uid="{00000000-0005-0000-0000-0000A1460000}"/>
    <cellStyle name="Standard 4 2 9 2 3 3 3" xfId="17899" xr:uid="{00000000-0005-0000-0000-0000A2460000}"/>
    <cellStyle name="Standard 4 2 9 2 3 4" xfId="17900" xr:uid="{00000000-0005-0000-0000-0000A3460000}"/>
    <cellStyle name="Standard 4 2 9 2 3 4 2" xfId="17901" xr:uid="{00000000-0005-0000-0000-0000A4460000}"/>
    <cellStyle name="Standard 4 2 9 2 3 5" xfId="17902" xr:uid="{00000000-0005-0000-0000-0000A5460000}"/>
    <cellStyle name="Standard 4 2 9 2 3 6" xfId="17903" xr:uid="{00000000-0005-0000-0000-0000A6460000}"/>
    <cellStyle name="Standard 4 2 9 2 4" xfId="17904" xr:uid="{00000000-0005-0000-0000-0000A7460000}"/>
    <cellStyle name="Standard 4 2 9 2 4 2" xfId="17905" xr:uid="{00000000-0005-0000-0000-0000A8460000}"/>
    <cellStyle name="Standard 4 2 9 2 4 3" xfId="17906" xr:uid="{00000000-0005-0000-0000-0000A9460000}"/>
    <cellStyle name="Standard 4 2 9 2 5" xfId="17907" xr:uid="{00000000-0005-0000-0000-0000AA460000}"/>
    <cellStyle name="Standard 4 2 9 2 5 2" xfId="17908" xr:uid="{00000000-0005-0000-0000-0000AB460000}"/>
    <cellStyle name="Standard 4 2 9 2 5 3" xfId="17909" xr:uid="{00000000-0005-0000-0000-0000AC460000}"/>
    <cellStyle name="Standard 4 2 9 2 6" xfId="17910" xr:uid="{00000000-0005-0000-0000-0000AD460000}"/>
    <cellStyle name="Standard 4 2 9 2 6 2" xfId="17911" xr:uid="{00000000-0005-0000-0000-0000AE460000}"/>
    <cellStyle name="Standard 4 2 9 2 7" xfId="17912" xr:uid="{00000000-0005-0000-0000-0000AF460000}"/>
    <cellStyle name="Standard 4 2 9 2 8" xfId="17913" xr:uid="{00000000-0005-0000-0000-0000B0460000}"/>
    <cellStyle name="Standard 4 2 9 3" xfId="17914" xr:uid="{00000000-0005-0000-0000-0000B1460000}"/>
    <cellStyle name="Standard 4 2 9 3 2" xfId="17915" xr:uid="{00000000-0005-0000-0000-0000B2460000}"/>
    <cellStyle name="Standard 4 2 9 3 2 2" xfId="17916" xr:uid="{00000000-0005-0000-0000-0000B3460000}"/>
    <cellStyle name="Standard 4 2 9 3 2 2 2" xfId="17917" xr:uid="{00000000-0005-0000-0000-0000B4460000}"/>
    <cellStyle name="Standard 4 2 9 3 2 2 3" xfId="17918" xr:uid="{00000000-0005-0000-0000-0000B5460000}"/>
    <cellStyle name="Standard 4 2 9 3 2 3" xfId="17919" xr:uid="{00000000-0005-0000-0000-0000B6460000}"/>
    <cellStyle name="Standard 4 2 9 3 2 3 2" xfId="17920" xr:uid="{00000000-0005-0000-0000-0000B7460000}"/>
    <cellStyle name="Standard 4 2 9 3 2 3 3" xfId="17921" xr:uid="{00000000-0005-0000-0000-0000B8460000}"/>
    <cellStyle name="Standard 4 2 9 3 2 4" xfId="17922" xr:uid="{00000000-0005-0000-0000-0000B9460000}"/>
    <cellStyle name="Standard 4 2 9 3 2 4 2" xfId="17923" xr:uid="{00000000-0005-0000-0000-0000BA460000}"/>
    <cellStyle name="Standard 4 2 9 3 2 5" xfId="17924" xr:uid="{00000000-0005-0000-0000-0000BB460000}"/>
    <cellStyle name="Standard 4 2 9 3 2 6" xfId="17925" xr:uid="{00000000-0005-0000-0000-0000BC460000}"/>
    <cellStyle name="Standard 4 2 9 3 3" xfId="17926" xr:uid="{00000000-0005-0000-0000-0000BD460000}"/>
    <cellStyle name="Standard 4 2 9 3 3 2" xfId="17927" xr:uid="{00000000-0005-0000-0000-0000BE460000}"/>
    <cellStyle name="Standard 4 2 9 3 3 3" xfId="17928" xr:uid="{00000000-0005-0000-0000-0000BF460000}"/>
    <cellStyle name="Standard 4 2 9 3 4" xfId="17929" xr:uid="{00000000-0005-0000-0000-0000C0460000}"/>
    <cellStyle name="Standard 4 2 9 3 4 2" xfId="17930" xr:uid="{00000000-0005-0000-0000-0000C1460000}"/>
    <cellStyle name="Standard 4 2 9 3 4 3" xfId="17931" xr:uid="{00000000-0005-0000-0000-0000C2460000}"/>
    <cellStyle name="Standard 4 2 9 3 5" xfId="17932" xr:uid="{00000000-0005-0000-0000-0000C3460000}"/>
    <cellStyle name="Standard 4 2 9 3 5 2" xfId="17933" xr:uid="{00000000-0005-0000-0000-0000C4460000}"/>
    <cellStyle name="Standard 4 2 9 3 6" xfId="17934" xr:uid="{00000000-0005-0000-0000-0000C5460000}"/>
    <cellStyle name="Standard 4 2 9 3 7" xfId="17935" xr:uid="{00000000-0005-0000-0000-0000C6460000}"/>
    <cellStyle name="Standard 4 2 9 4" xfId="17936" xr:uid="{00000000-0005-0000-0000-0000C7460000}"/>
    <cellStyle name="Standard 4 2 9 4 2" xfId="17937" xr:uid="{00000000-0005-0000-0000-0000C8460000}"/>
    <cellStyle name="Standard 4 2 9 4 2 2" xfId="17938" xr:uid="{00000000-0005-0000-0000-0000C9460000}"/>
    <cellStyle name="Standard 4 2 9 4 2 3" xfId="17939" xr:uid="{00000000-0005-0000-0000-0000CA460000}"/>
    <cellStyle name="Standard 4 2 9 4 3" xfId="17940" xr:uid="{00000000-0005-0000-0000-0000CB460000}"/>
    <cellStyle name="Standard 4 2 9 4 3 2" xfId="17941" xr:uid="{00000000-0005-0000-0000-0000CC460000}"/>
    <cellStyle name="Standard 4 2 9 4 3 3" xfId="17942" xr:uid="{00000000-0005-0000-0000-0000CD460000}"/>
    <cellStyle name="Standard 4 2 9 4 4" xfId="17943" xr:uid="{00000000-0005-0000-0000-0000CE460000}"/>
    <cellStyle name="Standard 4 2 9 4 4 2" xfId="17944" xr:uid="{00000000-0005-0000-0000-0000CF460000}"/>
    <cellStyle name="Standard 4 2 9 4 5" xfId="17945" xr:uid="{00000000-0005-0000-0000-0000D0460000}"/>
    <cellStyle name="Standard 4 2 9 4 6" xfId="17946" xr:uid="{00000000-0005-0000-0000-0000D1460000}"/>
    <cellStyle name="Standard 4 2 9 5" xfId="17947" xr:uid="{00000000-0005-0000-0000-0000D2460000}"/>
    <cellStyle name="Standard 4 2 9 5 2" xfId="17948" xr:uid="{00000000-0005-0000-0000-0000D3460000}"/>
    <cellStyle name="Standard 4 2 9 5 3" xfId="17949" xr:uid="{00000000-0005-0000-0000-0000D4460000}"/>
    <cellStyle name="Standard 4 2 9 6" xfId="17950" xr:uid="{00000000-0005-0000-0000-0000D5460000}"/>
    <cellStyle name="Standard 4 2 9 6 2" xfId="17951" xr:uid="{00000000-0005-0000-0000-0000D6460000}"/>
    <cellStyle name="Standard 4 2 9 6 3" xfId="17952" xr:uid="{00000000-0005-0000-0000-0000D7460000}"/>
    <cellStyle name="Standard 4 2 9 7" xfId="17953" xr:uid="{00000000-0005-0000-0000-0000D8460000}"/>
    <cellStyle name="Standard 4 2 9 7 2" xfId="17954" xr:uid="{00000000-0005-0000-0000-0000D9460000}"/>
    <cellStyle name="Standard 4 2 9 8" xfId="17955" xr:uid="{00000000-0005-0000-0000-0000DA460000}"/>
    <cellStyle name="Standard 4 2 9 9" xfId="17956" xr:uid="{00000000-0005-0000-0000-0000DB460000}"/>
    <cellStyle name="Standard 4 20" xfId="17957" xr:uid="{00000000-0005-0000-0000-0000DC460000}"/>
    <cellStyle name="Standard 4 21" xfId="17958" xr:uid="{00000000-0005-0000-0000-0000DD460000}"/>
    <cellStyle name="Standard 4 22" xfId="33114" xr:uid="{00000000-0005-0000-0000-0000DE460000}"/>
    <cellStyle name="Standard 4 23" xfId="33189" xr:uid="{00000000-0005-0000-0000-0000DF460000}"/>
    <cellStyle name="Standard 4 24" xfId="33264" xr:uid="{00000000-0005-0000-0000-0000E0460000}"/>
    <cellStyle name="Standard 4 25" xfId="33339" xr:uid="{00000000-0005-0000-0000-0000E1460000}"/>
    <cellStyle name="Standard 4 3" xfId="586" xr:uid="{00000000-0005-0000-0000-0000E2460000}"/>
    <cellStyle name="Standard 4 3 10" xfId="17959" xr:uid="{00000000-0005-0000-0000-0000E3460000}"/>
    <cellStyle name="Standard 4 3 10 2" xfId="17960" xr:uid="{00000000-0005-0000-0000-0000E4460000}"/>
    <cellStyle name="Standard 4 3 10 2 2" xfId="17961" xr:uid="{00000000-0005-0000-0000-0000E5460000}"/>
    <cellStyle name="Standard 4 3 10 2 2 2" xfId="17962" xr:uid="{00000000-0005-0000-0000-0000E6460000}"/>
    <cellStyle name="Standard 4 3 10 2 2 2 2" xfId="17963" xr:uid="{00000000-0005-0000-0000-0000E7460000}"/>
    <cellStyle name="Standard 4 3 10 2 2 2 3" xfId="17964" xr:uid="{00000000-0005-0000-0000-0000E8460000}"/>
    <cellStyle name="Standard 4 3 10 2 2 3" xfId="17965" xr:uid="{00000000-0005-0000-0000-0000E9460000}"/>
    <cellStyle name="Standard 4 3 10 2 2 3 2" xfId="17966" xr:uid="{00000000-0005-0000-0000-0000EA460000}"/>
    <cellStyle name="Standard 4 3 10 2 2 3 3" xfId="17967" xr:uid="{00000000-0005-0000-0000-0000EB460000}"/>
    <cellStyle name="Standard 4 3 10 2 2 4" xfId="17968" xr:uid="{00000000-0005-0000-0000-0000EC460000}"/>
    <cellStyle name="Standard 4 3 10 2 2 4 2" xfId="17969" xr:uid="{00000000-0005-0000-0000-0000ED460000}"/>
    <cellStyle name="Standard 4 3 10 2 2 5" xfId="17970" xr:uid="{00000000-0005-0000-0000-0000EE460000}"/>
    <cellStyle name="Standard 4 3 10 2 2 6" xfId="17971" xr:uid="{00000000-0005-0000-0000-0000EF460000}"/>
    <cellStyle name="Standard 4 3 10 2 3" xfId="17972" xr:uid="{00000000-0005-0000-0000-0000F0460000}"/>
    <cellStyle name="Standard 4 3 10 2 3 2" xfId="17973" xr:uid="{00000000-0005-0000-0000-0000F1460000}"/>
    <cellStyle name="Standard 4 3 10 2 3 3" xfId="17974" xr:uid="{00000000-0005-0000-0000-0000F2460000}"/>
    <cellStyle name="Standard 4 3 10 2 4" xfId="17975" xr:uid="{00000000-0005-0000-0000-0000F3460000}"/>
    <cellStyle name="Standard 4 3 10 2 4 2" xfId="17976" xr:uid="{00000000-0005-0000-0000-0000F4460000}"/>
    <cellStyle name="Standard 4 3 10 2 4 3" xfId="17977" xr:uid="{00000000-0005-0000-0000-0000F5460000}"/>
    <cellStyle name="Standard 4 3 10 2 5" xfId="17978" xr:uid="{00000000-0005-0000-0000-0000F6460000}"/>
    <cellStyle name="Standard 4 3 10 2 5 2" xfId="17979" xr:uid="{00000000-0005-0000-0000-0000F7460000}"/>
    <cellStyle name="Standard 4 3 10 2 6" xfId="17980" xr:uid="{00000000-0005-0000-0000-0000F8460000}"/>
    <cellStyle name="Standard 4 3 10 2 7" xfId="17981" xr:uid="{00000000-0005-0000-0000-0000F9460000}"/>
    <cellStyle name="Standard 4 3 10 3" xfId="17982" xr:uid="{00000000-0005-0000-0000-0000FA460000}"/>
    <cellStyle name="Standard 4 3 10 3 2" xfId="17983" xr:uid="{00000000-0005-0000-0000-0000FB460000}"/>
    <cellStyle name="Standard 4 3 10 3 2 2" xfId="17984" xr:uid="{00000000-0005-0000-0000-0000FC460000}"/>
    <cellStyle name="Standard 4 3 10 3 2 3" xfId="17985" xr:uid="{00000000-0005-0000-0000-0000FD460000}"/>
    <cellStyle name="Standard 4 3 10 3 3" xfId="17986" xr:uid="{00000000-0005-0000-0000-0000FE460000}"/>
    <cellStyle name="Standard 4 3 10 3 3 2" xfId="17987" xr:uid="{00000000-0005-0000-0000-0000FF460000}"/>
    <cellStyle name="Standard 4 3 10 3 3 3" xfId="17988" xr:uid="{00000000-0005-0000-0000-000000470000}"/>
    <cellStyle name="Standard 4 3 10 3 4" xfId="17989" xr:uid="{00000000-0005-0000-0000-000001470000}"/>
    <cellStyle name="Standard 4 3 10 3 4 2" xfId="17990" xr:uid="{00000000-0005-0000-0000-000002470000}"/>
    <cellStyle name="Standard 4 3 10 3 5" xfId="17991" xr:uid="{00000000-0005-0000-0000-000003470000}"/>
    <cellStyle name="Standard 4 3 10 3 6" xfId="17992" xr:uid="{00000000-0005-0000-0000-000004470000}"/>
    <cellStyle name="Standard 4 3 10 4" xfId="17993" xr:uid="{00000000-0005-0000-0000-000005470000}"/>
    <cellStyle name="Standard 4 3 10 4 2" xfId="17994" xr:uid="{00000000-0005-0000-0000-000006470000}"/>
    <cellStyle name="Standard 4 3 10 4 3" xfId="17995" xr:uid="{00000000-0005-0000-0000-000007470000}"/>
    <cellStyle name="Standard 4 3 10 5" xfId="17996" xr:uid="{00000000-0005-0000-0000-000008470000}"/>
    <cellStyle name="Standard 4 3 10 5 2" xfId="17997" xr:uid="{00000000-0005-0000-0000-000009470000}"/>
    <cellStyle name="Standard 4 3 10 5 3" xfId="17998" xr:uid="{00000000-0005-0000-0000-00000A470000}"/>
    <cellStyle name="Standard 4 3 10 6" xfId="17999" xr:uid="{00000000-0005-0000-0000-00000B470000}"/>
    <cellStyle name="Standard 4 3 10 6 2" xfId="18000" xr:uid="{00000000-0005-0000-0000-00000C470000}"/>
    <cellStyle name="Standard 4 3 10 7" xfId="18001" xr:uid="{00000000-0005-0000-0000-00000D470000}"/>
    <cellStyle name="Standard 4 3 10 8" xfId="18002" xr:uid="{00000000-0005-0000-0000-00000E470000}"/>
    <cellStyle name="Standard 4 3 11" xfId="18003" xr:uid="{00000000-0005-0000-0000-00000F470000}"/>
    <cellStyle name="Standard 4 3 11 2" xfId="18004" xr:uid="{00000000-0005-0000-0000-000010470000}"/>
    <cellStyle name="Standard 4 3 11 2 2" xfId="18005" xr:uid="{00000000-0005-0000-0000-000011470000}"/>
    <cellStyle name="Standard 4 3 11 2 2 2" xfId="18006" xr:uid="{00000000-0005-0000-0000-000012470000}"/>
    <cellStyle name="Standard 4 3 11 2 2 3" xfId="18007" xr:uid="{00000000-0005-0000-0000-000013470000}"/>
    <cellStyle name="Standard 4 3 11 2 3" xfId="18008" xr:uid="{00000000-0005-0000-0000-000014470000}"/>
    <cellStyle name="Standard 4 3 11 2 3 2" xfId="18009" xr:uid="{00000000-0005-0000-0000-000015470000}"/>
    <cellStyle name="Standard 4 3 11 2 3 3" xfId="18010" xr:uid="{00000000-0005-0000-0000-000016470000}"/>
    <cellStyle name="Standard 4 3 11 2 4" xfId="18011" xr:uid="{00000000-0005-0000-0000-000017470000}"/>
    <cellStyle name="Standard 4 3 11 2 4 2" xfId="18012" xr:uid="{00000000-0005-0000-0000-000018470000}"/>
    <cellStyle name="Standard 4 3 11 2 5" xfId="18013" xr:uid="{00000000-0005-0000-0000-000019470000}"/>
    <cellStyle name="Standard 4 3 11 2 6" xfId="18014" xr:uid="{00000000-0005-0000-0000-00001A470000}"/>
    <cellStyle name="Standard 4 3 11 3" xfId="18015" xr:uid="{00000000-0005-0000-0000-00001B470000}"/>
    <cellStyle name="Standard 4 3 11 3 2" xfId="18016" xr:uid="{00000000-0005-0000-0000-00001C470000}"/>
    <cellStyle name="Standard 4 3 11 3 3" xfId="18017" xr:uid="{00000000-0005-0000-0000-00001D470000}"/>
    <cellStyle name="Standard 4 3 11 4" xfId="18018" xr:uid="{00000000-0005-0000-0000-00001E470000}"/>
    <cellStyle name="Standard 4 3 11 4 2" xfId="18019" xr:uid="{00000000-0005-0000-0000-00001F470000}"/>
    <cellStyle name="Standard 4 3 11 4 3" xfId="18020" xr:uid="{00000000-0005-0000-0000-000020470000}"/>
    <cellStyle name="Standard 4 3 11 5" xfId="18021" xr:uid="{00000000-0005-0000-0000-000021470000}"/>
    <cellStyle name="Standard 4 3 11 5 2" xfId="18022" xr:uid="{00000000-0005-0000-0000-000022470000}"/>
    <cellStyle name="Standard 4 3 11 6" xfId="18023" xr:uid="{00000000-0005-0000-0000-000023470000}"/>
    <cellStyle name="Standard 4 3 11 7" xfId="18024" xr:uid="{00000000-0005-0000-0000-000024470000}"/>
    <cellStyle name="Standard 4 3 12" xfId="18025" xr:uid="{00000000-0005-0000-0000-000025470000}"/>
    <cellStyle name="Standard 4 3 12 2" xfId="18026" xr:uid="{00000000-0005-0000-0000-000026470000}"/>
    <cellStyle name="Standard 4 3 12 2 2" xfId="18027" xr:uid="{00000000-0005-0000-0000-000027470000}"/>
    <cellStyle name="Standard 4 3 12 2 3" xfId="18028" xr:uid="{00000000-0005-0000-0000-000028470000}"/>
    <cellStyle name="Standard 4 3 12 3" xfId="18029" xr:uid="{00000000-0005-0000-0000-000029470000}"/>
    <cellStyle name="Standard 4 3 12 3 2" xfId="18030" xr:uid="{00000000-0005-0000-0000-00002A470000}"/>
    <cellStyle name="Standard 4 3 12 3 3" xfId="18031" xr:uid="{00000000-0005-0000-0000-00002B470000}"/>
    <cellStyle name="Standard 4 3 12 4" xfId="18032" xr:uid="{00000000-0005-0000-0000-00002C470000}"/>
    <cellStyle name="Standard 4 3 12 4 2" xfId="18033" xr:uid="{00000000-0005-0000-0000-00002D470000}"/>
    <cellStyle name="Standard 4 3 12 5" xfId="18034" xr:uid="{00000000-0005-0000-0000-00002E470000}"/>
    <cellStyle name="Standard 4 3 12 6" xfId="18035" xr:uid="{00000000-0005-0000-0000-00002F470000}"/>
    <cellStyle name="Standard 4 3 13" xfId="18036" xr:uid="{00000000-0005-0000-0000-000030470000}"/>
    <cellStyle name="Standard 4 3 13 2" xfId="18037" xr:uid="{00000000-0005-0000-0000-000031470000}"/>
    <cellStyle name="Standard 4 3 13 3" xfId="18038" xr:uid="{00000000-0005-0000-0000-000032470000}"/>
    <cellStyle name="Standard 4 3 14" xfId="18039" xr:uid="{00000000-0005-0000-0000-000033470000}"/>
    <cellStyle name="Standard 4 3 14 2" xfId="18040" xr:uid="{00000000-0005-0000-0000-000034470000}"/>
    <cellStyle name="Standard 4 3 14 3" xfId="18041" xr:uid="{00000000-0005-0000-0000-000035470000}"/>
    <cellStyle name="Standard 4 3 15" xfId="18042" xr:uid="{00000000-0005-0000-0000-000036470000}"/>
    <cellStyle name="Standard 4 3 15 2" xfId="18043" xr:uid="{00000000-0005-0000-0000-000037470000}"/>
    <cellStyle name="Standard 4 3 16" xfId="18044" xr:uid="{00000000-0005-0000-0000-000038470000}"/>
    <cellStyle name="Standard 4 3 17" xfId="18045" xr:uid="{00000000-0005-0000-0000-000039470000}"/>
    <cellStyle name="Standard 4 3 2" xfId="587" xr:uid="{00000000-0005-0000-0000-00003A470000}"/>
    <cellStyle name="Standard 4 3 2 10" xfId="18046" xr:uid="{00000000-0005-0000-0000-00003B470000}"/>
    <cellStyle name="Standard 4 3 2 10 2" xfId="18047" xr:uid="{00000000-0005-0000-0000-00003C470000}"/>
    <cellStyle name="Standard 4 3 2 10 2 2" xfId="18048" xr:uid="{00000000-0005-0000-0000-00003D470000}"/>
    <cellStyle name="Standard 4 3 2 10 2 2 2" xfId="18049" xr:uid="{00000000-0005-0000-0000-00003E470000}"/>
    <cellStyle name="Standard 4 3 2 10 2 2 3" xfId="18050" xr:uid="{00000000-0005-0000-0000-00003F470000}"/>
    <cellStyle name="Standard 4 3 2 10 2 3" xfId="18051" xr:uid="{00000000-0005-0000-0000-000040470000}"/>
    <cellStyle name="Standard 4 3 2 10 2 3 2" xfId="18052" xr:uid="{00000000-0005-0000-0000-000041470000}"/>
    <cellStyle name="Standard 4 3 2 10 2 3 3" xfId="18053" xr:uid="{00000000-0005-0000-0000-000042470000}"/>
    <cellStyle name="Standard 4 3 2 10 2 4" xfId="18054" xr:uid="{00000000-0005-0000-0000-000043470000}"/>
    <cellStyle name="Standard 4 3 2 10 2 4 2" xfId="18055" xr:uid="{00000000-0005-0000-0000-000044470000}"/>
    <cellStyle name="Standard 4 3 2 10 2 5" xfId="18056" xr:uid="{00000000-0005-0000-0000-000045470000}"/>
    <cellStyle name="Standard 4 3 2 10 2 6" xfId="18057" xr:uid="{00000000-0005-0000-0000-000046470000}"/>
    <cellStyle name="Standard 4 3 2 10 3" xfId="18058" xr:uid="{00000000-0005-0000-0000-000047470000}"/>
    <cellStyle name="Standard 4 3 2 10 3 2" xfId="18059" xr:uid="{00000000-0005-0000-0000-000048470000}"/>
    <cellStyle name="Standard 4 3 2 10 3 3" xfId="18060" xr:uid="{00000000-0005-0000-0000-000049470000}"/>
    <cellStyle name="Standard 4 3 2 10 4" xfId="18061" xr:uid="{00000000-0005-0000-0000-00004A470000}"/>
    <cellStyle name="Standard 4 3 2 10 4 2" xfId="18062" xr:uid="{00000000-0005-0000-0000-00004B470000}"/>
    <cellStyle name="Standard 4 3 2 10 4 3" xfId="18063" xr:uid="{00000000-0005-0000-0000-00004C470000}"/>
    <cellStyle name="Standard 4 3 2 10 5" xfId="18064" xr:uid="{00000000-0005-0000-0000-00004D470000}"/>
    <cellStyle name="Standard 4 3 2 10 5 2" xfId="18065" xr:uid="{00000000-0005-0000-0000-00004E470000}"/>
    <cellStyle name="Standard 4 3 2 10 6" xfId="18066" xr:uid="{00000000-0005-0000-0000-00004F470000}"/>
    <cellStyle name="Standard 4 3 2 10 7" xfId="18067" xr:uid="{00000000-0005-0000-0000-000050470000}"/>
    <cellStyle name="Standard 4 3 2 11" xfId="18068" xr:uid="{00000000-0005-0000-0000-000051470000}"/>
    <cellStyle name="Standard 4 3 2 11 2" xfId="18069" xr:uid="{00000000-0005-0000-0000-000052470000}"/>
    <cellStyle name="Standard 4 3 2 11 2 2" xfId="18070" xr:uid="{00000000-0005-0000-0000-000053470000}"/>
    <cellStyle name="Standard 4 3 2 11 2 3" xfId="18071" xr:uid="{00000000-0005-0000-0000-000054470000}"/>
    <cellStyle name="Standard 4 3 2 11 3" xfId="18072" xr:uid="{00000000-0005-0000-0000-000055470000}"/>
    <cellStyle name="Standard 4 3 2 11 3 2" xfId="18073" xr:uid="{00000000-0005-0000-0000-000056470000}"/>
    <cellStyle name="Standard 4 3 2 11 3 3" xfId="18074" xr:uid="{00000000-0005-0000-0000-000057470000}"/>
    <cellStyle name="Standard 4 3 2 11 4" xfId="18075" xr:uid="{00000000-0005-0000-0000-000058470000}"/>
    <cellStyle name="Standard 4 3 2 11 4 2" xfId="18076" xr:uid="{00000000-0005-0000-0000-000059470000}"/>
    <cellStyle name="Standard 4 3 2 11 5" xfId="18077" xr:uid="{00000000-0005-0000-0000-00005A470000}"/>
    <cellStyle name="Standard 4 3 2 11 6" xfId="18078" xr:uid="{00000000-0005-0000-0000-00005B470000}"/>
    <cellStyle name="Standard 4 3 2 12" xfId="18079" xr:uid="{00000000-0005-0000-0000-00005C470000}"/>
    <cellStyle name="Standard 4 3 2 12 2" xfId="18080" xr:uid="{00000000-0005-0000-0000-00005D470000}"/>
    <cellStyle name="Standard 4 3 2 12 3" xfId="18081" xr:uid="{00000000-0005-0000-0000-00005E470000}"/>
    <cellStyle name="Standard 4 3 2 13" xfId="18082" xr:uid="{00000000-0005-0000-0000-00005F470000}"/>
    <cellStyle name="Standard 4 3 2 13 2" xfId="18083" xr:uid="{00000000-0005-0000-0000-000060470000}"/>
    <cellStyle name="Standard 4 3 2 13 3" xfId="18084" xr:uid="{00000000-0005-0000-0000-000061470000}"/>
    <cellStyle name="Standard 4 3 2 14" xfId="18085" xr:uid="{00000000-0005-0000-0000-000062470000}"/>
    <cellStyle name="Standard 4 3 2 14 2" xfId="18086" xr:uid="{00000000-0005-0000-0000-000063470000}"/>
    <cellStyle name="Standard 4 3 2 15" xfId="18087" xr:uid="{00000000-0005-0000-0000-000064470000}"/>
    <cellStyle name="Standard 4 3 2 16" xfId="18088" xr:uid="{00000000-0005-0000-0000-000065470000}"/>
    <cellStyle name="Standard 4 3 2 17" xfId="33463" xr:uid="{00000000-0005-0000-0000-000066470000}"/>
    <cellStyle name="Standard 4 3 2 2" xfId="18089" xr:uid="{00000000-0005-0000-0000-000067470000}"/>
    <cellStyle name="Standard 4 3 2 2 10" xfId="18090" xr:uid="{00000000-0005-0000-0000-000068470000}"/>
    <cellStyle name="Standard 4 3 2 2 10 2" xfId="18091" xr:uid="{00000000-0005-0000-0000-000069470000}"/>
    <cellStyle name="Standard 4 3 2 2 10 3" xfId="18092" xr:uid="{00000000-0005-0000-0000-00006A470000}"/>
    <cellStyle name="Standard 4 3 2 2 11" xfId="18093" xr:uid="{00000000-0005-0000-0000-00006B470000}"/>
    <cellStyle name="Standard 4 3 2 2 11 2" xfId="18094" xr:uid="{00000000-0005-0000-0000-00006C470000}"/>
    <cellStyle name="Standard 4 3 2 2 11 3" xfId="18095" xr:uid="{00000000-0005-0000-0000-00006D470000}"/>
    <cellStyle name="Standard 4 3 2 2 12" xfId="18096" xr:uid="{00000000-0005-0000-0000-00006E470000}"/>
    <cellStyle name="Standard 4 3 2 2 12 2" xfId="18097" xr:uid="{00000000-0005-0000-0000-00006F470000}"/>
    <cellStyle name="Standard 4 3 2 2 13" xfId="18098" xr:uid="{00000000-0005-0000-0000-000070470000}"/>
    <cellStyle name="Standard 4 3 2 2 14" xfId="18099" xr:uid="{00000000-0005-0000-0000-000071470000}"/>
    <cellStyle name="Standard 4 3 2 2 15" xfId="33464" xr:uid="{00000000-0005-0000-0000-000072470000}"/>
    <cellStyle name="Standard 4 3 2 2 2" xfId="18100" xr:uid="{00000000-0005-0000-0000-000073470000}"/>
    <cellStyle name="Standard 4 3 2 2 2 10" xfId="18101" xr:uid="{00000000-0005-0000-0000-000074470000}"/>
    <cellStyle name="Standard 4 3 2 2 2 10 2" xfId="18102" xr:uid="{00000000-0005-0000-0000-000075470000}"/>
    <cellStyle name="Standard 4 3 2 2 2 11" xfId="18103" xr:uid="{00000000-0005-0000-0000-000076470000}"/>
    <cellStyle name="Standard 4 3 2 2 2 12" xfId="18104" xr:uid="{00000000-0005-0000-0000-000077470000}"/>
    <cellStyle name="Standard 4 3 2 2 2 13" xfId="33465" xr:uid="{00000000-0005-0000-0000-000078470000}"/>
    <cellStyle name="Standard 4 3 2 2 2 2" xfId="18105" xr:uid="{00000000-0005-0000-0000-000079470000}"/>
    <cellStyle name="Standard 4 3 2 2 2 2 10" xfId="18106" xr:uid="{00000000-0005-0000-0000-00007A470000}"/>
    <cellStyle name="Standard 4 3 2 2 2 2 11" xfId="18107" xr:uid="{00000000-0005-0000-0000-00007B470000}"/>
    <cellStyle name="Standard 4 3 2 2 2 2 2" xfId="18108" xr:uid="{00000000-0005-0000-0000-00007C470000}"/>
    <cellStyle name="Standard 4 3 2 2 2 2 2 10" xfId="18109" xr:uid="{00000000-0005-0000-0000-00007D470000}"/>
    <cellStyle name="Standard 4 3 2 2 2 2 2 2" xfId="18110" xr:uid="{00000000-0005-0000-0000-00007E470000}"/>
    <cellStyle name="Standard 4 3 2 2 2 2 2 2 2" xfId="18111" xr:uid="{00000000-0005-0000-0000-00007F470000}"/>
    <cellStyle name="Standard 4 3 2 2 2 2 2 2 2 2" xfId="18112" xr:uid="{00000000-0005-0000-0000-000080470000}"/>
    <cellStyle name="Standard 4 3 2 2 2 2 2 2 2 2 2" xfId="18113" xr:uid="{00000000-0005-0000-0000-000081470000}"/>
    <cellStyle name="Standard 4 3 2 2 2 2 2 2 2 2 2 2" xfId="18114" xr:uid="{00000000-0005-0000-0000-000082470000}"/>
    <cellStyle name="Standard 4 3 2 2 2 2 2 2 2 2 2 3" xfId="18115" xr:uid="{00000000-0005-0000-0000-000083470000}"/>
    <cellStyle name="Standard 4 3 2 2 2 2 2 2 2 2 3" xfId="18116" xr:uid="{00000000-0005-0000-0000-000084470000}"/>
    <cellStyle name="Standard 4 3 2 2 2 2 2 2 2 2 3 2" xfId="18117" xr:uid="{00000000-0005-0000-0000-000085470000}"/>
    <cellStyle name="Standard 4 3 2 2 2 2 2 2 2 2 3 3" xfId="18118" xr:uid="{00000000-0005-0000-0000-000086470000}"/>
    <cellStyle name="Standard 4 3 2 2 2 2 2 2 2 2 4" xfId="18119" xr:uid="{00000000-0005-0000-0000-000087470000}"/>
    <cellStyle name="Standard 4 3 2 2 2 2 2 2 2 2 4 2" xfId="18120" xr:uid="{00000000-0005-0000-0000-000088470000}"/>
    <cellStyle name="Standard 4 3 2 2 2 2 2 2 2 2 5" xfId="18121" xr:uid="{00000000-0005-0000-0000-000089470000}"/>
    <cellStyle name="Standard 4 3 2 2 2 2 2 2 2 2 6" xfId="18122" xr:uid="{00000000-0005-0000-0000-00008A470000}"/>
    <cellStyle name="Standard 4 3 2 2 2 2 2 2 2 3" xfId="18123" xr:uid="{00000000-0005-0000-0000-00008B470000}"/>
    <cellStyle name="Standard 4 3 2 2 2 2 2 2 2 3 2" xfId="18124" xr:uid="{00000000-0005-0000-0000-00008C470000}"/>
    <cellStyle name="Standard 4 3 2 2 2 2 2 2 2 3 3" xfId="18125" xr:uid="{00000000-0005-0000-0000-00008D470000}"/>
    <cellStyle name="Standard 4 3 2 2 2 2 2 2 2 4" xfId="18126" xr:uid="{00000000-0005-0000-0000-00008E470000}"/>
    <cellStyle name="Standard 4 3 2 2 2 2 2 2 2 4 2" xfId="18127" xr:uid="{00000000-0005-0000-0000-00008F470000}"/>
    <cellStyle name="Standard 4 3 2 2 2 2 2 2 2 4 3" xfId="18128" xr:uid="{00000000-0005-0000-0000-000090470000}"/>
    <cellStyle name="Standard 4 3 2 2 2 2 2 2 2 5" xfId="18129" xr:uid="{00000000-0005-0000-0000-000091470000}"/>
    <cellStyle name="Standard 4 3 2 2 2 2 2 2 2 5 2" xfId="18130" xr:uid="{00000000-0005-0000-0000-000092470000}"/>
    <cellStyle name="Standard 4 3 2 2 2 2 2 2 2 6" xfId="18131" xr:uid="{00000000-0005-0000-0000-000093470000}"/>
    <cellStyle name="Standard 4 3 2 2 2 2 2 2 2 7" xfId="18132" xr:uid="{00000000-0005-0000-0000-000094470000}"/>
    <cellStyle name="Standard 4 3 2 2 2 2 2 2 3" xfId="18133" xr:uid="{00000000-0005-0000-0000-000095470000}"/>
    <cellStyle name="Standard 4 3 2 2 2 2 2 2 3 2" xfId="18134" xr:uid="{00000000-0005-0000-0000-000096470000}"/>
    <cellStyle name="Standard 4 3 2 2 2 2 2 2 3 2 2" xfId="18135" xr:uid="{00000000-0005-0000-0000-000097470000}"/>
    <cellStyle name="Standard 4 3 2 2 2 2 2 2 3 2 3" xfId="18136" xr:uid="{00000000-0005-0000-0000-000098470000}"/>
    <cellStyle name="Standard 4 3 2 2 2 2 2 2 3 3" xfId="18137" xr:uid="{00000000-0005-0000-0000-000099470000}"/>
    <cellStyle name="Standard 4 3 2 2 2 2 2 2 3 3 2" xfId="18138" xr:uid="{00000000-0005-0000-0000-00009A470000}"/>
    <cellStyle name="Standard 4 3 2 2 2 2 2 2 3 3 3" xfId="18139" xr:uid="{00000000-0005-0000-0000-00009B470000}"/>
    <cellStyle name="Standard 4 3 2 2 2 2 2 2 3 4" xfId="18140" xr:uid="{00000000-0005-0000-0000-00009C470000}"/>
    <cellStyle name="Standard 4 3 2 2 2 2 2 2 3 4 2" xfId="18141" xr:uid="{00000000-0005-0000-0000-00009D470000}"/>
    <cellStyle name="Standard 4 3 2 2 2 2 2 2 3 5" xfId="18142" xr:uid="{00000000-0005-0000-0000-00009E470000}"/>
    <cellStyle name="Standard 4 3 2 2 2 2 2 2 3 6" xfId="18143" xr:uid="{00000000-0005-0000-0000-00009F470000}"/>
    <cellStyle name="Standard 4 3 2 2 2 2 2 2 4" xfId="18144" xr:uid="{00000000-0005-0000-0000-0000A0470000}"/>
    <cellStyle name="Standard 4 3 2 2 2 2 2 2 4 2" xfId="18145" xr:uid="{00000000-0005-0000-0000-0000A1470000}"/>
    <cellStyle name="Standard 4 3 2 2 2 2 2 2 4 3" xfId="18146" xr:uid="{00000000-0005-0000-0000-0000A2470000}"/>
    <cellStyle name="Standard 4 3 2 2 2 2 2 2 5" xfId="18147" xr:uid="{00000000-0005-0000-0000-0000A3470000}"/>
    <cellStyle name="Standard 4 3 2 2 2 2 2 2 5 2" xfId="18148" xr:uid="{00000000-0005-0000-0000-0000A4470000}"/>
    <cellStyle name="Standard 4 3 2 2 2 2 2 2 5 3" xfId="18149" xr:uid="{00000000-0005-0000-0000-0000A5470000}"/>
    <cellStyle name="Standard 4 3 2 2 2 2 2 2 6" xfId="18150" xr:uid="{00000000-0005-0000-0000-0000A6470000}"/>
    <cellStyle name="Standard 4 3 2 2 2 2 2 2 6 2" xfId="18151" xr:uid="{00000000-0005-0000-0000-0000A7470000}"/>
    <cellStyle name="Standard 4 3 2 2 2 2 2 2 7" xfId="18152" xr:uid="{00000000-0005-0000-0000-0000A8470000}"/>
    <cellStyle name="Standard 4 3 2 2 2 2 2 2 8" xfId="18153" xr:uid="{00000000-0005-0000-0000-0000A9470000}"/>
    <cellStyle name="Standard 4 3 2 2 2 2 2 3" xfId="18154" xr:uid="{00000000-0005-0000-0000-0000AA470000}"/>
    <cellStyle name="Standard 4 3 2 2 2 2 2 3 2" xfId="18155" xr:uid="{00000000-0005-0000-0000-0000AB470000}"/>
    <cellStyle name="Standard 4 3 2 2 2 2 2 3 2 2" xfId="18156" xr:uid="{00000000-0005-0000-0000-0000AC470000}"/>
    <cellStyle name="Standard 4 3 2 2 2 2 2 3 2 2 2" xfId="18157" xr:uid="{00000000-0005-0000-0000-0000AD470000}"/>
    <cellStyle name="Standard 4 3 2 2 2 2 2 3 2 2 2 2" xfId="18158" xr:uid="{00000000-0005-0000-0000-0000AE470000}"/>
    <cellStyle name="Standard 4 3 2 2 2 2 2 3 2 2 2 3" xfId="18159" xr:uid="{00000000-0005-0000-0000-0000AF470000}"/>
    <cellStyle name="Standard 4 3 2 2 2 2 2 3 2 2 3" xfId="18160" xr:uid="{00000000-0005-0000-0000-0000B0470000}"/>
    <cellStyle name="Standard 4 3 2 2 2 2 2 3 2 2 3 2" xfId="18161" xr:uid="{00000000-0005-0000-0000-0000B1470000}"/>
    <cellStyle name="Standard 4 3 2 2 2 2 2 3 2 2 3 3" xfId="18162" xr:uid="{00000000-0005-0000-0000-0000B2470000}"/>
    <cellStyle name="Standard 4 3 2 2 2 2 2 3 2 2 4" xfId="18163" xr:uid="{00000000-0005-0000-0000-0000B3470000}"/>
    <cellStyle name="Standard 4 3 2 2 2 2 2 3 2 2 4 2" xfId="18164" xr:uid="{00000000-0005-0000-0000-0000B4470000}"/>
    <cellStyle name="Standard 4 3 2 2 2 2 2 3 2 2 5" xfId="18165" xr:uid="{00000000-0005-0000-0000-0000B5470000}"/>
    <cellStyle name="Standard 4 3 2 2 2 2 2 3 2 2 6" xfId="18166" xr:uid="{00000000-0005-0000-0000-0000B6470000}"/>
    <cellStyle name="Standard 4 3 2 2 2 2 2 3 2 3" xfId="18167" xr:uid="{00000000-0005-0000-0000-0000B7470000}"/>
    <cellStyle name="Standard 4 3 2 2 2 2 2 3 2 3 2" xfId="18168" xr:uid="{00000000-0005-0000-0000-0000B8470000}"/>
    <cellStyle name="Standard 4 3 2 2 2 2 2 3 2 3 3" xfId="18169" xr:uid="{00000000-0005-0000-0000-0000B9470000}"/>
    <cellStyle name="Standard 4 3 2 2 2 2 2 3 2 4" xfId="18170" xr:uid="{00000000-0005-0000-0000-0000BA470000}"/>
    <cellStyle name="Standard 4 3 2 2 2 2 2 3 2 4 2" xfId="18171" xr:uid="{00000000-0005-0000-0000-0000BB470000}"/>
    <cellStyle name="Standard 4 3 2 2 2 2 2 3 2 4 3" xfId="18172" xr:uid="{00000000-0005-0000-0000-0000BC470000}"/>
    <cellStyle name="Standard 4 3 2 2 2 2 2 3 2 5" xfId="18173" xr:uid="{00000000-0005-0000-0000-0000BD470000}"/>
    <cellStyle name="Standard 4 3 2 2 2 2 2 3 2 5 2" xfId="18174" xr:uid="{00000000-0005-0000-0000-0000BE470000}"/>
    <cellStyle name="Standard 4 3 2 2 2 2 2 3 2 6" xfId="18175" xr:uid="{00000000-0005-0000-0000-0000BF470000}"/>
    <cellStyle name="Standard 4 3 2 2 2 2 2 3 2 7" xfId="18176" xr:uid="{00000000-0005-0000-0000-0000C0470000}"/>
    <cellStyle name="Standard 4 3 2 2 2 2 2 3 3" xfId="18177" xr:uid="{00000000-0005-0000-0000-0000C1470000}"/>
    <cellStyle name="Standard 4 3 2 2 2 2 2 3 3 2" xfId="18178" xr:uid="{00000000-0005-0000-0000-0000C2470000}"/>
    <cellStyle name="Standard 4 3 2 2 2 2 2 3 3 2 2" xfId="18179" xr:uid="{00000000-0005-0000-0000-0000C3470000}"/>
    <cellStyle name="Standard 4 3 2 2 2 2 2 3 3 2 3" xfId="18180" xr:uid="{00000000-0005-0000-0000-0000C4470000}"/>
    <cellStyle name="Standard 4 3 2 2 2 2 2 3 3 3" xfId="18181" xr:uid="{00000000-0005-0000-0000-0000C5470000}"/>
    <cellStyle name="Standard 4 3 2 2 2 2 2 3 3 3 2" xfId="18182" xr:uid="{00000000-0005-0000-0000-0000C6470000}"/>
    <cellStyle name="Standard 4 3 2 2 2 2 2 3 3 3 3" xfId="18183" xr:uid="{00000000-0005-0000-0000-0000C7470000}"/>
    <cellStyle name="Standard 4 3 2 2 2 2 2 3 3 4" xfId="18184" xr:uid="{00000000-0005-0000-0000-0000C8470000}"/>
    <cellStyle name="Standard 4 3 2 2 2 2 2 3 3 4 2" xfId="18185" xr:uid="{00000000-0005-0000-0000-0000C9470000}"/>
    <cellStyle name="Standard 4 3 2 2 2 2 2 3 3 5" xfId="18186" xr:uid="{00000000-0005-0000-0000-0000CA470000}"/>
    <cellStyle name="Standard 4 3 2 2 2 2 2 3 3 6" xfId="18187" xr:uid="{00000000-0005-0000-0000-0000CB470000}"/>
    <cellStyle name="Standard 4 3 2 2 2 2 2 3 4" xfId="18188" xr:uid="{00000000-0005-0000-0000-0000CC470000}"/>
    <cellStyle name="Standard 4 3 2 2 2 2 2 3 4 2" xfId="18189" xr:uid="{00000000-0005-0000-0000-0000CD470000}"/>
    <cellStyle name="Standard 4 3 2 2 2 2 2 3 4 3" xfId="18190" xr:uid="{00000000-0005-0000-0000-0000CE470000}"/>
    <cellStyle name="Standard 4 3 2 2 2 2 2 3 5" xfId="18191" xr:uid="{00000000-0005-0000-0000-0000CF470000}"/>
    <cellStyle name="Standard 4 3 2 2 2 2 2 3 5 2" xfId="18192" xr:uid="{00000000-0005-0000-0000-0000D0470000}"/>
    <cellStyle name="Standard 4 3 2 2 2 2 2 3 5 3" xfId="18193" xr:uid="{00000000-0005-0000-0000-0000D1470000}"/>
    <cellStyle name="Standard 4 3 2 2 2 2 2 3 6" xfId="18194" xr:uid="{00000000-0005-0000-0000-0000D2470000}"/>
    <cellStyle name="Standard 4 3 2 2 2 2 2 3 6 2" xfId="18195" xr:uid="{00000000-0005-0000-0000-0000D3470000}"/>
    <cellStyle name="Standard 4 3 2 2 2 2 2 3 7" xfId="18196" xr:uid="{00000000-0005-0000-0000-0000D4470000}"/>
    <cellStyle name="Standard 4 3 2 2 2 2 2 3 8" xfId="18197" xr:uid="{00000000-0005-0000-0000-0000D5470000}"/>
    <cellStyle name="Standard 4 3 2 2 2 2 2 4" xfId="18198" xr:uid="{00000000-0005-0000-0000-0000D6470000}"/>
    <cellStyle name="Standard 4 3 2 2 2 2 2 4 2" xfId="18199" xr:uid="{00000000-0005-0000-0000-0000D7470000}"/>
    <cellStyle name="Standard 4 3 2 2 2 2 2 4 2 2" xfId="18200" xr:uid="{00000000-0005-0000-0000-0000D8470000}"/>
    <cellStyle name="Standard 4 3 2 2 2 2 2 4 2 2 2" xfId="18201" xr:uid="{00000000-0005-0000-0000-0000D9470000}"/>
    <cellStyle name="Standard 4 3 2 2 2 2 2 4 2 2 3" xfId="18202" xr:uid="{00000000-0005-0000-0000-0000DA470000}"/>
    <cellStyle name="Standard 4 3 2 2 2 2 2 4 2 3" xfId="18203" xr:uid="{00000000-0005-0000-0000-0000DB470000}"/>
    <cellStyle name="Standard 4 3 2 2 2 2 2 4 2 3 2" xfId="18204" xr:uid="{00000000-0005-0000-0000-0000DC470000}"/>
    <cellStyle name="Standard 4 3 2 2 2 2 2 4 2 3 3" xfId="18205" xr:uid="{00000000-0005-0000-0000-0000DD470000}"/>
    <cellStyle name="Standard 4 3 2 2 2 2 2 4 2 4" xfId="18206" xr:uid="{00000000-0005-0000-0000-0000DE470000}"/>
    <cellStyle name="Standard 4 3 2 2 2 2 2 4 2 4 2" xfId="18207" xr:uid="{00000000-0005-0000-0000-0000DF470000}"/>
    <cellStyle name="Standard 4 3 2 2 2 2 2 4 2 5" xfId="18208" xr:uid="{00000000-0005-0000-0000-0000E0470000}"/>
    <cellStyle name="Standard 4 3 2 2 2 2 2 4 2 6" xfId="18209" xr:uid="{00000000-0005-0000-0000-0000E1470000}"/>
    <cellStyle name="Standard 4 3 2 2 2 2 2 4 3" xfId="18210" xr:uid="{00000000-0005-0000-0000-0000E2470000}"/>
    <cellStyle name="Standard 4 3 2 2 2 2 2 4 3 2" xfId="18211" xr:uid="{00000000-0005-0000-0000-0000E3470000}"/>
    <cellStyle name="Standard 4 3 2 2 2 2 2 4 3 3" xfId="18212" xr:uid="{00000000-0005-0000-0000-0000E4470000}"/>
    <cellStyle name="Standard 4 3 2 2 2 2 2 4 4" xfId="18213" xr:uid="{00000000-0005-0000-0000-0000E5470000}"/>
    <cellStyle name="Standard 4 3 2 2 2 2 2 4 4 2" xfId="18214" xr:uid="{00000000-0005-0000-0000-0000E6470000}"/>
    <cellStyle name="Standard 4 3 2 2 2 2 2 4 4 3" xfId="18215" xr:uid="{00000000-0005-0000-0000-0000E7470000}"/>
    <cellStyle name="Standard 4 3 2 2 2 2 2 4 5" xfId="18216" xr:uid="{00000000-0005-0000-0000-0000E8470000}"/>
    <cellStyle name="Standard 4 3 2 2 2 2 2 4 5 2" xfId="18217" xr:uid="{00000000-0005-0000-0000-0000E9470000}"/>
    <cellStyle name="Standard 4 3 2 2 2 2 2 4 6" xfId="18218" xr:uid="{00000000-0005-0000-0000-0000EA470000}"/>
    <cellStyle name="Standard 4 3 2 2 2 2 2 4 7" xfId="18219" xr:uid="{00000000-0005-0000-0000-0000EB470000}"/>
    <cellStyle name="Standard 4 3 2 2 2 2 2 5" xfId="18220" xr:uid="{00000000-0005-0000-0000-0000EC470000}"/>
    <cellStyle name="Standard 4 3 2 2 2 2 2 5 2" xfId="18221" xr:uid="{00000000-0005-0000-0000-0000ED470000}"/>
    <cellStyle name="Standard 4 3 2 2 2 2 2 5 2 2" xfId="18222" xr:uid="{00000000-0005-0000-0000-0000EE470000}"/>
    <cellStyle name="Standard 4 3 2 2 2 2 2 5 2 3" xfId="18223" xr:uid="{00000000-0005-0000-0000-0000EF470000}"/>
    <cellStyle name="Standard 4 3 2 2 2 2 2 5 3" xfId="18224" xr:uid="{00000000-0005-0000-0000-0000F0470000}"/>
    <cellStyle name="Standard 4 3 2 2 2 2 2 5 3 2" xfId="18225" xr:uid="{00000000-0005-0000-0000-0000F1470000}"/>
    <cellStyle name="Standard 4 3 2 2 2 2 2 5 3 3" xfId="18226" xr:uid="{00000000-0005-0000-0000-0000F2470000}"/>
    <cellStyle name="Standard 4 3 2 2 2 2 2 5 4" xfId="18227" xr:uid="{00000000-0005-0000-0000-0000F3470000}"/>
    <cellStyle name="Standard 4 3 2 2 2 2 2 5 4 2" xfId="18228" xr:uid="{00000000-0005-0000-0000-0000F4470000}"/>
    <cellStyle name="Standard 4 3 2 2 2 2 2 5 5" xfId="18229" xr:uid="{00000000-0005-0000-0000-0000F5470000}"/>
    <cellStyle name="Standard 4 3 2 2 2 2 2 5 6" xfId="18230" xr:uid="{00000000-0005-0000-0000-0000F6470000}"/>
    <cellStyle name="Standard 4 3 2 2 2 2 2 6" xfId="18231" xr:uid="{00000000-0005-0000-0000-0000F7470000}"/>
    <cellStyle name="Standard 4 3 2 2 2 2 2 6 2" xfId="18232" xr:uid="{00000000-0005-0000-0000-0000F8470000}"/>
    <cellStyle name="Standard 4 3 2 2 2 2 2 6 3" xfId="18233" xr:uid="{00000000-0005-0000-0000-0000F9470000}"/>
    <cellStyle name="Standard 4 3 2 2 2 2 2 7" xfId="18234" xr:uid="{00000000-0005-0000-0000-0000FA470000}"/>
    <cellStyle name="Standard 4 3 2 2 2 2 2 7 2" xfId="18235" xr:uid="{00000000-0005-0000-0000-0000FB470000}"/>
    <cellStyle name="Standard 4 3 2 2 2 2 2 7 3" xfId="18236" xr:uid="{00000000-0005-0000-0000-0000FC470000}"/>
    <cellStyle name="Standard 4 3 2 2 2 2 2 8" xfId="18237" xr:uid="{00000000-0005-0000-0000-0000FD470000}"/>
    <cellStyle name="Standard 4 3 2 2 2 2 2 8 2" xfId="18238" xr:uid="{00000000-0005-0000-0000-0000FE470000}"/>
    <cellStyle name="Standard 4 3 2 2 2 2 2 9" xfId="18239" xr:uid="{00000000-0005-0000-0000-0000FF470000}"/>
    <cellStyle name="Standard 4 3 2 2 2 2 3" xfId="18240" xr:uid="{00000000-0005-0000-0000-000000480000}"/>
    <cellStyle name="Standard 4 3 2 2 2 2 3 2" xfId="18241" xr:uid="{00000000-0005-0000-0000-000001480000}"/>
    <cellStyle name="Standard 4 3 2 2 2 2 3 2 2" xfId="18242" xr:uid="{00000000-0005-0000-0000-000002480000}"/>
    <cellStyle name="Standard 4 3 2 2 2 2 3 2 2 2" xfId="18243" xr:uid="{00000000-0005-0000-0000-000003480000}"/>
    <cellStyle name="Standard 4 3 2 2 2 2 3 2 2 2 2" xfId="18244" xr:uid="{00000000-0005-0000-0000-000004480000}"/>
    <cellStyle name="Standard 4 3 2 2 2 2 3 2 2 2 3" xfId="18245" xr:uid="{00000000-0005-0000-0000-000005480000}"/>
    <cellStyle name="Standard 4 3 2 2 2 2 3 2 2 3" xfId="18246" xr:uid="{00000000-0005-0000-0000-000006480000}"/>
    <cellStyle name="Standard 4 3 2 2 2 2 3 2 2 3 2" xfId="18247" xr:uid="{00000000-0005-0000-0000-000007480000}"/>
    <cellStyle name="Standard 4 3 2 2 2 2 3 2 2 3 3" xfId="18248" xr:uid="{00000000-0005-0000-0000-000008480000}"/>
    <cellStyle name="Standard 4 3 2 2 2 2 3 2 2 4" xfId="18249" xr:uid="{00000000-0005-0000-0000-000009480000}"/>
    <cellStyle name="Standard 4 3 2 2 2 2 3 2 2 4 2" xfId="18250" xr:uid="{00000000-0005-0000-0000-00000A480000}"/>
    <cellStyle name="Standard 4 3 2 2 2 2 3 2 2 5" xfId="18251" xr:uid="{00000000-0005-0000-0000-00000B480000}"/>
    <cellStyle name="Standard 4 3 2 2 2 2 3 2 2 6" xfId="18252" xr:uid="{00000000-0005-0000-0000-00000C480000}"/>
    <cellStyle name="Standard 4 3 2 2 2 2 3 2 3" xfId="18253" xr:uid="{00000000-0005-0000-0000-00000D480000}"/>
    <cellStyle name="Standard 4 3 2 2 2 2 3 2 3 2" xfId="18254" xr:uid="{00000000-0005-0000-0000-00000E480000}"/>
    <cellStyle name="Standard 4 3 2 2 2 2 3 2 3 3" xfId="18255" xr:uid="{00000000-0005-0000-0000-00000F480000}"/>
    <cellStyle name="Standard 4 3 2 2 2 2 3 2 4" xfId="18256" xr:uid="{00000000-0005-0000-0000-000010480000}"/>
    <cellStyle name="Standard 4 3 2 2 2 2 3 2 4 2" xfId="18257" xr:uid="{00000000-0005-0000-0000-000011480000}"/>
    <cellStyle name="Standard 4 3 2 2 2 2 3 2 4 3" xfId="18258" xr:uid="{00000000-0005-0000-0000-000012480000}"/>
    <cellStyle name="Standard 4 3 2 2 2 2 3 2 5" xfId="18259" xr:uid="{00000000-0005-0000-0000-000013480000}"/>
    <cellStyle name="Standard 4 3 2 2 2 2 3 2 5 2" xfId="18260" xr:uid="{00000000-0005-0000-0000-000014480000}"/>
    <cellStyle name="Standard 4 3 2 2 2 2 3 2 6" xfId="18261" xr:uid="{00000000-0005-0000-0000-000015480000}"/>
    <cellStyle name="Standard 4 3 2 2 2 2 3 2 7" xfId="18262" xr:uid="{00000000-0005-0000-0000-000016480000}"/>
    <cellStyle name="Standard 4 3 2 2 2 2 3 3" xfId="18263" xr:uid="{00000000-0005-0000-0000-000017480000}"/>
    <cellStyle name="Standard 4 3 2 2 2 2 3 3 2" xfId="18264" xr:uid="{00000000-0005-0000-0000-000018480000}"/>
    <cellStyle name="Standard 4 3 2 2 2 2 3 3 2 2" xfId="18265" xr:uid="{00000000-0005-0000-0000-000019480000}"/>
    <cellStyle name="Standard 4 3 2 2 2 2 3 3 2 3" xfId="18266" xr:uid="{00000000-0005-0000-0000-00001A480000}"/>
    <cellStyle name="Standard 4 3 2 2 2 2 3 3 3" xfId="18267" xr:uid="{00000000-0005-0000-0000-00001B480000}"/>
    <cellStyle name="Standard 4 3 2 2 2 2 3 3 3 2" xfId="18268" xr:uid="{00000000-0005-0000-0000-00001C480000}"/>
    <cellStyle name="Standard 4 3 2 2 2 2 3 3 3 3" xfId="18269" xr:uid="{00000000-0005-0000-0000-00001D480000}"/>
    <cellStyle name="Standard 4 3 2 2 2 2 3 3 4" xfId="18270" xr:uid="{00000000-0005-0000-0000-00001E480000}"/>
    <cellStyle name="Standard 4 3 2 2 2 2 3 3 4 2" xfId="18271" xr:uid="{00000000-0005-0000-0000-00001F480000}"/>
    <cellStyle name="Standard 4 3 2 2 2 2 3 3 5" xfId="18272" xr:uid="{00000000-0005-0000-0000-000020480000}"/>
    <cellStyle name="Standard 4 3 2 2 2 2 3 3 6" xfId="18273" xr:uid="{00000000-0005-0000-0000-000021480000}"/>
    <cellStyle name="Standard 4 3 2 2 2 2 3 4" xfId="18274" xr:uid="{00000000-0005-0000-0000-000022480000}"/>
    <cellStyle name="Standard 4 3 2 2 2 2 3 4 2" xfId="18275" xr:uid="{00000000-0005-0000-0000-000023480000}"/>
    <cellStyle name="Standard 4 3 2 2 2 2 3 4 3" xfId="18276" xr:uid="{00000000-0005-0000-0000-000024480000}"/>
    <cellStyle name="Standard 4 3 2 2 2 2 3 5" xfId="18277" xr:uid="{00000000-0005-0000-0000-000025480000}"/>
    <cellStyle name="Standard 4 3 2 2 2 2 3 5 2" xfId="18278" xr:uid="{00000000-0005-0000-0000-000026480000}"/>
    <cellStyle name="Standard 4 3 2 2 2 2 3 5 3" xfId="18279" xr:uid="{00000000-0005-0000-0000-000027480000}"/>
    <cellStyle name="Standard 4 3 2 2 2 2 3 6" xfId="18280" xr:uid="{00000000-0005-0000-0000-000028480000}"/>
    <cellStyle name="Standard 4 3 2 2 2 2 3 6 2" xfId="18281" xr:uid="{00000000-0005-0000-0000-000029480000}"/>
    <cellStyle name="Standard 4 3 2 2 2 2 3 7" xfId="18282" xr:uid="{00000000-0005-0000-0000-00002A480000}"/>
    <cellStyle name="Standard 4 3 2 2 2 2 3 8" xfId="18283" xr:uid="{00000000-0005-0000-0000-00002B480000}"/>
    <cellStyle name="Standard 4 3 2 2 2 2 4" xfId="18284" xr:uid="{00000000-0005-0000-0000-00002C480000}"/>
    <cellStyle name="Standard 4 3 2 2 2 2 4 2" xfId="18285" xr:uid="{00000000-0005-0000-0000-00002D480000}"/>
    <cellStyle name="Standard 4 3 2 2 2 2 4 2 2" xfId="18286" xr:uid="{00000000-0005-0000-0000-00002E480000}"/>
    <cellStyle name="Standard 4 3 2 2 2 2 4 2 2 2" xfId="18287" xr:uid="{00000000-0005-0000-0000-00002F480000}"/>
    <cellStyle name="Standard 4 3 2 2 2 2 4 2 2 2 2" xfId="18288" xr:uid="{00000000-0005-0000-0000-000030480000}"/>
    <cellStyle name="Standard 4 3 2 2 2 2 4 2 2 2 3" xfId="18289" xr:uid="{00000000-0005-0000-0000-000031480000}"/>
    <cellStyle name="Standard 4 3 2 2 2 2 4 2 2 3" xfId="18290" xr:uid="{00000000-0005-0000-0000-000032480000}"/>
    <cellStyle name="Standard 4 3 2 2 2 2 4 2 2 3 2" xfId="18291" xr:uid="{00000000-0005-0000-0000-000033480000}"/>
    <cellStyle name="Standard 4 3 2 2 2 2 4 2 2 3 3" xfId="18292" xr:uid="{00000000-0005-0000-0000-000034480000}"/>
    <cellStyle name="Standard 4 3 2 2 2 2 4 2 2 4" xfId="18293" xr:uid="{00000000-0005-0000-0000-000035480000}"/>
    <cellStyle name="Standard 4 3 2 2 2 2 4 2 2 4 2" xfId="18294" xr:uid="{00000000-0005-0000-0000-000036480000}"/>
    <cellStyle name="Standard 4 3 2 2 2 2 4 2 2 5" xfId="18295" xr:uid="{00000000-0005-0000-0000-000037480000}"/>
    <cellStyle name="Standard 4 3 2 2 2 2 4 2 2 6" xfId="18296" xr:uid="{00000000-0005-0000-0000-000038480000}"/>
    <cellStyle name="Standard 4 3 2 2 2 2 4 2 3" xfId="18297" xr:uid="{00000000-0005-0000-0000-000039480000}"/>
    <cellStyle name="Standard 4 3 2 2 2 2 4 2 3 2" xfId="18298" xr:uid="{00000000-0005-0000-0000-00003A480000}"/>
    <cellStyle name="Standard 4 3 2 2 2 2 4 2 3 3" xfId="18299" xr:uid="{00000000-0005-0000-0000-00003B480000}"/>
    <cellStyle name="Standard 4 3 2 2 2 2 4 2 4" xfId="18300" xr:uid="{00000000-0005-0000-0000-00003C480000}"/>
    <cellStyle name="Standard 4 3 2 2 2 2 4 2 4 2" xfId="18301" xr:uid="{00000000-0005-0000-0000-00003D480000}"/>
    <cellStyle name="Standard 4 3 2 2 2 2 4 2 4 3" xfId="18302" xr:uid="{00000000-0005-0000-0000-00003E480000}"/>
    <cellStyle name="Standard 4 3 2 2 2 2 4 2 5" xfId="18303" xr:uid="{00000000-0005-0000-0000-00003F480000}"/>
    <cellStyle name="Standard 4 3 2 2 2 2 4 2 5 2" xfId="18304" xr:uid="{00000000-0005-0000-0000-000040480000}"/>
    <cellStyle name="Standard 4 3 2 2 2 2 4 2 6" xfId="18305" xr:uid="{00000000-0005-0000-0000-000041480000}"/>
    <cellStyle name="Standard 4 3 2 2 2 2 4 2 7" xfId="18306" xr:uid="{00000000-0005-0000-0000-000042480000}"/>
    <cellStyle name="Standard 4 3 2 2 2 2 4 3" xfId="18307" xr:uid="{00000000-0005-0000-0000-000043480000}"/>
    <cellStyle name="Standard 4 3 2 2 2 2 4 3 2" xfId="18308" xr:uid="{00000000-0005-0000-0000-000044480000}"/>
    <cellStyle name="Standard 4 3 2 2 2 2 4 3 2 2" xfId="18309" xr:uid="{00000000-0005-0000-0000-000045480000}"/>
    <cellStyle name="Standard 4 3 2 2 2 2 4 3 2 3" xfId="18310" xr:uid="{00000000-0005-0000-0000-000046480000}"/>
    <cellStyle name="Standard 4 3 2 2 2 2 4 3 3" xfId="18311" xr:uid="{00000000-0005-0000-0000-000047480000}"/>
    <cellStyle name="Standard 4 3 2 2 2 2 4 3 3 2" xfId="18312" xr:uid="{00000000-0005-0000-0000-000048480000}"/>
    <cellStyle name="Standard 4 3 2 2 2 2 4 3 3 3" xfId="18313" xr:uid="{00000000-0005-0000-0000-000049480000}"/>
    <cellStyle name="Standard 4 3 2 2 2 2 4 3 4" xfId="18314" xr:uid="{00000000-0005-0000-0000-00004A480000}"/>
    <cellStyle name="Standard 4 3 2 2 2 2 4 3 4 2" xfId="18315" xr:uid="{00000000-0005-0000-0000-00004B480000}"/>
    <cellStyle name="Standard 4 3 2 2 2 2 4 3 5" xfId="18316" xr:uid="{00000000-0005-0000-0000-00004C480000}"/>
    <cellStyle name="Standard 4 3 2 2 2 2 4 3 6" xfId="18317" xr:uid="{00000000-0005-0000-0000-00004D480000}"/>
    <cellStyle name="Standard 4 3 2 2 2 2 4 4" xfId="18318" xr:uid="{00000000-0005-0000-0000-00004E480000}"/>
    <cellStyle name="Standard 4 3 2 2 2 2 4 4 2" xfId="18319" xr:uid="{00000000-0005-0000-0000-00004F480000}"/>
    <cellStyle name="Standard 4 3 2 2 2 2 4 4 3" xfId="18320" xr:uid="{00000000-0005-0000-0000-000050480000}"/>
    <cellStyle name="Standard 4 3 2 2 2 2 4 5" xfId="18321" xr:uid="{00000000-0005-0000-0000-000051480000}"/>
    <cellStyle name="Standard 4 3 2 2 2 2 4 5 2" xfId="18322" xr:uid="{00000000-0005-0000-0000-000052480000}"/>
    <cellStyle name="Standard 4 3 2 2 2 2 4 5 3" xfId="18323" xr:uid="{00000000-0005-0000-0000-000053480000}"/>
    <cellStyle name="Standard 4 3 2 2 2 2 4 6" xfId="18324" xr:uid="{00000000-0005-0000-0000-000054480000}"/>
    <cellStyle name="Standard 4 3 2 2 2 2 4 6 2" xfId="18325" xr:uid="{00000000-0005-0000-0000-000055480000}"/>
    <cellStyle name="Standard 4 3 2 2 2 2 4 7" xfId="18326" xr:uid="{00000000-0005-0000-0000-000056480000}"/>
    <cellStyle name="Standard 4 3 2 2 2 2 4 8" xfId="18327" xr:uid="{00000000-0005-0000-0000-000057480000}"/>
    <cellStyle name="Standard 4 3 2 2 2 2 5" xfId="18328" xr:uid="{00000000-0005-0000-0000-000058480000}"/>
    <cellStyle name="Standard 4 3 2 2 2 2 5 2" xfId="18329" xr:uid="{00000000-0005-0000-0000-000059480000}"/>
    <cellStyle name="Standard 4 3 2 2 2 2 5 2 2" xfId="18330" xr:uid="{00000000-0005-0000-0000-00005A480000}"/>
    <cellStyle name="Standard 4 3 2 2 2 2 5 2 2 2" xfId="18331" xr:uid="{00000000-0005-0000-0000-00005B480000}"/>
    <cellStyle name="Standard 4 3 2 2 2 2 5 2 2 3" xfId="18332" xr:uid="{00000000-0005-0000-0000-00005C480000}"/>
    <cellStyle name="Standard 4 3 2 2 2 2 5 2 3" xfId="18333" xr:uid="{00000000-0005-0000-0000-00005D480000}"/>
    <cellStyle name="Standard 4 3 2 2 2 2 5 2 3 2" xfId="18334" xr:uid="{00000000-0005-0000-0000-00005E480000}"/>
    <cellStyle name="Standard 4 3 2 2 2 2 5 2 3 3" xfId="18335" xr:uid="{00000000-0005-0000-0000-00005F480000}"/>
    <cellStyle name="Standard 4 3 2 2 2 2 5 2 4" xfId="18336" xr:uid="{00000000-0005-0000-0000-000060480000}"/>
    <cellStyle name="Standard 4 3 2 2 2 2 5 2 4 2" xfId="18337" xr:uid="{00000000-0005-0000-0000-000061480000}"/>
    <cellStyle name="Standard 4 3 2 2 2 2 5 2 5" xfId="18338" xr:uid="{00000000-0005-0000-0000-000062480000}"/>
    <cellStyle name="Standard 4 3 2 2 2 2 5 2 6" xfId="18339" xr:uid="{00000000-0005-0000-0000-000063480000}"/>
    <cellStyle name="Standard 4 3 2 2 2 2 5 3" xfId="18340" xr:uid="{00000000-0005-0000-0000-000064480000}"/>
    <cellStyle name="Standard 4 3 2 2 2 2 5 3 2" xfId="18341" xr:uid="{00000000-0005-0000-0000-000065480000}"/>
    <cellStyle name="Standard 4 3 2 2 2 2 5 3 3" xfId="18342" xr:uid="{00000000-0005-0000-0000-000066480000}"/>
    <cellStyle name="Standard 4 3 2 2 2 2 5 4" xfId="18343" xr:uid="{00000000-0005-0000-0000-000067480000}"/>
    <cellStyle name="Standard 4 3 2 2 2 2 5 4 2" xfId="18344" xr:uid="{00000000-0005-0000-0000-000068480000}"/>
    <cellStyle name="Standard 4 3 2 2 2 2 5 4 3" xfId="18345" xr:uid="{00000000-0005-0000-0000-000069480000}"/>
    <cellStyle name="Standard 4 3 2 2 2 2 5 5" xfId="18346" xr:uid="{00000000-0005-0000-0000-00006A480000}"/>
    <cellStyle name="Standard 4 3 2 2 2 2 5 5 2" xfId="18347" xr:uid="{00000000-0005-0000-0000-00006B480000}"/>
    <cellStyle name="Standard 4 3 2 2 2 2 5 6" xfId="18348" xr:uid="{00000000-0005-0000-0000-00006C480000}"/>
    <cellStyle name="Standard 4 3 2 2 2 2 5 7" xfId="18349" xr:uid="{00000000-0005-0000-0000-00006D480000}"/>
    <cellStyle name="Standard 4 3 2 2 2 2 6" xfId="18350" xr:uid="{00000000-0005-0000-0000-00006E480000}"/>
    <cellStyle name="Standard 4 3 2 2 2 2 6 2" xfId="18351" xr:uid="{00000000-0005-0000-0000-00006F480000}"/>
    <cellStyle name="Standard 4 3 2 2 2 2 6 2 2" xfId="18352" xr:uid="{00000000-0005-0000-0000-000070480000}"/>
    <cellStyle name="Standard 4 3 2 2 2 2 6 2 3" xfId="18353" xr:uid="{00000000-0005-0000-0000-000071480000}"/>
    <cellStyle name="Standard 4 3 2 2 2 2 6 3" xfId="18354" xr:uid="{00000000-0005-0000-0000-000072480000}"/>
    <cellStyle name="Standard 4 3 2 2 2 2 6 3 2" xfId="18355" xr:uid="{00000000-0005-0000-0000-000073480000}"/>
    <cellStyle name="Standard 4 3 2 2 2 2 6 3 3" xfId="18356" xr:uid="{00000000-0005-0000-0000-000074480000}"/>
    <cellStyle name="Standard 4 3 2 2 2 2 6 4" xfId="18357" xr:uid="{00000000-0005-0000-0000-000075480000}"/>
    <cellStyle name="Standard 4 3 2 2 2 2 6 4 2" xfId="18358" xr:uid="{00000000-0005-0000-0000-000076480000}"/>
    <cellStyle name="Standard 4 3 2 2 2 2 6 5" xfId="18359" xr:uid="{00000000-0005-0000-0000-000077480000}"/>
    <cellStyle name="Standard 4 3 2 2 2 2 6 6" xfId="18360" xr:uid="{00000000-0005-0000-0000-000078480000}"/>
    <cellStyle name="Standard 4 3 2 2 2 2 7" xfId="18361" xr:uid="{00000000-0005-0000-0000-000079480000}"/>
    <cellStyle name="Standard 4 3 2 2 2 2 7 2" xfId="18362" xr:uid="{00000000-0005-0000-0000-00007A480000}"/>
    <cellStyle name="Standard 4 3 2 2 2 2 7 3" xfId="18363" xr:uid="{00000000-0005-0000-0000-00007B480000}"/>
    <cellStyle name="Standard 4 3 2 2 2 2 8" xfId="18364" xr:uid="{00000000-0005-0000-0000-00007C480000}"/>
    <cellStyle name="Standard 4 3 2 2 2 2 8 2" xfId="18365" xr:uid="{00000000-0005-0000-0000-00007D480000}"/>
    <cellStyle name="Standard 4 3 2 2 2 2 8 3" xfId="18366" xr:uid="{00000000-0005-0000-0000-00007E480000}"/>
    <cellStyle name="Standard 4 3 2 2 2 2 9" xfId="18367" xr:uid="{00000000-0005-0000-0000-00007F480000}"/>
    <cellStyle name="Standard 4 3 2 2 2 2 9 2" xfId="18368" xr:uid="{00000000-0005-0000-0000-000080480000}"/>
    <cellStyle name="Standard 4 3 2 2 2 3" xfId="18369" xr:uid="{00000000-0005-0000-0000-000081480000}"/>
    <cellStyle name="Standard 4 3 2 2 2 3 10" xfId="18370" xr:uid="{00000000-0005-0000-0000-000082480000}"/>
    <cellStyle name="Standard 4 3 2 2 2 3 2" xfId="18371" xr:uid="{00000000-0005-0000-0000-000083480000}"/>
    <cellStyle name="Standard 4 3 2 2 2 3 2 2" xfId="18372" xr:uid="{00000000-0005-0000-0000-000084480000}"/>
    <cellStyle name="Standard 4 3 2 2 2 3 2 2 2" xfId="18373" xr:uid="{00000000-0005-0000-0000-000085480000}"/>
    <cellStyle name="Standard 4 3 2 2 2 3 2 2 2 2" xfId="18374" xr:uid="{00000000-0005-0000-0000-000086480000}"/>
    <cellStyle name="Standard 4 3 2 2 2 3 2 2 2 2 2" xfId="18375" xr:uid="{00000000-0005-0000-0000-000087480000}"/>
    <cellStyle name="Standard 4 3 2 2 2 3 2 2 2 2 3" xfId="18376" xr:uid="{00000000-0005-0000-0000-000088480000}"/>
    <cellStyle name="Standard 4 3 2 2 2 3 2 2 2 3" xfId="18377" xr:uid="{00000000-0005-0000-0000-000089480000}"/>
    <cellStyle name="Standard 4 3 2 2 2 3 2 2 2 3 2" xfId="18378" xr:uid="{00000000-0005-0000-0000-00008A480000}"/>
    <cellStyle name="Standard 4 3 2 2 2 3 2 2 2 3 3" xfId="18379" xr:uid="{00000000-0005-0000-0000-00008B480000}"/>
    <cellStyle name="Standard 4 3 2 2 2 3 2 2 2 4" xfId="18380" xr:uid="{00000000-0005-0000-0000-00008C480000}"/>
    <cellStyle name="Standard 4 3 2 2 2 3 2 2 2 4 2" xfId="18381" xr:uid="{00000000-0005-0000-0000-00008D480000}"/>
    <cellStyle name="Standard 4 3 2 2 2 3 2 2 2 5" xfId="18382" xr:uid="{00000000-0005-0000-0000-00008E480000}"/>
    <cellStyle name="Standard 4 3 2 2 2 3 2 2 2 6" xfId="18383" xr:uid="{00000000-0005-0000-0000-00008F480000}"/>
    <cellStyle name="Standard 4 3 2 2 2 3 2 2 3" xfId="18384" xr:uid="{00000000-0005-0000-0000-000090480000}"/>
    <cellStyle name="Standard 4 3 2 2 2 3 2 2 3 2" xfId="18385" xr:uid="{00000000-0005-0000-0000-000091480000}"/>
    <cellStyle name="Standard 4 3 2 2 2 3 2 2 3 3" xfId="18386" xr:uid="{00000000-0005-0000-0000-000092480000}"/>
    <cellStyle name="Standard 4 3 2 2 2 3 2 2 4" xfId="18387" xr:uid="{00000000-0005-0000-0000-000093480000}"/>
    <cellStyle name="Standard 4 3 2 2 2 3 2 2 4 2" xfId="18388" xr:uid="{00000000-0005-0000-0000-000094480000}"/>
    <cellStyle name="Standard 4 3 2 2 2 3 2 2 4 3" xfId="18389" xr:uid="{00000000-0005-0000-0000-000095480000}"/>
    <cellStyle name="Standard 4 3 2 2 2 3 2 2 5" xfId="18390" xr:uid="{00000000-0005-0000-0000-000096480000}"/>
    <cellStyle name="Standard 4 3 2 2 2 3 2 2 5 2" xfId="18391" xr:uid="{00000000-0005-0000-0000-000097480000}"/>
    <cellStyle name="Standard 4 3 2 2 2 3 2 2 6" xfId="18392" xr:uid="{00000000-0005-0000-0000-000098480000}"/>
    <cellStyle name="Standard 4 3 2 2 2 3 2 2 7" xfId="18393" xr:uid="{00000000-0005-0000-0000-000099480000}"/>
    <cellStyle name="Standard 4 3 2 2 2 3 2 3" xfId="18394" xr:uid="{00000000-0005-0000-0000-00009A480000}"/>
    <cellStyle name="Standard 4 3 2 2 2 3 2 3 2" xfId="18395" xr:uid="{00000000-0005-0000-0000-00009B480000}"/>
    <cellStyle name="Standard 4 3 2 2 2 3 2 3 2 2" xfId="18396" xr:uid="{00000000-0005-0000-0000-00009C480000}"/>
    <cellStyle name="Standard 4 3 2 2 2 3 2 3 2 3" xfId="18397" xr:uid="{00000000-0005-0000-0000-00009D480000}"/>
    <cellStyle name="Standard 4 3 2 2 2 3 2 3 3" xfId="18398" xr:uid="{00000000-0005-0000-0000-00009E480000}"/>
    <cellStyle name="Standard 4 3 2 2 2 3 2 3 3 2" xfId="18399" xr:uid="{00000000-0005-0000-0000-00009F480000}"/>
    <cellStyle name="Standard 4 3 2 2 2 3 2 3 3 3" xfId="18400" xr:uid="{00000000-0005-0000-0000-0000A0480000}"/>
    <cellStyle name="Standard 4 3 2 2 2 3 2 3 4" xfId="18401" xr:uid="{00000000-0005-0000-0000-0000A1480000}"/>
    <cellStyle name="Standard 4 3 2 2 2 3 2 3 4 2" xfId="18402" xr:uid="{00000000-0005-0000-0000-0000A2480000}"/>
    <cellStyle name="Standard 4 3 2 2 2 3 2 3 5" xfId="18403" xr:uid="{00000000-0005-0000-0000-0000A3480000}"/>
    <cellStyle name="Standard 4 3 2 2 2 3 2 3 6" xfId="18404" xr:uid="{00000000-0005-0000-0000-0000A4480000}"/>
    <cellStyle name="Standard 4 3 2 2 2 3 2 4" xfId="18405" xr:uid="{00000000-0005-0000-0000-0000A5480000}"/>
    <cellStyle name="Standard 4 3 2 2 2 3 2 4 2" xfId="18406" xr:uid="{00000000-0005-0000-0000-0000A6480000}"/>
    <cellStyle name="Standard 4 3 2 2 2 3 2 4 3" xfId="18407" xr:uid="{00000000-0005-0000-0000-0000A7480000}"/>
    <cellStyle name="Standard 4 3 2 2 2 3 2 5" xfId="18408" xr:uid="{00000000-0005-0000-0000-0000A8480000}"/>
    <cellStyle name="Standard 4 3 2 2 2 3 2 5 2" xfId="18409" xr:uid="{00000000-0005-0000-0000-0000A9480000}"/>
    <cellStyle name="Standard 4 3 2 2 2 3 2 5 3" xfId="18410" xr:uid="{00000000-0005-0000-0000-0000AA480000}"/>
    <cellStyle name="Standard 4 3 2 2 2 3 2 6" xfId="18411" xr:uid="{00000000-0005-0000-0000-0000AB480000}"/>
    <cellStyle name="Standard 4 3 2 2 2 3 2 6 2" xfId="18412" xr:uid="{00000000-0005-0000-0000-0000AC480000}"/>
    <cellStyle name="Standard 4 3 2 2 2 3 2 7" xfId="18413" xr:uid="{00000000-0005-0000-0000-0000AD480000}"/>
    <cellStyle name="Standard 4 3 2 2 2 3 2 8" xfId="18414" xr:uid="{00000000-0005-0000-0000-0000AE480000}"/>
    <cellStyle name="Standard 4 3 2 2 2 3 3" xfId="18415" xr:uid="{00000000-0005-0000-0000-0000AF480000}"/>
    <cellStyle name="Standard 4 3 2 2 2 3 3 2" xfId="18416" xr:uid="{00000000-0005-0000-0000-0000B0480000}"/>
    <cellStyle name="Standard 4 3 2 2 2 3 3 2 2" xfId="18417" xr:uid="{00000000-0005-0000-0000-0000B1480000}"/>
    <cellStyle name="Standard 4 3 2 2 2 3 3 2 2 2" xfId="18418" xr:uid="{00000000-0005-0000-0000-0000B2480000}"/>
    <cellStyle name="Standard 4 3 2 2 2 3 3 2 2 2 2" xfId="18419" xr:uid="{00000000-0005-0000-0000-0000B3480000}"/>
    <cellStyle name="Standard 4 3 2 2 2 3 3 2 2 2 3" xfId="18420" xr:uid="{00000000-0005-0000-0000-0000B4480000}"/>
    <cellStyle name="Standard 4 3 2 2 2 3 3 2 2 3" xfId="18421" xr:uid="{00000000-0005-0000-0000-0000B5480000}"/>
    <cellStyle name="Standard 4 3 2 2 2 3 3 2 2 3 2" xfId="18422" xr:uid="{00000000-0005-0000-0000-0000B6480000}"/>
    <cellStyle name="Standard 4 3 2 2 2 3 3 2 2 3 3" xfId="18423" xr:uid="{00000000-0005-0000-0000-0000B7480000}"/>
    <cellStyle name="Standard 4 3 2 2 2 3 3 2 2 4" xfId="18424" xr:uid="{00000000-0005-0000-0000-0000B8480000}"/>
    <cellStyle name="Standard 4 3 2 2 2 3 3 2 2 4 2" xfId="18425" xr:uid="{00000000-0005-0000-0000-0000B9480000}"/>
    <cellStyle name="Standard 4 3 2 2 2 3 3 2 2 5" xfId="18426" xr:uid="{00000000-0005-0000-0000-0000BA480000}"/>
    <cellStyle name="Standard 4 3 2 2 2 3 3 2 2 6" xfId="18427" xr:uid="{00000000-0005-0000-0000-0000BB480000}"/>
    <cellStyle name="Standard 4 3 2 2 2 3 3 2 3" xfId="18428" xr:uid="{00000000-0005-0000-0000-0000BC480000}"/>
    <cellStyle name="Standard 4 3 2 2 2 3 3 2 3 2" xfId="18429" xr:uid="{00000000-0005-0000-0000-0000BD480000}"/>
    <cellStyle name="Standard 4 3 2 2 2 3 3 2 3 3" xfId="18430" xr:uid="{00000000-0005-0000-0000-0000BE480000}"/>
    <cellStyle name="Standard 4 3 2 2 2 3 3 2 4" xfId="18431" xr:uid="{00000000-0005-0000-0000-0000BF480000}"/>
    <cellStyle name="Standard 4 3 2 2 2 3 3 2 4 2" xfId="18432" xr:uid="{00000000-0005-0000-0000-0000C0480000}"/>
    <cellStyle name="Standard 4 3 2 2 2 3 3 2 4 3" xfId="18433" xr:uid="{00000000-0005-0000-0000-0000C1480000}"/>
    <cellStyle name="Standard 4 3 2 2 2 3 3 2 5" xfId="18434" xr:uid="{00000000-0005-0000-0000-0000C2480000}"/>
    <cellStyle name="Standard 4 3 2 2 2 3 3 2 5 2" xfId="18435" xr:uid="{00000000-0005-0000-0000-0000C3480000}"/>
    <cellStyle name="Standard 4 3 2 2 2 3 3 2 6" xfId="18436" xr:uid="{00000000-0005-0000-0000-0000C4480000}"/>
    <cellStyle name="Standard 4 3 2 2 2 3 3 2 7" xfId="18437" xr:uid="{00000000-0005-0000-0000-0000C5480000}"/>
    <cellStyle name="Standard 4 3 2 2 2 3 3 3" xfId="18438" xr:uid="{00000000-0005-0000-0000-0000C6480000}"/>
    <cellStyle name="Standard 4 3 2 2 2 3 3 3 2" xfId="18439" xr:uid="{00000000-0005-0000-0000-0000C7480000}"/>
    <cellStyle name="Standard 4 3 2 2 2 3 3 3 2 2" xfId="18440" xr:uid="{00000000-0005-0000-0000-0000C8480000}"/>
    <cellStyle name="Standard 4 3 2 2 2 3 3 3 2 3" xfId="18441" xr:uid="{00000000-0005-0000-0000-0000C9480000}"/>
    <cellStyle name="Standard 4 3 2 2 2 3 3 3 3" xfId="18442" xr:uid="{00000000-0005-0000-0000-0000CA480000}"/>
    <cellStyle name="Standard 4 3 2 2 2 3 3 3 3 2" xfId="18443" xr:uid="{00000000-0005-0000-0000-0000CB480000}"/>
    <cellStyle name="Standard 4 3 2 2 2 3 3 3 3 3" xfId="18444" xr:uid="{00000000-0005-0000-0000-0000CC480000}"/>
    <cellStyle name="Standard 4 3 2 2 2 3 3 3 4" xfId="18445" xr:uid="{00000000-0005-0000-0000-0000CD480000}"/>
    <cellStyle name="Standard 4 3 2 2 2 3 3 3 4 2" xfId="18446" xr:uid="{00000000-0005-0000-0000-0000CE480000}"/>
    <cellStyle name="Standard 4 3 2 2 2 3 3 3 5" xfId="18447" xr:uid="{00000000-0005-0000-0000-0000CF480000}"/>
    <cellStyle name="Standard 4 3 2 2 2 3 3 3 6" xfId="18448" xr:uid="{00000000-0005-0000-0000-0000D0480000}"/>
    <cellStyle name="Standard 4 3 2 2 2 3 3 4" xfId="18449" xr:uid="{00000000-0005-0000-0000-0000D1480000}"/>
    <cellStyle name="Standard 4 3 2 2 2 3 3 4 2" xfId="18450" xr:uid="{00000000-0005-0000-0000-0000D2480000}"/>
    <cellStyle name="Standard 4 3 2 2 2 3 3 4 3" xfId="18451" xr:uid="{00000000-0005-0000-0000-0000D3480000}"/>
    <cellStyle name="Standard 4 3 2 2 2 3 3 5" xfId="18452" xr:uid="{00000000-0005-0000-0000-0000D4480000}"/>
    <cellStyle name="Standard 4 3 2 2 2 3 3 5 2" xfId="18453" xr:uid="{00000000-0005-0000-0000-0000D5480000}"/>
    <cellStyle name="Standard 4 3 2 2 2 3 3 5 3" xfId="18454" xr:uid="{00000000-0005-0000-0000-0000D6480000}"/>
    <cellStyle name="Standard 4 3 2 2 2 3 3 6" xfId="18455" xr:uid="{00000000-0005-0000-0000-0000D7480000}"/>
    <cellStyle name="Standard 4 3 2 2 2 3 3 6 2" xfId="18456" xr:uid="{00000000-0005-0000-0000-0000D8480000}"/>
    <cellStyle name="Standard 4 3 2 2 2 3 3 7" xfId="18457" xr:uid="{00000000-0005-0000-0000-0000D9480000}"/>
    <cellStyle name="Standard 4 3 2 2 2 3 3 8" xfId="18458" xr:uid="{00000000-0005-0000-0000-0000DA480000}"/>
    <cellStyle name="Standard 4 3 2 2 2 3 4" xfId="18459" xr:uid="{00000000-0005-0000-0000-0000DB480000}"/>
    <cellStyle name="Standard 4 3 2 2 2 3 4 2" xfId="18460" xr:uid="{00000000-0005-0000-0000-0000DC480000}"/>
    <cellStyle name="Standard 4 3 2 2 2 3 4 2 2" xfId="18461" xr:uid="{00000000-0005-0000-0000-0000DD480000}"/>
    <cellStyle name="Standard 4 3 2 2 2 3 4 2 2 2" xfId="18462" xr:uid="{00000000-0005-0000-0000-0000DE480000}"/>
    <cellStyle name="Standard 4 3 2 2 2 3 4 2 2 3" xfId="18463" xr:uid="{00000000-0005-0000-0000-0000DF480000}"/>
    <cellStyle name="Standard 4 3 2 2 2 3 4 2 3" xfId="18464" xr:uid="{00000000-0005-0000-0000-0000E0480000}"/>
    <cellStyle name="Standard 4 3 2 2 2 3 4 2 3 2" xfId="18465" xr:uid="{00000000-0005-0000-0000-0000E1480000}"/>
    <cellStyle name="Standard 4 3 2 2 2 3 4 2 3 3" xfId="18466" xr:uid="{00000000-0005-0000-0000-0000E2480000}"/>
    <cellStyle name="Standard 4 3 2 2 2 3 4 2 4" xfId="18467" xr:uid="{00000000-0005-0000-0000-0000E3480000}"/>
    <cellStyle name="Standard 4 3 2 2 2 3 4 2 4 2" xfId="18468" xr:uid="{00000000-0005-0000-0000-0000E4480000}"/>
    <cellStyle name="Standard 4 3 2 2 2 3 4 2 5" xfId="18469" xr:uid="{00000000-0005-0000-0000-0000E5480000}"/>
    <cellStyle name="Standard 4 3 2 2 2 3 4 2 6" xfId="18470" xr:uid="{00000000-0005-0000-0000-0000E6480000}"/>
    <cellStyle name="Standard 4 3 2 2 2 3 4 3" xfId="18471" xr:uid="{00000000-0005-0000-0000-0000E7480000}"/>
    <cellStyle name="Standard 4 3 2 2 2 3 4 3 2" xfId="18472" xr:uid="{00000000-0005-0000-0000-0000E8480000}"/>
    <cellStyle name="Standard 4 3 2 2 2 3 4 3 3" xfId="18473" xr:uid="{00000000-0005-0000-0000-0000E9480000}"/>
    <cellStyle name="Standard 4 3 2 2 2 3 4 4" xfId="18474" xr:uid="{00000000-0005-0000-0000-0000EA480000}"/>
    <cellStyle name="Standard 4 3 2 2 2 3 4 4 2" xfId="18475" xr:uid="{00000000-0005-0000-0000-0000EB480000}"/>
    <cellStyle name="Standard 4 3 2 2 2 3 4 4 3" xfId="18476" xr:uid="{00000000-0005-0000-0000-0000EC480000}"/>
    <cellStyle name="Standard 4 3 2 2 2 3 4 5" xfId="18477" xr:uid="{00000000-0005-0000-0000-0000ED480000}"/>
    <cellStyle name="Standard 4 3 2 2 2 3 4 5 2" xfId="18478" xr:uid="{00000000-0005-0000-0000-0000EE480000}"/>
    <cellStyle name="Standard 4 3 2 2 2 3 4 6" xfId="18479" xr:uid="{00000000-0005-0000-0000-0000EF480000}"/>
    <cellStyle name="Standard 4 3 2 2 2 3 4 7" xfId="18480" xr:uid="{00000000-0005-0000-0000-0000F0480000}"/>
    <cellStyle name="Standard 4 3 2 2 2 3 5" xfId="18481" xr:uid="{00000000-0005-0000-0000-0000F1480000}"/>
    <cellStyle name="Standard 4 3 2 2 2 3 5 2" xfId="18482" xr:uid="{00000000-0005-0000-0000-0000F2480000}"/>
    <cellStyle name="Standard 4 3 2 2 2 3 5 2 2" xfId="18483" xr:uid="{00000000-0005-0000-0000-0000F3480000}"/>
    <cellStyle name="Standard 4 3 2 2 2 3 5 2 3" xfId="18484" xr:uid="{00000000-0005-0000-0000-0000F4480000}"/>
    <cellStyle name="Standard 4 3 2 2 2 3 5 3" xfId="18485" xr:uid="{00000000-0005-0000-0000-0000F5480000}"/>
    <cellStyle name="Standard 4 3 2 2 2 3 5 3 2" xfId="18486" xr:uid="{00000000-0005-0000-0000-0000F6480000}"/>
    <cellStyle name="Standard 4 3 2 2 2 3 5 3 3" xfId="18487" xr:uid="{00000000-0005-0000-0000-0000F7480000}"/>
    <cellStyle name="Standard 4 3 2 2 2 3 5 4" xfId="18488" xr:uid="{00000000-0005-0000-0000-0000F8480000}"/>
    <cellStyle name="Standard 4 3 2 2 2 3 5 4 2" xfId="18489" xr:uid="{00000000-0005-0000-0000-0000F9480000}"/>
    <cellStyle name="Standard 4 3 2 2 2 3 5 5" xfId="18490" xr:uid="{00000000-0005-0000-0000-0000FA480000}"/>
    <cellStyle name="Standard 4 3 2 2 2 3 5 6" xfId="18491" xr:uid="{00000000-0005-0000-0000-0000FB480000}"/>
    <cellStyle name="Standard 4 3 2 2 2 3 6" xfId="18492" xr:uid="{00000000-0005-0000-0000-0000FC480000}"/>
    <cellStyle name="Standard 4 3 2 2 2 3 6 2" xfId="18493" xr:uid="{00000000-0005-0000-0000-0000FD480000}"/>
    <cellStyle name="Standard 4 3 2 2 2 3 6 3" xfId="18494" xr:uid="{00000000-0005-0000-0000-0000FE480000}"/>
    <cellStyle name="Standard 4 3 2 2 2 3 7" xfId="18495" xr:uid="{00000000-0005-0000-0000-0000FF480000}"/>
    <cellStyle name="Standard 4 3 2 2 2 3 7 2" xfId="18496" xr:uid="{00000000-0005-0000-0000-000000490000}"/>
    <cellStyle name="Standard 4 3 2 2 2 3 7 3" xfId="18497" xr:uid="{00000000-0005-0000-0000-000001490000}"/>
    <cellStyle name="Standard 4 3 2 2 2 3 8" xfId="18498" xr:uid="{00000000-0005-0000-0000-000002490000}"/>
    <cellStyle name="Standard 4 3 2 2 2 3 8 2" xfId="18499" xr:uid="{00000000-0005-0000-0000-000003490000}"/>
    <cellStyle name="Standard 4 3 2 2 2 3 9" xfId="18500" xr:uid="{00000000-0005-0000-0000-000004490000}"/>
    <cellStyle name="Standard 4 3 2 2 2 4" xfId="18501" xr:uid="{00000000-0005-0000-0000-000005490000}"/>
    <cellStyle name="Standard 4 3 2 2 2 4 2" xfId="18502" xr:uid="{00000000-0005-0000-0000-000006490000}"/>
    <cellStyle name="Standard 4 3 2 2 2 4 2 2" xfId="18503" xr:uid="{00000000-0005-0000-0000-000007490000}"/>
    <cellStyle name="Standard 4 3 2 2 2 4 2 2 2" xfId="18504" xr:uid="{00000000-0005-0000-0000-000008490000}"/>
    <cellStyle name="Standard 4 3 2 2 2 4 2 2 2 2" xfId="18505" xr:uid="{00000000-0005-0000-0000-000009490000}"/>
    <cellStyle name="Standard 4 3 2 2 2 4 2 2 2 3" xfId="18506" xr:uid="{00000000-0005-0000-0000-00000A490000}"/>
    <cellStyle name="Standard 4 3 2 2 2 4 2 2 3" xfId="18507" xr:uid="{00000000-0005-0000-0000-00000B490000}"/>
    <cellStyle name="Standard 4 3 2 2 2 4 2 2 3 2" xfId="18508" xr:uid="{00000000-0005-0000-0000-00000C490000}"/>
    <cellStyle name="Standard 4 3 2 2 2 4 2 2 3 3" xfId="18509" xr:uid="{00000000-0005-0000-0000-00000D490000}"/>
    <cellStyle name="Standard 4 3 2 2 2 4 2 2 4" xfId="18510" xr:uid="{00000000-0005-0000-0000-00000E490000}"/>
    <cellStyle name="Standard 4 3 2 2 2 4 2 2 4 2" xfId="18511" xr:uid="{00000000-0005-0000-0000-00000F490000}"/>
    <cellStyle name="Standard 4 3 2 2 2 4 2 2 5" xfId="18512" xr:uid="{00000000-0005-0000-0000-000010490000}"/>
    <cellStyle name="Standard 4 3 2 2 2 4 2 2 6" xfId="18513" xr:uid="{00000000-0005-0000-0000-000011490000}"/>
    <cellStyle name="Standard 4 3 2 2 2 4 2 3" xfId="18514" xr:uid="{00000000-0005-0000-0000-000012490000}"/>
    <cellStyle name="Standard 4 3 2 2 2 4 2 3 2" xfId="18515" xr:uid="{00000000-0005-0000-0000-000013490000}"/>
    <cellStyle name="Standard 4 3 2 2 2 4 2 3 3" xfId="18516" xr:uid="{00000000-0005-0000-0000-000014490000}"/>
    <cellStyle name="Standard 4 3 2 2 2 4 2 4" xfId="18517" xr:uid="{00000000-0005-0000-0000-000015490000}"/>
    <cellStyle name="Standard 4 3 2 2 2 4 2 4 2" xfId="18518" xr:uid="{00000000-0005-0000-0000-000016490000}"/>
    <cellStyle name="Standard 4 3 2 2 2 4 2 4 3" xfId="18519" xr:uid="{00000000-0005-0000-0000-000017490000}"/>
    <cellStyle name="Standard 4 3 2 2 2 4 2 5" xfId="18520" xr:uid="{00000000-0005-0000-0000-000018490000}"/>
    <cellStyle name="Standard 4 3 2 2 2 4 2 5 2" xfId="18521" xr:uid="{00000000-0005-0000-0000-000019490000}"/>
    <cellStyle name="Standard 4 3 2 2 2 4 2 6" xfId="18522" xr:uid="{00000000-0005-0000-0000-00001A490000}"/>
    <cellStyle name="Standard 4 3 2 2 2 4 2 7" xfId="18523" xr:uid="{00000000-0005-0000-0000-00001B490000}"/>
    <cellStyle name="Standard 4 3 2 2 2 4 3" xfId="18524" xr:uid="{00000000-0005-0000-0000-00001C490000}"/>
    <cellStyle name="Standard 4 3 2 2 2 4 3 2" xfId="18525" xr:uid="{00000000-0005-0000-0000-00001D490000}"/>
    <cellStyle name="Standard 4 3 2 2 2 4 3 2 2" xfId="18526" xr:uid="{00000000-0005-0000-0000-00001E490000}"/>
    <cellStyle name="Standard 4 3 2 2 2 4 3 2 3" xfId="18527" xr:uid="{00000000-0005-0000-0000-00001F490000}"/>
    <cellStyle name="Standard 4 3 2 2 2 4 3 3" xfId="18528" xr:uid="{00000000-0005-0000-0000-000020490000}"/>
    <cellStyle name="Standard 4 3 2 2 2 4 3 3 2" xfId="18529" xr:uid="{00000000-0005-0000-0000-000021490000}"/>
    <cellStyle name="Standard 4 3 2 2 2 4 3 3 3" xfId="18530" xr:uid="{00000000-0005-0000-0000-000022490000}"/>
    <cellStyle name="Standard 4 3 2 2 2 4 3 4" xfId="18531" xr:uid="{00000000-0005-0000-0000-000023490000}"/>
    <cellStyle name="Standard 4 3 2 2 2 4 3 4 2" xfId="18532" xr:uid="{00000000-0005-0000-0000-000024490000}"/>
    <cellStyle name="Standard 4 3 2 2 2 4 3 5" xfId="18533" xr:uid="{00000000-0005-0000-0000-000025490000}"/>
    <cellStyle name="Standard 4 3 2 2 2 4 3 6" xfId="18534" xr:uid="{00000000-0005-0000-0000-000026490000}"/>
    <cellStyle name="Standard 4 3 2 2 2 4 4" xfId="18535" xr:uid="{00000000-0005-0000-0000-000027490000}"/>
    <cellStyle name="Standard 4 3 2 2 2 4 4 2" xfId="18536" xr:uid="{00000000-0005-0000-0000-000028490000}"/>
    <cellStyle name="Standard 4 3 2 2 2 4 4 3" xfId="18537" xr:uid="{00000000-0005-0000-0000-000029490000}"/>
    <cellStyle name="Standard 4 3 2 2 2 4 5" xfId="18538" xr:uid="{00000000-0005-0000-0000-00002A490000}"/>
    <cellStyle name="Standard 4 3 2 2 2 4 5 2" xfId="18539" xr:uid="{00000000-0005-0000-0000-00002B490000}"/>
    <cellStyle name="Standard 4 3 2 2 2 4 5 3" xfId="18540" xr:uid="{00000000-0005-0000-0000-00002C490000}"/>
    <cellStyle name="Standard 4 3 2 2 2 4 6" xfId="18541" xr:uid="{00000000-0005-0000-0000-00002D490000}"/>
    <cellStyle name="Standard 4 3 2 2 2 4 6 2" xfId="18542" xr:uid="{00000000-0005-0000-0000-00002E490000}"/>
    <cellStyle name="Standard 4 3 2 2 2 4 7" xfId="18543" xr:uid="{00000000-0005-0000-0000-00002F490000}"/>
    <cellStyle name="Standard 4 3 2 2 2 4 8" xfId="18544" xr:uid="{00000000-0005-0000-0000-000030490000}"/>
    <cellStyle name="Standard 4 3 2 2 2 5" xfId="18545" xr:uid="{00000000-0005-0000-0000-000031490000}"/>
    <cellStyle name="Standard 4 3 2 2 2 5 2" xfId="18546" xr:uid="{00000000-0005-0000-0000-000032490000}"/>
    <cellStyle name="Standard 4 3 2 2 2 5 2 2" xfId="18547" xr:uid="{00000000-0005-0000-0000-000033490000}"/>
    <cellStyle name="Standard 4 3 2 2 2 5 2 2 2" xfId="18548" xr:uid="{00000000-0005-0000-0000-000034490000}"/>
    <cellStyle name="Standard 4 3 2 2 2 5 2 2 2 2" xfId="18549" xr:uid="{00000000-0005-0000-0000-000035490000}"/>
    <cellStyle name="Standard 4 3 2 2 2 5 2 2 2 3" xfId="18550" xr:uid="{00000000-0005-0000-0000-000036490000}"/>
    <cellStyle name="Standard 4 3 2 2 2 5 2 2 3" xfId="18551" xr:uid="{00000000-0005-0000-0000-000037490000}"/>
    <cellStyle name="Standard 4 3 2 2 2 5 2 2 3 2" xfId="18552" xr:uid="{00000000-0005-0000-0000-000038490000}"/>
    <cellStyle name="Standard 4 3 2 2 2 5 2 2 3 3" xfId="18553" xr:uid="{00000000-0005-0000-0000-000039490000}"/>
    <cellStyle name="Standard 4 3 2 2 2 5 2 2 4" xfId="18554" xr:uid="{00000000-0005-0000-0000-00003A490000}"/>
    <cellStyle name="Standard 4 3 2 2 2 5 2 2 4 2" xfId="18555" xr:uid="{00000000-0005-0000-0000-00003B490000}"/>
    <cellStyle name="Standard 4 3 2 2 2 5 2 2 5" xfId="18556" xr:uid="{00000000-0005-0000-0000-00003C490000}"/>
    <cellStyle name="Standard 4 3 2 2 2 5 2 2 6" xfId="18557" xr:uid="{00000000-0005-0000-0000-00003D490000}"/>
    <cellStyle name="Standard 4 3 2 2 2 5 2 3" xfId="18558" xr:uid="{00000000-0005-0000-0000-00003E490000}"/>
    <cellStyle name="Standard 4 3 2 2 2 5 2 3 2" xfId="18559" xr:uid="{00000000-0005-0000-0000-00003F490000}"/>
    <cellStyle name="Standard 4 3 2 2 2 5 2 3 3" xfId="18560" xr:uid="{00000000-0005-0000-0000-000040490000}"/>
    <cellStyle name="Standard 4 3 2 2 2 5 2 4" xfId="18561" xr:uid="{00000000-0005-0000-0000-000041490000}"/>
    <cellStyle name="Standard 4 3 2 2 2 5 2 4 2" xfId="18562" xr:uid="{00000000-0005-0000-0000-000042490000}"/>
    <cellStyle name="Standard 4 3 2 2 2 5 2 4 3" xfId="18563" xr:uid="{00000000-0005-0000-0000-000043490000}"/>
    <cellStyle name="Standard 4 3 2 2 2 5 2 5" xfId="18564" xr:uid="{00000000-0005-0000-0000-000044490000}"/>
    <cellStyle name="Standard 4 3 2 2 2 5 2 5 2" xfId="18565" xr:uid="{00000000-0005-0000-0000-000045490000}"/>
    <cellStyle name="Standard 4 3 2 2 2 5 2 6" xfId="18566" xr:uid="{00000000-0005-0000-0000-000046490000}"/>
    <cellStyle name="Standard 4 3 2 2 2 5 2 7" xfId="18567" xr:uid="{00000000-0005-0000-0000-000047490000}"/>
    <cellStyle name="Standard 4 3 2 2 2 5 3" xfId="18568" xr:uid="{00000000-0005-0000-0000-000048490000}"/>
    <cellStyle name="Standard 4 3 2 2 2 5 3 2" xfId="18569" xr:uid="{00000000-0005-0000-0000-000049490000}"/>
    <cellStyle name="Standard 4 3 2 2 2 5 3 2 2" xfId="18570" xr:uid="{00000000-0005-0000-0000-00004A490000}"/>
    <cellStyle name="Standard 4 3 2 2 2 5 3 2 3" xfId="18571" xr:uid="{00000000-0005-0000-0000-00004B490000}"/>
    <cellStyle name="Standard 4 3 2 2 2 5 3 3" xfId="18572" xr:uid="{00000000-0005-0000-0000-00004C490000}"/>
    <cellStyle name="Standard 4 3 2 2 2 5 3 3 2" xfId="18573" xr:uid="{00000000-0005-0000-0000-00004D490000}"/>
    <cellStyle name="Standard 4 3 2 2 2 5 3 3 3" xfId="18574" xr:uid="{00000000-0005-0000-0000-00004E490000}"/>
    <cellStyle name="Standard 4 3 2 2 2 5 3 4" xfId="18575" xr:uid="{00000000-0005-0000-0000-00004F490000}"/>
    <cellStyle name="Standard 4 3 2 2 2 5 3 4 2" xfId="18576" xr:uid="{00000000-0005-0000-0000-000050490000}"/>
    <cellStyle name="Standard 4 3 2 2 2 5 3 5" xfId="18577" xr:uid="{00000000-0005-0000-0000-000051490000}"/>
    <cellStyle name="Standard 4 3 2 2 2 5 3 6" xfId="18578" xr:uid="{00000000-0005-0000-0000-000052490000}"/>
    <cellStyle name="Standard 4 3 2 2 2 5 4" xfId="18579" xr:uid="{00000000-0005-0000-0000-000053490000}"/>
    <cellStyle name="Standard 4 3 2 2 2 5 4 2" xfId="18580" xr:uid="{00000000-0005-0000-0000-000054490000}"/>
    <cellStyle name="Standard 4 3 2 2 2 5 4 3" xfId="18581" xr:uid="{00000000-0005-0000-0000-000055490000}"/>
    <cellStyle name="Standard 4 3 2 2 2 5 5" xfId="18582" xr:uid="{00000000-0005-0000-0000-000056490000}"/>
    <cellStyle name="Standard 4 3 2 2 2 5 5 2" xfId="18583" xr:uid="{00000000-0005-0000-0000-000057490000}"/>
    <cellStyle name="Standard 4 3 2 2 2 5 5 3" xfId="18584" xr:uid="{00000000-0005-0000-0000-000058490000}"/>
    <cellStyle name="Standard 4 3 2 2 2 5 6" xfId="18585" xr:uid="{00000000-0005-0000-0000-000059490000}"/>
    <cellStyle name="Standard 4 3 2 2 2 5 6 2" xfId="18586" xr:uid="{00000000-0005-0000-0000-00005A490000}"/>
    <cellStyle name="Standard 4 3 2 2 2 5 7" xfId="18587" xr:uid="{00000000-0005-0000-0000-00005B490000}"/>
    <cellStyle name="Standard 4 3 2 2 2 5 8" xfId="18588" xr:uid="{00000000-0005-0000-0000-00005C490000}"/>
    <cellStyle name="Standard 4 3 2 2 2 6" xfId="18589" xr:uid="{00000000-0005-0000-0000-00005D490000}"/>
    <cellStyle name="Standard 4 3 2 2 2 6 2" xfId="18590" xr:uid="{00000000-0005-0000-0000-00005E490000}"/>
    <cellStyle name="Standard 4 3 2 2 2 6 2 2" xfId="18591" xr:uid="{00000000-0005-0000-0000-00005F490000}"/>
    <cellStyle name="Standard 4 3 2 2 2 6 2 2 2" xfId="18592" xr:uid="{00000000-0005-0000-0000-000060490000}"/>
    <cellStyle name="Standard 4 3 2 2 2 6 2 2 3" xfId="18593" xr:uid="{00000000-0005-0000-0000-000061490000}"/>
    <cellStyle name="Standard 4 3 2 2 2 6 2 3" xfId="18594" xr:uid="{00000000-0005-0000-0000-000062490000}"/>
    <cellStyle name="Standard 4 3 2 2 2 6 2 3 2" xfId="18595" xr:uid="{00000000-0005-0000-0000-000063490000}"/>
    <cellStyle name="Standard 4 3 2 2 2 6 2 3 3" xfId="18596" xr:uid="{00000000-0005-0000-0000-000064490000}"/>
    <cellStyle name="Standard 4 3 2 2 2 6 2 4" xfId="18597" xr:uid="{00000000-0005-0000-0000-000065490000}"/>
    <cellStyle name="Standard 4 3 2 2 2 6 2 4 2" xfId="18598" xr:uid="{00000000-0005-0000-0000-000066490000}"/>
    <cellStyle name="Standard 4 3 2 2 2 6 2 5" xfId="18599" xr:uid="{00000000-0005-0000-0000-000067490000}"/>
    <cellStyle name="Standard 4 3 2 2 2 6 2 6" xfId="18600" xr:uid="{00000000-0005-0000-0000-000068490000}"/>
    <cellStyle name="Standard 4 3 2 2 2 6 3" xfId="18601" xr:uid="{00000000-0005-0000-0000-000069490000}"/>
    <cellStyle name="Standard 4 3 2 2 2 6 3 2" xfId="18602" xr:uid="{00000000-0005-0000-0000-00006A490000}"/>
    <cellStyle name="Standard 4 3 2 2 2 6 3 3" xfId="18603" xr:uid="{00000000-0005-0000-0000-00006B490000}"/>
    <cellStyle name="Standard 4 3 2 2 2 6 4" xfId="18604" xr:uid="{00000000-0005-0000-0000-00006C490000}"/>
    <cellStyle name="Standard 4 3 2 2 2 6 4 2" xfId="18605" xr:uid="{00000000-0005-0000-0000-00006D490000}"/>
    <cellStyle name="Standard 4 3 2 2 2 6 4 3" xfId="18606" xr:uid="{00000000-0005-0000-0000-00006E490000}"/>
    <cellStyle name="Standard 4 3 2 2 2 6 5" xfId="18607" xr:uid="{00000000-0005-0000-0000-00006F490000}"/>
    <cellStyle name="Standard 4 3 2 2 2 6 5 2" xfId="18608" xr:uid="{00000000-0005-0000-0000-000070490000}"/>
    <cellStyle name="Standard 4 3 2 2 2 6 6" xfId="18609" xr:uid="{00000000-0005-0000-0000-000071490000}"/>
    <cellStyle name="Standard 4 3 2 2 2 6 7" xfId="18610" xr:uid="{00000000-0005-0000-0000-000072490000}"/>
    <cellStyle name="Standard 4 3 2 2 2 7" xfId="18611" xr:uid="{00000000-0005-0000-0000-000073490000}"/>
    <cellStyle name="Standard 4 3 2 2 2 7 2" xfId="18612" xr:uid="{00000000-0005-0000-0000-000074490000}"/>
    <cellStyle name="Standard 4 3 2 2 2 7 2 2" xfId="18613" xr:uid="{00000000-0005-0000-0000-000075490000}"/>
    <cellStyle name="Standard 4 3 2 2 2 7 2 3" xfId="18614" xr:uid="{00000000-0005-0000-0000-000076490000}"/>
    <cellStyle name="Standard 4 3 2 2 2 7 3" xfId="18615" xr:uid="{00000000-0005-0000-0000-000077490000}"/>
    <cellStyle name="Standard 4 3 2 2 2 7 3 2" xfId="18616" xr:uid="{00000000-0005-0000-0000-000078490000}"/>
    <cellStyle name="Standard 4 3 2 2 2 7 3 3" xfId="18617" xr:uid="{00000000-0005-0000-0000-000079490000}"/>
    <cellStyle name="Standard 4 3 2 2 2 7 4" xfId="18618" xr:uid="{00000000-0005-0000-0000-00007A490000}"/>
    <cellStyle name="Standard 4 3 2 2 2 7 4 2" xfId="18619" xr:uid="{00000000-0005-0000-0000-00007B490000}"/>
    <cellStyle name="Standard 4 3 2 2 2 7 5" xfId="18620" xr:uid="{00000000-0005-0000-0000-00007C490000}"/>
    <cellStyle name="Standard 4 3 2 2 2 7 6" xfId="18621" xr:uid="{00000000-0005-0000-0000-00007D490000}"/>
    <cellStyle name="Standard 4 3 2 2 2 8" xfId="18622" xr:uid="{00000000-0005-0000-0000-00007E490000}"/>
    <cellStyle name="Standard 4 3 2 2 2 8 2" xfId="18623" xr:uid="{00000000-0005-0000-0000-00007F490000}"/>
    <cellStyle name="Standard 4 3 2 2 2 8 3" xfId="18624" xr:uid="{00000000-0005-0000-0000-000080490000}"/>
    <cellStyle name="Standard 4 3 2 2 2 9" xfId="18625" xr:uid="{00000000-0005-0000-0000-000081490000}"/>
    <cellStyle name="Standard 4 3 2 2 2 9 2" xfId="18626" xr:uid="{00000000-0005-0000-0000-000082490000}"/>
    <cellStyle name="Standard 4 3 2 2 2 9 3" xfId="18627" xr:uid="{00000000-0005-0000-0000-000083490000}"/>
    <cellStyle name="Standard 4 3 2 2 3" xfId="18628" xr:uid="{00000000-0005-0000-0000-000084490000}"/>
    <cellStyle name="Standard 4 3 2 2 3 10" xfId="18629" xr:uid="{00000000-0005-0000-0000-000085490000}"/>
    <cellStyle name="Standard 4 3 2 2 3 11" xfId="18630" xr:uid="{00000000-0005-0000-0000-000086490000}"/>
    <cellStyle name="Standard 4 3 2 2 3 2" xfId="18631" xr:uid="{00000000-0005-0000-0000-000087490000}"/>
    <cellStyle name="Standard 4 3 2 2 3 2 10" xfId="18632" xr:uid="{00000000-0005-0000-0000-000088490000}"/>
    <cellStyle name="Standard 4 3 2 2 3 2 2" xfId="18633" xr:uid="{00000000-0005-0000-0000-000089490000}"/>
    <cellStyle name="Standard 4 3 2 2 3 2 2 2" xfId="18634" xr:uid="{00000000-0005-0000-0000-00008A490000}"/>
    <cellStyle name="Standard 4 3 2 2 3 2 2 2 2" xfId="18635" xr:uid="{00000000-0005-0000-0000-00008B490000}"/>
    <cellStyle name="Standard 4 3 2 2 3 2 2 2 2 2" xfId="18636" xr:uid="{00000000-0005-0000-0000-00008C490000}"/>
    <cellStyle name="Standard 4 3 2 2 3 2 2 2 2 2 2" xfId="18637" xr:uid="{00000000-0005-0000-0000-00008D490000}"/>
    <cellStyle name="Standard 4 3 2 2 3 2 2 2 2 2 3" xfId="18638" xr:uid="{00000000-0005-0000-0000-00008E490000}"/>
    <cellStyle name="Standard 4 3 2 2 3 2 2 2 2 3" xfId="18639" xr:uid="{00000000-0005-0000-0000-00008F490000}"/>
    <cellStyle name="Standard 4 3 2 2 3 2 2 2 2 3 2" xfId="18640" xr:uid="{00000000-0005-0000-0000-000090490000}"/>
    <cellStyle name="Standard 4 3 2 2 3 2 2 2 2 3 3" xfId="18641" xr:uid="{00000000-0005-0000-0000-000091490000}"/>
    <cellStyle name="Standard 4 3 2 2 3 2 2 2 2 4" xfId="18642" xr:uid="{00000000-0005-0000-0000-000092490000}"/>
    <cellStyle name="Standard 4 3 2 2 3 2 2 2 2 4 2" xfId="18643" xr:uid="{00000000-0005-0000-0000-000093490000}"/>
    <cellStyle name="Standard 4 3 2 2 3 2 2 2 2 5" xfId="18644" xr:uid="{00000000-0005-0000-0000-000094490000}"/>
    <cellStyle name="Standard 4 3 2 2 3 2 2 2 2 6" xfId="18645" xr:uid="{00000000-0005-0000-0000-000095490000}"/>
    <cellStyle name="Standard 4 3 2 2 3 2 2 2 3" xfId="18646" xr:uid="{00000000-0005-0000-0000-000096490000}"/>
    <cellStyle name="Standard 4 3 2 2 3 2 2 2 3 2" xfId="18647" xr:uid="{00000000-0005-0000-0000-000097490000}"/>
    <cellStyle name="Standard 4 3 2 2 3 2 2 2 3 3" xfId="18648" xr:uid="{00000000-0005-0000-0000-000098490000}"/>
    <cellStyle name="Standard 4 3 2 2 3 2 2 2 4" xfId="18649" xr:uid="{00000000-0005-0000-0000-000099490000}"/>
    <cellStyle name="Standard 4 3 2 2 3 2 2 2 4 2" xfId="18650" xr:uid="{00000000-0005-0000-0000-00009A490000}"/>
    <cellStyle name="Standard 4 3 2 2 3 2 2 2 4 3" xfId="18651" xr:uid="{00000000-0005-0000-0000-00009B490000}"/>
    <cellStyle name="Standard 4 3 2 2 3 2 2 2 5" xfId="18652" xr:uid="{00000000-0005-0000-0000-00009C490000}"/>
    <cellStyle name="Standard 4 3 2 2 3 2 2 2 5 2" xfId="18653" xr:uid="{00000000-0005-0000-0000-00009D490000}"/>
    <cellStyle name="Standard 4 3 2 2 3 2 2 2 6" xfId="18654" xr:uid="{00000000-0005-0000-0000-00009E490000}"/>
    <cellStyle name="Standard 4 3 2 2 3 2 2 2 7" xfId="18655" xr:uid="{00000000-0005-0000-0000-00009F490000}"/>
    <cellStyle name="Standard 4 3 2 2 3 2 2 3" xfId="18656" xr:uid="{00000000-0005-0000-0000-0000A0490000}"/>
    <cellStyle name="Standard 4 3 2 2 3 2 2 3 2" xfId="18657" xr:uid="{00000000-0005-0000-0000-0000A1490000}"/>
    <cellStyle name="Standard 4 3 2 2 3 2 2 3 2 2" xfId="18658" xr:uid="{00000000-0005-0000-0000-0000A2490000}"/>
    <cellStyle name="Standard 4 3 2 2 3 2 2 3 2 3" xfId="18659" xr:uid="{00000000-0005-0000-0000-0000A3490000}"/>
    <cellStyle name="Standard 4 3 2 2 3 2 2 3 3" xfId="18660" xr:uid="{00000000-0005-0000-0000-0000A4490000}"/>
    <cellStyle name="Standard 4 3 2 2 3 2 2 3 3 2" xfId="18661" xr:uid="{00000000-0005-0000-0000-0000A5490000}"/>
    <cellStyle name="Standard 4 3 2 2 3 2 2 3 3 3" xfId="18662" xr:uid="{00000000-0005-0000-0000-0000A6490000}"/>
    <cellStyle name="Standard 4 3 2 2 3 2 2 3 4" xfId="18663" xr:uid="{00000000-0005-0000-0000-0000A7490000}"/>
    <cellStyle name="Standard 4 3 2 2 3 2 2 3 4 2" xfId="18664" xr:uid="{00000000-0005-0000-0000-0000A8490000}"/>
    <cellStyle name="Standard 4 3 2 2 3 2 2 3 5" xfId="18665" xr:uid="{00000000-0005-0000-0000-0000A9490000}"/>
    <cellStyle name="Standard 4 3 2 2 3 2 2 3 6" xfId="18666" xr:uid="{00000000-0005-0000-0000-0000AA490000}"/>
    <cellStyle name="Standard 4 3 2 2 3 2 2 4" xfId="18667" xr:uid="{00000000-0005-0000-0000-0000AB490000}"/>
    <cellStyle name="Standard 4 3 2 2 3 2 2 4 2" xfId="18668" xr:uid="{00000000-0005-0000-0000-0000AC490000}"/>
    <cellStyle name="Standard 4 3 2 2 3 2 2 4 3" xfId="18669" xr:uid="{00000000-0005-0000-0000-0000AD490000}"/>
    <cellStyle name="Standard 4 3 2 2 3 2 2 5" xfId="18670" xr:uid="{00000000-0005-0000-0000-0000AE490000}"/>
    <cellStyle name="Standard 4 3 2 2 3 2 2 5 2" xfId="18671" xr:uid="{00000000-0005-0000-0000-0000AF490000}"/>
    <cellStyle name="Standard 4 3 2 2 3 2 2 5 3" xfId="18672" xr:uid="{00000000-0005-0000-0000-0000B0490000}"/>
    <cellStyle name="Standard 4 3 2 2 3 2 2 6" xfId="18673" xr:uid="{00000000-0005-0000-0000-0000B1490000}"/>
    <cellStyle name="Standard 4 3 2 2 3 2 2 6 2" xfId="18674" xr:uid="{00000000-0005-0000-0000-0000B2490000}"/>
    <cellStyle name="Standard 4 3 2 2 3 2 2 7" xfId="18675" xr:uid="{00000000-0005-0000-0000-0000B3490000}"/>
    <cellStyle name="Standard 4 3 2 2 3 2 2 8" xfId="18676" xr:uid="{00000000-0005-0000-0000-0000B4490000}"/>
    <cellStyle name="Standard 4 3 2 2 3 2 3" xfId="18677" xr:uid="{00000000-0005-0000-0000-0000B5490000}"/>
    <cellStyle name="Standard 4 3 2 2 3 2 3 2" xfId="18678" xr:uid="{00000000-0005-0000-0000-0000B6490000}"/>
    <cellStyle name="Standard 4 3 2 2 3 2 3 2 2" xfId="18679" xr:uid="{00000000-0005-0000-0000-0000B7490000}"/>
    <cellStyle name="Standard 4 3 2 2 3 2 3 2 2 2" xfId="18680" xr:uid="{00000000-0005-0000-0000-0000B8490000}"/>
    <cellStyle name="Standard 4 3 2 2 3 2 3 2 2 2 2" xfId="18681" xr:uid="{00000000-0005-0000-0000-0000B9490000}"/>
    <cellStyle name="Standard 4 3 2 2 3 2 3 2 2 2 3" xfId="18682" xr:uid="{00000000-0005-0000-0000-0000BA490000}"/>
    <cellStyle name="Standard 4 3 2 2 3 2 3 2 2 3" xfId="18683" xr:uid="{00000000-0005-0000-0000-0000BB490000}"/>
    <cellStyle name="Standard 4 3 2 2 3 2 3 2 2 3 2" xfId="18684" xr:uid="{00000000-0005-0000-0000-0000BC490000}"/>
    <cellStyle name="Standard 4 3 2 2 3 2 3 2 2 3 3" xfId="18685" xr:uid="{00000000-0005-0000-0000-0000BD490000}"/>
    <cellStyle name="Standard 4 3 2 2 3 2 3 2 2 4" xfId="18686" xr:uid="{00000000-0005-0000-0000-0000BE490000}"/>
    <cellStyle name="Standard 4 3 2 2 3 2 3 2 2 4 2" xfId="18687" xr:uid="{00000000-0005-0000-0000-0000BF490000}"/>
    <cellStyle name="Standard 4 3 2 2 3 2 3 2 2 5" xfId="18688" xr:uid="{00000000-0005-0000-0000-0000C0490000}"/>
    <cellStyle name="Standard 4 3 2 2 3 2 3 2 2 6" xfId="18689" xr:uid="{00000000-0005-0000-0000-0000C1490000}"/>
    <cellStyle name="Standard 4 3 2 2 3 2 3 2 3" xfId="18690" xr:uid="{00000000-0005-0000-0000-0000C2490000}"/>
    <cellStyle name="Standard 4 3 2 2 3 2 3 2 3 2" xfId="18691" xr:uid="{00000000-0005-0000-0000-0000C3490000}"/>
    <cellStyle name="Standard 4 3 2 2 3 2 3 2 3 3" xfId="18692" xr:uid="{00000000-0005-0000-0000-0000C4490000}"/>
    <cellStyle name="Standard 4 3 2 2 3 2 3 2 4" xfId="18693" xr:uid="{00000000-0005-0000-0000-0000C5490000}"/>
    <cellStyle name="Standard 4 3 2 2 3 2 3 2 4 2" xfId="18694" xr:uid="{00000000-0005-0000-0000-0000C6490000}"/>
    <cellStyle name="Standard 4 3 2 2 3 2 3 2 4 3" xfId="18695" xr:uid="{00000000-0005-0000-0000-0000C7490000}"/>
    <cellStyle name="Standard 4 3 2 2 3 2 3 2 5" xfId="18696" xr:uid="{00000000-0005-0000-0000-0000C8490000}"/>
    <cellStyle name="Standard 4 3 2 2 3 2 3 2 5 2" xfId="18697" xr:uid="{00000000-0005-0000-0000-0000C9490000}"/>
    <cellStyle name="Standard 4 3 2 2 3 2 3 2 6" xfId="18698" xr:uid="{00000000-0005-0000-0000-0000CA490000}"/>
    <cellStyle name="Standard 4 3 2 2 3 2 3 2 7" xfId="18699" xr:uid="{00000000-0005-0000-0000-0000CB490000}"/>
    <cellStyle name="Standard 4 3 2 2 3 2 3 3" xfId="18700" xr:uid="{00000000-0005-0000-0000-0000CC490000}"/>
    <cellStyle name="Standard 4 3 2 2 3 2 3 3 2" xfId="18701" xr:uid="{00000000-0005-0000-0000-0000CD490000}"/>
    <cellStyle name="Standard 4 3 2 2 3 2 3 3 2 2" xfId="18702" xr:uid="{00000000-0005-0000-0000-0000CE490000}"/>
    <cellStyle name="Standard 4 3 2 2 3 2 3 3 2 3" xfId="18703" xr:uid="{00000000-0005-0000-0000-0000CF490000}"/>
    <cellStyle name="Standard 4 3 2 2 3 2 3 3 3" xfId="18704" xr:uid="{00000000-0005-0000-0000-0000D0490000}"/>
    <cellStyle name="Standard 4 3 2 2 3 2 3 3 3 2" xfId="18705" xr:uid="{00000000-0005-0000-0000-0000D1490000}"/>
    <cellStyle name="Standard 4 3 2 2 3 2 3 3 3 3" xfId="18706" xr:uid="{00000000-0005-0000-0000-0000D2490000}"/>
    <cellStyle name="Standard 4 3 2 2 3 2 3 3 4" xfId="18707" xr:uid="{00000000-0005-0000-0000-0000D3490000}"/>
    <cellStyle name="Standard 4 3 2 2 3 2 3 3 4 2" xfId="18708" xr:uid="{00000000-0005-0000-0000-0000D4490000}"/>
    <cellStyle name="Standard 4 3 2 2 3 2 3 3 5" xfId="18709" xr:uid="{00000000-0005-0000-0000-0000D5490000}"/>
    <cellStyle name="Standard 4 3 2 2 3 2 3 3 6" xfId="18710" xr:uid="{00000000-0005-0000-0000-0000D6490000}"/>
    <cellStyle name="Standard 4 3 2 2 3 2 3 4" xfId="18711" xr:uid="{00000000-0005-0000-0000-0000D7490000}"/>
    <cellStyle name="Standard 4 3 2 2 3 2 3 4 2" xfId="18712" xr:uid="{00000000-0005-0000-0000-0000D8490000}"/>
    <cellStyle name="Standard 4 3 2 2 3 2 3 4 3" xfId="18713" xr:uid="{00000000-0005-0000-0000-0000D9490000}"/>
    <cellStyle name="Standard 4 3 2 2 3 2 3 5" xfId="18714" xr:uid="{00000000-0005-0000-0000-0000DA490000}"/>
    <cellStyle name="Standard 4 3 2 2 3 2 3 5 2" xfId="18715" xr:uid="{00000000-0005-0000-0000-0000DB490000}"/>
    <cellStyle name="Standard 4 3 2 2 3 2 3 5 3" xfId="18716" xr:uid="{00000000-0005-0000-0000-0000DC490000}"/>
    <cellStyle name="Standard 4 3 2 2 3 2 3 6" xfId="18717" xr:uid="{00000000-0005-0000-0000-0000DD490000}"/>
    <cellStyle name="Standard 4 3 2 2 3 2 3 6 2" xfId="18718" xr:uid="{00000000-0005-0000-0000-0000DE490000}"/>
    <cellStyle name="Standard 4 3 2 2 3 2 3 7" xfId="18719" xr:uid="{00000000-0005-0000-0000-0000DF490000}"/>
    <cellStyle name="Standard 4 3 2 2 3 2 3 8" xfId="18720" xr:uid="{00000000-0005-0000-0000-0000E0490000}"/>
    <cellStyle name="Standard 4 3 2 2 3 2 4" xfId="18721" xr:uid="{00000000-0005-0000-0000-0000E1490000}"/>
    <cellStyle name="Standard 4 3 2 2 3 2 4 2" xfId="18722" xr:uid="{00000000-0005-0000-0000-0000E2490000}"/>
    <cellStyle name="Standard 4 3 2 2 3 2 4 2 2" xfId="18723" xr:uid="{00000000-0005-0000-0000-0000E3490000}"/>
    <cellStyle name="Standard 4 3 2 2 3 2 4 2 2 2" xfId="18724" xr:uid="{00000000-0005-0000-0000-0000E4490000}"/>
    <cellStyle name="Standard 4 3 2 2 3 2 4 2 2 3" xfId="18725" xr:uid="{00000000-0005-0000-0000-0000E5490000}"/>
    <cellStyle name="Standard 4 3 2 2 3 2 4 2 3" xfId="18726" xr:uid="{00000000-0005-0000-0000-0000E6490000}"/>
    <cellStyle name="Standard 4 3 2 2 3 2 4 2 3 2" xfId="18727" xr:uid="{00000000-0005-0000-0000-0000E7490000}"/>
    <cellStyle name="Standard 4 3 2 2 3 2 4 2 3 3" xfId="18728" xr:uid="{00000000-0005-0000-0000-0000E8490000}"/>
    <cellStyle name="Standard 4 3 2 2 3 2 4 2 4" xfId="18729" xr:uid="{00000000-0005-0000-0000-0000E9490000}"/>
    <cellStyle name="Standard 4 3 2 2 3 2 4 2 4 2" xfId="18730" xr:uid="{00000000-0005-0000-0000-0000EA490000}"/>
    <cellStyle name="Standard 4 3 2 2 3 2 4 2 5" xfId="18731" xr:uid="{00000000-0005-0000-0000-0000EB490000}"/>
    <cellStyle name="Standard 4 3 2 2 3 2 4 2 6" xfId="18732" xr:uid="{00000000-0005-0000-0000-0000EC490000}"/>
    <cellStyle name="Standard 4 3 2 2 3 2 4 3" xfId="18733" xr:uid="{00000000-0005-0000-0000-0000ED490000}"/>
    <cellStyle name="Standard 4 3 2 2 3 2 4 3 2" xfId="18734" xr:uid="{00000000-0005-0000-0000-0000EE490000}"/>
    <cellStyle name="Standard 4 3 2 2 3 2 4 3 3" xfId="18735" xr:uid="{00000000-0005-0000-0000-0000EF490000}"/>
    <cellStyle name="Standard 4 3 2 2 3 2 4 4" xfId="18736" xr:uid="{00000000-0005-0000-0000-0000F0490000}"/>
    <cellStyle name="Standard 4 3 2 2 3 2 4 4 2" xfId="18737" xr:uid="{00000000-0005-0000-0000-0000F1490000}"/>
    <cellStyle name="Standard 4 3 2 2 3 2 4 4 3" xfId="18738" xr:uid="{00000000-0005-0000-0000-0000F2490000}"/>
    <cellStyle name="Standard 4 3 2 2 3 2 4 5" xfId="18739" xr:uid="{00000000-0005-0000-0000-0000F3490000}"/>
    <cellStyle name="Standard 4 3 2 2 3 2 4 5 2" xfId="18740" xr:uid="{00000000-0005-0000-0000-0000F4490000}"/>
    <cellStyle name="Standard 4 3 2 2 3 2 4 6" xfId="18741" xr:uid="{00000000-0005-0000-0000-0000F5490000}"/>
    <cellStyle name="Standard 4 3 2 2 3 2 4 7" xfId="18742" xr:uid="{00000000-0005-0000-0000-0000F6490000}"/>
    <cellStyle name="Standard 4 3 2 2 3 2 5" xfId="18743" xr:uid="{00000000-0005-0000-0000-0000F7490000}"/>
    <cellStyle name="Standard 4 3 2 2 3 2 5 2" xfId="18744" xr:uid="{00000000-0005-0000-0000-0000F8490000}"/>
    <cellStyle name="Standard 4 3 2 2 3 2 5 2 2" xfId="18745" xr:uid="{00000000-0005-0000-0000-0000F9490000}"/>
    <cellStyle name="Standard 4 3 2 2 3 2 5 2 3" xfId="18746" xr:uid="{00000000-0005-0000-0000-0000FA490000}"/>
    <cellStyle name="Standard 4 3 2 2 3 2 5 3" xfId="18747" xr:uid="{00000000-0005-0000-0000-0000FB490000}"/>
    <cellStyle name="Standard 4 3 2 2 3 2 5 3 2" xfId="18748" xr:uid="{00000000-0005-0000-0000-0000FC490000}"/>
    <cellStyle name="Standard 4 3 2 2 3 2 5 3 3" xfId="18749" xr:uid="{00000000-0005-0000-0000-0000FD490000}"/>
    <cellStyle name="Standard 4 3 2 2 3 2 5 4" xfId="18750" xr:uid="{00000000-0005-0000-0000-0000FE490000}"/>
    <cellStyle name="Standard 4 3 2 2 3 2 5 4 2" xfId="18751" xr:uid="{00000000-0005-0000-0000-0000FF490000}"/>
    <cellStyle name="Standard 4 3 2 2 3 2 5 5" xfId="18752" xr:uid="{00000000-0005-0000-0000-0000004A0000}"/>
    <cellStyle name="Standard 4 3 2 2 3 2 5 6" xfId="18753" xr:uid="{00000000-0005-0000-0000-0000014A0000}"/>
    <cellStyle name="Standard 4 3 2 2 3 2 6" xfId="18754" xr:uid="{00000000-0005-0000-0000-0000024A0000}"/>
    <cellStyle name="Standard 4 3 2 2 3 2 6 2" xfId="18755" xr:uid="{00000000-0005-0000-0000-0000034A0000}"/>
    <cellStyle name="Standard 4 3 2 2 3 2 6 3" xfId="18756" xr:uid="{00000000-0005-0000-0000-0000044A0000}"/>
    <cellStyle name="Standard 4 3 2 2 3 2 7" xfId="18757" xr:uid="{00000000-0005-0000-0000-0000054A0000}"/>
    <cellStyle name="Standard 4 3 2 2 3 2 7 2" xfId="18758" xr:uid="{00000000-0005-0000-0000-0000064A0000}"/>
    <cellStyle name="Standard 4 3 2 2 3 2 7 3" xfId="18759" xr:uid="{00000000-0005-0000-0000-0000074A0000}"/>
    <cellStyle name="Standard 4 3 2 2 3 2 8" xfId="18760" xr:uid="{00000000-0005-0000-0000-0000084A0000}"/>
    <cellStyle name="Standard 4 3 2 2 3 2 8 2" xfId="18761" xr:uid="{00000000-0005-0000-0000-0000094A0000}"/>
    <cellStyle name="Standard 4 3 2 2 3 2 9" xfId="18762" xr:uid="{00000000-0005-0000-0000-00000A4A0000}"/>
    <cellStyle name="Standard 4 3 2 2 3 3" xfId="18763" xr:uid="{00000000-0005-0000-0000-00000B4A0000}"/>
    <cellStyle name="Standard 4 3 2 2 3 3 2" xfId="18764" xr:uid="{00000000-0005-0000-0000-00000C4A0000}"/>
    <cellStyle name="Standard 4 3 2 2 3 3 2 2" xfId="18765" xr:uid="{00000000-0005-0000-0000-00000D4A0000}"/>
    <cellStyle name="Standard 4 3 2 2 3 3 2 2 2" xfId="18766" xr:uid="{00000000-0005-0000-0000-00000E4A0000}"/>
    <cellStyle name="Standard 4 3 2 2 3 3 2 2 2 2" xfId="18767" xr:uid="{00000000-0005-0000-0000-00000F4A0000}"/>
    <cellStyle name="Standard 4 3 2 2 3 3 2 2 2 3" xfId="18768" xr:uid="{00000000-0005-0000-0000-0000104A0000}"/>
    <cellStyle name="Standard 4 3 2 2 3 3 2 2 3" xfId="18769" xr:uid="{00000000-0005-0000-0000-0000114A0000}"/>
    <cellStyle name="Standard 4 3 2 2 3 3 2 2 3 2" xfId="18770" xr:uid="{00000000-0005-0000-0000-0000124A0000}"/>
    <cellStyle name="Standard 4 3 2 2 3 3 2 2 3 3" xfId="18771" xr:uid="{00000000-0005-0000-0000-0000134A0000}"/>
    <cellStyle name="Standard 4 3 2 2 3 3 2 2 4" xfId="18772" xr:uid="{00000000-0005-0000-0000-0000144A0000}"/>
    <cellStyle name="Standard 4 3 2 2 3 3 2 2 4 2" xfId="18773" xr:uid="{00000000-0005-0000-0000-0000154A0000}"/>
    <cellStyle name="Standard 4 3 2 2 3 3 2 2 5" xfId="18774" xr:uid="{00000000-0005-0000-0000-0000164A0000}"/>
    <cellStyle name="Standard 4 3 2 2 3 3 2 2 6" xfId="18775" xr:uid="{00000000-0005-0000-0000-0000174A0000}"/>
    <cellStyle name="Standard 4 3 2 2 3 3 2 3" xfId="18776" xr:uid="{00000000-0005-0000-0000-0000184A0000}"/>
    <cellStyle name="Standard 4 3 2 2 3 3 2 3 2" xfId="18777" xr:uid="{00000000-0005-0000-0000-0000194A0000}"/>
    <cellStyle name="Standard 4 3 2 2 3 3 2 3 3" xfId="18778" xr:uid="{00000000-0005-0000-0000-00001A4A0000}"/>
    <cellStyle name="Standard 4 3 2 2 3 3 2 4" xfId="18779" xr:uid="{00000000-0005-0000-0000-00001B4A0000}"/>
    <cellStyle name="Standard 4 3 2 2 3 3 2 4 2" xfId="18780" xr:uid="{00000000-0005-0000-0000-00001C4A0000}"/>
    <cellStyle name="Standard 4 3 2 2 3 3 2 4 3" xfId="18781" xr:uid="{00000000-0005-0000-0000-00001D4A0000}"/>
    <cellStyle name="Standard 4 3 2 2 3 3 2 5" xfId="18782" xr:uid="{00000000-0005-0000-0000-00001E4A0000}"/>
    <cellStyle name="Standard 4 3 2 2 3 3 2 5 2" xfId="18783" xr:uid="{00000000-0005-0000-0000-00001F4A0000}"/>
    <cellStyle name="Standard 4 3 2 2 3 3 2 6" xfId="18784" xr:uid="{00000000-0005-0000-0000-0000204A0000}"/>
    <cellStyle name="Standard 4 3 2 2 3 3 2 7" xfId="18785" xr:uid="{00000000-0005-0000-0000-0000214A0000}"/>
    <cellStyle name="Standard 4 3 2 2 3 3 3" xfId="18786" xr:uid="{00000000-0005-0000-0000-0000224A0000}"/>
    <cellStyle name="Standard 4 3 2 2 3 3 3 2" xfId="18787" xr:uid="{00000000-0005-0000-0000-0000234A0000}"/>
    <cellStyle name="Standard 4 3 2 2 3 3 3 2 2" xfId="18788" xr:uid="{00000000-0005-0000-0000-0000244A0000}"/>
    <cellStyle name="Standard 4 3 2 2 3 3 3 2 3" xfId="18789" xr:uid="{00000000-0005-0000-0000-0000254A0000}"/>
    <cellStyle name="Standard 4 3 2 2 3 3 3 3" xfId="18790" xr:uid="{00000000-0005-0000-0000-0000264A0000}"/>
    <cellStyle name="Standard 4 3 2 2 3 3 3 3 2" xfId="18791" xr:uid="{00000000-0005-0000-0000-0000274A0000}"/>
    <cellStyle name="Standard 4 3 2 2 3 3 3 3 3" xfId="18792" xr:uid="{00000000-0005-0000-0000-0000284A0000}"/>
    <cellStyle name="Standard 4 3 2 2 3 3 3 4" xfId="18793" xr:uid="{00000000-0005-0000-0000-0000294A0000}"/>
    <cellStyle name="Standard 4 3 2 2 3 3 3 4 2" xfId="18794" xr:uid="{00000000-0005-0000-0000-00002A4A0000}"/>
    <cellStyle name="Standard 4 3 2 2 3 3 3 5" xfId="18795" xr:uid="{00000000-0005-0000-0000-00002B4A0000}"/>
    <cellStyle name="Standard 4 3 2 2 3 3 3 6" xfId="18796" xr:uid="{00000000-0005-0000-0000-00002C4A0000}"/>
    <cellStyle name="Standard 4 3 2 2 3 3 4" xfId="18797" xr:uid="{00000000-0005-0000-0000-00002D4A0000}"/>
    <cellStyle name="Standard 4 3 2 2 3 3 4 2" xfId="18798" xr:uid="{00000000-0005-0000-0000-00002E4A0000}"/>
    <cellStyle name="Standard 4 3 2 2 3 3 4 3" xfId="18799" xr:uid="{00000000-0005-0000-0000-00002F4A0000}"/>
    <cellStyle name="Standard 4 3 2 2 3 3 5" xfId="18800" xr:uid="{00000000-0005-0000-0000-0000304A0000}"/>
    <cellStyle name="Standard 4 3 2 2 3 3 5 2" xfId="18801" xr:uid="{00000000-0005-0000-0000-0000314A0000}"/>
    <cellStyle name="Standard 4 3 2 2 3 3 5 3" xfId="18802" xr:uid="{00000000-0005-0000-0000-0000324A0000}"/>
    <cellStyle name="Standard 4 3 2 2 3 3 6" xfId="18803" xr:uid="{00000000-0005-0000-0000-0000334A0000}"/>
    <cellStyle name="Standard 4 3 2 2 3 3 6 2" xfId="18804" xr:uid="{00000000-0005-0000-0000-0000344A0000}"/>
    <cellStyle name="Standard 4 3 2 2 3 3 7" xfId="18805" xr:uid="{00000000-0005-0000-0000-0000354A0000}"/>
    <cellStyle name="Standard 4 3 2 2 3 3 8" xfId="18806" xr:uid="{00000000-0005-0000-0000-0000364A0000}"/>
    <cellStyle name="Standard 4 3 2 2 3 4" xfId="18807" xr:uid="{00000000-0005-0000-0000-0000374A0000}"/>
    <cellStyle name="Standard 4 3 2 2 3 4 2" xfId="18808" xr:uid="{00000000-0005-0000-0000-0000384A0000}"/>
    <cellStyle name="Standard 4 3 2 2 3 4 2 2" xfId="18809" xr:uid="{00000000-0005-0000-0000-0000394A0000}"/>
    <cellStyle name="Standard 4 3 2 2 3 4 2 2 2" xfId="18810" xr:uid="{00000000-0005-0000-0000-00003A4A0000}"/>
    <cellStyle name="Standard 4 3 2 2 3 4 2 2 2 2" xfId="18811" xr:uid="{00000000-0005-0000-0000-00003B4A0000}"/>
    <cellStyle name="Standard 4 3 2 2 3 4 2 2 2 3" xfId="18812" xr:uid="{00000000-0005-0000-0000-00003C4A0000}"/>
    <cellStyle name="Standard 4 3 2 2 3 4 2 2 3" xfId="18813" xr:uid="{00000000-0005-0000-0000-00003D4A0000}"/>
    <cellStyle name="Standard 4 3 2 2 3 4 2 2 3 2" xfId="18814" xr:uid="{00000000-0005-0000-0000-00003E4A0000}"/>
    <cellStyle name="Standard 4 3 2 2 3 4 2 2 3 3" xfId="18815" xr:uid="{00000000-0005-0000-0000-00003F4A0000}"/>
    <cellStyle name="Standard 4 3 2 2 3 4 2 2 4" xfId="18816" xr:uid="{00000000-0005-0000-0000-0000404A0000}"/>
    <cellStyle name="Standard 4 3 2 2 3 4 2 2 4 2" xfId="18817" xr:uid="{00000000-0005-0000-0000-0000414A0000}"/>
    <cellStyle name="Standard 4 3 2 2 3 4 2 2 5" xfId="18818" xr:uid="{00000000-0005-0000-0000-0000424A0000}"/>
    <cellStyle name="Standard 4 3 2 2 3 4 2 2 6" xfId="18819" xr:uid="{00000000-0005-0000-0000-0000434A0000}"/>
    <cellStyle name="Standard 4 3 2 2 3 4 2 3" xfId="18820" xr:uid="{00000000-0005-0000-0000-0000444A0000}"/>
    <cellStyle name="Standard 4 3 2 2 3 4 2 3 2" xfId="18821" xr:uid="{00000000-0005-0000-0000-0000454A0000}"/>
    <cellStyle name="Standard 4 3 2 2 3 4 2 3 3" xfId="18822" xr:uid="{00000000-0005-0000-0000-0000464A0000}"/>
    <cellStyle name="Standard 4 3 2 2 3 4 2 4" xfId="18823" xr:uid="{00000000-0005-0000-0000-0000474A0000}"/>
    <cellStyle name="Standard 4 3 2 2 3 4 2 4 2" xfId="18824" xr:uid="{00000000-0005-0000-0000-0000484A0000}"/>
    <cellStyle name="Standard 4 3 2 2 3 4 2 4 3" xfId="18825" xr:uid="{00000000-0005-0000-0000-0000494A0000}"/>
    <cellStyle name="Standard 4 3 2 2 3 4 2 5" xfId="18826" xr:uid="{00000000-0005-0000-0000-00004A4A0000}"/>
    <cellStyle name="Standard 4 3 2 2 3 4 2 5 2" xfId="18827" xr:uid="{00000000-0005-0000-0000-00004B4A0000}"/>
    <cellStyle name="Standard 4 3 2 2 3 4 2 6" xfId="18828" xr:uid="{00000000-0005-0000-0000-00004C4A0000}"/>
    <cellStyle name="Standard 4 3 2 2 3 4 2 7" xfId="18829" xr:uid="{00000000-0005-0000-0000-00004D4A0000}"/>
    <cellStyle name="Standard 4 3 2 2 3 4 3" xfId="18830" xr:uid="{00000000-0005-0000-0000-00004E4A0000}"/>
    <cellStyle name="Standard 4 3 2 2 3 4 3 2" xfId="18831" xr:uid="{00000000-0005-0000-0000-00004F4A0000}"/>
    <cellStyle name="Standard 4 3 2 2 3 4 3 2 2" xfId="18832" xr:uid="{00000000-0005-0000-0000-0000504A0000}"/>
    <cellStyle name="Standard 4 3 2 2 3 4 3 2 3" xfId="18833" xr:uid="{00000000-0005-0000-0000-0000514A0000}"/>
    <cellStyle name="Standard 4 3 2 2 3 4 3 3" xfId="18834" xr:uid="{00000000-0005-0000-0000-0000524A0000}"/>
    <cellStyle name="Standard 4 3 2 2 3 4 3 3 2" xfId="18835" xr:uid="{00000000-0005-0000-0000-0000534A0000}"/>
    <cellStyle name="Standard 4 3 2 2 3 4 3 3 3" xfId="18836" xr:uid="{00000000-0005-0000-0000-0000544A0000}"/>
    <cellStyle name="Standard 4 3 2 2 3 4 3 4" xfId="18837" xr:uid="{00000000-0005-0000-0000-0000554A0000}"/>
    <cellStyle name="Standard 4 3 2 2 3 4 3 4 2" xfId="18838" xr:uid="{00000000-0005-0000-0000-0000564A0000}"/>
    <cellStyle name="Standard 4 3 2 2 3 4 3 5" xfId="18839" xr:uid="{00000000-0005-0000-0000-0000574A0000}"/>
    <cellStyle name="Standard 4 3 2 2 3 4 3 6" xfId="18840" xr:uid="{00000000-0005-0000-0000-0000584A0000}"/>
    <cellStyle name="Standard 4 3 2 2 3 4 4" xfId="18841" xr:uid="{00000000-0005-0000-0000-0000594A0000}"/>
    <cellStyle name="Standard 4 3 2 2 3 4 4 2" xfId="18842" xr:uid="{00000000-0005-0000-0000-00005A4A0000}"/>
    <cellStyle name="Standard 4 3 2 2 3 4 4 3" xfId="18843" xr:uid="{00000000-0005-0000-0000-00005B4A0000}"/>
    <cellStyle name="Standard 4 3 2 2 3 4 5" xfId="18844" xr:uid="{00000000-0005-0000-0000-00005C4A0000}"/>
    <cellStyle name="Standard 4 3 2 2 3 4 5 2" xfId="18845" xr:uid="{00000000-0005-0000-0000-00005D4A0000}"/>
    <cellStyle name="Standard 4 3 2 2 3 4 5 3" xfId="18846" xr:uid="{00000000-0005-0000-0000-00005E4A0000}"/>
    <cellStyle name="Standard 4 3 2 2 3 4 6" xfId="18847" xr:uid="{00000000-0005-0000-0000-00005F4A0000}"/>
    <cellStyle name="Standard 4 3 2 2 3 4 6 2" xfId="18848" xr:uid="{00000000-0005-0000-0000-0000604A0000}"/>
    <cellStyle name="Standard 4 3 2 2 3 4 7" xfId="18849" xr:uid="{00000000-0005-0000-0000-0000614A0000}"/>
    <cellStyle name="Standard 4 3 2 2 3 4 8" xfId="18850" xr:uid="{00000000-0005-0000-0000-0000624A0000}"/>
    <cellStyle name="Standard 4 3 2 2 3 5" xfId="18851" xr:uid="{00000000-0005-0000-0000-0000634A0000}"/>
    <cellStyle name="Standard 4 3 2 2 3 5 2" xfId="18852" xr:uid="{00000000-0005-0000-0000-0000644A0000}"/>
    <cellStyle name="Standard 4 3 2 2 3 5 2 2" xfId="18853" xr:uid="{00000000-0005-0000-0000-0000654A0000}"/>
    <cellStyle name="Standard 4 3 2 2 3 5 2 2 2" xfId="18854" xr:uid="{00000000-0005-0000-0000-0000664A0000}"/>
    <cellStyle name="Standard 4 3 2 2 3 5 2 2 3" xfId="18855" xr:uid="{00000000-0005-0000-0000-0000674A0000}"/>
    <cellStyle name="Standard 4 3 2 2 3 5 2 3" xfId="18856" xr:uid="{00000000-0005-0000-0000-0000684A0000}"/>
    <cellStyle name="Standard 4 3 2 2 3 5 2 3 2" xfId="18857" xr:uid="{00000000-0005-0000-0000-0000694A0000}"/>
    <cellStyle name="Standard 4 3 2 2 3 5 2 3 3" xfId="18858" xr:uid="{00000000-0005-0000-0000-00006A4A0000}"/>
    <cellStyle name="Standard 4 3 2 2 3 5 2 4" xfId="18859" xr:uid="{00000000-0005-0000-0000-00006B4A0000}"/>
    <cellStyle name="Standard 4 3 2 2 3 5 2 4 2" xfId="18860" xr:uid="{00000000-0005-0000-0000-00006C4A0000}"/>
    <cellStyle name="Standard 4 3 2 2 3 5 2 5" xfId="18861" xr:uid="{00000000-0005-0000-0000-00006D4A0000}"/>
    <cellStyle name="Standard 4 3 2 2 3 5 2 6" xfId="18862" xr:uid="{00000000-0005-0000-0000-00006E4A0000}"/>
    <cellStyle name="Standard 4 3 2 2 3 5 3" xfId="18863" xr:uid="{00000000-0005-0000-0000-00006F4A0000}"/>
    <cellStyle name="Standard 4 3 2 2 3 5 3 2" xfId="18864" xr:uid="{00000000-0005-0000-0000-0000704A0000}"/>
    <cellStyle name="Standard 4 3 2 2 3 5 3 3" xfId="18865" xr:uid="{00000000-0005-0000-0000-0000714A0000}"/>
    <cellStyle name="Standard 4 3 2 2 3 5 4" xfId="18866" xr:uid="{00000000-0005-0000-0000-0000724A0000}"/>
    <cellStyle name="Standard 4 3 2 2 3 5 4 2" xfId="18867" xr:uid="{00000000-0005-0000-0000-0000734A0000}"/>
    <cellStyle name="Standard 4 3 2 2 3 5 4 3" xfId="18868" xr:uid="{00000000-0005-0000-0000-0000744A0000}"/>
    <cellStyle name="Standard 4 3 2 2 3 5 5" xfId="18869" xr:uid="{00000000-0005-0000-0000-0000754A0000}"/>
    <cellStyle name="Standard 4 3 2 2 3 5 5 2" xfId="18870" xr:uid="{00000000-0005-0000-0000-0000764A0000}"/>
    <cellStyle name="Standard 4 3 2 2 3 5 6" xfId="18871" xr:uid="{00000000-0005-0000-0000-0000774A0000}"/>
    <cellStyle name="Standard 4 3 2 2 3 5 7" xfId="18872" xr:uid="{00000000-0005-0000-0000-0000784A0000}"/>
    <cellStyle name="Standard 4 3 2 2 3 6" xfId="18873" xr:uid="{00000000-0005-0000-0000-0000794A0000}"/>
    <cellStyle name="Standard 4 3 2 2 3 6 2" xfId="18874" xr:uid="{00000000-0005-0000-0000-00007A4A0000}"/>
    <cellStyle name="Standard 4 3 2 2 3 6 2 2" xfId="18875" xr:uid="{00000000-0005-0000-0000-00007B4A0000}"/>
    <cellStyle name="Standard 4 3 2 2 3 6 2 3" xfId="18876" xr:uid="{00000000-0005-0000-0000-00007C4A0000}"/>
    <cellStyle name="Standard 4 3 2 2 3 6 3" xfId="18877" xr:uid="{00000000-0005-0000-0000-00007D4A0000}"/>
    <cellStyle name="Standard 4 3 2 2 3 6 3 2" xfId="18878" xr:uid="{00000000-0005-0000-0000-00007E4A0000}"/>
    <cellStyle name="Standard 4 3 2 2 3 6 3 3" xfId="18879" xr:uid="{00000000-0005-0000-0000-00007F4A0000}"/>
    <cellStyle name="Standard 4 3 2 2 3 6 4" xfId="18880" xr:uid="{00000000-0005-0000-0000-0000804A0000}"/>
    <cellStyle name="Standard 4 3 2 2 3 6 4 2" xfId="18881" xr:uid="{00000000-0005-0000-0000-0000814A0000}"/>
    <cellStyle name="Standard 4 3 2 2 3 6 5" xfId="18882" xr:uid="{00000000-0005-0000-0000-0000824A0000}"/>
    <cellStyle name="Standard 4 3 2 2 3 6 6" xfId="18883" xr:uid="{00000000-0005-0000-0000-0000834A0000}"/>
    <cellStyle name="Standard 4 3 2 2 3 7" xfId="18884" xr:uid="{00000000-0005-0000-0000-0000844A0000}"/>
    <cellStyle name="Standard 4 3 2 2 3 7 2" xfId="18885" xr:uid="{00000000-0005-0000-0000-0000854A0000}"/>
    <cellStyle name="Standard 4 3 2 2 3 7 3" xfId="18886" xr:uid="{00000000-0005-0000-0000-0000864A0000}"/>
    <cellStyle name="Standard 4 3 2 2 3 8" xfId="18887" xr:uid="{00000000-0005-0000-0000-0000874A0000}"/>
    <cellStyle name="Standard 4 3 2 2 3 8 2" xfId="18888" xr:uid="{00000000-0005-0000-0000-0000884A0000}"/>
    <cellStyle name="Standard 4 3 2 2 3 8 3" xfId="18889" xr:uid="{00000000-0005-0000-0000-0000894A0000}"/>
    <cellStyle name="Standard 4 3 2 2 3 9" xfId="18890" xr:uid="{00000000-0005-0000-0000-00008A4A0000}"/>
    <cellStyle name="Standard 4 3 2 2 3 9 2" xfId="18891" xr:uid="{00000000-0005-0000-0000-00008B4A0000}"/>
    <cellStyle name="Standard 4 3 2 2 4" xfId="18892" xr:uid="{00000000-0005-0000-0000-00008C4A0000}"/>
    <cellStyle name="Standard 4 3 2 2 4 10" xfId="18893" xr:uid="{00000000-0005-0000-0000-00008D4A0000}"/>
    <cellStyle name="Standard 4 3 2 2 4 11" xfId="18894" xr:uid="{00000000-0005-0000-0000-00008E4A0000}"/>
    <cellStyle name="Standard 4 3 2 2 4 2" xfId="18895" xr:uid="{00000000-0005-0000-0000-00008F4A0000}"/>
    <cellStyle name="Standard 4 3 2 2 4 2 10" xfId="18896" xr:uid="{00000000-0005-0000-0000-0000904A0000}"/>
    <cellStyle name="Standard 4 3 2 2 4 2 2" xfId="18897" xr:uid="{00000000-0005-0000-0000-0000914A0000}"/>
    <cellStyle name="Standard 4 3 2 2 4 2 2 2" xfId="18898" xr:uid="{00000000-0005-0000-0000-0000924A0000}"/>
    <cellStyle name="Standard 4 3 2 2 4 2 2 2 2" xfId="18899" xr:uid="{00000000-0005-0000-0000-0000934A0000}"/>
    <cellStyle name="Standard 4 3 2 2 4 2 2 2 2 2" xfId="18900" xr:uid="{00000000-0005-0000-0000-0000944A0000}"/>
    <cellStyle name="Standard 4 3 2 2 4 2 2 2 2 2 2" xfId="18901" xr:uid="{00000000-0005-0000-0000-0000954A0000}"/>
    <cellStyle name="Standard 4 3 2 2 4 2 2 2 2 2 3" xfId="18902" xr:uid="{00000000-0005-0000-0000-0000964A0000}"/>
    <cellStyle name="Standard 4 3 2 2 4 2 2 2 2 3" xfId="18903" xr:uid="{00000000-0005-0000-0000-0000974A0000}"/>
    <cellStyle name="Standard 4 3 2 2 4 2 2 2 2 3 2" xfId="18904" xr:uid="{00000000-0005-0000-0000-0000984A0000}"/>
    <cellStyle name="Standard 4 3 2 2 4 2 2 2 2 3 3" xfId="18905" xr:uid="{00000000-0005-0000-0000-0000994A0000}"/>
    <cellStyle name="Standard 4 3 2 2 4 2 2 2 2 4" xfId="18906" xr:uid="{00000000-0005-0000-0000-00009A4A0000}"/>
    <cellStyle name="Standard 4 3 2 2 4 2 2 2 2 4 2" xfId="18907" xr:uid="{00000000-0005-0000-0000-00009B4A0000}"/>
    <cellStyle name="Standard 4 3 2 2 4 2 2 2 2 5" xfId="18908" xr:uid="{00000000-0005-0000-0000-00009C4A0000}"/>
    <cellStyle name="Standard 4 3 2 2 4 2 2 2 2 6" xfId="18909" xr:uid="{00000000-0005-0000-0000-00009D4A0000}"/>
    <cellStyle name="Standard 4 3 2 2 4 2 2 2 3" xfId="18910" xr:uid="{00000000-0005-0000-0000-00009E4A0000}"/>
    <cellStyle name="Standard 4 3 2 2 4 2 2 2 3 2" xfId="18911" xr:uid="{00000000-0005-0000-0000-00009F4A0000}"/>
    <cellStyle name="Standard 4 3 2 2 4 2 2 2 3 3" xfId="18912" xr:uid="{00000000-0005-0000-0000-0000A04A0000}"/>
    <cellStyle name="Standard 4 3 2 2 4 2 2 2 4" xfId="18913" xr:uid="{00000000-0005-0000-0000-0000A14A0000}"/>
    <cellStyle name="Standard 4 3 2 2 4 2 2 2 4 2" xfId="18914" xr:uid="{00000000-0005-0000-0000-0000A24A0000}"/>
    <cellStyle name="Standard 4 3 2 2 4 2 2 2 4 3" xfId="18915" xr:uid="{00000000-0005-0000-0000-0000A34A0000}"/>
    <cellStyle name="Standard 4 3 2 2 4 2 2 2 5" xfId="18916" xr:uid="{00000000-0005-0000-0000-0000A44A0000}"/>
    <cellStyle name="Standard 4 3 2 2 4 2 2 2 5 2" xfId="18917" xr:uid="{00000000-0005-0000-0000-0000A54A0000}"/>
    <cellStyle name="Standard 4 3 2 2 4 2 2 2 6" xfId="18918" xr:uid="{00000000-0005-0000-0000-0000A64A0000}"/>
    <cellStyle name="Standard 4 3 2 2 4 2 2 2 7" xfId="18919" xr:uid="{00000000-0005-0000-0000-0000A74A0000}"/>
    <cellStyle name="Standard 4 3 2 2 4 2 2 3" xfId="18920" xr:uid="{00000000-0005-0000-0000-0000A84A0000}"/>
    <cellStyle name="Standard 4 3 2 2 4 2 2 3 2" xfId="18921" xr:uid="{00000000-0005-0000-0000-0000A94A0000}"/>
    <cellStyle name="Standard 4 3 2 2 4 2 2 3 2 2" xfId="18922" xr:uid="{00000000-0005-0000-0000-0000AA4A0000}"/>
    <cellStyle name="Standard 4 3 2 2 4 2 2 3 2 3" xfId="18923" xr:uid="{00000000-0005-0000-0000-0000AB4A0000}"/>
    <cellStyle name="Standard 4 3 2 2 4 2 2 3 3" xfId="18924" xr:uid="{00000000-0005-0000-0000-0000AC4A0000}"/>
    <cellStyle name="Standard 4 3 2 2 4 2 2 3 3 2" xfId="18925" xr:uid="{00000000-0005-0000-0000-0000AD4A0000}"/>
    <cellStyle name="Standard 4 3 2 2 4 2 2 3 3 3" xfId="18926" xr:uid="{00000000-0005-0000-0000-0000AE4A0000}"/>
    <cellStyle name="Standard 4 3 2 2 4 2 2 3 4" xfId="18927" xr:uid="{00000000-0005-0000-0000-0000AF4A0000}"/>
    <cellStyle name="Standard 4 3 2 2 4 2 2 3 4 2" xfId="18928" xr:uid="{00000000-0005-0000-0000-0000B04A0000}"/>
    <cellStyle name="Standard 4 3 2 2 4 2 2 3 5" xfId="18929" xr:uid="{00000000-0005-0000-0000-0000B14A0000}"/>
    <cellStyle name="Standard 4 3 2 2 4 2 2 3 6" xfId="18930" xr:uid="{00000000-0005-0000-0000-0000B24A0000}"/>
    <cellStyle name="Standard 4 3 2 2 4 2 2 4" xfId="18931" xr:uid="{00000000-0005-0000-0000-0000B34A0000}"/>
    <cellStyle name="Standard 4 3 2 2 4 2 2 4 2" xfId="18932" xr:uid="{00000000-0005-0000-0000-0000B44A0000}"/>
    <cellStyle name="Standard 4 3 2 2 4 2 2 4 3" xfId="18933" xr:uid="{00000000-0005-0000-0000-0000B54A0000}"/>
    <cellStyle name="Standard 4 3 2 2 4 2 2 5" xfId="18934" xr:uid="{00000000-0005-0000-0000-0000B64A0000}"/>
    <cellStyle name="Standard 4 3 2 2 4 2 2 5 2" xfId="18935" xr:uid="{00000000-0005-0000-0000-0000B74A0000}"/>
    <cellStyle name="Standard 4 3 2 2 4 2 2 5 3" xfId="18936" xr:uid="{00000000-0005-0000-0000-0000B84A0000}"/>
    <cellStyle name="Standard 4 3 2 2 4 2 2 6" xfId="18937" xr:uid="{00000000-0005-0000-0000-0000B94A0000}"/>
    <cellStyle name="Standard 4 3 2 2 4 2 2 6 2" xfId="18938" xr:uid="{00000000-0005-0000-0000-0000BA4A0000}"/>
    <cellStyle name="Standard 4 3 2 2 4 2 2 7" xfId="18939" xr:uid="{00000000-0005-0000-0000-0000BB4A0000}"/>
    <cellStyle name="Standard 4 3 2 2 4 2 2 8" xfId="18940" xr:uid="{00000000-0005-0000-0000-0000BC4A0000}"/>
    <cellStyle name="Standard 4 3 2 2 4 2 3" xfId="18941" xr:uid="{00000000-0005-0000-0000-0000BD4A0000}"/>
    <cellStyle name="Standard 4 3 2 2 4 2 3 2" xfId="18942" xr:uid="{00000000-0005-0000-0000-0000BE4A0000}"/>
    <cellStyle name="Standard 4 3 2 2 4 2 3 2 2" xfId="18943" xr:uid="{00000000-0005-0000-0000-0000BF4A0000}"/>
    <cellStyle name="Standard 4 3 2 2 4 2 3 2 2 2" xfId="18944" xr:uid="{00000000-0005-0000-0000-0000C04A0000}"/>
    <cellStyle name="Standard 4 3 2 2 4 2 3 2 2 2 2" xfId="18945" xr:uid="{00000000-0005-0000-0000-0000C14A0000}"/>
    <cellStyle name="Standard 4 3 2 2 4 2 3 2 2 2 3" xfId="18946" xr:uid="{00000000-0005-0000-0000-0000C24A0000}"/>
    <cellStyle name="Standard 4 3 2 2 4 2 3 2 2 3" xfId="18947" xr:uid="{00000000-0005-0000-0000-0000C34A0000}"/>
    <cellStyle name="Standard 4 3 2 2 4 2 3 2 2 3 2" xfId="18948" xr:uid="{00000000-0005-0000-0000-0000C44A0000}"/>
    <cellStyle name="Standard 4 3 2 2 4 2 3 2 2 3 3" xfId="18949" xr:uid="{00000000-0005-0000-0000-0000C54A0000}"/>
    <cellStyle name="Standard 4 3 2 2 4 2 3 2 2 4" xfId="18950" xr:uid="{00000000-0005-0000-0000-0000C64A0000}"/>
    <cellStyle name="Standard 4 3 2 2 4 2 3 2 2 4 2" xfId="18951" xr:uid="{00000000-0005-0000-0000-0000C74A0000}"/>
    <cellStyle name="Standard 4 3 2 2 4 2 3 2 2 5" xfId="18952" xr:uid="{00000000-0005-0000-0000-0000C84A0000}"/>
    <cellStyle name="Standard 4 3 2 2 4 2 3 2 2 6" xfId="18953" xr:uid="{00000000-0005-0000-0000-0000C94A0000}"/>
    <cellStyle name="Standard 4 3 2 2 4 2 3 2 3" xfId="18954" xr:uid="{00000000-0005-0000-0000-0000CA4A0000}"/>
    <cellStyle name="Standard 4 3 2 2 4 2 3 2 3 2" xfId="18955" xr:uid="{00000000-0005-0000-0000-0000CB4A0000}"/>
    <cellStyle name="Standard 4 3 2 2 4 2 3 2 3 3" xfId="18956" xr:uid="{00000000-0005-0000-0000-0000CC4A0000}"/>
    <cellStyle name="Standard 4 3 2 2 4 2 3 2 4" xfId="18957" xr:uid="{00000000-0005-0000-0000-0000CD4A0000}"/>
    <cellStyle name="Standard 4 3 2 2 4 2 3 2 4 2" xfId="18958" xr:uid="{00000000-0005-0000-0000-0000CE4A0000}"/>
    <cellStyle name="Standard 4 3 2 2 4 2 3 2 4 3" xfId="18959" xr:uid="{00000000-0005-0000-0000-0000CF4A0000}"/>
    <cellStyle name="Standard 4 3 2 2 4 2 3 2 5" xfId="18960" xr:uid="{00000000-0005-0000-0000-0000D04A0000}"/>
    <cellStyle name="Standard 4 3 2 2 4 2 3 2 5 2" xfId="18961" xr:uid="{00000000-0005-0000-0000-0000D14A0000}"/>
    <cellStyle name="Standard 4 3 2 2 4 2 3 2 6" xfId="18962" xr:uid="{00000000-0005-0000-0000-0000D24A0000}"/>
    <cellStyle name="Standard 4 3 2 2 4 2 3 2 7" xfId="18963" xr:uid="{00000000-0005-0000-0000-0000D34A0000}"/>
    <cellStyle name="Standard 4 3 2 2 4 2 3 3" xfId="18964" xr:uid="{00000000-0005-0000-0000-0000D44A0000}"/>
    <cellStyle name="Standard 4 3 2 2 4 2 3 3 2" xfId="18965" xr:uid="{00000000-0005-0000-0000-0000D54A0000}"/>
    <cellStyle name="Standard 4 3 2 2 4 2 3 3 2 2" xfId="18966" xr:uid="{00000000-0005-0000-0000-0000D64A0000}"/>
    <cellStyle name="Standard 4 3 2 2 4 2 3 3 2 3" xfId="18967" xr:uid="{00000000-0005-0000-0000-0000D74A0000}"/>
    <cellStyle name="Standard 4 3 2 2 4 2 3 3 3" xfId="18968" xr:uid="{00000000-0005-0000-0000-0000D84A0000}"/>
    <cellStyle name="Standard 4 3 2 2 4 2 3 3 3 2" xfId="18969" xr:uid="{00000000-0005-0000-0000-0000D94A0000}"/>
    <cellStyle name="Standard 4 3 2 2 4 2 3 3 3 3" xfId="18970" xr:uid="{00000000-0005-0000-0000-0000DA4A0000}"/>
    <cellStyle name="Standard 4 3 2 2 4 2 3 3 4" xfId="18971" xr:uid="{00000000-0005-0000-0000-0000DB4A0000}"/>
    <cellStyle name="Standard 4 3 2 2 4 2 3 3 4 2" xfId="18972" xr:uid="{00000000-0005-0000-0000-0000DC4A0000}"/>
    <cellStyle name="Standard 4 3 2 2 4 2 3 3 5" xfId="18973" xr:uid="{00000000-0005-0000-0000-0000DD4A0000}"/>
    <cellStyle name="Standard 4 3 2 2 4 2 3 3 6" xfId="18974" xr:uid="{00000000-0005-0000-0000-0000DE4A0000}"/>
    <cellStyle name="Standard 4 3 2 2 4 2 3 4" xfId="18975" xr:uid="{00000000-0005-0000-0000-0000DF4A0000}"/>
    <cellStyle name="Standard 4 3 2 2 4 2 3 4 2" xfId="18976" xr:uid="{00000000-0005-0000-0000-0000E04A0000}"/>
    <cellStyle name="Standard 4 3 2 2 4 2 3 4 3" xfId="18977" xr:uid="{00000000-0005-0000-0000-0000E14A0000}"/>
    <cellStyle name="Standard 4 3 2 2 4 2 3 5" xfId="18978" xr:uid="{00000000-0005-0000-0000-0000E24A0000}"/>
    <cellStyle name="Standard 4 3 2 2 4 2 3 5 2" xfId="18979" xr:uid="{00000000-0005-0000-0000-0000E34A0000}"/>
    <cellStyle name="Standard 4 3 2 2 4 2 3 5 3" xfId="18980" xr:uid="{00000000-0005-0000-0000-0000E44A0000}"/>
    <cellStyle name="Standard 4 3 2 2 4 2 3 6" xfId="18981" xr:uid="{00000000-0005-0000-0000-0000E54A0000}"/>
    <cellStyle name="Standard 4 3 2 2 4 2 3 6 2" xfId="18982" xr:uid="{00000000-0005-0000-0000-0000E64A0000}"/>
    <cellStyle name="Standard 4 3 2 2 4 2 3 7" xfId="18983" xr:uid="{00000000-0005-0000-0000-0000E74A0000}"/>
    <cellStyle name="Standard 4 3 2 2 4 2 3 8" xfId="18984" xr:uid="{00000000-0005-0000-0000-0000E84A0000}"/>
    <cellStyle name="Standard 4 3 2 2 4 2 4" xfId="18985" xr:uid="{00000000-0005-0000-0000-0000E94A0000}"/>
    <cellStyle name="Standard 4 3 2 2 4 2 4 2" xfId="18986" xr:uid="{00000000-0005-0000-0000-0000EA4A0000}"/>
    <cellStyle name="Standard 4 3 2 2 4 2 4 2 2" xfId="18987" xr:uid="{00000000-0005-0000-0000-0000EB4A0000}"/>
    <cellStyle name="Standard 4 3 2 2 4 2 4 2 2 2" xfId="18988" xr:uid="{00000000-0005-0000-0000-0000EC4A0000}"/>
    <cellStyle name="Standard 4 3 2 2 4 2 4 2 2 3" xfId="18989" xr:uid="{00000000-0005-0000-0000-0000ED4A0000}"/>
    <cellStyle name="Standard 4 3 2 2 4 2 4 2 3" xfId="18990" xr:uid="{00000000-0005-0000-0000-0000EE4A0000}"/>
    <cellStyle name="Standard 4 3 2 2 4 2 4 2 3 2" xfId="18991" xr:uid="{00000000-0005-0000-0000-0000EF4A0000}"/>
    <cellStyle name="Standard 4 3 2 2 4 2 4 2 3 3" xfId="18992" xr:uid="{00000000-0005-0000-0000-0000F04A0000}"/>
    <cellStyle name="Standard 4 3 2 2 4 2 4 2 4" xfId="18993" xr:uid="{00000000-0005-0000-0000-0000F14A0000}"/>
    <cellStyle name="Standard 4 3 2 2 4 2 4 2 4 2" xfId="18994" xr:uid="{00000000-0005-0000-0000-0000F24A0000}"/>
    <cellStyle name="Standard 4 3 2 2 4 2 4 2 5" xfId="18995" xr:uid="{00000000-0005-0000-0000-0000F34A0000}"/>
    <cellStyle name="Standard 4 3 2 2 4 2 4 2 6" xfId="18996" xr:uid="{00000000-0005-0000-0000-0000F44A0000}"/>
    <cellStyle name="Standard 4 3 2 2 4 2 4 3" xfId="18997" xr:uid="{00000000-0005-0000-0000-0000F54A0000}"/>
    <cellStyle name="Standard 4 3 2 2 4 2 4 3 2" xfId="18998" xr:uid="{00000000-0005-0000-0000-0000F64A0000}"/>
    <cellStyle name="Standard 4 3 2 2 4 2 4 3 3" xfId="18999" xr:uid="{00000000-0005-0000-0000-0000F74A0000}"/>
    <cellStyle name="Standard 4 3 2 2 4 2 4 4" xfId="19000" xr:uid="{00000000-0005-0000-0000-0000F84A0000}"/>
    <cellStyle name="Standard 4 3 2 2 4 2 4 4 2" xfId="19001" xr:uid="{00000000-0005-0000-0000-0000F94A0000}"/>
    <cellStyle name="Standard 4 3 2 2 4 2 4 4 3" xfId="19002" xr:uid="{00000000-0005-0000-0000-0000FA4A0000}"/>
    <cellStyle name="Standard 4 3 2 2 4 2 4 5" xfId="19003" xr:uid="{00000000-0005-0000-0000-0000FB4A0000}"/>
    <cellStyle name="Standard 4 3 2 2 4 2 4 5 2" xfId="19004" xr:uid="{00000000-0005-0000-0000-0000FC4A0000}"/>
    <cellStyle name="Standard 4 3 2 2 4 2 4 6" xfId="19005" xr:uid="{00000000-0005-0000-0000-0000FD4A0000}"/>
    <cellStyle name="Standard 4 3 2 2 4 2 4 7" xfId="19006" xr:uid="{00000000-0005-0000-0000-0000FE4A0000}"/>
    <cellStyle name="Standard 4 3 2 2 4 2 5" xfId="19007" xr:uid="{00000000-0005-0000-0000-0000FF4A0000}"/>
    <cellStyle name="Standard 4 3 2 2 4 2 5 2" xfId="19008" xr:uid="{00000000-0005-0000-0000-0000004B0000}"/>
    <cellStyle name="Standard 4 3 2 2 4 2 5 2 2" xfId="19009" xr:uid="{00000000-0005-0000-0000-0000014B0000}"/>
    <cellStyle name="Standard 4 3 2 2 4 2 5 2 3" xfId="19010" xr:uid="{00000000-0005-0000-0000-0000024B0000}"/>
    <cellStyle name="Standard 4 3 2 2 4 2 5 3" xfId="19011" xr:uid="{00000000-0005-0000-0000-0000034B0000}"/>
    <cellStyle name="Standard 4 3 2 2 4 2 5 3 2" xfId="19012" xr:uid="{00000000-0005-0000-0000-0000044B0000}"/>
    <cellStyle name="Standard 4 3 2 2 4 2 5 3 3" xfId="19013" xr:uid="{00000000-0005-0000-0000-0000054B0000}"/>
    <cellStyle name="Standard 4 3 2 2 4 2 5 4" xfId="19014" xr:uid="{00000000-0005-0000-0000-0000064B0000}"/>
    <cellStyle name="Standard 4 3 2 2 4 2 5 4 2" xfId="19015" xr:uid="{00000000-0005-0000-0000-0000074B0000}"/>
    <cellStyle name="Standard 4 3 2 2 4 2 5 5" xfId="19016" xr:uid="{00000000-0005-0000-0000-0000084B0000}"/>
    <cellStyle name="Standard 4 3 2 2 4 2 5 6" xfId="19017" xr:uid="{00000000-0005-0000-0000-0000094B0000}"/>
    <cellStyle name="Standard 4 3 2 2 4 2 6" xfId="19018" xr:uid="{00000000-0005-0000-0000-00000A4B0000}"/>
    <cellStyle name="Standard 4 3 2 2 4 2 6 2" xfId="19019" xr:uid="{00000000-0005-0000-0000-00000B4B0000}"/>
    <cellStyle name="Standard 4 3 2 2 4 2 6 3" xfId="19020" xr:uid="{00000000-0005-0000-0000-00000C4B0000}"/>
    <cellStyle name="Standard 4 3 2 2 4 2 7" xfId="19021" xr:uid="{00000000-0005-0000-0000-00000D4B0000}"/>
    <cellStyle name="Standard 4 3 2 2 4 2 7 2" xfId="19022" xr:uid="{00000000-0005-0000-0000-00000E4B0000}"/>
    <cellStyle name="Standard 4 3 2 2 4 2 7 3" xfId="19023" xr:uid="{00000000-0005-0000-0000-00000F4B0000}"/>
    <cellStyle name="Standard 4 3 2 2 4 2 8" xfId="19024" xr:uid="{00000000-0005-0000-0000-0000104B0000}"/>
    <cellStyle name="Standard 4 3 2 2 4 2 8 2" xfId="19025" xr:uid="{00000000-0005-0000-0000-0000114B0000}"/>
    <cellStyle name="Standard 4 3 2 2 4 2 9" xfId="19026" xr:uid="{00000000-0005-0000-0000-0000124B0000}"/>
    <cellStyle name="Standard 4 3 2 2 4 3" xfId="19027" xr:uid="{00000000-0005-0000-0000-0000134B0000}"/>
    <cellStyle name="Standard 4 3 2 2 4 3 2" xfId="19028" xr:uid="{00000000-0005-0000-0000-0000144B0000}"/>
    <cellStyle name="Standard 4 3 2 2 4 3 2 2" xfId="19029" xr:uid="{00000000-0005-0000-0000-0000154B0000}"/>
    <cellStyle name="Standard 4 3 2 2 4 3 2 2 2" xfId="19030" xr:uid="{00000000-0005-0000-0000-0000164B0000}"/>
    <cellStyle name="Standard 4 3 2 2 4 3 2 2 2 2" xfId="19031" xr:uid="{00000000-0005-0000-0000-0000174B0000}"/>
    <cellStyle name="Standard 4 3 2 2 4 3 2 2 2 3" xfId="19032" xr:uid="{00000000-0005-0000-0000-0000184B0000}"/>
    <cellStyle name="Standard 4 3 2 2 4 3 2 2 3" xfId="19033" xr:uid="{00000000-0005-0000-0000-0000194B0000}"/>
    <cellStyle name="Standard 4 3 2 2 4 3 2 2 3 2" xfId="19034" xr:uid="{00000000-0005-0000-0000-00001A4B0000}"/>
    <cellStyle name="Standard 4 3 2 2 4 3 2 2 3 3" xfId="19035" xr:uid="{00000000-0005-0000-0000-00001B4B0000}"/>
    <cellStyle name="Standard 4 3 2 2 4 3 2 2 4" xfId="19036" xr:uid="{00000000-0005-0000-0000-00001C4B0000}"/>
    <cellStyle name="Standard 4 3 2 2 4 3 2 2 4 2" xfId="19037" xr:uid="{00000000-0005-0000-0000-00001D4B0000}"/>
    <cellStyle name="Standard 4 3 2 2 4 3 2 2 5" xfId="19038" xr:uid="{00000000-0005-0000-0000-00001E4B0000}"/>
    <cellStyle name="Standard 4 3 2 2 4 3 2 2 6" xfId="19039" xr:uid="{00000000-0005-0000-0000-00001F4B0000}"/>
    <cellStyle name="Standard 4 3 2 2 4 3 2 3" xfId="19040" xr:uid="{00000000-0005-0000-0000-0000204B0000}"/>
    <cellStyle name="Standard 4 3 2 2 4 3 2 3 2" xfId="19041" xr:uid="{00000000-0005-0000-0000-0000214B0000}"/>
    <cellStyle name="Standard 4 3 2 2 4 3 2 3 3" xfId="19042" xr:uid="{00000000-0005-0000-0000-0000224B0000}"/>
    <cellStyle name="Standard 4 3 2 2 4 3 2 4" xfId="19043" xr:uid="{00000000-0005-0000-0000-0000234B0000}"/>
    <cellStyle name="Standard 4 3 2 2 4 3 2 4 2" xfId="19044" xr:uid="{00000000-0005-0000-0000-0000244B0000}"/>
    <cellStyle name="Standard 4 3 2 2 4 3 2 4 3" xfId="19045" xr:uid="{00000000-0005-0000-0000-0000254B0000}"/>
    <cellStyle name="Standard 4 3 2 2 4 3 2 5" xfId="19046" xr:uid="{00000000-0005-0000-0000-0000264B0000}"/>
    <cellStyle name="Standard 4 3 2 2 4 3 2 5 2" xfId="19047" xr:uid="{00000000-0005-0000-0000-0000274B0000}"/>
    <cellStyle name="Standard 4 3 2 2 4 3 2 6" xfId="19048" xr:uid="{00000000-0005-0000-0000-0000284B0000}"/>
    <cellStyle name="Standard 4 3 2 2 4 3 2 7" xfId="19049" xr:uid="{00000000-0005-0000-0000-0000294B0000}"/>
    <cellStyle name="Standard 4 3 2 2 4 3 3" xfId="19050" xr:uid="{00000000-0005-0000-0000-00002A4B0000}"/>
    <cellStyle name="Standard 4 3 2 2 4 3 3 2" xfId="19051" xr:uid="{00000000-0005-0000-0000-00002B4B0000}"/>
    <cellStyle name="Standard 4 3 2 2 4 3 3 2 2" xfId="19052" xr:uid="{00000000-0005-0000-0000-00002C4B0000}"/>
    <cellStyle name="Standard 4 3 2 2 4 3 3 2 3" xfId="19053" xr:uid="{00000000-0005-0000-0000-00002D4B0000}"/>
    <cellStyle name="Standard 4 3 2 2 4 3 3 3" xfId="19054" xr:uid="{00000000-0005-0000-0000-00002E4B0000}"/>
    <cellStyle name="Standard 4 3 2 2 4 3 3 3 2" xfId="19055" xr:uid="{00000000-0005-0000-0000-00002F4B0000}"/>
    <cellStyle name="Standard 4 3 2 2 4 3 3 3 3" xfId="19056" xr:uid="{00000000-0005-0000-0000-0000304B0000}"/>
    <cellStyle name="Standard 4 3 2 2 4 3 3 4" xfId="19057" xr:uid="{00000000-0005-0000-0000-0000314B0000}"/>
    <cellStyle name="Standard 4 3 2 2 4 3 3 4 2" xfId="19058" xr:uid="{00000000-0005-0000-0000-0000324B0000}"/>
    <cellStyle name="Standard 4 3 2 2 4 3 3 5" xfId="19059" xr:uid="{00000000-0005-0000-0000-0000334B0000}"/>
    <cellStyle name="Standard 4 3 2 2 4 3 3 6" xfId="19060" xr:uid="{00000000-0005-0000-0000-0000344B0000}"/>
    <cellStyle name="Standard 4 3 2 2 4 3 4" xfId="19061" xr:uid="{00000000-0005-0000-0000-0000354B0000}"/>
    <cellStyle name="Standard 4 3 2 2 4 3 4 2" xfId="19062" xr:uid="{00000000-0005-0000-0000-0000364B0000}"/>
    <cellStyle name="Standard 4 3 2 2 4 3 4 3" xfId="19063" xr:uid="{00000000-0005-0000-0000-0000374B0000}"/>
    <cellStyle name="Standard 4 3 2 2 4 3 5" xfId="19064" xr:uid="{00000000-0005-0000-0000-0000384B0000}"/>
    <cellStyle name="Standard 4 3 2 2 4 3 5 2" xfId="19065" xr:uid="{00000000-0005-0000-0000-0000394B0000}"/>
    <cellStyle name="Standard 4 3 2 2 4 3 5 3" xfId="19066" xr:uid="{00000000-0005-0000-0000-00003A4B0000}"/>
    <cellStyle name="Standard 4 3 2 2 4 3 6" xfId="19067" xr:uid="{00000000-0005-0000-0000-00003B4B0000}"/>
    <cellStyle name="Standard 4 3 2 2 4 3 6 2" xfId="19068" xr:uid="{00000000-0005-0000-0000-00003C4B0000}"/>
    <cellStyle name="Standard 4 3 2 2 4 3 7" xfId="19069" xr:uid="{00000000-0005-0000-0000-00003D4B0000}"/>
    <cellStyle name="Standard 4 3 2 2 4 3 8" xfId="19070" xr:uid="{00000000-0005-0000-0000-00003E4B0000}"/>
    <cellStyle name="Standard 4 3 2 2 4 4" xfId="19071" xr:uid="{00000000-0005-0000-0000-00003F4B0000}"/>
    <cellStyle name="Standard 4 3 2 2 4 4 2" xfId="19072" xr:uid="{00000000-0005-0000-0000-0000404B0000}"/>
    <cellStyle name="Standard 4 3 2 2 4 4 2 2" xfId="19073" xr:uid="{00000000-0005-0000-0000-0000414B0000}"/>
    <cellStyle name="Standard 4 3 2 2 4 4 2 2 2" xfId="19074" xr:uid="{00000000-0005-0000-0000-0000424B0000}"/>
    <cellStyle name="Standard 4 3 2 2 4 4 2 2 2 2" xfId="19075" xr:uid="{00000000-0005-0000-0000-0000434B0000}"/>
    <cellStyle name="Standard 4 3 2 2 4 4 2 2 2 3" xfId="19076" xr:uid="{00000000-0005-0000-0000-0000444B0000}"/>
    <cellStyle name="Standard 4 3 2 2 4 4 2 2 3" xfId="19077" xr:uid="{00000000-0005-0000-0000-0000454B0000}"/>
    <cellStyle name="Standard 4 3 2 2 4 4 2 2 3 2" xfId="19078" xr:uid="{00000000-0005-0000-0000-0000464B0000}"/>
    <cellStyle name="Standard 4 3 2 2 4 4 2 2 3 3" xfId="19079" xr:uid="{00000000-0005-0000-0000-0000474B0000}"/>
    <cellStyle name="Standard 4 3 2 2 4 4 2 2 4" xfId="19080" xr:uid="{00000000-0005-0000-0000-0000484B0000}"/>
    <cellStyle name="Standard 4 3 2 2 4 4 2 2 4 2" xfId="19081" xr:uid="{00000000-0005-0000-0000-0000494B0000}"/>
    <cellStyle name="Standard 4 3 2 2 4 4 2 2 5" xfId="19082" xr:uid="{00000000-0005-0000-0000-00004A4B0000}"/>
    <cellStyle name="Standard 4 3 2 2 4 4 2 2 6" xfId="19083" xr:uid="{00000000-0005-0000-0000-00004B4B0000}"/>
    <cellStyle name="Standard 4 3 2 2 4 4 2 3" xfId="19084" xr:uid="{00000000-0005-0000-0000-00004C4B0000}"/>
    <cellStyle name="Standard 4 3 2 2 4 4 2 3 2" xfId="19085" xr:uid="{00000000-0005-0000-0000-00004D4B0000}"/>
    <cellStyle name="Standard 4 3 2 2 4 4 2 3 3" xfId="19086" xr:uid="{00000000-0005-0000-0000-00004E4B0000}"/>
    <cellStyle name="Standard 4 3 2 2 4 4 2 4" xfId="19087" xr:uid="{00000000-0005-0000-0000-00004F4B0000}"/>
    <cellStyle name="Standard 4 3 2 2 4 4 2 4 2" xfId="19088" xr:uid="{00000000-0005-0000-0000-0000504B0000}"/>
    <cellStyle name="Standard 4 3 2 2 4 4 2 4 3" xfId="19089" xr:uid="{00000000-0005-0000-0000-0000514B0000}"/>
    <cellStyle name="Standard 4 3 2 2 4 4 2 5" xfId="19090" xr:uid="{00000000-0005-0000-0000-0000524B0000}"/>
    <cellStyle name="Standard 4 3 2 2 4 4 2 5 2" xfId="19091" xr:uid="{00000000-0005-0000-0000-0000534B0000}"/>
    <cellStyle name="Standard 4 3 2 2 4 4 2 6" xfId="19092" xr:uid="{00000000-0005-0000-0000-0000544B0000}"/>
    <cellStyle name="Standard 4 3 2 2 4 4 2 7" xfId="19093" xr:uid="{00000000-0005-0000-0000-0000554B0000}"/>
    <cellStyle name="Standard 4 3 2 2 4 4 3" xfId="19094" xr:uid="{00000000-0005-0000-0000-0000564B0000}"/>
    <cellStyle name="Standard 4 3 2 2 4 4 3 2" xfId="19095" xr:uid="{00000000-0005-0000-0000-0000574B0000}"/>
    <cellStyle name="Standard 4 3 2 2 4 4 3 2 2" xfId="19096" xr:uid="{00000000-0005-0000-0000-0000584B0000}"/>
    <cellStyle name="Standard 4 3 2 2 4 4 3 2 3" xfId="19097" xr:uid="{00000000-0005-0000-0000-0000594B0000}"/>
    <cellStyle name="Standard 4 3 2 2 4 4 3 3" xfId="19098" xr:uid="{00000000-0005-0000-0000-00005A4B0000}"/>
    <cellStyle name="Standard 4 3 2 2 4 4 3 3 2" xfId="19099" xr:uid="{00000000-0005-0000-0000-00005B4B0000}"/>
    <cellStyle name="Standard 4 3 2 2 4 4 3 3 3" xfId="19100" xr:uid="{00000000-0005-0000-0000-00005C4B0000}"/>
    <cellStyle name="Standard 4 3 2 2 4 4 3 4" xfId="19101" xr:uid="{00000000-0005-0000-0000-00005D4B0000}"/>
    <cellStyle name="Standard 4 3 2 2 4 4 3 4 2" xfId="19102" xr:uid="{00000000-0005-0000-0000-00005E4B0000}"/>
    <cellStyle name="Standard 4 3 2 2 4 4 3 5" xfId="19103" xr:uid="{00000000-0005-0000-0000-00005F4B0000}"/>
    <cellStyle name="Standard 4 3 2 2 4 4 3 6" xfId="19104" xr:uid="{00000000-0005-0000-0000-0000604B0000}"/>
    <cellStyle name="Standard 4 3 2 2 4 4 4" xfId="19105" xr:uid="{00000000-0005-0000-0000-0000614B0000}"/>
    <cellStyle name="Standard 4 3 2 2 4 4 4 2" xfId="19106" xr:uid="{00000000-0005-0000-0000-0000624B0000}"/>
    <cellStyle name="Standard 4 3 2 2 4 4 4 3" xfId="19107" xr:uid="{00000000-0005-0000-0000-0000634B0000}"/>
    <cellStyle name="Standard 4 3 2 2 4 4 5" xfId="19108" xr:uid="{00000000-0005-0000-0000-0000644B0000}"/>
    <cellStyle name="Standard 4 3 2 2 4 4 5 2" xfId="19109" xr:uid="{00000000-0005-0000-0000-0000654B0000}"/>
    <cellStyle name="Standard 4 3 2 2 4 4 5 3" xfId="19110" xr:uid="{00000000-0005-0000-0000-0000664B0000}"/>
    <cellStyle name="Standard 4 3 2 2 4 4 6" xfId="19111" xr:uid="{00000000-0005-0000-0000-0000674B0000}"/>
    <cellStyle name="Standard 4 3 2 2 4 4 6 2" xfId="19112" xr:uid="{00000000-0005-0000-0000-0000684B0000}"/>
    <cellStyle name="Standard 4 3 2 2 4 4 7" xfId="19113" xr:uid="{00000000-0005-0000-0000-0000694B0000}"/>
    <cellStyle name="Standard 4 3 2 2 4 4 8" xfId="19114" xr:uid="{00000000-0005-0000-0000-00006A4B0000}"/>
    <cellStyle name="Standard 4 3 2 2 4 5" xfId="19115" xr:uid="{00000000-0005-0000-0000-00006B4B0000}"/>
    <cellStyle name="Standard 4 3 2 2 4 5 2" xfId="19116" xr:uid="{00000000-0005-0000-0000-00006C4B0000}"/>
    <cellStyle name="Standard 4 3 2 2 4 5 2 2" xfId="19117" xr:uid="{00000000-0005-0000-0000-00006D4B0000}"/>
    <cellStyle name="Standard 4 3 2 2 4 5 2 2 2" xfId="19118" xr:uid="{00000000-0005-0000-0000-00006E4B0000}"/>
    <cellStyle name="Standard 4 3 2 2 4 5 2 2 3" xfId="19119" xr:uid="{00000000-0005-0000-0000-00006F4B0000}"/>
    <cellStyle name="Standard 4 3 2 2 4 5 2 3" xfId="19120" xr:uid="{00000000-0005-0000-0000-0000704B0000}"/>
    <cellStyle name="Standard 4 3 2 2 4 5 2 3 2" xfId="19121" xr:uid="{00000000-0005-0000-0000-0000714B0000}"/>
    <cellStyle name="Standard 4 3 2 2 4 5 2 3 3" xfId="19122" xr:uid="{00000000-0005-0000-0000-0000724B0000}"/>
    <cellStyle name="Standard 4 3 2 2 4 5 2 4" xfId="19123" xr:uid="{00000000-0005-0000-0000-0000734B0000}"/>
    <cellStyle name="Standard 4 3 2 2 4 5 2 4 2" xfId="19124" xr:uid="{00000000-0005-0000-0000-0000744B0000}"/>
    <cellStyle name="Standard 4 3 2 2 4 5 2 5" xfId="19125" xr:uid="{00000000-0005-0000-0000-0000754B0000}"/>
    <cellStyle name="Standard 4 3 2 2 4 5 2 6" xfId="19126" xr:uid="{00000000-0005-0000-0000-0000764B0000}"/>
    <cellStyle name="Standard 4 3 2 2 4 5 3" xfId="19127" xr:uid="{00000000-0005-0000-0000-0000774B0000}"/>
    <cellStyle name="Standard 4 3 2 2 4 5 3 2" xfId="19128" xr:uid="{00000000-0005-0000-0000-0000784B0000}"/>
    <cellStyle name="Standard 4 3 2 2 4 5 3 3" xfId="19129" xr:uid="{00000000-0005-0000-0000-0000794B0000}"/>
    <cellStyle name="Standard 4 3 2 2 4 5 4" xfId="19130" xr:uid="{00000000-0005-0000-0000-00007A4B0000}"/>
    <cellStyle name="Standard 4 3 2 2 4 5 4 2" xfId="19131" xr:uid="{00000000-0005-0000-0000-00007B4B0000}"/>
    <cellStyle name="Standard 4 3 2 2 4 5 4 3" xfId="19132" xr:uid="{00000000-0005-0000-0000-00007C4B0000}"/>
    <cellStyle name="Standard 4 3 2 2 4 5 5" xfId="19133" xr:uid="{00000000-0005-0000-0000-00007D4B0000}"/>
    <cellStyle name="Standard 4 3 2 2 4 5 5 2" xfId="19134" xr:uid="{00000000-0005-0000-0000-00007E4B0000}"/>
    <cellStyle name="Standard 4 3 2 2 4 5 6" xfId="19135" xr:uid="{00000000-0005-0000-0000-00007F4B0000}"/>
    <cellStyle name="Standard 4 3 2 2 4 5 7" xfId="19136" xr:uid="{00000000-0005-0000-0000-0000804B0000}"/>
    <cellStyle name="Standard 4 3 2 2 4 6" xfId="19137" xr:uid="{00000000-0005-0000-0000-0000814B0000}"/>
    <cellStyle name="Standard 4 3 2 2 4 6 2" xfId="19138" xr:uid="{00000000-0005-0000-0000-0000824B0000}"/>
    <cellStyle name="Standard 4 3 2 2 4 6 2 2" xfId="19139" xr:uid="{00000000-0005-0000-0000-0000834B0000}"/>
    <cellStyle name="Standard 4 3 2 2 4 6 2 3" xfId="19140" xr:uid="{00000000-0005-0000-0000-0000844B0000}"/>
    <cellStyle name="Standard 4 3 2 2 4 6 3" xfId="19141" xr:uid="{00000000-0005-0000-0000-0000854B0000}"/>
    <cellStyle name="Standard 4 3 2 2 4 6 3 2" xfId="19142" xr:uid="{00000000-0005-0000-0000-0000864B0000}"/>
    <cellStyle name="Standard 4 3 2 2 4 6 3 3" xfId="19143" xr:uid="{00000000-0005-0000-0000-0000874B0000}"/>
    <cellStyle name="Standard 4 3 2 2 4 6 4" xfId="19144" xr:uid="{00000000-0005-0000-0000-0000884B0000}"/>
    <cellStyle name="Standard 4 3 2 2 4 6 4 2" xfId="19145" xr:uid="{00000000-0005-0000-0000-0000894B0000}"/>
    <cellStyle name="Standard 4 3 2 2 4 6 5" xfId="19146" xr:uid="{00000000-0005-0000-0000-00008A4B0000}"/>
    <cellStyle name="Standard 4 3 2 2 4 6 6" xfId="19147" xr:uid="{00000000-0005-0000-0000-00008B4B0000}"/>
    <cellStyle name="Standard 4 3 2 2 4 7" xfId="19148" xr:uid="{00000000-0005-0000-0000-00008C4B0000}"/>
    <cellStyle name="Standard 4 3 2 2 4 7 2" xfId="19149" xr:uid="{00000000-0005-0000-0000-00008D4B0000}"/>
    <cellStyle name="Standard 4 3 2 2 4 7 3" xfId="19150" xr:uid="{00000000-0005-0000-0000-00008E4B0000}"/>
    <cellStyle name="Standard 4 3 2 2 4 8" xfId="19151" xr:uid="{00000000-0005-0000-0000-00008F4B0000}"/>
    <cellStyle name="Standard 4 3 2 2 4 8 2" xfId="19152" xr:uid="{00000000-0005-0000-0000-0000904B0000}"/>
    <cellStyle name="Standard 4 3 2 2 4 8 3" xfId="19153" xr:uid="{00000000-0005-0000-0000-0000914B0000}"/>
    <cellStyle name="Standard 4 3 2 2 4 9" xfId="19154" xr:uid="{00000000-0005-0000-0000-0000924B0000}"/>
    <cellStyle name="Standard 4 3 2 2 4 9 2" xfId="19155" xr:uid="{00000000-0005-0000-0000-0000934B0000}"/>
    <cellStyle name="Standard 4 3 2 2 5" xfId="19156" xr:uid="{00000000-0005-0000-0000-0000944B0000}"/>
    <cellStyle name="Standard 4 3 2 2 5 10" xfId="19157" xr:uid="{00000000-0005-0000-0000-0000954B0000}"/>
    <cellStyle name="Standard 4 3 2 2 5 2" xfId="19158" xr:uid="{00000000-0005-0000-0000-0000964B0000}"/>
    <cellStyle name="Standard 4 3 2 2 5 2 2" xfId="19159" xr:uid="{00000000-0005-0000-0000-0000974B0000}"/>
    <cellStyle name="Standard 4 3 2 2 5 2 2 2" xfId="19160" xr:uid="{00000000-0005-0000-0000-0000984B0000}"/>
    <cellStyle name="Standard 4 3 2 2 5 2 2 2 2" xfId="19161" xr:uid="{00000000-0005-0000-0000-0000994B0000}"/>
    <cellStyle name="Standard 4 3 2 2 5 2 2 2 2 2" xfId="19162" xr:uid="{00000000-0005-0000-0000-00009A4B0000}"/>
    <cellStyle name="Standard 4 3 2 2 5 2 2 2 2 3" xfId="19163" xr:uid="{00000000-0005-0000-0000-00009B4B0000}"/>
    <cellStyle name="Standard 4 3 2 2 5 2 2 2 3" xfId="19164" xr:uid="{00000000-0005-0000-0000-00009C4B0000}"/>
    <cellStyle name="Standard 4 3 2 2 5 2 2 2 3 2" xfId="19165" xr:uid="{00000000-0005-0000-0000-00009D4B0000}"/>
    <cellStyle name="Standard 4 3 2 2 5 2 2 2 3 3" xfId="19166" xr:uid="{00000000-0005-0000-0000-00009E4B0000}"/>
    <cellStyle name="Standard 4 3 2 2 5 2 2 2 4" xfId="19167" xr:uid="{00000000-0005-0000-0000-00009F4B0000}"/>
    <cellStyle name="Standard 4 3 2 2 5 2 2 2 4 2" xfId="19168" xr:uid="{00000000-0005-0000-0000-0000A04B0000}"/>
    <cellStyle name="Standard 4 3 2 2 5 2 2 2 5" xfId="19169" xr:uid="{00000000-0005-0000-0000-0000A14B0000}"/>
    <cellStyle name="Standard 4 3 2 2 5 2 2 2 6" xfId="19170" xr:uid="{00000000-0005-0000-0000-0000A24B0000}"/>
    <cellStyle name="Standard 4 3 2 2 5 2 2 3" xfId="19171" xr:uid="{00000000-0005-0000-0000-0000A34B0000}"/>
    <cellStyle name="Standard 4 3 2 2 5 2 2 3 2" xfId="19172" xr:uid="{00000000-0005-0000-0000-0000A44B0000}"/>
    <cellStyle name="Standard 4 3 2 2 5 2 2 3 3" xfId="19173" xr:uid="{00000000-0005-0000-0000-0000A54B0000}"/>
    <cellStyle name="Standard 4 3 2 2 5 2 2 4" xfId="19174" xr:uid="{00000000-0005-0000-0000-0000A64B0000}"/>
    <cellStyle name="Standard 4 3 2 2 5 2 2 4 2" xfId="19175" xr:uid="{00000000-0005-0000-0000-0000A74B0000}"/>
    <cellStyle name="Standard 4 3 2 2 5 2 2 4 3" xfId="19176" xr:uid="{00000000-0005-0000-0000-0000A84B0000}"/>
    <cellStyle name="Standard 4 3 2 2 5 2 2 5" xfId="19177" xr:uid="{00000000-0005-0000-0000-0000A94B0000}"/>
    <cellStyle name="Standard 4 3 2 2 5 2 2 5 2" xfId="19178" xr:uid="{00000000-0005-0000-0000-0000AA4B0000}"/>
    <cellStyle name="Standard 4 3 2 2 5 2 2 6" xfId="19179" xr:uid="{00000000-0005-0000-0000-0000AB4B0000}"/>
    <cellStyle name="Standard 4 3 2 2 5 2 2 7" xfId="19180" xr:uid="{00000000-0005-0000-0000-0000AC4B0000}"/>
    <cellStyle name="Standard 4 3 2 2 5 2 3" xfId="19181" xr:uid="{00000000-0005-0000-0000-0000AD4B0000}"/>
    <cellStyle name="Standard 4 3 2 2 5 2 3 2" xfId="19182" xr:uid="{00000000-0005-0000-0000-0000AE4B0000}"/>
    <cellStyle name="Standard 4 3 2 2 5 2 3 2 2" xfId="19183" xr:uid="{00000000-0005-0000-0000-0000AF4B0000}"/>
    <cellStyle name="Standard 4 3 2 2 5 2 3 2 3" xfId="19184" xr:uid="{00000000-0005-0000-0000-0000B04B0000}"/>
    <cellStyle name="Standard 4 3 2 2 5 2 3 3" xfId="19185" xr:uid="{00000000-0005-0000-0000-0000B14B0000}"/>
    <cellStyle name="Standard 4 3 2 2 5 2 3 3 2" xfId="19186" xr:uid="{00000000-0005-0000-0000-0000B24B0000}"/>
    <cellStyle name="Standard 4 3 2 2 5 2 3 3 3" xfId="19187" xr:uid="{00000000-0005-0000-0000-0000B34B0000}"/>
    <cellStyle name="Standard 4 3 2 2 5 2 3 4" xfId="19188" xr:uid="{00000000-0005-0000-0000-0000B44B0000}"/>
    <cellStyle name="Standard 4 3 2 2 5 2 3 4 2" xfId="19189" xr:uid="{00000000-0005-0000-0000-0000B54B0000}"/>
    <cellStyle name="Standard 4 3 2 2 5 2 3 5" xfId="19190" xr:uid="{00000000-0005-0000-0000-0000B64B0000}"/>
    <cellStyle name="Standard 4 3 2 2 5 2 3 6" xfId="19191" xr:uid="{00000000-0005-0000-0000-0000B74B0000}"/>
    <cellStyle name="Standard 4 3 2 2 5 2 4" xfId="19192" xr:uid="{00000000-0005-0000-0000-0000B84B0000}"/>
    <cellStyle name="Standard 4 3 2 2 5 2 4 2" xfId="19193" xr:uid="{00000000-0005-0000-0000-0000B94B0000}"/>
    <cellStyle name="Standard 4 3 2 2 5 2 4 3" xfId="19194" xr:uid="{00000000-0005-0000-0000-0000BA4B0000}"/>
    <cellStyle name="Standard 4 3 2 2 5 2 5" xfId="19195" xr:uid="{00000000-0005-0000-0000-0000BB4B0000}"/>
    <cellStyle name="Standard 4 3 2 2 5 2 5 2" xfId="19196" xr:uid="{00000000-0005-0000-0000-0000BC4B0000}"/>
    <cellStyle name="Standard 4 3 2 2 5 2 5 3" xfId="19197" xr:uid="{00000000-0005-0000-0000-0000BD4B0000}"/>
    <cellStyle name="Standard 4 3 2 2 5 2 6" xfId="19198" xr:uid="{00000000-0005-0000-0000-0000BE4B0000}"/>
    <cellStyle name="Standard 4 3 2 2 5 2 6 2" xfId="19199" xr:uid="{00000000-0005-0000-0000-0000BF4B0000}"/>
    <cellStyle name="Standard 4 3 2 2 5 2 7" xfId="19200" xr:uid="{00000000-0005-0000-0000-0000C04B0000}"/>
    <cellStyle name="Standard 4 3 2 2 5 2 8" xfId="19201" xr:uid="{00000000-0005-0000-0000-0000C14B0000}"/>
    <cellStyle name="Standard 4 3 2 2 5 3" xfId="19202" xr:uid="{00000000-0005-0000-0000-0000C24B0000}"/>
    <cellStyle name="Standard 4 3 2 2 5 3 2" xfId="19203" xr:uid="{00000000-0005-0000-0000-0000C34B0000}"/>
    <cellStyle name="Standard 4 3 2 2 5 3 2 2" xfId="19204" xr:uid="{00000000-0005-0000-0000-0000C44B0000}"/>
    <cellStyle name="Standard 4 3 2 2 5 3 2 2 2" xfId="19205" xr:uid="{00000000-0005-0000-0000-0000C54B0000}"/>
    <cellStyle name="Standard 4 3 2 2 5 3 2 2 2 2" xfId="19206" xr:uid="{00000000-0005-0000-0000-0000C64B0000}"/>
    <cellStyle name="Standard 4 3 2 2 5 3 2 2 2 3" xfId="19207" xr:uid="{00000000-0005-0000-0000-0000C74B0000}"/>
    <cellStyle name="Standard 4 3 2 2 5 3 2 2 3" xfId="19208" xr:uid="{00000000-0005-0000-0000-0000C84B0000}"/>
    <cellStyle name="Standard 4 3 2 2 5 3 2 2 3 2" xfId="19209" xr:uid="{00000000-0005-0000-0000-0000C94B0000}"/>
    <cellStyle name="Standard 4 3 2 2 5 3 2 2 3 3" xfId="19210" xr:uid="{00000000-0005-0000-0000-0000CA4B0000}"/>
    <cellStyle name="Standard 4 3 2 2 5 3 2 2 4" xfId="19211" xr:uid="{00000000-0005-0000-0000-0000CB4B0000}"/>
    <cellStyle name="Standard 4 3 2 2 5 3 2 2 4 2" xfId="19212" xr:uid="{00000000-0005-0000-0000-0000CC4B0000}"/>
    <cellStyle name="Standard 4 3 2 2 5 3 2 2 5" xfId="19213" xr:uid="{00000000-0005-0000-0000-0000CD4B0000}"/>
    <cellStyle name="Standard 4 3 2 2 5 3 2 2 6" xfId="19214" xr:uid="{00000000-0005-0000-0000-0000CE4B0000}"/>
    <cellStyle name="Standard 4 3 2 2 5 3 2 3" xfId="19215" xr:uid="{00000000-0005-0000-0000-0000CF4B0000}"/>
    <cellStyle name="Standard 4 3 2 2 5 3 2 3 2" xfId="19216" xr:uid="{00000000-0005-0000-0000-0000D04B0000}"/>
    <cellStyle name="Standard 4 3 2 2 5 3 2 3 3" xfId="19217" xr:uid="{00000000-0005-0000-0000-0000D14B0000}"/>
    <cellStyle name="Standard 4 3 2 2 5 3 2 4" xfId="19218" xr:uid="{00000000-0005-0000-0000-0000D24B0000}"/>
    <cellStyle name="Standard 4 3 2 2 5 3 2 4 2" xfId="19219" xr:uid="{00000000-0005-0000-0000-0000D34B0000}"/>
    <cellStyle name="Standard 4 3 2 2 5 3 2 4 3" xfId="19220" xr:uid="{00000000-0005-0000-0000-0000D44B0000}"/>
    <cellStyle name="Standard 4 3 2 2 5 3 2 5" xfId="19221" xr:uid="{00000000-0005-0000-0000-0000D54B0000}"/>
    <cellStyle name="Standard 4 3 2 2 5 3 2 5 2" xfId="19222" xr:uid="{00000000-0005-0000-0000-0000D64B0000}"/>
    <cellStyle name="Standard 4 3 2 2 5 3 2 6" xfId="19223" xr:uid="{00000000-0005-0000-0000-0000D74B0000}"/>
    <cellStyle name="Standard 4 3 2 2 5 3 2 7" xfId="19224" xr:uid="{00000000-0005-0000-0000-0000D84B0000}"/>
    <cellStyle name="Standard 4 3 2 2 5 3 3" xfId="19225" xr:uid="{00000000-0005-0000-0000-0000D94B0000}"/>
    <cellStyle name="Standard 4 3 2 2 5 3 3 2" xfId="19226" xr:uid="{00000000-0005-0000-0000-0000DA4B0000}"/>
    <cellStyle name="Standard 4 3 2 2 5 3 3 2 2" xfId="19227" xr:uid="{00000000-0005-0000-0000-0000DB4B0000}"/>
    <cellStyle name="Standard 4 3 2 2 5 3 3 2 3" xfId="19228" xr:uid="{00000000-0005-0000-0000-0000DC4B0000}"/>
    <cellStyle name="Standard 4 3 2 2 5 3 3 3" xfId="19229" xr:uid="{00000000-0005-0000-0000-0000DD4B0000}"/>
    <cellStyle name="Standard 4 3 2 2 5 3 3 3 2" xfId="19230" xr:uid="{00000000-0005-0000-0000-0000DE4B0000}"/>
    <cellStyle name="Standard 4 3 2 2 5 3 3 3 3" xfId="19231" xr:uid="{00000000-0005-0000-0000-0000DF4B0000}"/>
    <cellStyle name="Standard 4 3 2 2 5 3 3 4" xfId="19232" xr:uid="{00000000-0005-0000-0000-0000E04B0000}"/>
    <cellStyle name="Standard 4 3 2 2 5 3 3 4 2" xfId="19233" xr:uid="{00000000-0005-0000-0000-0000E14B0000}"/>
    <cellStyle name="Standard 4 3 2 2 5 3 3 5" xfId="19234" xr:uid="{00000000-0005-0000-0000-0000E24B0000}"/>
    <cellStyle name="Standard 4 3 2 2 5 3 3 6" xfId="19235" xr:uid="{00000000-0005-0000-0000-0000E34B0000}"/>
    <cellStyle name="Standard 4 3 2 2 5 3 4" xfId="19236" xr:uid="{00000000-0005-0000-0000-0000E44B0000}"/>
    <cellStyle name="Standard 4 3 2 2 5 3 4 2" xfId="19237" xr:uid="{00000000-0005-0000-0000-0000E54B0000}"/>
    <cellStyle name="Standard 4 3 2 2 5 3 4 3" xfId="19238" xr:uid="{00000000-0005-0000-0000-0000E64B0000}"/>
    <cellStyle name="Standard 4 3 2 2 5 3 5" xfId="19239" xr:uid="{00000000-0005-0000-0000-0000E74B0000}"/>
    <cellStyle name="Standard 4 3 2 2 5 3 5 2" xfId="19240" xr:uid="{00000000-0005-0000-0000-0000E84B0000}"/>
    <cellStyle name="Standard 4 3 2 2 5 3 5 3" xfId="19241" xr:uid="{00000000-0005-0000-0000-0000E94B0000}"/>
    <cellStyle name="Standard 4 3 2 2 5 3 6" xfId="19242" xr:uid="{00000000-0005-0000-0000-0000EA4B0000}"/>
    <cellStyle name="Standard 4 3 2 2 5 3 6 2" xfId="19243" xr:uid="{00000000-0005-0000-0000-0000EB4B0000}"/>
    <cellStyle name="Standard 4 3 2 2 5 3 7" xfId="19244" xr:uid="{00000000-0005-0000-0000-0000EC4B0000}"/>
    <cellStyle name="Standard 4 3 2 2 5 3 8" xfId="19245" xr:uid="{00000000-0005-0000-0000-0000ED4B0000}"/>
    <cellStyle name="Standard 4 3 2 2 5 4" xfId="19246" xr:uid="{00000000-0005-0000-0000-0000EE4B0000}"/>
    <cellStyle name="Standard 4 3 2 2 5 4 2" xfId="19247" xr:uid="{00000000-0005-0000-0000-0000EF4B0000}"/>
    <cellStyle name="Standard 4 3 2 2 5 4 2 2" xfId="19248" xr:uid="{00000000-0005-0000-0000-0000F04B0000}"/>
    <cellStyle name="Standard 4 3 2 2 5 4 2 2 2" xfId="19249" xr:uid="{00000000-0005-0000-0000-0000F14B0000}"/>
    <cellStyle name="Standard 4 3 2 2 5 4 2 2 3" xfId="19250" xr:uid="{00000000-0005-0000-0000-0000F24B0000}"/>
    <cellStyle name="Standard 4 3 2 2 5 4 2 3" xfId="19251" xr:uid="{00000000-0005-0000-0000-0000F34B0000}"/>
    <cellStyle name="Standard 4 3 2 2 5 4 2 3 2" xfId="19252" xr:uid="{00000000-0005-0000-0000-0000F44B0000}"/>
    <cellStyle name="Standard 4 3 2 2 5 4 2 3 3" xfId="19253" xr:uid="{00000000-0005-0000-0000-0000F54B0000}"/>
    <cellStyle name="Standard 4 3 2 2 5 4 2 4" xfId="19254" xr:uid="{00000000-0005-0000-0000-0000F64B0000}"/>
    <cellStyle name="Standard 4 3 2 2 5 4 2 4 2" xfId="19255" xr:uid="{00000000-0005-0000-0000-0000F74B0000}"/>
    <cellStyle name="Standard 4 3 2 2 5 4 2 5" xfId="19256" xr:uid="{00000000-0005-0000-0000-0000F84B0000}"/>
    <cellStyle name="Standard 4 3 2 2 5 4 2 6" xfId="19257" xr:uid="{00000000-0005-0000-0000-0000F94B0000}"/>
    <cellStyle name="Standard 4 3 2 2 5 4 3" xfId="19258" xr:uid="{00000000-0005-0000-0000-0000FA4B0000}"/>
    <cellStyle name="Standard 4 3 2 2 5 4 3 2" xfId="19259" xr:uid="{00000000-0005-0000-0000-0000FB4B0000}"/>
    <cellStyle name="Standard 4 3 2 2 5 4 3 3" xfId="19260" xr:uid="{00000000-0005-0000-0000-0000FC4B0000}"/>
    <cellStyle name="Standard 4 3 2 2 5 4 4" xfId="19261" xr:uid="{00000000-0005-0000-0000-0000FD4B0000}"/>
    <cellStyle name="Standard 4 3 2 2 5 4 4 2" xfId="19262" xr:uid="{00000000-0005-0000-0000-0000FE4B0000}"/>
    <cellStyle name="Standard 4 3 2 2 5 4 4 3" xfId="19263" xr:uid="{00000000-0005-0000-0000-0000FF4B0000}"/>
    <cellStyle name="Standard 4 3 2 2 5 4 5" xfId="19264" xr:uid="{00000000-0005-0000-0000-0000004C0000}"/>
    <cellStyle name="Standard 4 3 2 2 5 4 5 2" xfId="19265" xr:uid="{00000000-0005-0000-0000-0000014C0000}"/>
    <cellStyle name="Standard 4 3 2 2 5 4 6" xfId="19266" xr:uid="{00000000-0005-0000-0000-0000024C0000}"/>
    <cellStyle name="Standard 4 3 2 2 5 4 7" xfId="19267" xr:uid="{00000000-0005-0000-0000-0000034C0000}"/>
    <cellStyle name="Standard 4 3 2 2 5 5" xfId="19268" xr:uid="{00000000-0005-0000-0000-0000044C0000}"/>
    <cellStyle name="Standard 4 3 2 2 5 5 2" xfId="19269" xr:uid="{00000000-0005-0000-0000-0000054C0000}"/>
    <cellStyle name="Standard 4 3 2 2 5 5 2 2" xfId="19270" xr:uid="{00000000-0005-0000-0000-0000064C0000}"/>
    <cellStyle name="Standard 4 3 2 2 5 5 2 3" xfId="19271" xr:uid="{00000000-0005-0000-0000-0000074C0000}"/>
    <cellStyle name="Standard 4 3 2 2 5 5 3" xfId="19272" xr:uid="{00000000-0005-0000-0000-0000084C0000}"/>
    <cellStyle name="Standard 4 3 2 2 5 5 3 2" xfId="19273" xr:uid="{00000000-0005-0000-0000-0000094C0000}"/>
    <cellStyle name="Standard 4 3 2 2 5 5 3 3" xfId="19274" xr:uid="{00000000-0005-0000-0000-00000A4C0000}"/>
    <cellStyle name="Standard 4 3 2 2 5 5 4" xfId="19275" xr:uid="{00000000-0005-0000-0000-00000B4C0000}"/>
    <cellStyle name="Standard 4 3 2 2 5 5 4 2" xfId="19276" xr:uid="{00000000-0005-0000-0000-00000C4C0000}"/>
    <cellStyle name="Standard 4 3 2 2 5 5 5" xfId="19277" xr:uid="{00000000-0005-0000-0000-00000D4C0000}"/>
    <cellStyle name="Standard 4 3 2 2 5 5 6" xfId="19278" xr:uid="{00000000-0005-0000-0000-00000E4C0000}"/>
    <cellStyle name="Standard 4 3 2 2 5 6" xfId="19279" xr:uid="{00000000-0005-0000-0000-00000F4C0000}"/>
    <cellStyle name="Standard 4 3 2 2 5 6 2" xfId="19280" xr:uid="{00000000-0005-0000-0000-0000104C0000}"/>
    <cellStyle name="Standard 4 3 2 2 5 6 3" xfId="19281" xr:uid="{00000000-0005-0000-0000-0000114C0000}"/>
    <cellStyle name="Standard 4 3 2 2 5 7" xfId="19282" xr:uid="{00000000-0005-0000-0000-0000124C0000}"/>
    <cellStyle name="Standard 4 3 2 2 5 7 2" xfId="19283" xr:uid="{00000000-0005-0000-0000-0000134C0000}"/>
    <cellStyle name="Standard 4 3 2 2 5 7 3" xfId="19284" xr:uid="{00000000-0005-0000-0000-0000144C0000}"/>
    <cellStyle name="Standard 4 3 2 2 5 8" xfId="19285" xr:uid="{00000000-0005-0000-0000-0000154C0000}"/>
    <cellStyle name="Standard 4 3 2 2 5 8 2" xfId="19286" xr:uid="{00000000-0005-0000-0000-0000164C0000}"/>
    <cellStyle name="Standard 4 3 2 2 5 9" xfId="19287" xr:uid="{00000000-0005-0000-0000-0000174C0000}"/>
    <cellStyle name="Standard 4 3 2 2 6" xfId="19288" xr:uid="{00000000-0005-0000-0000-0000184C0000}"/>
    <cellStyle name="Standard 4 3 2 2 6 2" xfId="19289" xr:uid="{00000000-0005-0000-0000-0000194C0000}"/>
    <cellStyle name="Standard 4 3 2 2 6 2 2" xfId="19290" xr:uid="{00000000-0005-0000-0000-00001A4C0000}"/>
    <cellStyle name="Standard 4 3 2 2 6 2 2 2" xfId="19291" xr:uid="{00000000-0005-0000-0000-00001B4C0000}"/>
    <cellStyle name="Standard 4 3 2 2 6 2 2 2 2" xfId="19292" xr:uid="{00000000-0005-0000-0000-00001C4C0000}"/>
    <cellStyle name="Standard 4 3 2 2 6 2 2 2 3" xfId="19293" xr:uid="{00000000-0005-0000-0000-00001D4C0000}"/>
    <cellStyle name="Standard 4 3 2 2 6 2 2 3" xfId="19294" xr:uid="{00000000-0005-0000-0000-00001E4C0000}"/>
    <cellStyle name="Standard 4 3 2 2 6 2 2 3 2" xfId="19295" xr:uid="{00000000-0005-0000-0000-00001F4C0000}"/>
    <cellStyle name="Standard 4 3 2 2 6 2 2 3 3" xfId="19296" xr:uid="{00000000-0005-0000-0000-0000204C0000}"/>
    <cellStyle name="Standard 4 3 2 2 6 2 2 4" xfId="19297" xr:uid="{00000000-0005-0000-0000-0000214C0000}"/>
    <cellStyle name="Standard 4 3 2 2 6 2 2 4 2" xfId="19298" xr:uid="{00000000-0005-0000-0000-0000224C0000}"/>
    <cellStyle name="Standard 4 3 2 2 6 2 2 5" xfId="19299" xr:uid="{00000000-0005-0000-0000-0000234C0000}"/>
    <cellStyle name="Standard 4 3 2 2 6 2 2 6" xfId="19300" xr:uid="{00000000-0005-0000-0000-0000244C0000}"/>
    <cellStyle name="Standard 4 3 2 2 6 2 3" xfId="19301" xr:uid="{00000000-0005-0000-0000-0000254C0000}"/>
    <cellStyle name="Standard 4 3 2 2 6 2 3 2" xfId="19302" xr:uid="{00000000-0005-0000-0000-0000264C0000}"/>
    <cellStyle name="Standard 4 3 2 2 6 2 3 3" xfId="19303" xr:uid="{00000000-0005-0000-0000-0000274C0000}"/>
    <cellStyle name="Standard 4 3 2 2 6 2 4" xfId="19304" xr:uid="{00000000-0005-0000-0000-0000284C0000}"/>
    <cellStyle name="Standard 4 3 2 2 6 2 4 2" xfId="19305" xr:uid="{00000000-0005-0000-0000-0000294C0000}"/>
    <cellStyle name="Standard 4 3 2 2 6 2 4 3" xfId="19306" xr:uid="{00000000-0005-0000-0000-00002A4C0000}"/>
    <cellStyle name="Standard 4 3 2 2 6 2 5" xfId="19307" xr:uid="{00000000-0005-0000-0000-00002B4C0000}"/>
    <cellStyle name="Standard 4 3 2 2 6 2 5 2" xfId="19308" xr:uid="{00000000-0005-0000-0000-00002C4C0000}"/>
    <cellStyle name="Standard 4 3 2 2 6 2 6" xfId="19309" xr:uid="{00000000-0005-0000-0000-00002D4C0000}"/>
    <cellStyle name="Standard 4 3 2 2 6 2 7" xfId="19310" xr:uid="{00000000-0005-0000-0000-00002E4C0000}"/>
    <cellStyle name="Standard 4 3 2 2 6 3" xfId="19311" xr:uid="{00000000-0005-0000-0000-00002F4C0000}"/>
    <cellStyle name="Standard 4 3 2 2 6 3 2" xfId="19312" xr:uid="{00000000-0005-0000-0000-0000304C0000}"/>
    <cellStyle name="Standard 4 3 2 2 6 3 2 2" xfId="19313" xr:uid="{00000000-0005-0000-0000-0000314C0000}"/>
    <cellStyle name="Standard 4 3 2 2 6 3 2 3" xfId="19314" xr:uid="{00000000-0005-0000-0000-0000324C0000}"/>
    <cellStyle name="Standard 4 3 2 2 6 3 3" xfId="19315" xr:uid="{00000000-0005-0000-0000-0000334C0000}"/>
    <cellStyle name="Standard 4 3 2 2 6 3 3 2" xfId="19316" xr:uid="{00000000-0005-0000-0000-0000344C0000}"/>
    <cellStyle name="Standard 4 3 2 2 6 3 3 3" xfId="19317" xr:uid="{00000000-0005-0000-0000-0000354C0000}"/>
    <cellStyle name="Standard 4 3 2 2 6 3 4" xfId="19318" xr:uid="{00000000-0005-0000-0000-0000364C0000}"/>
    <cellStyle name="Standard 4 3 2 2 6 3 4 2" xfId="19319" xr:uid="{00000000-0005-0000-0000-0000374C0000}"/>
    <cellStyle name="Standard 4 3 2 2 6 3 5" xfId="19320" xr:uid="{00000000-0005-0000-0000-0000384C0000}"/>
    <cellStyle name="Standard 4 3 2 2 6 3 6" xfId="19321" xr:uid="{00000000-0005-0000-0000-0000394C0000}"/>
    <cellStyle name="Standard 4 3 2 2 6 4" xfId="19322" xr:uid="{00000000-0005-0000-0000-00003A4C0000}"/>
    <cellStyle name="Standard 4 3 2 2 6 4 2" xfId="19323" xr:uid="{00000000-0005-0000-0000-00003B4C0000}"/>
    <cellStyle name="Standard 4 3 2 2 6 4 3" xfId="19324" xr:uid="{00000000-0005-0000-0000-00003C4C0000}"/>
    <cellStyle name="Standard 4 3 2 2 6 5" xfId="19325" xr:uid="{00000000-0005-0000-0000-00003D4C0000}"/>
    <cellStyle name="Standard 4 3 2 2 6 5 2" xfId="19326" xr:uid="{00000000-0005-0000-0000-00003E4C0000}"/>
    <cellStyle name="Standard 4 3 2 2 6 5 3" xfId="19327" xr:uid="{00000000-0005-0000-0000-00003F4C0000}"/>
    <cellStyle name="Standard 4 3 2 2 6 6" xfId="19328" xr:uid="{00000000-0005-0000-0000-0000404C0000}"/>
    <cellStyle name="Standard 4 3 2 2 6 6 2" xfId="19329" xr:uid="{00000000-0005-0000-0000-0000414C0000}"/>
    <cellStyle name="Standard 4 3 2 2 6 7" xfId="19330" xr:uid="{00000000-0005-0000-0000-0000424C0000}"/>
    <cellStyle name="Standard 4 3 2 2 6 8" xfId="19331" xr:uid="{00000000-0005-0000-0000-0000434C0000}"/>
    <cellStyle name="Standard 4 3 2 2 7" xfId="19332" xr:uid="{00000000-0005-0000-0000-0000444C0000}"/>
    <cellStyle name="Standard 4 3 2 2 7 2" xfId="19333" xr:uid="{00000000-0005-0000-0000-0000454C0000}"/>
    <cellStyle name="Standard 4 3 2 2 7 2 2" xfId="19334" xr:uid="{00000000-0005-0000-0000-0000464C0000}"/>
    <cellStyle name="Standard 4 3 2 2 7 2 2 2" xfId="19335" xr:uid="{00000000-0005-0000-0000-0000474C0000}"/>
    <cellStyle name="Standard 4 3 2 2 7 2 2 2 2" xfId="19336" xr:uid="{00000000-0005-0000-0000-0000484C0000}"/>
    <cellStyle name="Standard 4 3 2 2 7 2 2 2 3" xfId="19337" xr:uid="{00000000-0005-0000-0000-0000494C0000}"/>
    <cellStyle name="Standard 4 3 2 2 7 2 2 3" xfId="19338" xr:uid="{00000000-0005-0000-0000-00004A4C0000}"/>
    <cellStyle name="Standard 4 3 2 2 7 2 2 3 2" xfId="19339" xr:uid="{00000000-0005-0000-0000-00004B4C0000}"/>
    <cellStyle name="Standard 4 3 2 2 7 2 2 3 3" xfId="19340" xr:uid="{00000000-0005-0000-0000-00004C4C0000}"/>
    <cellStyle name="Standard 4 3 2 2 7 2 2 4" xfId="19341" xr:uid="{00000000-0005-0000-0000-00004D4C0000}"/>
    <cellStyle name="Standard 4 3 2 2 7 2 2 4 2" xfId="19342" xr:uid="{00000000-0005-0000-0000-00004E4C0000}"/>
    <cellStyle name="Standard 4 3 2 2 7 2 2 5" xfId="19343" xr:uid="{00000000-0005-0000-0000-00004F4C0000}"/>
    <cellStyle name="Standard 4 3 2 2 7 2 2 6" xfId="19344" xr:uid="{00000000-0005-0000-0000-0000504C0000}"/>
    <cellStyle name="Standard 4 3 2 2 7 2 3" xfId="19345" xr:uid="{00000000-0005-0000-0000-0000514C0000}"/>
    <cellStyle name="Standard 4 3 2 2 7 2 3 2" xfId="19346" xr:uid="{00000000-0005-0000-0000-0000524C0000}"/>
    <cellStyle name="Standard 4 3 2 2 7 2 3 3" xfId="19347" xr:uid="{00000000-0005-0000-0000-0000534C0000}"/>
    <cellStyle name="Standard 4 3 2 2 7 2 4" xfId="19348" xr:uid="{00000000-0005-0000-0000-0000544C0000}"/>
    <cellStyle name="Standard 4 3 2 2 7 2 4 2" xfId="19349" xr:uid="{00000000-0005-0000-0000-0000554C0000}"/>
    <cellStyle name="Standard 4 3 2 2 7 2 4 3" xfId="19350" xr:uid="{00000000-0005-0000-0000-0000564C0000}"/>
    <cellStyle name="Standard 4 3 2 2 7 2 5" xfId="19351" xr:uid="{00000000-0005-0000-0000-0000574C0000}"/>
    <cellStyle name="Standard 4 3 2 2 7 2 5 2" xfId="19352" xr:uid="{00000000-0005-0000-0000-0000584C0000}"/>
    <cellStyle name="Standard 4 3 2 2 7 2 6" xfId="19353" xr:uid="{00000000-0005-0000-0000-0000594C0000}"/>
    <cellStyle name="Standard 4 3 2 2 7 2 7" xfId="19354" xr:uid="{00000000-0005-0000-0000-00005A4C0000}"/>
    <cellStyle name="Standard 4 3 2 2 7 3" xfId="19355" xr:uid="{00000000-0005-0000-0000-00005B4C0000}"/>
    <cellStyle name="Standard 4 3 2 2 7 3 2" xfId="19356" xr:uid="{00000000-0005-0000-0000-00005C4C0000}"/>
    <cellStyle name="Standard 4 3 2 2 7 3 2 2" xfId="19357" xr:uid="{00000000-0005-0000-0000-00005D4C0000}"/>
    <cellStyle name="Standard 4 3 2 2 7 3 2 3" xfId="19358" xr:uid="{00000000-0005-0000-0000-00005E4C0000}"/>
    <cellStyle name="Standard 4 3 2 2 7 3 3" xfId="19359" xr:uid="{00000000-0005-0000-0000-00005F4C0000}"/>
    <cellStyle name="Standard 4 3 2 2 7 3 3 2" xfId="19360" xr:uid="{00000000-0005-0000-0000-0000604C0000}"/>
    <cellStyle name="Standard 4 3 2 2 7 3 3 3" xfId="19361" xr:uid="{00000000-0005-0000-0000-0000614C0000}"/>
    <cellStyle name="Standard 4 3 2 2 7 3 4" xfId="19362" xr:uid="{00000000-0005-0000-0000-0000624C0000}"/>
    <cellStyle name="Standard 4 3 2 2 7 3 4 2" xfId="19363" xr:uid="{00000000-0005-0000-0000-0000634C0000}"/>
    <cellStyle name="Standard 4 3 2 2 7 3 5" xfId="19364" xr:uid="{00000000-0005-0000-0000-0000644C0000}"/>
    <cellStyle name="Standard 4 3 2 2 7 3 6" xfId="19365" xr:uid="{00000000-0005-0000-0000-0000654C0000}"/>
    <cellStyle name="Standard 4 3 2 2 7 4" xfId="19366" xr:uid="{00000000-0005-0000-0000-0000664C0000}"/>
    <cellStyle name="Standard 4 3 2 2 7 4 2" xfId="19367" xr:uid="{00000000-0005-0000-0000-0000674C0000}"/>
    <cellStyle name="Standard 4 3 2 2 7 4 3" xfId="19368" xr:uid="{00000000-0005-0000-0000-0000684C0000}"/>
    <cellStyle name="Standard 4 3 2 2 7 5" xfId="19369" xr:uid="{00000000-0005-0000-0000-0000694C0000}"/>
    <cellStyle name="Standard 4 3 2 2 7 5 2" xfId="19370" xr:uid="{00000000-0005-0000-0000-00006A4C0000}"/>
    <cellStyle name="Standard 4 3 2 2 7 5 3" xfId="19371" xr:uid="{00000000-0005-0000-0000-00006B4C0000}"/>
    <cellStyle name="Standard 4 3 2 2 7 6" xfId="19372" xr:uid="{00000000-0005-0000-0000-00006C4C0000}"/>
    <cellStyle name="Standard 4 3 2 2 7 6 2" xfId="19373" xr:uid="{00000000-0005-0000-0000-00006D4C0000}"/>
    <cellStyle name="Standard 4 3 2 2 7 7" xfId="19374" xr:uid="{00000000-0005-0000-0000-00006E4C0000}"/>
    <cellStyle name="Standard 4 3 2 2 7 8" xfId="19375" xr:uid="{00000000-0005-0000-0000-00006F4C0000}"/>
    <cellStyle name="Standard 4 3 2 2 8" xfId="19376" xr:uid="{00000000-0005-0000-0000-0000704C0000}"/>
    <cellStyle name="Standard 4 3 2 2 8 2" xfId="19377" xr:uid="{00000000-0005-0000-0000-0000714C0000}"/>
    <cellStyle name="Standard 4 3 2 2 8 2 2" xfId="19378" xr:uid="{00000000-0005-0000-0000-0000724C0000}"/>
    <cellStyle name="Standard 4 3 2 2 8 2 2 2" xfId="19379" xr:uid="{00000000-0005-0000-0000-0000734C0000}"/>
    <cellStyle name="Standard 4 3 2 2 8 2 2 3" xfId="19380" xr:uid="{00000000-0005-0000-0000-0000744C0000}"/>
    <cellStyle name="Standard 4 3 2 2 8 2 3" xfId="19381" xr:uid="{00000000-0005-0000-0000-0000754C0000}"/>
    <cellStyle name="Standard 4 3 2 2 8 2 3 2" xfId="19382" xr:uid="{00000000-0005-0000-0000-0000764C0000}"/>
    <cellStyle name="Standard 4 3 2 2 8 2 3 3" xfId="19383" xr:uid="{00000000-0005-0000-0000-0000774C0000}"/>
    <cellStyle name="Standard 4 3 2 2 8 2 4" xfId="19384" xr:uid="{00000000-0005-0000-0000-0000784C0000}"/>
    <cellStyle name="Standard 4 3 2 2 8 2 4 2" xfId="19385" xr:uid="{00000000-0005-0000-0000-0000794C0000}"/>
    <cellStyle name="Standard 4 3 2 2 8 2 5" xfId="19386" xr:uid="{00000000-0005-0000-0000-00007A4C0000}"/>
    <cellStyle name="Standard 4 3 2 2 8 2 6" xfId="19387" xr:uid="{00000000-0005-0000-0000-00007B4C0000}"/>
    <cellStyle name="Standard 4 3 2 2 8 3" xfId="19388" xr:uid="{00000000-0005-0000-0000-00007C4C0000}"/>
    <cellStyle name="Standard 4 3 2 2 8 3 2" xfId="19389" xr:uid="{00000000-0005-0000-0000-00007D4C0000}"/>
    <cellStyle name="Standard 4 3 2 2 8 3 3" xfId="19390" xr:uid="{00000000-0005-0000-0000-00007E4C0000}"/>
    <cellStyle name="Standard 4 3 2 2 8 4" xfId="19391" xr:uid="{00000000-0005-0000-0000-00007F4C0000}"/>
    <cellStyle name="Standard 4 3 2 2 8 4 2" xfId="19392" xr:uid="{00000000-0005-0000-0000-0000804C0000}"/>
    <cellStyle name="Standard 4 3 2 2 8 4 3" xfId="19393" xr:uid="{00000000-0005-0000-0000-0000814C0000}"/>
    <cellStyle name="Standard 4 3 2 2 8 5" xfId="19394" xr:uid="{00000000-0005-0000-0000-0000824C0000}"/>
    <cellStyle name="Standard 4 3 2 2 8 5 2" xfId="19395" xr:uid="{00000000-0005-0000-0000-0000834C0000}"/>
    <cellStyle name="Standard 4 3 2 2 8 6" xfId="19396" xr:uid="{00000000-0005-0000-0000-0000844C0000}"/>
    <cellStyle name="Standard 4 3 2 2 8 7" xfId="19397" xr:uid="{00000000-0005-0000-0000-0000854C0000}"/>
    <cellStyle name="Standard 4 3 2 2 9" xfId="19398" xr:uid="{00000000-0005-0000-0000-0000864C0000}"/>
    <cellStyle name="Standard 4 3 2 2 9 2" xfId="19399" xr:uid="{00000000-0005-0000-0000-0000874C0000}"/>
    <cellStyle name="Standard 4 3 2 2 9 2 2" xfId="19400" xr:uid="{00000000-0005-0000-0000-0000884C0000}"/>
    <cellStyle name="Standard 4 3 2 2 9 2 3" xfId="19401" xr:uid="{00000000-0005-0000-0000-0000894C0000}"/>
    <cellStyle name="Standard 4 3 2 2 9 3" xfId="19402" xr:uid="{00000000-0005-0000-0000-00008A4C0000}"/>
    <cellStyle name="Standard 4 3 2 2 9 3 2" xfId="19403" xr:uid="{00000000-0005-0000-0000-00008B4C0000}"/>
    <cellStyle name="Standard 4 3 2 2 9 3 3" xfId="19404" xr:uid="{00000000-0005-0000-0000-00008C4C0000}"/>
    <cellStyle name="Standard 4 3 2 2 9 4" xfId="19405" xr:uid="{00000000-0005-0000-0000-00008D4C0000}"/>
    <cellStyle name="Standard 4 3 2 2 9 4 2" xfId="19406" xr:uid="{00000000-0005-0000-0000-00008E4C0000}"/>
    <cellStyle name="Standard 4 3 2 2 9 5" xfId="19407" xr:uid="{00000000-0005-0000-0000-00008F4C0000}"/>
    <cellStyle name="Standard 4 3 2 2 9 6" xfId="19408" xr:uid="{00000000-0005-0000-0000-0000904C0000}"/>
    <cellStyle name="Standard 4 3 2 3" xfId="19409" xr:uid="{00000000-0005-0000-0000-0000914C0000}"/>
    <cellStyle name="Standard 4 3 2 3 10" xfId="19410" xr:uid="{00000000-0005-0000-0000-0000924C0000}"/>
    <cellStyle name="Standard 4 3 2 3 10 2" xfId="19411" xr:uid="{00000000-0005-0000-0000-0000934C0000}"/>
    <cellStyle name="Standard 4 3 2 3 10 3" xfId="19412" xr:uid="{00000000-0005-0000-0000-0000944C0000}"/>
    <cellStyle name="Standard 4 3 2 3 11" xfId="19413" xr:uid="{00000000-0005-0000-0000-0000954C0000}"/>
    <cellStyle name="Standard 4 3 2 3 11 2" xfId="19414" xr:uid="{00000000-0005-0000-0000-0000964C0000}"/>
    <cellStyle name="Standard 4 3 2 3 12" xfId="19415" xr:uid="{00000000-0005-0000-0000-0000974C0000}"/>
    <cellStyle name="Standard 4 3 2 3 13" xfId="19416" xr:uid="{00000000-0005-0000-0000-0000984C0000}"/>
    <cellStyle name="Standard 4 3 2 3 14" xfId="33466" xr:uid="{00000000-0005-0000-0000-0000994C0000}"/>
    <cellStyle name="Standard 4 3 2 3 2" xfId="19417" xr:uid="{00000000-0005-0000-0000-00009A4C0000}"/>
    <cellStyle name="Standard 4 3 2 3 2 10" xfId="19418" xr:uid="{00000000-0005-0000-0000-00009B4C0000}"/>
    <cellStyle name="Standard 4 3 2 3 2 11" xfId="19419" xr:uid="{00000000-0005-0000-0000-00009C4C0000}"/>
    <cellStyle name="Standard 4 3 2 3 2 2" xfId="19420" xr:uid="{00000000-0005-0000-0000-00009D4C0000}"/>
    <cellStyle name="Standard 4 3 2 3 2 2 10" xfId="19421" xr:uid="{00000000-0005-0000-0000-00009E4C0000}"/>
    <cellStyle name="Standard 4 3 2 3 2 2 2" xfId="19422" xr:uid="{00000000-0005-0000-0000-00009F4C0000}"/>
    <cellStyle name="Standard 4 3 2 3 2 2 2 2" xfId="19423" xr:uid="{00000000-0005-0000-0000-0000A04C0000}"/>
    <cellStyle name="Standard 4 3 2 3 2 2 2 2 2" xfId="19424" xr:uid="{00000000-0005-0000-0000-0000A14C0000}"/>
    <cellStyle name="Standard 4 3 2 3 2 2 2 2 2 2" xfId="19425" xr:uid="{00000000-0005-0000-0000-0000A24C0000}"/>
    <cellStyle name="Standard 4 3 2 3 2 2 2 2 2 2 2" xfId="19426" xr:uid="{00000000-0005-0000-0000-0000A34C0000}"/>
    <cellStyle name="Standard 4 3 2 3 2 2 2 2 2 2 3" xfId="19427" xr:uid="{00000000-0005-0000-0000-0000A44C0000}"/>
    <cellStyle name="Standard 4 3 2 3 2 2 2 2 2 3" xfId="19428" xr:uid="{00000000-0005-0000-0000-0000A54C0000}"/>
    <cellStyle name="Standard 4 3 2 3 2 2 2 2 2 3 2" xfId="19429" xr:uid="{00000000-0005-0000-0000-0000A64C0000}"/>
    <cellStyle name="Standard 4 3 2 3 2 2 2 2 2 3 3" xfId="19430" xr:uid="{00000000-0005-0000-0000-0000A74C0000}"/>
    <cellStyle name="Standard 4 3 2 3 2 2 2 2 2 4" xfId="19431" xr:uid="{00000000-0005-0000-0000-0000A84C0000}"/>
    <cellStyle name="Standard 4 3 2 3 2 2 2 2 2 4 2" xfId="19432" xr:uid="{00000000-0005-0000-0000-0000A94C0000}"/>
    <cellStyle name="Standard 4 3 2 3 2 2 2 2 2 5" xfId="19433" xr:uid="{00000000-0005-0000-0000-0000AA4C0000}"/>
    <cellStyle name="Standard 4 3 2 3 2 2 2 2 2 6" xfId="19434" xr:uid="{00000000-0005-0000-0000-0000AB4C0000}"/>
    <cellStyle name="Standard 4 3 2 3 2 2 2 2 3" xfId="19435" xr:uid="{00000000-0005-0000-0000-0000AC4C0000}"/>
    <cellStyle name="Standard 4 3 2 3 2 2 2 2 3 2" xfId="19436" xr:uid="{00000000-0005-0000-0000-0000AD4C0000}"/>
    <cellStyle name="Standard 4 3 2 3 2 2 2 2 3 3" xfId="19437" xr:uid="{00000000-0005-0000-0000-0000AE4C0000}"/>
    <cellStyle name="Standard 4 3 2 3 2 2 2 2 4" xfId="19438" xr:uid="{00000000-0005-0000-0000-0000AF4C0000}"/>
    <cellStyle name="Standard 4 3 2 3 2 2 2 2 4 2" xfId="19439" xr:uid="{00000000-0005-0000-0000-0000B04C0000}"/>
    <cellStyle name="Standard 4 3 2 3 2 2 2 2 4 3" xfId="19440" xr:uid="{00000000-0005-0000-0000-0000B14C0000}"/>
    <cellStyle name="Standard 4 3 2 3 2 2 2 2 5" xfId="19441" xr:uid="{00000000-0005-0000-0000-0000B24C0000}"/>
    <cellStyle name="Standard 4 3 2 3 2 2 2 2 5 2" xfId="19442" xr:uid="{00000000-0005-0000-0000-0000B34C0000}"/>
    <cellStyle name="Standard 4 3 2 3 2 2 2 2 6" xfId="19443" xr:uid="{00000000-0005-0000-0000-0000B44C0000}"/>
    <cellStyle name="Standard 4 3 2 3 2 2 2 2 7" xfId="19444" xr:uid="{00000000-0005-0000-0000-0000B54C0000}"/>
    <cellStyle name="Standard 4 3 2 3 2 2 2 3" xfId="19445" xr:uid="{00000000-0005-0000-0000-0000B64C0000}"/>
    <cellStyle name="Standard 4 3 2 3 2 2 2 3 2" xfId="19446" xr:uid="{00000000-0005-0000-0000-0000B74C0000}"/>
    <cellStyle name="Standard 4 3 2 3 2 2 2 3 2 2" xfId="19447" xr:uid="{00000000-0005-0000-0000-0000B84C0000}"/>
    <cellStyle name="Standard 4 3 2 3 2 2 2 3 2 3" xfId="19448" xr:uid="{00000000-0005-0000-0000-0000B94C0000}"/>
    <cellStyle name="Standard 4 3 2 3 2 2 2 3 3" xfId="19449" xr:uid="{00000000-0005-0000-0000-0000BA4C0000}"/>
    <cellStyle name="Standard 4 3 2 3 2 2 2 3 3 2" xfId="19450" xr:uid="{00000000-0005-0000-0000-0000BB4C0000}"/>
    <cellStyle name="Standard 4 3 2 3 2 2 2 3 3 3" xfId="19451" xr:uid="{00000000-0005-0000-0000-0000BC4C0000}"/>
    <cellStyle name="Standard 4 3 2 3 2 2 2 3 4" xfId="19452" xr:uid="{00000000-0005-0000-0000-0000BD4C0000}"/>
    <cellStyle name="Standard 4 3 2 3 2 2 2 3 4 2" xfId="19453" xr:uid="{00000000-0005-0000-0000-0000BE4C0000}"/>
    <cellStyle name="Standard 4 3 2 3 2 2 2 3 5" xfId="19454" xr:uid="{00000000-0005-0000-0000-0000BF4C0000}"/>
    <cellStyle name="Standard 4 3 2 3 2 2 2 3 6" xfId="19455" xr:uid="{00000000-0005-0000-0000-0000C04C0000}"/>
    <cellStyle name="Standard 4 3 2 3 2 2 2 4" xfId="19456" xr:uid="{00000000-0005-0000-0000-0000C14C0000}"/>
    <cellStyle name="Standard 4 3 2 3 2 2 2 4 2" xfId="19457" xr:uid="{00000000-0005-0000-0000-0000C24C0000}"/>
    <cellStyle name="Standard 4 3 2 3 2 2 2 4 3" xfId="19458" xr:uid="{00000000-0005-0000-0000-0000C34C0000}"/>
    <cellStyle name="Standard 4 3 2 3 2 2 2 5" xfId="19459" xr:uid="{00000000-0005-0000-0000-0000C44C0000}"/>
    <cellStyle name="Standard 4 3 2 3 2 2 2 5 2" xfId="19460" xr:uid="{00000000-0005-0000-0000-0000C54C0000}"/>
    <cellStyle name="Standard 4 3 2 3 2 2 2 5 3" xfId="19461" xr:uid="{00000000-0005-0000-0000-0000C64C0000}"/>
    <cellStyle name="Standard 4 3 2 3 2 2 2 6" xfId="19462" xr:uid="{00000000-0005-0000-0000-0000C74C0000}"/>
    <cellStyle name="Standard 4 3 2 3 2 2 2 6 2" xfId="19463" xr:uid="{00000000-0005-0000-0000-0000C84C0000}"/>
    <cellStyle name="Standard 4 3 2 3 2 2 2 7" xfId="19464" xr:uid="{00000000-0005-0000-0000-0000C94C0000}"/>
    <cellStyle name="Standard 4 3 2 3 2 2 2 8" xfId="19465" xr:uid="{00000000-0005-0000-0000-0000CA4C0000}"/>
    <cellStyle name="Standard 4 3 2 3 2 2 3" xfId="19466" xr:uid="{00000000-0005-0000-0000-0000CB4C0000}"/>
    <cellStyle name="Standard 4 3 2 3 2 2 3 2" xfId="19467" xr:uid="{00000000-0005-0000-0000-0000CC4C0000}"/>
    <cellStyle name="Standard 4 3 2 3 2 2 3 2 2" xfId="19468" xr:uid="{00000000-0005-0000-0000-0000CD4C0000}"/>
    <cellStyle name="Standard 4 3 2 3 2 2 3 2 2 2" xfId="19469" xr:uid="{00000000-0005-0000-0000-0000CE4C0000}"/>
    <cellStyle name="Standard 4 3 2 3 2 2 3 2 2 2 2" xfId="19470" xr:uid="{00000000-0005-0000-0000-0000CF4C0000}"/>
    <cellStyle name="Standard 4 3 2 3 2 2 3 2 2 2 3" xfId="19471" xr:uid="{00000000-0005-0000-0000-0000D04C0000}"/>
    <cellStyle name="Standard 4 3 2 3 2 2 3 2 2 3" xfId="19472" xr:uid="{00000000-0005-0000-0000-0000D14C0000}"/>
    <cellStyle name="Standard 4 3 2 3 2 2 3 2 2 3 2" xfId="19473" xr:uid="{00000000-0005-0000-0000-0000D24C0000}"/>
    <cellStyle name="Standard 4 3 2 3 2 2 3 2 2 3 3" xfId="19474" xr:uid="{00000000-0005-0000-0000-0000D34C0000}"/>
    <cellStyle name="Standard 4 3 2 3 2 2 3 2 2 4" xfId="19475" xr:uid="{00000000-0005-0000-0000-0000D44C0000}"/>
    <cellStyle name="Standard 4 3 2 3 2 2 3 2 2 4 2" xfId="19476" xr:uid="{00000000-0005-0000-0000-0000D54C0000}"/>
    <cellStyle name="Standard 4 3 2 3 2 2 3 2 2 5" xfId="19477" xr:uid="{00000000-0005-0000-0000-0000D64C0000}"/>
    <cellStyle name="Standard 4 3 2 3 2 2 3 2 2 6" xfId="19478" xr:uid="{00000000-0005-0000-0000-0000D74C0000}"/>
    <cellStyle name="Standard 4 3 2 3 2 2 3 2 3" xfId="19479" xr:uid="{00000000-0005-0000-0000-0000D84C0000}"/>
    <cellStyle name="Standard 4 3 2 3 2 2 3 2 3 2" xfId="19480" xr:uid="{00000000-0005-0000-0000-0000D94C0000}"/>
    <cellStyle name="Standard 4 3 2 3 2 2 3 2 3 3" xfId="19481" xr:uid="{00000000-0005-0000-0000-0000DA4C0000}"/>
    <cellStyle name="Standard 4 3 2 3 2 2 3 2 4" xfId="19482" xr:uid="{00000000-0005-0000-0000-0000DB4C0000}"/>
    <cellStyle name="Standard 4 3 2 3 2 2 3 2 4 2" xfId="19483" xr:uid="{00000000-0005-0000-0000-0000DC4C0000}"/>
    <cellStyle name="Standard 4 3 2 3 2 2 3 2 4 3" xfId="19484" xr:uid="{00000000-0005-0000-0000-0000DD4C0000}"/>
    <cellStyle name="Standard 4 3 2 3 2 2 3 2 5" xfId="19485" xr:uid="{00000000-0005-0000-0000-0000DE4C0000}"/>
    <cellStyle name="Standard 4 3 2 3 2 2 3 2 5 2" xfId="19486" xr:uid="{00000000-0005-0000-0000-0000DF4C0000}"/>
    <cellStyle name="Standard 4 3 2 3 2 2 3 2 6" xfId="19487" xr:uid="{00000000-0005-0000-0000-0000E04C0000}"/>
    <cellStyle name="Standard 4 3 2 3 2 2 3 2 7" xfId="19488" xr:uid="{00000000-0005-0000-0000-0000E14C0000}"/>
    <cellStyle name="Standard 4 3 2 3 2 2 3 3" xfId="19489" xr:uid="{00000000-0005-0000-0000-0000E24C0000}"/>
    <cellStyle name="Standard 4 3 2 3 2 2 3 3 2" xfId="19490" xr:uid="{00000000-0005-0000-0000-0000E34C0000}"/>
    <cellStyle name="Standard 4 3 2 3 2 2 3 3 2 2" xfId="19491" xr:uid="{00000000-0005-0000-0000-0000E44C0000}"/>
    <cellStyle name="Standard 4 3 2 3 2 2 3 3 2 3" xfId="19492" xr:uid="{00000000-0005-0000-0000-0000E54C0000}"/>
    <cellStyle name="Standard 4 3 2 3 2 2 3 3 3" xfId="19493" xr:uid="{00000000-0005-0000-0000-0000E64C0000}"/>
    <cellStyle name="Standard 4 3 2 3 2 2 3 3 3 2" xfId="19494" xr:uid="{00000000-0005-0000-0000-0000E74C0000}"/>
    <cellStyle name="Standard 4 3 2 3 2 2 3 3 3 3" xfId="19495" xr:uid="{00000000-0005-0000-0000-0000E84C0000}"/>
    <cellStyle name="Standard 4 3 2 3 2 2 3 3 4" xfId="19496" xr:uid="{00000000-0005-0000-0000-0000E94C0000}"/>
    <cellStyle name="Standard 4 3 2 3 2 2 3 3 4 2" xfId="19497" xr:uid="{00000000-0005-0000-0000-0000EA4C0000}"/>
    <cellStyle name="Standard 4 3 2 3 2 2 3 3 5" xfId="19498" xr:uid="{00000000-0005-0000-0000-0000EB4C0000}"/>
    <cellStyle name="Standard 4 3 2 3 2 2 3 3 6" xfId="19499" xr:uid="{00000000-0005-0000-0000-0000EC4C0000}"/>
    <cellStyle name="Standard 4 3 2 3 2 2 3 4" xfId="19500" xr:uid="{00000000-0005-0000-0000-0000ED4C0000}"/>
    <cellStyle name="Standard 4 3 2 3 2 2 3 4 2" xfId="19501" xr:uid="{00000000-0005-0000-0000-0000EE4C0000}"/>
    <cellStyle name="Standard 4 3 2 3 2 2 3 4 3" xfId="19502" xr:uid="{00000000-0005-0000-0000-0000EF4C0000}"/>
    <cellStyle name="Standard 4 3 2 3 2 2 3 5" xfId="19503" xr:uid="{00000000-0005-0000-0000-0000F04C0000}"/>
    <cellStyle name="Standard 4 3 2 3 2 2 3 5 2" xfId="19504" xr:uid="{00000000-0005-0000-0000-0000F14C0000}"/>
    <cellStyle name="Standard 4 3 2 3 2 2 3 5 3" xfId="19505" xr:uid="{00000000-0005-0000-0000-0000F24C0000}"/>
    <cellStyle name="Standard 4 3 2 3 2 2 3 6" xfId="19506" xr:uid="{00000000-0005-0000-0000-0000F34C0000}"/>
    <cellStyle name="Standard 4 3 2 3 2 2 3 6 2" xfId="19507" xr:uid="{00000000-0005-0000-0000-0000F44C0000}"/>
    <cellStyle name="Standard 4 3 2 3 2 2 3 7" xfId="19508" xr:uid="{00000000-0005-0000-0000-0000F54C0000}"/>
    <cellStyle name="Standard 4 3 2 3 2 2 3 8" xfId="19509" xr:uid="{00000000-0005-0000-0000-0000F64C0000}"/>
    <cellStyle name="Standard 4 3 2 3 2 2 4" xfId="19510" xr:uid="{00000000-0005-0000-0000-0000F74C0000}"/>
    <cellStyle name="Standard 4 3 2 3 2 2 4 2" xfId="19511" xr:uid="{00000000-0005-0000-0000-0000F84C0000}"/>
    <cellStyle name="Standard 4 3 2 3 2 2 4 2 2" xfId="19512" xr:uid="{00000000-0005-0000-0000-0000F94C0000}"/>
    <cellStyle name="Standard 4 3 2 3 2 2 4 2 2 2" xfId="19513" xr:uid="{00000000-0005-0000-0000-0000FA4C0000}"/>
    <cellStyle name="Standard 4 3 2 3 2 2 4 2 2 3" xfId="19514" xr:uid="{00000000-0005-0000-0000-0000FB4C0000}"/>
    <cellStyle name="Standard 4 3 2 3 2 2 4 2 3" xfId="19515" xr:uid="{00000000-0005-0000-0000-0000FC4C0000}"/>
    <cellStyle name="Standard 4 3 2 3 2 2 4 2 3 2" xfId="19516" xr:uid="{00000000-0005-0000-0000-0000FD4C0000}"/>
    <cellStyle name="Standard 4 3 2 3 2 2 4 2 3 3" xfId="19517" xr:uid="{00000000-0005-0000-0000-0000FE4C0000}"/>
    <cellStyle name="Standard 4 3 2 3 2 2 4 2 4" xfId="19518" xr:uid="{00000000-0005-0000-0000-0000FF4C0000}"/>
    <cellStyle name="Standard 4 3 2 3 2 2 4 2 4 2" xfId="19519" xr:uid="{00000000-0005-0000-0000-0000004D0000}"/>
    <cellStyle name="Standard 4 3 2 3 2 2 4 2 5" xfId="19520" xr:uid="{00000000-0005-0000-0000-0000014D0000}"/>
    <cellStyle name="Standard 4 3 2 3 2 2 4 2 6" xfId="19521" xr:uid="{00000000-0005-0000-0000-0000024D0000}"/>
    <cellStyle name="Standard 4 3 2 3 2 2 4 3" xfId="19522" xr:uid="{00000000-0005-0000-0000-0000034D0000}"/>
    <cellStyle name="Standard 4 3 2 3 2 2 4 3 2" xfId="19523" xr:uid="{00000000-0005-0000-0000-0000044D0000}"/>
    <cellStyle name="Standard 4 3 2 3 2 2 4 3 3" xfId="19524" xr:uid="{00000000-0005-0000-0000-0000054D0000}"/>
    <cellStyle name="Standard 4 3 2 3 2 2 4 4" xfId="19525" xr:uid="{00000000-0005-0000-0000-0000064D0000}"/>
    <cellStyle name="Standard 4 3 2 3 2 2 4 4 2" xfId="19526" xr:uid="{00000000-0005-0000-0000-0000074D0000}"/>
    <cellStyle name="Standard 4 3 2 3 2 2 4 4 3" xfId="19527" xr:uid="{00000000-0005-0000-0000-0000084D0000}"/>
    <cellStyle name="Standard 4 3 2 3 2 2 4 5" xfId="19528" xr:uid="{00000000-0005-0000-0000-0000094D0000}"/>
    <cellStyle name="Standard 4 3 2 3 2 2 4 5 2" xfId="19529" xr:uid="{00000000-0005-0000-0000-00000A4D0000}"/>
    <cellStyle name="Standard 4 3 2 3 2 2 4 6" xfId="19530" xr:uid="{00000000-0005-0000-0000-00000B4D0000}"/>
    <cellStyle name="Standard 4 3 2 3 2 2 4 7" xfId="19531" xr:uid="{00000000-0005-0000-0000-00000C4D0000}"/>
    <cellStyle name="Standard 4 3 2 3 2 2 5" xfId="19532" xr:uid="{00000000-0005-0000-0000-00000D4D0000}"/>
    <cellStyle name="Standard 4 3 2 3 2 2 5 2" xfId="19533" xr:uid="{00000000-0005-0000-0000-00000E4D0000}"/>
    <cellStyle name="Standard 4 3 2 3 2 2 5 2 2" xfId="19534" xr:uid="{00000000-0005-0000-0000-00000F4D0000}"/>
    <cellStyle name="Standard 4 3 2 3 2 2 5 2 3" xfId="19535" xr:uid="{00000000-0005-0000-0000-0000104D0000}"/>
    <cellStyle name="Standard 4 3 2 3 2 2 5 3" xfId="19536" xr:uid="{00000000-0005-0000-0000-0000114D0000}"/>
    <cellStyle name="Standard 4 3 2 3 2 2 5 3 2" xfId="19537" xr:uid="{00000000-0005-0000-0000-0000124D0000}"/>
    <cellStyle name="Standard 4 3 2 3 2 2 5 3 3" xfId="19538" xr:uid="{00000000-0005-0000-0000-0000134D0000}"/>
    <cellStyle name="Standard 4 3 2 3 2 2 5 4" xfId="19539" xr:uid="{00000000-0005-0000-0000-0000144D0000}"/>
    <cellStyle name="Standard 4 3 2 3 2 2 5 4 2" xfId="19540" xr:uid="{00000000-0005-0000-0000-0000154D0000}"/>
    <cellStyle name="Standard 4 3 2 3 2 2 5 5" xfId="19541" xr:uid="{00000000-0005-0000-0000-0000164D0000}"/>
    <cellStyle name="Standard 4 3 2 3 2 2 5 6" xfId="19542" xr:uid="{00000000-0005-0000-0000-0000174D0000}"/>
    <cellStyle name="Standard 4 3 2 3 2 2 6" xfId="19543" xr:uid="{00000000-0005-0000-0000-0000184D0000}"/>
    <cellStyle name="Standard 4 3 2 3 2 2 6 2" xfId="19544" xr:uid="{00000000-0005-0000-0000-0000194D0000}"/>
    <cellStyle name="Standard 4 3 2 3 2 2 6 3" xfId="19545" xr:uid="{00000000-0005-0000-0000-00001A4D0000}"/>
    <cellStyle name="Standard 4 3 2 3 2 2 7" xfId="19546" xr:uid="{00000000-0005-0000-0000-00001B4D0000}"/>
    <cellStyle name="Standard 4 3 2 3 2 2 7 2" xfId="19547" xr:uid="{00000000-0005-0000-0000-00001C4D0000}"/>
    <cellStyle name="Standard 4 3 2 3 2 2 7 3" xfId="19548" xr:uid="{00000000-0005-0000-0000-00001D4D0000}"/>
    <cellStyle name="Standard 4 3 2 3 2 2 8" xfId="19549" xr:uid="{00000000-0005-0000-0000-00001E4D0000}"/>
    <cellStyle name="Standard 4 3 2 3 2 2 8 2" xfId="19550" xr:uid="{00000000-0005-0000-0000-00001F4D0000}"/>
    <cellStyle name="Standard 4 3 2 3 2 2 9" xfId="19551" xr:uid="{00000000-0005-0000-0000-0000204D0000}"/>
    <cellStyle name="Standard 4 3 2 3 2 3" xfId="19552" xr:uid="{00000000-0005-0000-0000-0000214D0000}"/>
    <cellStyle name="Standard 4 3 2 3 2 3 2" xfId="19553" xr:uid="{00000000-0005-0000-0000-0000224D0000}"/>
    <cellStyle name="Standard 4 3 2 3 2 3 2 2" xfId="19554" xr:uid="{00000000-0005-0000-0000-0000234D0000}"/>
    <cellStyle name="Standard 4 3 2 3 2 3 2 2 2" xfId="19555" xr:uid="{00000000-0005-0000-0000-0000244D0000}"/>
    <cellStyle name="Standard 4 3 2 3 2 3 2 2 2 2" xfId="19556" xr:uid="{00000000-0005-0000-0000-0000254D0000}"/>
    <cellStyle name="Standard 4 3 2 3 2 3 2 2 2 3" xfId="19557" xr:uid="{00000000-0005-0000-0000-0000264D0000}"/>
    <cellStyle name="Standard 4 3 2 3 2 3 2 2 3" xfId="19558" xr:uid="{00000000-0005-0000-0000-0000274D0000}"/>
    <cellStyle name="Standard 4 3 2 3 2 3 2 2 3 2" xfId="19559" xr:uid="{00000000-0005-0000-0000-0000284D0000}"/>
    <cellStyle name="Standard 4 3 2 3 2 3 2 2 3 3" xfId="19560" xr:uid="{00000000-0005-0000-0000-0000294D0000}"/>
    <cellStyle name="Standard 4 3 2 3 2 3 2 2 4" xfId="19561" xr:uid="{00000000-0005-0000-0000-00002A4D0000}"/>
    <cellStyle name="Standard 4 3 2 3 2 3 2 2 4 2" xfId="19562" xr:uid="{00000000-0005-0000-0000-00002B4D0000}"/>
    <cellStyle name="Standard 4 3 2 3 2 3 2 2 5" xfId="19563" xr:uid="{00000000-0005-0000-0000-00002C4D0000}"/>
    <cellStyle name="Standard 4 3 2 3 2 3 2 2 6" xfId="19564" xr:uid="{00000000-0005-0000-0000-00002D4D0000}"/>
    <cellStyle name="Standard 4 3 2 3 2 3 2 3" xfId="19565" xr:uid="{00000000-0005-0000-0000-00002E4D0000}"/>
    <cellStyle name="Standard 4 3 2 3 2 3 2 3 2" xfId="19566" xr:uid="{00000000-0005-0000-0000-00002F4D0000}"/>
    <cellStyle name="Standard 4 3 2 3 2 3 2 3 3" xfId="19567" xr:uid="{00000000-0005-0000-0000-0000304D0000}"/>
    <cellStyle name="Standard 4 3 2 3 2 3 2 4" xfId="19568" xr:uid="{00000000-0005-0000-0000-0000314D0000}"/>
    <cellStyle name="Standard 4 3 2 3 2 3 2 4 2" xfId="19569" xr:uid="{00000000-0005-0000-0000-0000324D0000}"/>
    <cellStyle name="Standard 4 3 2 3 2 3 2 4 3" xfId="19570" xr:uid="{00000000-0005-0000-0000-0000334D0000}"/>
    <cellStyle name="Standard 4 3 2 3 2 3 2 5" xfId="19571" xr:uid="{00000000-0005-0000-0000-0000344D0000}"/>
    <cellStyle name="Standard 4 3 2 3 2 3 2 5 2" xfId="19572" xr:uid="{00000000-0005-0000-0000-0000354D0000}"/>
    <cellStyle name="Standard 4 3 2 3 2 3 2 6" xfId="19573" xr:uid="{00000000-0005-0000-0000-0000364D0000}"/>
    <cellStyle name="Standard 4 3 2 3 2 3 2 7" xfId="19574" xr:uid="{00000000-0005-0000-0000-0000374D0000}"/>
    <cellStyle name="Standard 4 3 2 3 2 3 3" xfId="19575" xr:uid="{00000000-0005-0000-0000-0000384D0000}"/>
    <cellStyle name="Standard 4 3 2 3 2 3 3 2" xfId="19576" xr:uid="{00000000-0005-0000-0000-0000394D0000}"/>
    <cellStyle name="Standard 4 3 2 3 2 3 3 2 2" xfId="19577" xr:uid="{00000000-0005-0000-0000-00003A4D0000}"/>
    <cellStyle name="Standard 4 3 2 3 2 3 3 2 3" xfId="19578" xr:uid="{00000000-0005-0000-0000-00003B4D0000}"/>
    <cellStyle name="Standard 4 3 2 3 2 3 3 3" xfId="19579" xr:uid="{00000000-0005-0000-0000-00003C4D0000}"/>
    <cellStyle name="Standard 4 3 2 3 2 3 3 3 2" xfId="19580" xr:uid="{00000000-0005-0000-0000-00003D4D0000}"/>
    <cellStyle name="Standard 4 3 2 3 2 3 3 3 3" xfId="19581" xr:uid="{00000000-0005-0000-0000-00003E4D0000}"/>
    <cellStyle name="Standard 4 3 2 3 2 3 3 4" xfId="19582" xr:uid="{00000000-0005-0000-0000-00003F4D0000}"/>
    <cellStyle name="Standard 4 3 2 3 2 3 3 4 2" xfId="19583" xr:uid="{00000000-0005-0000-0000-0000404D0000}"/>
    <cellStyle name="Standard 4 3 2 3 2 3 3 5" xfId="19584" xr:uid="{00000000-0005-0000-0000-0000414D0000}"/>
    <cellStyle name="Standard 4 3 2 3 2 3 3 6" xfId="19585" xr:uid="{00000000-0005-0000-0000-0000424D0000}"/>
    <cellStyle name="Standard 4 3 2 3 2 3 4" xfId="19586" xr:uid="{00000000-0005-0000-0000-0000434D0000}"/>
    <cellStyle name="Standard 4 3 2 3 2 3 4 2" xfId="19587" xr:uid="{00000000-0005-0000-0000-0000444D0000}"/>
    <cellStyle name="Standard 4 3 2 3 2 3 4 3" xfId="19588" xr:uid="{00000000-0005-0000-0000-0000454D0000}"/>
    <cellStyle name="Standard 4 3 2 3 2 3 5" xfId="19589" xr:uid="{00000000-0005-0000-0000-0000464D0000}"/>
    <cellStyle name="Standard 4 3 2 3 2 3 5 2" xfId="19590" xr:uid="{00000000-0005-0000-0000-0000474D0000}"/>
    <cellStyle name="Standard 4 3 2 3 2 3 5 3" xfId="19591" xr:uid="{00000000-0005-0000-0000-0000484D0000}"/>
    <cellStyle name="Standard 4 3 2 3 2 3 6" xfId="19592" xr:uid="{00000000-0005-0000-0000-0000494D0000}"/>
    <cellStyle name="Standard 4 3 2 3 2 3 6 2" xfId="19593" xr:uid="{00000000-0005-0000-0000-00004A4D0000}"/>
    <cellStyle name="Standard 4 3 2 3 2 3 7" xfId="19594" xr:uid="{00000000-0005-0000-0000-00004B4D0000}"/>
    <cellStyle name="Standard 4 3 2 3 2 3 8" xfId="19595" xr:uid="{00000000-0005-0000-0000-00004C4D0000}"/>
    <cellStyle name="Standard 4 3 2 3 2 4" xfId="19596" xr:uid="{00000000-0005-0000-0000-00004D4D0000}"/>
    <cellStyle name="Standard 4 3 2 3 2 4 2" xfId="19597" xr:uid="{00000000-0005-0000-0000-00004E4D0000}"/>
    <cellStyle name="Standard 4 3 2 3 2 4 2 2" xfId="19598" xr:uid="{00000000-0005-0000-0000-00004F4D0000}"/>
    <cellStyle name="Standard 4 3 2 3 2 4 2 2 2" xfId="19599" xr:uid="{00000000-0005-0000-0000-0000504D0000}"/>
    <cellStyle name="Standard 4 3 2 3 2 4 2 2 2 2" xfId="19600" xr:uid="{00000000-0005-0000-0000-0000514D0000}"/>
    <cellStyle name="Standard 4 3 2 3 2 4 2 2 2 3" xfId="19601" xr:uid="{00000000-0005-0000-0000-0000524D0000}"/>
    <cellStyle name="Standard 4 3 2 3 2 4 2 2 3" xfId="19602" xr:uid="{00000000-0005-0000-0000-0000534D0000}"/>
    <cellStyle name="Standard 4 3 2 3 2 4 2 2 3 2" xfId="19603" xr:uid="{00000000-0005-0000-0000-0000544D0000}"/>
    <cellStyle name="Standard 4 3 2 3 2 4 2 2 3 3" xfId="19604" xr:uid="{00000000-0005-0000-0000-0000554D0000}"/>
    <cellStyle name="Standard 4 3 2 3 2 4 2 2 4" xfId="19605" xr:uid="{00000000-0005-0000-0000-0000564D0000}"/>
    <cellStyle name="Standard 4 3 2 3 2 4 2 2 4 2" xfId="19606" xr:uid="{00000000-0005-0000-0000-0000574D0000}"/>
    <cellStyle name="Standard 4 3 2 3 2 4 2 2 5" xfId="19607" xr:uid="{00000000-0005-0000-0000-0000584D0000}"/>
    <cellStyle name="Standard 4 3 2 3 2 4 2 2 6" xfId="19608" xr:uid="{00000000-0005-0000-0000-0000594D0000}"/>
    <cellStyle name="Standard 4 3 2 3 2 4 2 3" xfId="19609" xr:uid="{00000000-0005-0000-0000-00005A4D0000}"/>
    <cellStyle name="Standard 4 3 2 3 2 4 2 3 2" xfId="19610" xr:uid="{00000000-0005-0000-0000-00005B4D0000}"/>
    <cellStyle name="Standard 4 3 2 3 2 4 2 3 3" xfId="19611" xr:uid="{00000000-0005-0000-0000-00005C4D0000}"/>
    <cellStyle name="Standard 4 3 2 3 2 4 2 4" xfId="19612" xr:uid="{00000000-0005-0000-0000-00005D4D0000}"/>
    <cellStyle name="Standard 4 3 2 3 2 4 2 4 2" xfId="19613" xr:uid="{00000000-0005-0000-0000-00005E4D0000}"/>
    <cellStyle name="Standard 4 3 2 3 2 4 2 4 3" xfId="19614" xr:uid="{00000000-0005-0000-0000-00005F4D0000}"/>
    <cellStyle name="Standard 4 3 2 3 2 4 2 5" xfId="19615" xr:uid="{00000000-0005-0000-0000-0000604D0000}"/>
    <cellStyle name="Standard 4 3 2 3 2 4 2 5 2" xfId="19616" xr:uid="{00000000-0005-0000-0000-0000614D0000}"/>
    <cellStyle name="Standard 4 3 2 3 2 4 2 6" xfId="19617" xr:uid="{00000000-0005-0000-0000-0000624D0000}"/>
    <cellStyle name="Standard 4 3 2 3 2 4 2 7" xfId="19618" xr:uid="{00000000-0005-0000-0000-0000634D0000}"/>
    <cellStyle name="Standard 4 3 2 3 2 4 3" xfId="19619" xr:uid="{00000000-0005-0000-0000-0000644D0000}"/>
    <cellStyle name="Standard 4 3 2 3 2 4 3 2" xfId="19620" xr:uid="{00000000-0005-0000-0000-0000654D0000}"/>
    <cellStyle name="Standard 4 3 2 3 2 4 3 2 2" xfId="19621" xr:uid="{00000000-0005-0000-0000-0000664D0000}"/>
    <cellStyle name="Standard 4 3 2 3 2 4 3 2 3" xfId="19622" xr:uid="{00000000-0005-0000-0000-0000674D0000}"/>
    <cellStyle name="Standard 4 3 2 3 2 4 3 3" xfId="19623" xr:uid="{00000000-0005-0000-0000-0000684D0000}"/>
    <cellStyle name="Standard 4 3 2 3 2 4 3 3 2" xfId="19624" xr:uid="{00000000-0005-0000-0000-0000694D0000}"/>
    <cellStyle name="Standard 4 3 2 3 2 4 3 3 3" xfId="19625" xr:uid="{00000000-0005-0000-0000-00006A4D0000}"/>
    <cellStyle name="Standard 4 3 2 3 2 4 3 4" xfId="19626" xr:uid="{00000000-0005-0000-0000-00006B4D0000}"/>
    <cellStyle name="Standard 4 3 2 3 2 4 3 4 2" xfId="19627" xr:uid="{00000000-0005-0000-0000-00006C4D0000}"/>
    <cellStyle name="Standard 4 3 2 3 2 4 3 5" xfId="19628" xr:uid="{00000000-0005-0000-0000-00006D4D0000}"/>
    <cellStyle name="Standard 4 3 2 3 2 4 3 6" xfId="19629" xr:uid="{00000000-0005-0000-0000-00006E4D0000}"/>
    <cellStyle name="Standard 4 3 2 3 2 4 4" xfId="19630" xr:uid="{00000000-0005-0000-0000-00006F4D0000}"/>
    <cellStyle name="Standard 4 3 2 3 2 4 4 2" xfId="19631" xr:uid="{00000000-0005-0000-0000-0000704D0000}"/>
    <cellStyle name="Standard 4 3 2 3 2 4 4 3" xfId="19632" xr:uid="{00000000-0005-0000-0000-0000714D0000}"/>
    <cellStyle name="Standard 4 3 2 3 2 4 5" xfId="19633" xr:uid="{00000000-0005-0000-0000-0000724D0000}"/>
    <cellStyle name="Standard 4 3 2 3 2 4 5 2" xfId="19634" xr:uid="{00000000-0005-0000-0000-0000734D0000}"/>
    <cellStyle name="Standard 4 3 2 3 2 4 5 3" xfId="19635" xr:uid="{00000000-0005-0000-0000-0000744D0000}"/>
    <cellStyle name="Standard 4 3 2 3 2 4 6" xfId="19636" xr:uid="{00000000-0005-0000-0000-0000754D0000}"/>
    <cellStyle name="Standard 4 3 2 3 2 4 6 2" xfId="19637" xr:uid="{00000000-0005-0000-0000-0000764D0000}"/>
    <cellStyle name="Standard 4 3 2 3 2 4 7" xfId="19638" xr:uid="{00000000-0005-0000-0000-0000774D0000}"/>
    <cellStyle name="Standard 4 3 2 3 2 4 8" xfId="19639" xr:uid="{00000000-0005-0000-0000-0000784D0000}"/>
    <cellStyle name="Standard 4 3 2 3 2 5" xfId="19640" xr:uid="{00000000-0005-0000-0000-0000794D0000}"/>
    <cellStyle name="Standard 4 3 2 3 2 5 2" xfId="19641" xr:uid="{00000000-0005-0000-0000-00007A4D0000}"/>
    <cellStyle name="Standard 4 3 2 3 2 5 2 2" xfId="19642" xr:uid="{00000000-0005-0000-0000-00007B4D0000}"/>
    <cellStyle name="Standard 4 3 2 3 2 5 2 2 2" xfId="19643" xr:uid="{00000000-0005-0000-0000-00007C4D0000}"/>
    <cellStyle name="Standard 4 3 2 3 2 5 2 2 3" xfId="19644" xr:uid="{00000000-0005-0000-0000-00007D4D0000}"/>
    <cellStyle name="Standard 4 3 2 3 2 5 2 3" xfId="19645" xr:uid="{00000000-0005-0000-0000-00007E4D0000}"/>
    <cellStyle name="Standard 4 3 2 3 2 5 2 3 2" xfId="19646" xr:uid="{00000000-0005-0000-0000-00007F4D0000}"/>
    <cellStyle name="Standard 4 3 2 3 2 5 2 3 3" xfId="19647" xr:uid="{00000000-0005-0000-0000-0000804D0000}"/>
    <cellStyle name="Standard 4 3 2 3 2 5 2 4" xfId="19648" xr:uid="{00000000-0005-0000-0000-0000814D0000}"/>
    <cellStyle name="Standard 4 3 2 3 2 5 2 4 2" xfId="19649" xr:uid="{00000000-0005-0000-0000-0000824D0000}"/>
    <cellStyle name="Standard 4 3 2 3 2 5 2 5" xfId="19650" xr:uid="{00000000-0005-0000-0000-0000834D0000}"/>
    <cellStyle name="Standard 4 3 2 3 2 5 2 6" xfId="19651" xr:uid="{00000000-0005-0000-0000-0000844D0000}"/>
    <cellStyle name="Standard 4 3 2 3 2 5 3" xfId="19652" xr:uid="{00000000-0005-0000-0000-0000854D0000}"/>
    <cellStyle name="Standard 4 3 2 3 2 5 3 2" xfId="19653" xr:uid="{00000000-0005-0000-0000-0000864D0000}"/>
    <cellStyle name="Standard 4 3 2 3 2 5 3 3" xfId="19654" xr:uid="{00000000-0005-0000-0000-0000874D0000}"/>
    <cellStyle name="Standard 4 3 2 3 2 5 4" xfId="19655" xr:uid="{00000000-0005-0000-0000-0000884D0000}"/>
    <cellStyle name="Standard 4 3 2 3 2 5 4 2" xfId="19656" xr:uid="{00000000-0005-0000-0000-0000894D0000}"/>
    <cellStyle name="Standard 4 3 2 3 2 5 4 3" xfId="19657" xr:uid="{00000000-0005-0000-0000-00008A4D0000}"/>
    <cellStyle name="Standard 4 3 2 3 2 5 5" xfId="19658" xr:uid="{00000000-0005-0000-0000-00008B4D0000}"/>
    <cellStyle name="Standard 4 3 2 3 2 5 5 2" xfId="19659" xr:uid="{00000000-0005-0000-0000-00008C4D0000}"/>
    <cellStyle name="Standard 4 3 2 3 2 5 6" xfId="19660" xr:uid="{00000000-0005-0000-0000-00008D4D0000}"/>
    <cellStyle name="Standard 4 3 2 3 2 5 7" xfId="19661" xr:uid="{00000000-0005-0000-0000-00008E4D0000}"/>
    <cellStyle name="Standard 4 3 2 3 2 6" xfId="19662" xr:uid="{00000000-0005-0000-0000-00008F4D0000}"/>
    <cellStyle name="Standard 4 3 2 3 2 6 2" xfId="19663" xr:uid="{00000000-0005-0000-0000-0000904D0000}"/>
    <cellStyle name="Standard 4 3 2 3 2 6 2 2" xfId="19664" xr:uid="{00000000-0005-0000-0000-0000914D0000}"/>
    <cellStyle name="Standard 4 3 2 3 2 6 2 3" xfId="19665" xr:uid="{00000000-0005-0000-0000-0000924D0000}"/>
    <cellStyle name="Standard 4 3 2 3 2 6 3" xfId="19666" xr:uid="{00000000-0005-0000-0000-0000934D0000}"/>
    <cellStyle name="Standard 4 3 2 3 2 6 3 2" xfId="19667" xr:uid="{00000000-0005-0000-0000-0000944D0000}"/>
    <cellStyle name="Standard 4 3 2 3 2 6 3 3" xfId="19668" xr:uid="{00000000-0005-0000-0000-0000954D0000}"/>
    <cellStyle name="Standard 4 3 2 3 2 6 4" xfId="19669" xr:uid="{00000000-0005-0000-0000-0000964D0000}"/>
    <cellStyle name="Standard 4 3 2 3 2 6 4 2" xfId="19670" xr:uid="{00000000-0005-0000-0000-0000974D0000}"/>
    <cellStyle name="Standard 4 3 2 3 2 6 5" xfId="19671" xr:uid="{00000000-0005-0000-0000-0000984D0000}"/>
    <cellStyle name="Standard 4 3 2 3 2 6 6" xfId="19672" xr:uid="{00000000-0005-0000-0000-0000994D0000}"/>
    <cellStyle name="Standard 4 3 2 3 2 7" xfId="19673" xr:uid="{00000000-0005-0000-0000-00009A4D0000}"/>
    <cellStyle name="Standard 4 3 2 3 2 7 2" xfId="19674" xr:uid="{00000000-0005-0000-0000-00009B4D0000}"/>
    <cellStyle name="Standard 4 3 2 3 2 7 3" xfId="19675" xr:uid="{00000000-0005-0000-0000-00009C4D0000}"/>
    <cellStyle name="Standard 4 3 2 3 2 8" xfId="19676" xr:uid="{00000000-0005-0000-0000-00009D4D0000}"/>
    <cellStyle name="Standard 4 3 2 3 2 8 2" xfId="19677" xr:uid="{00000000-0005-0000-0000-00009E4D0000}"/>
    <cellStyle name="Standard 4 3 2 3 2 8 3" xfId="19678" xr:uid="{00000000-0005-0000-0000-00009F4D0000}"/>
    <cellStyle name="Standard 4 3 2 3 2 9" xfId="19679" xr:uid="{00000000-0005-0000-0000-0000A04D0000}"/>
    <cellStyle name="Standard 4 3 2 3 2 9 2" xfId="19680" xr:uid="{00000000-0005-0000-0000-0000A14D0000}"/>
    <cellStyle name="Standard 4 3 2 3 3" xfId="19681" xr:uid="{00000000-0005-0000-0000-0000A24D0000}"/>
    <cellStyle name="Standard 4 3 2 3 3 10" xfId="19682" xr:uid="{00000000-0005-0000-0000-0000A34D0000}"/>
    <cellStyle name="Standard 4 3 2 3 3 11" xfId="19683" xr:uid="{00000000-0005-0000-0000-0000A44D0000}"/>
    <cellStyle name="Standard 4 3 2 3 3 2" xfId="19684" xr:uid="{00000000-0005-0000-0000-0000A54D0000}"/>
    <cellStyle name="Standard 4 3 2 3 3 2 10" xfId="19685" xr:uid="{00000000-0005-0000-0000-0000A64D0000}"/>
    <cellStyle name="Standard 4 3 2 3 3 2 2" xfId="19686" xr:uid="{00000000-0005-0000-0000-0000A74D0000}"/>
    <cellStyle name="Standard 4 3 2 3 3 2 2 2" xfId="19687" xr:uid="{00000000-0005-0000-0000-0000A84D0000}"/>
    <cellStyle name="Standard 4 3 2 3 3 2 2 2 2" xfId="19688" xr:uid="{00000000-0005-0000-0000-0000A94D0000}"/>
    <cellStyle name="Standard 4 3 2 3 3 2 2 2 2 2" xfId="19689" xr:uid="{00000000-0005-0000-0000-0000AA4D0000}"/>
    <cellStyle name="Standard 4 3 2 3 3 2 2 2 2 2 2" xfId="19690" xr:uid="{00000000-0005-0000-0000-0000AB4D0000}"/>
    <cellStyle name="Standard 4 3 2 3 3 2 2 2 2 2 3" xfId="19691" xr:uid="{00000000-0005-0000-0000-0000AC4D0000}"/>
    <cellStyle name="Standard 4 3 2 3 3 2 2 2 2 3" xfId="19692" xr:uid="{00000000-0005-0000-0000-0000AD4D0000}"/>
    <cellStyle name="Standard 4 3 2 3 3 2 2 2 2 3 2" xfId="19693" xr:uid="{00000000-0005-0000-0000-0000AE4D0000}"/>
    <cellStyle name="Standard 4 3 2 3 3 2 2 2 2 3 3" xfId="19694" xr:uid="{00000000-0005-0000-0000-0000AF4D0000}"/>
    <cellStyle name="Standard 4 3 2 3 3 2 2 2 2 4" xfId="19695" xr:uid="{00000000-0005-0000-0000-0000B04D0000}"/>
    <cellStyle name="Standard 4 3 2 3 3 2 2 2 2 4 2" xfId="19696" xr:uid="{00000000-0005-0000-0000-0000B14D0000}"/>
    <cellStyle name="Standard 4 3 2 3 3 2 2 2 2 5" xfId="19697" xr:uid="{00000000-0005-0000-0000-0000B24D0000}"/>
    <cellStyle name="Standard 4 3 2 3 3 2 2 2 2 6" xfId="19698" xr:uid="{00000000-0005-0000-0000-0000B34D0000}"/>
    <cellStyle name="Standard 4 3 2 3 3 2 2 2 3" xfId="19699" xr:uid="{00000000-0005-0000-0000-0000B44D0000}"/>
    <cellStyle name="Standard 4 3 2 3 3 2 2 2 3 2" xfId="19700" xr:uid="{00000000-0005-0000-0000-0000B54D0000}"/>
    <cellStyle name="Standard 4 3 2 3 3 2 2 2 3 3" xfId="19701" xr:uid="{00000000-0005-0000-0000-0000B64D0000}"/>
    <cellStyle name="Standard 4 3 2 3 3 2 2 2 4" xfId="19702" xr:uid="{00000000-0005-0000-0000-0000B74D0000}"/>
    <cellStyle name="Standard 4 3 2 3 3 2 2 2 4 2" xfId="19703" xr:uid="{00000000-0005-0000-0000-0000B84D0000}"/>
    <cellStyle name="Standard 4 3 2 3 3 2 2 2 4 3" xfId="19704" xr:uid="{00000000-0005-0000-0000-0000B94D0000}"/>
    <cellStyle name="Standard 4 3 2 3 3 2 2 2 5" xfId="19705" xr:uid="{00000000-0005-0000-0000-0000BA4D0000}"/>
    <cellStyle name="Standard 4 3 2 3 3 2 2 2 5 2" xfId="19706" xr:uid="{00000000-0005-0000-0000-0000BB4D0000}"/>
    <cellStyle name="Standard 4 3 2 3 3 2 2 2 6" xfId="19707" xr:uid="{00000000-0005-0000-0000-0000BC4D0000}"/>
    <cellStyle name="Standard 4 3 2 3 3 2 2 2 7" xfId="19708" xr:uid="{00000000-0005-0000-0000-0000BD4D0000}"/>
    <cellStyle name="Standard 4 3 2 3 3 2 2 3" xfId="19709" xr:uid="{00000000-0005-0000-0000-0000BE4D0000}"/>
    <cellStyle name="Standard 4 3 2 3 3 2 2 3 2" xfId="19710" xr:uid="{00000000-0005-0000-0000-0000BF4D0000}"/>
    <cellStyle name="Standard 4 3 2 3 3 2 2 3 2 2" xfId="19711" xr:uid="{00000000-0005-0000-0000-0000C04D0000}"/>
    <cellStyle name="Standard 4 3 2 3 3 2 2 3 2 3" xfId="19712" xr:uid="{00000000-0005-0000-0000-0000C14D0000}"/>
    <cellStyle name="Standard 4 3 2 3 3 2 2 3 3" xfId="19713" xr:uid="{00000000-0005-0000-0000-0000C24D0000}"/>
    <cellStyle name="Standard 4 3 2 3 3 2 2 3 3 2" xfId="19714" xr:uid="{00000000-0005-0000-0000-0000C34D0000}"/>
    <cellStyle name="Standard 4 3 2 3 3 2 2 3 3 3" xfId="19715" xr:uid="{00000000-0005-0000-0000-0000C44D0000}"/>
    <cellStyle name="Standard 4 3 2 3 3 2 2 3 4" xfId="19716" xr:uid="{00000000-0005-0000-0000-0000C54D0000}"/>
    <cellStyle name="Standard 4 3 2 3 3 2 2 3 4 2" xfId="19717" xr:uid="{00000000-0005-0000-0000-0000C64D0000}"/>
    <cellStyle name="Standard 4 3 2 3 3 2 2 3 5" xfId="19718" xr:uid="{00000000-0005-0000-0000-0000C74D0000}"/>
    <cellStyle name="Standard 4 3 2 3 3 2 2 3 6" xfId="19719" xr:uid="{00000000-0005-0000-0000-0000C84D0000}"/>
    <cellStyle name="Standard 4 3 2 3 3 2 2 4" xfId="19720" xr:uid="{00000000-0005-0000-0000-0000C94D0000}"/>
    <cellStyle name="Standard 4 3 2 3 3 2 2 4 2" xfId="19721" xr:uid="{00000000-0005-0000-0000-0000CA4D0000}"/>
    <cellStyle name="Standard 4 3 2 3 3 2 2 4 3" xfId="19722" xr:uid="{00000000-0005-0000-0000-0000CB4D0000}"/>
    <cellStyle name="Standard 4 3 2 3 3 2 2 5" xfId="19723" xr:uid="{00000000-0005-0000-0000-0000CC4D0000}"/>
    <cellStyle name="Standard 4 3 2 3 3 2 2 5 2" xfId="19724" xr:uid="{00000000-0005-0000-0000-0000CD4D0000}"/>
    <cellStyle name="Standard 4 3 2 3 3 2 2 5 3" xfId="19725" xr:uid="{00000000-0005-0000-0000-0000CE4D0000}"/>
    <cellStyle name="Standard 4 3 2 3 3 2 2 6" xfId="19726" xr:uid="{00000000-0005-0000-0000-0000CF4D0000}"/>
    <cellStyle name="Standard 4 3 2 3 3 2 2 6 2" xfId="19727" xr:uid="{00000000-0005-0000-0000-0000D04D0000}"/>
    <cellStyle name="Standard 4 3 2 3 3 2 2 7" xfId="19728" xr:uid="{00000000-0005-0000-0000-0000D14D0000}"/>
    <cellStyle name="Standard 4 3 2 3 3 2 2 8" xfId="19729" xr:uid="{00000000-0005-0000-0000-0000D24D0000}"/>
    <cellStyle name="Standard 4 3 2 3 3 2 3" xfId="19730" xr:uid="{00000000-0005-0000-0000-0000D34D0000}"/>
    <cellStyle name="Standard 4 3 2 3 3 2 3 2" xfId="19731" xr:uid="{00000000-0005-0000-0000-0000D44D0000}"/>
    <cellStyle name="Standard 4 3 2 3 3 2 3 2 2" xfId="19732" xr:uid="{00000000-0005-0000-0000-0000D54D0000}"/>
    <cellStyle name="Standard 4 3 2 3 3 2 3 2 2 2" xfId="19733" xr:uid="{00000000-0005-0000-0000-0000D64D0000}"/>
    <cellStyle name="Standard 4 3 2 3 3 2 3 2 2 2 2" xfId="19734" xr:uid="{00000000-0005-0000-0000-0000D74D0000}"/>
    <cellStyle name="Standard 4 3 2 3 3 2 3 2 2 2 3" xfId="19735" xr:uid="{00000000-0005-0000-0000-0000D84D0000}"/>
    <cellStyle name="Standard 4 3 2 3 3 2 3 2 2 3" xfId="19736" xr:uid="{00000000-0005-0000-0000-0000D94D0000}"/>
    <cellStyle name="Standard 4 3 2 3 3 2 3 2 2 3 2" xfId="19737" xr:uid="{00000000-0005-0000-0000-0000DA4D0000}"/>
    <cellStyle name="Standard 4 3 2 3 3 2 3 2 2 3 3" xfId="19738" xr:uid="{00000000-0005-0000-0000-0000DB4D0000}"/>
    <cellStyle name="Standard 4 3 2 3 3 2 3 2 2 4" xfId="19739" xr:uid="{00000000-0005-0000-0000-0000DC4D0000}"/>
    <cellStyle name="Standard 4 3 2 3 3 2 3 2 2 4 2" xfId="19740" xr:uid="{00000000-0005-0000-0000-0000DD4D0000}"/>
    <cellStyle name="Standard 4 3 2 3 3 2 3 2 2 5" xfId="19741" xr:uid="{00000000-0005-0000-0000-0000DE4D0000}"/>
    <cellStyle name="Standard 4 3 2 3 3 2 3 2 2 6" xfId="19742" xr:uid="{00000000-0005-0000-0000-0000DF4D0000}"/>
    <cellStyle name="Standard 4 3 2 3 3 2 3 2 3" xfId="19743" xr:uid="{00000000-0005-0000-0000-0000E04D0000}"/>
    <cellStyle name="Standard 4 3 2 3 3 2 3 2 3 2" xfId="19744" xr:uid="{00000000-0005-0000-0000-0000E14D0000}"/>
    <cellStyle name="Standard 4 3 2 3 3 2 3 2 3 3" xfId="19745" xr:uid="{00000000-0005-0000-0000-0000E24D0000}"/>
    <cellStyle name="Standard 4 3 2 3 3 2 3 2 4" xfId="19746" xr:uid="{00000000-0005-0000-0000-0000E34D0000}"/>
    <cellStyle name="Standard 4 3 2 3 3 2 3 2 4 2" xfId="19747" xr:uid="{00000000-0005-0000-0000-0000E44D0000}"/>
    <cellStyle name="Standard 4 3 2 3 3 2 3 2 4 3" xfId="19748" xr:uid="{00000000-0005-0000-0000-0000E54D0000}"/>
    <cellStyle name="Standard 4 3 2 3 3 2 3 2 5" xfId="19749" xr:uid="{00000000-0005-0000-0000-0000E64D0000}"/>
    <cellStyle name="Standard 4 3 2 3 3 2 3 2 5 2" xfId="19750" xr:uid="{00000000-0005-0000-0000-0000E74D0000}"/>
    <cellStyle name="Standard 4 3 2 3 3 2 3 2 6" xfId="19751" xr:uid="{00000000-0005-0000-0000-0000E84D0000}"/>
    <cellStyle name="Standard 4 3 2 3 3 2 3 2 7" xfId="19752" xr:uid="{00000000-0005-0000-0000-0000E94D0000}"/>
    <cellStyle name="Standard 4 3 2 3 3 2 3 3" xfId="19753" xr:uid="{00000000-0005-0000-0000-0000EA4D0000}"/>
    <cellStyle name="Standard 4 3 2 3 3 2 3 3 2" xfId="19754" xr:uid="{00000000-0005-0000-0000-0000EB4D0000}"/>
    <cellStyle name="Standard 4 3 2 3 3 2 3 3 2 2" xfId="19755" xr:uid="{00000000-0005-0000-0000-0000EC4D0000}"/>
    <cellStyle name="Standard 4 3 2 3 3 2 3 3 2 3" xfId="19756" xr:uid="{00000000-0005-0000-0000-0000ED4D0000}"/>
    <cellStyle name="Standard 4 3 2 3 3 2 3 3 3" xfId="19757" xr:uid="{00000000-0005-0000-0000-0000EE4D0000}"/>
    <cellStyle name="Standard 4 3 2 3 3 2 3 3 3 2" xfId="19758" xr:uid="{00000000-0005-0000-0000-0000EF4D0000}"/>
    <cellStyle name="Standard 4 3 2 3 3 2 3 3 3 3" xfId="19759" xr:uid="{00000000-0005-0000-0000-0000F04D0000}"/>
    <cellStyle name="Standard 4 3 2 3 3 2 3 3 4" xfId="19760" xr:uid="{00000000-0005-0000-0000-0000F14D0000}"/>
    <cellStyle name="Standard 4 3 2 3 3 2 3 3 4 2" xfId="19761" xr:uid="{00000000-0005-0000-0000-0000F24D0000}"/>
    <cellStyle name="Standard 4 3 2 3 3 2 3 3 5" xfId="19762" xr:uid="{00000000-0005-0000-0000-0000F34D0000}"/>
    <cellStyle name="Standard 4 3 2 3 3 2 3 3 6" xfId="19763" xr:uid="{00000000-0005-0000-0000-0000F44D0000}"/>
    <cellStyle name="Standard 4 3 2 3 3 2 3 4" xfId="19764" xr:uid="{00000000-0005-0000-0000-0000F54D0000}"/>
    <cellStyle name="Standard 4 3 2 3 3 2 3 4 2" xfId="19765" xr:uid="{00000000-0005-0000-0000-0000F64D0000}"/>
    <cellStyle name="Standard 4 3 2 3 3 2 3 4 3" xfId="19766" xr:uid="{00000000-0005-0000-0000-0000F74D0000}"/>
    <cellStyle name="Standard 4 3 2 3 3 2 3 5" xfId="19767" xr:uid="{00000000-0005-0000-0000-0000F84D0000}"/>
    <cellStyle name="Standard 4 3 2 3 3 2 3 5 2" xfId="19768" xr:uid="{00000000-0005-0000-0000-0000F94D0000}"/>
    <cellStyle name="Standard 4 3 2 3 3 2 3 5 3" xfId="19769" xr:uid="{00000000-0005-0000-0000-0000FA4D0000}"/>
    <cellStyle name="Standard 4 3 2 3 3 2 3 6" xfId="19770" xr:uid="{00000000-0005-0000-0000-0000FB4D0000}"/>
    <cellStyle name="Standard 4 3 2 3 3 2 3 6 2" xfId="19771" xr:uid="{00000000-0005-0000-0000-0000FC4D0000}"/>
    <cellStyle name="Standard 4 3 2 3 3 2 3 7" xfId="19772" xr:uid="{00000000-0005-0000-0000-0000FD4D0000}"/>
    <cellStyle name="Standard 4 3 2 3 3 2 3 8" xfId="19773" xr:uid="{00000000-0005-0000-0000-0000FE4D0000}"/>
    <cellStyle name="Standard 4 3 2 3 3 2 4" xfId="19774" xr:uid="{00000000-0005-0000-0000-0000FF4D0000}"/>
    <cellStyle name="Standard 4 3 2 3 3 2 4 2" xfId="19775" xr:uid="{00000000-0005-0000-0000-0000004E0000}"/>
    <cellStyle name="Standard 4 3 2 3 3 2 4 2 2" xfId="19776" xr:uid="{00000000-0005-0000-0000-0000014E0000}"/>
    <cellStyle name="Standard 4 3 2 3 3 2 4 2 2 2" xfId="19777" xr:uid="{00000000-0005-0000-0000-0000024E0000}"/>
    <cellStyle name="Standard 4 3 2 3 3 2 4 2 2 3" xfId="19778" xr:uid="{00000000-0005-0000-0000-0000034E0000}"/>
    <cellStyle name="Standard 4 3 2 3 3 2 4 2 3" xfId="19779" xr:uid="{00000000-0005-0000-0000-0000044E0000}"/>
    <cellStyle name="Standard 4 3 2 3 3 2 4 2 3 2" xfId="19780" xr:uid="{00000000-0005-0000-0000-0000054E0000}"/>
    <cellStyle name="Standard 4 3 2 3 3 2 4 2 3 3" xfId="19781" xr:uid="{00000000-0005-0000-0000-0000064E0000}"/>
    <cellStyle name="Standard 4 3 2 3 3 2 4 2 4" xfId="19782" xr:uid="{00000000-0005-0000-0000-0000074E0000}"/>
    <cellStyle name="Standard 4 3 2 3 3 2 4 2 4 2" xfId="19783" xr:uid="{00000000-0005-0000-0000-0000084E0000}"/>
    <cellStyle name="Standard 4 3 2 3 3 2 4 2 5" xfId="19784" xr:uid="{00000000-0005-0000-0000-0000094E0000}"/>
    <cellStyle name="Standard 4 3 2 3 3 2 4 2 6" xfId="19785" xr:uid="{00000000-0005-0000-0000-00000A4E0000}"/>
    <cellStyle name="Standard 4 3 2 3 3 2 4 3" xfId="19786" xr:uid="{00000000-0005-0000-0000-00000B4E0000}"/>
    <cellStyle name="Standard 4 3 2 3 3 2 4 3 2" xfId="19787" xr:uid="{00000000-0005-0000-0000-00000C4E0000}"/>
    <cellStyle name="Standard 4 3 2 3 3 2 4 3 3" xfId="19788" xr:uid="{00000000-0005-0000-0000-00000D4E0000}"/>
    <cellStyle name="Standard 4 3 2 3 3 2 4 4" xfId="19789" xr:uid="{00000000-0005-0000-0000-00000E4E0000}"/>
    <cellStyle name="Standard 4 3 2 3 3 2 4 4 2" xfId="19790" xr:uid="{00000000-0005-0000-0000-00000F4E0000}"/>
    <cellStyle name="Standard 4 3 2 3 3 2 4 4 3" xfId="19791" xr:uid="{00000000-0005-0000-0000-0000104E0000}"/>
    <cellStyle name="Standard 4 3 2 3 3 2 4 5" xfId="19792" xr:uid="{00000000-0005-0000-0000-0000114E0000}"/>
    <cellStyle name="Standard 4 3 2 3 3 2 4 5 2" xfId="19793" xr:uid="{00000000-0005-0000-0000-0000124E0000}"/>
    <cellStyle name="Standard 4 3 2 3 3 2 4 6" xfId="19794" xr:uid="{00000000-0005-0000-0000-0000134E0000}"/>
    <cellStyle name="Standard 4 3 2 3 3 2 4 7" xfId="19795" xr:uid="{00000000-0005-0000-0000-0000144E0000}"/>
    <cellStyle name="Standard 4 3 2 3 3 2 5" xfId="19796" xr:uid="{00000000-0005-0000-0000-0000154E0000}"/>
    <cellStyle name="Standard 4 3 2 3 3 2 5 2" xfId="19797" xr:uid="{00000000-0005-0000-0000-0000164E0000}"/>
    <cellStyle name="Standard 4 3 2 3 3 2 5 2 2" xfId="19798" xr:uid="{00000000-0005-0000-0000-0000174E0000}"/>
    <cellStyle name="Standard 4 3 2 3 3 2 5 2 3" xfId="19799" xr:uid="{00000000-0005-0000-0000-0000184E0000}"/>
    <cellStyle name="Standard 4 3 2 3 3 2 5 3" xfId="19800" xr:uid="{00000000-0005-0000-0000-0000194E0000}"/>
    <cellStyle name="Standard 4 3 2 3 3 2 5 3 2" xfId="19801" xr:uid="{00000000-0005-0000-0000-00001A4E0000}"/>
    <cellStyle name="Standard 4 3 2 3 3 2 5 3 3" xfId="19802" xr:uid="{00000000-0005-0000-0000-00001B4E0000}"/>
    <cellStyle name="Standard 4 3 2 3 3 2 5 4" xfId="19803" xr:uid="{00000000-0005-0000-0000-00001C4E0000}"/>
    <cellStyle name="Standard 4 3 2 3 3 2 5 4 2" xfId="19804" xr:uid="{00000000-0005-0000-0000-00001D4E0000}"/>
    <cellStyle name="Standard 4 3 2 3 3 2 5 5" xfId="19805" xr:uid="{00000000-0005-0000-0000-00001E4E0000}"/>
    <cellStyle name="Standard 4 3 2 3 3 2 5 6" xfId="19806" xr:uid="{00000000-0005-0000-0000-00001F4E0000}"/>
    <cellStyle name="Standard 4 3 2 3 3 2 6" xfId="19807" xr:uid="{00000000-0005-0000-0000-0000204E0000}"/>
    <cellStyle name="Standard 4 3 2 3 3 2 6 2" xfId="19808" xr:uid="{00000000-0005-0000-0000-0000214E0000}"/>
    <cellStyle name="Standard 4 3 2 3 3 2 6 3" xfId="19809" xr:uid="{00000000-0005-0000-0000-0000224E0000}"/>
    <cellStyle name="Standard 4 3 2 3 3 2 7" xfId="19810" xr:uid="{00000000-0005-0000-0000-0000234E0000}"/>
    <cellStyle name="Standard 4 3 2 3 3 2 7 2" xfId="19811" xr:uid="{00000000-0005-0000-0000-0000244E0000}"/>
    <cellStyle name="Standard 4 3 2 3 3 2 7 3" xfId="19812" xr:uid="{00000000-0005-0000-0000-0000254E0000}"/>
    <cellStyle name="Standard 4 3 2 3 3 2 8" xfId="19813" xr:uid="{00000000-0005-0000-0000-0000264E0000}"/>
    <cellStyle name="Standard 4 3 2 3 3 2 8 2" xfId="19814" xr:uid="{00000000-0005-0000-0000-0000274E0000}"/>
    <cellStyle name="Standard 4 3 2 3 3 2 9" xfId="19815" xr:uid="{00000000-0005-0000-0000-0000284E0000}"/>
    <cellStyle name="Standard 4 3 2 3 3 3" xfId="19816" xr:uid="{00000000-0005-0000-0000-0000294E0000}"/>
    <cellStyle name="Standard 4 3 2 3 3 3 2" xfId="19817" xr:uid="{00000000-0005-0000-0000-00002A4E0000}"/>
    <cellStyle name="Standard 4 3 2 3 3 3 2 2" xfId="19818" xr:uid="{00000000-0005-0000-0000-00002B4E0000}"/>
    <cellStyle name="Standard 4 3 2 3 3 3 2 2 2" xfId="19819" xr:uid="{00000000-0005-0000-0000-00002C4E0000}"/>
    <cellStyle name="Standard 4 3 2 3 3 3 2 2 2 2" xfId="19820" xr:uid="{00000000-0005-0000-0000-00002D4E0000}"/>
    <cellStyle name="Standard 4 3 2 3 3 3 2 2 2 3" xfId="19821" xr:uid="{00000000-0005-0000-0000-00002E4E0000}"/>
    <cellStyle name="Standard 4 3 2 3 3 3 2 2 3" xfId="19822" xr:uid="{00000000-0005-0000-0000-00002F4E0000}"/>
    <cellStyle name="Standard 4 3 2 3 3 3 2 2 3 2" xfId="19823" xr:uid="{00000000-0005-0000-0000-0000304E0000}"/>
    <cellStyle name="Standard 4 3 2 3 3 3 2 2 3 3" xfId="19824" xr:uid="{00000000-0005-0000-0000-0000314E0000}"/>
    <cellStyle name="Standard 4 3 2 3 3 3 2 2 4" xfId="19825" xr:uid="{00000000-0005-0000-0000-0000324E0000}"/>
    <cellStyle name="Standard 4 3 2 3 3 3 2 2 4 2" xfId="19826" xr:uid="{00000000-0005-0000-0000-0000334E0000}"/>
    <cellStyle name="Standard 4 3 2 3 3 3 2 2 5" xfId="19827" xr:uid="{00000000-0005-0000-0000-0000344E0000}"/>
    <cellStyle name="Standard 4 3 2 3 3 3 2 2 6" xfId="19828" xr:uid="{00000000-0005-0000-0000-0000354E0000}"/>
    <cellStyle name="Standard 4 3 2 3 3 3 2 3" xfId="19829" xr:uid="{00000000-0005-0000-0000-0000364E0000}"/>
    <cellStyle name="Standard 4 3 2 3 3 3 2 3 2" xfId="19830" xr:uid="{00000000-0005-0000-0000-0000374E0000}"/>
    <cellStyle name="Standard 4 3 2 3 3 3 2 3 3" xfId="19831" xr:uid="{00000000-0005-0000-0000-0000384E0000}"/>
    <cellStyle name="Standard 4 3 2 3 3 3 2 4" xfId="19832" xr:uid="{00000000-0005-0000-0000-0000394E0000}"/>
    <cellStyle name="Standard 4 3 2 3 3 3 2 4 2" xfId="19833" xr:uid="{00000000-0005-0000-0000-00003A4E0000}"/>
    <cellStyle name="Standard 4 3 2 3 3 3 2 4 3" xfId="19834" xr:uid="{00000000-0005-0000-0000-00003B4E0000}"/>
    <cellStyle name="Standard 4 3 2 3 3 3 2 5" xfId="19835" xr:uid="{00000000-0005-0000-0000-00003C4E0000}"/>
    <cellStyle name="Standard 4 3 2 3 3 3 2 5 2" xfId="19836" xr:uid="{00000000-0005-0000-0000-00003D4E0000}"/>
    <cellStyle name="Standard 4 3 2 3 3 3 2 6" xfId="19837" xr:uid="{00000000-0005-0000-0000-00003E4E0000}"/>
    <cellStyle name="Standard 4 3 2 3 3 3 2 7" xfId="19838" xr:uid="{00000000-0005-0000-0000-00003F4E0000}"/>
    <cellStyle name="Standard 4 3 2 3 3 3 3" xfId="19839" xr:uid="{00000000-0005-0000-0000-0000404E0000}"/>
    <cellStyle name="Standard 4 3 2 3 3 3 3 2" xfId="19840" xr:uid="{00000000-0005-0000-0000-0000414E0000}"/>
    <cellStyle name="Standard 4 3 2 3 3 3 3 2 2" xfId="19841" xr:uid="{00000000-0005-0000-0000-0000424E0000}"/>
    <cellStyle name="Standard 4 3 2 3 3 3 3 2 3" xfId="19842" xr:uid="{00000000-0005-0000-0000-0000434E0000}"/>
    <cellStyle name="Standard 4 3 2 3 3 3 3 3" xfId="19843" xr:uid="{00000000-0005-0000-0000-0000444E0000}"/>
    <cellStyle name="Standard 4 3 2 3 3 3 3 3 2" xfId="19844" xr:uid="{00000000-0005-0000-0000-0000454E0000}"/>
    <cellStyle name="Standard 4 3 2 3 3 3 3 3 3" xfId="19845" xr:uid="{00000000-0005-0000-0000-0000464E0000}"/>
    <cellStyle name="Standard 4 3 2 3 3 3 3 4" xfId="19846" xr:uid="{00000000-0005-0000-0000-0000474E0000}"/>
    <cellStyle name="Standard 4 3 2 3 3 3 3 4 2" xfId="19847" xr:uid="{00000000-0005-0000-0000-0000484E0000}"/>
    <cellStyle name="Standard 4 3 2 3 3 3 3 5" xfId="19848" xr:uid="{00000000-0005-0000-0000-0000494E0000}"/>
    <cellStyle name="Standard 4 3 2 3 3 3 3 6" xfId="19849" xr:uid="{00000000-0005-0000-0000-00004A4E0000}"/>
    <cellStyle name="Standard 4 3 2 3 3 3 4" xfId="19850" xr:uid="{00000000-0005-0000-0000-00004B4E0000}"/>
    <cellStyle name="Standard 4 3 2 3 3 3 4 2" xfId="19851" xr:uid="{00000000-0005-0000-0000-00004C4E0000}"/>
    <cellStyle name="Standard 4 3 2 3 3 3 4 3" xfId="19852" xr:uid="{00000000-0005-0000-0000-00004D4E0000}"/>
    <cellStyle name="Standard 4 3 2 3 3 3 5" xfId="19853" xr:uid="{00000000-0005-0000-0000-00004E4E0000}"/>
    <cellStyle name="Standard 4 3 2 3 3 3 5 2" xfId="19854" xr:uid="{00000000-0005-0000-0000-00004F4E0000}"/>
    <cellStyle name="Standard 4 3 2 3 3 3 5 3" xfId="19855" xr:uid="{00000000-0005-0000-0000-0000504E0000}"/>
    <cellStyle name="Standard 4 3 2 3 3 3 6" xfId="19856" xr:uid="{00000000-0005-0000-0000-0000514E0000}"/>
    <cellStyle name="Standard 4 3 2 3 3 3 6 2" xfId="19857" xr:uid="{00000000-0005-0000-0000-0000524E0000}"/>
    <cellStyle name="Standard 4 3 2 3 3 3 7" xfId="19858" xr:uid="{00000000-0005-0000-0000-0000534E0000}"/>
    <cellStyle name="Standard 4 3 2 3 3 3 8" xfId="19859" xr:uid="{00000000-0005-0000-0000-0000544E0000}"/>
    <cellStyle name="Standard 4 3 2 3 3 4" xfId="19860" xr:uid="{00000000-0005-0000-0000-0000554E0000}"/>
    <cellStyle name="Standard 4 3 2 3 3 4 2" xfId="19861" xr:uid="{00000000-0005-0000-0000-0000564E0000}"/>
    <cellStyle name="Standard 4 3 2 3 3 4 2 2" xfId="19862" xr:uid="{00000000-0005-0000-0000-0000574E0000}"/>
    <cellStyle name="Standard 4 3 2 3 3 4 2 2 2" xfId="19863" xr:uid="{00000000-0005-0000-0000-0000584E0000}"/>
    <cellStyle name="Standard 4 3 2 3 3 4 2 2 2 2" xfId="19864" xr:uid="{00000000-0005-0000-0000-0000594E0000}"/>
    <cellStyle name="Standard 4 3 2 3 3 4 2 2 2 3" xfId="19865" xr:uid="{00000000-0005-0000-0000-00005A4E0000}"/>
    <cellStyle name="Standard 4 3 2 3 3 4 2 2 3" xfId="19866" xr:uid="{00000000-0005-0000-0000-00005B4E0000}"/>
    <cellStyle name="Standard 4 3 2 3 3 4 2 2 3 2" xfId="19867" xr:uid="{00000000-0005-0000-0000-00005C4E0000}"/>
    <cellStyle name="Standard 4 3 2 3 3 4 2 2 3 3" xfId="19868" xr:uid="{00000000-0005-0000-0000-00005D4E0000}"/>
    <cellStyle name="Standard 4 3 2 3 3 4 2 2 4" xfId="19869" xr:uid="{00000000-0005-0000-0000-00005E4E0000}"/>
    <cellStyle name="Standard 4 3 2 3 3 4 2 2 4 2" xfId="19870" xr:uid="{00000000-0005-0000-0000-00005F4E0000}"/>
    <cellStyle name="Standard 4 3 2 3 3 4 2 2 5" xfId="19871" xr:uid="{00000000-0005-0000-0000-0000604E0000}"/>
    <cellStyle name="Standard 4 3 2 3 3 4 2 2 6" xfId="19872" xr:uid="{00000000-0005-0000-0000-0000614E0000}"/>
    <cellStyle name="Standard 4 3 2 3 3 4 2 3" xfId="19873" xr:uid="{00000000-0005-0000-0000-0000624E0000}"/>
    <cellStyle name="Standard 4 3 2 3 3 4 2 3 2" xfId="19874" xr:uid="{00000000-0005-0000-0000-0000634E0000}"/>
    <cellStyle name="Standard 4 3 2 3 3 4 2 3 3" xfId="19875" xr:uid="{00000000-0005-0000-0000-0000644E0000}"/>
    <cellStyle name="Standard 4 3 2 3 3 4 2 4" xfId="19876" xr:uid="{00000000-0005-0000-0000-0000654E0000}"/>
    <cellStyle name="Standard 4 3 2 3 3 4 2 4 2" xfId="19877" xr:uid="{00000000-0005-0000-0000-0000664E0000}"/>
    <cellStyle name="Standard 4 3 2 3 3 4 2 4 3" xfId="19878" xr:uid="{00000000-0005-0000-0000-0000674E0000}"/>
    <cellStyle name="Standard 4 3 2 3 3 4 2 5" xfId="19879" xr:uid="{00000000-0005-0000-0000-0000684E0000}"/>
    <cellStyle name="Standard 4 3 2 3 3 4 2 5 2" xfId="19880" xr:uid="{00000000-0005-0000-0000-0000694E0000}"/>
    <cellStyle name="Standard 4 3 2 3 3 4 2 6" xfId="19881" xr:uid="{00000000-0005-0000-0000-00006A4E0000}"/>
    <cellStyle name="Standard 4 3 2 3 3 4 2 7" xfId="19882" xr:uid="{00000000-0005-0000-0000-00006B4E0000}"/>
    <cellStyle name="Standard 4 3 2 3 3 4 3" xfId="19883" xr:uid="{00000000-0005-0000-0000-00006C4E0000}"/>
    <cellStyle name="Standard 4 3 2 3 3 4 3 2" xfId="19884" xr:uid="{00000000-0005-0000-0000-00006D4E0000}"/>
    <cellStyle name="Standard 4 3 2 3 3 4 3 2 2" xfId="19885" xr:uid="{00000000-0005-0000-0000-00006E4E0000}"/>
    <cellStyle name="Standard 4 3 2 3 3 4 3 2 3" xfId="19886" xr:uid="{00000000-0005-0000-0000-00006F4E0000}"/>
    <cellStyle name="Standard 4 3 2 3 3 4 3 3" xfId="19887" xr:uid="{00000000-0005-0000-0000-0000704E0000}"/>
    <cellStyle name="Standard 4 3 2 3 3 4 3 3 2" xfId="19888" xr:uid="{00000000-0005-0000-0000-0000714E0000}"/>
    <cellStyle name="Standard 4 3 2 3 3 4 3 3 3" xfId="19889" xr:uid="{00000000-0005-0000-0000-0000724E0000}"/>
    <cellStyle name="Standard 4 3 2 3 3 4 3 4" xfId="19890" xr:uid="{00000000-0005-0000-0000-0000734E0000}"/>
    <cellStyle name="Standard 4 3 2 3 3 4 3 4 2" xfId="19891" xr:uid="{00000000-0005-0000-0000-0000744E0000}"/>
    <cellStyle name="Standard 4 3 2 3 3 4 3 5" xfId="19892" xr:uid="{00000000-0005-0000-0000-0000754E0000}"/>
    <cellStyle name="Standard 4 3 2 3 3 4 3 6" xfId="19893" xr:uid="{00000000-0005-0000-0000-0000764E0000}"/>
    <cellStyle name="Standard 4 3 2 3 3 4 4" xfId="19894" xr:uid="{00000000-0005-0000-0000-0000774E0000}"/>
    <cellStyle name="Standard 4 3 2 3 3 4 4 2" xfId="19895" xr:uid="{00000000-0005-0000-0000-0000784E0000}"/>
    <cellStyle name="Standard 4 3 2 3 3 4 4 3" xfId="19896" xr:uid="{00000000-0005-0000-0000-0000794E0000}"/>
    <cellStyle name="Standard 4 3 2 3 3 4 5" xfId="19897" xr:uid="{00000000-0005-0000-0000-00007A4E0000}"/>
    <cellStyle name="Standard 4 3 2 3 3 4 5 2" xfId="19898" xr:uid="{00000000-0005-0000-0000-00007B4E0000}"/>
    <cellStyle name="Standard 4 3 2 3 3 4 5 3" xfId="19899" xr:uid="{00000000-0005-0000-0000-00007C4E0000}"/>
    <cellStyle name="Standard 4 3 2 3 3 4 6" xfId="19900" xr:uid="{00000000-0005-0000-0000-00007D4E0000}"/>
    <cellStyle name="Standard 4 3 2 3 3 4 6 2" xfId="19901" xr:uid="{00000000-0005-0000-0000-00007E4E0000}"/>
    <cellStyle name="Standard 4 3 2 3 3 4 7" xfId="19902" xr:uid="{00000000-0005-0000-0000-00007F4E0000}"/>
    <cellStyle name="Standard 4 3 2 3 3 4 8" xfId="19903" xr:uid="{00000000-0005-0000-0000-0000804E0000}"/>
    <cellStyle name="Standard 4 3 2 3 3 5" xfId="19904" xr:uid="{00000000-0005-0000-0000-0000814E0000}"/>
    <cellStyle name="Standard 4 3 2 3 3 5 2" xfId="19905" xr:uid="{00000000-0005-0000-0000-0000824E0000}"/>
    <cellStyle name="Standard 4 3 2 3 3 5 2 2" xfId="19906" xr:uid="{00000000-0005-0000-0000-0000834E0000}"/>
    <cellStyle name="Standard 4 3 2 3 3 5 2 2 2" xfId="19907" xr:uid="{00000000-0005-0000-0000-0000844E0000}"/>
    <cellStyle name="Standard 4 3 2 3 3 5 2 2 3" xfId="19908" xr:uid="{00000000-0005-0000-0000-0000854E0000}"/>
    <cellStyle name="Standard 4 3 2 3 3 5 2 3" xfId="19909" xr:uid="{00000000-0005-0000-0000-0000864E0000}"/>
    <cellStyle name="Standard 4 3 2 3 3 5 2 3 2" xfId="19910" xr:uid="{00000000-0005-0000-0000-0000874E0000}"/>
    <cellStyle name="Standard 4 3 2 3 3 5 2 3 3" xfId="19911" xr:uid="{00000000-0005-0000-0000-0000884E0000}"/>
    <cellStyle name="Standard 4 3 2 3 3 5 2 4" xfId="19912" xr:uid="{00000000-0005-0000-0000-0000894E0000}"/>
    <cellStyle name="Standard 4 3 2 3 3 5 2 4 2" xfId="19913" xr:uid="{00000000-0005-0000-0000-00008A4E0000}"/>
    <cellStyle name="Standard 4 3 2 3 3 5 2 5" xfId="19914" xr:uid="{00000000-0005-0000-0000-00008B4E0000}"/>
    <cellStyle name="Standard 4 3 2 3 3 5 2 6" xfId="19915" xr:uid="{00000000-0005-0000-0000-00008C4E0000}"/>
    <cellStyle name="Standard 4 3 2 3 3 5 3" xfId="19916" xr:uid="{00000000-0005-0000-0000-00008D4E0000}"/>
    <cellStyle name="Standard 4 3 2 3 3 5 3 2" xfId="19917" xr:uid="{00000000-0005-0000-0000-00008E4E0000}"/>
    <cellStyle name="Standard 4 3 2 3 3 5 3 3" xfId="19918" xr:uid="{00000000-0005-0000-0000-00008F4E0000}"/>
    <cellStyle name="Standard 4 3 2 3 3 5 4" xfId="19919" xr:uid="{00000000-0005-0000-0000-0000904E0000}"/>
    <cellStyle name="Standard 4 3 2 3 3 5 4 2" xfId="19920" xr:uid="{00000000-0005-0000-0000-0000914E0000}"/>
    <cellStyle name="Standard 4 3 2 3 3 5 4 3" xfId="19921" xr:uid="{00000000-0005-0000-0000-0000924E0000}"/>
    <cellStyle name="Standard 4 3 2 3 3 5 5" xfId="19922" xr:uid="{00000000-0005-0000-0000-0000934E0000}"/>
    <cellStyle name="Standard 4 3 2 3 3 5 5 2" xfId="19923" xr:uid="{00000000-0005-0000-0000-0000944E0000}"/>
    <cellStyle name="Standard 4 3 2 3 3 5 6" xfId="19924" xr:uid="{00000000-0005-0000-0000-0000954E0000}"/>
    <cellStyle name="Standard 4 3 2 3 3 5 7" xfId="19925" xr:uid="{00000000-0005-0000-0000-0000964E0000}"/>
    <cellStyle name="Standard 4 3 2 3 3 6" xfId="19926" xr:uid="{00000000-0005-0000-0000-0000974E0000}"/>
    <cellStyle name="Standard 4 3 2 3 3 6 2" xfId="19927" xr:uid="{00000000-0005-0000-0000-0000984E0000}"/>
    <cellStyle name="Standard 4 3 2 3 3 6 2 2" xfId="19928" xr:uid="{00000000-0005-0000-0000-0000994E0000}"/>
    <cellStyle name="Standard 4 3 2 3 3 6 2 3" xfId="19929" xr:uid="{00000000-0005-0000-0000-00009A4E0000}"/>
    <cellStyle name="Standard 4 3 2 3 3 6 3" xfId="19930" xr:uid="{00000000-0005-0000-0000-00009B4E0000}"/>
    <cellStyle name="Standard 4 3 2 3 3 6 3 2" xfId="19931" xr:uid="{00000000-0005-0000-0000-00009C4E0000}"/>
    <cellStyle name="Standard 4 3 2 3 3 6 3 3" xfId="19932" xr:uid="{00000000-0005-0000-0000-00009D4E0000}"/>
    <cellStyle name="Standard 4 3 2 3 3 6 4" xfId="19933" xr:uid="{00000000-0005-0000-0000-00009E4E0000}"/>
    <cellStyle name="Standard 4 3 2 3 3 6 4 2" xfId="19934" xr:uid="{00000000-0005-0000-0000-00009F4E0000}"/>
    <cellStyle name="Standard 4 3 2 3 3 6 5" xfId="19935" xr:uid="{00000000-0005-0000-0000-0000A04E0000}"/>
    <cellStyle name="Standard 4 3 2 3 3 6 6" xfId="19936" xr:uid="{00000000-0005-0000-0000-0000A14E0000}"/>
    <cellStyle name="Standard 4 3 2 3 3 7" xfId="19937" xr:uid="{00000000-0005-0000-0000-0000A24E0000}"/>
    <cellStyle name="Standard 4 3 2 3 3 7 2" xfId="19938" xr:uid="{00000000-0005-0000-0000-0000A34E0000}"/>
    <cellStyle name="Standard 4 3 2 3 3 7 3" xfId="19939" xr:uid="{00000000-0005-0000-0000-0000A44E0000}"/>
    <cellStyle name="Standard 4 3 2 3 3 8" xfId="19940" xr:uid="{00000000-0005-0000-0000-0000A54E0000}"/>
    <cellStyle name="Standard 4 3 2 3 3 8 2" xfId="19941" xr:uid="{00000000-0005-0000-0000-0000A64E0000}"/>
    <cellStyle name="Standard 4 3 2 3 3 8 3" xfId="19942" xr:uid="{00000000-0005-0000-0000-0000A74E0000}"/>
    <cellStyle name="Standard 4 3 2 3 3 9" xfId="19943" xr:uid="{00000000-0005-0000-0000-0000A84E0000}"/>
    <cellStyle name="Standard 4 3 2 3 3 9 2" xfId="19944" xr:uid="{00000000-0005-0000-0000-0000A94E0000}"/>
    <cellStyle name="Standard 4 3 2 3 4" xfId="19945" xr:uid="{00000000-0005-0000-0000-0000AA4E0000}"/>
    <cellStyle name="Standard 4 3 2 3 4 10" xfId="19946" xr:uid="{00000000-0005-0000-0000-0000AB4E0000}"/>
    <cellStyle name="Standard 4 3 2 3 4 2" xfId="19947" xr:uid="{00000000-0005-0000-0000-0000AC4E0000}"/>
    <cellStyle name="Standard 4 3 2 3 4 2 2" xfId="19948" xr:uid="{00000000-0005-0000-0000-0000AD4E0000}"/>
    <cellStyle name="Standard 4 3 2 3 4 2 2 2" xfId="19949" xr:uid="{00000000-0005-0000-0000-0000AE4E0000}"/>
    <cellStyle name="Standard 4 3 2 3 4 2 2 2 2" xfId="19950" xr:uid="{00000000-0005-0000-0000-0000AF4E0000}"/>
    <cellStyle name="Standard 4 3 2 3 4 2 2 2 2 2" xfId="19951" xr:uid="{00000000-0005-0000-0000-0000B04E0000}"/>
    <cellStyle name="Standard 4 3 2 3 4 2 2 2 2 3" xfId="19952" xr:uid="{00000000-0005-0000-0000-0000B14E0000}"/>
    <cellStyle name="Standard 4 3 2 3 4 2 2 2 3" xfId="19953" xr:uid="{00000000-0005-0000-0000-0000B24E0000}"/>
    <cellStyle name="Standard 4 3 2 3 4 2 2 2 3 2" xfId="19954" xr:uid="{00000000-0005-0000-0000-0000B34E0000}"/>
    <cellStyle name="Standard 4 3 2 3 4 2 2 2 3 3" xfId="19955" xr:uid="{00000000-0005-0000-0000-0000B44E0000}"/>
    <cellStyle name="Standard 4 3 2 3 4 2 2 2 4" xfId="19956" xr:uid="{00000000-0005-0000-0000-0000B54E0000}"/>
    <cellStyle name="Standard 4 3 2 3 4 2 2 2 4 2" xfId="19957" xr:uid="{00000000-0005-0000-0000-0000B64E0000}"/>
    <cellStyle name="Standard 4 3 2 3 4 2 2 2 5" xfId="19958" xr:uid="{00000000-0005-0000-0000-0000B74E0000}"/>
    <cellStyle name="Standard 4 3 2 3 4 2 2 2 6" xfId="19959" xr:uid="{00000000-0005-0000-0000-0000B84E0000}"/>
    <cellStyle name="Standard 4 3 2 3 4 2 2 3" xfId="19960" xr:uid="{00000000-0005-0000-0000-0000B94E0000}"/>
    <cellStyle name="Standard 4 3 2 3 4 2 2 3 2" xfId="19961" xr:uid="{00000000-0005-0000-0000-0000BA4E0000}"/>
    <cellStyle name="Standard 4 3 2 3 4 2 2 3 3" xfId="19962" xr:uid="{00000000-0005-0000-0000-0000BB4E0000}"/>
    <cellStyle name="Standard 4 3 2 3 4 2 2 4" xfId="19963" xr:uid="{00000000-0005-0000-0000-0000BC4E0000}"/>
    <cellStyle name="Standard 4 3 2 3 4 2 2 4 2" xfId="19964" xr:uid="{00000000-0005-0000-0000-0000BD4E0000}"/>
    <cellStyle name="Standard 4 3 2 3 4 2 2 4 3" xfId="19965" xr:uid="{00000000-0005-0000-0000-0000BE4E0000}"/>
    <cellStyle name="Standard 4 3 2 3 4 2 2 5" xfId="19966" xr:uid="{00000000-0005-0000-0000-0000BF4E0000}"/>
    <cellStyle name="Standard 4 3 2 3 4 2 2 5 2" xfId="19967" xr:uid="{00000000-0005-0000-0000-0000C04E0000}"/>
    <cellStyle name="Standard 4 3 2 3 4 2 2 6" xfId="19968" xr:uid="{00000000-0005-0000-0000-0000C14E0000}"/>
    <cellStyle name="Standard 4 3 2 3 4 2 2 7" xfId="19969" xr:uid="{00000000-0005-0000-0000-0000C24E0000}"/>
    <cellStyle name="Standard 4 3 2 3 4 2 3" xfId="19970" xr:uid="{00000000-0005-0000-0000-0000C34E0000}"/>
    <cellStyle name="Standard 4 3 2 3 4 2 3 2" xfId="19971" xr:uid="{00000000-0005-0000-0000-0000C44E0000}"/>
    <cellStyle name="Standard 4 3 2 3 4 2 3 2 2" xfId="19972" xr:uid="{00000000-0005-0000-0000-0000C54E0000}"/>
    <cellStyle name="Standard 4 3 2 3 4 2 3 2 3" xfId="19973" xr:uid="{00000000-0005-0000-0000-0000C64E0000}"/>
    <cellStyle name="Standard 4 3 2 3 4 2 3 3" xfId="19974" xr:uid="{00000000-0005-0000-0000-0000C74E0000}"/>
    <cellStyle name="Standard 4 3 2 3 4 2 3 3 2" xfId="19975" xr:uid="{00000000-0005-0000-0000-0000C84E0000}"/>
    <cellStyle name="Standard 4 3 2 3 4 2 3 3 3" xfId="19976" xr:uid="{00000000-0005-0000-0000-0000C94E0000}"/>
    <cellStyle name="Standard 4 3 2 3 4 2 3 4" xfId="19977" xr:uid="{00000000-0005-0000-0000-0000CA4E0000}"/>
    <cellStyle name="Standard 4 3 2 3 4 2 3 4 2" xfId="19978" xr:uid="{00000000-0005-0000-0000-0000CB4E0000}"/>
    <cellStyle name="Standard 4 3 2 3 4 2 3 5" xfId="19979" xr:uid="{00000000-0005-0000-0000-0000CC4E0000}"/>
    <cellStyle name="Standard 4 3 2 3 4 2 3 6" xfId="19980" xr:uid="{00000000-0005-0000-0000-0000CD4E0000}"/>
    <cellStyle name="Standard 4 3 2 3 4 2 4" xfId="19981" xr:uid="{00000000-0005-0000-0000-0000CE4E0000}"/>
    <cellStyle name="Standard 4 3 2 3 4 2 4 2" xfId="19982" xr:uid="{00000000-0005-0000-0000-0000CF4E0000}"/>
    <cellStyle name="Standard 4 3 2 3 4 2 4 3" xfId="19983" xr:uid="{00000000-0005-0000-0000-0000D04E0000}"/>
    <cellStyle name="Standard 4 3 2 3 4 2 5" xfId="19984" xr:uid="{00000000-0005-0000-0000-0000D14E0000}"/>
    <cellStyle name="Standard 4 3 2 3 4 2 5 2" xfId="19985" xr:uid="{00000000-0005-0000-0000-0000D24E0000}"/>
    <cellStyle name="Standard 4 3 2 3 4 2 5 3" xfId="19986" xr:uid="{00000000-0005-0000-0000-0000D34E0000}"/>
    <cellStyle name="Standard 4 3 2 3 4 2 6" xfId="19987" xr:uid="{00000000-0005-0000-0000-0000D44E0000}"/>
    <cellStyle name="Standard 4 3 2 3 4 2 6 2" xfId="19988" xr:uid="{00000000-0005-0000-0000-0000D54E0000}"/>
    <cellStyle name="Standard 4 3 2 3 4 2 7" xfId="19989" xr:uid="{00000000-0005-0000-0000-0000D64E0000}"/>
    <cellStyle name="Standard 4 3 2 3 4 2 8" xfId="19990" xr:uid="{00000000-0005-0000-0000-0000D74E0000}"/>
    <cellStyle name="Standard 4 3 2 3 4 3" xfId="19991" xr:uid="{00000000-0005-0000-0000-0000D84E0000}"/>
    <cellStyle name="Standard 4 3 2 3 4 3 2" xfId="19992" xr:uid="{00000000-0005-0000-0000-0000D94E0000}"/>
    <cellStyle name="Standard 4 3 2 3 4 3 2 2" xfId="19993" xr:uid="{00000000-0005-0000-0000-0000DA4E0000}"/>
    <cellStyle name="Standard 4 3 2 3 4 3 2 2 2" xfId="19994" xr:uid="{00000000-0005-0000-0000-0000DB4E0000}"/>
    <cellStyle name="Standard 4 3 2 3 4 3 2 2 2 2" xfId="19995" xr:uid="{00000000-0005-0000-0000-0000DC4E0000}"/>
    <cellStyle name="Standard 4 3 2 3 4 3 2 2 2 3" xfId="19996" xr:uid="{00000000-0005-0000-0000-0000DD4E0000}"/>
    <cellStyle name="Standard 4 3 2 3 4 3 2 2 3" xfId="19997" xr:uid="{00000000-0005-0000-0000-0000DE4E0000}"/>
    <cellStyle name="Standard 4 3 2 3 4 3 2 2 3 2" xfId="19998" xr:uid="{00000000-0005-0000-0000-0000DF4E0000}"/>
    <cellStyle name="Standard 4 3 2 3 4 3 2 2 3 3" xfId="19999" xr:uid="{00000000-0005-0000-0000-0000E04E0000}"/>
    <cellStyle name="Standard 4 3 2 3 4 3 2 2 4" xfId="20000" xr:uid="{00000000-0005-0000-0000-0000E14E0000}"/>
    <cellStyle name="Standard 4 3 2 3 4 3 2 2 4 2" xfId="20001" xr:uid="{00000000-0005-0000-0000-0000E24E0000}"/>
    <cellStyle name="Standard 4 3 2 3 4 3 2 2 5" xfId="20002" xr:uid="{00000000-0005-0000-0000-0000E34E0000}"/>
    <cellStyle name="Standard 4 3 2 3 4 3 2 2 6" xfId="20003" xr:uid="{00000000-0005-0000-0000-0000E44E0000}"/>
    <cellStyle name="Standard 4 3 2 3 4 3 2 3" xfId="20004" xr:uid="{00000000-0005-0000-0000-0000E54E0000}"/>
    <cellStyle name="Standard 4 3 2 3 4 3 2 3 2" xfId="20005" xr:uid="{00000000-0005-0000-0000-0000E64E0000}"/>
    <cellStyle name="Standard 4 3 2 3 4 3 2 3 3" xfId="20006" xr:uid="{00000000-0005-0000-0000-0000E74E0000}"/>
    <cellStyle name="Standard 4 3 2 3 4 3 2 4" xfId="20007" xr:uid="{00000000-0005-0000-0000-0000E84E0000}"/>
    <cellStyle name="Standard 4 3 2 3 4 3 2 4 2" xfId="20008" xr:uid="{00000000-0005-0000-0000-0000E94E0000}"/>
    <cellStyle name="Standard 4 3 2 3 4 3 2 4 3" xfId="20009" xr:uid="{00000000-0005-0000-0000-0000EA4E0000}"/>
    <cellStyle name="Standard 4 3 2 3 4 3 2 5" xfId="20010" xr:uid="{00000000-0005-0000-0000-0000EB4E0000}"/>
    <cellStyle name="Standard 4 3 2 3 4 3 2 5 2" xfId="20011" xr:uid="{00000000-0005-0000-0000-0000EC4E0000}"/>
    <cellStyle name="Standard 4 3 2 3 4 3 2 6" xfId="20012" xr:uid="{00000000-0005-0000-0000-0000ED4E0000}"/>
    <cellStyle name="Standard 4 3 2 3 4 3 2 7" xfId="20013" xr:uid="{00000000-0005-0000-0000-0000EE4E0000}"/>
    <cellStyle name="Standard 4 3 2 3 4 3 3" xfId="20014" xr:uid="{00000000-0005-0000-0000-0000EF4E0000}"/>
    <cellStyle name="Standard 4 3 2 3 4 3 3 2" xfId="20015" xr:uid="{00000000-0005-0000-0000-0000F04E0000}"/>
    <cellStyle name="Standard 4 3 2 3 4 3 3 2 2" xfId="20016" xr:uid="{00000000-0005-0000-0000-0000F14E0000}"/>
    <cellStyle name="Standard 4 3 2 3 4 3 3 2 3" xfId="20017" xr:uid="{00000000-0005-0000-0000-0000F24E0000}"/>
    <cellStyle name="Standard 4 3 2 3 4 3 3 3" xfId="20018" xr:uid="{00000000-0005-0000-0000-0000F34E0000}"/>
    <cellStyle name="Standard 4 3 2 3 4 3 3 3 2" xfId="20019" xr:uid="{00000000-0005-0000-0000-0000F44E0000}"/>
    <cellStyle name="Standard 4 3 2 3 4 3 3 3 3" xfId="20020" xr:uid="{00000000-0005-0000-0000-0000F54E0000}"/>
    <cellStyle name="Standard 4 3 2 3 4 3 3 4" xfId="20021" xr:uid="{00000000-0005-0000-0000-0000F64E0000}"/>
    <cellStyle name="Standard 4 3 2 3 4 3 3 4 2" xfId="20022" xr:uid="{00000000-0005-0000-0000-0000F74E0000}"/>
    <cellStyle name="Standard 4 3 2 3 4 3 3 5" xfId="20023" xr:uid="{00000000-0005-0000-0000-0000F84E0000}"/>
    <cellStyle name="Standard 4 3 2 3 4 3 3 6" xfId="20024" xr:uid="{00000000-0005-0000-0000-0000F94E0000}"/>
    <cellStyle name="Standard 4 3 2 3 4 3 4" xfId="20025" xr:uid="{00000000-0005-0000-0000-0000FA4E0000}"/>
    <cellStyle name="Standard 4 3 2 3 4 3 4 2" xfId="20026" xr:uid="{00000000-0005-0000-0000-0000FB4E0000}"/>
    <cellStyle name="Standard 4 3 2 3 4 3 4 3" xfId="20027" xr:uid="{00000000-0005-0000-0000-0000FC4E0000}"/>
    <cellStyle name="Standard 4 3 2 3 4 3 5" xfId="20028" xr:uid="{00000000-0005-0000-0000-0000FD4E0000}"/>
    <cellStyle name="Standard 4 3 2 3 4 3 5 2" xfId="20029" xr:uid="{00000000-0005-0000-0000-0000FE4E0000}"/>
    <cellStyle name="Standard 4 3 2 3 4 3 5 3" xfId="20030" xr:uid="{00000000-0005-0000-0000-0000FF4E0000}"/>
    <cellStyle name="Standard 4 3 2 3 4 3 6" xfId="20031" xr:uid="{00000000-0005-0000-0000-0000004F0000}"/>
    <cellStyle name="Standard 4 3 2 3 4 3 6 2" xfId="20032" xr:uid="{00000000-0005-0000-0000-0000014F0000}"/>
    <cellStyle name="Standard 4 3 2 3 4 3 7" xfId="20033" xr:uid="{00000000-0005-0000-0000-0000024F0000}"/>
    <cellStyle name="Standard 4 3 2 3 4 3 8" xfId="20034" xr:uid="{00000000-0005-0000-0000-0000034F0000}"/>
    <cellStyle name="Standard 4 3 2 3 4 4" xfId="20035" xr:uid="{00000000-0005-0000-0000-0000044F0000}"/>
    <cellStyle name="Standard 4 3 2 3 4 4 2" xfId="20036" xr:uid="{00000000-0005-0000-0000-0000054F0000}"/>
    <cellStyle name="Standard 4 3 2 3 4 4 2 2" xfId="20037" xr:uid="{00000000-0005-0000-0000-0000064F0000}"/>
    <cellStyle name="Standard 4 3 2 3 4 4 2 2 2" xfId="20038" xr:uid="{00000000-0005-0000-0000-0000074F0000}"/>
    <cellStyle name="Standard 4 3 2 3 4 4 2 2 3" xfId="20039" xr:uid="{00000000-0005-0000-0000-0000084F0000}"/>
    <cellStyle name="Standard 4 3 2 3 4 4 2 3" xfId="20040" xr:uid="{00000000-0005-0000-0000-0000094F0000}"/>
    <cellStyle name="Standard 4 3 2 3 4 4 2 3 2" xfId="20041" xr:uid="{00000000-0005-0000-0000-00000A4F0000}"/>
    <cellStyle name="Standard 4 3 2 3 4 4 2 3 3" xfId="20042" xr:uid="{00000000-0005-0000-0000-00000B4F0000}"/>
    <cellStyle name="Standard 4 3 2 3 4 4 2 4" xfId="20043" xr:uid="{00000000-0005-0000-0000-00000C4F0000}"/>
    <cellStyle name="Standard 4 3 2 3 4 4 2 4 2" xfId="20044" xr:uid="{00000000-0005-0000-0000-00000D4F0000}"/>
    <cellStyle name="Standard 4 3 2 3 4 4 2 5" xfId="20045" xr:uid="{00000000-0005-0000-0000-00000E4F0000}"/>
    <cellStyle name="Standard 4 3 2 3 4 4 2 6" xfId="20046" xr:uid="{00000000-0005-0000-0000-00000F4F0000}"/>
    <cellStyle name="Standard 4 3 2 3 4 4 3" xfId="20047" xr:uid="{00000000-0005-0000-0000-0000104F0000}"/>
    <cellStyle name="Standard 4 3 2 3 4 4 3 2" xfId="20048" xr:uid="{00000000-0005-0000-0000-0000114F0000}"/>
    <cellStyle name="Standard 4 3 2 3 4 4 3 3" xfId="20049" xr:uid="{00000000-0005-0000-0000-0000124F0000}"/>
    <cellStyle name="Standard 4 3 2 3 4 4 4" xfId="20050" xr:uid="{00000000-0005-0000-0000-0000134F0000}"/>
    <cellStyle name="Standard 4 3 2 3 4 4 4 2" xfId="20051" xr:uid="{00000000-0005-0000-0000-0000144F0000}"/>
    <cellStyle name="Standard 4 3 2 3 4 4 4 3" xfId="20052" xr:uid="{00000000-0005-0000-0000-0000154F0000}"/>
    <cellStyle name="Standard 4 3 2 3 4 4 5" xfId="20053" xr:uid="{00000000-0005-0000-0000-0000164F0000}"/>
    <cellStyle name="Standard 4 3 2 3 4 4 5 2" xfId="20054" xr:uid="{00000000-0005-0000-0000-0000174F0000}"/>
    <cellStyle name="Standard 4 3 2 3 4 4 6" xfId="20055" xr:uid="{00000000-0005-0000-0000-0000184F0000}"/>
    <cellStyle name="Standard 4 3 2 3 4 4 7" xfId="20056" xr:uid="{00000000-0005-0000-0000-0000194F0000}"/>
    <cellStyle name="Standard 4 3 2 3 4 5" xfId="20057" xr:uid="{00000000-0005-0000-0000-00001A4F0000}"/>
    <cellStyle name="Standard 4 3 2 3 4 5 2" xfId="20058" xr:uid="{00000000-0005-0000-0000-00001B4F0000}"/>
    <cellStyle name="Standard 4 3 2 3 4 5 2 2" xfId="20059" xr:uid="{00000000-0005-0000-0000-00001C4F0000}"/>
    <cellStyle name="Standard 4 3 2 3 4 5 2 3" xfId="20060" xr:uid="{00000000-0005-0000-0000-00001D4F0000}"/>
    <cellStyle name="Standard 4 3 2 3 4 5 3" xfId="20061" xr:uid="{00000000-0005-0000-0000-00001E4F0000}"/>
    <cellStyle name="Standard 4 3 2 3 4 5 3 2" xfId="20062" xr:uid="{00000000-0005-0000-0000-00001F4F0000}"/>
    <cellStyle name="Standard 4 3 2 3 4 5 3 3" xfId="20063" xr:uid="{00000000-0005-0000-0000-0000204F0000}"/>
    <cellStyle name="Standard 4 3 2 3 4 5 4" xfId="20064" xr:uid="{00000000-0005-0000-0000-0000214F0000}"/>
    <cellStyle name="Standard 4 3 2 3 4 5 4 2" xfId="20065" xr:uid="{00000000-0005-0000-0000-0000224F0000}"/>
    <cellStyle name="Standard 4 3 2 3 4 5 5" xfId="20066" xr:uid="{00000000-0005-0000-0000-0000234F0000}"/>
    <cellStyle name="Standard 4 3 2 3 4 5 6" xfId="20067" xr:uid="{00000000-0005-0000-0000-0000244F0000}"/>
    <cellStyle name="Standard 4 3 2 3 4 6" xfId="20068" xr:uid="{00000000-0005-0000-0000-0000254F0000}"/>
    <cellStyle name="Standard 4 3 2 3 4 6 2" xfId="20069" xr:uid="{00000000-0005-0000-0000-0000264F0000}"/>
    <cellStyle name="Standard 4 3 2 3 4 6 3" xfId="20070" xr:uid="{00000000-0005-0000-0000-0000274F0000}"/>
    <cellStyle name="Standard 4 3 2 3 4 7" xfId="20071" xr:uid="{00000000-0005-0000-0000-0000284F0000}"/>
    <cellStyle name="Standard 4 3 2 3 4 7 2" xfId="20072" xr:uid="{00000000-0005-0000-0000-0000294F0000}"/>
    <cellStyle name="Standard 4 3 2 3 4 7 3" xfId="20073" xr:uid="{00000000-0005-0000-0000-00002A4F0000}"/>
    <cellStyle name="Standard 4 3 2 3 4 8" xfId="20074" xr:uid="{00000000-0005-0000-0000-00002B4F0000}"/>
    <cellStyle name="Standard 4 3 2 3 4 8 2" xfId="20075" xr:uid="{00000000-0005-0000-0000-00002C4F0000}"/>
    <cellStyle name="Standard 4 3 2 3 4 9" xfId="20076" xr:uid="{00000000-0005-0000-0000-00002D4F0000}"/>
    <cellStyle name="Standard 4 3 2 3 5" xfId="20077" xr:uid="{00000000-0005-0000-0000-00002E4F0000}"/>
    <cellStyle name="Standard 4 3 2 3 5 2" xfId="20078" xr:uid="{00000000-0005-0000-0000-00002F4F0000}"/>
    <cellStyle name="Standard 4 3 2 3 5 2 2" xfId="20079" xr:uid="{00000000-0005-0000-0000-0000304F0000}"/>
    <cellStyle name="Standard 4 3 2 3 5 2 2 2" xfId="20080" xr:uid="{00000000-0005-0000-0000-0000314F0000}"/>
    <cellStyle name="Standard 4 3 2 3 5 2 2 2 2" xfId="20081" xr:uid="{00000000-0005-0000-0000-0000324F0000}"/>
    <cellStyle name="Standard 4 3 2 3 5 2 2 2 3" xfId="20082" xr:uid="{00000000-0005-0000-0000-0000334F0000}"/>
    <cellStyle name="Standard 4 3 2 3 5 2 2 3" xfId="20083" xr:uid="{00000000-0005-0000-0000-0000344F0000}"/>
    <cellStyle name="Standard 4 3 2 3 5 2 2 3 2" xfId="20084" xr:uid="{00000000-0005-0000-0000-0000354F0000}"/>
    <cellStyle name="Standard 4 3 2 3 5 2 2 3 3" xfId="20085" xr:uid="{00000000-0005-0000-0000-0000364F0000}"/>
    <cellStyle name="Standard 4 3 2 3 5 2 2 4" xfId="20086" xr:uid="{00000000-0005-0000-0000-0000374F0000}"/>
    <cellStyle name="Standard 4 3 2 3 5 2 2 4 2" xfId="20087" xr:uid="{00000000-0005-0000-0000-0000384F0000}"/>
    <cellStyle name="Standard 4 3 2 3 5 2 2 5" xfId="20088" xr:uid="{00000000-0005-0000-0000-0000394F0000}"/>
    <cellStyle name="Standard 4 3 2 3 5 2 2 6" xfId="20089" xr:uid="{00000000-0005-0000-0000-00003A4F0000}"/>
    <cellStyle name="Standard 4 3 2 3 5 2 3" xfId="20090" xr:uid="{00000000-0005-0000-0000-00003B4F0000}"/>
    <cellStyle name="Standard 4 3 2 3 5 2 3 2" xfId="20091" xr:uid="{00000000-0005-0000-0000-00003C4F0000}"/>
    <cellStyle name="Standard 4 3 2 3 5 2 3 3" xfId="20092" xr:uid="{00000000-0005-0000-0000-00003D4F0000}"/>
    <cellStyle name="Standard 4 3 2 3 5 2 4" xfId="20093" xr:uid="{00000000-0005-0000-0000-00003E4F0000}"/>
    <cellStyle name="Standard 4 3 2 3 5 2 4 2" xfId="20094" xr:uid="{00000000-0005-0000-0000-00003F4F0000}"/>
    <cellStyle name="Standard 4 3 2 3 5 2 4 3" xfId="20095" xr:uid="{00000000-0005-0000-0000-0000404F0000}"/>
    <cellStyle name="Standard 4 3 2 3 5 2 5" xfId="20096" xr:uid="{00000000-0005-0000-0000-0000414F0000}"/>
    <cellStyle name="Standard 4 3 2 3 5 2 5 2" xfId="20097" xr:uid="{00000000-0005-0000-0000-0000424F0000}"/>
    <cellStyle name="Standard 4 3 2 3 5 2 6" xfId="20098" xr:uid="{00000000-0005-0000-0000-0000434F0000}"/>
    <cellStyle name="Standard 4 3 2 3 5 2 7" xfId="20099" xr:uid="{00000000-0005-0000-0000-0000444F0000}"/>
    <cellStyle name="Standard 4 3 2 3 5 3" xfId="20100" xr:uid="{00000000-0005-0000-0000-0000454F0000}"/>
    <cellStyle name="Standard 4 3 2 3 5 3 2" xfId="20101" xr:uid="{00000000-0005-0000-0000-0000464F0000}"/>
    <cellStyle name="Standard 4 3 2 3 5 3 2 2" xfId="20102" xr:uid="{00000000-0005-0000-0000-0000474F0000}"/>
    <cellStyle name="Standard 4 3 2 3 5 3 2 3" xfId="20103" xr:uid="{00000000-0005-0000-0000-0000484F0000}"/>
    <cellStyle name="Standard 4 3 2 3 5 3 3" xfId="20104" xr:uid="{00000000-0005-0000-0000-0000494F0000}"/>
    <cellStyle name="Standard 4 3 2 3 5 3 3 2" xfId="20105" xr:uid="{00000000-0005-0000-0000-00004A4F0000}"/>
    <cellStyle name="Standard 4 3 2 3 5 3 3 3" xfId="20106" xr:uid="{00000000-0005-0000-0000-00004B4F0000}"/>
    <cellStyle name="Standard 4 3 2 3 5 3 4" xfId="20107" xr:uid="{00000000-0005-0000-0000-00004C4F0000}"/>
    <cellStyle name="Standard 4 3 2 3 5 3 4 2" xfId="20108" xr:uid="{00000000-0005-0000-0000-00004D4F0000}"/>
    <cellStyle name="Standard 4 3 2 3 5 3 5" xfId="20109" xr:uid="{00000000-0005-0000-0000-00004E4F0000}"/>
    <cellStyle name="Standard 4 3 2 3 5 3 6" xfId="20110" xr:uid="{00000000-0005-0000-0000-00004F4F0000}"/>
    <cellStyle name="Standard 4 3 2 3 5 4" xfId="20111" xr:uid="{00000000-0005-0000-0000-0000504F0000}"/>
    <cellStyle name="Standard 4 3 2 3 5 4 2" xfId="20112" xr:uid="{00000000-0005-0000-0000-0000514F0000}"/>
    <cellStyle name="Standard 4 3 2 3 5 4 3" xfId="20113" xr:uid="{00000000-0005-0000-0000-0000524F0000}"/>
    <cellStyle name="Standard 4 3 2 3 5 5" xfId="20114" xr:uid="{00000000-0005-0000-0000-0000534F0000}"/>
    <cellStyle name="Standard 4 3 2 3 5 5 2" xfId="20115" xr:uid="{00000000-0005-0000-0000-0000544F0000}"/>
    <cellStyle name="Standard 4 3 2 3 5 5 3" xfId="20116" xr:uid="{00000000-0005-0000-0000-0000554F0000}"/>
    <cellStyle name="Standard 4 3 2 3 5 6" xfId="20117" xr:uid="{00000000-0005-0000-0000-0000564F0000}"/>
    <cellStyle name="Standard 4 3 2 3 5 6 2" xfId="20118" xr:uid="{00000000-0005-0000-0000-0000574F0000}"/>
    <cellStyle name="Standard 4 3 2 3 5 7" xfId="20119" xr:uid="{00000000-0005-0000-0000-0000584F0000}"/>
    <cellStyle name="Standard 4 3 2 3 5 8" xfId="20120" xr:uid="{00000000-0005-0000-0000-0000594F0000}"/>
    <cellStyle name="Standard 4 3 2 3 6" xfId="20121" xr:uid="{00000000-0005-0000-0000-00005A4F0000}"/>
    <cellStyle name="Standard 4 3 2 3 6 2" xfId="20122" xr:uid="{00000000-0005-0000-0000-00005B4F0000}"/>
    <cellStyle name="Standard 4 3 2 3 6 2 2" xfId="20123" xr:uid="{00000000-0005-0000-0000-00005C4F0000}"/>
    <cellStyle name="Standard 4 3 2 3 6 2 2 2" xfId="20124" xr:uid="{00000000-0005-0000-0000-00005D4F0000}"/>
    <cellStyle name="Standard 4 3 2 3 6 2 2 2 2" xfId="20125" xr:uid="{00000000-0005-0000-0000-00005E4F0000}"/>
    <cellStyle name="Standard 4 3 2 3 6 2 2 2 3" xfId="20126" xr:uid="{00000000-0005-0000-0000-00005F4F0000}"/>
    <cellStyle name="Standard 4 3 2 3 6 2 2 3" xfId="20127" xr:uid="{00000000-0005-0000-0000-0000604F0000}"/>
    <cellStyle name="Standard 4 3 2 3 6 2 2 3 2" xfId="20128" xr:uid="{00000000-0005-0000-0000-0000614F0000}"/>
    <cellStyle name="Standard 4 3 2 3 6 2 2 3 3" xfId="20129" xr:uid="{00000000-0005-0000-0000-0000624F0000}"/>
    <cellStyle name="Standard 4 3 2 3 6 2 2 4" xfId="20130" xr:uid="{00000000-0005-0000-0000-0000634F0000}"/>
    <cellStyle name="Standard 4 3 2 3 6 2 2 4 2" xfId="20131" xr:uid="{00000000-0005-0000-0000-0000644F0000}"/>
    <cellStyle name="Standard 4 3 2 3 6 2 2 5" xfId="20132" xr:uid="{00000000-0005-0000-0000-0000654F0000}"/>
    <cellStyle name="Standard 4 3 2 3 6 2 2 6" xfId="20133" xr:uid="{00000000-0005-0000-0000-0000664F0000}"/>
    <cellStyle name="Standard 4 3 2 3 6 2 3" xfId="20134" xr:uid="{00000000-0005-0000-0000-0000674F0000}"/>
    <cellStyle name="Standard 4 3 2 3 6 2 3 2" xfId="20135" xr:uid="{00000000-0005-0000-0000-0000684F0000}"/>
    <cellStyle name="Standard 4 3 2 3 6 2 3 3" xfId="20136" xr:uid="{00000000-0005-0000-0000-0000694F0000}"/>
    <cellStyle name="Standard 4 3 2 3 6 2 4" xfId="20137" xr:uid="{00000000-0005-0000-0000-00006A4F0000}"/>
    <cellStyle name="Standard 4 3 2 3 6 2 4 2" xfId="20138" xr:uid="{00000000-0005-0000-0000-00006B4F0000}"/>
    <cellStyle name="Standard 4 3 2 3 6 2 4 3" xfId="20139" xr:uid="{00000000-0005-0000-0000-00006C4F0000}"/>
    <cellStyle name="Standard 4 3 2 3 6 2 5" xfId="20140" xr:uid="{00000000-0005-0000-0000-00006D4F0000}"/>
    <cellStyle name="Standard 4 3 2 3 6 2 5 2" xfId="20141" xr:uid="{00000000-0005-0000-0000-00006E4F0000}"/>
    <cellStyle name="Standard 4 3 2 3 6 2 6" xfId="20142" xr:uid="{00000000-0005-0000-0000-00006F4F0000}"/>
    <cellStyle name="Standard 4 3 2 3 6 2 7" xfId="20143" xr:uid="{00000000-0005-0000-0000-0000704F0000}"/>
    <cellStyle name="Standard 4 3 2 3 6 3" xfId="20144" xr:uid="{00000000-0005-0000-0000-0000714F0000}"/>
    <cellStyle name="Standard 4 3 2 3 6 3 2" xfId="20145" xr:uid="{00000000-0005-0000-0000-0000724F0000}"/>
    <cellStyle name="Standard 4 3 2 3 6 3 2 2" xfId="20146" xr:uid="{00000000-0005-0000-0000-0000734F0000}"/>
    <cellStyle name="Standard 4 3 2 3 6 3 2 3" xfId="20147" xr:uid="{00000000-0005-0000-0000-0000744F0000}"/>
    <cellStyle name="Standard 4 3 2 3 6 3 3" xfId="20148" xr:uid="{00000000-0005-0000-0000-0000754F0000}"/>
    <cellStyle name="Standard 4 3 2 3 6 3 3 2" xfId="20149" xr:uid="{00000000-0005-0000-0000-0000764F0000}"/>
    <cellStyle name="Standard 4 3 2 3 6 3 3 3" xfId="20150" xr:uid="{00000000-0005-0000-0000-0000774F0000}"/>
    <cellStyle name="Standard 4 3 2 3 6 3 4" xfId="20151" xr:uid="{00000000-0005-0000-0000-0000784F0000}"/>
    <cellStyle name="Standard 4 3 2 3 6 3 4 2" xfId="20152" xr:uid="{00000000-0005-0000-0000-0000794F0000}"/>
    <cellStyle name="Standard 4 3 2 3 6 3 5" xfId="20153" xr:uid="{00000000-0005-0000-0000-00007A4F0000}"/>
    <cellStyle name="Standard 4 3 2 3 6 3 6" xfId="20154" xr:uid="{00000000-0005-0000-0000-00007B4F0000}"/>
    <cellStyle name="Standard 4 3 2 3 6 4" xfId="20155" xr:uid="{00000000-0005-0000-0000-00007C4F0000}"/>
    <cellStyle name="Standard 4 3 2 3 6 4 2" xfId="20156" xr:uid="{00000000-0005-0000-0000-00007D4F0000}"/>
    <cellStyle name="Standard 4 3 2 3 6 4 3" xfId="20157" xr:uid="{00000000-0005-0000-0000-00007E4F0000}"/>
    <cellStyle name="Standard 4 3 2 3 6 5" xfId="20158" xr:uid="{00000000-0005-0000-0000-00007F4F0000}"/>
    <cellStyle name="Standard 4 3 2 3 6 5 2" xfId="20159" xr:uid="{00000000-0005-0000-0000-0000804F0000}"/>
    <cellStyle name="Standard 4 3 2 3 6 5 3" xfId="20160" xr:uid="{00000000-0005-0000-0000-0000814F0000}"/>
    <cellStyle name="Standard 4 3 2 3 6 6" xfId="20161" xr:uid="{00000000-0005-0000-0000-0000824F0000}"/>
    <cellStyle name="Standard 4 3 2 3 6 6 2" xfId="20162" xr:uid="{00000000-0005-0000-0000-0000834F0000}"/>
    <cellStyle name="Standard 4 3 2 3 6 7" xfId="20163" xr:uid="{00000000-0005-0000-0000-0000844F0000}"/>
    <cellStyle name="Standard 4 3 2 3 6 8" xfId="20164" xr:uid="{00000000-0005-0000-0000-0000854F0000}"/>
    <cellStyle name="Standard 4 3 2 3 7" xfId="20165" xr:uid="{00000000-0005-0000-0000-0000864F0000}"/>
    <cellStyle name="Standard 4 3 2 3 7 2" xfId="20166" xr:uid="{00000000-0005-0000-0000-0000874F0000}"/>
    <cellStyle name="Standard 4 3 2 3 7 2 2" xfId="20167" xr:uid="{00000000-0005-0000-0000-0000884F0000}"/>
    <cellStyle name="Standard 4 3 2 3 7 2 2 2" xfId="20168" xr:uid="{00000000-0005-0000-0000-0000894F0000}"/>
    <cellStyle name="Standard 4 3 2 3 7 2 2 3" xfId="20169" xr:uid="{00000000-0005-0000-0000-00008A4F0000}"/>
    <cellStyle name="Standard 4 3 2 3 7 2 3" xfId="20170" xr:uid="{00000000-0005-0000-0000-00008B4F0000}"/>
    <cellStyle name="Standard 4 3 2 3 7 2 3 2" xfId="20171" xr:uid="{00000000-0005-0000-0000-00008C4F0000}"/>
    <cellStyle name="Standard 4 3 2 3 7 2 3 3" xfId="20172" xr:uid="{00000000-0005-0000-0000-00008D4F0000}"/>
    <cellStyle name="Standard 4 3 2 3 7 2 4" xfId="20173" xr:uid="{00000000-0005-0000-0000-00008E4F0000}"/>
    <cellStyle name="Standard 4 3 2 3 7 2 4 2" xfId="20174" xr:uid="{00000000-0005-0000-0000-00008F4F0000}"/>
    <cellStyle name="Standard 4 3 2 3 7 2 5" xfId="20175" xr:uid="{00000000-0005-0000-0000-0000904F0000}"/>
    <cellStyle name="Standard 4 3 2 3 7 2 6" xfId="20176" xr:uid="{00000000-0005-0000-0000-0000914F0000}"/>
    <cellStyle name="Standard 4 3 2 3 7 3" xfId="20177" xr:uid="{00000000-0005-0000-0000-0000924F0000}"/>
    <cellStyle name="Standard 4 3 2 3 7 3 2" xfId="20178" xr:uid="{00000000-0005-0000-0000-0000934F0000}"/>
    <cellStyle name="Standard 4 3 2 3 7 3 3" xfId="20179" xr:uid="{00000000-0005-0000-0000-0000944F0000}"/>
    <cellStyle name="Standard 4 3 2 3 7 4" xfId="20180" xr:uid="{00000000-0005-0000-0000-0000954F0000}"/>
    <cellStyle name="Standard 4 3 2 3 7 4 2" xfId="20181" xr:uid="{00000000-0005-0000-0000-0000964F0000}"/>
    <cellStyle name="Standard 4 3 2 3 7 4 3" xfId="20182" xr:uid="{00000000-0005-0000-0000-0000974F0000}"/>
    <cellStyle name="Standard 4 3 2 3 7 5" xfId="20183" xr:uid="{00000000-0005-0000-0000-0000984F0000}"/>
    <cellStyle name="Standard 4 3 2 3 7 5 2" xfId="20184" xr:uid="{00000000-0005-0000-0000-0000994F0000}"/>
    <cellStyle name="Standard 4 3 2 3 7 6" xfId="20185" xr:uid="{00000000-0005-0000-0000-00009A4F0000}"/>
    <cellStyle name="Standard 4 3 2 3 7 7" xfId="20186" xr:uid="{00000000-0005-0000-0000-00009B4F0000}"/>
    <cellStyle name="Standard 4 3 2 3 8" xfId="20187" xr:uid="{00000000-0005-0000-0000-00009C4F0000}"/>
    <cellStyle name="Standard 4 3 2 3 8 2" xfId="20188" xr:uid="{00000000-0005-0000-0000-00009D4F0000}"/>
    <cellStyle name="Standard 4 3 2 3 8 2 2" xfId="20189" xr:uid="{00000000-0005-0000-0000-00009E4F0000}"/>
    <cellStyle name="Standard 4 3 2 3 8 2 3" xfId="20190" xr:uid="{00000000-0005-0000-0000-00009F4F0000}"/>
    <cellStyle name="Standard 4 3 2 3 8 3" xfId="20191" xr:uid="{00000000-0005-0000-0000-0000A04F0000}"/>
    <cellStyle name="Standard 4 3 2 3 8 3 2" xfId="20192" xr:uid="{00000000-0005-0000-0000-0000A14F0000}"/>
    <cellStyle name="Standard 4 3 2 3 8 3 3" xfId="20193" xr:uid="{00000000-0005-0000-0000-0000A24F0000}"/>
    <cellStyle name="Standard 4 3 2 3 8 4" xfId="20194" xr:uid="{00000000-0005-0000-0000-0000A34F0000}"/>
    <cellStyle name="Standard 4 3 2 3 8 4 2" xfId="20195" xr:uid="{00000000-0005-0000-0000-0000A44F0000}"/>
    <cellStyle name="Standard 4 3 2 3 8 5" xfId="20196" xr:uid="{00000000-0005-0000-0000-0000A54F0000}"/>
    <cellStyle name="Standard 4 3 2 3 8 6" xfId="20197" xr:uid="{00000000-0005-0000-0000-0000A64F0000}"/>
    <cellStyle name="Standard 4 3 2 3 9" xfId="20198" xr:uid="{00000000-0005-0000-0000-0000A74F0000}"/>
    <cellStyle name="Standard 4 3 2 3 9 2" xfId="20199" xr:uid="{00000000-0005-0000-0000-0000A84F0000}"/>
    <cellStyle name="Standard 4 3 2 3 9 3" xfId="20200" xr:uid="{00000000-0005-0000-0000-0000A94F0000}"/>
    <cellStyle name="Standard 4 3 2 4" xfId="20201" xr:uid="{00000000-0005-0000-0000-0000AA4F0000}"/>
    <cellStyle name="Standard 4 3 2 4 10" xfId="20202" xr:uid="{00000000-0005-0000-0000-0000AB4F0000}"/>
    <cellStyle name="Standard 4 3 2 4 10 2" xfId="20203" xr:uid="{00000000-0005-0000-0000-0000AC4F0000}"/>
    <cellStyle name="Standard 4 3 2 4 11" xfId="20204" xr:uid="{00000000-0005-0000-0000-0000AD4F0000}"/>
    <cellStyle name="Standard 4 3 2 4 12" xfId="20205" xr:uid="{00000000-0005-0000-0000-0000AE4F0000}"/>
    <cellStyle name="Standard 4 3 2 4 2" xfId="20206" xr:uid="{00000000-0005-0000-0000-0000AF4F0000}"/>
    <cellStyle name="Standard 4 3 2 4 2 10" xfId="20207" xr:uid="{00000000-0005-0000-0000-0000B04F0000}"/>
    <cellStyle name="Standard 4 3 2 4 2 11" xfId="20208" xr:uid="{00000000-0005-0000-0000-0000B14F0000}"/>
    <cellStyle name="Standard 4 3 2 4 2 2" xfId="20209" xr:uid="{00000000-0005-0000-0000-0000B24F0000}"/>
    <cellStyle name="Standard 4 3 2 4 2 2 10" xfId="20210" xr:uid="{00000000-0005-0000-0000-0000B34F0000}"/>
    <cellStyle name="Standard 4 3 2 4 2 2 2" xfId="20211" xr:uid="{00000000-0005-0000-0000-0000B44F0000}"/>
    <cellStyle name="Standard 4 3 2 4 2 2 2 2" xfId="20212" xr:uid="{00000000-0005-0000-0000-0000B54F0000}"/>
    <cellStyle name="Standard 4 3 2 4 2 2 2 2 2" xfId="20213" xr:uid="{00000000-0005-0000-0000-0000B64F0000}"/>
    <cellStyle name="Standard 4 3 2 4 2 2 2 2 2 2" xfId="20214" xr:uid="{00000000-0005-0000-0000-0000B74F0000}"/>
    <cellStyle name="Standard 4 3 2 4 2 2 2 2 2 2 2" xfId="20215" xr:uid="{00000000-0005-0000-0000-0000B84F0000}"/>
    <cellStyle name="Standard 4 3 2 4 2 2 2 2 2 2 3" xfId="20216" xr:uid="{00000000-0005-0000-0000-0000B94F0000}"/>
    <cellStyle name="Standard 4 3 2 4 2 2 2 2 2 3" xfId="20217" xr:uid="{00000000-0005-0000-0000-0000BA4F0000}"/>
    <cellStyle name="Standard 4 3 2 4 2 2 2 2 2 3 2" xfId="20218" xr:uid="{00000000-0005-0000-0000-0000BB4F0000}"/>
    <cellStyle name="Standard 4 3 2 4 2 2 2 2 2 3 3" xfId="20219" xr:uid="{00000000-0005-0000-0000-0000BC4F0000}"/>
    <cellStyle name="Standard 4 3 2 4 2 2 2 2 2 4" xfId="20220" xr:uid="{00000000-0005-0000-0000-0000BD4F0000}"/>
    <cellStyle name="Standard 4 3 2 4 2 2 2 2 2 4 2" xfId="20221" xr:uid="{00000000-0005-0000-0000-0000BE4F0000}"/>
    <cellStyle name="Standard 4 3 2 4 2 2 2 2 2 5" xfId="20222" xr:uid="{00000000-0005-0000-0000-0000BF4F0000}"/>
    <cellStyle name="Standard 4 3 2 4 2 2 2 2 2 6" xfId="20223" xr:uid="{00000000-0005-0000-0000-0000C04F0000}"/>
    <cellStyle name="Standard 4 3 2 4 2 2 2 2 3" xfId="20224" xr:uid="{00000000-0005-0000-0000-0000C14F0000}"/>
    <cellStyle name="Standard 4 3 2 4 2 2 2 2 3 2" xfId="20225" xr:uid="{00000000-0005-0000-0000-0000C24F0000}"/>
    <cellStyle name="Standard 4 3 2 4 2 2 2 2 3 3" xfId="20226" xr:uid="{00000000-0005-0000-0000-0000C34F0000}"/>
    <cellStyle name="Standard 4 3 2 4 2 2 2 2 4" xfId="20227" xr:uid="{00000000-0005-0000-0000-0000C44F0000}"/>
    <cellStyle name="Standard 4 3 2 4 2 2 2 2 4 2" xfId="20228" xr:uid="{00000000-0005-0000-0000-0000C54F0000}"/>
    <cellStyle name="Standard 4 3 2 4 2 2 2 2 4 3" xfId="20229" xr:uid="{00000000-0005-0000-0000-0000C64F0000}"/>
    <cellStyle name="Standard 4 3 2 4 2 2 2 2 5" xfId="20230" xr:uid="{00000000-0005-0000-0000-0000C74F0000}"/>
    <cellStyle name="Standard 4 3 2 4 2 2 2 2 5 2" xfId="20231" xr:uid="{00000000-0005-0000-0000-0000C84F0000}"/>
    <cellStyle name="Standard 4 3 2 4 2 2 2 2 6" xfId="20232" xr:uid="{00000000-0005-0000-0000-0000C94F0000}"/>
    <cellStyle name="Standard 4 3 2 4 2 2 2 2 7" xfId="20233" xr:uid="{00000000-0005-0000-0000-0000CA4F0000}"/>
    <cellStyle name="Standard 4 3 2 4 2 2 2 3" xfId="20234" xr:uid="{00000000-0005-0000-0000-0000CB4F0000}"/>
    <cellStyle name="Standard 4 3 2 4 2 2 2 3 2" xfId="20235" xr:uid="{00000000-0005-0000-0000-0000CC4F0000}"/>
    <cellStyle name="Standard 4 3 2 4 2 2 2 3 2 2" xfId="20236" xr:uid="{00000000-0005-0000-0000-0000CD4F0000}"/>
    <cellStyle name="Standard 4 3 2 4 2 2 2 3 2 3" xfId="20237" xr:uid="{00000000-0005-0000-0000-0000CE4F0000}"/>
    <cellStyle name="Standard 4 3 2 4 2 2 2 3 3" xfId="20238" xr:uid="{00000000-0005-0000-0000-0000CF4F0000}"/>
    <cellStyle name="Standard 4 3 2 4 2 2 2 3 3 2" xfId="20239" xr:uid="{00000000-0005-0000-0000-0000D04F0000}"/>
    <cellStyle name="Standard 4 3 2 4 2 2 2 3 3 3" xfId="20240" xr:uid="{00000000-0005-0000-0000-0000D14F0000}"/>
    <cellStyle name="Standard 4 3 2 4 2 2 2 3 4" xfId="20241" xr:uid="{00000000-0005-0000-0000-0000D24F0000}"/>
    <cellStyle name="Standard 4 3 2 4 2 2 2 3 4 2" xfId="20242" xr:uid="{00000000-0005-0000-0000-0000D34F0000}"/>
    <cellStyle name="Standard 4 3 2 4 2 2 2 3 5" xfId="20243" xr:uid="{00000000-0005-0000-0000-0000D44F0000}"/>
    <cellStyle name="Standard 4 3 2 4 2 2 2 3 6" xfId="20244" xr:uid="{00000000-0005-0000-0000-0000D54F0000}"/>
    <cellStyle name="Standard 4 3 2 4 2 2 2 4" xfId="20245" xr:uid="{00000000-0005-0000-0000-0000D64F0000}"/>
    <cellStyle name="Standard 4 3 2 4 2 2 2 4 2" xfId="20246" xr:uid="{00000000-0005-0000-0000-0000D74F0000}"/>
    <cellStyle name="Standard 4 3 2 4 2 2 2 4 3" xfId="20247" xr:uid="{00000000-0005-0000-0000-0000D84F0000}"/>
    <cellStyle name="Standard 4 3 2 4 2 2 2 5" xfId="20248" xr:uid="{00000000-0005-0000-0000-0000D94F0000}"/>
    <cellStyle name="Standard 4 3 2 4 2 2 2 5 2" xfId="20249" xr:uid="{00000000-0005-0000-0000-0000DA4F0000}"/>
    <cellStyle name="Standard 4 3 2 4 2 2 2 5 3" xfId="20250" xr:uid="{00000000-0005-0000-0000-0000DB4F0000}"/>
    <cellStyle name="Standard 4 3 2 4 2 2 2 6" xfId="20251" xr:uid="{00000000-0005-0000-0000-0000DC4F0000}"/>
    <cellStyle name="Standard 4 3 2 4 2 2 2 6 2" xfId="20252" xr:uid="{00000000-0005-0000-0000-0000DD4F0000}"/>
    <cellStyle name="Standard 4 3 2 4 2 2 2 7" xfId="20253" xr:uid="{00000000-0005-0000-0000-0000DE4F0000}"/>
    <cellStyle name="Standard 4 3 2 4 2 2 2 8" xfId="20254" xr:uid="{00000000-0005-0000-0000-0000DF4F0000}"/>
    <cellStyle name="Standard 4 3 2 4 2 2 3" xfId="20255" xr:uid="{00000000-0005-0000-0000-0000E04F0000}"/>
    <cellStyle name="Standard 4 3 2 4 2 2 3 2" xfId="20256" xr:uid="{00000000-0005-0000-0000-0000E14F0000}"/>
    <cellStyle name="Standard 4 3 2 4 2 2 3 2 2" xfId="20257" xr:uid="{00000000-0005-0000-0000-0000E24F0000}"/>
    <cellStyle name="Standard 4 3 2 4 2 2 3 2 2 2" xfId="20258" xr:uid="{00000000-0005-0000-0000-0000E34F0000}"/>
    <cellStyle name="Standard 4 3 2 4 2 2 3 2 2 2 2" xfId="20259" xr:uid="{00000000-0005-0000-0000-0000E44F0000}"/>
    <cellStyle name="Standard 4 3 2 4 2 2 3 2 2 2 3" xfId="20260" xr:uid="{00000000-0005-0000-0000-0000E54F0000}"/>
    <cellStyle name="Standard 4 3 2 4 2 2 3 2 2 3" xfId="20261" xr:uid="{00000000-0005-0000-0000-0000E64F0000}"/>
    <cellStyle name="Standard 4 3 2 4 2 2 3 2 2 3 2" xfId="20262" xr:uid="{00000000-0005-0000-0000-0000E74F0000}"/>
    <cellStyle name="Standard 4 3 2 4 2 2 3 2 2 3 3" xfId="20263" xr:uid="{00000000-0005-0000-0000-0000E84F0000}"/>
    <cellStyle name="Standard 4 3 2 4 2 2 3 2 2 4" xfId="20264" xr:uid="{00000000-0005-0000-0000-0000E94F0000}"/>
    <cellStyle name="Standard 4 3 2 4 2 2 3 2 2 4 2" xfId="20265" xr:uid="{00000000-0005-0000-0000-0000EA4F0000}"/>
    <cellStyle name="Standard 4 3 2 4 2 2 3 2 2 5" xfId="20266" xr:uid="{00000000-0005-0000-0000-0000EB4F0000}"/>
    <cellStyle name="Standard 4 3 2 4 2 2 3 2 2 6" xfId="20267" xr:uid="{00000000-0005-0000-0000-0000EC4F0000}"/>
    <cellStyle name="Standard 4 3 2 4 2 2 3 2 3" xfId="20268" xr:uid="{00000000-0005-0000-0000-0000ED4F0000}"/>
    <cellStyle name="Standard 4 3 2 4 2 2 3 2 3 2" xfId="20269" xr:uid="{00000000-0005-0000-0000-0000EE4F0000}"/>
    <cellStyle name="Standard 4 3 2 4 2 2 3 2 3 3" xfId="20270" xr:uid="{00000000-0005-0000-0000-0000EF4F0000}"/>
    <cellStyle name="Standard 4 3 2 4 2 2 3 2 4" xfId="20271" xr:uid="{00000000-0005-0000-0000-0000F04F0000}"/>
    <cellStyle name="Standard 4 3 2 4 2 2 3 2 4 2" xfId="20272" xr:uid="{00000000-0005-0000-0000-0000F14F0000}"/>
    <cellStyle name="Standard 4 3 2 4 2 2 3 2 4 3" xfId="20273" xr:uid="{00000000-0005-0000-0000-0000F24F0000}"/>
    <cellStyle name="Standard 4 3 2 4 2 2 3 2 5" xfId="20274" xr:uid="{00000000-0005-0000-0000-0000F34F0000}"/>
    <cellStyle name="Standard 4 3 2 4 2 2 3 2 5 2" xfId="20275" xr:uid="{00000000-0005-0000-0000-0000F44F0000}"/>
    <cellStyle name="Standard 4 3 2 4 2 2 3 2 6" xfId="20276" xr:uid="{00000000-0005-0000-0000-0000F54F0000}"/>
    <cellStyle name="Standard 4 3 2 4 2 2 3 2 7" xfId="20277" xr:uid="{00000000-0005-0000-0000-0000F64F0000}"/>
    <cellStyle name="Standard 4 3 2 4 2 2 3 3" xfId="20278" xr:uid="{00000000-0005-0000-0000-0000F74F0000}"/>
    <cellStyle name="Standard 4 3 2 4 2 2 3 3 2" xfId="20279" xr:uid="{00000000-0005-0000-0000-0000F84F0000}"/>
    <cellStyle name="Standard 4 3 2 4 2 2 3 3 2 2" xfId="20280" xr:uid="{00000000-0005-0000-0000-0000F94F0000}"/>
    <cellStyle name="Standard 4 3 2 4 2 2 3 3 2 3" xfId="20281" xr:uid="{00000000-0005-0000-0000-0000FA4F0000}"/>
    <cellStyle name="Standard 4 3 2 4 2 2 3 3 3" xfId="20282" xr:uid="{00000000-0005-0000-0000-0000FB4F0000}"/>
    <cellStyle name="Standard 4 3 2 4 2 2 3 3 3 2" xfId="20283" xr:uid="{00000000-0005-0000-0000-0000FC4F0000}"/>
    <cellStyle name="Standard 4 3 2 4 2 2 3 3 3 3" xfId="20284" xr:uid="{00000000-0005-0000-0000-0000FD4F0000}"/>
    <cellStyle name="Standard 4 3 2 4 2 2 3 3 4" xfId="20285" xr:uid="{00000000-0005-0000-0000-0000FE4F0000}"/>
    <cellStyle name="Standard 4 3 2 4 2 2 3 3 4 2" xfId="20286" xr:uid="{00000000-0005-0000-0000-0000FF4F0000}"/>
    <cellStyle name="Standard 4 3 2 4 2 2 3 3 5" xfId="20287" xr:uid="{00000000-0005-0000-0000-000000500000}"/>
    <cellStyle name="Standard 4 3 2 4 2 2 3 3 6" xfId="20288" xr:uid="{00000000-0005-0000-0000-000001500000}"/>
    <cellStyle name="Standard 4 3 2 4 2 2 3 4" xfId="20289" xr:uid="{00000000-0005-0000-0000-000002500000}"/>
    <cellStyle name="Standard 4 3 2 4 2 2 3 4 2" xfId="20290" xr:uid="{00000000-0005-0000-0000-000003500000}"/>
    <cellStyle name="Standard 4 3 2 4 2 2 3 4 3" xfId="20291" xr:uid="{00000000-0005-0000-0000-000004500000}"/>
    <cellStyle name="Standard 4 3 2 4 2 2 3 5" xfId="20292" xr:uid="{00000000-0005-0000-0000-000005500000}"/>
    <cellStyle name="Standard 4 3 2 4 2 2 3 5 2" xfId="20293" xr:uid="{00000000-0005-0000-0000-000006500000}"/>
    <cellStyle name="Standard 4 3 2 4 2 2 3 5 3" xfId="20294" xr:uid="{00000000-0005-0000-0000-000007500000}"/>
    <cellStyle name="Standard 4 3 2 4 2 2 3 6" xfId="20295" xr:uid="{00000000-0005-0000-0000-000008500000}"/>
    <cellStyle name="Standard 4 3 2 4 2 2 3 6 2" xfId="20296" xr:uid="{00000000-0005-0000-0000-000009500000}"/>
    <cellStyle name="Standard 4 3 2 4 2 2 3 7" xfId="20297" xr:uid="{00000000-0005-0000-0000-00000A500000}"/>
    <cellStyle name="Standard 4 3 2 4 2 2 3 8" xfId="20298" xr:uid="{00000000-0005-0000-0000-00000B500000}"/>
    <cellStyle name="Standard 4 3 2 4 2 2 4" xfId="20299" xr:uid="{00000000-0005-0000-0000-00000C500000}"/>
    <cellStyle name="Standard 4 3 2 4 2 2 4 2" xfId="20300" xr:uid="{00000000-0005-0000-0000-00000D500000}"/>
    <cellStyle name="Standard 4 3 2 4 2 2 4 2 2" xfId="20301" xr:uid="{00000000-0005-0000-0000-00000E500000}"/>
    <cellStyle name="Standard 4 3 2 4 2 2 4 2 2 2" xfId="20302" xr:uid="{00000000-0005-0000-0000-00000F500000}"/>
    <cellStyle name="Standard 4 3 2 4 2 2 4 2 2 3" xfId="20303" xr:uid="{00000000-0005-0000-0000-000010500000}"/>
    <cellStyle name="Standard 4 3 2 4 2 2 4 2 3" xfId="20304" xr:uid="{00000000-0005-0000-0000-000011500000}"/>
    <cellStyle name="Standard 4 3 2 4 2 2 4 2 3 2" xfId="20305" xr:uid="{00000000-0005-0000-0000-000012500000}"/>
    <cellStyle name="Standard 4 3 2 4 2 2 4 2 3 3" xfId="20306" xr:uid="{00000000-0005-0000-0000-000013500000}"/>
    <cellStyle name="Standard 4 3 2 4 2 2 4 2 4" xfId="20307" xr:uid="{00000000-0005-0000-0000-000014500000}"/>
    <cellStyle name="Standard 4 3 2 4 2 2 4 2 4 2" xfId="20308" xr:uid="{00000000-0005-0000-0000-000015500000}"/>
    <cellStyle name="Standard 4 3 2 4 2 2 4 2 5" xfId="20309" xr:uid="{00000000-0005-0000-0000-000016500000}"/>
    <cellStyle name="Standard 4 3 2 4 2 2 4 2 6" xfId="20310" xr:uid="{00000000-0005-0000-0000-000017500000}"/>
    <cellStyle name="Standard 4 3 2 4 2 2 4 3" xfId="20311" xr:uid="{00000000-0005-0000-0000-000018500000}"/>
    <cellStyle name="Standard 4 3 2 4 2 2 4 3 2" xfId="20312" xr:uid="{00000000-0005-0000-0000-000019500000}"/>
    <cellStyle name="Standard 4 3 2 4 2 2 4 3 3" xfId="20313" xr:uid="{00000000-0005-0000-0000-00001A500000}"/>
    <cellStyle name="Standard 4 3 2 4 2 2 4 4" xfId="20314" xr:uid="{00000000-0005-0000-0000-00001B500000}"/>
    <cellStyle name="Standard 4 3 2 4 2 2 4 4 2" xfId="20315" xr:uid="{00000000-0005-0000-0000-00001C500000}"/>
    <cellStyle name="Standard 4 3 2 4 2 2 4 4 3" xfId="20316" xr:uid="{00000000-0005-0000-0000-00001D500000}"/>
    <cellStyle name="Standard 4 3 2 4 2 2 4 5" xfId="20317" xr:uid="{00000000-0005-0000-0000-00001E500000}"/>
    <cellStyle name="Standard 4 3 2 4 2 2 4 5 2" xfId="20318" xr:uid="{00000000-0005-0000-0000-00001F500000}"/>
    <cellStyle name="Standard 4 3 2 4 2 2 4 6" xfId="20319" xr:uid="{00000000-0005-0000-0000-000020500000}"/>
    <cellStyle name="Standard 4 3 2 4 2 2 4 7" xfId="20320" xr:uid="{00000000-0005-0000-0000-000021500000}"/>
    <cellStyle name="Standard 4 3 2 4 2 2 5" xfId="20321" xr:uid="{00000000-0005-0000-0000-000022500000}"/>
    <cellStyle name="Standard 4 3 2 4 2 2 5 2" xfId="20322" xr:uid="{00000000-0005-0000-0000-000023500000}"/>
    <cellStyle name="Standard 4 3 2 4 2 2 5 2 2" xfId="20323" xr:uid="{00000000-0005-0000-0000-000024500000}"/>
    <cellStyle name="Standard 4 3 2 4 2 2 5 2 3" xfId="20324" xr:uid="{00000000-0005-0000-0000-000025500000}"/>
    <cellStyle name="Standard 4 3 2 4 2 2 5 3" xfId="20325" xr:uid="{00000000-0005-0000-0000-000026500000}"/>
    <cellStyle name="Standard 4 3 2 4 2 2 5 3 2" xfId="20326" xr:uid="{00000000-0005-0000-0000-000027500000}"/>
    <cellStyle name="Standard 4 3 2 4 2 2 5 3 3" xfId="20327" xr:uid="{00000000-0005-0000-0000-000028500000}"/>
    <cellStyle name="Standard 4 3 2 4 2 2 5 4" xfId="20328" xr:uid="{00000000-0005-0000-0000-000029500000}"/>
    <cellStyle name="Standard 4 3 2 4 2 2 5 4 2" xfId="20329" xr:uid="{00000000-0005-0000-0000-00002A500000}"/>
    <cellStyle name="Standard 4 3 2 4 2 2 5 5" xfId="20330" xr:uid="{00000000-0005-0000-0000-00002B500000}"/>
    <cellStyle name="Standard 4 3 2 4 2 2 5 6" xfId="20331" xr:uid="{00000000-0005-0000-0000-00002C500000}"/>
    <cellStyle name="Standard 4 3 2 4 2 2 6" xfId="20332" xr:uid="{00000000-0005-0000-0000-00002D500000}"/>
    <cellStyle name="Standard 4 3 2 4 2 2 6 2" xfId="20333" xr:uid="{00000000-0005-0000-0000-00002E500000}"/>
    <cellStyle name="Standard 4 3 2 4 2 2 6 3" xfId="20334" xr:uid="{00000000-0005-0000-0000-00002F500000}"/>
    <cellStyle name="Standard 4 3 2 4 2 2 7" xfId="20335" xr:uid="{00000000-0005-0000-0000-000030500000}"/>
    <cellStyle name="Standard 4 3 2 4 2 2 7 2" xfId="20336" xr:uid="{00000000-0005-0000-0000-000031500000}"/>
    <cellStyle name="Standard 4 3 2 4 2 2 7 3" xfId="20337" xr:uid="{00000000-0005-0000-0000-000032500000}"/>
    <cellStyle name="Standard 4 3 2 4 2 2 8" xfId="20338" xr:uid="{00000000-0005-0000-0000-000033500000}"/>
    <cellStyle name="Standard 4 3 2 4 2 2 8 2" xfId="20339" xr:uid="{00000000-0005-0000-0000-000034500000}"/>
    <cellStyle name="Standard 4 3 2 4 2 2 9" xfId="20340" xr:uid="{00000000-0005-0000-0000-000035500000}"/>
    <cellStyle name="Standard 4 3 2 4 2 3" xfId="20341" xr:uid="{00000000-0005-0000-0000-000036500000}"/>
    <cellStyle name="Standard 4 3 2 4 2 3 2" xfId="20342" xr:uid="{00000000-0005-0000-0000-000037500000}"/>
    <cellStyle name="Standard 4 3 2 4 2 3 2 2" xfId="20343" xr:uid="{00000000-0005-0000-0000-000038500000}"/>
    <cellStyle name="Standard 4 3 2 4 2 3 2 2 2" xfId="20344" xr:uid="{00000000-0005-0000-0000-000039500000}"/>
    <cellStyle name="Standard 4 3 2 4 2 3 2 2 2 2" xfId="20345" xr:uid="{00000000-0005-0000-0000-00003A500000}"/>
    <cellStyle name="Standard 4 3 2 4 2 3 2 2 2 3" xfId="20346" xr:uid="{00000000-0005-0000-0000-00003B500000}"/>
    <cellStyle name="Standard 4 3 2 4 2 3 2 2 3" xfId="20347" xr:uid="{00000000-0005-0000-0000-00003C500000}"/>
    <cellStyle name="Standard 4 3 2 4 2 3 2 2 3 2" xfId="20348" xr:uid="{00000000-0005-0000-0000-00003D500000}"/>
    <cellStyle name="Standard 4 3 2 4 2 3 2 2 3 3" xfId="20349" xr:uid="{00000000-0005-0000-0000-00003E500000}"/>
    <cellStyle name="Standard 4 3 2 4 2 3 2 2 4" xfId="20350" xr:uid="{00000000-0005-0000-0000-00003F500000}"/>
    <cellStyle name="Standard 4 3 2 4 2 3 2 2 4 2" xfId="20351" xr:uid="{00000000-0005-0000-0000-000040500000}"/>
    <cellStyle name="Standard 4 3 2 4 2 3 2 2 5" xfId="20352" xr:uid="{00000000-0005-0000-0000-000041500000}"/>
    <cellStyle name="Standard 4 3 2 4 2 3 2 2 6" xfId="20353" xr:uid="{00000000-0005-0000-0000-000042500000}"/>
    <cellStyle name="Standard 4 3 2 4 2 3 2 3" xfId="20354" xr:uid="{00000000-0005-0000-0000-000043500000}"/>
    <cellStyle name="Standard 4 3 2 4 2 3 2 3 2" xfId="20355" xr:uid="{00000000-0005-0000-0000-000044500000}"/>
    <cellStyle name="Standard 4 3 2 4 2 3 2 3 3" xfId="20356" xr:uid="{00000000-0005-0000-0000-000045500000}"/>
    <cellStyle name="Standard 4 3 2 4 2 3 2 4" xfId="20357" xr:uid="{00000000-0005-0000-0000-000046500000}"/>
    <cellStyle name="Standard 4 3 2 4 2 3 2 4 2" xfId="20358" xr:uid="{00000000-0005-0000-0000-000047500000}"/>
    <cellStyle name="Standard 4 3 2 4 2 3 2 4 3" xfId="20359" xr:uid="{00000000-0005-0000-0000-000048500000}"/>
    <cellStyle name="Standard 4 3 2 4 2 3 2 5" xfId="20360" xr:uid="{00000000-0005-0000-0000-000049500000}"/>
    <cellStyle name="Standard 4 3 2 4 2 3 2 5 2" xfId="20361" xr:uid="{00000000-0005-0000-0000-00004A500000}"/>
    <cellStyle name="Standard 4 3 2 4 2 3 2 6" xfId="20362" xr:uid="{00000000-0005-0000-0000-00004B500000}"/>
    <cellStyle name="Standard 4 3 2 4 2 3 2 7" xfId="20363" xr:uid="{00000000-0005-0000-0000-00004C500000}"/>
    <cellStyle name="Standard 4 3 2 4 2 3 3" xfId="20364" xr:uid="{00000000-0005-0000-0000-00004D500000}"/>
    <cellStyle name="Standard 4 3 2 4 2 3 3 2" xfId="20365" xr:uid="{00000000-0005-0000-0000-00004E500000}"/>
    <cellStyle name="Standard 4 3 2 4 2 3 3 2 2" xfId="20366" xr:uid="{00000000-0005-0000-0000-00004F500000}"/>
    <cellStyle name="Standard 4 3 2 4 2 3 3 2 3" xfId="20367" xr:uid="{00000000-0005-0000-0000-000050500000}"/>
    <cellStyle name="Standard 4 3 2 4 2 3 3 3" xfId="20368" xr:uid="{00000000-0005-0000-0000-000051500000}"/>
    <cellStyle name="Standard 4 3 2 4 2 3 3 3 2" xfId="20369" xr:uid="{00000000-0005-0000-0000-000052500000}"/>
    <cellStyle name="Standard 4 3 2 4 2 3 3 3 3" xfId="20370" xr:uid="{00000000-0005-0000-0000-000053500000}"/>
    <cellStyle name="Standard 4 3 2 4 2 3 3 4" xfId="20371" xr:uid="{00000000-0005-0000-0000-000054500000}"/>
    <cellStyle name="Standard 4 3 2 4 2 3 3 4 2" xfId="20372" xr:uid="{00000000-0005-0000-0000-000055500000}"/>
    <cellStyle name="Standard 4 3 2 4 2 3 3 5" xfId="20373" xr:uid="{00000000-0005-0000-0000-000056500000}"/>
    <cellStyle name="Standard 4 3 2 4 2 3 3 6" xfId="20374" xr:uid="{00000000-0005-0000-0000-000057500000}"/>
    <cellStyle name="Standard 4 3 2 4 2 3 4" xfId="20375" xr:uid="{00000000-0005-0000-0000-000058500000}"/>
    <cellStyle name="Standard 4 3 2 4 2 3 4 2" xfId="20376" xr:uid="{00000000-0005-0000-0000-000059500000}"/>
    <cellStyle name="Standard 4 3 2 4 2 3 4 3" xfId="20377" xr:uid="{00000000-0005-0000-0000-00005A500000}"/>
    <cellStyle name="Standard 4 3 2 4 2 3 5" xfId="20378" xr:uid="{00000000-0005-0000-0000-00005B500000}"/>
    <cellStyle name="Standard 4 3 2 4 2 3 5 2" xfId="20379" xr:uid="{00000000-0005-0000-0000-00005C500000}"/>
    <cellStyle name="Standard 4 3 2 4 2 3 5 3" xfId="20380" xr:uid="{00000000-0005-0000-0000-00005D500000}"/>
    <cellStyle name="Standard 4 3 2 4 2 3 6" xfId="20381" xr:uid="{00000000-0005-0000-0000-00005E500000}"/>
    <cellStyle name="Standard 4 3 2 4 2 3 6 2" xfId="20382" xr:uid="{00000000-0005-0000-0000-00005F500000}"/>
    <cellStyle name="Standard 4 3 2 4 2 3 7" xfId="20383" xr:uid="{00000000-0005-0000-0000-000060500000}"/>
    <cellStyle name="Standard 4 3 2 4 2 3 8" xfId="20384" xr:uid="{00000000-0005-0000-0000-000061500000}"/>
    <cellStyle name="Standard 4 3 2 4 2 4" xfId="20385" xr:uid="{00000000-0005-0000-0000-000062500000}"/>
    <cellStyle name="Standard 4 3 2 4 2 4 2" xfId="20386" xr:uid="{00000000-0005-0000-0000-000063500000}"/>
    <cellStyle name="Standard 4 3 2 4 2 4 2 2" xfId="20387" xr:uid="{00000000-0005-0000-0000-000064500000}"/>
    <cellStyle name="Standard 4 3 2 4 2 4 2 2 2" xfId="20388" xr:uid="{00000000-0005-0000-0000-000065500000}"/>
    <cellStyle name="Standard 4 3 2 4 2 4 2 2 2 2" xfId="20389" xr:uid="{00000000-0005-0000-0000-000066500000}"/>
    <cellStyle name="Standard 4 3 2 4 2 4 2 2 2 3" xfId="20390" xr:uid="{00000000-0005-0000-0000-000067500000}"/>
    <cellStyle name="Standard 4 3 2 4 2 4 2 2 3" xfId="20391" xr:uid="{00000000-0005-0000-0000-000068500000}"/>
    <cellStyle name="Standard 4 3 2 4 2 4 2 2 3 2" xfId="20392" xr:uid="{00000000-0005-0000-0000-000069500000}"/>
    <cellStyle name="Standard 4 3 2 4 2 4 2 2 3 3" xfId="20393" xr:uid="{00000000-0005-0000-0000-00006A500000}"/>
    <cellStyle name="Standard 4 3 2 4 2 4 2 2 4" xfId="20394" xr:uid="{00000000-0005-0000-0000-00006B500000}"/>
    <cellStyle name="Standard 4 3 2 4 2 4 2 2 4 2" xfId="20395" xr:uid="{00000000-0005-0000-0000-00006C500000}"/>
    <cellStyle name="Standard 4 3 2 4 2 4 2 2 5" xfId="20396" xr:uid="{00000000-0005-0000-0000-00006D500000}"/>
    <cellStyle name="Standard 4 3 2 4 2 4 2 2 6" xfId="20397" xr:uid="{00000000-0005-0000-0000-00006E500000}"/>
    <cellStyle name="Standard 4 3 2 4 2 4 2 3" xfId="20398" xr:uid="{00000000-0005-0000-0000-00006F500000}"/>
    <cellStyle name="Standard 4 3 2 4 2 4 2 3 2" xfId="20399" xr:uid="{00000000-0005-0000-0000-000070500000}"/>
    <cellStyle name="Standard 4 3 2 4 2 4 2 3 3" xfId="20400" xr:uid="{00000000-0005-0000-0000-000071500000}"/>
    <cellStyle name="Standard 4 3 2 4 2 4 2 4" xfId="20401" xr:uid="{00000000-0005-0000-0000-000072500000}"/>
    <cellStyle name="Standard 4 3 2 4 2 4 2 4 2" xfId="20402" xr:uid="{00000000-0005-0000-0000-000073500000}"/>
    <cellStyle name="Standard 4 3 2 4 2 4 2 4 3" xfId="20403" xr:uid="{00000000-0005-0000-0000-000074500000}"/>
    <cellStyle name="Standard 4 3 2 4 2 4 2 5" xfId="20404" xr:uid="{00000000-0005-0000-0000-000075500000}"/>
    <cellStyle name="Standard 4 3 2 4 2 4 2 5 2" xfId="20405" xr:uid="{00000000-0005-0000-0000-000076500000}"/>
    <cellStyle name="Standard 4 3 2 4 2 4 2 6" xfId="20406" xr:uid="{00000000-0005-0000-0000-000077500000}"/>
    <cellStyle name="Standard 4 3 2 4 2 4 2 7" xfId="20407" xr:uid="{00000000-0005-0000-0000-000078500000}"/>
    <cellStyle name="Standard 4 3 2 4 2 4 3" xfId="20408" xr:uid="{00000000-0005-0000-0000-000079500000}"/>
    <cellStyle name="Standard 4 3 2 4 2 4 3 2" xfId="20409" xr:uid="{00000000-0005-0000-0000-00007A500000}"/>
    <cellStyle name="Standard 4 3 2 4 2 4 3 2 2" xfId="20410" xr:uid="{00000000-0005-0000-0000-00007B500000}"/>
    <cellStyle name="Standard 4 3 2 4 2 4 3 2 3" xfId="20411" xr:uid="{00000000-0005-0000-0000-00007C500000}"/>
    <cellStyle name="Standard 4 3 2 4 2 4 3 3" xfId="20412" xr:uid="{00000000-0005-0000-0000-00007D500000}"/>
    <cellStyle name="Standard 4 3 2 4 2 4 3 3 2" xfId="20413" xr:uid="{00000000-0005-0000-0000-00007E500000}"/>
    <cellStyle name="Standard 4 3 2 4 2 4 3 3 3" xfId="20414" xr:uid="{00000000-0005-0000-0000-00007F500000}"/>
    <cellStyle name="Standard 4 3 2 4 2 4 3 4" xfId="20415" xr:uid="{00000000-0005-0000-0000-000080500000}"/>
    <cellStyle name="Standard 4 3 2 4 2 4 3 4 2" xfId="20416" xr:uid="{00000000-0005-0000-0000-000081500000}"/>
    <cellStyle name="Standard 4 3 2 4 2 4 3 5" xfId="20417" xr:uid="{00000000-0005-0000-0000-000082500000}"/>
    <cellStyle name="Standard 4 3 2 4 2 4 3 6" xfId="20418" xr:uid="{00000000-0005-0000-0000-000083500000}"/>
    <cellStyle name="Standard 4 3 2 4 2 4 4" xfId="20419" xr:uid="{00000000-0005-0000-0000-000084500000}"/>
    <cellStyle name="Standard 4 3 2 4 2 4 4 2" xfId="20420" xr:uid="{00000000-0005-0000-0000-000085500000}"/>
    <cellStyle name="Standard 4 3 2 4 2 4 4 3" xfId="20421" xr:uid="{00000000-0005-0000-0000-000086500000}"/>
    <cellStyle name="Standard 4 3 2 4 2 4 5" xfId="20422" xr:uid="{00000000-0005-0000-0000-000087500000}"/>
    <cellStyle name="Standard 4 3 2 4 2 4 5 2" xfId="20423" xr:uid="{00000000-0005-0000-0000-000088500000}"/>
    <cellStyle name="Standard 4 3 2 4 2 4 5 3" xfId="20424" xr:uid="{00000000-0005-0000-0000-000089500000}"/>
    <cellStyle name="Standard 4 3 2 4 2 4 6" xfId="20425" xr:uid="{00000000-0005-0000-0000-00008A500000}"/>
    <cellStyle name="Standard 4 3 2 4 2 4 6 2" xfId="20426" xr:uid="{00000000-0005-0000-0000-00008B500000}"/>
    <cellStyle name="Standard 4 3 2 4 2 4 7" xfId="20427" xr:uid="{00000000-0005-0000-0000-00008C500000}"/>
    <cellStyle name="Standard 4 3 2 4 2 4 8" xfId="20428" xr:uid="{00000000-0005-0000-0000-00008D500000}"/>
    <cellStyle name="Standard 4 3 2 4 2 5" xfId="20429" xr:uid="{00000000-0005-0000-0000-00008E500000}"/>
    <cellStyle name="Standard 4 3 2 4 2 5 2" xfId="20430" xr:uid="{00000000-0005-0000-0000-00008F500000}"/>
    <cellStyle name="Standard 4 3 2 4 2 5 2 2" xfId="20431" xr:uid="{00000000-0005-0000-0000-000090500000}"/>
    <cellStyle name="Standard 4 3 2 4 2 5 2 2 2" xfId="20432" xr:uid="{00000000-0005-0000-0000-000091500000}"/>
    <cellStyle name="Standard 4 3 2 4 2 5 2 2 3" xfId="20433" xr:uid="{00000000-0005-0000-0000-000092500000}"/>
    <cellStyle name="Standard 4 3 2 4 2 5 2 3" xfId="20434" xr:uid="{00000000-0005-0000-0000-000093500000}"/>
    <cellStyle name="Standard 4 3 2 4 2 5 2 3 2" xfId="20435" xr:uid="{00000000-0005-0000-0000-000094500000}"/>
    <cellStyle name="Standard 4 3 2 4 2 5 2 3 3" xfId="20436" xr:uid="{00000000-0005-0000-0000-000095500000}"/>
    <cellStyle name="Standard 4 3 2 4 2 5 2 4" xfId="20437" xr:uid="{00000000-0005-0000-0000-000096500000}"/>
    <cellStyle name="Standard 4 3 2 4 2 5 2 4 2" xfId="20438" xr:uid="{00000000-0005-0000-0000-000097500000}"/>
    <cellStyle name="Standard 4 3 2 4 2 5 2 5" xfId="20439" xr:uid="{00000000-0005-0000-0000-000098500000}"/>
    <cellStyle name="Standard 4 3 2 4 2 5 2 6" xfId="20440" xr:uid="{00000000-0005-0000-0000-000099500000}"/>
    <cellStyle name="Standard 4 3 2 4 2 5 3" xfId="20441" xr:uid="{00000000-0005-0000-0000-00009A500000}"/>
    <cellStyle name="Standard 4 3 2 4 2 5 3 2" xfId="20442" xr:uid="{00000000-0005-0000-0000-00009B500000}"/>
    <cellStyle name="Standard 4 3 2 4 2 5 3 3" xfId="20443" xr:uid="{00000000-0005-0000-0000-00009C500000}"/>
    <cellStyle name="Standard 4 3 2 4 2 5 4" xfId="20444" xr:uid="{00000000-0005-0000-0000-00009D500000}"/>
    <cellStyle name="Standard 4 3 2 4 2 5 4 2" xfId="20445" xr:uid="{00000000-0005-0000-0000-00009E500000}"/>
    <cellStyle name="Standard 4 3 2 4 2 5 4 3" xfId="20446" xr:uid="{00000000-0005-0000-0000-00009F500000}"/>
    <cellStyle name="Standard 4 3 2 4 2 5 5" xfId="20447" xr:uid="{00000000-0005-0000-0000-0000A0500000}"/>
    <cellStyle name="Standard 4 3 2 4 2 5 5 2" xfId="20448" xr:uid="{00000000-0005-0000-0000-0000A1500000}"/>
    <cellStyle name="Standard 4 3 2 4 2 5 6" xfId="20449" xr:uid="{00000000-0005-0000-0000-0000A2500000}"/>
    <cellStyle name="Standard 4 3 2 4 2 5 7" xfId="20450" xr:uid="{00000000-0005-0000-0000-0000A3500000}"/>
    <cellStyle name="Standard 4 3 2 4 2 6" xfId="20451" xr:uid="{00000000-0005-0000-0000-0000A4500000}"/>
    <cellStyle name="Standard 4 3 2 4 2 6 2" xfId="20452" xr:uid="{00000000-0005-0000-0000-0000A5500000}"/>
    <cellStyle name="Standard 4 3 2 4 2 6 2 2" xfId="20453" xr:uid="{00000000-0005-0000-0000-0000A6500000}"/>
    <cellStyle name="Standard 4 3 2 4 2 6 2 3" xfId="20454" xr:uid="{00000000-0005-0000-0000-0000A7500000}"/>
    <cellStyle name="Standard 4 3 2 4 2 6 3" xfId="20455" xr:uid="{00000000-0005-0000-0000-0000A8500000}"/>
    <cellStyle name="Standard 4 3 2 4 2 6 3 2" xfId="20456" xr:uid="{00000000-0005-0000-0000-0000A9500000}"/>
    <cellStyle name="Standard 4 3 2 4 2 6 3 3" xfId="20457" xr:uid="{00000000-0005-0000-0000-0000AA500000}"/>
    <cellStyle name="Standard 4 3 2 4 2 6 4" xfId="20458" xr:uid="{00000000-0005-0000-0000-0000AB500000}"/>
    <cellStyle name="Standard 4 3 2 4 2 6 4 2" xfId="20459" xr:uid="{00000000-0005-0000-0000-0000AC500000}"/>
    <cellStyle name="Standard 4 3 2 4 2 6 5" xfId="20460" xr:uid="{00000000-0005-0000-0000-0000AD500000}"/>
    <cellStyle name="Standard 4 3 2 4 2 6 6" xfId="20461" xr:uid="{00000000-0005-0000-0000-0000AE500000}"/>
    <cellStyle name="Standard 4 3 2 4 2 7" xfId="20462" xr:uid="{00000000-0005-0000-0000-0000AF500000}"/>
    <cellStyle name="Standard 4 3 2 4 2 7 2" xfId="20463" xr:uid="{00000000-0005-0000-0000-0000B0500000}"/>
    <cellStyle name="Standard 4 3 2 4 2 7 3" xfId="20464" xr:uid="{00000000-0005-0000-0000-0000B1500000}"/>
    <cellStyle name="Standard 4 3 2 4 2 8" xfId="20465" xr:uid="{00000000-0005-0000-0000-0000B2500000}"/>
    <cellStyle name="Standard 4 3 2 4 2 8 2" xfId="20466" xr:uid="{00000000-0005-0000-0000-0000B3500000}"/>
    <cellStyle name="Standard 4 3 2 4 2 8 3" xfId="20467" xr:uid="{00000000-0005-0000-0000-0000B4500000}"/>
    <cellStyle name="Standard 4 3 2 4 2 9" xfId="20468" xr:uid="{00000000-0005-0000-0000-0000B5500000}"/>
    <cellStyle name="Standard 4 3 2 4 2 9 2" xfId="20469" xr:uid="{00000000-0005-0000-0000-0000B6500000}"/>
    <cellStyle name="Standard 4 3 2 4 3" xfId="20470" xr:uid="{00000000-0005-0000-0000-0000B7500000}"/>
    <cellStyle name="Standard 4 3 2 4 3 10" xfId="20471" xr:uid="{00000000-0005-0000-0000-0000B8500000}"/>
    <cellStyle name="Standard 4 3 2 4 3 2" xfId="20472" xr:uid="{00000000-0005-0000-0000-0000B9500000}"/>
    <cellStyle name="Standard 4 3 2 4 3 2 2" xfId="20473" xr:uid="{00000000-0005-0000-0000-0000BA500000}"/>
    <cellStyle name="Standard 4 3 2 4 3 2 2 2" xfId="20474" xr:uid="{00000000-0005-0000-0000-0000BB500000}"/>
    <cellStyle name="Standard 4 3 2 4 3 2 2 2 2" xfId="20475" xr:uid="{00000000-0005-0000-0000-0000BC500000}"/>
    <cellStyle name="Standard 4 3 2 4 3 2 2 2 2 2" xfId="20476" xr:uid="{00000000-0005-0000-0000-0000BD500000}"/>
    <cellStyle name="Standard 4 3 2 4 3 2 2 2 2 3" xfId="20477" xr:uid="{00000000-0005-0000-0000-0000BE500000}"/>
    <cellStyle name="Standard 4 3 2 4 3 2 2 2 3" xfId="20478" xr:uid="{00000000-0005-0000-0000-0000BF500000}"/>
    <cellStyle name="Standard 4 3 2 4 3 2 2 2 3 2" xfId="20479" xr:uid="{00000000-0005-0000-0000-0000C0500000}"/>
    <cellStyle name="Standard 4 3 2 4 3 2 2 2 3 3" xfId="20480" xr:uid="{00000000-0005-0000-0000-0000C1500000}"/>
    <cellStyle name="Standard 4 3 2 4 3 2 2 2 4" xfId="20481" xr:uid="{00000000-0005-0000-0000-0000C2500000}"/>
    <cellStyle name="Standard 4 3 2 4 3 2 2 2 4 2" xfId="20482" xr:uid="{00000000-0005-0000-0000-0000C3500000}"/>
    <cellStyle name="Standard 4 3 2 4 3 2 2 2 5" xfId="20483" xr:uid="{00000000-0005-0000-0000-0000C4500000}"/>
    <cellStyle name="Standard 4 3 2 4 3 2 2 2 6" xfId="20484" xr:uid="{00000000-0005-0000-0000-0000C5500000}"/>
    <cellStyle name="Standard 4 3 2 4 3 2 2 3" xfId="20485" xr:uid="{00000000-0005-0000-0000-0000C6500000}"/>
    <cellStyle name="Standard 4 3 2 4 3 2 2 3 2" xfId="20486" xr:uid="{00000000-0005-0000-0000-0000C7500000}"/>
    <cellStyle name="Standard 4 3 2 4 3 2 2 3 3" xfId="20487" xr:uid="{00000000-0005-0000-0000-0000C8500000}"/>
    <cellStyle name="Standard 4 3 2 4 3 2 2 4" xfId="20488" xr:uid="{00000000-0005-0000-0000-0000C9500000}"/>
    <cellStyle name="Standard 4 3 2 4 3 2 2 4 2" xfId="20489" xr:uid="{00000000-0005-0000-0000-0000CA500000}"/>
    <cellStyle name="Standard 4 3 2 4 3 2 2 4 3" xfId="20490" xr:uid="{00000000-0005-0000-0000-0000CB500000}"/>
    <cellStyle name="Standard 4 3 2 4 3 2 2 5" xfId="20491" xr:uid="{00000000-0005-0000-0000-0000CC500000}"/>
    <cellStyle name="Standard 4 3 2 4 3 2 2 5 2" xfId="20492" xr:uid="{00000000-0005-0000-0000-0000CD500000}"/>
    <cellStyle name="Standard 4 3 2 4 3 2 2 6" xfId="20493" xr:uid="{00000000-0005-0000-0000-0000CE500000}"/>
    <cellStyle name="Standard 4 3 2 4 3 2 2 7" xfId="20494" xr:uid="{00000000-0005-0000-0000-0000CF500000}"/>
    <cellStyle name="Standard 4 3 2 4 3 2 3" xfId="20495" xr:uid="{00000000-0005-0000-0000-0000D0500000}"/>
    <cellStyle name="Standard 4 3 2 4 3 2 3 2" xfId="20496" xr:uid="{00000000-0005-0000-0000-0000D1500000}"/>
    <cellStyle name="Standard 4 3 2 4 3 2 3 2 2" xfId="20497" xr:uid="{00000000-0005-0000-0000-0000D2500000}"/>
    <cellStyle name="Standard 4 3 2 4 3 2 3 2 3" xfId="20498" xr:uid="{00000000-0005-0000-0000-0000D3500000}"/>
    <cellStyle name="Standard 4 3 2 4 3 2 3 3" xfId="20499" xr:uid="{00000000-0005-0000-0000-0000D4500000}"/>
    <cellStyle name="Standard 4 3 2 4 3 2 3 3 2" xfId="20500" xr:uid="{00000000-0005-0000-0000-0000D5500000}"/>
    <cellStyle name="Standard 4 3 2 4 3 2 3 3 3" xfId="20501" xr:uid="{00000000-0005-0000-0000-0000D6500000}"/>
    <cellStyle name="Standard 4 3 2 4 3 2 3 4" xfId="20502" xr:uid="{00000000-0005-0000-0000-0000D7500000}"/>
    <cellStyle name="Standard 4 3 2 4 3 2 3 4 2" xfId="20503" xr:uid="{00000000-0005-0000-0000-0000D8500000}"/>
    <cellStyle name="Standard 4 3 2 4 3 2 3 5" xfId="20504" xr:uid="{00000000-0005-0000-0000-0000D9500000}"/>
    <cellStyle name="Standard 4 3 2 4 3 2 3 6" xfId="20505" xr:uid="{00000000-0005-0000-0000-0000DA500000}"/>
    <cellStyle name="Standard 4 3 2 4 3 2 4" xfId="20506" xr:uid="{00000000-0005-0000-0000-0000DB500000}"/>
    <cellStyle name="Standard 4 3 2 4 3 2 4 2" xfId="20507" xr:uid="{00000000-0005-0000-0000-0000DC500000}"/>
    <cellStyle name="Standard 4 3 2 4 3 2 4 3" xfId="20508" xr:uid="{00000000-0005-0000-0000-0000DD500000}"/>
    <cellStyle name="Standard 4 3 2 4 3 2 5" xfId="20509" xr:uid="{00000000-0005-0000-0000-0000DE500000}"/>
    <cellStyle name="Standard 4 3 2 4 3 2 5 2" xfId="20510" xr:uid="{00000000-0005-0000-0000-0000DF500000}"/>
    <cellStyle name="Standard 4 3 2 4 3 2 5 3" xfId="20511" xr:uid="{00000000-0005-0000-0000-0000E0500000}"/>
    <cellStyle name="Standard 4 3 2 4 3 2 6" xfId="20512" xr:uid="{00000000-0005-0000-0000-0000E1500000}"/>
    <cellStyle name="Standard 4 3 2 4 3 2 6 2" xfId="20513" xr:uid="{00000000-0005-0000-0000-0000E2500000}"/>
    <cellStyle name="Standard 4 3 2 4 3 2 7" xfId="20514" xr:uid="{00000000-0005-0000-0000-0000E3500000}"/>
    <cellStyle name="Standard 4 3 2 4 3 2 8" xfId="20515" xr:uid="{00000000-0005-0000-0000-0000E4500000}"/>
    <cellStyle name="Standard 4 3 2 4 3 3" xfId="20516" xr:uid="{00000000-0005-0000-0000-0000E5500000}"/>
    <cellStyle name="Standard 4 3 2 4 3 3 2" xfId="20517" xr:uid="{00000000-0005-0000-0000-0000E6500000}"/>
    <cellStyle name="Standard 4 3 2 4 3 3 2 2" xfId="20518" xr:uid="{00000000-0005-0000-0000-0000E7500000}"/>
    <cellStyle name="Standard 4 3 2 4 3 3 2 2 2" xfId="20519" xr:uid="{00000000-0005-0000-0000-0000E8500000}"/>
    <cellStyle name="Standard 4 3 2 4 3 3 2 2 2 2" xfId="20520" xr:uid="{00000000-0005-0000-0000-0000E9500000}"/>
    <cellStyle name="Standard 4 3 2 4 3 3 2 2 2 3" xfId="20521" xr:uid="{00000000-0005-0000-0000-0000EA500000}"/>
    <cellStyle name="Standard 4 3 2 4 3 3 2 2 3" xfId="20522" xr:uid="{00000000-0005-0000-0000-0000EB500000}"/>
    <cellStyle name="Standard 4 3 2 4 3 3 2 2 3 2" xfId="20523" xr:uid="{00000000-0005-0000-0000-0000EC500000}"/>
    <cellStyle name="Standard 4 3 2 4 3 3 2 2 3 3" xfId="20524" xr:uid="{00000000-0005-0000-0000-0000ED500000}"/>
    <cellStyle name="Standard 4 3 2 4 3 3 2 2 4" xfId="20525" xr:uid="{00000000-0005-0000-0000-0000EE500000}"/>
    <cellStyle name="Standard 4 3 2 4 3 3 2 2 4 2" xfId="20526" xr:uid="{00000000-0005-0000-0000-0000EF500000}"/>
    <cellStyle name="Standard 4 3 2 4 3 3 2 2 5" xfId="20527" xr:uid="{00000000-0005-0000-0000-0000F0500000}"/>
    <cellStyle name="Standard 4 3 2 4 3 3 2 2 6" xfId="20528" xr:uid="{00000000-0005-0000-0000-0000F1500000}"/>
    <cellStyle name="Standard 4 3 2 4 3 3 2 3" xfId="20529" xr:uid="{00000000-0005-0000-0000-0000F2500000}"/>
    <cellStyle name="Standard 4 3 2 4 3 3 2 3 2" xfId="20530" xr:uid="{00000000-0005-0000-0000-0000F3500000}"/>
    <cellStyle name="Standard 4 3 2 4 3 3 2 3 3" xfId="20531" xr:uid="{00000000-0005-0000-0000-0000F4500000}"/>
    <cellStyle name="Standard 4 3 2 4 3 3 2 4" xfId="20532" xr:uid="{00000000-0005-0000-0000-0000F5500000}"/>
    <cellStyle name="Standard 4 3 2 4 3 3 2 4 2" xfId="20533" xr:uid="{00000000-0005-0000-0000-0000F6500000}"/>
    <cellStyle name="Standard 4 3 2 4 3 3 2 4 3" xfId="20534" xr:uid="{00000000-0005-0000-0000-0000F7500000}"/>
    <cellStyle name="Standard 4 3 2 4 3 3 2 5" xfId="20535" xr:uid="{00000000-0005-0000-0000-0000F8500000}"/>
    <cellStyle name="Standard 4 3 2 4 3 3 2 5 2" xfId="20536" xr:uid="{00000000-0005-0000-0000-0000F9500000}"/>
    <cellStyle name="Standard 4 3 2 4 3 3 2 6" xfId="20537" xr:uid="{00000000-0005-0000-0000-0000FA500000}"/>
    <cellStyle name="Standard 4 3 2 4 3 3 2 7" xfId="20538" xr:uid="{00000000-0005-0000-0000-0000FB500000}"/>
    <cellStyle name="Standard 4 3 2 4 3 3 3" xfId="20539" xr:uid="{00000000-0005-0000-0000-0000FC500000}"/>
    <cellStyle name="Standard 4 3 2 4 3 3 3 2" xfId="20540" xr:uid="{00000000-0005-0000-0000-0000FD500000}"/>
    <cellStyle name="Standard 4 3 2 4 3 3 3 2 2" xfId="20541" xr:uid="{00000000-0005-0000-0000-0000FE500000}"/>
    <cellStyle name="Standard 4 3 2 4 3 3 3 2 3" xfId="20542" xr:uid="{00000000-0005-0000-0000-0000FF500000}"/>
    <cellStyle name="Standard 4 3 2 4 3 3 3 3" xfId="20543" xr:uid="{00000000-0005-0000-0000-000000510000}"/>
    <cellStyle name="Standard 4 3 2 4 3 3 3 3 2" xfId="20544" xr:uid="{00000000-0005-0000-0000-000001510000}"/>
    <cellStyle name="Standard 4 3 2 4 3 3 3 3 3" xfId="20545" xr:uid="{00000000-0005-0000-0000-000002510000}"/>
    <cellStyle name="Standard 4 3 2 4 3 3 3 4" xfId="20546" xr:uid="{00000000-0005-0000-0000-000003510000}"/>
    <cellStyle name="Standard 4 3 2 4 3 3 3 4 2" xfId="20547" xr:uid="{00000000-0005-0000-0000-000004510000}"/>
    <cellStyle name="Standard 4 3 2 4 3 3 3 5" xfId="20548" xr:uid="{00000000-0005-0000-0000-000005510000}"/>
    <cellStyle name="Standard 4 3 2 4 3 3 3 6" xfId="20549" xr:uid="{00000000-0005-0000-0000-000006510000}"/>
    <cellStyle name="Standard 4 3 2 4 3 3 4" xfId="20550" xr:uid="{00000000-0005-0000-0000-000007510000}"/>
    <cellStyle name="Standard 4 3 2 4 3 3 4 2" xfId="20551" xr:uid="{00000000-0005-0000-0000-000008510000}"/>
    <cellStyle name="Standard 4 3 2 4 3 3 4 3" xfId="20552" xr:uid="{00000000-0005-0000-0000-000009510000}"/>
    <cellStyle name="Standard 4 3 2 4 3 3 5" xfId="20553" xr:uid="{00000000-0005-0000-0000-00000A510000}"/>
    <cellStyle name="Standard 4 3 2 4 3 3 5 2" xfId="20554" xr:uid="{00000000-0005-0000-0000-00000B510000}"/>
    <cellStyle name="Standard 4 3 2 4 3 3 5 3" xfId="20555" xr:uid="{00000000-0005-0000-0000-00000C510000}"/>
    <cellStyle name="Standard 4 3 2 4 3 3 6" xfId="20556" xr:uid="{00000000-0005-0000-0000-00000D510000}"/>
    <cellStyle name="Standard 4 3 2 4 3 3 6 2" xfId="20557" xr:uid="{00000000-0005-0000-0000-00000E510000}"/>
    <cellStyle name="Standard 4 3 2 4 3 3 7" xfId="20558" xr:uid="{00000000-0005-0000-0000-00000F510000}"/>
    <cellStyle name="Standard 4 3 2 4 3 3 8" xfId="20559" xr:uid="{00000000-0005-0000-0000-000010510000}"/>
    <cellStyle name="Standard 4 3 2 4 3 4" xfId="20560" xr:uid="{00000000-0005-0000-0000-000011510000}"/>
    <cellStyle name="Standard 4 3 2 4 3 4 2" xfId="20561" xr:uid="{00000000-0005-0000-0000-000012510000}"/>
    <cellStyle name="Standard 4 3 2 4 3 4 2 2" xfId="20562" xr:uid="{00000000-0005-0000-0000-000013510000}"/>
    <cellStyle name="Standard 4 3 2 4 3 4 2 2 2" xfId="20563" xr:uid="{00000000-0005-0000-0000-000014510000}"/>
    <cellStyle name="Standard 4 3 2 4 3 4 2 2 3" xfId="20564" xr:uid="{00000000-0005-0000-0000-000015510000}"/>
    <cellStyle name="Standard 4 3 2 4 3 4 2 3" xfId="20565" xr:uid="{00000000-0005-0000-0000-000016510000}"/>
    <cellStyle name="Standard 4 3 2 4 3 4 2 3 2" xfId="20566" xr:uid="{00000000-0005-0000-0000-000017510000}"/>
    <cellStyle name="Standard 4 3 2 4 3 4 2 3 3" xfId="20567" xr:uid="{00000000-0005-0000-0000-000018510000}"/>
    <cellStyle name="Standard 4 3 2 4 3 4 2 4" xfId="20568" xr:uid="{00000000-0005-0000-0000-000019510000}"/>
    <cellStyle name="Standard 4 3 2 4 3 4 2 4 2" xfId="20569" xr:uid="{00000000-0005-0000-0000-00001A510000}"/>
    <cellStyle name="Standard 4 3 2 4 3 4 2 5" xfId="20570" xr:uid="{00000000-0005-0000-0000-00001B510000}"/>
    <cellStyle name="Standard 4 3 2 4 3 4 2 6" xfId="20571" xr:uid="{00000000-0005-0000-0000-00001C510000}"/>
    <cellStyle name="Standard 4 3 2 4 3 4 3" xfId="20572" xr:uid="{00000000-0005-0000-0000-00001D510000}"/>
    <cellStyle name="Standard 4 3 2 4 3 4 3 2" xfId="20573" xr:uid="{00000000-0005-0000-0000-00001E510000}"/>
    <cellStyle name="Standard 4 3 2 4 3 4 3 3" xfId="20574" xr:uid="{00000000-0005-0000-0000-00001F510000}"/>
    <cellStyle name="Standard 4 3 2 4 3 4 4" xfId="20575" xr:uid="{00000000-0005-0000-0000-000020510000}"/>
    <cellStyle name="Standard 4 3 2 4 3 4 4 2" xfId="20576" xr:uid="{00000000-0005-0000-0000-000021510000}"/>
    <cellStyle name="Standard 4 3 2 4 3 4 4 3" xfId="20577" xr:uid="{00000000-0005-0000-0000-000022510000}"/>
    <cellStyle name="Standard 4 3 2 4 3 4 5" xfId="20578" xr:uid="{00000000-0005-0000-0000-000023510000}"/>
    <cellStyle name="Standard 4 3 2 4 3 4 5 2" xfId="20579" xr:uid="{00000000-0005-0000-0000-000024510000}"/>
    <cellStyle name="Standard 4 3 2 4 3 4 6" xfId="20580" xr:uid="{00000000-0005-0000-0000-000025510000}"/>
    <cellStyle name="Standard 4 3 2 4 3 4 7" xfId="20581" xr:uid="{00000000-0005-0000-0000-000026510000}"/>
    <cellStyle name="Standard 4 3 2 4 3 5" xfId="20582" xr:uid="{00000000-0005-0000-0000-000027510000}"/>
    <cellStyle name="Standard 4 3 2 4 3 5 2" xfId="20583" xr:uid="{00000000-0005-0000-0000-000028510000}"/>
    <cellStyle name="Standard 4 3 2 4 3 5 2 2" xfId="20584" xr:uid="{00000000-0005-0000-0000-000029510000}"/>
    <cellStyle name="Standard 4 3 2 4 3 5 2 3" xfId="20585" xr:uid="{00000000-0005-0000-0000-00002A510000}"/>
    <cellStyle name="Standard 4 3 2 4 3 5 3" xfId="20586" xr:uid="{00000000-0005-0000-0000-00002B510000}"/>
    <cellStyle name="Standard 4 3 2 4 3 5 3 2" xfId="20587" xr:uid="{00000000-0005-0000-0000-00002C510000}"/>
    <cellStyle name="Standard 4 3 2 4 3 5 3 3" xfId="20588" xr:uid="{00000000-0005-0000-0000-00002D510000}"/>
    <cellStyle name="Standard 4 3 2 4 3 5 4" xfId="20589" xr:uid="{00000000-0005-0000-0000-00002E510000}"/>
    <cellStyle name="Standard 4 3 2 4 3 5 4 2" xfId="20590" xr:uid="{00000000-0005-0000-0000-00002F510000}"/>
    <cellStyle name="Standard 4 3 2 4 3 5 5" xfId="20591" xr:uid="{00000000-0005-0000-0000-000030510000}"/>
    <cellStyle name="Standard 4 3 2 4 3 5 6" xfId="20592" xr:uid="{00000000-0005-0000-0000-000031510000}"/>
    <cellStyle name="Standard 4 3 2 4 3 6" xfId="20593" xr:uid="{00000000-0005-0000-0000-000032510000}"/>
    <cellStyle name="Standard 4 3 2 4 3 6 2" xfId="20594" xr:uid="{00000000-0005-0000-0000-000033510000}"/>
    <cellStyle name="Standard 4 3 2 4 3 6 3" xfId="20595" xr:uid="{00000000-0005-0000-0000-000034510000}"/>
    <cellStyle name="Standard 4 3 2 4 3 7" xfId="20596" xr:uid="{00000000-0005-0000-0000-000035510000}"/>
    <cellStyle name="Standard 4 3 2 4 3 7 2" xfId="20597" xr:uid="{00000000-0005-0000-0000-000036510000}"/>
    <cellStyle name="Standard 4 3 2 4 3 7 3" xfId="20598" xr:uid="{00000000-0005-0000-0000-000037510000}"/>
    <cellStyle name="Standard 4 3 2 4 3 8" xfId="20599" xr:uid="{00000000-0005-0000-0000-000038510000}"/>
    <cellStyle name="Standard 4 3 2 4 3 8 2" xfId="20600" xr:uid="{00000000-0005-0000-0000-000039510000}"/>
    <cellStyle name="Standard 4 3 2 4 3 9" xfId="20601" xr:uid="{00000000-0005-0000-0000-00003A510000}"/>
    <cellStyle name="Standard 4 3 2 4 4" xfId="20602" xr:uid="{00000000-0005-0000-0000-00003B510000}"/>
    <cellStyle name="Standard 4 3 2 4 4 2" xfId="20603" xr:uid="{00000000-0005-0000-0000-00003C510000}"/>
    <cellStyle name="Standard 4 3 2 4 4 2 2" xfId="20604" xr:uid="{00000000-0005-0000-0000-00003D510000}"/>
    <cellStyle name="Standard 4 3 2 4 4 2 2 2" xfId="20605" xr:uid="{00000000-0005-0000-0000-00003E510000}"/>
    <cellStyle name="Standard 4 3 2 4 4 2 2 2 2" xfId="20606" xr:uid="{00000000-0005-0000-0000-00003F510000}"/>
    <cellStyle name="Standard 4 3 2 4 4 2 2 2 3" xfId="20607" xr:uid="{00000000-0005-0000-0000-000040510000}"/>
    <cellStyle name="Standard 4 3 2 4 4 2 2 3" xfId="20608" xr:uid="{00000000-0005-0000-0000-000041510000}"/>
    <cellStyle name="Standard 4 3 2 4 4 2 2 3 2" xfId="20609" xr:uid="{00000000-0005-0000-0000-000042510000}"/>
    <cellStyle name="Standard 4 3 2 4 4 2 2 3 3" xfId="20610" xr:uid="{00000000-0005-0000-0000-000043510000}"/>
    <cellStyle name="Standard 4 3 2 4 4 2 2 4" xfId="20611" xr:uid="{00000000-0005-0000-0000-000044510000}"/>
    <cellStyle name="Standard 4 3 2 4 4 2 2 4 2" xfId="20612" xr:uid="{00000000-0005-0000-0000-000045510000}"/>
    <cellStyle name="Standard 4 3 2 4 4 2 2 5" xfId="20613" xr:uid="{00000000-0005-0000-0000-000046510000}"/>
    <cellStyle name="Standard 4 3 2 4 4 2 2 6" xfId="20614" xr:uid="{00000000-0005-0000-0000-000047510000}"/>
    <cellStyle name="Standard 4 3 2 4 4 2 3" xfId="20615" xr:uid="{00000000-0005-0000-0000-000048510000}"/>
    <cellStyle name="Standard 4 3 2 4 4 2 3 2" xfId="20616" xr:uid="{00000000-0005-0000-0000-000049510000}"/>
    <cellStyle name="Standard 4 3 2 4 4 2 3 3" xfId="20617" xr:uid="{00000000-0005-0000-0000-00004A510000}"/>
    <cellStyle name="Standard 4 3 2 4 4 2 4" xfId="20618" xr:uid="{00000000-0005-0000-0000-00004B510000}"/>
    <cellStyle name="Standard 4 3 2 4 4 2 4 2" xfId="20619" xr:uid="{00000000-0005-0000-0000-00004C510000}"/>
    <cellStyle name="Standard 4 3 2 4 4 2 4 3" xfId="20620" xr:uid="{00000000-0005-0000-0000-00004D510000}"/>
    <cellStyle name="Standard 4 3 2 4 4 2 5" xfId="20621" xr:uid="{00000000-0005-0000-0000-00004E510000}"/>
    <cellStyle name="Standard 4 3 2 4 4 2 5 2" xfId="20622" xr:uid="{00000000-0005-0000-0000-00004F510000}"/>
    <cellStyle name="Standard 4 3 2 4 4 2 6" xfId="20623" xr:uid="{00000000-0005-0000-0000-000050510000}"/>
    <cellStyle name="Standard 4 3 2 4 4 2 7" xfId="20624" xr:uid="{00000000-0005-0000-0000-000051510000}"/>
    <cellStyle name="Standard 4 3 2 4 4 3" xfId="20625" xr:uid="{00000000-0005-0000-0000-000052510000}"/>
    <cellStyle name="Standard 4 3 2 4 4 3 2" xfId="20626" xr:uid="{00000000-0005-0000-0000-000053510000}"/>
    <cellStyle name="Standard 4 3 2 4 4 3 2 2" xfId="20627" xr:uid="{00000000-0005-0000-0000-000054510000}"/>
    <cellStyle name="Standard 4 3 2 4 4 3 2 3" xfId="20628" xr:uid="{00000000-0005-0000-0000-000055510000}"/>
    <cellStyle name="Standard 4 3 2 4 4 3 3" xfId="20629" xr:uid="{00000000-0005-0000-0000-000056510000}"/>
    <cellStyle name="Standard 4 3 2 4 4 3 3 2" xfId="20630" xr:uid="{00000000-0005-0000-0000-000057510000}"/>
    <cellStyle name="Standard 4 3 2 4 4 3 3 3" xfId="20631" xr:uid="{00000000-0005-0000-0000-000058510000}"/>
    <cellStyle name="Standard 4 3 2 4 4 3 4" xfId="20632" xr:uid="{00000000-0005-0000-0000-000059510000}"/>
    <cellStyle name="Standard 4 3 2 4 4 3 4 2" xfId="20633" xr:uid="{00000000-0005-0000-0000-00005A510000}"/>
    <cellStyle name="Standard 4 3 2 4 4 3 5" xfId="20634" xr:uid="{00000000-0005-0000-0000-00005B510000}"/>
    <cellStyle name="Standard 4 3 2 4 4 3 6" xfId="20635" xr:uid="{00000000-0005-0000-0000-00005C510000}"/>
    <cellStyle name="Standard 4 3 2 4 4 4" xfId="20636" xr:uid="{00000000-0005-0000-0000-00005D510000}"/>
    <cellStyle name="Standard 4 3 2 4 4 4 2" xfId="20637" xr:uid="{00000000-0005-0000-0000-00005E510000}"/>
    <cellStyle name="Standard 4 3 2 4 4 4 3" xfId="20638" xr:uid="{00000000-0005-0000-0000-00005F510000}"/>
    <cellStyle name="Standard 4 3 2 4 4 5" xfId="20639" xr:uid="{00000000-0005-0000-0000-000060510000}"/>
    <cellStyle name="Standard 4 3 2 4 4 5 2" xfId="20640" xr:uid="{00000000-0005-0000-0000-000061510000}"/>
    <cellStyle name="Standard 4 3 2 4 4 5 3" xfId="20641" xr:uid="{00000000-0005-0000-0000-000062510000}"/>
    <cellStyle name="Standard 4 3 2 4 4 6" xfId="20642" xr:uid="{00000000-0005-0000-0000-000063510000}"/>
    <cellStyle name="Standard 4 3 2 4 4 6 2" xfId="20643" xr:uid="{00000000-0005-0000-0000-000064510000}"/>
    <cellStyle name="Standard 4 3 2 4 4 7" xfId="20644" xr:uid="{00000000-0005-0000-0000-000065510000}"/>
    <cellStyle name="Standard 4 3 2 4 4 8" xfId="20645" xr:uid="{00000000-0005-0000-0000-000066510000}"/>
    <cellStyle name="Standard 4 3 2 4 5" xfId="20646" xr:uid="{00000000-0005-0000-0000-000067510000}"/>
    <cellStyle name="Standard 4 3 2 4 5 2" xfId="20647" xr:uid="{00000000-0005-0000-0000-000068510000}"/>
    <cellStyle name="Standard 4 3 2 4 5 2 2" xfId="20648" xr:uid="{00000000-0005-0000-0000-000069510000}"/>
    <cellStyle name="Standard 4 3 2 4 5 2 2 2" xfId="20649" xr:uid="{00000000-0005-0000-0000-00006A510000}"/>
    <cellStyle name="Standard 4 3 2 4 5 2 2 2 2" xfId="20650" xr:uid="{00000000-0005-0000-0000-00006B510000}"/>
    <cellStyle name="Standard 4 3 2 4 5 2 2 2 3" xfId="20651" xr:uid="{00000000-0005-0000-0000-00006C510000}"/>
    <cellStyle name="Standard 4 3 2 4 5 2 2 3" xfId="20652" xr:uid="{00000000-0005-0000-0000-00006D510000}"/>
    <cellStyle name="Standard 4 3 2 4 5 2 2 3 2" xfId="20653" xr:uid="{00000000-0005-0000-0000-00006E510000}"/>
    <cellStyle name="Standard 4 3 2 4 5 2 2 3 3" xfId="20654" xr:uid="{00000000-0005-0000-0000-00006F510000}"/>
    <cellStyle name="Standard 4 3 2 4 5 2 2 4" xfId="20655" xr:uid="{00000000-0005-0000-0000-000070510000}"/>
    <cellStyle name="Standard 4 3 2 4 5 2 2 4 2" xfId="20656" xr:uid="{00000000-0005-0000-0000-000071510000}"/>
    <cellStyle name="Standard 4 3 2 4 5 2 2 5" xfId="20657" xr:uid="{00000000-0005-0000-0000-000072510000}"/>
    <cellStyle name="Standard 4 3 2 4 5 2 2 6" xfId="20658" xr:uid="{00000000-0005-0000-0000-000073510000}"/>
    <cellStyle name="Standard 4 3 2 4 5 2 3" xfId="20659" xr:uid="{00000000-0005-0000-0000-000074510000}"/>
    <cellStyle name="Standard 4 3 2 4 5 2 3 2" xfId="20660" xr:uid="{00000000-0005-0000-0000-000075510000}"/>
    <cellStyle name="Standard 4 3 2 4 5 2 3 3" xfId="20661" xr:uid="{00000000-0005-0000-0000-000076510000}"/>
    <cellStyle name="Standard 4 3 2 4 5 2 4" xfId="20662" xr:uid="{00000000-0005-0000-0000-000077510000}"/>
    <cellStyle name="Standard 4 3 2 4 5 2 4 2" xfId="20663" xr:uid="{00000000-0005-0000-0000-000078510000}"/>
    <cellStyle name="Standard 4 3 2 4 5 2 4 3" xfId="20664" xr:uid="{00000000-0005-0000-0000-000079510000}"/>
    <cellStyle name="Standard 4 3 2 4 5 2 5" xfId="20665" xr:uid="{00000000-0005-0000-0000-00007A510000}"/>
    <cellStyle name="Standard 4 3 2 4 5 2 5 2" xfId="20666" xr:uid="{00000000-0005-0000-0000-00007B510000}"/>
    <cellStyle name="Standard 4 3 2 4 5 2 6" xfId="20667" xr:uid="{00000000-0005-0000-0000-00007C510000}"/>
    <cellStyle name="Standard 4 3 2 4 5 2 7" xfId="20668" xr:uid="{00000000-0005-0000-0000-00007D510000}"/>
    <cellStyle name="Standard 4 3 2 4 5 3" xfId="20669" xr:uid="{00000000-0005-0000-0000-00007E510000}"/>
    <cellStyle name="Standard 4 3 2 4 5 3 2" xfId="20670" xr:uid="{00000000-0005-0000-0000-00007F510000}"/>
    <cellStyle name="Standard 4 3 2 4 5 3 2 2" xfId="20671" xr:uid="{00000000-0005-0000-0000-000080510000}"/>
    <cellStyle name="Standard 4 3 2 4 5 3 2 3" xfId="20672" xr:uid="{00000000-0005-0000-0000-000081510000}"/>
    <cellStyle name="Standard 4 3 2 4 5 3 3" xfId="20673" xr:uid="{00000000-0005-0000-0000-000082510000}"/>
    <cellStyle name="Standard 4 3 2 4 5 3 3 2" xfId="20674" xr:uid="{00000000-0005-0000-0000-000083510000}"/>
    <cellStyle name="Standard 4 3 2 4 5 3 3 3" xfId="20675" xr:uid="{00000000-0005-0000-0000-000084510000}"/>
    <cellStyle name="Standard 4 3 2 4 5 3 4" xfId="20676" xr:uid="{00000000-0005-0000-0000-000085510000}"/>
    <cellStyle name="Standard 4 3 2 4 5 3 4 2" xfId="20677" xr:uid="{00000000-0005-0000-0000-000086510000}"/>
    <cellStyle name="Standard 4 3 2 4 5 3 5" xfId="20678" xr:uid="{00000000-0005-0000-0000-000087510000}"/>
    <cellStyle name="Standard 4 3 2 4 5 3 6" xfId="20679" xr:uid="{00000000-0005-0000-0000-000088510000}"/>
    <cellStyle name="Standard 4 3 2 4 5 4" xfId="20680" xr:uid="{00000000-0005-0000-0000-000089510000}"/>
    <cellStyle name="Standard 4 3 2 4 5 4 2" xfId="20681" xr:uid="{00000000-0005-0000-0000-00008A510000}"/>
    <cellStyle name="Standard 4 3 2 4 5 4 3" xfId="20682" xr:uid="{00000000-0005-0000-0000-00008B510000}"/>
    <cellStyle name="Standard 4 3 2 4 5 5" xfId="20683" xr:uid="{00000000-0005-0000-0000-00008C510000}"/>
    <cellStyle name="Standard 4 3 2 4 5 5 2" xfId="20684" xr:uid="{00000000-0005-0000-0000-00008D510000}"/>
    <cellStyle name="Standard 4 3 2 4 5 5 3" xfId="20685" xr:uid="{00000000-0005-0000-0000-00008E510000}"/>
    <cellStyle name="Standard 4 3 2 4 5 6" xfId="20686" xr:uid="{00000000-0005-0000-0000-00008F510000}"/>
    <cellStyle name="Standard 4 3 2 4 5 6 2" xfId="20687" xr:uid="{00000000-0005-0000-0000-000090510000}"/>
    <cellStyle name="Standard 4 3 2 4 5 7" xfId="20688" xr:uid="{00000000-0005-0000-0000-000091510000}"/>
    <cellStyle name="Standard 4 3 2 4 5 8" xfId="20689" xr:uid="{00000000-0005-0000-0000-000092510000}"/>
    <cellStyle name="Standard 4 3 2 4 6" xfId="20690" xr:uid="{00000000-0005-0000-0000-000093510000}"/>
    <cellStyle name="Standard 4 3 2 4 6 2" xfId="20691" xr:uid="{00000000-0005-0000-0000-000094510000}"/>
    <cellStyle name="Standard 4 3 2 4 6 2 2" xfId="20692" xr:uid="{00000000-0005-0000-0000-000095510000}"/>
    <cellStyle name="Standard 4 3 2 4 6 2 2 2" xfId="20693" xr:uid="{00000000-0005-0000-0000-000096510000}"/>
    <cellStyle name="Standard 4 3 2 4 6 2 2 3" xfId="20694" xr:uid="{00000000-0005-0000-0000-000097510000}"/>
    <cellStyle name="Standard 4 3 2 4 6 2 3" xfId="20695" xr:uid="{00000000-0005-0000-0000-000098510000}"/>
    <cellStyle name="Standard 4 3 2 4 6 2 3 2" xfId="20696" xr:uid="{00000000-0005-0000-0000-000099510000}"/>
    <cellStyle name="Standard 4 3 2 4 6 2 3 3" xfId="20697" xr:uid="{00000000-0005-0000-0000-00009A510000}"/>
    <cellStyle name="Standard 4 3 2 4 6 2 4" xfId="20698" xr:uid="{00000000-0005-0000-0000-00009B510000}"/>
    <cellStyle name="Standard 4 3 2 4 6 2 4 2" xfId="20699" xr:uid="{00000000-0005-0000-0000-00009C510000}"/>
    <cellStyle name="Standard 4 3 2 4 6 2 5" xfId="20700" xr:uid="{00000000-0005-0000-0000-00009D510000}"/>
    <cellStyle name="Standard 4 3 2 4 6 2 6" xfId="20701" xr:uid="{00000000-0005-0000-0000-00009E510000}"/>
    <cellStyle name="Standard 4 3 2 4 6 3" xfId="20702" xr:uid="{00000000-0005-0000-0000-00009F510000}"/>
    <cellStyle name="Standard 4 3 2 4 6 3 2" xfId="20703" xr:uid="{00000000-0005-0000-0000-0000A0510000}"/>
    <cellStyle name="Standard 4 3 2 4 6 3 3" xfId="20704" xr:uid="{00000000-0005-0000-0000-0000A1510000}"/>
    <cellStyle name="Standard 4 3 2 4 6 4" xfId="20705" xr:uid="{00000000-0005-0000-0000-0000A2510000}"/>
    <cellStyle name="Standard 4 3 2 4 6 4 2" xfId="20706" xr:uid="{00000000-0005-0000-0000-0000A3510000}"/>
    <cellStyle name="Standard 4 3 2 4 6 4 3" xfId="20707" xr:uid="{00000000-0005-0000-0000-0000A4510000}"/>
    <cellStyle name="Standard 4 3 2 4 6 5" xfId="20708" xr:uid="{00000000-0005-0000-0000-0000A5510000}"/>
    <cellStyle name="Standard 4 3 2 4 6 5 2" xfId="20709" xr:uid="{00000000-0005-0000-0000-0000A6510000}"/>
    <cellStyle name="Standard 4 3 2 4 6 6" xfId="20710" xr:uid="{00000000-0005-0000-0000-0000A7510000}"/>
    <cellStyle name="Standard 4 3 2 4 6 7" xfId="20711" xr:uid="{00000000-0005-0000-0000-0000A8510000}"/>
    <cellStyle name="Standard 4 3 2 4 7" xfId="20712" xr:uid="{00000000-0005-0000-0000-0000A9510000}"/>
    <cellStyle name="Standard 4 3 2 4 7 2" xfId="20713" xr:uid="{00000000-0005-0000-0000-0000AA510000}"/>
    <cellStyle name="Standard 4 3 2 4 7 2 2" xfId="20714" xr:uid="{00000000-0005-0000-0000-0000AB510000}"/>
    <cellStyle name="Standard 4 3 2 4 7 2 3" xfId="20715" xr:uid="{00000000-0005-0000-0000-0000AC510000}"/>
    <cellStyle name="Standard 4 3 2 4 7 3" xfId="20716" xr:uid="{00000000-0005-0000-0000-0000AD510000}"/>
    <cellStyle name="Standard 4 3 2 4 7 3 2" xfId="20717" xr:uid="{00000000-0005-0000-0000-0000AE510000}"/>
    <cellStyle name="Standard 4 3 2 4 7 3 3" xfId="20718" xr:uid="{00000000-0005-0000-0000-0000AF510000}"/>
    <cellStyle name="Standard 4 3 2 4 7 4" xfId="20719" xr:uid="{00000000-0005-0000-0000-0000B0510000}"/>
    <cellStyle name="Standard 4 3 2 4 7 4 2" xfId="20720" xr:uid="{00000000-0005-0000-0000-0000B1510000}"/>
    <cellStyle name="Standard 4 3 2 4 7 5" xfId="20721" xr:uid="{00000000-0005-0000-0000-0000B2510000}"/>
    <cellStyle name="Standard 4 3 2 4 7 6" xfId="20722" xr:uid="{00000000-0005-0000-0000-0000B3510000}"/>
    <cellStyle name="Standard 4 3 2 4 8" xfId="20723" xr:uid="{00000000-0005-0000-0000-0000B4510000}"/>
    <cellStyle name="Standard 4 3 2 4 8 2" xfId="20724" xr:uid="{00000000-0005-0000-0000-0000B5510000}"/>
    <cellStyle name="Standard 4 3 2 4 8 3" xfId="20725" xr:uid="{00000000-0005-0000-0000-0000B6510000}"/>
    <cellStyle name="Standard 4 3 2 4 9" xfId="20726" xr:uid="{00000000-0005-0000-0000-0000B7510000}"/>
    <cellStyle name="Standard 4 3 2 4 9 2" xfId="20727" xr:uid="{00000000-0005-0000-0000-0000B8510000}"/>
    <cellStyle name="Standard 4 3 2 4 9 3" xfId="20728" xr:uid="{00000000-0005-0000-0000-0000B9510000}"/>
    <cellStyle name="Standard 4 3 2 5" xfId="20729" xr:uid="{00000000-0005-0000-0000-0000BA510000}"/>
    <cellStyle name="Standard 4 3 2 5 10" xfId="20730" xr:uid="{00000000-0005-0000-0000-0000BB510000}"/>
    <cellStyle name="Standard 4 3 2 5 11" xfId="20731" xr:uid="{00000000-0005-0000-0000-0000BC510000}"/>
    <cellStyle name="Standard 4 3 2 5 2" xfId="20732" xr:uid="{00000000-0005-0000-0000-0000BD510000}"/>
    <cellStyle name="Standard 4 3 2 5 2 10" xfId="20733" xr:uid="{00000000-0005-0000-0000-0000BE510000}"/>
    <cellStyle name="Standard 4 3 2 5 2 2" xfId="20734" xr:uid="{00000000-0005-0000-0000-0000BF510000}"/>
    <cellStyle name="Standard 4 3 2 5 2 2 2" xfId="20735" xr:uid="{00000000-0005-0000-0000-0000C0510000}"/>
    <cellStyle name="Standard 4 3 2 5 2 2 2 2" xfId="20736" xr:uid="{00000000-0005-0000-0000-0000C1510000}"/>
    <cellStyle name="Standard 4 3 2 5 2 2 2 2 2" xfId="20737" xr:uid="{00000000-0005-0000-0000-0000C2510000}"/>
    <cellStyle name="Standard 4 3 2 5 2 2 2 2 2 2" xfId="20738" xr:uid="{00000000-0005-0000-0000-0000C3510000}"/>
    <cellStyle name="Standard 4 3 2 5 2 2 2 2 2 3" xfId="20739" xr:uid="{00000000-0005-0000-0000-0000C4510000}"/>
    <cellStyle name="Standard 4 3 2 5 2 2 2 2 3" xfId="20740" xr:uid="{00000000-0005-0000-0000-0000C5510000}"/>
    <cellStyle name="Standard 4 3 2 5 2 2 2 2 3 2" xfId="20741" xr:uid="{00000000-0005-0000-0000-0000C6510000}"/>
    <cellStyle name="Standard 4 3 2 5 2 2 2 2 3 3" xfId="20742" xr:uid="{00000000-0005-0000-0000-0000C7510000}"/>
    <cellStyle name="Standard 4 3 2 5 2 2 2 2 4" xfId="20743" xr:uid="{00000000-0005-0000-0000-0000C8510000}"/>
    <cellStyle name="Standard 4 3 2 5 2 2 2 2 4 2" xfId="20744" xr:uid="{00000000-0005-0000-0000-0000C9510000}"/>
    <cellStyle name="Standard 4 3 2 5 2 2 2 2 5" xfId="20745" xr:uid="{00000000-0005-0000-0000-0000CA510000}"/>
    <cellStyle name="Standard 4 3 2 5 2 2 2 2 6" xfId="20746" xr:uid="{00000000-0005-0000-0000-0000CB510000}"/>
    <cellStyle name="Standard 4 3 2 5 2 2 2 3" xfId="20747" xr:uid="{00000000-0005-0000-0000-0000CC510000}"/>
    <cellStyle name="Standard 4 3 2 5 2 2 2 3 2" xfId="20748" xr:uid="{00000000-0005-0000-0000-0000CD510000}"/>
    <cellStyle name="Standard 4 3 2 5 2 2 2 3 3" xfId="20749" xr:uid="{00000000-0005-0000-0000-0000CE510000}"/>
    <cellStyle name="Standard 4 3 2 5 2 2 2 4" xfId="20750" xr:uid="{00000000-0005-0000-0000-0000CF510000}"/>
    <cellStyle name="Standard 4 3 2 5 2 2 2 4 2" xfId="20751" xr:uid="{00000000-0005-0000-0000-0000D0510000}"/>
    <cellStyle name="Standard 4 3 2 5 2 2 2 4 3" xfId="20752" xr:uid="{00000000-0005-0000-0000-0000D1510000}"/>
    <cellStyle name="Standard 4 3 2 5 2 2 2 5" xfId="20753" xr:uid="{00000000-0005-0000-0000-0000D2510000}"/>
    <cellStyle name="Standard 4 3 2 5 2 2 2 5 2" xfId="20754" xr:uid="{00000000-0005-0000-0000-0000D3510000}"/>
    <cellStyle name="Standard 4 3 2 5 2 2 2 6" xfId="20755" xr:uid="{00000000-0005-0000-0000-0000D4510000}"/>
    <cellStyle name="Standard 4 3 2 5 2 2 2 7" xfId="20756" xr:uid="{00000000-0005-0000-0000-0000D5510000}"/>
    <cellStyle name="Standard 4 3 2 5 2 2 3" xfId="20757" xr:uid="{00000000-0005-0000-0000-0000D6510000}"/>
    <cellStyle name="Standard 4 3 2 5 2 2 3 2" xfId="20758" xr:uid="{00000000-0005-0000-0000-0000D7510000}"/>
    <cellStyle name="Standard 4 3 2 5 2 2 3 2 2" xfId="20759" xr:uid="{00000000-0005-0000-0000-0000D8510000}"/>
    <cellStyle name="Standard 4 3 2 5 2 2 3 2 3" xfId="20760" xr:uid="{00000000-0005-0000-0000-0000D9510000}"/>
    <cellStyle name="Standard 4 3 2 5 2 2 3 3" xfId="20761" xr:uid="{00000000-0005-0000-0000-0000DA510000}"/>
    <cellStyle name="Standard 4 3 2 5 2 2 3 3 2" xfId="20762" xr:uid="{00000000-0005-0000-0000-0000DB510000}"/>
    <cellStyle name="Standard 4 3 2 5 2 2 3 3 3" xfId="20763" xr:uid="{00000000-0005-0000-0000-0000DC510000}"/>
    <cellStyle name="Standard 4 3 2 5 2 2 3 4" xfId="20764" xr:uid="{00000000-0005-0000-0000-0000DD510000}"/>
    <cellStyle name="Standard 4 3 2 5 2 2 3 4 2" xfId="20765" xr:uid="{00000000-0005-0000-0000-0000DE510000}"/>
    <cellStyle name="Standard 4 3 2 5 2 2 3 5" xfId="20766" xr:uid="{00000000-0005-0000-0000-0000DF510000}"/>
    <cellStyle name="Standard 4 3 2 5 2 2 3 6" xfId="20767" xr:uid="{00000000-0005-0000-0000-0000E0510000}"/>
    <cellStyle name="Standard 4 3 2 5 2 2 4" xfId="20768" xr:uid="{00000000-0005-0000-0000-0000E1510000}"/>
    <cellStyle name="Standard 4 3 2 5 2 2 4 2" xfId="20769" xr:uid="{00000000-0005-0000-0000-0000E2510000}"/>
    <cellStyle name="Standard 4 3 2 5 2 2 4 3" xfId="20770" xr:uid="{00000000-0005-0000-0000-0000E3510000}"/>
    <cellStyle name="Standard 4 3 2 5 2 2 5" xfId="20771" xr:uid="{00000000-0005-0000-0000-0000E4510000}"/>
    <cellStyle name="Standard 4 3 2 5 2 2 5 2" xfId="20772" xr:uid="{00000000-0005-0000-0000-0000E5510000}"/>
    <cellStyle name="Standard 4 3 2 5 2 2 5 3" xfId="20773" xr:uid="{00000000-0005-0000-0000-0000E6510000}"/>
    <cellStyle name="Standard 4 3 2 5 2 2 6" xfId="20774" xr:uid="{00000000-0005-0000-0000-0000E7510000}"/>
    <cellStyle name="Standard 4 3 2 5 2 2 6 2" xfId="20775" xr:uid="{00000000-0005-0000-0000-0000E8510000}"/>
    <cellStyle name="Standard 4 3 2 5 2 2 7" xfId="20776" xr:uid="{00000000-0005-0000-0000-0000E9510000}"/>
    <cellStyle name="Standard 4 3 2 5 2 2 8" xfId="20777" xr:uid="{00000000-0005-0000-0000-0000EA510000}"/>
    <cellStyle name="Standard 4 3 2 5 2 3" xfId="20778" xr:uid="{00000000-0005-0000-0000-0000EB510000}"/>
    <cellStyle name="Standard 4 3 2 5 2 3 2" xfId="20779" xr:uid="{00000000-0005-0000-0000-0000EC510000}"/>
    <cellStyle name="Standard 4 3 2 5 2 3 2 2" xfId="20780" xr:uid="{00000000-0005-0000-0000-0000ED510000}"/>
    <cellStyle name="Standard 4 3 2 5 2 3 2 2 2" xfId="20781" xr:uid="{00000000-0005-0000-0000-0000EE510000}"/>
    <cellStyle name="Standard 4 3 2 5 2 3 2 2 2 2" xfId="20782" xr:uid="{00000000-0005-0000-0000-0000EF510000}"/>
    <cellStyle name="Standard 4 3 2 5 2 3 2 2 2 3" xfId="20783" xr:uid="{00000000-0005-0000-0000-0000F0510000}"/>
    <cellStyle name="Standard 4 3 2 5 2 3 2 2 3" xfId="20784" xr:uid="{00000000-0005-0000-0000-0000F1510000}"/>
    <cellStyle name="Standard 4 3 2 5 2 3 2 2 3 2" xfId="20785" xr:uid="{00000000-0005-0000-0000-0000F2510000}"/>
    <cellStyle name="Standard 4 3 2 5 2 3 2 2 3 3" xfId="20786" xr:uid="{00000000-0005-0000-0000-0000F3510000}"/>
    <cellStyle name="Standard 4 3 2 5 2 3 2 2 4" xfId="20787" xr:uid="{00000000-0005-0000-0000-0000F4510000}"/>
    <cellStyle name="Standard 4 3 2 5 2 3 2 2 4 2" xfId="20788" xr:uid="{00000000-0005-0000-0000-0000F5510000}"/>
    <cellStyle name="Standard 4 3 2 5 2 3 2 2 5" xfId="20789" xr:uid="{00000000-0005-0000-0000-0000F6510000}"/>
    <cellStyle name="Standard 4 3 2 5 2 3 2 2 6" xfId="20790" xr:uid="{00000000-0005-0000-0000-0000F7510000}"/>
    <cellStyle name="Standard 4 3 2 5 2 3 2 3" xfId="20791" xr:uid="{00000000-0005-0000-0000-0000F8510000}"/>
    <cellStyle name="Standard 4 3 2 5 2 3 2 3 2" xfId="20792" xr:uid="{00000000-0005-0000-0000-0000F9510000}"/>
    <cellStyle name="Standard 4 3 2 5 2 3 2 3 3" xfId="20793" xr:uid="{00000000-0005-0000-0000-0000FA510000}"/>
    <cellStyle name="Standard 4 3 2 5 2 3 2 4" xfId="20794" xr:uid="{00000000-0005-0000-0000-0000FB510000}"/>
    <cellStyle name="Standard 4 3 2 5 2 3 2 4 2" xfId="20795" xr:uid="{00000000-0005-0000-0000-0000FC510000}"/>
    <cellStyle name="Standard 4 3 2 5 2 3 2 4 3" xfId="20796" xr:uid="{00000000-0005-0000-0000-0000FD510000}"/>
    <cellStyle name="Standard 4 3 2 5 2 3 2 5" xfId="20797" xr:uid="{00000000-0005-0000-0000-0000FE510000}"/>
    <cellStyle name="Standard 4 3 2 5 2 3 2 5 2" xfId="20798" xr:uid="{00000000-0005-0000-0000-0000FF510000}"/>
    <cellStyle name="Standard 4 3 2 5 2 3 2 6" xfId="20799" xr:uid="{00000000-0005-0000-0000-000000520000}"/>
    <cellStyle name="Standard 4 3 2 5 2 3 2 7" xfId="20800" xr:uid="{00000000-0005-0000-0000-000001520000}"/>
    <cellStyle name="Standard 4 3 2 5 2 3 3" xfId="20801" xr:uid="{00000000-0005-0000-0000-000002520000}"/>
    <cellStyle name="Standard 4 3 2 5 2 3 3 2" xfId="20802" xr:uid="{00000000-0005-0000-0000-000003520000}"/>
    <cellStyle name="Standard 4 3 2 5 2 3 3 2 2" xfId="20803" xr:uid="{00000000-0005-0000-0000-000004520000}"/>
    <cellStyle name="Standard 4 3 2 5 2 3 3 2 3" xfId="20804" xr:uid="{00000000-0005-0000-0000-000005520000}"/>
    <cellStyle name="Standard 4 3 2 5 2 3 3 3" xfId="20805" xr:uid="{00000000-0005-0000-0000-000006520000}"/>
    <cellStyle name="Standard 4 3 2 5 2 3 3 3 2" xfId="20806" xr:uid="{00000000-0005-0000-0000-000007520000}"/>
    <cellStyle name="Standard 4 3 2 5 2 3 3 3 3" xfId="20807" xr:uid="{00000000-0005-0000-0000-000008520000}"/>
    <cellStyle name="Standard 4 3 2 5 2 3 3 4" xfId="20808" xr:uid="{00000000-0005-0000-0000-000009520000}"/>
    <cellStyle name="Standard 4 3 2 5 2 3 3 4 2" xfId="20809" xr:uid="{00000000-0005-0000-0000-00000A520000}"/>
    <cellStyle name="Standard 4 3 2 5 2 3 3 5" xfId="20810" xr:uid="{00000000-0005-0000-0000-00000B520000}"/>
    <cellStyle name="Standard 4 3 2 5 2 3 3 6" xfId="20811" xr:uid="{00000000-0005-0000-0000-00000C520000}"/>
    <cellStyle name="Standard 4 3 2 5 2 3 4" xfId="20812" xr:uid="{00000000-0005-0000-0000-00000D520000}"/>
    <cellStyle name="Standard 4 3 2 5 2 3 4 2" xfId="20813" xr:uid="{00000000-0005-0000-0000-00000E520000}"/>
    <cellStyle name="Standard 4 3 2 5 2 3 4 3" xfId="20814" xr:uid="{00000000-0005-0000-0000-00000F520000}"/>
    <cellStyle name="Standard 4 3 2 5 2 3 5" xfId="20815" xr:uid="{00000000-0005-0000-0000-000010520000}"/>
    <cellStyle name="Standard 4 3 2 5 2 3 5 2" xfId="20816" xr:uid="{00000000-0005-0000-0000-000011520000}"/>
    <cellStyle name="Standard 4 3 2 5 2 3 5 3" xfId="20817" xr:uid="{00000000-0005-0000-0000-000012520000}"/>
    <cellStyle name="Standard 4 3 2 5 2 3 6" xfId="20818" xr:uid="{00000000-0005-0000-0000-000013520000}"/>
    <cellStyle name="Standard 4 3 2 5 2 3 6 2" xfId="20819" xr:uid="{00000000-0005-0000-0000-000014520000}"/>
    <cellStyle name="Standard 4 3 2 5 2 3 7" xfId="20820" xr:uid="{00000000-0005-0000-0000-000015520000}"/>
    <cellStyle name="Standard 4 3 2 5 2 3 8" xfId="20821" xr:uid="{00000000-0005-0000-0000-000016520000}"/>
    <cellStyle name="Standard 4 3 2 5 2 4" xfId="20822" xr:uid="{00000000-0005-0000-0000-000017520000}"/>
    <cellStyle name="Standard 4 3 2 5 2 4 2" xfId="20823" xr:uid="{00000000-0005-0000-0000-000018520000}"/>
    <cellStyle name="Standard 4 3 2 5 2 4 2 2" xfId="20824" xr:uid="{00000000-0005-0000-0000-000019520000}"/>
    <cellStyle name="Standard 4 3 2 5 2 4 2 2 2" xfId="20825" xr:uid="{00000000-0005-0000-0000-00001A520000}"/>
    <cellStyle name="Standard 4 3 2 5 2 4 2 2 3" xfId="20826" xr:uid="{00000000-0005-0000-0000-00001B520000}"/>
    <cellStyle name="Standard 4 3 2 5 2 4 2 3" xfId="20827" xr:uid="{00000000-0005-0000-0000-00001C520000}"/>
    <cellStyle name="Standard 4 3 2 5 2 4 2 3 2" xfId="20828" xr:uid="{00000000-0005-0000-0000-00001D520000}"/>
    <cellStyle name="Standard 4 3 2 5 2 4 2 3 3" xfId="20829" xr:uid="{00000000-0005-0000-0000-00001E520000}"/>
    <cellStyle name="Standard 4 3 2 5 2 4 2 4" xfId="20830" xr:uid="{00000000-0005-0000-0000-00001F520000}"/>
    <cellStyle name="Standard 4 3 2 5 2 4 2 4 2" xfId="20831" xr:uid="{00000000-0005-0000-0000-000020520000}"/>
    <cellStyle name="Standard 4 3 2 5 2 4 2 5" xfId="20832" xr:uid="{00000000-0005-0000-0000-000021520000}"/>
    <cellStyle name="Standard 4 3 2 5 2 4 2 6" xfId="20833" xr:uid="{00000000-0005-0000-0000-000022520000}"/>
    <cellStyle name="Standard 4 3 2 5 2 4 3" xfId="20834" xr:uid="{00000000-0005-0000-0000-000023520000}"/>
    <cellStyle name="Standard 4 3 2 5 2 4 3 2" xfId="20835" xr:uid="{00000000-0005-0000-0000-000024520000}"/>
    <cellStyle name="Standard 4 3 2 5 2 4 3 3" xfId="20836" xr:uid="{00000000-0005-0000-0000-000025520000}"/>
    <cellStyle name="Standard 4 3 2 5 2 4 4" xfId="20837" xr:uid="{00000000-0005-0000-0000-000026520000}"/>
    <cellStyle name="Standard 4 3 2 5 2 4 4 2" xfId="20838" xr:uid="{00000000-0005-0000-0000-000027520000}"/>
    <cellStyle name="Standard 4 3 2 5 2 4 4 3" xfId="20839" xr:uid="{00000000-0005-0000-0000-000028520000}"/>
    <cellStyle name="Standard 4 3 2 5 2 4 5" xfId="20840" xr:uid="{00000000-0005-0000-0000-000029520000}"/>
    <cellStyle name="Standard 4 3 2 5 2 4 5 2" xfId="20841" xr:uid="{00000000-0005-0000-0000-00002A520000}"/>
    <cellStyle name="Standard 4 3 2 5 2 4 6" xfId="20842" xr:uid="{00000000-0005-0000-0000-00002B520000}"/>
    <cellStyle name="Standard 4 3 2 5 2 4 7" xfId="20843" xr:uid="{00000000-0005-0000-0000-00002C520000}"/>
    <cellStyle name="Standard 4 3 2 5 2 5" xfId="20844" xr:uid="{00000000-0005-0000-0000-00002D520000}"/>
    <cellStyle name="Standard 4 3 2 5 2 5 2" xfId="20845" xr:uid="{00000000-0005-0000-0000-00002E520000}"/>
    <cellStyle name="Standard 4 3 2 5 2 5 2 2" xfId="20846" xr:uid="{00000000-0005-0000-0000-00002F520000}"/>
    <cellStyle name="Standard 4 3 2 5 2 5 2 3" xfId="20847" xr:uid="{00000000-0005-0000-0000-000030520000}"/>
    <cellStyle name="Standard 4 3 2 5 2 5 3" xfId="20848" xr:uid="{00000000-0005-0000-0000-000031520000}"/>
    <cellStyle name="Standard 4 3 2 5 2 5 3 2" xfId="20849" xr:uid="{00000000-0005-0000-0000-000032520000}"/>
    <cellStyle name="Standard 4 3 2 5 2 5 3 3" xfId="20850" xr:uid="{00000000-0005-0000-0000-000033520000}"/>
    <cellStyle name="Standard 4 3 2 5 2 5 4" xfId="20851" xr:uid="{00000000-0005-0000-0000-000034520000}"/>
    <cellStyle name="Standard 4 3 2 5 2 5 4 2" xfId="20852" xr:uid="{00000000-0005-0000-0000-000035520000}"/>
    <cellStyle name="Standard 4 3 2 5 2 5 5" xfId="20853" xr:uid="{00000000-0005-0000-0000-000036520000}"/>
    <cellStyle name="Standard 4 3 2 5 2 5 6" xfId="20854" xr:uid="{00000000-0005-0000-0000-000037520000}"/>
    <cellStyle name="Standard 4 3 2 5 2 6" xfId="20855" xr:uid="{00000000-0005-0000-0000-000038520000}"/>
    <cellStyle name="Standard 4 3 2 5 2 6 2" xfId="20856" xr:uid="{00000000-0005-0000-0000-000039520000}"/>
    <cellStyle name="Standard 4 3 2 5 2 6 3" xfId="20857" xr:uid="{00000000-0005-0000-0000-00003A520000}"/>
    <cellStyle name="Standard 4 3 2 5 2 7" xfId="20858" xr:uid="{00000000-0005-0000-0000-00003B520000}"/>
    <cellStyle name="Standard 4 3 2 5 2 7 2" xfId="20859" xr:uid="{00000000-0005-0000-0000-00003C520000}"/>
    <cellStyle name="Standard 4 3 2 5 2 7 3" xfId="20860" xr:uid="{00000000-0005-0000-0000-00003D520000}"/>
    <cellStyle name="Standard 4 3 2 5 2 8" xfId="20861" xr:uid="{00000000-0005-0000-0000-00003E520000}"/>
    <cellStyle name="Standard 4 3 2 5 2 8 2" xfId="20862" xr:uid="{00000000-0005-0000-0000-00003F520000}"/>
    <cellStyle name="Standard 4 3 2 5 2 9" xfId="20863" xr:uid="{00000000-0005-0000-0000-000040520000}"/>
    <cellStyle name="Standard 4 3 2 5 3" xfId="20864" xr:uid="{00000000-0005-0000-0000-000041520000}"/>
    <cellStyle name="Standard 4 3 2 5 3 2" xfId="20865" xr:uid="{00000000-0005-0000-0000-000042520000}"/>
    <cellStyle name="Standard 4 3 2 5 3 2 2" xfId="20866" xr:uid="{00000000-0005-0000-0000-000043520000}"/>
    <cellStyle name="Standard 4 3 2 5 3 2 2 2" xfId="20867" xr:uid="{00000000-0005-0000-0000-000044520000}"/>
    <cellStyle name="Standard 4 3 2 5 3 2 2 2 2" xfId="20868" xr:uid="{00000000-0005-0000-0000-000045520000}"/>
    <cellStyle name="Standard 4 3 2 5 3 2 2 2 3" xfId="20869" xr:uid="{00000000-0005-0000-0000-000046520000}"/>
    <cellStyle name="Standard 4 3 2 5 3 2 2 3" xfId="20870" xr:uid="{00000000-0005-0000-0000-000047520000}"/>
    <cellStyle name="Standard 4 3 2 5 3 2 2 3 2" xfId="20871" xr:uid="{00000000-0005-0000-0000-000048520000}"/>
    <cellStyle name="Standard 4 3 2 5 3 2 2 3 3" xfId="20872" xr:uid="{00000000-0005-0000-0000-000049520000}"/>
    <cellStyle name="Standard 4 3 2 5 3 2 2 4" xfId="20873" xr:uid="{00000000-0005-0000-0000-00004A520000}"/>
    <cellStyle name="Standard 4 3 2 5 3 2 2 4 2" xfId="20874" xr:uid="{00000000-0005-0000-0000-00004B520000}"/>
    <cellStyle name="Standard 4 3 2 5 3 2 2 5" xfId="20875" xr:uid="{00000000-0005-0000-0000-00004C520000}"/>
    <cellStyle name="Standard 4 3 2 5 3 2 2 6" xfId="20876" xr:uid="{00000000-0005-0000-0000-00004D520000}"/>
    <cellStyle name="Standard 4 3 2 5 3 2 3" xfId="20877" xr:uid="{00000000-0005-0000-0000-00004E520000}"/>
    <cellStyle name="Standard 4 3 2 5 3 2 3 2" xfId="20878" xr:uid="{00000000-0005-0000-0000-00004F520000}"/>
    <cellStyle name="Standard 4 3 2 5 3 2 3 3" xfId="20879" xr:uid="{00000000-0005-0000-0000-000050520000}"/>
    <cellStyle name="Standard 4 3 2 5 3 2 4" xfId="20880" xr:uid="{00000000-0005-0000-0000-000051520000}"/>
    <cellStyle name="Standard 4 3 2 5 3 2 4 2" xfId="20881" xr:uid="{00000000-0005-0000-0000-000052520000}"/>
    <cellStyle name="Standard 4 3 2 5 3 2 4 3" xfId="20882" xr:uid="{00000000-0005-0000-0000-000053520000}"/>
    <cellStyle name="Standard 4 3 2 5 3 2 5" xfId="20883" xr:uid="{00000000-0005-0000-0000-000054520000}"/>
    <cellStyle name="Standard 4 3 2 5 3 2 5 2" xfId="20884" xr:uid="{00000000-0005-0000-0000-000055520000}"/>
    <cellStyle name="Standard 4 3 2 5 3 2 6" xfId="20885" xr:uid="{00000000-0005-0000-0000-000056520000}"/>
    <cellStyle name="Standard 4 3 2 5 3 2 7" xfId="20886" xr:uid="{00000000-0005-0000-0000-000057520000}"/>
    <cellStyle name="Standard 4 3 2 5 3 3" xfId="20887" xr:uid="{00000000-0005-0000-0000-000058520000}"/>
    <cellStyle name="Standard 4 3 2 5 3 3 2" xfId="20888" xr:uid="{00000000-0005-0000-0000-000059520000}"/>
    <cellStyle name="Standard 4 3 2 5 3 3 2 2" xfId="20889" xr:uid="{00000000-0005-0000-0000-00005A520000}"/>
    <cellStyle name="Standard 4 3 2 5 3 3 2 3" xfId="20890" xr:uid="{00000000-0005-0000-0000-00005B520000}"/>
    <cellStyle name="Standard 4 3 2 5 3 3 3" xfId="20891" xr:uid="{00000000-0005-0000-0000-00005C520000}"/>
    <cellStyle name="Standard 4 3 2 5 3 3 3 2" xfId="20892" xr:uid="{00000000-0005-0000-0000-00005D520000}"/>
    <cellStyle name="Standard 4 3 2 5 3 3 3 3" xfId="20893" xr:uid="{00000000-0005-0000-0000-00005E520000}"/>
    <cellStyle name="Standard 4 3 2 5 3 3 4" xfId="20894" xr:uid="{00000000-0005-0000-0000-00005F520000}"/>
    <cellStyle name="Standard 4 3 2 5 3 3 4 2" xfId="20895" xr:uid="{00000000-0005-0000-0000-000060520000}"/>
    <cellStyle name="Standard 4 3 2 5 3 3 5" xfId="20896" xr:uid="{00000000-0005-0000-0000-000061520000}"/>
    <cellStyle name="Standard 4 3 2 5 3 3 6" xfId="20897" xr:uid="{00000000-0005-0000-0000-000062520000}"/>
    <cellStyle name="Standard 4 3 2 5 3 4" xfId="20898" xr:uid="{00000000-0005-0000-0000-000063520000}"/>
    <cellStyle name="Standard 4 3 2 5 3 4 2" xfId="20899" xr:uid="{00000000-0005-0000-0000-000064520000}"/>
    <cellStyle name="Standard 4 3 2 5 3 4 3" xfId="20900" xr:uid="{00000000-0005-0000-0000-000065520000}"/>
    <cellStyle name="Standard 4 3 2 5 3 5" xfId="20901" xr:uid="{00000000-0005-0000-0000-000066520000}"/>
    <cellStyle name="Standard 4 3 2 5 3 5 2" xfId="20902" xr:uid="{00000000-0005-0000-0000-000067520000}"/>
    <cellStyle name="Standard 4 3 2 5 3 5 3" xfId="20903" xr:uid="{00000000-0005-0000-0000-000068520000}"/>
    <cellStyle name="Standard 4 3 2 5 3 6" xfId="20904" xr:uid="{00000000-0005-0000-0000-000069520000}"/>
    <cellStyle name="Standard 4 3 2 5 3 6 2" xfId="20905" xr:uid="{00000000-0005-0000-0000-00006A520000}"/>
    <cellStyle name="Standard 4 3 2 5 3 7" xfId="20906" xr:uid="{00000000-0005-0000-0000-00006B520000}"/>
    <cellStyle name="Standard 4 3 2 5 3 8" xfId="20907" xr:uid="{00000000-0005-0000-0000-00006C520000}"/>
    <cellStyle name="Standard 4 3 2 5 4" xfId="20908" xr:uid="{00000000-0005-0000-0000-00006D520000}"/>
    <cellStyle name="Standard 4 3 2 5 4 2" xfId="20909" xr:uid="{00000000-0005-0000-0000-00006E520000}"/>
    <cellStyle name="Standard 4 3 2 5 4 2 2" xfId="20910" xr:uid="{00000000-0005-0000-0000-00006F520000}"/>
    <cellStyle name="Standard 4 3 2 5 4 2 2 2" xfId="20911" xr:uid="{00000000-0005-0000-0000-000070520000}"/>
    <cellStyle name="Standard 4 3 2 5 4 2 2 2 2" xfId="20912" xr:uid="{00000000-0005-0000-0000-000071520000}"/>
    <cellStyle name="Standard 4 3 2 5 4 2 2 2 3" xfId="20913" xr:uid="{00000000-0005-0000-0000-000072520000}"/>
    <cellStyle name="Standard 4 3 2 5 4 2 2 3" xfId="20914" xr:uid="{00000000-0005-0000-0000-000073520000}"/>
    <cellStyle name="Standard 4 3 2 5 4 2 2 3 2" xfId="20915" xr:uid="{00000000-0005-0000-0000-000074520000}"/>
    <cellStyle name="Standard 4 3 2 5 4 2 2 3 3" xfId="20916" xr:uid="{00000000-0005-0000-0000-000075520000}"/>
    <cellStyle name="Standard 4 3 2 5 4 2 2 4" xfId="20917" xr:uid="{00000000-0005-0000-0000-000076520000}"/>
    <cellStyle name="Standard 4 3 2 5 4 2 2 4 2" xfId="20918" xr:uid="{00000000-0005-0000-0000-000077520000}"/>
    <cellStyle name="Standard 4 3 2 5 4 2 2 5" xfId="20919" xr:uid="{00000000-0005-0000-0000-000078520000}"/>
    <cellStyle name="Standard 4 3 2 5 4 2 2 6" xfId="20920" xr:uid="{00000000-0005-0000-0000-000079520000}"/>
    <cellStyle name="Standard 4 3 2 5 4 2 3" xfId="20921" xr:uid="{00000000-0005-0000-0000-00007A520000}"/>
    <cellStyle name="Standard 4 3 2 5 4 2 3 2" xfId="20922" xr:uid="{00000000-0005-0000-0000-00007B520000}"/>
    <cellStyle name="Standard 4 3 2 5 4 2 3 3" xfId="20923" xr:uid="{00000000-0005-0000-0000-00007C520000}"/>
    <cellStyle name="Standard 4 3 2 5 4 2 4" xfId="20924" xr:uid="{00000000-0005-0000-0000-00007D520000}"/>
    <cellStyle name="Standard 4 3 2 5 4 2 4 2" xfId="20925" xr:uid="{00000000-0005-0000-0000-00007E520000}"/>
    <cellStyle name="Standard 4 3 2 5 4 2 4 3" xfId="20926" xr:uid="{00000000-0005-0000-0000-00007F520000}"/>
    <cellStyle name="Standard 4 3 2 5 4 2 5" xfId="20927" xr:uid="{00000000-0005-0000-0000-000080520000}"/>
    <cellStyle name="Standard 4 3 2 5 4 2 5 2" xfId="20928" xr:uid="{00000000-0005-0000-0000-000081520000}"/>
    <cellStyle name="Standard 4 3 2 5 4 2 6" xfId="20929" xr:uid="{00000000-0005-0000-0000-000082520000}"/>
    <cellStyle name="Standard 4 3 2 5 4 2 7" xfId="20930" xr:uid="{00000000-0005-0000-0000-000083520000}"/>
    <cellStyle name="Standard 4 3 2 5 4 3" xfId="20931" xr:uid="{00000000-0005-0000-0000-000084520000}"/>
    <cellStyle name="Standard 4 3 2 5 4 3 2" xfId="20932" xr:uid="{00000000-0005-0000-0000-000085520000}"/>
    <cellStyle name="Standard 4 3 2 5 4 3 2 2" xfId="20933" xr:uid="{00000000-0005-0000-0000-000086520000}"/>
    <cellStyle name="Standard 4 3 2 5 4 3 2 3" xfId="20934" xr:uid="{00000000-0005-0000-0000-000087520000}"/>
    <cellStyle name="Standard 4 3 2 5 4 3 3" xfId="20935" xr:uid="{00000000-0005-0000-0000-000088520000}"/>
    <cellStyle name="Standard 4 3 2 5 4 3 3 2" xfId="20936" xr:uid="{00000000-0005-0000-0000-000089520000}"/>
    <cellStyle name="Standard 4 3 2 5 4 3 3 3" xfId="20937" xr:uid="{00000000-0005-0000-0000-00008A520000}"/>
    <cellStyle name="Standard 4 3 2 5 4 3 4" xfId="20938" xr:uid="{00000000-0005-0000-0000-00008B520000}"/>
    <cellStyle name="Standard 4 3 2 5 4 3 4 2" xfId="20939" xr:uid="{00000000-0005-0000-0000-00008C520000}"/>
    <cellStyle name="Standard 4 3 2 5 4 3 5" xfId="20940" xr:uid="{00000000-0005-0000-0000-00008D520000}"/>
    <cellStyle name="Standard 4 3 2 5 4 3 6" xfId="20941" xr:uid="{00000000-0005-0000-0000-00008E520000}"/>
    <cellStyle name="Standard 4 3 2 5 4 4" xfId="20942" xr:uid="{00000000-0005-0000-0000-00008F520000}"/>
    <cellStyle name="Standard 4 3 2 5 4 4 2" xfId="20943" xr:uid="{00000000-0005-0000-0000-000090520000}"/>
    <cellStyle name="Standard 4 3 2 5 4 4 3" xfId="20944" xr:uid="{00000000-0005-0000-0000-000091520000}"/>
    <cellStyle name="Standard 4 3 2 5 4 5" xfId="20945" xr:uid="{00000000-0005-0000-0000-000092520000}"/>
    <cellStyle name="Standard 4 3 2 5 4 5 2" xfId="20946" xr:uid="{00000000-0005-0000-0000-000093520000}"/>
    <cellStyle name="Standard 4 3 2 5 4 5 3" xfId="20947" xr:uid="{00000000-0005-0000-0000-000094520000}"/>
    <cellStyle name="Standard 4 3 2 5 4 6" xfId="20948" xr:uid="{00000000-0005-0000-0000-000095520000}"/>
    <cellStyle name="Standard 4 3 2 5 4 6 2" xfId="20949" xr:uid="{00000000-0005-0000-0000-000096520000}"/>
    <cellStyle name="Standard 4 3 2 5 4 7" xfId="20950" xr:uid="{00000000-0005-0000-0000-000097520000}"/>
    <cellStyle name="Standard 4 3 2 5 4 8" xfId="20951" xr:uid="{00000000-0005-0000-0000-000098520000}"/>
    <cellStyle name="Standard 4 3 2 5 5" xfId="20952" xr:uid="{00000000-0005-0000-0000-000099520000}"/>
    <cellStyle name="Standard 4 3 2 5 5 2" xfId="20953" xr:uid="{00000000-0005-0000-0000-00009A520000}"/>
    <cellStyle name="Standard 4 3 2 5 5 2 2" xfId="20954" xr:uid="{00000000-0005-0000-0000-00009B520000}"/>
    <cellStyle name="Standard 4 3 2 5 5 2 2 2" xfId="20955" xr:uid="{00000000-0005-0000-0000-00009C520000}"/>
    <cellStyle name="Standard 4 3 2 5 5 2 2 3" xfId="20956" xr:uid="{00000000-0005-0000-0000-00009D520000}"/>
    <cellStyle name="Standard 4 3 2 5 5 2 3" xfId="20957" xr:uid="{00000000-0005-0000-0000-00009E520000}"/>
    <cellStyle name="Standard 4 3 2 5 5 2 3 2" xfId="20958" xr:uid="{00000000-0005-0000-0000-00009F520000}"/>
    <cellStyle name="Standard 4 3 2 5 5 2 3 3" xfId="20959" xr:uid="{00000000-0005-0000-0000-0000A0520000}"/>
    <cellStyle name="Standard 4 3 2 5 5 2 4" xfId="20960" xr:uid="{00000000-0005-0000-0000-0000A1520000}"/>
    <cellStyle name="Standard 4 3 2 5 5 2 4 2" xfId="20961" xr:uid="{00000000-0005-0000-0000-0000A2520000}"/>
    <cellStyle name="Standard 4 3 2 5 5 2 5" xfId="20962" xr:uid="{00000000-0005-0000-0000-0000A3520000}"/>
    <cellStyle name="Standard 4 3 2 5 5 2 6" xfId="20963" xr:uid="{00000000-0005-0000-0000-0000A4520000}"/>
    <cellStyle name="Standard 4 3 2 5 5 3" xfId="20964" xr:uid="{00000000-0005-0000-0000-0000A5520000}"/>
    <cellStyle name="Standard 4 3 2 5 5 3 2" xfId="20965" xr:uid="{00000000-0005-0000-0000-0000A6520000}"/>
    <cellStyle name="Standard 4 3 2 5 5 3 3" xfId="20966" xr:uid="{00000000-0005-0000-0000-0000A7520000}"/>
    <cellStyle name="Standard 4 3 2 5 5 4" xfId="20967" xr:uid="{00000000-0005-0000-0000-0000A8520000}"/>
    <cellStyle name="Standard 4 3 2 5 5 4 2" xfId="20968" xr:uid="{00000000-0005-0000-0000-0000A9520000}"/>
    <cellStyle name="Standard 4 3 2 5 5 4 3" xfId="20969" xr:uid="{00000000-0005-0000-0000-0000AA520000}"/>
    <cellStyle name="Standard 4 3 2 5 5 5" xfId="20970" xr:uid="{00000000-0005-0000-0000-0000AB520000}"/>
    <cellStyle name="Standard 4 3 2 5 5 5 2" xfId="20971" xr:uid="{00000000-0005-0000-0000-0000AC520000}"/>
    <cellStyle name="Standard 4 3 2 5 5 6" xfId="20972" xr:uid="{00000000-0005-0000-0000-0000AD520000}"/>
    <cellStyle name="Standard 4 3 2 5 5 7" xfId="20973" xr:uid="{00000000-0005-0000-0000-0000AE520000}"/>
    <cellStyle name="Standard 4 3 2 5 6" xfId="20974" xr:uid="{00000000-0005-0000-0000-0000AF520000}"/>
    <cellStyle name="Standard 4 3 2 5 6 2" xfId="20975" xr:uid="{00000000-0005-0000-0000-0000B0520000}"/>
    <cellStyle name="Standard 4 3 2 5 6 2 2" xfId="20976" xr:uid="{00000000-0005-0000-0000-0000B1520000}"/>
    <cellStyle name="Standard 4 3 2 5 6 2 3" xfId="20977" xr:uid="{00000000-0005-0000-0000-0000B2520000}"/>
    <cellStyle name="Standard 4 3 2 5 6 3" xfId="20978" xr:uid="{00000000-0005-0000-0000-0000B3520000}"/>
    <cellStyle name="Standard 4 3 2 5 6 3 2" xfId="20979" xr:uid="{00000000-0005-0000-0000-0000B4520000}"/>
    <cellStyle name="Standard 4 3 2 5 6 3 3" xfId="20980" xr:uid="{00000000-0005-0000-0000-0000B5520000}"/>
    <cellStyle name="Standard 4 3 2 5 6 4" xfId="20981" xr:uid="{00000000-0005-0000-0000-0000B6520000}"/>
    <cellStyle name="Standard 4 3 2 5 6 4 2" xfId="20982" xr:uid="{00000000-0005-0000-0000-0000B7520000}"/>
    <cellStyle name="Standard 4 3 2 5 6 5" xfId="20983" xr:uid="{00000000-0005-0000-0000-0000B8520000}"/>
    <cellStyle name="Standard 4 3 2 5 6 6" xfId="20984" xr:uid="{00000000-0005-0000-0000-0000B9520000}"/>
    <cellStyle name="Standard 4 3 2 5 7" xfId="20985" xr:uid="{00000000-0005-0000-0000-0000BA520000}"/>
    <cellStyle name="Standard 4 3 2 5 7 2" xfId="20986" xr:uid="{00000000-0005-0000-0000-0000BB520000}"/>
    <cellStyle name="Standard 4 3 2 5 7 3" xfId="20987" xr:uid="{00000000-0005-0000-0000-0000BC520000}"/>
    <cellStyle name="Standard 4 3 2 5 8" xfId="20988" xr:uid="{00000000-0005-0000-0000-0000BD520000}"/>
    <cellStyle name="Standard 4 3 2 5 8 2" xfId="20989" xr:uid="{00000000-0005-0000-0000-0000BE520000}"/>
    <cellStyle name="Standard 4 3 2 5 8 3" xfId="20990" xr:uid="{00000000-0005-0000-0000-0000BF520000}"/>
    <cellStyle name="Standard 4 3 2 5 9" xfId="20991" xr:uid="{00000000-0005-0000-0000-0000C0520000}"/>
    <cellStyle name="Standard 4 3 2 5 9 2" xfId="20992" xr:uid="{00000000-0005-0000-0000-0000C1520000}"/>
    <cellStyle name="Standard 4 3 2 6" xfId="20993" xr:uid="{00000000-0005-0000-0000-0000C2520000}"/>
    <cellStyle name="Standard 4 3 2 6 10" xfId="20994" xr:uid="{00000000-0005-0000-0000-0000C3520000}"/>
    <cellStyle name="Standard 4 3 2 6 11" xfId="20995" xr:uid="{00000000-0005-0000-0000-0000C4520000}"/>
    <cellStyle name="Standard 4 3 2 6 2" xfId="20996" xr:uid="{00000000-0005-0000-0000-0000C5520000}"/>
    <cellStyle name="Standard 4 3 2 6 2 10" xfId="20997" xr:uid="{00000000-0005-0000-0000-0000C6520000}"/>
    <cellStyle name="Standard 4 3 2 6 2 2" xfId="20998" xr:uid="{00000000-0005-0000-0000-0000C7520000}"/>
    <cellStyle name="Standard 4 3 2 6 2 2 2" xfId="20999" xr:uid="{00000000-0005-0000-0000-0000C8520000}"/>
    <cellStyle name="Standard 4 3 2 6 2 2 2 2" xfId="21000" xr:uid="{00000000-0005-0000-0000-0000C9520000}"/>
    <cellStyle name="Standard 4 3 2 6 2 2 2 2 2" xfId="21001" xr:uid="{00000000-0005-0000-0000-0000CA520000}"/>
    <cellStyle name="Standard 4 3 2 6 2 2 2 2 2 2" xfId="21002" xr:uid="{00000000-0005-0000-0000-0000CB520000}"/>
    <cellStyle name="Standard 4 3 2 6 2 2 2 2 2 3" xfId="21003" xr:uid="{00000000-0005-0000-0000-0000CC520000}"/>
    <cellStyle name="Standard 4 3 2 6 2 2 2 2 3" xfId="21004" xr:uid="{00000000-0005-0000-0000-0000CD520000}"/>
    <cellStyle name="Standard 4 3 2 6 2 2 2 2 3 2" xfId="21005" xr:uid="{00000000-0005-0000-0000-0000CE520000}"/>
    <cellStyle name="Standard 4 3 2 6 2 2 2 2 3 3" xfId="21006" xr:uid="{00000000-0005-0000-0000-0000CF520000}"/>
    <cellStyle name="Standard 4 3 2 6 2 2 2 2 4" xfId="21007" xr:uid="{00000000-0005-0000-0000-0000D0520000}"/>
    <cellStyle name="Standard 4 3 2 6 2 2 2 2 4 2" xfId="21008" xr:uid="{00000000-0005-0000-0000-0000D1520000}"/>
    <cellStyle name="Standard 4 3 2 6 2 2 2 2 5" xfId="21009" xr:uid="{00000000-0005-0000-0000-0000D2520000}"/>
    <cellStyle name="Standard 4 3 2 6 2 2 2 2 6" xfId="21010" xr:uid="{00000000-0005-0000-0000-0000D3520000}"/>
    <cellStyle name="Standard 4 3 2 6 2 2 2 3" xfId="21011" xr:uid="{00000000-0005-0000-0000-0000D4520000}"/>
    <cellStyle name="Standard 4 3 2 6 2 2 2 3 2" xfId="21012" xr:uid="{00000000-0005-0000-0000-0000D5520000}"/>
    <cellStyle name="Standard 4 3 2 6 2 2 2 3 3" xfId="21013" xr:uid="{00000000-0005-0000-0000-0000D6520000}"/>
    <cellStyle name="Standard 4 3 2 6 2 2 2 4" xfId="21014" xr:uid="{00000000-0005-0000-0000-0000D7520000}"/>
    <cellStyle name="Standard 4 3 2 6 2 2 2 4 2" xfId="21015" xr:uid="{00000000-0005-0000-0000-0000D8520000}"/>
    <cellStyle name="Standard 4 3 2 6 2 2 2 4 3" xfId="21016" xr:uid="{00000000-0005-0000-0000-0000D9520000}"/>
    <cellStyle name="Standard 4 3 2 6 2 2 2 5" xfId="21017" xr:uid="{00000000-0005-0000-0000-0000DA520000}"/>
    <cellStyle name="Standard 4 3 2 6 2 2 2 5 2" xfId="21018" xr:uid="{00000000-0005-0000-0000-0000DB520000}"/>
    <cellStyle name="Standard 4 3 2 6 2 2 2 6" xfId="21019" xr:uid="{00000000-0005-0000-0000-0000DC520000}"/>
    <cellStyle name="Standard 4 3 2 6 2 2 2 7" xfId="21020" xr:uid="{00000000-0005-0000-0000-0000DD520000}"/>
    <cellStyle name="Standard 4 3 2 6 2 2 3" xfId="21021" xr:uid="{00000000-0005-0000-0000-0000DE520000}"/>
    <cellStyle name="Standard 4 3 2 6 2 2 3 2" xfId="21022" xr:uid="{00000000-0005-0000-0000-0000DF520000}"/>
    <cellStyle name="Standard 4 3 2 6 2 2 3 2 2" xfId="21023" xr:uid="{00000000-0005-0000-0000-0000E0520000}"/>
    <cellStyle name="Standard 4 3 2 6 2 2 3 2 3" xfId="21024" xr:uid="{00000000-0005-0000-0000-0000E1520000}"/>
    <cellStyle name="Standard 4 3 2 6 2 2 3 3" xfId="21025" xr:uid="{00000000-0005-0000-0000-0000E2520000}"/>
    <cellStyle name="Standard 4 3 2 6 2 2 3 3 2" xfId="21026" xr:uid="{00000000-0005-0000-0000-0000E3520000}"/>
    <cellStyle name="Standard 4 3 2 6 2 2 3 3 3" xfId="21027" xr:uid="{00000000-0005-0000-0000-0000E4520000}"/>
    <cellStyle name="Standard 4 3 2 6 2 2 3 4" xfId="21028" xr:uid="{00000000-0005-0000-0000-0000E5520000}"/>
    <cellStyle name="Standard 4 3 2 6 2 2 3 4 2" xfId="21029" xr:uid="{00000000-0005-0000-0000-0000E6520000}"/>
    <cellStyle name="Standard 4 3 2 6 2 2 3 5" xfId="21030" xr:uid="{00000000-0005-0000-0000-0000E7520000}"/>
    <cellStyle name="Standard 4 3 2 6 2 2 3 6" xfId="21031" xr:uid="{00000000-0005-0000-0000-0000E8520000}"/>
    <cellStyle name="Standard 4 3 2 6 2 2 4" xfId="21032" xr:uid="{00000000-0005-0000-0000-0000E9520000}"/>
    <cellStyle name="Standard 4 3 2 6 2 2 4 2" xfId="21033" xr:uid="{00000000-0005-0000-0000-0000EA520000}"/>
    <cellStyle name="Standard 4 3 2 6 2 2 4 3" xfId="21034" xr:uid="{00000000-0005-0000-0000-0000EB520000}"/>
    <cellStyle name="Standard 4 3 2 6 2 2 5" xfId="21035" xr:uid="{00000000-0005-0000-0000-0000EC520000}"/>
    <cellStyle name="Standard 4 3 2 6 2 2 5 2" xfId="21036" xr:uid="{00000000-0005-0000-0000-0000ED520000}"/>
    <cellStyle name="Standard 4 3 2 6 2 2 5 3" xfId="21037" xr:uid="{00000000-0005-0000-0000-0000EE520000}"/>
    <cellStyle name="Standard 4 3 2 6 2 2 6" xfId="21038" xr:uid="{00000000-0005-0000-0000-0000EF520000}"/>
    <cellStyle name="Standard 4 3 2 6 2 2 6 2" xfId="21039" xr:uid="{00000000-0005-0000-0000-0000F0520000}"/>
    <cellStyle name="Standard 4 3 2 6 2 2 7" xfId="21040" xr:uid="{00000000-0005-0000-0000-0000F1520000}"/>
    <cellStyle name="Standard 4 3 2 6 2 2 8" xfId="21041" xr:uid="{00000000-0005-0000-0000-0000F2520000}"/>
    <cellStyle name="Standard 4 3 2 6 2 3" xfId="21042" xr:uid="{00000000-0005-0000-0000-0000F3520000}"/>
    <cellStyle name="Standard 4 3 2 6 2 3 2" xfId="21043" xr:uid="{00000000-0005-0000-0000-0000F4520000}"/>
    <cellStyle name="Standard 4 3 2 6 2 3 2 2" xfId="21044" xr:uid="{00000000-0005-0000-0000-0000F5520000}"/>
    <cellStyle name="Standard 4 3 2 6 2 3 2 2 2" xfId="21045" xr:uid="{00000000-0005-0000-0000-0000F6520000}"/>
    <cellStyle name="Standard 4 3 2 6 2 3 2 2 2 2" xfId="21046" xr:uid="{00000000-0005-0000-0000-0000F7520000}"/>
    <cellStyle name="Standard 4 3 2 6 2 3 2 2 2 3" xfId="21047" xr:uid="{00000000-0005-0000-0000-0000F8520000}"/>
    <cellStyle name="Standard 4 3 2 6 2 3 2 2 3" xfId="21048" xr:uid="{00000000-0005-0000-0000-0000F9520000}"/>
    <cellStyle name="Standard 4 3 2 6 2 3 2 2 3 2" xfId="21049" xr:uid="{00000000-0005-0000-0000-0000FA520000}"/>
    <cellStyle name="Standard 4 3 2 6 2 3 2 2 3 3" xfId="21050" xr:uid="{00000000-0005-0000-0000-0000FB520000}"/>
    <cellStyle name="Standard 4 3 2 6 2 3 2 2 4" xfId="21051" xr:uid="{00000000-0005-0000-0000-0000FC520000}"/>
    <cellStyle name="Standard 4 3 2 6 2 3 2 2 4 2" xfId="21052" xr:uid="{00000000-0005-0000-0000-0000FD520000}"/>
    <cellStyle name="Standard 4 3 2 6 2 3 2 2 5" xfId="21053" xr:uid="{00000000-0005-0000-0000-0000FE520000}"/>
    <cellStyle name="Standard 4 3 2 6 2 3 2 2 6" xfId="21054" xr:uid="{00000000-0005-0000-0000-0000FF520000}"/>
    <cellStyle name="Standard 4 3 2 6 2 3 2 3" xfId="21055" xr:uid="{00000000-0005-0000-0000-000000530000}"/>
    <cellStyle name="Standard 4 3 2 6 2 3 2 3 2" xfId="21056" xr:uid="{00000000-0005-0000-0000-000001530000}"/>
    <cellStyle name="Standard 4 3 2 6 2 3 2 3 3" xfId="21057" xr:uid="{00000000-0005-0000-0000-000002530000}"/>
    <cellStyle name="Standard 4 3 2 6 2 3 2 4" xfId="21058" xr:uid="{00000000-0005-0000-0000-000003530000}"/>
    <cellStyle name="Standard 4 3 2 6 2 3 2 4 2" xfId="21059" xr:uid="{00000000-0005-0000-0000-000004530000}"/>
    <cellStyle name="Standard 4 3 2 6 2 3 2 4 3" xfId="21060" xr:uid="{00000000-0005-0000-0000-000005530000}"/>
    <cellStyle name="Standard 4 3 2 6 2 3 2 5" xfId="21061" xr:uid="{00000000-0005-0000-0000-000006530000}"/>
    <cellStyle name="Standard 4 3 2 6 2 3 2 5 2" xfId="21062" xr:uid="{00000000-0005-0000-0000-000007530000}"/>
    <cellStyle name="Standard 4 3 2 6 2 3 2 6" xfId="21063" xr:uid="{00000000-0005-0000-0000-000008530000}"/>
    <cellStyle name="Standard 4 3 2 6 2 3 2 7" xfId="21064" xr:uid="{00000000-0005-0000-0000-000009530000}"/>
    <cellStyle name="Standard 4 3 2 6 2 3 3" xfId="21065" xr:uid="{00000000-0005-0000-0000-00000A530000}"/>
    <cellStyle name="Standard 4 3 2 6 2 3 3 2" xfId="21066" xr:uid="{00000000-0005-0000-0000-00000B530000}"/>
    <cellStyle name="Standard 4 3 2 6 2 3 3 2 2" xfId="21067" xr:uid="{00000000-0005-0000-0000-00000C530000}"/>
    <cellStyle name="Standard 4 3 2 6 2 3 3 2 3" xfId="21068" xr:uid="{00000000-0005-0000-0000-00000D530000}"/>
    <cellStyle name="Standard 4 3 2 6 2 3 3 3" xfId="21069" xr:uid="{00000000-0005-0000-0000-00000E530000}"/>
    <cellStyle name="Standard 4 3 2 6 2 3 3 3 2" xfId="21070" xr:uid="{00000000-0005-0000-0000-00000F530000}"/>
    <cellStyle name="Standard 4 3 2 6 2 3 3 3 3" xfId="21071" xr:uid="{00000000-0005-0000-0000-000010530000}"/>
    <cellStyle name="Standard 4 3 2 6 2 3 3 4" xfId="21072" xr:uid="{00000000-0005-0000-0000-000011530000}"/>
    <cellStyle name="Standard 4 3 2 6 2 3 3 4 2" xfId="21073" xr:uid="{00000000-0005-0000-0000-000012530000}"/>
    <cellStyle name="Standard 4 3 2 6 2 3 3 5" xfId="21074" xr:uid="{00000000-0005-0000-0000-000013530000}"/>
    <cellStyle name="Standard 4 3 2 6 2 3 3 6" xfId="21075" xr:uid="{00000000-0005-0000-0000-000014530000}"/>
    <cellStyle name="Standard 4 3 2 6 2 3 4" xfId="21076" xr:uid="{00000000-0005-0000-0000-000015530000}"/>
    <cellStyle name="Standard 4 3 2 6 2 3 4 2" xfId="21077" xr:uid="{00000000-0005-0000-0000-000016530000}"/>
    <cellStyle name="Standard 4 3 2 6 2 3 4 3" xfId="21078" xr:uid="{00000000-0005-0000-0000-000017530000}"/>
    <cellStyle name="Standard 4 3 2 6 2 3 5" xfId="21079" xr:uid="{00000000-0005-0000-0000-000018530000}"/>
    <cellStyle name="Standard 4 3 2 6 2 3 5 2" xfId="21080" xr:uid="{00000000-0005-0000-0000-000019530000}"/>
    <cellStyle name="Standard 4 3 2 6 2 3 5 3" xfId="21081" xr:uid="{00000000-0005-0000-0000-00001A530000}"/>
    <cellStyle name="Standard 4 3 2 6 2 3 6" xfId="21082" xr:uid="{00000000-0005-0000-0000-00001B530000}"/>
    <cellStyle name="Standard 4 3 2 6 2 3 6 2" xfId="21083" xr:uid="{00000000-0005-0000-0000-00001C530000}"/>
    <cellStyle name="Standard 4 3 2 6 2 3 7" xfId="21084" xr:uid="{00000000-0005-0000-0000-00001D530000}"/>
    <cellStyle name="Standard 4 3 2 6 2 3 8" xfId="21085" xr:uid="{00000000-0005-0000-0000-00001E530000}"/>
    <cellStyle name="Standard 4 3 2 6 2 4" xfId="21086" xr:uid="{00000000-0005-0000-0000-00001F530000}"/>
    <cellStyle name="Standard 4 3 2 6 2 4 2" xfId="21087" xr:uid="{00000000-0005-0000-0000-000020530000}"/>
    <cellStyle name="Standard 4 3 2 6 2 4 2 2" xfId="21088" xr:uid="{00000000-0005-0000-0000-000021530000}"/>
    <cellStyle name="Standard 4 3 2 6 2 4 2 2 2" xfId="21089" xr:uid="{00000000-0005-0000-0000-000022530000}"/>
    <cellStyle name="Standard 4 3 2 6 2 4 2 2 3" xfId="21090" xr:uid="{00000000-0005-0000-0000-000023530000}"/>
    <cellStyle name="Standard 4 3 2 6 2 4 2 3" xfId="21091" xr:uid="{00000000-0005-0000-0000-000024530000}"/>
    <cellStyle name="Standard 4 3 2 6 2 4 2 3 2" xfId="21092" xr:uid="{00000000-0005-0000-0000-000025530000}"/>
    <cellStyle name="Standard 4 3 2 6 2 4 2 3 3" xfId="21093" xr:uid="{00000000-0005-0000-0000-000026530000}"/>
    <cellStyle name="Standard 4 3 2 6 2 4 2 4" xfId="21094" xr:uid="{00000000-0005-0000-0000-000027530000}"/>
    <cellStyle name="Standard 4 3 2 6 2 4 2 4 2" xfId="21095" xr:uid="{00000000-0005-0000-0000-000028530000}"/>
    <cellStyle name="Standard 4 3 2 6 2 4 2 5" xfId="21096" xr:uid="{00000000-0005-0000-0000-000029530000}"/>
    <cellStyle name="Standard 4 3 2 6 2 4 2 6" xfId="21097" xr:uid="{00000000-0005-0000-0000-00002A530000}"/>
    <cellStyle name="Standard 4 3 2 6 2 4 3" xfId="21098" xr:uid="{00000000-0005-0000-0000-00002B530000}"/>
    <cellStyle name="Standard 4 3 2 6 2 4 3 2" xfId="21099" xr:uid="{00000000-0005-0000-0000-00002C530000}"/>
    <cellStyle name="Standard 4 3 2 6 2 4 3 3" xfId="21100" xr:uid="{00000000-0005-0000-0000-00002D530000}"/>
    <cellStyle name="Standard 4 3 2 6 2 4 4" xfId="21101" xr:uid="{00000000-0005-0000-0000-00002E530000}"/>
    <cellStyle name="Standard 4 3 2 6 2 4 4 2" xfId="21102" xr:uid="{00000000-0005-0000-0000-00002F530000}"/>
    <cellStyle name="Standard 4 3 2 6 2 4 4 3" xfId="21103" xr:uid="{00000000-0005-0000-0000-000030530000}"/>
    <cellStyle name="Standard 4 3 2 6 2 4 5" xfId="21104" xr:uid="{00000000-0005-0000-0000-000031530000}"/>
    <cellStyle name="Standard 4 3 2 6 2 4 5 2" xfId="21105" xr:uid="{00000000-0005-0000-0000-000032530000}"/>
    <cellStyle name="Standard 4 3 2 6 2 4 6" xfId="21106" xr:uid="{00000000-0005-0000-0000-000033530000}"/>
    <cellStyle name="Standard 4 3 2 6 2 4 7" xfId="21107" xr:uid="{00000000-0005-0000-0000-000034530000}"/>
    <cellStyle name="Standard 4 3 2 6 2 5" xfId="21108" xr:uid="{00000000-0005-0000-0000-000035530000}"/>
    <cellStyle name="Standard 4 3 2 6 2 5 2" xfId="21109" xr:uid="{00000000-0005-0000-0000-000036530000}"/>
    <cellStyle name="Standard 4 3 2 6 2 5 2 2" xfId="21110" xr:uid="{00000000-0005-0000-0000-000037530000}"/>
    <cellStyle name="Standard 4 3 2 6 2 5 2 3" xfId="21111" xr:uid="{00000000-0005-0000-0000-000038530000}"/>
    <cellStyle name="Standard 4 3 2 6 2 5 3" xfId="21112" xr:uid="{00000000-0005-0000-0000-000039530000}"/>
    <cellStyle name="Standard 4 3 2 6 2 5 3 2" xfId="21113" xr:uid="{00000000-0005-0000-0000-00003A530000}"/>
    <cellStyle name="Standard 4 3 2 6 2 5 3 3" xfId="21114" xr:uid="{00000000-0005-0000-0000-00003B530000}"/>
    <cellStyle name="Standard 4 3 2 6 2 5 4" xfId="21115" xr:uid="{00000000-0005-0000-0000-00003C530000}"/>
    <cellStyle name="Standard 4 3 2 6 2 5 4 2" xfId="21116" xr:uid="{00000000-0005-0000-0000-00003D530000}"/>
    <cellStyle name="Standard 4 3 2 6 2 5 5" xfId="21117" xr:uid="{00000000-0005-0000-0000-00003E530000}"/>
    <cellStyle name="Standard 4 3 2 6 2 5 6" xfId="21118" xr:uid="{00000000-0005-0000-0000-00003F530000}"/>
    <cellStyle name="Standard 4 3 2 6 2 6" xfId="21119" xr:uid="{00000000-0005-0000-0000-000040530000}"/>
    <cellStyle name="Standard 4 3 2 6 2 6 2" xfId="21120" xr:uid="{00000000-0005-0000-0000-000041530000}"/>
    <cellStyle name="Standard 4 3 2 6 2 6 3" xfId="21121" xr:uid="{00000000-0005-0000-0000-000042530000}"/>
    <cellStyle name="Standard 4 3 2 6 2 7" xfId="21122" xr:uid="{00000000-0005-0000-0000-000043530000}"/>
    <cellStyle name="Standard 4 3 2 6 2 7 2" xfId="21123" xr:uid="{00000000-0005-0000-0000-000044530000}"/>
    <cellStyle name="Standard 4 3 2 6 2 7 3" xfId="21124" xr:uid="{00000000-0005-0000-0000-000045530000}"/>
    <cellStyle name="Standard 4 3 2 6 2 8" xfId="21125" xr:uid="{00000000-0005-0000-0000-000046530000}"/>
    <cellStyle name="Standard 4 3 2 6 2 8 2" xfId="21126" xr:uid="{00000000-0005-0000-0000-000047530000}"/>
    <cellStyle name="Standard 4 3 2 6 2 9" xfId="21127" xr:uid="{00000000-0005-0000-0000-000048530000}"/>
    <cellStyle name="Standard 4 3 2 6 3" xfId="21128" xr:uid="{00000000-0005-0000-0000-000049530000}"/>
    <cellStyle name="Standard 4 3 2 6 3 2" xfId="21129" xr:uid="{00000000-0005-0000-0000-00004A530000}"/>
    <cellStyle name="Standard 4 3 2 6 3 2 2" xfId="21130" xr:uid="{00000000-0005-0000-0000-00004B530000}"/>
    <cellStyle name="Standard 4 3 2 6 3 2 2 2" xfId="21131" xr:uid="{00000000-0005-0000-0000-00004C530000}"/>
    <cellStyle name="Standard 4 3 2 6 3 2 2 2 2" xfId="21132" xr:uid="{00000000-0005-0000-0000-00004D530000}"/>
    <cellStyle name="Standard 4 3 2 6 3 2 2 2 3" xfId="21133" xr:uid="{00000000-0005-0000-0000-00004E530000}"/>
    <cellStyle name="Standard 4 3 2 6 3 2 2 3" xfId="21134" xr:uid="{00000000-0005-0000-0000-00004F530000}"/>
    <cellStyle name="Standard 4 3 2 6 3 2 2 3 2" xfId="21135" xr:uid="{00000000-0005-0000-0000-000050530000}"/>
    <cellStyle name="Standard 4 3 2 6 3 2 2 3 3" xfId="21136" xr:uid="{00000000-0005-0000-0000-000051530000}"/>
    <cellStyle name="Standard 4 3 2 6 3 2 2 4" xfId="21137" xr:uid="{00000000-0005-0000-0000-000052530000}"/>
    <cellStyle name="Standard 4 3 2 6 3 2 2 4 2" xfId="21138" xr:uid="{00000000-0005-0000-0000-000053530000}"/>
    <cellStyle name="Standard 4 3 2 6 3 2 2 5" xfId="21139" xr:uid="{00000000-0005-0000-0000-000054530000}"/>
    <cellStyle name="Standard 4 3 2 6 3 2 2 6" xfId="21140" xr:uid="{00000000-0005-0000-0000-000055530000}"/>
    <cellStyle name="Standard 4 3 2 6 3 2 3" xfId="21141" xr:uid="{00000000-0005-0000-0000-000056530000}"/>
    <cellStyle name="Standard 4 3 2 6 3 2 3 2" xfId="21142" xr:uid="{00000000-0005-0000-0000-000057530000}"/>
    <cellStyle name="Standard 4 3 2 6 3 2 3 3" xfId="21143" xr:uid="{00000000-0005-0000-0000-000058530000}"/>
    <cellStyle name="Standard 4 3 2 6 3 2 4" xfId="21144" xr:uid="{00000000-0005-0000-0000-000059530000}"/>
    <cellStyle name="Standard 4 3 2 6 3 2 4 2" xfId="21145" xr:uid="{00000000-0005-0000-0000-00005A530000}"/>
    <cellStyle name="Standard 4 3 2 6 3 2 4 3" xfId="21146" xr:uid="{00000000-0005-0000-0000-00005B530000}"/>
    <cellStyle name="Standard 4 3 2 6 3 2 5" xfId="21147" xr:uid="{00000000-0005-0000-0000-00005C530000}"/>
    <cellStyle name="Standard 4 3 2 6 3 2 5 2" xfId="21148" xr:uid="{00000000-0005-0000-0000-00005D530000}"/>
    <cellStyle name="Standard 4 3 2 6 3 2 6" xfId="21149" xr:uid="{00000000-0005-0000-0000-00005E530000}"/>
    <cellStyle name="Standard 4 3 2 6 3 2 7" xfId="21150" xr:uid="{00000000-0005-0000-0000-00005F530000}"/>
    <cellStyle name="Standard 4 3 2 6 3 3" xfId="21151" xr:uid="{00000000-0005-0000-0000-000060530000}"/>
    <cellStyle name="Standard 4 3 2 6 3 3 2" xfId="21152" xr:uid="{00000000-0005-0000-0000-000061530000}"/>
    <cellStyle name="Standard 4 3 2 6 3 3 2 2" xfId="21153" xr:uid="{00000000-0005-0000-0000-000062530000}"/>
    <cellStyle name="Standard 4 3 2 6 3 3 2 3" xfId="21154" xr:uid="{00000000-0005-0000-0000-000063530000}"/>
    <cellStyle name="Standard 4 3 2 6 3 3 3" xfId="21155" xr:uid="{00000000-0005-0000-0000-000064530000}"/>
    <cellStyle name="Standard 4 3 2 6 3 3 3 2" xfId="21156" xr:uid="{00000000-0005-0000-0000-000065530000}"/>
    <cellStyle name="Standard 4 3 2 6 3 3 3 3" xfId="21157" xr:uid="{00000000-0005-0000-0000-000066530000}"/>
    <cellStyle name="Standard 4 3 2 6 3 3 4" xfId="21158" xr:uid="{00000000-0005-0000-0000-000067530000}"/>
    <cellStyle name="Standard 4 3 2 6 3 3 4 2" xfId="21159" xr:uid="{00000000-0005-0000-0000-000068530000}"/>
    <cellStyle name="Standard 4 3 2 6 3 3 5" xfId="21160" xr:uid="{00000000-0005-0000-0000-000069530000}"/>
    <cellStyle name="Standard 4 3 2 6 3 3 6" xfId="21161" xr:uid="{00000000-0005-0000-0000-00006A530000}"/>
    <cellStyle name="Standard 4 3 2 6 3 4" xfId="21162" xr:uid="{00000000-0005-0000-0000-00006B530000}"/>
    <cellStyle name="Standard 4 3 2 6 3 4 2" xfId="21163" xr:uid="{00000000-0005-0000-0000-00006C530000}"/>
    <cellStyle name="Standard 4 3 2 6 3 4 3" xfId="21164" xr:uid="{00000000-0005-0000-0000-00006D530000}"/>
    <cellStyle name="Standard 4 3 2 6 3 5" xfId="21165" xr:uid="{00000000-0005-0000-0000-00006E530000}"/>
    <cellStyle name="Standard 4 3 2 6 3 5 2" xfId="21166" xr:uid="{00000000-0005-0000-0000-00006F530000}"/>
    <cellStyle name="Standard 4 3 2 6 3 5 3" xfId="21167" xr:uid="{00000000-0005-0000-0000-000070530000}"/>
    <cellStyle name="Standard 4 3 2 6 3 6" xfId="21168" xr:uid="{00000000-0005-0000-0000-000071530000}"/>
    <cellStyle name="Standard 4 3 2 6 3 6 2" xfId="21169" xr:uid="{00000000-0005-0000-0000-000072530000}"/>
    <cellStyle name="Standard 4 3 2 6 3 7" xfId="21170" xr:uid="{00000000-0005-0000-0000-000073530000}"/>
    <cellStyle name="Standard 4 3 2 6 3 8" xfId="21171" xr:uid="{00000000-0005-0000-0000-000074530000}"/>
    <cellStyle name="Standard 4 3 2 6 4" xfId="21172" xr:uid="{00000000-0005-0000-0000-000075530000}"/>
    <cellStyle name="Standard 4 3 2 6 4 2" xfId="21173" xr:uid="{00000000-0005-0000-0000-000076530000}"/>
    <cellStyle name="Standard 4 3 2 6 4 2 2" xfId="21174" xr:uid="{00000000-0005-0000-0000-000077530000}"/>
    <cellStyle name="Standard 4 3 2 6 4 2 2 2" xfId="21175" xr:uid="{00000000-0005-0000-0000-000078530000}"/>
    <cellStyle name="Standard 4 3 2 6 4 2 2 2 2" xfId="21176" xr:uid="{00000000-0005-0000-0000-000079530000}"/>
    <cellStyle name="Standard 4 3 2 6 4 2 2 2 3" xfId="21177" xr:uid="{00000000-0005-0000-0000-00007A530000}"/>
    <cellStyle name="Standard 4 3 2 6 4 2 2 3" xfId="21178" xr:uid="{00000000-0005-0000-0000-00007B530000}"/>
    <cellStyle name="Standard 4 3 2 6 4 2 2 3 2" xfId="21179" xr:uid="{00000000-0005-0000-0000-00007C530000}"/>
    <cellStyle name="Standard 4 3 2 6 4 2 2 3 3" xfId="21180" xr:uid="{00000000-0005-0000-0000-00007D530000}"/>
    <cellStyle name="Standard 4 3 2 6 4 2 2 4" xfId="21181" xr:uid="{00000000-0005-0000-0000-00007E530000}"/>
    <cellStyle name="Standard 4 3 2 6 4 2 2 4 2" xfId="21182" xr:uid="{00000000-0005-0000-0000-00007F530000}"/>
    <cellStyle name="Standard 4 3 2 6 4 2 2 5" xfId="21183" xr:uid="{00000000-0005-0000-0000-000080530000}"/>
    <cellStyle name="Standard 4 3 2 6 4 2 2 6" xfId="21184" xr:uid="{00000000-0005-0000-0000-000081530000}"/>
    <cellStyle name="Standard 4 3 2 6 4 2 3" xfId="21185" xr:uid="{00000000-0005-0000-0000-000082530000}"/>
    <cellStyle name="Standard 4 3 2 6 4 2 3 2" xfId="21186" xr:uid="{00000000-0005-0000-0000-000083530000}"/>
    <cellStyle name="Standard 4 3 2 6 4 2 3 3" xfId="21187" xr:uid="{00000000-0005-0000-0000-000084530000}"/>
    <cellStyle name="Standard 4 3 2 6 4 2 4" xfId="21188" xr:uid="{00000000-0005-0000-0000-000085530000}"/>
    <cellStyle name="Standard 4 3 2 6 4 2 4 2" xfId="21189" xr:uid="{00000000-0005-0000-0000-000086530000}"/>
    <cellStyle name="Standard 4 3 2 6 4 2 4 3" xfId="21190" xr:uid="{00000000-0005-0000-0000-000087530000}"/>
    <cellStyle name="Standard 4 3 2 6 4 2 5" xfId="21191" xr:uid="{00000000-0005-0000-0000-000088530000}"/>
    <cellStyle name="Standard 4 3 2 6 4 2 5 2" xfId="21192" xr:uid="{00000000-0005-0000-0000-000089530000}"/>
    <cellStyle name="Standard 4 3 2 6 4 2 6" xfId="21193" xr:uid="{00000000-0005-0000-0000-00008A530000}"/>
    <cellStyle name="Standard 4 3 2 6 4 2 7" xfId="21194" xr:uid="{00000000-0005-0000-0000-00008B530000}"/>
    <cellStyle name="Standard 4 3 2 6 4 3" xfId="21195" xr:uid="{00000000-0005-0000-0000-00008C530000}"/>
    <cellStyle name="Standard 4 3 2 6 4 3 2" xfId="21196" xr:uid="{00000000-0005-0000-0000-00008D530000}"/>
    <cellStyle name="Standard 4 3 2 6 4 3 2 2" xfId="21197" xr:uid="{00000000-0005-0000-0000-00008E530000}"/>
    <cellStyle name="Standard 4 3 2 6 4 3 2 3" xfId="21198" xr:uid="{00000000-0005-0000-0000-00008F530000}"/>
    <cellStyle name="Standard 4 3 2 6 4 3 3" xfId="21199" xr:uid="{00000000-0005-0000-0000-000090530000}"/>
    <cellStyle name="Standard 4 3 2 6 4 3 3 2" xfId="21200" xr:uid="{00000000-0005-0000-0000-000091530000}"/>
    <cellStyle name="Standard 4 3 2 6 4 3 3 3" xfId="21201" xr:uid="{00000000-0005-0000-0000-000092530000}"/>
    <cellStyle name="Standard 4 3 2 6 4 3 4" xfId="21202" xr:uid="{00000000-0005-0000-0000-000093530000}"/>
    <cellStyle name="Standard 4 3 2 6 4 3 4 2" xfId="21203" xr:uid="{00000000-0005-0000-0000-000094530000}"/>
    <cellStyle name="Standard 4 3 2 6 4 3 5" xfId="21204" xr:uid="{00000000-0005-0000-0000-000095530000}"/>
    <cellStyle name="Standard 4 3 2 6 4 3 6" xfId="21205" xr:uid="{00000000-0005-0000-0000-000096530000}"/>
    <cellStyle name="Standard 4 3 2 6 4 4" xfId="21206" xr:uid="{00000000-0005-0000-0000-000097530000}"/>
    <cellStyle name="Standard 4 3 2 6 4 4 2" xfId="21207" xr:uid="{00000000-0005-0000-0000-000098530000}"/>
    <cellStyle name="Standard 4 3 2 6 4 4 3" xfId="21208" xr:uid="{00000000-0005-0000-0000-000099530000}"/>
    <cellStyle name="Standard 4 3 2 6 4 5" xfId="21209" xr:uid="{00000000-0005-0000-0000-00009A530000}"/>
    <cellStyle name="Standard 4 3 2 6 4 5 2" xfId="21210" xr:uid="{00000000-0005-0000-0000-00009B530000}"/>
    <cellStyle name="Standard 4 3 2 6 4 5 3" xfId="21211" xr:uid="{00000000-0005-0000-0000-00009C530000}"/>
    <cellStyle name="Standard 4 3 2 6 4 6" xfId="21212" xr:uid="{00000000-0005-0000-0000-00009D530000}"/>
    <cellStyle name="Standard 4 3 2 6 4 6 2" xfId="21213" xr:uid="{00000000-0005-0000-0000-00009E530000}"/>
    <cellStyle name="Standard 4 3 2 6 4 7" xfId="21214" xr:uid="{00000000-0005-0000-0000-00009F530000}"/>
    <cellStyle name="Standard 4 3 2 6 4 8" xfId="21215" xr:uid="{00000000-0005-0000-0000-0000A0530000}"/>
    <cellStyle name="Standard 4 3 2 6 5" xfId="21216" xr:uid="{00000000-0005-0000-0000-0000A1530000}"/>
    <cellStyle name="Standard 4 3 2 6 5 2" xfId="21217" xr:uid="{00000000-0005-0000-0000-0000A2530000}"/>
    <cellStyle name="Standard 4 3 2 6 5 2 2" xfId="21218" xr:uid="{00000000-0005-0000-0000-0000A3530000}"/>
    <cellStyle name="Standard 4 3 2 6 5 2 2 2" xfId="21219" xr:uid="{00000000-0005-0000-0000-0000A4530000}"/>
    <cellStyle name="Standard 4 3 2 6 5 2 2 3" xfId="21220" xr:uid="{00000000-0005-0000-0000-0000A5530000}"/>
    <cellStyle name="Standard 4 3 2 6 5 2 3" xfId="21221" xr:uid="{00000000-0005-0000-0000-0000A6530000}"/>
    <cellStyle name="Standard 4 3 2 6 5 2 3 2" xfId="21222" xr:uid="{00000000-0005-0000-0000-0000A7530000}"/>
    <cellStyle name="Standard 4 3 2 6 5 2 3 3" xfId="21223" xr:uid="{00000000-0005-0000-0000-0000A8530000}"/>
    <cellStyle name="Standard 4 3 2 6 5 2 4" xfId="21224" xr:uid="{00000000-0005-0000-0000-0000A9530000}"/>
    <cellStyle name="Standard 4 3 2 6 5 2 4 2" xfId="21225" xr:uid="{00000000-0005-0000-0000-0000AA530000}"/>
    <cellStyle name="Standard 4 3 2 6 5 2 5" xfId="21226" xr:uid="{00000000-0005-0000-0000-0000AB530000}"/>
    <cellStyle name="Standard 4 3 2 6 5 2 6" xfId="21227" xr:uid="{00000000-0005-0000-0000-0000AC530000}"/>
    <cellStyle name="Standard 4 3 2 6 5 3" xfId="21228" xr:uid="{00000000-0005-0000-0000-0000AD530000}"/>
    <cellStyle name="Standard 4 3 2 6 5 3 2" xfId="21229" xr:uid="{00000000-0005-0000-0000-0000AE530000}"/>
    <cellStyle name="Standard 4 3 2 6 5 3 3" xfId="21230" xr:uid="{00000000-0005-0000-0000-0000AF530000}"/>
    <cellStyle name="Standard 4 3 2 6 5 4" xfId="21231" xr:uid="{00000000-0005-0000-0000-0000B0530000}"/>
    <cellStyle name="Standard 4 3 2 6 5 4 2" xfId="21232" xr:uid="{00000000-0005-0000-0000-0000B1530000}"/>
    <cellStyle name="Standard 4 3 2 6 5 4 3" xfId="21233" xr:uid="{00000000-0005-0000-0000-0000B2530000}"/>
    <cellStyle name="Standard 4 3 2 6 5 5" xfId="21234" xr:uid="{00000000-0005-0000-0000-0000B3530000}"/>
    <cellStyle name="Standard 4 3 2 6 5 5 2" xfId="21235" xr:uid="{00000000-0005-0000-0000-0000B4530000}"/>
    <cellStyle name="Standard 4 3 2 6 5 6" xfId="21236" xr:uid="{00000000-0005-0000-0000-0000B5530000}"/>
    <cellStyle name="Standard 4 3 2 6 5 7" xfId="21237" xr:uid="{00000000-0005-0000-0000-0000B6530000}"/>
    <cellStyle name="Standard 4 3 2 6 6" xfId="21238" xr:uid="{00000000-0005-0000-0000-0000B7530000}"/>
    <cellStyle name="Standard 4 3 2 6 6 2" xfId="21239" xr:uid="{00000000-0005-0000-0000-0000B8530000}"/>
    <cellStyle name="Standard 4 3 2 6 6 2 2" xfId="21240" xr:uid="{00000000-0005-0000-0000-0000B9530000}"/>
    <cellStyle name="Standard 4 3 2 6 6 2 3" xfId="21241" xr:uid="{00000000-0005-0000-0000-0000BA530000}"/>
    <cellStyle name="Standard 4 3 2 6 6 3" xfId="21242" xr:uid="{00000000-0005-0000-0000-0000BB530000}"/>
    <cellStyle name="Standard 4 3 2 6 6 3 2" xfId="21243" xr:uid="{00000000-0005-0000-0000-0000BC530000}"/>
    <cellStyle name="Standard 4 3 2 6 6 3 3" xfId="21244" xr:uid="{00000000-0005-0000-0000-0000BD530000}"/>
    <cellStyle name="Standard 4 3 2 6 6 4" xfId="21245" xr:uid="{00000000-0005-0000-0000-0000BE530000}"/>
    <cellStyle name="Standard 4 3 2 6 6 4 2" xfId="21246" xr:uid="{00000000-0005-0000-0000-0000BF530000}"/>
    <cellStyle name="Standard 4 3 2 6 6 5" xfId="21247" xr:uid="{00000000-0005-0000-0000-0000C0530000}"/>
    <cellStyle name="Standard 4 3 2 6 6 6" xfId="21248" xr:uid="{00000000-0005-0000-0000-0000C1530000}"/>
    <cellStyle name="Standard 4 3 2 6 7" xfId="21249" xr:uid="{00000000-0005-0000-0000-0000C2530000}"/>
    <cellStyle name="Standard 4 3 2 6 7 2" xfId="21250" xr:uid="{00000000-0005-0000-0000-0000C3530000}"/>
    <cellStyle name="Standard 4 3 2 6 7 3" xfId="21251" xr:uid="{00000000-0005-0000-0000-0000C4530000}"/>
    <cellStyle name="Standard 4 3 2 6 8" xfId="21252" xr:uid="{00000000-0005-0000-0000-0000C5530000}"/>
    <cellStyle name="Standard 4 3 2 6 8 2" xfId="21253" xr:uid="{00000000-0005-0000-0000-0000C6530000}"/>
    <cellStyle name="Standard 4 3 2 6 8 3" xfId="21254" xr:uid="{00000000-0005-0000-0000-0000C7530000}"/>
    <cellStyle name="Standard 4 3 2 6 9" xfId="21255" xr:uid="{00000000-0005-0000-0000-0000C8530000}"/>
    <cellStyle name="Standard 4 3 2 6 9 2" xfId="21256" xr:uid="{00000000-0005-0000-0000-0000C9530000}"/>
    <cellStyle name="Standard 4 3 2 7" xfId="21257" xr:uid="{00000000-0005-0000-0000-0000CA530000}"/>
    <cellStyle name="Standard 4 3 2 7 10" xfId="21258" xr:uid="{00000000-0005-0000-0000-0000CB530000}"/>
    <cellStyle name="Standard 4 3 2 7 2" xfId="21259" xr:uid="{00000000-0005-0000-0000-0000CC530000}"/>
    <cellStyle name="Standard 4 3 2 7 2 2" xfId="21260" xr:uid="{00000000-0005-0000-0000-0000CD530000}"/>
    <cellStyle name="Standard 4 3 2 7 2 2 2" xfId="21261" xr:uid="{00000000-0005-0000-0000-0000CE530000}"/>
    <cellStyle name="Standard 4 3 2 7 2 2 2 2" xfId="21262" xr:uid="{00000000-0005-0000-0000-0000CF530000}"/>
    <cellStyle name="Standard 4 3 2 7 2 2 2 2 2" xfId="21263" xr:uid="{00000000-0005-0000-0000-0000D0530000}"/>
    <cellStyle name="Standard 4 3 2 7 2 2 2 2 3" xfId="21264" xr:uid="{00000000-0005-0000-0000-0000D1530000}"/>
    <cellStyle name="Standard 4 3 2 7 2 2 2 3" xfId="21265" xr:uid="{00000000-0005-0000-0000-0000D2530000}"/>
    <cellStyle name="Standard 4 3 2 7 2 2 2 3 2" xfId="21266" xr:uid="{00000000-0005-0000-0000-0000D3530000}"/>
    <cellStyle name="Standard 4 3 2 7 2 2 2 3 3" xfId="21267" xr:uid="{00000000-0005-0000-0000-0000D4530000}"/>
    <cellStyle name="Standard 4 3 2 7 2 2 2 4" xfId="21268" xr:uid="{00000000-0005-0000-0000-0000D5530000}"/>
    <cellStyle name="Standard 4 3 2 7 2 2 2 4 2" xfId="21269" xr:uid="{00000000-0005-0000-0000-0000D6530000}"/>
    <cellStyle name="Standard 4 3 2 7 2 2 2 5" xfId="21270" xr:uid="{00000000-0005-0000-0000-0000D7530000}"/>
    <cellStyle name="Standard 4 3 2 7 2 2 2 6" xfId="21271" xr:uid="{00000000-0005-0000-0000-0000D8530000}"/>
    <cellStyle name="Standard 4 3 2 7 2 2 3" xfId="21272" xr:uid="{00000000-0005-0000-0000-0000D9530000}"/>
    <cellStyle name="Standard 4 3 2 7 2 2 3 2" xfId="21273" xr:uid="{00000000-0005-0000-0000-0000DA530000}"/>
    <cellStyle name="Standard 4 3 2 7 2 2 3 3" xfId="21274" xr:uid="{00000000-0005-0000-0000-0000DB530000}"/>
    <cellStyle name="Standard 4 3 2 7 2 2 4" xfId="21275" xr:uid="{00000000-0005-0000-0000-0000DC530000}"/>
    <cellStyle name="Standard 4 3 2 7 2 2 4 2" xfId="21276" xr:uid="{00000000-0005-0000-0000-0000DD530000}"/>
    <cellStyle name="Standard 4 3 2 7 2 2 4 3" xfId="21277" xr:uid="{00000000-0005-0000-0000-0000DE530000}"/>
    <cellStyle name="Standard 4 3 2 7 2 2 5" xfId="21278" xr:uid="{00000000-0005-0000-0000-0000DF530000}"/>
    <cellStyle name="Standard 4 3 2 7 2 2 5 2" xfId="21279" xr:uid="{00000000-0005-0000-0000-0000E0530000}"/>
    <cellStyle name="Standard 4 3 2 7 2 2 6" xfId="21280" xr:uid="{00000000-0005-0000-0000-0000E1530000}"/>
    <cellStyle name="Standard 4 3 2 7 2 2 7" xfId="21281" xr:uid="{00000000-0005-0000-0000-0000E2530000}"/>
    <cellStyle name="Standard 4 3 2 7 2 3" xfId="21282" xr:uid="{00000000-0005-0000-0000-0000E3530000}"/>
    <cellStyle name="Standard 4 3 2 7 2 3 2" xfId="21283" xr:uid="{00000000-0005-0000-0000-0000E4530000}"/>
    <cellStyle name="Standard 4 3 2 7 2 3 2 2" xfId="21284" xr:uid="{00000000-0005-0000-0000-0000E5530000}"/>
    <cellStyle name="Standard 4 3 2 7 2 3 2 3" xfId="21285" xr:uid="{00000000-0005-0000-0000-0000E6530000}"/>
    <cellStyle name="Standard 4 3 2 7 2 3 3" xfId="21286" xr:uid="{00000000-0005-0000-0000-0000E7530000}"/>
    <cellStyle name="Standard 4 3 2 7 2 3 3 2" xfId="21287" xr:uid="{00000000-0005-0000-0000-0000E8530000}"/>
    <cellStyle name="Standard 4 3 2 7 2 3 3 3" xfId="21288" xr:uid="{00000000-0005-0000-0000-0000E9530000}"/>
    <cellStyle name="Standard 4 3 2 7 2 3 4" xfId="21289" xr:uid="{00000000-0005-0000-0000-0000EA530000}"/>
    <cellStyle name="Standard 4 3 2 7 2 3 4 2" xfId="21290" xr:uid="{00000000-0005-0000-0000-0000EB530000}"/>
    <cellStyle name="Standard 4 3 2 7 2 3 5" xfId="21291" xr:uid="{00000000-0005-0000-0000-0000EC530000}"/>
    <cellStyle name="Standard 4 3 2 7 2 3 6" xfId="21292" xr:uid="{00000000-0005-0000-0000-0000ED530000}"/>
    <cellStyle name="Standard 4 3 2 7 2 4" xfId="21293" xr:uid="{00000000-0005-0000-0000-0000EE530000}"/>
    <cellStyle name="Standard 4 3 2 7 2 4 2" xfId="21294" xr:uid="{00000000-0005-0000-0000-0000EF530000}"/>
    <cellStyle name="Standard 4 3 2 7 2 4 3" xfId="21295" xr:uid="{00000000-0005-0000-0000-0000F0530000}"/>
    <cellStyle name="Standard 4 3 2 7 2 5" xfId="21296" xr:uid="{00000000-0005-0000-0000-0000F1530000}"/>
    <cellStyle name="Standard 4 3 2 7 2 5 2" xfId="21297" xr:uid="{00000000-0005-0000-0000-0000F2530000}"/>
    <cellStyle name="Standard 4 3 2 7 2 5 3" xfId="21298" xr:uid="{00000000-0005-0000-0000-0000F3530000}"/>
    <cellStyle name="Standard 4 3 2 7 2 6" xfId="21299" xr:uid="{00000000-0005-0000-0000-0000F4530000}"/>
    <cellStyle name="Standard 4 3 2 7 2 6 2" xfId="21300" xr:uid="{00000000-0005-0000-0000-0000F5530000}"/>
    <cellStyle name="Standard 4 3 2 7 2 7" xfId="21301" xr:uid="{00000000-0005-0000-0000-0000F6530000}"/>
    <cellStyle name="Standard 4 3 2 7 2 8" xfId="21302" xr:uid="{00000000-0005-0000-0000-0000F7530000}"/>
    <cellStyle name="Standard 4 3 2 7 3" xfId="21303" xr:uid="{00000000-0005-0000-0000-0000F8530000}"/>
    <cellStyle name="Standard 4 3 2 7 3 2" xfId="21304" xr:uid="{00000000-0005-0000-0000-0000F9530000}"/>
    <cellStyle name="Standard 4 3 2 7 3 2 2" xfId="21305" xr:uid="{00000000-0005-0000-0000-0000FA530000}"/>
    <cellStyle name="Standard 4 3 2 7 3 2 2 2" xfId="21306" xr:uid="{00000000-0005-0000-0000-0000FB530000}"/>
    <cellStyle name="Standard 4 3 2 7 3 2 2 2 2" xfId="21307" xr:uid="{00000000-0005-0000-0000-0000FC530000}"/>
    <cellStyle name="Standard 4 3 2 7 3 2 2 2 3" xfId="21308" xr:uid="{00000000-0005-0000-0000-0000FD530000}"/>
    <cellStyle name="Standard 4 3 2 7 3 2 2 3" xfId="21309" xr:uid="{00000000-0005-0000-0000-0000FE530000}"/>
    <cellStyle name="Standard 4 3 2 7 3 2 2 3 2" xfId="21310" xr:uid="{00000000-0005-0000-0000-0000FF530000}"/>
    <cellStyle name="Standard 4 3 2 7 3 2 2 3 3" xfId="21311" xr:uid="{00000000-0005-0000-0000-000000540000}"/>
    <cellStyle name="Standard 4 3 2 7 3 2 2 4" xfId="21312" xr:uid="{00000000-0005-0000-0000-000001540000}"/>
    <cellStyle name="Standard 4 3 2 7 3 2 2 4 2" xfId="21313" xr:uid="{00000000-0005-0000-0000-000002540000}"/>
    <cellStyle name="Standard 4 3 2 7 3 2 2 5" xfId="21314" xr:uid="{00000000-0005-0000-0000-000003540000}"/>
    <cellStyle name="Standard 4 3 2 7 3 2 2 6" xfId="21315" xr:uid="{00000000-0005-0000-0000-000004540000}"/>
    <cellStyle name="Standard 4 3 2 7 3 2 3" xfId="21316" xr:uid="{00000000-0005-0000-0000-000005540000}"/>
    <cellStyle name="Standard 4 3 2 7 3 2 3 2" xfId="21317" xr:uid="{00000000-0005-0000-0000-000006540000}"/>
    <cellStyle name="Standard 4 3 2 7 3 2 3 3" xfId="21318" xr:uid="{00000000-0005-0000-0000-000007540000}"/>
    <cellStyle name="Standard 4 3 2 7 3 2 4" xfId="21319" xr:uid="{00000000-0005-0000-0000-000008540000}"/>
    <cellStyle name="Standard 4 3 2 7 3 2 4 2" xfId="21320" xr:uid="{00000000-0005-0000-0000-000009540000}"/>
    <cellStyle name="Standard 4 3 2 7 3 2 4 3" xfId="21321" xr:uid="{00000000-0005-0000-0000-00000A540000}"/>
    <cellStyle name="Standard 4 3 2 7 3 2 5" xfId="21322" xr:uid="{00000000-0005-0000-0000-00000B540000}"/>
    <cellStyle name="Standard 4 3 2 7 3 2 5 2" xfId="21323" xr:uid="{00000000-0005-0000-0000-00000C540000}"/>
    <cellStyle name="Standard 4 3 2 7 3 2 6" xfId="21324" xr:uid="{00000000-0005-0000-0000-00000D540000}"/>
    <cellStyle name="Standard 4 3 2 7 3 2 7" xfId="21325" xr:uid="{00000000-0005-0000-0000-00000E540000}"/>
    <cellStyle name="Standard 4 3 2 7 3 3" xfId="21326" xr:uid="{00000000-0005-0000-0000-00000F540000}"/>
    <cellStyle name="Standard 4 3 2 7 3 3 2" xfId="21327" xr:uid="{00000000-0005-0000-0000-000010540000}"/>
    <cellStyle name="Standard 4 3 2 7 3 3 2 2" xfId="21328" xr:uid="{00000000-0005-0000-0000-000011540000}"/>
    <cellStyle name="Standard 4 3 2 7 3 3 2 3" xfId="21329" xr:uid="{00000000-0005-0000-0000-000012540000}"/>
    <cellStyle name="Standard 4 3 2 7 3 3 3" xfId="21330" xr:uid="{00000000-0005-0000-0000-000013540000}"/>
    <cellStyle name="Standard 4 3 2 7 3 3 3 2" xfId="21331" xr:uid="{00000000-0005-0000-0000-000014540000}"/>
    <cellStyle name="Standard 4 3 2 7 3 3 3 3" xfId="21332" xr:uid="{00000000-0005-0000-0000-000015540000}"/>
    <cellStyle name="Standard 4 3 2 7 3 3 4" xfId="21333" xr:uid="{00000000-0005-0000-0000-000016540000}"/>
    <cellStyle name="Standard 4 3 2 7 3 3 4 2" xfId="21334" xr:uid="{00000000-0005-0000-0000-000017540000}"/>
    <cellStyle name="Standard 4 3 2 7 3 3 5" xfId="21335" xr:uid="{00000000-0005-0000-0000-000018540000}"/>
    <cellStyle name="Standard 4 3 2 7 3 3 6" xfId="21336" xr:uid="{00000000-0005-0000-0000-000019540000}"/>
    <cellStyle name="Standard 4 3 2 7 3 4" xfId="21337" xr:uid="{00000000-0005-0000-0000-00001A540000}"/>
    <cellStyle name="Standard 4 3 2 7 3 4 2" xfId="21338" xr:uid="{00000000-0005-0000-0000-00001B540000}"/>
    <cellStyle name="Standard 4 3 2 7 3 4 3" xfId="21339" xr:uid="{00000000-0005-0000-0000-00001C540000}"/>
    <cellStyle name="Standard 4 3 2 7 3 5" xfId="21340" xr:uid="{00000000-0005-0000-0000-00001D540000}"/>
    <cellStyle name="Standard 4 3 2 7 3 5 2" xfId="21341" xr:uid="{00000000-0005-0000-0000-00001E540000}"/>
    <cellStyle name="Standard 4 3 2 7 3 5 3" xfId="21342" xr:uid="{00000000-0005-0000-0000-00001F540000}"/>
    <cellStyle name="Standard 4 3 2 7 3 6" xfId="21343" xr:uid="{00000000-0005-0000-0000-000020540000}"/>
    <cellStyle name="Standard 4 3 2 7 3 6 2" xfId="21344" xr:uid="{00000000-0005-0000-0000-000021540000}"/>
    <cellStyle name="Standard 4 3 2 7 3 7" xfId="21345" xr:uid="{00000000-0005-0000-0000-000022540000}"/>
    <cellStyle name="Standard 4 3 2 7 3 8" xfId="21346" xr:uid="{00000000-0005-0000-0000-000023540000}"/>
    <cellStyle name="Standard 4 3 2 7 4" xfId="21347" xr:uid="{00000000-0005-0000-0000-000024540000}"/>
    <cellStyle name="Standard 4 3 2 7 4 2" xfId="21348" xr:uid="{00000000-0005-0000-0000-000025540000}"/>
    <cellStyle name="Standard 4 3 2 7 4 2 2" xfId="21349" xr:uid="{00000000-0005-0000-0000-000026540000}"/>
    <cellStyle name="Standard 4 3 2 7 4 2 2 2" xfId="21350" xr:uid="{00000000-0005-0000-0000-000027540000}"/>
    <cellStyle name="Standard 4 3 2 7 4 2 2 3" xfId="21351" xr:uid="{00000000-0005-0000-0000-000028540000}"/>
    <cellStyle name="Standard 4 3 2 7 4 2 3" xfId="21352" xr:uid="{00000000-0005-0000-0000-000029540000}"/>
    <cellStyle name="Standard 4 3 2 7 4 2 3 2" xfId="21353" xr:uid="{00000000-0005-0000-0000-00002A540000}"/>
    <cellStyle name="Standard 4 3 2 7 4 2 3 3" xfId="21354" xr:uid="{00000000-0005-0000-0000-00002B540000}"/>
    <cellStyle name="Standard 4 3 2 7 4 2 4" xfId="21355" xr:uid="{00000000-0005-0000-0000-00002C540000}"/>
    <cellStyle name="Standard 4 3 2 7 4 2 4 2" xfId="21356" xr:uid="{00000000-0005-0000-0000-00002D540000}"/>
    <cellStyle name="Standard 4 3 2 7 4 2 5" xfId="21357" xr:uid="{00000000-0005-0000-0000-00002E540000}"/>
    <cellStyle name="Standard 4 3 2 7 4 2 6" xfId="21358" xr:uid="{00000000-0005-0000-0000-00002F540000}"/>
    <cellStyle name="Standard 4 3 2 7 4 3" xfId="21359" xr:uid="{00000000-0005-0000-0000-000030540000}"/>
    <cellStyle name="Standard 4 3 2 7 4 3 2" xfId="21360" xr:uid="{00000000-0005-0000-0000-000031540000}"/>
    <cellStyle name="Standard 4 3 2 7 4 3 3" xfId="21361" xr:uid="{00000000-0005-0000-0000-000032540000}"/>
    <cellStyle name="Standard 4 3 2 7 4 4" xfId="21362" xr:uid="{00000000-0005-0000-0000-000033540000}"/>
    <cellStyle name="Standard 4 3 2 7 4 4 2" xfId="21363" xr:uid="{00000000-0005-0000-0000-000034540000}"/>
    <cellStyle name="Standard 4 3 2 7 4 4 3" xfId="21364" xr:uid="{00000000-0005-0000-0000-000035540000}"/>
    <cellStyle name="Standard 4 3 2 7 4 5" xfId="21365" xr:uid="{00000000-0005-0000-0000-000036540000}"/>
    <cellStyle name="Standard 4 3 2 7 4 5 2" xfId="21366" xr:uid="{00000000-0005-0000-0000-000037540000}"/>
    <cellStyle name="Standard 4 3 2 7 4 6" xfId="21367" xr:uid="{00000000-0005-0000-0000-000038540000}"/>
    <cellStyle name="Standard 4 3 2 7 4 7" xfId="21368" xr:uid="{00000000-0005-0000-0000-000039540000}"/>
    <cellStyle name="Standard 4 3 2 7 5" xfId="21369" xr:uid="{00000000-0005-0000-0000-00003A540000}"/>
    <cellStyle name="Standard 4 3 2 7 5 2" xfId="21370" xr:uid="{00000000-0005-0000-0000-00003B540000}"/>
    <cellStyle name="Standard 4 3 2 7 5 2 2" xfId="21371" xr:uid="{00000000-0005-0000-0000-00003C540000}"/>
    <cellStyle name="Standard 4 3 2 7 5 2 3" xfId="21372" xr:uid="{00000000-0005-0000-0000-00003D540000}"/>
    <cellStyle name="Standard 4 3 2 7 5 3" xfId="21373" xr:uid="{00000000-0005-0000-0000-00003E540000}"/>
    <cellStyle name="Standard 4 3 2 7 5 3 2" xfId="21374" xr:uid="{00000000-0005-0000-0000-00003F540000}"/>
    <cellStyle name="Standard 4 3 2 7 5 3 3" xfId="21375" xr:uid="{00000000-0005-0000-0000-000040540000}"/>
    <cellStyle name="Standard 4 3 2 7 5 4" xfId="21376" xr:uid="{00000000-0005-0000-0000-000041540000}"/>
    <cellStyle name="Standard 4 3 2 7 5 4 2" xfId="21377" xr:uid="{00000000-0005-0000-0000-000042540000}"/>
    <cellStyle name="Standard 4 3 2 7 5 5" xfId="21378" xr:uid="{00000000-0005-0000-0000-000043540000}"/>
    <cellStyle name="Standard 4 3 2 7 5 6" xfId="21379" xr:uid="{00000000-0005-0000-0000-000044540000}"/>
    <cellStyle name="Standard 4 3 2 7 6" xfId="21380" xr:uid="{00000000-0005-0000-0000-000045540000}"/>
    <cellStyle name="Standard 4 3 2 7 6 2" xfId="21381" xr:uid="{00000000-0005-0000-0000-000046540000}"/>
    <cellStyle name="Standard 4 3 2 7 6 3" xfId="21382" xr:uid="{00000000-0005-0000-0000-000047540000}"/>
    <cellStyle name="Standard 4 3 2 7 7" xfId="21383" xr:uid="{00000000-0005-0000-0000-000048540000}"/>
    <cellStyle name="Standard 4 3 2 7 7 2" xfId="21384" xr:uid="{00000000-0005-0000-0000-000049540000}"/>
    <cellStyle name="Standard 4 3 2 7 7 3" xfId="21385" xr:uid="{00000000-0005-0000-0000-00004A540000}"/>
    <cellStyle name="Standard 4 3 2 7 8" xfId="21386" xr:uid="{00000000-0005-0000-0000-00004B540000}"/>
    <cellStyle name="Standard 4 3 2 7 8 2" xfId="21387" xr:uid="{00000000-0005-0000-0000-00004C540000}"/>
    <cellStyle name="Standard 4 3 2 7 9" xfId="21388" xr:uid="{00000000-0005-0000-0000-00004D540000}"/>
    <cellStyle name="Standard 4 3 2 8" xfId="21389" xr:uid="{00000000-0005-0000-0000-00004E540000}"/>
    <cellStyle name="Standard 4 3 2 8 2" xfId="21390" xr:uid="{00000000-0005-0000-0000-00004F540000}"/>
    <cellStyle name="Standard 4 3 2 8 2 2" xfId="21391" xr:uid="{00000000-0005-0000-0000-000050540000}"/>
    <cellStyle name="Standard 4 3 2 8 2 2 2" xfId="21392" xr:uid="{00000000-0005-0000-0000-000051540000}"/>
    <cellStyle name="Standard 4 3 2 8 2 2 2 2" xfId="21393" xr:uid="{00000000-0005-0000-0000-000052540000}"/>
    <cellStyle name="Standard 4 3 2 8 2 2 2 2 2" xfId="21394" xr:uid="{00000000-0005-0000-0000-000053540000}"/>
    <cellStyle name="Standard 4 3 2 8 2 2 2 2 3" xfId="21395" xr:uid="{00000000-0005-0000-0000-000054540000}"/>
    <cellStyle name="Standard 4 3 2 8 2 2 2 3" xfId="21396" xr:uid="{00000000-0005-0000-0000-000055540000}"/>
    <cellStyle name="Standard 4 3 2 8 2 2 2 3 2" xfId="21397" xr:uid="{00000000-0005-0000-0000-000056540000}"/>
    <cellStyle name="Standard 4 3 2 8 2 2 2 3 3" xfId="21398" xr:uid="{00000000-0005-0000-0000-000057540000}"/>
    <cellStyle name="Standard 4 3 2 8 2 2 2 4" xfId="21399" xr:uid="{00000000-0005-0000-0000-000058540000}"/>
    <cellStyle name="Standard 4 3 2 8 2 2 2 4 2" xfId="21400" xr:uid="{00000000-0005-0000-0000-000059540000}"/>
    <cellStyle name="Standard 4 3 2 8 2 2 2 5" xfId="21401" xr:uid="{00000000-0005-0000-0000-00005A540000}"/>
    <cellStyle name="Standard 4 3 2 8 2 2 2 6" xfId="21402" xr:uid="{00000000-0005-0000-0000-00005B540000}"/>
    <cellStyle name="Standard 4 3 2 8 2 2 3" xfId="21403" xr:uid="{00000000-0005-0000-0000-00005C540000}"/>
    <cellStyle name="Standard 4 3 2 8 2 2 3 2" xfId="21404" xr:uid="{00000000-0005-0000-0000-00005D540000}"/>
    <cellStyle name="Standard 4 3 2 8 2 2 3 3" xfId="21405" xr:uid="{00000000-0005-0000-0000-00005E540000}"/>
    <cellStyle name="Standard 4 3 2 8 2 2 4" xfId="21406" xr:uid="{00000000-0005-0000-0000-00005F540000}"/>
    <cellStyle name="Standard 4 3 2 8 2 2 4 2" xfId="21407" xr:uid="{00000000-0005-0000-0000-000060540000}"/>
    <cellStyle name="Standard 4 3 2 8 2 2 4 3" xfId="21408" xr:uid="{00000000-0005-0000-0000-000061540000}"/>
    <cellStyle name="Standard 4 3 2 8 2 2 5" xfId="21409" xr:uid="{00000000-0005-0000-0000-000062540000}"/>
    <cellStyle name="Standard 4 3 2 8 2 2 5 2" xfId="21410" xr:uid="{00000000-0005-0000-0000-000063540000}"/>
    <cellStyle name="Standard 4 3 2 8 2 2 6" xfId="21411" xr:uid="{00000000-0005-0000-0000-000064540000}"/>
    <cellStyle name="Standard 4 3 2 8 2 2 7" xfId="21412" xr:uid="{00000000-0005-0000-0000-000065540000}"/>
    <cellStyle name="Standard 4 3 2 8 2 3" xfId="21413" xr:uid="{00000000-0005-0000-0000-000066540000}"/>
    <cellStyle name="Standard 4 3 2 8 2 3 2" xfId="21414" xr:uid="{00000000-0005-0000-0000-000067540000}"/>
    <cellStyle name="Standard 4 3 2 8 2 3 2 2" xfId="21415" xr:uid="{00000000-0005-0000-0000-000068540000}"/>
    <cellStyle name="Standard 4 3 2 8 2 3 2 3" xfId="21416" xr:uid="{00000000-0005-0000-0000-000069540000}"/>
    <cellStyle name="Standard 4 3 2 8 2 3 3" xfId="21417" xr:uid="{00000000-0005-0000-0000-00006A540000}"/>
    <cellStyle name="Standard 4 3 2 8 2 3 3 2" xfId="21418" xr:uid="{00000000-0005-0000-0000-00006B540000}"/>
    <cellStyle name="Standard 4 3 2 8 2 3 3 3" xfId="21419" xr:uid="{00000000-0005-0000-0000-00006C540000}"/>
    <cellStyle name="Standard 4 3 2 8 2 3 4" xfId="21420" xr:uid="{00000000-0005-0000-0000-00006D540000}"/>
    <cellStyle name="Standard 4 3 2 8 2 3 4 2" xfId="21421" xr:uid="{00000000-0005-0000-0000-00006E540000}"/>
    <cellStyle name="Standard 4 3 2 8 2 3 5" xfId="21422" xr:uid="{00000000-0005-0000-0000-00006F540000}"/>
    <cellStyle name="Standard 4 3 2 8 2 3 6" xfId="21423" xr:uid="{00000000-0005-0000-0000-000070540000}"/>
    <cellStyle name="Standard 4 3 2 8 2 4" xfId="21424" xr:uid="{00000000-0005-0000-0000-000071540000}"/>
    <cellStyle name="Standard 4 3 2 8 2 4 2" xfId="21425" xr:uid="{00000000-0005-0000-0000-000072540000}"/>
    <cellStyle name="Standard 4 3 2 8 2 4 3" xfId="21426" xr:uid="{00000000-0005-0000-0000-000073540000}"/>
    <cellStyle name="Standard 4 3 2 8 2 5" xfId="21427" xr:uid="{00000000-0005-0000-0000-000074540000}"/>
    <cellStyle name="Standard 4 3 2 8 2 5 2" xfId="21428" xr:uid="{00000000-0005-0000-0000-000075540000}"/>
    <cellStyle name="Standard 4 3 2 8 2 5 3" xfId="21429" xr:uid="{00000000-0005-0000-0000-000076540000}"/>
    <cellStyle name="Standard 4 3 2 8 2 6" xfId="21430" xr:uid="{00000000-0005-0000-0000-000077540000}"/>
    <cellStyle name="Standard 4 3 2 8 2 6 2" xfId="21431" xr:uid="{00000000-0005-0000-0000-000078540000}"/>
    <cellStyle name="Standard 4 3 2 8 2 7" xfId="21432" xr:uid="{00000000-0005-0000-0000-000079540000}"/>
    <cellStyle name="Standard 4 3 2 8 2 8" xfId="21433" xr:uid="{00000000-0005-0000-0000-00007A540000}"/>
    <cellStyle name="Standard 4 3 2 8 3" xfId="21434" xr:uid="{00000000-0005-0000-0000-00007B540000}"/>
    <cellStyle name="Standard 4 3 2 8 3 2" xfId="21435" xr:uid="{00000000-0005-0000-0000-00007C540000}"/>
    <cellStyle name="Standard 4 3 2 8 3 2 2" xfId="21436" xr:uid="{00000000-0005-0000-0000-00007D540000}"/>
    <cellStyle name="Standard 4 3 2 8 3 2 2 2" xfId="21437" xr:uid="{00000000-0005-0000-0000-00007E540000}"/>
    <cellStyle name="Standard 4 3 2 8 3 2 2 3" xfId="21438" xr:uid="{00000000-0005-0000-0000-00007F540000}"/>
    <cellStyle name="Standard 4 3 2 8 3 2 3" xfId="21439" xr:uid="{00000000-0005-0000-0000-000080540000}"/>
    <cellStyle name="Standard 4 3 2 8 3 2 3 2" xfId="21440" xr:uid="{00000000-0005-0000-0000-000081540000}"/>
    <cellStyle name="Standard 4 3 2 8 3 2 3 3" xfId="21441" xr:uid="{00000000-0005-0000-0000-000082540000}"/>
    <cellStyle name="Standard 4 3 2 8 3 2 4" xfId="21442" xr:uid="{00000000-0005-0000-0000-000083540000}"/>
    <cellStyle name="Standard 4 3 2 8 3 2 4 2" xfId="21443" xr:uid="{00000000-0005-0000-0000-000084540000}"/>
    <cellStyle name="Standard 4 3 2 8 3 2 5" xfId="21444" xr:uid="{00000000-0005-0000-0000-000085540000}"/>
    <cellStyle name="Standard 4 3 2 8 3 2 6" xfId="21445" xr:uid="{00000000-0005-0000-0000-000086540000}"/>
    <cellStyle name="Standard 4 3 2 8 3 3" xfId="21446" xr:uid="{00000000-0005-0000-0000-000087540000}"/>
    <cellStyle name="Standard 4 3 2 8 3 3 2" xfId="21447" xr:uid="{00000000-0005-0000-0000-000088540000}"/>
    <cellStyle name="Standard 4 3 2 8 3 3 3" xfId="21448" xr:uid="{00000000-0005-0000-0000-000089540000}"/>
    <cellStyle name="Standard 4 3 2 8 3 4" xfId="21449" xr:uid="{00000000-0005-0000-0000-00008A540000}"/>
    <cellStyle name="Standard 4 3 2 8 3 4 2" xfId="21450" xr:uid="{00000000-0005-0000-0000-00008B540000}"/>
    <cellStyle name="Standard 4 3 2 8 3 4 3" xfId="21451" xr:uid="{00000000-0005-0000-0000-00008C540000}"/>
    <cellStyle name="Standard 4 3 2 8 3 5" xfId="21452" xr:uid="{00000000-0005-0000-0000-00008D540000}"/>
    <cellStyle name="Standard 4 3 2 8 3 5 2" xfId="21453" xr:uid="{00000000-0005-0000-0000-00008E540000}"/>
    <cellStyle name="Standard 4 3 2 8 3 6" xfId="21454" xr:uid="{00000000-0005-0000-0000-00008F540000}"/>
    <cellStyle name="Standard 4 3 2 8 3 7" xfId="21455" xr:uid="{00000000-0005-0000-0000-000090540000}"/>
    <cellStyle name="Standard 4 3 2 8 4" xfId="21456" xr:uid="{00000000-0005-0000-0000-000091540000}"/>
    <cellStyle name="Standard 4 3 2 8 4 2" xfId="21457" xr:uid="{00000000-0005-0000-0000-000092540000}"/>
    <cellStyle name="Standard 4 3 2 8 4 2 2" xfId="21458" xr:uid="{00000000-0005-0000-0000-000093540000}"/>
    <cellStyle name="Standard 4 3 2 8 4 2 3" xfId="21459" xr:uid="{00000000-0005-0000-0000-000094540000}"/>
    <cellStyle name="Standard 4 3 2 8 4 3" xfId="21460" xr:uid="{00000000-0005-0000-0000-000095540000}"/>
    <cellStyle name="Standard 4 3 2 8 4 3 2" xfId="21461" xr:uid="{00000000-0005-0000-0000-000096540000}"/>
    <cellStyle name="Standard 4 3 2 8 4 3 3" xfId="21462" xr:uid="{00000000-0005-0000-0000-000097540000}"/>
    <cellStyle name="Standard 4 3 2 8 4 4" xfId="21463" xr:uid="{00000000-0005-0000-0000-000098540000}"/>
    <cellStyle name="Standard 4 3 2 8 4 4 2" xfId="21464" xr:uid="{00000000-0005-0000-0000-000099540000}"/>
    <cellStyle name="Standard 4 3 2 8 4 5" xfId="21465" xr:uid="{00000000-0005-0000-0000-00009A540000}"/>
    <cellStyle name="Standard 4 3 2 8 4 6" xfId="21466" xr:uid="{00000000-0005-0000-0000-00009B540000}"/>
    <cellStyle name="Standard 4 3 2 8 5" xfId="21467" xr:uid="{00000000-0005-0000-0000-00009C540000}"/>
    <cellStyle name="Standard 4 3 2 8 5 2" xfId="21468" xr:uid="{00000000-0005-0000-0000-00009D540000}"/>
    <cellStyle name="Standard 4 3 2 8 5 3" xfId="21469" xr:uid="{00000000-0005-0000-0000-00009E540000}"/>
    <cellStyle name="Standard 4 3 2 8 6" xfId="21470" xr:uid="{00000000-0005-0000-0000-00009F540000}"/>
    <cellStyle name="Standard 4 3 2 8 6 2" xfId="21471" xr:uid="{00000000-0005-0000-0000-0000A0540000}"/>
    <cellStyle name="Standard 4 3 2 8 6 3" xfId="21472" xr:uid="{00000000-0005-0000-0000-0000A1540000}"/>
    <cellStyle name="Standard 4 3 2 8 7" xfId="21473" xr:uid="{00000000-0005-0000-0000-0000A2540000}"/>
    <cellStyle name="Standard 4 3 2 8 7 2" xfId="21474" xr:uid="{00000000-0005-0000-0000-0000A3540000}"/>
    <cellStyle name="Standard 4 3 2 8 8" xfId="21475" xr:uid="{00000000-0005-0000-0000-0000A4540000}"/>
    <cellStyle name="Standard 4 3 2 8 9" xfId="21476" xr:uid="{00000000-0005-0000-0000-0000A5540000}"/>
    <cellStyle name="Standard 4 3 2 9" xfId="21477" xr:uid="{00000000-0005-0000-0000-0000A6540000}"/>
    <cellStyle name="Standard 4 3 2 9 2" xfId="21478" xr:uid="{00000000-0005-0000-0000-0000A7540000}"/>
    <cellStyle name="Standard 4 3 2 9 2 2" xfId="21479" xr:uid="{00000000-0005-0000-0000-0000A8540000}"/>
    <cellStyle name="Standard 4 3 2 9 2 2 2" xfId="21480" xr:uid="{00000000-0005-0000-0000-0000A9540000}"/>
    <cellStyle name="Standard 4 3 2 9 2 2 2 2" xfId="21481" xr:uid="{00000000-0005-0000-0000-0000AA540000}"/>
    <cellStyle name="Standard 4 3 2 9 2 2 2 3" xfId="21482" xr:uid="{00000000-0005-0000-0000-0000AB540000}"/>
    <cellStyle name="Standard 4 3 2 9 2 2 3" xfId="21483" xr:uid="{00000000-0005-0000-0000-0000AC540000}"/>
    <cellStyle name="Standard 4 3 2 9 2 2 3 2" xfId="21484" xr:uid="{00000000-0005-0000-0000-0000AD540000}"/>
    <cellStyle name="Standard 4 3 2 9 2 2 3 3" xfId="21485" xr:uid="{00000000-0005-0000-0000-0000AE540000}"/>
    <cellStyle name="Standard 4 3 2 9 2 2 4" xfId="21486" xr:uid="{00000000-0005-0000-0000-0000AF540000}"/>
    <cellStyle name="Standard 4 3 2 9 2 2 4 2" xfId="21487" xr:uid="{00000000-0005-0000-0000-0000B0540000}"/>
    <cellStyle name="Standard 4 3 2 9 2 2 5" xfId="21488" xr:uid="{00000000-0005-0000-0000-0000B1540000}"/>
    <cellStyle name="Standard 4 3 2 9 2 2 6" xfId="21489" xr:uid="{00000000-0005-0000-0000-0000B2540000}"/>
    <cellStyle name="Standard 4 3 2 9 2 3" xfId="21490" xr:uid="{00000000-0005-0000-0000-0000B3540000}"/>
    <cellStyle name="Standard 4 3 2 9 2 3 2" xfId="21491" xr:uid="{00000000-0005-0000-0000-0000B4540000}"/>
    <cellStyle name="Standard 4 3 2 9 2 3 3" xfId="21492" xr:uid="{00000000-0005-0000-0000-0000B5540000}"/>
    <cellStyle name="Standard 4 3 2 9 2 4" xfId="21493" xr:uid="{00000000-0005-0000-0000-0000B6540000}"/>
    <cellStyle name="Standard 4 3 2 9 2 4 2" xfId="21494" xr:uid="{00000000-0005-0000-0000-0000B7540000}"/>
    <cellStyle name="Standard 4 3 2 9 2 4 3" xfId="21495" xr:uid="{00000000-0005-0000-0000-0000B8540000}"/>
    <cellStyle name="Standard 4 3 2 9 2 5" xfId="21496" xr:uid="{00000000-0005-0000-0000-0000B9540000}"/>
    <cellStyle name="Standard 4 3 2 9 2 5 2" xfId="21497" xr:uid="{00000000-0005-0000-0000-0000BA540000}"/>
    <cellStyle name="Standard 4 3 2 9 2 6" xfId="21498" xr:uid="{00000000-0005-0000-0000-0000BB540000}"/>
    <cellStyle name="Standard 4 3 2 9 2 7" xfId="21499" xr:uid="{00000000-0005-0000-0000-0000BC540000}"/>
    <cellStyle name="Standard 4 3 2 9 3" xfId="21500" xr:uid="{00000000-0005-0000-0000-0000BD540000}"/>
    <cellStyle name="Standard 4 3 2 9 3 2" xfId="21501" xr:uid="{00000000-0005-0000-0000-0000BE540000}"/>
    <cellStyle name="Standard 4 3 2 9 3 2 2" xfId="21502" xr:uid="{00000000-0005-0000-0000-0000BF540000}"/>
    <cellStyle name="Standard 4 3 2 9 3 2 3" xfId="21503" xr:uid="{00000000-0005-0000-0000-0000C0540000}"/>
    <cellStyle name="Standard 4 3 2 9 3 3" xfId="21504" xr:uid="{00000000-0005-0000-0000-0000C1540000}"/>
    <cellStyle name="Standard 4 3 2 9 3 3 2" xfId="21505" xr:uid="{00000000-0005-0000-0000-0000C2540000}"/>
    <cellStyle name="Standard 4 3 2 9 3 3 3" xfId="21506" xr:uid="{00000000-0005-0000-0000-0000C3540000}"/>
    <cellStyle name="Standard 4 3 2 9 3 4" xfId="21507" xr:uid="{00000000-0005-0000-0000-0000C4540000}"/>
    <cellStyle name="Standard 4 3 2 9 3 4 2" xfId="21508" xr:uid="{00000000-0005-0000-0000-0000C5540000}"/>
    <cellStyle name="Standard 4 3 2 9 3 5" xfId="21509" xr:uid="{00000000-0005-0000-0000-0000C6540000}"/>
    <cellStyle name="Standard 4 3 2 9 3 6" xfId="21510" xr:uid="{00000000-0005-0000-0000-0000C7540000}"/>
    <cellStyle name="Standard 4 3 2 9 4" xfId="21511" xr:uid="{00000000-0005-0000-0000-0000C8540000}"/>
    <cellStyle name="Standard 4 3 2 9 4 2" xfId="21512" xr:uid="{00000000-0005-0000-0000-0000C9540000}"/>
    <cellStyle name="Standard 4 3 2 9 4 3" xfId="21513" xr:uid="{00000000-0005-0000-0000-0000CA540000}"/>
    <cellStyle name="Standard 4 3 2 9 5" xfId="21514" xr:uid="{00000000-0005-0000-0000-0000CB540000}"/>
    <cellStyle name="Standard 4 3 2 9 5 2" xfId="21515" xr:uid="{00000000-0005-0000-0000-0000CC540000}"/>
    <cellStyle name="Standard 4 3 2 9 5 3" xfId="21516" xr:uid="{00000000-0005-0000-0000-0000CD540000}"/>
    <cellStyle name="Standard 4 3 2 9 6" xfId="21517" xr:uid="{00000000-0005-0000-0000-0000CE540000}"/>
    <cellStyle name="Standard 4 3 2 9 6 2" xfId="21518" xr:uid="{00000000-0005-0000-0000-0000CF540000}"/>
    <cellStyle name="Standard 4 3 2 9 7" xfId="21519" xr:uid="{00000000-0005-0000-0000-0000D0540000}"/>
    <cellStyle name="Standard 4 3 2 9 8" xfId="21520" xr:uid="{00000000-0005-0000-0000-0000D1540000}"/>
    <cellStyle name="Standard 4 3 3" xfId="21521" xr:uid="{00000000-0005-0000-0000-0000D2540000}"/>
    <cellStyle name="Standard 4 3 3 10" xfId="21522" xr:uid="{00000000-0005-0000-0000-0000D3540000}"/>
    <cellStyle name="Standard 4 3 3 10 2" xfId="21523" xr:uid="{00000000-0005-0000-0000-0000D4540000}"/>
    <cellStyle name="Standard 4 3 3 10 3" xfId="21524" xr:uid="{00000000-0005-0000-0000-0000D5540000}"/>
    <cellStyle name="Standard 4 3 3 11" xfId="21525" xr:uid="{00000000-0005-0000-0000-0000D6540000}"/>
    <cellStyle name="Standard 4 3 3 11 2" xfId="21526" xr:uid="{00000000-0005-0000-0000-0000D7540000}"/>
    <cellStyle name="Standard 4 3 3 11 3" xfId="21527" xr:uid="{00000000-0005-0000-0000-0000D8540000}"/>
    <cellStyle name="Standard 4 3 3 12" xfId="21528" xr:uid="{00000000-0005-0000-0000-0000D9540000}"/>
    <cellStyle name="Standard 4 3 3 12 2" xfId="21529" xr:uid="{00000000-0005-0000-0000-0000DA540000}"/>
    <cellStyle name="Standard 4 3 3 13" xfId="21530" xr:uid="{00000000-0005-0000-0000-0000DB540000}"/>
    <cellStyle name="Standard 4 3 3 14" xfId="21531" xr:uid="{00000000-0005-0000-0000-0000DC540000}"/>
    <cellStyle name="Standard 4 3 3 15" xfId="33467" xr:uid="{00000000-0005-0000-0000-0000DD540000}"/>
    <cellStyle name="Standard 4 3 3 2" xfId="21532" xr:uid="{00000000-0005-0000-0000-0000DE540000}"/>
    <cellStyle name="Standard 4 3 3 2 10" xfId="21533" xr:uid="{00000000-0005-0000-0000-0000DF540000}"/>
    <cellStyle name="Standard 4 3 3 2 10 2" xfId="21534" xr:uid="{00000000-0005-0000-0000-0000E0540000}"/>
    <cellStyle name="Standard 4 3 3 2 11" xfId="21535" xr:uid="{00000000-0005-0000-0000-0000E1540000}"/>
    <cellStyle name="Standard 4 3 3 2 12" xfId="21536" xr:uid="{00000000-0005-0000-0000-0000E2540000}"/>
    <cellStyle name="Standard 4 3 3 2 2" xfId="21537" xr:uid="{00000000-0005-0000-0000-0000E3540000}"/>
    <cellStyle name="Standard 4 3 3 2 2 10" xfId="21538" xr:uid="{00000000-0005-0000-0000-0000E4540000}"/>
    <cellStyle name="Standard 4 3 3 2 2 11" xfId="21539" xr:uid="{00000000-0005-0000-0000-0000E5540000}"/>
    <cellStyle name="Standard 4 3 3 2 2 2" xfId="21540" xr:uid="{00000000-0005-0000-0000-0000E6540000}"/>
    <cellStyle name="Standard 4 3 3 2 2 2 10" xfId="21541" xr:uid="{00000000-0005-0000-0000-0000E7540000}"/>
    <cellStyle name="Standard 4 3 3 2 2 2 2" xfId="21542" xr:uid="{00000000-0005-0000-0000-0000E8540000}"/>
    <cellStyle name="Standard 4 3 3 2 2 2 2 2" xfId="21543" xr:uid="{00000000-0005-0000-0000-0000E9540000}"/>
    <cellStyle name="Standard 4 3 3 2 2 2 2 2 2" xfId="21544" xr:uid="{00000000-0005-0000-0000-0000EA540000}"/>
    <cellStyle name="Standard 4 3 3 2 2 2 2 2 2 2" xfId="21545" xr:uid="{00000000-0005-0000-0000-0000EB540000}"/>
    <cellStyle name="Standard 4 3 3 2 2 2 2 2 2 2 2" xfId="21546" xr:uid="{00000000-0005-0000-0000-0000EC540000}"/>
    <cellStyle name="Standard 4 3 3 2 2 2 2 2 2 2 3" xfId="21547" xr:uid="{00000000-0005-0000-0000-0000ED540000}"/>
    <cellStyle name="Standard 4 3 3 2 2 2 2 2 2 3" xfId="21548" xr:uid="{00000000-0005-0000-0000-0000EE540000}"/>
    <cellStyle name="Standard 4 3 3 2 2 2 2 2 2 3 2" xfId="21549" xr:uid="{00000000-0005-0000-0000-0000EF540000}"/>
    <cellStyle name="Standard 4 3 3 2 2 2 2 2 2 3 3" xfId="21550" xr:uid="{00000000-0005-0000-0000-0000F0540000}"/>
    <cellStyle name="Standard 4 3 3 2 2 2 2 2 2 4" xfId="21551" xr:uid="{00000000-0005-0000-0000-0000F1540000}"/>
    <cellStyle name="Standard 4 3 3 2 2 2 2 2 2 4 2" xfId="21552" xr:uid="{00000000-0005-0000-0000-0000F2540000}"/>
    <cellStyle name="Standard 4 3 3 2 2 2 2 2 2 5" xfId="21553" xr:uid="{00000000-0005-0000-0000-0000F3540000}"/>
    <cellStyle name="Standard 4 3 3 2 2 2 2 2 2 6" xfId="21554" xr:uid="{00000000-0005-0000-0000-0000F4540000}"/>
    <cellStyle name="Standard 4 3 3 2 2 2 2 2 3" xfId="21555" xr:uid="{00000000-0005-0000-0000-0000F5540000}"/>
    <cellStyle name="Standard 4 3 3 2 2 2 2 2 3 2" xfId="21556" xr:uid="{00000000-0005-0000-0000-0000F6540000}"/>
    <cellStyle name="Standard 4 3 3 2 2 2 2 2 3 3" xfId="21557" xr:uid="{00000000-0005-0000-0000-0000F7540000}"/>
    <cellStyle name="Standard 4 3 3 2 2 2 2 2 4" xfId="21558" xr:uid="{00000000-0005-0000-0000-0000F8540000}"/>
    <cellStyle name="Standard 4 3 3 2 2 2 2 2 4 2" xfId="21559" xr:uid="{00000000-0005-0000-0000-0000F9540000}"/>
    <cellStyle name="Standard 4 3 3 2 2 2 2 2 4 3" xfId="21560" xr:uid="{00000000-0005-0000-0000-0000FA540000}"/>
    <cellStyle name="Standard 4 3 3 2 2 2 2 2 5" xfId="21561" xr:uid="{00000000-0005-0000-0000-0000FB540000}"/>
    <cellStyle name="Standard 4 3 3 2 2 2 2 2 5 2" xfId="21562" xr:uid="{00000000-0005-0000-0000-0000FC540000}"/>
    <cellStyle name="Standard 4 3 3 2 2 2 2 2 6" xfId="21563" xr:uid="{00000000-0005-0000-0000-0000FD540000}"/>
    <cellStyle name="Standard 4 3 3 2 2 2 2 2 7" xfId="21564" xr:uid="{00000000-0005-0000-0000-0000FE540000}"/>
    <cellStyle name="Standard 4 3 3 2 2 2 2 3" xfId="21565" xr:uid="{00000000-0005-0000-0000-0000FF540000}"/>
    <cellStyle name="Standard 4 3 3 2 2 2 2 3 2" xfId="21566" xr:uid="{00000000-0005-0000-0000-000000550000}"/>
    <cellStyle name="Standard 4 3 3 2 2 2 2 3 2 2" xfId="21567" xr:uid="{00000000-0005-0000-0000-000001550000}"/>
    <cellStyle name="Standard 4 3 3 2 2 2 2 3 2 3" xfId="21568" xr:uid="{00000000-0005-0000-0000-000002550000}"/>
    <cellStyle name="Standard 4 3 3 2 2 2 2 3 3" xfId="21569" xr:uid="{00000000-0005-0000-0000-000003550000}"/>
    <cellStyle name="Standard 4 3 3 2 2 2 2 3 3 2" xfId="21570" xr:uid="{00000000-0005-0000-0000-000004550000}"/>
    <cellStyle name="Standard 4 3 3 2 2 2 2 3 3 3" xfId="21571" xr:uid="{00000000-0005-0000-0000-000005550000}"/>
    <cellStyle name="Standard 4 3 3 2 2 2 2 3 4" xfId="21572" xr:uid="{00000000-0005-0000-0000-000006550000}"/>
    <cellStyle name="Standard 4 3 3 2 2 2 2 3 4 2" xfId="21573" xr:uid="{00000000-0005-0000-0000-000007550000}"/>
    <cellStyle name="Standard 4 3 3 2 2 2 2 3 5" xfId="21574" xr:uid="{00000000-0005-0000-0000-000008550000}"/>
    <cellStyle name="Standard 4 3 3 2 2 2 2 3 6" xfId="21575" xr:uid="{00000000-0005-0000-0000-000009550000}"/>
    <cellStyle name="Standard 4 3 3 2 2 2 2 4" xfId="21576" xr:uid="{00000000-0005-0000-0000-00000A550000}"/>
    <cellStyle name="Standard 4 3 3 2 2 2 2 4 2" xfId="21577" xr:uid="{00000000-0005-0000-0000-00000B550000}"/>
    <cellStyle name="Standard 4 3 3 2 2 2 2 4 3" xfId="21578" xr:uid="{00000000-0005-0000-0000-00000C550000}"/>
    <cellStyle name="Standard 4 3 3 2 2 2 2 5" xfId="21579" xr:uid="{00000000-0005-0000-0000-00000D550000}"/>
    <cellStyle name="Standard 4 3 3 2 2 2 2 5 2" xfId="21580" xr:uid="{00000000-0005-0000-0000-00000E550000}"/>
    <cellStyle name="Standard 4 3 3 2 2 2 2 5 3" xfId="21581" xr:uid="{00000000-0005-0000-0000-00000F550000}"/>
    <cellStyle name="Standard 4 3 3 2 2 2 2 6" xfId="21582" xr:uid="{00000000-0005-0000-0000-000010550000}"/>
    <cellStyle name="Standard 4 3 3 2 2 2 2 6 2" xfId="21583" xr:uid="{00000000-0005-0000-0000-000011550000}"/>
    <cellStyle name="Standard 4 3 3 2 2 2 2 7" xfId="21584" xr:uid="{00000000-0005-0000-0000-000012550000}"/>
    <cellStyle name="Standard 4 3 3 2 2 2 2 8" xfId="21585" xr:uid="{00000000-0005-0000-0000-000013550000}"/>
    <cellStyle name="Standard 4 3 3 2 2 2 3" xfId="21586" xr:uid="{00000000-0005-0000-0000-000014550000}"/>
    <cellStyle name="Standard 4 3 3 2 2 2 3 2" xfId="21587" xr:uid="{00000000-0005-0000-0000-000015550000}"/>
    <cellStyle name="Standard 4 3 3 2 2 2 3 2 2" xfId="21588" xr:uid="{00000000-0005-0000-0000-000016550000}"/>
    <cellStyle name="Standard 4 3 3 2 2 2 3 2 2 2" xfId="21589" xr:uid="{00000000-0005-0000-0000-000017550000}"/>
    <cellStyle name="Standard 4 3 3 2 2 2 3 2 2 2 2" xfId="21590" xr:uid="{00000000-0005-0000-0000-000018550000}"/>
    <cellStyle name="Standard 4 3 3 2 2 2 3 2 2 2 3" xfId="21591" xr:uid="{00000000-0005-0000-0000-000019550000}"/>
    <cellStyle name="Standard 4 3 3 2 2 2 3 2 2 3" xfId="21592" xr:uid="{00000000-0005-0000-0000-00001A550000}"/>
    <cellStyle name="Standard 4 3 3 2 2 2 3 2 2 3 2" xfId="21593" xr:uid="{00000000-0005-0000-0000-00001B550000}"/>
    <cellStyle name="Standard 4 3 3 2 2 2 3 2 2 3 3" xfId="21594" xr:uid="{00000000-0005-0000-0000-00001C550000}"/>
    <cellStyle name="Standard 4 3 3 2 2 2 3 2 2 4" xfId="21595" xr:uid="{00000000-0005-0000-0000-00001D550000}"/>
    <cellStyle name="Standard 4 3 3 2 2 2 3 2 2 4 2" xfId="21596" xr:uid="{00000000-0005-0000-0000-00001E550000}"/>
    <cellStyle name="Standard 4 3 3 2 2 2 3 2 2 5" xfId="21597" xr:uid="{00000000-0005-0000-0000-00001F550000}"/>
    <cellStyle name="Standard 4 3 3 2 2 2 3 2 2 6" xfId="21598" xr:uid="{00000000-0005-0000-0000-000020550000}"/>
    <cellStyle name="Standard 4 3 3 2 2 2 3 2 3" xfId="21599" xr:uid="{00000000-0005-0000-0000-000021550000}"/>
    <cellStyle name="Standard 4 3 3 2 2 2 3 2 3 2" xfId="21600" xr:uid="{00000000-0005-0000-0000-000022550000}"/>
    <cellStyle name="Standard 4 3 3 2 2 2 3 2 3 3" xfId="21601" xr:uid="{00000000-0005-0000-0000-000023550000}"/>
    <cellStyle name="Standard 4 3 3 2 2 2 3 2 4" xfId="21602" xr:uid="{00000000-0005-0000-0000-000024550000}"/>
    <cellStyle name="Standard 4 3 3 2 2 2 3 2 4 2" xfId="21603" xr:uid="{00000000-0005-0000-0000-000025550000}"/>
    <cellStyle name="Standard 4 3 3 2 2 2 3 2 4 3" xfId="21604" xr:uid="{00000000-0005-0000-0000-000026550000}"/>
    <cellStyle name="Standard 4 3 3 2 2 2 3 2 5" xfId="21605" xr:uid="{00000000-0005-0000-0000-000027550000}"/>
    <cellStyle name="Standard 4 3 3 2 2 2 3 2 5 2" xfId="21606" xr:uid="{00000000-0005-0000-0000-000028550000}"/>
    <cellStyle name="Standard 4 3 3 2 2 2 3 2 6" xfId="21607" xr:uid="{00000000-0005-0000-0000-000029550000}"/>
    <cellStyle name="Standard 4 3 3 2 2 2 3 2 7" xfId="21608" xr:uid="{00000000-0005-0000-0000-00002A550000}"/>
    <cellStyle name="Standard 4 3 3 2 2 2 3 3" xfId="21609" xr:uid="{00000000-0005-0000-0000-00002B550000}"/>
    <cellStyle name="Standard 4 3 3 2 2 2 3 3 2" xfId="21610" xr:uid="{00000000-0005-0000-0000-00002C550000}"/>
    <cellStyle name="Standard 4 3 3 2 2 2 3 3 2 2" xfId="21611" xr:uid="{00000000-0005-0000-0000-00002D550000}"/>
    <cellStyle name="Standard 4 3 3 2 2 2 3 3 2 3" xfId="21612" xr:uid="{00000000-0005-0000-0000-00002E550000}"/>
    <cellStyle name="Standard 4 3 3 2 2 2 3 3 3" xfId="21613" xr:uid="{00000000-0005-0000-0000-00002F550000}"/>
    <cellStyle name="Standard 4 3 3 2 2 2 3 3 3 2" xfId="21614" xr:uid="{00000000-0005-0000-0000-000030550000}"/>
    <cellStyle name="Standard 4 3 3 2 2 2 3 3 3 3" xfId="21615" xr:uid="{00000000-0005-0000-0000-000031550000}"/>
    <cellStyle name="Standard 4 3 3 2 2 2 3 3 4" xfId="21616" xr:uid="{00000000-0005-0000-0000-000032550000}"/>
    <cellStyle name="Standard 4 3 3 2 2 2 3 3 4 2" xfId="21617" xr:uid="{00000000-0005-0000-0000-000033550000}"/>
    <cellStyle name="Standard 4 3 3 2 2 2 3 3 5" xfId="21618" xr:uid="{00000000-0005-0000-0000-000034550000}"/>
    <cellStyle name="Standard 4 3 3 2 2 2 3 3 6" xfId="21619" xr:uid="{00000000-0005-0000-0000-000035550000}"/>
    <cellStyle name="Standard 4 3 3 2 2 2 3 4" xfId="21620" xr:uid="{00000000-0005-0000-0000-000036550000}"/>
    <cellStyle name="Standard 4 3 3 2 2 2 3 4 2" xfId="21621" xr:uid="{00000000-0005-0000-0000-000037550000}"/>
    <cellStyle name="Standard 4 3 3 2 2 2 3 4 3" xfId="21622" xr:uid="{00000000-0005-0000-0000-000038550000}"/>
    <cellStyle name="Standard 4 3 3 2 2 2 3 5" xfId="21623" xr:uid="{00000000-0005-0000-0000-000039550000}"/>
    <cellStyle name="Standard 4 3 3 2 2 2 3 5 2" xfId="21624" xr:uid="{00000000-0005-0000-0000-00003A550000}"/>
    <cellStyle name="Standard 4 3 3 2 2 2 3 5 3" xfId="21625" xr:uid="{00000000-0005-0000-0000-00003B550000}"/>
    <cellStyle name="Standard 4 3 3 2 2 2 3 6" xfId="21626" xr:uid="{00000000-0005-0000-0000-00003C550000}"/>
    <cellStyle name="Standard 4 3 3 2 2 2 3 6 2" xfId="21627" xr:uid="{00000000-0005-0000-0000-00003D550000}"/>
    <cellStyle name="Standard 4 3 3 2 2 2 3 7" xfId="21628" xr:uid="{00000000-0005-0000-0000-00003E550000}"/>
    <cellStyle name="Standard 4 3 3 2 2 2 3 8" xfId="21629" xr:uid="{00000000-0005-0000-0000-00003F550000}"/>
    <cellStyle name="Standard 4 3 3 2 2 2 4" xfId="21630" xr:uid="{00000000-0005-0000-0000-000040550000}"/>
    <cellStyle name="Standard 4 3 3 2 2 2 4 2" xfId="21631" xr:uid="{00000000-0005-0000-0000-000041550000}"/>
    <cellStyle name="Standard 4 3 3 2 2 2 4 2 2" xfId="21632" xr:uid="{00000000-0005-0000-0000-000042550000}"/>
    <cellStyle name="Standard 4 3 3 2 2 2 4 2 2 2" xfId="21633" xr:uid="{00000000-0005-0000-0000-000043550000}"/>
    <cellStyle name="Standard 4 3 3 2 2 2 4 2 2 3" xfId="21634" xr:uid="{00000000-0005-0000-0000-000044550000}"/>
    <cellStyle name="Standard 4 3 3 2 2 2 4 2 3" xfId="21635" xr:uid="{00000000-0005-0000-0000-000045550000}"/>
    <cellStyle name="Standard 4 3 3 2 2 2 4 2 3 2" xfId="21636" xr:uid="{00000000-0005-0000-0000-000046550000}"/>
    <cellStyle name="Standard 4 3 3 2 2 2 4 2 3 3" xfId="21637" xr:uid="{00000000-0005-0000-0000-000047550000}"/>
    <cellStyle name="Standard 4 3 3 2 2 2 4 2 4" xfId="21638" xr:uid="{00000000-0005-0000-0000-000048550000}"/>
    <cellStyle name="Standard 4 3 3 2 2 2 4 2 4 2" xfId="21639" xr:uid="{00000000-0005-0000-0000-000049550000}"/>
    <cellStyle name="Standard 4 3 3 2 2 2 4 2 5" xfId="21640" xr:uid="{00000000-0005-0000-0000-00004A550000}"/>
    <cellStyle name="Standard 4 3 3 2 2 2 4 2 6" xfId="21641" xr:uid="{00000000-0005-0000-0000-00004B550000}"/>
    <cellStyle name="Standard 4 3 3 2 2 2 4 3" xfId="21642" xr:uid="{00000000-0005-0000-0000-00004C550000}"/>
    <cellStyle name="Standard 4 3 3 2 2 2 4 3 2" xfId="21643" xr:uid="{00000000-0005-0000-0000-00004D550000}"/>
    <cellStyle name="Standard 4 3 3 2 2 2 4 3 3" xfId="21644" xr:uid="{00000000-0005-0000-0000-00004E550000}"/>
    <cellStyle name="Standard 4 3 3 2 2 2 4 4" xfId="21645" xr:uid="{00000000-0005-0000-0000-00004F550000}"/>
    <cellStyle name="Standard 4 3 3 2 2 2 4 4 2" xfId="21646" xr:uid="{00000000-0005-0000-0000-000050550000}"/>
    <cellStyle name="Standard 4 3 3 2 2 2 4 4 3" xfId="21647" xr:uid="{00000000-0005-0000-0000-000051550000}"/>
    <cellStyle name="Standard 4 3 3 2 2 2 4 5" xfId="21648" xr:uid="{00000000-0005-0000-0000-000052550000}"/>
    <cellStyle name="Standard 4 3 3 2 2 2 4 5 2" xfId="21649" xr:uid="{00000000-0005-0000-0000-000053550000}"/>
    <cellStyle name="Standard 4 3 3 2 2 2 4 6" xfId="21650" xr:uid="{00000000-0005-0000-0000-000054550000}"/>
    <cellStyle name="Standard 4 3 3 2 2 2 4 7" xfId="21651" xr:uid="{00000000-0005-0000-0000-000055550000}"/>
    <cellStyle name="Standard 4 3 3 2 2 2 5" xfId="21652" xr:uid="{00000000-0005-0000-0000-000056550000}"/>
    <cellStyle name="Standard 4 3 3 2 2 2 5 2" xfId="21653" xr:uid="{00000000-0005-0000-0000-000057550000}"/>
    <cellStyle name="Standard 4 3 3 2 2 2 5 2 2" xfId="21654" xr:uid="{00000000-0005-0000-0000-000058550000}"/>
    <cellStyle name="Standard 4 3 3 2 2 2 5 2 3" xfId="21655" xr:uid="{00000000-0005-0000-0000-000059550000}"/>
    <cellStyle name="Standard 4 3 3 2 2 2 5 3" xfId="21656" xr:uid="{00000000-0005-0000-0000-00005A550000}"/>
    <cellStyle name="Standard 4 3 3 2 2 2 5 3 2" xfId="21657" xr:uid="{00000000-0005-0000-0000-00005B550000}"/>
    <cellStyle name="Standard 4 3 3 2 2 2 5 3 3" xfId="21658" xr:uid="{00000000-0005-0000-0000-00005C550000}"/>
    <cellStyle name="Standard 4 3 3 2 2 2 5 4" xfId="21659" xr:uid="{00000000-0005-0000-0000-00005D550000}"/>
    <cellStyle name="Standard 4 3 3 2 2 2 5 4 2" xfId="21660" xr:uid="{00000000-0005-0000-0000-00005E550000}"/>
    <cellStyle name="Standard 4 3 3 2 2 2 5 5" xfId="21661" xr:uid="{00000000-0005-0000-0000-00005F550000}"/>
    <cellStyle name="Standard 4 3 3 2 2 2 5 6" xfId="21662" xr:uid="{00000000-0005-0000-0000-000060550000}"/>
    <cellStyle name="Standard 4 3 3 2 2 2 6" xfId="21663" xr:uid="{00000000-0005-0000-0000-000061550000}"/>
    <cellStyle name="Standard 4 3 3 2 2 2 6 2" xfId="21664" xr:uid="{00000000-0005-0000-0000-000062550000}"/>
    <cellStyle name="Standard 4 3 3 2 2 2 6 3" xfId="21665" xr:uid="{00000000-0005-0000-0000-000063550000}"/>
    <cellStyle name="Standard 4 3 3 2 2 2 7" xfId="21666" xr:uid="{00000000-0005-0000-0000-000064550000}"/>
    <cellStyle name="Standard 4 3 3 2 2 2 7 2" xfId="21667" xr:uid="{00000000-0005-0000-0000-000065550000}"/>
    <cellStyle name="Standard 4 3 3 2 2 2 7 3" xfId="21668" xr:uid="{00000000-0005-0000-0000-000066550000}"/>
    <cellStyle name="Standard 4 3 3 2 2 2 8" xfId="21669" xr:uid="{00000000-0005-0000-0000-000067550000}"/>
    <cellStyle name="Standard 4 3 3 2 2 2 8 2" xfId="21670" xr:uid="{00000000-0005-0000-0000-000068550000}"/>
    <cellStyle name="Standard 4 3 3 2 2 2 9" xfId="21671" xr:uid="{00000000-0005-0000-0000-000069550000}"/>
    <cellStyle name="Standard 4 3 3 2 2 3" xfId="21672" xr:uid="{00000000-0005-0000-0000-00006A550000}"/>
    <cellStyle name="Standard 4 3 3 2 2 3 2" xfId="21673" xr:uid="{00000000-0005-0000-0000-00006B550000}"/>
    <cellStyle name="Standard 4 3 3 2 2 3 2 2" xfId="21674" xr:uid="{00000000-0005-0000-0000-00006C550000}"/>
    <cellStyle name="Standard 4 3 3 2 2 3 2 2 2" xfId="21675" xr:uid="{00000000-0005-0000-0000-00006D550000}"/>
    <cellStyle name="Standard 4 3 3 2 2 3 2 2 2 2" xfId="21676" xr:uid="{00000000-0005-0000-0000-00006E550000}"/>
    <cellStyle name="Standard 4 3 3 2 2 3 2 2 2 3" xfId="21677" xr:uid="{00000000-0005-0000-0000-00006F550000}"/>
    <cellStyle name="Standard 4 3 3 2 2 3 2 2 3" xfId="21678" xr:uid="{00000000-0005-0000-0000-000070550000}"/>
    <cellStyle name="Standard 4 3 3 2 2 3 2 2 3 2" xfId="21679" xr:uid="{00000000-0005-0000-0000-000071550000}"/>
    <cellStyle name="Standard 4 3 3 2 2 3 2 2 3 3" xfId="21680" xr:uid="{00000000-0005-0000-0000-000072550000}"/>
    <cellStyle name="Standard 4 3 3 2 2 3 2 2 4" xfId="21681" xr:uid="{00000000-0005-0000-0000-000073550000}"/>
    <cellStyle name="Standard 4 3 3 2 2 3 2 2 4 2" xfId="21682" xr:uid="{00000000-0005-0000-0000-000074550000}"/>
    <cellStyle name="Standard 4 3 3 2 2 3 2 2 5" xfId="21683" xr:uid="{00000000-0005-0000-0000-000075550000}"/>
    <cellStyle name="Standard 4 3 3 2 2 3 2 2 6" xfId="21684" xr:uid="{00000000-0005-0000-0000-000076550000}"/>
    <cellStyle name="Standard 4 3 3 2 2 3 2 3" xfId="21685" xr:uid="{00000000-0005-0000-0000-000077550000}"/>
    <cellStyle name="Standard 4 3 3 2 2 3 2 3 2" xfId="21686" xr:uid="{00000000-0005-0000-0000-000078550000}"/>
    <cellStyle name="Standard 4 3 3 2 2 3 2 3 3" xfId="21687" xr:uid="{00000000-0005-0000-0000-000079550000}"/>
    <cellStyle name="Standard 4 3 3 2 2 3 2 4" xfId="21688" xr:uid="{00000000-0005-0000-0000-00007A550000}"/>
    <cellStyle name="Standard 4 3 3 2 2 3 2 4 2" xfId="21689" xr:uid="{00000000-0005-0000-0000-00007B550000}"/>
    <cellStyle name="Standard 4 3 3 2 2 3 2 4 3" xfId="21690" xr:uid="{00000000-0005-0000-0000-00007C550000}"/>
    <cellStyle name="Standard 4 3 3 2 2 3 2 5" xfId="21691" xr:uid="{00000000-0005-0000-0000-00007D550000}"/>
    <cellStyle name="Standard 4 3 3 2 2 3 2 5 2" xfId="21692" xr:uid="{00000000-0005-0000-0000-00007E550000}"/>
    <cellStyle name="Standard 4 3 3 2 2 3 2 6" xfId="21693" xr:uid="{00000000-0005-0000-0000-00007F550000}"/>
    <cellStyle name="Standard 4 3 3 2 2 3 2 7" xfId="21694" xr:uid="{00000000-0005-0000-0000-000080550000}"/>
    <cellStyle name="Standard 4 3 3 2 2 3 3" xfId="21695" xr:uid="{00000000-0005-0000-0000-000081550000}"/>
    <cellStyle name="Standard 4 3 3 2 2 3 3 2" xfId="21696" xr:uid="{00000000-0005-0000-0000-000082550000}"/>
    <cellStyle name="Standard 4 3 3 2 2 3 3 2 2" xfId="21697" xr:uid="{00000000-0005-0000-0000-000083550000}"/>
    <cellStyle name="Standard 4 3 3 2 2 3 3 2 3" xfId="21698" xr:uid="{00000000-0005-0000-0000-000084550000}"/>
    <cellStyle name="Standard 4 3 3 2 2 3 3 3" xfId="21699" xr:uid="{00000000-0005-0000-0000-000085550000}"/>
    <cellStyle name="Standard 4 3 3 2 2 3 3 3 2" xfId="21700" xr:uid="{00000000-0005-0000-0000-000086550000}"/>
    <cellStyle name="Standard 4 3 3 2 2 3 3 3 3" xfId="21701" xr:uid="{00000000-0005-0000-0000-000087550000}"/>
    <cellStyle name="Standard 4 3 3 2 2 3 3 4" xfId="21702" xr:uid="{00000000-0005-0000-0000-000088550000}"/>
    <cellStyle name="Standard 4 3 3 2 2 3 3 4 2" xfId="21703" xr:uid="{00000000-0005-0000-0000-000089550000}"/>
    <cellStyle name="Standard 4 3 3 2 2 3 3 5" xfId="21704" xr:uid="{00000000-0005-0000-0000-00008A550000}"/>
    <cellStyle name="Standard 4 3 3 2 2 3 3 6" xfId="21705" xr:uid="{00000000-0005-0000-0000-00008B550000}"/>
    <cellStyle name="Standard 4 3 3 2 2 3 4" xfId="21706" xr:uid="{00000000-0005-0000-0000-00008C550000}"/>
    <cellStyle name="Standard 4 3 3 2 2 3 4 2" xfId="21707" xr:uid="{00000000-0005-0000-0000-00008D550000}"/>
    <cellStyle name="Standard 4 3 3 2 2 3 4 3" xfId="21708" xr:uid="{00000000-0005-0000-0000-00008E550000}"/>
    <cellStyle name="Standard 4 3 3 2 2 3 5" xfId="21709" xr:uid="{00000000-0005-0000-0000-00008F550000}"/>
    <cellStyle name="Standard 4 3 3 2 2 3 5 2" xfId="21710" xr:uid="{00000000-0005-0000-0000-000090550000}"/>
    <cellStyle name="Standard 4 3 3 2 2 3 5 3" xfId="21711" xr:uid="{00000000-0005-0000-0000-000091550000}"/>
    <cellStyle name="Standard 4 3 3 2 2 3 6" xfId="21712" xr:uid="{00000000-0005-0000-0000-000092550000}"/>
    <cellStyle name="Standard 4 3 3 2 2 3 6 2" xfId="21713" xr:uid="{00000000-0005-0000-0000-000093550000}"/>
    <cellStyle name="Standard 4 3 3 2 2 3 7" xfId="21714" xr:uid="{00000000-0005-0000-0000-000094550000}"/>
    <cellStyle name="Standard 4 3 3 2 2 3 8" xfId="21715" xr:uid="{00000000-0005-0000-0000-000095550000}"/>
    <cellStyle name="Standard 4 3 3 2 2 4" xfId="21716" xr:uid="{00000000-0005-0000-0000-000096550000}"/>
    <cellStyle name="Standard 4 3 3 2 2 4 2" xfId="21717" xr:uid="{00000000-0005-0000-0000-000097550000}"/>
    <cellStyle name="Standard 4 3 3 2 2 4 2 2" xfId="21718" xr:uid="{00000000-0005-0000-0000-000098550000}"/>
    <cellStyle name="Standard 4 3 3 2 2 4 2 2 2" xfId="21719" xr:uid="{00000000-0005-0000-0000-000099550000}"/>
    <cellStyle name="Standard 4 3 3 2 2 4 2 2 2 2" xfId="21720" xr:uid="{00000000-0005-0000-0000-00009A550000}"/>
    <cellStyle name="Standard 4 3 3 2 2 4 2 2 2 3" xfId="21721" xr:uid="{00000000-0005-0000-0000-00009B550000}"/>
    <cellStyle name="Standard 4 3 3 2 2 4 2 2 3" xfId="21722" xr:uid="{00000000-0005-0000-0000-00009C550000}"/>
    <cellStyle name="Standard 4 3 3 2 2 4 2 2 3 2" xfId="21723" xr:uid="{00000000-0005-0000-0000-00009D550000}"/>
    <cellStyle name="Standard 4 3 3 2 2 4 2 2 3 3" xfId="21724" xr:uid="{00000000-0005-0000-0000-00009E550000}"/>
    <cellStyle name="Standard 4 3 3 2 2 4 2 2 4" xfId="21725" xr:uid="{00000000-0005-0000-0000-00009F550000}"/>
    <cellStyle name="Standard 4 3 3 2 2 4 2 2 4 2" xfId="21726" xr:uid="{00000000-0005-0000-0000-0000A0550000}"/>
    <cellStyle name="Standard 4 3 3 2 2 4 2 2 5" xfId="21727" xr:uid="{00000000-0005-0000-0000-0000A1550000}"/>
    <cellStyle name="Standard 4 3 3 2 2 4 2 2 6" xfId="21728" xr:uid="{00000000-0005-0000-0000-0000A2550000}"/>
    <cellStyle name="Standard 4 3 3 2 2 4 2 3" xfId="21729" xr:uid="{00000000-0005-0000-0000-0000A3550000}"/>
    <cellStyle name="Standard 4 3 3 2 2 4 2 3 2" xfId="21730" xr:uid="{00000000-0005-0000-0000-0000A4550000}"/>
    <cellStyle name="Standard 4 3 3 2 2 4 2 3 3" xfId="21731" xr:uid="{00000000-0005-0000-0000-0000A5550000}"/>
    <cellStyle name="Standard 4 3 3 2 2 4 2 4" xfId="21732" xr:uid="{00000000-0005-0000-0000-0000A6550000}"/>
    <cellStyle name="Standard 4 3 3 2 2 4 2 4 2" xfId="21733" xr:uid="{00000000-0005-0000-0000-0000A7550000}"/>
    <cellStyle name="Standard 4 3 3 2 2 4 2 4 3" xfId="21734" xr:uid="{00000000-0005-0000-0000-0000A8550000}"/>
    <cellStyle name="Standard 4 3 3 2 2 4 2 5" xfId="21735" xr:uid="{00000000-0005-0000-0000-0000A9550000}"/>
    <cellStyle name="Standard 4 3 3 2 2 4 2 5 2" xfId="21736" xr:uid="{00000000-0005-0000-0000-0000AA550000}"/>
    <cellStyle name="Standard 4 3 3 2 2 4 2 6" xfId="21737" xr:uid="{00000000-0005-0000-0000-0000AB550000}"/>
    <cellStyle name="Standard 4 3 3 2 2 4 2 7" xfId="21738" xr:uid="{00000000-0005-0000-0000-0000AC550000}"/>
    <cellStyle name="Standard 4 3 3 2 2 4 3" xfId="21739" xr:uid="{00000000-0005-0000-0000-0000AD550000}"/>
    <cellStyle name="Standard 4 3 3 2 2 4 3 2" xfId="21740" xr:uid="{00000000-0005-0000-0000-0000AE550000}"/>
    <cellStyle name="Standard 4 3 3 2 2 4 3 2 2" xfId="21741" xr:uid="{00000000-0005-0000-0000-0000AF550000}"/>
    <cellStyle name="Standard 4 3 3 2 2 4 3 2 3" xfId="21742" xr:uid="{00000000-0005-0000-0000-0000B0550000}"/>
    <cellStyle name="Standard 4 3 3 2 2 4 3 3" xfId="21743" xr:uid="{00000000-0005-0000-0000-0000B1550000}"/>
    <cellStyle name="Standard 4 3 3 2 2 4 3 3 2" xfId="21744" xr:uid="{00000000-0005-0000-0000-0000B2550000}"/>
    <cellStyle name="Standard 4 3 3 2 2 4 3 3 3" xfId="21745" xr:uid="{00000000-0005-0000-0000-0000B3550000}"/>
    <cellStyle name="Standard 4 3 3 2 2 4 3 4" xfId="21746" xr:uid="{00000000-0005-0000-0000-0000B4550000}"/>
    <cellStyle name="Standard 4 3 3 2 2 4 3 4 2" xfId="21747" xr:uid="{00000000-0005-0000-0000-0000B5550000}"/>
    <cellStyle name="Standard 4 3 3 2 2 4 3 5" xfId="21748" xr:uid="{00000000-0005-0000-0000-0000B6550000}"/>
    <cellStyle name="Standard 4 3 3 2 2 4 3 6" xfId="21749" xr:uid="{00000000-0005-0000-0000-0000B7550000}"/>
    <cellStyle name="Standard 4 3 3 2 2 4 4" xfId="21750" xr:uid="{00000000-0005-0000-0000-0000B8550000}"/>
    <cellStyle name="Standard 4 3 3 2 2 4 4 2" xfId="21751" xr:uid="{00000000-0005-0000-0000-0000B9550000}"/>
    <cellStyle name="Standard 4 3 3 2 2 4 4 3" xfId="21752" xr:uid="{00000000-0005-0000-0000-0000BA550000}"/>
    <cellStyle name="Standard 4 3 3 2 2 4 5" xfId="21753" xr:uid="{00000000-0005-0000-0000-0000BB550000}"/>
    <cellStyle name="Standard 4 3 3 2 2 4 5 2" xfId="21754" xr:uid="{00000000-0005-0000-0000-0000BC550000}"/>
    <cellStyle name="Standard 4 3 3 2 2 4 5 3" xfId="21755" xr:uid="{00000000-0005-0000-0000-0000BD550000}"/>
    <cellStyle name="Standard 4 3 3 2 2 4 6" xfId="21756" xr:uid="{00000000-0005-0000-0000-0000BE550000}"/>
    <cellStyle name="Standard 4 3 3 2 2 4 6 2" xfId="21757" xr:uid="{00000000-0005-0000-0000-0000BF550000}"/>
    <cellStyle name="Standard 4 3 3 2 2 4 7" xfId="21758" xr:uid="{00000000-0005-0000-0000-0000C0550000}"/>
    <cellStyle name="Standard 4 3 3 2 2 4 8" xfId="21759" xr:uid="{00000000-0005-0000-0000-0000C1550000}"/>
    <cellStyle name="Standard 4 3 3 2 2 5" xfId="21760" xr:uid="{00000000-0005-0000-0000-0000C2550000}"/>
    <cellStyle name="Standard 4 3 3 2 2 5 2" xfId="21761" xr:uid="{00000000-0005-0000-0000-0000C3550000}"/>
    <cellStyle name="Standard 4 3 3 2 2 5 2 2" xfId="21762" xr:uid="{00000000-0005-0000-0000-0000C4550000}"/>
    <cellStyle name="Standard 4 3 3 2 2 5 2 2 2" xfId="21763" xr:uid="{00000000-0005-0000-0000-0000C5550000}"/>
    <cellStyle name="Standard 4 3 3 2 2 5 2 2 3" xfId="21764" xr:uid="{00000000-0005-0000-0000-0000C6550000}"/>
    <cellStyle name="Standard 4 3 3 2 2 5 2 3" xfId="21765" xr:uid="{00000000-0005-0000-0000-0000C7550000}"/>
    <cellStyle name="Standard 4 3 3 2 2 5 2 3 2" xfId="21766" xr:uid="{00000000-0005-0000-0000-0000C8550000}"/>
    <cellStyle name="Standard 4 3 3 2 2 5 2 3 3" xfId="21767" xr:uid="{00000000-0005-0000-0000-0000C9550000}"/>
    <cellStyle name="Standard 4 3 3 2 2 5 2 4" xfId="21768" xr:uid="{00000000-0005-0000-0000-0000CA550000}"/>
    <cellStyle name="Standard 4 3 3 2 2 5 2 4 2" xfId="21769" xr:uid="{00000000-0005-0000-0000-0000CB550000}"/>
    <cellStyle name="Standard 4 3 3 2 2 5 2 5" xfId="21770" xr:uid="{00000000-0005-0000-0000-0000CC550000}"/>
    <cellStyle name="Standard 4 3 3 2 2 5 2 6" xfId="21771" xr:uid="{00000000-0005-0000-0000-0000CD550000}"/>
    <cellStyle name="Standard 4 3 3 2 2 5 3" xfId="21772" xr:uid="{00000000-0005-0000-0000-0000CE550000}"/>
    <cellStyle name="Standard 4 3 3 2 2 5 3 2" xfId="21773" xr:uid="{00000000-0005-0000-0000-0000CF550000}"/>
    <cellStyle name="Standard 4 3 3 2 2 5 3 3" xfId="21774" xr:uid="{00000000-0005-0000-0000-0000D0550000}"/>
    <cellStyle name="Standard 4 3 3 2 2 5 4" xfId="21775" xr:uid="{00000000-0005-0000-0000-0000D1550000}"/>
    <cellStyle name="Standard 4 3 3 2 2 5 4 2" xfId="21776" xr:uid="{00000000-0005-0000-0000-0000D2550000}"/>
    <cellStyle name="Standard 4 3 3 2 2 5 4 3" xfId="21777" xr:uid="{00000000-0005-0000-0000-0000D3550000}"/>
    <cellStyle name="Standard 4 3 3 2 2 5 5" xfId="21778" xr:uid="{00000000-0005-0000-0000-0000D4550000}"/>
    <cellStyle name="Standard 4 3 3 2 2 5 5 2" xfId="21779" xr:uid="{00000000-0005-0000-0000-0000D5550000}"/>
    <cellStyle name="Standard 4 3 3 2 2 5 6" xfId="21780" xr:uid="{00000000-0005-0000-0000-0000D6550000}"/>
    <cellStyle name="Standard 4 3 3 2 2 5 7" xfId="21781" xr:uid="{00000000-0005-0000-0000-0000D7550000}"/>
    <cellStyle name="Standard 4 3 3 2 2 6" xfId="21782" xr:uid="{00000000-0005-0000-0000-0000D8550000}"/>
    <cellStyle name="Standard 4 3 3 2 2 6 2" xfId="21783" xr:uid="{00000000-0005-0000-0000-0000D9550000}"/>
    <cellStyle name="Standard 4 3 3 2 2 6 2 2" xfId="21784" xr:uid="{00000000-0005-0000-0000-0000DA550000}"/>
    <cellStyle name="Standard 4 3 3 2 2 6 2 3" xfId="21785" xr:uid="{00000000-0005-0000-0000-0000DB550000}"/>
    <cellStyle name="Standard 4 3 3 2 2 6 3" xfId="21786" xr:uid="{00000000-0005-0000-0000-0000DC550000}"/>
    <cellStyle name="Standard 4 3 3 2 2 6 3 2" xfId="21787" xr:uid="{00000000-0005-0000-0000-0000DD550000}"/>
    <cellStyle name="Standard 4 3 3 2 2 6 3 3" xfId="21788" xr:uid="{00000000-0005-0000-0000-0000DE550000}"/>
    <cellStyle name="Standard 4 3 3 2 2 6 4" xfId="21789" xr:uid="{00000000-0005-0000-0000-0000DF550000}"/>
    <cellStyle name="Standard 4 3 3 2 2 6 4 2" xfId="21790" xr:uid="{00000000-0005-0000-0000-0000E0550000}"/>
    <cellStyle name="Standard 4 3 3 2 2 6 5" xfId="21791" xr:uid="{00000000-0005-0000-0000-0000E1550000}"/>
    <cellStyle name="Standard 4 3 3 2 2 6 6" xfId="21792" xr:uid="{00000000-0005-0000-0000-0000E2550000}"/>
    <cellStyle name="Standard 4 3 3 2 2 7" xfId="21793" xr:uid="{00000000-0005-0000-0000-0000E3550000}"/>
    <cellStyle name="Standard 4 3 3 2 2 7 2" xfId="21794" xr:uid="{00000000-0005-0000-0000-0000E4550000}"/>
    <cellStyle name="Standard 4 3 3 2 2 7 3" xfId="21795" xr:uid="{00000000-0005-0000-0000-0000E5550000}"/>
    <cellStyle name="Standard 4 3 3 2 2 8" xfId="21796" xr:uid="{00000000-0005-0000-0000-0000E6550000}"/>
    <cellStyle name="Standard 4 3 3 2 2 8 2" xfId="21797" xr:uid="{00000000-0005-0000-0000-0000E7550000}"/>
    <cellStyle name="Standard 4 3 3 2 2 8 3" xfId="21798" xr:uid="{00000000-0005-0000-0000-0000E8550000}"/>
    <cellStyle name="Standard 4 3 3 2 2 9" xfId="21799" xr:uid="{00000000-0005-0000-0000-0000E9550000}"/>
    <cellStyle name="Standard 4 3 3 2 2 9 2" xfId="21800" xr:uid="{00000000-0005-0000-0000-0000EA550000}"/>
    <cellStyle name="Standard 4 3 3 2 3" xfId="21801" xr:uid="{00000000-0005-0000-0000-0000EB550000}"/>
    <cellStyle name="Standard 4 3 3 2 3 10" xfId="21802" xr:uid="{00000000-0005-0000-0000-0000EC550000}"/>
    <cellStyle name="Standard 4 3 3 2 3 2" xfId="21803" xr:uid="{00000000-0005-0000-0000-0000ED550000}"/>
    <cellStyle name="Standard 4 3 3 2 3 2 2" xfId="21804" xr:uid="{00000000-0005-0000-0000-0000EE550000}"/>
    <cellStyle name="Standard 4 3 3 2 3 2 2 2" xfId="21805" xr:uid="{00000000-0005-0000-0000-0000EF550000}"/>
    <cellStyle name="Standard 4 3 3 2 3 2 2 2 2" xfId="21806" xr:uid="{00000000-0005-0000-0000-0000F0550000}"/>
    <cellStyle name="Standard 4 3 3 2 3 2 2 2 2 2" xfId="21807" xr:uid="{00000000-0005-0000-0000-0000F1550000}"/>
    <cellStyle name="Standard 4 3 3 2 3 2 2 2 2 3" xfId="21808" xr:uid="{00000000-0005-0000-0000-0000F2550000}"/>
    <cellStyle name="Standard 4 3 3 2 3 2 2 2 3" xfId="21809" xr:uid="{00000000-0005-0000-0000-0000F3550000}"/>
    <cellStyle name="Standard 4 3 3 2 3 2 2 2 3 2" xfId="21810" xr:uid="{00000000-0005-0000-0000-0000F4550000}"/>
    <cellStyle name="Standard 4 3 3 2 3 2 2 2 3 3" xfId="21811" xr:uid="{00000000-0005-0000-0000-0000F5550000}"/>
    <cellStyle name="Standard 4 3 3 2 3 2 2 2 4" xfId="21812" xr:uid="{00000000-0005-0000-0000-0000F6550000}"/>
    <cellStyle name="Standard 4 3 3 2 3 2 2 2 4 2" xfId="21813" xr:uid="{00000000-0005-0000-0000-0000F7550000}"/>
    <cellStyle name="Standard 4 3 3 2 3 2 2 2 5" xfId="21814" xr:uid="{00000000-0005-0000-0000-0000F8550000}"/>
    <cellStyle name="Standard 4 3 3 2 3 2 2 2 6" xfId="21815" xr:uid="{00000000-0005-0000-0000-0000F9550000}"/>
    <cellStyle name="Standard 4 3 3 2 3 2 2 3" xfId="21816" xr:uid="{00000000-0005-0000-0000-0000FA550000}"/>
    <cellStyle name="Standard 4 3 3 2 3 2 2 3 2" xfId="21817" xr:uid="{00000000-0005-0000-0000-0000FB550000}"/>
    <cellStyle name="Standard 4 3 3 2 3 2 2 3 3" xfId="21818" xr:uid="{00000000-0005-0000-0000-0000FC550000}"/>
    <cellStyle name="Standard 4 3 3 2 3 2 2 4" xfId="21819" xr:uid="{00000000-0005-0000-0000-0000FD550000}"/>
    <cellStyle name="Standard 4 3 3 2 3 2 2 4 2" xfId="21820" xr:uid="{00000000-0005-0000-0000-0000FE550000}"/>
    <cellStyle name="Standard 4 3 3 2 3 2 2 4 3" xfId="21821" xr:uid="{00000000-0005-0000-0000-0000FF550000}"/>
    <cellStyle name="Standard 4 3 3 2 3 2 2 5" xfId="21822" xr:uid="{00000000-0005-0000-0000-000000560000}"/>
    <cellStyle name="Standard 4 3 3 2 3 2 2 5 2" xfId="21823" xr:uid="{00000000-0005-0000-0000-000001560000}"/>
    <cellStyle name="Standard 4 3 3 2 3 2 2 6" xfId="21824" xr:uid="{00000000-0005-0000-0000-000002560000}"/>
    <cellStyle name="Standard 4 3 3 2 3 2 2 7" xfId="21825" xr:uid="{00000000-0005-0000-0000-000003560000}"/>
    <cellStyle name="Standard 4 3 3 2 3 2 3" xfId="21826" xr:uid="{00000000-0005-0000-0000-000004560000}"/>
    <cellStyle name="Standard 4 3 3 2 3 2 3 2" xfId="21827" xr:uid="{00000000-0005-0000-0000-000005560000}"/>
    <cellStyle name="Standard 4 3 3 2 3 2 3 2 2" xfId="21828" xr:uid="{00000000-0005-0000-0000-000006560000}"/>
    <cellStyle name="Standard 4 3 3 2 3 2 3 2 3" xfId="21829" xr:uid="{00000000-0005-0000-0000-000007560000}"/>
    <cellStyle name="Standard 4 3 3 2 3 2 3 3" xfId="21830" xr:uid="{00000000-0005-0000-0000-000008560000}"/>
    <cellStyle name="Standard 4 3 3 2 3 2 3 3 2" xfId="21831" xr:uid="{00000000-0005-0000-0000-000009560000}"/>
    <cellStyle name="Standard 4 3 3 2 3 2 3 3 3" xfId="21832" xr:uid="{00000000-0005-0000-0000-00000A560000}"/>
    <cellStyle name="Standard 4 3 3 2 3 2 3 4" xfId="21833" xr:uid="{00000000-0005-0000-0000-00000B560000}"/>
    <cellStyle name="Standard 4 3 3 2 3 2 3 4 2" xfId="21834" xr:uid="{00000000-0005-0000-0000-00000C560000}"/>
    <cellStyle name="Standard 4 3 3 2 3 2 3 5" xfId="21835" xr:uid="{00000000-0005-0000-0000-00000D560000}"/>
    <cellStyle name="Standard 4 3 3 2 3 2 3 6" xfId="21836" xr:uid="{00000000-0005-0000-0000-00000E560000}"/>
    <cellStyle name="Standard 4 3 3 2 3 2 4" xfId="21837" xr:uid="{00000000-0005-0000-0000-00000F560000}"/>
    <cellStyle name="Standard 4 3 3 2 3 2 4 2" xfId="21838" xr:uid="{00000000-0005-0000-0000-000010560000}"/>
    <cellStyle name="Standard 4 3 3 2 3 2 4 3" xfId="21839" xr:uid="{00000000-0005-0000-0000-000011560000}"/>
    <cellStyle name="Standard 4 3 3 2 3 2 5" xfId="21840" xr:uid="{00000000-0005-0000-0000-000012560000}"/>
    <cellStyle name="Standard 4 3 3 2 3 2 5 2" xfId="21841" xr:uid="{00000000-0005-0000-0000-000013560000}"/>
    <cellStyle name="Standard 4 3 3 2 3 2 5 3" xfId="21842" xr:uid="{00000000-0005-0000-0000-000014560000}"/>
    <cellStyle name="Standard 4 3 3 2 3 2 6" xfId="21843" xr:uid="{00000000-0005-0000-0000-000015560000}"/>
    <cellStyle name="Standard 4 3 3 2 3 2 6 2" xfId="21844" xr:uid="{00000000-0005-0000-0000-000016560000}"/>
    <cellStyle name="Standard 4 3 3 2 3 2 7" xfId="21845" xr:uid="{00000000-0005-0000-0000-000017560000}"/>
    <cellStyle name="Standard 4 3 3 2 3 2 8" xfId="21846" xr:uid="{00000000-0005-0000-0000-000018560000}"/>
    <cellStyle name="Standard 4 3 3 2 3 3" xfId="21847" xr:uid="{00000000-0005-0000-0000-000019560000}"/>
    <cellStyle name="Standard 4 3 3 2 3 3 2" xfId="21848" xr:uid="{00000000-0005-0000-0000-00001A560000}"/>
    <cellStyle name="Standard 4 3 3 2 3 3 2 2" xfId="21849" xr:uid="{00000000-0005-0000-0000-00001B560000}"/>
    <cellStyle name="Standard 4 3 3 2 3 3 2 2 2" xfId="21850" xr:uid="{00000000-0005-0000-0000-00001C560000}"/>
    <cellStyle name="Standard 4 3 3 2 3 3 2 2 2 2" xfId="21851" xr:uid="{00000000-0005-0000-0000-00001D560000}"/>
    <cellStyle name="Standard 4 3 3 2 3 3 2 2 2 3" xfId="21852" xr:uid="{00000000-0005-0000-0000-00001E560000}"/>
    <cellStyle name="Standard 4 3 3 2 3 3 2 2 3" xfId="21853" xr:uid="{00000000-0005-0000-0000-00001F560000}"/>
    <cellStyle name="Standard 4 3 3 2 3 3 2 2 3 2" xfId="21854" xr:uid="{00000000-0005-0000-0000-000020560000}"/>
    <cellStyle name="Standard 4 3 3 2 3 3 2 2 3 3" xfId="21855" xr:uid="{00000000-0005-0000-0000-000021560000}"/>
    <cellStyle name="Standard 4 3 3 2 3 3 2 2 4" xfId="21856" xr:uid="{00000000-0005-0000-0000-000022560000}"/>
    <cellStyle name="Standard 4 3 3 2 3 3 2 2 4 2" xfId="21857" xr:uid="{00000000-0005-0000-0000-000023560000}"/>
    <cellStyle name="Standard 4 3 3 2 3 3 2 2 5" xfId="21858" xr:uid="{00000000-0005-0000-0000-000024560000}"/>
    <cellStyle name="Standard 4 3 3 2 3 3 2 2 6" xfId="21859" xr:uid="{00000000-0005-0000-0000-000025560000}"/>
    <cellStyle name="Standard 4 3 3 2 3 3 2 3" xfId="21860" xr:uid="{00000000-0005-0000-0000-000026560000}"/>
    <cellStyle name="Standard 4 3 3 2 3 3 2 3 2" xfId="21861" xr:uid="{00000000-0005-0000-0000-000027560000}"/>
    <cellStyle name="Standard 4 3 3 2 3 3 2 3 3" xfId="21862" xr:uid="{00000000-0005-0000-0000-000028560000}"/>
    <cellStyle name="Standard 4 3 3 2 3 3 2 4" xfId="21863" xr:uid="{00000000-0005-0000-0000-000029560000}"/>
    <cellStyle name="Standard 4 3 3 2 3 3 2 4 2" xfId="21864" xr:uid="{00000000-0005-0000-0000-00002A560000}"/>
    <cellStyle name="Standard 4 3 3 2 3 3 2 4 3" xfId="21865" xr:uid="{00000000-0005-0000-0000-00002B560000}"/>
    <cellStyle name="Standard 4 3 3 2 3 3 2 5" xfId="21866" xr:uid="{00000000-0005-0000-0000-00002C560000}"/>
    <cellStyle name="Standard 4 3 3 2 3 3 2 5 2" xfId="21867" xr:uid="{00000000-0005-0000-0000-00002D560000}"/>
    <cellStyle name="Standard 4 3 3 2 3 3 2 6" xfId="21868" xr:uid="{00000000-0005-0000-0000-00002E560000}"/>
    <cellStyle name="Standard 4 3 3 2 3 3 2 7" xfId="21869" xr:uid="{00000000-0005-0000-0000-00002F560000}"/>
    <cellStyle name="Standard 4 3 3 2 3 3 3" xfId="21870" xr:uid="{00000000-0005-0000-0000-000030560000}"/>
    <cellStyle name="Standard 4 3 3 2 3 3 3 2" xfId="21871" xr:uid="{00000000-0005-0000-0000-000031560000}"/>
    <cellStyle name="Standard 4 3 3 2 3 3 3 2 2" xfId="21872" xr:uid="{00000000-0005-0000-0000-000032560000}"/>
    <cellStyle name="Standard 4 3 3 2 3 3 3 2 3" xfId="21873" xr:uid="{00000000-0005-0000-0000-000033560000}"/>
    <cellStyle name="Standard 4 3 3 2 3 3 3 3" xfId="21874" xr:uid="{00000000-0005-0000-0000-000034560000}"/>
    <cellStyle name="Standard 4 3 3 2 3 3 3 3 2" xfId="21875" xr:uid="{00000000-0005-0000-0000-000035560000}"/>
    <cellStyle name="Standard 4 3 3 2 3 3 3 3 3" xfId="21876" xr:uid="{00000000-0005-0000-0000-000036560000}"/>
    <cellStyle name="Standard 4 3 3 2 3 3 3 4" xfId="21877" xr:uid="{00000000-0005-0000-0000-000037560000}"/>
    <cellStyle name="Standard 4 3 3 2 3 3 3 4 2" xfId="21878" xr:uid="{00000000-0005-0000-0000-000038560000}"/>
    <cellStyle name="Standard 4 3 3 2 3 3 3 5" xfId="21879" xr:uid="{00000000-0005-0000-0000-000039560000}"/>
    <cellStyle name="Standard 4 3 3 2 3 3 3 6" xfId="21880" xr:uid="{00000000-0005-0000-0000-00003A560000}"/>
    <cellStyle name="Standard 4 3 3 2 3 3 4" xfId="21881" xr:uid="{00000000-0005-0000-0000-00003B560000}"/>
    <cellStyle name="Standard 4 3 3 2 3 3 4 2" xfId="21882" xr:uid="{00000000-0005-0000-0000-00003C560000}"/>
    <cellStyle name="Standard 4 3 3 2 3 3 4 3" xfId="21883" xr:uid="{00000000-0005-0000-0000-00003D560000}"/>
    <cellStyle name="Standard 4 3 3 2 3 3 5" xfId="21884" xr:uid="{00000000-0005-0000-0000-00003E560000}"/>
    <cellStyle name="Standard 4 3 3 2 3 3 5 2" xfId="21885" xr:uid="{00000000-0005-0000-0000-00003F560000}"/>
    <cellStyle name="Standard 4 3 3 2 3 3 5 3" xfId="21886" xr:uid="{00000000-0005-0000-0000-000040560000}"/>
    <cellStyle name="Standard 4 3 3 2 3 3 6" xfId="21887" xr:uid="{00000000-0005-0000-0000-000041560000}"/>
    <cellStyle name="Standard 4 3 3 2 3 3 6 2" xfId="21888" xr:uid="{00000000-0005-0000-0000-000042560000}"/>
    <cellStyle name="Standard 4 3 3 2 3 3 7" xfId="21889" xr:uid="{00000000-0005-0000-0000-000043560000}"/>
    <cellStyle name="Standard 4 3 3 2 3 3 8" xfId="21890" xr:uid="{00000000-0005-0000-0000-000044560000}"/>
    <cellStyle name="Standard 4 3 3 2 3 4" xfId="21891" xr:uid="{00000000-0005-0000-0000-000045560000}"/>
    <cellStyle name="Standard 4 3 3 2 3 4 2" xfId="21892" xr:uid="{00000000-0005-0000-0000-000046560000}"/>
    <cellStyle name="Standard 4 3 3 2 3 4 2 2" xfId="21893" xr:uid="{00000000-0005-0000-0000-000047560000}"/>
    <cellStyle name="Standard 4 3 3 2 3 4 2 2 2" xfId="21894" xr:uid="{00000000-0005-0000-0000-000048560000}"/>
    <cellStyle name="Standard 4 3 3 2 3 4 2 2 3" xfId="21895" xr:uid="{00000000-0005-0000-0000-000049560000}"/>
    <cellStyle name="Standard 4 3 3 2 3 4 2 3" xfId="21896" xr:uid="{00000000-0005-0000-0000-00004A560000}"/>
    <cellStyle name="Standard 4 3 3 2 3 4 2 3 2" xfId="21897" xr:uid="{00000000-0005-0000-0000-00004B560000}"/>
    <cellStyle name="Standard 4 3 3 2 3 4 2 3 3" xfId="21898" xr:uid="{00000000-0005-0000-0000-00004C560000}"/>
    <cellStyle name="Standard 4 3 3 2 3 4 2 4" xfId="21899" xr:uid="{00000000-0005-0000-0000-00004D560000}"/>
    <cellStyle name="Standard 4 3 3 2 3 4 2 4 2" xfId="21900" xr:uid="{00000000-0005-0000-0000-00004E560000}"/>
    <cellStyle name="Standard 4 3 3 2 3 4 2 5" xfId="21901" xr:uid="{00000000-0005-0000-0000-00004F560000}"/>
    <cellStyle name="Standard 4 3 3 2 3 4 2 6" xfId="21902" xr:uid="{00000000-0005-0000-0000-000050560000}"/>
    <cellStyle name="Standard 4 3 3 2 3 4 3" xfId="21903" xr:uid="{00000000-0005-0000-0000-000051560000}"/>
    <cellStyle name="Standard 4 3 3 2 3 4 3 2" xfId="21904" xr:uid="{00000000-0005-0000-0000-000052560000}"/>
    <cellStyle name="Standard 4 3 3 2 3 4 3 3" xfId="21905" xr:uid="{00000000-0005-0000-0000-000053560000}"/>
    <cellStyle name="Standard 4 3 3 2 3 4 4" xfId="21906" xr:uid="{00000000-0005-0000-0000-000054560000}"/>
    <cellStyle name="Standard 4 3 3 2 3 4 4 2" xfId="21907" xr:uid="{00000000-0005-0000-0000-000055560000}"/>
    <cellStyle name="Standard 4 3 3 2 3 4 4 3" xfId="21908" xr:uid="{00000000-0005-0000-0000-000056560000}"/>
    <cellStyle name="Standard 4 3 3 2 3 4 5" xfId="21909" xr:uid="{00000000-0005-0000-0000-000057560000}"/>
    <cellStyle name="Standard 4 3 3 2 3 4 5 2" xfId="21910" xr:uid="{00000000-0005-0000-0000-000058560000}"/>
    <cellStyle name="Standard 4 3 3 2 3 4 6" xfId="21911" xr:uid="{00000000-0005-0000-0000-000059560000}"/>
    <cellStyle name="Standard 4 3 3 2 3 4 7" xfId="21912" xr:uid="{00000000-0005-0000-0000-00005A560000}"/>
    <cellStyle name="Standard 4 3 3 2 3 5" xfId="21913" xr:uid="{00000000-0005-0000-0000-00005B560000}"/>
    <cellStyle name="Standard 4 3 3 2 3 5 2" xfId="21914" xr:uid="{00000000-0005-0000-0000-00005C560000}"/>
    <cellStyle name="Standard 4 3 3 2 3 5 2 2" xfId="21915" xr:uid="{00000000-0005-0000-0000-00005D560000}"/>
    <cellStyle name="Standard 4 3 3 2 3 5 2 3" xfId="21916" xr:uid="{00000000-0005-0000-0000-00005E560000}"/>
    <cellStyle name="Standard 4 3 3 2 3 5 3" xfId="21917" xr:uid="{00000000-0005-0000-0000-00005F560000}"/>
    <cellStyle name="Standard 4 3 3 2 3 5 3 2" xfId="21918" xr:uid="{00000000-0005-0000-0000-000060560000}"/>
    <cellStyle name="Standard 4 3 3 2 3 5 3 3" xfId="21919" xr:uid="{00000000-0005-0000-0000-000061560000}"/>
    <cellStyle name="Standard 4 3 3 2 3 5 4" xfId="21920" xr:uid="{00000000-0005-0000-0000-000062560000}"/>
    <cellStyle name="Standard 4 3 3 2 3 5 4 2" xfId="21921" xr:uid="{00000000-0005-0000-0000-000063560000}"/>
    <cellStyle name="Standard 4 3 3 2 3 5 5" xfId="21922" xr:uid="{00000000-0005-0000-0000-000064560000}"/>
    <cellStyle name="Standard 4 3 3 2 3 5 6" xfId="21923" xr:uid="{00000000-0005-0000-0000-000065560000}"/>
    <cellStyle name="Standard 4 3 3 2 3 6" xfId="21924" xr:uid="{00000000-0005-0000-0000-000066560000}"/>
    <cellStyle name="Standard 4 3 3 2 3 6 2" xfId="21925" xr:uid="{00000000-0005-0000-0000-000067560000}"/>
    <cellStyle name="Standard 4 3 3 2 3 6 3" xfId="21926" xr:uid="{00000000-0005-0000-0000-000068560000}"/>
    <cellStyle name="Standard 4 3 3 2 3 7" xfId="21927" xr:uid="{00000000-0005-0000-0000-000069560000}"/>
    <cellStyle name="Standard 4 3 3 2 3 7 2" xfId="21928" xr:uid="{00000000-0005-0000-0000-00006A560000}"/>
    <cellStyle name="Standard 4 3 3 2 3 7 3" xfId="21929" xr:uid="{00000000-0005-0000-0000-00006B560000}"/>
    <cellStyle name="Standard 4 3 3 2 3 8" xfId="21930" xr:uid="{00000000-0005-0000-0000-00006C560000}"/>
    <cellStyle name="Standard 4 3 3 2 3 8 2" xfId="21931" xr:uid="{00000000-0005-0000-0000-00006D560000}"/>
    <cellStyle name="Standard 4 3 3 2 3 9" xfId="21932" xr:uid="{00000000-0005-0000-0000-00006E560000}"/>
    <cellStyle name="Standard 4 3 3 2 4" xfId="21933" xr:uid="{00000000-0005-0000-0000-00006F560000}"/>
    <cellStyle name="Standard 4 3 3 2 4 2" xfId="21934" xr:uid="{00000000-0005-0000-0000-000070560000}"/>
    <cellStyle name="Standard 4 3 3 2 4 2 2" xfId="21935" xr:uid="{00000000-0005-0000-0000-000071560000}"/>
    <cellStyle name="Standard 4 3 3 2 4 2 2 2" xfId="21936" xr:uid="{00000000-0005-0000-0000-000072560000}"/>
    <cellStyle name="Standard 4 3 3 2 4 2 2 2 2" xfId="21937" xr:uid="{00000000-0005-0000-0000-000073560000}"/>
    <cellStyle name="Standard 4 3 3 2 4 2 2 2 3" xfId="21938" xr:uid="{00000000-0005-0000-0000-000074560000}"/>
    <cellStyle name="Standard 4 3 3 2 4 2 2 3" xfId="21939" xr:uid="{00000000-0005-0000-0000-000075560000}"/>
    <cellStyle name="Standard 4 3 3 2 4 2 2 3 2" xfId="21940" xr:uid="{00000000-0005-0000-0000-000076560000}"/>
    <cellStyle name="Standard 4 3 3 2 4 2 2 3 3" xfId="21941" xr:uid="{00000000-0005-0000-0000-000077560000}"/>
    <cellStyle name="Standard 4 3 3 2 4 2 2 4" xfId="21942" xr:uid="{00000000-0005-0000-0000-000078560000}"/>
    <cellStyle name="Standard 4 3 3 2 4 2 2 4 2" xfId="21943" xr:uid="{00000000-0005-0000-0000-000079560000}"/>
    <cellStyle name="Standard 4 3 3 2 4 2 2 5" xfId="21944" xr:uid="{00000000-0005-0000-0000-00007A560000}"/>
    <cellStyle name="Standard 4 3 3 2 4 2 2 6" xfId="21945" xr:uid="{00000000-0005-0000-0000-00007B560000}"/>
    <cellStyle name="Standard 4 3 3 2 4 2 3" xfId="21946" xr:uid="{00000000-0005-0000-0000-00007C560000}"/>
    <cellStyle name="Standard 4 3 3 2 4 2 3 2" xfId="21947" xr:uid="{00000000-0005-0000-0000-00007D560000}"/>
    <cellStyle name="Standard 4 3 3 2 4 2 3 3" xfId="21948" xr:uid="{00000000-0005-0000-0000-00007E560000}"/>
    <cellStyle name="Standard 4 3 3 2 4 2 4" xfId="21949" xr:uid="{00000000-0005-0000-0000-00007F560000}"/>
    <cellStyle name="Standard 4 3 3 2 4 2 4 2" xfId="21950" xr:uid="{00000000-0005-0000-0000-000080560000}"/>
    <cellStyle name="Standard 4 3 3 2 4 2 4 3" xfId="21951" xr:uid="{00000000-0005-0000-0000-000081560000}"/>
    <cellStyle name="Standard 4 3 3 2 4 2 5" xfId="21952" xr:uid="{00000000-0005-0000-0000-000082560000}"/>
    <cellStyle name="Standard 4 3 3 2 4 2 5 2" xfId="21953" xr:uid="{00000000-0005-0000-0000-000083560000}"/>
    <cellStyle name="Standard 4 3 3 2 4 2 6" xfId="21954" xr:uid="{00000000-0005-0000-0000-000084560000}"/>
    <cellStyle name="Standard 4 3 3 2 4 2 7" xfId="21955" xr:uid="{00000000-0005-0000-0000-000085560000}"/>
    <cellStyle name="Standard 4 3 3 2 4 3" xfId="21956" xr:uid="{00000000-0005-0000-0000-000086560000}"/>
    <cellStyle name="Standard 4 3 3 2 4 3 2" xfId="21957" xr:uid="{00000000-0005-0000-0000-000087560000}"/>
    <cellStyle name="Standard 4 3 3 2 4 3 2 2" xfId="21958" xr:uid="{00000000-0005-0000-0000-000088560000}"/>
    <cellStyle name="Standard 4 3 3 2 4 3 2 3" xfId="21959" xr:uid="{00000000-0005-0000-0000-000089560000}"/>
    <cellStyle name="Standard 4 3 3 2 4 3 3" xfId="21960" xr:uid="{00000000-0005-0000-0000-00008A560000}"/>
    <cellStyle name="Standard 4 3 3 2 4 3 3 2" xfId="21961" xr:uid="{00000000-0005-0000-0000-00008B560000}"/>
    <cellStyle name="Standard 4 3 3 2 4 3 3 3" xfId="21962" xr:uid="{00000000-0005-0000-0000-00008C560000}"/>
    <cellStyle name="Standard 4 3 3 2 4 3 4" xfId="21963" xr:uid="{00000000-0005-0000-0000-00008D560000}"/>
    <cellStyle name="Standard 4 3 3 2 4 3 4 2" xfId="21964" xr:uid="{00000000-0005-0000-0000-00008E560000}"/>
    <cellStyle name="Standard 4 3 3 2 4 3 5" xfId="21965" xr:uid="{00000000-0005-0000-0000-00008F560000}"/>
    <cellStyle name="Standard 4 3 3 2 4 3 6" xfId="21966" xr:uid="{00000000-0005-0000-0000-000090560000}"/>
    <cellStyle name="Standard 4 3 3 2 4 4" xfId="21967" xr:uid="{00000000-0005-0000-0000-000091560000}"/>
    <cellStyle name="Standard 4 3 3 2 4 4 2" xfId="21968" xr:uid="{00000000-0005-0000-0000-000092560000}"/>
    <cellStyle name="Standard 4 3 3 2 4 4 3" xfId="21969" xr:uid="{00000000-0005-0000-0000-000093560000}"/>
    <cellStyle name="Standard 4 3 3 2 4 5" xfId="21970" xr:uid="{00000000-0005-0000-0000-000094560000}"/>
    <cellStyle name="Standard 4 3 3 2 4 5 2" xfId="21971" xr:uid="{00000000-0005-0000-0000-000095560000}"/>
    <cellStyle name="Standard 4 3 3 2 4 5 3" xfId="21972" xr:uid="{00000000-0005-0000-0000-000096560000}"/>
    <cellStyle name="Standard 4 3 3 2 4 6" xfId="21973" xr:uid="{00000000-0005-0000-0000-000097560000}"/>
    <cellStyle name="Standard 4 3 3 2 4 6 2" xfId="21974" xr:uid="{00000000-0005-0000-0000-000098560000}"/>
    <cellStyle name="Standard 4 3 3 2 4 7" xfId="21975" xr:uid="{00000000-0005-0000-0000-000099560000}"/>
    <cellStyle name="Standard 4 3 3 2 4 8" xfId="21976" xr:uid="{00000000-0005-0000-0000-00009A560000}"/>
    <cellStyle name="Standard 4 3 3 2 5" xfId="21977" xr:uid="{00000000-0005-0000-0000-00009B560000}"/>
    <cellStyle name="Standard 4 3 3 2 5 2" xfId="21978" xr:uid="{00000000-0005-0000-0000-00009C560000}"/>
    <cellStyle name="Standard 4 3 3 2 5 2 2" xfId="21979" xr:uid="{00000000-0005-0000-0000-00009D560000}"/>
    <cellStyle name="Standard 4 3 3 2 5 2 2 2" xfId="21980" xr:uid="{00000000-0005-0000-0000-00009E560000}"/>
    <cellStyle name="Standard 4 3 3 2 5 2 2 2 2" xfId="21981" xr:uid="{00000000-0005-0000-0000-00009F560000}"/>
    <cellStyle name="Standard 4 3 3 2 5 2 2 2 3" xfId="21982" xr:uid="{00000000-0005-0000-0000-0000A0560000}"/>
    <cellStyle name="Standard 4 3 3 2 5 2 2 3" xfId="21983" xr:uid="{00000000-0005-0000-0000-0000A1560000}"/>
    <cellStyle name="Standard 4 3 3 2 5 2 2 3 2" xfId="21984" xr:uid="{00000000-0005-0000-0000-0000A2560000}"/>
    <cellStyle name="Standard 4 3 3 2 5 2 2 3 3" xfId="21985" xr:uid="{00000000-0005-0000-0000-0000A3560000}"/>
    <cellStyle name="Standard 4 3 3 2 5 2 2 4" xfId="21986" xr:uid="{00000000-0005-0000-0000-0000A4560000}"/>
    <cellStyle name="Standard 4 3 3 2 5 2 2 4 2" xfId="21987" xr:uid="{00000000-0005-0000-0000-0000A5560000}"/>
    <cellStyle name="Standard 4 3 3 2 5 2 2 5" xfId="21988" xr:uid="{00000000-0005-0000-0000-0000A6560000}"/>
    <cellStyle name="Standard 4 3 3 2 5 2 2 6" xfId="21989" xr:uid="{00000000-0005-0000-0000-0000A7560000}"/>
    <cellStyle name="Standard 4 3 3 2 5 2 3" xfId="21990" xr:uid="{00000000-0005-0000-0000-0000A8560000}"/>
    <cellStyle name="Standard 4 3 3 2 5 2 3 2" xfId="21991" xr:uid="{00000000-0005-0000-0000-0000A9560000}"/>
    <cellStyle name="Standard 4 3 3 2 5 2 3 3" xfId="21992" xr:uid="{00000000-0005-0000-0000-0000AA560000}"/>
    <cellStyle name="Standard 4 3 3 2 5 2 4" xfId="21993" xr:uid="{00000000-0005-0000-0000-0000AB560000}"/>
    <cellStyle name="Standard 4 3 3 2 5 2 4 2" xfId="21994" xr:uid="{00000000-0005-0000-0000-0000AC560000}"/>
    <cellStyle name="Standard 4 3 3 2 5 2 4 3" xfId="21995" xr:uid="{00000000-0005-0000-0000-0000AD560000}"/>
    <cellStyle name="Standard 4 3 3 2 5 2 5" xfId="21996" xr:uid="{00000000-0005-0000-0000-0000AE560000}"/>
    <cellStyle name="Standard 4 3 3 2 5 2 5 2" xfId="21997" xr:uid="{00000000-0005-0000-0000-0000AF560000}"/>
    <cellStyle name="Standard 4 3 3 2 5 2 6" xfId="21998" xr:uid="{00000000-0005-0000-0000-0000B0560000}"/>
    <cellStyle name="Standard 4 3 3 2 5 2 7" xfId="21999" xr:uid="{00000000-0005-0000-0000-0000B1560000}"/>
    <cellStyle name="Standard 4 3 3 2 5 3" xfId="22000" xr:uid="{00000000-0005-0000-0000-0000B2560000}"/>
    <cellStyle name="Standard 4 3 3 2 5 3 2" xfId="22001" xr:uid="{00000000-0005-0000-0000-0000B3560000}"/>
    <cellStyle name="Standard 4 3 3 2 5 3 2 2" xfId="22002" xr:uid="{00000000-0005-0000-0000-0000B4560000}"/>
    <cellStyle name="Standard 4 3 3 2 5 3 2 3" xfId="22003" xr:uid="{00000000-0005-0000-0000-0000B5560000}"/>
    <cellStyle name="Standard 4 3 3 2 5 3 3" xfId="22004" xr:uid="{00000000-0005-0000-0000-0000B6560000}"/>
    <cellStyle name="Standard 4 3 3 2 5 3 3 2" xfId="22005" xr:uid="{00000000-0005-0000-0000-0000B7560000}"/>
    <cellStyle name="Standard 4 3 3 2 5 3 3 3" xfId="22006" xr:uid="{00000000-0005-0000-0000-0000B8560000}"/>
    <cellStyle name="Standard 4 3 3 2 5 3 4" xfId="22007" xr:uid="{00000000-0005-0000-0000-0000B9560000}"/>
    <cellStyle name="Standard 4 3 3 2 5 3 4 2" xfId="22008" xr:uid="{00000000-0005-0000-0000-0000BA560000}"/>
    <cellStyle name="Standard 4 3 3 2 5 3 5" xfId="22009" xr:uid="{00000000-0005-0000-0000-0000BB560000}"/>
    <cellStyle name="Standard 4 3 3 2 5 3 6" xfId="22010" xr:uid="{00000000-0005-0000-0000-0000BC560000}"/>
    <cellStyle name="Standard 4 3 3 2 5 4" xfId="22011" xr:uid="{00000000-0005-0000-0000-0000BD560000}"/>
    <cellStyle name="Standard 4 3 3 2 5 4 2" xfId="22012" xr:uid="{00000000-0005-0000-0000-0000BE560000}"/>
    <cellStyle name="Standard 4 3 3 2 5 4 3" xfId="22013" xr:uid="{00000000-0005-0000-0000-0000BF560000}"/>
    <cellStyle name="Standard 4 3 3 2 5 5" xfId="22014" xr:uid="{00000000-0005-0000-0000-0000C0560000}"/>
    <cellStyle name="Standard 4 3 3 2 5 5 2" xfId="22015" xr:uid="{00000000-0005-0000-0000-0000C1560000}"/>
    <cellStyle name="Standard 4 3 3 2 5 5 3" xfId="22016" xr:uid="{00000000-0005-0000-0000-0000C2560000}"/>
    <cellStyle name="Standard 4 3 3 2 5 6" xfId="22017" xr:uid="{00000000-0005-0000-0000-0000C3560000}"/>
    <cellStyle name="Standard 4 3 3 2 5 6 2" xfId="22018" xr:uid="{00000000-0005-0000-0000-0000C4560000}"/>
    <cellStyle name="Standard 4 3 3 2 5 7" xfId="22019" xr:uid="{00000000-0005-0000-0000-0000C5560000}"/>
    <cellStyle name="Standard 4 3 3 2 5 8" xfId="22020" xr:uid="{00000000-0005-0000-0000-0000C6560000}"/>
    <cellStyle name="Standard 4 3 3 2 6" xfId="22021" xr:uid="{00000000-0005-0000-0000-0000C7560000}"/>
    <cellStyle name="Standard 4 3 3 2 6 2" xfId="22022" xr:uid="{00000000-0005-0000-0000-0000C8560000}"/>
    <cellStyle name="Standard 4 3 3 2 6 2 2" xfId="22023" xr:uid="{00000000-0005-0000-0000-0000C9560000}"/>
    <cellStyle name="Standard 4 3 3 2 6 2 2 2" xfId="22024" xr:uid="{00000000-0005-0000-0000-0000CA560000}"/>
    <cellStyle name="Standard 4 3 3 2 6 2 2 3" xfId="22025" xr:uid="{00000000-0005-0000-0000-0000CB560000}"/>
    <cellStyle name="Standard 4 3 3 2 6 2 3" xfId="22026" xr:uid="{00000000-0005-0000-0000-0000CC560000}"/>
    <cellStyle name="Standard 4 3 3 2 6 2 3 2" xfId="22027" xr:uid="{00000000-0005-0000-0000-0000CD560000}"/>
    <cellStyle name="Standard 4 3 3 2 6 2 3 3" xfId="22028" xr:uid="{00000000-0005-0000-0000-0000CE560000}"/>
    <cellStyle name="Standard 4 3 3 2 6 2 4" xfId="22029" xr:uid="{00000000-0005-0000-0000-0000CF560000}"/>
    <cellStyle name="Standard 4 3 3 2 6 2 4 2" xfId="22030" xr:uid="{00000000-0005-0000-0000-0000D0560000}"/>
    <cellStyle name="Standard 4 3 3 2 6 2 5" xfId="22031" xr:uid="{00000000-0005-0000-0000-0000D1560000}"/>
    <cellStyle name="Standard 4 3 3 2 6 2 6" xfId="22032" xr:uid="{00000000-0005-0000-0000-0000D2560000}"/>
    <cellStyle name="Standard 4 3 3 2 6 3" xfId="22033" xr:uid="{00000000-0005-0000-0000-0000D3560000}"/>
    <cellStyle name="Standard 4 3 3 2 6 3 2" xfId="22034" xr:uid="{00000000-0005-0000-0000-0000D4560000}"/>
    <cellStyle name="Standard 4 3 3 2 6 3 3" xfId="22035" xr:uid="{00000000-0005-0000-0000-0000D5560000}"/>
    <cellStyle name="Standard 4 3 3 2 6 4" xfId="22036" xr:uid="{00000000-0005-0000-0000-0000D6560000}"/>
    <cellStyle name="Standard 4 3 3 2 6 4 2" xfId="22037" xr:uid="{00000000-0005-0000-0000-0000D7560000}"/>
    <cellStyle name="Standard 4 3 3 2 6 4 3" xfId="22038" xr:uid="{00000000-0005-0000-0000-0000D8560000}"/>
    <cellStyle name="Standard 4 3 3 2 6 5" xfId="22039" xr:uid="{00000000-0005-0000-0000-0000D9560000}"/>
    <cellStyle name="Standard 4 3 3 2 6 5 2" xfId="22040" xr:uid="{00000000-0005-0000-0000-0000DA560000}"/>
    <cellStyle name="Standard 4 3 3 2 6 6" xfId="22041" xr:uid="{00000000-0005-0000-0000-0000DB560000}"/>
    <cellStyle name="Standard 4 3 3 2 6 7" xfId="22042" xr:uid="{00000000-0005-0000-0000-0000DC560000}"/>
    <cellStyle name="Standard 4 3 3 2 7" xfId="22043" xr:uid="{00000000-0005-0000-0000-0000DD560000}"/>
    <cellStyle name="Standard 4 3 3 2 7 2" xfId="22044" xr:uid="{00000000-0005-0000-0000-0000DE560000}"/>
    <cellStyle name="Standard 4 3 3 2 7 2 2" xfId="22045" xr:uid="{00000000-0005-0000-0000-0000DF560000}"/>
    <cellStyle name="Standard 4 3 3 2 7 2 3" xfId="22046" xr:uid="{00000000-0005-0000-0000-0000E0560000}"/>
    <cellStyle name="Standard 4 3 3 2 7 3" xfId="22047" xr:uid="{00000000-0005-0000-0000-0000E1560000}"/>
    <cellStyle name="Standard 4 3 3 2 7 3 2" xfId="22048" xr:uid="{00000000-0005-0000-0000-0000E2560000}"/>
    <cellStyle name="Standard 4 3 3 2 7 3 3" xfId="22049" xr:uid="{00000000-0005-0000-0000-0000E3560000}"/>
    <cellStyle name="Standard 4 3 3 2 7 4" xfId="22050" xr:uid="{00000000-0005-0000-0000-0000E4560000}"/>
    <cellStyle name="Standard 4 3 3 2 7 4 2" xfId="22051" xr:uid="{00000000-0005-0000-0000-0000E5560000}"/>
    <cellStyle name="Standard 4 3 3 2 7 5" xfId="22052" xr:uid="{00000000-0005-0000-0000-0000E6560000}"/>
    <cellStyle name="Standard 4 3 3 2 7 6" xfId="22053" xr:uid="{00000000-0005-0000-0000-0000E7560000}"/>
    <cellStyle name="Standard 4 3 3 2 8" xfId="22054" xr:uid="{00000000-0005-0000-0000-0000E8560000}"/>
    <cellStyle name="Standard 4 3 3 2 8 2" xfId="22055" xr:uid="{00000000-0005-0000-0000-0000E9560000}"/>
    <cellStyle name="Standard 4 3 3 2 8 3" xfId="22056" xr:uid="{00000000-0005-0000-0000-0000EA560000}"/>
    <cellStyle name="Standard 4 3 3 2 9" xfId="22057" xr:uid="{00000000-0005-0000-0000-0000EB560000}"/>
    <cellStyle name="Standard 4 3 3 2 9 2" xfId="22058" xr:uid="{00000000-0005-0000-0000-0000EC560000}"/>
    <cellStyle name="Standard 4 3 3 2 9 3" xfId="22059" xr:uid="{00000000-0005-0000-0000-0000ED560000}"/>
    <cellStyle name="Standard 4 3 3 3" xfId="22060" xr:uid="{00000000-0005-0000-0000-0000EE560000}"/>
    <cellStyle name="Standard 4 3 3 3 10" xfId="22061" xr:uid="{00000000-0005-0000-0000-0000EF560000}"/>
    <cellStyle name="Standard 4 3 3 3 11" xfId="22062" xr:uid="{00000000-0005-0000-0000-0000F0560000}"/>
    <cellStyle name="Standard 4 3 3 3 2" xfId="22063" xr:uid="{00000000-0005-0000-0000-0000F1560000}"/>
    <cellStyle name="Standard 4 3 3 3 2 10" xfId="22064" xr:uid="{00000000-0005-0000-0000-0000F2560000}"/>
    <cellStyle name="Standard 4 3 3 3 2 2" xfId="22065" xr:uid="{00000000-0005-0000-0000-0000F3560000}"/>
    <cellStyle name="Standard 4 3 3 3 2 2 2" xfId="22066" xr:uid="{00000000-0005-0000-0000-0000F4560000}"/>
    <cellStyle name="Standard 4 3 3 3 2 2 2 2" xfId="22067" xr:uid="{00000000-0005-0000-0000-0000F5560000}"/>
    <cellStyle name="Standard 4 3 3 3 2 2 2 2 2" xfId="22068" xr:uid="{00000000-0005-0000-0000-0000F6560000}"/>
    <cellStyle name="Standard 4 3 3 3 2 2 2 2 2 2" xfId="22069" xr:uid="{00000000-0005-0000-0000-0000F7560000}"/>
    <cellStyle name="Standard 4 3 3 3 2 2 2 2 2 3" xfId="22070" xr:uid="{00000000-0005-0000-0000-0000F8560000}"/>
    <cellStyle name="Standard 4 3 3 3 2 2 2 2 3" xfId="22071" xr:uid="{00000000-0005-0000-0000-0000F9560000}"/>
    <cellStyle name="Standard 4 3 3 3 2 2 2 2 3 2" xfId="22072" xr:uid="{00000000-0005-0000-0000-0000FA560000}"/>
    <cellStyle name="Standard 4 3 3 3 2 2 2 2 3 3" xfId="22073" xr:uid="{00000000-0005-0000-0000-0000FB560000}"/>
    <cellStyle name="Standard 4 3 3 3 2 2 2 2 4" xfId="22074" xr:uid="{00000000-0005-0000-0000-0000FC560000}"/>
    <cellStyle name="Standard 4 3 3 3 2 2 2 2 4 2" xfId="22075" xr:uid="{00000000-0005-0000-0000-0000FD560000}"/>
    <cellStyle name="Standard 4 3 3 3 2 2 2 2 5" xfId="22076" xr:uid="{00000000-0005-0000-0000-0000FE560000}"/>
    <cellStyle name="Standard 4 3 3 3 2 2 2 2 6" xfId="22077" xr:uid="{00000000-0005-0000-0000-0000FF560000}"/>
    <cellStyle name="Standard 4 3 3 3 2 2 2 3" xfId="22078" xr:uid="{00000000-0005-0000-0000-000000570000}"/>
    <cellStyle name="Standard 4 3 3 3 2 2 2 3 2" xfId="22079" xr:uid="{00000000-0005-0000-0000-000001570000}"/>
    <cellStyle name="Standard 4 3 3 3 2 2 2 3 3" xfId="22080" xr:uid="{00000000-0005-0000-0000-000002570000}"/>
    <cellStyle name="Standard 4 3 3 3 2 2 2 4" xfId="22081" xr:uid="{00000000-0005-0000-0000-000003570000}"/>
    <cellStyle name="Standard 4 3 3 3 2 2 2 4 2" xfId="22082" xr:uid="{00000000-0005-0000-0000-000004570000}"/>
    <cellStyle name="Standard 4 3 3 3 2 2 2 4 3" xfId="22083" xr:uid="{00000000-0005-0000-0000-000005570000}"/>
    <cellStyle name="Standard 4 3 3 3 2 2 2 5" xfId="22084" xr:uid="{00000000-0005-0000-0000-000006570000}"/>
    <cellStyle name="Standard 4 3 3 3 2 2 2 5 2" xfId="22085" xr:uid="{00000000-0005-0000-0000-000007570000}"/>
    <cellStyle name="Standard 4 3 3 3 2 2 2 6" xfId="22086" xr:uid="{00000000-0005-0000-0000-000008570000}"/>
    <cellStyle name="Standard 4 3 3 3 2 2 2 7" xfId="22087" xr:uid="{00000000-0005-0000-0000-000009570000}"/>
    <cellStyle name="Standard 4 3 3 3 2 2 3" xfId="22088" xr:uid="{00000000-0005-0000-0000-00000A570000}"/>
    <cellStyle name="Standard 4 3 3 3 2 2 3 2" xfId="22089" xr:uid="{00000000-0005-0000-0000-00000B570000}"/>
    <cellStyle name="Standard 4 3 3 3 2 2 3 2 2" xfId="22090" xr:uid="{00000000-0005-0000-0000-00000C570000}"/>
    <cellStyle name="Standard 4 3 3 3 2 2 3 2 3" xfId="22091" xr:uid="{00000000-0005-0000-0000-00000D570000}"/>
    <cellStyle name="Standard 4 3 3 3 2 2 3 3" xfId="22092" xr:uid="{00000000-0005-0000-0000-00000E570000}"/>
    <cellStyle name="Standard 4 3 3 3 2 2 3 3 2" xfId="22093" xr:uid="{00000000-0005-0000-0000-00000F570000}"/>
    <cellStyle name="Standard 4 3 3 3 2 2 3 3 3" xfId="22094" xr:uid="{00000000-0005-0000-0000-000010570000}"/>
    <cellStyle name="Standard 4 3 3 3 2 2 3 4" xfId="22095" xr:uid="{00000000-0005-0000-0000-000011570000}"/>
    <cellStyle name="Standard 4 3 3 3 2 2 3 4 2" xfId="22096" xr:uid="{00000000-0005-0000-0000-000012570000}"/>
    <cellStyle name="Standard 4 3 3 3 2 2 3 5" xfId="22097" xr:uid="{00000000-0005-0000-0000-000013570000}"/>
    <cellStyle name="Standard 4 3 3 3 2 2 3 6" xfId="22098" xr:uid="{00000000-0005-0000-0000-000014570000}"/>
    <cellStyle name="Standard 4 3 3 3 2 2 4" xfId="22099" xr:uid="{00000000-0005-0000-0000-000015570000}"/>
    <cellStyle name="Standard 4 3 3 3 2 2 4 2" xfId="22100" xr:uid="{00000000-0005-0000-0000-000016570000}"/>
    <cellStyle name="Standard 4 3 3 3 2 2 4 3" xfId="22101" xr:uid="{00000000-0005-0000-0000-000017570000}"/>
    <cellStyle name="Standard 4 3 3 3 2 2 5" xfId="22102" xr:uid="{00000000-0005-0000-0000-000018570000}"/>
    <cellStyle name="Standard 4 3 3 3 2 2 5 2" xfId="22103" xr:uid="{00000000-0005-0000-0000-000019570000}"/>
    <cellStyle name="Standard 4 3 3 3 2 2 5 3" xfId="22104" xr:uid="{00000000-0005-0000-0000-00001A570000}"/>
    <cellStyle name="Standard 4 3 3 3 2 2 6" xfId="22105" xr:uid="{00000000-0005-0000-0000-00001B570000}"/>
    <cellStyle name="Standard 4 3 3 3 2 2 6 2" xfId="22106" xr:uid="{00000000-0005-0000-0000-00001C570000}"/>
    <cellStyle name="Standard 4 3 3 3 2 2 7" xfId="22107" xr:uid="{00000000-0005-0000-0000-00001D570000}"/>
    <cellStyle name="Standard 4 3 3 3 2 2 8" xfId="22108" xr:uid="{00000000-0005-0000-0000-00001E570000}"/>
    <cellStyle name="Standard 4 3 3 3 2 3" xfId="22109" xr:uid="{00000000-0005-0000-0000-00001F570000}"/>
    <cellStyle name="Standard 4 3 3 3 2 3 2" xfId="22110" xr:uid="{00000000-0005-0000-0000-000020570000}"/>
    <cellStyle name="Standard 4 3 3 3 2 3 2 2" xfId="22111" xr:uid="{00000000-0005-0000-0000-000021570000}"/>
    <cellStyle name="Standard 4 3 3 3 2 3 2 2 2" xfId="22112" xr:uid="{00000000-0005-0000-0000-000022570000}"/>
    <cellStyle name="Standard 4 3 3 3 2 3 2 2 2 2" xfId="22113" xr:uid="{00000000-0005-0000-0000-000023570000}"/>
    <cellStyle name="Standard 4 3 3 3 2 3 2 2 2 3" xfId="22114" xr:uid="{00000000-0005-0000-0000-000024570000}"/>
    <cellStyle name="Standard 4 3 3 3 2 3 2 2 3" xfId="22115" xr:uid="{00000000-0005-0000-0000-000025570000}"/>
    <cellStyle name="Standard 4 3 3 3 2 3 2 2 3 2" xfId="22116" xr:uid="{00000000-0005-0000-0000-000026570000}"/>
    <cellStyle name="Standard 4 3 3 3 2 3 2 2 3 3" xfId="22117" xr:uid="{00000000-0005-0000-0000-000027570000}"/>
    <cellStyle name="Standard 4 3 3 3 2 3 2 2 4" xfId="22118" xr:uid="{00000000-0005-0000-0000-000028570000}"/>
    <cellStyle name="Standard 4 3 3 3 2 3 2 2 4 2" xfId="22119" xr:uid="{00000000-0005-0000-0000-000029570000}"/>
    <cellStyle name="Standard 4 3 3 3 2 3 2 2 5" xfId="22120" xr:uid="{00000000-0005-0000-0000-00002A570000}"/>
    <cellStyle name="Standard 4 3 3 3 2 3 2 2 6" xfId="22121" xr:uid="{00000000-0005-0000-0000-00002B570000}"/>
    <cellStyle name="Standard 4 3 3 3 2 3 2 3" xfId="22122" xr:uid="{00000000-0005-0000-0000-00002C570000}"/>
    <cellStyle name="Standard 4 3 3 3 2 3 2 3 2" xfId="22123" xr:uid="{00000000-0005-0000-0000-00002D570000}"/>
    <cellStyle name="Standard 4 3 3 3 2 3 2 3 3" xfId="22124" xr:uid="{00000000-0005-0000-0000-00002E570000}"/>
    <cellStyle name="Standard 4 3 3 3 2 3 2 4" xfId="22125" xr:uid="{00000000-0005-0000-0000-00002F570000}"/>
    <cellStyle name="Standard 4 3 3 3 2 3 2 4 2" xfId="22126" xr:uid="{00000000-0005-0000-0000-000030570000}"/>
    <cellStyle name="Standard 4 3 3 3 2 3 2 4 3" xfId="22127" xr:uid="{00000000-0005-0000-0000-000031570000}"/>
    <cellStyle name="Standard 4 3 3 3 2 3 2 5" xfId="22128" xr:uid="{00000000-0005-0000-0000-000032570000}"/>
    <cellStyle name="Standard 4 3 3 3 2 3 2 5 2" xfId="22129" xr:uid="{00000000-0005-0000-0000-000033570000}"/>
    <cellStyle name="Standard 4 3 3 3 2 3 2 6" xfId="22130" xr:uid="{00000000-0005-0000-0000-000034570000}"/>
    <cellStyle name="Standard 4 3 3 3 2 3 2 7" xfId="22131" xr:uid="{00000000-0005-0000-0000-000035570000}"/>
    <cellStyle name="Standard 4 3 3 3 2 3 3" xfId="22132" xr:uid="{00000000-0005-0000-0000-000036570000}"/>
    <cellStyle name="Standard 4 3 3 3 2 3 3 2" xfId="22133" xr:uid="{00000000-0005-0000-0000-000037570000}"/>
    <cellStyle name="Standard 4 3 3 3 2 3 3 2 2" xfId="22134" xr:uid="{00000000-0005-0000-0000-000038570000}"/>
    <cellStyle name="Standard 4 3 3 3 2 3 3 2 3" xfId="22135" xr:uid="{00000000-0005-0000-0000-000039570000}"/>
    <cellStyle name="Standard 4 3 3 3 2 3 3 3" xfId="22136" xr:uid="{00000000-0005-0000-0000-00003A570000}"/>
    <cellStyle name="Standard 4 3 3 3 2 3 3 3 2" xfId="22137" xr:uid="{00000000-0005-0000-0000-00003B570000}"/>
    <cellStyle name="Standard 4 3 3 3 2 3 3 3 3" xfId="22138" xr:uid="{00000000-0005-0000-0000-00003C570000}"/>
    <cellStyle name="Standard 4 3 3 3 2 3 3 4" xfId="22139" xr:uid="{00000000-0005-0000-0000-00003D570000}"/>
    <cellStyle name="Standard 4 3 3 3 2 3 3 4 2" xfId="22140" xr:uid="{00000000-0005-0000-0000-00003E570000}"/>
    <cellStyle name="Standard 4 3 3 3 2 3 3 5" xfId="22141" xr:uid="{00000000-0005-0000-0000-00003F570000}"/>
    <cellStyle name="Standard 4 3 3 3 2 3 3 6" xfId="22142" xr:uid="{00000000-0005-0000-0000-000040570000}"/>
    <cellStyle name="Standard 4 3 3 3 2 3 4" xfId="22143" xr:uid="{00000000-0005-0000-0000-000041570000}"/>
    <cellStyle name="Standard 4 3 3 3 2 3 4 2" xfId="22144" xr:uid="{00000000-0005-0000-0000-000042570000}"/>
    <cellStyle name="Standard 4 3 3 3 2 3 4 3" xfId="22145" xr:uid="{00000000-0005-0000-0000-000043570000}"/>
    <cellStyle name="Standard 4 3 3 3 2 3 5" xfId="22146" xr:uid="{00000000-0005-0000-0000-000044570000}"/>
    <cellStyle name="Standard 4 3 3 3 2 3 5 2" xfId="22147" xr:uid="{00000000-0005-0000-0000-000045570000}"/>
    <cellStyle name="Standard 4 3 3 3 2 3 5 3" xfId="22148" xr:uid="{00000000-0005-0000-0000-000046570000}"/>
    <cellStyle name="Standard 4 3 3 3 2 3 6" xfId="22149" xr:uid="{00000000-0005-0000-0000-000047570000}"/>
    <cellStyle name="Standard 4 3 3 3 2 3 6 2" xfId="22150" xr:uid="{00000000-0005-0000-0000-000048570000}"/>
    <cellStyle name="Standard 4 3 3 3 2 3 7" xfId="22151" xr:uid="{00000000-0005-0000-0000-000049570000}"/>
    <cellStyle name="Standard 4 3 3 3 2 3 8" xfId="22152" xr:uid="{00000000-0005-0000-0000-00004A570000}"/>
    <cellStyle name="Standard 4 3 3 3 2 4" xfId="22153" xr:uid="{00000000-0005-0000-0000-00004B570000}"/>
    <cellStyle name="Standard 4 3 3 3 2 4 2" xfId="22154" xr:uid="{00000000-0005-0000-0000-00004C570000}"/>
    <cellStyle name="Standard 4 3 3 3 2 4 2 2" xfId="22155" xr:uid="{00000000-0005-0000-0000-00004D570000}"/>
    <cellStyle name="Standard 4 3 3 3 2 4 2 2 2" xfId="22156" xr:uid="{00000000-0005-0000-0000-00004E570000}"/>
    <cellStyle name="Standard 4 3 3 3 2 4 2 2 3" xfId="22157" xr:uid="{00000000-0005-0000-0000-00004F570000}"/>
    <cellStyle name="Standard 4 3 3 3 2 4 2 3" xfId="22158" xr:uid="{00000000-0005-0000-0000-000050570000}"/>
    <cellStyle name="Standard 4 3 3 3 2 4 2 3 2" xfId="22159" xr:uid="{00000000-0005-0000-0000-000051570000}"/>
    <cellStyle name="Standard 4 3 3 3 2 4 2 3 3" xfId="22160" xr:uid="{00000000-0005-0000-0000-000052570000}"/>
    <cellStyle name="Standard 4 3 3 3 2 4 2 4" xfId="22161" xr:uid="{00000000-0005-0000-0000-000053570000}"/>
    <cellStyle name="Standard 4 3 3 3 2 4 2 4 2" xfId="22162" xr:uid="{00000000-0005-0000-0000-000054570000}"/>
    <cellStyle name="Standard 4 3 3 3 2 4 2 5" xfId="22163" xr:uid="{00000000-0005-0000-0000-000055570000}"/>
    <cellStyle name="Standard 4 3 3 3 2 4 2 6" xfId="22164" xr:uid="{00000000-0005-0000-0000-000056570000}"/>
    <cellStyle name="Standard 4 3 3 3 2 4 3" xfId="22165" xr:uid="{00000000-0005-0000-0000-000057570000}"/>
    <cellStyle name="Standard 4 3 3 3 2 4 3 2" xfId="22166" xr:uid="{00000000-0005-0000-0000-000058570000}"/>
    <cellStyle name="Standard 4 3 3 3 2 4 3 3" xfId="22167" xr:uid="{00000000-0005-0000-0000-000059570000}"/>
    <cellStyle name="Standard 4 3 3 3 2 4 4" xfId="22168" xr:uid="{00000000-0005-0000-0000-00005A570000}"/>
    <cellStyle name="Standard 4 3 3 3 2 4 4 2" xfId="22169" xr:uid="{00000000-0005-0000-0000-00005B570000}"/>
    <cellStyle name="Standard 4 3 3 3 2 4 4 3" xfId="22170" xr:uid="{00000000-0005-0000-0000-00005C570000}"/>
    <cellStyle name="Standard 4 3 3 3 2 4 5" xfId="22171" xr:uid="{00000000-0005-0000-0000-00005D570000}"/>
    <cellStyle name="Standard 4 3 3 3 2 4 5 2" xfId="22172" xr:uid="{00000000-0005-0000-0000-00005E570000}"/>
    <cellStyle name="Standard 4 3 3 3 2 4 6" xfId="22173" xr:uid="{00000000-0005-0000-0000-00005F570000}"/>
    <cellStyle name="Standard 4 3 3 3 2 4 7" xfId="22174" xr:uid="{00000000-0005-0000-0000-000060570000}"/>
    <cellStyle name="Standard 4 3 3 3 2 5" xfId="22175" xr:uid="{00000000-0005-0000-0000-000061570000}"/>
    <cellStyle name="Standard 4 3 3 3 2 5 2" xfId="22176" xr:uid="{00000000-0005-0000-0000-000062570000}"/>
    <cellStyle name="Standard 4 3 3 3 2 5 2 2" xfId="22177" xr:uid="{00000000-0005-0000-0000-000063570000}"/>
    <cellStyle name="Standard 4 3 3 3 2 5 2 3" xfId="22178" xr:uid="{00000000-0005-0000-0000-000064570000}"/>
    <cellStyle name="Standard 4 3 3 3 2 5 3" xfId="22179" xr:uid="{00000000-0005-0000-0000-000065570000}"/>
    <cellStyle name="Standard 4 3 3 3 2 5 3 2" xfId="22180" xr:uid="{00000000-0005-0000-0000-000066570000}"/>
    <cellStyle name="Standard 4 3 3 3 2 5 3 3" xfId="22181" xr:uid="{00000000-0005-0000-0000-000067570000}"/>
    <cellStyle name="Standard 4 3 3 3 2 5 4" xfId="22182" xr:uid="{00000000-0005-0000-0000-000068570000}"/>
    <cellStyle name="Standard 4 3 3 3 2 5 4 2" xfId="22183" xr:uid="{00000000-0005-0000-0000-000069570000}"/>
    <cellStyle name="Standard 4 3 3 3 2 5 5" xfId="22184" xr:uid="{00000000-0005-0000-0000-00006A570000}"/>
    <cellStyle name="Standard 4 3 3 3 2 5 6" xfId="22185" xr:uid="{00000000-0005-0000-0000-00006B570000}"/>
    <cellStyle name="Standard 4 3 3 3 2 6" xfId="22186" xr:uid="{00000000-0005-0000-0000-00006C570000}"/>
    <cellStyle name="Standard 4 3 3 3 2 6 2" xfId="22187" xr:uid="{00000000-0005-0000-0000-00006D570000}"/>
    <cellStyle name="Standard 4 3 3 3 2 6 3" xfId="22188" xr:uid="{00000000-0005-0000-0000-00006E570000}"/>
    <cellStyle name="Standard 4 3 3 3 2 7" xfId="22189" xr:uid="{00000000-0005-0000-0000-00006F570000}"/>
    <cellStyle name="Standard 4 3 3 3 2 7 2" xfId="22190" xr:uid="{00000000-0005-0000-0000-000070570000}"/>
    <cellStyle name="Standard 4 3 3 3 2 7 3" xfId="22191" xr:uid="{00000000-0005-0000-0000-000071570000}"/>
    <cellStyle name="Standard 4 3 3 3 2 8" xfId="22192" xr:uid="{00000000-0005-0000-0000-000072570000}"/>
    <cellStyle name="Standard 4 3 3 3 2 8 2" xfId="22193" xr:uid="{00000000-0005-0000-0000-000073570000}"/>
    <cellStyle name="Standard 4 3 3 3 2 9" xfId="22194" xr:uid="{00000000-0005-0000-0000-000074570000}"/>
    <cellStyle name="Standard 4 3 3 3 3" xfId="22195" xr:uid="{00000000-0005-0000-0000-000075570000}"/>
    <cellStyle name="Standard 4 3 3 3 3 2" xfId="22196" xr:uid="{00000000-0005-0000-0000-000076570000}"/>
    <cellStyle name="Standard 4 3 3 3 3 2 2" xfId="22197" xr:uid="{00000000-0005-0000-0000-000077570000}"/>
    <cellStyle name="Standard 4 3 3 3 3 2 2 2" xfId="22198" xr:uid="{00000000-0005-0000-0000-000078570000}"/>
    <cellStyle name="Standard 4 3 3 3 3 2 2 2 2" xfId="22199" xr:uid="{00000000-0005-0000-0000-000079570000}"/>
    <cellStyle name="Standard 4 3 3 3 3 2 2 2 3" xfId="22200" xr:uid="{00000000-0005-0000-0000-00007A570000}"/>
    <cellStyle name="Standard 4 3 3 3 3 2 2 3" xfId="22201" xr:uid="{00000000-0005-0000-0000-00007B570000}"/>
    <cellStyle name="Standard 4 3 3 3 3 2 2 3 2" xfId="22202" xr:uid="{00000000-0005-0000-0000-00007C570000}"/>
    <cellStyle name="Standard 4 3 3 3 3 2 2 3 3" xfId="22203" xr:uid="{00000000-0005-0000-0000-00007D570000}"/>
    <cellStyle name="Standard 4 3 3 3 3 2 2 4" xfId="22204" xr:uid="{00000000-0005-0000-0000-00007E570000}"/>
    <cellStyle name="Standard 4 3 3 3 3 2 2 4 2" xfId="22205" xr:uid="{00000000-0005-0000-0000-00007F570000}"/>
    <cellStyle name="Standard 4 3 3 3 3 2 2 5" xfId="22206" xr:uid="{00000000-0005-0000-0000-000080570000}"/>
    <cellStyle name="Standard 4 3 3 3 3 2 2 6" xfId="22207" xr:uid="{00000000-0005-0000-0000-000081570000}"/>
    <cellStyle name="Standard 4 3 3 3 3 2 3" xfId="22208" xr:uid="{00000000-0005-0000-0000-000082570000}"/>
    <cellStyle name="Standard 4 3 3 3 3 2 3 2" xfId="22209" xr:uid="{00000000-0005-0000-0000-000083570000}"/>
    <cellStyle name="Standard 4 3 3 3 3 2 3 3" xfId="22210" xr:uid="{00000000-0005-0000-0000-000084570000}"/>
    <cellStyle name="Standard 4 3 3 3 3 2 4" xfId="22211" xr:uid="{00000000-0005-0000-0000-000085570000}"/>
    <cellStyle name="Standard 4 3 3 3 3 2 4 2" xfId="22212" xr:uid="{00000000-0005-0000-0000-000086570000}"/>
    <cellStyle name="Standard 4 3 3 3 3 2 4 3" xfId="22213" xr:uid="{00000000-0005-0000-0000-000087570000}"/>
    <cellStyle name="Standard 4 3 3 3 3 2 5" xfId="22214" xr:uid="{00000000-0005-0000-0000-000088570000}"/>
    <cellStyle name="Standard 4 3 3 3 3 2 5 2" xfId="22215" xr:uid="{00000000-0005-0000-0000-000089570000}"/>
    <cellStyle name="Standard 4 3 3 3 3 2 6" xfId="22216" xr:uid="{00000000-0005-0000-0000-00008A570000}"/>
    <cellStyle name="Standard 4 3 3 3 3 2 7" xfId="22217" xr:uid="{00000000-0005-0000-0000-00008B570000}"/>
    <cellStyle name="Standard 4 3 3 3 3 3" xfId="22218" xr:uid="{00000000-0005-0000-0000-00008C570000}"/>
    <cellStyle name="Standard 4 3 3 3 3 3 2" xfId="22219" xr:uid="{00000000-0005-0000-0000-00008D570000}"/>
    <cellStyle name="Standard 4 3 3 3 3 3 2 2" xfId="22220" xr:uid="{00000000-0005-0000-0000-00008E570000}"/>
    <cellStyle name="Standard 4 3 3 3 3 3 2 3" xfId="22221" xr:uid="{00000000-0005-0000-0000-00008F570000}"/>
    <cellStyle name="Standard 4 3 3 3 3 3 3" xfId="22222" xr:uid="{00000000-0005-0000-0000-000090570000}"/>
    <cellStyle name="Standard 4 3 3 3 3 3 3 2" xfId="22223" xr:uid="{00000000-0005-0000-0000-000091570000}"/>
    <cellStyle name="Standard 4 3 3 3 3 3 3 3" xfId="22224" xr:uid="{00000000-0005-0000-0000-000092570000}"/>
    <cellStyle name="Standard 4 3 3 3 3 3 4" xfId="22225" xr:uid="{00000000-0005-0000-0000-000093570000}"/>
    <cellStyle name="Standard 4 3 3 3 3 3 4 2" xfId="22226" xr:uid="{00000000-0005-0000-0000-000094570000}"/>
    <cellStyle name="Standard 4 3 3 3 3 3 5" xfId="22227" xr:uid="{00000000-0005-0000-0000-000095570000}"/>
    <cellStyle name="Standard 4 3 3 3 3 3 6" xfId="22228" xr:uid="{00000000-0005-0000-0000-000096570000}"/>
    <cellStyle name="Standard 4 3 3 3 3 4" xfId="22229" xr:uid="{00000000-0005-0000-0000-000097570000}"/>
    <cellStyle name="Standard 4 3 3 3 3 4 2" xfId="22230" xr:uid="{00000000-0005-0000-0000-000098570000}"/>
    <cellStyle name="Standard 4 3 3 3 3 4 3" xfId="22231" xr:uid="{00000000-0005-0000-0000-000099570000}"/>
    <cellStyle name="Standard 4 3 3 3 3 5" xfId="22232" xr:uid="{00000000-0005-0000-0000-00009A570000}"/>
    <cellStyle name="Standard 4 3 3 3 3 5 2" xfId="22233" xr:uid="{00000000-0005-0000-0000-00009B570000}"/>
    <cellStyle name="Standard 4 3 3 3 3 5 3" xfId="22234" xr:uid="{00000000-0005-0000-0000-00009C570000}"/>
    <cellStyle name="Standard 4 3 3 3 3 6" xfId="22235" xr:uid="{00000000-0005-0000-0000-00009D570000}"/>
    <cellStyle name="Standard 4 3 3 3 3 6 2" xfId="22236" xr:uid="{00000000-0005-0000-0000-00009E570000}"/>
    <cellStyle name="Standard 4 3 3 3 3 7" xfId="22237" xr:uid="{00000000-0005-0000-0000-00009F570000}"/>
    <cellStyle name="Standard 4 3 3 3 3 8" xfId="22238" xr:uid="{00000000-0005-0000-0000-0000A0570000}"/>
    <cellStyle name="Standard 4 3 3 3 4" xfId="22239" xr:uid="{00000000-0005-0000-0000-0000A1570000}"/>
    <cellStyle name="Standard 4 3 3 3 4 2" xfId="22240" xr:uid="{00000000-0005-0000-0000-0000A2570000}"/>
    <cellStyle name="Standard 4 3 3 3 4 2 2" xfId="22241" xr:uid="{00000000-0005-0000-0000-0000A3570000}"/>
    <cellStyle name="Standard 4 3 3 3 4 2 2 2" xfId="22242" xr:uid="{00000000-0005-0000-0000-0000A4570000}"/>
    <cellStyle name="Standard 4 3 3 3 4 2 2 2 2" xfId="22243" xr:uid="{00000000-0005-0000-0000-0000A5570000}"/>
    <cellStyle name="Standard 4 3 3 3 4 2 2 2 3" xfId="22244" xr:uid="{00000000-0005-0000-0000-0000A6570000}"/>
    <cellStyle name="Standard 4 3 3 3 4 2 2 3" xfId="22245" xr:uid="{00000000-0005-0000-0000-0000A7570000}"/>
    <cellStyle name="Standard 4 3 3 3 4 2 2 3 2" xfId="22246" xr:uid="{00000000-0005-0000-0000-0000A8570000}"/>
    <cellStyle name="Standard 4 3 3 3 4 2 2 3 3" xfId="22247" xr:uid="{00000000-0005-0000-0000-0000A9570000}"/>
    <cellStyle name="Standard 4 3 3 3 4 2 2 4" xfId="22248" xr:uid="{00000000-0005-0000-0000-0000AA570000}"/>
    <cellStyle name="Standard 4 3 3 3 4 2 2 4 2" xfId="22249" xr:uid="{00000000-0005-0000-0000-0000AB570000}"/>
    <cellStyle name="Standard 4 3 3 3 4 2 2 5" xfId="22250" xr:uid="{00000000-0005-0000-0000-0000AC570000}"/>
    <cellStyle name="Standard 4 3 3 3 4 2 2 6" xfId="22251" xr:uid="{00000000-0005-0000-0000-0000AD570000}"/>
    <cellStyle name="Standard 4 3 3 3 4 2 3" xfId="22252" xr:uid="{00000000-0005-0000-0000-0000AE570000}"/>
    <cellStyle name="Standard 4 3 3 3 4 2 3 2" xfId="22253" xr:uid="{00000000-0005-0000-0000-0000AF570000}"/>
    <cellStyle name="Standard 4 3 3 3 4 2 3 3" xfId="22254" xr:uid="{00000000-0005-0000-0000-0000B0570000}"/>
    <cellStyle name="Standard 4 3 3 3 4 2 4" xfId="22255" xr:uid="{00000000-0005-0000-0000-0000B1570000}"/>
    <cellStyle name="Standard 4 3 3 3 4 2 4 2" xfId="22256" xr:uid="{00000000-0005-0000-0000-0000B2570000}"/>
    <cellStyle name="Standard 4 3 3 3 4 2 4 3" xfId="22257" xr:uid="{00000000-0005-0000-0000-0000B3570000}"/>
    <cellStyle name="Standard 4 3 3 3 4 2 5" xfId="22258" xr:uid="{00000000-0005-0000-0000-0000B4570000}"/>
    <cellStyle name="Standard 4 3 3 3 4 2 5 2" xfId="22259" xr:uid="{00000000-0005-0000-0000-0000B5570000}"/>
    <cellStyle name="Standard 4 3 3 3 4 2 6" xfId="22260" xr:uid="{00000000-0005-0000-0000-0000B6570000}"/>
    <cellStyle name="Standard 4 3 3 3 4 2 7" xfId="22261" xr:uid="{00000000-0005-0000-0000-0000B7570000}"/>
    <cellStyle name="Standard 4 3 3 3 4 3" xfId="22262" xr:uid="{00000000-0005-0000-0000-0000B8570000}"/>
    <cellStyle name="Standard 4 3 3 3 4 3 2" xfId="22263" xr:uid="{00000000-0005-0000-0000-0000B9570000}"/>
    <cellStyle name="Standard 4 3 3 3 4 3 2 2" xfId="22264" xr:uid="{00000000-0005-0000-0000-0000BA570000}"/>
    <cellStyle name="Standard 4 3 3 3 4 3 2 3" xfId="22265" xr:uid="{00000000-0005-0000-0000-0000BB570000}"/>
    <cellStyle name="Standard 4 3 3 3 4 3 3" xfId="22266" xr:uid="{00000000-0005-0000-0000-0000BC570000}"/>
    <cellStyle name="Standard 4 3 3 3 4 3 3 2" xfId="22267" xr:uid="{00000000-0005-0000-0000-0000BD570000}"/>
    <cellStyle name="Standard 4 3 3 3 4 3 3 3" xfId="22268" xr:uid="{00000000-0005-0000-0000-0000BE570000}"/>
    <cellStyle name="Standard 4 3 3 3 4 3 4" xfId="22269" xr:uid="{00000000-0005-0000-0000-0000BF570000}"/>
    <cellStyle name="Standard 4 3 3 3 4 3 4 2" xfId="22270" xr:uid="{00000000-0005-0000-0000-0000C0570000}"/>
    <cellStyle name="Standard 4 3 3 3 4 3 5" xfId="22271" xr:uid="{00000000-0005-0000-0000-0000C1570000}"/>
    <cellStyle name="Standard 4 3 3 3 4 3 6" xfId="22272" xr:uid="{00000000-0005-0000-0000-0000C2570000}"/>
    <cellStyle name="Standard 4 3 3 3 4 4" xfId="22273" xr:uid="{00000000-0005-0000-0000-0000C3570000}"/>
    <cellStyle name="Standard 4 3 3 3 4 4 2" xfId="22274" xr:uid="{00000000-0005-0000-0000-0000C4570000}"/>
    <cellStyle name="Standard 4 3 3 3 4 4 3" xfId="22275" xr:uid="{00000000-0005-0000-0000-0000C5570000}"/>
    <cellStyle name="Standard 4 3 3 3 4 5" xfId="22276" xr:uid="{00000000-0005-0000-0000-0000C6570000}"/>
    <cellStyle name="Standard 4 3 3 3 4 5 2" xfId="22277" xr:uid="{00000000-0005-0000-0000-0000C7570000}"/>
    <cellStyle name="Standard 4 3 3 3 4 5 3" xfId="22278" xr:uid="{00000000-0005-0000-0000-0000C8570000}"/>
    <cellStyle name="Standard 4 3 3 3 4 6" xfId="22279" xr:uid="{00000000-0005-0000-0000-0000C9570000}"/>
    <cellStyle name="Standard 4 3 3 3 4 6 2" xfId="22280" xr:uid="{00000000-0005-0000-0000-0000CA570000}"/>
    <cellStyle name="Standard 4 3 3 3 4 7" xfId="22281" xr:uid="{00000000-0005-0000-0000-0000CB570000}"/>
    <cellStyle name="Standard 4 3 3 3 4 8" xfId="22282" xr:uid="{00000000-0005-0000-0000-0000CC570000}"/>
    <cellStyle name="Standard 4 3 3 3 5" xfId="22283" xr:uid="{00000000-0005-0000-0000-0000CD570000}"/>
    <cellStyle name="Standard 4 3 3 3 5 2" xfId="22284" xr:uid="{00000000-0005-0000-0000-0000CE570000}"/>
    <cellStyle name="Standard 4 3 3 3 5 2 2" xfId="22285" xr:uid="{00000000-0005-0000-0000-0000CF570000}"/>
    <cellStyle name="Standard 4 3 3 3 5 2 2 2" xfId="22286" xr:uid="{00000000-0005-0000-0000-0000D0570000}"/>
    <cellStyle name="Standard 4 3 3 3 5 2 2 3" xfId="22287" xr:uid="{00000000-0005-0000-0000-0000D1570000}"/>
    <cellStyle name="Standard 4 3 3 3 5 2 3" xfId="22288" xr:uid="{00000000-0005-0000-0000-0000D2570000}"/>
    <cellStyle name="Standard 4 3 3 3 5 2 3 2" xfId="22289" xr:uid="{00000000-0005-0000-0000-0000D3570000}"/>
    <cellStyle name="Standard 4 3 3 3 5 2 3 3" xfId="22290" xr:uid="{00000000-0005-0000-0000-0000D4570000}"/>
    <cellStyle name="Standard 4 3 3 3 5 2 4" xfId="22291" xr:uid="{00000000-0005-0000-0000-0000D5570000}"/>
    <cellStyle name="Standard 4 3 3 3 5 2 4 2" xfId="22292" xr:uid="{00000000-0005-0000-0000-0000D6570000}"/>
    <cellStyle name="Standard 4 3 3 3 5 2 5" xfId="22293" xr:uid="{00000000-0005-0000-0000-0000D7570000}"/>
    <cellStyle name="Standard 4 3 3 3 5 2 6" xfId="22294" xr:uid="{00000000-0005-0000-0000-0000D8570000}"/>
    <cellStyle name="Standard 4 3 3 3 5 3" xfId="22295" xr:uid="{00000000-0005-0000-0000-0000D9570000}"/>
    <cellStyle name="Standard 4 3 3 3 5 3 2" xfId="22296" xr:uid="{00000000-0005-0000-0000-0000DA570000}"/>
    <cellStyle name="Standard 4 3 3 3 5 3 3" xfId="22297" xr:uid="{00000000-0005-0000-0000-0000DB570000}"/>
    <cellStyle name="Standard 4 3 3 3 5 4" xfId="22298" xr:uid="{00000000-0005-0000-0000-0000DC570000}"/>
    <cellStyle name="Standard 4 3 3 3 5 4 2" xfId="22299" xr:uid="{00000000-0005-0000-0000-0000DD570000}"/>
    <cellStyle name="Standard 4 3 3 3 5 4 3" xfId="22300" xr:uid="{00000000-0005-0000-0000-0000DE570000}"/>
    <cellStyle name="Standard 4 3 3 3 5 5" xfId="22301" xr:uid="{00000000-0005-0000-0000-0000DF570000}"/>
    <cellStyle name="Standard 4 3 3 3 5 5 2" xfId="22302" xr:uid="{00000000-0005-0000-0000-0000E0570000}"/>
    <cellStyle name="Standard 4 3 3 3 5 6" xfId="22303" xr:uid="{00000000-0005-0000-0000-0000E1570000}"/>
    <cellStyle name="Standard 4 3 3 3 5 7" xfId="22304" xr:uid="{00000000-0005-0000-0000-0000E2570000}"/>
    <cellStyle name="Standard 4 3 3 3 6" xfId="22305" xr:uid="{00000000-0005-0000-0000-0000E3570000}"/>
    <cellStyle name="Standard 4 3 3 3 6 2" xfId="22306" xr:uid="{00000000-0005-0000-0000-0000E4570000}"/>
    <cellStyle name="Standard 4 3 3 3 6 2 2" xfId="22307" xr:uid="{00000000-0005-0000-0000-0000E5570000}"/>
    <cellStyle name="Standard 4 3 3 3 6 2 3" xfId="22308" xr:uid="{00000000-0005-0000-0000-0000E6570000}"/>
    <cellStyle name="Standard 4 3 3 3 6 3" xfId="22309" xr:uid="{00000000-0005-0000-0000-0000E7570000}"/>
    <cellStyle name="Standard 4 3 3 3 6 3 2" xfId="22310" xr:uid="{00000000-0005-0000-0000-0000E8570000}"/>
    <cellStyle name="Standard 4 3 3 3 6 3 3" xfId="22311" xr:uid="{00000000-0005-0000-0000-0000E9570000}"/>
    <cellStyle name="Standard 4 3 3 3 6 4" xfId="22312" xr:uid="{00000000-0005-0000-0000-0000EA570000}"/>
    <cellStyle name="Standard 4 3 3 3 6 4 2" xfId="22313" xr:uid="{00000000-0005-0000-0000-0000EB570000}"/>
    <cellStyle name="Standard 4 3 3 3 6 5" xfId="22314" xr:uid="{00000000-0005-0000-0000-0000EC570000}"/>
    <cellStyle name="Standard 4 3 3 3 6 6" xfId="22315" xr:uid="{00000000-0005-0000-0000-0000ED570000}"/>
    <cellStyle name="Standard 4 3 3 3 7" xfId="22316" xr:uid="{00000000-0005-0000-0000-0000EE570000}"/>
    <cellStyle name="Standard 4 3 3 3 7 2" xfId="22317" xr:uid="{00000000-0005-0000-0000-0000EF570000}"/>
    <cellStyle name="Standard 4 3 3 3 7 3" xfId="22318" xr:uid="{00000000-0005-0000-0000-0000F0570000}"/>
    <cellStyle name="Standard 4 3 3 3 8" xfId="22319" xr:uid="{00000000-0005-0000-0000-0000F1570000}"/>
    <cellStyle name="Standard 4 3 3 3 8 2" xfId="22320" xr:uid="{00000000-0005-0000-0000-0000F2570000}"/>
    <cellStyle name="Standard 4 3 3 3 8 3" xfId="22321" xr:uid="{00000000-0005-0000-0000-0000F3570000}"/>
    <cellStyle name="Standard 4 3 3 3 9" xfId="22322" xr:uid="{00000000-0005-0000-0000-0000F4570000}"/>
    <cellStyle name="Standard 4 3 3 3 9 2" xfId="22323" xr:uid="{00000000-0005-0000-0000-0000F5570000}"/>
    <cellStyle name="Standard 4 3 3 4" xfId="22324" xr:uid="{00000000-0005-0000-0000-0000F6570000}"/>
    <cellStyle name="Standard 4 3 3 4 10" xfId="22325" xr:uid="{00000000-0005-0000-0000-0000F7570000}"/>
    <cellStyle name="Standard 4 3 3 4 11" xfId="22326" xr:uid="{00000000-0005-0000-0000-0000F8570000}"/>
    <cellStyle name="Standard 4 3 3 4 2" xfId="22327" xr:uid="{00000000-0005-0000-0000-0000F9570000}"/>
    <cellStyle name="Standard 4 3 3 4 2 10" xfId="22328" xr:uid="{00000000-0005-0000-0000-0000FA570000}"/>
    <cellStyle name="Standard 4 3 3 4 2 2" xfId="22329" xr:uid="{00000000-0005-0000-0000-0000FB570000}"/>
    <cellStyle name="Standard 4 3 3 4 2 2 2" xfId="22330" xr:uid="{00000000-0005-0000-0000-0000FC570000}"/>
    <cellStyle name="Standard 4 3 3 4 2 2 2 2" xfId="22331" xr:uid="{00000000-0005-0000-0000-0000FD570000}"/>
    <cellStyle name="Standard 4 3 3 4 2 2 2 2 2" xfId="22332" xr:uid="{00000000-0005-0000-0000-0000FE570000}"/>
    <cellStyle name="Standard 4 3 3 4 2 2 2 2 2 2" xfId="22333" xr:uid="{00000000-0005-0000-0000-0000FF570000}"/>
    <cellStyle name="Standard 4 3 3 4 2 2 2 2 2 3" xfId="22334" xr:uid="{00000000-0005-0000-0000-000000580000}"/>
    <cellStyle name="Standard 4 3 3 4 2 2 2 2 3" xfId="22335" xr:uid="{00000000-0005-0000-0000-000001580000}"/>
    <cellStyle name="Standard 4 3 3 4 2 2 2 2 3 2" xfId="22336" xr:uid="{00000000-0005-0000-0000-000002580000}"/>
    <cellStyle name="Standard 4 3 3 4 2 2 2 2 3 3" xfId="22337" xr:uid="{00000000-0005-0000-0000-000003580000}"/>
    <cellStyle name="Standard 4 3 3 4 2 2 2 2 4" xfId="22338" xr:uid="{00000000-0005-0000-0000-000004580000}"/>
    <cellStyle name="Standard 4 3 3 4 2 2 2 2 4 2" xfId="22339" xr:uid="{00000000-0005-0000-0000-000005580000}"/>
    <cellStyle name="Standard 4 3 3 4 2 2 2 2 5" xfId="22340" xr:uid="{00000000-0005-0000-0000-000006580000}"/>
    <cellStyle name="Standard 4 3 3 4 2 2 2 2 6" xfId="22341" xr:uid="{00000000-0005-0000-0000-000007580000}"/>
    <cellStyle name="Standard 4 3 3 4 2 2 2 3" xfId="22342" xr:uid="{00000000-0005-0000-0000-000008580000}"/>
    <cellStyle name="Standard 4 3 3 4 2 2 2 3 2" xfId="22343" xr:uid="{00000000-0005-0000-0000-000009580000}"/>
    <cellStyle name="Standard 4 3 3 4 2 2 2 3 3" xfId="22344" xr:uid="{00000000-0005-0000-0000-00000A580000}"/>
    <cellStyle name="Standard 4 3 3 4 2 2 2 4" xfId="22345" xr:uid="{00000000-0005-0000-0000-00000B580000}"/>
    <cellStyle name="Standard 4 3 3 4 2 2 2 4 2" xfId="22346" xr:uid="{00000000-0005-0000-0000-00000C580000}"/>
    <cellStyle name="Standard 4 3 3 4 2 2 2 4 3" xfId="22347" xr:uid="{00000000-0005-0000-0000-00000D580000}"/>
    <cellStyle name="Standard 4 3 3 4 2 2 2 5" xfId="22348" xr:uid="{00000000-0005-0000-0000-00000E580000}"/>
    <cellStyle name="Standard 4 3 3 4 2 2 2 5 2" xfId="22349" xr:uid="{00000000-0005-0000-0000-00000F580000}"/>
    <cellStyle name="Standard 4 3 3 4 2 2 2 6" xfId="22350" xr:uid="{00000000-0005-0000-0000-000010580000}"/>
    <cellStyle name="Standard 4 3 3 4 2 2 2 7" xfId="22351" xr:uid="{00000000-0005-0000-0000-000011580000}"/>
    <cellStyle name="Standard 4 3 3 4 2 2 3" xfId="22352" xr:uid="{00000000-0005-0000-0000-000012580000}"/>
    <cellStyle name="Standard 4 3 3 4 2 2 3 2" xfId="22353" xr:uid="{00000000-0005-0000-0000-000013580000}"/>
    <cellStyle name="Standard 4 3 3 4 2 2 3 2 2" xfId="22354" xr:uid="{00000000-0005-0000-0000-000014580000}"/>
    <cellStyle name="Standard 4 3 3 4 2 2 3 2 3" xfId="22355" xr:uid="{00000000-0005-0000-0000-000015580000}"/>
    <cellStyle name="Standard 4 3 3 4 2 2 3 3" xfId="22356" xr:uid="{00000000-0005-0000-0000-000016580000}"/>
    <cellStyle name="Standard 4 3 3 4 2 2 3 3 2" xfId="22357" xr:uid="{00000000-0005-0000-0000-000017580000}"/>
    <cellStyle name="Standard 4 3 3 4 2 2 3 3 3" xfId="22358" xr:uid="{00000000-0005-0000-0000-000018580000}"/>
    <cellStyle name="Standard 4 3 3 4 2 2 3 4" xfId="22359" xr:uid="{00000000-0005-0000-0000-000019580000}"/>
    <cellStyle name="Standard 4 3 3 4 2 2 3 4 2" xfId="22360" xr:uid="{00000000-0005-0000-0000-00001A580000}"/>
    <cellStyle name="Standard 4 3 3 4 2 2 3 5" xfId="22361" xr:uid="{00000000-0005-0000-0000-00001B580000}"/>
    <cellStyle name="Standard 4 3 3 4 2 2 3 6" xfId="22362" xr:uid="{00000000-0005-0000-0000-00001C580000}"/>
    <cellStyle name="Standard 4 3 3 4 2 2 4" xfId="22363" xr:uid="{00000000-0005-0000-0000-00001D580000}"/>
    <cellStyle name="Standard 4 3 3 4 2 2 4 2" xfId="22364" xr:uid="{00000000-0005-0000-0000-00001E580000}"/>
    <cellStyle name="Standard 4 3 3 4 2 2 4 3" xfId="22365" xr:uid="{00000000-0005-0000-0000-00001F580000}"/>
    <cellStyle name="Standard 4 3 3 4 2 2 5" xfId="22366" xr:uid="{00000000-0005-0000-0000-000020580000}"/>
    <cellStyle name="Standard 4 3 3 4 2 2 5 2" xfId="22367" xr:uid="{00000000-0005-0000-0000-000021580000}"/>
    <cellStyle name="Standard 4 3 3 4 2 2 5 3" xfId="22368" xr:uid="{00000000-0005-0000-0000-000022580000}"/>
    <cellStyle name="Standard 4 3 3 4 2 2 6" xfId="22369" xr:uid="{00000000-0005-0000-0000-000023580000}"/>
    <cellStyle name="Standard 4 3 3 4 2 2 6 2" xfId="22370" xr:uid="{00000000-0005-0000-0000-000024580000}"/>
    <cellStyle name="Standard 4 3 3 4 2 2 7" xfId="22371" xr:uid="{00000000-0005-0000-0000-000025580000}"/>
    <cellStyle name="Standard 4 3 3 4 2 2 8" xfId="22372" xr:uid="{00000000-0005-0000-0000-000026580000}"/>
    <cellStyle name="Standard 4 3 3 4 2 3" xfId="22373" xr:uid="{00000000-0005-0000-0000-000027580000}"/>
    <cellStyle name="Standard 4 3 3 4 2 3 2" xfId="22374" xr:uid="{00000000-0005-0000-0000-000028580000}"/>
    <cellStyle name="Standard 4 3 3 4 2 3 2 2" xfId="22375" xr:uid="{00000000-0005-0000-0000-000029580000}"/>
    <cellStyle name="Standard 4 3 3 4 2 3 2 2 2" xfId="22376" xr:uid="{00000000-0005-0000-0000-00002A580000}"/>
    <cellStyle name="Standard 4 3 3 4 2 3 2 2 2 2" xfId="22377" xr:uid="{00000000-0005-0000-0000-00002B580000}"/>
    <cellStyle name="Standard 4 3 3 4 2 3 2 2 2 3" xfId="22378" xr:uid="{00000000-0005-0000-0000-00002C580000}"/>
    <cellStyle name="Standard 4 3 3 4 2 3 2 2 3" xfId="22379" xr:uid="{00000000-0005-0000-0000-00002D580000}"/>
    <cellStyle name="Standard 4 3 3 4 2 3 2 2 3 2" xfId="22380" xr:uid="{00000000-0005-0000-0000-00002E580000}"/>
    <cellStyle name="Standard 4 3 3 4 2 3 2 2 3 3" xfId="22381" xr:uid="{00000000-0005-0000-0000-00002F580000}"/>
    <cellStyle name="Standard 4 3 3 4 2 3 2 2 4" xfId="22382" xr:uid="{00000000-0005-0000-0000-000030580000}"/>
    <cellStyle name="Standard 4 3 3 4 2 3 2 2 4 2" xfId="22383" xr:uid="{00000000-0005-0000-0000-000031580000}"/>
    <cellStyle name="Standard 4 3 3 4 2 3 2 2 5" xfId="22384" xr:uid="{00000000-0005-0000-0000-000032580000}"/>
    <cellStyle name="Standard 4 3 3 4 2 3 2 2 6" xfId="22385" xr:uid="{00000000-0005-0000-0000-000033580000}"/>
    <cellStyle name="Standard 4 3 3 4 2 3 2 3" xfId="22386" xr:uid="{00000000-0005-0000-0000-000034580000}"/>
    <cellStyle name="Standard 4 3 3 4 2 3 2 3 2" xfId="22387" xr:uid="{00000000-0005-0000-0000-000035580000}"/>
    <cellStyle name="Standard 4 3 3 4 2 3 2 3 3" xfId="22388" xr:uid="{00000000-0005-0000-0000-000036580000}"/>
    <cellStyle name="Standard 4 3 3 4 2 3 2 4" xfId="22389" xr:uid="{00000000-0005-0000-0000-000037580000}"/>
    <cellStyle name="Standard 4 3 3 4 2 3 2 4 2" xfId="22390" xr:uid="{00000000-0005-0000-0000-000038580000}"/>
    <cellStyle name="Standard 4 3 3 4 2 3 2 4 3" xfId="22391" xr:uid="{00000000-0005-0000-0000-000039580000}"/>
    <cellStyle name="Standard 4 3 3 4 2 3 2 5" xfId="22392" xr:uid="{00000000-0005-0000-0000-00003A580000}"/>
    <cellStyle name="Standard 4 3 3 4 2 3 2 5 2" xfId="22393" xr:uid="{00000000-0005-0000-0000-00003B580000}"/>
    <cellStyle name="Standard 4 3 3 4 2 3 2 6" xfId="22394" xr:uid="{00000000-0005-0000-0000-00003C580000}"/>
    <cellStyle name="Standard 4 3 3 4 2 3 2 7" xfId="22395" xr:uid="{00000000-0005-0000-0000-00003D580000}"/>
    <cellStyle name="Standard 4 3 3 4 2 3 3" xfId="22396" xr:uid="{00000000-0005-0000-0000-00003E580000}"/>
    <cellStyle name="Standard 4 3 3 4 2 3 3 2" xfId="22397" xr:uid="{00000000-0005-0000-0000-00003F580000}"/>
    <cellStyle name="Standard 4 3 3 4 2 3 3 2 2" xfId="22398" xr:uid="{00000000-0005-0000-0000-000040580000}"/>
    <cellStyle name="Standard 4 3 3 4 2 3 3 2 3" xfId="22399" xr:uid="{00000000-0005-0000-0000-000041580000}"/>
    <cellStyle name="Standard 4 3 3 4 2 3 3 3" xfId="22400" xr:uid="{00000000-0005-0000-0000-000042580000}"/>
    <cellStyle name="Standard 4 3 3 4 2 3 3 3 2" xfId="22401" xr:uid="{00000000-0005-0000-0000-000043580000}"/>
    <cellStyle name="Standard 4 3 3 4 2 3 3 3 3" xfId="22402" xr:uid="{00000000-0005-0000-0000-000044580000}"/>
    <cellStyle name="Standard 4 3 3 4 2 3 3 4" xfId="22403" xr:uid="{00000000-0005-0000-0000-000045580000}"/>
    <cellStyle name="Standard 4 3 3 4 2 3 3 4 2" xfId="22404" xr:uid="{00000000-0005-0000-0000-000046580000}"/>
    <cellStyle name="Standard 4 3 3 4 2 3 3 5" xfId="22405" xr:uid="{00000000-0005-0000-0000-000047580000}"/>
    <cellStyle name="Standard 4 3 3 4 2 3 3 6" xfId="22406" xr:uid="{00000000-0005-0000-0000-000048580000}"/>
    <cellStyle name="Standard 4 3 3 4 2 3 4" xfId="22407" xr:uid="{00000000-0005-0000-0000-000049580000}"/>
    <cellStyle name="Standard 4 3 3 4 2 3 4 2" xfId="22408" xr:uid="{00000000-0005-0000-0000-00004A580000}"/>
    <cellStyle name="Standard 4 3 3 4 2 3 4 3" xfId="22409" xr:uid="{00000000-0005-0000-0000-00004B580000}"/>
    <cellStyle name="Standard 4 3 3 4 2 3 5" xfId="22410" xr:uid="{00000000-0005-0000-0000-00004C580000}"/>
    <cellStyle name="Standard 4 3 3 4 2 3 5 2" xfId="22411" xr:uid="{00000000-0005-0000-0000-00004D580000}"/>
    <cellStyle name="Standard 4 3 3 4 2 3 5 3" xfId="22412" xr:uid="{00000000-0005-0000-0000-00004E580000}"/>
    <cellStyle name="Standard 4 3 3 4 2 3 6" xfId="22413" xr:uid="{00000000-0005-0000-0000-00004F580000}"/>
    <cellStyle name="Standard 4 3 3 4 2 3 6 2" xfId="22414" xr:uid="{00000000-0005-0000-0000-000050580000}"/>
    <cellStyle name="Standard 4 3 3 4 2 3 7" xfId="22415" xr:uid="{00000000-0005-0000-0000-000051580000}"/>
    <cellStyle name="Standard 4 3 3 4 2 3 8" xfId="22416" xr:uid="{00000000-0005-0000-0000-000052580000}"/>
    <cellStyle name="Standard 4 3 3 4 2 4" xfId="22417" xr:uid="{00000000-0005-0000-0000-000053580000}"/>
    <cellStyle name="Standard 4 3 3 4 2 4 2" xfId="22418" xr:uid="{00000000-0005-0000-0000-000054580000}"/>
    <cellStyle name="Standard 4 3 3 4 2 4 2 2" xfId="22419" xr:uid="{00000000-0005-0000-0000-000055580000}"/>
    <cellStyle name="Standard 4 3 3 4 2 4 2 2 2" xfId="22420" xr:uid="{00000000-0005-0000-0000-000056580000}"/>
    <cellStyle name="Standard 4 3 3 4 2 4 2 2 3" xfId="22421" xr:uid="{00000000-0005-0000-0000-000057580000}"/>
    <cellStyle name="Standard 4 3 3 4 2 4 2 3" xfId="22422" xr:uid="{00000000-0005-0000-0000-000058580000}"/>
    <cellStyle name="Standard 4 3 3 4 2 4 2 3 2" xfId="22423" xr:uid="{00000000-0005-0000-0000-000059580000}"/>
    <cellStyle name="Standard 4 3 3 4 2 4 2 3 3" xfId="22424" xr:uid="{00000000-0005-0000-0000-00005A580000}"/>
    <cellStyle name="Standard 4 3 3 4 2 4 2 4" xfId="22425" xr:uid="{00000000-0005-0000-0000-00005B580000}"/>
    <cellStyle name="Standard 4 3 3 4 2 4 2 4 2" xfId="22426" xr:uid="{00000000-0005-0000-0000-00005C580000}"/>
    <cellStyle name="Standard 4 3 3 4 2 4 2 5" xfId="22427" xr:uid="{00000000-0005-0000-0000-00005D580000}"/>
    <cellStyle name="Standard 4 3 3 4 2 4 2 6" xfId="22428" xr:uid="{00000000-0005-0000-0000-00005E580000}"/>
    <cellStyle name="Standard 4 3 3 4 2 4 3" xfId="22429" xr:uid="{00000000-0005-0000-0000-00005F580000}"/>
    <cellStyle name="Standard 4 3 3 4 2 4 3 2" xfId="22430" xr:uid="{00000000-0005-0000-0000-000060580000}"/>
    <cellStyle name="Standard 4 3 3 4 2 4 3 3" xfId="22431" xr:uid="{00000000-0005-0000-0000-000061580000}"/>
    <cellStyle name="Standard 4 3 3 4 2 4 4" xfId="22432" xr:uid="{00000000-0005-0000-0000-000062580000}"/>
    <cellStyle name="Standard 4 3 3 4 2 4 4 2" xfId="22433" xr:uid="{00000000-0005-0000-0000-000063580000}"/>
    <cellStyle name="Standard 4 3 3 4 2 4 4 3" xfId="22434" xr:uid="{00000000-0005-0000-0000-000064580000}"/>
    <cellStyle name="Standard 4 3 3 4 2 4 5" xfId="22435" xr:uid="{00000000-0005-0000-0000-000065580000}"/>
    <cellStyle name="Standard 4 3 3 4 2 4 5 2" xfId="22436" xr:uid="{00000000-0005-0000-0000-000066580000}"/>
    <cellStyle name="Standard 4 3 3 4 2 4 6" xfId="22437" xr:uid="{00000000-0005-0000-0000-000067580000}"/>
    <cellStyle name="Standard 4 3 3 4 2 4 7" xfId="22438" xr:uid="{00000000-0005-0000-0000-000068580000}"/>
    <cellStyle name="Standard 4 3 3 4 2 5" xfId="22439" xr:uid="{00000000-0005-0000-0000-000069580000}"/>
    <cellStyle name="Standard 4 3 3 4 2 5 2" xfId="22440" xr:uid="{00000000-0005-0000-0000-00006A580000}"/>
    <cellStyle name="Standard 4 3 3 4 2 5 2 2" xfId="22441" xr:uid="{00000000-0005-0000-0000-00006B580000}"/>
    <cellStyle name="Standard 4 3 3 4 2 5 2 3" xfId="22442" xr:uid="{00000000-0005-0000-0000-00006C580000}"/>
    <cellStyle name="Standard 4 3 3 4 2 5 3" xfId="22443" xr:uid="{00000000-0005-0000-0000-00006D580000}"/>
    <cellStyle name="Standard 4 3 3 4 2 5 3 2" xfId="22444" xr:uid="{00000000-0005-0000-0000-00006E580000}"/>
    <cellStyle name="Standard 4 3 3 4 2 5 3 3" xfId="22445" xr:uid="{00000000-0005-0000-0000-00006F580000}"/>
    <cellStyle name="Standard 4 3 3 4 2 5 4" xfId="22446" xr:uid="{00000000-0005-0000-0000-000070580000}"/>
    <cellStyle name="Standard 4 3 3 4 2 5 4 2" xfId="22447" xr:uid="{00000000-0005-0000-0000-000071580000}"/>
    <cellStyle name="Standard 4 3 3 4 2 5 5" xfId="22448" xr:uid="{00000000-0005-0000-0000-000072580000}"/>
    <cellStyle name="Standard 4 3 3 4 2 5 6" xfId="22449" xr:uid="{00000000-0005-0000-0000-000073580000}"/>
    <cellStyle name="Standard 4 3 3 4 2 6" xfId="22450" xr:uid="{00000000-0005-0000-0000-000074580000}"/>
    <cellStyle name="Standard 4 3 3 4 2 6 2" xfId="22451" xr:uid="{00000000-0005-0000-0000-000075580000}"/>
    <cellStyle name="Standard 4 3 3 4 2 6 3" xfId="22452" xr:uid="{00000000-0005-0000-0000-000076580000}"/>
    <cellStyle name="Standard 4 3 3 4 2 7" xfId="22453" xr:uid="{00000000-0005-0000-0000-000077580000}"/>
    <cellStyle name="Standard 4 3 3 4 2 7 2" xfId="22454" xr:uid="{00000000-0005-0000-0000-000078580000}"/>
    <cellStyle name="Standard 4 3 3 4 2 7 3" xfId="22455" xr:uid="{00000000-0005-0000-0000-000079580000}"/>
    <cellStyle name="Standard 4 3 3 4 2 8" xfId="22456" xr:uid="{00000000-0005-0000-0000-00007A580000}"/>
    <cellStyle name="Standard 4 3 3 4 2 8 2" xfId="22457" xr:uid="{00000000-0005-0000-0000-00007B580000}"/>
    <cellStyle name="Standard 4 3 3 4 2 9" xfId="22458" xr:uid="{00000000-0005-0000-0000-00007C580000}"/>
    <cellStyle name="Standard 4 3 3 4 3" xfId="22459" xr:uid="{00000000-0005-0000-0000-00007D580000}"/>
    <cellStyle name="Standard 4 3 3 4 3 2" xfId="22460" xr:uid="{00000000-0005-0000-0000-00007E580000}"/>
    <cellStyle name="Standard 4 3 3 4 3 2 2" xfId="22461" xr:uid="{00000000-0005-0000-0000-00007F580000}"/>
    <cellStyle name="Standard 4 3 3 4 3 2 2 2" xfId="22462" xr:uid="{00000000-0005-0000-0000-000080580000}"/>
    <cellStyle name="Standard 4 3 3 4 3 2 2 2 2" xfId="22463" xr:uid="{00000000-0005-0000-0000-000081580000}"/>
    <cellStyle name="Standard 4 3 3 4 3 2 2 2 3" xfId="22464" xr:uid="{00000000-0005-0000-0000-000082580000}"/>
    <cellStyle name="Standard 4 3 3 4 3 2 2 3" xfId="22465" xr:uid="{00000000-0005-0000-0000-000083580000}"/>
    <cellStyle name="Standard 4 3 3 4 3 2 2 3 2" xfId="22466" xr:uid="{00000000-0005-0000-0000-000084580000}"/>
    <cellStyle name="Standard 4 3 3 4 3 2 2 3 3" xfId="22467" xr:uid="{00000000-0005-0000-0000-000085580000}"/>
    <cellStyle name="Standard 4 3 3 4 3 2 2 4" xfId="22468" xr:uid="{00000000-0005-0000-0000-000086580000}"/>
    <cellStyle name="Standard 4 3 3 4 3 2 2 4 2" xfId="22469" xr:uid="{00000000-0005-0000-0000-000087580000}"/>
    <cellStyle name="Standard 4 3 3 4 3 2 2 5" xfId="22470" xr:uid="{00000000-0005-0000-0000-000088580000}"/>
    <cellStyle name="Standard 4 3 3 4 3 2 2 6" xfId="22471" xr:uid="{00000000-0005-0000-0000-000089580000}"/>
    <cellStyle name="Standard 4 3 3 4 3 2 3" xfId="22472" xr:uid="{00000000-0005-0000-0000-00008A580000}"/>
    <cellStyle name="Standard 4 3 3 4 3 2 3 2" xfId="22473" xr:uid="{00000000-0005-0000-0000-00008B580000}"/>
    <cellStyle name="Standard 4 3 3 4 3 2 3 3" xfId="22474" xr:uid="{00000000-0005-0000-0000-00008C580000}"/>
    <cellStyle name="Standard 4 3 3 4 3 2 4" xfId="22475" xr:uid="{00000000-0005-0000-0000-00008D580000}"/>
    <cellStyle name="Standard 4 3 3 4 3 2 4 2" xfId="22476" xr:uid="{00000000-0005-0000-0000-00008E580000}"/>
    <cellStyle name="Standard 4 3 3 4 3 2 4 3" xfId="22477" xr:uid="{00000000-0005-0000-0000-00008F580000}"/>
    <cellStyle name="Standard 4 3 3 4 3 2 5" xfId="22478" xr:uid="{00000000-0005-0000-0000-000090580000}"/>
    <cellStyle name="Standard 4 3 3 4 3 2 5 2" xfId="22479" xr:uid="{00000000-0005-0000-0000-000091580000}"/>
    <cellStyle name="Standard 4 3 3 4 3 2 6" xfId="22480" xr:uid="{00000000-0005-0000-0000-000092580000}"/>
    <cellStyle name="Standard 4 3 3 4 3 2 7" xfId="22481" xr:uid="{00000000-0005-0000-0000-000093580000}"/>
    <cellStyle name="Standard 4 3 3 4 3 3" xfId="22482" xr:uid="{00000000-0005-0000-0000-000094580000}"/>
    <cellStyle name="Standard 4 3 3 4 3 3 2" xfId="22483" xr:uid="{00000000-0005-0000-0000-000095580000}"/>
    <cellStyle name="Standard 4 3 3 4 3 3 2 2" xfId="22484" xr:uid="{00000000-0005-0000-0000-000096580000}"/>
    <cellStyle name="Standard 4 3 3 4 3 3 2 3" xfId="22485" xr:uid="{00000000-0005-0000-0000-000097580000}"/>
    <cellStyle name="Standard 4 3 3 4 3 3 3" xfId="22486" xr:uid="{00000000-0005-0000-0000-000098580000}"/>
    <cellStyle name="Standard 4 3 3 4 3 3 3 2" xfId="22487" xr:uid="{00000000-0005-0000-0000-000099580000}"/>
    <cellStyle name="Standard 4 3 3 4 3 3 3 3" xfId="22488" xr:uid="{00000000-0005-0000-0000-00009A580000}"/>
    <cellStyle name="Standard 4 3 3 4 3 3 4" xfId="22489" xr:uid="{00000000-0005-0000-0000-00009B580000}"/>
    <cellStyle name="Standard 4 3 3 4 3 3 4 2" xfId="22490" xr:uid="{00000000-0005-0000-0000-00009C580000}"/>
    <cellStyle name="Standard 4 3 3 4 3 3 5" xfId="22491" xr:uid="{00000000-0005-0000-0000-00009D580000}"/>
    <cellStyle name="Standard 4 3 3 4 3 3 6" xfId="22492" xr:uid="{00000000-0005-0000-0000-00009E580000}"/>
    <cellStyle name="Standard 4 3 3 4 3 4" xfId="22493" xr:uid="{00000000-0005-0000-0000-00009F580000}"/>
    <cellStyle name="Standard 4 3 3 4 3 4 2" xfId="22494" xr:uid="{00000000-0005-0000-0000-0000A0580000}"/>
    <cellStyle name="Standard 4 3 3 4 3 4 3" xfId="22495" xr:uid="{00000000-0005-0000-0000-0000A1580000}"/>
    <cellStyle name="Standard 4 3 3 4 3 5" xfId="22496" xr:uid="{00000000-0005-0000-0000-0000A2580000}"/>
    <cellStyle name="Standard 4 3 3 4 3 5 2" xfId="22497" xr:uid="{00000000-0005-0000-0000-0000A3580000}"/>
    <cellStyle name="Standard 4 3 3 4 3 5 3" xfId="22498" xr:uid="{00000000-0005-0000-0000-0000A4580000}"/>
    <cellStyle name="Standard 4 3 3 4 3 6" xfId="22499" xr:uid="{00000000-0005-0000-0000-0000A5580000}"/>
    <cellStyle name="Standard 4 3 3 4 3 6 2" xfId="22500" xr:uid="{00000000-0005-0000-0000-0000A6580000}"/>
    <cellStyle name="Standard 4 3 3 4 3 7" xfId="22501" xr:uid="{00000000-0005-0000-0000-0000A7580000}"/>
    <cellStyle name="Standard 4 3 3 4 3 8" xfId="22502" xr:uid="{00000000-0005-0000-0000-0000A8580000}"/>
    <cellStyle name="Standard 4 3 3 4 4" xfId="22503" xr:uid="{00000000-0005-0000-0000-0000A9580000}"/>
    <cellStyle name="Standard 4 3 3 4 4 2" xfId="22504" xr:uid="{00000000-0005-0000-0000-0000AA580000}"/>
    <cellStyle name="Standard 4 3 3 4 4 2 2" xfId="22505" xr:uid="{00000000-0005-0000-0000-0000AB580000}"/>
    <cellStyle name="Standard 4 3 3 4 4 2 2 2" xfId="22506" xr:uid="{00000000-0005-0000-0000-0000AC580000}"/>
    <cellStyle name="Standard 4 3 3 4 4 2 2 2 2" xfId="22507" xr:uid="{00000000-0005-0000-0000-0000AD580000}"/>
    <cellStyle name="Standard 4 3 3 4 4 2 2 2 3" xfId="22508" xr:uid="{00000000-0005-0000-0000-0000AE580000}"/>
    <cellStyle name="Standard 4 3 3 4 4 2 2 3" xfId="22509" xr:uid="{00000000-0005-0000-0000-0000AF580000}"/>
    <cellStyle name="Standard 4 3 3 4 4 2 2 3 2" xfId="22510" xr:uid="{00000000-0005-0000-0000-0000B0580000}"/>
    <cellStyle name="Standard 4 3 3 4 4 2 2 3 3" xfId="22511" xr:uid="{00000000-0005-0000-0000-0000B1580000}"/>
    <cellStyle name="Standard 4 3 3 4 4 2 2 4" xfId="22512" xr:uid="{00000000-0005-0000-0000-0000B2580000}"/>
    <cellStyle name="Standard 4 3 3 4 4 2 2 4 2" xfId="22513" xr:uid="{00000000-0005-0000-0000-0000B3580000}"/>
    <cellStyle name="Standard 4 3 3 4 4 2 2 5" xfId="22514" xr:uid="{00000000-0005-0000-0000-0000B4580000}"/>
    <cellStyle name="Standard 4 3 3 4 4 2 2 6" xfId="22515" xr:uid="{00000000-0005-0000-0000-0000B5580000}"/>
    <cellStyle name="Standard 4 3 3 4 4 2 3" xfId="22516" xr:uid="{00000000-0005-0000-0000-0000B6580000}"/>
    <cellStyle name="Standard 4 3 3 4 4 2 3 2" xfId="22517" xr:uid="{00000000-0005-0000-0000-0000B7580000}"/>
    <cellStyle name="Standard 4 3 3 4 4 2 3 3" xfId="22518" xr:uid="{00000000-0005-0000-0000-0000B8580000}"/>
    <cellStyle name="Standard 4 3 3 4 4 2 4" xfId="22519" xr:uid="{00000000-0005-0000-0000-0000B9580000}"/>
    <cellStyle name="Standard 4 3 3 4 4 2 4 2" xfId="22520" xr:uid="{00000000-0005-0000-0000-0000BA580000}"/>
    <cellStyle name="Standard 4 3 3 4 4 2 4 3" xfId="22521" xr:uid="{00000000-0005-0000-0000-0000BB580000}"/>
    <cellStyle name="Standard 4 3 3 4 4 2 5" xfId="22522" xr:uid="{00000000-0005-0000-0000-0000BC580000}"/>
    <cellStyle name="Standard 4 3 3 4 4 2 5 2" xfId="22523" xr:uid="{00000000-0005-0000-0000-0000BD580000}"/>
    <cellStyle name="Standard 4 3 3 4 4 2 6" xfId="22524" xr:uid="{00000000-0005-0000-0000-0000BE580000}"/>
    <cellStyle name="Standard 4 3 3 4 4 2 7" xfId="22525" xr:uid="{00000000-0005-0000-0000-0000BF580000}"/>
    <cellStyle name="Standard 4 3 3 4 4 3" xfId="22526" xr:uid="{00000000-0005-0000-0000-0000C0580000}"/>
    <cellStyle name="Standard 4 3 3 4 4 3 2" xfId="22527" xr:uid="{00000000-0005-0000-0000-0000C1580000}"/>
    <cellStyle name="Standard 4 3 3 4 4 3 2 2" xfId="22528" xr:uid="{00000000-0005-0000-0000-0000C2580000}"/>
    <cellStyle name="Standard 4 3 3 4 4 3 2 3" xfId="22529" xr:uid="{00000000-0005-0000-0000-0000C3580000}"/>
    <cellStyle name="Standard 4 3 3 4 4 3 3" xfId="22530" xr:uid="{00000000-0005-0000-0000-0000C4580000}"/>
    <cellStyle name="Standard 4 3 3 4 4 3 3 2" xfId="22531" xr:uid="{00000000-0005-0000-0000-0000C5580000}"/>
    <cellStyle name="Standard 4 3 3 4 4 3 3 3" xfId="22532" xr:uid="{00000000-0005-0000-0000-0000C6580000}"/>
    <cellStyle name="Standard 4 3 3 4 4 3 4" xfId="22533" xr:uid="{00000000-0005-0000-0000-0000C7580000}"/>
    <cellStyle name="Standard 4 3 3 4 4 3 4 2" xfId="22534" xr:uid="{00000000-0005-0000-0000-0000C8580000}"/>
    <cellStyle name="Standard 4 3 3 4 4 3 5" xfId="22535" xr:uid="{00000000-0005-0000-0000-0000C9580000}"/>
    <cellStyle name="Standard 4 3 3 4 4 3 6" xfId="22536" xr:uid="{00000000-0005-0000-0000-0000CA580000}"/>
    <cellStyle name="Standard 4 3 3 4 4 4" xfId="22537" xr:uid="{00000000-0005-0000-0000-0000CB580000}"/>
    <cellStyle name="Standard 4 3 3 4 4 4 2" xfId="22538" xr:uid="{00000000-0005-0000-0000-0000CC580000}"/>
    <cellStyle name="Standard 4 3 3 4 4 4 3" xfId="22539" xr:uid="{00000000-0005-0000-0000-0000CD580000}"/>
    <cellStyle name="Standard 4 3 3 4 4 5" xfId="22540" xr:uid="{00000000-0005-0000-0000-0000CE580000}"/>
    <cellStyle name="Standard 4 3 3 4 4 5 2" xfId="22541" xr:uid="{00000000-0005-0000-0000-0000CF580000}"/>
    <cellStyle name="Standard 4 3 3 4 4 5 3" xfId="22542" xr:uid="{00000000-0005-0000-0000-0000D0580000}"/>
    <cellStyle name="Standard 4 3 3 4 4 6" xfId="22543" xr:uid="{00000000-0005-0000-0000-0000D1580000}"/>
    <cellStyle name="Standard 4 3 3 4 4 6 2" xfId="22544" xr:uid="{00000000-0005-0000-0000-0000D2580000}"/>
    <cellStyle name="Standard 4 3 3 4 4 7" xfId="22545" xr:uid="{00000000-0005-0000-0000-0000D3580000}"/>
    <cellStyle name="Standard 4 3 3 4 4 8" xfId="22546" xr:uid="{00000000-0005-0000-0000-0000D4580000}"/>
    <cellStyle name="Standard 4 3 3 4 5" xfId="22547" xr:uid="{00000000-0005-0000-0000-0000D5580000}"/>
    <cellStyle name="Standard 4 3 3 4 5 2" xfId="22548" xr:uid="{00000000-0005-0000-0000-0000D6580000}"/>
    <cellStyle name="Standard 4 3 3 4 5 2 2" xfId="22549" xr:uid="{00000000-0005-0000-0000-0000D7580000}"/>
    <cellStyle name="Standard 4 3 3 4 5 2 2 2" xfId="22550" xr:uid="{00000000-0005-0000-0000-0000D8580000}"/>
    <cellStyle name="Standard 4 3 3 4 5 2 2 3" xfId="22551" xr:uid="{00000000-0005-0000-0000-0000D9580000}"/>
    <cellStyle name="Standard 4 3 3 4 5 2 3" xfId="22552" xr:uid="{00000000-0005-0000-0000-0000DA580000}"/>
    <cellStyle name="Standard 4 3 3 4 5 2 3 2" xfId="22553" xr:uid="{00000000-0005-0000-0000-0000DB580000}"/>
    <cellStyle name="Standard 4 3 3 4 5 2 3 3" xfId="22554" xr:uid="{00000000-0005-0000-0000-0000DC580000}"/>
    <cellStyle name="Standard 4 3 3 4 5 2 4" xfId="22555" xr:uid="{00000000-0005-0000-0000-0000DD580000}"/>
    <cellStyle name="Standard 4 3 3 4 5 2 4 2" xfId="22556" xr:uid="{00000000-0005-0000-0000-0000DE580000}"/>
    <cellStyle name="Standard 4 3 3 4 5 2 5" xfId="22557" xr:uid="{00000000-0005-0000-0000-0000DF580000}"/>
    <cellStyle name="Standard 4 3 3 4 5 2 6" xfId="22558" xr:uid="{00000000-0005-0000-0000-0000E0580000}"/>
    <cellStyle name="Standard 4 3 3 4 5 3" xfId="22559" xr:uid="{00000000-0005-0000-0000-0000E1580000}"/>
    <cellStyle name="Standard 4 3 3 4 5 3 2" xfId="22560" xr:uid="{00000000-0005-0000-0000-0000E2580000}"/>
    <cellStyle name="Standard 4 3 3 4 5 3 3" xfId="22561" xr:uid="{00000000-0005-0000-0000-0000E3580000}"/>
    <cellStyle name="Standard 4 3 3 4 5 4" xfId="22562" xr:uid="{00000000-0005-0000-0000-0000E4580000}"/>
    <cellStyle name="Standard 4 3 3 4 5 4 2" xfId="22563" xr:uid="{00000000-0005-0000-0000-0000E5580000}"/>
    <cellStyle name="Standard 4 3 3 4 5 4 3" xfId="22564" xr:uid="{00000000-0005-0000-0000-0000E6580000}"/>
    <cellStyle name="Standard 4 3 3 4 5 5" xfId="22565" xr:uid="{00000000-0005-0000-0000-0000E7580000}"/>
    <cellStyle name="Standard 4 3 3 4 5 5 2" xfId="22566" xr:uid="{00000000-0005-0000-0000-0000E8580000}"/>
    <cellStyle name="Standard 4 3 3 4 5 6" xfId="22567" xr:uid="{00000000-0005-0000-0000-0000E9580000}"/>
    <cellStyle name="Standard 4 3 3 4 5 7" xfId="22568" xr:uid="{00000000-0005-0000-0000-0000EA580000}"/>
    <cellStyle name="Standard 4 3 3 4 6" xfId="22569" xr:uid="{00000000-0005-0000-0000-0000EB580000}"/>
    <cellStyle name="Standard 4 3 3 4 6 2" xfId="22570" xr:uid="{00000000-0005-0000-0000-0000EC580000}"/>
    <cellStyle name="Standard 4 3 3 4 6 2 2" xfId="22571" xr:uid="{00000000-0005-0000-0000-0000ED580000}"/>
    <cellStyle name="Standard 4 3 3 4 6 2 3" xfId="22572" xr:uid="{00000000-0005-0000-0000-0000EE580000}"/>
    <cellStyle name="Standard 4 3 3 4 6 3" xfId="22573" xr:uid="{00000000-0005-0000-0000-0000EF580000}"/>
    <cellStyle name="Standard 4 3 3 4 6 3 2" xfId="22574" xr:uid="{00000000-0005-0000-0000-0000F0580000}"/>
    <cellStyle name="Standard 4 3 3 4 6 3 3" xfId="22575" xr:uid="{00000000-0005-0000-0000-0000F1580000}"/>
    <cellStyle name="Standard 4 3 3 4 6 4" xfId="22576" xr:uid="{00000000-0005-0000-0000-0000F2580000}"/>
    <cellStyle name="Standard 4 3 3 4 6 4 2" xfId="22577" xr:uid="{00000000-0005-0000-0000-0000F3580000}"/>
    <cellStyle name="Standard 4 3 3 4 6 5" xfId="22578" xr:uid="{00000000-0005-0000-0000-0000F4580000}"/>
    <cellStyle name="Standard 4 3 3 4 6 6" xfId="22579" xr:uid="{00000000-0005-0000-0000-0000F5580000}"/>
    <cellStyle name="Standard 4 3 3 4 7" xfId="22580" xr:uid="{00000000-0005-0000-0000-0000F6580000}"/>
    <cellStyle name="Standard 4 3 3 4 7 2" xfId="22581" xr:uid="{00000000-0005-0000-0000-0000F7580000}"/>
    <cellStyle name="Standard 4 3 3 4 7 3" xfId="22582" xr:uid="{00000000-0005-0000-0000-0000F8580000}"/>
    <cellStyle name="Standard 4 3 3 4 8" xfId="22583" xr:uid="{00000000-0005-0000-0000-0000F9580000}"/>
    <cellStyle name="Standard 4 3 3 4 8 2" xfId="22584" xr:uid="{00000000-0005-0000-0000-0000FA580000}"/>
    <cellStyle name="Standard 4 3 3 4 8 3" xfId="22585" xr:uid="{00000000-0005-0000-0000-0000FB580000}"/>
    <cellStyle name="Standard 4 3 3 4 9" xfId="22586" xr:uid="{00000000-0005-0000-0000-0000FC580000}"/>
    <cellStyle name="Standard 4 3 3 4 9 2" xfId="22587" xr:uid="{00000000-0005-0000-0000-0000FD580000}"/>
    <cellStyle name="Standard 4 3 3 5" xfId="22588" xr:uid="{00000000-0005-0000-0000-0000FE580000}"/>
    <cellStyle name="Standard 4 3 3 5 10" xfId="22589" xr:uid="{00000000-0005-0000-0000-0000FF580000}"/>
    <cellStyle name="Standard 4 3 3 5 2" xfId="22590" xr:uid="{00000000-0005-0000-0000-000000590000}"/>
    <cellStyle name="Standard 4 3 3 5 2 2" xfId="22591" xr:uid="{00000000-0005-0000-0000-000001590000}"/>
    <cellStyle name="Standard 4 3 3 5 2 2 2" xfId="22592" xr:uid="{00000000-0005-0000-0000-000002590000}"/>
    <cellStyle name="Standard 4 3 3 5 2 2 2 2" xfId="22593" xr:uid="{00000000-0005-0000-0000-000003590000}"/>
    <cellStyle name="Standard 4 3 3 5 2 2 2 2 2" xfId="22594" xr:uid="{00000000-0005-0000-0000-000004590000}"/>
    <cellStyle name="Standard 4 3 3 5 2 2 2 2 3" xfId="22595" xr:uid="{00000000-0005-0000-0000-000005590000}"/>
    <cellStyle name="Standard 4 3 3 5 2 2 2 3" xfId="22596" xr:uid="{00000000-0005-0000-0000-000006590000}"/>
    <cellStyle name="Standard 4 3 3 5 2 2 2 3 2" xfId="22597" xr:uid="{00000000-0005-0000-0000-000007590000}"/>
    <cellStyle name="Standard 4 3 3 5 2 2 2 3 3" xfId="22598" xr:uid="{00000000-0005-0000-0000-000008590000}"/>
    <cellStyle name="Standard 4 3 3 5 2 2 2 4" xfId="22599" xr:uid="{00000000-0005-0000-0000-000009590000}"/>
    <cellStyle name="Standard 4 3 3 5 2 2 2 4 2" xfId="22600" xr:uid="{00000000-0005-0000-0000-00000A590000}"/>
    <cellStyle name="Standard 4 3 3 5 2 2 2 5" xfId="22601" xr:uid="{00000000-0005-0000-0000-00000B590000}"/>
    <cellStyle name="Standard 4 3 3 5 2 2 2 6" xfId="22602" xr:uid="{00000000-0005-0000-0000-00000C590000}"/>
    <cellStyle name="Standard 4 3 3 5 2 2 3" xfId="22603" xr:uid="{00000000-0005-0000-0000-00000D590000}"/>
    <cellStyle name="Standard 4 3 3 5 2 2 3 2" xfId="22604" xr:uid="{00000000-0005-0000-0000-00000E590000}"/>
    <cellStyle name="Standard 4 3 3 5 2 2 3 3" xfId="22605" xr:uid="{00000000-0005-0000-0000-00000F590000}"/>
    <cellStyle name="Standard 4 3 3 5 2 2 4" xfId="22606" xr:uid="{00000000-0005-0000-0000-000010590000}"/>
    <cellStyle name="Standard 4 3 3 5 2 2 4 2" xfId="22607" xr:uid="{00000000-0005-0000-0000-000011590000}"/>
    <cellStyle name="Standard 4 3 3 5 2 2 4 3" xfId="22608" xr:uid="{00000000-0005-0000-0000-000012590000}"/>
    <cellStyle name="Standard 4 3 3 5 2 2 5" xfId="22609" xr:uid="{00000000-0005-0000-0000-000013590000}"/>
    <cellStyle name="Standard 4 3 3 5 2 2 5 2" xfId="22610" xr:uid="{00000000-0005-0000-0000-000014590000}"/>
    <cellStyle name="Standard 4 3 3 5 2 2 6" xfId="22611" xr:uid="{00000000-0005-0000-0000-000015590000}"/>
    <cellStyle name="Standard 4 3 3 5 2 2 7" xfId="22612" xr:uid="{00000000-0005-0000-0000-000016590000}"/>
    <cellStyle name="Standard 4 3 3 5 2 3" xfId="22613" xr:uid="{00000000-0005-0000-0000-000017590000}"/>
    <cellStyle name="Standard 4 3 3 5 2 3 2" xfId="22614" xr:uid="{00000000-0005-0000-0000-000018590000}"/>
    <cellStyle name="Standard 4 3 3 5 2 3 2 2" xfId="22615" xr:uid="{00000000-0005-0000-0000-000019590000}"/>
    <cellStyle name="Standard 4 3 3 5 2 3 2 3" xfId="22616" xr:uid="{00000000-0005-0000-0000-00001A590000}"/>
    <cellStyle name="Standard 4 3 3 5 2 3 3" xfId="22617" xr:uid="{00000000-0005-0000-0000-00001B590000}"/>
    <cellStyle name="Standard 4 3 3 5 2 3 3 2" xfId="22618" xr:uid="{00000000-0005-0000-0000-00001C590000}"/>
    <cellStyle name="Standard 4 3 3 5 2 3 3 3" xfId="22619" xr:uid="{00000000-0005-0000-0000-00001D590000}"/>
    <cellStyle name="Standard 4 3 3 5 2 3 4" xfId="22620" xr:uid="{00000000-0005-0000-0000-00001E590000}"/>
    <cellStyle name="Standard 4 3 3 5 2 3 4 2" xfId="22621" xr:uid="{00000000-0005-0000-0000-00001F590000}"/>
    <cellStyle name="Standard 4 3 3 5 2 3 5" xfId="22622" xr:uid="{00000000-0005-0000-0000-000020590000}"/>
    <cellStyle name="Standard 4 3 3 5 2 3 6" xfId="22623" xr:uid="{00000000-0005-0000-0000-000021590000}"/>
    <cellStyle name="Standard 4 3 3 5 2 4" xfId="22624" xr:uid="{00000000-0005-0000-0000-000022590000}"/>
    <cellStyle name="Standard 4 3 3 5 2 4 2" xfId="22625" xr:uid="{00000000-0005-0000-0000-000023590000}"/>
    <cellStyle name="Standard 4 3 3 5 2 4 3" xfId="22626" xr:uid="{00000000-0005-0000-0000-000024590000}"/>
    <cellStyle name="Standard 4 3 3 5 2 5" xfId="22627" xr:uid="{00000000-0005-0000-0000-000025590000}"/>
    <cellStyle name="Standard 4 3 3 5 2 5 2" xfId="22628" xr:uid="{00000000-0005-0000-0000-000026590000}"/>
    <cellStyle name="Standard 4 3 3 5 2 5 3" xfId="22629" xr:uid="{00000000-0005-0000-0000-000027590000}"/>
    <cellStyle name="Standard 4 3 3 5 2 6" xfId="22630" xr:uid="{00000000-0005-0000-0000-000028590000}"/>
    <cellStyle name="Standard 4 3 3 5 2 6 2" xfId="22631" xr:uid="{00000000-0005-0000-0000-000029590000}"/>
    <cellStyle name="Standard 4 3 3 5 2 7" xfId="22632" xr:uid="{00000000-0005-0000-0000-00002A590000}"/>
    <cellStyle name="Standard 4 3 3 5 2 8" xfId="22633" xr:uid="{00000000-0005-0000-0000-00002B590000}"/>
    <cellStyle name="Standard 4 3 3 5 3" xfId="22634" xr:uid="{00000000-0005-0000-0000-00002C590000}"/>
    <cellStyle name="Standard 4 3 3 5 3 2" xfId="22635" xr:uid="{00000000-0005-0000-0000-00002D590000}"/>
    <cellStyle name="Standard 4 3 3 5 3 2 2" xfId="22636" xr:uid="{00000000-0005-0000-0000-00002E590000}"/>
    <cellStyle name="Standard 4 3 3 5 3 2 2 2" xfId="22637" xr:uid="{00000000-0005-0000-0000-00002F590000}"/>
    <cellStyle name="Standard 4 3 3 5 3 2 2 2 2" xfId="22638" xr:uid="{00000000-0005-0000-0000-000030590000}"/>
    <cellStyle name="Standard 4 3 3 5 3 2 2 2 3" xfId="22639" xr:uid="{00000000-0005-0000-0000-000031590000}"/>
    <cellStyle name="Standard 4 3 3 5 3 2 2 3" xfId="22640" xr:uid="{00000000-0005-0000-0000-000032590000}"/>
    <cellStyle name="Standard 4 3 3 5 3 2 2 3 2" xfId="22641" xr:uid="{00000000-0005-0000-0000-000033590000}"/>
    <cellStyle name="Standard 4 3 3 5 3 2 2 3 3" xfId="22642" xr:uid="{00000000-0005-0000-0000-000034590000}"/>
    <cellStyle name="Standard 4 3 3 5 3 2 2 4" xfId="22643" xr:uid="{00000000-0005-0000-0000-000035590000}"/>
    <cellStyle name="Standard 4 3 3 5 3 2 2 4 2" xfId="22644" xr:uid="{00000000-0005-0000-0000-000036590000}"/>
    <cellStyle name="Standard 4 3 3 5 3 2 2 5" xfId="22645" xr:uid="{00000000-0005-0000-0000-000037590000}"/>
    <cellStyle name="Standard 4 3 3 5 3 2 2 6" xfId="22646" xr:uid="{00000000-0005-0000-0000-000038590000}"/>
    <cellStyle name="Standard 4 3 3 5 3 2 3" xfId="22647" xr:uid="{00000000-0005-0000-0000-000039590000}"/>
    <cellStyle name="Standard 4 3 3 5 3 2 3 2" xfId="22648" xr:uid="{00000000-0005-0000-0000-00003A590000}"/>
    <cellStyle name="Standard 4 3 3 5 3 2 3 3" xfId="22649" xr:uid="{00000000-0005-0000-0000-00003B590000}"/>
    <cellStyle name="Standard 4 3 3 5 3 2 4" xfId="22650" xr:uid="{00000000-0005-0000-0000-00003C590000}"/>
    <cellStyle name="Standard 4 3 3 5 3 2 4 2" xfId="22651" xr:uid="{00000000-0005-0000-0000-00003D590000}"/>
    <cellStyle name="Standard 4 3 3 5 3 2 4 3" xfId="22652" xr:uid="{00000000-0005-0000-0000-00003E590000}"/>
    <cellStyle name="Standard 4 3 3 5 3 2 5" xfId="22653" xr:uid="{00000000-0005-0000-0000-00003F590000}"/>
    <cellStyle name="Standard 4 3 3 5 3 2 5 2" xfId="22654" xr:uid="{00000000-0005-0000-0000-000040590000}"/>
    <cellStyle name="Standard 4 3 3 5 3 2 6" xfId="22655" xr:uid="{00000000-0005-0000-0000-000041590000}"/>
    <cellStyle name="Standard 4 3 3 5 3 2 7" xfId="22656" xr:uid="{00000000-0005-0000-0000-000042590000}"/>
    <cellStyle name="Standard 4 3 3 5 3 3" xfId="22657" xr:uid="{00000000-0005-0000-0000-000043590000}"/>
    <cellStyle name="Standard 4 3 3 5 3 3 2" xfId="22658" xr:uid="{00000000-0005-0000-0000-000044590000}"/>
    <cellStyle name="Standard 4 3 3 5 3 3 2 2" xfId="22659" xr:uid="{00000000-0005-0000-0000-000045590000}"/>
    <cellStyle name="Standard 4 3 3 5 3 3 2 3" xfId="22660" xr:uid="{00000000-0005-0000-0000-000046590000}"/>
    <cellStyle name="Standard 4 3 3 5 3 3 3" xfId="22661" xr:uid="{00000000-0005-0000-0000-000047590000}"/>
    <cellStyle name="Standard 4 3 3 5 3 3 3 2" xfId="22662" xr:uid="{00000000-0005-0000-0000-000048590000}"/>
    <cellStyle name="Standard 4 3 3 5 3 3 3 3" xfId="22663" xr:uid="{00000000-0005-0000-0000-000049590000}"/>
    <cellStyle name="Standard 4 3 3 5 3 3 4" xfId="22664" xr:uid="{00000000-0005-0000-0000-00004A590000}"/>
    <cellStyle name="Standard 4 3 3 5 3 3 4 2" xfId="22665" xr:uid="{00000000-0005-0000-0000-00004B590000}"/>
    <cellStyle name="Standard 4 3 3 5 3 3 5" xfId="22666" xr:uid="{00000000-0005-0000-0000-00004C590000}"/>
    <cellStyle name="Standard 4 3 3 5 3 3 6" xfId="22667" xr:uid="{00000000-0005-0000-0000-00004D590000}"/>
    <cellStyle name="Standard 4 3 3 5 3 4" xfId="22668" xr:uid="{00000000-0005-0000-0000-00004E590000}"/>
    <cellStyle name="Standard 4 3 3 5 3 4 2" xfId="22669" xr:uid="{00000000-0005-0000-0000-00004F590000}"/>
    <cellStyle name="Standard 4 3 3 5 3 4 3" xfId="22670" xr:uid="{00000000-0005-0000-0000-000050590000}"/>
    <cellStyle name="Standard 4 3 3 5 3 5" xfId="22671" xr:uid="{00000000-0005-0000-0000-000051590000}"/>
    <cellStyle name="Standard 4 3 3 5 3 5 2" xfId="22672" xr:uid="{00000000-0005-0000-0000-000052590000}"/>
    <cellStyle name="Standard 4 3 3 5 3 5 3" xfId="22673" xr:uid="{00000000-0005-0000-0000-000053590000}"/>
    <cellStyle name="Standard 4 3 3 5 3 6" xfId="22674" xr:uid="{00000000-0005-0000-0000-000054590000}"/>
    <cellStyle name="Standard 4 3 3 5 3 6 2" xfId="22675" xr:uid="{00000000-0005-0000-0000-000055590000}"/>
    <cellStyle name="Standard 4 3 3 5 3 7" xfId="22676" xr:uid="{00000000-0005-0000-0000-000056590000}"/>
    <cellStyle name="Standard 4 3 3 5 3 8" xfId="22677" xr:uid="{00000000-0005-0000-0000-000057590000}"/>
    <cellStyle name="Standard 4 3 3 5 4" xfId="22678" xr:uid="{00000000-0005-0000-0000-000058590000}"/>
    <cellStyle name="Standard 4 3 3 5 4 2" xfId="22679" xr:uid="{00000000-0005-0000-0000-000059590000}"/>
    <cellStyle name="Standard 4 3 3 5 4 2 2" xfId="22680" xr:uid="{00000000-0005-0000-0000-00005A590000}"/>
    <cellStyle name="Standard 4 3 3 5 4 2 2 2" xfId="22681" xr:uid="{00000000-0005-0000-0000-00005B590000}"/>
    <cellStyle name="Standard 4 3 3 5 4 2 2 3" xfId="22682" xr:uid="{00000000-0005-0000-0000-00005C590000}"/>
    <cellStyle name="Standard 4 3 3 5 4 2 3" xfId="22683" xr:uid="{00000000-0005-0000-0000-00005D590000}"/>
    <cellStyle name="Standard 4 3 3 5 4 2 3 2" xfId="22684" xr:uid="{00000000-0005-0000-0000-00005E590000}"/>
    <cellStyle name="Standard 4 3 3 5 4 2 3 3" xfId="22685" xr:uid="{00000000-0005-0000-0000-00005F590000}"/>
    <cellStyle name="Standard 4 3 3 5 4 2 4" xfId="22686" xr:uid="{00000000-0005-0000-0000-000060590000}"/>
    <cellStyle name="Standard 4 3 3 5 4 2 4 2" xfId="22687" xr:uid="{00000000-0005-0000-0000-000061590000}"/>
    <cellStyle name="Standard 4 3 3 5 4 2 5" xfId="22688" xr:uid="{00000000-0005-0000-0000-000062590000}"/>
    <cellStyle name="Standard 4 3 3 5 4 2 6" xfId="22689" xr:uid="{00000000-0005-0000-0000-000063590000}"/>
    <cellStyle name="Standard 4 3 3 5 4 3" xfId="22690" xr:uid="{00000000-0005-0000-0000-000064590000}"/>
    <cellStyle name="Standard 4 3 3 5 4 3 2" xfId="22691" xr:uid="{00000000-0005-0000-0000-000065590000}"/>
    <cellStyle name="Standard 4 3 3 5 4 3 3" xfId="22692" xr:uid="{00000000-0005-0000-0000-000066590000}"/>
    <cellStyle name="Standard 4 3 3 5 4 4" xfId="22693" xr:uid="{00000000-0005-0000-0000-000067590000}"/>
    <cellStyle name="Standard 4 3 3 5 4 4 2" xfId="22694" xr:uid="{00000000-0005-0000-0000-000068590000}"/>
    <cellStyle name="Standard 4 3 3 5 4 4 3" xfId="22695" xr:uid="{00000000-0005-0000-0000-000069590000}"/>
    <cellStyle name="Standard 4 3 3 5 4 5" xfId="22696" xr:uid="{00000000-0005-0000-0000-00006A590000}"/>
    <cellStyle name="Standard 4 3 3 5 4 5 2" xfId="22697" xr:uid="{00000000-0005-0000-0000-00006B590000}"/>
    <cellStyle name="Standard 4 3 3 5 4 6" xfId="22698" xr:uid="{00000000-0005-0000-0000-00006C590000}"/>
    <cellStyle name="Standard 4 3 3 5 4 7" xfId="22699" xr:uid="{00000000-0005-0000-0000-00006D590000}"/>
    <cellStyle name="Standard 4 3 3 5 5" xfId="22700" xr:uid="{00000000-0005-0000-0000-00006E590000}"/>
    <cellStyle name="Standard 4 3 3 5 5 2" xfId="22701" xr:uid="{00000000-0005-0000-0000-00006F590000}"/>
    <cellStyle name="Standard 4 3 3 5 5 2 2" xfId="22702" xr:uid="{00000000-0005-0000-0000-000070590000}"/>
    <cellStyle name="Standard 4 3 3 5 5 2 3" xfId="22703" xr:uid="{00000000-0005-0000-0000-000071590000}"/>
    <cellStyle name="Standard 4 3 3 5 5 3" xfId="22704" xr:uid="{00000000-0005-0000-0000-000072590000}"/>
    <cellStyle name="Standard 4 3 3 5 5 3 2" xfId="22705" xr:uid="{00000000-0005-0000-0000-000073590000}"/>
    <cellStyle name="Standard 4 3 3 5 5 3 3" xfId="22706" xr:uid="{00000000-0005-0000-0000-000074590000}"/>
    <cellStyle name="Standard 4 3 3 5 5 4" xfId="22707" xr:uid="{00000000-0005-0000-0000-000075590000}"/>
    <cellStyle name="Standard 4 3 3 5 5 4 2" xfId="22708" xr:uid="{00000000-0005-0000-0000-000076590000}"/>
    <cellStyle name="Standard 4 3 3 5 5 5" xfId="22709" xr:uid="{00000000-0005-0000-0000-000077590000}"/>
    <cellStyle name="Standard 4 3 3 5 5 6" xfId="22710" xr:uid="{00000000-0005-0000-0000-000078590000}"/>
    <cellStyle name="Standard 4 3 3 5 6" xfId="22711" xr:uid="{00000000-0005-0000-0000-000079590000}"/>
    <cellStyle name="Standard 4 3 3 5 6 2" xfId="22712" xr:uid="{00000000-0005-0000-0000-00007A590000}"/>
    <cellStyle name="Standard 4 3 3 5 6 3" xfId="22713" xr:uid="{00000000-0005-0000-0000-00007B590000}"/>
    <cellStyle name="Standard 4 3 3 5 7" xfId="22714" xr:uid="{00000000-0005-0000-0000-00007C590000}"/>
    <cellStyle name="Standard 4 3 3 5 7 2" xfId="22715" xr:uid="{00000000-0005-0000-0000-00007D590000}"/>
    <cellStyle name="Standard 4 3 3 5 7 3" xfId="22716" xr:uid="{00000000-0005-0000-0000-00007E590000}"/>
    <cellStyle name="Standard 4 3 3 5 8" xfId="22717" xr:uid="{00000000-0005-0000-0000-00007F590000}"/>
    <cellStyle name="Standard 4 3 3 5 8 2" xfId="22718" xr:uid="{00000000-0005-0000-0000-000080590000}"/>
    <cellStyle name="Standard 4 3 3 5 9" xfId="22719" xr:uid="{00000000-0005-0000-0000-000081590000}"/>
    <cellStyle name="Standard 4 3 3 6" xfId="22720" xr:uid="{00000000-0005-0000-0000-000082590000}"/>
    <cellStyle name="Standard 4 3 3 6 2" xfId="22721" xr:uid="{00000000-0005-0000-0000-000083590000}"/>
    <cellStyle name="Standard 4 3 3 6 2 2" xfId="22722" xr:uid="{00000000-0005-0000-0000-000084590000}"/>
    <cellStyle name="Standard 4 3 3 6 2 2 2" xfId="22723" xr:uid="{00000000-0005-0000-0000-000085590000}"/>
    <cellStyle name="Standard 4 3 3 6 2 2 2 2" xfId="22724" xr:uid="{00000000-0005-0000-0000-000086590000}"/>
    <cellStyle name="Standard 4 3 3 6 2 2 2 3" xfId="22725" xr:uid="{00000000-0005-0000-0000-000087590000}"/>
    <cellStyle name="Standard 4 3 3 6 2 2 3" xfId="22726" xr:uid="{00000000-0005-0000-0000-000088590000}"/>
    <cellStyle name="Standard 4 3 3 6 2 2 3 2" xfId="22727" xr:uid="{00000000-0005-0000-0000-000089590000}"/>
    <cellStyle name="Standard 4 3 3 6 2 2 3 3" xfId="22728" xr:uid="{00000000-0005-0000-0000-00008A590000}"/>
    <cellStyle name="Standard 4 3 3 6 2 2 4" xfId="22729" xr:uid="{00000000-0005-0000-0000-00008B590000}"/>
    <cellStyle name="Standard 4 3 3 6 2 2 4 2" xfId="22730" xr:uid="{00000000-0005-0000-0000-00008C590000}"/>
    <cellStyle name="Standard 4 3 3 6 2 2 5" xfId="22731" xr:uid="{00000000-0005-0000-0000-00008D590000}"/>
    <cellStyle name="Standard 4 3 3 6 2 2 6" xfId="22732" xr:uid="{00000000-0005-0000-0000-00008E590000}"/>
    <cellStyle name="Standard 4 3 3 6 2 3" xfId="22733" xr:uid="{00000000-0005-0000-0000-00008F590000}"/>
    <cellStyle name="Standard 4 3 3 6 2 3 2" xfId="22734" xr:uid="{00000000-0005-0000-0000-000090590000}"/>
    <cellStyle name="Standard 4 3 3 6 2 3 3" xfId="22735" xr:uid="{00000000-0005-0000-0000-000091590000}"/>
    <cellStyle name="Standard 4 3 3 6 2 4" xfId="22736" xr:uid="{00000000-0005-0000-0000-000092590000}"/>
    <cellStyle name="Standard 4 3 3 6 2 4 2" xfId="22737" xr:uid="{00000000-0005-0000-0000-000093590000}"/>
    <cellStyle name="Standard 4 3 3 6 2 4 3" xfId="22738" xr:uid="{00000000-0005-0000-0000-000094590000}"/>
    <cellStyle name="Standard 4 3 3 6 2 5" xfId="22739" xr:uid="{00000000-0005-0000-0000-000095590000}"/>
    <cellStyle name="Standard 4 3 3 6 2 5 2" xfId="22740" xr:uid="{00000000-0005-0000-0000-000096590000}"/>
    <cellStyle name="Standard 4 3 3 6 2 6" xfId="22741" xr:uid="{00000000-0005-0000-0000-000097590000}"/>
    <cellStyle name="Standard 4 3 3 6 2 7" xfId="22742" xr:uid="{00000000-0005-0000-0000-000098590000}"/>
    <cellStyle name="Standard 4 3 3 6 3" xfId="22743" xr:uid="{00000000-0005-0000-0000-000099590000}"/>
    <cellStyle name="Standard 4 3 3 6 3 2" xfId="22744" xr:uid="{00000000-0005-0000-0000-00009A590000}"/>
    <cellStyle name="Standard 4 3 3 6 3 2 2" xfId="22745" xr:uid="{00000000-0005-0000-0000-00009B590000}"/>
    <cellStyle name="Standard 4 3 3 6 3 2 3" xfId="22746" xr:uid="{00000000-0005-0000-0000-00009C590000}"/>
    <cellStyle name="Standard 4 3 3 6 3 3" xfId="22747" xr:uid="{00000000-0005-0000-0000-00009D590000}"/>
    <cellStyle name="Standard 4 3 3 6 3 3 2" xfId="22748" xr:uid="{00000000-0005-0000-0000-00009E590000}"/>
    <cellStyle name="Standard 4 3 3 6 3 3 3" xfId="22749" xr:uid="{00000000-0005-0000-0000-00009F590000}"/>
    <cellStyle name="Standard 4 3 3 6 3 4" xfId="22750" xr:uid="{00000000-0005-0000-0000-0000A0590000}"/>
    <cellStyle name="Standard 4 3 3 6 3 4 2" xfId="22751" xr:uid="{00000000-0005-0000-0000-0000A1590000}"/>
    <cellStyle name="Standard 4 3 3 6 3 5" xfId="22752" xr:uid="{00000000-0005-0000-0000-0000A2590000}"/>
    <cellStyle name="Standard 4 3 3 6 3 6" xfId="22753" xr:uid="{00000000-0005-0000-0000-0000A3590000}"/>
    <cellStyle name="Standard 4 3 3 6 4" xfId="22754" xr:uid="{00000000-0005-0000-0000-0000A4590000}"/>
    <cellStyle name="Standard 4 3 3 6 4 2" xfId="22755" xr:uid="{00000000-0005-0000-0000-0000A5590000}"/>
    <cellStyle name="Standard 4 3 3 6 4 3" xfId="22756" xr:uid="{00000000-0005-0000-0000-0000A6590000}"/>
    <cellStyle name="Standard 4 3 3 6 5" xfId="22757" xr:uid="{00000000-0005-0000-0000-0000A7590000}"/>
    <cellStyle name="Standard 4 3 3 6 5 2" xfId="22758" xr:uid="{00000000-0005-0000-0000-0000A8590000}"/>
    <cellStyle name="Standard 4 3 3 6 5 3" xfId="22759" xr:uid="{00000000-0005-0000-0000-0000A9590000}"/>
    <cellStyle name="Standard 4 3 3 6 6" xfId="22760" xr:uid="{00000000-0005-0000-0000-0000AA590000}"/>
    <cellStyle name="Standard 4 3 3 6 6 2" xfId="22761" xr:uid="{00000000-0005-0000-0000-0000AB590000}"/>
    <cellStyle name="Standard 4 3 3 6 7" xfId="22762" xr:uid="{00000000-0005-0000-0000-0000AC590000}"/>
    <cellStyle name="Standard 4 3 3 6 8" xfId="22763" xr:uid="{00000000-0005-0000-0000-0000AD590000}"/>
    <cellStyle name="Standard 4 3 3 7" xfId="22764" xr:uid="{00000000-0005-0000-0000-0000AE590000}"/>
    <cellStyle name="Standard 4 3 3 7 2" xfId="22765" xr:uid="{00000000-0005-0000-0000-0000AF590000}"/>
    <cellStyle name="Standard 4 3 3 7 2 2" xfId="22766" xr:uid="{00000000-0005-0000-0000-0000B0590000}"/>
    <cellStyle name="Standard 4 3 3 7 2 2 2" xfId="22767" xr:uid="{00000000-0005-0000-0000-0000B1590000}"/>
    <cellStyle name="Standard 4 3 3 7 2 2 2 2" xfId="22768" xr:uid="{00000000-0005-0000-0000-0000B2590000}"/>
    <cellStyle name="Standard 4 3 3 7 2 2 2 3" xfId="22769" xr:uid="{00000000-0005-0000-0000-0000B3590000}"/>
    <cellStyle name="Standard 4 3 3 7 2 2 3" xfId="22770" xr:uid="{00000000-0005-0000-0000-0000B4590000}"/>
    <cellStyle name="Standard 4 3 3 7 2 2 3 2" xfId="22771" xr:uid="{00000000-0005-0000-0000-0000B5590000}"/>
    <cellStyle name="Standard 4 3 3 7 2 2 3 3" xfId="22772" xr:uid="{00000000-0005-0000-0000-0000B6590000}"/>
    <cellStyle name="Standard 4 3 3 7 2 2 4" xfId="22773" xr:uid="{00000000-0005-0000-0000-0000B7590000}"/>
    <cellStyle name="Standard 4 3 3 7 2 2 4 2" xfId="22774" xr:uid="{00000000-0005-0000-0000-0000B8590000}"/>
    <cellStyle name="Standard 4 3 3 7 2 2 5" xfId="22775" xr:uid="{00000000-0005-0000-0000-0000B9590000}"/>
    <cellStyle name="Standard 4 3 3 7 2 2 6" xfId="22776" xr:uid="{00000000-0005-0000-0000-0000BA590000}"/>
    <cellStyle name="Standard 4 3 3 7 2 3" xfId="22777" xr:uid="{00000000-0005-0000-0000-0000BB590000}"/>
    <cellStyle name="Standard 4 3 3 7 2 3 2" xfId="22778" xr:uid="{00000000-0005-0000-0000-0000BC590000}"/>
    <cellStyle name="Standard 4 3 3 7 2 3 3" xfId="22779" xr:uid="{00000000-0005-0000-0000-0000BD590000}"/>
    <cellStyle name="Standard 4 3 3 7 2 4" xfId="22780" xr:uid="{00000000-0005-0000-0000-0000BE590000}"/>
    <cellStyle name="Standard 4 3 3 7 2 4 2" xfId="22781" xr:uid="{00000000-0005-0000-0000-0000BF590000}"/>
    <cellStyle name="Standard 4 3 3 7 2 4 3" xfId="22782" xr:uid="{00000000-0005-0000-0000-0000C0590000}"/>
    <cellStyle name="Standard 4 3 3 7 2 5" xfId="22783" xr:uid="{00000000-0005-0000-0000-0000C1590000}"/>
    <cellStyle name="Standard 4 3 3 7 2 5 2" xfId="22784" xr:uid="{00000000-0005-0000-0000-0000C2590000}"/>
    <cellStyle name="Standard 4 3 3 7 2 6" xfId="22785" xr:uid="{00000000-0005-0000-0000-0000C3590000}"/>
    <cellStyle name="Standard 4 3 3 7 2 7" xfId="22786" xr:uid="{00000000-0005-0000-0000-0000C4590000}"/>
    <cellStyle name="Standard 4 3 3 7 3" xfId="22787" xr:uid="{00000000-0005-0000-0000-0000C5590000}"/>
    <cellStyle name="Standard 4 3 3 7 3 2" xfId="22788" xr:uid="{00000000-0005-0000-0000-0000C6590000}"/>
    <cellStyle name="Standard 4 3 3 7 3 2 2" xfId="22789" xr:uid="{00000000-0005-0000-0000-0000C7590000}"/>
    <cellStyle name="Standard 4 3 3 7 3 2 3" xfId="22790" xr:uid="{00000000-0005-0000-0000-0000C8590000}"/>
    <cellStyle name="Standard 4 3 3 7 3 3" xfId="22791" xr:uid="{00000000-0005-0000-0000-0000C9590000}"/>
    <cellStyle name="Standard 4 3 3 7 3 3 2" xfId="22792" xr:uid="{00000000-0005-0000-0000-0000CA590000}"/>
    <cellStyle name="Standard 4 3 3 7 3 3 3" xfId="22793" xr:uid="{00000000-0005-0000-0000-0000CB590000}"/>
    <cellStyle name="Standard 4 3 3 7 3 4" xfId="22794" xr:uid="{00000000-0005-0000-0000-0000CC590000}"/>
    <cellStyle name="Standard 4 3 3 7 3 4 2" xfId="22795" xr:uid="{00000000-0005-0000-0000-0000CD590000}"/>
    <cellStyle name="Standard 4 3 3 7 3 5" xfId="22796" xr:uid="{00000000-0005-0000-0000-0000CE590000}"/>
    <cellStyle name="Standard 4 3 3 7 3 6" xfId="22797" xr:uid="{00000000-0005-0000-0000-0000CF590000}"/>
    <cellStyle name="Standard 4 3 3 7 4" xfId="22798" xr:uid="{00000000-0005-0000-0000-0000D0590000}"/>
    <cellStyle name="Standard 4 3 3 7 4 2" xfId="22799" xr:uid="{00000000-0005-0000-0000-0000D1590000}"/>
    <cellStyle name="Standard 4 3 3 7 4 3" xfId="22800" xr:uid="{00000000-0005-0000-0000-0000D2590000}"/>
    <cellStyle name="Standard 4 3 3 7 5" xfId="22801" xr:uid="{00000000-0005-0000-0000-0000D3590000}"/>
    <cellStyle name="Standard 4 3 3 7 5 2" xfId="22802" xr:uid="{00000000-0005-0000-0000-0000D4590000}"/>
    <cellStyle name="Standard 4 3 3 7 5 3" xfId="22803" xr:uid="{00000000-0005-0000-0000-0000D5590000}"/>
    <cellStyle name="Standard 4 3 3 7 6" xfId="22804" xr:uid="{00000000-0005-0000-0000-0000D6590000}"/>
    <cellStyle name="Standard 4 3 3 7 6 2" xfId="22805" xr:uid="{00000000-0005-0000-0000-0000D7590000}"/>
    <cellStyle name="Standard 4 3 3 7 7" xfId="22806" xr:uid="{00000000-0005-0000-0000-0000D8590000}"/>
    <cellStyle name="Standard 4 3 3 7 8" xfId="22807" xr:uid="{00000000-0005-0000-0000-0000D9590000}"/>
    <cellStyle name="Standard 4 3 3 8" xfId="22808" xr:uid="{00000000-0005-0000-0000-0000DA590000}"/>
    <cellStyle name="Standard 4 3 3 8 2" xfId="22809" xr:uid="{00000000-0005-0000-0000-0000DB590000}"/>
    <cellStyle name="Standard 4 3 3 8 2 2" xfId="22810" xr:uid="{00000000-0005-0000-0000-0000DC590000}"/>
    <cellStyle name="Standard 4 3 3 8 2 2 2" xfId="22811" xr:uid="{00000000-0005-0000-0000-0000DD590000}"/>
    <cellStyle name="Standard 4 3 3 8 2 2 3" xfId="22812" xr:uid="{00000000-0005-0000-0000-0000DE590000}"/>
    <cellStyle name="Standard 4 3 3 8 2 3" xfId="22813" xr:uid="{00000000-0005-0000-0000-0000DF590000}"/>
    <cellStyle name="Standard 4 3 3 8 2 3 2" xfId="22814" xr:uid="{00000000-0005-0000-0000-0000E0590000}"/>
    <cellStyle name="Standard 4 3 3 8 2 3 3" xfId="22815" xr:uid="{00000000-0005-0000-0000-0000E1590000}"/>
    <cellStyle name="Standard 4 3 3 8 2 4" xfId="22816" xr:uid="{00000000-0005-0000-0000-0000E2590000}"/>
    <cellStyle name="Standard 4 3 3 8 2 4 2" xfId="22817" xr:uid="{00000000-0005-0000-0000-0000E3590000}"/>
    <cellStyle name="Standard 4 3 3 8 2 5" xfId="22818" xr:uid="{00000000-0005-0000-0000-0000E4590000}"/>
    <cellStyle name="Standard 4 3 3 8 2 6" xfId="22819" xr:uid="{00000000-0005-0000-0000-0000E5590000}"/>
    <cellStyle name="Standard 4 3 3 8 3" xfId="22820" xr:uid="{00000000-0005-0000-0000-0000E6590000}"/>
    <cellStyle name="Standard 4 3 3 8 3 2" xfId="22821" xr:uid="{00000000-0005-0000-0000-0000E7590000}"/>
    <cellStyle name="Standard 4 3 3 8 3 3" xfId="22822" xr:uid="{00000000-0005-0000-0000-0000E8590000}"/>
    <cellStyle name="Standard 4 3 3 8 4" xfId="22823" xr:uid="{00000000-0005-0000-0000-0000E9590000}"/>
    <cellStyle name="Standard 4 3 3 8 4 2" xfId="22824" xr:uid="{00000000-0005-0000-0000-0000EA590000}"/>
    <cellStyle name="Standard 4 3 3 8 4 3" xfId="22825" xr:uid="{00000000-0005-0000-0000-0000EB590000}"/>
    <cellStyle name="Standard 4 3 3 8 5" xfId="22826" xr:uid="{00000000-0005-0000-0000-0000EC590000}"/>
    <cellStyle name="Standard 4 3 3 8 5 2" xfId="22827" xr:uid="{00000000-0005-0000-0000-0000ED590000}"/>
    <cellStyle name="Standard 4 3 3 8 6" xfId="22828" xr:uid="{00000000-0005-0000-0000-0000EE590000}"/>
    <cellStyle name="Standard 4 3 3 8 7" xfId="22829" xr:uid="{00000000-0005-0000-0000-0000EF590000}"/>
    <cellStyle name="Standard 4 3 3 9" xfId="22830" xr:uid="{00000000-0005-0000-0000-0000F0590000}"/>
    <cellStyle name="Standard 4 3 3 9 2" xfId="22831" xr:uid="{00000000-0005-0000-0000-0000F1590000}"/>
    <cellStyle name="Standard 4 3 3 9 2 2" xfId="22832" xr:uid="{00000000-0005-0000-0000-0000F2590000}"/>
    <cellStyle name="Standard 4 3 3 9 2 3" xfId="22833" xr:uid="{00000000-0005-0000-0000-0000F3590000}"/>
    <cellStyle name="Standard 4 3 3 9 3" xfId="22834" xr:uid="{00000000-0005-0000-0000-0000F4590000}"/>
    <cellStyle name="Standard 4 3 3 9 3 2" xfId="22835" xr:uid="{00000000-0005-0000-0000-0000F5590000}"/>
    <cellStyle name="Standard 4 3 3 9 3 3" xfId="22836" xr:uid="{00000000-0005-0000-0000-0000F6590000}"/>
    <cellStyle name="Standard 4 3 3 9 4" xfId="22837" xr:uid="{00000000-0005-0000-0000-0000F7590000}"/>
    <cellStyle name="Standard 4 3 3 9 4 2" xfId="22838" xr:uid="{00000000-0005-0000-0000-0000F8590000}"/>
    <cellStyle name="Standard 4 3 3 9 5" xfId="22839" xr:uid="{00000000-0005-0000-0000-0000F9590000}"/>
    <cellStyle name="Standard 4 3 3 9 6" xfId="22840" xr:uid="{00000000-0005-0000-0000-0000FA590000}"/>
    <cellStyle name="Standard 4 3 4" xfId="22841" xr:uid="{00000000-0005-0000-0000-0000FB590000}"/>
    <cellStyle name="Standard 4 3 4 10" xfId="22842" xr:uid="{00000000-0005-0000-0000-0000FC590000}"/>
    <cellStyle name="Standard 4 3 4 10 2" xfId="22843" xr:uid="{00000000-0005-0000-0000-0000FD590000}"/>
    <cellStyle name="Standard 4 3 4 10 3" xfId="22844" xr:uid="{00000000-0005-0000-0000-0000FE590000}"/>
    <cellStyle name="Standard 4 3 4 11" xfId="22845" xr:uid="{00000000-0005-0000-0000-0000FF590000}"/>
    <cellStyle name="Standard 4 3 4 11 2" xfId="22846" xr:uid="{00000000-0005-0000-0000-0000005A0000}"/>
    <cellStyle name="Standard 4 3 4 12" xfId="22847" xr:uid="{00000000-0005-0000-0000-0000015A0000}"/>
    <cellStyle name="Standard 4 3 4 13" xfId="22848" xr:uid="{00000000-0005-0000-0000-0000025A0000}"/>
    <cellStyle name="Standard 4 3 4 14" xfId="33468" xr:uid="{00000000-0005-0000-0000-0000035A0000}"/>
    <cellStyle name="Standard 4 3 4 2" xfId="22849" xr:uid="{00000000-0005-0000-0000-0000045A0000}"/>
    <cellStyle name="Standard 4 3 4 2 10" xfId="22850" xr:uid="{00000000-0005-0000-0000-0000055A0000}"/>
    <cellStyle name="Standard 4 3 4 2 11" xfId="22851" xr:uid="{00000000-0005-0000-0000-0000065A0000}"/>
    <cellStyle name="Standard 4 3 4 2 2" xfId="22852" xr:uid="{00000000-0005-0000-0000-0000075A0000}"/>
    <cellStyle name="Standard 4 3 4 2 2 10" xfId="22853" xr:uid="{00000000-0005-0000-0000-0000085A0000}"/>
    <cellStyle name="Standard 4 3 4 2 2 2" xfId="22854" xr:uid="{00000000-0005-0000-0000-0000095A0000}"/>
    <cellStyle name="Standard 4 3 4 2 2 2 2" xfId="22855" xr:uid="{00000000-0005-0000-0000-00000A5A0000}"/>
    <cellStyle name="Standard 4 3 4 2 2 2 2 2" xfId="22856" xr:uid="{00000000-0005-0000-0000-00000B5A0000}"/>
    <cellStyle name="Standard 4 3 4 2 2 2 2 2 2" xfId="22857" xr:uid="{00000000-0005-0000-0000-00000C5A0000}"/>
    <cellStyle name="Standard 4 3 4 2 2 2 2 2 2 2" xfId="22858" xr:uid="{00000000-0005-0000-0000-00000D5A0000}"/>
    <cellStyle name="Standard 4 3 4 2 2 2 2 2 2 3" xfId="22859" xr:uid="{00000000-0005-0000-0000-00000E5A0000}"/>
    <cellStyle name="Standard 4 3 4 2 2 2 2 2 3" xfId="22860" xr:uid="{00000000-0005-0000-0000-00000F5A0000}"/>
    <cellStyle name="Standard 4 3 4 2 2 2 2 2 3 2" xfId="22861" xr:uid="{00000000-0005-0000-0000-0000105A0000}"/>
    <cellStyle name="Standard 4 3 4 2 2 2 2 2 3 3" xfId="22862" xr:uid="{00000000-0005-0000-0000-0000115A0000}"/>
    <cellStyle name="Standard 4 3 4 2 2 2 2 2 4" xfId="22863" xr:uid="{00000000-0005-0000-0000-0000125A0000}"/>
    <cellStyle name="Standard 4 3 4 2 2 2 2 2 4 2" xfId="22864" xr:uid="{00000000-0005-0000-0000-0000135A0000}"/>
    <cellStyle name="Standard 4 3 4 2 2 2 2 2 5" xfId="22865" xr:uid="{00000000-0005-0000-0000-0000145A0000}"/>
    <cellStyle name="Standard 4 3 4 2 2 2 2 2 6" xfId="22866" xr:uid="{00000000-0005-0000-0000-0000155A0000}"/>
    <cellStyle name="Standard 4 3 4 2 2 2 2 3" xfId="22867" xr:uid="{00000000-0005-0000-0000-0000165A0000}"/>
    <cellStyle name="Standard 4 3 4 2 2 2 2 3 2" xfId="22868" xr:uid="{00000000-0005-0000-0000-0000175A0000}"/>
    <cellStyle name="Standard 4 3 4 2 2 2 2 3 3" xfId="22869" xr:uid="{00000000-0005-0000-0000-0000185A0000}"/>
    <cellStyle name="Standard 4 3 4 2 2 2 2 4" xfId="22870" xr:uid="{00000000-0005-0000-0000-0000195A0000}"/>
    <cellStyle name="Standard 4 3 4 2 2 2 2 4 2" xfId="22871" xr:uid="{00000000-0005-0000-0000-00001A5A0000}"/>
    <cellStyle name="Standard 4 3 4 2 2 2 2 4 3" xfId="22872" xr:uid="{00000000-0005-0000-0000-00001B5A0000}"/>
    <cellStyle name="Standard 4 3 4 2 2 2 2 5" xfId="22873" xr:uid="{00000000-0005-0000-0000-00001C5A0000}"/>
    <cellStyle name="Standard 4 3 4 2 2 2 2 5 2" xfId="22874" xr:uid="{00000000-0005-0000-0000-00001D5A0000}"/>
    <cellStyle name="Standard 4 3 4 2 2 2 2 6" xfId="22875" xr:uid="{00000000-0005-0000-0000-00001E5A0000}"/>
    <cellStyle name="Standard 4 3 4 2 2 2 2 7" xfId="22876" xr:uid="{00000000-0005-0000-0000-00001F5A0000}"/>
    <cellStyle name="Standard 4 3 4 2 2 2 3" xfId="22877" xr:uid="{00000000-0005-0000-0000-0000205A0000}"/>
    <cellStyle name="Standard 4 3 4 2 2 2 3 2" xfId="22878" xr:uid="{00000000-0005-0000-0000-0000215A0000}"/>
    <cellStyle name="Standard 4 3 4 2 2 2 3 2 2" xfId="22879" xr:uid="{00000000-0005-0000-0000-0000225A0000}"/>
    <cellStyle name="Standard 4 3 4 2 2 2 3 2 3" xfId="22880" xr:uid="{00000000-0005-0000-0000-0000235A0000}"/>
    <cellStyle name="Standard 4 3 4 2 2 2 3 3" xfId="22881" xr:uid="{00000000-0005-0000-0000-0000245A0000}"/>
    <cellStyle name="Standard 4 3 4 2 2 2 3 3 2" xfId="22882" xr:uid="{00000000-0005-0000-0000-0000255A0000}"/>
    <cellStyle name="Standard 4 3 4 2 2 2 3 3 3" xfId="22883" xr:uid="{00000000-0005-0000-0000-0000265A0000}"/>
    <cellStyle name="Standard 4 3 4 2 2 2 3 4" xfId="22884" xr:uid="{00000000-0005-0000-0000-0000275A0000}"/>
    <cellStyle name="Standard 4 3 4 2 2 2 3 4 2" xfId="22885" xr:uid="{00000000-0005-0000-0000-0000285A0000}"/>
    <cellStyle name="Standard 4 3 4 2 2 2 3 5" xfId="22886" xr:uid="{00000000-0005-0000-0000-0000295A0000}"/>
    <cellStyle name="Standard 4 3 4 2 2 2 3 6" xfId="22887" xr:uid="{00000000-0005-0000-0000-00002A5A0000}"/>
    <cellStyle name="Standard 4 3 4 2 2 2 4" xfId="22888" xr:uid="{00000000-0005-0000-0000-00002B5A0000}"/>
    <cellStyle name="Standard 4 3 4 2 2 2 4 2" xfId="22889" xr:uid="{00000000-0005-0000-0000-00002C5A0000}"/>
    <cellStyle name="Standard 4 3 4 2 2 2 4 3" xfId="22890" xr:uid="{00000000-0005-0000-0000-00002D5A0000}"/>
    <cellStyle name="Standard 4 3 4 2 2 2 5" xfId="22891" xr:uid="{00000000-0005-0000-0000-00002E5A0000}"/>
    <cellStyle name="Standard 4 3 4 2 2 2 5 2" xfId="22892" xr:uid="{00000000-0005-0000-0000-00002F5A0000}"/>
    <cellStyle name="Standard 4 3 4 2 2 2 5 3" xfId="22893" xr:uid="{00000000-0005-0000-0000-0000305A0000}"/>
    <cellStyle name="Standard 4 3 4 2 2 2 6" xfId="22894" xr:uid="{00000000-0005-0000-0000-0000315A0000}"/>
    <cellStyle name="Standard 4 3 4 2 2 2 6 2" xfId="22895" xr:uid="{00000000-0005-0000-0000-0000325A0000}"/>
    <cellStyle name="Standard 4 3 4 2 2 2 7" xfId="22896" xr:uid="{00000000-0005-0000-0000-0000335A0000}"/>
    <cellStyle name="Standard 4 3 4 2 2 2 8" xfId="22897" xr:uid="{00000000-0005-0000-0000-0000345A0000}"/>
    <cellStyle name="Standard 4 3 4 2 2 3" xfId="22898" xr:uid="{00000000-0005-0000-0000-0000355A0000}"/>
    <cellStyle name="Standard 4 3 4 2 2 3 2" xfId="22899" xr:uid="{00000000-0005-0000-0000-0000365A0000}"/>
    <cellStyle name="Standard 4 3 4 2 2 3 2 2" xfId="22900" xr:uid="{00000000-0005-0000-0000-0000375A0000}"/>
    <cellStyle name="Standard 4 3 4 2 2 3 2 2 2" xfId="22901" xr:uid="{00000000-0005-0000-0000-0000385A0000}"/>
    <cellStyle name="Standard 4 3 4 2 2 3 2 2 2 2" xfId="22902" xr:uid="{00000000-0005-0000-0000-0000395A0000}"/>
    <cellStyle name="Standard 4 3 4 2 2 3 2 2 2 3" xfId="22903" xr:uid="{00000000-0005-0000-0000-00003A5A0000}"/>
    <cellStyle name="Standard 4 3 4 2 2 3 2 2 3" xfId="22904" xr:uid="{00000000-0005-0000-0000-00003B5A0000}"/>
    <cellStyle name="Standard 4 3 4 2 2 3 2 2 3 2" xfId="22905" xr:uid="{00000000-0005-0000-0000-00003C5A0000}"/>
    <cellStyle name="Standard 4 3 4 2 2 3 2 2 3 3" xfId="22906" xr:uid="{00000000-0005-0000-0000-00003D5A0000}"/>
    <cellStyle name="Standard 4 3 4 2 2 3 2 2 4" xfId="22907" xr:uid="{00000000-0005-0000-0000-00003E5A0000}"/>
    <cellStyle name="Standard 4 3 4 2 2 3 2 2 4 2" xfId="22908" xr:uid="{00000000-0005-0000-0000-00003F5A0000}"/>
    <cellStyle name="Standard 4 3 4 2 2 3 2 2 5" xfId="22909" xr:uid="{00000000-0005-0000-0000-0000405A0000}"/>
    <cellStyle name="Standard 4 3 4 2 2 3 2 2 6" xfId="22910" xr:uid="{00000000-0005-0000-0000-0000415A0000}"/>
    <cellStyle name="Standard 4 3 4 2 2 3 2 3" xfId="22911" xr:uid="{00000000-0005-0000-0000-0000425A0000}"/>
    <cellStyle name="Standard 4 3 4 2 2 3 2 3 2" xfId="22912" xr:uid="{00000000-0005-0000-0000-0000435A0000}"/>
    <cellStyle name="Standard 4 3 4 2 2 3 2 3 3" xfId="22913" xr:uid="{00000000-0005-0000-0000-0000445A0000}"/>
    <cellStyle name="Standard 4 3 4 2 2 3 2 4" xfId="22914" xr:uid="{00000000-0005-0000-0000-0000455A0000}"/>
    <cellStyle name="Standard 4 3 4 2 2 3 2 4 2" xfId="22915" xr:uid="{00000000-0005-0000-0000-0000465A0000}"/>
    <cellStyle name="Standard 4 3 4 2 2 3 2 4 3" xfId="22916" xr:uid="{00000000-0005-0000-0000-0000475A0000}"/>
    <cellStyle name="Standard 4 3 4 2 2 3 2 5" xfId="22917" xr:uid="{00000000-0005-0000-0000-0000485A0000}"/>
    <cellStyle name="Standard 4 3 4 2 2 3 2 5 2" xfId="22918" xr:uid="{00000000-0005-0000-0000-0000495A0000}"/>
    <cellStyle name="Standard 4 3 4 2 2 3 2 6" xfId="22919" xr:uid="{00000000-0005-0000-0000-00004A5A0000}"/>
    <cellStyle name="Standard 4 3 4 2 2 3 2 7" xfId="22920" xr:uid="{00000000-0005-0000-0000-00004B5A0000}"/>
    <cellStyle name="Standard 4 3 4 2 2 3 3" xfId="22921" xr:uid="{00000000-0005-0000-0000-00004C5A0000}"/>
    <cellStyle name="Standard 4 3 4 2 2 3 3 2" xfId="22922" xr:uid="{00000000-0005-0000-0000-00004D5A0000}"/>
    <cellStyle name="Standard 4 3 4 2 2 3 3 2 2" xfId="22923" xr:uid="{00000000-0005-0000-0000-00004E5A0000}"/>
    <cellStyle name="Standard 4 3 4 2 2 3 3 2 3" xfId="22924" xr:uid="{00000000-0005-0000-0000-00004F5A0000}"/>
    <cellStyle name="Standard 4 3 4 2 2 3 3 3" xfId="22925" xr:uid="{00000000-0005-0000-0000-0000505A0000}"/>
    <cellStyle name="Standard 4 3 4 2 2 3 3 3 2" xfId="22926" xr:uid="{00000000-0005-0000-0000-0000515A0000}"/>
    <cellStyle name="Standard 4 3 4 2 2 3 3 3 3" xfId="22927" xr:uid="{00000000-0005-0000-0000-0000525A0000}"/>
    <cellStyle name="Standard 4 3 4 2 2 3 3 4" xfId="22928" xr:uid="{00000000-0005-0000-0000-0000535A0000}"/>
    <cellStyle name="Standard 4 3 4 2 2 3 3 4 2" xfId="22929" xr:uid="{00000000-0005-0000-0000-0000545A0000}"/>
    <cellStyle name="Standard 4 3 4 2 2 3 3 5" xfId="22930" xr:uid="{00000000-0005-0000-0000-0000555A0000}"/>
    <cellStyle name="Standard 4 3 4 2 2 3 3 6" xfId="22931" xr:uid="{00000000-0005-0000-0000-0000565A0000}"/>
    <cellStyle name="Standard 4 3 4 2 2 3 4" xfId="22932" xr:uid="{00000000-0005-0000-0000-0000575A0000}"/>
    <cellStyle name="Standard 4 3 4 2 2 3 4 2" xfId="22933" xr:uid="{00000000-0005-0000-0000-0000585A0000}"/>
    <cellStyle name="Standard 4 3 4 2 2 3 4 3" xfId="22934" xr:uid="{00000000-0005-0000-0000-0000595A0000}"/>
    <cellStyle name="Standard 4 3 4 2 2 3 5" xfId="22935" xr:uid="{00000000-0005-0000-0000-00005A5A0000}"/>
    <cellStyle name="Standard 4 3 4 2 2 3 5 2" xfId="22936" xr:uid="{00000000-0005-0000-0000-00005B5A0000}"/>
    <cellStyle name="Standard 4 3 4 2 2 3 5 3" xfId="22937" xr:uid="{00000000-0005-0000-0000-00005C5A0000}"/>
    <cellStyle name="Standard 4 3 4 2 2 3 6" xfId="22938" xr:uid="{00000000-0005-0000-0000-00005D5A0000}"/>
    <cellStyle name="Standard 4 3 4 2 2 3 6 2" xfId="22939" xr:uid="{00000000-0005-0000-0000-00005E5A0000}"/>
    <cellStyle name="Standard 4 3 4 2 2 3 7" xfId="22940" xr:uid="{00000000-0005-0000-0000-00005F5A0000}"/>
    <cellStyle name="Standard 4 3 4 2 2 3 8" xfId="22941" xr:uid="{00000000-0005-0000-0000-0000605A0000}"/>
    <cellStyle name="Standard 4 3 4 2 2 4" xfId="22942" xr:uid="{00000000-0005-0000-0000-0000615A0000}"/>
    <cellStyle name="Standard 4 3 4 2 2 4 2" xfId="22943" xr:uid="{00000000-0005-0000-0000-0000625A0000}"/>
    <cellStyle name="Standard 4 3 4 2 2 4 2 2" xfId="22944" xr:uid="{00000000-0005-0000-0000-0000635A0000}"/>
    <cellStyle name="Standard 4 3 4 2 2 4 2 2 2" xfId="22945" xr:uid="{00000000-0005-0000-0000-0000645A0000}"/>
    <cellStyle name="Standard 4 3 4 2 2 4 2 2 3" xfId="22946" xr:uid="{00000000-0005-0000-0000-0000655A0000}"/>
    <cellStyle name="Standard 4 3 4 2 2 4 2 3" xfId="22947" xr:uid="{00000000-0005-0000-0000-0000665A0000}"/>
    <cellStyle name="Standard 4 3 4 2 2 4 2 3 2" xfId="22948" xr:uid="{00000000-0005-0000-0000-0000675A0000}"/>
    <cellStyle name="Standard 4 3 4 2 2 4 2 3 3" xfId="22949" xr:uid="{00000000-0005-0000-0000-0000685A0000}"/>
    <cellStyle name="Standard 4 3 4 2 2 4 2 4" xfId="22950" xr:uid="{00000000-0005-0000-0000-0000695A0000}"/>
    <cellStyle name="Standard 4 3 4 2 2 4 2 4 2" xfId="22951" xr:uid="{00000000-0005-0000-0000-00006A5A0000}"/>
    <cellStyle name="Standard 4 3 4 2 2 4 2 5" xfId="22952" xr:uid="{00000000-0005-0000-0000-00006B5A0000}"/>
    <cellStyle name="Standard 4 3 4 2 2 4 2 6" xfId="22953" xr:uid="{00000000-0005-0000-0000-00006C5A0000}"/>
    <cellStyle name="Standard 4 3 4 2 2 4 3" xfId="22954" xr:uid="{00000000-0005-0000-0000-00006D5A0000}"/>
    <cellStyle name="Standard 4 3 4 2 2 4 3 2" xfId="22955" xr:uid="{00000000-0005-0000-0000-00006E5A0000}"/>
    <cellStyle name="Standard 4 3 4 2 2 4 3 3" xfId="22956" xr:uid="{00000000-0005-0000-0000-00006F5A0000}"/>
    <cellStyle name="Standard 4 3 4 2 2 4 4" xfId="22957" xr:uid="{00000000-0005-0000-0000-0000705A0000}"/>
    <cellStyle name="Standard 4 3 4 2 2 4 4 2" xfId="22958" xr:uid="{00000000-0005-0000-0000-0000715A0000}"/>
    <cellStyle name="Standard 4 3 4 2 2 4 4 3" xfId="22959" xr:uid="{00000000-0005-0000-0000-0000725A0000}"/>
    <cellStyle name="Standard 4 3 4 2 2 4 5" xfId="22960" xr:uid="{00000000-0005-0000-0000-0000735A0000}"/>
    <cellStyle name="Standard 4 3 4 2 2 4 5 2" xfId="22961" xr:uid="{00000000-0005-0000-0000-0000745A0000}"/>
    <cellStyle name="Standard 4 3 4 2 2 4 6" xfId="22962" xr:uid="{00000000-0005-0000-0000-0000755A0000}"/>
    <cellStyle name="Standard 4 3 4 2 2 4 7" xfId="22963" xr:uid="{00000000-0005-0000-0000-0000765A0000}"/>
    <cellStyle name="Standard 4 3 4 2 2 5" xfId="22964" xr:uid="{00000000-0005-0000-0000-0000775A0000}"/>
    <cellStyle name="Standard 4 3 4 2 2 5 2" xfId="22965" xr:uid="{00000000-0005-0000-0000-0000785A0000}"/>
    <cellStyle name="Standard 4 3 4 2 2 5 2 2" xfId="22966" xr:uid="{00000000-0005-0000-0000-0000795A0000}"/>
    <cellStyle name="Standard 4 3 4 2 2 5 2 3" xfId="22967" xr:uid="{00000000-0005-0000-0000-00007A5A0000}"/>
    <cellStyle name="Standard 4 3 4 2 2 5 3" xfId="22968" xr:uid="{00000000-0005-0000-0000-00007B5A0000}"/>
    <cellStyle name="Standard 4 3 4 2 2 5 3 2" xfId="22969" xr:uid="{00000000-0005-0000-0000-00007C5A0000}"/>
    <cellStyle name="Standard 4 3 4 2 2 5 3 3" xfId="22970" xr:uid="{00000000-0005-0000-0000-00007D5A0000}"/>
    <cellStyle name="Standard 4 3 4 2 2 5 4" xfId="22971" xr:uid="{00000000-0005-0000-0000-00007E5A0000}"/>
    <cellStyle name="Standard 4 3 4 2 2 5 4 2" xfId="22972" xr:uid="{00000000-0005-0000-0000-00007F5A0000}"/>
    <cellStyle name="Standard 4 3 4 2 2 5 5" xfId="22973" xr:uid="{00000000-0005-0000-0000-0000805A0000}"/>
    <cellStyle name="Standard 4 3 4 2 2 5 6" xfId="22974" xr:uid="{00000000-0005-0000-0000-0000815A0000}"/>
    <cellStyle name="Standard 4 3 4 2 2 6" xfId="22975" xr:uid="{00000000-0005-0000-0000-0000825A0000}"/>
    <cellStyle name="Standard 4 3 4 2 2 6 2" xfId="22976" xr:uid="{00000000-0005-0000-0000-0000835A0000}"/>
    <cellStyle name="Standard 4 3 4 2 2 6 3" xfId="22977" xr:uid="{00000000-0005-0000-0000-0000845A0000}"/>
    <cellStyle name="Standard 4 3 4 2 2 7" xfId="22978" xr:uid="{00000000-0005-0000-0000-0000855A0000}"/>
    <cellStyle name="Standard 4 3 4 2 2 7 2" xfId="22979" xr:uid="{00000000-0005-0000-0000-0000865A0000}"/>
    <cellStyle name="Standard 4 3 4 2 2 7 3" xfId="22980" xr:uid="{00000000-0005-0000-0000-0000875A0000}"/>
    <cellStyle name="Standard 4 3 4 2 2 8" xfId="22981" xr:uid="{00000000-0005-0000-0000-0000885A0000}"/>
    <cellStyle name="Standard 4 3 4 2 2 8 2" xfId="22982" xr:uid="{00000000-0005-0000-0000-0000895A0000}"/>
    <cellStyle name="Standard 4 3 4 2 2 9" xfId="22983" xr:uid="{00000000-0005-0000-0000-00008A5A0000}"/>
    <cellStyle name="Standard 4 3 4 2 3" xfId="22984" xr:uid="{00000000-0005-0000-0000-00008B5A0000}"/>
    <cellStyle name="Standard 4 3 4 2 3 2" xfId="22985" xr:uid="{00000000-0005-0000-0000-00008C5A0000}"/>
    <cellStyle name="Standard 4 3 4 2 3 2 2" xfId="22986" xr:uid="{00000000-0005-0000-0000-00008D5A0000}"/>
    <cellStyle name="Standard 4 3 4 2 3 2 2 2" xfId="22987" xr:uid="{00000000-0005-0000-0000-00008E5A0000}"/>
    <cellStyle name="Standard 4 3 4 2 3 2 2 2 2" xfId="22988" xr:uid="{00000000-0005-0000-0000-00008F5A0000}"/>
    <cellStyle name="Standard 4 3 4 2 3 2 2 2 3" xfId="22989" xr:uid="{00000000-0005-0000-0000-0000905A0000}"/>
    <cellStyle name="Standard 4 3 4 2 3 2 2 3" xfId="22990" xr:uid="{00000000-0005-0000-0000-0000915A0000}"/>
    <cellStyle name="Standard 4 3 4 2 3 2 2 3 2" xfId="22991" xr:uid="{00000000-0005-0000-0000-0000925A0000}"/>
    <cellStyle name="Standard 4 3 4 2 3 2 2 3 3" xfId="22992" xr:uid="{00000000-0005-0000-0000-0000935A0000}"/>
    <cellStyle name="Standard 4 3 4 2 3 2 2 4" xfId="22993" xr:uid="{00000000-0005-0000-0000-0000945A0000}"/>
    <cellStyle name="Standard 4 3 4 2 3 2 2 4 2" xfId="22994" xr:uid="{00000000-0005-0000-0000-0000955A0000}"/>
    <cellStyle name="Standard 4 3 4 2 3 2 2 5" xfId="22995" xr:uid="{00000000-0005-0000-0000-0000965A0000}"/>
    <cellStyle name="Standard 4 3 4 2 3 2 2 6" xfId="22996" xr:uid="{00000000-0005-0000-0000-0000975A0000}"/>
    <cellStyle name="Standard 4 3 4 2 3 2 3" xfId="22997" xr:uid="{00000000-0005-0000-0000-0000985A0000}"/>
    <cellStyle name="Standard 4 3 4 2 3 2 3 2" xfId="22998" xr:uid="{00000000-0005-0000-0000-0000995A0000}"/>
    <cellStyle name="Standard 4 3 4 2 3 2 3 3" xfId="22999" xr:uid="{00000000-0005-0000-0000-00009A5A0000}"/>
    <cellStyle name="Standard 4 3 4 2 3 2 4" xfId="23000" xr:uid="{00000000-0005-0000-0000-00009B5A0000}"/>
    <cellStyle name="Standard 4 3 4 2 3 2 4 2" xfId="23001" xr:uid="{00000000-0005-0000-0000-00009C5A0000}"/>
    <cellStyle name="Standard 4 3 4 2 3 2 4 3" xfId="23002" xr:uid="{00000000-0005-0000-0000-00009D5A0000}"/>
    <cellStyle name="Standard 4 3 4 2 3 2 5" xfId="23003" xr:uid="{00000000-0005-0000-0000-00009E5A0000}"/>
    <cellStyle name="Standard 4 3 4 2 3 2 5 2" xfId="23004" xr:uid="{00000000-0005-0000-0000-00009F5A0000}"/>
    <cellStyle name="Standard 4 3 4 2 3 2 6" xfId="23005" xr:uid="{00000000-0005-0000-0000-0000A05A0000}"/>
    <cellStyle name="Standard 4 3 4 2 3 2 7" xfId="23006" xr:uid="{00000000-0005-0000-0000-0000A15A0000}"/>
    <cellStyle name="Standard 4 3 4 2 3 3" xfId="23007" xr:uid="{00000000-0005-0000-0000-0000A25A0000}"/>
    <cellStyle name="Standard 4 3 4 2 3 3 2" xfId="23008" xr:uid="{00000000-0005-0000-0000-0000A35A0000}"/>
    <cellStyle name="Standard 4 3 4 2 3 3 2 2" xfId="23009" xr:uid="{00000000-0005-0000-0000-0000A45A0000}"/>
    <cellStyle name="Standard 4 3 4 2 3 3 2 3" xfId="23010" xr:uid="{00000000-0005-0000-0000-0000A55A0000}"/>
    <cellStyle name="Standard 4 3 4 2 3 3 3" xfId="23011" xr:uid="{00000000-0005-0000-0000-0000A65A0000}"/>
    <cellStyle name="Standard 4 3 4 2 3 3 3 2" xfId="23012" xr:uid="{00000000-0005-0000-0000-0000A75A0000}"/>
    <cellStyle name="Standard 4 3 4 2 3 3 3 3" xfId="23013" xr:uid="{00000000-0005-0000-0000-0000A85A0000}"/>
    <cellStyle name="Standard 4 3 4 2 3 3 4" xfId="23014" xr:uid="{00000000-0005-0000-0000-0000A95A0000}"/>
    <cellStyle name="Standard 4 3 4 2 3 3 4 2" xfId="23015" xr:uid="{00000000-0005-0000-0000-0000AA5A0000}"/>
    <cellStyle name="Standard 4 3 4 2 3 3 5" xfId="23016" xr:uid="{00000000-0005-0000-0000-0000AB5A0000}"/>
    <cellStyle name="Standard 4 3 4 2 3 3 6" xfId="23017" xr:uid="{00000000-0005-0000-0000-0000AC5A0000}"/>
    <cellStyle name="Standard 4 3 4 2 3 4" xfId="23018" xr:uid="{00000000-0005-0000-0000-0000AD5A0000}"/>
    <cellStyle name="Standard 4 3 4 2 3 4 2" xfId="23019" xr:uid="{00000000-0005-0000-0000-0000AE5A0000}"/>
    <cellStyle name="Standard 4 3 4 2 3 4 3" xfId="23020" xr:uid="{00000000-0005-0000-0000-0000AF5A0000}"/>
    <cellStyle name="Standard 4 3 4 2 3 5" xfId="23021" xr:uid="{00000000-0005-0000-0000-0000B05A0000}"/>
    <cellStyle name="Standard 4 3 4 2 3 5 2" xfId="23022" xr:uid="{00000000-0005-0000-0000-0000B15A0000}"/>
    <cellStyle name="Standard 4 3 4 2 3 5 3" xfId="23023" xr:uid="{00000000-0005-0000-0000-0000B25A0000}"/>
    <cellStyle name="Standard 4 3 4 2 3 6" xfId="23024" xr:uid="{00000000-0005-0000-0000-0000B35A0000}"/>
    <cellStyle name="Standard 4 3 4 2 3 6 2" xfId="23025" xr:uid="{00000000-0005-0000-0000-0000B45A0000}"/>
    <cellStyle name="Standard 4 3 4 2 3 7" xfId="23026" xr:uid="{00000000-0005-0000-0000-0000B55A0000}"/>
    <cellStyle name="Standard 4 3 4 2 3 8" xfId="23027" xr:uid="{00000000-0005-0000-0000-0000B65A0000}"/>
    <cellStyle name="Standard 4 3 4 2 4" xfId="23028" xr:uid="{00000000-0005-0000-0000-0000B75A0000}"/>
    <cellStyle name="Standard 4 3 4 2 4 2" xfId="23029" xr:uid="{00000000-0005-0000-0000-0000B85A0000}"/>
    <cellStyle name="Standard 4 3 4 2 4 2 2" xfId="23030" xr:uid="{00000000-0005-0000-0000-0000B95A0000}"/>
    <cellStyle name="Standard 4 3 4 2 4 2 2 2" xfId="23031" xr:uid="{00000000-0005-0000-0000-0000BA5A0000}"/>
    <cellStyle name="Standard 4 3 4 2 4 2 2 2 2" xfId="23032" xr:uid="{00000000-0005-0000-0000-0000BB5A0000}"/>
    <cellStyle name="Standard 4 3 4 2 4 2 2 2 3" xfId="23033" xr:uid="{00000000-0005-0000-0000-0000BC5A0000}"/>
    <cellStyle name="Standard 4 3 4 2 4 2 2 3" xfId="23034" xr:uid="{00000000-0005-0000-0000-0000BD5A0000}"/>
    <cellStyle name="Standard 4 3 4 2 4 2 2 3 2" xfId="23035" xr:uid="{00000000-0005-0000-0000-0000BE5A0000}"/>
    <cellStyle name="Standard 4 3 4 2 4 2 2 3 3" xfId="23036" xr:uid="{00000000-0005-0000-0000-0000BF5A0000}"/>
    <cellStyle name="Standard 4 3 4 2 4 2 2 4" xfId="23037" xr:uid="{00000000-0005-0000-0000-0000C05A0000}"/>
    <cellStyle name="Standard 4 3 4 2 4 2 2 4 2" xfId="23038" xr:uid="{00000000-0005-0000-0000-0000C15A0000}"/>
    <cellStyle name="Standard 4 3 4 2 4 2 2 5" xfId="23039" xr:uid="{00000000-0005-0000-0000-0000C25A0000}"/>
    <cellStyle name="Standard 4 3 4 2 4 2 2 6" xfId="23040" xr:uid="{00000000-0005-0000-0000-0000C35A0000}"/>
    <cellStyle name="Standard 4 3 4 2 4 2 3" xfId="23041" xr:uid="{00000000-0005-0000-0000-0000C45A0000}"/>
    <cellStyle name="Standard 4 3 4 2 4 2 3 2" xfId="23042" xr:uid="{00000000-0005-0000-0000-0000C55A0000}"/>
    <cellStyle name="Standard 4 3 4 2 4 2 3 3" xfId="23043" xr:uid="{00000000-0005-0000-0000-0000C65A0000}"/>
    <cellStyle name="Standard 4 3 4 2 4 2 4" xfId="23044" xr:uid="{00000000-0005-0000-0000-0000C75A0000}"/>
    <cellStyle name="Standard 4 3 4 2 4 2 4 2" xfId="23045" xr:uid="{00000000-0005-0000-0000-0000C85A0000}"/>
    <cellStyle name="Standard 4 3 4 2 4 2 4 3" xfId="23046" xr:uid="{00000000-0005-0000-0000-0000C95A0000}"/>
    <cellStyle name="Standard 4 3 4 2 4 2 5" xfId="23047" xr:uid="{00000000-0005-0000-0000-0000CA5A0000}"/>
    <cellStyle name="Standard 4 3 4 2 4 2 5 2" xfId="23048" xr:uid="{00000000-0005-0000-0000-0000CB5A0000}"/>
    <cellStyle name="Standard 4 3 4 2 4 2 6" xfId="23049" xr:uid="{00000000-0005-0000-0000-0000CC5A0000}"/>
    <cellStyle name="Standard 4 3 4 2 4 2 7" xfId="23050" xr:uid="{00000000-0005-0000-0000-0000CD5A0000}"/>
    <cellStyle name="Standard 4 3 4 2 4 3" xfId="23051" xr:uid="{00000000-0005-0000-0000-0000CE5A0000}"/>
    <cellStyle name="Standard 4 3 4 2 4 3 2" xfId="23052" xr:uid="{00000000-0005-0000-0000-0000CF5A0000}"/>
    <cellStyle name="Standard 4 3 4 2 4 3 2 2" xfId="23053" xr:uid="{00000000-0005-0000-0000-0000D05A0000}"/>
    <cellStyle name="Standard 4 3 4 2 4 3 2 3" xfId="23054" xr:uid="{00000000-0005-0000-0000-0000D15A0000}"/>
    <cellStyle name="Standard 4 3 4 2 4 3 3" xfId="23055" xr:uid="{00000000-0005-0000-0000-0000D25A0000}"/>
    <cellStyle name="Standard 4 3 4 2 4 3 3 2" xfId="23056" xr:uid="{00000000-0005-0000-0000-0000D35A0000}"/>
    <cellStyle name="Standard 4 3 4 2 4 3 3 3" xfId="23057" xr:uid="{00000000-0005-0000-0000-0000D45A0000}"/>
    <cellStyle name="Standard 4 3 4 2 4 3 4" xfId="23058" xr:uid="{00000000-0005-0000-0000-0000D55A0000}"/>
    <cellStyle name="Standard 4 3 4 2 4 3 4 2" xfId="23059" xr:uid="{00000000-0005-0000-0000-0000D65A0000}"/>
    <cellStyle name="Standard 4 3 4 2 4 3 5" xfId="23060" xr:uid="{00000000-0005-0000-0000-0000D75A0000}"/>
    <cellStyle name="Standard 4 3 4 2 4 3 6" xfId="23061" xr:uid="{00000000-0005-0000-0000-0000D85A0000}"/>
    <cellStyle name="Standard 4 3 4 2 4 4" xfId="23062" xr:uid="{00000000-0005-0000-0000-0000D95A0000}"/>
    <cellStyle name="Standard 4 3 4 2 4 4 2" xfId="23063" xr:uid="{00000000-0005-0000-0000-0000DA5A0000}"/>
    <cellStyle name="Standard 4 3 4 2 4 4 3" xfId="23064" xr:uid="{00000000-0005-0000-0000-0000DB5A0000}"/>
    <cellStyle name="Standard 4 3 4 2 4 5" xfId="23065" xr:uid="{00000000-0005-0000-0000-0000DC5A0000}"/>
    <cellStyle name="Standard 4 3 4 2 4 5 2" xfId="23066" xr:uid="{00000000-0005-0000-0000-0000DD5A0000}"/>
    <cellStyle name="Standard 4 3 4 2 4 5 3" xfId="23067" xr:uid="{00000000-0005-0000-0000-0000DE5A0000}"/>
    <cellStyle name="Standard 4 3 4 2 4 6" xfId="23068" xr:uid="{00000000-0005-0000-0000-0000DF5A0000}"/>
    <cellStyle name="Standard 4 3 4 2 4 6 2" xfId="23069" xr:uid="{00000000-0005-0000-0000-0000E05A0000}"/>
    <cellStyle name="Standard 4 3 4 2 4 7" xfId="23070" xr:uid="{00000000-0005-0000-0000-0000E15A0000}"/>
    <cellStyle name="Standard 4 3 4 2 4 8" xfId="23071" xr:uid="{00000000-0005-0000-0000-0000E25A0000}"/>
    <cellStyle name="Standard 4 3 4 2 5" xfId="23072" xr:uid="{00000000-0005-0000-0000-0000E35A0000}"/>
    <cellStyle name="Standard 4 3 4 2 5 2" xfId="23073" xr:uid="{00000000-0005-0000-0000-0000E45A0000}"/>
    <cellStyle name="Standard 4 3 4 2 5 2 2" xfId="23074" xr:uid="{00000000-0005-0000-0000-0000E55A0000}"/>
    <cellStyle name="Standard 4 3 4 2 5 2 2 2" xfId="23075" xr:uid="{00000000-0005-0000-0000-0000E65A0000}"/>
    <cellStyle name="Standard 4 3 4 2 5 2 2 3" xfId="23076" xr:uid="{00000000-0005-0000-0000-0000E75A0000}"/>
    <cellStyle name="Standard 4 3 4 2 5 2 3" xfId="23077" xr:uid="{00000000-0005-0000-0000-0000E85A0000}"/>
    <cellStyle name="Standard 4 3 4 2 5 2 3 2" xfId="23078" xr:uid="{00000000-0005-0000-0000-0000E95A0000}"/>
    <cellStyle name="Standard 4 3 4 2 5 2 3 3" xfId="23079" xr:uid="{00000000-0005-0000-0000-0000EA5A0000}"/>
    <cellStyle name="Standard 4 3 4 2 5 2 4" xfId="23080" xr:uid="{00000000-0005-0000-0000-0000EB5A0000}"/>
    <cellStyle name="Standard 4 3 4 2 5 2 4 2" xfId="23081" xr:uid="{00000000-0005-0000-0000-0000EC5A0000}"/>
    <cellStyle name="Standard 4 3 4 2 5 2 5" xfId="23082" xr:uid="{00000000-0005-0000-0000-0000ED5A0000}"/>
    <cellStyle name="Standard 4 3 4 2 5 2 6" xfId="23083" xr:uid="{00000000-0005-0000-0000-0000EE5A0000}"/>
    <cellStyle name="Standard 4 3 4 2 5 3" xfId="23084" xr:uid="{00000000-0005-0000-0000-0000EF5A0000}"/>
    <cellStyle name="Standard 4 3 4 2 5 3 2" xfId="23085" xr:uid="{00000000-0005-0000-0000-0000F05A0000}"/>
    <cellStyle name="Standard 4 3 4 2 5 3 3" xfId="23086" xr:uid="{00000000-0005-0000-0000-0000F15A0000}"/>
    <cellStyle name="Standard 4 3 4 2 5 4" xfId="23087" xr:uid="{00000000-0005-0000-0000-0000F25A0000}"/>
    <cellStyle name="Standard 4 3 4 2 5 4 2" xfId="23088" xr:uid="{00000000-0005-0000-0000-0000F35A0000}"/>
    <cellStyle name="Standard 4 3 4 2 5 4 3" xfId="23089" xr:uid="{00000000-0005-0000-0000-0000F45A0000}"/>
    <cellStyle name="Standard 4 3 4 2 5 5" xfId="23090" xr:uid="{00000000-0005-0000-0000-0000F55A0000}"/>
    <cellStyle name="Standard 4 3 4 2 5 5 2" xfId="23091" xr:uid="{00000000-0005-0000-0000-0000F65A0000}"/>
    <cellStyle name="Standard 4 3 4 2 5 6" xfId="23092" xr:uid="{00000000-0005-0000-0000-0000F75A0000}"/>
    <cellStyle name="Standard 4 3 4 2 5 7" xfId="23093" xr:uid="{00000000-0005-0000-0000-0000F85A0000}"/>
    <cellStyle name="Standard 4 3 4 2 6" xfId="23094" xr:uid="{00000000-0005-0000-0000-0000F95A0000}"/>
    <cellStyle name="Standard 4 3 4 2 6 2" xfId="23095" xr:uid="{00000000-0005-0000-0000-0000FA5A0000}"/>
    <cellStyle name="Standard 4 3 4 2 6 2 2" xfId="23096" xr:uid="{00000000-0005-0000-0000-0000FB5A0000}"/>
    <cellStyle name="Standard 4 3 4 2 6 2 3" xfId="23097" xr:uid="{00000000-0005-0000-0000-0000FC5A0000}"/>
    <cellStyle name="Standard 4 3 4 2 6 3" xfId="23098" xr:uid="{00000000-0005-0000-0000-0000FD5A0000}"/>
    <cellStyle name="Standard 4 3 4 2 6 3 2" xfId="23099" xr:uid="{00000000-0005-0000-0000-0000FE5A0000}"/>
    <cellStyle name="Standard 4 3 4 2 6 3 3" xfId="23100" xr:uid="{00000000-0005-0000-0000-0000FF5A0000}"/>
    <cellStyle name="Standard 4 3 4 2 6 4" xfId="23101" xr:uid="{00000000-0005-0000-0000-0000005B0000}"/>
    <cellStyle name="Standard 4 3 4 2 6 4 2" xfId="23102" xr:uid="{00000000-0005-0000-0000-0000015B0000}"/>
    <cellStyle name="Standard 4 3 4 2 6 5" xfId="23103" xr:uid="{00000000-0005-0000-0000-0000025B0000}"/>
    <cellStyle name="Standard 4 3 4 2 6 6" xfId="23104" xr:uid="{00000000-0005-0000-0000-0000035B0000}"/>
    <cellStyle name="Standard 4 3 4 2 7" xfId="23105" xr:uid="{00000000-0005-0000-0000-0000045B0000}"/>
    <cellStyle name="Standard 4 3 4 2 7 2" xfId="23106" xr:uid="{00000000-0005-0000-0000-0000055B0000}"/>
    <cellStyle name="Standard 4 3 4 2 7 3" xfId="23107" xr:uid="{00000000-0005-0000-0000-0000065B0000}"/>
    <cellStyle name="Standard 4 3 4 2 8" xfId="23108" xr:uid="{00000000-0005-0000-0000-0000075B0000}"/>
    <cellStyle name="Standard 4 3 4 2 8 2" xfId="23109" xr:uid="{00000000-0005-0000-0000-0000085B0000}"/>
    <cellStyle name="Standard 4 3 4 2 8 3" xfId="23110" xr:uid="{00000000-0005-0000-0000-0000095B0000}"/>
    <cellStyle name="Standard 4 3 4 2 9" xfId="23111" xr:uid="{00000000-0005-0000-0000-00000A5B0000}"/>
    <cellStyle name="Standard 4 3 4 2 9 2" xfId="23112" xr:uid="{00000000-0005-0000-0000-00000B5B0000}"/>
    <cellStyle name="Standard 4 3 4 3" xfId="23113" xr:uid="{00000000-0005-0000-0000-00000C5B0000}"/>
    <cellStyle name="Standard 4 3 4 3 10" xfId="23114" xr:uid="{00000000-0005-0000-0000-00000D5B0000}"/>
    <cellStyle name="Standard 4 3 4 3 11" xfId="23115" xr:uid="{00000000-0005-0000-0000-00000E5B0000}"/>
    <cellStyle name="Standard 4 3 4 3 2" xfId="23116" xr:uid="{00000000-0005-0000-0000-00000F5B0000}"/>
    <cellStyle name="Standard 4 3 4 3 2 10" xfId="23117" xr:uid="{00000000-0005-0000-0000-0000105B0000}"/>
    <cellStyle name="Standard 4 3 4 3 2 2" xfId="23118" xr:uid="{00000000-0005-0000-0000-0000115B0000}"/>
    <cellStyle name="Standard 4 3 4 3 2 2 2" xfId="23119" xr:uid="{00000000-0005-0000-0000-0000125B0000}"/>
    <cellStyle name="Standard 4 3 4 3 2 2 2 2" xfId="23120" xr:uid="{00000000-0005-0000-0000-0000135B0000}"/>
    <cellStyle name="Standard 4 3 4 3 2 2 2 2 2" xfId="23121" xr:uid="{00000000-0005-0000-0000-0000145B0000}"/>
    <cellStyle name="Standard 4 3 4 3 2 2 2 2 2 2" xfId="23122" xr:uid="{00000000-0005-0000-0000-0000155B0000}"/>
    <cellStyle name="Standard 4 3 4 3 2 2 2 2 2 3" xfId="23123" xr:uid="{00000000-0005-0000-0000-0000165B0000}"/>
    <cellStyle name="Standard 4 3 4 3 2 2 2 2 3" xfId="23124" xr:uid="{00000000-0005-0000-0000-0000175B0000}"/>
    <cellStyle name="Standard 4 3 4 3 2 2 2 2 3 2" xfId="23125" xr:uid="{00000000-0005-0000-0000-0000185B0000}"/>
    <cellStyle name="Standard 4 3 4 3 2 2 2 2 3 3" xfId="23126" xr:uid="{00000000-0005-0000-0000-0000195B0000}"/>
    <cellStyle name="Standard 4 3 4 3 2 2 2 2 4" xfId="23127" xr:uid="{00000000-0005-0000-0000-00001A5B0000}"/>
    <cellStyle name="Standard 4 3 4 3 2 2 2 2 4 2" xfId="23128" xr:uid="{00000000-0005-0000-0000-00001B5B0000}"/>
    <cellStyle name="Standard 4 3 4 3 2 2 2 2 5" xfId="23129" xr:uid="{00000000-0005-0000-0000-00001C5B0000}"/>
    <cellStyle name="Standard 4 3 4 3 2 2 2 2 6" xfId="23130" xr:uid="{00000000-0005-0000-0000-00001D5B0000}"/>
    <cellStyle name="Standard 4 3 4 3 2 2 2 3" xfId="23131" xr:uid="{00000000-0005-0000-0000-00001E5B0000}"/>
    <cellStyle name="Standard 4 3 4 3 2 2 2 3 2" xfId="23132" xr:uid="{00000000-0005-0000-0000-00001F5B0000}"/>
    <cellStyle name="Standard 4 3 4 3 2 2 2 3 3" xfId="23133" xr:uid="{00000000-0005-0000-0000-0000205B0000}"/>
    <cellStyle name="Standard 4 3 4 3 2 2 2 4" xfId="23134" xr:uid="{00000000-0005-0000-0000-0000215B0000}"/>
    <cellStyle name="Standard 4 3 4 3 2 2 2 4 2" xfId="23135" xr:uid="{00000000-0005-0000-0000-0000225B0000}"/>
    <cellStyle name="Standard 4 3 4 3 2 2 2 4 3" xfId="23136" xr:uid="{00000000-0005-0000-0000-0000235B0000}"/>
    <cellStyle name="Standard 4 3 4 3 2 2 2 5" xfId="23137" xr:uid="{00000000-0005-0000-0000-0000245B0000}"/>
    <cellStyle name="Standard 4 3 4 3 2 2 2 5 2" xfId="23138" xr:uid="{00000000-0005-0000-0000-0000255B0000}"/>
    <cellStyle name="Standard 4 3 4 3 2 2 2 6" xfId="23139" xr:uid="{00000000-0005-0000-0000-0000265B0000}"/>
    <cellStyle name="Standard 4 3 4 3 2 2 2 7" xfId="23140" xr:uid="{00000000-0005-0000-0000-0000275B0000}"/>
    <cellStyle name="Standard 4 3 4 3 2 2 3" xfId="23141" xr:uid="{00000000-0005-0000-0000-0000285B0000}"/>
    <cellStyle name="Standard 4 3 4 3 2 2 3 2" xfId="23142" xr:uid="{00000000-0005-0000-0000-0000295B0000}"/>
    <cellStyle name="Standard 4 3 4 3 2 2 3 2 2" xfId="23143" xr:uid="{00000000-0005-0000-0000-00002A5B0000}"/>
    <cellStyle name="Standard 4 3 4 3 2 2 3 2 3" xfId="23144" xr:uid="{00000000-0005-0000-0000-00002B5B0000}"/>
    <cellStyle name="Standard 4 3 4 3 2 2 3 3" xfId="23145" xr:uid="{00000000-0005-0000-0000-00002C5B0000}"/>
    <cellStyle name="Standard 4 3 4 3 2 2 3 3 2" xfId="23146" xr:uid="{00000000-0005-0000-0000-00002D5B0000}"/>
    <cellStyle name="Standard 4 3 4 3 2 2 3 3 3" xfId="23147" xr:uid="{00000000-0005-0000-0000-00002E5B0000}"/>
    <cellStyle name="Standard 4 3 4 3 2 2 3 4" xfId="23148" xr:uid="{00000000-0005-0000-0000-00002F5B0000}"/>
    <cellStyle name="Standard 4 3 4 3 2 2 3 4 2" xfId="23149" xr:uid="{00000000-0005-0000-0000-0000305B0000}"/>
    <cellStyle name="Standard 4 3 4 3 2 2 3 5" xfId="23150" xr:uid="{00000000-0005-0000-0000-0000315B0000}"/>
    <cellStyle name="Standard 4 3 4 3 2 2 3 6" xfId="23151" xr:uid="{00000000-0005-0000-0000-0000325B0000}"/>
    <cellStyle name="Standard 4 3 4 3 2 2 4" xfId="23152" xr:uid="{00000000-0005-0000-0000-0000335B0000}"/>
    <cellStyle name="Standard 4 3 4 3 2 2 4 2" xfId="23153" xr:uid="{00000000-0005-0000-0000-0000345B0000}"/>
    <cellStyle name="Standard 4 3 4 3 2 2 4 3" xfId="23154" xr:uid="{00000000-0005-0000-0000-0000355B0000}"/>
    <cellStyle name="Standard 4 3 4 3 2 2 5" xfId="23155" xr:uid="{00000000-0005-0000-0000-0000365B0000}"/>
    <cellStyle name="Standard 4 3 4 3 2 2 5 2" xfId="23156" xr:uid="{00000000-0005-0000-0000-0000375B0000}"/>
    <cellStyle name="Standard 4 3 4 3 2 2 5 3" xfId="23157" xr:uid="{00000000-0005-0000-0000-0000385B0000}"/>
    <cellStyle name="Standard 4 3 4 3 2 2 6" xfId="23158" xr:uid="{00000000-0005-0000-0000-0000395B0000}"/>
    <cellStyle name="Standard 4 3 4 3 2 2 6 2" xfId="23159" xr:uid="{00000000-0005-0000-0000-00003A5B0000}"/>
    <cellStyle name="Standard 4 3 4 3 2 2 7" xfId="23160" xr:uid="{00000000-0005-0000-0000-00003B5B0000}"/>
    <cellStyle name="Standard 4 3 4 3 2 2 8" xfId="23161" xr:uid="{00000000-0005-0000-0000-00003C5B0000}"/>
    <cellStyle name="Standard 4 3 4 3 2 3" xfId="23162" xr:uid="{00000000-0005-0000-0000-00003D5B0000}"/>
    <cellStyle name="Standard 4 3 4 3 2 3 2" xfId="23163" xr:uid="{00000000-0005-0000-0000-00003E5B0000}"/>
    <cellStyle name="Standard 4 3 4 3 2 3 2 2" xfId="23164" xr:uid="{00000000-0005-0000-0000-00003F5B0000}"/>
    <cellStyle name="Standard 4 3 4 3 2 3 2 2 2" xfId="23165" xr:uid="{00000000-0005-0000-0000-0000405B0000}"/>
    <cellStyle name="Standard 4 3 4 3 2 3 2 2 2 2" xfId="23166" xr:uid="{00000000-0005-0000-0000-0000415B0000}"/>
    <cellStyle name="Standard 4 3 4 3 2 3 2 2 2 3" xfId="23167" xr:uid="{00000000-0005-0000-0000-0000425B0000}"/>
    <cellStyle name="Standard 4 3 4 3 2 3 2 2 3" xfId="23168" xr:uid="{00000000-0005-0000-0000-0000435B0000}"/>
    <cellStyle name="Standard 4 3 4 3 2 3 2 2 3 2" xfId="23169" xr:uid="{00000000-0005-0000-0000-0000445B0000}"/>
    <cellStyle name="Standard 4 3 4 3 2 3 2 2 3 3" xfId="23170" xr:uid="{00000000-0005-0000-0000-0000455B0000}"/>
    <cellStyle name="Standard 4 3 4 3 2 3 2 2 4" xfId="23171" xr:uid="{00000000-0005-0000-0000-0000465B0000}"/>
    <cellStyle name="Standard 4 3 4 3 2 3 2 2 4 2" xfId="23172" xr:uid="{00000000-0005-0000-0000-0000475B0000}"/>
    <cellStyle name="Standard 4 3 4 3 2 3 2 2 5" xfId="23173" xr:uid="{00000000-0005-0000-0000-0000485B0000}"/>
    <cellStyle name="Standard 4 3 4 3 2 3 2 2 6" xfId="23174" xr:uid="{00000000-0005-0000-0000-0000495B0000}"/>
    <cellStyle name="Standard 4 3 4 3 2 3 2 3" xfId="23175" xr:uid="{00000000-0005-0000-0000-00004A5B0000}"/>
    <cellStyle name="Standard 4 3 4 3 2 3 2 3 2" xfId="23176" xr:uid="{00000000-0005-0000-0000-00004B5B0000}"/>
    <cellStyle name="Standard 4 3 4 3 2 3 2 3 3" xfId="23177" xr:uid="{00000000-0005-0000-0000-00004C5B0000}"/>
    <cellStyle name="Standard 4 3 4 3 2 3 2 4" xfId="23178" xr:uid="{00000000-0005-0000-0000-00004D5B0000}"/>
    <cellStyle name="Standard 4 3 4 3 2 3 2 4 2" xfId="23179" xr:uid="{00000000-0005-0000-0000-00004E5B0000}"/>
    <cellStyle name="Standard 4 3 4 3 2 3 2 4 3" xfId="23180" xr:uid="{00000000-0005-0000-0000-00004F5B0000}"/>
    <cellStyle name="Standard 4 3 4 3 2 3 2 5" xfId="23181" xr:uid="{00000000-0005-0000-0000-0000505B0000}"/>
    <cellStyle name="Standard 4 3 4 3 2 3 2 5 2" xfId="23182" xr:uid="{00000000-0005-0000-0000-0000515B0000}"/>
    <cellStyle name="Standard 4 3 4 3 2 3 2 6" xfId="23183" xr:uid="{00000000-0005-0000-0000-0000525B0000}"/>
    <cellStyle name="Standard 4 3 4 3 2 3 2 7" xfId="23184" xr:uid="{00000000-0005-0000-0000-0000535B0000}"/>
    <cellStyle name="Standard 4 3 4 3 2 3 3" xfId="23185" xr:uid="{00000000-0005-0000-0000-0000545B0000}"/>
    <cellStyle name="Standard 4 3 4 3 2 3 3 2" xfId="23186" xr:uid="{00000000-0005-0000-0000-0000555B0000}"/>
    <cellStyle name="Standard 4 3 4 3 2 3 3 2 2" xfId="23187" xr:uid="{00000000-0005-0000-0000-0000565B0000}"/>
    <cellStyle name="Standard 4 3 4 3 2 3 3 2 3" xfId="23188" xr:uid="{00000000-0005-0000-0000-0000575B0000}"/>
    <cellStyle name="Standard 4 3 4 3 2 3 3 3" xfId="23189" xr:uid="{00000000-0005-0000-0000-0000585B0000}"/>
    <cellStyle name="Standard 4 3 4 3 2 3 3 3 2" xfId="23190" xr:uid="{00000000-0005-0000-0000-0000595B0000}"/>
    <cellStyle name="Standard 4 3 4 3 2 3 3 3 3" xfId="23191" xr:uid="{00000000-0005-0000-0000-00005A5B0000}"/>
    <cellStyle name="Standard 4 3 4 3 2 3 3 4" xfId="23192" xr:uid="{00000000-0005-0000-0000-00005B5B0000}"/>
    <cellStyle name="Standard 4 3 4 3 2 3 3 4 2" xfId="23193" xr:uid="{00000000-0005-0000-0000-00005C5B0000}"/>
    <cellStyle name="Standard 4 3 4 3 2 3 3 5" xfId="23194" xr:uid="{00000000-0005-0000-0000-00005D5B0000}"/>
    <cellStyle name="Standard 4 3 4 3 2 3 3 6" xfId="23195" xr:uid="{00000000-0005-0000-0000-00005E5B0000}"/>
    <cellStyle name="Standard 4 3 4 3 2 3 4" xfId="23196" xr:uid="{00000000-0005-0000-0000-00005F5B0000}"/>
    <cellStyle name="Standard 4 3 4 3 2 3 4 2" xfId="23197" xr:uid="{00000000-0005-0000-0000-0000605B0000}"/>
    <cellStyle name="Standard 4 3 4 3 2 3 4 3" xfId="23198" xr:uid="{00000000-0005-0000-0000-0000615B0000}"/>
    <cellStyle name="Standard 4 3 4 3 2 3 5" xfId="23199" xr:uid="{00000000-0005-0000-0000-0000625B0000}"/>
    <cellStyle name="Standard 4 3 4 3 2 3 5 2" xfId="23200" xr:uid="{00000000-0005-0000-0000-0000635B0000}"/>
    <cellStyle name="Standard 4 3 4 3 2 3 5 3" xfId="23201" xr:uid="{00000000-0005-0000-0000-0000645B0000}"/>
    <cellStyle name="Standard 4 3 4 3 2 3 6" xfId="23202" xr:uid="{00000000-0005-0000-0000-0000655B0000}"/>
    <cellStyle name="Standard 4 3 4 3 2 3 6 2" xfId="23203" xr:uid="{00000000-0005-0000-0000-0000665B0000}"/>
    <cellStyle name="Standard 4 3 4 3 2 3 7" xfId="23204" xr:uid="{00000000-0005-0000-0000-0000675B0000}"/>
    <cellStyle name="Standard 4 3 4 3 2 3 8" xfId="23205" xr:uid="{00000000-0005-0000-0000-0000685B0000}"/>
    <cellStyle name="Standard 4 3 4 3 2 4" xfId="23206" xr:uid="{00000000-0005-0000-0000-0000695B0000}"/>
    <cellStyle name="Standard 4 3 4 3 2 4 2" xfId="23207" xr:uid="{00000000-0005-0000-0000-00006A5B0000}"/>
    <cellStyle name="Standard 4 3 4 3 2 4 2 2" xfId="23208" xr:uid="{00000000-0005-0000-0000-00006B5B0000}"/>
    <cellStyle name="Standard 4 3 4 3 2 4 2 2 2" xfId="23209" xr:uid="{00000000-0005-0000-0000-00006C5B0000}"/>
    <cellStyle name="Standard 4 3 4 3 2 4 2 2 3" xfId="23210" xr:uid="{00000000-0005-0000-0000-00006D5B0000}"/>
    <cellStyle name="Standard 4 3 4 3 2 4 2 3" xfId="23211" xr:uid="{00000000-0005-0000-0000-00006E5B0000}"/>
    <cellStyle name="Standard 4 3 4 3 2 4 2 3 2" xfId="23212" xr:uid="{00000000-0005-0000-0000-00006F5B0000}"/>
    <cellStyle name="Standard 4 3 4 3 2 4 2 3 3" xfId="23213" xr:uid="{00000000-0005-0000-0000-0000705B0000}"/>
    <cellStyle name="Standard 4 3 4 3 2 4 2 4" xfId="23214" xr:uid="{00000000-0005-0000-0000-0000715B0000}"/>
    <cellStyle name="Standard 4 3 4 3 2 4 2 4 2" xfId="23215" xr:uid="{00000000-0005-0000-0000-0000725B0000}"/>
    <cellStyle name="Standard 4 3 4 3 2 4 2 5" xfId="23216" xr:uid="{00000000-0005-0000-0000-0000735B0000}"/>
    <cellStyle name="Standard 4 3 4 3 2 4 2 6" xfId="23217" xr:uid="{00000000-0005-0000-0000-0000745B0000}"/>
    <cellStyle name="Standard 4 3 4 3 2 4 3" xfId="23218" xr:uid="{00000000-0005-0000-0000-0000755B0000}"/>
    <cellStyle name="Standard 4 3 4 3 2 4 3 2" xfId="23219" xr:uid="{00000000-0005-0000-0000-0000765B0000}"/>
    <cellStyle name="Standard 4 3 4 3 2 4 3 3" xfId="23220" xr:uid="{00000000-0005-0000-0000-0000775B0000}"/>
    <cellStyle name="Standard 4 3 4 3 2 4 4" xfId="23221" xr:uid="{00000000-0005-0000-0000-0000785B0000}"/>
    <cellStyle name="Standard 4 3 4 3 2 4 4 2" xfId="23222" xr:uid="{00000000-0005-0000-0000-0000795B0000}"/>
    <cellStyle name="Standard 4 3 4 3 2 4 4 3" xfId="23223" xr:uid="{00000000-0005-0000-0000-00007A5B0000}"/>
    <cellStyle name="Standard 4 3 4 3 2 4 5" xfId="23224" xr:uid="{00000000-0005-0000-0000-00007B5B0000}"/>
    <cellStyle name="Standard 4 3 4 3 2 4 5 2" xfId="23225" xr:uid="{00000000-0005-0000-0000-00007C5B0000}"/>
    <cellStyle name="Standard 4 3 4 3 2 4 6" xfId="23226" xr:uid="{00000000-0005-0000-0000-00007D5B0000}"/>
    <cellStyle name="Standard 4 3 4 3 2 4 7" xfId="23227" xr:uid="{00000000-0005-0000-0000-00007E5B0000}"/>
    <cellStyle name="Standard 4 3 4 3 2 5" xfId="23228" xr:uid="{00000000-0005-0000-0000-00007F5B0000}"/>
    <cellStyle name="Standard 4 3 4 3 2 5 2" xfId="23229" xr:uid="{00000000-0005-0000-0000-0000805B0000}"/>
    <cellStyle name="Standard 4 3 4 3 2 5 2 2" xfId="23230" xr:uid="{00000000-0005-0000-0000-0000815B0000}"/>
    <cellStyle name="Standard 4 3 4 3 2 5 2 3" xfId="23231" xr:uid="{00000000-0005-0000-0000-0000825B0000}"/>
    <cellStyle name="Standard 4 3 4 3 2 5 3" xfId="23232" xr:uid="{00000000-0005-0000-0000-0000835B0000}"/>
    <cellStyle name="Standard 4 3 4 3 2 5 3 2" xfId="23233" xr:uid="{00000000-0005-0000-0000-0000845B0000}"/>
    <cellStyle name="Standard 4 3 4 3 2 5 3 3" xfId="23234" xr:uid="{00000000-0005-0000-0000-0000855B0000}"/>
    <cellStyle name="Standard 4 3 4 3 2 5 4" xfId="23235" xr:uid="{00000000-0005-0000-0000-0000865B0000}"/>
    <cellStyle name="Standard 4 3 4 3 2 5 4 2" xfId="23236" xr:uid="{00000000-0005-0000-0000-0000875B0000}"/>
    <cellStyle name="Standard 4 3 4 3 2 5 5" xfId="23237" xr:uid="{00000000-0005-0000-0000-0000885B0000}"/>
    <cellStyle name="Standard 4 3 4 3 2 5 6" xfId="23238" xr:uid="{00000000-0005-0000-0000-0000895B0000}"/>
    <cellStyle name="Standard 4 3 4 3 2 6" xfId="23239" xr:uid="{00000000-0005-0000-0000-00008A5B0000}"/>
    <cellStyle name="Standard 4 3 4 3 2 6 2" xfId="23240" xr:uid="{00000000-0005-0000-0000-00008B5B0000}"/>
    <cellStyle name="Standard 4 3 4 3 2 6 3" xfId="23241" xr:uid="{00000000-0005-0000-0000-00008C5B0000}"/>
    <cellStyle name="Standard 4 3 4 3 2 7" xfId="23242" xr:uid="{00000000-0005-0000-0000-00008D5B0000}"/>
    <cellStyle name="Standard 4 3 4 3 2 7 2" xfId="23243" xr:uid="{00000000-0005-0000-0000-00008E5B0000}"/>
    <cellStyle name="Standard 4 3 4 3 2 7 3" xfId="23244" xr:uid="{00000000-0005-0000-0000-00008F5B0000}"/>
    <cellStyle name="Standard 4 3 4 3 2 8" xfId="23245" xr:uid="{00000000-0005-0000-0000-0000905B0000}"/>
    <cellStyle name="Standard 4 3 4 3 2 8 2" xfId="23246" xr:uid="{00000000-0005-0000-0000-0000915B0000}"/>
    <cellStyle name="Standard 4 3 4 3 2 9" xfId="23247" xr:uid="{00000000-0005-0000-0000-0000925B0000}"/>
    <cellStyle name="Standard 4 3 4 3 3" xfId="23248" xr:uid="{00000000-0005-0000-0000-0000935B0000}"/>
    <cellStyle name="Standard 4 3 4 3 3 2" xfId="23249" xr:uid="{00000000-0005-0000-0000-0000945B0000}"/>
    <cellStyle name="Standard 4 3 4 3 3 2 2" xfId="23250" xr:uid="{00000000-0005-0000-0000-0000955B0000}"/>
    <cellStyle name="Standard 4 3 4 3 3 2 2 2" xfId="23251" xr:uid="{00000000-0005-0000-0000-0000965B0000}"/>
    <cellStyle name="Standard 4 3 4 3 3 2 2 2 2" xfId="23252" xr:uid="{00000000-0005-0000-0000-0000975B0000}"/>
    <cellStyle name="Standard 4 3 4 3 3 2 2 2 3" xfId="23253" xr:uid="{00000000-0005-0000-0000-0000985B0000}"/>
    <cellStyle name="Standard 4 3 4 3 3 2 2 3" xfId="23254" xr:uid="{00000000-0005-0000-0000-0000995B0000}"/>
    <cellStyle name="Standard 4 3 4 3 3 2 2 3 2" xfId="23255" xr:uid="{00000000-0005-0000-0000-00009A5B0000}"/>
    <cellStyle name="Standard 4 3 4 3 3 2 2 3 3" xfId="23256" xr:uid="{00000000-0005-0000-0000-00009B5B0000}"/>
    <cellStyle name="Standard 4 3 4 3 3 2 2 4" xfId="23257" xr:uid="{00000000-0005-0000-0000-00009C5B0000}"/>
    <cellStyle name="Standard 4 3 4 3 3 2 2 4 2" xfId="23258" xr:uid="{00000000-0005-0000-0000-00009D5B0000}"/>
    <cellStyle name="Standard 4 3 4 3 3 2 2 5" xfId="23259" xr:uid="{00000000-0005-0000-0000-00009E5B0000}"/>
    <cellStyle name="Standard 4 3 4 3 3 2 2 6" xfId="23260" xr:uid="{00000000-0005-0000-0000-00009F5B0000}"/>
    <cellStyle name="Standard 4 3 4 3 3 2 3" xfId="23261" xr:uid="{00000000-0005-0000-0000-0000A05B0000}"/>
    <cellStyle name="Standard 4 3 4 3 3 2 3 2" xfId="23262" xr:uid="{00000000-0005-0000-0000-0000A15B0000}"/>
    <cellStyle name="Standard 4 3 4 3 3 2 3 3" xfId="23263" xr:uid="{00000000-0005-0000-0000-0000A25B0000}"/>
    <cellStyle name="Standard 4 3 4 3 3 2 4" xfId="23264" xr:uid="{00000000-0005-0000-0000-0000A35B0000}"/>
    <cellStyle name="Standard 4 3 4 3 3 2 4 2" xfId="23265" xr:uid="{00000000-0005-0000-0000-0000A45B0000}"/>
    <cellStyle name="Standard 4 3 4 3 3 2 4 3" xfId="23266" xr:uid="{00000000-0005-0000-0000-0000A55B0000}"/>
    <cellStyle name="Standard 4 3 4 3 3 2 5" xfId="23267" xr:uid="{00000000-0005-0000-0000-0000A65B0000}"/>
    <cellStyle name="Standard 4 3 4 3 3 2 5 2" xfId="23268" xr:uid="{00000000-0005-0000-0000-0000A75B0000}"/>
    <cellStyle name="Standard 4 3 4 3 3 2 6" xfId="23269" xr:uid="{00000000-0005-0000-0000-0000A85B0000}"/>
    <cellStyle name="Standard 4 3 4 3 3 2 7" xfId="23270" xr:uid="{00000000-0005-0000-0000-0000A95B0000}"/>
    <cellStyle name="Standard 4 3 4 3 3 3" xfId="23271" xr:uid="{00000000-0005-0000-0000-0000AA5B0000}"/>
    <cellStyle name="Standard 4 3 4 3 3 3 2" xfId="23272" xr:uid="{00000000-0005-0000-0000-0000AB5B0000}"/>
    <cellStyle name="Standard 4 3 4 3 3 3 2 2" xfId="23273" xr:uid="{00000000-0005-0000-0000-0000AC5B0000}"/>
    <cellStyle name="Standard 4 3 4 3 3 3 2 3" xfId="23274" xr:uid="{00000000-0005-0000-0000-0000AD5B0000}"/>
    <cellStyle name="Standard 4 3 4 3 3 3 3" xfId="23275" xr:uid="{00000000-0005-0000-0000-0000AE5B0000}"/>
    <cellStyle name="Standard 4 3 4 3 3 3 3 2" xfId="23276" xr:uid="{00000000-0005-0000-0000-0000AF5B0000}"/>
    <cellStyle name="Standard 4 3 4 3 3 3 3 3" xfId="23277" xr:uid="{00000000-0005-0000-0000-0000B05B0000}"/>
    <cellStyle name="Standard 4 3 4 3 3 3 4" xfId="23278" xr:uid="{00000000-0005-0000-0000-0000B15B0000}"/>
    <cellStyle name="Standard 4 3 4 3 3 3 4 2" xfId="23279" xr:uid="{00000000-0005-0000-0000-0000B25B0000}"/>
    <cellStyle name="Standard 4 3 4 3 3 3 5" xfId="23280" xr:uid="{00000000-0005-0000-0000-0000B35B0000}"/>
    <cellStyle name="Standard 4 3 4 3 3 3 6" xfId="23281" xr:uid="{00000000-0005-0000-0000-0000B45B0000}"/>
    <cellStyle name="Standard 4 3 4 3 3 4" xfId="23282" xr:uid="{00000000-0005-0000-0000-0000B55B0000}"/>
    <cellStyle name="Standard 4 3 4 3 3 4 2" xfId="23283" xr:uid="{00000000-0005-0000-0000-0000B65B0000}"/>
    <cellStyle name="Standard 4 3 4 3 3 4 3" xfId="23284" xr:uid="{00000000-0005-0000-0000-0000B75B0000}"/>
    <cellStyle name="Standard 4 3 4 3 3 5" xfId="23285" xr:uid="{00000000-0005-0000-0000-0000B85B0000}"/>
    <cellStyle name="Standard 4 3 4 3 3 5 2" xfId="23286" xr:uid="{00000000-0005-0000-0000-0000B95B0000}"/>
    <cellStyle name="Standard 4 3 4 3 3 5 3" xfId="23287" xr:uid="{00000000-0005-0000-0000-0000BA5B0000}"/>
    <cellStyle name="Standard 4 3 4 3 3 6" xfId="23288" xr:uid="{00000000-0005-0000-0000-0000BB5B0000}"/>
    <cellStyle name="Standard 4 3 4 3 3 6 2" xfId="23289" xr:uid="{00000000-0005-0000-0000-0000BC5B0000}"/>
    <cellStyle name="Standard 4 3 4 3 3 7" xfId="23290" xr:uid="{00000000-0005-0000-0000-0000BD5B0000}"/>
    <cellStyle name="Standard 4 3 4 3 3 8" xfId="23291" xr:uid="{00000000-0005-0000-0000-0000BE5B0000}"/>
    <cellStyle name="Standard 4 3 4 3 4" xfId="23292" xr:uid="{00000000-0005-0000-0000-0000BF5B0000}"/>
    <cellStyle name="Standard 4 3 4 3 4 2" xfId="23293" xr:uid="{00000000-0005-0000-0000-0000C05B0000}"/>
    <cellStyle name="Standard 4 3 4 3 4 2 2" xfId="23294" xr:uid="{00000000-0005-0000-0000-0000C15B0000}"/>
    <cellStyle name="Standard 4 3 4 3 4 2 2 2" xfId="23295" xr:uid="{00000000-0005-0000-0000-0000C25B0000}"/>
    <cellStyle name="Standard 4 3 4 3 4 2 2 2 2" xfId="23296" xr:uid="{00000000-0005-0000-0000-0000C35B0000}"/>
    <cellStyle name="Standard 4 3 4 3 4 2 2 2 3" xfId="23297" xr:uid="{00000000-0005-0000-0000-0000C45B0000}"/>
    <cellStyle name="Standard 4 3 4 3 4 2 2 3" xfId="23298" xr:uid="{00000000-0005-0000-0000-0000C55B0000}"/>
    <cellStyle name="Standard 4 3 4 3 4 2 2 3 2" xfId="23299" xr:uid="{00000000-0005-0000-0000-0000C65B0000}"/>
    <cellStyle name="Standard 4 3 4 3 4 2 2 3 3" xfId="23300" xr:uid="{00000000-0005-0000-0000-0000C75B0000}"/>
    <cellStyle name="Standard 4 3 4 3 4 2 2 4" xfId="23301" xr:uid="{00000000-0005-0000-0000-0000C85B0000}"/>
    <cellStyle name="Standard 4 3 4 3 4 2 2 4 2" xfId="23302" xr:uid="{00000000-0005-0000-0000-0000C95B0000}"/>
    <cellStyle name="Standard 4 3 4 3 4 2 2 5" xfId="23303" xr:uid="{00000000-0005-0000-0000-0000CA5B0000}"/>
    <cellStyle name="Standard 4 3 4 3 4 2 2 6" xfId="23304" xr:uid="{00000000-0005-0000-0000-0000CB5B0000}"/>
    <cellStyle name="Standard 4 3 4 3 4 2 3" xfId="23305" xr:uid="{00000000-0005-0000-0000-0000CC5B0000}"/>
    <cellStyle name="Standard 4 3 4 3 4 2 3 2" xfId="23306" xr:uid="{00000000-0005-0000-0000-0000CD5B0000}"/>
    <cellStyle name="Standard 4 3 4 3 4 2 3 3" xfId="23307" xr:uid="{00000000-0005-0000-0000-0000CE5B0000}"/>
    <cellStyle name="Standard 4 3 4 3 4 2 4" xfId="23308" xr:uid="{00000000-0005-0000-0000-0000CF5B0000}"/>
    <cellStyle name="Standard 4 3 4 3 4 2 4 2" xfId="23309" xr:uid="{00000000-0005-0000-0000-0000D05B0000}"/>
    <cellStyle name="Standard 4 3 4 3 4 2 4 3" xfId="23310" xr:uid="{00000000-0005-0000-0000-0000D15B0000}"/>
    <cellStyle name="Standard 4 3 4 3 4 2 5" xfId="23311" xr:uid="{00000000-0005-0000-0000-0000D25B0000}"/>
    <cellStyle name="Standard 4 3 4 3 4 2 5 2" xfId="23312" xr:uid="{00000000-0005-0000-0000-0000D35B0000}"/>
    <cellStyle name="Standard 4 3 4 3 4 2 6" xfId="23313" xr:uid="{00000000-0005-0000-0000-0000D45B0000}"/>
    <cellStyle name="Standard 4 3 4 3 4 2 7" xfId="23314" xr:uid="{00000000-0005-0000-0000-0000D55B0000}"/>
    <cellStyle name="Standard 4 3 4 3 4 3" xfId="23315" xr:uid="{00000000-0005-0000-0000-0000D65B0000}"/>
    <cellStyle name="Standard 4 3 4 3 4 3 2" xfId="23316" xr:uid="{00000000-0005-0000-0000-0000D75B0000}"/>
    <cellStyle name="Standard 4 3 4 3 4 3 2 2" xfId="23317" xr:uid="{00000000-0005-0000-0000-0000D85B0000}"/>
    <cellStyle name="Standard 4 3 4 3 4 3 2 3" xfId="23318" xr:uid="{00000000-0005-0000-0000-0000D95B0000}"/>
    <cellStyle name="Standard 4 3 4 3 4 3 3" xfId="23319" xr:uid="{00000000-0005-0000-0000-0000DA5B0000}"/>
    <cellStyle name="Standard 4 3 4 3 4 3 3 2" xfId="23320" xr:uid="{00000000-0005-0000-0000-0000DB5B0000}"/>
    <cellStyle name="Standard 4 3 4 3 4 3 3 3" xfId="23321" xr:uid="{00000000-0005-0000-0000-0000DC5B0000}"/>
    <cellStyle name="Standard 4 3 4 3 4 3 4" xfId="23322" xr:uid="{00000000-0005-0000-0000-0000DD5B0000}"/>
    <cellStyle name="Standard 4 3 4 3 4 3 4 2" xfId="23323" xr:uid="{00000000-0005-0000-0000-0000DE5B0000}"/>
    <cellStyle name="Standard 4 3 4 3 4 3 5" xfId="23324" xr:uid="{00000000-0005-0000-0000-0000DF5B0000}"/>
    <cellStyle name="Standard 4 3 4 3 4 3 6" xfId="23325" xr:uid="{00000000-0005-0000-0000-0000E05B0000}"/>
    <cellStyle name="Standard 4 3 4 3 4 4" xfId="23326" xr:uid="{00000000-0005-0000-0000-0000E15B0000}"/>
    <cellStyle name="Standard 4 3 4 3 4 4 2" xfId="23327" xr:uid="{00000000-0005-0000-0000-0000E25B0000}"/>
    <cellStyle name="Standard 4 3 4 3 4 4 3" xfId="23328" xr:uid="{00000000-0005-0000-0000-0000E35B0000}"/>
    <cellStyle name="Standard 4 3 4 3 4 5" xfId="23329" xr:uid="{00000000-0005-0000-0000-0000E45B0000}"/>
    <cellStyle name="Standard 4 3 4 3 4 5 2" xfId="23330" xr:uid="{00000000-0005-0000-0000-0000E55B0000}"/>
    <cellStyle name="Standard 4 3 4 3 4 5 3" xfId="23331" xr:uid="{00000000-0005-0000-0000-0000E65B0000}"/>
    <cellStyle name="Standard 4 3 4 3 4 6" xfId="23332" xr:uid="{00000000-0005-0000-0000-0000E75B0000}"/>
    <cellStyle name="Standard 4 3 4 3 4 6 2" xfId="23333" xr:uid="{00000000-0005-0000-0000-0000E85B0000}"/>
    <cellStyle name="Standard 4 3 4 3 4 7" xfId="23334" xr:uid="{00000000-0005-0000-0000-0000E95B0000}"/>
    <cellStyle name="Standard 4 3 4 3 4 8" xfId="23335" xr:uid="{00000000-0005-0000-0000-0000EA5B0000}"/>
    <cellStyle name="Standard 4 3 4 3 5" xfId="23336" xr:uid="{00000000-0005-0000-0000-0000EB5B0000}"/>
    <cellStyle name="Standard 4 3 4 3 5 2" xfId="23337" xr:uid="{00000000-0005-0000-0000-0000EC5B0000}"/>
    <cellStyle name="Standard 4 3 4 3 5 2 2" xfId="23338" xr:uid="{00000000-0005-0000-0000-0000ED5B0000}"/>
    <cellStyle name="Standard 4 3 4 3 5 2 2 2" xfId="23339" xr:uid="{00000000-0005-0000-0000-0000EE5B0000}"/>
    <cellStyle name="Standard 4 3 4 3 5 2 2 3" xfId="23340" xr:uid="{00000000-0005-0000-0000-0000EF5B0000}"/>
    <cellStyle name="Standard 4 3 4 3 5 2 3" xfId="23341" xr:uid="{00000000-0005-0000-0000-0000F05B0000}"/>
    <cellStyle name="Standard 4 3 4 3 5 2 3 2" xfId="23342" xr:uid="{00000000-0005-0000-0000-0000F15B0000}"/>
    <cellStyle name="Standard 4 3 4 3 5 2 3 3" xfId="23343" xr:uid="{00000000-0005-0000-0000-0000F25B0000}"/>
    <cellStyle name="Standard 4 3 4 3 5 2 4" xfId="23344" xr:uid="{00000000-0005-0000-0000-0000F35B0000}"/>
    <cellStyle name="Standard 4 3 4 3 5 2 4 2" xfId="23345" xr:uid="{00000000-0005-0000-0000-0000F45B0000}"/>
    <cellStyle name="Standard 4 3 4 3 5 2 5" xfId="23346" xr:uid="{00000000-0005-0000-0000-0000F55B0000}"/>
    <cellStyle name="Standard 4 3 4 3 5 2 6" xfId="23347" xr:uid="{00000000-0005-0000-0000-0000F65B0000}"/>
    <cellStyle name="Standard 4 3 4 3 5 3" xfId="23348" xr:uid="{00000000-0005-0000-0000-0000F75B0000}"/>
    <cellStyle name="Standard 4 3 4 3 5 3 2" xfId="23349" xr:uid="{00000000-0005-0000-0000-0000F85B0000}"/>
    <cellStyle name="Standard 4 3 4 3 5 3 3" xfId="23350" xr:uid="{00000000-0005-0000-0000-0000F95B0000}"/>
    <cellStyle name="Standard 4 3 4 3 5 4" xfId="23351" xr:uid="{00000000-0005-0000-0000-0000FA5B0000}"/>
    <cellStyle name="Standard 4 3 4 3 5 4 2" xfId="23352" xr:uid="{00000000-0005-0000-0000-0000FB5B0000}"/>
    <cellStyle name="Standard 4 3 4 3 5 4 3" xfId="23353" xr:uid="{00000000-0005-0000-0000-0000FC5B0000}"/>
    <cellStyle name="Standard 4 3 4 3 5 5" xfId="23354" xr:uid="{00000000-0005-0000-0000-0000FD5B0000}"/>
    <cellStyle name="Standard 4 3 4 3 5 5 2" xfId="23355" xr:uid="{00000000-0005-0000-0000-0000FE5B0000}"/>
    <cellStyle name="Standard 4 3 4 3 5 6" xfId="23356" xr:uid="{00000000-0005-0000-0000-0000FF5B0000}"/>
    <cellStyle name="Standard 4 3 4 3 5 7" xfId="23357" xr:uid="{00000000-0005-0000-0000-0000005C0000}"/>
    <cellStyle name="Standard 4 3 4 3 6" xfId="23358" xr:uid="{00000000-0005-0000-0000-0000015C0000}"/>
    <cellStyle name="Standard 4 3 4 3 6 2" xfId="23359" xr:uid="{00000000-0005-0000-0000-0000025C0000}"/>
    <cellStyle name="Standard 4 3 4 3 6 2 2" xfId="23360" xr:uid="{00000000-0005-0000-0000-0000035C0000}"/>
    <cellStyle name="Standard 4 3 4 3 6 2 3" xfId="23361" xr:uid="{00000000-0005-0000-0000-0000045C0000}"/>
    <cellStyle name="Standard 4 3 4 3 6 3" xfId="23362" xr:uid="{00000000-0005-0000-0000-0000055C0000}"/>
    <cellStyle name="Standard 4 3 4 3 6 3 2" xfId="23363" xr:uid="{00000000-0005-0000-0000-0000065C0000}"/>
    <cellStyle name="Standard 4 3 4 3 6 3 3" xfId="23364" xr:uid="{00000000-0005-0000-0000-0000075C0000}"/>
    <cellStyle name="Standard 4 3 4 3 6 4" xfId="23365" xr:uid="{00000000-0005-0000-0000-0000085C0000}"/>
    <cellStyle name="Standard 4 3 4 3 6 4 2" xfId="23366" xr:uid="{00000000-0005-0000-0000-0000095C0000}"/>
    <cellStyle name="Standard 4 3 4 3 6 5" xfId="23367" xr:uid="{00000000-0005-0000-0000-00000A5C0000}"/>
    <cellStyle name="Standard 4 3 4 3 6 6" xfId="23368" xr:uid="{00000000-0005-0000-0000-00000B5C0000}"/>
    <cellStyle name="Standard 4 3 4 3 7" xfId="23369" xr:uid="{00000000-0005-0000-0000-00000C5C0000}"/>
    <cellStyle name="Standard 4 3 4 3 7 2" xfId="23370" xr:uid="{00000000-0005-0000-0000-00000D5C0000}"/>
    <cellStyle name="Standard 4 3 4 3 7 3" xfId="23371" xr:uid="{00000000-0005-0000-0000-00000E5C0000}"/>
    <cellStyle name="Standard 4 3 4 3 8" xfId="23372" xr:uid="{00000000-0005-0000-0000-00000F5C0000}"/>
    <cellStyle name="Standard 4 3 4 3 8 2" xfId="23373" xr:uid="{00000000-0005-0000-0000-0000105C0000}"/>
    <cellStyle name="Standard 4 3 4 3 8 3" xfId="23374" xr:uid="{00000000-0005-0000-0000-0000115C0000}"/>
    <cellStyle name="Standard 4 3 4 3 9" xfId="23375" xr:uid="{00000000-0005-0000-0000-0000125C0000}"/>
    <cellStyle name="Standard 4 3 4 3 9 2" xfId="23376" xr:uid="{00000000-0005-0000-0000-0000135C0000}"/>
    <cellStyle name="Standard 4 3 4 4" xfId="23377" xr:uid="{00000000-0005-0000-0000-0000145C0000}"/>
    <cellStyle name="Standard 4 3 4 4 10" xfId="23378" xr:uid="{00000000-0005-0000-0000-0000155C0000}"/>
    <cellStyle name="Standard 4 3 4 4 2" xfId="23379" xr:uid="{00000000-0005-0000-0000-0000165C0000}"/>
    <cellStyle name="Standard 4 3 4 4 2 2" xfId="23380" xr:uid="{00000000-0005-0000-0000-0000175C0000}"/>
    <cellStyle name="Standard 4 3 4 4 2 2 2" xfId="23381" xr:uid="{00000000-0005-0000-0000-0000185C0000}"/>
    <cellStyle name="Standard 4 3 4 4 2 2 2 2" xfId="23382" xr:uid="{00000000-0005-0000-0000-0000195C0000}"/>
    <cellStyle name="Standard 4 3 4 4 2 2 2 2 2" xfId="23383" xr:uid="{00000000-0005-0000-0000-00001A5C0000}"/>
    <cellStyle name="Standard 4 3 4 4 2 2 2 2 3" xfId="23384" xr:uid="{00000000-0005-0000-0000-00001B5C0000}"/>
    <cellStyle name="Standard 4 3 4 4 2 2 2 3" xfId="23385" xr:uid="{00000000-0005-0000-0000-00001C5C0000}"/>
    <cellStyle name="Standard 4 3 4 4 2 2 2 3 2" xfId="23386" xr:uid="{00000000-0005-0000-0000-00001D5C0000}"/>
    <cellStyle name="Standard 4 3 4 4 2 2 2 3 3" xfId="23387" xr:uid="{00000000-0005-0000-0000-00001E5C0000}"/>
    <cellStyle name="Standard 4 3 4 4 2 2 2 4" xfId="23388" xr:uid="{00000000-0005-0000-0000-00001F5C0000}"/>
    <cellStyle name="Standard 4 3 4 4 2 2 2 4 2" xfId="23389" xr:uid="{00000000-0005-0000-0000-0000205C0000}"/>
    <cellStyle name="Standard 4 3 4 4 2 2 2 5" xfId="23390" xr:uid="{00000000-0005-0000-0000-0000215C0000}"/>
    <cellStyle name="Standard 4 3 4 4 2 2 2 6" xfId="23391" xr:uid="{00000000-0005-0000-0000-0000225C0000}"/>
    <cellStyle name="Standard 4 3 4 4 2 2 3" xfId="23392" xr:uid="{00000000-0005-0000-0000-0000235C0000}"/>
    <cellStyle name="Standard 4 3 4 4 2 2 3 2" xfId="23393" xr:uid="{00000000-0005-0000-0000-0000245C0000}"/>
    <cellStyle name="Standard 4 3 4 4 2 2 3 3" xfId="23394" xr:uid="{00000000-0005-0000-0000-0000255C0000}"/>
    <cellStyle name="Standard 4 3 4 4 2 2 4" xfId="23395" xr:uid="{00000000-0005-0000-0000-0000265C0000}"/>
    <cellStyle name="Standard 4 3 4 4 2 2 4 2" xfId="23396" xr:uid="{00000000-0005-0000-0000-0000275C0000}"/>
    <cellStyle name="Standard 4 3 4 4 2 2 4 3" xfId="23397" xr:uid="{00000000-0005-0000-0000-0000285C0000}"/>
    <cellStyle name="Standard 4 3 4 4 2 2 5" xfId="23398" xr:uid="{00000000-0005-0000-0000-0000295C0000}"/>
    <cellStyle name="Standard 4 3 4 4 2 2 5 2" xfId="23399" xr:uid="{00000000-0005-0000-0000-00002A5C0000}"/>
    <cellStyle name="Standard 4 3 4 4 2 2 6" xfId="23400" xr:uid="{00000000-0005-0000-0000-00002B5C0000}"/>
    <cellStyle name="Standard 4 3 4 4 2 2 7" xfId="23401" xr:uid="{00000000-0005-0000-0000-00002C5C0000}"/>
    <cellStyle name="Standard 4 3 4 4 2 3" xfId="23402" xr:uid="{00000000-0005-0000-0000-00002D5C0000}"/>
    <cellStyle name="Standard 4 3 4 4 2 3 2" xfId="23403" xr:uid="{00000000-0005-0000-0000-00002E5C0000}"/>
    <cellStyle name="Standard 4 3 4 4 2 3 2 2" xfId="23404" xr:uid="{00000000-0005-0000-0000-00002F5C0000}"/>
    <cellStyle name="Standard 4 3 4 4 2 3 2 3" xfId="23405" xr:uid="{00000000-0005-0000-0000-0000305C0000}"/>
    <cellStyle name="Standard 4 3 4 4 2 3 3" xfId="23406" xr:uid="{00000000-0005-0000-0000-0000315C0000}"/>
    <cellStyle name="Standard 4 3 4 4 2 3 3 2" xfId="23407" xr:uid="{00000000-0005-0000-0000-0000325C0000}"/>
    <cellStyle name="Standard 4 3 4 4 2 3 3 3" xfId="23408" xr:uid="{00000000-0005-0000-0000-0000335C0000}"/>
    <cellStyle name="Standard 4 3 4 4 2 3 4" xfId="23409" xr:uid="{00000000-0005-0000-0000-0000345C0000}"/>
    <cellStyle name="Standard 4 3 4 4 2 3 4 2" xfId="23410" xr:uid="{00000000-0005-0000-0000-0000355C0000}"/>
    <cellStyle name="Standard 4 3 4 4 2 3 5" xfId="23411" xr:uid="{00000000-0005-0000-0000-0000365C0000}"/>
    <cellStyle name="Standard 4 3 4 4 2 3 6" xfId="23412" xr:uid="{00000000-0005-0000-0000-0000375C0000}"/>
    <cellStyle name="Standard 4 3 4 4 2 4" xfId="23413" xr:uid="{00000000-0005-0000-0000-0000385C0000}"/>
    <cellStyle name="Standard 4 3 4 4 2 4 2" xfId="23414" xr:uid="{00000000-0005-0000-0000-0000395C0000}"/>
    <cellStyle name="Standard 4 3 4 4 2 4 3" xfId="23415" xr:uid="{00000000-0005-0000-0000-00003A5C0000}"/>
    <cellStyle name="Standard 4 3 4 4 2 5" xfId="23416" xr:uid="{00000000-0005-0000-0000-00003B5C0000}"/>
    <cellStyle name="Standard 4 3 4 4 2 5 2" xfId="23417" xr:uid="{00000000-0005-0000-0000-00003C5C0000}"/>
    <cellStyle name="Standard 4 3 4 4 2 5 3" xfId="23418" xr:uid="{00000000-0005-0000-0000-00003D5C0000}"/>
    <cellStyle name="Standard 4 3 4 4 2 6" xfId="23419" xr:uid="{00000000-0005-0000-0000-00003E5C0000}"/>
    <cellStyle name="Standard 4 3 4 4 2 6 2" xfId="23420" xr:uid="{00000000-0005-0000-0000-00003F5C0000}"/>
    <cellStyle name="Standard 4 3 4 4 2 7" xfId="23421" xr:uid="{00000000-0005-0000-0000-0000405C0000}"/>
    <cellStyle name="Standard 4 3 4 4 2 8" xfId="23422" xr:uid="{00000000-0005-0000-0000-0000415C0000}"/>
    <cellStyle name="Standard 4 3 4 4 3" xfId="23423" xr:uid="{00000000-0005-0000-0000-0000425C0000}"/>
    <cellStyle name="Standard 4 3 4 4 3 2" xfId="23424" xr:uid="{00000000-0005-0000-0000-0000435C0000}"/>
    <cellStyle name="Standard 4 3 4 4 3 2 2" xfId="23425" xr:uid="{00000000-0005-0000-0000-0000445C0000}"/>
    <cellStyle name="Standard 4 3 4 4 3 2 2 2" xfId="23426" xr:uid="{00000000-0005-0000-0000-0000455C0000}"/>
    <cellStyle name="Standard 4 3 4 4 3 2 2 2 2" xfId="23427" xr:uid="{00000000-0005-0000-0000-0000465C0000}"/>
    <cellStyle name="Standard 4 3 4 4 3 2 2 2 3" xfId="23428" xr:uid="{00000000-0005-0000-0000-0000475C0000}"/>
    <cellStyle name="Standard 4 3 4 4 3 2 2 3" xfId="23429" xr:uid="{00000000-0005-0000-0000-0000485C0000}"/>
    <cellStyle name="Standard 4 3 4 4 3 2 2 3 2" xfId="23430" xr:uid="{00000000-0005-0000-0000-0000495C0000}"/>
    <cellStyle name="Standard 4 3 4 4 3 2 2 3 3" xfId="23431" xr:uid="{00000000-0005-0000-0000-00004A5C0000}"/>
    <cellStyle name="Standard 4 3 4 4 3 2 2 4" xfId="23432" xr:uid="{00000000-0005-0000-0000-00004B5C0000}"/>
    <cellStyle name="Standard 4 3 4 4 3 2 2 4 2" xfId="23433" xr:uid="{00000000-0005-0000-0000-00004C5C0000}"/>
    <cellStyle name="Standard 4 3 4 4 3 2 2 5" xfId="23434" xr:uid="{00000000-0005-0000-0000-00004D5C0000}"/>
    <cellStyle name="Standard 4 3 4 4 3 2 2 6" xfId="23435" xr:uid="{00000000-0005-0000-0000-00004E5C0000}"/>
    <cellStyle name="Standard 4 3 4 4 3 2 3" xfId="23436" xr:uid="{00000000-0005-0000-0000-00004F5C0000}"/>
    <cellStyle name="Standard 4 3 4 4 3 2 3 2" xfId="23437" xr:uid="{00000000-0005-0000-0000-0000505C0000}"/>
    <cellStyle name="Standard 4 3 4 4 3 2 3 3" xfId="23438" xr:uid="{00000000-0005-0000-0000-0000515C0000}"/>
    <cellStyle name="Standard 4 3 4 4 3 2 4" xfId="23439" xr:uid="{00000000-0005-0000-0000-0000525C0000}"/>
    <cellStyle name="Standard 4 3 4 4 3 2 4 2" xfId="23440" xr:uid="{00000000-0005-0000-0000-0000535C0000}"/>
    <cellStyle name="Standard 4 3 4 4 3 2 4 3" xfId="23441" xr:uid="{00000000-0005-0000-0000-0000545C0000}"/>
    <cellStyle name="Standard 4 3 4 4 3 2 5" xfId="23442" xr:uid="{00000000-0005-0000-0000-0000555C0000}"/>
    <cellStyle name="Standard 4 3 4 4 3 2 5 2" xfId="23443" xr:uid="{00000000-0005-0000-0000-0000565C0000}"/>
    <cellStyle name="Standard 4 3 4 4 3 2 6" xfId="23444" xr:uid="{00000000-0005-0000-0000-0000575C0000}"/>
    <cellStyle name="Standard 4 3 4 4 3 2 7" xfId="23445" xr:uid="{00000000-0005-0000-0000-0000585C0000}"/>
    <cellStyle name="Standard 4 3 4 4 3 3" xfId="23446" xr:uid="{00000000-0005-0000-0000-0000595C0000}"/>
    <cellStyle name="Standard 4 3 4 4 3 3 2" xfId="23447" xr:uid="{00000000-0005-0000-0000-00005A5C0000}"/>
    <cellStyle name="Standard 4 3 4 4 3 3 2 2" xfId="23448" xr:uid="{00000000-0005-0000-0000-00005B5C0000}"/>
    <cellStyle name="Standard 4 3 4 4 3 3 2 3" xfId="23449" xr:uid="{00000000-0005-0000-0000-00005C5C0000}"/>
    <cellStyle name="Standard 4 3 4 4 3 3 3" xfId="23450" xr:uid="{00000000-0005-0000-0000-00005D5C0000}"/>
    <cellStyle name="Standard 4 3 4 4 3 3 3 2" xfId="23451" xr:uid="{00000000-0005-0000-0000-00005E5C0000}"/>
    <cellStyle name="Standard 4 3 4 4 3 3 3 3" xfId="23452" xr:uid="{00000000-0005-0000-0000-00005F5C0000}"/>
    <cellStyle name="Standard 4 3 4 4 3 3 4" xfId="23453" xr:uid="{00000000-0005-0000-0000-0000605C0000}"/>
    <cellStyle name="Standard 4 3 4 4 3 3 4 2" xfId="23454" xr:uid="{00000000-0005-0000-0000-0000615C0000}"/>
    <cellStyle name="Standard 4 3 4 4 3 3 5" xfId="23455" xr:uid="{00000000-0005-0000-0000-0000625C0000}"/>
    <cellStyle name="Standard 4 3 4 4 3 3 6" xfId="23456" xr:uid="{00000000-0005-0000-0000-0000635C0000}"/>
    <cellStyle name="Standard 4 3 4 4 3 4" xfId="23457" xr:uid="{00000000-0005-0000-0000-0000645C0000}"/>
    <cellStyle name="Standard 4 3 4 4 3 4 2" xfId="23458" xr:uid="{00000000-0005-0000-0000-0000655C0000}"/>
    <cellStyle name="Standard 4 3 4 4 3 4 3" xfId="23459" xr:uid="{00000000-0005-0000-0000-0000665C0000}"/>
    <cellStyle name="Standard 4 3 4 4 3 5" xfId="23460" xr:uid="{00000000-0005-0000-0000-0000675C0000}"/>
    <cellStyle name="Standard 4 3 4 4 3 5 2" xfId="23461" xr:uid="{00000000-0005-0000-0000-0000685C0000}"/>
    <cellStyle name="Standard 4 3 4 4 3 5 3" xfId="23462" xr:uid="{00000000-0005-0000-0000-0000695C0000}"/>
    <cellStyle name="Standard 4 3 4 4 3 6" xfId="23463" xr:uid="{00000000-0005-0000-0000-00006A5C0000}"/>
    <cellStyle name="Standard 4 3 4 4 3 6 2" xfId="23464" xr:uid="{00000000-0005-0000-0000-00006B5C0000}"/>
    <cellStyle name="Standard 4 3 4 4 3 7" xfId="23465" xr:uid="{00000000-0005-0000-0000-00006C5C0000}"/>
    <cellStyle name="Standard 4 3 4 4 3 8" xfId="23466" xr:uid="{00000000-0005-0000-0000-00006D5C0000}"/>
    <cellStyle name="Standard 4 3 4 4 4" xfId="23467" xr:uid="{00000000-0005-0000-0000-00006E5C0000}"/>
    <cellStyle name="Standard 4 3 4 4 4 2" xfId="23468" xr:uid="{00000000-0005-0000-0000-00006F5C0000}"/>
    <cellStyle name="Standard 4 3 4 4 4 2 2" xfId="23469" xr:uid="{00000000-0005-0000-0000-0000705C0000}"/>
    <cellStyle name="Standard 4 3 4 4 4 2 2 2" xfId="23470" xr:uid="{00000000-0005-0000-0000-0000715C0000}"/>
    <cellStyle name="Standard 4 3 4 4 4 2 2 3" xfId="23471" xr:uid="{00000000-0005-0000-0000-0000725C0000}"/>
    <cellStyle name="Standard 4 3 4 4 4 2 3" xfId="23472" xr:uid="{00000000-0005-0000-0000-0000735C0000}"/>
    <cellStyle name="Standard 4 3 4 4 4 2 3 2" xfId="23473" xr:uid="{00000000-0005-0000-0000-0000745C0000}"/>
    <cellStyle name="Standard 4 3 4 4 4 2 3 3" xfId="23474" xr:uid="{00000000-0005-0000-0000-0000755C0000}"/>
    <cellStyle name="Standard 4 3 4 4 4 2 4" xfId="23475" xr:uid="{00000000-0005-0000-0000-0000765C0000}"/>
    <cellStyle name="Standard 4 3 4 4 4 2 4 2" xfId="23476" xr:uid="{00000000-0005-0000-0000-0000775C0000}"/>
    <cellStyle name="Standard 4 3 4 4 4 2 5" xfId="23477" xr:uid="{00000000-0005-0000-0000-0000785C0000}"/>
    <cellStyle name="Standard 4 3 4 4 4 2 6" xfId="23478" xr:uid="{00000000-0005-0000-0000-0000795C0000}"/>
    <cellStyle name="Standard 4 3 4 4 4 3" xfId="23479" xr:uid="{00000000-0005-0000-0000-00007A5C0000}"/>
    <cellStyle name="Standard 4 3 4 4 4 3 2" xfId="23480" xr:uid="{00000000-0005-0000-0000-00007B5C0000}"/>
    <cellStyle name="Standard 4 3 4 4 4 3 3" xfId="23481" xr:uid="{00000000-0005-0000-0000-00007C5C0000}"/>
    <cellStyle name="Standard 4 3 4 4 4 4" xfId="23482" xr:uid="{00000000-0005-0000-0000-00007D5C0000}"/>
    <cellStyle name="Standard 4 3 4 4 4 4 2" xfId="23483" xr:uid="{00000000-0005-0000-0000-00007E5C0000}"/>
    <cellStyle name="Standard 4 3 4 4 4 4 3" xfId="23484" xr:uid="{00000000-0005-0000-0000-00007F5C0000}"/>
    <cellStyle name="Standard 4 3 4 4 4 5" xfId="23485" xr:uid="{00000000-0005-0000-0000-0000805C0000}"/>
    <cellStyle name="Standard 4 3 4 4 4 5 2" xfId="23486" xr:uid="{00000000-0005-0000-0000-0000815C0000}"/>
    <cellStyle name="Standard 4 3 4 4 4 6" xfId="23487" xr:uid="{00000000-0005-0000-0000-0000825C0000}"/>
    <cellStyle name="Standard 4 3 4 4 4 7" xfId="23488" xr:uid="{00000000-0005-0000-0000-0000835C0000}"/>
    <cellStyle name="Standard 4 3 4 4 5" xfId="23489" xr:uid="{00000000-0005-0000-0000-0000845C0000}"/>
    <cellStyle name="Standard 4 3 4 4 5 2" xfId="23490" xr:uid="{00000000-0005-0000-0000-0000855C0000}"/>
    <cellStyle name="Standard 4 3 4 4 5 2 2" xfId="23491" xr:uid="{00000000-0005-0000-0000-0000865C0000}"/>
    <cellStyle name="Standard 4 3 4 4 5 2 3" xfId="23492" xr:uid="{00000000-0005-0000-0000-0000875C0000}"/>
    <cellStyle name="Standard 4 3 4 4 5 3" xfId="23493" xr:uid="{00000000-0005-0000-0000-0000885C0000}"/>
    <cellStyle name="Standard 4 3 4 4 5 3 2" xfId="23494" xr:uid="{00000000-0005-0000-0000-0000895C0000}"/>
    <cellStyle name="Standard 4 3 4 4 5 3 3" xfId="23495" xr:uid="{00000000-0005-0000-0000-00008A5C0000}"/>
    <cellStyle name="Standard 4 3 4 4 5 4" xfId="23496" xr:uid="{00000000-0005-0000-0000-00008B5C0000}"/>
    <cellStyle name="Standard 4 3 4 4 5 4 2" xfId="23497" xr:uid="{00000000-0005-0000-0000-00008C5C0000}"/>
    <cellStyle name="Standard 4 3 4 4 5 5" xfId="23498" xr:uid="{00000000-0005-0000-0000-00008D5C0000}"/>
    <cellStyle name="Standard 4 3 4 4 5 6" xfId="23499" xr:uid="{00000000-0005-0000-0000-00008E5C0000}"/>
    <cellStyle name="Standard 4 3 4 4 6" xfId="23500" xr:uid="{00000000-0005-0000-0000-00008F5C0000}"/>
    <cellStyle name="Standard 4 3 4 4 6 2" xfId="23501" xr:uid="{00000000-0005-0000-0000-0000905C0000}"/>
    <cellStyle name="Standard 4 3 4 4 6 3" xfId="23502" xr:uid="{00000000-0005-0000-0000-0000915C0000}"/>
    <cellStyle name="Standard 4 3 4 4 7" xfId="23503" xr:uid="{00000000-0005-0000-0000-0000925C0000}"/>
    <cellStyle name="Standard 4 3 4 4 7 2" xfId="23504" xr:uid="{00000000-0005-0000-0000-0000935C0000}"/>
    <cellStyle name="Standard 4 3 4 4 7 3" xfId="23505" xr:uid="{00000000-0005-0000-0000-0000945C0000}"/>
    <cellStyle name="Standard 4 3 4 4 8" xfId="23506" xr:uid="{00000000-0005-0000-0000-0000955C0000}"/>
    <cellStyle name="Standard 4 3 4 4 8 2" xfId="23507" xr:uid="{00000000-0005-0000-0000-0000965C0000}"/>
    <cellStyle name="Standard 4 3 4 4 9" xfId="23508" xr:uid="{00000000-0005-0000-0000-0000975C0000}"/>
    <cellStyle name="Standard 4 3 4 5" xfId="23509" xr:uid="{00000000-0005-0000-0000-0000985C0000}"/>
    <cellStyle name="Standard 4 3 4 5 2" xfId="23510" xr:uid="{00000000-0005-0000-0000-0000995C0000}"/>
    <cellStyle name="Standard 4 3 4 5 2 2" xfId="23511" xr:uid="{00000000-0005-0000-0000-00009A5C0000}"/>
    <cellStyle name="Standard 4 3 4 5 2 2 2" xfId="23512" xr:uid="{00000000-0005-0000-0000-00009B5C0000}"/>
    <cellStyle name="Standard 4 3 4 5 2 2 2 2" xfId="23513" xr:uid="{00000000-0005-0000-0000-00009C5C0000}"/>
    <cellStyle name="Standard 4 3 4 5 2 2 2 3" xfId="23514" xr:uid="{00000000-0005-0000-0000-00009D5C0000}"/>
    <cellStyle name="Standard 4 3 4 5 2 2 3" xfId="23515" xr:uid="{00000000-0005-0000-0000-00009E5C0000}"/>
    <cellStyle name="Standard 4 3 4 5 2 2 3 2" xfId="23516" xr:uid="{00000000-0005-0000-0000-00009F5C0000}"/>
    <cellStyle name="Standard 4 3 4 5 2 2 3 3" xfId="23517" xr:uid="{00000000-0005-0000-0000-0000A05C0000}"/>
    <cellStyle name="Standard 4 3 4 5 2 2 4" xfId="23518" xr:uid="{00000000-0005-0000-0000-0000A15C0000}"/>
    <cellStyle name="Standard 4 3 4 5 2 2 4 2" xfId="23519" xr:uid="{00000000-0005-0000-0000-0000A25C0000}"/>
    <cellStyle name="Standard 4 3 4 5 2 2 5" xfId="23520" xr:uid="{00000000-0005-0000-0000-0000A35C0000}"/>
    <cellStyle name="Standard 4 3 4 5 2 2 6" xfId="23521" xr:uid="{00000000-0005-0000-0000-0000A45C0000}"/>
    <cellStyle name="Standard 4 3 4 5 2 3" xfId="23522" xr:uid="{00000000-0005-0000-0000-0000A55C0000}"/>
    <cellStyle name="Standard 4 3 4 5 2 3 2" xfId="23523" xr:uid="{00000000-0005-0000-0000-0000A65C0000}"/>
    <cellStyle name="Standard 4 3 4 5 2 3 3" xfId="23524" xr:uid="{00000000-0005-0000-0000-0000A75C0000}"/>
    <cellStyle name="Standard 4 3 4 5 2 4" xfId="23525" xr:uid="{00000000-0005-0000-0000-0000A85C0000}"/>
    <cellStyle name="Standard 4 3 4 5 2 4 2" xfId="23526" xr:uid="{00000000-0005-0000-0000-0000A95C0000}"/>
    <cellStyle name="Standard 4 3 4 5 2 4 3" xfId="23527" xr:uid="{00000000-0005-0000-0000-0000AA5C0000}"/>
    <cellStyle name="Standard 4 3 4 5 2 5" xfId="23528" xr:uid="{00000000-0005-0000-0000-0000AB5C0000}"/>
    <cellStyle name="Standard 4 3 4 5 2 5 2" xfId="23529" xr:uid="{00000000-0005-0000-0000-0000AC5C0000}"/>
    <cellStyle name="Standard 4 3 4 5 2 6" xfId="23530" xr:uid="{00000000-0005-0000-0000-0000AD5C0000}"/>
    <cellStyle name="Standard 4 3 4 5 2 7" xfId="23531" xr:uid="{00000000-0005-0000-0000-0000AE5C0000}"/>
    <cellStyle name="Standard 4 3 4 5 3" xfId="23532" xr:uid="{00000000-0005-0000-0000-0000AF5C0000}"/>
    <cellStyle name="Standard 4 3 4 5 3 2" xfId="23533" xr:uid="{00000000-0005-0000-0000-0000B05C0000}"/>
    <cellStyle name="Standard 4 3 4 5 3 2 2" xfId="23534" xr:uid="{00000000-0005-0000-0000-0000B15C0000}"/>
    <cellStyle name="Standard 4 3 4 5 3 2 3" xfId="23535" xr:uid="{00000000-0005-0000-0000-0000B25C0000}"/>
    <cellStyle name="Standard 4 3 4 5 3 3" xfId="23536" xr:uid="{00000000-0005-0000-0000-0000B35C0000}"/>
    <cellStyle name="Standard 4 3 4 5 3 3 2" xfId="23537" xr:uid="{00000000-0005-0000-0000-0000B45C0000}"/>
    <cellStyle name="Standard 4 3 4 5 3 3 3" xfId="23538" xr:uid="{00000000-0005-0000-0000-0000B55C0000}"/>
    <cellStyle name="Standard 4 3 4 5 3 4" xfId="23539" xr:uid="{00000000-0005-0000-0000-0000B65C0000}"/>
    <cellStyle name="Standard 4 3 4 5 3 4 2" xfId="23540" xr:uid="{00000000-0005-0000-0000-0000B75C0000}"/>
    <cellStyle name="Standard 4 3 4 5 3 5" xfId="23541" xr:uid="{00000000-0005-0000-0000-0000B85C0000}"/>
    <cellStyle name="Standard 4 3 4 5 3 6" xfId="23542" xr:uid="{00000000-0005-0000-0000-0000B95C0000}"/>
    <cellStyle name="Standard 4 3 4 5 4" xfId="23543" xr:uid="{00000000-0005-0000-0000-0000BA5C0000}"/>
    <cellStyle name="Standard 4 3 4 5 4 2" xfId="23544" xr:uid="{00000000-0005-0000-0000-0000BB5C0000}"/>
    <cellStyle name="Standard 4 3 4 5 4 3" xfId="23545" xr:uid="{00000000-0005-0000-0000-0000BC5C0000}"/>
    <cellStyle name="Standard 4 3 4 5 5" xfId="23546" xr:uid="{00000000-0005-0000-0000-0000BD5C0000}"/>
    <cellStyle name="Standard 4 3 4 5 5 2" xfId="23547" xr:uid="{00000000-0005-0000-0000-0000BE5C0000}"/>
    <cellStyle name="Standard 4 3 4 5 5 3" xfId="23548" xr:uid="{00000000-0005-0000-0000-0000BF5C0000}"/>
    <cellStyle name="Standard 4 3 4 5 6" xfId="23549" xr:uid="{00000000-0005-0000-0000-0000C05C0000}"/>
    <cellStyle name="Standard 4 3 4 5 6 2" xfId="23550" xr:uid="{00000000-0005-0000-0000-0000C15C0000}"/>
    <cellStyle name="Standard 4 3 4 5 7" xfId="23551" xr:uid="{00000000-0005-0000-0000-0000C25C0000}"/>
    <cellStyle name="Standard 4 3 4 5 8" xfId="23552" xr:uid="{00000000-0005-0000-0000-0000C35C0000}"/>
    <cellStyle name="Standard 4 3 4 6" xfId="23553" xr:uid="{00000000-0005-0000-0000-0000C45C0000}"/>
    <cellStyle name="Standard 4 3 4 6 2" xfId="23554" xr:uid="{00000000-0005-0000-0000-0000C55C0000}"/>
    <cellStyle name="Standard 4 3 4 6 2 2" xfId="23555" xr:uid="{00000000-0005-0000-0000-0000C65C0000}"/>
    <cellStyle name="Standard 4 3 4 6 2 2 2" xfId="23556" xr:uid="{00000000-0005-0000-0000-0000C75C0000}"/>
    <cellStyle name="Standard 4 3 4 6 2 2 2 2" xfId="23557" xr:uid="{00000000-0005-0000-0000-0000C85C0000}"/>
    <cellStyle name="Standard 4 3 4 6 2 2 2 3" xfId="23558" xr:uid="{00000000-0005-0000-0000-0000C95C0000}"/>
    <cellStyle name="Standard 4 3 4 6 2 2 3" xfId="23559" xr:uid="{00000000-0005-0000-0000-0000CA5C0000}"/>
    <cellStyle name="Standard 4 3 4 6 2 2 3 2" xfId="23560" xr:uid="{00000000-0005-0000-0000-0000CB5C0000}"/>
    <cellStyle name="Standard 4 3 4 6 2 2 3 3" xfId="23561" xr:uid="{00000000-0005-0000-0000-0000CC5C0000}"/>
    <cellStyle name="Standard 4 3 4 6 2 2 4" xfId="23562" xr:uid="{00000000-0005-0000-0000-0000CD5C0000}"/>
    <cellStyle name="Standard 4 3 4 6 2 2 4 2" xfId="23563" xr:uid="{00000000-0005-0000-0000-0000CE5C0000}"/>
    <cellStyle name="Standard 4 3 4 6 2 2 5" xfId="23564" xr:uid="{00000000-0005-0000-0000-0000CF5C0000}"/>
    <cellStyle name="Standard 4 3 4 6 2 2 6" xfId="23565" xr:uid="{00000000-0005-0000-0000-0000D05C0000}"/>
    <cellStyle name="Standard 4 3 4 6 2 3" xfId="23566" xr:uid="{00000000-0005-0000-0000-0000D15C0000}"/>
    <cellStyle name="Standard 4 3 4 6 2 3 2" xfId="23567" xr:uid="{00000000-0005-0000-0000-0000D25C0000}"/>
    <cellStyle name="Standard 4 3 4 6 2 3 3" xfId="23568" xr:uid="{00000000-0005-0000-0000-0000D35C0000}"/>
    <cellStyle name="Standard 4 3 4 6 2 4" xfId="23569" xr:uid="{00000000-0005-0000-0000-0000D45C0000}"/>
    <cellStyle name="Standard 4 3 4 6 2 4 2" xfId="23570" xr:uid="{00000000-0005-0000-0000-0000D55C0000}"/>
    <cellStyle name="Standard 4 3 4 6 2 4 3" xfId="23571" xr:uid="{00000000-0005-0000-0000-0000D65C0000}"/>
    <cellStyle name="Standard 4 3 4 6 2 5" xfId="23572" xr:uid="{00000000-0005-0000-0000-0000D75C0000}"/>
    <cellStyle name="Standard 4 3 4 6 2 5 2" xfId="23573" xr:uid="{00000000-0005-0000-0000-0000D85C0000}"/>
    <cellStyle name="Standard 4 3 4 6 2 6" xfId="23574" xr:uid="{00000000-0005-0000-0000-0000D95C0000}"/>
    <cellStyle name="Standard 4 3 4 6 2 7" xfId="23575" xr:uid="{00000000-0005-0000-0000-0000DA5C0000}"/>
    <cellStyle name="Standard 4 3 4 6 3" xfId="23576" xr:uid="{00000000-0005-0000-0000-0000DB5C0000}"/>
    <cellStyle name="Standard 4 3 4 6 3 2" xfId="23577" xr:uid="{00000000-0005-0000-0000-0000DC5C0000}"/>
    <cellStyle name="Standard 4 3 4 6 3 2 2" xfId="23578" xr:uid="{00000000-0005-0000-0000-0000DD5C0000}"/>
    <cellStyle name="Standard 4 3 4 6 3 2 3" xfId="23579" xr:uid="{00000000-0005-0000-0000-0000DE5C0000}"/>
    <cellStyle name="Standard 4 3 4 6 3 3" xfId="23580" xr:uid="{00000000-0005-0000-0000-0000DF5C0000}"/>
    <cellStyle name="Standard 4 3 4 6 3 3 2" xfId="23581" xr:uid="{00000000-0005-0000-0000-0000E05C0000}"/>
    <cellStyle name="Standard 4 3 4 6 3 3 3" xfId="23582" xr:uid="{00000000-0005-0000-0000-0000E15C0000}"/>
    <cellStyle name="Standard 4 3 4 6 3 4" xfId="23583" xr:uid="{00000000-0005-0000-0000-0000E25C0000}"/>
    <cellStyle name="Standard 4 3 4 6 3 4 2" xfId="23584" xr:uid="{00000000-0005-0000-0000-0000E35C0000}"/>
    <cellStyle name="Standard 4 3 4 6 3 5" xfId="23585" xr:uid="{00000000-0005-0000-0000-0000E45C0000}"/>
    <cellStyle name="Standard 4 3 4 6 3 6" xfId="23586" xr:uid="{00000000-0005-0000-0000-0000E55C0000}"/>
    <cellStyle name="Standard 4 3 4 6 4" xfId="23587" xr:uid="{00000000-0005-0000-0000-0000E65C0000}"/>
    <cellStyle name="Standard 4 3 4 6 4 2" xfId="23588" xr:uid="{00000000-0005-0000-0000-0000E75C0000}"/>
    <cellStyle name="Standard 4 3 4 6 4 3" xfId="23589" xr:uid="{00000000-0005-0000-0000-0000E85C0000}"/>
    <cellStyle name="Standard 4 3 4 6 5" xfId="23590" xr:uid="{00000000-0005-0000-0000-0000E95C0000}"/>
    <cellStyle name="Standard 4 3 4 6 5 2" xfId="23591" xr:uid="{00000000-0005-0000-0000-0000EA5C0000}"/>
    <cellStyle name="Standard 4 3 4 6 5 3" xfId="23592" xr:uid="{00000000-0005-0000-0000-0000EB5C0000}"/>
    <cellStyle name="Standard 4 3 4 6 6" xfId="23593" xr:uid="{00000000-0005-0000-0000-0000EC5C0000}"/>
    <cellStyle name="Standard 4 3 4 6 6 2" xfId="23594" xr:uid="{00000000-0005-0000-0000-0000ED5C0000}"/>
    <cellStyle name="Standard 4 3 4 6 7" xfId="23595" xr:uid="{00000000-0005-0000-0000-0000EE5C0000}"/>
    <cellStyle name="Standard 4 3 4 6 8" xfId="23596" xr:uid="{00000000-0005-0000-0000-0000EF5C0000}"/>
    <cellStyle name="Standard 4 3 4 7" xfId="23597" xr:uid="{00000000-0005-0000-0000-0000F05C0000}"/>
    <cellStyle name="Standard 4 3 4 7 2" xfId="23598" xr:uid="{00000000-0005-0000-0000-0000F15C0000}"/>
    <cellStyle name="Standard 4 3 4 7 2 2" xfId="23599" xr:uid="{00000000-0005-0000-0000-0000F25C0000}"/>
    <cellStyle name="Standard 4 3 4 7 2 2 2" xfId="23600" xr:uid="{00000000-0005-0000-0000-0000F35C0000}"/>
    <cellStyle name="Standard 4 3 4 7 2 2 3" xfId="23601" xr:uid="{00000000-0005-0000-0000-0000F45C0000}"/>
    <cellStyle name="Standard 4 3 4 7 2 3" xfId="23602" xr:uid="{00000000-0005-0000-0000-0000F55C0000}"/>
    <cellStyle name="Standard 4 3 4 7 2 3 2" xfId="23603" xr:uid="{00000000-0005-0000-0000-0000F65C0000}"/>
    <cellStyle name="Standard 4 3 4 7 2 3 3" xfId="23604" xr:uid="{00000000-0005-0000-0000-0000F75C0000}"/>
    <cellStyle name="Standard 4 3 4 7 2 4" xfId="23605" xr:uid="{00000000-0005-0000-0000-0000F85C0000}"/>
    <cellStyle name="Standard 4 3 4 7 2 4 2" xfId="23606" xr:uid="{00000000-0005-0000-0000-0000F95C0000}"/>
    <cellStyle name="Standard 4 3 4 7 2 5" xfId="23607" xr:uid="{00000000-0005-0000-0000-0000FA5C0000}"/>
    <cellStyle name="Standard 4 3 4 7 2 6" xfId="23608" xr:uid="{00000000-0005-0000-0000-0000FB5C0000}"/>
    <cellStyle name="Standard 4 3 4 7 3" xfId="23609" xr:uid="{00000000-0005-0000-0000-0000FC5C0000}"/>
    <cellStyle name="Standard 4 3 4 7 3 2" xfId="23610" xr:uid="{00000000-0005-0000-0000-0000FD5C0000}"/>
    <cellStyle name="Standard 4 3 4 7 3 3" xfId="23611" xr:uid="{00000000-0005-0000-0000-0000FE5C0000}"/>
    <cellStyle name="Standard 4 3 4 7 4" xfId="23612" xr:uid="{00000000-0005-0000-0000-0000FF5C0000}"/>
    <cellStyle name="Standard 4 3 4 7 4 2" xfId="23613" xr:uid="{00000000-0005-0000-0000-0000005D0000}"/>
    <cellStyle name="Standard 4 3 4 7 4 3" xfId="23614" xr:uid="{00000000-0005-0000-0000-0000015D0000}"/>
    <cellStyle name="Standard 4 3 4 7 5" xfId="23615" xr:uid="{00000000-0005-0000-0000-0000025D0000}"/>
    <cellStyle name="Standard 4 3 4 7 5 2" xfId="23616" xr:uid="{00000000-0005-0000-0000-0000035D0000}"/>
    <cellStyle name="Standard 4 3 4 7 6" xfId="23617" xr:uid="{00000000-0005-0000-0000-0000045D0000}"/>
    <cellStyle name="Standard 4 3 4 7 7" xfId="23618" xr:uid="{00000000-0005-0000-0000-0000055D0000}"/>
    <cellStyle name="Standard 4 3 4 8" xfId="23619" xr:uid="{00000000-0005-0000-0000-0000065D0000}"/>
    <cellStyle name="Standard 4 3 4 8 2" xfId="23620" xr:uid="{00000000-0005-0000-0000-0000075D0000}"/>
    <cellStyle name="Standard 4 3 4 8 2 2" xfId="23621" xr:uid="{00000000-0005-0000-0000-0000085D0000}"/>
    <cellStyle name="Standard 4 3 4 8 2 3" xfId="23622" xr:uid="{00000000-0005-0000-0000-0000095D0000}"/>
    <cellStyle name="Standard 4 3 4 8 3" xfId="23623" xr:uid="{00000000-0005-0000-0000-00000A5D0000}"/>
    <cellStyle name="Standard 4 3 4 8 3 2" xfId="23624" xr:uid="{00000000-0005-0000-0000-00000B5D0000}"/>
    <cellStyle name="Standard 4 3 4 8 3 3" xfId="23625" xr:uid="{00000000-0005-0000-0000-00000C5D0000}"/>
    <cellStyle name="Standard 4 3 4 8 4" xfId="23626" xr:uid="{00000000-0005-0000-0000-00000D5D0000}"/>
    <cellStyle name="Standard 4 3 4 8 4 2" xfId="23627" xr:uid="{00000000-0005-0000-0000-00000E5D0000}"/>
    <cellStyle name="Standard 4 3 4 8 5" xfId="23628" xr:uid="{00000000-0005-0000-0000-00000F5D0000}"/>
    <cellStyle name="Standard 4 3 4 8 6" xfId="23629" xr:uid="{00000000-0005-0000-0000-0000105D0000}"/>
    <cellStyle name="Standard 4 3 4 9" xfId="23630" xr:uid="{00000000-0005-0000-0000-0000115D0000}"/>
    <cellStyle name="Standard 4 3 4 9 2" xfId="23631" xr:uid="{00000000-0005-0000-0000-0000125D0000}"/>
    <cellStyle name="Standard 4 3 4 9 3" xfId="23632" xr:uid="{00000000-0005-0000-0000-0000135D0000}"/>
    <cellStyle name="Standard 4 3 5" xfId="23633" xr:uid="{00000000-0005-0000-0000-0000145D0000}"/>
    <cellStyle name="Standard 4 3 5 10" xfId="23634" xr:uid="{00000000-0005-0000-0000-0000155D0000}"/>
    <cellStyle name="Standard 4 3 5 10 2" xfId="23635" xr:uid="{00000000-0005-0000-0000-0000165D0000}"/>
    <cellStyle name="Standard 4 3 5 11" xfId="23636" xr:uid="{00000000-0005-0000-0000-0000175D0000}"/>
    <cellStyle name="Standard 4 3 5 12" xfId="23637" xr:uid="{00000000-0005-0000-0000-0000185D0000}"/>
    <cellStyle name="Standard 4 3 5 2" xfId="23638" xr:uid="{00000000-0005-0000-0000-0000195D0000}"/>
    <cellStyle name="Standard 4 3 5 2 10" xfId="23639" xr:uid="{00000000-0005-0000-0000-00001A5D0000}"/>
    <cellStyle name="Standard 4 3 5 2 11" xfId="23640" xr:uid="{00000000-0005-0000-0000-00001B5D0000}"/>
    <cellStyle name="Standard 4 3 5 2 2" xfId="23641" xr:uid="{00000000-0005-0000-0000-00001C5D0000}"/>
    <cellStyle name="Standard 4 3 5 2 2 10" xfId="23642" xr:uid="{00000000-0005-0000-0000-00001D5D0000}"/>
    <cellStyle name="Standard 4 3 5 2 2 2" xfId="23643" xr:uid="{00000000-0005-0000-0000-00001E5D0000}"/>
    <cellStyle name="Standard 4 3 5 2 2 2 2" xfId="23644" xr:uid="{00000000-0005-0000-0000-00001F5D0000}"/>
    <cellStyle name="Standard 4 3 5 2 2 2 2 2" xfId="23645" xr:uid="{00000000-0005-0000-0000-0000205D0000}"/>
    <cellStyle name="Standard 4 3 5 2 2 2 2 2 2" xfId="23646" xr:uid="{00000000-0005-0000-0000-0000215D0000}"/>
    <cellStyle name="Standard 4 3 5 2 2 2 2 2 2 2" xfId="23647" xr:uid="{00000000-0005-0000-0000-0000225D0000}"/>
    <cellStyle name="Standard 4 3 5 2 2 2 2 2 2 3" xfId="23648" xr:uid="{00000000-0005-0000-0000-0000235D0000}"/>
    <cellStyle name="Standard 4 3 5 2 2 2 2 2 3" xfId="23649" xr:uid="{00000000-0005-0000-0000-0000245D0000}"/>
    <cellStyle name="Standard 4 3 5 2 2 2 2 2 3 2" xfId="23650" xr:uid="{00000000-0005-0000-0000-0000255D0000}"/>
    <cellStyle name="Standard 4 3 5 2 2 2 2 2 3 3" xfId="23651" xr:uid="{00000000-0005-0000-0000-0000265D0000}"/>
    <cellStyle name="Standard 4 3 5 2 2 2 2 2 4" xfId="23652" xr:uid="{00000000-0005-0000-0000-0000275D0000}"/>
    <cellStyle name="Standard 4 3 5 2 2 2 2 2 4 2" xfId="23653" xr:uid="{00000000-0005-0000-0000-0000285D0000}"/>
    <cellStyle name="Standard 4 3 5 2 2 2 2 2 5" xfId="23654" xr:uid="{00000000-0005-0000-0000-0000295D0000}"/>
    <cellStyle name="Standard 4 3 5 2 2 2 2 2 6" xfId="23655" xr:uid="{00000000-0005-0000-0000-00002A5D0000}"/>
    <cellStyle name="Standard 4 3 5 2 2 2 2 3" xfId="23656" xr:uid="{00000000-0005-0000-0000-00002B5D0000}"/>
    <cellStyle name="Standard 4 3 5 2 2 2 2 3 2" xfId="23657" xr:uid="{00000000-0005-0000-0000-00002C5D0000}"/>
    <cellStyle name="Standard 4 3 5 2 2 2 2 3 3" xfId="23658" xr:uid="{00000000-0005-0000-0000-00002D5D0000}"/>
    <cellStyle name="Standard 4 3 5 2 2 2 2 4" xfId="23659" xr:uid="{00000000-0005-0000-0000-00002E5D0000}"/>
    <cellStyle name="Standard 4 3 5 2 2 2 2 4 2" xfId="23660" xr:uid="{00000000-0005-0000-0000-00002F5D0000}"/>
    <cellStyle name="Standard 4 3 5 2 2 2 2 4 3" xfId="23661" xr:uid="{00000000-0005-0000-0000-0000305D0000}"/>
    <cellStyle name="Standard 4 3 5 2 2 2 2 5" xfId="23662" xr:uid="{00000000-0005-0000-0000-0000315D0000}"/>
    <cellStyle name="Standard 4 3 5 2 2 2 2 5 2" xfId="23663" xr:uid="{00000000-0005-0000-0000-0000325D0000}"/>
    <cellStyle name="Standard 4 3 5 2 2 2 2 6" xfId="23664" xr:uid="{00000000-0005-0000-0000-0000335D0000}"/>
    <cellStyle name="Standard 4 3 5 2 2 2 2 7" xfId="23665" xr:uid="{00000000-0005-0000-0000-0000345D0000}"/>
    <cellStyle name="Standard 4 3 5 2 2 2 3" xfId="23666" xr:uid="{00000000-0005-0000-0000-0000355D0000}"/>
    <cellStyle name="Standard 4 3 5 2 2 2 3 2" xfId="23667" xr:uid="{00000000-0005-0000-0000-0000365D0000}"/>
    <cellStyle name="Standard 4 3 5 2 2 2 3 2 2" xfId="23668" xr:uid="{00000000-0005-0000-0000-0000375D0000}"/>
    <cellStyle name="Standard 4 3 5 2 2 2 3 2 3" xfId="23669" xr:uid="{00000000-0005-0000-0000-0000385D0000}"/>
    <cellStyle name="Standard 4 3 5 2 2 2 3 3" xfId="23670" xr:uid="{00000000-0005-0000-0000-0000395D0000}"/>
    <cellStyle name="Standard 4 3 5 2 2 2 3 3 2" xfId="23671" xr:uid="{00000000-0005-0000-0000-00003A5D0000}"/>
    <cellStyle name="Standard 4 3 5 2 2 2 3 3 3" xfId="23672" xr:uid="{00000000-0005-0000-0000-00003B5D0000}"/>
    <cellStyle name="Standard 4 3 5 2 2 2 3 4" xfId="23673" xr:uid="{00000000-0005-0000-0000-00003C5D0000}"/>
    <cellStyle name="Standard 4 3 5 2 2 2 3 4 2" xfId="23674" xr:uid="{00000000-0005-0000-0000-00003D5D0000}"/>
    <cellStyle name="Standard 4 3 5 2 2 2 3 5" xfId="23675" xr:uid="{00000000-0005-0000-0000-00003E5D0000}"/>
    <cellStyle name="Standard 4 3 5 2 2 2 3 6" xfId="23676" xr:uid="{00000000-0005-0000-0000-00003F5D0000}"/>
    <cellStyle name="Standard 4 3 5 2 2 2 4" xfId="23677" xr:uid="{00000000-0005-0000-0000-0000405D0000}"/>
    <cellStyle name="Standard 4 3 5 2 2 2 4 2" xfId="23678" xr:uid="{00000000-0005-0000-0000-0000415D0000}"/>
    <cellStyle name="Standard 4 3 5 2 2 2 4 3" xfId="23679" xr:uid="{00000000-0005-0000-0000-0000425D0000}"/>
    <cellStyle name="Standard 4 3 5 2 2 2 5" xfId="23680" xr:uid="{00000000-0005-0000-0000-0000435D0000}"/>
    <cellStyle name="Standard 4 3 5 2 2 2 5 2" xfId="23681" xr:uid="{00000000-0005-0000-0000-0000445D0000}"/>
    <cellStyle name="Standard 4 3 5 2 2 2 5 3" xfId="23682" xr:uid="{00000000-0005-0000-0000-0000455D0000}"/>
    <cellStyle name="Standard 4 3 5 2 2 2 6" xfId="23683" xr:uid="{00000000-0005-0000-0000-0000465D0000}"/>
    <cellStyle name="Standard 4 3 5 2 2 2 6 2" xfId="23684" xr:uid="{00000000-0005-0000-0000-0000475D0000}"/>
    <cellStyle name="Standard 4 3 5 2 2 2 7" xfId="23685" xr:uid="{00000000-0005-0000-0000-0000485D0000}"/>
    <cellStyle name="Standard 4 3 5 2 2 2 8" xfId="23686" xr:uid="{00000000-0005-0000-0000-0000495D0000}"/>
    <cellStyle name="Standard 4 3 5 2 2 3" xfId="23687" xr:uid="{00000000-0005-0000-0000-00004A5D0000}"/>
    <cellStyle name="Standard 4 3 5 2 2 3 2" xfId="23688" xr:uid="{00000000-0005-0000-0000-00004B5D0000}"/>
    <cellStyle name="Standard 4 3 5 2 2 3 2 2" xfId="23689" xr:uid="{00000000-0005-0000-0000-00004C5D0000}"/>
    <cellStyle name="Standard 4 3 5 2 2 3 2 2 2" xfId="23690" xr:uid="{00000000-0005-0000-0000-00004D5D0000}"/>
    <cellStyle name="Standard 4 3 5 2 2 3 2 2 2 2" xfId="23691" xr:uid="{00000000-0005-0000-0000-00004E5D0000}"/>
    <cellStyle name="Standard 4 3 5 2 2 3 2 2 2 3" xfId="23692" xr:uid="{00000000-0005-0000-0000-00004F5D0000}"/>
    <cellStyle name="Standard 4 3 5 2 2 3 2 2 3" xfId="23693" xr:uid="{00000000-0005-0000-0000-0000505D0000}"/>
    <cellStyle name="Standard 4 3 5 2 2 3 2 2 3 2" xfId="23694" xr:uid="{00000000-0005-0000-0000-0000515D0000}"/>
    <cellStyle name="Standard 4 3 5 2 2 3 2 2 3 3" xfId="23695" xr:uid="{00000000-0005-0000-0000-0000525D0000}"/>
    <cellStyle name="Standard 4 3 5 2 2 3 2 2 4" xfId="23696" xr:uid="{00000000-0005-0000-0000-0000535D0000}"/>
    <cellStyle name="Standard 4 3 5 2 2 3 2 2 4 2" xfId="23697" xr:uid="{00000000-0005-0000-0000-0000545D0000}"/>
    <cellStyle name="Standard 4 3 5 2 2 3 2 2 5" xfId="23698" xr:uid="{00000000-0005-0000-0000-0000555D0000}"/>
    <cellStyle name="Standard 4 3 5 2 2 3 2 2 6" xfId="23699" xr:uid="{00000000-0005-0000-0000-0000565D0000}"/>
    <cellStyle name="Standard 4 3 5 2 2 3 2 3" xfId="23700" xr:uid="{00000000-0005-0000-0000-0000575D0000}"/>
    <cellStyle name="Standard 4 3 5 2 2 3 2 3 2" xfId="23701" xr:uid="{00000000-0005-0000-0000-0000585D0000}"/>
    <cellStyle name="Standard 4 3 5 2 2 3 2 3 3" xfId="23702" xr:uid="{00000000-0005-0000-0000-0000595D0000}"/>
    <cellStyle name="Standard 4 3 5 2 2 3 2 4" xfId="23703" xr:uid="{00000000-0005-0000-0000-00005A5D0000}"/>
    <cellStyle name="Standard 4 3 5 2 2 3 2 4 2" xfId="23704" xr:uid="{00000000-0005-0000-0000-00005B5D0000}"/>
    <cellStyle name="Standard 4 3 5 2 2 3 2 4 3" xfId="23705" xr:uid="{00000000-0005-0000-0000-00005C5D0000}"/>
    <cellStyle name="Standard 4 3 5 2 2 3 2 5" xfId="23706" xr:uid="{00000000-0005-0000-0000-00005D5D0000}"/>
    <cellStyle name="Standard 4 3 5 2 2 3 2 5 2" xfId="23707" xr:uid="{00000000-0005-0000-0000-00005E5D0000}"/>
    <cellStyle name="Standard 4 3 5 2 2 3 2 6" xfId="23708" xr:uid="{00000000-0005-0000-0000-00005F5D0000}"/>
    <cellStyle name="Standard 4 3 5 2 2 3 2 7" xfId="23709" xr:uid="{00000000-0005-0000-0000-0000605D0000}"/>
    <cellStyle name="Standard 4 3 5 2 2 3 3" xfId="23710" xr:uid="{00000000-0005-0000-0000-0000615D0000}"/>
    <cellStyle name="Standard 4 3 5 2 2 3 3 2" xfId="23711" xr:uid="{00000000-0005-0000-0000-0000625D0000}"/>
    <cellStyle name="Standard 4 3 5 2 2 3 3 2 2" xfId="23712" xr:uid="{00000000-0005-0000-0000-0000635D0000}"/>
    <cellStyle name="Standard 4 3 5 2 2 3 3 2 3" xfId="23713" xr:uid="{00000000-0005-0000-0000-0000645D0000}"/>
    <cellStyle name="Standard 4 3 5 2 2 3 3 3" xfId="23714" xr:uid="{00000000-0005-0000-0000-0000655D0000}"/>
    <cellStyle name="Standard 4 3 5 2 2 3 3 3 2" xfId="23715" xr:uid="{00000000-0005-0000-0000-0000665D0000}"/>
    <cellStyle name="Standard 4 3 5 2 2 3 3 3 3" xfId="23716" xr:uid="{00000000-0005-0000-0000-0000675D0000}"/>
    <cellStyle name="Standard 4 3 5 2 2 3 3 4" xfId="23717" xr:uid="{00000000-0005-0000-0000-0000685D0000}"/>
    <cellStyle name="Standard 4 3 5 2 2 3 3 4 2" xfId="23718" xr:uid="{00000000-0005-0000-0000-0000695D0000}"/>
    <cellStyle name="Standard 4 3 5 2 2 3 3 5" xfId="23719" xr:uid="{00000000-0005-0000-0000-00006A5D0000}"/>
    <cellStyle name="Standard 4 3 5 2 2 3 3 6" xfId="23720" xr:uid="{00000000-0005-0000-0000-00006B5D0000}"/>
    <cellStyle name="Standard 4 3 5 2 2 3 4" xfId="23721" xr:uid="{00000000-0005-0000-0000-00006C5D0000}"/>
    <cellStyle name="Standard 4 3 5 2 2 3 4 2" xfId="23722" xr:uid="{00000000-0005-0000-0000-00006D5D0000}"/>
    <cellStyle name="Standard 4 3 5 2 2 3 4 3" xfId="23723" xr:uid="{00000000-0005-0000-0000-00006E5D0000}"/>
    <cellStyle name="Standard 4 3 5 2 2 3 5" xfId="23724" xr:uid="{00000000-0005-0000-0000-00006F5D0000}"/>
    <cellStyle name="Standard 4 3 5 2 2 3 5 2" xfId="23725" xr:uid="{00000000-0005-0000-0000-0000705D0000}"/>
    <cellStyle name="Standard 4 3 5 2 2 3 5 3" xfId="23726" xr:uid="{00000000-0005-0000-0000-0000715D0000}"/>
    <cellStyle name="Standard 4 3 5 2 2 3 6" xfId="23727" xr:uid="{00000000-0005-0000-0000-0000725D0000}"/>
    <cellStyle name="Standard 4 3 5 2 2 3 6 2" xfId="23728" xr:uid="{00000000-0005-0000-0000-0000735D0000}"/>
    <cellStyle name="Standard 4 3 5 2 2 3 7" xfId="23729" xr:uid="{00000000-0005-0000-0000-0000745D0000}"/>
    <cellStyle name="Standard 4 3 5 2 2 3 8" xfId="23730" xr:uid="{00000000-0005-0000-0000-0000755D0000}"/>
    <cellStyle name="Standard 4 3 5 2 2 4" xfId="23731" xr:uid="{00000000-0005-0000-0000-0000765D0000}"/>
    <cellStyle name="Standard 4 3 5 2 2 4 2" xfId="23732" xr:uid="{00000000-0005-0000-0000-0000775D0000}"/>
    <cellStyle name="Standard 4 3 5 2 2 4 2 2" xfId="23733" xr:uid="{00000000-0005-0000-0000-0000785D0000}"/>
    <cellStyle name="Standard 4 3 5 2 2 4 2 2 2" xfId="23734" xr:uid="{00000000-0005-0000-0000-0000795D0000}"/>
    <cellStyle name="Standard 4 3 5 2 2 4 2 2 3" xfId="23735" xr:uid="{00000000-0005-0000-0000-00007A5D0000}"/>
    <cellStyle name="Standard 4 3 5 2 2 4 2 3" xfId="23736" xr:uid="{00000000-0005-0000-0000-00007B5D0000}"/>
    <cellStyle name="Standard 4 3 5 2 2 4 2 3 2" xfId="23737" xr:uid="{00000000-0005-0000-0000-00007C5D0000}"/>
    <cellStyle name="Standard 4 3 5 2 2 4 2 3 3" xfId="23738" xr:uid="{00000000-0005-0000-0000-00007D5D0000}"/>
    <cellStyle name="Standard 4 3 5 2 2 4 2 4" xfId="23739" xr:uid="{00000000-0005-0000-0000-00007E5D0000}"/>
    <cellStyle name="Standard 4 3 5 2 2 4 2 4 2" xfId="23740" xr:uid="{00000000-0005-0000-0000-00007F5D0000}"/>
    <cellStyle name="Standard 4 3 5 2 2 4 2 5" xfId="23741" xr:uid="{00000000-0005-0000-0000-0000805D0000}"/>
    <cellStyle name="Standard 4 3 5 2 2 4 2 6" xfId="23742" xr:uid="{00000000-0005-0000-0000-0000815D0000}"/>
    <cellStyle name="Standard 4 3 5 2 2 4 3" xfId="23743" xr:uid="{00000000-0005-0000-0000-0000825D0000}"/>
    <cellStyle name="Standard 4 3 5 2 2 4 3 2" xfId="23744" xr:uid="{00000000-0005-0000-0000-0000835D0000}"/>
    <cellStyle name="Standard 4 3 5 2 2 4 3 3" xfId="23745" xr:uid="{00000000-0005-0000-0000-0000845D0000}"/>
    <cellStyle name="Standard 4 3 5 2 2 4 4" xfId="23746" xr:uid="{00000000-0005-0000-0000-0000855D0000}"/>
    <cellStyle name="Standard 4 3 5 2 2 4 4 2" xfId="23747" xr:uid="{00000000-0005-0000-0000-0000865D0000}"/>
    <cellStyle name="Standard 4 3 5 2 2 4 4 3" xfId="23748" xr:uid="{00000000-0005-0000-0000-0000875D0000}"/>
    <cellStyle name="Standard 4 3 5 2 2 4 5" xfId="23749" xr:uid="{00000000-0005-0000-0000-0000885D0000}"/>
    <cellStyle name="Standard 4 3 5 2 2 4 5 2" xfId="23750" xr:uid="{00000000-0005-0000-0000-0000895D0000}"/>
    <cellStyle name="Standard 4 3 5 2 2 4 6" xfId="23751" xr:uid="{00000000-0005-0000-0000-00008A5D0000}"/>
    <cellStyle name="Standard 4 3 5 2 2 4 7" xfId="23752" xr:uid="{00000000-0005-0000-0000-00008B5D0000}"/>
    <cellStyle name="Standard 4 3 5 2 2 5" xfId="23753" xr:uid="{00000000-0005-0000-0000-00008C5D0000}"/>
    <cellStyle name="Standard 4 3 5 2 2 5 2" xfId="23754" xr:uid="{00000000-0005-0000-0000-00008D5D0000}"/>
    <cellStyle name="Standard 4 3 5 2 2 5 2 2" xfId="23755" xr:uid="{00000000-0005-0000-0000-00008E5D0000}"/>
    <cellStyle name="Standard 4 3 5 2 2 5 2 3" xfId="23756" xr:uid="{00000000-0005-0000-0000-00008F5D0000}"/>
    <cellStyle name="Standard 4 3 5 2 2 5 3" xfId="23757" xr:uid="{00000000-0005-0000-0000-0000905D0000}"/>
    <cellStyle name="Standard 4 3 5 2 2 5 3 2" xfId="23758" xr:uid="{00000000-0005-0000-0000-0000915D0000}"/>
    <cellStyle name="Standard 4 3 5 2 2 5 3 3" xfId="23759" xr:uid="{00000000-0005-0000-0000-0000925D0000}"/>
    <cellStyle name="Standard 4 3 5 2 2 5 4" xfId="23760" xr:uid="{00000000-0005-0000-0000-0000935D0000}"/>
    <cellStyle name="Standard 4 3 5 2 2 5 4 2" xfId="23761" xr:uid="{00000000-0005-0000-0000-0000945D0000}"/>
    <cellStyle name="Standard 4 3 5 2 2 5 5" xfId="23762" xr:uid="{00000000-0005-0000-0000-0000955D0000}"/>
    <cellStyle name="Standard 4 3 5 2 2 5 6" xfId="23763" xr:uid="{00000000-0005-0000-0000-0000965D0000}"/>
    <cellStyle name="Standard 4 3 5 2 2 6" xfId="23764" xr:uid="{00000000-0005-0000-0000-0000975D0000}"/>
    <cellStyle name="Standard 4 3 5 2 2 6 2" xfId="23765" xr:uid="{00000000-0005-0000-0000-0000985D0000}"/>
    <cellStyle name="Standard 4 3 5 2 2 6 3" xfId="23766" xr:uid="{00000000-0005-0000-0000-0000995D0000}"/>
    <cellStyle name="Standard 4 3 5 2 2 7" xfId="23767" xr:uid="{00000000-0005-0000-0000-00009A5D0000}"/>
    <cellStyle name="Standard 4 3 5 2 2 7 2" xfId="23768" xr:uid="{00000000-0005-0000-0000-00009B5D0000}"/>
    <cellStyle name="Standard 4 3 5 2 2 7 3" xfId="23769" xr:uid="{00000000-0005-0000-0000-00009C5D0000}"/>
    <cellStyle name="Standard 4 3 5 2 2 8" xfId="23770" xr:uid="{00000000-0005-0000-0000-00009D5D0000}"/>
    <cellStyle name="Standard 4 3 5 2 2 8 2" xfId="23771" xr:uid="{00000000-0005-0000-0000-00009E5D0000}"/>
    <cellStyle name="Standard 4 3 5 2 2 9" xfId="23772" xr:uid="{00000000-0005-0000-0000-00009F5D0000}"/>
    <cellStyle name="Standard 4 3 5 2 3" xfId="23773" xr:uid="{00000000-0005-0000-0000-0000A05D0000}"/>
    <cellStyle name="Standard 4 3 5 2 3 2" xfId="23774" xr:uid="{00000000-0005-0000-0000-0000A15D0000}"/>
    <cellStyle name="Standard 4 3 5 2 3 2 2" xfId="23775" xr:uid="{00000000-0005-0000-0000-0000A25D0000}"/>
    <cellStyle name="Standard 4 3 5 2 3 2 2 2" xfId="23776" xr:uid="{00000000-0005-0000-0000-0000A35D0000}"/>
    <cellStyle name="Standard 4 3 5 2 3 2 2 2 2" xfId="23777" xr:uid="{00000000-0005-0000-0000-0000A45D0000}"/>
    <cellStyle name="Standard 4 3 5 2 3 2 2 2 3" xfId="23778" xr:uid="{00000000-0005-0000-0000-0000A55D0000}"/>
    <cellStyle name="Standard 4 3 5 2 3 2 2 3" xfId="23779" xr:uid="{00000000-0005-0000-0000-0000A65D0000}"/>
    <cellStyle name="Standard 4 3 5 2 3 2 2 3 2" xfId="23780" xr:uid="{00000000-0005-0000-0000-0000A75D0000}"/>
    <cellStyle name="Standard 4 3 5 2 3 2 2 3 3" xfId="23781" xr:uid="{00000000-0005-0000-0000-0000A85D0000}"/>
    <cellStyle name="Standard 4 3 5 2 3 2 2 4" xfId="23782" xr:uid="{00000000-0005-0000-0000-0000A95D0000}"/>
    <cellStyle name="Standard 4 3 5 2 3 2 2 4 2" xfId="23783" xr:uid="{00000000-0005-0000-0000-0000AA5D0000}"/>
    <cellStyle name="Standard 4 3 5 2 3 2 2 5" xfId="23784" xr:uid="{00000000-0005-0000-0000-0000AB5D0000}"/>
    <cellStyle name="Standard 4 3 5 2 3 2 2 6" xfId="23785" xr:uid="{00000000-0005-0000-0000-0000AC5D0000}"/>
    <cellStyle name="Standard 4 3 5 2 3 2 3" xfId="23786" xr:uid="{00000000-0005-0000-0000-0000AD5D0000}"/>
    <cellStyle name="Standard 4 3 5 2 3 2 3 2" xfId="23787" xr:uid="{00000000-0005-0000-0000-0000AE5D0000}"/>
    <cellStyle name="Standard 4 3 5 2 3 2 3 3" xfId="23788" xr:uid="{00000000-0005-0000-0000-0000AF5D0000}"/>
    <cellStyle name="Standard 4 3 5 2 3 2 4" xfId="23789" xr:uid="{00000000-0005-0000-0000-0000B05D0000}"/>
    <cellStyle name="Standard 4 3 5 2 3 2 4 2" xfId="23790" xr:uid="{00000000-0005-0000-0000-0000B15D0000}"/>
    <cellStyle name="Standard 4 3 5 2 3 2 4 3" xfId="23791" xr:uid="{00000000-0005-0000-0000-0000B25D0000}"/>
    <cellStyle name="Standard 4 3 5 2 3 2 5" xfId="23792" xr:uid="{00000000-0005-0000-0000-0000B35D0000}"/>
    <cellStyle name="Standard 4 3 5 2 3 2 5 2" xfId="23793" xr:uid="{00000000-0005-0000-0000-0000B45D0000}"/>
    <cellStyle name="Standard 4 3 5 2 3 2 6" xfId="23794" xr:uid="{00000000-0005-0000-0000-0000B55D0000}"/>
    <cellStyle name="Standard 4 3 5 2 3 2 7" xfId="23795" xr:uid="{00000000-0005-0000-0000-0000B65D0000}"/>
    <cellStyle name="Standard 4 3 5 2 3 3" xfId="23796" xr:uid="{00000000-0005-0000-0000-0000B75D0000}"/>
    <cellStyle name="Standard 4 3 5 2 3 3 2" xfId="23797" xr:uid="{00000000-0005-0000-0000-0000B85D0000}"/>
    <cellStyle name="Standard 4 3 5 2 3 3 2 2" xfId="23798" xr:uid="{00000000-0005-0000-0000-0000B95D0000}"/>
    <cellStyle name="Standard 4 3 5 2 3 3 2 3" xfId="23799" xr:uid="{00000000-0005-0000-0000-0000BA5D0000}"/>
    <cellStyle name="Standard 4 3 5 2 3 3 3" xfId="23800" xr:uid="{00000000-0005-0000-0000-0000BB5D0000}"/>
    <cellStyle name="Standard 4 3 5 2 3 3 3 2" xfId="23801" xr:uid="{00000000-0005-0000-0000-0000BC5D0000}"/>
    <cellStyle name="Standard 4 3 5 2 3 3 3 3" xfId="23802" xr:uid="{00000000-0005-0000-0000-0000BD5D0000}"/>
    <cellStyle name="Standard 4 3 5 2 3 3 4" xfId="23803" xr:uid="{00000000-0005-0000-0000-0000BE5D0000}"/>
    <cellStyle name="Standard 4 3 5 2 3 3 4 2" xfId="23804" xr:uid="{00000000-0005-0000-0000-0000BF5D0000}"/>
    <cellStyle name="Standard 4 3 5 2 3 3 5" xfId="23805" xr:uid="{00000000-0005-0000-0000-0000C05D0000}"/>
    <cellStyle name="Standard 4 3 5 2 3 3 6" xfId="23806" xr:uid="{00000000-0005-0000-0000-0000C15D0000}"/>
    <cellStyle name="Standard 4 3 5 2 3 4" xfId="23807" xr:uid="{00000000-0005-0000-0000-0000C25D0000}"/>
    <cellStyle name="Standard 4 3 5 2 3 4 2" xfId="23808" xr:uid="{00000000-0005-0000-0000-0000C35D0000}"/>
    <cellStyle name="Standard 4 3 5 2 3 4 3" xfId="23809" xr:uid="{00000000-0005-0000-0000-0000C45D0000}"/>
    <cellStyle name="Standard 4 3 5 2 3 5" xfId="23810" xr:uid="{00000000-0005-0000-0000-0000C55D0000}"/>
    <cellStyle name="Standard 4 3 5 2 3 5 2" xfId="23811" xr:uid="{00000000-0005-0000-0000-0000C65D0000}"/>
    <cellStyle name="Standard 4 3 5 2 3 5 3" xfId="23812" xr:uid="{00000000-0005-0000-0000-0000C75D0000}"/>
    <cellStyle name="Standard 4 3 5 2 3 6" xfId="23813" xr:uid="{00000000-0005-0000-0000-0000C85D0000}"/>
    <cellStyle name="Standard 4 3 5 2 3 6 2" xfId="23814" xr:uid="{00000000-0005-0000-0000-0000C95D0000}"/>
    <cellStyle name="Standard 4 3 5 2 3 7" xfId="23815" xr:uid="{00000000-0005-0000-0000-0000CA5D0000}"/>
    <cellStyle name="Standard 4 3 5 2 3 8" xfId="23816" xr:uid="{00000000-0005-0000-0000-0000CB5D0000}"/>
    <cellStyle name="Standard 4 3 5 2 4" xfId="23817" xr:uid="{00000000-0005-0000-0000-0000CC5D0000}"/>
    <cellStyle name="Standard 4 3 5 2 4 2" xfId="23818" xr:uid="{00000000-0005-0000-0000-0000CD5D0000}"/>
    <cellStyle name="Standard 4 3 5 2 4 2 2" xfId="23819" xr:uid="{00000000-0005-0000-0000-0000CE5D0000}"/>
    <cellStyle name="Standard 4 3 5 2 4 2 2 2" xfId="23820" xr:uid="{00000000-0005-0000-0000-0000CF5D0000}"/>
    <cellStyle name="Standard 4 3 5 2 4 2 2 2 2" xfId="23821" xr:uid="{00000000-0005-0000-0000-0000D05D0000}"/>
    <cellStyle name="Standard 4 3 5 2 4 2 2 2 3" xfId="23822" xr:uid="{00000000-0005-0000-0000-0000D15D0000}"/>
    <cellStyle name="Standard 4 3 5 2 4 2 2 3" xfId="23823" xr:uid="{00000000-0005-0000-0000-0000D25D0000}"/>
    <cellStyle name="Standard 4 3 5 2 4 2 2 3 2" xfId="23824" xr:uid="{00000000-0005-0000-0000-0000D35D0000}"/>
    <cellStyle name="Standard 4 3 5 2 4 2 2 3 3" xfId="23825" xr:uid="{00000000-0005-0000-0000-0000D45D0000}"/>
    <cellStyle name="Standard 4 3 5 2 4 2 2 4" xfId="23826" xr:uid="{00000000-0005-0000-0000-0000D55D0000}"/>
    <cellStyle name="Standard 4 3 5 2 4 2 2 4 2" xfId="23827" xr:uid="{00000000-0005-0000-0000-0000D65D0000}"/>
    <cellStyle name="Standard 4 3 5 2 4 2 2 5" xfId="23828" xr:uid="{00000000-0005-0000-0000-0000D75D0000}"/>
    <cellStyle name="Standard 4 3 5 2 4 2 2 6" xfId="23829" xr:uid="{00000000-0005-0000-0000-0000D85D0000}"/>
    <cellStyle name="Standard 4 3 5 2 4 2 3" xfId="23830" xr:uid="{00000000-0005-0000-0000-0000D95D0000}"/>
    <cellStyle name="Standard 4 3 5 2 4 2 3 2" xfId="23831" xr:uid="{00000000-0005-0000-0000-0000DA5D0000}"/>
    <cellStyle name="Standard 4 3 5 2 4 2 3 3" xfId="23832" xr:uid="{00000000-0005-0000-0000-0000DB5D0000}"/>
    <cellStyle name="Standard 4 3 5 2 4 2 4" xfId="23833" xr:uid="{00000000-0005-0000-0000-0000DC5D0000}"/>
    <cellStyle name="Standard 4 3 5 2 4 2 4 2" xfId="23834" xr:uid="{00000000-0005-0000-0000-0000DD5D0000}"/>
    <cellStyle name="Standard 4 3 5 2 4 2 4 3" xfId="23835" xr:uid="{00000000-0005-0000-0000-0000DE5D0000}"/>
    <cellStyle name="Standard 4 3 5 2 4 2 5" xfId="23836" xr:uid="{00000000-0005-0000-0000-0000DF5D0000}"/>
    <cellStyle name="Standard 4 3 5 2 4 2 5 2" xfId="23837" xr:uid="{00000000-0005-0000-0000-0000E05D0000}"/>
    <cellStyle name="Standard 4 3 5 2 4 2 6" xfId="23838" xr:uid="{00000000-0005-0000-0000-0000E15D0000}"/>
    <cellStyle name="Standard 4 3 5 2 4 2 7" xfId="23839" xr:uid="{00000000-0005-0000-0000-0000E25D0000}"/>
    <cellStyle name="Standard 4 3 5 2 4 3" xfId="23840" xr:uid="{00000000-0005-0000-0000-0000E35D0000}"/>
    <cellStyle name="Standard 4 3 5 2 4 3 2" xfId="23841" xr:uid="{00000000-0005-0000-0000-0000E45D0000}"/>
    <cellStyle name="Standard 4 3 5 2 4 3 2 2" xfId="23842" xr:uid="{00000000-0005-0000-0000-0000E55D0000}"/>
    <cellStyle name="Standard 4 3 5 2 4 3 2 3" xfId="23843" xr:uid="{00000000-0005-0000-0000-0000E65D0000}"/>
    <cellStyle name="Standard 4 3 5 2 4 3 3" xfId="23844" xr:uid="{00000000-0005-0000-0000-0000E75D0000}"/>
    <cellStyle name="Standard 4 3 5 2 4 3 3 2" xfId="23845" xr:uid="{00000000-0005-0000-0000-0000E85D0000}"/>
    <cellStyle name="Standard 4 3 5 2 4 3 3 3" xfId="23846" xr:uid="{00000000-0005-0000-0000-0000E95D0000}"/>
    <cellStyle name="Standard 4 3 5 2 4 3 4" xfId="23847" xr:uid="{00000000-0005-0000-0000-0000EA5D0000}"/>
    <cellStyle name="Standard 4 3 5 2 4 3 4 2" xfId="23848" xr:uid="{00000000-0005-0000-0000-0000EB5D0000}"/>
    <cellStyle name="Standard 4 3 5 2 4 3 5" xfId="23849" xr:uid="{00000000-0005-0000-0000-0000EC5D0000}"/>
    <cellStyle name="Standard 4 3 5 2 4 3 6" xfId="23850" xr:uid="{00000000-0005-0000-0000-0000ED5D0000}"/>
    <cellStyle name="Standard 4 3 5 2 4 4" xfId="23851" xr:uid="{00000000-0005-0000-0000-0000EE5D0000}"/>
    <cellStyle name="Standard 4 3 5 2 4 4 2" xfId="23852" xr:uid="{00000000-0005-0000-0000-0000EF5D0000}"/>
    <cellStyle name="Standard 4 3 5 2 4 4 3" xfId="23853" xr:uid="{00000000-0005-0000-0000-0000F05D0000}"/>
    <cellStyle name="Standard 4 3 5 2 4 5" xfId="23854" xr:uid="{00000000-0005-0000-0000-0000F15D0000}"/>
    <cellStyle name="Standard 4 3 5 2 4 5 2" xfId="23855" xr:uid="{00000000-0005-0000-0000-0000F25D0000}"/>
    <cellStyle name="Standard 4 3 5 2 4 5 3" xfId="23856" xr:uid="{00000000-0005-0000-0000-0000F35D0000}"/>
    <cellStyle name="Standard 4 3 5 2 4 6" xfId="23857" xr:uid="{00000000-0005-0000-0000-0000F45D0000}"/>
    <cellStyle name="Standard 4 3 5 2 4 6 2" xfId="23858" xr:uid="{00000000-0005-0000-0000-0000F55D0000}"/>
    <cellStyle name="Standard 4 3 5 2 4 7" xfId="23859" xr:uid="{00000000-0005-0000-0000-0000F65D0000}"/>
    <cellStyle name="Standard 4 3 5 2 4 8" xfId="23860" xr:uid="{00000000-0005-0000-0000-0000F75D0000}"/>
    <cellStyle name="Standard 4 3 5 2 5" xfId="23861" xr:uid="{00000000-0005-0000-0000-0000F85D0000}"/>
    <cellStyle name="Standard 4 3 5 2 5 2" xfId="23862" xr:uid="{00000000-0005-0000-0000-0000F95D0000}"/>
    <cellStyle name="Standard 4 3 5 2 5 2 2" xfId="23863" xr:uid="{00000000-0005-0000-0000-0000FA5D0000}"/>
    <cellStyle name="Standard 4 3 5 2 5 2 2 2" xfId="23864" xr:uid="{00000000-0005-0000-0000-0000FB5D0000}"/>
    <cellStyle name="Standard 4 3 5 2 5 2 2 3" xfId="23865" xr:uid="{00000000-0005-0000-0000-0000FC5D0000}"/>
    <cellStyle name="Standard 4 3 5 2 5 2 3" xfId="23866" xr:uid="{00000000-0005-0000-0000-0000FD5D0000}"/>
    <cellStyle name="Standard 4 3 5 2 5 2 3 2" xfId="23867" xr:uid="{00000000-0005-0000-0000-0000FE5D0000}"/>
    <cellStyle name="Standard 4 3 5 2 5 2 3 3" xfId="23868" xr:uid="{00000000-0005-0000-0000-0000FF5D0000}"/>
    <cellStyle name="Standard 4 3 5 2 5 2 4" xfId="23869" xr:uid="{00000000-0005-0000-0000-0000005E0000}"/>
    <cellStyle name="Standard 4 3 5 2 5 2 4 2" xfId="23870" xr:uid="{00000000-0005-0000-0000-0000015E0000}"/>
    <cellStyle name="Standard 4 3 5 2 5 2 5" xfId="23871" xr:uid="{00000000-0005-0000-0000-0000025E0000}"/>
    <cellStyle name="Standard 4 3 5 2 5 2 6" xfId="23872" xr:uid="{00000000-0005-0000-0000-0000035E0000}"/>
    <cellStyle name="Standard 4 3 5 2 5 3" xfId="23873" xr:uid="{00000000-0005-0000-0000-0000045E0000}"/>
    <cellStyle name="Standard 4 3 5 2 5 3 2" xfId="23874" xr:uid="{00000000-0005-0000-0000-0000055E0000}"/>
    <cellStyle name="Standard 4 3 5 2 5 3 3" xfId="23875" xr:uid="{00000000-0005-0000-0000-0000065E0000}"/>
    <cellStyle name="Standard 4 3 5 2 5 4" xfId="23876" xr:uid="{00000000-0005-0000-0000-0000075E0000}"/>
    <cellStyle name="Standard 4 3 5 2 5 4 2" xfId="23877" xr:uid="{00000000-0005-0000-0000-0000085E0000}"/>
    <cellStyle name="Standard 4 3 5 2 5 4 3" xfId="23878" xr:uid="{00000000-0005-0000-0000-0000095E0000}"/>
    <cellStyle name="Standard 4 3 5 2 5 5" xfId="23879" xr:uid="{00000000-0005-0000-0000-00000A5E0000}"/>
    <cellStyle name="Standard 4 3 5 2 5 5 2" xfId="23880" xr:uid="{00000000-0005-0000-0000-00000B5E0000}"/>
    <cellStyle name="Standard 4 3 5 2 5 6" xfId="23881" xr:uid="{00000000-0005-0000-0000-00000C5E0000}"/>
    <cellStyle name="Standard 4 3 5 2 5 7" xfId="23882" xr:uid="{00000000-0005-0000-0000-00000D5E0000}"/>
    <cellStyle name="Standard 4 3 5 2 6" xfId="23883" xr:uid="{00000000-0005-0000-0000-00000E5E0000}"/>
    <cellStyle name="Standard 4 3 5 2 6 2" xfId="23884" xr:uid="{00000000-0005-0000-0000-00000F5E0000}"/>
    <cellStyle name="Standard 4 3 5 2 6 2 2" xfId="23885" xr:uid="{00000000-0005-0000-0000-0000105E0000}"/>
    <cellStyle name="Standard 4 3 5 2 6 2 3" xfId="23886" xr:uid="{00000000-0005-0000-0000-0000115E0000}"/>
    <cellStyle name="Standard 4 3 5 2 6 3" xfId="23887" xr:uid="{00000000-0005-0000-0000-0000125E0000}"/>
    <cellStyle name="Standard 4 3 5 2 6 3 2" xfId="23888" xr:uid="{00000000-0005-0000-0000-0000135E0000}"/>
    <cellStyle name="Standard 4 3 5 2 6 3 3" xfId="23889" xr:uid="{00000000-0005-0000-0000-0000145E0000}"/>
    <cellStyle name="Standard 4 3 5 2 6 4" xfId="23890" xr:uid="{00000000-0005-0000-0000-0000155E0000}"/>
    <cellStyle name="Standard 4 3 5 2 6 4 2" xfId="23891" xr:uid="{00000000-0005-0000-0000-0000165E0000}"/>
    <cellStyle name="Standard 4 3 5 2 6 5" xfId="23892" xr:uid="{00000000-0005-0000-0000-0000175E0000}"/>
    <cellStyle name="Standard 4 3 5 2 6 6" xfId="23893" xr:uid="{00000000-0005-0000-0000-0000185E0000}"/>
    <cellStyle name="Standard 4 3 5 2 7" xfId="23894" xr:uid="{00000000-0005-0000-0000-0000195E0000}"/>
    <cellStyle name="Standard 4 3 5 2 7 2" xfId="23895" xr:uid="{00000000-0005-0000-0000-00001A5E0000}"/>
    <cellStyle name="Standard 4 3 5 2 7 3" xfId="23896" xr:uid="{00000000-0005-0000-0000-00001B5E0000}"/>
    <cellStyle name="Standard 4 3 5 2 8" xfId="23897" xr:uid="{00000000-0005-0000-0000-00001C5E0000}"/>
    <cellStyle name="Standard 4 3 5 2 8 2" xfId="23898" xr:uid="{00000000-0005-0000-0000-00001D5E0000}"/>
    <cellStyle name="Standard 4 3 5 2 8 3" xfId="23899" xr:uid="{00000000-0005-0000-0000-00001E5E0000}"/>
    <cellStyle name="Standard 4 3 5 2 9" xfId="23900" xr:uid="{00000000-0005-0000-0000-00001F5E0000}"/>
    <cellStyle name="Standard 4 3 5 2 9 2" xfId="23901" xr:uid="{00000000-0005-0000-0000-0000205E0000}"/>
    <cellStyle name="Standard 4 3 5 3" xfId="23902" xr:uid="{00000000-0005-0000-0000-0000215E0000}"/>
    <cellStyle name="Standard 4 3 5 3 10" xfId="23903" xr:uid="{00000000-0005-0000-0000-0000225E0000}"/>
    <cellStyle name="Standard 4 3 5 3 2" xfId="23904" xr:uid="{00000000-0005-0000-0000-0000235E0000}"/>
    <cellStyle name="Standard 4 3 5 3 2 2" xfId="23905" xr:uid="{00000000-0005-0000-0000-0000245E0000}"/>
    <cellStyle name="Standard 4 3 5 3 2 2 2" xfId="23906" xr:uid="{00000000-0005-0000-0000-0000255E0000}"/>
    <cellStyle name="Standard 4 3 5 3 2 2 2 2" xfId="23907" xr:uid="{00000000-0005-0000-0000-0000265E0000}"/>
    <cellStyle name="Standard 4 3 5 3 2 2 2 2 2" xfId="23908" xr:uid="{00000000-0005-0000-0000-0000275E0000}"/>
    <cellStyle name="Standard 4 3 5 3 2 2 2 2 3" xfId="23909" xr:uid="{00000000-0005-0000-0000-0000285E0000}"/>
    <cellStyle name="Standard 4 3 5 3 2 2 2 3" xfId="23910" xr:uid="{00000000-0005-0000-0000-0000295E0000}"/>
    <cellStyle name="Standard 4 3 5 3 2 2 2 3 2" xfId="23911" xr:uid="{00000000-0005-0000-0000-00002A5E0000}"/>
    <cellStyle name="Standard 4 3 5 3 2 2 2 3 3" xfId="23912" xr:uid="{00000000-0005-0000-0000-00002B5E0000}"/>
    <cellStyle name="Standard 4 3 5 3 2 2 2 4" xfId="23913" xr:uid="{00000000-0005-0000-0000-00002C5E0000}"/>
    <cellStyle name="Standard 4 3 5 3 2 2 2 4 2" xfId="23914" xr:uid="{00000000-0005-0000-0000-00002D5E0000}"/>
    <cellStyle name="Standard 4 3 5 3 2 2 2 5" xfId="23915" xr:uid="{00000000-0005-0000-0000-00002E5E0000}"/>
    <cellStyle name="Standard 4 3 5 3 2 2 2 6" xfId="23916" xr:uid="{00000000-0005-0000-0000-00002F5E0000}"/>
    <cellStyle name="Standard 4 3 5 3 2 2 3" xfId="23917" xr:uid="{00000000-0005-0000-0000-0000305E0000}"/>
    <cellStyle name="Standard 4 3 5 3 2 2 3 2" xfId="23918" xr:uid="{00000000-0005-0000-0000-0000315E0000}"/>
    <cellStyle name="Standard 4 3 5 3 2 2 3 3" xfId="23919" xr:uid="{00000000-0005-0000-0000-0000325E0000}"/>
    <cellStyle name="Standard 4 3 5 3 2 2 4" xfId="23920" xr:uid="{00000000-0005-0000-0000-0000335E0000}"/>
    <cellStyle name="Standard 4 3 5 3 2 2 4 2" xfId="23921" xr:uid="{00000000-0005-0000-0000-0000345E0000}"/>
    <cellStyle name="Standard 4 3 5 3 2 2 4 3" xfId="23922" xr:uid="{00000000-0005-0000-0000-0000355E0000}"/>
    <cellStyle name="Standard 4 3 5 3 2 2 5" xfId="23923" xr:uid="{00000000-0005-0000-0000-0000365E0000}"/>
    <cellStyle name="Standard 4 3 5 3 2 2 5 2" xfId="23924" xr:uid="{00000000-0005-0000-0000-0000375E0000}"/>
    <cellStyle name="Standard 4 3 5 3 2 2 6" xfId="23925" xr:uid="{00000000-0005-0000-0000-0000385E0000}"/>
    <cellStyle name="Standard 4 3 5 3 2 2 7" xfId="23926" xr:uid="{00000000-0005-0000-0000-0000395E0000}"/>
    <cellStyle name="Standard 4 3 5 3 2 3" xfId="23927" xr:uid="{00000000-0005-0000-0000-00003A5E0000}"/>
    <cellStyle name="Standard 4 3 5 3 2 3 2" xfId="23928" xr:uid="{00000000-0005-0000-0000-00003B5E0000}"/>
    <cellStyle name="Standard 4 3 5 3 2 3 2 2" xfId="23929" xr:uid="{00000000-0005-0000-0000-00003C5E0000}"/>
    <cellStyle name="Standard 4 3 5 3 2 3 2 3" xfId="23930" xr:uid="{00000000-0005-0000-0000-00003D5E0000}"/>
    <cellStyle name="Standard 4 3 5 3 2 3 3" xfId="23931" xr:uid="{00000000-0005-0000-0000-00003E5E0000}"/>
    <cellStyle name="Standard 4 3 5 3 2 3 3 2" xfId="23932" xr:uid="{00000000-0005-0000-0000-00003F5E0000}"/>
    <cellStyle name="Standard 4 3 5 3 2 3 3 3" xfId="23933" xr:uid="{00000000-0005-0000-0000-0000405E0000}"/>
    <cellStyle name="Standard 4 3 5 3 2 3 4" xfId="23934" xr:uid="{00000000-0005-0000-0000-0000415E0000}"/>
    <cellStyle name="Standard 4 3 5 3 2 3 4 2" xfId="23935" xr:uid="{00000000-0005-0000-0000-0000425E0000}"/>
    <cellStyle name="Standard 4 3 5 3 2 3 5" xfId="23936" xr:uid="{00000000-0005-0000-0000-0000435E0000}"/>
    <cellStyle name="Standard 4 3 5 3 2 3 6" xfId="23937" xr:uid="{00000000-0005-0000-0000-0000445E0000}"/>
    <cellStyle name="Standard 4 3 5 3 2 4" xfId="23938" xr:uid="{00000000-0005-0000-0000-0000455E0000}"/>
    <cellStyle name="Standard 4 3 5 3 2 4 2" xfId="23939" xr:uid="{00000000-0005-0000-0000-0000465E0000}"/>
    <cellStyle name="Standard 4 3 5 3 2 4 3" xfId="23940" xr:uid="{00000000-0005-0000-0000-0000475E0000}"/>
    <cellStyle name="Standard 4 3 5 3 2 5" xfId="23941" xr:uid="{00000000-0005-0000-0000-0000485E0000}"/>
    <cellStyle name="Standard 4 3 5 3 2 5 2" xfId="23942" xr:uid="{00000000-0005-0000-0000-0000495E0000}"/>
    <cellStyle name="Standard 4 3 5 3 2 5 3" xfId="23943" xr:uid="{00000000-0005-0000-0000-00004A5E0000}"/>
    <cellStyle name="Standard 4 3 5 3 2 6" xfId="23944" xr:uid="{00000000-0005-0000-0000-00004B5E0000}"/>
    <cellStyle name="Standard 4 3 5 3 2 6 2" xfId="23945" xr:uid="{00000000-0005-0000-0000-00004C5E0000}"/>
    <cellStyle name="Standard 4 3 5 3 2 7" xfId="23946" xr:uid="{00000000-0005-0000-0000-00004D5E0000}"/>
    <cellStyle name="Standard 4 3 5 3 2 8" xfId="23947" xr:uid="{00000000-0005-0000-0000-00004E5E0000}"/>
    <cellStyle name="Standard 4 3 5 3 3" xfId="23948" xr:uid="{00000000-0005-0000-0000-00004F5E0000}"/>
    <cellStyle name="Standard 4 3 5 3 3 2" xfId="23949" xr:uid="{00000000-0005-0000-0000-0000505E0000}"/>
    <cellStyle name="Standard 4 3 5 3 3 2 2" xfId="23950" xr:uid="{00000000-0005-0000-0000-0000515E0000}"/>
    <cellStyle name="Standard 4 3 5 3 3 2 2 2" xfId="23951" xr:uid="{00000000-0005-0000-0000-0000525E0000}"/>
    <cellStyle name="Standard 4 3 5 3 3 2 2 2 2" xfId="23952" xr:uid="{00000000-0005-0000-0000-0000535E0000}"/>
    <cellStyle name="Standard 4 3 5 3 3 2 2 2 3" xfId="23953" xr:uid="{00000000-0005-0000-0000-0000545E0000}"/>
    <cellStyle name="Standard 4 3 5 3 3 2 2 3" xfId="23954" xr:uid="{00000000-0005-0000-0000-0000555E0000}"/>
    <cellStyle name="Standard 4 3 5 3 3 2 2 3 2" xfId="23955" xr:uid="{00000000-0005-0000-0000-0000565E0000}"/>
    <cellStyle name="Standard 4 3 5 3 3 2 2 3 3" xfId="23956" xr:uid="{00000000-0005-0000-0000-0000575E0000}"/>
    <cellStyle name="Standard 4 3 5 3 3 2 2 4" xfId="23957" xr:uid="{00000000-0005-0000-0000-0000585E0000}"/>
    <cellStyle name="Standard 4 3 5 3 3 2 2 4 2" xfId="23958" xr:uid="{00000000-0005-0000-0000-0000595E0000}"/>
    <cellStyle name="Standard 4 3 5 3 3 2 2 5" xfId="23959" xr:uid="{00000000-0005-0000-0000-00005A5E0000}"/>
    <cellStyle name="Standard 4 3 5 3 3 2 2 6" xfId="23960" xr:uid="{00000000-0005-0000-0000-00005B5E0000}"/>
    <cellStyle name="Standard 4 3 5 3 3 2 3" xfId="23961" xr:uid="{00000000-0005-0000-0000-00005C5E0000}"/>
    <cellStyle name="Standard 4 3 5 3 3 2 3 2" xfId="23962" xr:uid="{00000000-0005-0000-0000-00005D5E0000}"/>
    <cellStyle name="Standard 4 3 5 3 3 2 3 3" xfId="23963" xr:uid="{00000000-0005-0000-0000-00005E5E0000}"/>
    <cellStyle name="Standard 4 3 5 3 3 2 4" xfId="23964" xr:uid="{00000000-0005-0000-0000-00005F5E0000}"/>
    <cellStyle name="Standard 4 3 5 3 3 2 4 2" xfId="23965" xr:uid="{00000000-0005-0000-0000-0000605E0000}"/>
    <cellStyle name="Standard 4 3 5 3 3 2 4 3" xfId="23966" xr:uid="{00000000-0005-0000-0000-0000615E0000}"/>
    <cellStyle name="Standard 4 3 5 3 3 2 5" xfId="23967" xr:uid="{00000000-0005-0000-0000-0000625E0000}"/>
    <cellStyle name="Standard 4 3 5 3 3 2 5 2" xfId="23968" xr:uid="{00000000-0005-0000-0000-0000635E0000}"/>
    <cellStyle name="Standard 4 3 5 3 3 2 6" xfId="23969" xr:uid="{00000000-0005-0000-0000-0000645E0000}"/>
    <cellStyle name="Standard 4 3 5 3 3 2 7" xfId="23970" xr:uid="{00000000-0005-0000-0000-0000655E0000}"/>
    <cellStyle name="Standard 4 3 5 3 3 3" xfId="23971" xr:uid="{00000000-0005-0000-0000-0000665E0000}"/>
    <cellStyle name="Standard 4 3 5 3 3 3 2" xfId="23972" xr:uid="{00000000-0005-0000-0000-0000675E0000}"/>
    <cellStyle name="Standard 4 3 5 3 3 3 2 2" xfId="23973" xr:uid="{00000000-0005-0000-0000-0000685E0000}"/>
    <cellStyle name="Standard 4 3 5 3 3 3 2 3" xfId="23974" xr:uid="{00000000-0005-0000-0000-0000695E0000}"/>
    <cellStyle name="Standard 4 3 5 3 3 3 3" xfId="23975" xr:uid="{00000000-0005-0000-0000-00006A5E0000}"/>
    <cellStyle name="Standard 4 3 5 3 3 3 3 2" xfId="23976" xr:uid="{00000000-0005-0000-0000-00006B5E0000}"/>
    <cellStyle name="Standard 4 3 5 3 3 3 3 3" xfId="23977" xr:uid="{00000000-0005-0000-0000-00006C5E0000}"/>
    <cellStyle name="Standard 4 3 5 3 3 3 4" xfId="23978" xr:uid="{00000000-0005-0000-0000-00006D5E0000}"/>
    <cellStyle name="Standard 4 3 5 3 3 3 4 2" xfId="23979" xr:uid="{00000000-0005-0000-0000-00006E5E0000}"/>
    <cellStyle name="Standard 4 3 5 3 3 3 5" xfId="23980" xr:uid="{00000000-0005-0000-0000-00006F5E0000}"/>
    <cellStyle name="Standard 4 3 5 3 3 3 6" xfId="23981" xr:uid="{00000000-0005-0000-0000-0000705E0000}"/>
    <cellStyle name="Standard 4 3 5 3 3 4" xfId="23982" xr:uid="{00000000-0005-0000-0000-0000715E0000}"/>
    <cellStyle name="Standard 4 3 5 3 3 4 2" xfId="23983" xr:uid="{00000000-0005-0000-0000-0000725E0000}"/>
    <cellStyle name="Standard 4 3 5 3 3 4 3" xfId="23984" xr:uid="{00000000-0005-0000-0000-0000735E0000}"/>
    <cellStyle name="Standard 4 3 5 3 3 5" xfId="23985" xr:uid="{00000000-0005-0000-0000-0000745E0000}"/>
    <cellStyle name="Standard 4 3 5 3 3 5 2" xfId="23986" xr:uid="{00000000-0005-0000-0000-0000755E0000}"/>
    <cellStyle name="Standard 4 3 5 3 3 5 3" xfId="23987" xr:uid="{00000000-0005-0000-0000-0000765E0000}"/>
    <cellStyle name="Standard 4 3 5 3 3 6" xfId="23988" xr:uid="{00000000-0005-0000-0000-0000775E0000}"/>
    <cellStyle name="Standard 4 3 5 3 3 6 2" xfId="23989" xr:uid="{00000000-0005-0000-0000-0000785E0000}"/>
    <cellStyle name="Standard 4 3 5 3 3 7" xfId="23990" xr:uid="{00000000-0005-0000-0000-0000795E0000}"/>
    <cellStyle name="Standard 4 3 5 3 3 8" xfId="23991" xr:uid="{00000000-0005-0000-0000-00007A5E0000}"/>
    <cellStyle name="Standard 4 3 5 3 4" xfId="23992" xr:uid="{00000000-0005-0000-0000-00007B5E0000}"/>
    <cellStyle name="Standard 4 3 5 3 4 2" xfId="23993" xr:uid="{00000000-0005-0000-0000-00007C5E0000}"/>
    <cellStyle name="Standard 4 3 5 3 4 2 2" xfId="23994" xr:uid="{00000000-0005-0000-0000-00007D5E0000}"/>
    <cellStyle name="Standard 4 3 5 3 4 2 2 2" xfId="23995" xr:uid="{00000000-0005-0000-0000-00007E5E0000}"/>
    <cellStyle name="Standard 4 3 5 3 4 2 2 3" xfId="23996" xr:uid="{00000000-0005-0000-0000-00007F5E0000}"/>
    <cellStyle name="Standard 4 3 5 3 4 2 3" xfId="23997" xr:uid="{00000000-0005-0000-0000-0000805E0000}"/>
    <cellStyle name="Standard 4 3 5 3 4 2 3 2" xfId="23998" xr:uid="{00000000-0005-0000-0000-0000815E0000}"/>
    <cellStyle name="Standard 4 3 5 3 4 2 3 3" xfId="23999" xr:uid="{00000000-0005-0000-0000-0000825E0000}"/>
    <cellStyle name="Standard 4 3 5 3 4 2 4" xfId="24000" xr:uid="{00000000-0005-0000-0000-0000835E0000}"/>
    <cellStyle name="Standard 4 3 5 3 4 2 4 2" xfId="24001" xr:uid="{00000000-0005-0000-0000-0000845E0000}"/>
    <cellStyle name="Standard 4 3 5 3 4 2 5" xfId="24002" xr:uid="{00000000-0005-0000-0000-0000855E0000}"/>
    <cellStyle name="Standard 4 3 5 3 4 2 6" xfId="24003" xr:uid="{00000000-0005-0000-0000-0000865E0000}"/>
    <cellStyle name="Standard 4 3 5 3 4 3" xfId="24004" xr:uid="{00000000-0005-0000-0000-0000875E0000}"/>
    <cellStyle name="Standard 4 3 5 3 4 3 2" xfId="24005" xr:uid="{00000000-0005-0000-0000-0000885E0000}"/>
    <cellStyle name="Standard 4 3 5 3 4 3 3" xfId="24006" xr:uid="{00000000-0005-0000-0000-0000895E0000}"/>
    <cellStyle name="Standard 4 3 5 3 4 4" xfId="24007" xr:uid="{00000000-0005-0000-0000-00008A5E0000}"/>
    <cellStyle name="Standard 4 3 5 3 4 4 2" xfId="24008" xr:uid="{00000000-0005-0000-0000-00008B5E0000}"/>
    <cellStyle name="Standard 4 3 5 3 4 4 3" xfId="24009" xr:uid="{00000000-0005-0000-0000-00008C5E0000}"/>
    <cellStyle name="Standard 4 3 5 3 4 5" xfId="24010" xr:uid="{00000000-0005-0000-0000-00008D5E0000}"/>
    <cellStyle name="Standard 4 3 5 3 4 5 2" xfId="24011" xr:uid="{00000000-0005-0000-0000-00008E5E0000}"/>
    <cellStyle name="Standard 4 3 5 3 4 6" xfId="24012" xr:uid="{00000000-0005-0000-0000-00008F5E0000}"/>
    <cellStyle name="Standard 4 3 5 3 4 7" xfId="24013" xr:uid="{00000000-0005-0000-0000-0000905E0000}"/>
    <cellStyle name="Standard 4 3 5 3 5" xfId="24014" xr:uid="{00000000-0005-0000-0000-0000915E0000}"/>
    <cellStyle name="Standard 4 3 5 3 5 2" xfId="24015" xr:uid="{00000000-0005-0000-0000-0000925E0000}"/>
    <cellStyle name="Standard 4 3 5 3 5 2 2" xfId="24016" xr:uid="{00000000-0005-0000-0000-0000935E0000}"/>
    <cellStyle name="Standard 4 3 5 3 5 2 3" xfId="24017" xr:uid="{00000000-0005-0000-0000-0000945E0000}"/>
    <cellStyle name="Standard 4 3 5 3 5 3" xfId="24018" xr:uid="{00000000-0005-0000-0000-0000955E0000}"/>
    <cellStyle name="Standard 4 3 5 3 5 3 2" xfId="24019" xr:uid="{00000000-0005-0000-0000-0000965E0000}"/>
    <cellStyle name="Standard 4 3 5 3 5 3 3" xfId="24020" xr:uid="{00000000-0005-0000-0000-0000975E0000}"/>
    <cellStyle name="Standard 4 3 5 3 5 4" xfId="24021" xr:uid="{00000000-0005-0000-0000-0000985E0000}"/>
    <cellStyle name="Standard 4 3 5 3 5 4 2" xfId="24022" xr:uid="{00000000-0005-0000-0000-0000995E0000}"/>
    <cellStyle name="Standard 4 3 5 3 5 5" xfId="24023" xr:uid="{00000000-0005-0000-0000-00009A5E0000}"/>
    <cellStyle name="Standard 4 3 5 3 5 6" xfId="24024" xr:uid="{00000000-0005-0000-0000-00009B5E0000}"/>
    <cellStyle name="Standard 4 3 5 3 6" xfId="24025" xr:uid="{00000000-0005-0000-0000-00009C5E0000}"/>
    <cellStyle name="Standard 4 3 5 3 6 2" xfId="24026" xr:uid="{00000000-0005-0000-0000-00009D5E0000}"/>
    <cellStyle name="Standard 4 3 5 3 6 3" xfId="24027" xr:uid="{00000000-0005-0000-0000-00009E5E0000}"/>
    <cellStyle name="Standard 4 3 5 3 7" xfId="24028" xr:uid="{00000000-0005-0000-0000-00009F5E0000}"/>
    <cellStyle name="Standard 4 3 5 3 7 2" xfId="24029" xr:uid="{00000000-0005-0000-0000-0000A05E0000}"/>
    <cellStyle name="Standard 4 3 5 3 7 3" xfId="24030" xr:uid="{00000000-0005-0000-0000-0000A15E0000}"/>
    <cellStyle name="Standard 4 3 5 3 8" xfId="24031" xr:uid="{00000000-0005-0000-0000-0000A25E0000}"/>
    <cellStyle name="Standard 4 3 5 3 8 2" xfId="24032" xr:uid="{00000000-0005-0000-0000-0000A35E0000}"/>
    <cellStyle name="Standard 4 3 5 3 9" xfId="24033" xr:uid="{00000000-0005-0000-0000-0000A45E0000}"/>
    <cellStyle name="Standard 4 3 5 4" xfId="24034" xr:uid="{00000000-0005-0000-0000-0000A55E0000}"/>
    <cellStyle name="Standard 4 3 5 4 2" xfId="24035" xr:uid="{00000000-0005-0000-0000-0000A65E0000}"/>
    <cellStyle name="Standard 4 3 5 4 2 2" xfId="24036" xr:uid="{00000000-0005-0000-0000-0000A75E0000}"/>
    <cellStyle name="Standard 4 3 5 4 2 2 2" xfId="24037" xr:uid="{00000000-0005-0000-0000-0000A85E0000}"/>
    <cellStyle name="Standard 4 3 5 4 2 2 2 2" xfId="24038" xr:uid="{00000000-0005-0000-0000-0000A95E0000}"/>
    <cellStyle name="Standard 4 3 5 4 2 2 2 3" xfId="24039" xr:uid="{00000000-0005-0000-0000-0000AA5E0000}"/>
    <cellStyle name="Standard 4 3 5 4 2 2 3" xfId="24040" xr:uid="{00000000-0005-0000-0000-0000AB5E0000}"/>
    <cellStyle name="Standard 4 3 5 4 2 2 3 2" xfId="24041" xr:uid="{00000000-0005-0000-0000-0000AC5E0000}"/>
    <cellStyle name="Standard 4 3 5 4 2 2 3 3" xfId="24042" xr:uid="{00000000-0005-0000-0000-0000AD5E0000}"/>
    <cellStyle name="Standard 4 3 5 4 2 2 4" xfId="24043" xr:uid="{00000000-0005-0000-0000-0000AE5E0000}"/>
    <cellStyle name="Standard 4 3 5 4 2 2 4 2" xfId="24044" xr:uid="{00000000-0005-0000-0000-0000AF5E0000}"/>
    <cellStyle name="Standard 4 3 5 4 2 2 5" xfId="24045" xr:uid="{00000000-0005-0000-0000-0000B05E0000}"/>
    <cellStyle name="Standard 4 3 5 4 2 2 6" xfId="24046" xr:uid="{00000000-0005-0000-0000-0000B15E0000}"/>
    <cellStyle name="Standard 4 3 5 4 2 3" xfId="24047" xr:uid="{00000000-0005-0000-0000-0000B25E0000}"/>
    <cellStyle name="Standard 4 3 5 4 2 3 2" xfId="24048" xr:uid="{00000000-0005-0000-0000-0000B35E0000}"/>
    <cellStyle name="Standard 4 3 5 4 2 3 3" xfId="24049" xr:uid="{00000000-0005-0000-0000-0000B45E0000}"/>
    <cellStyle name="Standard 4 3 5 4 2 4" xfId="24050" xr:uid="{00000000-0005-0000-0000-0000B55E0000}"/>
    <cellStyle name="Standard 4 3 5 4 2 4 2" xfId="24051" xr:uid="{00000000-0005-0000-0000-0000B65E0000}"/>
    <cellStyle name="Standard 4 3 5 4 2 4 3" xfId="24052" xr:uid="{00000000-0005-0000-0000-0000B75E0000}"/>
    <cellStyle name="Standard 4 3 5 4 2 5" xfId="24053" xr:uid="{00000000-0005-0000-0000-0000B85E0000}"/>
    <cellStyle name="Standard 4 3 5 4 2 5 2" xfId="24054" xr:uid="{00000000-0005-0000-0000-0000B95E0000}"/>
    <cellStyle name="Standard 4 3 5 4 2 6" xfId="24055" xr:uid="{00000000-0005-0000-0000-0000BA5E0000}"/>
    <cellStyle name="Standard 4 3 5 4 2 7" xfId="24056" xr:uid="{00000000-0005-0000-0000-0000BB5E0000}"/>
    <cellStyle name="Standard 4 3 5 4 3" xfId="24057" xr:uid="{00000000-0005-0000-0000-0000BC5E0000}"/>
    <cellStyle name="Standard 4 3 5 4 3 2" xfId="24058" xr:uid="{00000000-0005-0000-0000-0000BD5E0000}"/>
    <cellStyle name="Standard 4 3 5 4 3 2 2" xfId="24059" xr:uid="{00000000-0005-0000-0000-0000BE5E0000}"/>
    <cellStyle name="Standard 4 3 5 4 3 2 3" xfId="24060" xr:uid="{00000000-0005-0000-0000-0000BF5E0000}"/>
    <cellStyle name="Standard 4 3 5 4 3 3" xfId="24061" xr:uid="{00000000-0005-0000-0000-0000C05E0000}"/>
    <cellStyle name="Standard 4 3 5 4 3 3 2" xfId="24062" xr:uid="{00000000-0005-0000-0000-0000C15E0000}"/>
    <cellStyle name="Standard 4 3 5 4 3 3 3" xfId="24063" xr:uid="{00000000-0005-0000-0000-0000C25E0000}"/>
    <cellStyle name="Standard 4 3 5 4 3 4" xfId="24064" xr:uid="{00000000-0005-0000-0000-0000C35E0000}"/>
    <cellStyle name="Standard 4 3 5 4 3 4 2" xfId="24065" xr:uid="{00000000-0005-0000-0000-0000C45E0000}"/>
    <cellStyle name="Standard 4 3 5 4 3 5" xfId="24066" xr:uid="{00000000-0005-0000-0000-0000C55E0000}"/>
    <cellStyle name="Standard 4 3 5 4 3 6" xfId="24067" xr:uid="{00000000-0005-0000-0000-0000C65E0000}"/>
    <cellStyle name="Standard 4 3 5 4 4" xfId="24068" xr:uid="{00000000-0005-0000-0000-0000C75E0000}"/>
    <cellStyle name="Standard 4 3 5 4 4 2" xfId="24069" xr:uid="{00000000-0005-0000-0000-0000C85E0000}"/>
    <cellStyle name="Standard 4 3 5 4 4 3" xfId="24070" xr:uid="{00000000-0005-0000-0000-0000C95E0000}"/>
    <cellStyle name="Standard 4 3 5 4 5" xfId="24071" xr:uid="{00000000-0005-0000-0000-0000CA5E0000}"/>
    <cellStyle name="Standard 4 3 5 4 5 2" xfId="24072" xr:uid="{00000000-0005-0000-0000-0000CB5E0000}"/>
    <cellStyle name="Standard 4 3 5 4 5 3" xfId="24073" xr:uid="{00000000-0005-0000-0000-0000CC5E0000}"/>
    <cellStyle name="Standard 4 3 5 4 6" xfId="24074" xr:uid="{00000000-0005-0000-0000-0000CD5E0000}"/>
    <cellStyle name="Standard 4 3 5 4 6 2" xfId="24075" xr:uid="{00000000-0005-0000-0000-0000CE5E0000}"/>
    <cellStyle name="Standard 4 3 5 4 7" xfId="24076" xr:uid="{00000000-0005-0000-0000-0000CF5E0000}"/>
    <cellStyle name="Standard 4 3 5 4 8" xfId="24077" xr:uid="{00000000-0005-0000-0000-0000D05E0000}"/>
    <cellStyle name="Standard 4 3 5 5" xfId="24078" xr:uid="{00000000-0005-0000-0000-0000D15E0000}"/>
    <cellStyle name="Standard 4 3 5 5 2" xfId="24079" xr:uid="{00000000-0005-0000-0000-0000D25E0000}"/>
    <cellStyle name="Standard 4 3 5 5 2 2" xfId="24080" xr:uid="{00000000-0005-0000-0000-0000D35E0000}"/>
    <cellStyle name="Standard 4 3 5 5 2 2 2" xfId="24081" xr:uid="{00000000-0005-0000-0000-0000D45E0000}"/>
    <cellStyle name="Standard 4 3 5 5 2 2 2 2" xfId="24082" xr:uid="{00000000-0005-0000-0000-0000D55E0000}"/>
    <cellStyle name="Standard 4 3 5 5 2 2 2 3" xfId="24083" xr:uid="{00000000-0005-0000-0000-0000D65E0000}"/>
    <cellStyle name="Standard 4 3 5 5 2 2 3" xfId="24084" xr:uid="{00000000-0005-0000-0000-0000D75E0000}"/>
    <cellStyle name="Standard 4 3 5 5 2 2 3 2" xfId="24085" xr:uid="{00000000-0005-0000-0000-0000D85E0000}"/>
    <cellStyle name="Standard 4 3 5 5 2 2 3 3" xfId="24086" xr:uid="{00000000-0005-0000-0000-0000D95E0000}"/>
    <cellStyle name="Standard 4 3 5 5 2 2 4" xfId="24087" xr:uid="{00000000-0005-0000-0000-0000DA5E0000}"/>
    <cellStyle name="Standard 4 3 5 5 2 2 4 2" xfId="24088" xr:uid="{00000000-0005-0000-0000-0000DB5E0000}"/>
    <cellStyle name="Standard 4 3 5 5 2 2 5" xfId="24089" xr:uid="{00000000-0005-0000-0000-0000DC5E0000}"/>
    <cellStyle name="Standard 4 3 5 5 2 2 6" xfId="24090" xr:uid="{00000000-0005-0000-0000-0000DD5E0000}"/>
    <cellStyle name="Standard 4 3 5 5 2 3" xfId="24091" xr:uid="{00000000-0005-0000-0000-0000DE5E0000}"/>
    <cellStyle name="Standard 4 3 5 5 2 3 2" xfId="24092" xr:uid="{00000000-0005-0000-0000-0000DF5E0000}"/>
    <cellStyle name="Standard 4 3 5 5 2 3 3" xfId="24093" xr:uid="{00000000-0005-0000-0000-0000E05E0000}"/>
    <cellStyle name="Standard 4 3 5 5 2 4" xfId="24094" xr:uid="{00000000-0005-0000-0000-0000E15E0000}"/>
    <cellStyle name="Standard 4 3 5 5 2 4 2" xfId="24095" xr:uid="{00000000-0005-0000-0000-0000E25E0000}"/>
    <cellStyle name="Standard 4 3 5 5 2 4 3" xfId="24096" xr:uid="{00000000-0005-0000-0000-0000E35E0000}"/>
    <cellStyle name="Standard 4 3 5 5 2 5" xfId="24097" xr:uid="{00000000-0005-0000-0000-0000E45E0000}"/>
    <cellStyle name="Standard 4 3 5 5 2 5 2" xfId="24098" xr:uid="{00000000-0005-0000-0000-0000E55E0000}"/>
    <cellStyle name="Standard 4 3 5 5 2 6" xfId="24099" xr:uid="{00000000-0005-0000-0000-0000E65E0000}"/>
    <cellStyle name="Standard 4 3 5 5 2 7" xfId="24100" xr:uid="{00000000-0005-0000-0000-0000E75E0000}"/>
    <cellStyle name="Standard 4 3 5 5 3" xfId="24101" xr:uid="{00000000-0005-0000-0000-0000E85E0000}"/>
    <cellStyle name="Standard 4 3 5 5 3 2" xfId="24102" xr:uid="{00000000-0005-0000-0000-0000E95E0000}"/>
    <cellStyle name="Standard 4 3 5 5 3 2 2" xfId="24103" xr:uid="{00000000-0005-0000-0000-0000EA5E0000}"/>
    <cellStyle name="Standard 4 3 5 5 3 2 3" xfId="24104" xr:uid="{00000000-0005-0000-0000-0000EB5E0000}"/>
    <cellStyle name="Standard 4 3 5 5 3 3" xfId="24105" xr:uid="{00000000-0005-0000-0000-0000EC5E0000}"/>
    <cellStyle name="Standard 4 3 5 5 3 3 2" xfId="24106" xr:uid="{00000000-0005-0000-0000-0000ED5E0000}"/>
    <cellStyle name="Standard 4 3 5 5 3 3 3" xfId="24107" xr:uid="{00000000-0005-0000-0000-0000EE5E0000}"/>
    <cellStyle name="Standard 4 3 5 5 3 4" xfId="24108" xr:uid="{00000000-0005-0000-0000-0000EF5E0000}"/>
    <cellStyle name="Standard 4 3 5 5 3 4 2" xfId="24109" xr:uid="{00000000-0005-0000-0000-0000F05E0000}"/>
    <cellStyle name="Standard 4 3 5 5 3 5" xfId="24110" xr:uid="{00000000-0005-0000-0000-0000F15E0000}"/>
    <cellStyle name="Standard 4 3 5 5 3 6" xfId="24111" xr:uid="{00000000-0005-0000-0000-0000F25E0000}"/>
    <cellStyle name="Standard 4 3 5 5 4" xfId="24112" xr:uid="{00000000-0005-0000-0000-0000F35E0000}"/>
    <cellStyle name="Standard 4 3 5 5 4 2" xfId="24113" xr:uid="{00000000-0005-0000-0000-0000F45E0000}"/>
    <cellStyle name="Standard 4 3 5 5 4 3" xfId="24114" xr:uid="{00000000-0005-0000-0000-0000F55E0000}"/>
    <cellStyle name="Standard 4 3 5 5 5" xfId="24115" xr:uid="{00000000-0005-0000-0000-0000F65E0000}"/>
    <cellStyle name="Standard 4 3 5 5 5 2" xfId="24116" xr:uid="{00000000-0005-0000-0000-0000F75E0000}"/>
    <cellStyle name="Standard 4 3 5 5 5 3" xfId="24117" xr:uid="{00000000-0005-0000-0000-0000F85E0000}"/>
    <cellStyle name="Standard 4 3 5 5 6" xfId="24118" xr:uid="{00000000-0005-0000-0000-0000F95E0000}"/>
    <cellStyle name="Standard 4 3 5 5 6 2" xfId="24119" xr:uid="{00000000-0005-0000-0000-0000FA5E0000}"/>
    <cellStyle name="Standard 4 3 5 5 7" xfId="24120" xr:uid="{00000000-0005-0000-0000-0000FB5E0000}"/>
    <cellStyle name="Standard 4 3 5 5 8" xfId="24121" xr:uid="{00000000-0005-0000-0000-0000FC5E0000}"/>
    <cellStyle name="Standard 4 3 5 6" xfId="24122" xr:uid="{00000000-0005-0000-0000-0000FD5E0000}"/>
    <cellStyle name="Standard 4 3 5 6 2" xfId="24123" xr:uid="{00000000-0005-0000-0000-0000FE5E0000}"/>
    <cellStyle name="Standard 4 3 5 6 2 2" xfId="24124" xr:uid="{00000000-0005-0000-0000-0000FF5E0000}"/>
    <cellStyle name="Standard 4 3 5 6 2 2 2" xfId="24125" xr:uid="{00000000-0005-0000-0000-0000005F0000}"/>
    <cellStyle name="Standard 4 3 5 6 2 2 3" xfId="24126" xr:uid="{00000000-0005-0000-0000-0000015F0000}"/>
    <cellStyle name="Standard 4 3 5 6 2 3" xfId="24127" xr:uid="{00000000-0005-0000-0000-0000025F0000}"/>
    <cellStyle name="Standard 4 3 5 6 2 3 2" xfId="24128" xr:uid="{00000000-0005-0000-0000-0000035F0000}"/>
    <cellStyle name="Standard 4 3 5 6 2 3 3" xfId="24129" xr:uid="{00000000-0005-0000-0000-0000045F0000}"/>
    <cellStyle name="Standard 4 3 5 6 2 4" xfId="24130" xr:uid="{00000000-0005-0000-0000-0000055F0000}"/>
    <cellStyle name="Standard 4 3 5 6 2 4 2" xfId="24131" xr:uid="{00000000-0005-0000-0000-0000065F0000}"/>
    <cellStyle name="Standard 4 3 5 6 2 5" xfId="24132" xr:uid="{00000000-0005-0000-0000-0000075F0000}"/>
    <cellStyle name="Standard 4 3 5 6 2 6" xfId="24133" xr:uid="{00000000-0005-0000-0000-0000085F0000}"/>
    <cellStyle name="Standard 4 3 5 6 3" xfId="24134" xr:uid="{00000000-0005-0000-0000-0000095F0000}"/>
    <cellStyle name="Standard 4 3 5 6 3 2" xfId="24135" xr:uid="{00000000-0005-0000-0000-00000A5F0000}"/>
    <cellStyle name="Standard 4 3 5 6 3 3" xfId="24136" xr:uid="{00000000-0005-0000-0000-00000B5F0000}"/>
    <cellStyle name="Standard 4 3 5 6 4" xfId="24137" xr:uid="{00000000-0005-0000-0000-00000C5F0000}"/>
    <cellStyle name="Standard 4 3 5 6 4 2" xfId="24138" xr:uid="{00000000-0005-0000-0000-00000D5F0000}"/>
    <cellStyle name="Standard 4 3 5 6 4 3" xfId="24139" xr:uid="{00000000-0005-0000-0000-00000E5F0000}"/>
    <cellStyle name="Standard 4 3 5 6 5" xfId="24140" xr:uid="{00000000-0005-0000-0000-00000F5F0000}"/>
    <cellStyle name="Standard 4 3 5 6 5 2" xfId="24141" xr:uid="{00000000-0005-0000-0000-0000105F0000}"/>
    <cellStyle name="Standard 4 3 5 6 6" xfId="24142" xr:uid="{00000000-0005-0000-0000-0000115F0000}"/>
    <cellStyle name="Standard 4 3 5 6 7" xfId="24143" xr:uid="{00000000-0005-0000-0000-0000125F0000}"/>
    <cellStyle name="Standard 4 3 5 7" xfId="24144" xr:uid="{00000000-0005-0000-0000-0000135F0000}"/>
    <cellStyle name="Standard 4 3 5 7 2" xfId="24145" xr:uid="{00000000-0005-0000-0000-0000145F0000}"/>
    <cellStyle name="Standard 4 3 5 7 2 2" xfId="24146" xr:uid="{00000000-0005-0000-0000-0000155F0000}"/>
    <cellStyle name="Standard 4 3 5 7 2 3" xfId="24147" xr:uid="{00000000-0005-0000-0000-0000165F0000}"/>
    <cellStyle name="Standard 4 3 5 7 3" xfId="24148" xr:uid="{00000000-0005-0000-0000-0000175F0000}"/>
    <cellStyle name="Standard 4 3 5 7 3 2" xfId="24149" xr:uid="{00000000-0005-0000-0000-0000185F0000}"/>
    <cellStyle name="Standard 4 3 5 7 3 3" xfId="24150" xr:uid="{00000000-0005-0000-0000-0000195F0000}"/>
    <cellStyle name="Standard 4 3 5 7 4" xfId="24151" xr:uid="{00000000-0005-0000-0000-00001A5F0000}"/>
    <cellStyle name="Standard 4 3 5 7 4 2" xfId="24152" xr:uid="{00000000-0005-0000-0000-00001B5F0000}"/>
    <cellStyle name="Standard 4 3 5 7 5" xfId="24153" xr:uid="{00000000-0005-0000-0000-00001C5F0000}"/>
    <cellStyle name="Standard 4 3 5 7 6" xfId="24154" xr:uid="{00000000-0005-0000-0000-00001D5F0000}"/>
    <cellStyle name="Standard 4 3 5 8" xfId="24155" xr:uid="{00000000-0005-0000-0000-00001E5F0000}"/>
    <cellStyle name="Standard 4 3 5 8 2" xfId="24156" xr:uid="{00000000-0005-0000-0000-00001F5F0000}"/>
    <cellStyle name="Standard 4 3 5 8 3" xfId="24157" xr:uid="{00000000-0005-0000-0000-0000205F0000}"/>
    <cellStyle name="Standard 4 3 5 9" xfId="24158" xr:uid="{00000000-0005-0000-0000-0000215F0000}"/>
    <cellStyle name="Standard 4 3 5 9 2" xfId="24159" xr:uid="{00000000-0005-0000-0000-0000225F0000}"/>
    <cellStyle name="Standard 4 3 5 9 3" xfId="24160" xr:uid="{00000000-0005-0000-0000-0000235F0000}"/>
    <cellStyle name="Standard 4 3 6" xfId="24161" xr:uid="{00000000-0005-0000-0000-0000245F0000}"/>
    <cellStyle name="Standard 4 3 6 10" xfId="24162" xr:uid="{00000000-0005-0000-0000-0000255F0000}"/>
    <cellStyle name="Standard 4 3 6 11" xfId="24163" xr:uid="{00000000-0005-0000-0000-0000265F0000}"/>
    <cellStyle name="Standard 4 3 6 2" xfId="24164" xr:uid="{00000000-0005-0000-0000-0000275F0000}"/>
    <cellStyle name="Standard 4 3 6 2 10" xfId="24165" xr:uid="{00000000-0005-0000-0000-0000285F0000}"/>
    <cellStyle name="Standard 4 3 6 2 2" xfId="24166" xr:uid="{00000000-0005-0000-0000-0000295F0000}"/>
    <cellStyle name="Standard 4 3 6 2 2 2" xfId="24167" xr:uid="{00000000-0005-0000-0000-00002A5F0000}"/>
    <cellStyle name="Standard 4 3 6 2 2 2 2" xfId="24168" xr:uid="{00000000-0005-0000-0000-00002B5F0000}"/>
    <cellStyle name="Standard 4 3 6 2 2 2 2 2" xfId="24169" xr:uid="{00000000-0005-0000-0000-00002C5F0000}"/>
    <cellStyle name="Standard 4 3 6 2 2 2 2 2 2" xfId="24170" xr:uid="{00000000-0005-0000-0000-00002D5F0000}"/>
    <cellStyle name="Standard 4 3 6 2 2 2 2 2 3" xfId="24171" xr:uid="{00000000-0005-0000-0000-00002E5F0000}"/>
    <cellStyle name="Standard 4 3 6 2 2 2 2 3" xfId="24172" xr:uid="{00000000-0005-0000-0000-00002F5F0000}"/>
    <cellStyle name="Standard 4 3 6 2 2 2 2 3 2" xfId="24173" xr:uid="{00000000-0005-0000-0000-0000305F0000}"/>
    <cellStyle name="Standard 4 3 6 2 2 2 2 3 3" xfId="24174" xr:uid="{00000000-0005-0000-0000-0000315F0000}"/>
    <cellStyle name="Standard 4 3 6 2 2 2 2 4" xfId="24175" xr:uid="{00000000-0005-0000-0000-0000325F0000}"/>
    <cellStyle name="Standard 4 3 6 2 2 2 2 4 2" xfId="24176" xr:uid="{00000000-0005-0000-0000-0000335F0000}"/>
    <cellStyle name="Standard 4 3 6 2 2 2 2 5" xfId="24177" xr:uid="{00000000-0005-0000-0000-0000345F0000}"/>
    <cellStyle name="Standard 4 3 6 2 2 2 2 6" xfId="24178" xr:uid="{00000000-0005-0000-0000-0000355F0000}"/>
    <cellStyle name="Standard 4 3 6 2 2 2 3" xfId="24179" xr:uid="{00000000-0005-0000-0000-0000365F0000}"/>
    <cellStyle name="Standard 4 3 6 2 2 2 3 2" xfId="24180" xr:uid="{00000000-0005-0000-0000-0000375F0000}"/>
    <cellStyle name="Standard 4 3 6 2 2 2 3 3" xfId="24181" xr:uid="{00000000-0005-0000-0000-0000385F0000}"/>
    <cellStyle name="Standard 4 3 6 2 2 2 4" xfId="24182" xr:uid="{00000000-0005-0000-0000-0000395F0000}"/>
    <cellStyle name="Standard 4 3 6 2 2 2 4 2" xfId="24183" xr:uid="{00000000-0005-0000-0000-00003A5F0000}"/>
    <cellStyle name="Standard 4 3 6 2 2 2 4 3" xfId="24184" xr:uid="{00000000-0005-0000-0000-00003B5F0000}"/>
    <cellStyle name="Standard 4 3 6 2 2 2 5" xfId="24185" xr:uid="{00000000-0005-0000-0000-00003C5F0000}"/>
    <cellStyle name="Standard 4 3 6 2 2 2 5 2" xfId="24186" xr:uid="{00000000-0005-0000-0000-00003D5F0000}"/>
    <cellStyle name="Standard 4 3 6 2 2 2 6" xfId="24187" xr:uid="{00000000-0005-0000-0000-00003E5F0000}"/>
    <cellStyle name="Standard 4 3 6 2 2 2 7" xfId="24188" xr:uid="{00000000-0005-0000-0000-00003F5F0000}"/>
    <cellStyle name="Standard 4 3 6 2 2 3" xfId="24189" xr:uid="{00000000-0005-0000-0000-0000405F0000}"/>
    <cellStyle name="Standard 4 3 6 2 2 3 2" xfId="24190" xr:uid="{00000000-0005-0000-0000-0000415F0000}"/>
    <cellStyle name="Standard 4 3 6 2 2 3 2 2" xfId="24191" xr:uid="{00000000-0005-0000-0000-0000425F0000}"/>
    <cellStyle name="Standard 4 3 6 2 2 3 2 3" xfId="24192" xr:uid="{00000000-0005-0000-0000-0000435F0000}"/>
    <cellStyle name="Standard 4 3 6 2 2 3 3" xfId="24193" xr:uid="{00000000-0005-0000-0000-0000445F0000}"/>
    <cellStyle name="Standard 4 3 6 2 2 3 3 2" xfId="24194" xr:uid="{00000000-0005-0000-0000-0000455F0000}"/>
    <cellStyle name="Standard 4 3 6 2 2 3 3 3" xfId="24195" xr:uid="{00000000-0005-0000-0000-0000465F0000}"/>
    <cellStyle name="Standard 4 3 6 2 2 3 4" xfId="24196" xr:uid="{00000000-0005-0000-0000-0000475F0000}"/>
    <cellStyle name="Standard 4 3 6 2 2 3 4 2" xfId="24197" xr:uid="{00000000-0005-0000-0000-0000485F0000}"/>
    <cellStyle name="Standard 4 3 6 2 2 3 5" xfId="24198" xr:uid="{00000000-0005-0000-0000-0000495F0000}"/>
    <cellStyle name="Standard 4 3 6 2 2 3 6" xfId="24199" xr:uid="{00000000-0005-0000-0000-00004A5F0000}"/>
    <cellStyle name="Standard 4 3 6 2 2 4" xfId="24200" xr:uid="{00000000-0005-0000-0000-00004B5F0000}"/>
    <cellStyle name="Standard 4 3 6 2 2 4 2" xfId="24201" xr:uid="{00000000-0005-0000-0000-00004C5F0000}"/>
    <cellStyle name="Standard 4 3 6 2 2 4 3" xfId="24202" xr:uid="{00000000-0005-0000-0000-00004D5F0000}"/>
    <cellStyle name="Standard 4 3 6 2 2 5" xfId="24203" xr:uid="{00000000-0005-0000-0000-00004E5F0000}"/>
    <cellStyle name="Standard 4 3 6 2 2 5 2" xfId="24204" xr:uid="{00000000-0005-0000-0000-00004F5F0000}"/>
    <cellStyle name="Standard 4 3 6 2 2 5 3" xfId="24205" xr:uid="{00000000-0005-0000-0000-0000505F0000}"/>
    <cellStyle name="Standard 4 3 6 2 2 6" xfId="24206" xr:uid="{00000000-0005-0000-0000-0000515F0000}"/>
    <cellStyle name="Standard 4 3 6 2 2 6 2" xfId="24207" xr:uid="{00000000-0005-0000-0000-0000525F0000}"/>
    <cellStyle name="Standard 4 3 6 2 2 7" xfId="24208" xr:uid="{00000000-0005-0000-0000-0000535F0000}"/>
    <cellStyle name="Standard 4 3 6 2 2 8" xfId="24209" xr:uid="{00000000-0005-0000-0000-0000545F0000}"/>
    <cellStyle name="Standard 4 3 6 2 3" xfId="24210" xr:uid="{00000000-0005-0000-0000-0000555F0000}"/>
    <cellStyle name="Standard 4 3 6 2 3 2" xfId="24211" xr:uid="{00000000-0005-0000-0000-0000565F0000}"/>
    <cellStyle name="Standard 4 3 6 2 3 2 2" xfId="24212" xr:uid="{00000000-0005-0000-0000-0000575F0000}"/>
    <cellStyle name="Standard 4 3 6 2 3 2 2 2" xfId="24213" xr:uid="{00000000-0005-0000-0000-0000585F0000}"/>
    <cellStyle name="Standard 4 3 6 2 3 2 2 2 2" xfId="24214" xr:uid="{00000000-0005-0000-0000-0000595F0000}"/>
    <cellStyle name="Standard 4 3 6 2 3 2 2 2 3" xfId="24215" xr:uid="{00000000-0005-0000-0000-00005A5F0000}"/>
    <cellStyle name="Standard 4 3 6 2 3 2 2 3" xfId="24216" xr:uid="{00000000-0005-0000-0000-00005B5F0000}"/>
    <cellStyle name="Standard 4 3 6 2 3 2 2 3 2" xfId="24217" xr:uid="{00000000-0005-0000-0000-00005C5F0000}"/>
    <cellStyle name="Standard 4 3 6 2 3 2 2 3 3" xfId="24218" xr:uid="{00000000-0005-0000-0000-00005D5F0000}"/>
    <cellStyle name="Standard 4 3 6 2 3 2 2 4" xfId="24219" xr:uid="{00000000-0005-0000-0000-00005E5F0000}"/>
    <cellStyle name="Standard 4 3 6 2 3 2 2 4 2" xfId="24220" xr:uid="{00000000-0005-0000-0000-00005F5F0000}"/>
    <cellStyle name="Standard 4 3 6 2 3 2 2 5" xfId="24221" xr:uid="{00000000-0005-0000-0000-0000605F0000}"/>
    <cellStyle name="Standard 4 3 6 2 3 2 2 6" xfId="24222" xr:uid="{00000000-0005-0000-0000-0000615F0000}"/>
    <cellStyle name="Standard 4 3 6 2 3 2 3" xfId="24223" xr:uid="{00000000-0005-0000-0000-0000625F0000}"/>
    <cellStyle name="Standard 4 3 6 2 3 2 3 2" xfId="24224" xr:uid="{00000000-0005-0000-0000-0000635F0000}"/>
    <cellStyle name="Standard 4 3 6 2 3 2 3 3" xfId="24225" xr:uid="{00000000-0005-0000-0000-0000645F0000}"/>
    <cellStyle name="Standard 4 3 6 2 3 2 4" xfId="24226" xr:uid="{00000000-0005-0000-0000-0000655F0000}"/>
    <cellStyle name="Standard 4 3 6 2 3 2 4 2" xfId="24227" xr:uid="{00000000-0005-0000-0000-0000665F0000}"/>
    <cellStyle name="Standard 4 3 6 2 3 2 4 3" xfId="24228" xr:uid="{00000000-0005-0000-0000-0000675F0000}"/>
    <cellStyle name="Standard 4 3 6 2 3 2 5" xfId="24229" xr:uid="{00000000-0005-0000-0000-0000685F0000}"/>
    <cellStyle name="Standard 4 3 6 2 3 2 5 2" xfId="24230" xr:uid="{00000000-0005-0000-0000-0000695F0000}"/>
    <cellStyle name="Standard 4 3 6 2 3 2 6" xfId="24231" xr:uid="{00000000-0005-0000-0000-00006A5F0000}"/>
    <cellStyle name="Standard 4 3 6 2 3 2 7" xfId="24232" xr:uid="{00000000-0005-0000-0000-00006B5F0000}"/>
    <cellStyle name="Standard 4 3 6 2 3 3" xfId="24233" xr:uid="{00000000-0005-0000-0000-00006C5F0000}"/>
    <cellStyle name="Standard 4 3 6 2 3 3 2" xfId="24234" xr:uid="{00000000-0005-0000-0000-00006D5F0000}"/>
    <cellStyle name="Standard 4 3 6 2 3 3 2 2" xfId="24235" xr:uid="{00000000-0005-0000-0000-00006E5F0000}"/>
    <cellStyle name="Standard 4 3 6 2 3 3 2 3" xfId="24236" xr:uid="{00000000-0005-0000-0000-00006F5F0000}"/>
    <cellStyle name="Standard 4 3 6 2 3 3 3" xfId="24237" xr:uid="{00000000-0005-0000-0000-0000705F0000}"/>
    <cellStyle name="Standard 4 3 6 2 3 3 3 2" xfId="24238" xr:uid="{00000000-0005-0000-0000-0000715F0000}"/>
    <cellStyle name="Standard 4 3 6 2 3 3 3 3" xfId="24239" xr:uid="{00000000-0005-0000-0000-0000725F0000}"/>
    <cellStyle name="Standard 4 3 6 2 3 3 4" xfId="24240" xr:uid="{00000000-0005-0000-0000-0000735F0000}"/>
    <cellStyle name="Standard 4 3 6 2 3 3 4 2" xfId="24241" xr:uid="{00000000-0005-0000-0000-0000745F0000}"/>
    <cellStyle name="Standard 4 3 6 2 3 3 5" xfId="24242" xr:uid="{00000000-0005-0000-0000-0000755F0000}"/>
    <cellStyle name="Standard 4 3 6 2 3 3 6" xfId="24243" xr:uid="{00000000-0005-0000-0000-0000765F0000}"/>
    <cellStyle name="Standard 4 3 6 2 3 4" xfId="24244" xr:uid="{00000000-0005-0000-0000-0000775F0000}"/>
    <cellStyle name="Standard 4 3 6 2 3 4 2" xfId="24245" xr:uid="{00000000-0005-0000-0000-0000785F0000}"/>
    <cellStyle name="Standard 4 3 6 2 3 4 3" xfId="24246" xr:uid="{00000000-0005-0000-0000-0000795F0000}"/>
    <cellStyle name="Standard 4 3 6 2 3 5" xfId="24247" xr:uid="{00000000-0005-0000-0000-00007A5F0000}"/>
    <cellStyle name="Standard 4 3 6 2 3 5 2" xfId="24248" xr:uid="{00000000-0005-0000-0000-00007B5F0000}"/>
    <cellStyle name="Standard 4 3 6 2 3 5 3" xfId="24249" xr:uid="{00000000-0005-0000-0000-00007C5F0000}"/>
    <cellStyle name="Standard 4 3 6 2 3 6" xfId="24250" xr:uid="{00000000-0005-0000-0000-00007D5F0000}"/>
    <cellStyle name="Standard 4 3 6 2 3 6 2" xfId="24251" xr:uid="{00000000-0005-0000-0000-00007E5F0000}"/>
    <cellStyle name="Standard 4 3 6 2 3 7" xfId="24252" xr:uid="{00000000-0005-0000-0000-00007F5F0000}"/>
    <cellStyle name="Standard 4 3 6 2 3 8" xfId="24253" xr:uid="{00000000-0005-0000-0000-0000805F0000}"/>
    <cellStyle name="Standard 4 3 6 2 4" xfId="24254" xr:uid="{00000000-0005-0000-0000-0000815F0000}"/>
    <cellStyle name="Standard 4 3 6 2 4 2" xfId="24255" xr:uid="{00000000-0005-0000-0000-0000825F0000}"/>
    <cellStyle name="Standard 4 3 6 2 4 2 2" xfId="24256" xr:uid="{00000000-0005-0000-0000-0000835F0000}"/>
    <cellStyle name="Standard 4 3 6 2 4 2 2 2" xfId="24257" xr:uid="{00000000-0005-0000-0000-0000845F0000}"/>
    <cellStyle name="Standard 4 3 6 2 4 2 2 3" xfId="24258" xr:uid="{00000000-0005-0000-0000-0000855F0000}"/>
    <cellStyle name="Standard 4 3 6 2 4 2 3" xfId="24259" xr:uid="{00000000-0005-0000-0000-0000865F0000}"/>
    <cellStyle name="Standard 4 3 6 2 4 2 3 2" xfId="24260" xr:uid="{00000000-0005-0000-0000-0000875F0000}"/>
    <cellStyle name="Standard 4 3 6 2 4 2 3 3" xfId="24261" xr:uid="{00000000-0005-0000-0000-0000885F0000}"/>
    <cellStyle name="Standard 4 3 6 2 4 2 4" xfId="24262" xr:uid="{00000000-0005-0000-0000-0000895F0000}"/>
    <cellStyle name="Standard 4 3 6 2 4 2 4 2" xfId="24263" xr:uid="{00000000-0005-0000-0000-00008A5F0000}"/>
    <cellStyle name="Standard 4 3 6 2 4 2 5" xfId="24264" xr:uid="{00000000-0005-0000-0000-00008B5F0000}"/>
    <cellStyle name="Standard 4 3 6 2 4 2 6" xfId="24265" xr:uid="{00000000-0005-0000-0000-00008C5F0000}"/>
    <cellStyle name="Standard 4 3 6 2 4 3" xfId="24266" xr:uid="{00000000-0005-0000-0000-00008D5F0000}"/>
    <cellStyle name="Standard 4 3 6 2 4 3 2" xfId="24267" xr:uid="{00000000-0005-0000-0000-00008E5F0000}"/>
    <cellStyle name="Standard 4 3 6 2 4 3 3" xfId="24268" xr:uid="{00000000-0005-0000-0000-00008F5F0000}"/>
    <cellStyle name="Standard 4 3 6 2 4 4" xfId="24269" xr:uid="{00000000-0005-0000-0000-0000905F0000}"/>
    <cellStyle name="Standard 4 3 6 2 4 4 2" xfId="24270" xr:uid="{00000000-0005-0000-0000-0000915F0000}"/>
    <cellStyle name="Standard 4 3 6 2 4 4 3" xfId="24271" xr:uid="{00000000-0005-0000-0000-0000925F0000}"/>
    <cellStyle name="Standard 4 3 6 2 4 5" xfId="24272" xr:uid="{00000000-0005-0000-0000-0000935F0000}"/>
    <cellStyle name="Standard 4 3 6 2 4 5 2" xfId="24273" xr:uid="{00000000-0005-0000-0000-0000945F0000}"/>
    <cellStyle name="Standard 4 3 6 2 4 6" xfId="24274" xr:uid="{00000000-0005-0000-0000-0000955F0000}"/>
    <cellStyle name="Standard 4 3 6 2 4 7" xfId="24275" xr:uid="{00000000-0005-0000-0000-0000965F0000}"/>
    <cellStyle name="Standard 4 3 6 2 5" xfId="24276" xr:uid="{00000000-0005-0000-0000-0000975F0000}"/>
    <cellStyle name="Standard 4 3 6 2 5 2" xfId="24277" xr:uid="{00000000-0005-0000-0000-0000985F0000}"/>
    <cellStyle name="Standard 4 3 6 2 5 2 2" xfId="24278" xr:uid="{00000000-0005-0000-0000-0000995F0000}"/>
    <cellStyle name="Standard 4 3 6 2 5 2 3" xfId="24279" xr:uid="{00000000-0005-0000-0000-00009A5F0000}"/>
    <cellStyle name="Standard 4 3 6 2 5 3" xfId="24280" xr:uid="{00000000-0005-0000-0000-00009B5F0000}"/>
    <cellStyle name="Standard 4 3 6 2 5 3 2" xfId="24281" xr:uid="{00000000-0005-0000-0000-00009C5F0000}"/>
    <cellStyle name="Standard 4 3 6 2 5 3 3" xfId="24282" xr:uid="{00000000-0005-0000-0000-00009D5F0000}"/>
    <cellStyle name="Standard 4 3 6 2 5 4" xfId="24283" xr:uid="{00000000-0005-0000-0000-00009E5F0000}"/>
    <cellStyle name="Standard 4 3 6 2 5 4 2" xfId="24284" xr:uid="{00000000-0005-0000-0000-00009F5F0000}"/>
    <cellStyle name="Standard 4 3 6 2 5 5" xfId="24285" xr:uid="{00000000-0005-0000-0000-0000A05F0000}"/>
    <cellStyle name="Standard 4 3 6 2 5 6" xfId="24286" xr:uid="{00000000-0005-0000-0000-0000A15F0000}"/>
    <cellStyle name="Standard 4 3 6 2 6" xfId="24287" xr:uid="{00000000-0005-0000-0000-0000A25F0000}"/>
    <cellStyle name="Standard 4 3 6 2 6 2" xfId="24288" xr:uid="{00000000-0005-0000-0000-0000A35F0000}"/>
    <cellStyle name="Standard 4 3 6 2 6 3" xfId="24289" xr:uid="{00000000-0005-0000-0000-0000A45F0000}"/>
    <cellStyle name="Standard 4 3 6 2 7" xfId="24290" xr:uid="{00000000-0005-0000-0000-0000A55F0000}"/>
    <cellStyle name="Standard 4 3 6 2 7 2" xfId="24291" xr:uid="{00000000-0005-0000-0000-0000A65F0000}"/>
    <cellStyle name="Standard 4 3 6 2 7 3" xfId="24292" xr:uid="{00000000-0005-0000-0000-0000A75F0000}"/>
    <cellStyle name="Standard 4 3 6 2 8" xfId="24293" xr:uid="{00000000-0005-0000-0000-0000A85F0000}"/>
    <cellStyle name="Standard 4 3 6 2 8 2" xfId="24294" xr:uid="{00000000-0005-0000-0000-0000A95F0000}"/>
    <cellStyle name="Standard 4 3 6 2 9" xfId="24295" xr:uid="{00000000-0005-0000-0000-0000AA5F0000}"/>
    <cellStyle name="Standard 4 3 6 3" xfId="24296" xr:uid="{00000000-0005-0000-0000-0000AB5F0000}"/>
    <cellStyle name="Standard 4 3 6 3 2" xfId="24297" xr:uid="{00000000-0005-0000-0000-0000AC5F0000}"/>
    <cellStyle name="Standard 4 3 6 3 2 2" xfId="24298" xr:uid="{00000000-0005-0000-0000-0000AD5F0000}"/>
    <cellStyle name="Standard 4 3 6 3 2 2 2" xfId="24299" xr:uid="{00000000-0005-0000-0000-0000AE5F0000}"/>
    <cellStyle name="Standard 4 3 6 3 2 2 2 2" xfId="24300" xr:uid="{00000000-0005-0000-0000-0000AF5F0000}"/>
    <cellStyle name="Standard 4 3 6 3 2 2 2 3" xfId="24301" xr:uid="{00000000-0005-0000-0000-0000B05F0000}"/>
    <cellStyle name="Standard 4 3 6 3 2 2 3" xfId="24302" xr:uid="{00000000-0005-0000-0000-0000B15F0000}"/>
    <cellStyle name="Standard 4 3 6 3 2 2 3 2" xfId="24303" xr:uid="{00000000-0005-0000-0000-0000B25F0000}"/>
    <cellStyle name="Standard 4 3 6 3 2 2 3 3" xfId="24304" xr:uid="{00000000-0005-0000-0000-0000B35F0000}"/>
    <cellStyle name="Standard 4 3 6 3 2 2 4" xfId="24305" xr:uid="{00000000-0005-0000-0000-0000B45F0000}"/>
    <cellStyle name="Standard 4 3 6 3 2 2 4 2" xfId="24306" xr:uid="{00000000-0005-0000-0000-0000B55F0000}"/>
    <cellStyle name="Standard 4 3 6 3 2 2 5" xfId="24307" xr:uid="{00000000-0005-0000-0000-0000B65F0000}"/>
    <cellStyle name="Standard 4 3 6 3 2 2 6" xfId="24308" xr:uid="{00000000-0005-0000-0000-0000B75F0000}"/>
    <cellStyle name="Standard 4 3 6 3 2 3" xfId="24309" xr:uid="{00000000-0005-0000-0000-0000B85F0000}"/>
    <cellStyle name="Standard 4 3 6 3 2 3 2" xfId="24310" xr:uid="{00000000-0005-0000-0000-0000B95F0000}"/>
    <cellStyle name="Standard 4 3 6 3 2 3 3" xfId="24311" xr:uid="{00000000-0005-0000-0000-0000BA5F0000}"/>
    <cellStyle name="Standard 4 3 6 3 2 4" xfId="24312" xr:uid="{00000000-0005-0000-0000-0000BB5F0000}"/>
    <cellStyle name="Standard 4 3 6 3 2 4 2" xfId="24313" xr:uid="{00000000-0005-0000-0000-0000BC5F0000}"/>
    <cellStyle name="Standard 4 3 6 3 2 4 3" xfId="24314" xr:uid="{00000000-0005-0000-0000-0000BD5F0000}"/>
    <cellStyle name="Standard 4 3 6 3 2 5" xfId="24315" xr:uid="{00000000-0005-0000-0000-0000BE5F0000}"/>
    <cellStyle name="Standard 4 3 6 3 2 5 2" xfId="24316" xr:uid="{00000000-0005-0000-0000-0000BF5F0000}"/>
    <cellStyle name="Standard 4 3 6 3 2 6" xfId="24317" xr:uid="{00000000-0005-0000-0000-0000C05F0000}"/>
    <cellStyle name="Standard 4 3 6 3 2 7" xfId="24318" xr:uid="{00000000-0005-0000-0000-0000C15F0000}"/>
    <cellStyle name="Standard 4 3 6 3 3" xfId="24319" xr:uid="{00000000-0005-0000-0000-0000C25F0000}"/>
    <cellStyle name="Standard 4 3 6 3 3 2" xfId="24320" xr:uid="{00000000-0005-0000-0000-0000C35F0000}"/>
    <cellStyle name="Standard 4 3 6 3 3 2 2" xfId="24321" xr:uid="{00000000-0005-0000-0000-0000C45F0000}"/>
    <cellStyle name="Standard 4 3 6 3 3 2 3" xfId="24322" xr:uid="{00000000-0005-0000-0000-0000C55F0000}"/>
    <cellStyle name="Standard 4 3 6 3 3 3" xfId="24323" xr:uid="{00000000-0005-0000-0000-0000C65F0000}"/>
    <cellStyle name="Standard 4 3 6 3 3 3 2" xfId="24324" xr:uid="{00000000-0005-0000-0000-0000C75F0000}"/>
    <cellStyle name="Standard 4 3 6 3 3 3 3" xfId="24325" xr:uid="{00000000-0005-0000-0000-0000C85F0000}"/>
    <cellStyle name="Standard 4 3 6 3 3 4" xfId="24326" xr:uid="{00000000-0005-0000-0000-0000C95F0000}"/>
    <cellStyle name="Standard 4 3 6 3 3 4 2" xfId="24327" xr:uid="{00000000-0005-0000-0000-0000CA5F0000}"/>
    <cellStyle name="Standard 4 3 6 3 3 5" xfId="24328" xr:uid="{00000000-0005-0000-0000-0000CB5F0000}"/>
    <cellStyle name="Standard 4 3 6 3 3 6" xfId="24329" xr:uid="{00000000-0005-0000-0000-0000CC5F0000}"/>
    <cellStyle name="Standard 4 3 6 3 4" xfId="24330" xr:uid="{00000000-0005-0000-0000-0000CD5F0000}"/>
    <cellStyle name="Standard 4 3 6 3 4 2" xfId="24331" xr:uid="{00000000-0005-0000-0000-0000CE5F0000}"/>
    <cellStyle name="Standard 4 3 6 3 4 3" xfId="24332" xr:uid="{00000000-0005-0000-0000-0000CF5F0000}"/>
    <cellStyle name="Standard 4 3 6 3 5" xfId="24333" xr:uid="{00000000-0005-0000-0000-0000D05F0000}"/>
    <cellStyle name="Standard 4 3 6 3 5 2" xfId="24334" xr:uid="{00000000-0005-0000-0000-0000D15F0000}"/>
    <cellStyle name="Standard 4 3 6 3 5 3" xfId="24335" xr:uid="{00000000-0005-0000-0000-0000D25F0000}"/>
    <cellStyle name="Standard 4 3 6 3 6" xfId="24336" xr:uid="{00000000-0005-0000-0000-0000D35F0000}"/>
    <cellStyle name="Standard 4 3 6 3 6 2" xfId="24337" xr:uid="{00000000-0005-0000-0000-0000D45F0000}"/>
    <cellStyle name="Standard 4 3 6 3 7" xfId="24338" xr:uid="{00000000-0005-0000-0000-0000D55F0000}"/>
    <cellStyle name="Standard 4 3 6 3 8" xfId="24339" xr:uid="{00000000-0005-0000-0000-0000D65F0000}"/>
    <cellStyle name="Standard 4 3 6 4" xfId="24340" xr:uid="{00000000-0005-0000-0000-0000D75F0000}"/>
    <cellStyle name="Standard 4 3 6 4 2" xfId="24341" xr:uid="{00000000-0005-0000-0000-0000D85F0000}"/>
    <cellStyle name="Standard 4 3 6 4 2 2" xfId="24342" xr:uid="{00000000-0005-0000-0000-0000D95F0000}"/>
    <cellStyle name="Standard 4 3 6 4 2 2 2" xfId="24343" xr:uid="{00000000-0005-0000-0000-0000DA5F0000}"/>
    <cellStyle name="Standard 4 3 6 4 2 2 2 2" xfId="24344" xr:uid="{00000000-0005-0000-0000-0000DB5F0000}"/>
    <cellStyle name="Standard 4 3 6 4 2 2 2 3" xfId="24345" xr:uid="{00000000-0005-0000-0000-0000DC5F0000}"/>
    <cellStyle name="Standard 4 3 6 4 2 2 3" xfId="24346" xr:uid="{00000000-0005-0000-0000-0000DD5F0000}"/>
    <cellStyle name="Standard 4 3 6 4 2 2 3 2" xfId="24347" xr:uid="{00000000-0005-0000-0000-0000DE5F0000}"/>
    <cellStyle name="Standard 4 3 6 4 2 2 3 3" xfId="24348" xr:uid="{00000000-0005-0000-0000-0000DF5F0000}"/>
    <cellStyle name="Standard 4 3 6 4 2 2 4" xfId="24349" xr:uid="{00000000-0005-0000-0000-0000E05F0000}"/>
    <cellStyle name="Standard 4 3 6 4 2 2 4 2" xfId="24350" xr:uid="{00000000-0005-0000-0000-0000E15F0000}"/>
    <cellStyle name="Standard 4 3 6 4 2 2 5" xfId="24351" xr:uid="{00000000-0005-0000-0000-0000E25F0000}"/>
    <cellStyle name="Standard 4 3 6 4 2 2 6" xfId="24352" xr:uid="{00000000-0005-0000-0000-0000E35F0000}"/>
    <cellStyle name="Standard 4 3 6 4 2 3" xfId="24353" xr:uid="{00000000-0005-0000-0000-0000E45F0000}"/>
    <cellStyle name="Standard 4 3 6 4 2 3 2" xfId="24354" xr:uid="{00000000-0005-0000-0000-0000E55F0000}"/>
    <cellStyle name="Standard 4 3 6 4 2 3 3" xfId="24355" xr:uid="{00000000-0005-0000-0000-0000E65F0000}"/>
    <cellStyle name="Standard 4 3 6 4 2 4" xfId="24356" xr:uid="{00000000-0005-0000-0000-0000E75F0000}"/>
    <cellStyle name="Standard 4 3 6 4 2 4 2" xfId="24357" xr:uid="{00000000-0005-0000-0000-0000E85F0000}"/>
    <cellStyle name="Standard 4 3 6 4 2 4 3" xfId="24358" xr:uid="{00000000-0005-0000-0000-0000E95F0000}"/>
    <cellStyle name="Standard 4 3 6 4 2 5" xfId="24359" xr:uid="{00000000-0005-0000-0000-0000EA5F0000}"/>
    <cellStyle name="Standard 4 3 6 4 2 5 2" xfId="24360" xr:uid="{00000000-0005-0000-0000-0000EB5F0000}"/>
    <cellStyle name="Standard 4 3 6 4 2 6" xfId="24361" xr:uid="{00000000-0005-0000-0000-0000EC5F0000}"/>
    <cellStyle name="Standard 4 3 6 4 2 7" xfId="24362" xr:uid="{00000000-0005-0000-0000-0000ED5F0000}"/>
    <cellStyle name="Standard 4 3 6 4 3" xfId="24363" xr:uid="{00000000-0005-0000-0000-0000EE5F0000}"/>
    <cellStyle name="Standard 4 3 6 4 3 2" xfId="24364" xr:uid="{00000000-0005-0000-0000-0000EF5F0000}"/>
    <cellStyle name="Standard 4 3 6 4 3 2 2" xfId="24365" xr:uid="{00000000-0005-0000-0000-0000F05F0000}"/>
    <cellStyle name="Standard 4 3 6 4 3 2 3" xfId="24366" xr:uid="{00000000-0005-0000-0000-0000F15F0000}"/>
    <cellStyle name="Standard 4 3 6 4 3 3" xfId="24367" xr:uid="{00000000-0005-0000-0000-0000F25F0000}"/>
    <cellStyle name="Standard 4 3 6 4 3 3 2" xfId="24368" xr:uid="{00000000-0005-0000-0000-0000F35F0000}"/>
    <cellStyle name="Standard 4 3 6 4 3 3 3" xfId="24369" xr:uid="{00000000-0005-0000-0000-0000F45F0000}"/>
    <cellStyle name="Standard 4 3 6 4 3 4" xfId="24370" xr:uid="{00000000-0005-0000-0000-0000F55F0000}"/>
    <cellStyle name="Standard 4 3 6 4 3 4 2" xfId="24371" xr:uid="{00000000-0005-0000-0000-0000F65F0000}"/>
    <cellStyle name="Standard 4 3 6 4 3 5" xfId="24372" xr:uid="{00000000-0005-0000-0000-0000F75F0000}"/>
    <cellStyle name="Standard 4 3 6 4 3 6" xfId="24373" xr:uid="{00000000-0005-0000-0000-0000F85F0000}"/>
    <cellStyle name="Standard 4 3 6 4 4" xfId="24374" xr:uid="{00000000-0005-0000-0000-0000F95F0000}"/>
    <cellStyle name="Standard 4 3 6 4 4 2" xfId="24375" xr:uid="{00000000-0005-0000-0000-0000FA5F0000}"/>
    <cellStyle name="Standard 4 3 6 4 4 3" xfId="24376" xr:uid="{00000000-0005-0000-0000-0000FB5F0000}"/>
    <cellStyle name="Standard 4 3 6 4 5" xfId="24377" xr:uid="{00000000-0005-0000-0000-0000FC5F0000}"/>
    <cellStyle name="Standard 4 3 6 4 5 2" xfId="24378" xr:uid="{00000000-0005-0000-0000-0000FD5F0000}"/>
    <cellStyle name="Standard 4 3 6 4 5 3" xfId="24379" xr:uid="{00000000-0005-0000-0000-0000FE5F0000}"/>
    <cellStyle name="Standard 4 3 6 4 6" xfId="24380" xr:uid="{00000000-0005-0000-0000-0000FF5F0000}"/>
    <cellStyle name="Standard 4 3 6 4 6 2" xfId="24381" xr:uid="{00000000-0005-0000-0000-000000600000}"/>
    <cellStyle name="Standard 4 3 6 4 7" xfId="24382" xr:uid="{00000000-0005-0000-0000-000001600000}"/>
    <cellStyle name="Standard 4 3 6 4 8" xfId="24383" xr:uid="{00000000-0005-0000-0000-000002600000}"/>
    <cellStyle name="Standard 4 3 6 5" xfId="24384" xr:uid="{00000000-0005-0000-0000-000003600000}"/>
    <cellStyle name="Standard 4 3 6 5 2" xfId="24385" xr:uid="{00000000-0005-0000-0000-000004600000}"/>
    <cellStyle name="Standard 4 3 6 5 2 2" xfId="24386" xr:uid="{00000000-0005-0000-0000-000005600000}"/>
    <cellStyle name="Standard 4 3 6 5 2 2 2" xfId="24387" xr:uid="{00000000-0005-0000-0000-000006600000}"/>
    <cellStyle name="Standard 4 3 6 5 2 2 3" xfId="24388" xr:uid="{00000000-0005-0000-0000-000007600000}"/>
    <cellStyle name="Standard 4 3 6 5 2 3" xfId="24389" xr:uid="{00000000-0005-0000-0000-000008600000}"/>
    <cellStyle name="Standard 4 3 6 5 2 3 2" xfId="24390" xr:uid="{00000000-0005-0000-0000-000009600000}"/>
    <cellStyle name="Standard 4 3 6 5 2 3 3" xfId="24391" xr:uid="{00000000-0005-0000-0000-00000A600000}"/>
    <cellStyle name="Standard 4 3 6 5 2 4" xfId="24392" xr:uid="{00000000-0005-0000-0000-00000B600000}"/>
    <cellStyle name="Standard 4 3 6 5 2 4 2" xfId="24393" xr:uid="{00000000-0005-0000-0000-00000C600000}"/>
    <cellStyle name="Standard 4 3 6 5 2 5" xfId="24394" xr:uid="{00000000-0005-0000-0000-00000D600000}"/>
    <cellStyle name="Standard 4 3 6 5 2 6" xfId="24395" xr:uid="{00000000-0005-0000-0000-00000E600000}"/>
    <cellStyle name="Standard 4 3 6 5 3" xfId="24396" xr:uid="{00000000-0005-0000-0000-00000F600000}"/>
    <cellStyle name="Standard 4 3 6 5 3 2" xfId="24397" xr:uid="{00000000-0005-0000-0000-000010600000}"/>
    <cellStyle name="Standard 4 3 6 5 3 3" xfId="24398" xr:uid="{00000000-0005-0000-0000-000011600000}"/>
    <cellStyle name="Standard 4 3 6 5 4" xfId="24399" xr:uid="{00000000-0005-0000-0000-000012600000}"/>
    <cellStyle name="Standard 4 3 6 5 4 2" xfId="24400" xr:uid="{00000000-0005-0000-0000-000013600000}"/>
    <cellStyle name="Standard 4 3 6 5 4 3" xfId="24401" xr:uid="{00000000-0005-0000-0000-000014600000}"/>
    <cellStyle name="Standard 4 3 6 5 5" xfId="24402" xr:uid="{00000000-0005-0000-0000-000015600000}"/>
    <cellStyle name="Standard 4 3 6 5 5 2" xfId="24403" xr:uid="{00000000-0005-0000-0000-000016600000}"/>
    <cellStyle name="Standard 4 3 6 5 6" xfId="24404" xr:uid="{00000000-0005-0000-0000-000017600000}"/>
    <cellStyle name="Standard 4 3 6 5 7" xfId="24405" xr:uid="{00000000-0005-0000-0000-000018600000}"/>
    <cellStyle name="Standard 4 3 6 6" xfId="24406" xr:uid="{00000000-0005-0000-0000-000019600000}"/>
    <cellStyle name="Standard 4 3 6 6 2" xfId="24407" xr:uid="{00000000-0005-0000-0000-00001A600000}"/>
    <cellStyle name="Standard 4 3 6 6 2 2" xfId="24408" xr:uid="{00000000-0005-0000-0000-00001B600000}"/>
    <cellStyle name="Standard 4 3 6 6 2 3" xfId="24409" xr:uid="{00000000-0005-0000-0000-00001C600000}"/>
    <cellStyle name="Standard 4 3 6 6 3" xfId="24410" xr:uid="{00000000-0005-0000-0000-00001D600000}"/>
    <cellStyle name="Standard 4 3 6 6 3 2" xfId="24411" xr:uid="{00000000-0005-0000-0000-00001E600000}"/>
    <cellStyle name="Standard 4 3 6 6 3 3" xfId="24412" xr:uid="{00000000-0005-0000-0000-00001F600000}"/>
    <cellStyle name="Standard 4 3 6 6 4" xfId="24413" xr:uid="{00000000-0005-0000-0000-000020600000}"/>
    <cellStyle name="Standard 4 3 6 6 4 2" xfId="24414" xr:uid="{00000000-0005-0000-0000-000021600000}"/>
    <cellStyle name="Standard 4 3 6 6 5" xfId="24415" xr:uid="{00000000-0005-0000-0000-000022600000}"/>
    <cellStyle name="Standard 4 3 6 6 6" xfId="24416" xr:uid="{00000000-0005-0000-0000-000023600000}"/>
    <cellStyle name="Standard 4 3 6 7" xfId="24417" xr:uid="{00000000-0005-0000-0000-000024600000}"/>
    <cellStyle name="Standard 4 3 6 7 2" xfId="24418" xr:uid="{00000000-0005-0000-0000-000025600000}"/>
    <cellStyle name="Standard 4 3 6 7 3" xfId="24419" xr:uid="{00000000-0005-0000-0000-000026600000}"/>
    <cellStyle name="Standard 4 3 6 8" xfId="24420" xr:uid="{00000000-0005-0000-0000-000027600000}"/>
    <cellStyle name="Standard 4 3 6 8 2" xfId="24421" xr:uid="{00000000-0005-0000-0000-000028600000}"/>
    <cellStyle name="Standard 4 3 6 8 3" xfId="24422" xr:uid="{00000000-0005-0000-0000-000029600000}"/>
    <cellStyle name="Standard 4 3 6 9" xfId="24423" xr:uid="{00000000-0005-0000-0000-00002A600000}"/>
    <cellStyle name="Standard 4 3 6 9 2" xfId="24424" xr:uid="{00000000-0005-0000-0000-00002B600000}"/>
    <cellStyle name="Standard 4 3 7" xfId="24425" xr:uid="{00000000-0005-0000-0000-00002C600000}"/>
    <cellStyle name="Standard 4 3 7 10" xfId="24426" xr:uid="{00000000-0005-0000-0000-00002D600000}"/>
    <cellStyle name="Standard 4 3 7 11" xfId="24427" xr:uid="{00000000-0005-0000-0000-00002E600000}"/>
    <cellStyle name="Standard 4 3 7 2" xfId="24428" xr:uid="{00000000-0005-0000-0000-00002F600000}"/>
    <cellStyle name="Standard 4 3 7 2 10" xfId="24429" xr:uid="{00000000-0005-0000-0000-000030600000}"/>
    <cellStyle name="Standard 4 3 7 2 2" xfId="24430" xr:uid="{00000000-0005-0000-0000-000031600000}"/>
    <cellStyle name="Standard 4 3 7 2 2 2" xfId="24431" xr:uid="{00000000-0005-0000-0000-000032600000}"/>
    <cellStyle name="Standard 4 3 7 2 2 2 2" xfId="24432" xr:uid="{00000000-0005-0000-0000-000033600000}"/>
    <cellStyle name="Standard 4 3 7 2 2 2 2 2" xfId="24433" xr:uid="{00000000-0005-0000-0000-000034600000}"/>
    <cellStyle name="Standard 4 3 7 2 2 2 2 2 2" xfId="24434" xr:uid="{00000000-0005-0000-0000-000035600000}"/>
    <cellStyle name="Standard 4 3 7 2 2 2 2 2 3" xfId="24435" xr:uid="{00000000-0005-0000-0000-000036600000}"/>
    <cellStyle name="Standard 4 3 7 2 2 2 2 3" xfId="24436" xr:uid="{00000000-0005-0000-0000-000037600000}"/>
    <cellStyle name="Standard 4 3 7 2 2 2 2 3 2" xfId="24437" xr:uid="{00000000-0005-0000-0000-000038600000}"/>
    <cellStyle name="Standard 4 3 7 2 2 2 2 3 3" xfId="24438" xr:uid="{00000000-0005-0000-0000-000039600000}"/>
    <cellStyle name="Standard 4 3 7 2 2 2 2 4" xfId="24439" xr:uid="{00000000-0005-0000-0000-00003A600000}"/>
    <cellStyle name="Standard 4 3 7 2 2 2 2 4 2" xfId="24440" xr:uid="{00000000-0005-0000-0000-00003B600000}"/>
    <cellStyle name="Standard 4 3 7 2 2 2 2 5" xfId="24441" xr:uid="{00000000-0005-0000-0000-00003C600000}"/>
    <cellStyle name="Standard 4 3 7 2 2 2 2 6" xfId="24442" xr:uid="{00000000-0005-0000-0000-00003D600000}"/>
    <cellStyle name="Standard 4 3 7 2 2 2 3" xfId="24443" xr:uid="{00000000-0005-0000-0000-00003E600000}"/>
    <cellStyle name="Standard 4 3 7 2 2 2 3 2" xfId="24444" xr:uid="{00000000-0005-0000-0000-00003F600000}"/>
    <cellStyle name="Standard 4 3 7 2 2 2 3 3" xfId="24445" xr:uid="{00000000-0005-0000-0000-000040600000}"/>
    <cellStyle name="Standard 4 3 7 2 2 2 4" xfId="24446" xr:uid="{00000000-0005-0000-0000-000041600000}"/>
    <cellStyle name="Standard 4 3 7 2 2 2 4 2" xfId="24447" xr:uid="{00000000-0005-0000-0000-000042600000}"/>
    <cellStyle name="Standard 4 3 7 2 2 2 4 3" xfId="24448" xr:uid="{00000000-0005-0000-0000-000043600000}"/>
    <cellStyle name="Standard 4 3 7 2 2 2 5" xfId="24449" xr:uid="{00000000-0005-0000-0000-000044600000}"/>
    <cellStyle name="Standard 4 3 7 2 2 2 5 2" xfId="24450" xr:uid="{00000000-0005-0000-0000-000045600000}"/>
    <cellStyle name="Standard 4 3 7 2 2 2 6" xfId="24451" xr:uid="{00000000-0005-0000-0000-000046600000}"/>
    <cellStyle name="Standard 4 3 7 2 2 2 7" xfId="24452" xr:uid="{00000000-0005-0000-0000-000047600000}"/>
    <cellStyle name="Standard 4 3 7 2 2 3" xfId="24453" xr:uid="{00000000-0005-0000-0000-000048600000}"/>
    <cellStyle name="Standard 4 3 7 2 2 3 2" xfId="24454" xr:uid="{00000000-0005-0000-0000-000049600000}"/>
    <cellStyle name="Standard 4 3 7 2 2 3 2 2" xfId="24455" xr:uid="{00000000-0005-0000-0000-00004A600000}"/>
    <cellStyle name="Standard 4 3 7 2 2 3 2 3" xfId="24456" xr:uid="{00000000-0005-0000-0000-00004B600000}"/>
    <cellStyle name="Standard 4 3 7 2 2 3 3" xfId="24457" xr:uid="{00000000-0005-0000-0000-00004C600000}"/>
    <cellStyle name="Standard 4 3 7 2 2 3 3 2" xfId="24458" xr:uid="{00000000-0005-0000-0000-00004D600000}"/>
    <cellStyle name="Standard 4 3 7 2 2 3 3 3" xfId="24459" xr:uid="{00000000-0005-0000-0000-00004E600000}"/>
    <cellStyle name="Standard 4 3 7 2 2 3 4" xfId="24460" xr:uid="{00000000-0005-0000-0000-00004F600000}"/>
    <cellStyle name="Standard 4 3 7 2 2 3 4 2" xfId="24461" xr:uid="{00000000-0005-0000-0000-000050600000}"/>
    <cellStyle name="Standard 4 3 7 2 2 3 5" xfId="24462" xr:uid="{00000000-0005-0000-0000-000051600000}"/>
    <cellStyle name="Standard 4 3 7 2 2 3 6" xfId="24463" xr:uid="{00000000-0005-0000-0000-000052600000}"/>
    <cellStyle name="Standard 4 3 7 2 2 4" xfId="24464" xr:uid="{00000000-0005-0000-0000-000053600000}"/>
    <cellStyle name="Standard 4 3 7 2 2 4 2" xfId="24465" xr:uid="{00000000-0005-0000-0000-000054600000}"/>
    <cellStyle name="Standard 4 3 7 2 2 4 3" xfId="24466" xr:uid="{00000000-0005-0000-0000-000055600000}"/>
    <cellStyle name="Standard 4 3 7 2 2 5" xfId="24467" xr:uid="{00000000-0005-0000-0000-000056600000}"/>
    <cellStyle name="Standard 4 3 7 2 2 5 2" xfId="24468" xr:uid="{00000000-0005-0000-0000-000057600000}"/>
    <cellStyle name="Standard 4 3 7 2 2 5 3" xfId="24469" xr:uid="{00000000-0005-0000-0000-000058600000}"/>
    <cellStyle name="Standard 4 3 7 2 2 6" xfId="24470" xr:uid="{00000000-0005-0000-0000-000059600000}"/>
    <cellStyle name="Standard 4 3 7 2 2 6 2" xfId="24471" xr:uid="{00000000-0005-0000-0000-00005A600000}"/>
    <cellStyle name="Standard 4 3 7 2 2 7" xfId="24472" xr:uid="{00000000-0005-0000-0000-00005B600000}"/>
    <cellStyle name="Standard 4 3 7 2 2 8" xfId="24473" xr:uid="{00000000-0005-0000-0000-00005C600000}"/>
    <cellStyle name="Standard 4 3 7 2 3" xfId="24474" xr:uid="{00000000-0005-0000-0000-00005D600000}"/>
    <cellStyle name="Standard 4 3 7 2 3 2" xfId="24475" xr:uid="{00000000-0005-0000-0000-00005E600000}"/>
    <cellStyle name="Standard 4 3 7 2 3 2 2" xfId="24476" xr:uid="{00000000-0005-0000-0000-00005F600000}"/>
    <cellStyle name="Standard 4 3 7 2 3 2 2 2" xfId="24477" xr:uid="{00000000-0005-0000-0000-000060600000}"/>
    <cellStyle name="Standard 4 3 7 2 3 2 2 2 2" xfId="24478" xr:uid="{00000000-0005-0000-0000-000061600000}"/>
    <cellStyle name="Standard 4 3 7 2 3 2 2 2 3" xfId="24479" xr:uid="{00000000-0005-0000-0000-000062600000}"/>
    <cellStyle name="Standard 4 3 7 2 3 2 2 3" xfId="24480" xr:uid="{00000000-0005-0000-0000-000063600000}"/>
    <cellStyle name="Standard 4 3 7 2 3 2 2 3 2" xfId="24481" xr:uid="{00000000-0005-0000-0000-000064600000}"/>
    <cellStyle name="Standard 4 3 7 2 3 2 2 3 3" xfId="24482" xr:uid="{00000000-0005-0000-0000-000065600000}"/>
    <cellStyle name="Standard 4 3 7 2 3 2 2 4" xfId="24483" xr:uid="{00000000-0005-0000-0000-000066600000}"/>
    <cellStyle name="Standard 4 3 7 2 3 2 2 4 2" xfId="24484" xr:uid="{00000000-0005-0000-0000-000067600000}"/>
    <cellStyle name="Standard 4 3 7 2 3 2 2 5" xfId="24485" xr:uid="{00000000-0005-0000-0000-000068600000}"/>
    <cellStyle name="Standard 4 3 7 2 3 2 2 6" xfId="24486" xr:uid="{00000000-0005-0000-0000-000069600000}"/>
    <cellStyle name="Standard 4 3 7 2 3 2 3" xfId="24487" xr:uid="{00000000-0005-0000-0000-00006A600000}"/>
    <cellStyle name="Standard 4 3 7 2 3 2 3 2" xfId="24488" xr:uid="{00000000-0005-0000-0000-00006B600000}"/>
    <cellStyle name="Standard 4 3 7 2 3 2 3 3" xfId="24489" xr:uid="{00000000-0005-0000-0000-00006C600000}"/>
    <cellStyle name="Standard 4 3 7 2 3 2 4" xfId="24490" xr:uid="{00000000-0005-0000-0000-00006D600000}"/>
    <cellStyle name="Standard 4 3 7 2 3 2 4 2" xfId="24491" xr:uid="{00000000-0005-0000-0000-00006E600000}"/>
    <cellStyle name="Standard 4 3 7 2 3 2 4 3" xfId="24492" xr:uid="{00000000-0005-0000-0000-00006F600000}"/>
    <cellStyle name="Standard 4 3 7 2 3 2 5" xfId="24493" xr:uid="{00000000-0005-0000-0000-000070600000}"/>
    <cellStyle name="Standard 4 3 7 2 3 2 5 2" xfId="24494" xr:uid="{00000000-0005-0000-0000-000071600000}"/>
    <cellStyle name="Standard 4 3 7 2 3 2 6" xfId="24495" xr:uid="{00000000-0005-0000-0000-000072600000}"/>
    <cellStyle name="Standard 4 3 7 2 3 2 7" xfId="24496" xr:uid="{00000000-0005-0000-0000-000073600000}"/>
    <cellStyle name="Standard 4 3 7 2 3 3" xfId="24497" xr:uid="{00000000-0005-0000-0000-000074600000}"/>
    <cellStyle name="Standard 4 3 7 2 3 3 2" xfId="24498" xr:uid="{00000000-0005-0000-0000-000075600000}"/>
    <cellStyle name="Standard 4 3 7 2 3 3 2 2" xfId="24499" xr:uid="{00000000-0005-0000-0000-000076600000}"/>
    <cellStyle name="Standard 4 3 7 2 3 3 2 3" xfId="24500" xr:uid="{00000000-0005-0000-0000-000077600000}"/>
    <cellStyle name="Standard 4 3 7 2 3 3 3" xfId="24501" xr:uid="{00000000-0005-0000-0000-000078600000}"/>
    <cellStyle name="Standard 4 3 7 2 3 3 3 2" xfId="24502" xr:uid="{00000000-0005-0000-0000-000079600000}"/>
    <cellStyle name="Standard 4 3 7 2 3 3 3 3" xfId="24503" xr:uid="{00000000-0005-0000-0000-00007A600000}"/>
    <cellStyle name="Standard 4 3 7 2 3 3 4" xfId="24504" xr:uid="{00000000-0005-0000-0000-00007B600000}"/>
    <cellStyle name="Standard 4 3 7 2 3 3 4 2" xfId="24505" xr:uid="{00000000-0005-0000-0000-00007C600000}"/>
    <cellStyle name="Standard 4 3 7 2 3 3 5" xfId="24506" xr:uid="{00000000-0005-0000-0000-00007D600000}"/>
    <cellStyle name="Standard 4 3 7 2 3 3 6" xfId="24507" xr:uid="{00000000-0005-0000-0000-00007E600000}"/>
    <cellStyle name="Standard 4 3 7 2 3 4" xfId="24508" xr:uid="{00000000-0005-0000-0000-00007F600000}"/>
    <cellStyle name="Standard 4 3 7 2 3 4 2" xfId="24509" xr:uid="{00000000-0005-0000-0000-000080600000}"/>
    <cellStyle name="Standard 4 3 7 2 3 4 3" xfId="24510" xr:uid="{00000000-0005-0000-0000-000081600000}"/>
    <cellStyle name="Standard 4 3 7 2 3 5" xfId="24511" xr:uid="{00000000-0005-0000-0000-000082600000}"/>
    <cellStyle name="Standard 4 3 7 2 3 5 2" xfId="24512" xr:uid="{00000000-0005-0000-0000-000083600000}"/>
    <cellStyle name="Standard 4 3 7 2 3 5 3" xfId="24513" xr:uid="{00000000-0005-0000-0000-000084600000}"/>
    <cellStyle name="Standard 4 3 7 2 3 6" xfId="24514" xr:uid="{00000000-0005-0000-0000-000085600000}"/>
    <cellStyle name="Standard 4 3 7 2 3 6 2" xfId="24515" xr:uid="{00000000-0005-0000-0000-000086600000}"/>
    <cellStyle name="Standard 4 3 7 2 3 7" xfId="24516" xr:uid="{00000000-0005-0000-0000-000087600000}"/>
    <cellStyle name="Standard 4 3 7 2 3 8" xfId="24517" xr:uid="{00000000-0005-0000-0000-000088600000}"/>
    <cellStyle name="Standard 4 3 7 2 4" xfId="24518" xr:uid="{00000000-0005-0000-0000-000089600000}"/>
    <cellStyle name="Standard 4 3 7 2 4 2" xfId="24519" xr:uid="{00000000-0005-0000-0000-00008A600000}"/>
    <cellStyle name="Standard 4 3 7 2 4 2 2" xfId="24520" xr:uid="{00000000-0005-0000-0000-00008B600000}"/>
    <cellStyle name="Standard 4 3 7 2 4 2 2 2" xfId="24521" xr:uid="{00000000-0005-0000-0000-00008C600000}"/>
    <cellStyle name="Standard 4 3 7 2 4 2 2 3" xfId="24522" xr:uid="{00000000-0005-0000-0000-00008D600000}"/>
    <cellStyle name="Standard 4 3 7 2 4 2 3" xfId="24523" xr:uid="{00000000-0005-0000-0000-00008E600000}"/>
    <cellStyle name="Standard 4 3 7 2 4 2 3 2" xfId="24524" xr:uid="{00000000-0005-0000-0000-00008F600000}"/>
    <cellStyle name="Standard 4 3 7 2 4 2 3 3" xfId="24525" xr:uid="{00000000-0005-0000-0000-000090600000}"/>
    <cellStyle name="Standard 4 3 7 2 4 2 4" xfId="24526" xr:uid="{00000000-0005-0000-0000-000091600000}"/>
    <cellStyle name="Standard 4 3 7 2 4 2 4 2" xfId="24527" xr:uid="{00000000-0005-0000-0000-000092600000}"/>
    <cellStyle name="Standard 4 3 7 2 4 2 5" xfId="24528" xr:uid="{00000000-0005-0000-0000-000093600000}"/>
    <cellStyle name="Standard 4 3 7 2 4 2 6" xfId="24529" xr:uid="{00000000-0005-0000-0000-000094600000}"/>
    <cellStyle name="Standard 4 3 7 2 4 3" xfId="24530" xr:uid="{00000000-0005-0000-0000-000095600000}"/>
    <cellStyle name="Standard 4 3 7 2 4 3 2" xfId="24531" xr:uid="{00000000-0005-0000-0000-000096600000}"/>
    <cellStyle name="Standard 4 3 7 2 4 3 3" xfId="24532" xr:uid="{00000000-0005-0000-0000-000097600000}"/>
    <cellStyle name="Standard 4 3 7 2 4 4" xfId="24533" xr:uid="{00000000-0005-0000-0000-000098600000}"/>
    <cellStyle name="Standard 4 3 7 2 4 4 2" xfId="24534" xr:uid="{00000000-0005-0000-0000-000099600000}"/>
    <cellStyle name="Standard 4 3 7 2 4 4 3" xfId="24535" xr:uid="{00000000-0005-0000-0000-00009A600000}"/>
    <cellStyle name="Standard 4 3 7 2 4 5" xfId="24536" xr:uid="{00000000-0005-0000-0000-00009B600000}"/>
    <cellStyle name="Standard 4 3 7 2 4 5 2" xfId="24537" xr:uid="{00000000-0005-0000-0000-00009C600000}"/>
    <cellStyle name="Standard 4 3 7 2 4 6" xfId="24538" xr:uid="{00000000-0005-0000-0000-00009D600000}"/>
    <cellStyle name="Standard 4 3 7 2 4 7" xfId="24539" xr:uid="{00000000-0005-0000-0000-00009E600000}"/>
    <cellStyle name="Standard 4 3 7 2 5" xfId="24540" xr:uid="{00000000-0005-0000-0000-00009F600000}"/>
    <cellStyle name="Standard 4 3 7 2 5 2" xfId="24541" xr:uid="{00000000-0005-0000-0000-0000A0600000}"/>
    <cellStyle name="Standard 4 3 7 2 5 2 2" xfId="24542" xr:uid="{00000000-0005-0000-0000-0000A1600000}"/>
    <cellStyle name="Standard 4 3 7 2 5 2 3" xfId="24543" xr:uid="{00000000-0005-0000-0000-0000A2600000}"/>
    <cellStyle name="Standard 4 3 7 2 5 3" xfId="24544" xr:uid="{00000000-0005-0000-0000-0000A3600000}"/>
    <cellStyle name="Standard 4 3 7 2 5 3 2" xfId="24545" xr:uid="{00000000-0005-0000-0000-0000A4600000}"/>
    <cellStyle name="Standard 4 3 7 2 5 3 3" xfId="24546" xr:uid="{00000000-0005-0000-0000-0000A5600000}"/>
    <cellStyle name="Standard 4 3 7 2 5 4" xfId="24547" xr:uid="{00000000-0005-0000-0000-0000A6600000}"/>
    <cellStyle name="Standard 4 3 7 2 5 4 2" xfId="24548" xr:uid="{00000000-0005-0000-0000-0000A7600000}"/>
    <cellStyle name="Standard 4 3 7 2 5 5" xfId="24549" xr:uid="{00000000-0005-0000-0000-0000A8600000}"/>
    <cellStyle name="Standard 4 3 7 2 5 6" xfId="24550" xr:uid="{00000000-0005-0000-0000-0000A9600000}"/>
    <cellStyle name="Standard 4 3 7 2 6" xfId="24551" xr:uid="{00000000-0005-0000-0000-0000AA600000}"/>
    <cellStyle name="Standard 4 3 7 2 6 2" xfId="24552" xr:uid="{00000000-0005-0000-0000-0000AB600000}"/>
    <cellStyle name="Standard 4 3 7 2 6 3" xfId="24553" xr:uid="{00000000-0005-0000-0000-0000AC600000}"/>
    <cellStyle name="Standard 4 3 7 2 7" xfId="24554" xr:uid="{00000000-0005-0000-0000-0000AD600000}"/>
    <cellStyle name="Standard 4 3 7 2 7 2" xfId="24555" xr:uid="{00000000-0005-0000-0000-0000AE600000}"/>
    <cellStyle name="Standard 4 3 7 2 7 3" xfId="24556" xr:uid="{00000000-0005-0000-0000-0000AF600000}"/>
    <cellStyle name="Standard 4 3 7 2 8" xfId="24557" xr:uid="{00000000-0005-0000-0000-0000B0600000}"/>
    <cellStyle name="Standard 4 3 7 2 8 2" xfId="24558" xr:uid="{00000000-0005-0000-0000-0000B1600000}"/>
    <cellStyle name="Standard 4 3 7 2 9" xfId="24559" xr:uid="{00000000-0005-0000-0000-0000B2600000}"/>
    <cellStyle name="Standard 4 3 7 3" xfId="24560" xr:uid="{00000000-0005-0000-0000-0000B3600000}"/>
    <cellStyle name="Standard 4 3 7 3 2" xfId="24561" xr:uid="{00000000-0005-0000-0000-0000B4600000}"/>
    <cellStyle name="Standard 4 3 7 3 2 2" xfId="24562" xr:uid="{00000000-0005-0000-0000-0000B5600000}"/>
    <cellStyle name="Standard 4 3 7 3 2 2 2" xfId="24563" xr:uid="{00000000-0005-0000-0000-0000B6600000}"/>
    <cellStyle name="Standard 4 3 7 3 2 2 2 2" xfId="24564" xr:uid="{00000000-0005-0000-0000-0000B7600000}"/>
    <cellStyle name="Standard 4 3 7 3 2 2 2 3" xfId="24565" xr:uid="{00000000-0005-0000-0000-0000B8600000}"/>
    <cellStyle name="Standard 4 3 7 3 2 2 3" xfId="24566" xr:uid="{00000000-0005-0000-0000-0000B9600000}"/>
    <cellStyle name="Standard 4 3 7 3 2 2 3 2" xfId="24567" xr:uid="{00000000-0005-0000-0000-0000BA600000}"/>
    <cellStyle name="Standard 4 3 7 3 2 2 3 3" xfId="24568" xr:uid="{00000000-0005-0000-0000-0000BB600000}"/>
    <cellStyle name="Standard 4 3 7 3 2 2 4" xfId="24569" xr:uid="{00000000-0005-0000-0000-0000BC600000}"/>
    <cellStyle name="Standard 4 3 7 3 2 2 4 2" xfId="24570" xr:uid="{00000000-0005-0000-0000-0000BD600000}"/>
    <cellStyle name="Standard 4 3 7 3 2 2 5" xfId="24571" xr:uid="{00000000-0005-0000-0000-0000BE600000}"/>
    <cellStyle name="Standard 4 3 7 3 2 2 6" xfId="24572" xr:uid="{00000000-0005-0000-0000-0000BF600000}"/>
    <cellStyle name="Standard 4 3 7 3 2 3" xfId="24573" xr:uid="{00000000-0005-0000-0000-0000C0600000}"/>
    <cellStyle name="Standard 4 3 7 3 2 3 2" xfId="24574" xr:uid="{00000000-0005-0000-0000-0000C1600000}"/>
    <cellStyle name="Standard 4 3 7 3 2 3 3" xfId="24575" xr:uid="{00000000-0005-0000-0000-0000C2600000}"/>
    <cellStyle name="Standard 4 3 7 3 2 4" xfId="24576" xr:uid="{00000000-0005-0000-0000-0000C3600000}"/>
    <cellStyle name="Standard 4 3 7 3 2 4 2" xfId="24577" xr:uid="{00000000-0005-0000-0000-0000C4600000}"/>
    <cellStyle name="Standard 4 3 7 3 2 4 3" xfId="24578" xr:uid="{00000000-0005-0000-0000-0000C5600000}"/>
    <cellStyle name="Standard 4 3 7 3 2 5" xfId="24579" xr:uid="{00000000-0005-0000-0000-0000C6600000}"/>
    <cellStyle name="Standard 4 3 7 3 2 5 2" xfId="24580" xr:uid="{00000000-0005-0000-0000-0000C7600000}"/>
    <cellStyle name="Standard 4 3 7 3 2 6" xfId="24581" xr:uid="{00000000-0005-0000-0000-0000C8600000}"/>
    <cellStyle name="Standard 4 3 7 3 2 7" xfId="24582" xr:uid="{00000000-0005-0000-0000-0000C9600000}"/>
    <cellStyle name="Standard 4 3 7 3 3" xfId="24583" xr:uid="{00000000-0005-0000-0000-0000CA600000}"/>
    <cellStyle name="Standard 4 3 7 3 3 2" xfId="24584" xr:uid="{00000000-0005-0000-0000-0000CB600000}"/>
    <cellStyle name="Standard 4 3 7 3 3 2 2" xfId="24585" xr:uid="{00000000-0005-0000-0000-0000CC600000}"/>
    <cellStyle name="Standard 4 3 7 3 3 2 3" xfId="24586" xr:uid="{00000000-0005-0000-0000-0000CD600000}"/>
    <cellStyle name="Standard 4 3 7 3 3 3" xfId="24587" xr:uid="{00000000-0005-0000-0000-0000CE600000}"/>
    <cellStyle name="Standard 4 3 7 3 3 3 2" xfId="24588" xr:uid="{00000000-0005-0000-0000-0000CF600000}"/>
    <cellStyle name="Standard 4 3 7 3 3 3 3" xfId="24589" xr:uid="{00000000-0005-0000-0000-0000D0600000}"/>
    <cellStyle name="Standard 4 3 7 3 3 4" xfId="24590" xr:uid="{00000000-0005-0000-0000-0000D1600000}"/>
    <cellStyle name="Standard 4 3 7 3 3 4 2" xfId="24591" xr:uid="{00000000-0005-0000-0000-0000D2600000}"/>
    <cellStyle name="Standard 4 3 7 3 3 5" xfId="24592" xr:uid="{00000000-0005-0000-0000-0000D3600000}"/>
    <cellStyle name="Standard 4 3 7 3 3 6" xfId="24593" xr:uid="{00000000-0005-0000-0000-0000D4600000}"/>
    <cellStyle name="Standard 4 3 7 3 4" xfId="24594" xr:uid="{00000000-0005-0000-0000-0000D5600000}"/>
    <cellStyle name="Standard 4 3 7 3 4 2" xfId="24595" xr:uid="{00000000-0005-0000-0000-0000D6600000}"/>
    <cellStyle name="Standard 4 3 7 3 4 3" xfId="24596" xr:uid="{00000000-0005-0000-0000-0000D7600000}"/>
    <cellStyle name="Standard 4 3 7 3 5" xfId="24597" xr:uid="{00000000-0005-0000-0000-0000D8600000}"/>
    <cellStyle name="Standard 4 3 7 3 5 2" xfId="24598" xr:uid="{00000000-0005-0000-0000-0000D9600000}"/>
    <cellStyle name="Standard 4 3 7 3 5 3" xfId="24599" xr:uid="{00000000-0005-0000-0000-0000DA600000}"/>
    <cellStyle name="Standard 4 3 7 3 6" xfId="24600" xr:uid="{00000000-0005-0000-0000-0000DB600000}"/>
    <cellStyle name="Standard 4 3 7 3 6 2" xfId="24601" xr:uid="{00000000-0005-0000-0000-0000DC600000}"/>
    <cellStyle name="Standard 4 3 7 3 7" xfId="24602" xr:uid="{00000000-0005-0000-0000-0000DD600000}"/>
    <cellStyle name="Standard 4 3 7 3 8" xfId="24603" xr:uid="{00000000-0005-0000-0000-0000DE600000}"/>
    <cellStyle name="Standard 4 3 7 4" xfId="24604" xr:uid="{00000000-0005-0000-0000-0000DF600000}"/>
    <cellStyle name="Standard 4 3 7 4 2" xfId="24605" xr:uid="{00000000-0005-0000-0000-0000E0600000}"/>
    <cellStyle name="Standard 4 3 7 4 2 2" xfId="24606" xr:uid="{00000000-0005-0000-0000-0000E1600000}"/>
    <cellStyle name="Standard 4 3 7 4 2 2 2" xfId="24607" xr:uid="{00000000-0005-0000-0000-0000E2600000}"/>
    <cellStyle name="Standard 4 3 7 4 2 2 2 2" xfId="24608" xr:uid="{00000000-0005-0000-0000-0000E3600000}"/>
    <cellStyle name="Standard 4 3 7 4 2 2 2 3" xfId="24609" xr:uid="{00000000-0005-0000-0000-0000E4600000}"/>
    <cellStyle name="Standard 4 3 7 4 2 2 3" xfId="24610" xr:uid="{00000000-0005-0000-0000-0000E5600000}"/>
    <cellStyle name="Standard 4 3 7 4 2 2 3 2" xfId="24611" xr:uid="{00000000-0005-0000-0000-0000E6600000}"/>
    <cellStyle name="Standard 4 3 7 4 2 2 3 3" xfId="24612" xr:uid="{00000000-0005-0000-0000-0000E7600000}"/>
    <cellStyle name="Standard 4 3 7 4 2 2 4" xfId="24613" xr:uid="{00000000-0005-0000-0000-0000E8600000}"/>
    <cellStyle name="Standard 4 3 7 4 2 2 4 2" xfId="24614" xr:uid="{00000000-0005-0000-0000-0000E9600000}"/>
    <cellStyle name="Standard 4 3 7 4 2 2 5" xfId="24615" xr:uid="{00000000-0005-0000-0000-0000EA600000}"/>
    <cellStyle name="Standard 4 3 7 4 2 2 6" xfId="24616" xr:uid="{00000000-0005-0000-0000-0000EB600000}"/>
    <cellStyle name="Standard 4 3 7 4 2 3" xfId="24617" xr:uid="{00000000-0005-0000-0000-0000EC600000}"/>
    <cellStyle name="Standard 4 3 7 4 2 3 2" xfId="24618" xr:uid="{00000000-0005-0000-0000-0000ED600000}"/>
    <cellStyle name="Standard 4 3 7 4 2 3 3" xfId="24619" xr:uid="{00000000-0005-0000-0000-0000EE600000}"/>
    <cellStyle name="Standard 4 3 7 4 2 4" xfId="24620" xr:uid="{00000000-0005-0000-0000-0000EF600000}"/>
    <cellStyle name="Standard 4 3 7 4 2 4 2" xfId="24621" xr:uid="{00000000-0005-0000-0000-0000F0600000}"/>
    <cellStyle name="Standard 4 3 7 4 2 4 3" xfId="24622" xr:uid="{00000000-0005-0000-0000-0000F1600000}"/>
    <cellStyle name="Standard 4 3 7 4 2 5" xfId="24623" xr:uid="{00000000-0005-0000-0000-0000F2600000}"/>
    <cellStyle name="Standard 4 3 7 4 2 5 2" xfId="24624" xr:uid="{00000000-0005-0000-0000-0000F3600000}"/>
    <cellStyle name="Standard 4 3 7 4 2 6" xfId="24625" xr:uid="{00000000-0005-0000-0000-0000F4600000}"/>
    <cellStyle name="Standard 4 3 7 4 2 7" xfId="24626" xr:uid="{00000000-0005-0000-0000-0000F5600000}"/>
    <cellStyle name="Standard 4 3 7 4 3" xfId="24627" xr:uid="{00000000-0005-0000-0000-0000F6600000}"/>
    <cellStyle name="Standard 4 3 7 4 3 2" xfId="24628" xr:uid="{00000000-0005-0000-0000-0000F7600000}"/>
    <cellStyle name="Standard 4 3 7 4 3 2 2" xfId="24629" xr:uid="{00000000-0005-0000-0000-0000F8600000}"/>
    <cellStyle name="Standard 4 3 7 4 3 2 3" xfId="24630" xr:uid="{00000000-0005-0000-0000-0000F9600000}"/>
    <cellStyle name="Standard 4 3 7 4 3 3" xfId="24631" xr:uid="{00000000-0005-0000-0000-0000FA600000}"/>
    <cellStyle name="Standard 4 3 7 4 3 3 2" xfId="24632" xr:uid="{00000000-0005-0000-0000-0000FB600000}"/>
    <cellStyle name="Standard 4 3 7 4 3 3 3" xfId="24633" xr:uid="{00000000-0005-0000-0000-0000FC600000}"/>
    <cellStyle name="Standard 4 3 7 4 3 4" xfId="24634" xr:uid="{00000000-0005-0000-0000-0000FD600000}"/>
    <cellStyle name="Standard 4 3 7 4 3 4 2" xfId="24635" xr:uid="{00000000-0005-0000-0000-0000FE600000}"/>
    <cellStyle name="Standard 4 3 7 4 3 5" xfId="24636" xr:uid="{00000000-0005-0000-0000-0000FF600000}"/>
    <cellStyle name="Standard 4 3 7 4 3 6" xfId="24637" xr:uid="{00000000-0005-0000-0000-000000610000}"/>
    <cellStyle name="Standard 4 3 7 4 4" xfId="24638" xr:uid="{00000000-0005-0000-0000-000001610000}"/>
    <cellStyle name="Standard 4 3 7 4 4 2" xfId="24639" xr:uid="{00000000-0005-0000-0000-000002610000}"/>
    <cellStyle name="Standard 4 3 7 4 4 3" xfId="24640" xr:uid="{00000000-0005-0000-0000-000003610000}"/>
    <cellStyle name="Standard 4 3 7 4 5" xfId="24641" xr:uid="{00000000-0005-0000-0000-000004610000}"/>
    <cellStyle name="Standard 4 3 7 4 5 2" xfId="24642" xr:uid="{00000000-0005-0000-0000-000005610000}"/>
    <cellStyle name="Standard 4 3 7 4 5 3" xfId="24643" xr:uid="{00000000-0005-0000-0000-000006610000}"/>
    <cellStyle name="Standard 4 3 7 4 6" xfId="24644" xr:uid="{00000000-0005-0000-0000-000007610000}"/>
    <cellStyle name="Standard 4 3 7 4 6 2" xfId="24645" xr:uid="{00000000-0005-0000-0000-000008610000}"/>
    <cellStyle name="Standard 4 3 7 4 7" xfId="24646" xr:uid="{00000000-0005-0000-0000-000009610000}"/>
    <cellStyle name="Standard 4 3 7 4 8" xfId="24647" xr:uid="{00000000-0005-0000-0000-00000A610000}"/>
    <cellStyle name="Standard 4 3 7 5" xfId="24648" xr:uid="{00000000-0005-0000-0000-00000B610000}"/>
    <cellStyle name="Standard 4 3 7 5 2" xfId="24649" xr:uid="{00000000-0005-0000-0000-00000C610000}"/>
    <cellStyle name="Standard 4 3 7 5 2 2" xfId="24650" xr:uid="{00000000-0005-0000-0000-00000D610000}"/>
    <cellStyle name="Standard 4 3 7 5 2 2 2" xfId="24651" xr:uid="{00000000-0005-0000-0000-00000E610000}"/>
    <cellStyle name="Standard 4 3 7 5 2 2 3" xfId="24652" xr:uid="{00000000-0005-0000-0000-00000F610000}"/>
    <cellStyle name="Standard 4 3 7 5 2 3" xfId="24653" xr:uid="{00000000-0005-0000-0000-000010610000}"/>
    <cellStyle name="Standard 4 3 7 5 2 3 2" xfId="24654" xr:uid="{00000000-0005-0000-0000-000011610000}"/>
    <cellStyle name="Standard 4 3 7 5 2 3 3" xfId="24655" xr:uid="{00000000-0005-0000-0000-000012610000}"/>
    <cellStyle name="Standard 4 3 7 5 2 4" xfId="24656" xr:uid="{00000000-0005-0000-0000-000013610000}"/>
    <cellStyle name="Standard 4 3 7 5 2 4 2" xfId="24657" xr:uid="{00000000-0005-0000-0000-000014610000}"/>
    <cellStyle name="Standard 4 3 7 5 2 5" xfId="24658" xr:uid="{00000000-0005-0000-0000-000015610000}"/>
    <cellStyle name="Standard 4 3 7 5 2 6" xfId="24659" xr:uid="{00000000-0005-0000-0000-000016610000}"/>
    <cellStyle name="Standard 4 3 7 5 3" xfId="24660" xr:uid="{00000000-0005-0000-0000-000017610000}"/>
    <cellStyle name="Standard 4 3 7 5 3 2" xfId="24661" xr:uid="{00000000-0005-0000-0000-000018610000}"/>
    <cellStyle name="Standard 4 3 7 5 3 3" xfId="24662" xr:uid="{00000000-0005-0000-0000-000019610000}"/>
    <cellStyle name="Standard 4 3 7 5 4" xfId="24663" xr:uid="{00000000-0005-0000-0000-00001A610000}"/>
    <cellStyle name="Standard 4 3 7 5 4 2" xfId="24664" xr:uid="{00000000-0005-0000-0000-00001B610000}"/>
    <cellStyle name="Standard 4 3 7 5 4 3" xfId="24665" xr:uid="{00000000-0005-0000-0000-00001C610000}"/>
    <cellStyle name="Standard 4 3 7 5 5" xfId="24666" xr:uid="{00000000-0005-0000-0000-00001D610000}"/>
    <cellStyle name="Standard 4 3 7 5 5 2" xfId="24667" xr:uid="{00000000-0005-0000-0000-00001E610000}"/>
    <cellStyle name="Standard 4 3 7 5 6" xfId="24668" xr:uid="{00000000-0005-0000-0000-00001F610000}"/>
    <cellStyle name="Standard 4 3 7 5 7" xfId="24669" xr:uid="{00000000-0005-0000-0000-000020610000}"/>
    <cellStyle name="Standard 4 3 7 6" xfId="24670" xr:uid="{00000000-0005-0000-0000-000021610000}"/>
    <cellStyle name="Standard 4 3 7 6 2" xfId="24671" xr:uid="{00000000-0005-0000-0000-000022610000}"/>
    <cellStyle name="Standard 4 3 7 6 2 2" xfId="24672" xr:uid="{00000000-0005-0000-0000-000023610000}"/>
    <cellStyle name="Standard 4 3 7 6 2 3" xfId="24673" xr:uid="{00000000-0005-0000-0000-000024610000}"/>
    <cellStyle name="Standard 4 3 7 6 3" xfId="24674" xr:uid="{00000000-0005-0000-0000-000025610000}"/>
    <cellStyle name="Standard 4 3 7 6 3 2" xfId="24675" xr:uid="{00000000-0005-0000-0000-000026610000}"/>
    <cellStyle name="Standard 4 3 7 6 3 3" xfId="24676" xr:uid="{00000000-0005-0000-0000-000027610000}"/>
    <cellStyle name="Standard 4 3 7 6 4" xfId="24677" xr:uid="{00000000-0005-0000-0000-000028610000}"/>
    <cellStyle name="Standard 4 3 7 6 4 2" xfId="24678" xr:uid="{00000000-0005-0000-0000-000029610000}"/>
    <cellStyle name="Standard 4 3 7 6 5" xfId="24679" xr:uid="{00000000-0005-0000-0000-00002A610000}"/>
    <cellStyle name="Standard 4 3 7 6 6" xfId="24680" xr:uid="{00000000-0005-0000-0000-00002B610000}"/>
    <cellStyle name="Standard 4 3 7 7" xfId="24681" xr:uid="{00000000-0005-0000-0000-00002C610000}"/>
    <cellStyle name="Standard 4 3 7 7 2" xfId="24682" xr:uid="{00000000-0005-0000-0000-00002D610000}"/>
    <cellStyle name="Standard 4 3 7 7 3" xfId="24683" xr:uid="{00000000-0005-0000-0000-00002E610000}"/>
    <cellStyle name="Standard 4 3 7 8" xfId="24684" xr:uid="{00000000-0005-0000-0000-00002F610000}"/>
    <cellStyle name="Standard 4 3 7 8 2" xfId="24685" xr:uid="{00000000-0005-0000-0000-000030610000}"/>
    <cellStyle name="Standard 4 3 7 8 3" xfId="24686" xr:uid="{00000000-0005-0000-0000-000031610000}"/>
    <cellStyle name="Standard 4 3 7 9" xfId="24687" xr:uid="{00000000-0005-0000-0000-000032610000}"/>
    <cellStyle name="Standard 4 3 7 9 2" xfId="24688" xr:uid="{00000000-0005-0000-0000-000033610000}"/>
    <cellStyle name="Standard 4 3 8" xfId="24689" xr:uid="{00000000-0005-0000-0000-000034610000}"/>
    <cellStyle name="Standard 4 3 8 10" xfId="24690" xr:uid="{00000000-0005-0000-0000-000035610000}"/>
    <cellStyle name="Standard 4 3 8 2" xfId="24691" xr:uid="{00000000-0005-0000-0000-000036610000}"/>
    <cellStyle name="Standard 4 3 8 2 2" xfId="24692" xr:uid="{00000000-0005-0000-0000-000037610000}"/>
    <cellStyle name="Standard 4 3 8 2 2 2" xfId="24693" xr:uid="{00000000-0005-0000-0000-000038610000}"/>
    <cellStyle name="Standard 4 3 8 2 2 2 2" xfId="24694" xr:uid="{00000000-0005-0000-0000-000039610000}"/>
    <cellStyle name="Standard 4 3 8 2 2 2 2 2" xfId="24695" xr:uid="{00000000-0005-0000-0000-00003A610000}"/>
    <cellStyle name="Standard 4 3 8 2 2 2 2 3" xfId="24696" xr:uid="{00000000-0005-0000-0000-00003B610000}"/>
    <cellStyle name="Standard 4 3 8 2 2 2 3" xfId="24697" xr:uid="{00000000-0005-0000-0000-00003C610000}"/>
    <cellStyle name="Standard 4 3 8 2 2 2 3 2" xfId="24698" xr:uid="{00000000-0005-0000-0000-00003D610000}"/>
    <cellStyle name="Standard 4 3 8 2 2 2 3 3" xfId="24699" xr:uid="{00000000-0005-0000-0000-00003E610000}"/>
    <cellStyle name="Standard 4 3 8 2 2 2 4" xfId="24700" xr:uid="{00000000-0005-0000-0000-00003F610000}"/>
    <cellStyle name="Standard 4 3 8 2 2 2 4 2" xfId="24701" xr:uid="{00000000-0005-0000-0000-000040610000}"/>
    <cellStyle name="Standard 4 3 8 2 2 2 5" xfId="24702" xr:uid="{00000000-0005-0000-0000-000041610000}"/>
    <cellStyle name="Standard 4 3 8 2 2 2 6" xfId="24703" xr:uid="{00000000-0005-0000-0000-000042610000}"/>
    <cellStyle name="Standard 4 3 8 2 2 3" xfId="24704" xr:uid="{00000000-0005-0000-0000-000043610000}"/>
    <cellStyle name="Standard 4 3 8 2 2 3 2" xfId="24705" xr:uid="{00000000-0005-0000-0000-000044610000}"/>
    <cellStyle name="Standard 4 3 8 2 2 3 3" xfId="24706" xr:uid="{00000000-0005-0000-0000-000045610000}"/>
    <cellStyle name="Standard 4 3 8 2 2 4" xfId="24707" xr:uid="{00000000-0005-0000-0000-000046610000}"/>
    <cellStyle name="Standard 4 3 8 2 2 4 2" xfId="24708" xr:uid="{00000000-0005-0000-0000-000047610000}"/>
    <cellStyle name="Standard 4 3 8 2 2 4 3" xfId="24709" xr:uid="{00000000-0005-0000-0000-000048610000}"/>
    <cellStyle name="Standard 4 3 8 2 2 5" xfId="24710" xr:uid="{00000000-0005-0000-0000-000049610000}"/>
    <cellStyle name="Standard 4 3 8 2 2 5 2" xfId="24711" xr:uid="{00000000-0005-0000-0000-00004A610000}"/>
    <cellStyle name="Standard 4 3 8 2 2 6" xfId="24712" xr:uid="{00000000-0005-0000-0000-00004B610000}"/>
    <cellStyle name="Standard 4 3 8 2 2 7" xfId="24713" xr:uid="{00000000-0005-0000-0000-00004C610000}"/>
    <cellStyle name="Standard 4 3 8 2 3" xfId="24714" xr:uid="{00000000-0005-0000-0000-00004D610000}"/>
    <cellStyle name="Standard 4 3 8 2 3 2" xfId="24715" xr:uid="{00000000-0005-0000-0000-00004E610000}"/>
    <cellStyle name="Standard 4 3 8 2 3 2 2" xfId="24716" xr:uid="{00000000-0005-0000-0000-00004F610000}"/>
    <cellStyle name="Standard 4 3 8 2 3 2 3" xfId="24717" xr:uid="{00000000-0005-0000-0000-000050610000}"/>
    <cellStyle name="Standard 4 3 8 2 3 3" xfId="24718" xr:uid="{00000000-0005-0000-0000-000051610000}"/>
    <cellStyle name="Standard 4 3 8 2 3 3 2" xfId="24719" xr:uid="{00000000-0005-0000-0000-000052610000}"/>
    <cellStyle name="Standard 4 3 8 2 3 3 3" xfId="24720" xr:uid="{00000000-0005-0000-0000-000053610000}"/>
    <cellStyle name="Standard 4 3 8 2 3 4" xfId="24721" xr:uid="{00000000-0005-0000-0000-000054610000}"/>
    <cellStyle name="Standard 4 3 8 2 3 4 2" xfId="24722" xr:uid="{00000000-0005-0000-0000-000055610000}"/>
    <cellStyle name="Standard 4 3 8 2 3 5" xfId="24723" xr:uid="{00000000-0005-0000-0000-000056610000}"/>
    <cellStyle name="Standard 4 3 8 2 3 6" xfId="24724" xr:uid="{00000000-0005-0000-0000-000057610000}"/>
    <cellStyle name="Standard 4 3 8 2 4" xfId="24725" xr:uid="{00000000-0005-0000-0000-000058610000}"/>
    <cellStyle name="Standard 4 3 8 2 4 2" xfId="24726" xr:uid="{00000000-0005-0000-0000-000059610000}"/>
    <cellStyle name="Standard 4 3 8 2 4 3" xfId="24727" xr:uid="{00000000-0005-0000-0000-00005A610000}"/>
    <cellStyle name="Standard 4 3 8 2 5" xfId="24728" xr:uid="{00000000-0005-0000-0000-00005B610000}"/>
    <cellStyle name="Standard 4 3 8 2 5 2" xfId="24729" xr:uid="{00000000-0005-0000-0000-00005C610000}"/>
    <cellStyle name="Standard 4 3 8 2 5 3" xfId="24730" xr:uid="{00000000-0005-0000-0000-00005D610000}"/>
    <cellStyle name="Standard 4 3 8 2 6" xfId="24731" xr:uid="{00000000-0005-0000-0000-00005E610000}"/>
    <cellStyle name="Standard 4 3 8 2 6 2" xfId="24732" xr:uid="{00000000-0005-0000-0000-00005F610000}"/>
    <cellStyle name="Standard 4 3 8 2 7" xfId="24733" xr:uid="{00000000-0005-0000-0000-000060610000}"/>
    <cellStyle name="Standard 4 3 8 2 8" xfId="24734" xr:uid="{00000000-0005-0000-0000-000061610000}"/>
    <cellStyle name="Standard 4 3 8 3" xfId="24735" xr:uid="{00000000-0005-0000-0000-000062610000}"/>
    <cellStyle name="Standard 4 3 8 3 2" xfId="24736" xr:uid="{00000000-0005-0000-0000-000063610000}"/>
    <cellStyle name="Standard 4 3 8 3 2 2" xfId="24737" xr:uid="{00000000-0005-0000-0000-000064610000}"/>
    <cellStyle name="Standard 4 3 8 3 2 2 2" xfId="24738" xr:uid="{00000000-0005-0000-0000-000065610000}"/>
    <cellStyle name="Standard 4 3 8 3 2 2 2 2" xfId="24739" xr:uid="{00000000-0005-0000-0000-000066610000}"/>
    <cellStyle name="Standard 4 3 8 3 2 2 2 3" xfId="24740" xr:uid="{00000000-0005-0000-0000-000067610000}"/>
    <cellStyle name="Standard 4 3 8 3 2 2 3" xfId="24741" xr:uid="{00000000-0005-0000-0000-000068610000}"/>
    <cellStyle name="Standard 4 3 8 3 2 2 3 2" xfId="24742" xr:uid="{00000000-0005-0000-0000-000069610000}"/>
    <cellStyle name="Standard 4 3 8 3 2 2 3 3" xfId="24743" xr:uid="{00000000-0005-0000-0000-00006A610000}"/>
    <cellStyle name="Standard 4 3 8 3 2 2 4" xfId="24744" xr:uid="{00000000-0005-0000-0000-00006B610000}"/>
    <cellStyle name="Standard 4 3 8 3 2 2 4 2" xfId="24745" xr:uid="{00000000-0005-0000-0000-00006C610000}"/>
    <cellStyle name="Standard 4 3 8 3 2 2 5" xfId="24746" xr:uid="{00000000-0005-0000-0000-00006D610000}"/>
    <cellStyle name="Standard 4 3 8 3 2 2 6" xfId="24747" xr:uid="{00000000-0005-0000-0000-00006E610000}"/>
    <cellStyle name="Standard 4 3 8 3 2 3" xfId="24748" xr:uid="{00000000-0005-0000-0000-00006F610000}"/>
    <cellStyle name="Standard 4 3 8 3 2 3 2" xfId="24749" xr:uid="{00000000-0005-0000-0000-000070610000}"/>
    <cellStyle name="Standard 4 3 8 3 2 3 3" xfId="24750" xr:uid="{00000000-0005-0000-0000-000071610000}"/>
    <cellStyle name="Standard 4 3 8 3 2 4" xfId="24751" xr:uid="{00000000-0005-0000-0000-000072610000}"/>
    <cellStyle name="Standard 4 3 8 3 2 4 2" xfId="24752" xr:uid="{00000000-0005-0000-0000-000073610000}"/>
    <cellStyle name="Standard 4 3 8 3 2 4 3" xfId="24753" xr:uid="{00000000-0005-0000-0000-000074610000}"/>
    <cellStyle name="Standard 4 3 8 3 2 5" xfId="24754" xr:uid="{00000000-0005-0000-0000-000075610000}"/>
    <cellStyle name="Standard 4 3 8 3 2 5 2" xfId="24755" xr:uid="{00000000-0005-0000-0000-000076610000}"/>
    <cellStyle name="Standard 4 3 8 3 2 6" xfId="24756" xr:uid="{00000000-0005-0000-0000-000077610000}"/>
    <cellStyle name="Standard 4 3 8 3 2 7" xfId="24757" xr:uid="{00000000-0005-0000-0000-000078610000}"/>
    <cellStyle name="Standard 4 3 8 3 3" xfId="24758" xr:uid="{00000000-0005-0000-0000-000079610000}"/>
    <cellStyle name="Standard 4 3 8 3 3 2" xfId="24759" xr:uid="{00000000-0005-0000-0000-00007A610000}"/>
    <cellStyle name="Standard 4 3 8 3 3 2 2" xfId="24760" xr:uid="{00000000-0005-0000-0000-00007B610000}"/>
    <cellStyle name="Standard 4 3 8 3 3 2 3" xfId="24761" xr:uid="{00000000-0005-0000-0000-00007C610000}"/>
    <cellStyle name="Standard 4 3 8 3 3 3" xfId="24762" xr:uid="{00000000-0005-0000-0000-00007D610000}"/>
    <cellStyle name="Standard 4 3 8 3 3 3 2" xfId="24763" xr:uid="{00000000-0005-0000-0000-00007E610000}"/>
    <cellStyle name="Standard 4 3 8 3 3 3 3" xfId="24764" xr:uid="{00000000-0005-0000-0000-00007F610000}"/>
    <cellStyle name="Standard 4 3 8 3 3 4" xfId="24765" xr:uid="{00000000-0005-0000-0000-000080610000}"/>
    <cellStyle name="Standard 4 3 8 3 3 4 2" xfId="24766" xr:uid="{00000000-0005-0000-0000-000081610000}"/>
    <cellStyle name="Standard 4 3 8 3 3 5" xfId="24767" xr:uid="{00000000-0005-0000-0000-000082610000}"/>
    <cellStyle name="Standard 4 3 8 3 3 6" xfId="24768" xr:uid="{00000000-0005-0000-0000-000083610000}"/>
    <cellStyle name="Standard 4 3 8 3 4" xfId="24769" xr:uid="{00000000-0005-0000-0000-000084610000}"/>
    <cellStyle name="Standard 4 3 8 3 4 2" xfId="24770" xr:uid="{00000000-0005-0000-0000-000085610000}"/>
    <cellStyle name="Standard 4 3 8 3 4 3" xfId="24771" xr:uid="{00000000-0005-0000-0000-000086610000}"/>
    <cellStyle name="Standard 4 3 8 3 5" xfId="24772" xr:uid="{00000000-0005-0000-0000-000087610000}"/>
    <cellStyle name="Standard 4 3 8 3 5 2" xfId="24773" xr:uid="{00000000-0005-0000-0000-000088610000}"/>
    <cellStyle name="Standard 4 3 8 3 5 3" xfId="24774" xr:uid="{00000000-0005-0000-0000-000089610000}"/>
    <cellStyle name="Standard 4 3 8 3 6" xfId="24775" xr:uid="{00000000-0005-0000-0000-00008A610000}"/>
    <cellStyle name="Standard 4 3 8 3 6 2" xfId="24776" xr:uid="{00000000-0005-0000-0000-00008B610000}"/>
    <cellStyle name="Standard 4 3 8 3 7" xfId="24777" xr:uid="{00000000-0005-0000-0000-00008C610000}"/>
    <cellStyle name="Standard 4 3 8 3 8" xfId="24778" xr:uid="{00000000-0005-0000-0000-00008D610000}"/>
    <cellStyle name="Standard 4 3 8 4" xfId="24779" xr:uid="{00000000-0005-0000-0000-00008E610000}"/>
    <cellStyle name="Standard 4 3 8 4 2" xfId="24780" xr:uid="{00000000-0005-0000-0000-00008F610000}"/>
    <cellStyle name="Standard 4 3 8 4 2 2" xfId="24781" xr:uid="{00000000-0005-0000-0000-000090610000}"/>
    <cellStyle name="Standard 4 3 8 4 2 2 2" xfId="24782" xr:uid="{00000000-0005-0000-0000-000091610000}"/>
    <cellStyle name="Standard 4 3 8 4 2 2 3" xfId="24783" xr:uid="{00000000-0005-0000-0000-000092610000}"/>
    <cellStyle name="Standard 4 3 8 4 2 3" xfId="24784" xr:uid="{00000000-0005-0000-0000-000093610000}"/>
    <cellStyle name="Standard 4 3 8 4 2 3 2" xfId="24785" xr:uid="{00000000-0005-0000-0000-000094610000}"/>
    <cellStyle name="Standard 4 3 8 4 2 3 3" xfId="24786" xr:uid="{00000000-0005-0000-0000-000095610000}"/>
    <cellStyle name="Standard 4 3 8 4 2 4" xfId="24787" xr:uid="{00000000-0005-0000-0000-000096610000}"/>
    <cellStyle name="Standard 4 3 8 4 2 4 2" xfId="24788" xr:uid="{00000000-0005-0000-0000-000097610000}"/>
    <cellStyle name="Standard 4 3 8 4 2 5" xfId="24789" xr:uid="{00000000-0005-0000-0000-000098610000}"/>
    <cellStyle name="Standard 4 3 8 4 2 6" xfId="24790" xr:uid="{00000000-0005-0000-0000-000099610000}"/>
    <cellStyle name="Standard 4 3 8 4 3" xfId="24791" xr:uid="{00000000-0005-0000-0000-00009A610000}"/>
    <cellStyle name="Standard 4 3 8 4 3 2" xfId="24792" xr:uid="{00000000-0005-0000-0000-00009B610000}"/>
    <cellStyle name="Standard 4 3 8 4 3 3" xfId="24793" xr:uid="{00000000-0005-0000-0000-00009C610000}"/>
    <cellStyle name="Standard 4 3 8 4 4" xfId="24794" xr:uid="{00000000-0005-0000-0000-00009D610000}"/>
    <cellStyle name="Standard 4 3 8 4 4 2" xfId="24795" xr:uid="{00000000-0005-0000-0000-00009E610000}"/>
    <cellStyle name="Standard 4 3 8 4 4 3" xfId="24796" xr:uid="{00000000-0005-0000-0000-00009F610000}"/>
    <cellStyle name="Standard 4 3 8 4 5" xfId="24797" xr:uid="{00000000-0005-0000-0000-0000A0610000}"/>
    <cellStyle name="Standard 4 3 8 4 5 2" xfId="24798" xr:uid="{00000000-0005-0000-0000-0000A1610000}"/>
    <cellStyle name="Standard 4 3 8 4 6" xfId="24799" xr:uid="{00000000-0005-0000-0000-0000A2610000}"/>
    <cellStyle name="Standard 4 3 8 4 7" xfId="24800" xr:uid="{00000000-0005-0000-0000-0000A3610000}"/>
    <cellStyle name="Standard 4 3 8 5" xfId="24801" xr:uid="{00000000-0005-0000-0000-0000A4610000}"/>
    <cellStyle name="Standard 4 3 8 5 2" xfId="24802" xr:uid="{00000000-0005-0000-0000-0000A5610000}"/>
    <cellStyle name="Standard 4 3 8 5 2 2" xfId="24803" xr:uid="{00000000-0005-0000-0000-0000A6610000}"/>
    <cellStyle name="Standard 4 3 8 5 2 3" xfId="24804" xr:uid="{00000000-0005-0000-0000-0000A7610000}"/>
    <cellStyle name="Standard 4 3 8 5 3" xfId="24805" xr:uid="{00000000-0005-0000-0000-0000A8610000}"/>
    <cellStyle name="Standard 4 3 8 5 3 2" xfId="24806" xr:uid="{00000000-0005-0000-0000-0000A9610000}"/>
    <cellStyle name="Standard 4 3 8 5 3 3" xfId="24807" xr:uid="{00000000-0005-0000-0000-0000AA610000}"/>
    <cellStyle name="Standard 4 3 8 5 4" xfId="24808" xr:uid="{00000000-0005-0000-0000-0000AB610000}"/>
    <cellStyle name="Standard 4 3 8 5 4 2" xfId="24809" xr:uid="{00000000-0005-0000-0000-0000AC610000}"/>
    <cellStyle name="Standard 4 3 8 5 5" xfId="24810" xr:uid="{00000000-0005-0000-0000-0000AD610000}"/>
    <cellStyle name="Standard 4 3 8 5 6" xfId="24811" xr:uid="{00000000-0005-0000-0000-0000AE610000}"/>
    <cellStyle name="Standard 4 3 8 6" xfId="24812" xr:uid="{00000000-0005-0000-0000-0000AF610000}"/>
    <cellStyle name="Standard 4 3 8 6 2" xfId="24813" xr:uid="{00000000-0005-0000-0000-0000B0610000}"/>
    <cellStyle name="Standard 4 3 8 6 3" xfId="24814" xr:uid="{00000000-0005-0000-0000-0000B1610000}"/>
    <cellStyle name="Standard 4 3 8 7" xfId="24815" xr:uid="{00000000-0005-0000-0000-0000B2610000}"/>
    <cellStyle name="Standard 4 3 8 7 2" xfId="24816" xr:uid="{00000000-0005-0000-0000-0000B3610000}"/>
    <cellStyle name="Standard 4 3 8 7 3" xfId="24817" xr:uid="{00000000-0005-0000-0000-0000B4610000}"/>
    <cellStyle name="Standard 4 3 8 8" xfId="24818" xr:uid="{00000000-0005-0000-0000-0000B5610000}"/>
    <cellStyle name="Standard 4 3 8 8 2" xfId="24819" xr:uid="{00000000-0005-0000-0000-0000B6610000}"/>
    <cellStyle name="Standard 4 3 8 9" xfId="24820" xr:uid="{00000000-0005-0000-0000-0000B7610000}"/>
    <cellStyle name="Standard 4 3 9" xfId="24821" xr:uid="{00000000-0005-0000-0000-0000B8610000}"/>
    <cellStyle name="Standard 4 3 9 2" xfId="24822" xr:uid="{00000000-0005-0000-0000-0000B9610000}"/>
    <cellStyle name="Standard 4 3 9 2 2" xfId="24823" xr:uid="{00000000-0005-0000-0000-0000BA610000}"/>
    <cellStyle name="Standard 4 3 9 2 2 2" xfId="24824" xr:uid="{00000000-0005-0000-0000-0000BB610000}"/>
    <cellStyle name="Standard 4 3 9 2 2 2 2" xfId="24825" xr:uid="{00000000-0005-0000-0000-0000BC610000}"/>
    <cellStyle name="Standard 4 3 9 2 2 2 2 2" xfId="24826" xr:uid="{00000000-0005-0000-0000-0000BD610000}"/>
    <cellStyle name="Standard 4 3 9 2 2 2 2 3" xfId="24827" xr:uid="{00000000-0005-0000-0000-0000BE610000}"/>
    <cellStyle name="Standard 4 3 9 2 2 2 3" xfId="24828" xr:uid="{00000000-0005-0000-0000-0000BF610000}"/>
    <cellStyle name="Standard 4 3 9 2 2 2 3 2" xfId="24829" xr:uid="{00000000-0005-0000-0000-0000C0610000}"/>
    <cellStyle name="Standard 4 3 9 2 2 2 3 3" xfId="24830" xr:uid="{00000000-0005-0000-0000-0000C1610000}"/>
    <cellStyle name="Standard 4 3 9 2 2 2 4" xfId="24831" xr:uid="{00000000-0005-0000-0000-0000C2610000}"/>
    <cellStyle name="Standard 4 3 9 2 2 2 4 2" xfId="24832" xr:uid="{00000000-0005-0000-0000-0000C3610000}"/>
    <cellStyle name="Standard 4 3 9 2 2 2 5" xfId="24833" xr:uid="{00000000-0005-0000-0000-0000C4610000}"/>
    <cellStyle name="Standard 4 3 9 2 2 2 6" xfId="24834" xr:uid="{00000000-0005-0000-0000-0000C5610000}"/>
    <cellStyle name="Standard 4 3 9 2 2 3" xfId="24835" xr:uid="{00000000-0005-0000-0000-0000C6610000}"/>
    <cellStyle name="Standard 4 3 9 2 2 3 2" xfId="24836" xr:uid="{00000000-0005-0000-0000-0000C7610000}"/>
    <cellStyle name="Standard 4 3 9 2 2 3 3" xfId="24837" xr:uid="{00000000-0005-0000-0000-0000C8610000}"/>
    <cellStyle name="Standard 4 3 9 2 2 4" xfId="24838" xr:uid="{00000000-0005-0000-0000-0000C9610000}"/>
    <cellStyle name="Standard 4 3 9 2 2 4 2" xfId="24839" xr:uid="{00000000-0005-0000-0000-0000CA610000}"/>
    <cellStyle name="Standard 4 3 9 2 2 4 3" xfId="24840" xr:uid="{00000000-0005-0000-0000-0000CB610000}"/>
    <cellStyle name="Standard 4 3 9 2 2 5" xfId="24841" xr:uid="{00000000-0005-0000-0000-0000CC610000}"/>
    <cellStyle name="Standard 4 3 9 2 2 5 2" xfId="24842" xr:uid="{00000000-0005-0000-0000-0000CD610000}"/>
    <cellStyle name="Standard 4 3 9 2 2 6" xfId="24843" xr:uid="{00000000-0005-0000-0000-0000CE610000}"/>
    <cellStyle name="Standard 4 3 9 2 2 7" xfId="24844" xr:uid="{00000000-0005-0000-0000-0000CF610000}"/>
    <cellStyle name="Standard 4 3 9 2 3" xfId="24845" xr:uid="{00000000-0005-0000-0000-0000D0610000}"/>
    <cellStyle name="Standard 4 3 9 2 3 2" xfId="24846" xr:uid="{00000000-0005-0000-0000-0000D1610000}"/>
    <cellStyle name="Standard 4 3 9 2 3 2 2" xfId="24847" xr:uid="{00000000-0005-0000-0000-0000D2610000}"/>
    <cellStyle name="Standard 4 3 9 2 3 2 3" xfId="24848" xr:uid="{00000000-0005-0000-0000-0000D3610000}"/>
    <cellStyle name="Standard 4 3 9 2 3 3" xfId="24849" xr:uid="{00000000-0005-0000-0000-0000D4610000}"/>
    <cellStyle name="Standard 4 3 9 2 3 3 2" xfId="24850" xr:uid="{00000000-0005-0000-0000-0000D5610000}"/>
    <cellStyle name="Standard 4 3 9 2 3 3 3" xfId="24851" xr:uid="{00000000-0005-0000-0000-0000D6610000}"/>
    <cellStyle name="Standard 4 3 9 2 3 4" xfId="24852" xr:uid="{00000000-0005-0000-0000-0000D7610000}"/>
    <cellStyle name="Standard 4 3 9 2 3 4 2" xfId="24853" xr:uid="{00000000-0005-0000-0000-0000D8610000}"/>
    <cellStyle name="Standard 4 3 9 2 3 5" xfId="24854" xr:uid="{00000000-0005-0000-0000-0000D9610000}"/>
    <cellStyle name="Standard 4 3 9 2 3 6" xfId="24855" xr:uid="{00000000-0005-0000-0000-0000DA610000}"/>
    <cellStyle name="Standard 4 3 9 2 4" xfId="24856" xr:uid="{00000000-0005-0000-0000-0000DB610000}"/>
    <cellStyle name="Standard 4 3 9 2 4 2" xfId="24857" xr:uid="{00000000-0005-0000-0000-0000DC610000}"/>
    <cellStyle name="Standard 4 3 9 2 4 3" xfId="24858" xr:uid="{00000000-0005-0000-0000-0000DD610000}"/>
    <cellStyle name="Standard 4 3 9 2 5" xfId="24859" xr:uid="{00000000-0005-0000-0000-0000DE610000}"/>
    <cellStyle name="Standard 4 3 9 2 5 2" xfId="24860" xr:uid="{00000000-0005-0000-0000-0000DF610000}"/>
    <cellStyle name="Standard 4 3 9 2 5 3" xfId="24861" xr:uid="{00000000-0005-0000-0000-0000E0610000}"/>
    <cellStyle name="Standard 4 3 9 2 6" xfId="24862" xr:uid="{00000000-0005-0000-0000-0000E1610000}"/>
    <cellStyle name="Standard 4 3 9 2 6 2" xfId="24863" xr:uid="{00000000-0005-0000-0000-0000E2610000}"/>
    <cellStyle name="Standard 4 3 9 2 7" xfId="24864" xr:uid="{00000000-0005-0000-0000-0000E3610000}"/>
    <cellStyle name="Standard 4 3 9 2 8" xfId="24865" xr:uid="{00000000-0005-0000-0000-0000E4610000}"/>
    <cellStyle name="Standard 4 3 9 3" xfId="24866" xr:uid="{00000000-0005-0000-0000-0000E5610000}"/>
    <cellStyle name="Standard 4 3 9 3 2" xfId="24867" xr:uid="{00000000-0005-0000-0000-0000E6610000}"/>
    <cellStyle name="Standard 4 3 9 3 2 2" xfId="24868" xr:uid="{00000000-0005-0000-0000-0000E7610000}"/>
    <cellStyle name="Standard 4 3 9 3 2 2 2" xfId="24869" xr:uid="{00000000-0005-0000-0000-0000E8610000}"/>
    <cellStyle name="Standard 4 3 9 3 2 2 3" xfId="24870" xr:uid="{00000000-0005-0000-0000-0000E9610000}"/>
    <cellStyle name="Standard 4 3 9 3 2 3" xfId="24871" xr:uid="{00000000-0005-0000-0000-0000EA610000}"/>
    <cellStyle name="Standard 4 3 9 3 2 3 2" xfId="24872" xr:uid="{00000000-0005-0000-0000-0000EB610000}"/>
    <cellStyle name="Standard 4 3 9 3 2 3 3" xfId="24873" xr:uid="{00000000-0005-0000-0000-0000EC610000}"/>
    <cellStyle name="Standard 4 3 9 3 2 4" xfId="24874" xr:uid="{00000000-0005-0000-0000-0000ED610000}"/>
    <cellStyle name="Standard 4 3 9 3 2 4 2" xfId="24875" xr:uid="{00000000-0005-0000-0000-0000EE610000}"/>
    <cellStyle name="Standard 4 3 9 3 2 5" xfId="24876" xr:uid="{00000000-0005-0000-0000-0000EF610000}"/>
    <cellStyle name="Standard 4 3 9 3 2 6" xfId="24877" xr:uid="{00000000-0005-0000-0000-0000F0610000}"/>
    <cellStyle name="Standard 4 3 9 3 3" xfId="24878" xr:uid="{00000000-0005-0000-0000-0000F1610000}"/>
    <cellStyle name="Standard 4 3 9 3 3 2" xfId="24879" xr:uid="{00000000-0005-0000-0000-0000F2610000}"/>
    <cellStyle name="Standard 4 3 9 3 3 3" xfId="24880" xr:uid="{00000000-0005-0000-0000-0000F3610000}"/>
    <cellStyle name="Standard 4 3 9 3 4" xfId="24881" xr:uid="{00000000-0005-0000-0000-0000F4610000}"/>
    <cellStyle name="Standard 4 3 9 3 4 2" xfId="24882" xr:uid="{00000000-0005-0000-0000-0000F5610000}"/>
    <cellStyle name="Standard 4 3 9 3 4 3" xfId="24883" xr:uid="{00000000-0005-0000-0000-0000F6610000}"/>
    <cellStyle name="Standard 4 3 9 3 5" xfId="24884" xr:uid="{00000000-0005-0000-0000-0000F7610000}"/>
    <cellStyle name="Standard 4 3 9 3 5 2" xfId="24885" xr:uid="{00000000-0005-0000-0000-0000F8610000}"/>
    <cellStyle name="Standard 4 3 9 3 6" xfId="24886" xr:uid="{00000000-0005-0000-0000-0000F9610000}"/>
    <cellStyle name="Standard 4 3 9 3 7" xfId="24887" xr:uid="{00000000-0005-0000-0000-0000FA610000}"/>
    <cellStyle name="Standard 4 3 9 4" xfId="24888" xr:uid="{00000000-0005-0000-0000-0000FB610000}"/>
    <cellStyle name="Standard 4 3 9 4 2" xfId="24889" xr:uid="{00000000-0005-0000-0000-0000FC610000}"/>
    <cellStyle name="Standard 4 3 9 4 2 2" xfId="24890" xr:uid="{00000000-0005-0000-0000-0000FD610000}"/>
    <cellStyle name="Standard 4 3 9 4 2 3" xfId="24891" xr:uid="{00000000-0005-0000-0000-0000FE610000}"/>
    <cellStyle name="Standard 4 3 9 4 3" xfId="24892" xr:uid="{00000000-0005-0000-0000-0000FF610000}"/>
    <cellStyle name="Standard 4 3 9 4 3 2" xfId="24893" xr:uid="{00000000-0005-0000-0000-000000620000}"/>
    <cellStyle name="Standard 4 3 9 4 3 3" xfId="24894" xr:uid="{00000000-0005-0000-0000-000001620000}"/>
    <cellStyle name="Standard 4 3 9 4 4" xfId="24895" xr:uid="{00000000-0005-0000-0000-000002620000}"/>
    <cellStyle name="Standard 4 3 9 4 4 2" xfId="24896" xr:uid="{00000000-0005-0000-0000-000003620000}"/>
    <cellStyle name="Standard 4 3 9 4 5" xfId="24897" xr:uid="{00000000-0005-0000-0000-000004620000}"/>
    <cellStyle name="Standard 4 3 9 4 6" xfId="24898" xr:uid="{00000000-0005-0000-0000-000005620000}"/>
    <cellStyle name="Standard 4 3 9 5" xfId="24899" xr:uid="{00000000-0005-0000-0000-000006620000}"/>
    <cellStyle name="Standard 4 3 9 5 2" xfId="24900" xr:uid="{00000000-0005-0000-0000-000007620000}"/>
    <cellStyle name="Standard 4 3 9 5 3" xfId="24901" xr:uid="{00000000-0005-0000-0000-000008620000}"/>
    <cellStyle name="Standard 4 3 9 6" xfId="24902" xr:uid="{00000000-0005-0000-0000-000009620000}"/>
    <cellStyle name="Standard 4 3 9 6 2" xfId="24903" xr:uid="{00000000-0005-0000-0000-00000A620000}"/>
    <cellStyle name="Standard 4 3 9 6 3" xfId="24904" xr:uid="{00000000-0005-0000-0000-00000B620000}"/>
    <cellStyle name="Standard 4 3 9 7" xfId="24905" xr:uid="{00000000-0005-0000-0000-00000C620000}"/>
    <cellStyle name="Standard 4 3 9 7 2" xfId="24906" xr:uid="{00000000-0005-0000-0000-00000D620000}"/>
    <cellStyle name="Standard 4 3 9 8" xfId="24907" xr:uid="{00000000-0005-0000-0000-00000E620000}"/>
    <cellStyle name="Standard 4 3 9 9" xfId="24908" xr:uid="{00000000-0005-0000-0000-00000F620000}"/>
    <cellStyle name="Standard 4 4" xfId="588" xr:uid="{00000000-0005-0000-0000-000010620000}"/>
    <cellStyle name="Standard 4 4 10" xfId="24909" xr:uid="{00000000-0005-0000-0000-000011620000}"/>
    <cellStyle name="Standard 4 4 10 2" xfId="24910" xr:uid="{00000000-0005-0000-0000-000012620000}"/>
    <cellStyle name="Standard 4 4 10 2 2" xfId="24911" xr:uid="{00000000-0005-0000-0000-000013620000}"/>
    <cellStyle name="Standard 4 4 10 2 2 2" xfId="24912" xr:uid="{00000000-0005-0000-0000-000014620000}"/>
    <cellStyle name="Standard 4 4 10 2 2 3" xfId="24913" xr:uid="{00000000-0005-0000-0000-000015620000}"/>
    <cellStyle name="Standard 4 4 10 2 3" xfId="24914" xr:uid="{00000000-0005-0000-0000-000016620000}"/>
    <cellStyle name="Standard 4 4 10 2 3 2" xfId="24915" xr:uid="{00000000-0005-0000-0000-000017620000}"/>
    <cellStyle name="Standard 4 4 10 2 3 3" xfId="24916" xr:uid="{00000000-0005-0000-0000-000018620000}"/>
    <cellStyle name="Standard 4 4 10 2 4" xfId="24917" xr:uid="{00000000-0005-0000-0000-000019620000}"/>
    <cellStyle name="Standard 4 4 10 2 4 2" xfId="24918" xr:uid="{00000000-0005-0000-0000-00001A620000}"/>
    <cellStyle name="Standard 4 4 10 2 5" xfId="24919" xr:uid="{00000000-0005-0000-0000-00001B620000}"/>
    <cellStyle name="Standard 4 4 10 2 6" xfId="24920" xr:uid="{00000000-0005-0000-0000-00001C620000}"/>
    <cellStyle name="Standard 4 4 10 3" xfId="24921" xr:uid="{00000000-0005-0000-0000-00001D620000}"/>
    <cellStyle name="Standard 4 4 10 3 2" xfId="24922" xr:uid="{00000000-0005-0000-0000-00001E620000}"/>
    <cellStyle name="Standard 4 4 10 3 3" xfId="24923" xr:uid="{00000000-0005-0000-0000-00001F620000}"/>
    <cellStyle name="Standard 4 4 10 4" xfId="24924" xr:uid="{00000000-0005-0000-0000-000020620000}"/>
    <cellStyle name="Standard 4 4 10 4 2" xfId="24925" xr:uid="{00000000-0005-0000-0000-000021620000}"/>
    <cellStyle name="Standard 4 4 10 4 3" xfId="24926" xr:uid="{00000000-0005-0000-0000-000022620000}"/>
    <cellStyle name="Standard 4 4 10 5" xfId="24927" xr:uid="{00000000-0005-0000-0000-000023620000}"/>
    <cellStyle name="Standard 4 4 10 5 2" xfId="24928" xr:uid="{00000000-0005-0000-0000-000024620000}"/>
    <cellStyle name="Standard 4 4 10 6" xfId="24929" xr:uid="{00000000-0005-0000-0000-000025620000}"/>
    <cellStyle name="Standard 4 4 10 7" xfId="24930" xr:uid="{00000000-0005-0000-0000-000026620000}"/>
    <cellStyle name="Standard 4 4 11" xfId="24931" xr:uid="{00000000-0005-0000-0000-000027620000}"/>
    <cellStyle name="Standard 4 4 11 2" xfId="24932" xr:uid="{00000000-0005-0000-0000-000028620000}"/>
    <cellStyle name="Standard 4 4 11 2 2" xfId="24933" xr:uid="{00000000-0005-0000-0000-000029620000}"/>
    <cellStyle name="Standard 4 4 11 2 3" xfId="24934" xr:uid="{00000000-0005-0000-0000-00002A620000}"/>
    <cellStyle name="Standard 4 4 11 3" xfId="24935" xr:uid="{00000000-0005-0000-0000-00002B620000}"/>
    <cellStyle name="Standard 4 4 11 3 2" xfId="24936" xr:uid="{00000000-0005-0000-0000-00002C620000}"/>
    <cellStyle name="Standard 4 4 11 3 3" xfId="24937" xr:uid="{00000000-0005-0000-0000-00002D620000}"/>
    <cellStyle name="Standard 4 4 11 4" xfId="24938" xr:uid="{00000000-0005-0000-0000-00002E620000}"/>
    <cellStyle name="Standard 4 4 11 4 2" xfId="24939" xr:uid="{00000000-0005-0000-0000-00002F620000}"/>
    <cellStyle name="Standard 4 4 11 5" xfId="24940" xr:uid="{00000000-0005-0000-0000-000030620000}"/>
    <cellStyle name="Standard 4 4 11 6" xfId="24941" xr:uid="{00000000-0005-0000-0000-000031620000}"/>
    <cellStyle name="Standard 4 4 12" xfId="24942" xr:uid="{00000000-0005-0000-0000-000032620000}"/>
    <cellStyle name="Standard 4 4 12 2" xfId="24943" xr:uid="{00000000-0005-0000-0000-000033620000}"/>
    <cellStyle name="Standard 4 4 12 3" xfId="24944" xr:uid="{00000000-0005-0000-0000-000034620000}"/>
    <cellStyle name="Standard 4 4 13" xfId="24945" xr:uid="{00000000-0005-0000-0000-000035620000}"/>
    <cellStyle name="Standard 4 4 13 2" xfId="24946" xr:uid="{00000000-0005-0000-0000-000036620000}"/>
    <cellStyle name="Standard 4 4 13 3" xfId="24947" xr:uid="{00000000-0005-0000-0000-000037620000}"/>
    <cellStyle name="Standard 4 4 14" xfId="24948" xr:uid="{00000000-0005-0000-0000-000038620000}"/>
    <cellStyle name="Standard 4 4 14 2" xfId="24949" xr:uid="{00000000-0005-0000-0000-000039620000}"/>
    <cellStyle name="Standard 4 4 15" xfId="24950" xr:uid="{00000000-0005-0000-0000-00003A620000}"/>
    <cellStyle name="Standard 4 4 16" xfId="24951" xr:uid="{00000000-0005-0000-0000-00003B620000}"/>
    <cellStyle name="Standard 4 4 2" xfId="589" xr:uid="{00000000-0005-0000-0000-00003C620000}"/>
    <cellStyle name="Standard 4 4 2 10" xfId="24952" xr:uid="{00000000-0005-0000-0000-00003D620000}"/>
    <cellStyle name="Standard 4 4 2 10 2" xfId="24953" xr:uid="{00000000-0005-0000-0000-00003E620000}"/>
    <cellStyle name="Standard 4 4 2 10 3" xfId="24954" xr:uid="{00000000-0005-0000-0000-00003F620000}"/>
    <cellStyle name="Standard 4 4 2 11" xfId="24955" xr:uid="{00000000-0005-0000-0000-000040620000}"/>
    <cellStyle name="Standard 4 4 2 11 2" xfId="24956" xr:uid="{00000000-0005-0000-0000-000041620000}"/>
    <cellStyle name="Standard 4 4 2 11 3" xfId="24957" xr:uid="{00000000-0005-0000-0000-000042620000}"/>
    <cellStyle name="Standard 4 4 2 12" xfId="24958" xr:uid="{00000000-0005-0000-0000-000043620000}"/>
    <cellStyle name="Standard 4 4 2 12 2" xfId="24959" xr:uid="{00000000-0005-0000-0000-000044620000}"/>
    <cellStyle name="Standard 4 4 2 13" xfId="24960" xr:uid="{00000000-0005-0000-0000-000045620000}"/>
    <cellStyle name="Standard 4 4 2 14" xfId="24961" xr:uid="{00000000-0005-0000-0000-000046620000}"/>
    <cellStyle name="Standard 4 4 2 2" xfId="24962" xr:uid="{00000000-0005-0000-0000-000047620000}"/>
    <cellStyle name="Standard 4 4 2 2 10" xfId="24963" xr:uid="{00000000-0005-0000-0000-000048620000}"/>
    <cellStyle name="Standard 4 4 2 2 10 2" xfId="24964" xr:uid="{00000000-0005-0000-0000-000049620000}"/>
    <cellStyle name="Standard 4 4 2 2 11" xfId="24965" xr:uid="{00000000-0005-0000-0000-00004A620000}"/>
    <cellStyle name="Standard 4 4 2 2 12" xfId="24966" xr:uid="{00000000-0005-0000-0000-00004B620000}"/>
    <cellStyle name="Standard 4 4 2 2 2" xfId="24967" xr:uid="{00000000-0005-0000-0000-00004C620000}"/>
    <cellStyle name="Standard 4 4 2 2 2 10" xfId="24968" xr:uid="{00000000-0005-0000-0000-00004D620000}"/>
    <cellStyle name="Standard 4 4 2 2 2 11" xfId="24969" xr:uid="{00000000-0005-0000-0000-00004E620000}"/>
    <cellStyle name="Standard 4 4 2 2 2 2" xfId="24970" xr:uid="{00000000-0005-0000-0000-00004F620000}"/>
    <cellStyle name="Standard 4 4 2 2 2 2 10" xfId="24971" xr:uid="{00000000-0005-0000-0000-000050620000}"/>
    <cellStyle name="Standard 4 4 2 2 2 2 2" xfId="24972" xr:uid="{00000000-0005-0000-0000-000051620000}"/>
    <cellStyle name="Standard 4 4 2 2 2 2 2 2" xfId="24973" xr:uid="{00000000-0005-0000-0000-000052620000}"/>
    <cellStyle name="Standard 4 4 2 2 2 2 2 2 2" xfId="24974" xr:uid="{00000000-0005-0000-0000-000053620000}"/>
    <cellStyle name="Standard 4 4 2 2 2 2 2 2 2 2" xfId="24975" xr:uid="{00000000-0005-0000-0000-000054620000}"/>
    <cellStyle name="Standard 4 4 2 2 2 2 2 2 2 2 2" xfId="24976" xr:uid="{00000000-0005-0000-0000-000055620000}"/>
    <cellStyle name="Standard 4 4 2 2 2 2 2 2 2 2 3" xfId="24977" xr:uid="{00000000-0005-0000-0000-000056620000}"/>
    <cellStyle name="Standard 4 4 2 2 2 2 2 2 2 3" xfId="24978" xr:uid="{00000000-0005-0000-0000-000057620000}"/>
    <cellStyle name="Standard 4 4 2 2 2 2 2 2 2 3 2" xfId="24979" xr:uid="{00000000-0005-0000-0000-000058620000}"/>
    <cellStyle name="Standard 4 4 2 2 2 2 2 2 2 3 3" xfId="24980" xr:uid="{00000000-0005-0000-0000-000059620000}"/>
    <cellStyle name="Standard 4 4 2 2 2 2 2 2 2 4" xfId="24981" xr:uid="{00000000-0005-0000-0000-00005A620000}"/>
    <cellStyle name="Standard 4 4 2 2 2 2 2 2 2 4 2" xfId="24982" xr:uid="{00000000-0005-0000-0000-00005B620000}"/>
    <cellStyle name="Standard 4 4 2 2 2 2 2 2 2 5" xfId="24983" xr:uid="{00000000-0005-0000-0000-00005C620000}"/>
    <cellStyle name="Standard 4 4 2 2 2 2 2 2 2 6" xfId="24984" xr:uid="{00000000-0005-0000-0000-00005D620000}"/>
    <cellStyle name="Standard 4 4 2 2 2 2 2 2 3" xfId="24985" xr:uid="{00000000-0005-0000-0000-00005E620000}"/>
    <cellStyle name="Standard 4 4 2 2 2 2 2 2 3 2" xfId="24986" xr:uid="{00000000-0005-0000-0000-00005F620000}"/>
    <cellStyle name="Standard 4 4 2 2 2 2 2 2 3 3" xfId="24987" xr:uid="{00000000-0005-0000-0000-000060620000}"/>
    <cellStyle name="Standard 4 4 2 2 2 2 2 2 4" xfId="24988" xr:uid="{00000000-0005-0000-0000-000061620000}"/>
    <cellStyle name="Standard 4 4 2 2 2 2 2 2 4 2" xfId="24989" xr:uid="{00000000-0005-0000-0000-000062620000}"/>
    <cellStyle name="Standard 4 4 2 2 2 2 2 2 4 3" xfId="24990" xr:uid="{00000000-0005-0000-0000-000063620000}"/>
    <cellStyle name="Standard 4 4 2 2 2 2 2 2 5" xfId="24991" xr:uid="{00000000-0005-0000-0000-000064620000}"/>
    <cellStyle name="Standard 4 4 2 2 2 2 2 2 5 2" xfId="24992" xr:uid="{00000000-0005-0000-0000-000065620000}"/>
    <cellStyle name="Standard 4 4 2 2 2 2 2 2 6" xfId="24993" xr:uid="{00000000-0005-0000-0000-000066620000}"/>
    <cellStyle name="Standard 4 4 2 2 2 2 2 2 7" xfId="24994" xr:uid="{00000000-0005-0000-0000-000067620000}"/>
    <cellStyle name="Standard 4 4 2 2 2 2 2 3" xfId="24995" xr:uid="{00000000-0005-0000-0000-000068620000}"/>
    <cellStyle name="Standard 4 4 2 2 2 2 2 3 2" xfId="24996" xr:uid="{00000000-0005-0000-0000-000069620000}"/>
    <cellStyle name="Standard 4 4 2 2 2 2 2 3 2 2" xfId="24997" xr:uid="{00000000-0005-0000-0000-00006A620000}"/>
    <cellStyle name="Standard 4 4 2 2 2 2 2 3 2 3" xfId="24998" xr:uid="{00000000-0005-0000-0000-00006B620000}"/>
    <cellStyle name="Standard 4 4 2 2 2 2 2 3 3" xfId="24999" xr:uid="{00000000-0005-0000-0000-00006C620000}"/>
    <cellStyle name="Standard 4 4 2 2 2 2 2 3 3 2" xfId="25000" xr:uid="{00000000-0005-0000-0000-00006D620000}"/>
    <cellStyle name="Standard 4 4 2 2 2 2 2 3 3 3" xfId="25001" xr:uid="{00000000-0005-0000-0000-00006E620000}"/>
    <cellStyle name="Standard 4 4 2 2 2 2 2 3 4" xfId="25002" xr:uid="{00000000-0005-0000-0000-00006F620000}"/>
    <cellStyle name="Standard 4 4 2 2 2 2 2 3 4 2" xfId="25003" xr:uid="{00000000-0005-0000-0000-000070620000}"/>
    <cellStyle name="Standard 4 4 2 2 2 2 2 3 5" xfId="25004" xr:uid="{00000000-0005-0000-0000-000071620000}"/>
    <cellStyle name="Standard 4 4 2 2 2 2 2 3 6" xfId="25005" xr:uid="{00000000-0005-0000-0000-000072620000}"/>
    <cellStyle name="Standard 4 4 2 2 2 2 2 4" xfId="25006" xr:uid="{00000000-0005-0000-0000-000073620000}"/>
    <cellStyle name="Standard 4 4 2 2 2 2 2 4 2" xfId="25007" xr:uid="{00000000-0005-0000-0000-000074620000}"/>
    <cellStyle name="Standard 4 4 2 2 2 2 2 4 3" xfId="25008" xr:uid="{00000000-0005-0000-0000-000075620000}"/>
    <cellStyle name="Standard 4 4 2 2 2 2 2 5" xfId="25009" xr:uid="{00000000-0005-0000-0000-000076620000}"/>
    <cellStyle name="Standard 4 4 2 2 2 2 2 5 2" xfId="25010" xr:uid="{00000000-0005-0000-0000-000077620000}"/>
    <cellStyle name="Standard 4 4 2 2 2 2 2 5 3" xfId="25011" xr:uid="{00000000-0005-0000-0000-000078620000}"/>
    <cellStyle name="Standard 4 4 2 2 2 2 2 6" xfId="25012" xr:uid="{00000000-0005-0000-0000-000079620000}"/>
    <cellStyle name="Standard 4 4 2 2 2 2 2 6 2" xfId="25013" xr:uid="{00000000-0005-0000-0000-00007A620000}"/>
    <cellStyle name="Standard 4 4 2 2 2 2 2 7" xfId="25014" xr:uid="{00000000-0005-0000-0000-00007B620000}"/>
    <cellStyle name="Standard 4 4 2 2 2 2 2 8" xfId="25015" xr:uid="{00000000-0005-0000-0000-00007C620000}"/>
    <cellStyle name="Standard 4 4 2 2 2 2 3" xfId="25016" xr:uid="{00000000-0005-0000-0000-00007D620000}"/>
    <cellStyle name="Standard 4 4 2 2 2 2 3 2" xfId="25017" xr:uid="{00000000-0005-0000-0000-00007E620000}"/>
    <cellStyle name="Standard 4 4 2 2 2 2 3 2 2" xfId="25018" xr:uid="{00000000-0005-0000-0000-00007F620000}"/>
    <cellStyle name="Standard 4 4 2 2 2 2 3 2 2 2" xfId="25019" xr:uid="{00000000-0005-0000-0000-000080620000}"/>
    <cellStyle name="Standard 4 4 2 2 2 2 3 2 2 2 2" xfId="25020" xr:uid="{00000000-0005-0000-0000-000081620000}"/>
    <cellStyle name="Standard 4 4 2 2 2 2 3 2 2 2 3" xfId="25021" xr:uid="{00000000-0005-0000-0000-000082620000}"/>
    <cellStyle name="Standard 4 4 2 2 2 2 3 2 2 3" xfId="25022" xr:uid="{00000000-0005-0000-0000-000083620000}"/>
    <cellStyle name="Standard 4 4 2 2 2 2 3 2 2 3 2" xfId="25023" xr:uid="{00000000-0005-0000-0000-000084620000}"/>
    <cellStyle name="Standard 4 4 2 2 2 2 3 2 2 3 3" xfId="25024" xr:uid="{00000000-0005-0000-0000-000085620000}"/>
    <cellStyle name="Standard 4 4 2 2 2 2 3 2 2 4" xfId="25025" xr:uid="{00000000-0005-0000-0000-000086620000}"/>
    <cellStyle name="Standard 4 4 2 2 2 2 3 2 2 4 2" xfId="25026" xr:uid="{00000000-0005-0000-0000-000087620000}"/>
    <cellStyle name="Standard 4 4 2 2 2 2 3 2 2 5" xfId="25027" xr:uid="{00000000-0005-0000-0000-000088620000}"/>
    <cellStyle name="Standard 4 4 2 2 2 2 3 2 2 6" xfId="25028" xr:uid="{00000000-0005-0000-0000-000089620000}"/>
    <cellStyle name="Standard 4 4 2 2 2 2 3 2 3" xfId="25029" xr:uid="{00000000-0005-0000-0000-00008A620000}"/>
    <cellStyle name="Standard 4 4 2 2 2 2 3 2 3 2" xfId="25030" xr:uid="{00000000-0005-0000-0000-00008B620000}"/>
    <cellStyle name="Standard 4 4 2 2 2 2 3 2 3 3" xfId="25031" xr:uid="{00000000-0005-0000-0000-00008C620000}"/>
    <cellStyle name="Standard 4 4 2 2 2 2 3 2 4" xfId="25032" xr:uid="{00000000-0005-0000-0000-00008D620000}"/>
    <cellStyle name="Standard 4 4 2 2 2 2 3 2 4 2" xfId="25033" xr:uid="{00000000-0005-0000-0000-00008E620000}"/>
    <cellStyle name="Standard 4 4 2 2 2 2 3 2 4 3" xfId="25034" xr:uid="{00000000-0005-0000-0000-00008F620000}"/>
    <cellStyle name="Standard 4 4 2 2 2 2 3 2 5" xfId="25035" xr:uid="{00000000-0005-0000-0000-000090620000}"/>
    <cellStyle name="Standard 4 4 2 2 2 2 3 2 5 2" xfId="25036" xr:uid="{00000000-0005-0000-0000-000091620000}"/>
    <cellStyle name="Standard 4 4 2 2 2 2 3 2 6" xfId="25037" xr:uid="{00000000-0005-0000-0000-000092620000}"/>
    <cellStyle name="Standard 4 4 2 2 2 2 3 2 7" xfId="25038" xr:uid="{00000000-0005-0000-0000-000093620000}"/>
    <cellStyle name="Standard 4 4 2 2 2 2 3 3" xfId="25039" xr:uid="{00000000-0005-0000-0000-000094620000}"/>
    <cellStyle name="Standard 4 4 2 2 2 2 3 3 2" xfId="25040" xr:uid="{00000000-0005-0000-0000-000095620000}"/>
    <cellStyle name="Standard 4 4 2 2 2 2 3 3 2 2" xfId="25041" xr:uid="{00000000-0005-0000-0000-000096620000}"/>
    <cellStyle name="Standard 4 4 2 2 2 2 3 3 2 3" xfId="25042" xr:uid="{00000000-0005-0000-0000-000097620000}"/>
    <cellStyle name="Standard 4 4 2 2 2 2 3 3 3" xfId="25043" xr:uid="{00000000-0005-0000-0000-000098620000}"/>
    <cellStyle name="Standard 4 4 2 2 2 2 3 3 3 2" xfId="25044" xr:uid="{00000000-0005-0000-0000-000099620000}"/>
    <cellStyle name="Standard 4 4 2 2 2 2 3 3 3 3" xfId="25045" xr:uid="{00000000-0005-0000-0000-00009A620000}"/>
    <cellStyle name="Standard 4 4 2 2 2 2 3 3 4" xfId="25046" xr:uid="{00000000-0005-0000-0000-00009B620000}"/>
    <cellStyle name="Standard 4 4 2 2 2 2 3 3 4 2" xfId="25047" xr:uid="{00000000-0005-0000-0000-00009C620000}"/>
    <cellStyle name="Standard 4 4 2 2 2 2 3 3 5" xfId="25048" xr:uid="{00000000-0005-0000-0000-00009D620000}"/>
    <cellStyle name="Standard 4 4 2 2 2 2 3 3 6" xfId="25049" xr:uid="{00000000-0005-0000-0000-00009E620000}"/>
    <cellStyle name="Standard 4 4 2 2 2 2 3 4" xfId="25050" xr:uid="{00000000-0005-0000-0000-00009F620000}"/>
    <cellStyle name="Standard 4 4 2 2 2 2 3 4 2" xfId="25051" xr:uid="{00000000-0005-0000-0000-0000A0620000}"/>
    <cellStyle name="Standard 4 4 2 2 2 2 3 4 3" xfId="25052" xr:uid="{00000000-0005-0000-0000-0000A1620000}"/>
    <cellStyle name="Standard 4 4 2 2 2 2 3 5" xfId="25053" xr:uid="{00000000-0005-0000-0000-0000A2620000}"/>
    <cellStyle name="Standard 4 4 2 2 2 2 3 5 2" xfId="25054" xr:uid="{00000000-0005-0000-0000-0000A3620000}"/>
    <cellStyle name="Standard 4 4 2 2 2 2 3 5 3" xfId="25055" xr:uid="{00000000-0005-0000-0000-0000A4620000}"/>
    <cellStyle name="Standard 4 4 2 2 2 2 3 6" xfId="25056" xr:uid="{00000000-0005-0000-0000-0000A5620000}"/>
    <cellStyle name="Standard 4 4 2 2 2 2 3 6 2" xfId="25057" xr:uid="{00000000-0005-0000-0000-0000A6620000}"/>
    <cellStyle name="Standard 4 4 2 2 2 2 3 7" xfId="25058" xr:uid="{00000000-0005-0000-0000-0000A7620000}"/>
    <cellStyle name="Standard 4 4 2 2 2 2 3 8" xfId="25059" xr:uid="{00000000-0005-0000-0000-0000A8620000}"/>
    <cellStyle name="Standard 4 4 2 2 2 2 4" xfId="25060" xr:uid="{00000000-0005-0000-0000-0000A9620000}"/>
    <cellStyle name="Standard 4 4 2 2 2 2 4 2" xfId="25061" xr:uid="{00000000-0005-0000-0000-0000AA620000}"/>
    <cellStyle name="Standard 4 4 2 2 2 2 4 2 2" xfId="25062" xr:uid="{00000000-0005-0000-0000-0000AB620000}"/>
    <cellStyle name="Standard 4 4 2 2 2 2 4 2 2 2" xfId="25063" xr:uid="{00000000-0005-0000-0000-0000AC620000}"/>
    <cellStyle name="Standard 4 4 2 2 2 2 4 2 2 3" xfId="25064" xr:uid="{00000000-0005-0000-0000-0000AD620000}"/>
    <cellStyle name="Standard 4 4 2 2 2 2 4 2 3" xfId="25065" xr:uid="{00000000-0005-0000-0000-0000AE620000}"/>
    <cellStyle name="Standard 4 4 2 2 2 2 4 2 3 2" xfId="25066" xr:uid="{00000000-0005-0000-0000-0000AF620000}"/>
    <cellStyle name="Standard 4 4 2 2 2 2 4 2 3 3" xfId="25067" xr:uid="{00000000-0005-0000-0000-0000B0620000}"/>
    <cellStyle name="Standard 4 4 2 2 2 2 4 2 4" xfId="25068" xr:uid="{00000000-0005-0000-0000-0000B1620000}"/>
    <cellStyle name="Standard 4 4 2 2 2 2 4 2 4 2" xfId="25069" xr:uid="{00000000-0005-0000-0000-0000B2620000}"/>
    <cellStyle name="Standard 4 4 2 2 2 2 4 2 5" xfId="25070" xr:uid="{00000000-0005-0000-0000-0000B3620000}"/>
    <cellStyle name="Standard 4 4 2 2 2 2 4 2 6" xfId="25071" xr:uid="{00000000-0005-0000-0000-0000B4620000}"/>
    <cellStyle name="Standard 4 4 2 2 2 2 4 3" xfId="25072" xr:uid="{00000000-0005-0000-0000-0000B5620000}"/>
    <cellStyle name="Standard 4 4 2 2 2 2 4 3 2" xfId="25073" xr:uid="{00000000-0005-0000-0000-0000B6620000}"/>
    <cellStyle name="Standard 4 4 2 2 2 2 4 3 3" xfId="25074" xr:uid="{00000000-0005-0000-0000-0000B7620000}"/>
    <cellStyle name="Standard 4 4 2 2 2 2 4 4" xfId="25075" xr:uid="{00000000-0005-0000-0000-0000B8620000}"/>
    <cellStyle name="Standard 4 4 2 2 2 2 4 4 2" xfId="25076" xr:uid="{00000000-0005-0000-0000-0000B9620000}"/>
    <cellStyle name="Standard 4 4 2 2 2 2 4 4 3" xfId="25077" xr:uid="{00000000-0005-0000-0000-0000BA620000}"/>
    <cellStyle name="Standard 4 4 2 2 2 2 4 5" xfId="25078" xr:uid="{00000000-0005-0000-0000-0000BB620000}"/>
    <cellStyle name="Standard 4 4 2 2 2 2 4 5 2" xfId="25079" xr:uid="{00000000-0005-0000-0000-0000BC620000}"/>
    <cellStyle name="Standard 4 4 2 2 2 2 4 6" xfId="25080" xr:uid="{00000000-0005-0000-0000-0000BD620000}"/>
    <cellStyle name="Standard 4 4 2 2 2 2 4 7" xfId="25081" xr:uid="{00000000-0005-0000-0000-0000BE620000}"/>
    <cellStyle name="Standard 4 4 2 2 2 2 5" xfId="25082" xr:uid="{00000000-0005-0000-0000-0000BF620000}"/>
    <cellStyle name="Standard 4 4 2 2 2 2 5 2" xfId="25083" xr:uid="{00000000-0005-0000-0000-0000C0620000}"/>
    <cellStyle name="Standard 4 4 2 2 2 2 5 2 2" xfId="25084" xr:uid="{00000000-0005-0000-0000-0000C1620000}"/>
    <cellStyle name="Standard 4 4 2 2 2 2 5 2 3" xfId="25085" xr:uid="{00000000-0005-0000-0000-0000C2620000}"/>
    <cellStyle name="Standard 4 4 2 2 2 2 5 3" xfId="25086" xr:uid="{00000000-0005-0000-0000-0000C3620000}"/>
    <cellStyle name="Standard 4 4 2 2 2 2 5 3 2" xfId="25087" xr:uid="{00000000-0005-0000-0000-0000C4620000}"/>
    <cellStyle name="Standard 4 4 2 2 2 2 5 3 3" xfId="25088" xr:uid="{00000000-0005-0000-0000-0000C5620000}"/>
    <cellStyle name="Standard 4 4 2 2 2 2 5 4" xfId="25089" xr:uid="{00000000-0005-0000-0000-0000C6620000}"/>
    <cellStyle name="Standard 4 4 2 2 2 2 5 4 2" xfId="25090" xr:uid="{00000000-0005-0000-0000-0000C7620000}"/>
    <cellStyle name="Standard 4 4 2 2 2 2 5 5" xfId="25091" xr:uid="{00000000-0005-0000-0000-0000C8620000}"/>
    <cellStyle name="Standard 4 4 2 2 2 2 5 6" xfId="25092" xr:uid="{00000000-0005-0000-0000-0000C9620000}"/>
    <cellStyle name="Standard 4 4 2 2 2 2 6" xfId="25093" xr:uid="{00000000-0005-0000-0000-0000CA620000}"/>
    <cellStyle name="Standard 4 4 2 2 2 2 6 2" xfId="25094" xr:uid="{00000000-0005-0000-0000-0000CB620000}"/>
    <cellStyle name="Standard 4 4 2 2 2 2 6 3" xfId="25095" xr:uid="{00000000-0005-0000-0000-0000CC620000}"/>
    <cellStyle name="Standard 4 4 2 2 2 2 7" xfId="25096" xr:uid="{00000000-0005-0000-0000-0000CD620000}"/>
    <cellStyle name="Standard 4 4 2 2 2 2 7 2" xfId="25097" xr:uid="{00000000-0005-0000-0000-0000CE620000}"/>
    <cellStyle name="Standard 4 4 2 2 2 2 7 3" xfId="25098" xr:uid="{00000000-0005-0000-0000-0000CF620000}"/>
    <cellStyle name="Standard 4 4 2 2 2 2 8" xfId="25099" xr:uid="{00000000-0005-0000-0000-0000D0620000}"/>
    <cellStyle name="Standard 4 4 2 2 2 2 8 2" xfId="25100" xr:uid="{00000000-0005-0000-0000-0000D1620000}"/>
    <cellStyle name="Standard 4 4 2 2 2 2 9" xfId="25101" xr:uid="{00000000-0005-0000-0000-0000D2620000}"/>
    <cellStyle name="Standard 4 4 2 2 2 3" xfId="25102" xr:uid="{00000000-0005-0000-0000-0000D3620000}"/>
    <cellStyle name="Standard 4 4 2 2 2 3 2" xfId="25103" xr:uid="{00000000-0005-0000-0000-0000D4620000}"/>
    <cellStyle name="Standard 4 4 2 2 2 3 2 2" xfId="25104" xr:uid="{00000000-0005-0000-0000-0000D5620000}"/>
    <cellStyle name="Standard 4 4 2 2 2 3 2 2 2" xfId="25105" xr:uid="{00000000-0005-0000-0000-0000D6620000}"/>
    <cellStyle name="Standard 4 4 2 2 2 3 2 2 2 2" xfId="25106" xr:uid="{00000000-0005-0000-0000-0000D7620000}"/>
    <cellStyle name="Standard 4 4 2 2 2 3 2 2 2 3" xfId="25107" xr:uid="{00000000-0005-0000-0000-0000D8620000}"/>
    <cellStyle name="Standard 4 4 2 2 2 3 2 2 3" xfId="25108" xr:uid="{00000000-0005-0000-0000-0000D9620000}"/>
    <cellStyle name="Standard 4 4 2 2 2 3 2 2 3 2" xfId="25109" xr:uid="{00000000-0005-0000-0000-0000DA620000}"/>
    <cellStyle name="Standard 4 4 2 2 2 3 2 2 3 3" xfId="25110" xr:uid="{00000000-0005-0000-0000-0000DB620000}"/>
    <cellStyle name="Standard 4 4 2 2 2 3 2 2 4" xfId="25111" xr:uid="{00000000-0005-0000-0000-0000DC620000}"/>
    <cellStyle name="Standard 4 4 2 2 2 3 2 2 4 2" xfId="25112" xr:uid="{00000000-0005-0000-0000-0000DD620000}"/>
    <cellStyle name="Standard 4 4 2 2 2 3 2 2 5" xfId="25113" xr:uid="{00000000-0005-0000-0000-0000DE620000}"/>
    <cellStyle name="Standard 4 4 2 2 2 3 2 2 6" xfId="25114" xr:uid="{00000000-0005-0000-0000-0000DF620000}"/>
    <cellStyle name="Standard 4 4 2 2 2 3 2 3" xfId="25115" xr:uid="{00000000-0005-0000-0000-0000E0620000}"/>
    <cellStyle name="Standard 4 4 2 2 2 3 2 3 2" xfId="25116" xr:uid="{00000000-0005-0000-0000-0000E1620000}"/>
    <cellStyle name="Standard 4 4 2 2 2 3 2 3 3" xfId="25117" xr:uid="{00000000-0005-0000-0000-0000E2620000}"/>
    <cellStyle name="Standard 4 4 2 2 2 3 2 4" xfId="25118" xr:uid="{00000000-0005-0000-0000-0000E3620000}"/>
    <cellStyle name="Standard 4 4 2 2 2 3 2 4 2" xfId="25119" xr:uid="{00000000-0005-0000-0000-0000E4620000}"/>
    <cellStyle name="Standard 4 4 2 2 2 3 2 4 3" xfId="25120" xr:uid="{00000000-0005-0000-0000-0000E5620000}"/>
    <cellStyle name="Standard 4 4 2 2 2 3 2 5" xfId="25121" xr:uid="{00000000-0005-0000-0000-0000E6620000}"/>
    <cellStyle name="Standard 4 4 2 2 2 3 2 5 2" xfId="25122" xr:uid="{00000000-0005-0000-0000-0000E7620000}"/>
    <cellStyle name="Standard 4 4 2 2 2 3 2 6" xfId="25123" xr:uid="{00000000-0005-0000-0000-0000E8620000}"/>
    <cellStyle name="Standard 4 4 2 2 2 3 2 7" xfId="25124" xr:uid="{00000000-0005-0000-0000-0000E9620000}"/>
    <cellStyle name="Standard 4 4 2 2 2 3 3" xfId="25125" xr:uid="{00000000-0005-0000-0000-0000EA620000}"/>
    <cellStyle name="Standard 4 4 2 2 2 3 3 2" xfId="25126" xr:uid="{00000000-0005-0000-0000-0000EB620000}"/>
    <cellStyle name="Standard 4 4 2 2 2 3 3 2 2" xfId="25127" xr:uid="{00000000-0005-0000-0000-0000EC620000}"/>
    <cellStyle name="Standard 4 4 2 2 2 3 3 2 3" xfId="25128" xr:uid="{00000000-0005-0000-0000-0000ED620000}"/>
    <cellStyle name="Standard 4 4 2 2 2 3 3 3" xfId="25129" xr:uid="{00000000-0005-0000-0000-0000EE620000}"/>
    <cellStyle name="Standard 4 4 2 2 2 3 3 3 2" xfId="25130" xr:uid="{00000000-0005-0000-0000-0000EF620000}"/>
    <cellStyle name="Standard 4 4 2 2 2 3 3 3 3" xfId="25131" xr:uid="{00000000-0005-0000-0000-0000F0620000}"/>
    <cellStyle name="Standard 4 4 2 2 2 3 3 4" xfId="25132" xr:uid="{00000000-0005-0000-0000-0000F1620000}"/>
    <cellStyle name="Standard 4 4 2 2 2 3 3 4 2" xfId="25133" xr:uid="{00000000-0005-0000-0000-0000F2620000}"/>
    <cellStyle name="Standard 4 4 2 2 2 3 3 5" xfId="25134" xr:uid="{00000000-0005-0000-0000-0000F3620000}"/>
    <cellStyle name="Standard 4 4 2 2 2 3 3 6" xfId="25135" xr:uid="{00000000-0005-0000-0000-0000F4620000}"/>
    <cellStyle name="Standard 4 4 2 2 2 3 4" xfId="25136" xr:uid="{00000000-0005-0000-0000-0000F5620000}"/>
    <cellStyle name="Standard 4 4 2 2 2 3 4 2" xfId="25137" xr:uid="{00000000-0005-0000-0000-0000F6620000}"/>
    <cellStyle name="Standard 4 4 2 2 2 3 4 3" xfId="25138" xr:uid="{00000000-0005-0000-0000-0000F7620000}"/>
    <cellStyle name="Standard 4 4 2 2 2 3 5" xfId="25139" xr:uid="{00000000-0005-0000-0000-0000F8620000}"/>
    <cellStyle name="Standard 4 4 2 2 2 3 5 2" xfId="25140" xr:uid="{00000000-0005-0000-0000-0000F9620000}"/>
    <cellStyle name="Standard 4 4 2 2 2 3 5 3" xfId="25141" xr:uid="{00000000-0005-0000-0000-0000FA620000}"/>
    <cellStyle name="Standard 4 4 2 2 2 3 6" xfId="25142" xr:uid="{00000000-0005-0000-0000-0000FB620000}"/>
    <cellStyle name="Standard 4 4 2 2 2 3 6 2" xfId="25143" xr:uid="{00000000-0005-0000-0000-0000FC620000}"/>
    <cellStyle name="Standard 4 4 2 2 2 3 7" xfId="25144" xr:uid="{00000000-0005-0000-0000-0000FD620000}"/>
    <cellStyle name="Standard 4 4 2 2 2 3 8" xfId="25145" xr:uid="{00000000-0005-0000-0000-0000FE620000}"/>
    <cellStyle name="Standard 4 4 2 2 2 4" xfId="25146" xr:uid="{00000000-0005-0000-0000-0000FF620000}"/>
    <cellStyle name="Standard 4 4 2 2 2 4 2" xfId="25147" xr:uid="{00000000-0005-0000-0000-000000630000}"/>
    <cellStyle name="Standard 4 4 2 2 2 4 2 2" xfId="25148" xr:uid="{00000000-0005-0000-0000-000001630000}"/>
    <cellStyle name="Standard 4 4 2 2 2 4 2 2 2" xfId="25149" xr:uid="{00000000-0005-0000-0000-000002630000}"/>
    <cellStyle name="Standard 4 4 2 2 2 4 2 2 2 2" xfId="25150" xr:uid="{00000000-0005-0000-0000-000003630000}"/>
    <cellStyle name="Standard 4 4 2 2 2 4 2 2 2 3" xfId="25151" xr:uid="{00000000-0005-0000-0000-000004630000}"/>
    <cellStyle name="Standard 4 4 2 2 2 4 2 2 3" xfId="25152" xr:uid="{00000000-0005-0000-0000-000005630000}"/>
    <cellStyle name="Standard 4 4 2 2 2 4 2 2 3 2" xfId="25153" xr:uid="{00000000-0005-0000-0000-000006630000}"/>
    <cellStyle name="Standard 4 4 2 2 2 4 2 2 3 3" xfId="25154" xr:uid="{00000000-0005-0000-0000-000007630000}"/>
    <cellStyle name="Standard 4 4 2 2 2 4 2 2 4" xfId="25155" xr:uid="{00000000-0005-0000-0000-000008630000}"/>
    <cellStyle name="Standard 4 4 2 2 2 4 2 2 4 2" xfId="25156" xr:uid="{00000000-0005-0000-0000-000009630000}"/>
    <cellStyle name="Standard 4 4 2 2 2 4 2 2 5" xfId="25157" xr:uid="{00000000-0005-0000-0000-00000A630000}"/>
    <cellStyle name="Standard 4 4 2 2 2 4 2 2 6" xfId="25158" xr:uid="{00000000-0005-0000-0000-00000B630000}"/>
    <cellStyle name="Standard 4 4 2 2 2 4 2 3" xfId="25159" xr:uid="{00000000-0005-0000-0000-00000C630000}"/>
    <cellStyle name="Standard 4 4 2 2 2 4 2 3 2" xfId="25160" xr:uid="{00000000-0005-0000-0000-00000D630000}"/>
    <cellStyle name="Standard 4 4 2 2 2 4 2 3 3" xfId="25161" xr:uid="{00000000-0005-0000-0000-00000E630000}"/>
    <cellStyle name="Standard 4 4 2 2 2 4 2 4" xfId="25162" xr:uid="{00000000-0005-0000-0000-00000F630000}"/>
    <cellStyle name="Standard 4 4 2 2 2 4 2 4 2" xfId="25163" xr:uid="{00000000-0005-0000-0000-000010630000}"/>
    <cellStyle name="Standard 4 4 2 2 2 4 2 4 3" xfId="25164" xr:uid="{00000000-0005-0000-0000-000011630000}"/>
    <cellStyle name="Standard 4 4 2 2 2 4 2 5" xfId="25165" xr:uid="{00000000-0005-0000-0000-000012630000}"/>
    <cellStyle name="Standard 4 4 2 2 2 4 2 5 2" xfId="25166" xr:uid="{00000000-0005-0000-0000-000013630000}"/>
    <cellStyle name="Standard 4 4 2 2 2 4 2 6" xfId="25167" xr:uid="{00000000-0005-0000-0000-000014630000}"/>
    <cellStyle name="Standard 4 4 2 2 2 4 2 7" xfId="25168" xr:uid="{00000000-0005-0000-0000-000015630000}"/>
    <cellStyle name="Standard 4 4 2 2 2 4 3" xfId="25169" xr:uid="{00000000-0005-0000-0000-000016630000}"/>
    <cellStyle name="Standard 4 4 2 2 2 4 3 2" xfId="25170" xr:uid="{00000000-0005-0000-0000-000017630000}"/>
    <cellStyle name="Standard 4 4 2 2 2 4 3 2 2" xfId="25171" xr:uid="{00000000-0005-0000-0000-000018630000}"/>
    <cellStyle name="Standard 4 4 2 2 2 4 3 2 3" xfId="25172" xr:uid="{00000000-0005-0000-0000-000019630000}"/>
    <cellStyle name="Standard 4 4 2 2 2 4 3 3" xfId="25173" xr:uid="{00000000-0005-0000-0000-00001A630000}"/>
    <cellStyle name="Standard 4 4 2 2 2 4 3 3 2" xfId="25174" xr:uid="{00000000-0005-0000-0000-00001B630000}"/>
    <cellStyle name="Standard 4 4 2 2 2 4 3 3 3" xfId="25175" xr:uid="{00000000-0005-0000-0000-00001C630000}"/>
    <cellStyle name="Standard 4 4 2 2 2 4 3 4" xfId="25176" xr:uid="{00000000-0005-0000-0000-00001D630000}"/>
    <cellStyle name="Standard 4 4 2 2 2 4 3 4 2" xfId="25177" xr:uid="{00000000-0005-0000-0000-00001E630000}"/>
    <cellStyle name="Standard 4 4 2 2 2 4 3 5" xfId="25178" xr:uid="{00000000-0005-0000-0000-00001F630000}"/>
    <cellStyle name="Standard 4 4 2 2 2 4 3 6" xfId="25179" xr:uid="{00000000-0005-0000-0000-000020630000}"/>
    <cellStyle name="Standard 4 4 2 2 2 4 4" xfId="25180" xr:uid="{00000000-0005-0000-0000-000021630000}"/>
    <cellStyle name="Standard 4 4 2 2 2 4 4 2" xfId="25181" xr:uid="{00000000-0005-0000-0000-000022630000}"/>
    <cellStyle name="Standard 4 4 2 2 2 4 4 3" xfId="25182" xr:uid="{00000000-0005-0000-0000-000023630000}"/>
    <cellStyle name="Standard 4 4 2 2 2 4 5" xfId="25183" xr:uid="{00000000-0005-0000-0000-000024630000}"/>
    <cellStyle name="Standard 4 4 2 2 2 4 5 2" xfId="25184" xr:uid="{00000000-0005-0000-0000-000025630000}"/>
    <cellStyle name="Standard 4 4 2 2 2 4 5 3" xfId="25185" xr:uid="{00000000-0005-0000-0000-000026630000}"/>
    <cellStyle name="Standard 4 4 2 2 2 4 6" xfId="25186" xr:uid="{00000000-0005-0000-0000-000027630000}"/>
    <cellStyle name="Standard 4 4 2 2 2 4 6 2" xfId="25187" xr:uid="{00000000-0005-0000-0000-000028630000}"/>
    <cellStyle name="Standard 4 4 2 2 2 4 7" xfId="25188" xr:uid="{00000000-0005-0000-0000-000029630000}"/>
    <cellStyle name="Standard 4 4 2 2 2 4 8" xfId="25189" xr:uid="{00000000-0005-0000-0000-00002A630000}"/>
    <cellStyle name="Standard 4 4 2 2 2 5" xfId="25190" xr:uid="{00000000-0005-0000-0000-00002B630000}"/>
    <cellStyle name="Standard 4 4 2 2 2 5 2" xfId="25191" xr:uid="{00000000-0005-0000-0000-00002C630000}"/>
    <cellStyle name="Standard 4 4 2 2 2 5 2 2" xfId="25192" xr:uid="{00000000-0005-0000-0000-00002D630000}"/>
    <cellStyle name="Standard 4 4 2 2 2 5 2 2 2" xfId="25193" xr:uid="{00000000-0005-0000-0000-00002E630000}"/>
    <cellStyle name="Standard 4 4 2 2 2 5 2 2 3" xfId="25194" xr:uid="{00000000-0005-0000-0000-00002F630000}"/>
    <cellStyle name="Standard 4 4 2 2 2 5 2 3" xfId="25195" xr:uid="{00000000-0005-0000-0000-000030630000}"/>
    <cellStyle name="Standard 4 4 2 2 2 5 2 3 2" xfId="25196" xr:uid="{00000000-0005-0000-0000-000031630000}"/>
    <cellStyle name="Standard 4 4 2 2 2 5 2 3 3" xfId="25197" xr:uid="{00000000-0005-0000-0000-000032630000}"/>
    <cellStyle name="Standard 4 4 2 2 2 5 2 4" xfId="25198" xr:uid="{00000000-0005-0000-0000-000033630000}"/>
    <cellStyle name="Standard 4 4 2 2 2 5 2 4 2" xfId="25199" xr:uid="{00000000-0005-0000-0000-000034630000}"/>
    <cellStyle name="Standard 4 4 2 2 2 5 2 5" xfId="25200" xr:uid="{00000000-0005-0000-0000-000035630000}"/>
    <cellStyle name="Standard 4 4 2 2 2 5 2 6" xfId="25201" xr:uid="{00000000-0005-0000-0000-000036630000}"/>
    <cellStyle name="Standard 4 4 2 2 2 5 3" xfId="25202" xr:uid="{00000000-0005-0000-0000-000037630000}"/>
    <cellStyle name="Standard 4 4 2 2 2 5 3 2" xfId="25203" xr:uid="{00000000-0005-0000-0000-000038630000}"/>
    <cellStyle name="Standard 4 4 2 2 2 5 3 3" xfId="25204" xr:uid="{00000000-0005-0000-0000-000039630000}"/>
    <cellStyle name="Standard 4 4 2 2 2 5 4" xfId="25205" xr:uid="{00000000-0005-0000-0000-00003A630000}"/>
    <cellStyle name="Standard 4 4 2 2 2 5 4 2" xfId="25206" xr:uid="{00000000-0005-0000-0000-00003B630000}"/>
    <cellStyle name="Standard 4 4 2 2 2 5 4 3" xfId="25207" xr:uid="{00000000-0005-0000-0000-00003C630000}"/>
    <cellStyle name="Standard 4 4 2 2 2 5 5" xfId="25208" xr:uid="{00000000-0005-0000-0000-00003D630000}"/>
    <cellStyle name="Standard 4 4 2 2 2 5 5 2" xfId="25209" xr:uid="{00000000-0005-0000-0000-00003E630000}"/>
    <cellStyle name="Standard 4 4 2 2 2 5 6" xfId="25210" xr:uid="{00000000-0005-0000-0000-00003F630000}"/>
    <cellStyle name="Standard 4 4 2 2 2 5 7" xfId="25211" xr:uid="{00000000-0005-0000-0000-000040630000}"/>
    <cellStyle name="Standard 4 4 2 2 2 6" xfId="25212" xr:uid="{00000000-0005-0000-0000-000041630000}"/>
    <cellStyle name="Standard 4 4 2 2 2 6 2" xfId="25213" xr:uid="{00000000-0005-0000-0000-000042630000}"/>
    <cellStyle name="Standard 4 4 2 2 2 6 2 2" xfId="25214" xr:uid="{00000000-0005-0000-0000-000043630000}"/>
    <cellStyle name="Standard 4 4 2 2 2 6 2 3" xfId="25215" xr:uid="{00000000-0005-0000-0000-000044630000}"/>
    <cellStyle name="Standard 4 4 2 2 2 6 3" xfId="25216" xr:uid="{00000000-0005-0000-0000-000045630000}"/>
    <cellStyle name="Standard 4 4 2 2 2 6 3 2" xfId="25217" xr:uid="{00000000-0005-0000-0000-000046630000}"/>
    <cellStyle name="Standard 4 4 2 2 2 6 3 3" xfId="25218" xr:uid="{00000000-0005-0000-0000-000047630000}"/>
    <cellStyle name="Standard 4 4 2 2 2 6 4" xfId="25219" xr:uid="{00000000-0005-0000-0000-000048630000}"/>
    <cellStyle name="Standard 4 4 2 2 2 6 4 2" xfId="25220" xr:uid="{00000000-0005-0000-0000-000049630000}"/>
    <cellStyle name="Standard 4 4 2 2 2 6 5" xfId="25221" xr:uid="{00000000-0005-0000-0000-00004A630000}"/>
    <cellStyle name="Standard 4 4 2 2 2 6 6" xfId="25222" xr:uid="{00000000-0005-0000-0000-00004B630000}"/>
    <cellStyle name="Standard 4 4 2 2 2 7" xfId="25223" xr:uid="{00000000-0005-0000-0000-00004C630000}"/>
    <cellStyle name="Standard 4 4 2 2 2 7 2" xfId="25224" xr:uid="{00000000-0005-0000-0000-00004D630000}"/>
    <cellStyle name="Standard 4 4 2 2 2 7 3" xfId="25225" xr:uid="{00000000-0005-0000-0000-00004E630000}"/>
    <cellStyle name="Standard 4 4 2 2 2 8" xfId="25226" xr:uid="{00000000-0005-0000-0000-00004F630000}"/>
    <cellStyle name="Standard 4 4 2 2 2 8 2" xfId="25227" xr:uid="{00000000-0005-0000-0000-000050630000}"/>
    <cellStyle name="Standard 4 4 2 2 2 8 3" xfId="25228" xr:uid="{00000000-0005-0000-0000-000051630000}"/>
    <cellStyle name="Standard 4 4 2 2 2 9" xfId="25229" xr:uid="{00000000-0005-0000-0000-000052630000}"/>
    <cellStyle name="Standard 4 4 2 2 2 9 2" xfId="25230" xr:uid="{00000000-0005-0000-0000-000053630000}"/>
    <cellStyle name="Standard 4 4 2 2 3" xfId="25231" xr:uid="{00000000-0005-0000-0000-000054630000}"/>
    <cellStyle name="Standard 4 4 2 2 3 10" xfId="25232" xr:uid="{00000000-0005-0000-0000-000055630000}"/>
    <cellStyle name="Standard 4 4 2 2 3 2" xfId="25233" xr:uid="{00000000-0005-0000-0000-000056630000}"/>
    <cellStyle name="Standard 4 4 2 2 3 2 2" xfId="25234" xr:uid="{00000000-0005-0000-0000-000057630000}"/>
    <cellStyle name="Standard 4 4 2 2 3 2 2 2" xfId="25235" xr:uid="{00000000-0005-0000-0000-000058630000}"/>
    <cellStyle name="Standard 4 4 2 2 3 2 2 2 2" xfId="25236" xr:uid="{00000000-0005-0000-0000-000059630000}"/>
    <cellStyle name="Standard 4 4 2 2 3 2 2 2 2 2" xfId="25237" xr:uid="{00000000-0005-0000-0000-00005A630000}"/>
    <cellStyle name="Standard 4 4 2 2 3 2 2 2 2 3" xfId="25238" xr:uid="{00000000-0005-0000-0000-00005B630000}"/>
    <cellStyle name="Standard 4 4 2 2 3 2 2 2 3" xfId="25239" xr:uid="{00000000-0005-0000-0000-00005C630000}"/>
    <cellStyle name="Standard 4 4 2 2 3 2 2 2 3 2" xfId="25240" xr:uid="{00000000-0005-0000-0000-00005D630000}"/>
    <cellStyle name="Standard 4 4 2 2 3 2 2 2 3 3" xfId="25241" xr:uid="{00000000-0005-0000-0000-00005E630000}"/>
    <cellStyle name="Standard 4 4 2 2 3 2 2 2 4" xfId="25242" xr:uid="{00000000-0005-0000-0000-00005F630000}"/>
    <cellStyle name="Standard 4 4 2 2 3 2 2 2 4 2" xfId="25243" xr:uid="{00000000-0005-0000-0000-000060630000}"/>
    <cellStyle name="Standard 4 4 2 2 3 2 2 2 5" xfId="25244" xr:uid="{00000000-0005-0000-0000-000061630000}"/>
    <cellStyle name="Standard 4 4 2 2 3 2 2 2 6" xfId="25245" xr:uid="{00000000-0005-0000-0000-000062630000}"/>
    <cellStyle name="Standard 4 4 2 2 3 2 2 3" xfId="25246" xr:uid="{00000000-0005-0000-0000-000063630000}"/>
    <cellStyle name="Standard 4 4 2 2 3 2 2 3 2" xfId="25247" xr:uid="{00000000-0005-0000-0000-000064630000}"/>
    <cellStyle name="Standard 4 4 2 2 3 2 2 3 3" xfId="25248" xr:uid="{00000000-0005-0000-0000-000065630000}"/>
    <cellStyle name="Standard 4 4 2 2 3 2 2 4" xfId="25249" xr:uid="{00000000-0005-0000-0000-000066630000}"/>
    <cellStyle name="Standard 4 4 2 2 3 2 2 4 2" xfId="25250" xr:uid="{00000000-0005-0000-0000-000067630000}"/>
    <cellStyle name="Standard 4 4 2 2 3 2 2 4 3" xfId="25251" xr:uid="{00000000-0005-0000-0000-000068630000}"/>
    <cellStyle name="Standard 4 4 2 2 3 2 2 5" xfId="25252" xr:uid="{00000000-0005-0000-0000-000069630000}"/>
    <cellStyle name="Standard 4 4 2 2 3 2 2 5 2" xfId="25253" xr:uid="{00000000-0005-0000-0000-00006A630000}"/>
    <cellStyle name="Standard 4 4 2 2 3 2 2 6" xfId="25254" xr:uid="{00000000-0005-0000-0000-00006B630000}"/>
    <cellStyle name="Standard 4 4 2 2 3 2 2 7" xfId="25255" xr:uid="{00000000-0005-0000-0000-00006C630000}"/>
    <cellStyle name="Standard 4 4 2 2 3 2 3" xfId="25256" xr:uid="{00000000-0005-0000-0000-00006D630000}"/>
    <cellStyle name="Standard 4 4 2 2 3 2 3 2" xfId="25257" xr:uid="{00000000-0005-0000-0000-00006E630000}"/>
    <cellStyle name="Standard 4 4 2 2 3 2 3 2 2" xfId="25258" xr:uid="{00000000-0005-0000-0000-00006F630000}"/>
    <cellStyle name="Standard 4 4 2 2 3 2 3 2 3" xfId="25259" xr:uid="{00000000-0005-0000-0000-000070630000}"/>
    <cellStyle name="Standard 4 4 2 2 3 2 3 3" xfId="25260" xr:uid="{00000000-0005-0000-0000-000071630000}"/>
    <cellStyle name="Standard 4 4 2 2 3 2 3 3 2" xfId="25261" xr:uid="{00000000-0005-0000-0000-000072630000}"/>
    <cellStyle name="Standard 4 4 2 2 3 2 3 3 3" xfId="25262" xr:uid="{00000000-0005-0000-0000-000073630000}"/>
    <cellStyle name="Standard 4 4 2 2 3 2 3 4" xfId="25263" xr:uid="{00000000-0005-0000-0000-000074630000}"/>
    <cellStyle name="Standard 4 4 2 2 3 2 3 4 2" xfId="25264" xr:uid="{00000000-0005-0000-0000-000075630000}"/>
    <cellStyle name="Standard 4 4 2 2 3 2 3 5" xfId="25265" xr:uid="{00000000-0005-0000-0000-000076630000}"/>
    <cellStyle name="Standard 4 4 2 2 3 2 3 6" xfId="25266" xr:uid="{00000000-0005-0000-0000-000077630000}"/>
    <cellStyle name="Standard 4 4 2 2 3 2 4" xfId="25267" xr:uid="{00000000-0005-0000-0000-000078630000}"/>
    <cellStyle name="Standard 4 4 2 2 3 2 4 2" xfId="25268" xr:uid="{00000000-0005-0000-0000-000079630000}"/>
    <cellStyle name="Standard 4 4 2 2 3 2 4 3" xfId="25269" xr:uid="{00000000-0005-0000-0000-00007A630000}"/>
    <cellStyle name="Standard 4 4 2 2 3 2 5" xfId="25270" xr:uid="{00000000-0005-0000-0000-00007B630000}"/>
    <cellStyle name="Standard 4 4 2 2 3 2 5 2" xfId="25271" xr:uid="{00000000-0005-0000-0000-00007C630000}"/>
    <cellStyle name="Standard 4 4 2 2 3 2 5 3" xfId="25272" xr:uid="{00000000-0005-0000-0000-00007D630000}"/>
    <cellStyle name="Standard 4 4 2 2 3 2 6" xfId="25273" xr:uid="{00000000-0005-0000-0000-00007E630000}"/>
    <cellStyle name="Standard 4 4 2 2 3 2 6 2" xfId="25274" xr:uid="{00000000-0005-0000-0000-00007F630000}"/>
    <cellStyle name="Standard 4 4 2 2 3 2 7" xfId="25275" xr:uid="{00000000-0005-0000-0000-000080630000}"/>
    <cellStyle name="Standard 4 4 2 2 3 2 8" xfId="25276" xr:uid="{00000000-0005-0000-0000-000081630000}"/>
    <cellStyle name="Standard 4 4 2 2 3 3" xfId="25277" xr:uid="{00000000-0005-0000-0000-000082630000}"/>
    <cellStyle name="Standard 4 4 2 2 3 3 2" xfId="25278" xr:uid="{00000000-0005-0000-0000-000083630000}"/>
    <cellStyle name="Standard 4 4 2 2 3 3 2 2" xfId="25279" xr:uid="{00000000-0005-0000-0000-000084630000}"/>
    <cellStyle name="Standard 4 4 2 2 3 3 2 2 2" xfId="25280" xr:uid="{00000000-0005-0000-0000-000085630000}"/>
    <cellStyle name="Standard 4 4 2 2 3 3 2 2 2 2" xfId="25281" xr:uid="{00000000-0005-0000-0000-000086630000}"/>
    <cellStyle name="Standard 4 4 2 2 3 3 2 2 2 3" xfId="25282" xr:uid="{00000000-0005-0000-0000-000087630000}"/>
    <cellStyle name="Standard 4 4 2 2 3 3 2 2 3" xfId="25283" xr:uid="{00000000-0005-0000-0000-000088630000}"/>
    <cellStyle name="Standard 4 4 2 2 3 3 2 2 3 2" xfId="25284" xr:uid="{00000000-0005-0000-0000-000089630000}"/>
    <cellStyle name="Standard 4 4 2 2 3 3 2 2 3 3" xfId="25285" xr:uid="{00000000-0005-0000-0000-00008A630000}"/>
    <cellStyle name="Standard 4 4 2 2 3 3 2 2 4" xfId="25286" xr:uid="{00000000-0005-0000-0000-00008B630000}"/>
    <cellStyle name="Standard 4 4 2 2 3 3 2 2 4 2" xfId="25287" xr:uid="{00000000-0005-0000-0000-00008C630000}"/>
    <cellStyle name="Standard 4 4 2 2 3 3 2 2 5" xfId="25288" xr:uid="{00000000-0005-0000-0000-00008D630000}"/>
    <cellStyle name="Standard 4 4 2 2 3 3 2 2 6" xfId="25289" xr:uid="{00000000-0005-0000-0000-00008E630000}"/>
    <cellStyle name="Standard 4 4 2 2 3 3 2 3" xfId="25290" xr:uid="{00000000-0005-0000-0000-00008F630000}"/>
    <cellStyle name="Standard 4 4 2 2 3 3 2 3 2" xfId="25291" xr:uid="{00000000-0005-0000-0000-000090630000}"/>
    <cellStyle name="Standard 4 4 2 2 3 3 2 3 3" xfId="25292" xr:uid="{00000000-0005-0000-0000-000091630000}"/>
    <cellStyle name="Standard 4 4 2 2 3 3 2 4" xfId="25293" xr:uid="{00000000-0005-0000-0000-000092630000}"/>
    <cellStyle name="Standard 4 4 2 2 3 3 2 4 2" xfId="25294" xr:uid="{00000000-0005-0000-0000-000093630000}"/>
    <cellStyle name="Standard 4 4 2 2 3 3 2 4 3" xfId="25295" xr:uid="{00000000-0005-0000-0000-000094630000}"/>
    <cellStyle name="Standard 4 4 2 2 3 3 2 5" xfId="25296" xr:uid="{00000000-0005-0000-0000-000095630000}"/>
    <cellStyle name="Standard 4 4 2 2 3 3 2 5 2" xfId="25297" xr:uid="{00000000-0005-0000-0000-000096630000}"/>
    <cellStyle name="Standard 4 4 2 2 3 3 2 6" xfId="25298" xr:uid="{00000000-0005-0000-0000-000097630000}"/>
    <cellStyle name="Standard 4 4 2 2 3 3 2 7" xfId="25299" xr:uid="{00000000-0005-0000-0000-000098630000}"/>
    <cellStyle name="Standard 4 4 2 2 3 3 3" xfId="25300" xr:uid="{00000000-0005-0000-0000-000099630000}"/>
    <cellStyle name="Standard 4 4 2 2 3 3 3 2" xfId="25301" xr:uid="{00000000-0005-0000-0000-00009A630000}"/>
    <cellStyle name="Standard 4 4 2 2 3 3 3 2 2" xfId="25302" xr:uid="{00000000-0005-0000-0000-00009B630000}"/>
    <cellStyle name="Standard 4 4 2 2 3 3 3 2 3" xfId="25303" xr:uid="{00000000-0005-0000-0000-00009C630000}"/>
    <cellStyle name="Standard 4 4 2 2 3 3 3 3" xfId="25304" xr:uid="{00000000-0005-0000-0000-00009D630000}"/>
    <cellStyle name="Standard 4 4 2 2 3 3 3 3 2" xfId="25305" xr:uid="{00000000-0005-0000-0000-00009E630000}"/>
    <cellStyle name="Standard 4 4 2 2 3 3 3 3 3" xfId="25306" xr:uid="{00000000-0005-0000-0000-00009F630000}"/>
    <cellStyle name="Standard 4 4 2 2 3 3 3 4" xfId="25307" xr:uid="{00000000-0005-0000-0000-0000A0630000}"/>
    <cellStyle name="Standard 4 4 2 2 3 3 3 4 2" xfId="25308" xr:uid="{00000000-0005-0000-0000-0000A1630000}"/>
    <cellStyle name="Standard 4 4 2 2 3 3 3 5" xfId="25309" xr:uid="{00000000-0005-0000-0000-0000A2630000}"/>
    <cellStyle name="Standard 4 4 2 2 3 3 3 6" xfId="25310" xr:uid="{00000000-0005-0000-0000-0000A3630000}"/>
    <cellStyle name="Standard 4 4 2 2 3 3 4" xfId="25311" xr:uid="{00000000-0005-0000-0000-0000A4630000}"/>
    <cellStyle name="Standard 4 4 2 2 3 3 4 2" xfId="25312" xr:uid="{00000000-0005-0000-0000-0000A5630000}"/>
    <cellStyle name="Standard 4 4 2 2 3 3 4 3" xfId="25313" xr:uid="{00000000-0005-0000-0000-0000A6630000}"/>
    <cellStyle name="Standard 4 4 2 2 3 3 5" xfId="25314" xr:uid="{00000000-0005-0000-0000-0000A7630000}"/>
    <cellStyle name="Standard 4 4 2 2 3 3 5 2" xfId="25315" xr:uid="{00000000-0005-0000-0000-0000A8630000}"/>
    <cellStyle name="Standard 4 4 2 2 3 3 5 3" xfId="25316" xr:uid="{00000000-0005-0000-0000-0000A9630000}"/>
    <cellStyle name="Standard 4 4 2 2 3 3 6" xfId="25317" xr:uid="{00000000-0005-0000-0000-0000AA630000}"/>
    <cellStyle name="Standard 4 4 2 2 3 3 6 2" xfId="25318" xr:uid="{00000000-0005-0000-0000-0000AB630000}"/>
    <cellStyle name="Standard 4 4 2 2 3 3 7" xfId="25319" xr:uid="{00000000-0005-0000-0000-0000AC630000}"/>
    <cellStyle name="Standard 4 4 2 2 3 3 8" xfId="25320" xr:uid="{00000000-0005-0000-0000-0000AD630000}"/>
    <cellStyle name="Standard 4 4 2 2 3 4" xfId="25321" xr:uid="{00000000-0005-0000-0000-0000AE630000}"/>
    <cellStyle name="Standard 4 4 2 2 3 4 2" xfId="25322" xr:uid="{00000000-0005-0000-0000-0000AF630000}"/>
    <cellStyle name="Standard 4 4 2 2 3 4 2 2" xfId="25323" xr:uid="{00000000-0005-0000-0000-0000B0630000}"/>
    <cellStyle name="Standard 4 4 2 2 3 4 2 2 2" xfId="25324" xr:uid="{00000000-0005-0000-0000-0000B1630000}"/>
    <cellStyle name="Standard 4 4 2 2 3 4 2 2 3" xfId="25325" xr:uid="{00000000-0005-0000-0000-0000B2630000}"/>
    <cellStyle name="Standard 4 4 2 2 3 4 2 3" xfId="25326" xr:uid="{00000000-0005-0000-0000-0000B3630000}"/>
    <cellStyle name="Standard 4 4 2 2 3 4 2 3 2" xfId="25327" xr:uid="{00000000-0005-0000-0000-0000B4630000}"/>
    <cellStyle name="Standard 4 4 2 2 3 4 2 3 3" xfId="25328" xr:uid="{00000000-0005-0000-0000-0000B5630000}"/>
    <cellStyle name="Standard 4 4 2 2 3 4 2 4" xfId="25329" xr:uid="{00000000-0005-0000-0000-0000B6630000}"/>
    <cellStyle name="Standard 4 4 2 2 3 4 2 4 2" xfId="25330" xr:uid="{00000000-0005-0000-0000-0000B7630000}"/>
    <cellStyle name="Standard 4 4 2 2 3 4 2 5" xfId="25331" xr:uid="{00000000-0005-0000-0000-0000B8630000}"/>
    <cellStyle name="Standard 4 4 2 2 3 4 2 6" xfId="25332" xr:uid="{00000000-0005-0000-0000-0000B9630000}"/>
    <cellStyle name="Standard 4 4 2 2 3 4 3" xfId="25333" xr:uid="{00000000-0005-0000-0000-0000BA630000}"/>
    <cellStyle name="Standard 4 4 2 2 3 4 3 2" xfId="25334" xr:uid="{00000000-0005-0000-0000-0000BB630000}"/>
    <cellStyle name="Standard 4 4 2 2 3 4 3 3" xfId="25335" xr:uid="{00000000-0005-0000-0000-0000BC630000}"/>
    <cellStyle name="Standard 4 4 2 2 3 4 4" xfId="25336" xr:uid="{00000000-0005-0000-0000-0000BD630000}"/>
    <cellStyle name="Standard 4 4 2 2 3 4 4 2" xfId="25337" xr:uid="{00000000-0005-0000-0000-0000BE630000}"/>
    <cellStyle name="Standard 4 4 2 2 3 4 4 3" xfId="25338" xr:uid="{00000000-0005-0000-0000-0000BF630000}"/>
    <cellStyle name="Standard 4 4 2 2 3 4 5" xfId="25339" xr:uid="{00000000-0005-0000-0000-0000C0630000}"/>
    <cellStyle name="Standard 4 4 2 2 3 4 5 2" xfId="25340" xr:uid="{00000000-0005-0000-0000-0000C1630000}"/>
    <cellStyle name="Standard 4 4 2 2 3 4 6" xfId="25341" xr:uid="{00000000-0005-0000-0000-0000C2630000}"/>
    <cellStyle name="Standard 4 4 2 2 3 4 7" xfId="25342" xr:uid="{00000000-0005-0000-0000-0000C3630000}"/>
    <cellStyle name="Standard 4 4 2 2 3 5" xfId="25343" xr:uid="{00000000-0005-0000-0000-0000C4630000}"/>
    <cellStyle name="Standard 4 4 2 2 3 5 2" xfId="25344" xr:uid="{00000000-0005-0000-0000-0000C5630000}"/>
    <cellStyle name="Standard 4 4 2 2 3 5 2 2" xfId="25345" xr:uid="{00000000-0005-0000-0000-0000C6630000}"/>
    <cellStyle name="Standard 4 4 2 2 3 5 2 3" xfId="25346" xr:uid="{00000000-0005-0000-0000-0000C7630000}"/>
    <cellStyle name="Standard 4 4 2 2 3 5 3" xfId="25347" xr:uid="{00000000-0005-0000-0000-0000C8630000}"/>
    <cellStyle name="Standard 4 4 2 2 3 5 3 2" xfId="25348" xr:uid="{00000000-0005-0000-0000-0000C9630000}"/>
    <cellStyle name="Standard 4 4 2 2 3 5 3 3" xfId="25349" xr:uid="{00000000-0005-0000-0000-0000CA630000}"/>
    <cellStyle name="Standard 4 4 2 2 3 5 4" xfId="25350" xr:uid="{00000000-0005-0000-0000-0000CB630000}"/>
    <cellStyle name="Standard 4 4 2 2 3 5 4 2" xfId="25351" xr:uid="{00000000-0005-0000-0000-0000CC630000}"/>
    <cellStyle name="Standard 4 4 2 2 3 5 5" xfId="25352" xr:uid="{00000000-0005-0000-0000-0000CD630000}"/>
    <cellStyle name="Standard 4 4 2 2 3 5 6" xfId="25353" xr:uid="{00000000-0005-0000-0000-0000CE630000}"/>
    <cellStyle name="Standard 4 4 2 2 3 6" xfId="25354" xr:uid="{00000000-0005-0000-0000-0000CF630000}"/>
    <cellStyle name="Standard 4 4 2 2 3 6 2" xfId="25355" xr:uid="{00000000-0005-0000-0000-0000D0630000}"/>
    <cellStyle name="Standard 4 4 2 2 3 6 3" xfId="25356" xr:uid="{00000000-0005-0000-0000-0000D1630000}"/>
    <cellStyle name="Standard 4 4 2 2 3 7" xfId="25357" xr:uid="{00000000-0005-0000-0000-0000D2630000}"/>
    <cellStyle name="Standard 4 4 2 2 3 7 2" xfId="25358" xr:uid="{00000000-0005-0000-0000-0000D3630000}"/>
    <cellStyle name="Standard 4 4 2 2 3 7 3" xfId="25359" xr:uid="{00000000-0005-0000-0000-0000D4630000}"/>
    <cellStyle name="Standard 4 4 2 2 3 8" xfId="25360" xr:uid="{00000000-0005-0000-0000-0000D5630000}"/>
    <cellStyle name="Standard 4 4 2 2 3 8 2" xfId="25361" xr:uid="{00000000-0005-0000-0000-0000D6630000}"/>
    <cellStyle name="Standard 4 4 2 2 3 9" xfId="25362" xr:uid="{00000000-0005-0000-0000-0000D7630000}"/>
    <cellStyle name="Standard 4 4 2 2 4" xfId="25363" xr:uid="{00000000-0005-0000-0000-0000D8630000}"/>
    <cellStyle name="Standard 4 4 2 2 4 2" xfId="25364" xr:uid="{00000000-0005-0000-0000-0000D9630000}"/>
    <cellStyle name="Standard 4 4 2 2 4 2 2" xfId="25365" xr:uid="{00000000-0005-0000-0000-0000DA630000}"/>
    <cellStyle name="Standard 4 4 2 2 4 2 2 2" xfId="25366" xr:uid="{00000000-0005-0000-0000-0000DB630000}"/>
    <cellStyle name="Standard 4 4 2 2 4 2 2 2 2" xfId="25367" xr:uid="{00000000-0005-0000-0000-0000DC630000}"/>
    <cellStyle name="Standard 4 4 2 2 4 2 2 2 3" xfId="25368" xr:uid="{00000000-0005-0000-0000-0000DD630000}"/>
    <cellStyle name="Standard 4 4 2 2 4 2 2 3" xfId="25369" xr:uid="{00000000-0005-0000-0000-0000DE630000}"/>
    <cellStyle name="Standard 4 4 2 2 4 2 2 3 2" xfId="25370" xr:uid="{00000000-0005-0000-0000-0000DF630000}"/>
    <cellStyle name="Standard 4 4 2 2 4 2 2 3 3" xfId="25371" xr:uid="{00000000-0005-0000-0000-0000E0630000}"/>
    <cellStyle name="Standard 4 4 2 2 4 2 2 4" xfId="25372" xr:uid="{00000000-0005-0000-0000-0000E1630000}"/>
    <cellStyle name="Standard 4 4 2 2 4 2 2 4 2" xfId="25373" xr:uid="{00000000-0005-0000-0000-0000E2630000}"/>
    <cellStyle name="Standard 4 4 2 2 4 2 2 5" xfId="25374" xr:uid="{00000000-0005-0000-0000-0000E3630000}"/>
    <cellStyle name="Standard 4 4 2 2 4 2 2 6" xfId="25375" xr:uid="{00000000-0005-0000-0000-0000E4630000}"/>
    <cellStyle name="Standard 4 4 2 2 4 2 3" xfId="25376" xr:uid="{00000000-0005-0000-0000-0000E5630000}"/>
    <cellStyle name="Standard 4 4 2 2 4 2 3 2" xfId="25377" xr:uid="{00000000-0005-0000-0000-0000E6630000}"/>
    <cellStyle name="Standard 4 4 2 2 4 2 3 3" xfId="25378" xr:uid="{00000000-0005-0000-0000-0000E7630000}"/>
    <cellStyle name="Standard 4 4 2 2 4 2 4" xfId="25379" xr:uid="{00000000-0005-0000-0000-0000E8630000}"/>
    <cellStyle name="Standard 4 4 2 2 4 2 4 2" xfId="25380" xr:uid="{00000000-0005-0000-0000-0000E9630000}"/>
    <cellStyle name="Standard 4 4 2 2 4 2 4 3" xfId="25381" xr:uid="{00000000-0005-0000-0000-0000EA630000}"/>
    <cellStyle name="Standard 4 4 2 2 4 2 5" xfId="25382" xr:uid="{00000000-0005-0000-0000-0000EB630000}"/>
    <cellStyle name="Standard 4 4 2 2 4 2 5 2" xfId="25383" xr:uid="{00000000-0005-0000-0000-0000EC630000}"/>
    <cellStyle name="Standard 4 4 2 2 4 2 6" xfId="25384" xr:uid="{00000000-0005-0000-0000-0000ED630000}"/>
    <cellStyle name="Standard 4 4 2 2 4 2 7" xfId="25385" xr:uid="{00000000-0005-0000-0000-0000EE630000}"/>
    <cellStyle name="Standard 4 4 2 2 4 3" xfId="25386" xr:uid="{00000000-0005-0000-0000-0000EF630000}"/>
    <cellStyle name="Standard 4 4 2 2 4 3 2" xfId="25387" xr:uid="{00000000-0005-0000-0000-0000F0630000}"/>
    <cellStyle name="Standard 4 4 2 2 4 3 2 2" xfId="25388" xr:uid="{00000000-0005-0000-0000-0000F1630000}"/>
    <cellStyle name="Standard 4 4 2 2 4 3 2 3" xfId="25389" xr:uid="{00000000-0005-0000-0000-0000F2630000}"/>
    <cellStyle name="Standard 4 4 2 2 4 3 3" xfId="25390" xr:uid="{00000000-0005-0000-0000-0000F3630000}"/>
    <cellStyle name="Standard 4 4 2 2 4 3 3 2" xfId="25391" xr:uid="{00000000-0005-0000-0000-0000F4630000}"/>
    <cellStyle name="Standard 4 4 2 2 4 3 3 3" xfId="25392" xr:uid="{00000000-0005-0000-0000-0000F5630000}"/>
    <cellStyle name="Standard 4 4 2 2 4 3 4" xfId="25393" xr:uid="{00000000-0005-0000-0000-0000F6630000}"/>
    <cellStyle name="Standard 4 4 2 2 4 3 4 2" xfId="25394" xr:uid="{00000000-0005-0000-0000-0000F7630000}"/>
    <cellStyle name="Standard 4 4 2 2 4 3 5" xfId="25395" xr:uid="{00000000-0005-0000-0000-0000F8630000}"/>
    <cellStyle name="Standard 4 4 2 2 4 3 6" xfId="25396" xr:uid="{00000000-0005-0000-0000-0000F9630000}"/>
    <cellStyle name="Standard 4 4 2 2 4 4" xfId="25397" xr:uid="{00000000-0005-0000-0000-0000FA630000}"/>
    <cellStyle name="Standard 4 4 2 2 4 4 2" xfId="25398" xr:uid="{00000000-0005-0000-0000-0000FB630000}"/>
    <cellStyle name="Standard 4 4 2 2 4 4 3" xfId="25399" xr:uid="{00000000-0005-0000-0000-0000FC630000}"/>
    <cellStyle name="Standard 4 4 2 2 4 5" xfId="25400" xr:uid="{00000000-0005-0000-0000-0000FD630000}"/>
    <cellStyle name="Standard 4 4 2 2 4 5 2" xfId="25401" xr:uid="{00000000-0005-0000-0000-0000FE630000}"/>
    <cellStyle name="Standard 4 4 2 2 4 5 3" xfId="25402" xr:uid="{00000000-0005-0000-0000-0000FF630000}"/>
    <cellStyle name="Standard 4 4 2 2 4 6" xfId="25403" xr:uid="{00000000-0005-0000-0000-000000640000}"/>
    <cellStyle name="Standard 4 4 2 2 4 6 2" xfId="25404" xr:uid="{00000000-0005-0000-0000-000001640000}"/>
    <cellStyle name="Standard 4 4 2 2 4 7" xfId="25405" xr:uid="{00000000-0005-0000-0000-000002640000}"/>
    <cellStyle name="Standard 4 4 2 2 4 8" xfId="25406" xr:uid="{00000000-0005-0000-0000-000003640000}"/>
    <cellStyle name="Standard 4 4 2 2 5" xfId="25407" xr:uid="{00000000-0005-0000-0000-000004640000}"/>
    <cellStyle name="Standard 4 4 2 2 5 2" xfId="25408" xr:uid="{00000000-0005-0000-0000-000005640000}"/>
    <cellStyle name="Standard 4 4 2 2 5 2 2" xfId="25409" xr:uid="{00000000-0005-0000-0000-000006640000}"/>
    <cellStyle name="Standard 4 4 2 2 5 2 2 2" xfId="25410" xr:uid="{00000000-0005-0000-0000-000007640000}"/>
    <cellStyle name="Standard 4 4 2 2 5 2 2 2 2" xfId="25411" xr:uid="{00000000-0005-0000-0000-000008640000}"/>
    <cellStyle name="Standard 4 4 2 2 5 2 2 2 3" xfId="25412" xr:uid="{00000000-0005-0000-0000-000009640000}"/>
    <cellStyle name="Standard 4 4 2 2 5 2 2 3" xfId="25413" xr:uid="{00000000-0005-0000-0000-00000A640000}"/>
    <cellStyle name="Standard 4 4 2 2 5 2 2 3 2" xfId="25414" xr:uid="{00000000-0005-0000-0000-00000B640000}"/>
    <cellStyle name="Standard 4 4 2 2 5 2 2 3 3" xfId="25415" xr:uid="{00000000-0005-0000-0000-00000C640000}"/>
    <cellStyle name="Standard 4 4 2 2 5 2 2 4" xfId="25416" xr:uid="{00000000-0005-0000-0000-00000D640000}"/>
    <cellStyle name="Standard 4 4 2 2 5 2 2 4 2" xfId="25417" xr:uid="{00000000-0005-0000-0000-00000E640000}"/>
    <cellStyle name="Standard 4 4 2 2 5 2 2 5" xfId="25418" xr:uid="{00000000-0005-0000-0000-00000F640000}"/>
    <cellStyle name="Standard 4 4 2 2 5 2 2 6" xfId="25419" xr:uid="{00000000-0005-0000-0000-000010640000}"/>
    <cellStyle name="Standard 4 4 2 2 5 2 3" xfId="25420" xr:uid="{00000000-0005-0000-0000-000011640000}"/>
    <cellStyle name="Standard 4 4 2 2 5 2 3 2" xfId="25421" xr:uid="{00000000-0005-0000-0000-000012640000}"/>
    <cellStyle name="Standard 4 4 2 2 5 2 3 3" xfId="25422" xr:uid="{00000000-0005-0000-0000-000013640000}"/>
    <cellStyle name="Standard 4 4 2 2 5 2 4" xfId="25423" xr:uid="{00000000-0005-0000-0000-000014640000}"/>
    <cellStyle name="Standard 4 4 2 2 5 2 4 2" xfId="25424" xr:uid="{00000000-0005-0000-0000-000015640000}"/>
    <cellStyle name="Standard 4 4 2 2 5 2 4 3" xfId="25425" xr:uid="{00000000-0005-0000-0000-000016640000}"/>
    <cellStyle name="Standard 4 4 2 2 5 2 5" xfId="25426" xr:uid="{00000000-0005-0000-0000-000017640000}"/>
    <cellStyle name="Standard 4 4 2 2 5 2 5 2" xfId="25427" xr:uid="{00000000-0005-0000-0000-000018640000}"/>
    <cellStyle name="Standard 4 4 2 2 5 2 6" xfId="25428" xr:uid="{00000000-0005-0000-0000-000019640000}"/>
    <cellStyle name="Standard 4 4 2 2 5 2 7" xfId="25429" xr:uid="{00000000-0005-0000-0000-00001A640000}"/>
    <cellStyle name="Standard 4 4 2 2 5 3" xfId="25430" xr:uid="{00000000-0005-0000-0000-00001B640000}"/>
    <cellStyle name="Standard 4 4 2 2 5 3 2" xfId="25431" xr:uid="{00000000-0005-0000-0000-00001C640000}"/>
    <cellStyle name="Standard 4 4 2 2 5 3 2 2" xfId="25432" xr:uid="{00000000-0005-0000-0000-00001D640000}"/>
    <cellStyle name="Standard 4 4 2 2 5 3 2 3" xfId="25433" xr:uid="{00000000-0005-0000-0000-00001E640000}"/>
    <cellStyle name="Standard 4 4 2 2 5 3 3" xfId="25434" xr:uid="{00000000-0005-0000-0000-00001F640000}"/>
    <cellStyle name="Standard 4 4 2 2 5 3 3 2" xfId="25435" xr:uid="{00000000-0005-0000-0000-000020640000}"/>
    <cellStyle name="Standard 4 4 2 2 5 3 3 3" xfId="25436" xr:uid="{00000000-0005-0000-0000-000021640000}"/>
    <cellStyle name="Standard 4 4 2 2 5 3 4" xfId="25437" xr:uid="{00000000-0005-0000-0000-000022640000}"/>
    <cellStyle name="Standard 4 4 2 2 5 3 4 2" xfId="25438" xr:uid="{00000000-0005-0000-0000-000023640000}"/>
    <cellStyle name="Standard 4 4 2 2 5 3 5" xfId="25439" xr:uid="{00000000-0005-0000-0000-000024640000}"/>
    <cellStyle name="Standard 4 4 2 2 5 3 6" xfId="25440" xr:uid="{00000000-0005-0000-0000-000025640000}"/>
    <cellStyle name="Standard 4 4 2 2 5 4" xfId="25441" xr:uid="{00000000-0005-0000-0000-000026640000}"/>
    <cellStyle name="Standard 4 4 2 2 5 4 2" xfId="25442" xr:uid="{00000000-0005-0000-0000-000027640000}"/>
    <cellStyle name="Standard 4 4 2 2 5 4 3" xfId="25443" xr:uid="{00000000-0005-0000-0000-000028640000}"/>
    <cellStyle name="Standard 4 4 2 2 5 5" xfId="25444" xr:uid="{00000000-0005-0000-0000-000029640000}"/>
    <cellStyle name="Standard 4 4 2 2 5 5 2" xfId="25445" xr:uid="{00000000-0005-0000-0000-00002A640000}"/>
    <cellStyle name="Standard 4 4 2 2 5 5 3" xfId="25446" xr:uid="{00000000-0005-0000-0000-00002B640000}"/>
    <cellStyle name="Standard 4 4 2 2 5 6" xfId="25447" xr:uid="{00000000-0005-0000-0000-00002C640000}"/>
    <cellStyle name="Standard 4 4 2 2 5 6 2" xfId="25448" xr:uid="{00000000-0005-0000-0000-00002D640000}"/>
    <cellStyle name="Standard 4 4 2 2 5 7" xfId="25449" xr:uid="{00000000-0005-0000-0000-00002E640000}"/>
    <cellStyle name="Standard 4 4 2 2 5 8" xfId="25450" xr:uid="{00000000-0005-0000-0000-00002F640000}"/>
    <cellStyle name="Standard 4 4 2 2 6" xfId="25451" xr:uid="{00000000-0005-0000-0000-000030640000}"/>
    <cellStyle name="Standard 4 4 2 2 6 2" xfId="25452" xr:uid="{00000000-0005-0000-0000-000031640000}"/>
    <cellStyle name="Standard 4 4 2 2 6 2 2" xfId="25453" xr:uid="{00000000-0005-0000-0000-000032640000}"/>
    <cellStyle name="Standard 4 4 2 2 6 2 2 2" xfId="25454" xr:uid="{00000000-0005-0000-0000-000033640000}"/>
    <cellStyle name="Standard 4 4 2 2 6 2 2 3" xfId="25455" xr:uid="{00000000-0005-0000-0000-000034640000}"/>
    <cellStyle name="Standard 4 4 2 2 6 2 3" xfId="25456" xr:uid="{00000000-0005-0000-0000-000035640000}"/>
    <cellStyle name="Standard 4 4 2 2 6 2 3 2" xfId="25457" xr:uid="{00000000-0005-0000-0000-000036640000}"/>
    <cellStyle name="Standard 4 4 2 2 6 2 3 3" xfId="25458" xr:uid="{00000000-0005-0000-0000-000037640000}"/>
    <cellStyle name="Standard 4 4 2 2 6 2 4" xfId="25459" xr:uid="{00000000-0005-0000-0000-000038640000}"/>
    <cellStyle name="Standard 4 4 2 2 6 2 4 2" xfId="25460" xr:uid="{00000000-0005-0000-0000-000039640000}"/>
    <cellStyle name="Standard 4 4 2 2 6 2 5" xfId="25461" xr:uid="{00000000-0005-0000-0000-00003A640000}"/>
    <cellStyle name="Standard 4 4 2 2 6 2 6" xfId="25462" xr:uid="{00000000-0005-0000-0000-00003B640000}"/>
    <cellStyle name="Standard 4 4 2 2 6 3" xfId="25463" xr:uid="{00000000-0005-0000-0000-00003C640000}"/>
    <cellStyle name="Standard 4 4 2 2 6 3 2" xfId="25464" xr:uid="{00000000-0005-0000-0000-00003D640000}"/>
    <cellStyle name="Standard 4 4 2 2 6 3 3" xfId="25465" xr:uid="{00000000-0005-0000-0000-00003E640000}"/>
    <cellStyle name="Standard 4 4 2 2 6 4" xfId="25466" xr:uid="{00000000-0005-0000-0000-00003F640000}"/>
    <cellStyle name="Standard 4 4 2 2 6 4 2" xfId="25467" xr:uid="{00000000-0005-0000-0000-000040640000}"/>
    <cellStyle name="Standard 4 4 2 2 6 4 3" xfId="25468" xr:uid="{00000000-0005-0000-0000-000041640000}"/>
    <cellStyle name="Standard 4 4 2 2 6 5" xfId="25469" xr:uid="{00000000-0005-0000-0000-000042640000}"/>
    <cellStyle name="Standard 4 4 2 2 6 5 2" xfId="25470" xr:uid="{00000000-0005-0000-0000-000043640000}"/>
    <cellStyle name="Standard 4 4 2 2 6 6" xfId="25471" xr:uid="{00000000-0005-0000-0000-000044640000}"/>
    <cellStyle name="Standard 4 4 2 2 6 7" xfId="25472" xr:uid="{00000000-0005-0000-0000-000045640000}"/>
    <cellStyle name="Standard 4 4 2 2 7" xfId="25473" xr:uid="{00000000-0005-0000-0000-000046640000}"/>
    <cellStyle name="Standard 4 4 2 2 7 2" xfId="25474" xr:uid="{00000000-0005-0000-0000-000047640000}"/>
    <cellStyle name="Standard 4 4 2 2 7 2 2" xfId="25475" xr:uid="{00000000-0005-0000-0000-000048640000}"/>
    <cellStyle name="Standard 4 4 2 2 7 2 3" xfId="25476" xr:uid="{00000000-0005-0000-0000-000049640000}"/>
    <cellStyle name="Standard 4 4 2 2 7 3" xfId="25477" xr:uid="{00000000-0005-0000-0000-00004A640000}"/>
    <cellStyle name="Standard 4 4 2 2 7 3 2" xfId="25478" xr:uid="{00000000-0005-0000-0000-00004B640000}"/>
    <cellStyle name="Standard 4 4 2 2 7 3 3" xfId="25479" xr:uid="{00000000-0005-0000-0000-00004C640000}"/>
    <cellStyle name="Standard 4 4 2 2 7 4" xfId="25480" xr:uid="{00000000-0005-0000-0000-00004D640000}"/>
    <cellStyle name="Standard 4 4 2 2 7 4 2" xfId="25481" xr:uid="{00000000-0005-0000-0000-00004E640000}"/>
    <cellStyle name="Standard 4 4 2 2 7 5" xfId="25482" xr:uid="{00000000-0005-0000-0000-00004F640000}"/>
    <cellStyle name="Standard 4 4 2 2 7 6" xfId="25483" xr:uid="{00000000-0005-0000-0000-000050640000}"/>
    <cellStyle name="Standard 4 4 2 2 8" xfId="25484" xr:uid="{00000000-0005-0000-0000-000051640000}"/>
    <cellStyle name="Standard 4 4 2 2 8 2" xfId="25485" xr:uid="{00000000-0005-0000-0000-000052640000}"/>
    <cellStyle name="Standard 4 4 2 2 8 3" xfId="25486" xr:uid="{00000000-0005-0000-0000-000053640000}"/>
    <cellStyle name="Standard 4 4 2 2 9" xfId="25487" xr:uid="{00000000-0005-0000-0000-000054640000}"/>
    <cellStyle name="Standard 4 4 2 2 9 2" xfId="25488" xr:uid="{00000000-0005-0000-0000-000055640000}"/>
    <cellStyle name="Standard 4 4 2 2 9 3" xfId="25489" xr:uid="{00000000-0005-0000-0000-000056640000}"/>
    <cellStyle name="Standard 4 4 2 3" xfId="25490" xr:uid="{00000000-0005-0000-0000-000057640000}"/>
    <cellStyle name="Standard 4 4 2 3 10" xfId="25491" xr:uid="{00000000-0005-0000-0000-000058640000}"/>
    <cellStyle name="Standard 4 4 2 3 11" xfId="25492" xr:uid="{00000000-0005-0000-0000-000059640000}"/>
    <cellStyle name="Standard 4 4 2 3 2" xfId="25493" xr:uid="{00000000-0005-0000-0000-00005A640000}"/>
    <cellStyle name="Standard 4 4 2 3 2 10" xfId="25494" xr:uid="{00000000-0005-0000-0000-00005B640000}"/>
    <cellStyle name="Standard 4 4 2 3 2 2" xfId="25495" xr:uid="{00000000-0005-0000-0000-00005C640000}"/>
    <cellStyle name="Standard 4 4 2 3 2 2 2" xfId="25496" xr:uid="{00000000-0005-0000-0000-00005D640000}"/>
    <cellStyle name="Standard 4 4 2 3 2 2 2 2" xfId="25497" xr:uid="{00000000-0005-0000-0000-00005E640000}"/>
    <cellStyle name="Standard 4 4 2 3 2 2 2 2 2" xfId="25498" xr:uid="{00000000-0005-0000-0000-00005F640000}"/>
    <cellStyle name="Standard 4 4 2 3 2 2 2 2 2 2" xfId="25499" xr:uid="{00000000-0005-0000-0000-000060640000}"/>
    <cellStyle name="Standard 4 4 2 3 2 2 2 2 2 3" xfId="25500" xr:uid="{00000000-0005-0000-0000-000061640000}"/>
    <cellStyle name="Standard 4 4 2 3 2 2 2 2 3" xfId="25501" xr:uid="{00000000-0005-0000-0000-000062640000}"/>
    <cellStyle name="Standard 4 4 2 3 2 2 2 2 3 2" xfId="25502" xr:uid="{00000000-0005-0000-0000-000063640000}"/>
    <cellStyle name="Standard 4 4 2 3 2 2 2 2 3 3" xfId="25503" xr:uid="{00000000-0005-0000-0000-000064640000}"/>
    <cellStyle name="Standard 4 4 2 3 2 2 2 2 4" xfId="25504" xr:uid="{00000000-0005-0000-0000-000065640000}"/>
    <cellStyle name="Standard 4 4 2 3 2 2 2 2 4 2" xfId="25505" xr:uid="{00000000-0005-0000-0000-000066640000}"/>
    <cellStyle name="Standard 4 4 2 3 2 2 2 2 5" xfId="25506" xr:uid="{00000000-0005-0000-0000-000067640000}"/>
    <cellStyle name="Standard 4 4 2 3 2 2 2 2 6" xfId="25507" xr:uid="{00000000-0005-0000-0000-000068640000}"/>
    <cellStyle name="Standard 4 4 2 3 2 2 2 3" xfId="25508" xr:uid="{00000000-0005-0000-0000-000069640000}"/>
    <cellStyle name="Standard 4 4 2 3 2 2 2 3 2" xfId="25509" xr:uid="{00000000-0005-0000-0000-00006A640000}"/>
    <cellStyle name="Standard 4 4 2 3 2 2 2 3 3" xfId="25510" xr:uid="{00000000-0005-0000-0000-00006B640000}"/>
    <cellStyle name="Standard 4 4 2 3 2 2 2 4" xfId="25511" xr:uid="{00000000-0005-0000-0000-00006C640000}"/>
    <cellStyle name="Standard 4 4 2 3 2 2 2 4 2" xfId="25512" xr:uid="{00000000-0005-0000-0000-00006D640000}"/>
    <cellStyle name="Standard 4 4 2 3 2 2 2 4 3" xfId="25513" xr:uid="{00000000-0005-0000-0000-00006E640000}"/>
    <cellStyle name="Standard 4 4 2 3 2 2 2 5" xfId="25514" xr:uid="{00000000-0005-0000-0000-00006F640000}"/>
    <cellStyle name="Standard 4 4 2 3 2 2 2 5 2" xfId="25515" xr:uid="{00000000-0005-0000-0000-000070640000}"/>
    <cellStyle name="Standard 4 4 2 3 2 2 2 6" xfId="25516" xr:uid="{00000000-0005-0000-0000-000071640000}"/>
    <cellStyle name="Standard 4 4 2 3 2 2 2 7" xfId="25517" xr:uid="{00000000-0005-0000-0000-000072640000}"/>
    <cellStyle name="Standard 4 4 2 3 2 2 3" xfId="25518" xr:uid="{00000000-0005-0000-0000-000073640000}"/>
    <cellStyle name="Standard 4 4 2 3 2 2 3 2" xfId="25519" xr:uid="{00000000-0005-0000-0000-000074640000}"/>
    <cellStyle name="Standard 4 4 2 3 2 2 3 2 2" xfId="25520" xr:uid="{00000000-0005-0000-0000-000075640000}"/>
    <cellStyle name="Standard 4 4 2 3 2 2 3 2 3" xfId="25521" xr:uid="{00000000-0005-0000-0000-000076640000}"/>
    <cellStyle name="Standard 4 4 2 3 2 2 3 3" xfId="25522" xr:uid="{00000000-0005-0000-0000-000077640000}"/>
    <cellStyle name="Standard 4 4 2 3 2 2 3 3 2" xfId="25523" xr:uid="{00000000-0005-0000-0000-000078640000}"/>
    <cellStyle name="Standard 4 4 2 3 2 2 3 3 3" xfId="25524" xr:uid="{00000000-0005-0000-0000-000079640000}"/>
    <cellStyle name="Standard 4 4 2 3 2 2 3 4" xfId="25525" xr:uid="{00000000-0005-0000-0000-00007A640000}"/>
    <cellStyle name="Standard 4 4 2 3 2 2 3 4 2" xfId="25526" xr:uid="{00000000-0005-0000-0000-00007B640000}"/>
    <cellStyle name="Standard 4 4 2 3 2 2 3 5" xfId="25527" xr:uid="{00000000-0005-0000-0000-00007C640000}"/>
    <cellStyle name="Standard 4 4 2 3 2 2 3 6" xfId="25528" xr:uid="{00000000-0005-0000-0000-00007D640000}"/>
    <cellStyle name="Standard 4 4 2 3 2 2 4" xfId="25529" xr:uid="{00000000-0005-0000-0000-00007E640000}"/>
    <cellStyle name="Standard 4 4 2 3 2 2 4 2" xfId="25530" xr:uid="{00000000-0005-0000-0000-00007F640000}"/>
    <cellStyle name="Standard 4 4 2 3 2 2 4 3" xfId="25531" xr:uid="{00000000-0005-0000-0000-000080640000}"/>
    <cellStyle name="Standard 4 4 2 3 2 2 5" xfId="25532" xr:uid="{00000000-0005-0000-0000-000081640000}"/>
    <cellStyle name="Standard 4 4 2 3 2 2 5 2" xfId="25533" xr:uid="{00000000-0005-0000-0000-000082640000}"/>
    <cellStyle name="Standard 4 4 2 3 2 2 5 3" xfId="25534" xr:uid="{00000000-0005-0000-0000-000083640000}"/>
    <cellStyle name="Standard 4 4 2 3 2 2 6" xfId="25535" xr:uid="{00000000-0005-0000-0000-000084640000}"/>
    <cellStyle name="Standard 4 4 2 3 2 2 6 2" xfId="25536" xr:uid="{00000000-0005-0000-0000-000085640000}"/>
    <cellStyle name="Standard 4 4 2 3 2 2 7" xfId="25537" xr:uid="{00000000-0005-0000-0000-000086640000}"/>
    <cellStyle name="Standard 4 4 2 3 2 2 8" xfId="25538" xr:uid="{00000000-0005-0000-0000-000087640000}"/>
    <cellStyle name="Standard 4 4 2 3 2 3" xfId="25539" xr:uid="{00000000-0005-0000-0000-000088640000}"/>
    <cellStyle name="Standard 4 4 2 3 2 3 2" xfId="25540" xr:uid="{00000000-0005-0000-0000-000089640000}"/>
    <cellStyle name="Standard 4 4 2 3 2 3 2 2" xfId="25541" xr:uid="{00000000-0005-0000-0000-00008A640000}"/>
    <cellStyle name="Standard 4 4 2 3 2 3 2 2 2" xfId="25542" xr:uid="{00000000-0005-0000-0000-00008B640000}"/>
    <cellStyle name="Standard 4 4 2 3 2 3 2 2 2 2" xfId="25543" xr:uid="{00000000-0005-0000-0000-00008C640000}"/>
    <cellStyle name="Standard 4 4 2 3 2 3 2 2 2 3" xfId="25544" xr:uid="{00000000-0005-0000-0000-00008D640000}"/>
    <cellStyle name="Standard 4 4 2 3 2 3 2 2 3" xfId="25545" xr:uid="{00000000-0005-0000-0000-00008E640000}"/>
    <cellStyle name="Standard 4 4 2 3 2 3 2 2 3 2" xfId="25546" xr:uid="{00000000-0005-0000-0000-00008F640000}"/>
    <cellStyle name="Standard 4 4 2 3 2 3 2 2 3 3" xfId="25547" xr:uid="{00000000-0005-0000-0000-000090640000}"/>
    <cellStyle name="Standard 4 4 2 3 2 3 2 2 4" xfId="25548" xr:uid="{00000000-0005-0000-0000-000091640000}"/>
    <cellStyle name="Standard 4 4 2 3 2 3 2 2 4 2" xfId="25549" xr:uid="{00000000-0005-0000-0000-000092640000}"/>
    <cellStyle name="Standard 4 4 2 3 2 3 2 2 5" xfId="25550" xr:uid="{00000000-0005-0000-0000-000093640000}"/>
    <cellStyle name="Standard 4 4 2 3 2 3 2 2 6" xfId="25551" xr:uid="{00000000-0005-0000-0000-000094640000}"/>
    <cellStyle name="Standard 4 4 2 3 2 3 2 3" xfId="25552" xr:uid="{00000000-0005-0000-0000-000095640000}"/>
    <cellStyle name="Standard 4 4 2 3 2 3 2 3 2" xfId="25553" xr:uid="{00000000-0005-0000-0000-000096640000}"/>
    <cellStyle name="Standard 4 4 2 3 2 3 2 3 3" xfId="25554" xr:uid="{00000000-0005-0000-0000-000097640000}"/>
    <cellStyle name="Standard 4 4 2 3 2 3 2 4" xfId="25555" xr:uid="{00000000-0005-0000-0000-000098640000}"/>
    <cellStyle name="Standard 4 4 2 3 2 3 2 4 2" xfId="25556" xr:uid="{00000000-0005-0000-0000-000099640000}"/>
    <cellStyle name="Standard 4 4 2 3 2 3 2 4 3" xfId="25557" xr:uid="{00000000-0005-0000-0000-00009A640000}"/>
    <cellStyle name="Standard 4 4 2 3 2 3 2 5" xfId="25558" xr:uid="{00000000-0005-0000-0000-00009B640000}"/>
    <cellStyle name="Standard 4 4 2 3 2 3 2 5 2" xfId="25559" xr:uid="{00000000-0005-0000-0000-00009C640000}"/>
    <cellStyle name="Standard 4 4 2 3 2 3 2 6" xfId="25560" xr:uid="{00000000-0005-0000-0000-00009D640000}"/>
    <cellStyle name="Standard 4 4 2 3 2 3 2 7" xfId="25561" xr:uid="{00000000-0005-0000-0000-00009E640000}"/>
    <cellStyle name="Standard 4 4 2 3 2 3 3" xfId="25562" xr:uid="{00000000-0005-0000-0000-00009F640000}"/>
    <cellStyle name="Standard 4 4 2 3 2 3 3 2" xfId="25563" xr:uid="{00000000-0005-0000-0000-0000A0640000}"/>
    <cellStyle name="Standard 4 4 2 3 2 3 3 2 2" xfId="25564" xr:uid="{00000000-0005-0000-0000-0000A1640000}"/>
    <cellStyle name="Standard 4 4 2 3 2 3 3 2 3" xfId="25565" xr:uid="{00000000-0005-0000-0000-0000A2640000}"/>
    <cellStyle name="Standard 4 4 2 3 2 3 3 3" xfId="25566" xr:uid="{00000000-0005-0000-0000-0000A3640000}"/>
    <cellStyle name="Standard 4 4 2 3 2 3 3 3 2" xfId="25567" xr:uid="{00000000-0005-0000-0000-0000A4640000}"/>
    <cellStyle name="Standard 4 4 2 3 2 3 3 3 3" xfId="25568" xr:uid="{00000000-0005-0000-0000-0000A5640000}"/>
    <cellStyle name="Standard 4 4 2 3 2 3 3 4" xfId="25569" xr:uid="{00000000-0005-0000-0000-0000A6640000}"/>
    <cellStyle name="Standard 4 4 2 3 2 3 3 4 2" xfId="25570" xr:uid="{00000000-0005-0000-0000-0000A7640000}"/>
    <cellStyle name="Standard 4 4 2 3 2 3 3 5" xfId="25571" xr:uid="{00000000-0005-0000-0000-0000A8640000}"/>
    <cellStyle name="Standard 4 4 2 3 2 3 3 6" xfId="25572" xr:uid="{00000000-0005-0000-0000-0000A9640000}"/>
    <cellStyle name="Standard 4 4 2 3 2 3 4" xfId="25573" xr:uid="{00000000-0005-0000-0000-0000AA640000}"/>
    <cellStyle name="Standard 4 4 2 3 2 3 4 2" xfId="25574" xr:uid="{00000000-0005-0000-0000-0000AB640000}"/>
    <cellStyle name="Standard 4 4 2 3 2 3 4 3" xfId="25575" xr:uid="{00000000-0005-0000-0000-0000AC640000}"/>
    <cellStyle name="Standard 4 4 2 3 2 3 5" xfId="25576" xr:uid="{00000000-0005-0000-0000-0000AD640000}"/>
    <cellStyle name="Standard 4 4 2 3 2 3 5 2" xfId="25577" xr:uid="{00000000-0005-0000-0000-0000AE640000}"/>
    <cellStyle name="Standard 4 4 2 3 2 3 5 3" xfId="25578" xr:uid="{00000000-0005-0000-0000-0000AF640000}"/>
    <cellStyle name="Standard 4 4 2 3 2 3 6" xfId="25579" xr:uid="{00000000-0005-0000-0000-0000B0640000}"/>
    <cellStyle name="Standard 4 4 2 3 2 3 6 2" xfId="25580" xr:uid="{00000000-0005-0000-0000-0000B1640000}"/>
    <cellStyle name="Standard 4 4 2 3 2 3 7" xfId="25581" xr:uid="{00000000-0005-0000-0000-0000B2640000}"/>
    <cellStyle name="Standard 4 4 2 3 2 3 8" xfId="25582" xr:uid="{00000000-0005-0000-0000-0000B3640000}"/>
    <cellStyle name="Standard 4 4 2 3 2 4" xfId="25583" xr:uid="{00000000-0005-0000-0000-0000B4640000}"/>
    <cellStyle name="Standard 4 4 2 3 2 4 2" xfId="25584" xr:uid="{00000000-0005-0000-0000-0000B5640000}"/>
    <cellStyle name="Standard 4 4 2 3 2 4 2 2" xfId="25585" xr:uid="{00000000-0005-0000-0000-0000B6640000}"/>
    <cellStyle name="Standard 4 4 2 3 2 4 2 2 2" xfId="25586" xr:uid="{00000000-0005-0000-0000-0000B7640000}"/>
    <cellStyle name="Standard 4 4 2 3 2 4 2 2 3" xfId="25587" xr:uid="{00000000-0005-0000-0000-0000B8640000}"/>
    <cellStyle name="Standard 4 4 2 3 2 4 2 3" xfId="25588" xr:uid="{00000000-0005-0000-0000-0000B9640000}"/>
    <cellStyle name="Standard 4 4 2 3 2 4 2 3 2" xfId="25589" xr:uid="{00000000-0005-0000-0000-0000BA640000}"/>
    <cellStyle name="Standard 4 4 2 3 2 4 2 3 3" xfId="25590" xr:uid="{00000000-0005-0000-0000-0000BB640000}"/>
    <cellStyle name="Standard 4 4 2 3 2 4 2 4" xfId="25591" xr:uid="{00000000-0005-0000-0000-0000BC640000}"/>
    <cellStyle name="Standard 4 4 2 3 2 4 2 4 2" xfId="25592" xr:uid="{00000000-0005-0000-0000-0000BD640000}"/>
    <cellStyle name="Standard 4 4 2 3 2 4 2 5" xfId="25593" xr:uid="{00000000-0005-0000-0000-0000BE640000}"/>
    <cellStyle name="Standard 4 4 2 3 2 4 2 6" xfId="25594" xr:uid="{00000000-0005-0000-0000-0000BF640000}"/>
    <cellStyle name="Standard 4 4 2 3 2 4 3" xfId="25595" xr:uid="{00000000-0005-0000-0000-0000C0640000}"/>
    <cellStyle name="Standard 4 4 2 3 2 4 3 2" xfId="25596" xr:uid="{00000000-0005-0000-0000-0000C1640000}"/>
    <cellStyle name="Standard 4 4 2 3 2 4 3 3" xfId="25597" xr:uid="{00000000-0005-0000-0000-0000C2640000}"/>
    <cellStyle name="Standard 4 4 2 3 2 4 4" xfId="25598" xr:uid="{00000000-0005-0000-0000-0000C3640000}"/>
    <cellStyle name="Standard 4 4 2 3 2 4 4 2" xfId="25599" xr:uid="{00000000-0005-0000-0000-0000C4640000}"/>
    <cellStyle name="Standard 4 4 2 3 2 4 4 3" xfId="25600" xr:uid="{00000000-0005-0000-0000-0000C5640000}"/>
    <cellStyle name="Standard 4 4 2 3 2 4 5" xfId="25601" xr:uid="{00000000-0005-0000-0000-0000C6640000}"/>
    <cellStyle name="Standard 4 4 2 3 2 4 5 2" xfId="25602" xr:uid="{00000000-0005-0000-0000-0000C7640000}"/>
    <cellStyle name="Standard 4 4 2 3 2 4 6" xfId="25603" xr:uid="{00000000-0005-0000-0000-0000C8640000}"/>
    <cellStyle name="Standard 4 4 2 3 2 4 7" xfId="25604" xr:uid="{00000000-0005-0000-0000-0000C9640000}"/>
    <cellStyle name="Standard 4 4 2 3 2 5" xfId="25605" xr:uid="{00000000-0005-0000-0000-0000CA640000}"/>
    <cellStyle name="Standard 4 4 2 3 2 5 2" xfId="25606" xr:uid="{00000000-0005-0000-0000-0000CB640000}"/>
    <cellStyle name="Standard 4 4 2 3 2 5 2 2" xfId="25607" xr:uid="{00000000-0005-0000-0000-0000CC640000}"/>
    <cellStyle name="Standard 4 4 2 3 2 5 2 3" xfId="25608" xr:uid="{00000000-0005-0000-0000-0000CD640000}"/>
    <cellStyle name="Standard 4 4 2 3 2 5 3" xfId="25609" xr:uid="{00000000-0005-0000-0000-0000CE640000}"/>
    <cellStyle name="Standard 4 4 2 3 2 5 3 2" xfId="25610" xr:uid="{00000000-0005-0000-0000-0000CF640000}"/>
    <cellStyle name="Standard 4 4 2 3 2 5 3 3" xfId="25611" xr:uid="{00000000-0005-0000-0000-0000D0640000}"/>
    <cellStyle name="Standard 4 4 2 3 2 5 4" xfId="25612" xr:uid="{00000000-0005-0000-0000-0000D1640000}"/>
    <cellStyle name="Standard 4 4 2 3 2 5 4 2" xfId="25613" xr:uid="{00000000-0005-0000-0000-0000D2640000}"/>
    <cellStyle name="Standard 4 4 2 3 2 5 5" xfId="25614" xr:uid="{00000000-0005-0000-0000-0000D3640000}"/>
    <cellStyle name="Standard 4 4 2 3 2 5 6" xfId="25615" xr:uid="{00000000-0005-0000-0000-0000D4640000}"/>
    <cellStyle name="Standard 4 4 2 3 2 6" xfId="25616" xr:uid="{00000000-0005-0000-0000-0000D5640000}"/>
    <cellStyle name="Standard 4 4 2 3 2 6 2" xfId="25617" xr:uid="{00000000-0005-0000-0000-0000D6640000}"/>
    <cellStyle name="Standard 4 4 2 3 2 6 3" xfId="25618" xr:uid="{00000000-0005-0000-0000-0000D7640000}"/>
    <cellStyle name="Standard 4 4 2 3 2 7" xfId="25619" xr:uid="{00000000-0005-0000-0000-0000D8640000}"/>
    <cellStyle name="Standard 4 4 2 3 2 7 2" xfId="25620" xr:uid="{00000000-0005-0000-0000-0000D9640000}"/>
    <cellStyle name="Standard 4 4 2 3 2 7 3" xfId="25621" xr:uid="{00000000-0005-0000-0000-0000DA640000}"/>
    <cellStyle name="Standard 4 4 2 3 2 8" xfId="25622" xr:uid="{00000000-0005-0000-0000-0000DB640000}"/>
    <cellStyle name="Standard 4 4 2 3 2 8 2" xfId="25623" xr:uid="{00000000-0005-0000-0000-0000DC640000}"/>
    <cellStyle name="Standard 4 4 2 3 2 9" xfId="25624" xr:uid="{00000000-0005-0000-0000-0000DD640000}"/>
    <cellStyle name="Standard 4 4 2 3 3" xfId="25625" xr:uid="{00000000-0005-0000-0000-0000DE640000}"/>
    <cellStyle name="Standard 4 4 2 3 3 2" xfId="25626" xr:uid="{00000000-0005-0000-0000-0000DF640000}"/>
    <cellStyle name="Standard 4 4 2 3 3 2 2" xfId="25627" xr:uid="{00000000-0005-0000-0000-0000E0640000}"/>
    <cellStyle name="Standard 4 4 2 3 3 2 2 2" xfId="25628" xr:uid="{00000000-0005-0000-0000-0000E1640000}"/>
    <cellStyle name="Standard 4 4 2 3 3 2 2 2 2" xfId="25629" xr:uid="{00000000-0005-0000-0000-0000E2640000}"/>
    <cellStyle name="Standard 4 4 2 3 3 2 2 2 3" xfId="25630" xr:uid="{00000000-0005-0000-0000-0000E3640000}"/>
    <cellStyle name="Standard 4 4 2 3 3 2 2 3" xfId="25631" xr:uid="{00000000-0005-0000-0000-0000E4640000}"/>
    <cellStyle name="Standard 4 4 2 3 3 2 2 3 2" xfId="25632" xr:uid="{00000000-0005-0000-0000-0000E5640000}"/>
    <cellStyle name="Standard 4 4 2 3 3 2 2 3 3" xfId="25633" xr:uid="{00000000-0005-0000-0000-0000E6640000}"/>
    <cellStyle name="Standard 4 4 2 3 3 2 2 4" xfId="25634" xr:uid="{00000000-0005-0000-0000-0000E7640000}"/>
    <cellStyle name="Standard 4 4 2 3 3 2 2 4 2" xfId="25635" xr:uid="{00000000-0005-0000-0000-0000E8640000}"/>
    <cellStyle name="Standard 4 4 2 3 3 2 2 5" xfId="25636" xr:uid="{00000000-0005-0000-0000-0000E9640000}"/>
    <cellStyle name="Standard 4 4 2 3 3 2 2 6" xfId="25637" xr:uid="{00000000-0005-0000-0000-0000EA640000}"/>
    <cellStyle name="Standard 4 4 2 3 3 2 3" xfId="25638" xr:uid="{00000000-0005-0000-0000-0000EB640000}"/>
    <cellStyle name="Standard 4 4 2 3 3 2 3 2" xfId="25639" xr:uid="{00000000-0005-0000-0000-0000EC640000}"/>
    <cellStyle name="Standard 4 4 2 3 3 2 3 3" xfId="25640" xr:uid="{00000000-0005-0000-0000-0000ED640000}"/>
    <cellStyle name="Standard 4 4 2 3 3 2 4" xfId="25641" xr:uid="{00000000-0005-0000-0000-0000EE640000}"/>
    <cellStyle name="Standard 4 4 2 3 3 2 4 2" xfId="25642" xr:uid="{00000000-0005-0000-0000-0000EF640000}"/>
    <cellStyle name="Standard 4 4 2 3 3 2 4 3" xfId="25643" xr:uid="{00000000-0005-0000-0000-0000F0640000}"/>
    <cellStyle name="Standard 4 4 2 3 3 2 5" xfId="25644" xr:uid="{00000000-0005-0000-0000-0000F1640000}"/>
    <cellStyle name="Standard 4 4 2 3 3 2 5 2" xfId="25645" xr:uid="{00000000-0005-0000-0000-0000F2640000}"/>
    <cellStyle name="Standard 4 4 2 3 3 2 6" xfId="25646" xr:uid="{00000000-0005-0000-0000-0000F3640000}"/>
    <cellStyle name="Standard 4 4 2 3 3 2 7" xfId="25647" xr:uid="{00000000-0005-0000-0000-0000F4640000}"/>
    <cellStyle name="Standard 4 4 2 3 3 3" xfId="25648" xr:uid="{00000000-0005-0000-0000-0000F5640000}"/>
    <cellStyle name="Standard 4 4 2 3 3 3 2" xfId="25649" xr:uid="{00000000-0005-0000-0000-0000F6640000}"/>
    <cellStyle name="Standard 4 4 2 3 3 3 2 2" xfId="25650" xr:uid="{00000000-0005-0000-0000-0000F7640000}"/>
    <cellStyle name="Standard 4 4 2 3 3 3 2 3" xfId="25651" xr:uid="{00000000-0005-0000-0000-0000F8640000}"/>
    <cellStyle name="Standard 4 4 2 3 3 3 3" xfId="25652" xr:uid="{00000000-0005-0000-0000-0000F9640000}"/>
    <cellStyle name="Standard 4 4 2 3 3 3 3 2" xfId="25653" xr:uid="{00000000-0005-0000-0000-0000FA640000}"/>
    <cellStyle name="Standard 4 4 2 3 3 3 3 3" xfId="25654" xr:uid="{00000000-0005-0000-0000-0000FB640000}"/>
    <cellStyle name="Standard 4 4 2 3 3 3 4" xfId="25655" xr:uid="{00000000-0005-0000-0000-0000FC640000}"/>
    <cellStyle name="Standard 4 4 2 3 3 3 4 2" xfId="25656" xr:uid="{00000000-0005-0000-0000-0000FD640000}"/>
    <cellStyle name="Standard 4 4 2 3 3 3 5" xfId="25657" xr:uid="{00000000-0005-0000-0000-0000FE640000}"/>
    <cellStyle name="Standard 4 4 2 3 3 3 6" xfId="25658" xr:uid="{00000000-0005-0000-0000-0000FF640000}"/>
    <cellStyle name="Standard 4 4 2 3 3 4" xfId="25659" xr:uid="{00000000-0005-0000-0000-000000650000}"/>
    <cellStyle name="Standard 4 4 2 3 3 4 2" xfId="25660" xr:uid="{00000000-0005-0000-0000-000001650000}"/>
    <cellStyle name="Standard 4 4 2 3 3 4 3" xfId="25661" xr:uid="{00000000-0005-0000-0000-000002650000}"/>
    <cellStyle name="Standard 4 4 2 3 3 5" xfId="25662" xr:uid="{00000000-0005-0000-0000-000003650000}"/>
    <cellStyle name="Standard 4 4 2 3 3 5 2" xfId="25663" xr:uid="{00000000-0005-0000-0000-000004650000}"/>
    <cellStyle name="Standard 4 4 2 3 3 5 3" xfId="25664" xr:uid="{00000000-0005-0000-0000-000005650000}"/>
    <cellStyle name="Standard 4 4 2 3 3 6" xfId="25665" xr:uid="{00000000-0005-0000-0000-000006650000}"/>
    <cellStyle name="Standard 4 4 2 3 3 6 2" xfId="25666" xr:uid="{00000000-0005-0000-0000-000007650000}"/>
    <cellStyle name="Standard 4 4 2 3 3 7" xfId="25667" xr:uid="{00000000-0005-0000-0000-000008650000}"/>
    <cellStyle name="Standard 4 4 2 3 3 8" xfId="25668" xr:uid="{00000000-0005-0000-0000-000009650000}"/>
    <cellStyle name="Standard 4 4 2 3 4" xfId="25669" xr:uid="{00000000-0005-0000-0000-00000A650000}"/>
    <cellStyle name="Standard 4 4 2 3 4 2" xfId="25670" xr:uid="{00000000-0005-0000-0000-00000B650000}"/>
    <cellStyle name="Standard 4 4 2 3 4 2 2" xfId="25671" xr:uid="{00000000-0005-0000-0000-00000C650000}"/>
    <cellStyle name="Standard 4 4 2 3 4 2 2 2" xfId="25672" xr:uid="{00000000-0005-0000-0000-00000D650000}"/>
    <cellStyle name="Standard 4 4 2 3 4 2 2 2 2" xfId="25673" xr:uid="{00000000-0005-0000-0000-00000E650000}"/>
    <cellStyle name="Standard 4 4 2 3 4 2 2 2 3" xfId="25674" xr:uid="{00000000-0005-0000-0000-00000F650000}"/>
    <cellStyle name="Standard 4 4 2 3 4 2 2 3" xfId="25675" xr:uid="{00000000-0005-0000-0000-000010650000}"/>
    <cellStyle name="Standard 4 4 2 3 4 2 2 3 2" xfId="25676" xr:uid="{00000000-0005-0000-0000-000011650000}"/>
    <cellStyle name="Standard 4 4 2 3 4 2 2 3 3" xfId="25677" xr:uid="{00000000-0005-0000-0000-000012650000}"/>
    <cellStyle name="Standard 4 4 2 3 4 2 2 4" xfId="25678" xr:uid="{00000000-0005-0000-0000-000013650000}"/>
    <cellStyle name="Standard 4 4 2 3 4 2 2 4 2" xfId="25679" xr:uid="{00000000-0005-0000-0000-000014650000}"/>
    <cellStyle name="Standard 4 4 2 3 4 2 2 5" xfId="25680" xr:uid="{00000000-0005-0000-0000-000015650000}"/>
    <cellStyle name="Standard 4 4 2 3 4 2 2 6" xfId="25681" xr:uid="{00000000-0005-0000-0000-000016650000}"/>
    <cellStyle name="Standard 4 4 2 3 4 2 3" xfId="25682" xr:uid="{00000000-0005-0000-0000-000017650000}"/>
    <cellStyle name="Standard 4 4 2 3 4 2 3 2" xfId="25683" xr:uid="{00000000-0005-0000-0000-000018650000}"/>
    <cellStyle name="Standard 4 4 2 3 4 2 3 3" xfId="25684" xr:uid="{00000000-0005-0000-0000-000019650000}"/>
    <cellStyle name="Standard 4 4 2 3 4 2 4" xfId="25685" xr:uid="{00000000-0005-0000-0000-00001A650000}"/>
    <cellStyle name="Standard 4 4 2 3 4 2 4 2" xfId="25686" xr:uid="{00000000-0005-0000-0000-00001B650000}"/>
    <cellStyle name="Standard 4 4 2 3 4 2 4 3" xfId="25687" xr:uid="{00000000-0005-0000-0000-00001C650000}"/>
    <cellStyle name="Standard 4 4 2 3 4 2 5" xfId="25688" xr:uid="{00000000-0005-0000-0000-00001D650000}"/>
    <cellStyle name="Standard 4 4 2 3 4 2 5 2" xfId="25689" xr:uid="{00000000-0005-0000-0000-00001E650000}"/>
    <cellStyle name="Standard 4 4 2 3 4 2 6" xfId="25690" xr:uid="{00000000-0005-0000-0000-00001F650000}"/>
    <cellStyle name="Standard 4 4 2 3 4 2 7" xfId="25691" xr:uid="{00000000-0005-0000-0000-000020650000}"/>
    <cellStyle name="Standard 4 4 2 3 4 3" xfId="25692" xr:uid="{00000000-0005-0000-0000-000021650000}"/>
    <cellStyle name="Standard 4 4 2 3 4 3 2" xfId="25693" xr:uid="{00000000-0005-0000-0000-000022650000}"/>
    <cellStyle name="Standard 4 4 2 3 4 3 2 2" xfId="25694" xr:uid="{00000000-0005-0000-0000-000023650000}"/>
    <cellStyle name="Standard 4 4 2 3 4 3 2 3" xfId="25695" xr:uid="{00000000-0005-0000-0000-000024650000}"/>
    <cellStyle name="Standard 4 4 2 3 4 3 3" xfId="25696" xr:uid="{00000000-0005-0000-0000-000025650000}"/>
    <cellStyle name="Standard 4 4 2 3 4 3 3 2" xfId="25697" xr:uid="{00000000-0005-0000-0000-000026650000}"/>
    <cellStyle name="Standard 4 4 2 3 4 3 3 3" xfId="25698" xr:uid="{00000000-0005-0000-0000-000027650000}"/>
    <cellStyle name="Standard 4 4 2 3 4 3 4" xfId="25699" xr:uid="{00000000-0005-0000-0000-000028650000}"/>
    <cellStyle name="Standard 4 4 2 3 4 3 4 2" xfId="25700" xr:uid="{00000000-0005-0000-0000-000029650000}"/>
    <cellStyle name="Standard 4 4 2 3 4 3 5" xfId="25701" xr:uid="{00000000-0005-0000-0000-00002A650000}"/>
    <cellStyle name="Standard 4 4 2 3 4 3 6" xfId="25702" xr:uid="{00000000-0005-0000-0000-00002B650000}"/>
    <cellStyle name="Standard 4 4 2 3 4 4" xfId="25703" xr:uid="{00000000-0005-0000-0000-00002C650000}"/>
    <cellStyle name="Standard 4 4 2 3 4 4 2" xfId="25704" xr:uid="{00000000-0005-0000-0000-00002D650000}"/>
    <cellStyle name="Standard 4 4 2 3 4 4 3" xfId="25705" xr:uid="{00000000-0005-0000-0000-00002E650000}"/>
    <cellStyle name="Standard 4 4 2 3 4 5" xfId="25706" xr:uid="{00000000-0005-0000-0000-00002F650000}"/>
    <cellStyle name="Standard 4 4 2 3 4 5 2" xfId="25707" xr:uid="{00000000-0005-0000-0000-000030650000}"/>
    <cellStyle name="Standard 4 4 2 3 4 5 3" xfId="25708" xr:uid="{00000000-0005-0000-0000-000031650000}"/>
    <cellStyle name="Standard 4 4 2 3 4 6" xfId="25709" xr:uid="{00000000-0005-0000-0000-000032650000}"/>
    <cellStyle name="Standard 4 4 2 3 4 6 2" xfId="25710" xr:uid="{00000000-0005-0000-0000-000033650000}"/>
    <cellStyle name="Standard 4 4 2 3 4 7" xfId="25711" xr:uid="{00000000-0005-0000-0000-000034650000}"/>
    <cellStyle name="Standard 4 4 2 3 4 8" xfId="25712" xr:uid="{00000000-0005-0000-0000-000035650000}"/>
    <cellStyle name="Standard 4 4 2 3 5" xfId="25713" xr:uid="{00000000-0005-0000-0000-000036650000}"/>
    <cellStyle name="Standard 4 4 2 3 5 2" xfId="25714" xr:uid="{00000000-0005-0000-0000-000037650000}"/>
    <cellStyle name="Standard 4 4 2 3 5 2 2" xfId="25715" xr:uid="{00000000-0005-0000-0000-000038650000}"/>
    <cellStyle name="Standard 4 4 2 3 5 2 2 2" xfId="25716" xr:uid="{00000000-0005-0000-0000-000039650000}"/>
    <cellStyle name="Standard 4 4 2 3 5 2 2 3" xfId="25717" xr:uid="{00000000-0005-0000-0000-00003A650000}"/>
    <cellStyle name="Standard 4 4 2 3 5 2 3" xfId="25718" xr:uid="{00000000-0005-0000-0000-00003B650000}"/>
    <cellStyle name="Standard 4 4 2 3 5 2 3 2" xfId="25719" xr:uid="{00000000-0005-0000-0000-00003C650000}"/>
    <cellStyle name="Standard 4 4 2 3 5 2 3 3" xfId="25720" xr:uid="{00000000-0005-0000-0000-00003D650000}"/>
    <cellStyle name="Standard 4 4 2 3 5 2 4" xfId="25721" xr:uid="{00000000-0005-0000-0000-00003E650000}"/>
    <cellStyle name="Standard 4 4 2 3 5 2 4 2" xfId="25722" xr:uid="{00000000-0005-0000-0000-00003F650000}"/>
    <cellStyle name="Standard 4 4 2 3 5 2 5" xfId="25723" xr:uid="{00000000-0005-0000-0000-000040650000}"/>
    <cellStyle name="Standard 4 4 2 3 5 2 6" xfId="25724" xr:uid="{00000000-0005-0000-0000-000041650000}"/>
    <cellStyle name="Standard 4 4 2 3 5 3" xfId="25725" xr:uid="{00000000-0005-0000-0000-000042650000}"/>
    <cellStyle name="Standard 4 4 2 3 5 3 2" xfId="25726" xr:uid="{00000000-0005-0000-0000-000043650000}"/>
    <cellStyle name="Standard 4 4 2 3 5 3 3" xfId="25727" xr:uid="{00000000-0005-0000-0000-000044650000}"/>
    <cellStyle name="Standard 4 4 2 3 5 4" xfId="25728" xr:uid="{00000000-0005-0000-0000-000045650000}"/>
    <cellStyle name="Standard 4 4 2 3 5 4 2" xfId="25729" xr:uid="{00000000-0005-0000-0000-000046650000}"/>
    <cellStyle name="Standard 4 4 2 3 5 4 3" xfId="25730" xr:uid="{00000000-0005-0000-0000-000047650000}"/>
    <cellStyle name="Standard 4 4 2 3 5 5" xfId="25731" xr:uid="{00000000-0005-0000-0000-000048650000}"/>
    <cellStyle name="Standard 4 4 2 3 5 5 2" xfId="25732" xr:uid="{00000000-0005-0000-0000-000049650000}"/>
    <cellStyle name="Standard 4 4 2 3 5 6" xfId="25733" xr:uid="{00000000-0005-0000-0000-00004A650000}"/>
    <cellStyle name="Standard 4 4 2 3 5 7" xfId="25734" xr:uid="{00000000-0005-0000-0000-00004B650000}"/>
    <cellStyle name="Standard 4 4 2 3 6" xfId="25735" xr:uid="{00000000-0005-0000-0000-00004C650000}"/>
    <cellStyle name="Standard 4 4 2 3 6 2" xfId="25736" xr:uid="{00000000-0005-0000-0000-00004D650000}"/>
    <cellStyle name="Standard 4 4 2 3 6 2 2" xfId="25737" xr:uid="{00000000-0005-0000-0000-00004E650000}"/>
    <cellStyle name="Standard 4 4 2 3 6 2 3" xfId="25738" xr:uid="{00000000-0005-0000-0000-00004F650000}"/>
    <cellStyle name="Standard 4 4 2 3 6 3" xfId="25739" xr:uid="{00000000-0005-0000-0000-000050650000}"/>
    <cellStyle name="Standard 4 4 2 3 6 3 2" xfId="25740" xr:uid="{00000000-0005-0000-0000-000051650000}"/>
    <cellStyle name="Standard 4 4 2 3 6 3 3" xfId="25741" xr:uid="{00000000-0005-0000-0000-000052650000}"/>
    <cellStyle name="Standard 4 4 2 3 6 4" xfId="25742" xr:uid="{00000000-0005-0000-0000-000053650000}"/>
    <cellStyle name="Standard 4 4 2 3 6 4 2" xfId="25743" xr:uid="{00000000-0005-0000-0000-000054650000}"/>
    <cellStyle name="Standard 4 4 2 3 6 5" xfId="25744" xr:uid="{00000000-0005-0000-0000-000055650000}"/>
    <cellStyle name="Standard 4 4 2 3 6 6" xfId="25745" xr:uid="{00000000-0005-0000-0000-000056650000}"/>
    <cellStyle name="Standard 4 4 2 3 7" xfId="25746" xr:uid="{00000000-0005-0000-0000-000057650000}"/>
    <cellStyle name="Standard 4 4 2 3 7 2" xfId="25747" xr:uid="{00000000-0005-0000-0000-000058650000}"/>
    <cellStyle name="Standard 4 4 2 3 7 3" xfId="25748" xr:uid="{00000000-0005-0000-0000-000059650000}"/>
    <cellStyle name="Standard 4 4 2 3 8" xfId="25749" xr:uid="{00000000-0005-0000-0000-00005A650000}"/>
    <cellStyle name="Standard 4 4 2 3 8 2" xfId="25750" xr:uid="{00000000-0005-0000-0000-00005B650000}"/>
    <cellStyle name="Standard 4 4 2 3 8 3" xfId="25751" xr:uid="{00000000-0005-0000-0000-00005C650000}"/>
    <cellStyle name="Standard 4 4 2 3 9" xfId="25752" xr:uid="{00000000-0005-0000-0000-00005D650000}"/>
    <cellStyle name="Standard 4 4 2 3 9 2" xfId="25753" xr:uid="{00000000-0005-0000-0000-00005E650000}"/>
    <cellStyle name="Standard 4 4 2 4" xfId="25754" xr:uid="{00000000-0005-0000-0000-00005F650000}"/>
    <cellStyle name="Standard 4 4 2 4 10" xfId="25755" xr:uid="{00000000-0005-0000-0000-000060650000}"/>
    <cellStyle name="Standard 4 4 2 4 11" xfId="25756" xr:uid="{00000000-0005-0000-0000-000061650000}"/>
    <cellStyle name="Standard 4 4 2 4 2" xfId="25757" xr:uid="{00000000-0005-0000-0000-000062650000}"/>
    <cellStyle name="Standard 4 4 2 4 2 10" xfId="25758" xr:uid="{00000000-0005-0000-0000-000063650000}"/>
    <cellStyle name="Standard 4 4 2 4 2 2" xfId="25759" xr:uid="{00000000-0005-0000-0000-000064650000}"/>
    <cellStyle name="Standard 4 4 2 4 2 2 2" xfId="25760" xr:uid="{00000000-0005-0000-0000-000065650000}"/>
    <cellStyle name="Standard 4 4 2 4 2 2 2 2" xfId="25761" xr:uid="{00000000-0005-0000-0000-000066650000}"/>
    <cellStyle name="Standard 4 4 2 4 2 2 2 2 2" xfId="25762" xr:uid="{00000000-0005-0000-0000-000067650000}"/>
    <cellStyle name="Standard 4 4 2 4 2 2 2 2 2 2" xfId="25763" xr:uid="{00000000-0005-0000-0000-000068650000}"/>
    <cellStyle name="Standard 4 4 2 4 2 2 2 2 2 3" xfId="25764" xr:uid="{00000000-0005-0000-0000-000069650000}"/>
    <cellStyle name="Standard 4 4 2 4 2 2 2 2 3" xfId="25765" xr:uid="{00000000-0005-0000-0000-00006A650000}"/>
    <cellStyle name="Standard 4 4 2 4 2 2 2 2 3 2" xfId="25766" xr:uid="{00000000-0005-0000-0000-00006B650000}"/>
    <cellStyle name="Standard 4 4 2 4 2 2 2 2 3 3" xfId="25767" xr:uid="{00000000-0005-0000-0000-00006C650000}"/>
    <cellStyle name="Standard 4 4 2 4 2 2 2 2 4" xfId="25768" xr:uid="{00000000-0005-0000-0000-00006D650000}"/>
    <cellStyle name="Standard 4 4 2 4 2 2 2 2 4 2" xfId="25769" xr:uid="{00000000-0005-0000-0000-00006E650000}"/>
    <cellStyle name="Standard 4 4 2 4 2 2 2 2 5" xfId="25770" xr:uid="{00000000-0005-0000-0000-00006F650000}"/>
    <cellStyle name="Standard 4 4 2 4 2 2 2 2 6" xfId="25771" xr:uid="{00000000-0005-0000-0000-000070650000}"/>
    <cellStyle name="Standard 4 4 2 4 2 2 2 3" xfId="25772" xr:uid="{00000000-0005-0000-0000-000071650000}"/>
    <cellStyle name="Standard 4 4 2 4 2 2 2 3 2" xfId="25773" xr:uid="{00000000-0005-0000-0000-000072650000}"/>
    <cellStyle name="Standard 4 4 2 4 2 2 2 3 3" xfId="25774" xr:uid="{00000000-0005-0000-0000-000073650000}"/>
    <cellStyle name="Standard 4 4 2 4 2 2 2 4" xfId="25775" xr:uid="{00000000-0005-0000-0000-000074650000}"/>
    <cellStyle name="Standard 4 4 2 4 2 2 2 4 2" xfId="25776" xr:uid="{00000000-0005-0000-0000-000075650000}"/>
    <cellStyle name="Standard 4 4 2 4 2 2 2 4 3" xfId="25777" xr:uid="{00000000-0005-0000-0000-000076650000}"/>
    <cellStyle name="Standard 4 4 2 4 2 2 2 5" xfId="25778" xr:uid="{00000000-0005-0000-0000-000077650000}"/>
    <cellStyle name="Standard 4 4 2 4 2 2 2 5 2" xfId="25779" xr:uid="{00000000-0005-0000-0000-000078650000}"/>
    <cellStyle name="Standard 4 4 2 4 2 2 2 6" xfId="25780" xr:uid="{00000000-0005-0000-0000-000079650000}"/>
    <cellStyle name="Standard 4 4 2 4 2 2 2 7" xfId="25781" xr:uid="{00000000-0005-0000-0000-00007A650000}"/>
    <cellStyle name="Standard 4 4 2 4 2 2 3" xfId="25782" xr:uid="{00000000-0005-0000-0000-00007B650000}"/>
    <cellStyle name="Standard 4 4 2 4 2 2 3 2" xfId="25783" xr:uid="{00000000-0005-0000-0000-00007C650000}"/>
    <cellStyle name="Standard 4 4 2 4 2 2 3 2 2" xfId="25784" xr:uid="{00000000-0005-0000-0000-00007D650000}"/>
    <cellStyle name="Standard 4 4 2 4 2 2 3 2 3" xfId="25785" xr:uid="{00000000-0005-0000-0000-00007E650000}"/>
    <cellStyle name="Standard 4 4 2 4 2 2 3 3" xfId="25786" xr:uid="{00000000-0005-0000-0000-00007F650000}"/>
    <cellStyle name="Standard 4 4 2 4 2 2 3 3 2" xfId="25787" xr:uid="{00000000-0005-0000-0000-000080650000}"/>
    <cellStyle name="Standard 4 4 2 4 2 2 3 3 3" xfId="25788" xr:uid="{00000000-0005-0000-0000-000081650000}"/>
    <cellStyle name="Standard 4 4 2 4 2 2 3 4" xfId="25789" xr:uid="{00000000-0005-0000-0000-000082650000}"/>
    <cellStyle name="Standard 4 4 2 4 2 2 3 4 2" xfId="25790" xr:uid="{00000000-0005-0000-0000-000083650000}"/>
    <cellStyle name="Standard 4 4 2 4 2 2 3 5" xfId="25791" xr:uid="{00000000-0005-0000-0000-000084650000}"/>
    <cellStyle name="Standard 4 4 2 4 2 2 3 6" xfId="25792" xr:uid="{00000000-0005-0000-0000-000085650000}"/>
    <cellStyle name="Standard 4 4 2 4 2 2 4" xfId="25793" xr:uid="{00000000-0005-0000-0000-000086650000}"/>
    <cellStyle name="Standard 4 4 2 4 2 2 4 2" xfId="25794" xr:uid="{00000000-0005-0000-0000-000087650000}"/>
    <cellStyle name="Standard 4 4 2 4 2 2 4 3" xfId="25795" xr:uid="{00000000-0005-0000-0000-000088650000}"/>
    <cellStyle name="Standard 4 4 2 4 2 2 5" xfId="25796" xr:uid="{00000000-0005-0000-0000-000089650000}"/>
    <cellStyle name="Standard 4 4 2 4 2 2 5 2" xfId="25797" xr:uid="{00000000-0005-0000-0000-00008A650000}"/>
    <cellStyle name="Standard 4 4 2 4 2 2 5 3" xfId="25798" xr:uid="{00000000-0005-0000-0000-00008B650000}"/>
    <cellStyle name="Standard 4 4 2 4 2 2 6" xfId="25799" xr:uid="{00000000-0005-0000-0000-00008C650000}"/>
    <cellStyle name="Standard 4 4 2 4 2 2 6 2" xfId="25800" xr:uid="{00000000-0005-0000-0000-00008D650000}"/>
    <cellStyle name="Standard 4 4 2 4 2 2 7" xfId="25801" xr:uid="{00000000-0005-0000-0000-00008E650000}"/>
    <cellStyle name="Standard 4 4 2 4 2 2 8" xfId="25802" xr:uid="{00000000-0005-0000-0000-00008F650000}"/>
    <cellStyle name="Standard 4 4 2 4 2 3" xfId="25803" xr:uid="{00000000-0005-0000-0000-000090650000}"/>
    <cellStyle name="Standard 4 4 2 4 2 3 2" xfId="25804" xr:uid="{00000000-0005-0000-0000-000091650000}"/>
    <cellStyle name="Standard 4 4 2 4 2 3 2 2" xfId="25805" xr:uid="{00000000-0005-0000-0000-000092650000}"/>
    <cellStyle name="Standard 4 4 2 4 2 3 2 2 2" xfId="25806" xr:uid="{00000000-0005-0000-0000-000093650000}"/>
    <cellStyle name="Standard 4 4 2 4 2 3 2 2 2 2" xfId="25807" xr:uid="{00000000-0005-0000-0000-000094650000}"/>
    <cellStyle name="Standard 4 4 2 4 2 3 2 2 2 3" xfId="25808" xr:uid="{00000000-0005-0000-0000-000095650000}"/>
    <cellStyle name="Standard 4 4 2 4 2 3 2 2 3" xfId="25809" xr:uid="{00000000-0005-0000-0000-000096650000}"/>
    <cellStyle name="Standard 4 4 2 4 2 3 2 2 3 2" xfId="25810" xr:uid="{00000000-0005-0000-0000-000097650000}"/>
    <cellStyle name="Standard 4 4 2 4 2 3 2 2 3 3" xfId="25811" xr:uid="{00000000-0005-0000-0000-000098650000}"/>
    <cellStyle name="Standard 4 4 2 4 2 3 2 2 4" xfId="25812" xr:uid="{00000000-0005-0000-0000-000099650000}"/>
    <cellStyle name="Standard 4 4 2 4 2 3 2 2 4 2" xfId="25813" xr:uid="{00000000-0005-0000-0000-00009A650000}"/>
    <cellStyle name="Standard 4 4 2 4 2 3 2 2 5" xfId="25814" xr:uid="{00000000-0005-0000-0000-00009B650000}"/>
    <cellStyle name="Standard 4 4 2 4 2 3 2 2 6" xfId="25815" xr:uid="{00000000-0005-0000-0000-00009C650000}"/>
    <cellStyle name="Standard 4 4 2 4 2 3 2 3" xfId="25816" xr:uid="{00000000-0005-0000-0000-00009D650000}"/>
    <cellStyle name="Standard 4 4 2 4 2 3 2 3 2" xfId="25817" xr:uid="{00000000-0005-0000-0000-00009E650000}"/>
    <cellStyle name="Standard 4 4 2 4 2 3 2 3 3" xfId="25818" xr:uid="{00000000-0005-0000-0000-00009F650000}"/>
    <cellStyle name="Standard 4 4 2 4 2 3 2 4" xfId="25819" xr:uid="{00000000-0005-0000-0000-0000A0650000}"/>
    <cellStyle name="Standard 4 4 2 4 2 3 2 4 2" xfId="25820" xr:uid="{00000000-0005-0000-0000-0000A1650000}"/>
    <cellStyle name="Standard 4 4 2 4 2 3 2 4 3" xfId="25821" xr:uid="{00000000-0005-0000-0000-0000A2650000}"/>
    <cellStyle name="Standard 4 4 2 4 2 3 2 5" xfId="25822" xr:uid="{00000000-0005-0000-0000-0000A3650000}"/>
    <cellStyle name="Standard 4 4 2 4 2 3 2 5 2" xfId="25823" xr:uid="{00000000-0005-0000-0000-0000A4650000}"/>
    <cellStyle name="Standard 4 4 2 4 2 3 2 6" xfId="25824" xr:uid="{00000000-0005-0000-0000-0000A5650000}"/>
    <cellStyle name="Standard 4 4 2 4 2 3 2 7" xfId="25825" xr:uid="{00000000-0005-0000-0000-0000A6650000}"/>
    <cellStyle name="Standard 4 4 2 4 2 3 3" xfId="25826" xr:uid="{00000000-0005-0000-0000-0000A7650000}"/>
    <cellStyle name="Standard 4 4 2 4 2 3 3 2" xfId="25827" xr:uid="{00000000-0005-0000-0000-0000A8650000}"/>
    <cellStyle name="Standard 4 4 2 4 2 3 3 2 2" xfId="25828" xr:uid="{00000000-0005-0000-0000-0000A9650000}"/>
    <cellStyle name="Standard 4 4 2 4 2 3 3 2 3" xfId="25829" xr:uid="{00000000-0005-0000-0000-0000AA650000}"/>
    <cellStyle name="Standard 4 4 2 4 2 3 3 3" xfId="25830" xr:uid="{00000000-0005-0000-0000-0000AB650000}"/>
    <cellStyle name="Standard 4 4 2 4 2 3 3 3 2" xfId="25831" xr:uid="{00000000-0005-0000-0000-0000AC650000}"/>
    <cellStyle name="Standard 4 4 2 4 2 3 3 3 3" xfId="25832" xr:uid="{00000000-0005-0000-0000-0000AD650000}"/>
    <cellStyle name="Standard 4 4 2 4 2 3 3 4" xfId="25833" xr:uid="{00000000-0005-0000-0000-0000AE650000}"/>
    <cellStyle name="Standard 4 4 2 4 2 3 3 4 2" xfId="25834" xr:uid="{00000000-0005-0000-0000-0000AF650000}"/>
    <cellStyle name="Standard 4 4 2 4 2 3 3 5" xfId="25835" xr:uid="{00000000-0005-0000-0000-0000B0650000}"/>
    <cellStyle name="Standard 4 4 2 4 2 3 3 6" xfId="25836" xr:uid="{00000000-0005-0000-0000-0000B1650000}"/>
    <cellStyle name="Standard 4 4 2 4 2 3 4" xfId="25837" xr:uid="{00000000-0005-0000-0000-0000B2650000}"/>
    <cellStyle name="Standard 4 4 2 4 2 3 4 2" xfId="25838" xr:uid="{00000000-0005-0000-0000-0000B3650000}"/>
    <cellStyle name="Standard 4 4 2 4 2 3 4 3" xfId="25839" xr:uid="{00000000-0005-0000-0000-0000B4650000}"/>
    <cellStyle name="Standard 4 4 2 4 2 3 5" xfId="25840" xr:uid="{00000000-0005-0000-0000-0000B5650000}"/>
    <cellStyle name="Standard 4 4 2 4 2 3 5 2" xfId="25841" xr:uid="{00000000-0005-0000-0000-0000B6650000}"/>
    <cellStyle name="Standard 4 4 2 4 2 3 5 3" xfId="25842" xr:uid="{00000000-0005-0000-0000-0000B7650000}"/>
    <cellStyle name="Standard 4 4 2 4 2 3 6" xfId="25843" xr:uid="{00000000-0005-0000-0000-0000B8650000}"/>
    <cellStyle name="Standard 4 4 2 4 2 3 6 2" xfId="25844" xr:uid="{00000000-0005-0000-0000-0000B9650000}"/>
    <cellStyle name="Standard 4 4 2 4 2 3 7" xfId="25845" xr:uid="{00000000-0005-0000-0000-0000BA650000}"/>
    <cellStyle name="Standard 4 4 2 4 2 3 8" xfId="25846" xr:uid="{00000000-0005-0000-0000-0000BB650000}"/>
    <cellStyle name="Standard 4 4 2 4 2 4" xfId="25847" xr:uid="{00000000-0005-0000-0000-0000BC650000}"/>
    <cellStyle name="Standard 4 4 2 4 2 4 2" xfId="25848" xr:uid="{00000000-0005-0000-0000-0000BD650000}"/>
    <cellStyle name="Standard 4 4 2 4 2 4 2 2" xfId="25849" xr:uid="{00000000-0005-0000-0000-0000BE650000}"/>
    <cellStyle name="Standard 4 4 2 4 2 4 2 2 2" xfId="25850" xr:uid="{00000000-0005-0000-0000-0000BF650000}"/>
    <cellStyle name="Standard 4 4 2 4 2 4 2 2 3" xfId="25851" xr:uid="{00000000-0005-0000-0000-0000C0650000}"/>
    <cellStyle name="Standard 4 4 2 4 2 4 2 3" xfId="25852" xr:uid="{00000000-0005-0000-0000-0000C1650000}"/>
    <cellStyle name="Standard 4 4 2 4 2 4 2 3 2" xfId="25853" xr:uid="{00000000-0005-0000-0000-0000C2650000}"/>
    <cellStyle name="Standard 4 4 2 4 2 4 2 3 3" xfId="25854" xr:uid="{00000000-0005-0000-0000-0000C3650000}"/>
    <cellStyle name="Standard 4 4 2 4 2 4 2 4" xfId="25855" xr:uid="{00000000-0005-0000-0000-0000C4650000}"/>
    <cellStyle name="Standard 4 4 2 4 2 4 2 4 2" xfId="25856" xr:uid="{00000000-0005-0000-0000-0000C5650000}"/>
    <cellStyle name="Standard 4 4 2 4 2 4 2 5" xfId="25857" xr:uid="{00000000-0005-0000-0000-0000C6650000}"/>
    <cellStyle name="Standard 4 4 2 4 2 4 2 6" xfId="25858" xr:uid="{00000000-0005-0000-0000-0000C7650000}"/>
    <cellStyle name="Standard 4 4 2 4 2 4 3" xfId="25859" xr:uid="{00000000-0005-0000-0000-0000C8650000}"/>
    <cellStyle name="Standard 4 4 2 4 2 4 3 2" xfId="25860" xr:uid="{00000000-0005-0000-0000-0000C9650000}"/>
    <cellStyle name="Standard 4 4 2 4 2 4 3 3" xfId="25861" xr:uid="{00000000-0005-0000-0000-0000CA650000}"/>
    <cellStyle name="Standard 4 4 2 4 2 4 4" xfId="25862" xr:uid="{00000000-0005-0000-0000-0000CB650000}"/>
    <cellStyle name="Standard 4 4 2 4 2 4 4 2" xfId="25863" xr:uid="{00000000-0005-0000-0000-0000CC650000}"/>
    <cellStyle name="Standard 4 4 2 4 2 4 4 3" xfId="25864" xr:uid="{00000000-0005-0000-0000-0000CD650000}"/>
    <cellStyle name="Standard 4 4 2 4 2 4 5" xfId="25865" xr:uid="{00000000-0005-0000-0000-0000CE650000}"/>
    <cellStyle name="Standard 4 4 2 4 2 4 5 2" xfId="25866" xr:uid="{00000000-0005-0000-0000-0000CF650000}"/>
    <cellStyle name="Standard 4 4 2 4 2 4 6" xfId="25867" xr:uid="{00000000-0005-0000-0000-0000D0650000}"/>
    <cellStyle name="Standard 4 4 2 4 2 4 7" xfId="25868" xr:uid="{00000000-0005-0000-0000-0000D1650000}"/>
    <cellStyle name="Standard 4 4 2 4 2 5" xfId="25869" xr:uid="{00000000-0005-0000-0000-0000D2650000}"/>
    <cellStyle name="Standard 4 4 2 4 2 5 2" xfId="25870" xr:uid="{00000000-0005-0000-0000-0000D3650000}"/>
    <cellStyle name="Standard 4 4 2 4 2 5 2 2" xfId="25871" xr:uid="{00000000-0005-0000-0000-0000D4650000}"/>
    <cellStyle name="Standard 4 4 2 4 2 5 2 3" xfId="25872" xr:uid="{00000000-0005-0000-0000-0000D5650000}"/>
    <cellStyle name="Standard 4 4 2 4 2 5 3" xfId="25873" xr:uid="{00000000-0005-0000-0000-0000D6650000}"/>
    <cellStyle name="Standard 4 4 2 4 2 5 3 2" xfId="25874" xr:uid="{00000000-0005-0000-0000-0000D7650000}"/>
    <cellStyle name="Standard 4 4 2 4 2 5 3 3" xfId="25875" xr:uid="{00000000-0005-0000-0000-0000D8650000}"/>
    <cellStyle name="Standard 4 4 2 4 2 5 4" xfId="25876" xr:uid="{00000000-0005-0000-0000-0000D9650000}"/>
    <cellStyle name="Standard 4 4 2 4 2 5 4 2" xfId="25877" xr:uid="{00000000-0005-0000-0000-0000DA650000}"/>
    <cellStyle name="Standard 4 4 2 4 2 5 5" xfId="25878" xr:uid="{00000000-0005-0000-0000-0000DB650000}"/>
    <cellStyle name="Standard 4 4 2 4 2 5 6" xfId="25879" xr:uid="{00000000-0005-0000-0000-0000DC650000}"/>
    <cellStyle name="Standard 4 4 2 4 2 6" xfId="25880" xr:uid="{00000000-0005-0000-0000-0000DD650000}"/>
    <cellStyle name="Standard 4 4 2 4 2 6 2" xfId="25881" xr:uid="{00000000-0005-0000-0000-0000DE650000}"/>
    <cellStyle name="Standard 4 4 2 4 2 6 3" xfId="25882" xr:uid="{00000000-0005-0000-0000-0000DF650000}"/>
    <cellStyle name="Standard 4 4 2 4 2 7" xfId="25883" xr:uid="{00000000-0005-0000-0000-0000E0650000}"/>
    <cellStyle name="Standard 4 4 2 4 2 7 2" xfId="25884" xr:uid="{00000000-0005-0000-0000-0000E1650000}"/>
    <cellStyle name="Standard 4 4 2 4 2 7 3" xfId="25885" xr:uid="{00000000-0005-0000-0000-0000E2650000}"/>
    <cellStyle name="Standard 4 4 2 4 2 8" xfId="25886" xr:uid="{00000000-0005-0000-0000-0000E3650000}"/>
    <cellStyle name="Standard 4 4 2 4 2 8 2" xfId="25887" xr:uid="{00000000-0005-0000-0000-0000E4650000}"/>
    <cellStyle name="Standard 4 4 2 4 2 9" xfId="25888" xr:uid="{00000000-0005-0000-0000-0000E5650000}"/>
    <cellStyle name="Standard 4 4 2 4 3" xfId="25889" xr:uid="{00000000-0005-0000-0000-0000E6650000}"/>
    <cellStyle name="Standard 4 4 2 4 3 2" xfId="25890" xr:uid="{00000000-0005-0000-0000-0000E7650000}"/>
    <cellStyle name="Standard 4 4 2 4 3 2 2" xfId="25891" xr:uid="{00000000-0005-0000-0000-0000E8650000}"/>
    <cellStyle name="Standard 4 4 2 4 3 2 2 2" xfId="25892" xr:uid="{00000000-0005-0000-0000-0000E9650000}"/>
    <cellStyle name="Standard 4 4 2 4 3 2 2 2 2" xfId="25893" xr:uid="{00000000-0005-0000-0000-0000EA650000}"/>
    <cellStyle name="Standard 4 4 2 4 3 2 2 2 3" xfId="25894" xr:uid="{00000000-0005-0000-0000-0000EB650000}"/>
    <cellStyle name="Standard 4 4 2 4 3 2 2 3" xfId="25895" xr:uid="{00000000-0005-0000-0000-0000EC650000}"/>
    <cellStyle name="Standard 4 4 2 4 3 2 2 3 2" xfId="25896" xr:uid="{00000000-0005-0000-0000-0000ED650000}"/>
    <cellStyle name="Standard 4 4 2 4 3 2 2 3 3" xfId="25897" xr:uid="{00000000-0005-0000-0000-0000EE650000}"/>
    <cellStyle name="Standard 4 4 2 4 3 2 2 4" xfId="25898" xr:uid="{00000000-0005-0000-0000-0000EF650000}"/>
    <cellStyle name="Standard 4 4 2 4 3 2 2 4 2" xfId="25899" xr:uid="{00000000-0005-0000-0000-0000F0650000}"/>
    <cellStyle name="Standard 4 4 2 4 3 2 2 5" xfId="25900" xr:uid="{00000000-0005-0000-0000-0000F1650000}"/>
    <cellStyle name="Standard 4 4 2 4 3 2 2 6" xfId="25901" xr:uid="{00000000-0005-0000-0000-0000F2650000}"/>
    <cellStyle name="Standard 4 4 2 4 3 2 3" xfId="25902" xr:uid="{00000000-0005-0000-0000-0000F3650000}"/>
    <cellStyle name="Standard 4 4 2 4 3 2 3 2" xfId="25903" xr:uid="{00000000-0005-0000-0000-0000F4650000}"/>
    <cellStyle name="Standard 4 4 2 4 3 2 3 3" xfId="25904" xr:uid="{00000000-0005-0000-0000-0000F5650000}"/>
    <cellStyle name="Standard 4 4 2 4 3 2 4" xfId="25905" xr:uid="{00000000-0005-0000-0000-0000F6650000}"/>
    <cellStyle name="Standard 4 4 2 4 3 2 4 2" xfId="25906" xr:uid="{00000000-0005-0000-0000-0000F7650000}"/>
    <cellStyle name="Standard 4 4 2 4 3 2 4 3" xfId="25907" xr:uid="{00000000-0005-0000-0000-0000F8650000}"/>
    <cellStyle name="Standard 4 4 2 4 3 2 5" xfId="25908" xr:uid="{00000000-0005-0000-0000-0000F9650000}"/>
    <cellStyle name="Standard 4 4 2 4 3 2 5 2" xfId="25909" xr:uid="{00000000-0005-0000-0000-0000FA650000}"/>
    <cellStyle name="Standard 4 4 2 4 3 2 6" xfId="25910" xr:uid="{00000000-0005-0000-0000-0000FB650000}"/>
    <cellStyle name="Standard 4 4 2 4 3 2 7" xfId="25911" xr:uid="{00000000-0005-0000-0000-0000FC650000}"/>
    <cellStyle name="Standard 4 4 2 4 3 3" xfId="25912" xr:uid="{00000000-0005-0000-0000-0000FD650000}"/>
    <cellStyle name="Standard 4 4 2 4 3 3 2" xfId="25913" xr:uid="{00000000-0005-0000-0000-0000FE650000}"/>
    <cellStyle name="Standard 4 4 2 4 3 3 2 2" xfId="25914" xr:uid="{00000000-0005-0000-0000-0000FF650000}"/>
    <cellStyle name="Standard 4 4 2 4 3 3 2 3" xfId="25915" xr:uid="{00000000-0005-0000-0000-000000660000}"/>
    <cellStyle name="Standard 4 4 2 4 3 3 3" xfId="25916" xr:uid="{00000000-0005-0000-0000-000001660000}"/>
    <cellStyle name="Standard 4 4 2 4 3 3 3 2" xfId="25917" xr:uid="{00000000-0005-0000-0000-000002660000}"/>
    <cellStyle name="Standard 4 4 2 4 3 3 3 3" xfId="25918" xr:uid="{00000000-0005-0000-0000-000003660000}"/>
    <cellStyle name="Standard 4 4 2 4 3 3 4" xfId="25919" xr:uid="{00000000-0005-0000-0000-000004660000}"/>
    <cellStyle name="Standard 4 4 2 4 3 3 4 2" xfId="25920" xr:uid="{00000000-0005-0000-0000-000005660000}"/>
    <cellStyle name="Standard 4 4 2 4 3 3 5" xfId="25921" xr:uid="{00000000-0005-0000-0000-000006660000}"/>
    <cellStyle name="Standard 4 4 2 4 3 3 6" xfId="25922" xr:uid="{00000000-0005-0000-0000-000007660000}"/>
    <cellStyle name="Standard 4 4 2 4 3 4" xfId="25923" xr:uid="{00000000-0005-0000-0000-000008660000}"/>
    <cellStyle name="Standard 4 4 2 4 3 4 2" xfId="25924" xr:uid="{00000000-0005-0000-0000-000009660000}"/>
    <cellStyle name="Standard 4 4 2 4 3 4 3" xfId="25925" xr:uid="{00000000-0005-0000-0000-00000A660000}"/>
    <cellStyle name="Standard 4 4 2 4 3 5" xfId="25926" xr:uid="{00000000-0005-0000-0000-00000B660000}"/>
    <cellStyle name="Standard 4 4 2 4 3 5 2" xfId="25927" xr:uid="{00000000-0005-0000-0000-00000C660000}"/>
    <cellStyle name="Standard 4 4 2 4 3 5 3" xfId="25928" xr:uid="{00000000-0005-0000-0000-00000D660000}"/>
    <cellStyle name="Standard 4 4 2 4 3 6" xfId="25929" xr:uid="{00000000-0005-0000-0000-00000E660000}"/>
    <cellStyle name="Standard 4 4 2 4 3 6 2" xfId="25930" xr:uid="{00000000-0005-0000-0000-00000F660000}"/>
    <cellStyle name="Standard 4 4 2 4 3 7" xfId="25931" xr:uid="{00000000-0005-0000-0000-000010660000}"/>
    <cellStyle name="Standard 4 4 2 4 3 8" xfId="25932" xr:uid="{00000000-0005-0000-0000-000011660000}"/>
    <cellStyle name="Standard 4 4 2 4 4" xfId="25933" xr:uid="{00000000-0005-0000-0000-000012660000}"/>
    <cellStyle name="Standard 4 4 2 4 4 2" xfId="25934" xr:uid="{00000000-0005-0000-0000-000013660000}"/>
    <cellStyle name="Standard 4 4 2 4 4 2 2" xfId="25935" xr:uid="{00000000-0005-0000-0000-000014660000}"/>
    <cellStyle name="Standard 4 4 2 4 4 2 2 2" xfId="25936" xr:uid="{00000000-0005-0000-0000-000015660000}"/>
    <cellStyle name="Standard 4 4 2 4 4 2 2 2 2" xfId="25937" xr:uid="{00000000-0005-0000-0000-000016660000}"/>
    <cellStyle name="Standard 4 4 2 4 4 2 2 2 3" xfId="25938" xr:uid="{00000000-0005-0000-0000-000017660000}"/>
    <cellStyle name="Standard 4 4 2 4 4 2 2 3" xfId="25939" xr:uid="{00000000-0005-0000-0000-000018660000}"/>
    <cellStyle name="Standard 4 4 2 4 4 2 2 3 2" xfId="25940" xr:uid="{00000000-0005-0000-0000-000019660000}"/>
    <cellStyle name="Standard 4 4 2 4 4 2 2 3 3" xfId="25941" xr:uid="{00000000-0005-0000-0000-00001A660000}"/>
    <cellStyle name="Standard 4 4 2 4 4 2 2 4" xfId="25942" xr:uid="{00000000-0005-0000-0000-00001B660000}"/>
    <cellStyle name="Standard 4 4 2 4 4 2 2 4 2" xfId="25943" xr:uid="{00000000-0005-0000-0000-00001C660000}"/>
    <cellStyle name="Standard 4 4 2 4 4 2 2 5" xfId="25944" xr:uid="{00000000-0005-0000-0000-00001D660000}"/>
    <cellStyle name="Standard 4 4 2 4 4 2 2 6" xfId="25945" xr:uid="{00000000-0005-0000-0000-00001E660000}"/>
    <cellStyle name="Standard 4 4 2 4 4 2 3" xfId="25946" xr:uid="{00000000-0005-0000-0000-00001F660000}"/>
    <cellStyle name="Standard 4 4 2 4 4 2 3 2" xfId="25947" xr:uid="{00000000-0005-0000-0000-000020660000}"/>
    <cellStyle name="Standard 4 4 2 4 4 2 3 3" xfId="25948" xr:uid="{00000000-0005-0000-0000-000021660000}"/>
    <cellStyle name="Standard 4 4 2 4 4 2 4" xfId="25949" xr:uid="{00000000-0005-0000-0000-000022660000}"/>
    <cellStyle name="Standard 4 4 2 4 4 2 4 2" xfId="25950" xr:uid="{00000000-0005-0000-0000-000023660000}"/>
    <cellStyle name="Standard 4 4 2 4 4 2 4 3" xfId="25951" xr:uid="{00000000-0005-0000-0000-000024660000}"/>
    <cellStyle name="Standard 4 4 2 4 4 2 5" xfId="25952" xr:uid="{00000000-0005-0000-0000-000025660000}"/>
    <cellStyle name="Standard 4 4 2 4 4 2 5 2" xfId="25953" xr:uid="{00000000-0005-0000-0000-000026660000}"/>
    <cellStyle name="Standard 4 4 2 4 4 2 6" xfId="25954" xr:uid="{00000000-0005-0000-0000-000027660000}"/>
    <cellStyle name="Standard 4 4 2 4 4 2 7" xfId="25955" xr:uid="{00000000-0005-0000-0000-000028660000}"/>
    <cellStyle name="Standard 4 4 2 4 4 3" xfId="25956" xr:uid="{00000000-0005-0000-0000-000029660000}"/>
    <cellStyle name="Standard 4 4 2 4 4 3 2" xfId="25957" xr:uid="{00000000-0005-0000-0000-00002A660000}"/>
    <cellStyle name="Standard 4 4 2 4 4 3 2 2" xfId="25958" xr:uid="{00000000-0005-0000-0000-00002B660000}"/>
    <cellStyle name="Standard 4 4 2 4 4 3 2 3" xfId="25959" xr:uid="{00000000-0005-0000-0000-00002C660000}"/>
    <cellStyle name="Standard 4 4 2 4 4 3 3" xfId="25960" xr:uid="{00000000-0005-0000-0000-00002D660000}"/>
    <cellStyle name="Standard 4 4 2 4 4 3 3 2" xfId="25961" xr:uid="{00000000-0005-0000-0000-00002E660000}"/>
    <cellStyle name="Standard 4 4 2 4 4 3 3 3" xfId="25962" xr:uid="{00000000-0005-0000-0000-00002F660000}"/>
    <cellStyle name="Standard 4 4 2 4 4 3 4" xfId="25963" xr:uid="{00000000-0005-0000-0000-000030660000}"/>
    <cellStyle name="Standard 4 4 2 4 4 3 4 2" xfId="25964" xr:uid="{00000000-0005-0000-0000-000031660000}"/>
    <cellStyle name="Standard 4 4 2 4 4 3 5" xfId="25965" xr:uid="{00000000-0005-0000-0000-000032660000}"/>
    <cellStyle name="Standard 4 4 2 4 4 3 6" xfId="25966" xr:uid="{00000000-0005-0000-0000-000033660000}"/>
    <cellStyle name="Standard 4 4 2 4 4 4" xfId="25967" xr:uid="{00000000-0005-0000-0000-000034660000}"/>
    <cellStyle name="Standard 4 4 2 4 4 4 2" xfId="25968" xr:uid="{00000000-0005-0000-0000-000035660000}"/>
    <cellStyle name="Standard 4 4 2 4 4 4 3" xfId="25969" xr:uid="{00000000-0005-0000-0000-000036660000}"/>
    <cellStyle name="Standard 4 4 2 4 4 5" xfId="25970" xr:uid="{00000000-0005-0000-0000-000037660000}"/>
    <cellStyle name="Standard 4 4 2 4 4 5 2" xfId="25971" xr:uid="{00000000-0005-0000-0000-000038660000}"/>
    <cellStyle name="Standard 4 4 2 4 4 5 3" xfId="25972" xr:uid="{00000000-0005-0000-0000-000039660000}"/>
    <cellStyle name="Standard 4 4 2 4 4 6" xfId="25973" xr:uid="{00000000-0005-0000-0000-00003A660000}"/>
    <cellStyle name="Standard 4 4 2 4 4 6 2" xfId="25974" xr:uid="{00000000-0005-0000-0000-00003B660000}"/>
    <cellStyle name="Standard 4 4 2 4 4 7" xfId="25975" xr:uid="{00000000-0005-0000-0000-00003C660000}"/>
    <cellStyle name="Standard 4 4 2 4 4 8" xfId="25976" xr:uid="{00000000-0005-0000-0000-00003D660000}"/>
    <cellStyle name="Standard 4 4 2 4 5" xfId="25977" xr:uid="{00000000-0005-0000-0000-00003E660000}"/>
    <cellStyle name="Standard 4 4 2 4 5 2" xfId="25978" xr:uid="{00000000-0005-0000-0000-00003F660000}"/>
    <cellStyle name="Standard 4 4 2 4 5 2 2" xfId="25979" xr:uid="{00000000-0005-0000-0000-000040660000}"/>
    <cellStyle name="Standard 4 4 2 4 5 2 2 2" xfId="25980" xr:uid="{00000000-0005-0000-0000-000041660000}"/>
    <cellStyle name="Standard 4 4 2 4 5 2 2 3" xfId="25981" xr:uid="{00000000-0005-0000-0000-000042660000}"/>
    <cellStyle name="Standard 4 4 2 4 5 2 3" xfId="25982" xr:uid="{00000000-0005-0000-0000-000043660000}"/>
    <cellStyle name="Standard 4 4 2 4 5 2 3 2" xfId="25983" xr:uid="{00000000-0005-0000-0000-000044660000}"/>
    <cellStyle name="Standard 4 4 2 4 5 2 3 3" xfId="25984" xr:uid="{00000000-0005-0000-0000-000045660000}"/>
    <cellStyle name="Standard 4 4 2 4 5 2 4" xfId="25985" xr:uid="{00000000-0005-0000-0000-000046660000}"/>
    <cellStyle name="Standard 4 4 2 4 5 2 4 2" xfId="25986" xr:uid="{00000000-0005-0000-0000-000047660000}"/>
    <cellStyle name="Standard 4 4 2 4 5 2 5" xfId="25987" xr:uid="{00000000-0005-0000-0000-000048660000}"/>
    <cellStyle name="Standard 4 4 2 4 5 2 6" xfId="25988" xr:uid="{00000000-0005-0000-0000-000049660000}"/>
    <cellStyle name="Standard 4 4 2 4 5 3" xfId="25989" xr:uid="{00000000-0005-0000-0000-00004A660000}"/>
    <cellStyle name="Standard 4 4 2 4 5 3 2" xfId="25990" xr:uid="{00000000-0005-0000-0000-00004B660000}"/>
    <cellStyle name="Standard 4 4 2 4 5 3 3" xfId="25991" xr:uid="{00000000-0005-0000-0000-00004C660000}"/>
    <cellStyle name="Standard 4 4 2 4 5 4" xfId="25992" xr:uid="{00000000-0005-0000-0000-00004D660000}"/>
    <cellStyle name="Standard 4 4 2 4 5 4 2" xfId="25993" xr:uid="{00000000-0005-0000-0000-00004E660000}"/>
    <cellStyle name="Standard 4 4 2 4 5 4 3" xfId="25994" xr:uid="{00000000-0005-0000-0000-00004F660000}"/>
    <cellStyle name="Standard 4 4 2 4 5 5" xfId="25995" xr:uid="{00000000-0005-0000-0000-000050660000}"/>
    <cellStyle name="Standard 4 4 2 4 5 5 2" xfId="25996" xr:uid="{00000000-0005-0000-0000-000051660000}"/>
    <cellStyle name="Standard 4 4 2 4 5 6" xfId="25997" xr:uid="{00000000-0005-0000-0000-000052660000}"/>
    <cellStyle name="Standard 4 4 2 4 5 7" xfId="25998" xr:uid="{00000000-0005-0000-0000-000053660000}"/>
    <cellStyle name="Standard 4 4 2 4 6" xfId="25999" xr:uid="{00000000-0005-0000-0000-000054660000}"/>
    <cellStyle name="Standard 4 4 2 4 6 2" xfId="26000" xr:uid="{00000000-0005-0000-0000-000055660000}"/>
    <cellStyle name="Standard 4 4 2 4 6 2 2" xfId="26001" xr:uid="{00000000-0005-0000-0000-000056660000}"/>
    <cellStyle name="Standard 4 4 2 4 6 2 3" xfId="26002" xr:uid="{00000000-0005-0000-0000-000057660000}"/>
    <cellStyle name="Standard 4 4 2 4 6 3" xfId="26003" xr:uid="{00000000-0005-0000-0000-000058660000}"/>
    <cellStyle name="Standard 4 4 2 4 6 3 2" xfId="26004" xr:uid="{00000000-0005-0000-0000-000059660000}"/>
    <cellStyle name="Standard 4 4 2 4 6 3 3" xfId="26005" xr:uid="{00000000-0005-0000-0000-00005A660000}"/>
    <cellStyle name="Standard 4 4 2 4 6 4" xfId="26006" xr:uid="{00000000-0005-0000-0000-00005B660000}"/>
    <cellStyle name="Standard 4 4 2 4 6 4 2" xfId="26007" xr:uid="{00000000-0005-0000-0000-00005C660000}"/>
    <cellStyle name="Standard 4 4 2 4 6 5" xfId="26008" xr:uid="{00000000-0005-0000-0000-00005D660000}"/>
    <cellStyle name="Standard 4 4 2 4 6 6" xfId="26009" xr:uid="{00000000-0005-0000-0000-00005E660000}"/>
    <cellStyle name="Standard 4 4 2 4 7" xfId="26010" xr:uid="{00000000-0005-0000-0000-00005F660000}"/>
    <cellStyle name="Standard 4 4 2 4 7 2" xfId="26011" xr:uid="{00000000-0005-0000-0000-000060660000}"/>
    <cellStyle name="Standard 4 4 2 4 7 3" xfId="26012" xr:uid="{00000000-0005-0000-0000-000061660000}"/>
    <cellStyle name="Standard 4 4 2 4 8" xfId="26013" xr:uid="{00000000-0005-0000-0000-000062660000}"/>
    <cellStyle name="Standard 4 4 2 4 8 2" xfId="26014" xr:uid="{00000000-0005-0000-0000-000063660000}"/>
    <cellStyle name="Standard 4 4 2 4 8 3" xfId="26015" xr:uid="{00000000-0005-0000-0000-000064660000}"/>
    <cellStyle name="Standard 4 4 2 4 9" xfId="26016" xr:uid="{00000000-0005-0000-0000-000065660000}"/>
    <cellStyle name="Standard 4 4 2 4 9 2" xfId="26017" xr:uid="{00000000-0005-0000-0000-000066660000}"/>
    <cellStyle name="Standard 4 4 2 5" xfId="26018" xr:uid="{00000000-0005-0000-0000-000067660000}"/>
    <cellStyle name="Standard 4 4 2 5 10" xfId="26019" xr:uid="{00000000-0005-0000-0000-000068660000}"/>
    <cellStyle name="Standard 4 4 2 5 2" xfId="26020" xr:uid="{00000000-0005-0000-0000-000069660000}"/>
    <cellStyle name="Standard 4 4 2 5 2 2" xfId="26021" xr:uid="{00000000-0005-0000-0000-00006A660000}"/>
    <cellStyle name="Standard 4 4 2 5 2 2 2" xfId="26022" xr:uid="{00000000-0005-0000-0000-00006B660000}"/>
    <cellStyle name="Standard 4 4 2 5 2 2 2 2" xfId="26023" xr:uid="{00000000-0005-0000-0000-00006C660000}"/>
    <cellStyle name="Standard 4 4 2 5 2 2 2 2 2" xfId="26024" xr:uid="{00000000-0005-0000-0000-00006D660000}"/>
    <cellStyle name="Standard 4 4 2 5 2 2 2 2 3" xfId="26025" xr:uid="{00000000-0005-0000-0000-00006E660000}"/>
    <cellStyle name="Standard 4 4 2 5 2 2 2 3" xfId="26026" xr:uid="{00000000-0005-0000-0000-00006F660000}"/>
    <cellStyle name="Standard 4 4 2 5 2 2 2 3 2" xfId="26027" xr:uid="{00000000-0005-0000-0000-000070660000}"/>
    <cellStyle name="Standard 4 4 2 5 2 2 2 3 3" xfId="26028" xr:uid="{00000000-0005-0000-0000-000071660000}"/>
    <cellStyle name="Standard 4 4 2 5 2 2 2 4" xfId="26029" xr:uid="{00000000-0005-0000-0000-000072660000}"/>
    <cellStyle name="Standard 4 4 2 5 2 2 2 4 2" xfId="26030" xr:uid="{00000000-0005-0000-0000-000073660000}"/>
    <cellStyle name="Standard 4 4 2 5 2 2 2 5" xfId="26031" xr:uid="{00000000-0005-0000-0000-000074660000}"/>
    <cellStyle name="Standard 4 4 2 5 2 2 2 6" xfId="26032" xr:uid="{00000000-0005-0000-0000-000075660000}"/>
    <cellStyle name="Standard 4 4 2 5 2 2 3" xfId="26033" xr:uid="{00000000-0005-0000-0000-000076660000}"/>
    <cellStyle name="Standard 4 4 2 5 2 2 3 2" xfId="26034" xr:uid="{00000000-0005-0000-0000-000077660000}"/>
    <cellStyle name="Standard 4 4 2 5 2 2 3 3" xfId="26035" xr:uid="{00000000-0005-0000-0000-000078660000}"/>
    <cellStyle name="Standard 4 4 2 5 2 2 4" xfId="26036" xr:uid="{00000000-0005-0000-0000-000079660000}"/>
    <cellStyle name="Standard 4 4 2 5 2 2 4 2" xfId="26037" xr:uid="{00000000-0005-0000-0000-00007A660000}"/>
    <cellStyle name="Standard 4 4 2 5 2 2 4 3" xfId="26038" xr:uid="{00000000-0005-0000-0000-00007B660000}"/>
    <cellStyle name="Standard 4 4 2 5 2 2 5" xfId="26039" xr:uid="{00000000-0005-0000-0000-00007C660000}"/>
    <cellStyle name="Standard 4 4 2 5 2 2 5 2" xfId="26040" xr:uid="{00000000-0005-0000-0000-00007D660000}"/>
    <cellStyle name="Standard 4 4 2 5 2 2 6" xfId="26041" xr:uid="{00000000-0005-0000-0000-00007E660000}"/>
    <cellStyle name="Standard 4 4 2 5 2 2 7" xfId="26042" xr:uid="{00000000-0005-0000-0000-00007F660000}"/>
    <cellStyle name="Standard 4 4 2 5 2 3" xfId="26043" xr:uid="{00000000-0005-0000-0000-000080660000}"/>
    <cellStyle name="Standard 4 4 2 5 2 3 2" xfId="26044" xr:uid="{00000000-0005-0000-0000-000081660000}"/>
    <cellStyle name="Standard 4 4 2 5 2 3 2 2" xfId="26045" xr:uid="{00000000-0005-0000-0000-000082660000}"/>
    <cellStyle name="Standard 4 4 2 5 2 3 2 3" xfId="26046" xr:uid="{00000000-0005-0000-0000-000083660000}"/>
    <cellStyle name="Standard 4 4 2 5 2 3 3" xfId="26047" xr:uid="{00000000-0005-0000-0000-000084660000}"/>
    <cellStyle name="Standard 4 4 2 5 2 3 3 2" xfId="26048" xr:uid="{00000000-0005-0000-0000-000085660000}"/>
    <cellStyle name="Standard 4 4 2 5 2 3 3 3" xfId="26049" xr:uid="{00000000-0005-0000-0000-000086660000}"/>
    <cellStyle name="Standard 4 4 2 5 2 3 4" xfId="26050" xr:uid="{00000000-0005-0000-0000-000087660000}"/>
    <cellStyle name="Standard 4 4 2 5 2 3 4 2" xfId="26051" xr:uid="{00000000-0005-0000-0000-000088660000}"/>
    <cellStyle name="Standard 4 4 2 5 2 3 5" xfId="26052" xr:uid="{00000000-0005-0000-0000-000089660000}"/>
    <cellStyle name="Standard 4 4 2 5 2 3 6" xfId="26053" xr:uid="{00000000-0005-0000-0000-00008A660000}"/>
    <cellStyle name="Standard 4 4 2 5 2 4" xfId="26054" xr:uid="{00000000-0005-0000-0000-00008B660000}"/>
    <cellStyle name="Standard 4 4 2 5 2 4 2" xfId="26055" xr:uid="{00000000-0005-0000-0000-00008C660000}"/>
    <cellStyle name="Standard 4 4 2 5 2 4 3" xfId="26056" xr:uid="{00000000-0005-0000-0000-00008D660000}"/>
    <cellStyle name="Standard 4 4 2 5 2 5" xfId="26057" xr:uid="{00000000-0005-0000-0000-00008E660000}"/>
    <cellStyle name="Standard 4 4 2 5 2 5 2" xfId="26058" xr:uid="{00000000-0005-0000-0000-00008F660000}"/>
    <cellStyle name="Standard 4 4 2 5 2 5 3" xfId="26059" xr:uid="{00000000-0005-0000-0000-000090660000}"/>
    <cellStyle name="Standard 4 4 2 5 2 6" xfId="26060" xr:uid="{00000000-0005-0000-0000-000091660000}"/>
    <cellStyle name="Standard 4 4 2 5 2 6 2" xfId="26061" xr:uid="{00000000-0005-0000-0000-000092660000}"/>
    <cellStyle name="Standard 4 4 2 5 2 7" xfId="26062" xr:uid="{00000000-0005-0000-0000-000093660000}"/>
    <cellStyle name="Standard 4 4 2 5 2 8" xfId="26063" xr:uid="{00000000-0005-0000-0000-000094660000}"/>
    <cellStyle name="Standard 4 4 2 5 3" xfId="26064" xr:uid="{00000000-0005-0000-0000-000095660000}"/>
    <cellStyle name="Standard 4 4 2 5 3 2" xfId="26065" xr:uid="{00000000-0005-0000-0000-000096660000}"/>
    <cellStyle name="Standard 4 4 2 5 3 2 2" xfId="26066" xr:uid="{00000000-0005-0000-0000-000097660000}"/>
    <cellStyle name="Standard 4 4 2 5 3 2 2 2" xfId="26067" xr:uid="{00000000-0005-0000-0000-000098660000}"/>
    <cellStyle name="Standard 4 4 2 5 3 2 2 2 2" xfId="26068" xr:uid="{00000000-0005-0000-0000-000099660000}"/>
    <cellStyle name="Standard 4 4 2 5 3 2 2 2 3" xfId="26069" xr:uid="{00000000-0005-0000-0000-00009A660000}"/>
    <cellStyle name="Standard 4 4 2 5 3 2 2 3" xfId="26070" xr:uid="{00000000-0005-0000-0000-00009B660000}"/>
    <cellStyle name="Standard 4 4 2 5 3 2 2 3 2" xfId="26071" xr:uid="{00000000-0005-0000-0000-00009C660000}"/>
    <cellStyle name="Standard 4 4 2 5 3 2 2 3 3" xfId="26072" xr:uid="{00000000-0005-0000-0000-00009D660000}"/>
    <cellStyle name="Standard 4 4 2 5 3 2 2 4" xfId="26073" xr:uid="{00000000-0005-0000-0000-00009E660000}"/>
    <cellStyle name="Standard 4 4 2 5 3 2 2 4 2" xfId="26074" xr:uid="{00000000-0005-0000-0000-00009F660000}"/>
    <cellStyle name="Standard 4 4 2 5 3 2 2 5" xfId="26075" xr:uid="{00000000-0005-0000-0000-0000A0660000}"/>
    <cellStyle name="Standard 4 4 2 5 3 2 2 6" xfId="26076" xr:uid="{00000000-0005-0000-0000-0000A1660000}"/>
    <cellStyle name="Standard 4 4 2 5 3 2 3" xfId="26077" xr:uid="{00000000-0005-0000-0000-0000A2660000}"/>
    <cellStyle name="Standard 4 4 2 5 3 2 3 2" xfId="26078" xr:uid="{00000000-0005-0000-0000-0000A3660000}"/>
    <cellStyle name="Standard 4 4 2 5 3 2 3 3" xfId="26079" xr:uid="{00000000-0005-0000-0000-0000A4660000}"/>
    <cellStyle name="Standard 4 4 2 5 3 2 4" xfId="26080" xr:uid="{00000000-0005-0000-0000-0000A5660000}"/>
    <cellStyle name="Standard 4 4 2 5 3 2 4 2" xfId="26081" xr:uid="{00000000-0005-0000-0000-0000A6660000}"/>
    <cellStyle name="Standard 4 4 2 5 3 2 4 3" xfId="26082" xr:uid="{00000000-0005-0000-0000-0000A7660000}"/>
    <cellStyle name="Standard 4 4 2 5 3 2 5" xfId="26083" xr:uid="{00000000-0005-0000-0000-0000A8660000}"/>
    <cellStyle name="Standard 4 4 2 5 3 2 5 2" xfId="26084" xr:uid="{00000000-0005-0000-0000-0000A9660000}"/>
    <cellStyle name="Standard 4 4 2 5 3 2 6" xfId="26085" xr:uid="{00000000-0005-0000-0000-0000AA660000}"/>
    <cellStyle name="Standard 4 4 2 5 3 2 7" xfId="26086" xr:uid="{00000000-0005-0000-0000-0000AB660000}"/>
    <cellStyle name="Standard 4 4 2 5 3 3" xfId="26087" xr:uid="{00000000-0005-0000-0000-0000AC660000}"/>
    <cellStyle name="Standard 4 4 2 5 3 3 2" xfId="26088" xr:uid="{00000000-0005-0000-0000-0000AD660000}"/>
    <cellStyle name="Standard 4 4 2 5 3 3 2 2" xfId="26089" xr:uid="{00000000-0005-0000-0000-0000AE660000}"/>
    <cellStyle name="Standard 4 4 2 5 3 3 2 3" xfId="26090" xr:uid="{00000000-0005-0000-0000-0000AF660000}"/>
    <cellStyle name="Standard 4 4 2 5 3 3 3" xfId="26091" xr:uid="{00000000-0005-0000-0000-0000B0660000}"/>
    <cellStyle name="Standard 4 4 2 5 3 3 3 2" xfId="26092" xr:uid="{00000000-0005-0000-0000-0000B1660000}"/>
    <cellStyle name="Standard 4 4 2 5 3 3 3 3" xfId="26093" xr:uid="{00000000-0005-0000-0000-0000B2660000}"/>
    <cellStyle name="Standard 4 4 2 5 3 3 4" xfId="26094" xr:uid="{00000000-0005-0000-0000-0000B3660000}"/>
    <cellStyle name="Standard 4 4 2 5 3 3 4 2" xfId="26095" xr:uid="{00000000-0005-0000-0000-0000B4660000}"/>
    <cellStyle name="Standard 4 4 2 5 3 3 5" xfId="26096" xr:uid="{00000000-0005-0000-0000-0000B5660000}"/>
    <cellStyle name="Standard 4 4 2 5 3 3 6" xfId="26097" xr:uid="{00000000-0005-0000-0000-0000B6660000}"/>
    <cellStyle name="Standard 4 4 2 5 3 4" xfId="26098" xr:uid="{00000000-0005-0000-0000-0000B7660000}"/>
    <cellStyle name="Standard 4 4 2 5 3 4 2" xfId="26099" xr:uid="{00000000-0005-0000-0000-0000B8660000}"/>
    <cellStyle name="Standard 4 4 2 5 3 4 3" xfId="26100" xr:uid="{00000000-0005-0000-0000-0000B9660000}"/>
    <cellStyle name="Standard 4 4 2 5 3 5" xfId="26101" xr:uid="{00000000-0005-0000-0000-0000BA660000}"/>
    <cellStyle name="Standard 4 4 2 5 3 5 2" xfId="26102" xr:uid="{00000000-0005-0000-0000-0000BB660000}"/>
    <cellStyle name="Standard 4 4 2 5 3 5 3" xfId="26103" xr:uid="{00000000-0005-0000-0000-0000BC660000}"/>
    <cellStyle name="Standard 4 4 2 5 3 6" xfId="26104" xr:uid="{00000000-0005-0000-0000-0000BD660000}"/>
    <cellStyle name="Standard 4 4 2 5 3 6 2" xfId="26105" xr:uid="{00000000-0005-0000-0000-0000BE660000}"/>
    <cellStyle name="Standard 4 4 2 5 3 7" xfId="26106" xr:uid="{00000000-0005-0000-0000-0000BF660000}"/>
    <cellStyle name="Standard 4 4 2 5 3 8" xfId="26107" xr:uid="{00000000-0005-0000-0000-0000C0660000}"/>
    <cellStyle name="Standard 4 4 2 5 4" xfId="26108" xr:uid="{00000000-0005-0000-0000-0000C1660000}"/>
    <cellStyle name="Standard 4 4 2 5 4 2" xfId="26109" xr:uid="{00000000-0005-0000-0000-0000C2660000}"/>
    <cellStyle name="Standard 4 4 2 5 4 2 2" xfId="26110" xr:uid="{00000000-0005-0000-0000-0000C3660000}"/>
    <cellStyle name="Standard 4 4 2 5 4 2 2 2" xfId="26111" xr:uid="{00000000-0005-0000-0000-0000C4660000}"/>
    <cellStyle name="Standard 4 4 2 5 4 2 2 3" xfId="26112" xr:uid="{00000000-0005-0000-0000-0000C5660000}"/>
    <cellStyle name="Standard 4 4 2 5 4 2 3" xfId="26113" xr:uid="{00000000-0005-0000-0000-0000C6660000}"/>
    <cellStyle name="Standard 4 4 2 5 4 2 3 2" xfId="26114" xr:uid="{00000000-0005-0000-0000-0000C7660000}"/>
    <cellStyle name="Standard 4 4 2 5 4 2 3 3" xfId="26115" xr:uid="{00000000-0005-0000-0000-0000C8660000}"/>
    <cellStyle name="Standard 4 4 2 5 4 2 4" xfId="26116" xr:uid="{00000000-0005-0000-0000-0000C9660000}"/>
    <cellStyle name="Standard 4 4 2 5 4 2 4 2" xfId="26117" xr:uid="{00000000-0005-0000-0000-0000CA660000}"/>
    <cellStyle name="Standard 4 4 2 5 4 2 5" xfId="26118" xr:uid="{00000000-0005-0000-0000-0000CB660000}"/>
    <cellStyle name="Standard 4 4 2 5 4 2 6" xfId="26119" xr:uid="{00000000-0005-0000-0000-0000CC660000}"/>
    <cellStyle name="Standard 4 4 2 5 4 3" xfId="26120" xr:uid="{00000000-0005-0000-0000-0000CD660000}"/>
    <cellStyle name="Standard 4 4 2 5 4 3 2" xfId="26121" xr:uid="{00000000-0005-0000-0000-0000CE660000}"/>
    <cellStyle name="Standard 4 4 2 5 4 3 3" xfId="26122" xr:uid="{00000000-0005-0000-0000-0000CF660000}"/>
    <cellStyle name="Standard 4 4 2 5 4 4" xfId="26123" xr:uid="{00000000-0005-0000-0000-0000D0660000}"/>
    <cellStyle name="Standard 4 4 2 5 4 4 2" xfId="26124" xr:uid="{00000000-0005-0000-0000-0000D1660000}"/>
    <cellStyle name="Standard 4 4 2 5 4 4 3" xfId="26125" xr:uid="{00000000-0005-0000-0000-0000D2660000}"/>
    <cellStyle name="Standard 4 4 2 5 4 5" xfId="26126" xr:uid="{00000000-0005-0000-0000-0000D3660000}"/>
    <cellStyle name="Standard 4 4 2 5 4 5 2" xfId="26127" xr:uid="{00000000-0005-0000-0000-0000D4660000}"/>
    <cellStyle name="Standard 4 4 2 5 4 6" xfId="26128" xr:uid="{00000000-0005-0000-0000-0000D5660000}"/>
    <cellStyle name="Standard 4 4 2 5 4 7" xfId="26129" xr:uid="{00000000-0005-0000-0000-0000D6660000}"/>
    <cellStyle name="Standard 4 4 2 5 5" xfId="26130" xr:uid="{00000000-0005-0000-0000-0000D7660000}"/>
    <cellStyle name="Standard 4 4 2 5 5 2" xfId="26131" xr:uid="{00000000-0005-0000-0000-0000D8660000}"/>
    <cellStyle name="Standard 4 4 2 5 5 2 2" xfId="26132" xr:uid="{00000000-0005-0000-0000-0000D9660000}"/>
    <cellStyle name="Standard 4 4 2 5 5 2 3" xfId="26133" xr:uid="{00000000-0005-0000-0000-0000DA660000}"/>
    <cellStyle name="Standard 4 4 2 5 5 3" xfId="26134" xr:uid="{00000000-0005-0000-0000-0000DB660000}"/>
    <cellStyle name="Standard 4 4 2 5 5 3 2" xfId="26135" xr:uid="{00000000-0005-0000-0000-0000DC660000}"/>
    <cellStyle name="Standard 4 4 2 5 5 3 3" xfId="26136" xr:uid="{00000000-0005-0000-0000-0000DD660000}"/>
    <cellStyle name="Standard 4 4 2 5 5 4" xfId="26137" xr:uid="{00000000-0005-0000-0000-0000DE660000}"/>
    <cellStyle name="Standard 4 4 2 5 5 4 2" xfId="26138" xr:uid="{00000000-0005-0000-0000-0000DF660000}"/>
    <cellStyle name="Standard 4 4 2 5 5 5" xfId="26139" xr:uid="{00000000-0005-0000-0000-0000E0660000}"/>
    <cellStyle name="Standard 4 4 2 5 5 6" xfId="26140" xr:uid="{00000000-0005-0000-0000-0000E1660000}"/>
    <cellStyle name="Standard 4 4 2 5 6" xfId="26141" xr:uid="{00000000-0005-0000-0000-0000E2660000}"/>
    <cellStyle name="Standard 4 4 2 5 6 2" xfId="26142" xr:uid="{00000000-0005-0000-0000-0000E3660000}"/>
    <cellStyle name="Standard 4 4 2 5 6 3" xfId="26143" xr:uid="{00000000-0005-0000-0000-0000E4660000}"/>
    <cellStyle name="Standard 4 4 2 5 7" xfId="26144" xr:uid="{00000000-0005-0000-0000-0000E5660000}"/>
    <cellStyle name="Standard 4 4 2 5 7 2" xfId="26145" xr:uid="{00000000-0005-0000-0000-0000E6660000}"/>
    <cellStyle name="Standard 4 4 2 5 7 3" xfId="26146" xr:uid="{00000000-0005-0000-0000-0000E7660000}"/>
    <cellStyle name="Standard 4 4 2 5 8" xfId="26147" xr:uid="{00000000-0005-0000-0000-0000E8660000}"/>
    <cellStyle name="Standard 4 4 2 5 8 2" xfId="26148" xr:uid="{00000000-0005-0000-0000-0000E9660000}"/>
    <cellStyle name="Standard 4 4 2 5 9" xfId="26149" xr:uid="{00000000-0005-0000-0000-0000EA660000}"/>
    <cellStyle name="Standard 4 4 2 6" xfId="26150" xr:uid="{00000000-0005-0000-0000-0000EB660000}"/>
    <cellStyle name="Standard 4 4 2 6 2" xfId="26151" xr:uid="{00000000-0005-0000-0000-0000EC660000}"/>
    <cellStyle name="Standard 4 4 2 6 2 2" xfId="26152" xr:uid="{00000000-0005-0000-0000-0000ED660000}"/>
    <cellStyle name="Standard 4 4 2 6 2 2 2" xfId="26153" xr:uid="{00000000-0005-0000-0000-0000EE660000}"/>
    <cellStyle name="Standard 4 4 2 6 2 2 2 2" xfId="26154" xr:uid="{00000000-0005-0000-0000-0000EF660000}"/>
    <cellStyle name="Standard 4 4 2 6 2 2 2 3" xfId="26155" xr:uid="{00000000-0005-0000-0000-0000F0660000}"/>
    <cellStyle name="Standard 4 4 2 6 2 2 3" xfId="26156" xr:uid="{00000000-0005-0000-0000-0000F1660000}"/>
    <cellStyle name="Standard 4 4 2 6 2 2 3 2" xfId="26157" xr:uid="{00000000-0005-0000-0000-0000F2660000}"/>
    <cellStyle name="Standard 4 4 2 6 2 2 3 3" xfId="26158" xr:uid="{00000000-0005-0000-0000-0000F3660000}"/>
    <cellStyle name="Standard 4 4 2 6 2 2 4" xfId="26159" xr:uid="{00000000-0005-0000-0000-0000F4660000}"/>
    <cellStyle name="Standard 4 4 2 6 2 2 4 2" xfId="26160" xr:uid="{00000000-0005-0000-0000-0000F5660000}"/>
    <cellStyle name="Standard 4 4 2 6 2 2 5" xfId="26161" xr:uid="{00000000-0005-0000-0000-0000F6660000}"/>
    <cellStyle name="Standard 4 4 2 6 2 2 6" xfId="26162" xr:uid="{00000000-0005-0000-0000-0000F7660000}"/>
    <cellStyle name="Standard 4 4 2 6 2 3" xfId="26163" xr:uid="{00000000-0005-0000-0000-0000F8660000}"/>
    <cellStyle name="Standard 4 4 2 6 2 3 2" xfId="26164" xr:uid="{00000000-0005-0000-0000-0000F9660000}"/>
    <cellStyle name="Standard 4 4 2 6 2 3 3" xfId="26165" xr:uid="{00000000-0005-0000-0000-0000FA660000}"/>
    <cellStyle name="Standard 4 4 2 6 2 4" xfId="26166" xr:uid="{00000000-0005-0000-0000-0000FB660000}"/>
    <cellStyle name="Standard 4 4 2 6 2 4 2" xfId="26167" xr:uid="{00000000-0005-0000-0000-0000FC660000}"/>
    <cellStyle name="Standard 4 4 2 6 2 4 3" xfId="26168" xr:uid="{00000000-0005-0000-0000-0000FD660000}"/>
    <cellStyle name="Standard 4 4 2 6 2 5" xfId="26169" xr:uid="{00000000-0005-0000-0000-0000FE660000}"/>
    <cellStyle name="Standard 4 4 2 6 2 5 2" xfId="26170" xr:uid="{00000000-0005-0000-0000-0000FF660000}"/>
    <cellStyle name="Standard 4 4 2 6 2 6" xfId="26171" xr:uid="{00000000-0005-0000-0000-000000670000}"/>
    <cellStyle name="Standard 4 4 2 6 2 7" xfId="26172" xr:uid="{00000000-0005-0000-0000-000001670000}"/>
    <cellStyle name="Standard 4 4 2 6 3" xfId="26173" xr:uid="{00000000-0005-0000-0000-000002670000}"/>
    <cellStyle name="Standard 4 4 2 6 3 2" xfId="26174" xr:uid="{00000000-0005-0000-0000-000003670000}"/>
    <cellStyle name="Standard 4 4 2 6 3 2 2" xfId="26175" xr:uid="{00000000-0005-0000-0000-000004670000}"/>
    <cellStyle name="Standard 4 4 2 6 3 2 3" xfId="26176" xr:uid="{00000000-0005-0000-0000-000005670000}"/>
    <cellStyle name="Standard 4 4 2 6 3 3" xfId="26177" xr:uid="{00000000-0005-0000-0000-000006670000}"/>
    <cellStyle name="Standard 4 4 2 6 3 3 2" xfId="26178" xr:uid="{00000000-0005-0000-0000-000007670000}"/>
    <cellStyle name="Standard 4 4 2 6 3 3 3" xfId="26179" xr:uid="{00000000-0005-0000-0000-000008670000}"/>
    <cellStyle name="Standard 4 4 2 6 3 4" xfId="26180" xr:uid="{00000000-0005-0000-0000-000009670000}"/>
    <cellStyle name="Standard 4 4 2 6 3 4 2" xfId="26181" xr:uid="{00000000-0005-0000-0000-00000A670000}"/>
    <cellStyle name="Standard 4 4 2 6 3 5" xfId="26182" xr:uid="{00000000-0005-0000-0000-00000B670000}"/>
    <cellStyle name="Standard 4 4 2 6 3 6" xfId="26183" xr:uid="{00000000-0005-0000-0000-00000C670000}"/>
    <cellStyle name="Standard 4 4 2 6 4" xfId="26184" xr:uid="{00000000-0005-0000-0000-00000D670000}"/>
    <cellStyle name="Standard 4 4 2 6 4 2" xfId="26185" xr:uid="{00000000-0005-0000-0000-00000E670000}"/>
    <cellStyle name="Standard 4 4 2 6 4 3" xfId="26186" xr:uid="{00000000-0005-0000-0000-00000F670000}"/>
    <cellStyle name="Standard 4 4 2 6 5" xfId="26187" xr:uid="{00000000-0005-0000-0000-000010670000}"/>
    <cellStyle name="Standard 4 4 2 6 5 2" xfId="26188" xr:uid="{00000000-0005-0000-0000-000011670000}"/>
    <cellStyle name="Standard 4 4 2 6 5 3" xfId="26189" xr:uid="{00000000-0005-0000-0000-000012670000}"/>
    <cellStyle name="Standard 4 4 2 6 6" xfId="26190" xr:uid="{00000000-0005-0000-0000-000013670000}"/>
    <cellStyle name="Standard 4 4 2 6 6 2" xfId="26191" xr:uid="{00000000-0005-0000-0000-000014670000}"/>
    <cellStyle name="Standard 4 4 2 6 7" xfId="26192" xr:uid="{00000000-0005-0000-0000-000015670000}"/>
    <cellStyle name="Standard 4 4 2 6 8" xfId="26193" xr:uid="{00000000-0005-0000-0000-000016670000}"/>
    <cellStyle name="Standard 4 4 2 7" xfId="26194" xr:uid="{00000000-0005-0000-0000-000017670000}"/>
    <cellStyle name="Standard 4 4 2 7 2" xfId="26195" xr:uid="{00000000-0005-0000-0000-000018670000}"/>
    <cellStyle name="Standard 4 4 2 7 2 2" xfId="26196" xr:uid="{00000000-0005-0000-0000-000019670000}"/>
    <cellStyle name="Standard 4 4 2 7 2 2 2" xfId="26197" xr:uid="{00000000-0005-0000-0000-00001A670000}"/>
    <cellStyle name="Standard 4 4 2 7 2 2 2 2" xfId="26198" xr:uid="{00000000-0005-0000-0000-00001B670000}"/>
    <cellStyle name="Standard 4 4 2 7 2 2 2 3" xfId="26199" xr:uid="{00000000-0005-0000-0000-00001C670000}"/>
    <cellStyle name="Standard 4 4 2 7 2 2 3" xfId="26200" xr:uid="{00000000-0005-0000-0000-00001D670000}"/>
    <cellStyle name="Standard 4 4 2 7 2 2 3 2" xfId="26201" xr:uid="{00000000-0005-0000-0000-00001E670000}"/>
    <cellStyle name="Standard 4 4 2 7 2 2 3 3" xfId="26202" xr:uid="{00000000-0005-0000-0000-00001F670000}"/>
    <cellStyle name="Standard 4 4 2 7 2 2 4" xfId="26203" xr:uid="{00000000-0005-0000-0000-000020670000}"/>
    <cellStyle name="Standard 4 4 2 7 2 2 4 2" xfId="26204" xr:uid="{00000000-0005-0000-0000-000021670000}"/>
    <cellStyle name="Standard 4 4 2 7 2 2 5" xfId="26205" xr:uid="{00000000-0005-0000-0000-000022670000}"/>
    <cellStyle name="Standard 4 4 2 7 2 2 6" xfId="26206" xr:uid="{00000000-0005-0000-0000-000023670000}"/>
    <cellStyle name="Standard 4 4 2 7 2 3" xfId="26207" xr:uid="{00000000-0005-0000-0000-000024670000}"/>
    <cellStyle name="Standard 4 4 2 7 2 3 2" xfId="26208" xr:uid="{00000000-0005-0000-0000-000025670000}"/>
    <cellStyle name="Standard 4 4 2 7 2 3 3" xfId="26209" xr:uid="{00000000-0005-0000-0000-000026670000}"/>
    <cellStyle name="Standard 4 4 2 7 2 4" xfId="26210" xr:uid="{00000000-0005-0000-0000-000027670000}"/>
    <cellStyle name="Standard 4 4 2 7 2 4 2" xfId="26211" xr:uid="{00000000-0005-0000-0000-000028670000}"/>
    <cellStyle name="Standard 4 4 2 7 2 4 3" xfId="26212" xr:uid="{00000000-0005-0000-0000-000029670000}"/>
    <cellStyle name="Standard 4 4 2 7 2 5" xfId="26213" xr:uid="{00000000-0005-0000-0000-00002A670000}"/>
    <cellStyle name="Standard 4 4 2 7 2 5 2" xfId="26214" xr:uid="{00000000-0005-0000-0000-00002B670000}"/>
    <cellStyle name="Standard 4 4 2 7 2 6" xfId="26215" xr:uid="{00000000-0005-0000-0000-00002C670000}"/>
    <cellStyle name="Standard 4 4 2 7 2 7" xfId="26216" xr:uid="{00000000-0005-0000-0000-00002D670000}"/>
    <cellStyle name="Standard 4 4 2 7 3" xfId="26217" xr:uid="{00000000-0005-0000-0000-00002E670000}"/>
    <cellStyle name="Standard 4 4 2 7 3 2" xfId="26218" xr:uid="{00000000-0005-0000-0000-00002F670000}"/>
    <cellStyle name="Standard 4 4 2 7 3 2 2" xfId="26219" xr:uid="{00000000-0005-0000-0000-000030670000}"/>
    <cellStyle name="Standard 4 4 2 7 3 2 3" xfId="26220" xr:uid="{00000000-0005-0000-0000-000031670000}"/>
    <cellStyle name="Standard 4 4 2 7 3 3" xfId="26221" xr:uid="{00000000-0005-0000-0000-000032670000}"/>
    <cellStyle name="Standard 4 4 2 7 3 3 2" xfId="26222" xr:uid="{00000000-0005-0000-0000-000033670000}"/>
    <cellStyle name="Standard 4 4 2 7 3 3 3" xfId="26223" xr:uid="{00000000-0005-0000-0000-000034670000}"/>
    <cellStyle name="Standard 4 4 2 7 3 4" xfId="26224" xr:uid="{00000000-0005-0000-0000-000035670000}"/>
    <cellStyle name="Standard 4 4 2 7 3 4 2" xfId="26225" xr:uid="{00000000-0005-0000-0000-000036670000}"/>
    <cellStyle name="Standard 4 4 2 7 3 5" xfId="26226" xr:uid="{00000000-0005-0000-0000-000037670000}"/>
    <cellStyle name="Standard 4 4 2 7 3 6" xfId="26227" xr:uid="{00000000-0005-0000-0000-000038670000}"/>
    <cellStyle name="Standard 4 4 2 7 4" xfId="26228" xr:uid="{00000000-0005-0000-0000-000039670000}"/>
    <cellStyle name="Standard 4 4 2 7 4 2" xfId="26229" xr:uid="{00000000-0005-0000-0000-00003A670000}"/>
    <cellStyle name="Standard 4 4 2 7 4 3" xfId="26230" xr:uid="{00000000-0005-0000-0000-00003B670000}"/>
    <cellStyle name="Standard 4 4 2 7 5" xfId="26231" xr:uid="{00000000-0005-0000-0000-00003C670000}"/>
    <cellStyle name="Standard 4 4 2 7 5 2" xfId="26232" xr:uid="{00000000-0005-0000-0000-00003D670000}"/>
    <cellStyle name="Standard 4 4 2 7 5 3" xfId="26233" xr:uid="{00000000-0005-0000-0000-00003E670000}"/>
    <cellStyle name="Standard 4 4 2 7 6" xfId="26234" xr:uid="{00000000-0005-0000-0000-00003F670000}"/>
    <cellStyle name="Standard 4 4 2 7 6 2" xfId="26235" xr:uid="{00000000-0005-0000-0000-000040670000}"/>
    <cellStyle name="Standard 4 4 2 7 7" xfId="26236" xr:uid="{00000000-0005-0000-0000-000041670000}"/>
    <cellStyle name="Standard 4 4 2 7 8" xfId="26237" xr:uid="{00000000-0005-0000-0000-000042670000}"/>
    <cellStyle name="Standard 4 4 2 8" xfId="26238" xr:uid="{00000000-0005-0000-0000-000043670000}"/>
    <cellStyle name="Standard 4 4 2 8 2" xfId="26239" xr:uid="{00000000-0005-0000-0000-000044670000}"/>
    <cellStyle name="Standard 4 4 2 8 2 2" xfId="26240" xr:uid="{00000000-0005-0000-0000-000045670000}"/>
    <cellStyle name="Standard 4 4 2 8 2 2 2" xfId="26241" xr:uid="{00000000-0005-0000-0000-000046670000}"/>
    <cellStyle name="Standard 4 4 2 8 2 2 3" xfId="26242" xr:uid="{00000000-0005-0000-0000-000047670000}"/>
    <cellStyle name="Standard 4 4 2 8 2 3" xfId="26243" xr:uid="{00000000-0005-0000-0000-000048670000}"/>
    <cellStyle name="Standard 4 4 2 8 2 3 2" xfId="26244" xr:uid="{00000000-0005-0000-0000-000049670000}"/>
    <cellStyle name="Standard 4 4 2 8 2 3 3" xfId="26245" xr:uid="{00000000-0005-0000-0000-00004A670000}"/>
    <cellStyle name="Standard 4 4 2 8 2 4" xfId="26246" xr:uid="{00000000-0005-0000-0000-00004B670000}"/>
    <cellStyle name="Standard 4 4 2 8 2 4 2" xfId="26247" xr:uid="{00000000-0005-0000-0000-00004C670000}"/>
    <cellStyle name="Standard 4 4 2 8 2 5" xfId="26248" xr:uid="{00000000-0005-0000-0000-00004D670000}"/>
    <cellStyle name="Standard 4 4 2 8 2 6" xfId="26249" xr:uid="{00000000-0005-0000-0000-00004E670000}"/>
    <cellStyle name="Standard 4 4 2 8 3" xfId="26250" xr:uid="{00000000-0005-0000-0000-00004F670000}"/>
    <cellStyle name="Standard 4 4 2 8 3 2" xfId="26251" xr:uid="{00000000-0005-0000-0000-000050670000}"/>
    <cellStyle name="Standard 4 4 2 8 3 3" xfId="26252" xr:uid="{00000000-0005-0000-0000-000051670000}"/>
    <cellStyle name="Standard 4 4 2 8 4" xfId="26253" xr:uid="{00000000-0005-0000-0000-000052670000}"/>
    <cellStyle name="Standard 4 4 2 8 4 2" xfId="26254" xr:uid="{00000000-0005-0000-0000-000053670000}"/>
    <cellStyle name="Standard 4 4 2 8 4 3" xfId="26255" xr:uid="{00000000-0005-0000-0000-000054670000}"/>
    <cellStyle name="Standard 4 4 2 8 5" xfId="26256" xr:uid="{00000000-0005-0000-0000-000055670000}"/>
    <cellStyle name="Standard 4 4 2 8 5 2" xfId="26257" xr:uid="{00000000-0005-0000-0000-000056670000}"/>
    <cellStyle name="Standard 4 4 2 8 6" xfId="26258" xr:uid="{00000000-0005-0000-0000-000057670000}"/>
    <cellStyle name="Standard 4 4 2 8 7" xfId="26259" xr:uid="{00000000-0005-0000-0000-000058670000}"/>
    <cellStyle name="Standard 4 4 2 9" xfId="26260" xr:uid="{00000000-0005-0000-0000-000059670000}"/>
    <cellStyle name="Standard 4 4 2 9 2" xfId="26261" xr:uid="{00000000-0005-0000-0000-00005A670000}"/>
    <cellStyle name="Standard 4 4 2 9 2 2" xfId="26262" xr:uid="{00000000-0005-0000-0000-00005B670000}"/>
    <cellStyle name="Standard 4 4 2 9 2 3" xfId="26263" xr:uid="{00000000-0005-0000-0000-00005C670000}"/>
    <cellStyle name="Standard 4 4 2 9 3" xfId="26264" xr:uid="{00000000-0005-0000-0000-00005D670000}"/>
    <cellStyle name="Standard 4 4 2 9 3 2" xfId="26265" xr:uid="{00000000-0005-0000-0000-00005E670000}"/>
    <cellStyle name="Standard 4 4 2 9 3 3" xfId="26266" xr:uid="{00000000-0005-0000-0000-00005F670000}"/>
    <cellStyle name="Standard 4 4 2 9 4" xfId="26267" xr:uid="{00000000-0005-0000-0000-000060670000}"/>
    <cellStyle name="Standard 4 4 2 9 4 2" xfId="26268" xr:uid="{00000000-0005-0000-0000-000061670000}"/>
    <cellStyle name="Standard 4 4 2 9 5" xfId="26269" xr:uid="{00000000-0005-0000-0000-000062670000}"/>
    <cellStyle name="Standard 4 4 2 9 6" xfId="26270" xr:uid="{00000000-0005-0000-0000-000063670000}"/>
    <cellStyle name="Standard 4 4 3" xfId="26271" xr:uid="{00000000-0005-0000-0000-000064670000}"/>
    <cellStyle name="Standard 4 4 3 10" xfId="26272" xr:uid="{00000000-0005-0000-0000-000065670000}"/>
    <cellStyle name="Standard 4 4 3 10 2" xfId="26273" xr:uid="{00000000-0005-0000-0000-000066670000}"/>
    <cellStyle name="Standard 4 4 3 10 3" xfId="26274" xr:uid="{00000000-0005-0000-0000-000067670000}"/>
    <cellStyle name="Standard 4 4 3 11" xfId="26275" xr:uid="{00000000-0005-0000-0000-000068670000}"/>
    <cellStyle name="Standard 4 4 3 11 2" xfId="26276" xr:uid="{00000000-0005-0000-0000-000069670000}"/>
    <cellStyle name="Standard 4 4 3 12" xfId="26277" xr:uid="{00000000-0005-0000-0000-00006A670000}"/>
    <cellStyle name="Standard 4 4 3 13" xfId="26278" xr:uid="{00000000-0005-0000-0000-00006B670000}"/>
    <cellStyle name="Standard 4 4 3 14" xfId="33469" xr:uid="{00000000-0005-0000-0000-00006C670000}"/>
    <cellStyle name="Standard 4 4 3 2" xfId="26279" xr:uid="{00000000-0005-0000-0000-00006D670000}"/>
    <cellStyle name="Standard 4 4 3 2 10" xfId="26280" xr:uid="{00000000-0005-0000-0000-00006E670000}"/>
    <cellStyle name="Standard 4 4 3 2 11" xfId="26281" xr:uid="{00000000-0005-0000-0000-00006F670000}"/>
    <cellStyle name="Standard 4 4 3 2 2" xfId="26282" xr:uid="{00000000-0005-0000-0000-000070670000}"/>
    <cellStyle name="Standard 4 4 3 2 2 10" xfId="26283" xr:uid="{00000000-0005-0000-0000-000071670000}"/>
    <cellStyle name="Standard 4 4 3 2 2 2" xfId="26284" xr:uid="{00000000-0005-0000-0000-000072670000}"/>
    <cellStyle name="Standard 4 4 3 2 2 2 2" xfId="26285" xr:uid="{00000000-0005-0000-0000-000073670000}"/>
    <cellStyle name="Standard 4 4 3 2 2 2 2 2" xfId="26286" xr:uid="{00000000-0005-0000-0000-000074670000}"/>
    <cellStyle name="Standard 4 4 3 2 2 2 2 2 2" xfId="26287" xr:uid="{00000000-0005-0000-0000-000075670000}"/>
    <cellStyle name="Standard 4 4 3 2 2 2 2 2 2 2" xfId="26288" xr:uid="{00000000-0005-0000-0000-000076670000}"/>
    <cellStyle name="Standard 4 4 3 2 2 2 2 2 2 3" xfId="26289" xr:uid="{00000000-0005-0000-0000-000077670000}"/>
    <cellStyle name="Standard 4 4 3 2 2 2 2 2 3" xfId="26290" xr:uid="{00000000-0005-0000-0000-000078670000}"/>
    <cellStyle name="Standard 4 4 3 2 2 2 2 2 3 2" xfId="26291" xr:uid="{00000000-0005-0000-0000-000079670000}"/>
    <cellStyle name="Standard 4 4 3 2 2 2 2 2 3 3" xfId="26292" xr:uid="{00000000-0005-0000-0000-00007A670000}"/>
    <cellStyle name="Standard 4 4 3 2 2 2 2 2 4" xfId="26293" xr:uid="{00000000-0005-0000-0000-00007B670000}"/>
    <cellStyle name="Standard 4 4 3 2 2 2 2 2 4 2" xfId="26294" xr:uid="{00000000-0005-0000-0000-00007C670000}"/>
    <cellStyle name="Standard 4 4 3 2 2 2 2 2 5" xfId="26295" xr:uid="{00000000-0005-0000-0000-00007D670000}"/>
    <cellStyle name="Standard 4 4 3 2 2 2 2 2 6" xfId="26296" xr:uid="{00000000-0005-0000-0000-00007E670000}"/>
    <cellStyle name="Standard 4 4 3 2 2 2 2 3" xfId="26297" xr:uid="{00000000-0005-0000-0000-00007F670000}"/>
    <cellStyle name="Standard 4 4 3 2 2 2 2 3 2" xfId="26298" xr:uid="{00000000-0005-0000-0000-000080670000}"/>
    <cellStyle name="Standard 4 4 3 2 2 2 2 3 3" xfId="26299" xr:uid="{00000000-0005-0000-0000-000081670000}"/>
    <cellStyle name="Standard 4 4 3 2 2 2 2 4" xfId="26300" xr:uid="{00000000-0005-0000-0000-000082670000}"/>
    <cellStyle name="Standard 4 4 3 2 2 2 2 4 2" xfId="26301" xr:uid="{00000000-0005-0000-0000-000083670000}"/>
    <cellStyle name="Standard 4 4 3 2 2 2 2 4 3" xfId="26302" xr:uid="{00000000-0005-0000-0000-000084670000}"/>
    <cellStyle name="Standard 4 4 3 2 2 2 2 5" xfId="26303" xr:uid="{00000000-0005-0000-0000-000085670000}"/>
    <cellStyle name="Standard 4 4 3 2 2 2 2 5 2" xfId="26304" xr:uid="{00000000-0005-0000-0000-000086670000}"/>
    <cellStyle name="Standard 4 4 3 2 2 2 2 6" xfId="26305" xr:uid="{00000000-0005-0000-0000-000087670000}"/>
    <cellStyle name="Standard 4 4 3 2 2 2 2 7" xfId="26306" xr:uid="{00000000-0005-0000-0000-000088670000}"/>
    <cellStyle name="Standard 4 4 3 2 2 2 3" xfId="26307" xr:uid="{00000000-0005-0000-0000-000089670000}"/>
    <cellStyle name="Standard 4 4 3 2 2 2 3 2" xfId="26308" xr:uid="{00000000-0005-0000-0000-00008A670000}"/>
    <cellStyle name="Standard 4 4 3 2 2 2 3 2 2" xfId="26309" xr:uid="{00000000-0005-0000-0000-00008B670000}"/>
    <cellStyle name="Standard 4 4 3 2 2 2 3 2 3" xfId="26310" xr:uid="{00000000-0005-0000-0000-00008C670000}"/>
    <cellStyle name="Standard 4 4 3 2 2 2 3 3" xfId="26311" xr:uid="{00000000-0005-0000-0000-00008D670000}"/>
    <cellStyle name="Standard 4 4 3 2 2 2 3 3 2" xfId="26312" xr:uid="{00000000-0005-0000-0000-00008E670000}"/>
    <cellStyle name="Standard 4 4 3 2 2 2 3 3 3" xfId="26313" xr:uid="{00000000-0005-0000-0000-00008F670000}"/>
    <cellStyle name="Standard 4 4 3 2 2 2 3 4" xfId="26314" xr:uid="{00000000-0005-0000-0000-000090670000}"/>
    <cellStyle name="Standard 4 4 3 2 2 2 3 4 2" xfId="26315" xr:uid="{00000000-0005-0000-0000-000091670000}"/>
    <cellStyle name="Standard 4 4 3 2 2 2 3 5" xfId="26316" xr:uid="{00000000-0005-0000-0000-000092670000}"/>
    <cellStyle name="Standard 4 4 3 2 2 2 3 6" xfId="26317" xr:uid="{00000000-0005-0000-0000-000093670000}"/>
    <cellStyle name="Standard 4 4 3 2 2 2 4" xfId="26318" xr:uid="{00000000-0005-0000-0000-000094670000}"/>
    <cellStyle name="Standard 4 4 3 2 2 2 4 2" xfId="26319" xr:uid="{00000000-0005-0000-0000-000095670000}"/>
    <cellStyle name="Standard 4 4 3 2 2 2 4 3" xfId="26320" xr:uid="{00000000-0005-0000-0000-000096670000}"/>
    <cellStyle name="Standard 4 4 3 2 2 2 5" xfId="26321" xr:uid="{00000000-0005-0000-0000-000097670000}"/>
    <cellStyle name="Standard 4 4 3 2 2 2 5 2" xfId="26322" xr:uid="{00000000-0005-0000-0000-000098670000}"/>
    <cellStyle name="Standard 4 4 3 2 2 2 5 3" xfId="26323" xr:uid="{00000000-0005-0000-0000-000099670000}"/>
    <cellStyle name="Standard 4 4 3 2 2 2 6" xfId="26324" xr:uid="{00000000-0005-0000-0000-00009A670000}"/>
    <cellStyle name="Standard 4 4 3 2 2 2 6 2" xfId="26325" xr:uid="{00000000-0005-0000-0000-00009B670000}"/>
    <cellStyle name="Standard 4 4 3 2 2 2 7" xfId="26326" xr:uid="{00000000-0005-0000-0000-00009C670000}"/>
    <cellStyle name="Standard 4 4 3 2 2 2 8" xfId="26327" xr:uid="{00000000-0005-0000-0000-00009D670000}"/>
    <cellStyle name="Standard 4 4 3 2 2 3" xfId="26328" xr:uid="{00000000-0005-0000-0000-00009E670000}"/>
    <cellStyle name="Standard 4 4 3 2 2 3 2" xfId="26329" xr:uid="{00000000-0005-0000-0000-00009F670000}"/>
    <cellStyle name="Standard 4 4 3 2 2 3 2 2" xfId="26330" xr:uid="{00000000-0005-0000-0000-0000A0670000}"/>
    <cellStyle name="Standard 4 4 3 2 2 3 2 2 2" xfId="26331" xr:uid="{00000000-0005-0000-0000-0000A1670000}"/>
    <cellStyle name="Standard 4 4 3 2 2 3 2 2 2 2" xfId="26332" xr:uid="{00000000-0005-0000-0000-0000A2670000}"/>
    <cellStyle name="Standard 4 4 3 2 2 3 2 2 2 3" xfId="26333" xr:uid="{00000000-0005-0000-0000-0000A3670000}"/>
    <cellStyle name="Standard 4 4 3 2 2 3 2 2 3" xfId="26334" xr:uid="{00000000-0005-0000-0000-0000A4670000}"/>
    <cellStyle name="Standard 4 4 3 2 2 3 2 2 3 2" xfId="26335" xr:uid="{00000000-0005-0000-0000-0000A5670000}"/>
    <cellStyle name="Standard 4 4 3 2 2 3 2 2 3 3" xfId="26336" xr:uid="{00000000-0005-0000-0000-0000A6670000}"/>
    <cellStyle name="Standard 4 4 3 2 2 3 2 2 4" xfId="26337" xr:uid="{00000000-0005-0000-0000-0000A7670000}"/>
    <cellStyle name="Standard 4 4 3 2 2 3 2 2 4 2" xfId="26338" xr:uid="{00000000-0005-0000-0000-0000A8670000}"/>
    <cellStyle name="Standard 4 4 3 2 2 3 2 2 5" xfId="26339" xr:uid="{00000000-0005-0000-0000-0000A9670000}"/>
    <cellStyle name="Standard 4 4 3 2 2 3 2 2 6" xfId="26340" xr:uid="{00000000-0005-0000-0000-0000AA670000}"/>
    <cellStyle name="Standard 4 4 3 2 2 3 2 3" xfId="26341" xr:uid="{00000000-0005-0000-0000-0000AB670000}"/>
    <cellStyle name="Standard 4 4 3 2 2 3 2 3 2" xfId="26342" xr:uid="{00000000-0005-0000-0000-0000AC670000}"/>
    <cellStyle name="Standard 4 4 3 2 2 3 2 3 3" xfId="26343" xr:uid="{00000000-0005-0000-0000-0000AD670000}"/>
    <cellStyle name="Standard 4 4 3 2 2 3 2 4" xfId="26344" xr:uid="{00000000-0005-0000-0000-0000AE670000}"/>
    <cellStyle name="Standard 4 4 3 2 2 3 2 4 2" xfId="26345" xr:uid="{00000000-0005-0000-0000-0000AF670000}"/>
    <cellStyle name="Standard 4 4 3 2 2 3 2 4 3" xfId="26346" xr:uid="{00000000-0005-0000-0000-0000B0670000}"/>
    <cellStyle name="Standard 4 4 3 2 2 3 2 5" xfId="26347" xr:uid="{00000000-0005-0000-0000-0000B1670000}"/>
    <cellStyle name="Standard 4 4 3 2 2 3 2 5 2" xfId="26348" xr:uid="{00000000-0005-0000-0000-0000B2670000}"/>
    <cellStyle name="Standard 4 4 3 2 2 3 2 6" xfId="26349" xr:uid="{00000000-0005-0000-0000-0000B3670000}"/>
    <cellStyle name="Standard 4 4 3 2 2 3 2 7" xfId="26350" xr:uid="{00000000-0005-0000-0000-0000B4670000}"/>
    <cellStyle name="Standard 4 4 3 2 2 3 3" xfId="26351" xr:uid="{00000000-0005-0000-0000-0000B5670000}"/>
    <cellStyle name="Standard 4 4 3 2 2 3 3 2" xfId="26352" xr:uid="{00000000-0005-0000-0000-0000B6670000}"/>
    <cellStyle name="Standard 4 4 3 2 2 3 3 2 2" xfId="26353" xr:uid="{00000000-0005-0000-0000-0000B7670000}"/>
    <cellStyle name="Standard 4 4 3 2 2 3 3 2 3" xfId="26354" xr:uid="{00000000-0005-0000-0000-0000B8670000}"/>
    <cellStyle name="Standard 4 4 3 2 2 3 3 3" xfId="26355" xr:uid="{00000000-0005-0000-0000-0000B9670000}"/>
    <cellStyle name="Standard 4 4 3 2 2 3 3 3 2" xfId="26356" xr:uid="{00000000-0005-0000-0000-0000BA670000}"/>
    <cellStyle name="Standard 4 4 3 2 2 3 3 3 3" xfId="26357" xr:uid="{00000000-0005-0000-0000-0000BB670000}"/>
    <cellStyle name="Standard 4 4 3 2 2 3 3 4" xfId="26358" xr:uid="{00000000-0005-0000-0000-0000BC670000}"/>
    <cellStyle name="Standard 4 4 3 2 2 3 3 4 2" xfId="26359" xr:uid="{00000000-0005-0000-0000-0000BD670000}"/>
    <cellStyle name="Standard 4 4 3 2 2 3 3 5" xfId="26360" xr:uid="{00000000-0005-0000-0000-0000BE670000}"/>
    <cellStyle name="Standard 4 4 3 2 2 3 3 6" xfId="26361" xr:uid="{00000000-0005-0000-0000-0000BF670000}"/>
    <cellStyle name="Standard 4 4 3 2 2 3 4" xfId="26362" xr:uid="{00000000-0005-0000-0000-0000C0670000}"/>
    <cellStyle name="Standard 4 4 3 2 2 3 4 2" xfId="26363" xr:uid="{00000000-0005-0000-0000-0000C1670000}"/>
    <cellStyle name="Standard 4 4 3 2 2 3 4 3" xfId="26364" xr:uid="{00000000-0005-0000-0000-0000C2670000}"/>
    <cellStyle name="Standard 4 4 3 2 2 3 5" xfId="26365" xr:uid="{00000000-0005-0000-0000-0000C3670000}"/>
    <cellStyle name="Standard 4 4 3 2 2 3 5 2" xfId="26366" xr:uid="{00000000-0005-0000-0000-0000C4670000}"/>
    <cellStyle name="Standard 4 4 3 2 2 3 5 3" xfId="26367" xr:uid="{00000000-0005-0000-0000-0000C5670000}"/>
    <cellStyle name="Standard 4 4 3 2 2 3 6" xfId="26368" xr:uid="{00000000-0005-0000-0000-0000C6670000}"/>
    <cellStyle name="Standard 4 4 3 2 2 3 6 2" xfId="26369" xr:uid="{00000000-0005-0000-0000-0000C7670000}"/>
    <cellStyle name="Standard 4 4 3 2 2 3 7" xfId="26370" xr:uid="{00000000-0005-0000-0000-0000C8670000}"/>
    <cellStyle name="Standard 4 4 3 2 2 3 8" xfId="26371" xr:uid="{00000000-0005-0000-0000-0000C9670000}"/>
    <cellStyle name="Standard 4 4 3 2 2 4" xfId="26372" xr:uid="{00000000-0005-0000-0000-0000CA670000}"/>
    <cellStyle name="Standard 4 4 3 2 2 4 2" xfId="26373" xr:uid="{00000000-0005-0000-0000-0000CB670000}"/>
    <cellStyle name="Standard 4 4 3 2 2 4 2 2" xfId="26374" xr:uid="{00000000-0005-0000-0000-0000CC670000}"/>
    <cellStyle name="Standard 4 4 3 2 2 4 2 2 2" xfId="26375" xr:uid="{00000000-0005-0000-0000-0000CD670000}"/>
    <cellStyle name="Standard 4 4 3 2 2 4 2 2 3" xfId="26376" xr:uid="{00000000-0005-0000-0000-0000CE670000}"/>
    <cellStyle name="Standard 4 4 3 2 2 4 2 3" xfId="26377" xr:uid="{00000000-0005-0000-0000-0000CF670000}"/>
    <cellStyle name="Standard 4 4 3 2 2 4 2 3 2" xfId="26378" xr:uid="{00000000-0005-0000-0000-0000D0670000}"/>
    <cellStyle name="Standard 4 4 3 2 2 4 2 3 3" xfId="26379" xr:uid="{00000000-0005-0000-0000-0000D1670000}"/>
    <cellStyle name="Standard 4 4 3 2 2 4 2 4" xfId="26380" xr:uid="{00000000-0005-0000-0000-0000D2670000}"/>
    <cellStyle name="Standard 4 4 3 2 2 4 2 4 2" xfId="26381" xr:uid="{00000000-0005-0000-0000-0000D3670000}"/>
    <cellStyle name="Standard 4 4 3 2 2 4 2 5" xfId="26382" xr:uid="{00000000-0005-0000-0000-0000D4670000}"/>
    <cellStyle name="Standard 4 4 3 2 2 4 2 6" xfId="26383" xr:uid="{00000000-0005-0000-0000-0000D5670000}"/>
    <cellStyle name="Standard 4 4 3 2 2 4 3" xfId="26384" xr:uid="{00000000-0005-0000-0000-0000D6670000}"/>
    <cellStyle name="Standard 4 4 3 2 2 4 3 2" xfId="26385" xr:uid="{00000000-0005-0000-0000-0000D7670000}"/>
    <cellStyle name="Standard 4 4 3 2 2 4 3 3" xfId="26386" xr:uid="{00000000-0005-0000-0000-0000D8670000}"/>
    <cellStyle name="Standard 4 4 3 2 2 4 4" xfId="26387" xr:uid="{00000000-0005-0000-0000-0000D9670000}"/>
    <cellStyle name="Standard 4 4 3 2 2 4 4 2" xfId="26388" xr:uid="{00000000-0005-0000-0000-0000DA670000}"/>
    <cellStyle name="Standard 4 4 3 2 2 4 4 3" xfId="26389" xr:uid="{00000000-0005-0000-0000-0000DB670000}"/>
    <cellStyle name="Standard 4 4 3 2 2 4 5" xfId="26390" xr:uid="{00000000-0005-0000-0000-0000DC670000}"/>
    <cellStyle name="Standard 4 4 3 2 2 4 5 2" xfId="26391" xr:uid="{00000000-0005-0000-0000-0000DD670000}"/>
    <cellStyle name="Standard 4 4 3 2 2 4 6" xfId="26392" xr:uid="{00000000-0005-0000-0000-0000DE670000}"/>
    <cellStyle name="Standard 4 4 3 2 2 4 7" xfId="26393" xr:uid="{00000000-0005-0000-0000-0000DF670000}"/>
    <cellStyle name="Standard 4 4 3 2 2 5" xfId="26394" xr:uid="{00000000-0005-0000-0000-0000E0670000}"/>
    <cellStyle name="Standard 4 4 3 2 2 5 2" xfId="26395" xr:uid="{00000000-0005-0000-0000-0000E1670000}"/>
    <cellStyle name="Standard 4 4 3 2 2 5 2 2" xfId="26396" xr:uid="{00000000-0005-0000-0000-0000E2670000}"/>
    <cellStyle name="Standard 4 4 3 2 2 5 2 3" xfId="26397" xr:uid="{00000000-0005-0000-0000-0000E3670000}"/>
    <cellStyle name="Standard 4 4 3 2 2 5 3" xfId="26398" xr:uid="{00000000-0005-0000-0000-0000E4670000}"/>
    <cellStyle name="Standard 4 4 3 2 2 5 3 2" xfId="26399" xr:uid="{00000000-0005-0000-0000-0000E5670000}"/>
    <cellStyle name="Standard 4 4 3 2 2 5 3 3" xfId="26400" xr:uid="{00000000-0005-0000-0000-0000E6670000}"/>
    <cellStyle name="Standard 4 4 3 2 2 5 4" xfId="26401" xr:uid="{00000000-0005-0000-0000-0000E7670000}"/>
    <cellStyle name="Standard 4 4 3 2 2 5 4 2" xfId="26402" xr:uid="{00000000-0005-0000-0000-0000E8670000}"/>
    <cellStyle name="Standard 4 4 3 2 2 5 5" xfId="26403" xr:uid="{00000000-0005-0000-0000-0000E9670000}"/>
    <cellStyle name="Standard 4 4 3 2 2 5 6" xfId="26404" xr:uid="{00000000-0005-0000-0000-0000EA670000}"/>
    <cellStyle name="Standard 4 4 3 2 2 6" xfId="26405" xr:uid="{00000000-0005-0000-0000-0000EB670000}"/>
    <cellStyle name="Standard 4 4 3 2 2 6 2" xfId="26406" xr:uid="{00000000-0005-0000-0000-0000EC670000}"/>
    <cellStyle name="Standard 4 4 3 2 2 6 3" xfId="26407" xr:uid="{00000000-0005-0000-0000-0000ED670000}"/>
    <cellStyle name="Standard 4 4 3 2 2 7" xfId="26408" xr:uid="{00000000-0005-0000-0000-0000EE670000}"/>
    <cellStyle name="Standard 4 4 3 2 2 7 2" xfId="26409" xr:uid="{00000000-0005-0000-0000-0000EF670000}"/>
    <cellStyle name="Standard 4 4 3 2 2 7 3" xfId="26410" xr:uid="{00000000-0005-0000-0000-0000F0670000}"/>
    <cellStyle name="Standard 4 4 3 2 2 8" xfId="26411" xr:uid="{00000000-0005-0000-0000-0000F1670000}"/>
    <cellStyle name="Standard 4 4 3 2 2 8 2" xfId="26412" xr:uid="{00000000-0005-0000-0000-0000F2670000}"/>
    <cellStyle name="Standard 4 4 3 2 2 9" xfId="26413" xr:uid="{00000000-0005-0000-0000-0000F3670000}"/>
    <cellStyle name="Standard 4 4 3 2 3" xfId="26414" xr:uid="{00000000-0005-0000-0000-0000F4670000}"/>
    <cellStyle name="Standard 4 4 3 2 3 2" xfId="26415" xr:uid="{00000000-0005-0000-0000-0000F5670000}"/>
    <cellStyle name="Standard 4 4 3 2 3 2 2" xfId="26416" xr:uid="{00000000-0005-0000-0000-0000F6670000}"/>
    <cellStyle name="Standard 4 4 3 2 3 2 2 2" xfId="26417" xr:uid="{00000000-0005-0000-0000-0000F7670000}"/>
    <cellStyle name="Standard 4 4 3 2 3 2 2 2 2" xfId="26418" xr:uid="{00000000-0005-0000-0000-0000F8670000}"/>
    <cellStyle name="Standard 4 4 3 2 3 2 2 2 3" xfId="26419" xr:uid="{00000000-0005-0000-0000-0000F9670000}"/>
    <cellStyle name="Standard 4 4 3 2 3 2 2 3" xfId="26420" xr:uid="{00000000-0005-0000-0000-0000FA670000}"/>
    <cellStyle name="Standard 4 4 3 2 3 2 2 3 2" xfId="26421" xr:uid="{00000000-0005-0000-0000-0000FB670000}"/>
    <cellStyle name="Standard 4 4 3 2 3 2 2 3 3" xfId="26422" xr:uid="{00000000-0005-0000-0000-0000FC670000}"/>
    <cellStyle name="Standard 4 4 3 2 3 2 2 4" xfId="26423" xr:uid="{00000000-0005-0000-0000-0000FD670000}"/>
    <cellStyle name="Standard 4 4 3 2 3 2 2 4 2" xfId="26424" xr:uid="{00000000-0005-0000-0000-0000FE670000}"/>
    <cellStyle name="Standard 4 4 3 2 3 2 2 5" xfId="26425" xr:uid="{00000000-0005-0000-0000-0000FF670000}"/>
    <cellStyle name="Standard 4 4 3 2 3 2 2 6" xfId="26426" xr:uid="{00000000-0005-0000-0000-000000680000}"/>
    <cellStyle name="Standard 4 4 3 2 3 2 3" xfId="26427" xr:uid="{00000000-0005-0000-0000-000001680000}"/>
    <cellStyle name="Standard 4 4 3 2 3 2 3 2" xfId="26428" xr:uid="{00000000-0005-0000-0000-000002680000}"/>
    <cellStyle name="Standard 4 4 3 2 3 2 3 3" xfId="26429" xr:uid="{00000000-0005-0000-0000-000003680000}"/>
    <cellStyle name="Standard 4 4 3 2 3 2 4" xfId="26430" xr:uid="{00000000-0005-0000-0000-000004680000}"/>
    <cellStyle name="Standard 4 4 3 2 3 2 4 2" xfId="26431" xr:uid="{00000000-0005-0000-0000-000005680000}"/>
    <cellStyle name="Standard 4 4 3 2 3 2 4 3" xfId="26432" xr:uid="{00000000-0005-0000-0000-000006680000}"/>
    <cellStyle name="Standard 4 4 3 2 3 2 5" xfId="26433" xr:uid="{00000000-0005-0000-0000-000007680000}"/>
    <cellStyle name="Standard 4 4 3 2 3 2 5 2" xfId="26434" xr:uid="{00000000-0005-0000-0000-000008680000}"/>
    <cellStyle name="Standard 4 4 3 2 3 2 6" xfId="26435" xr:uid="{00000000-0005-0000-0000-000009680000}"/>
    <cellStyle name="Standard 4 4 3 2 3 2 7" xfId="26436" xr:uid="{00000000-0005-0000-0000-00000A680000}"/>
    <cellStyle name="Standard 4 4 3 2 3 3" xfId="26437" xr:uid="{00000000-0005-0000-0000-00000B680000}"/>
    <cellStyle name="Standard 4 4 3 2 3 3 2" xfId="26438" xr:uid="{00000000-0005-0000-0000-00000C680000}"/>
    <cellStyle name="Standard 4 4 3 2 3 3 2 2" xfId="26439" xr:uid="{00000000-0005-0000-0000-00000D680000}"/>
    <cellStyle name="Standard 4 4 3 2 3 3 2 3" xfId="26440" xr:uid="{00000000-0005-0000-0000-00000E680000}"/>
    <cellStyle name="Standard 4 4 3 2 3 3 3" xfId="26441" xr:uid="{00000000-0005-0000-0000-00000F680000}"/>
    <cellStyle name="Standard 4 4 3 2 3 3 3 2" xfId="26442" xr:uid="{00000000-0005-0000-0000-000010680000}"/>
    <cellStyle name="Standard 4 4 3 2 3 3 3 3" xfId="26443" xr:uid="{00000000-0005-0000-0000-000011680000}"/>
    <cellStyle name="Standard 4 4 3 2 3 3 4" xfId="26444" xr:uid="{00000000-0005-0000-0000-000012680000}"/>
    <cellStyle name="Standard 4 4 3 2 3 3 4 2" xfId="26445" xr:uid="{00000000-0005-0000-0000-000013680000}"/>
    <cellStyle name="Standard 4 4 3 2 3 3 5" xfId="26446" xr:uid="{00000000-0005-0000-0000-000014680000}"/>
    <cellStyle name="Standard 4 4 3 2 3 3 6" xfId="26447" xr:uid="{00000000-0005-0000-0000-000015680000}"/>
    <cellStyle name="Standard 4 4 3 2 3 4" xfId="26448" xr:uid="{00000000-0005-0000-0000-000016680000}"/>
    <cellStyle name="Standard 4 4 3 2 3 4 2" xfId="26449" xr:uid="{00000000-0005-0000-0000-000017680000}"/>
    <cellStyle name="Standard 4 4 3 2 3 4 3" xfId="26450" xr:uid="{00000000-0005-0000-0000-000018680000}"/>
    <cellStyle name="Standard 4 4 3 2 3 5" xfId="26451" xr:uid="{00000000-0005-0000-0000-000019680000}"/>
    <cellStyle name="Standard 4 4 3 2 3 5 2" xfId="26452" xr:uid="{00000000-0005-0000-0000-00001A680000}"/>
    <cellStyle name="Standard 4 4 3 2 3 5 3" xfId="26453" xr:uid="{00000000-0005-0000-0000-00001B680000}"/>
    <cellStyle name="Standard 4 4 3 2 3 6" xfId="26454" xr:uid="{00000000-0005-0000-0000-00001C680000}"/>
    <cellStyle name="Standard 4 4 3 2 3 6 2" xfId="26455" xr:uid="{00000000-0005-0000-0000-00001D680000}"/>
    <cellStyle name="Standard 4 4 3 2 3 7" xfId="26456" xr:uid="{00000000-0005-0000-0000-00001E680000}"/>
    <cellStyle name="Standard 4 4 3 2 3 8" xfId="26457" xr:uid="{00000000-0005-0000-0000-00001F680000}"/>
    <cellStyle name="Standard 4 4 3 2 4" xfId="26458" xr:uid="{00000000-0005-0000-0000-000020680000}"/>
    <cellStyle name="Standard 4 4 3 2 4 2" xfId="26459" xr:uid="{00000000-0005-0000-0000-000021680000}"/>
    <cellStyle name="Standard 4 4 3 2 4 2 2" xfId="26460" xr:uid="{00000000-0005-0000-0000-000022680000}"/>
    <cellStyle name="Standard 4 4 3 2 4 2 2 2" xfId="26461" xr:uid="{00000000-0005-0000-0000-000023680000}"/>
    <cellStyle name="Standard 4 4 3 2 4 2 2 2 2" xfId="26462" xr:uid="{00000000-0005-0000-0000-000024680000}"/>
    <cellStyle name="Standard 4 4 3 2 4 2 2 2 3" xfId="26463" xr:uid="{00000000-0005-0000-0000-000025680000}"/>
    <cellStyle name="Standard 4 4 3 2 4 2 2 3" xfId="26464" xr:uid="{00000000-0005-0000-0000-000026680000}"/>
    <cellStyle name="Standard 4 4 3 2 4 2 2 3 2" xfId="26465" xr:uid="{00000000-0005-0000-0000-000027680000}"/>
    <cellStyle name="Standard 4 4 3 2 4 2 2 3 3" xfId="26466" xr:uid="{00000000-0005-0000-0000-000028680000}"/>
    <cellStyle name="Standard 4 4 3 2 4 2 2 4" xfId="26467" xr:uid="{00000000-0005-0000-0000-000029680000}"/>
    <cellStyle name="Standard 4 4 3 2 4 2 2 4 2" xfId="26468" xr:uid="{00000000-0005-0000-0000-00002A680000}"/>
    <cellStyle name="Standard 4 4 3 2 4 2 2 5" xfId="26469" xr:uid="{00000000-0005-0000-0000-00002B680000}"/>
    <cellStyle name="Standard 4 4 3 2 4 2 2 6" xfId="26470" xr:uid="{00000000-0005-0000-0000-00002C680000}"/>
    <cellStyle name="Standard 4 4 3 2 4 2 3" xfId="26471" xr:uid="{00000000-0005-0000-0000-00002D680000}"/>
    <cellStyle name="Standard 4 4 3 2 4 2 3 2" xfId="26472" xr:uid="{00000000-0005-0000-0000-00002E680000}"/>
    <cellStyle name="Standard 4 4 3 2 4 2 3 3" xfId="26473" xr:uid="{00000000-0005-0000-0000-00002F680000}"/>
    <cellStyle name="Standard 4 4 3 2 4 2 4" xfId="26474" xr:uid="{00000000-0005-0000-0000-000030680000}"/>
    <cellStyle name="Standard 4 4 3 2 4 2 4 2" xfId="26475" xr:uid="{00000000-0005-0000-0000-000031680000}"/>
    <cellStyle name="Standard 4 4 3 2 4 2 4 3" xfId="26476" xr:uid="{00000000-0005-0000-0000-000032680000}"/>
    <cellStyle name="Standard 4 4 3 2 4 2 5" xfId="26477" xr:uid="{00000000-0005-0000-0000-000033680000}"/>
    <cellStyle name="Standard 4 4 3 2 4 2 5 2" xfId="26478" xr:uid="{00000000-0005-0000-0000-000034680000}"/>
    <cellStyle name="Standard 4 4 3 2 4 2 6" xfId="26479" xr:uid="{00000000-0005-0000-0000-000035680000}"/>
    <cellStyle name="Standard 4 4 3 2 4 2 7" xfId="26480" xr:uid="{00000000-0005-0000-0000-000036680000}"/>
    <cellStyle name="Standard 4 4 3 2 4 3" xfId="26481" xr:uid="{00000000-0005-0000-0000-000037680000}"/>
    <cellStyle name="Standard 4 4 3 2 4 3 2" xfId="26482" xr:uid="{00000000-0005-0000-0000-000038680000}"/>
    <cellStyle name="Standard 4 4 3 2 4 3 2 2" xfId="26483" xr:uid="{00000000-0005-0000-0000-000039680000}"/>
    <cellStyle name="Standard 4 4 3 2 4 3 2 3" xfId="26484" xr:uid="{00000000-0005-0000-0000-00003A680000}"/>
    <cellStyle name="Standard 4 4 3 2 4 3 3" xfId="26485" xr:uid="{00000000-0005-0000-0000-00003B680000}"/>
    <cellStyle name="Standard 4 4 3 2 4 3 3 2" xfId="26486" xr:uid="{00000000-0005-0000-0000-00003C680000}"/>
    <cellStyle name="Standard 4 4 3 2 4 3 3 3" xfId="26487" xr:uid="{00000000-0005-0000-0000-00003D680000}"/>
    <cellStyle name="Standard 4 4 3 2 4 3 4" xfId="26488" xr:uid="{00000000-0005-0000-0000-00003E680000}"/>
    <cellStyle name="Standard 4 4 3 2 4 3 4 2" xfId="26489" xr:uid="{00000000-0005-0000-0000-00003F680000}"/>
    <cellStyle name="Standard 4 4 3 2 4 3 5" xfId="26490" xr:uid="{00000000-0005-0000-0000-000040680000}"/>
    <cellStyle name="Standard 4 4 3 2 4 3 6" xfId="26491" xr:uid="{00000000-0005-0000-0000-000041680000}"/>
    <cellStyle name="Standard 4 4 3 2 4 4" xfId="26492" xr:uid="{00000000-0005-0000-0000-000042680000}"/>
    <cellStyle name="Standard 4 4 3 2 4 4 2" xfId="26493" xr:uid="{00000000-0005-0000-0000-000043680000}"/>
    <cellStyle name="Standard 4 4 3 2 4 4 3" xfId="26494" xr:uid="{00000000-0005-0000-0000-000044680000}"/>
    <cellStyle name="Standard 4 4 3 2 4 5" xfId="26495" xr:uid="{00000000-0005-0000-0000-000045680000}"/>
    <cellStyle name="Standard 4 4 3 2 4 5 2" xfId="26496" xr:uid="{00000000-0005-0000-0000-000046680000}"/>
    <cellStyle name="Standard 4 4 3 2 4 5 3" xfId="26497" xr:uid="{00000000-0005-0000-0000-000047680000}"/>
    <cellStyle name="Standard 4 4 3 2 4 6" xfId="26498" xr:uid="{00000000-0005-0000-0000-000048680000}"/>
    <cellStyle name="Standard 4 4 3 2 4 6 2" xfId="26499" xr:uid="{00000000-0005-0000-0000-000049680000}"/>
    <cellStyle name="Standard 4 4 3 2 4 7" xfId="26500" xr:uid="{00000000-0005-0000-0000-00004A680000}"/>
    <cellStyle name="Standard 4 4 3 2 4 8" xfId="26501" xr:uid="{00000000-0005-0000-0000-00004B680000}"/>
    <cellStyle name="Standard 4 4 3 2 5" xfId="26502" xr:uid="{00000000-0005-0000-0000-00004C680000}"/>
    <cellStyle name="Standard 4 4 3 2 5 2" xfId="26503" xr:uid="{00000000-0005-0000-0000-00004D680000}"/>
    <cellStyle name="Standard 4 4 3 2 5 2 2" xfId="26504" xr:uid="{00000000-0005-0000-0000-00004E680000}"/>
    <cellStyle name="Standard 4 4 3 2 5 2 2 2" xfId="26505" xr:uid="{00000000-0005-0000-0000-00004F680000}"/>
    <cellStyle name="Standard 4 4 3 2 5 2 2 3" xfId="26506" xr:uid="{00000000-0005-0000-0000-000050680000}"/>
    <cellStyle name="Standard 4 4 3 2 5 2 3" xfId="26507" xr:uid="{00000000-0005-0000-0000-000051680000}"/>
    <cellStyle name="Standard 4 4 3 2 5 2 3 2" xfId="26508" xr:uid="{00000000-0005-0000-0000-000052680000}"/>
    <cellStyle name="Standard 4 4 3 2 5 2 3 3" xfId="26509" xr:uid="{00000000-0005-0000-0000-000053680000}"/>
    <cellStyle name="Standard 4 4 3 2 5 2 4" xfId="26510" xr:uid="{00000000-0005-0000-0000-000054680000}"/>
    <cellStyle name="Standard 4 4 3 2 5 2 4 2" xfId="26511" xr:uid="{00000000-0005-0000-0000-000055680000}"/>
    <cellStyle name="Standard 4 4 3 2 5 2 5" xfId="26512" xr:uid="{00000000-0005-0000-0000-000056680000}"/>
    <cellStyle name="Standard 4 4 3 2 5 2 6" xfId="26513" xr:uid="{00000000-0005-0000-0000-000057680000}"/>
    <cellStyle name="Standard 4 4 3 2 5 3" xfId="26514" xr:uid="{00000000-0005-0000-0000-000058680000}"/>
    <cellStyle name="Standard 4 4 3 2 5 3 2" xfId="26515" xr:uid="{00000000-0005-0000-0000-000059680000}"/>
    <cellStyle name="Standard 4 4 3 2 5 3 3" xfId="26516" xr:uid="{00000000-0005-0000-0000-00005A680000}"/>
    <cellStyle name="Standard 4 4 3 2 5 4" xfId="26517" xr:uid="{00000000-0005-0000-0000-00005B680000}"/>
    <cellStyle name="Standard 4 4 3 2 5 4 2" xfId="26518" xr:uid="{00000000-0005-0000-0000-00005C680000}"/>
    <cellStyle name="Standard 4 4 3 2 5 4 3" xfId="26519" xr:uid="{00000000-0005-0000-0000-00005D680000}"/>
    <cellStyle name="Standard 4 4 3 2 5 5" xfId="26520" xr:uid="{00000000-0005-0000-0000-00005E680000}"/>
    <cellStyle name="Standard 4 4 3 2 5 5 2" xfId="26521" xr:uid="{00000000-0005-0000-0000-00005F680000}"/>
    <cellStyle name="Standard 4 4 3 2 5 6" xfId="26522" xr:uid="{00000000-0005-0000-0000-000060680000}"/>
    <cellStyle name="Standard 4 4 3 2 5 7" xfId="26523" xr:uid="{00000000-0005-0000-0000-000061680000}"/>
    <cellStyle name="Standard 4 4 3 2 6" xfId="26524" xr:uid="{00000000-0005-0000-0000-000062680000}"/>
    <cellStyle name="Standard 4 4 3 2 6 2" xfId="26525" xr:uid="{00000000-0005-0000-0000-000063680000}"/>
    <cellStyle name="Standard 4 4 3 2 6 2 2" xfId="26526" xr:uid="{00000000-0005-0000-0000-000064680000}"/>
    <cellStyle name="Standard 4 4 3 2 6 2 3" xfId="26527" xr:uid="{00000000-0005-0000-0000-000065680000}"/>
    <cellStyle name="Standard 4 4 3 2 6 3" xfId="26528" xr:uid="{00000000-0005-0000-0000-000066680000}"/>
    <cellStyle name="Standard 4 4 3 2 6 3 2" xfId="26529" xr:uid="{00000000-0005-0000-0000-000067680000}"/>
    <cellStyle name="Standard 4 4 3 2 6 3 3" xfId="26530" xr:uid="{00000000-0005-0000-0000-000068680000}"/>
    <cellStyle name="Standard 4 4 3 2 6 4" xfId="26531" xr:uid="{00000000-0005-0000-0000-000069680000}"/>
    <cellStyle name="Standard 4 4 3 2 6 4 2" xfId="26532" xr:uid="{00000000-0005-0000-0000-00006A680000}"/>
    <cellStyle name="Standard 4 4 3 2 6 5" xfId="26533" xr:uid="{00000000-0005-0000-0000-00006B680000}"/>
    <cellStyle name="Standard 4 4 3 2 6 6" xfId="26534" xr:uid="{00000000-0005-0000-0000-00006C680000}"/>
    <cellStyle name="Standard 4 4 3 2 7" xfId="26535" xr:uid="{00000000-0005-0000-0000-00006D680000}"/>
    <cellStyle name="Standard 4 4 3 2 7 2" xfId="26536" xr:uid="{00000000-0005-0000-0000-00006E680000}"/>
    <cellStyle name="Standard 4 4 3 2 7 3" xfId="26537" xr:uid="{00000000-0005-0000-0000-00006F680000}"/>
    <cellStyle name="Standard 4 4 3 2 8" xfId="26538" xr:uid="{00000000-0005-0000-0000-000070680000}"/>
    <cellStyle name="Standard 4 4 3 2 8 2" xfId="26539" xr:uid="{00000000-0005-0000-0000-000071680000}"/>
    <cellStyle name="Standard 4 4 3 2 8 3" xfId="26540" xr:uid="{00000000-0005-0000-0000-000072680000}"/>
    <cellStyle name="Standard 4 4 3 2 9" xfId="26541" xr:uid="{00000000-0005-0000-0000-000073680000}"/>
    <cellStyle name="Standard 4 4 3 2 9 2" xfId="26542" xr:uid="{00000000-0005-0000-0000-000074680000}"/>
    <cellStyle name="Standard 4 4 3 3" xfId="26543" xr:uid="{00000000-0005-0000-0000-000075680000}"/>
    <cellStyle name="Standard 4 4 3 3 10" xfId="26544" xr:uid="{00000000-0005-0000-0000-000076680000}"/>
    <cellStyle name="Standard 4 4 3 3 11" xfId="26545" xr:uid="{00000000-0005-0000-0000-000077680000}"/>
    <cellStyle name="Standard 4 4 3 3 2" xfId="26546" xr:uid="{00000000-0005-0000-0000-000078680000}"/>
    <cellStyle name="Standard 4 4 3 3 2 10" xfId="26547" xr:uid="{00000000-0005-0000-0000-000079680000}"/>
    <cellStyle name="Standard 4 4 3 3 2 2" xfId="26548" xr:uid="{00000000-0005-0000-0000-00007A680000}"/>
    <cellStyle name="Standard 4 4 3 3 2 2 2" xfId="26549" xr:uid="{00000000-0005-0000-0000-00007B680000}"/>
    <cellStyle name="Standard 4 4 3 3 2 2 2 2" xfId="26550" xr:uid="{00000000-0005-0000-0000-00007C680000}"/>
    <cellStyle name="Standard 4 4 3 3 2 2 2 2 2" xfId="26551" xr:uid="{00000000-0005-0000-0000-00007D680000}"/>
    <cellStyle name="Standard 4 4 3 3 2 2 2 2 2 2" xfId="26552" xr:uid="{00000000-0005-0000-0000-00007E680000}"/>
    <cellStyle name="Standard 4 4 3 3 2 2 2 2 2 3" xfId="26553" xr:uid="{00000000-0005-0000-0000-00007F680000}"/>
    <cellStyle name="Standard 4 4 3 3 2 2 2 2 3" xfId="26554" xr:uid="{00000000-0005-0000-0000-000080680000}"/>
    <cellStyle name="Standard 4 4 3 3 2 2 2 2 3 2" xfId="26555" xr:uid="{00000000-0005-0000-0000-000081680000}"/>
    <cellStyle name="Standard 4 4 3 3 2 2 2 2 3 3" xfId="26556" xr:uid="{00000000-0005-0000-0000-000082680000}"/>
    <cellStyle name="Standard 4 4 3 3 2 2 2 2 4" xfId="26557" xr:uid="{00000000-0005-0000-0000-000083680000}"/>
    <cellStyle name="Standard 4 4 3 3 2 2 2 2 4 2" xfId="26558" xr:uid="{00000000-0005-0000-0000-000084680000}"/>
    <cellStyle name="Standard 4 4 3 3 2 2 2 2 5" xfId="26559" xr:uid="{00000000-0005-0000-0000-000085680000}"/>
    <cellStyle name="Standard 4 4 3 3 2 2 2 2 6" xfId="26560" xr:uid="{00000000-0005-0000-0000-000086680000}"/>
    <cellStyle name="Standard 4 4 3 3 2 2 2 3" xfId="26561" xr:uid="{00000000-0005-0000-0000-000087680000}"/>
    <cellStyle name="Standard 4 4 3 3 2 2 2 3 2" xfId="26562" xr:uid="{00000000-0005-0000-0000-000088680000}"/>
    <cellStyle name="Standard 4 4 3 3 2 2 2 3 3" xfId="26563" xr:uid="{00000000-0005-0000-0000-000089680000}"/>
    <cellStyle name="Standard 4 4 3 3 2 2 2 4" xfId="26564" xr:uid="{00000000-0005-0000-0000-00008A680000}"/>
    <cellStyle name="Standard 4 4 3 3 2 2 2 4 2" xfId="26565" xr:uid="{00000000-0005-0000-0000-00008B680000}"/>
    <cellStyle name="Standard 4 4 3 3 2 2 2 4 3" xfId="26566" xr:uid="{00000000-0005-0000-0000-00008C680000}"/>
    <cellStyle name="Standard 4 4 3 3 2 2 2 5" xfId="26567" xr:uid="{00000000-0005-0000-0000-00008D680000}"/>
    <cellStyle name="Standard 4 4 3 3 2 2 2 5 2" xfId="26568" xr:uid="{00000000-0005-0000-0000-00008E680000}"/>
    <cellStyle name="Standard 4 4 3 3 2 2 2 6" xfId="26569" xr:uid="{00000000-0005-0000-0000-00008F680000}"/>
    <cellStyle name="Standard 4 4 3 3 2 2 2 7" xfId="26570" xr:uid="{00000000-0005-0000-0000-000090680000}"/>
    <cellStyle name="Standard 4 4 3 3 2 2 3" xfId="26571" xr:uid="{00000000-0005-0000-0000-000091680000}"/>
    <cellStyle name="Standard 4 4 3 3 2 2 3 2" xfId="26572" xr:uid="{00000000-0005-0000-0000-000092680000}"/>
    <cellStyle name="Standard 4 4 3 3 2 2 3 2 2" xfId="26573" xr:uid="{00000000-0005-0000-0000-000093680000}"/>
    <cellStyle name="Standard 4 4 3 3 2 2 3 2 3" xfId="26574" xr:uid="{00000000-0005-0000-0000-000094680000}"/>
    <cellStyle name="Standard 4 4 3 3 2 2 3 3" xfId="26575" xr:uid="{00000000-0005-0000-0000-000095680000}"/>
    <cellStyle name="Standard 4 4 3 3 2 2 3 3 2" xfId="26576" xr:uid="{00000000-0005-0000-0000-000096680000}"/>
    <cellStyle name="Standard 4 4 3 3 2 2 3 3 3" xfId="26577" xr:uid="{00000000-0005-0000-0000-000097680000}"/>
    <cellStyle name="Standard 4 4 3 3 2 2 3 4" xfId="26578" xr:uid="{00000000-0005-0000-0000-000098680000}"/>
    <cellStyle name="Standard 4 4 3 3 2 2 3 4 2" xfId="26579" xr:uid="{00000000-0005-0000-0000-000099680000}"/>
    <cellStyle name="Standard 4 4 3 3 2 2 3 5" xfId="26580" xr:uid="{00000000-0005-0000-0000-00009A680000}"/>
    <cellStyle name="Standard 4 4 3 3 2 2 3 6" xfId="26581" xr:uid="{00000000-0005-0000-0000-00009B680000}"/>
    <cellStyle name="Standard 4 4 3 3 2 2 4" xfId="26582" xr:uid="{00000000-0005-0000-0000-00009C680000}"/>
    <cellStyle name="Standard 4 4 3 3 2 2 4 2" xfId="26583" xr:uid="{00000000-0005-0000-0000-00009D680000}"/>
    <cellStyle name="Standard 4 4 3 3 2 2 4 3" xfId="26584" xr:uid="{00000000-0005-0000-0000-00009E680000}"/>
    <cellStyle name="Standard 4 4 3 3 2 2 5" xfId="26585" xr:uid="{00000000-0005-0000-0000-00009F680000}"/>
    <cellStyle name="Standard 4 4 3 3 2 2 5 2" xfId="26586" xr:uid="{00000000-0005-0000-0000-0000A0680000}"/>
    <cellStyle name="Standard 4 4 3 3 2 2 5 3" xfId="26587" xr:uid="{00000000-0005-0000-0000-0000A1680000}"/>
    <cellStyle name="Standard 4 4 3 3 2 2 6" xfId="26588" xr:uid="{00000000-0005-0000-0000-0000A2680000}"/>
    <cellStyle name="Standard 4 4 3 3 2 2 6 2" xfId="26589" xr:uid="{00000000-0005-0000-0000-0000A3680000}"/>
    <cellStyle name="Standard 4 4 3 3 2 2 7" xfId="26590" xr:uid="{00000000-0005-0000-0000-0000A4680000}"/>
    <cellStyle name="Standard 4 4 3 3 2 2 8" xfId="26591" xr:uid="{00000000-0005-0000-0000-0000A5680000}"/>
    <cellStyle name="Standard 4 4 3 3 2 3" xfId="26592" xr:uid="{00000000-0005-0000-0000-0000A6680000}"/>
    <cellStyle name="Standard 4 4 3 3 2 3 2" xfId="26593" xr:uid="{00000000-0005-0000-0000-0000A7680000}"/>
    <cellStyle name="Standard 4 4 3 3 2 3 2 2" xfId="26594" xr:uid="{00000000-0005-0000-0000-0000A8680000}"/>
    <cellStyle name="Standard 4 4 3 3 2 3 2 2 2" xfId="26595" xr:uid="{00000000-0005-0000-0000-0000A9680000}"/>
    <cellStyle name="Standard 4 4 3 3 2 3 2 2 2 2" xfId="26596" xr:uid="{00000000-0005-0000-0000-0000AA680000}"/>
    <cellStyle name="Standard 4 4 3 3 2 3 2 2 2 3" xfId="26597" xr:uid="{00000000-0005-0000-0000-0000AB680000}"/>
    <cellStyle name="Standard 4 4 3 3 2 3 2 2 3" xfId="26598" xr:uid="{00000000-0005-0000-0000-0000AC680000}"/>
    <cellStyle name="Standard 4 4 3 3 2 3 2 2 3 2" xfId="26599" xr:uid="{00000000-0005-0000-0000-0000AD680000}"/>
    <cellStyle name="Standard 4 4 3 3 2 3 2 2 3 3" xfId="26600" xr:uid="{00000000-0005-0000-0000-0000AE680000}"/>
    <cellStyle name="Standard 4 4 3 3 2 3 2 2 4" xfId="26601" xr:uid="{00000000-0005-0000-0000-0000AF680000}"/>
    <cellStyle name="Standard 4 4 3 3 2 3 2 2 4 2" xfId="26602" xr:uid="{00000000-0005-0000-0000-0000B0680000}"/>
    <cellStyle name="Standard 4 4 3 3 2 3 2 2 5" xfId="26603" xr:uid="{00000000-0005-0000-0000-0000B1680000}"/>
    <cellStyle name="Standard 4 4 3 3 2 3 2 2 6" xfId="26604" xr:uid="{00000000-0005-0000-0000-0000B2680000}"/>
    <cellStyle name="Standard 4 4 3 3 2 3 2 3" xfId="26605" xr:uid="{00000000-0005-0000-0000-0000B3680000}"/>
    <cellStyle name="Standard 4 4 3 3 2 3 2 3 2" xfId="26606" xr:uid="{00000000-0005-0000-0000-0000B4680000}"/>
    <cellStyle name="Standard 4 4 3 3 2 3 2 3 3" xfId="26607" xr:uid="{00000000-0005-0000-0000-0000B5680000}"/>
    <cellStyle name="Standard 4 4 3 3 2 3 2 4" xfId="26608" xr:uid="{00000000-0005-0000-0000-0000B6680000}"/>
    <cellStyle name="Standard 4 4 3 3 2 3 2 4 2" xfId="26609" xr:uid="{00000000-0005-0000-0000-0000B7680000}"/>
    <cellStyle name="Standard 4 4 3 3 2 3 2 4 3" xfId="26610" xr:uid="{00000000-0005-0000-0000-0000B8680000}"/>
    <cellStyle name="Standard 4 4 3 3 2 3 2 5" xfId="26611" xr:uid="{00000000-0005-0000-0000-0000B9680000}"/>
    <cellStyle name="Standard 4 4 3 3 2 3 2 5 2" xfId="26612" xr:uid="{00000000-0005-0000-0000-0000BA680000}"/>
    <cellStyle name="Standard 4 4 3 3 2 3 2 6" xfId="26613" xr:uid="{00000000-0005-0000-0000-0000BB680000}"/>
    <cellStyle name="Standard 4 4 3 3 2 3 2 7" xfId="26614" xr:uid="{00000000-0005-0000-0000-0000BC680000}"/>
    <cellStyle name="Standard 4 4 3 3 2 3 3" xfId="26615" xr:uid="{00000000-0005-0000-0000-0000BD680000}"/>
    <cellStyle name="Standard 4 4 3 3 2 3 3 2" xfId="26616" xr:uid="{00000000-0005-0000-0000-0000BE680000}"/>
    <cellStyle name="Standard 4 4 3 3 2 3 3 2 2" xfId="26617" xr:uid="{00000000-0005-0000-0000-0000BF680000}"/>
    <cellStyle name="Standard 4 4 3 3 2 3 3 2 3" xfId="26618" xr:uid="{00000000-0005-0000-0000-0000C0680000}"/>
    <cellStyle name="Standard 4 4 3 3 2 3 3 3" xfId="26619" xr:uid="{00000000-0005-0000-0000-0000C1680000}"/>
    <cellStyle name="Standard 4 4 3 3 2 3 3 3 2" xfId="26620" xr:uid="{00000000-0005-0000-0000-0000C2680000}"/>
    <cellStyle name="Standard 4 4 3 3 2 3 3 3 3" xfId="26621" xr:uid="{00000000-0005-0000-0000-0000C3680000}"/>
    <cellStyle name="Standard 4 4 3 3 2 3 3 4" xfId="26622" xr:uid="{00000000-0005-0000-0000-0000C4680000}"/>
    <cellStyle name="Standard 4 4 3 3 2 3 3 4 2" xfId="26623" xr:uid="{00000000-0005-0000-0000-0000C5680000}"/>
    <cellStyle name="Standard 4 4 3 3 2 3 3 5" xfId="26624" xr:uid="{00000000-0005-0000-0000-0000C6680000}"/>
    <cellStyle name="Standard 4 4 3 3 2 3 3 6" xfId="26625" xr:uid="{00000000-0005-0000-0000-0000C7680000}"/>
    <cellStyle name="Standard 4 4 3 3 2 3 4" xfId="26626" xr:uid="{00000000-0005-0000-0000-0000C8680000}"/>
    <cellStyle name="Standard 4 4 3 3 2 3 4 2" xfId="26627" xr:uid="{00000000-0005-0000-0000-0000C9680000}"/>
    <cellStyle name="Standard 4 4 3 3 2 3 4 3" xfId="26628" xr:uid="{00000000-0005-0000-0000-0000CA680000}"/>
    <cellStyle name="Standard 4 4 3 3 2 3 5" xfId="26629" xr:uid="{00000000-0005-0000-0000-0000CB680000}"/>
    <cellStyle name="Standard 4 4 3 3 2 3 5 2" xfId="26630" xr:uid="{00000000-0005-0000-0000-0000CC680000}"/>
    <cellStyle name="Standard 4 4 3 3 2 3 5 3" xfId="26631" xr:uid="{00000000-0005-0000-0000-0000CD680000}"/>
    <cellStyle name="Standard 4 4 3 3 2 3 6" xfId="26632" xr:uid="{00000000-0005-0000-0000-0000CE680000}"/>
    <cellStyle name="Standard 4 4 3 3 2 3 6 2" xfId="26633" xr:uid="{00000000-0005-0000-0000-0000CF680000}"/>
    <cellStyle name="Standard 4 4 3 3 2 3 7" xfId="26634" xr:uid="{00000000-0005-0000-0000-0000D0680000}"/>
    <cellStyle name="Standard 4 4 3 3 2 3 8" xfId="26635" xr:uid="{00000000-0005-0000-0000-0000D1680000}"/>
    <cellStyle name="Standard 4 4 3 3 2 4" xfId="26636" xr:uid="{00000000-0005-0000-0000-0000D2680000}"/>
    <cellStyle name="Standard 4 4 3 3 2 4 2" xfId="26637" xr:uid="{00000000-0005-0000-0000-0000D3680000}"/>
    <cellStyle name="Standard 4 4 3 3 2 4 2 2" xfId="26638" xr:uid="{00000000-0005-0000-0000-0000D4680000}"/>
    <cellStyle name="Standard 4 4 3 3 2 4 2 2 2" xfId="26639" xr:uid="{00000000-0005-0000-0000-0000D5680000}"/>
    <cellStyle name="Standard 4 4 3 3 2 4 2 2 3" xfId="26640" xr:uid="{00000000-0005-0000-0000-0000D6680000}"/>
    <cellStyle name="Standard 4 4 3 3 2 4 2 3" xfId="26641" xr:uid="{00000000-0005-0000-0000-0000D7680000}"/>
    <cellStyle name="Standard 4 4 3 3 2 4 2 3 2" xfId="26642" xr:uid="{00000000-0005-0000-0000-0000D8680000}"/>
    <cellStyle name="Standard 4 4 3 3 2 4 2 3 3" xfId="26643" xr:uid="{00000000-0005-0000-0000-0000D9680000}"/>
    <cellStyle name="Standard 4 4 3 3 2 4 2 4" xfId="26644" xr:uid="{00000000-0005-0000-0000-0000DA680000}"/>
    <cellStyle name="Standard 4 4 3 3 2 4 2 4 2" xfId="26645" xr:uid="{00000000-0005-0000-0000-0000DB680000}"/>
    <cellStyle name="Standard 4 4 3 3 2 4 2 5" xfId="26646" xr:uid="{00000000-0005-0000-0000-0000DC680000}"/>
    <cellStyle name="Standard 4 4 3 3 2 4 2 6" xfId="26647" xr:uid="{00000000-0005-0000-0000-0000DD680000}"/>
    <cellStyle name="Standard 4 4 3 3 2 4 3" xfId="26648" xr:uid="{00000000-0005-0000-0000-0000DE680000}"/>
    <cellStyle name="Standard 4 4 3 3 2 4 3 2" xfId="26649" xr:uid="{00000000-0005-0000-0000-0000DF680000}"/>
    <cellStyle name="Standard 4 4 3 3 2 4 3 3" xfId="26650" xr:uid="{00000000-0005-0000-0000-0000E0680000}"/>
    <cellStyle name="Standard 4 4 3 3 2 4 4" xfId="26651" xr:uid="{00000000-0005-0000-0000-0000E1680000}"/>
    <cellStyle name="Standard 4 4 3 3 2 4 4 2" xfId="26652" xr:uid="{00000000-0005-0000-0000-0000E2680000}"/>
    <cellStyle name="Standard 4 4 3 3 2 4 4 3" xfId="26653" xr:uid="{00000000-0005-0000-0000-0000E3680000}"/>
    <cellStyle name="Standard 4 4 3 3 2 4 5" xfId="26654" xr:uid="{00000000-0005-0000-0000-0000E4680000}"/>
    <cellStyle name="Standard 4 4 3 3 2 4 5 2" xfId="26655" xr:uid="{00000000-0005-0000-0000-0000E5680000}"/>
    <cellStyle name="Standard 4 4 3 3 2 4 6" xfId="26656" xr:uid="{00000000-0005-0000-0000-0000E6680000}"/>
    <cellStyle name="Standard 4 4 3 3 2 4 7" xfId="26657" xr:uid="{00000000-0005-0000-0000-0000E7680000}"/>
    <cellStyle name="Standard 4 4 3 3 2 5" xfId="26658" xr:uid="{00000000-0005-0000-0000-0000E8680000}"/>
    <cellStyle name="Standard 4 4 3 3 2 5 2" xfId="26659" xr:uid="{00000000-0005-0000-0000-0000E9680000}"/>
    <cellStyle name="Standard 4 4 3 3 2 5 2 2" xfId="26660" xr:uid="{00000000-0005-0000-0000-0000EA680000}"/>
    <cellStyle name="Standard 4 4 3 3 2 5 2 3" xfId="26661" xr:uid="{00000000-0005-0000-0000-0000EB680000}"/>
    <cellStyle name="Standard 4 4 3 3 2 5 3" xfId="26662" xr:uid="{00000000-0005-0000-0000-0000EC680000}"/>
    <cellStyle name="Standard 4 4 3 3 2 5 3 2" xfId="26663" xr:uid="{00000000-0005-0000-0000-0000ED680000}"/>
    <cellStyle name="Standard 4 4 3 3 2 5 3 3" xfId="26664" xr:uid="{00000000-0005-0000-0000-0000EE680000}"/>
    <cellStyle name="Standard 4 4 3 3 2 5 4" xfId="26665" xr:uid="{00000000-0005-0000-0000-0000EF680000}"/>
    <cellStyle name="Standard 4 4 3 3 2 5 4 2" xfId="26666" xr:uid="{00000000-0005-0000-0000-0000F0680000}"/>
    <cellStyle name="Standard 4 4 3 3 2 5 5" xfId="26667" xr:uid="{00000000-0005-0000-0000-0000F1680000}"/>
    <cellStyle name="Standard 4 4 3 3 2 5 6" xfId="26668" xr:uid="{00000000-0005-0000-0000-0000F2680000}"/>
    <cellStyle name="Standard 4 4 3 3 2 6" xfId="26669" xr:uid="{00000000-0005-0000-0000-0000F3680000}"/>
    <cellStyle name="Standard 4 4 3 3 2 6 2" xfId="26670" xr:uid="{00000000-0005-0000-0000-0000F4680000}"/>
    <cellStyle name="Standard 4 4 3 3 2 6 3" xfId="26671" xr:uid="{00000000-0005-0000-0000-0000F5680000}"/>
    <cellStyle name="Standard 4 4 3 3 2 7" xfId="26672" xr:uid="{00000000-0005-0000-0000-0000F6680000}"/>
    <cellStyle name="Standard 4 4 3 3 2 7 2" xfId="26673" xr:uid="{00000000-0005-0000-0000-0000F7680000}"/>
    <cellStyle name="Standard 4 4 3 3 2 7 3" xfId="26674" xr:uid="{00000000-0005-0000-0000-0000F8680000}"/>
    <cellStyle name="Standard 4 4 3 3 2 8" xfId="26675" xr:uid="{00000000-0005-0000-0000-0000F9680000}"/>
    <cellStyle name="Standard 4 4 3 3 2 8 2" xfId="26676" xr:uid="{00000000-0005-0000-0000-0000FA680000}"/>
    <cellStyle name="Standard 4 4 3 3 2 9" xfId="26677" xr:uid="{00000000-0005-0000-0000-0000FB680000}"/>
    <cellStyle name="Standard 4 4 3 3 3" xfId="26678" xr:uid="{00000000-0005-0000-0000-0000FC680000}"/>
    <cellStyle name="Standard 4 4 3 3 3 2" xfId="26679" xr:uid="{00000000-0005-0000-0000-0000FD680000}"/>
    <cellStyle name="Standard 4 4 3 3 3 2 2" xfId="26680" xr:uid="{00000000-0005-0000-0000-0000FE680000}"/>
    <cellStyle name="Standard 4 4 3 3 3 2 2 2" xfId="26681" xr:uid="{00000000-0005-0000-0000-0000FF680000}"/>
    <cellStyle name="Standard 4 4 3 3 3 2 2 2 2" xfId="26682" xr:uid="{00000000-0005-0000-0000-000000690000}"/>
    <cellStyle name="Standard 4 4 3 3 3 2 2 2 3" xfId="26683" xr:uid="{00000000-0005-0000-0000-000001690000}"/>
    <cellStyle name="Standard 4 4 3 3 3 2 2 3" xfId="26684" xr:uid="{00000000-0005-0000-0000-000002690000}"/>
    <cellStyle name="Standard 4 4 3 3 3 2 2 3 2" xfId="26685" xr:uid="{00000000-0005-0000-0000-000003690000}"/>
    <cellStyle name="Standard 4 4 3 3 3 2 2 3 3" xfId="26686" xr:uid="{00000000-0005-0000-0000-000004690000}"/>
    <cellStyle name="Standard 4 4 3 3 3 2 2 4" xfId="26687" xr:uid="{00000000-0005-0000-0000-000005690000}"/>
    <cellStyle name="Standard 4 4 3 3 3 2 2 4 2" xfId="26688" xr:uid="{00000000-0005-0000-0000-000006690000}"/>
    <cellStyle name="Standard 4 4 3 3 3 2 2 5" xfId="26689" xr:uid="{00000000-0005-0000-0000-000007690000}"/>
    <cellStyle name="Standard 4 4 3 3 3 2 2 6" xfId="26690" xr:uid="{00000000-0005-0000-0000-000008690000}"/>
    <cellStyle name="Standard 4 4 3 3 3 2 3" xfId="26691" xr:uid="{00000000-0005-0000-0000-000009690000}"/>
    <cellStyle name="Standard 4 4 3 3 3 2 3 2" xfId="26692" xr:uid="{00000000-0005-0000-0000-00000A690000}"/>
    <cellStyle name="Standard 4 4 3 3 3 2 3 3" xfId="26693" xr:uid="{00000000-0005-0000-0000-00000B690000}"/>
    <cellStyle name="Standard 4 4 3 3 3 2 4" xfId="26694" xr:uid="{00000000-0005-0000-0000-00000C690000}"/>
    <cellStyle name="Standard 4 4 3 3 3 2 4 2" xfId="26695" xr:uid="{00000000-0005-0000-0000-00000D690000}"/>
    <cellStyle name="Standard 4 4 3 3 3 2 4 3" xfId="26696" xr:uid="{00000000-0005-0000-0000-00000E690000}"/>
    <cellStyle name="Standard 4 4 3 3 3 2 5" xfId="26697" xr:uid="{00000000-0005-0000-0000-00000F690000}"/>
    <cellStyle name="Standard 4 4 3 3 3 2 5 2" xfId="26698" xr:uid="{00000000-0005-0000-0000-000010690000}"/>
    <cellStyle name="Standard 4 4 3 3 3 2 6" xfId="26699" xr:uid="{00000000-0005-0000-0000-000011690000}"/>
    <cellStyle name="Standard 4 4 3 3 3 2 7" xfId="26700" xr:uid="{00000000-0005-0000-0000-000012690000}"/>
    <cellStyle name="Standard 4 4 3 3 3 3" xfId="26701" xr:uid="{00000000-0005-0000-0000-000013690000}"/>
    <cellStyle name="Standard 4 4 3 3 3 3 2" xfId="26702" xr:uid="{00000000-0005-0000-0000-000014690000}"/>
    <cellStyle name="Standard 4 4 3 3 3 3 2 2" xfId="26703" xr:uid="{00000000-0005-0000-0000-000015690000}"/>
    <cellStyle name="Standard 4 4 3 3 3 3 2 3" xfId="26704" xr:uid="{00000000-0005-0000-0000-000016690000}"/>
    <cellStyle name="Standard 4 4 3 3 3 3 3" xfId="26705" xr:uid="{00000000-0005-0000-0000-000017690000}"/>
    <cellStyle name="Standard 4 4 3 3 3 3 3 2" xfId="26706" xr:uid="{00000000-0005-0000-0000-000018690000}"/>
    <cellStyle name="Standard 4 4 3 3 3 3 3 3" xfId="26707" xr:uid="{00000000-0005-0000-0000-000019690000}"/>
    <cellStyle name="Standard 4 4 3 3 3 3 4" xfId="26708" xr:uid="{00000000-0005-0000-0000-00001A690000}"/>
    <cellStyle name="Standard 4 4 3 3 3 3 4 2" xfId="26709" xr:uid="{00000000-0005-0000-0000-00001B690000}"/>
    <cellStyle name="Standard 4 4 3 3 3 3 5" xfId="26710" xr:uid="{00000000-0005-0000-0000-00001C690000}"/>
    <cellStyle name="Standard 4 4 3 3 3 3 6" xfId="26711" xr:uid="{00000000-0005-0000-0000-00001D690000}"/>
    <cellStyle name="Standard 4 4 3 3 3 4" xfId="26712" xr:uid="{00000000-0005-0000-0000-00001E690000}"/>
    <cellStyle name="Standard 4 4 3 3 3 4 2" xfId="26713" xr:uid="{00000000-0005-0000-0000-00001F690000}"/>
    <cellStyle name="Standard 4 4 3 3 3 4 3" xfId="26714" xr:uid="{00000000-0005-0000-0000-000020690000}"/>
    <cellStyle name="Standard 4 4 3 3 3 5" xfId="26715" xr:uid="{00000000-0005-0000-0000-000021690000}"/>
    <cellStyle name="Standard 4 4 3 3 3 5 2" xfId="26716" xr:uid="{00000000-0005-0000-0000-000022690000}"/>
    <cellStyle name="Standard 4 4 3 3 3 5 3" xfId="26717" xr:uid="{00000000-0005-0000-0000-000023690000}"/>
    <cellStyle name="Standard 4 4 3 3 3 6" xfId="26718" xr:uid="{00000000-0005-0000-0000-000024690000}"/>
    <cellStyle name="Standard 4 4 3 3 3 6 2" xfId="26719" xr:uid="{00000000-0005-0000-0000-000025690000}"/>
    <cellStyle name="Standard 4 4 3 3 3 7" xfId="26720" xr:uid="{00000000-0005-0000-0000-000026690000}"/>
    <cellStyle name="Standard 4 4 3 3 3 8" xfId="26721" xr:uid="{00000000-0005-0000-0000-000027690000}"/>
    <cellStyle name="Standard 4 4 3 3 4" xfId="26722" xr:uid="{00000000-0005-0000-0000-000028690000}"/>
    <cellStyle name="Standard 4 4 3 3 4 2" xfId="26723" xr:uid="{00000000-0005-0000-0000-000029690000}"/>
    <cellStyle name="Standard 4 4 3 3 4 2 2" xfId="26724" xr:uid="{00000000-0005-0000-0000-00002A690000}"/>
    <cellStyle name="Standard 4 4 3 3 4 2 2 2" xfId="26725" xr:uid="{00000000-0005-0000-0000-00002B690000}"/>
    <cellStyle name="Standard 4 4 3 3 4 2 2 2 2" xfId="26726" xr:uid="{00000000-0005-0000-0000-00002C690000}"/>
    <cellStyle name="Standard 4 4 3 3 4 2 2 2 3" xfId="26727" xr:uid="{00000000-0005-0000-0000-00002D690000}"/>
    <cellStyle name="Standard 4 4 3 3 4 2 2 3" xfId="26728" xr:uid="{00000000-0005-0000-0000-00002E690000}"/>
    <cellStyle name="Standard 4 4 3 3 4 2 2 3 2" xfId="26729" xr:uid="{00000000-0005-0000-0000-00002F690000}"/>
    <cellStyle name="Standard 4 4 3 3 4 2 2 3 3" xfId="26730" xr:uid="{00000000-0005-0000-0000-000030690000}"/>
    <cellStyle name="Standard 4 4 3 3 4 2 2 4" xfId="26731" xr:uid="{00000000-0005-0000-0000-000031690000}"/>
    <cellStyle name="Standard 4 4 3 3 4 2 2 4 2" xfId="26732" xr:uid="{00000000-0005-0000-0000-000032690000}"/>
    <cellStyle name="Standard 4 4 3 3 4 2 2 5" xfId="26733" xr:uid="{00000000-0005-0000-0000-000033690000}"/>
    <cellStyle name="Standard 4 4 3 3 4 2 2 6" xfId="26734" xr:uid="{00000000-0005-0000-0000-000034690000}"/>
    <cellStyle name="Standard 4 4 3 3 4 2 3" xfId="26735" xr:uid="{00000000-0005-0000-0000-000035690000}"/>
    <cellStyle name="Standard 4 4 3 3 4 2 3 2" xfId="26736" xr:uid="{00000000-0005-0000-0000-000036690000}"/>
    <cellStyle name="Standard 4 4 3 3 4 2 3 3" xfId="26737" xr:uid="{00000000-0005-0000-0000-000037690000}"/>
    <cellStyle name="Standard 4 4 3 3 4 2 4" xfId="26738" xr:uid="{00000000-0005-0000-0000-000038690000}"/>
    <cellStyle name="Standard 4 4 3 3 4 2 4 2" xfId="26739" xr:uid="{00000000-0005-0000-0000-000039690000}"/>
    <cellStyle name="Standard 4 4 3 3 4 2 4 3" xfId="26740" xr:uid="{00000000-0005-0000-0000-00003A690000}"/>
    <cellStyle name="Standard 4 4 3 3 4 2 5" xfId="26741" xr:uid="{00000000-0005-0000-0000-00003B690000}"/>
    <cellStyle name="Standard 4 4 3 3 4 2 5 2" xfId="26742" xr:uid="{00000000-0005-0000-0000-00003C690000}"/>
    <cellStyle name="Standard 4 4 3 3 4 2 6" xfId="26743" xr:uid="{00000000-0005-0000-0000-00003D690000}"/>
    <cellStyle name="Standard 4 4 3 3 4 2 7" xfId="26744" xr:uid="{00000000-0005-0000-0000-00003E690000}"/>
    <cellStyle name="Standard 4 4 3 3 4 3" xfId="26745" xr:uid="{00000000-0005-0000-0000-00003F690000}"/>
    <cellStyle name="Standard 4 4 3 3 4 3 2" xfId="26746" xr:uid="{00000000-0005-0000-0000-000040690000}"/>
    <cellStyle name="Standard 4 4 3 3 4 3 2 2" xfId="26747" xr:uid="{00000000-0005-0000-0000-000041690000}"/>
    <cellStyle name="Standard 4 4 3 3 4 3 2 3" xfId="26748" xr:uid="{00000000-0005-0000-0000-000042690000}"/>
    <cellStyle name="Standard 4 4 3 3 4 3 3" xfId="26749" xr:uid="{00000000-0005-0000-0000-000043690000}"/>
    <cellStyle name="Standard 4 4 3 3 4 3 3 2" xfId="26750" xr:uid="{00000000-0005-0000-0000-000044690000}"/>
    <cellStyle name="Standard 4 4 3 3 4 3 3 3" xfId="26751" xr:uid="{00000000-0005-0000-0000-000045690000}"/>
    <cellStyle name="Standard 4 4 3 3 4 3 4" xfId="26752" xr:uid="{00000000-0005-0000-0000-000046690000}"/>
    <cellStyle name="Standard 4 4 3 3 4 3 4 2" xfId="26753" xr:uid="{00000000-0005-0000-0000-000047690000}"/>
    <cellStyle name="Standard 4 4 3 3 4 3 5" xfId="26754" xr:uid="{00000000-0005-0000-0000-000048690000}"/>
    <cellStyle name="Standard 4 4 3 3 4 3 6" xfId="26755" xr:uid="{00000000-0005-0000-0000-000049690000}"/>
    <cellStyle name="Standard 4 4 3 3 4 4" xfId="26756" xr:uid="{00000000-0005-0000-0000-00004A690000}"/>
    <cellStyle name="Standard 4 4 3 3 4 4 2" xfId="26757" xr:uid="{00000000-0005-0000-0000-00004B690000}"/>
    <cellStyle name="Standard 4 4 3 3 4 4 3" xfId="26758" xr:uid="{00000000-0005-0000-0000-00004C690000}"/>
    <cellStyle name="Standard 4 4 3 3 4 5" xfId="26759" xr:uid="{00000000-0005-0000-0000-00004D690000}"/>
    <cellStyle name="Standard 4 4 3 3 4 5 2" xfId="26760" xr:uid="{00000000-0005-0000-0000-00004E690000}"/>
    <cellStyle name="Standard 4 4 3 3 4 5 3" xfId="26761" xr:uid="{00000000-0005-0000-0000-00004F690000}"/>
    <cellStyle name="Standard 4 4 3 3 4 6" xfId="26762" xr:uid="{00000000-0005-0000-0000-000050690000}"/>
    <cellStyle name="Standard 4 4 3 3 4 6 2" xfId="26763" xr:uid="{00000000-0005-0000-0000-000051690000}"/>
    <cellStyle name="Standard 4 4 3 3 4 7" xfId="26764" xr:uid="{00000000-0005-0000-0000-000052690000}"/>
    <cellStyle name="Standard 4 4 3 3 4 8" xfId="26765" xr:uid="{00000000-0005-0000-0000-000053690000}"/>
    <cellStyle name="Standard 4 4 3 3 5" xfId="26766" xr:uid="{00000000-0005-0000-0000-000054690000}"/>
    <cellStyle name="Standard 4 4 3 3 5 2" xfId="26767" xr:uid="{00000000-0005-0000-0000-000055690000}"/>
    <cellStyle name="Standard 4 4 3 3 5 2 2" xfId="26768" xr:uid="{00000000-0005-0000-0000-000056690000}"/>
    <cellStyle name="Standard 4 4 3 3 5 2 2 2" xfId="26769" xr:uid="{00000000-0005-0000-0000-000057690000}"/>
    <cellStyle name="Standard 4 4 3 3 5 2 2 3" xfId="26770" xr:uid="{00000000-0005-0000-0000-000058690000}"/>
    <cellStyle name="Standard 4 4 3 3 5 2 3" xfId="26771" xr:uid="{00000000-0005-0000-0000-000059690000}"/>
    <cellStyle name="Standard 4 4 3 3 5 2 3 2" xfId="26772" xr:uid="{00000000-0005-0000-0000-00005A690000}"/>
    <cellStyle name="Standard 4 4 3 3 5 2 3 3" xfId="26773" xr:uid="{00000000-0005-0000-0000-00005B690000}"/>
    <cellStyle name="Standard 4 4 3 3 5 2 4" xfId="26774" xr:uid="{00000000-0005-0000-0000-00005C690000}"/>
    <cellStyle name="Standard 4 4 3 3 5 2 4 2" xfId="26775" xr:uid="{00000000-0005-0000-0000-00005D690000}"/>
    <cellStyle name="Standard 4 4 3 3 5 2 5" xfId="26776" xr:uid="{00000000-0005-0000-0000-00005E690000}"/>
    <cellStyle name="Standard 4 4 3 3 5 2 6" xfId="26777" xr:uid="{00000000-0005-0000-0000-00005F690000}"/>
    <cellStyle name="Standard 4 4 3 3 5 3" xfId="26778" xr:uid="{00000000-0005-0000-0000-000060690000}"/>
    <cellStyle name="Standard 4 4 3 3 5 3 2" xfId="26779" xr:uid="{00000000-0005-0000-0000-000061690000}"/>
    <cellStyle name="Standard 4 4 3 3 5 3 3" xfId="26780" xr:uid="{00000000-0005-0000-0000-000062690000}"/>
    <cellStyle name="Standard 4 4 3 3 5 4" xfId="26781" xr:uid="{00000000-0005-0000-0000-000063690000}"/>
    <cellStyle name="Standard 4 4 3 3 5 4 2" xfId="26782" xr:uid="{00000000-0005-0000-0000-000064690000}"/>
    <cellStyle name="Standard 4 4 3 3 5 4 3" xfId="26783" xr:uid="{00000000-0005-0000-0000-000065690000}"/>
    <cellStyle name="Standard 4 4 3 3 5 5" xfId="26784" xr:uid="{00000000-0005-0000-0000-000066690000}"/>
    <cellStyle name="Standard 4 4 3 3 5 5 2" xfId="26785" xr:uid="{00000000-0005-0000-0000-000067690000}"/>
    <cellStyle name="Standard 4 4 3 3 5 6" xfId="26786" xr:uid="{00000000-0005-0000-0000-000068690000}"/>
    <cellStyle name="Standard 4 4 3 3 5 7" xfId="26787" xr:uid="{00000000-0005-0000-0000-000069690000}"/>
    <cellStyle name="Standard 4 4 3 3 6" xfId="26788" xr:uid="{00000000-0005-0000-0000-00006A690000}"/>
    <cellStyle name="Standard 4 4 3 3 6 2" xfId="26789" xr:uid="{00000000-0005-0000-0000-00006B690000}"/>
    <cellStyle name="Standard 4 4 3 3 6 2 2" xfId="26790" xr:uid="{00000000-0005-0000-0000-00006C690000}"/>
    <cellStyle name="Standard 4 4 3 3 6 2 3" xfId="26791" xr:uid="{00000000-0005-0000-0000-00006D690000}"/>
    <cellStyle name="Standard 4 4 3 3 6 3" xfId="26792" xr:uid="{00000000-0005-0000-0000-00006E690000}"/>
    <cellStyle name="Standard 4 4 3 3 6 3 2" xfId="26793" xr:uid="{00000000-0005-0000-0000-00006F690000}"/>
    <cellStyle name="Standard 4 4 3 3 6 3 3" xfId="26794" xr:uid="{00000000-0005-0000-0000-000070690000}"/>
    <cellStyle name="Standard 4 4 3 3 6 4" xfId="26795" xr:uid="{00000000-0005-0000-0000-000071690000}"/>
    <cellStyle name="Standard 4 4 3 3 6 4 2" xfId="26796" xr:uid="{00000000-0005-0000-0000-000072690000}"/>
    <cellStyle name="Standard 4 4 3 3 6 5" xfId="26797" xr:uid="{00000000-0005-0000-0000-000073690000}"/>
    <cellStyle name="Standard 4 4 3 3 6 6" xfId="26798" xr:uid="{00000000-0005-0000-0000-000074690000}"/>
    <cellStyle name="Standard 4 4 3 3 7" xfId="26799" xr:uid="{00000000-0005-0000-0000-000075690000}"/>
    <cellStyle name="Standard 4 4 3 3 7 2" xfId="26800" xr:uid="{00000000-0005-0000-0000-000076690000}"/>
    <cellStyle name="Standard 4 4 3 3 7 3" xfId="26801" xr:uid="{00000000-0005-0000-0000-000077690000}"/>
    <cellStyle name="Standard 4 4 3 3 8" xfId="26802" xr:uid="{00000000-0005-0000-0000-000078690000}"/>
    <cellStyle name="Standard 4 4 3 3 8 2" xfId="26803" xr:uid="{00000000-0005-0000-0000-000079690000}"/>
    <cellStyle name="Standard 4 4 3 3 8 3" xfId="26804" xr:uid="{00000000-0005-0000-0000-00007A690000}"/>
    <cellStyle name="Standard 4 4 3 3 9" xfId="26805" xr:uid="{00000000-0005-0000-0000-00007B690000}"/>
    <cellStyle name="Standard 4 4 3 3 9 2" xfId="26806" xr:uid="{00000000-0005-0000-0000-00007C690000}"/>
    <cellStyle name="Standard 4 4 3 4" xfId="26807" xr:uid="{00000000-0005-0000-0000-00007D690000}"/>
    <cellStyle name="Standard 4 4 3 4 10" xfId="26808" xr:uid="{00000000-0005-0000-0000-00007E690000}"/>
    <cellStyle name="Standard 4 4 3 4 2" xfId="26809" xr:uid="{00000000-0005-0000-0000-00007F690000}"/>
    <cellStyle name="Standard 4 4 3 4 2 2" xfId="26810" xr:uid="{00000000-0005-0000-0000-000080690000}"/>
    <cellStyle name="Standard 4 4 3 4 2 2 2" xfId="26811" xr:uid="{00000000-0005-0000-0000-000081690000}"/>
    <cellStyle name="Standard 4 4 3 4 2 2 2 2" xfId="26812" xr:uid="{00000000-0005-0000-0000-000082690000}"/>
    <cellStyle name="Standard 4 4 3 4 2 2 2 2 2" xfId="26813" xr:uid="{00000000-0005-0000-0000-000083690000}"/>
    <cellStyle name="Standard 4 4 3 4 2 2 2 2 3" xfId="26814" xr:uid="{00000000-0005-0000-0000-000084690000}"/>
    <cellStyle name="Standard 4 4 3 4 2 2 2 3" xfId="26815" xr:uid="{00000000-0005-0000-0000-000085690000}"/>
    <cellStyle name="Standard 4 4 3 4 2 2 2 3 2" xfId="26816" xr:uid="{00000000-0005-0000-0000-000086690000}"/>
    <cellStyle name="Standard 4 4 3 4 2 2 2 3 3" xfId="26817" xr:uid="{00000000-0005-0000-0000-000087690000}"/>
    <cellStyle name="Standard 4 4 3 4 2 2 2 4" xfId="26818" xr:uid="{00000000-0005-0000-0000-000088690000}"/>
    <cellStyle name="Standard 4 4 3 4 2 2 2 4 2" xfId="26819" xr:uid="{00000000-0005-0000-0000-000089690000}"/>
    <cellStyle name="Standard 4 4 3 4 2 2 2 5" xfId="26820" xr:uid="{00000000-0005-0000-0000-00008A690000}"/>
    <cellStyle name="Standard 4 4 3 4 2 2 2 6" xfId="26821" xr:uid="{00000000-0005-0000-0000-00008B690000}"/>
    <cellStyle name="Standard 4 4 3 4 2 2 3" xfId="26822" xr:uid="{00000000-0005-0000-0000-00008C690000}"/>
    <cellStyle name="Standard 4 4 3 4 2 2 3 2" xfId="26823" xr:uid="{00000000-0005-0000-0000-00008D690000}"/>
    <cellStyle name="Standard 4 4 3 4 2 2 3 3" xfId="26824" xr:uid="{00000000-0005-0000-0000-00008E690000}"/>
    <cellStyle name="Standard 4 4 3 4 2 2 4" xfId="26825" xr:uid="{00000000-0005-0000-0000-00008F690000}"/>
    <cellStyle name="Standard 4 4 3 4 2 2 4 2" xfId="26826" xr:uid="{00000000-0005-0000-0000-000090690000}"/>
    <cellStyle name="Standard 4 4 3 4 2 2 4 3" xfId="26827" xr:uid="{00000000-0005-0000-0000-000091690000}"/>
    <cellStyle name="Standard 4 4 3 4 2 2 5" xfId="26828" xr:uid="{00000000-0005-0000-0000-000092690000}"/>
    <cellStyle name="Standard 4 4 3 4 2 2 5 2" xfId="26829" xr:uid="{00000000-0005-0000-0000-000093690000}"/>
    <cellStyle name="Standard 4 4 3 4 2 2 6" xfId="26830" xr:uid="{00000000-0005-0000-0000-000094690000}"/>
    <cellStyle name="Standard 4 4 3 4 2 2 7" xfId="26831" xr:uid="{00000000-0005-0000-0000-000095690000}"/>
    <cellStyle name="Standard 4 4 3 4 2 3" xfId="26832" xr:uid="{00000000-0005-0000-0000-000096690000}"/>
    <cellStyle name="Standard 4 4 3 4 2 3 2" xfId="26833" xr:uid="{00000000-0005-0000-0000-000097690000}"/>
    <cellStyle name="Standard 4 4 3 4 2 3 2 2" xfId="26834" xr:uid="{00000000-0005-0000-0000-000098690000}"/>
    <cellStyle name="Standard 4 4 3 4 2 3 2 3" xfId="26835" xr:uid="{00000000-0005-0000-0000-000099690000}"/>
    <cellStyle name="Standard 4 4 3 4 2 3 3" xfId="26836" xr:uid="{00000000-0005-0000-0000-00009A690000}"/>
    <cellStyle name="Standard 4 4 3 4 2 3 3 2" xfId="26837" xr:uid="{00000000-0005-0000-0000-00009B690000}"/>
    <cellStyle name="Standard 4 4 3 4 2 3 3 3" xfId="26838" xr:uid="{00000000-0005-0000-0000-00009C690000}"/>
    <cellStyle name="Standard 4 4 3 4 2 3 4" xfId="26839" xr:uid="{00000000-0005-0000-0000-00009D690000}"/>
    <cellStyle name="Standard 4 4 3 4 2 3 4 2" xfId="26840" xr:uid="{00000000-0005-0000-0000-00009E690000}"/>
    <cellStyle name="Standard 4 4 3 4 2 3 5" xfId="26841" xr:uid="{00000000-0005-0000-0000-00009F690000}"/>
    <cellStyle name="Standard 4 4 3 4 2 3 6" xfId="26842" xr:uid="{00000000-0005-0000-0000-0000A0690000}"/>
    <cellStyle name="Standard 4 4 3 4 2 4" xfId="26843" xr:uid="{00000000-0005-0000-0000-0000A1690000}"/>
    <cellStyle name="Standard 4 4 3 4 2 4 2" xfId="26844" xr:uid="{00000000-0005-0000-0000-0000A2690000}"/>
    <cellStyle name="Standard 4 4 3 4 2 4 3" xfId="26845" xr:uid="{00000000-0005-0000-0000-0000A3690000}"/>
    <cellStyle name="Standard 4 4 3 4 2 5" xfId="26846" xr:uid="{00000000-0005-0000-0000-0000A4690000}"/>
    <cellStyle name="Standard 4 4 3 4 2 5 2" xfId="26847" xr:uid="{00000000-0005-0000-0000-0000A5690000}"/>
    <cellStyle name="Standard 4 4 3 4 2 5 3" xfId="26848" xr:uid="{00000000-0005-0000-0000-0000A6690000}"/>
    <cellStyle name="Standard 4 4 3 4 2 6" xfId="26849" xr:uid="{00000000-0005-0000-0000-0000A7690000}"/>
    <cellStyle name="Standard 4 4 3 4 2 6 2" xfId="26850" xr:uid="{00000000-0005-0000-0000-0000A8690000}"/>
    <cellStyle name="Standard 4 4 3 4 2 7" xfId="26851" xr:uid="{00000000-0005-0000-0000-0000A9690000}"/>
    <cellStyle name="Standard 4 4 3 4 2 8" xfId="26852" xr:uid="{00000000-0005-0000-0000-0000AA690000}"/>
    <cellStyle name="Standard 4 4 3 4 3" xfId="26853" xr:uid="{00000000-0005-0000-0000-0000AB690000}"/>
    <cellStyle name="Standard 4 4 3 4 3 2" xfId="26854" xr:uid="{00000000-0005-0000-0000-0000AC690000}"/>
    <cellStyle name="Standard 4 4 3 4 3 2 2" xfId="26855" xr:uid="{00000000-0005-0000-0000-0000AD690000}"/>
    <cellStyle name="Standard 4 4 3 4 3 2 2 2" xfId="26856" xr:uid="{00000000-0005-0000-0000-0000AE690000}"/>
    <cellStyle name="Standard 4 4 3 4 3 2 2 2 2" xfId="26857" xr:uid="{00000000-0005-0000-0000-0000AF690000}"/>
    <cellStyle name="Standard 4 4 3 4 3 2 2 2 3" xfId="26858" xr:uid="{00000000-0005-0000-0000-0000B0690000}"/>
    <cellStyle name="Standard 4 4 3 4 3 2 2 3" xfId="26859" xr:uid="{00000000-0005-0000-0000-0000B1690000}"/>
    <cellStyle name="Standard 4 4 3 4 3 2 2 3 2" xfId="26860" xr:uid="{00000000-0005-0000-0000-0000B2690000}"/>
    <cellStyle name="Standard 4 4 3 4 3 2 2 3 3" xfId="26861" xr:uid="{00000000-0005-0000-0000-0000B3690000}"/>
    <cellStyle name="Standard 4 4 3 4 3 2 2 4" xfId="26862" xr:uid="{00000000-0005-0000-0000-0000B4690000}"/>
    <cellStyle name="Standard 4 4 3 4 3 2 2 4 2" xfId="26863" xr:uid="{00000000-0005-0000-0000-0000B5690000}"/>
    <cellStyle name="Standard 4 4 3 4 3 2 2 5" xfId="26864" xr:uid="{00000000-0005-0000-0000-0000B6690000}"/>
    <cellStyle name="Standard 4 4 3 4 3 2 2 6" xfId="26865" xr:uid="{00000000-0005-0000-0000-0000B7690000}"/>
    <cellStyle name="Standard 4 4 3 4 3 2 3" xfId="26866" xr:uid="{00000000-0005-0000-0000-0000B8690000}"/>
    <cellStyle name="Standard 4 4 3 4 3 2 3 2" xfId="26867" xr:uid="{00000000-0005-0000-0000-0000B9690000}"/>
    <cellStyle name="Standard 4 4 3 4 3 2 3 3" xfId="26868" xr:uid="{00000000-0005-0000-0000-0000BA690000}"/>
    <cellStyle name="Standard 4 4 3 4 3 2 4" xfId="26869" xr:uid="{00000000-0005-0000-0000-0000BB690000}"/>
    <cellStyle name="Standard 4 4 3 4 3 2 4 2" xfId="26870" xr:uid="{00000000-0005-0000-0000-0000BC690000}"/>
    <cellStyle name="Standard 4 4 3 4 3 2 4 3" xfId="26871" xr:uid="{00000000-0005-0000-0000-0000BD690000}"/>
    <cellStyle name="Standard 4 4 3 4 3 2 5" xfId="26872" xr:uid="{00000000-0005-0000-0000-0000BE690000}"/>
    <cellStyle name="Standard 4 4 3 4 3 2 5 2" xfId="26873" xr:uid="{00000000-0005-0000-0000-0000BF690000}"/>
    <cellStyle name="Standard 4 4 3 4 3 2 6" xfId="26874" xr:uid="{00000000-0005-0000-0000-0000C0690000}"/>
    <cellStyle name="Standard 4 4 3 4 3 2 7" xfId="26875" xr:uid="{00000000-0005-0000-0000-0000C1690000}"/>
    <cellStyle name="Standard 4 4 3 4 3 3" xfId="26876" xr:uid="{00000000-0005-0000-0000-0000C2690000}"/>
    <cellStyle name="Standard 4 4 3 4 3 3 2" xfId="26877" xr:uid="{00000000-0005-0000-0000-0000C3690000}"/>
    <cellStyle name="Standard 4 4 3 4 3 3 2 2" xfId="26878" xr:uid="{00000000-0005-0000-0000-0000C4690000}"/>
    <cellStyle name="Standard 4 4 3 4 3 3 2 3" xfId="26879" xr:uid="{00000000-0005-0000-0000-0000C5690000}"/>
    <cellStyle name="Standard 4 4 3 4 3 3 3" xfId="26880" xr:uid="{00000000-0005-0000-0000-0000C6690000}"/>
    <cellStyle name="Standard 4 4 3 4 3 3 3 2" xfId="26881" xr:uid="{00000000-0005-0000-0000-0000C7690000}"/>
    <cellStyle name="Standard 4 4 3 4 3 3 3 3" xfId="26882" xr:uid="{00000000-0005-0000-0000-0000C8690000}"/>
    <cellStyle name="Standard 4 4 3 4 3 3 4" xfId="26883" xr:uid="{00000000-0005-0000-0000-0000C9690000}"/>
    <cellStyle name="Standard 4 4 3 4 3 3 4 2" xfId="26884" xr:uid="{00000000-0005-0000-0000-0000CA690000}"/>
    <cellStyle name="Standard 4 4 3 4 3 3 5" xfId="26885" xr:uid="{00000000-0005-0000-0000-0000CB690000}"/>
    <cellStyle name="Standard 4 4 3 4 3 3 6" xfId="26886" xr:uid="{00000000-0005-0000-0000-0000CC690000}"/>
    <cellStyle name="Standard 4 4 3 4 3 4" xfId="26887" xr:uid="{00000000-0005-0000-0000-0000CD690000}"/>
    <cellStyle name="Standard 4 4 3 4 3 4 2" xfId="26888" xr:uid="{00000000-0005-0000-0000-0000CE690000}"/>
    <cellStyle name="Standard 4 4 3 4 3 4 3" xfId="26889" xr:uid="{00000000-0005-0000-0000-0000CF690000}"/>
    <cellStyle name="Standard 4 4 3 4 3 5" xfId="26890" xr:uid="{00000000-0005-0000-0000-0000D0690000}"/>
    <cellStyle name="Standard 4 4 3 4 3 5 2" xfId="26891" xr:uid="{00000000-0005-0000-0000-0000D1690000}"/>
    <cellStyle name="Standard 4 4 3 4 3 5 3" xfId="26892" xr:uid="{00000000-0005-0000-0000-0000D2690000}"/>
    <cellStyle name="Standard 4 4 3 4 3 6" xfId="26893" xr:uid="{00000000-0005-0000-0000-0000D3690000}"/>
    <cellStyle name="Standard 4 4 3 4 3 6 2" xfId="26894" xr:uid="{00000000-0005-0000-0000-0000D4690000}"/>
    <cellStyle name="Standard 4 4 3 4 3 7" xfId="26895" xr:uid="{00000000-0005-0000-0000-0000D5690000}"/>
    <cellStyle name="Standard 4 4 3 4 3 8" xfId="26896" xr:uid="{00000000-0005-0000-0000-0000D6690000}"/>
    <cellStyle name="Standard 4 4 3 4 4" xfId="26897" xr:uid="{00000000-0005-0000-0000-0000D7690000}"/>
    <cellStyle name="Standard 4 4 3 4 4 2" xfId="26898" xr:uid="{00000000-0005-0000-0000-0000D8690000}"/>
    <cellStyle name="Standard 4 4 3 4 4 2 2" xfId="26899" xr:uid="{00000000-0005-0000-0000-0000D9690000}"/>
    <cellStyle name="Standard 4 4 3 4 4 2 2 2" xfId="26900" xr:uid="{00000000-0005-0000-0000-0000DA690000}"/>
    <cellStyle name="Standard 4 4 3 4 4 2 2 3" xfId="26901" xr:uid="{00000000-0005-0000-0000-0000DB690000}"/>
    <cellStyle name="Standard 4 4 3 4 4 2 3" xfId="26902" xr:uid="{00000000-0005-0000-0000-0000DC690000}"/>
    <cellStyle name="Standard 4 4 3 4 4 2 3 2" xfId="26903" xr:uid="{00000000-0005-0000-0000-0000DD690000}"/>
    <cellStyle name="Standard 4 4 3 4 4 2 3 3" xfId="26904" xr:uid="{00000000-0005-0000-0000-0000DE690000}"/>
    <cellStyle name="Standard 4 4 3 4 4 2 4" xfId="26905" xr:uid="{00000000-0005-0000-0000-0000DF690000}"/>
    <cellStyle name="Standard 4 4 3 4 4 2 4 2" xfId="26906" xr:uid="{00000000-0005-0000-0000-0000E0690000}"/>
    <cellStyle name="Standard 4 4 3 4 4 2 5" xfId="26907" xr:uid="{00000000-0005-0000-0000-0000E1690000}"/>
    <cellStyle name="Standard 4 4 3 4 4 2 6" xfId="26908" xr:uid="{00000000-0005-0000-0000-0000E2690000}"/>
    <cellStyle name="Standard 4 4 3 4 4 3" xfId="26909" xr:uid="{00000000-0005-0000-0000-0000E3690000}"/>
    <cellStyle name="Standard 4 4 3 4 4 3 2" xfId="26910" xr:uid="{00000000-0005-0000-0000-0000E4690000}"/>
    <cellStyle name="Standard 4 4 3 4 4 3 3" xfId="26911" xr:uid="{00000000-0005-0000-0000-0000E5690000}"/>
    <cellStyle name="Standard 4 4 3 4 4 4" xfId="26912" xr:uid="{00000000-0005-0000-0000-0000E6690000}"/>
    <cellStyle name="Standard 4 4 3 4 4 4 2" xfId="26913" xr:uid="{00000000-0005-0000-0000-0000E7690000}"/>
    <cellStyle name="Standard 4 4 3 4 4 4 3" xfId="26914" xr:uid="{00000000-0005-0000-0000-0000E8690000}"/>
    <cellStyle name="Standard 4 4 3 4 4 5" xfId="26915" xr:uid="{00000000-0005-0000-0000-0000E9690000}"/>
    <cellStyle name="Standard 4 4 3 4 4 5 2" xfId="26916" xr:uid="{00000000-0005-0000-0000-0000EA690000}"/>
    <cellStyle name="Standard 4 4 3 4 4 6" xfId="26917" xr:uid="{00000000-0005-0000-0000-0000EB690000}"/>
    <cellStyle name="Standard 4 4 3 4 4 7" xfId="26918" xr:uid="{00000000-0005-0000-0000-0000EC690000}"/>
    <cellStyle name="Standard 4 4 3 4 5" xfId="26919" xr:uid="{00000000-0005-0000-0000-0000ED690000}"/>
    <cellStyle name="Standard 4 4 3 4 5 2" xfId="26920" xr:uid="{00000000-0005-0000-0000-0000EE690000}"/>
    <cellStyle name="Standard 4 4 3 4 5 2 2" xfId="26921" xr:uid="{00000000-0005-0000-0000-0000EF690000}"/>
    <cellStyle name="Standard 4 4 3 4 5 2 3" xfId="26922" xr:uid="{00000000-0005-0000-0000-0000F0690000}"/>
    <cellStyle name="Standard 4 4 3 4 5 3" xfId="26923" xr:uid="{00000000-0005-0000-0000-0000F1690000}"/>
    <cellStyle name="Standard 4 4 3 4 5 3 2" xfId="26924" xr:uid="{00000000-0005-0000-0000-0000F2690000}"/>
    <cellStyle name="Standard 4 4 3 4 5 3 3" xfId="26925" xr:uid="{00000000-0005-0000-0000-0000F3690000}"/>
    <cellStyle name="Standard 4 4 3 4 5 4" xfId="26926" xr:uid="{00000000-0005-0000-0000-0000F4690000}"/>
    <cellStyle name="Standard 4 4 3 4 5 4 2" xfId="26927" xr:uid="{00000000-0005-0000-0000-0000F5690000}"/>
    <cellStyle name="Standard 4 4 3 4 5 5" xfId="26928" xr:uid="{00000000-0005-0000-0000-0000F6690000}"/>
    <cellStyle name="Standard 4 4 3 4 5 6" xfId="26929" xr:uid="{00000000-0005-0000-0000-0000F7690000}"/>
    <cellStyle name="Standard 4 4 3 4 6" xfId="26930" xr:uid="{00000000-0005-0000-0000-0000F8690000}"/>
    <cellStyle name="Standard 4 4 3 4 6 2" xfId="26931" xr:uid="{00000000-0005-0000-0000-0000F9690000}"/>
    <cellStyle name="Standard 4 4 3 4 6 3" xfId="26932" xr:uid="{00000000-0005-0000-0000-0000FA690000}"/>
    <cellStyle name="Standard 4 4 3 4 7" xfId="26933" xr:uid="{00000000-0005-0000-0000-0000FB690000}"/>
    <cellStyle name="Standard 4 4 3 4 7 2" xfId="26934" xr:uid="{00000000-0005-0000-0000-0000FC690000}"/>
    <cellStyle name="Standard 4 4 3 4 7 3" xfId="26935" xr:uid="{00000000-0005-0000-0000-0000FD690000}"/>
    <cellStyle name="Standard 4 4 3 4 8" xfId="26936" xr:uid="{00000000-0005-0000-0000-0000FE690000}"/>
    <cellStyle name="Standard 4 4 3 4 8 2" xfId="26937" xr:uid="{00000000-0005-0000-0000-0000FF690000}"/>
    <cellStyle name="Standard 4 4 3 4 9" xfId="26938" xr:uid="{00000000-0005-0000-0000-0000006A0000}"/>
    <cellStyle name="Standard 4 4 3 5" xfId="26939" xr:uid="{00000000-0005-0000-0000-0000016A0000}"/>
    <cellStyle name="Standard 4 4 3 5 2" xfId="26940" xr:uid="{00000000-0005-0000-0000-0000026A0000}"/>
    <cellStyle name="Standard 4 4 3 5 2 2" xfId="26941" xr:uid="{00000000-0005-0000-0000-0000036A0000}"/>
    <cellStyle name="Standard 4 4 3 5 2 2 2" xfId="26942" xr:uid="{00000000-0005-0000-0000-0000046A0000}"/>
    <cellStyle name="Standard 4 4 3 5 2 2 2 2" xfId="26943" xr:uid="{00000000-0005-0000-0000-0000056A0000}"/>
    <cellStyle name="Standard 4 4 3 5 2 2 2 3" xfId="26944" xr:uid="{00000000-0005-0000-0000-0000066A0000}"/>
    <cellStyle name="Standard 4 4 3 5 2 2 3" xfId="26945" xr:uid="{00000000-0005-0000-0000-0000076A0000}"/>
    <cellStyle name="Standard 4 4 3 5 2 2 3 2" xfId="26946" xr:uid="{00000000-0005-0000-0000-0000086A0000}"/>
    <cellStyle name="Standard 4 4 3 5 2 2 3 3" xfId="26947" xr:uid="{00000000-0005-0000-0000-0000096A0000}"/>
    <cellStyle name="Standard 4 4 3 5 2 2 4" xfId="26948" xr:uid="{00000000-0005-0000-0000-00000A6A0000}"/>
    <cellStyle name="Standard 4 4 3 5 2 2 4 2" xfId="26949" xr:uid="{00000000-0005-0000-0000-00000B6A0000}"/>
    <cellStyle name="Standard 4 4 3 5 2 2 5" xfId="26950" xr:uid="{00000000-0005-0000-0000-00000C6A0000}"/>
    <cellStyle name="Standard 4 4 3 5 2 2 6" xfId="26951" xr:uid="{00000000-0005-0000-0000-00000D6A0000}"/>
    <cellStyle name="Standard 4 4 3 5 2 3" xfId="26952" xr:uid="{00000000-0005-0000-0000-00000E6A0000}"/>
    <cellStyle name="Standard 4 4 3 5 2 3 2" xfId="26953" xr:uid="{00000000-0005-0000-0000-00000F6A0000}"/>
    <cellStyle name="Standard 4 4 3 5 2 3 3" xfId="26954" xr:uid="{00000000-0005-0000-0000-0000106A0000}"/>
    <cellStyle name="Standard 4 4 3 5 2 4" xfId="26955" xr:uid="{00000000-0005-0000-0000-0000116A0000}"/>
    <cellStyle name="Standard 4 4 3 5 2 4 2" xfId="26956" xr:uid="{00000000-0005-0000-0000-0000126A0000}"/>
    <cellStyle name="Standard 4 4 3 5 2 4 3" xfId="26957" xr:uid="{00000000-0005-0000-0000-0000136A0000}"/>
    <cellStyle name="Standard 4 4 3 5 2 5" xfId="26958" xr:uid="{00000000-0005-0000-0000-0000146A0000}"/>
    <cellStyle name="Standard 4 4 3 5 2 5 2" xfId="26959" xr:uid="{00000000-0005-0000-0000-0000156A0000}"/>
    <cellStyle name="Standard 4 4 3 5 2 6" xfId="26960" xr:uid="{00000000-0005-0000-0000-0000166A0000}"/>
    <cellStyle name="Standard 4 4 3 5 2 7" xfId="26961" xr:uid="{00000000-0005-0000-0000-0000176A0000}"/>
    <cellStyle name="Standard 4 4 3 5 3" xfId="26962" xr:uid="{00000000-0005-0000-0000-0000186A0000}"/>
    <cellStyle name="Standard 4 4 3 5 3 2" xfId="26963" xr:uid="{00000000-0005-0000-0000-0000196A0000}"/>
    <cellStyle name="Standard 4 4 3 5 3 2 2" xfId="26964" xr:uid="{00000000-0005-0000-0000-00001A6A0000}"/>
    <cellStyle name="Standard 4 4 3 5 3 2 3" xfId="26965" xr:uid="{00000000-0005-0000-0000-00001B6A0000}"/>
    <cellStyle name="Standard 4 4 3 5 3 3" xfId="26966" xr:uid="{00000000-0005-0000-0000-00001C6A0000}"/>
    <cellStyle name="Standard 4 4 3 5 3 3 2" xfId="26967" xr:uid="{00000000-0005-0000-0000-00001D6A0000}"/>
    <cellStyle name="Standard 4 4 3 5 3 3 3" xfId="26968" xr:uid="{00000000-0005-0000-0000-00001E6A0000}"/>
    <cellStyle name="Standard 4 4 3 5 3 4" xfId="26969" xr:uid="{00000000-0005-0000-0000-00001F6A0000}"/>
    <cellStyle name="Standard 4 4 3 5 3 4 2" xfId="26970" xr:uid="{00000000-0005-0000-0000-0000206A0000}"/>
    <cellStyle name="Standard 4 4 3 5 3 5" xfId="26971" xr:uid="{00000000-0005-0000-0000-0000216A0000}"/>
    <cellStyle name="Standard 4 4 3 5 3 6" xfId="26972" xr:uid="{00000000-0005-0000-0000-0000226A0000}"/>
    <cellStyle name="Standard 4 4 3 5 4" xfId="26973" xr:uid="{00000000-0005-0000-0000-0000236A0000}"/>
    <cellStyle name="Standard 4 4 3 5 4 2" xfId="26974" xr:uid="{00000000-0005-0000-0000-0000246A0000}"/>
    <cellStyle name="Standard 4 4 3 5 4 3" xfId="26975" xr:uid="{00000000-0005-0000-0000-0000256A0000}"/>
    <cellStyle name="Standard 4 4 3 5 5" xfId="26976" xr:uid="{00000000-0005-0000-0000-0000266A0000}"/>
    <cellStyle name="Standard 4 4 3 5 5 2" xfId="26977" xr:uid="{00000000-0005-0000-0000-0000276A0000}"/>
    <cellStyle name="Standard 4 4 3 5 5 3" xfId="26978" xr:uid="{00000000-0005-0000-0000-0000286A0000}"/>
    <cellStyle name="Standard 4 4 3 5 6" xfId="26979" xr:uid="{00000000-0005-0000-0000-0000296A0000}"/>
    <cellStyle name="Standard 4 4 3 5 6 2" xfId="26980" xr:uid="{00000000-0005-0000-0000-00002A6A0000}"/>
    <cellStyle name="Standard 4 4 3 5 7" xfId="26981" xr:uid="{00000000-0005-0000-0000-00002B6A0000}"/>
    <cellStyle name="Standard 4 4 3 5 8" xfId="26982" xr:uid="{00000000-0005-0000-0000-00002C6A0000}"/>
    <cellStyle name="Standard 4 4 3 6" xfId="26983" xr:uid="{00000000-0005-0000-0000-00002D6A0000}"/>
    <cellStyle name="Standard 4 4 3 6 2" xfId="26984" xr:uid="{00000000-0005-0000-0000-00002E6A0000}"/>
    <cellStyle name="Standard 4 4 3 6 2 2" xfId="26985" xr:uid="{00000000-0005-0000-0000-00002F6A0000}"/>
    <cellStyle name="Standard 4 4 3 6 2 2 2" xfId="26986" xr:uid="{00000000-0005-0000-0000-0000306A0000}"/>
    <cellStyle name="Standard 4 4 3 6 2 2 2 2" xfId="26987" xr:uid="{00000000-0005-0000-0000-0000316A0000}"/>
    <cellStyle name="Standard 4 4 3 6 2 2 2 3" xfId="26988" xr:uid="{00000000-0005-0000-0000-0000326A0000}"/>
    <cellStyle name="Standard 4 4 3 6 2 2 3" xfId="26989" xr:uid="{00000000-0005-0000-0000-0000336A0000}"/>
    <cellStyle name="Standard 4 4 3 6 2 2 3 2" xfId="26990" xr:uid="{00000000-0005-0000-0000-0000346A0000}"/>
    <cellStyle name="Standard 4 4 3 6 2 2 3 3" xfId="26991" xr:uid="{00000000-0005-0000-0000-0000356A0000}"/>
    <cellStyle name="Standard 4 4 3 6 2 2 4" xfId="26992" xr:uid="{00000000-0005-0000-0000-0000366A0000}"/>
    <cellStyle name="Standard 4 4 3 6 2 2 4 2" xfId="26993" xr:uid="{00000000-0005-0000-0000-0000376A0000}"/>
    <cellStyle name="Standard 4 4 3 6 2 2 5" xfId="26994" xr:uid="{00000000-0005-0000-0000-0000386A0000}"/>
    <cellStyle name="Standard 4 4 3 6 2 2 6" xfId="26995" xr:uid="{00000000-0005-0000-0000-0000396A0000}"/>
    <cellStyle name="Standard 4 4 3 6 2 3" xfId="26996" xr:uid="{00000000-0005-0000-0000-00003A6A0000}"/>
    <cellStyle name="Standard 4 4 3 6 2 3 2" xfId="26997" xr:uid="{00000000-0005-0000-0000-00003B6A0000}"/>
    <cellStyle name="Standard 4 4 3 6 2 3 3" xfId="26998" xr:uid="{00000000-0005-0000-0000-00003C6A0000}"/>
    <cellStyle name="Standard 4 4 3 6 2 4" xfId="26999" xr:uid="{00000000-0005-0000-0000-00003D6A0000}"/>
    <cellStyle name="Standard 4 4 3 6 2 4 2" xfId="27000" xr:uid="{00000000-0005-0000-0000-00003E6A0000}"/>
    <cellStyle name="Standard 4 4 3 6 2 4 3" xfId="27001" xr:uid="{00000000-0005-0000-0000-00003F6A0000}"/>
    <cellStyle name="Standard 4 4 3 6 2 5" xfId="27002" xr:uid="{00000000-0005-0000-0000-0000406A0000}"/>
    <cellStyle name="Standard 4 4 3 6 2 5 2" xfId="27003" xr:uid="{00000000-0005-0000-0000-0000416A0000}"/>
    <cellStyle name="Standard 4 4 3 6 2 6" xfId="27004" xr:uid="{00000000-0005-0000-0000-0000426A0000}"/>
    <cellStyle name="Standard 4 4 3 6 2 7" xfId="27005" xr:uid="{00000000-0005-0000-0000-0000436A0000}"/>
    <cellStyle name="Standard 4 4 3 6 3" xfId="27006" xr:uid="{00000000-0005-0000-0000-0000446A0000}"/>
    <cellStyle name="Standard 4 4 3 6 3 2" xfId="27007" xr:uid="{00000000-0005-0000-0000-0000456A0000}"/>
    <cellStyle name="Standard 4 4 3 6 3 2 2" xfId="27008" xr:uid="{00000000-0005-0000-0000-0000466A0000}"/>
    <cellStyle name="Standard 4 4 3 6 3 2 3" xfId="27009" xr:uid="{00000000-0005-0000-0000-0000476A0000}"/>
    <cellStyle name="Standard 4 4 3 6 3 3" xfId="27010" xr:uid="{00000000-0005-0000-0000-0000486A0000}"/>
    <cellStyle name="Standard 4 4 3 6 3 3 2" xfId="27011" xr:uid="{00000000-0005-0000-0000-0000496A0000}"/>
    <cellStyle name="Standard 4 4 3 6 3 3 3" xfId="27012" xr:uid="{00000000-0005-0000-0000-00004A6A0000}"/>
    <cellStyle name="Standard 4 4 3 6 3 4" xfId="27013" xr:uid="{00000000-0005-0000-0000-00004B6A0000}"/>
    <cellStyle name="Standard 4 4 3 6 3 4 2" xfId="27014" xr:uid="{00000000-0005-0000-0000-00004C6A0000}"/>
    <cellStyle name="Standard 4 4 3 6 3 5" xfId="27015" xr:uid="{00000000-0005-0000-0000-00004D6A0000}"/>
    <cellStyle name="Standard 4 4 3 6 3 6" xfId="27016" xr:uid="{00000000-0005-0000-0000-00004E6A0000}"/>
    <cellStyle name="Standard 4 4 3 6 4" xfId="27017" xr:uid="{00000000-0005-0000-0000-00004F6A0000}"/>
    <cellStyle name="Standard 4 4 3 6 4 2" xfId="27018" xr:uid="{00000000-0005-0000-0000-0000506A0000}"/>
    <cellStyle name="Standard 4 4 3 6 4 3" xfId="27019" xr:uid="{00000000-0005-0000-0000-0000516A0000}"/>
    <cellStyle name="Standard 4 4 3 6 5" xfId="27020" xr:uid="{00000000-0005-0000-0000-0000526A0000}"/>
    <cellStyle name="Standard 4 4 3 6 5 2" xfId="27021" xr:uid="{00000000-0005-0000-0000-0000536A0000}"/>
    <cellStyle name="Standard 4 4 3 6 5 3" xfId="27022" xr:uid="{00000000-0005-0000-0000-0000546A0000}"/>
    <cellStyle name="Standard 4 4 3 6 6" xfId="27023" xr:uid="{00000000-0005-0000-0000-0000556A0000}"/>
    <cellStyle name="Standard 4 4 3 6 6 2" xfId="27024" xr:uid="{00000000-0005-0000-0000-0000566A0000}"/>
    <cellStyle name="Standard 4 4 3 6 7" xfId="27025" xr:uid="{00000000-0005-0000-0000-0000576A0000}"/>
    <cellStyle name="Standard 4 4 3 6 8" xfId="27026" xr:uid="{00000000-0005-0000-0000-0000586A0000}"/>
    <cellStyle name="Standard 4 4 3 7" xfId="27027" xr:uid="{00000000-0005-0000-0000-0000596A0000}"/>
    <cellStyle name="Standard 4 4 3 7 2" xfId="27028" xr:uid="{00000000-0005-0000-0000-00005A6A0000}"/>
    <cellStyle name="Standard 4 4 3 7 2 2" xfId="27029" xr:uid="{00000000-0005-0000-0000-00005B6A0000}"/>
    <cellStyle name="Standard 4 4 3 7 2 2 2" xfId="27030" xr:uid="{00000000-0005-0000-0000-00005C6A0000}"/>
    <cellStyle name="Standard 4 4 3 7 2 2 3" xfId="27031" xr:uid="{00000000-0005-0000-0000-00005D6A0000}"/>
    <cellStyle name="Standard 4 4 3 7 2 3" xfId="27032" xr:uid="{00000000-0005-0000-0000-00005E6A0000}"/>
    <cellStyle name="Standard 4 4 3 7 2 3 2" xfId="27033" xr:uid="{00000000-0005-0000-0000-00005F6A0000}"/>
    <cellStyle name="Standard 4 4 3 7 2 3 3" xfId="27034" xr:uid="{00000000-0005-0000-0000-0000606A0000}"/>
    <cellStyle name="Standard 4 4 3 7 2 4" xfId="27035" xr:uid="{00000000-0005-0000-0000-0000616A0000}"/>
    <cellStyle name="Standard 4 4 3 7 2 4 2" xfId="27036" xr:uid="{00000000-0005-0000-0000-0000626A0000}"/>
    <cellStyle name="Standard 4 4 3 7 2 5" xfId="27037" xr:uid="{00000000-0005-0000-0000-0000636A0000}"/>
    <cellStyle name="Standard 4 4 3 7 2 6" xfId="27038" xr:uid="{00000000-0005-0000-0000-0000646A0000}"/>
    <cellStyle name="Standard 4 4 3 7 3" xfId="27039" xr:uid="{00000000-0005-0000-0000-0000656A0000}"/>
    <cellStyle name="Standard 4 4 3 7 3 2" xfId="27040" xr:uid="{00000000-0005-0000-0000-0000666A0000}"/>
    <cellStyle name="Standard 4 4 3 7 3 3" xfId="27041" xr:uid="{00000000-0005-0000-0000-0000676A0000}"/>
    <cellStyle name="Standard 4 4 3 7 4" xfId="27042" xr:uid="{00000000-0005-0000-0000-0000686A0000}"/>
    <cellStyle name="Standard 4 4 3 7 4 2" xfId="27043" xr:uid="{00000000-0005-0000-0000-0000696A0000}"/>
    <cellStyle name="Standard 4 4 3 7 4 3" xfId="27044" xr:uid="{00000000-0005-0000-0000-00006A6A0000}"/>
    <cellStyle name="Standard 4 4 3 7 5" xfId="27045" xr:uid="{00000000-0005-0000-0000-00006B6A0000}"/>
    <cellStyle name="Standard 4 4 3 7 5 2" xfId="27046" xr:uid="{00000000-0005-0000-0000-00006C6A0000}"/>
    <cellStyle name="Standard 4 4 3 7 6" xfId="27047" xr:uid="{00000000-0005-0000-0000-00006D6A0000}"/>
    <cellStyle name="Standard 4 4 3 7 7" xfId="27048" xr:uid="{00000000-0005-0000-0000-00006E6A0000}"/>
    <cellStyle name="Standard 4 4 3 8" xfId="27049" xr:uid="{00000000-0005-0000-0000-00006F6A0000}"/>
    <cellStyle name="Standard 4 4 3 8 2" xfId="27050" xr:uid="{00000000-0005-0000-0000-0000706A0000}"/>
    <cellStyle name="Standard 4 4 3 8 2 2" xfId="27051" xr:uid="{00000000-0005-0000-0000-0000716A0000}"/>
    <cellStyle name="Standard 4 4 3 8 2 3" xfId="27052" xr:uid="{00000000-0005-0000-0000-0000726A0000}"/>
    <cellStyle name="Standard 4 4 3 8 3" xfId="27053" xr:uid="{00000000-0005-0000-0000-0000736A0000}"/>
    <cellStyle name="Standard 4 4 3 8 3 2" xfId="27054" xr:uid="{00000000-0005-0000-0000-0000746A0000}"/>
    <cellStyle name="Standard 4 4 3 8 3 3" xfId="27055" xr:uid="{00000000-0005-0000-0000-0000756A0000}"/>
    <cellStyle name="Standard 4 4 3 8 4" xfId="27056" xr:uid="{00000000-0005-0000-0000-0000766A0000}"/>
    <cellStyle name="Standard 4 4 3 8 4 2" xfId="27057" xr:uid="{00000000-0005-0000-0000-0000776A0000}"/>
    <cellStyle name="Standard 4 4 3 8 5" xfId="27058" xr:uid="{00000000-0005-0000-0000-0000786A0000}"/>
    <cellStyle name="Standard 4 4 3 8 6" xfId="27059" xr:uid="{00000000-0005-0000-0000-0000796A0000}"/>
    <cellStyle name="Standard 4 4 3 9" xfId="27060" xr:uid="{00000000-0005-0000-0000-00007A6A0000}"/>
    <cellStyle name="Standard 4 4 3 9 2" xfId="27061" xr:uid="{00000000-0005-0000-0000-00007B6A0000}"/>
    <cellStyle name="Standard 4 4 3 9 3" xfId="27062" xr:uid="{00000000-0005-0000-0000-00007C6A0000}"/>
    <cellStyle name="Standard 4 4 4" xfId="27063" xr:uid="{00000000-0005-0000-0000-00007D6A0000}"/>
    <cellStyle name="Standard 4 4 4 10" xfId="27064" xr:uid="{00000000-0005-0000-0000-00007E6A0000}"/>
    <cellStyle name="Standard 4 4 4 10 2" xfId="27065" xr:uid="{00000000-0005-0000-0000-00007F6A0000}"/>
    <cellStyle name="Standard 4 4 4 11" xfId="27066" xr:uid="{00000000-0005-0000-0000-0000806A0000}"/>
    <cellStyle name="Standard 4 4 4 12" xfId="27067" xr:uid="{00000000-0005-0000-0000-0000816A0000}"/>
    <cellStyle name="Standard 4 4 4 2" xfId="27068" xr:uid="{00000000-0005-0000-0000-0000826A0000}"/>
    <cellStyle name="Standard 4 4 4 2 10" xfId="27069" xr:uid="{00000000-0005-0000-0000-0000836A0000}"/>
    <cellStyle name="Standard 4 4 4 2 11" xfId="27070" xr:uid="{00000000-0005-0000-0000-0000846A0000}"/>
    <cellStyle name="Standard 4 4 4 2 2" xfId="27071" xr:uid="{00000000-0005-0000-0000-0000856A0000}"/>
    <cellStyle name="Standard 4 4 4 2 2 10" xfId="27072" xr:uid="{00000000-0005-0000-0000-0000866A0000}"/>
    <cellStyle name="Standard 4 4 4 2 2 2" xfId="27073" xr:uid="{00000000-0005-0000-0000-0000876A0000}"/>
    <cellStyle name="Standard 4 4 4 2 2 2 2" xfId="27074" xr:uid="{00000000-0005-0000-0000-0000886A0000}"/>
    <cellStyle name="Standard 4 4 4 2 2 2 2 2" xfId="27075" xr:uid="{00000000-0005-0000-0000-0000896A0000}"/>
    <cellStyle name="Standard 4 4 4 2 2 2 2 2 2" xfId="27076" xr:uid="{00000000-0005-0000-0000-00008A6A0000}"/>
    <cellStyle name="Standard 4 4 4 2 2 2 2 2 2 2" xfId="27077" xr:uid="{00000000-0005-0000-0000-00008B6A0000}"/>
    <cellStyle name="Standard 4 4 4 2 2 2 2 2 2 3" xfId="27078" xr:uid="{00000000-0005-0000-0000-00008C6A0000}"/>
    <cellStyle name="Standard 4 4 4 2 2 2 2 2 3" xfId="27079" xr:uid="{00000000-0005-0000-0000-00008D6A0000}"/>
    <cellStyle name="Standard 4 4 4 2 2 2 2 2 3 2" xfId="27080" xr:uid="{00000000-0005-0000-0000-00008E6A0000}"/>
    <cellStyle name="Standard 4 4 4 2 2 2 2 2 3 3" xfId="27081" xr:uid="{00000000-0005-0000-0000-00008F6A0000}"/>
    <cellStyle name="Standard 4 4 4 2 2 2 2 2 4" xfId="27082" xr:uid="{00000000-0005-0000-0000-0000906A0000}"/>
    <cellStyle name="Standard 4 4 4 2 2 2 2 2 4 2" xfId="27083" xr:uid="{00000000-0005-0000-0000-0000916A0000}"/>
    <cellStyle name="Standard 4 4 4 2 2 2 2 2 5" xfId="27084" xr:uid="{00000000-0005-0000-0000-0000926A0000}"/>
    <cellStyle name="Standard 4 4 4 2 2 2 2 2 6" xfId="27085" xr:uid="{00000000-0005-0000-0000-0000936A0000}"/>
    <cellStyle name="Standard 4 4 4 2 2 2 2 3" xfId="27086" xr:uid="{00000000-0005-0000-0000-0000946A0000}"/>
    <cellStyle name="Standard 4 4 4 2 2 2 2 3 2" xfId="27087" xr:uid="{00000000-0005-0000-0000-0000956A0000}"/>
    <cellStyle name="Standard 4 4 4 2 2 2 2 3 3" xfId="27088" xr:uid="{00000000-0005-0000-0000-0000966A0000}"/>
    <cellStyle name="Standard 4 4 4 2 2 2 2 4" xfId="27089" xr:uid="{00000000-0005-0000-0000-0000976A0000}"/>
    <cellStyle name="Standard 4 4 4 2 2 2 2 4 2" xfId="27090" xr:uid="{00000000-0005-0000-0000-0000986A0000}"/>
    <cellStyle name="Standard 4 4 4 2 2 2 2 4 3" xfId="27091" xr:uid="{00000000-0005-0000-0000-0000996A0000}"/>
    <cellStyle name="Standard 4 4 4 2 2 2 2 5" xfId="27092" xr:uid="{00000000-0005-0000-0000-00009A6A0000}"/>
    <cellStyle name="Standard 4 4 4 2 2 2 2 5 2" xfId="27093" xr:uid="{00000000-0005-0000-0000-00009B6A0000}"/>
    <cellStyle name="Standard 4 4 4 2 2 2 2 6" xfId="27094" xr:uid="{00000000-0005-0000-0000-00009C6A0000}"/>
    <cellStyle name="Standard 4 4 4 2 2 2 2 7" xfId="27095" xr:uid="{00000000-0005-0000-0000-00009D6A0000}"/>
    <cellStyle name="Standard 4 4 4 2 2 2 3" xfId="27096" xr:uid="{00000000-0005-0000-0000-00009E6A0000}"/>
    <cellStyle name="Standard 4 4 4 2 2 2 3 2" xfId="27097" xr:uid="{00000000-0005-0000-0000-00009F6A0000}"/>
    <cellStyle name="Standard 4 4 4 2 2 2 3 2 2" xfId="27098" xr:uid="{00000000-0005-0000-0000-0000A06A0000}"/>
    <cellStyle name="Standard 4 4 4 2 2 2 3 2 3" xfId="27099" xr:uid="{00000000-0005-0000-0000-0000A16A0000}"/>
    <cellStyle name="Standard 4 4 4 2 2 2 3 3" xfId="27100" xr:uid="{00000000-0005-0000-0000-0000A26A0000}"/>
    <cellStyle name="Standard 4 4 4 2 2 2 3 3 2" xfId="27101" xr:uid="{00000000-0005-0000-0000-0000A36A0000}"/>
    <cellStyle name="Standard 4 4 4 2 2 2 3 3 3" xfId="27102" xr:uid="{00000000-0005-0000-0000-0000A46A0000}"/>
    <cellStyle name="Standard 4 4 4 2 2 2 3 4" xfId="27103" xr:uid="{00000000-0005-0000-0000-0000A56A0000}"/>
    <cellStyle name="Standard 4 4 4 2 2 2 3 4 2" xfId="27104" xr:uid="{00000000-0005-0000-0000-0000A66A0000}"/>
    <cellStyle name="Standard 4 4 4 2 2 2 3 5" xfId="27105" xr:uid="{00000000-0005-0000-0000-0000A76A0000}"/>
    <cellStyle name="Standard 4 4 4 2 2 2 3 6" xfId="27106" xr:uid="{00000000-0005-0000-0000-0000A86A0000}"/>
    <cellStyle name="Standard 4 4 4 2 2 2 4" xfId="27107" xr:uid="{00000000-0005-0000-0000-0000A96A0000}"/>
    <cellStyle name="Standard 4 4 4 2 2 2 4 2" xfId="27108" xr:uid="{00000000-0005-0000-0000-0000AA6A0000}"/>
    <cellStyle name="Standard 4 4 4 2 2 2 4 3" xfId="27109" xr:uid="{00000000-0005-0000-0000-0000AB6A0000}"/>
    <cellStyle name="Standard 4 4 4 2 2 2 5" xfId="27110" xr:uid="{00000000-0005-0000-0000-0000AC6A0000}"/>
    <cellStyle name="Standard 4 4 4 2 2 2 5 2" xfId="27111" xr:uid="{00000000-0005-0000-0000-0000AD6A0000}"/>
    <cellStyle name="Standard 4 4 4 2 2 2 5 3" xfId="27112" xr:uid="{00000000-0005-0000-0000-0000AE6A0000}"/>
    <cellStyle name="Standard 4 4 4 2 2 2 6" xfId="27113" xr:uid="{00000000-0005-0000-0000-0000AF6A0000}"/>
    <cellStyle name="Standard 4 4 4 2 2 2 6 2" xfId="27114" xr:uid="{00000000-0005-0000-0000-0000B06A0000}"/>
    <cellStyle name="Standard 4 4 4 2 2 2 7" xfId="27115" xr:uid="{00000000-0005-0000-0000-0000B16A0000}"/>
    <cellStyle name="Standard 4 4 4 2 2 2 8" xfId="27116" xr:uid="{00000000-0005-0000-0000-0000B26A0000}"/>
    <cellStyle name="Standard 4 4 4 2 2 3" xfId="27117" xr:uid="{00000000-0005-0000-0000-0000B36A0000}"/>
    <cellStyle name="Standard 4 4 4 2 2 3 2" xfId="27118" xr:uid="{00000000-0005-0000-0000-0000B46A0000}"/>
    <cellStyle name="Standard 4 4 4 2 2 3 2 2" xfId="27119" xr:uid="{00000000-0005-0000-0000-0000B56A0000}"/>
    <cellStyle name="Standard 4 4 4 2 2 3 2 2 2" xfId="27120" xr:uid="{00000000-0005-0000-0000-0000B66A0000}"/>
    <cellStyle name="Standard 4 4 4 2 2 3 2 2 2 2" xfId="27121" xr:uid="{00000000-0005-0000-0000-0000B76A0000}"/>
    <cellStyle name="Standard 4 4 4 2 2 3 2 2 2 3" xfId="27122" xr:uid="{00000000-0005-0000-0000-0000B86A0000}"/>
    <cellStyle name="Standard 4 4 4 2 2 3 2 2 3" xfId="27123" xr:uid="{00000000-0005-0000-0000-0000B96A0000}"/>
    <cellStyle name="Standard 4 4 4 2 2 3 2 2 3 2" xfId="27124" xr:uid="{00000000-0005-0000-0000-0000BA6A0000}"/>
    <cellStyle name="Standard 4 4 4 2 2 3 2 2 3 3" xfId="27125" xr:uid="{00000000-0005-0000-0000-0000BB6A0000}"/>
    <cellStyle name="Standard 4 4 4 2 2 3 2 2 4" xfId="27126" xr:uid="{00000000-0005-0000-0000-0000BC6A0000}"/>
    <cellStyle name="Standard 4 4 4 2 2 3 2 2 4 2" xfId="27127" xr:uid="{00000000-0005-0000-0000-0000BD6A0000}"/>
    <cellStyle name="Standard 4 4 4 2 2 3 2 2 5" xfId="27128" xr:uid="{00000000-0005-0000-0000-0000BE6A0000}"/>
    <cellStyle name="Standard 4 4 4 2 2 3 2 2 6" xfId="27129" xr:uid="{00000000-0005-0000-0000-0000BF6A0000}"/>
    <cellStyle name="Standard 4 4 4 2 2 3 2 3" xfId="27130" xr:uid="{00000000-0005-0000-0000-0000C06A0000}"/>
    <cellStyle name="Standard 4 4 4 2 2 3 2 3 2" xfId="27131" xr:uid="{00000000-0005-0000-0000-0000C16A0000}"/>
    <cellStyle name="Standard 4 4 4 2 2 3 2 3 3" xfId="27132" xr:uid="{00000000-0005-0000-0000-0000C26A0000}"/>
    <cellStyle name="Standard 4 4 4 2 2 3 2 4" xfId="27133" xr:uid="{00000000-0005-0000-0000-0000C36A0000}"/>
    <cellStyle name="Standard 4 4 4 2 2 3 2 4 2" xfId="27134" xr:uid="{00000000-0005-0000-0000-0000C46A0000}"/>
    <cellStyle name="Standard 4 4 4 2 2 3 2 4 3" xfId="27135" xr:uid="{00000000-0005-0000-0000-0000C56A0000}"/>
    <cellStyle name="Standard 4 4 4 2 2 3 2 5" xfId="27136" xr:uid="{00000000-0005-0000-0000-0000C66A0000}"/>
    <cellStyle name="Standard 4 4 4 2 2 3 2 5 2" xfId="27137" xr:uid="{00000000-0005-0000-0000-0000C76A0000}"/>
    <cellStyle name="Standard 4 4 4 2 2 3 2 6" xfId="27138" xr:uid="{00000000-0005-0000-0000-0000C86A0000}"/>
    <cellStyle name="Standard 4 4 4 2 2 3 2 7" xfId="27139" xr:uid="{00000000-0005-0000-0000-0000C96A0000}"/>
    <cellStyle name="Standard 4 4 4 2 2 3 3" xfId="27140" xr:uid="{00000000-0005-0000-0000-0000CA6A0000}"/>
    <cellStyle name="Standard 4 4 4 2 2 3 3 2" xfId="27141" xr:uid="{00000000-0005-0000-0000-0000CB6A0000}"/>
    <cellStyle name="Standard 4 4 4 2 2 3 3 2 2" xfId="27142" xr:uid="{00000000-0005-0000-0000-0000CC6A0000}"/>
    <cellStyle name="Standard 4 4 4 2 2 3 3 2 3" xfId="27143" xr:uid="{00000000-0005-0000-0000-0000CD6A0000}"/>
    <cellStyle name="Standard 4 4 4 2 2 3 3 3" xfId="27144" xr:uid="{00000000-0005-0000-0000-0000CE6A0000}"/>
    <cellStyle name="Standard 4 4 4 2 2 3 3 3 2" xfId="27145" xr:uid="{00000000-0005-0000-0000-0000CF6A0000}"/>
    <cellStyle name="Standard 4 4 4 2 2 3 3 3 3" xfId="27146" xr:uid="{00000000-0005-0000-0000-0000D06A0000}"/>
    <cellStyle name="Standard 4 4 4 2 2 3 3 4" xfId="27147" xr:uid="{00000000-0005-0000-0000-0000D16A0000}"/>
    <cellStyle name="Standard 4 4 4 2 2 3 3 4 2" xfId="27148" xr:uid="{00000000-0005-0000-0000-0000D26A0000}"/>
    <cellStyle name="Standard 4 4 4 2 2 3 3 5" xfId="27149" xr:uid="{00000000-0005-0000-0000-0000D36A0000}"/>
    <cellStyle name="Standard 4 4 4 2 2 3 3 6" xfId="27150" xr:uid="{00000000-0005-0000-0000-0000D46A0000}"/>
    <cellStyle name="Standard 4 4 4 2 2 3 4" xfId="27151" xr:uid="{00000000-0005-0000-0000-0000D56A0000}"/>
    <cellStyle name="Standard 4 4 4 2 2 3 4 2" xfId="27152" xr:uid="{00000000-0005-0000-0000-0000D66A0000}"/>
    <cellStyle name="Standard 4 4 4 2 2 3 4 3" xfId="27153" xr:uid="{00000000-0005-0000-0000-0000D76A0000}"/>
    <cellStyle name="Standard 4 4 4 2 2 3 5" xfId="27154" xr:uid="{00000000-0005-0000-0000-0000D86A0000}"/>
    <cellStyle name="Standard 4 4 4 2 2 3 5 2" xfId="27155" xr:uid="{00000000-0005-0000-0000-0000D96A0000}"/>
    <cellStyle name="Standard 4 4 4 2 2 3 5 3" xfId="27156" xr:uid="{00000000-0005-0000-0000-0000DA6A0000}"/>
    <cellStyle name="Standard 4 4 4 2 2 3 6" xfId="27157" xr:uid="{00000000-0005-0000-0000-0000DB6A0000}"/>
    <cellStyle name="Standard 4 4 4 2 2 3 6 2" xfId="27158" xr:uid="{00000000-0005-0000-0000-0000DC6A0000}"/>
    <cellStyle name="Standard 4 4 4 2 2 3 7" xfId="27159" xr:uid="{00000000-0005-0000-0000-0000DD6A0000}"/>
    <cellStyle name="Standard 4 4 4 2 2 3 8" xfId="27160" xr:uid="{00000000-0005-0000-0000-0000DE6A0000}"/>
    <cellStyle name="Standard 4 4 4 2 2 4" xfId="27161" xr:uid="{00000000-0005-0000-0000-0000DF6A0000}"/>
    <cellStyle name="Standard 4 4 4 2 2 4 2" xfId="27162" xr:uid="{00000000-0005-0000-0000-0000E06A0000}"/>
    <cellStyle name="Standard 4 4 4 2 2 4 2 2" xfId="27163" xr:uid="{00000000-0005-0000-0000-0000E16A0000}"/>
    <cellStyle name="Standard 4 4 4 2 2 4 2 2 2" xfId="27164" xr:uid="{00000000-0005-0000-0000-0000E26A0000}"/>
    <cellStyle name="Standard 4 4 4 2 2 4 2 2 3" xfId="27165" xr:uid="{00000000-0005-0000-0000-0000E36A0000}"/>
    <cellStyle name="Standard 4 4 4 2 2 4 2 3" xfId="27166" xr:uid="{00000000-0005-0000-0000-0000E46A0000}"/>
    <cellStyle name="Standard 4 4 4 2 2 4 2 3 2" xfId="27167" xr:uid="{00000000-0005-0000-0000-0000E56A0000}"/>
    <cellStyle name="Standard 4 4 4 2 2 4 2 3 3" xfId="27168" xr:uid="{00000000-0005-0000-0000-0000E66A0000}"/>
    <cellStyle name="Standard 4 4 4 2 2 4 2 4" xfId="27169" xr:uid="{00000000-0005-0000-0000-0000E76A0000}"/>
    <cellStyle name="Standard 4 4 4 2 2 4 2 4 2" xfId="27170" xr:uid="{00000000-0005-0000-0000-0000E86A0000}"/>
    <cellStyle name="Standard 4 4 4 2 2 4 2 5" xfId="27171" xr:uid="{00000000-0005-0000-0000-0000E96A0000}"/>
    <cellStyle name="Standard 4 4 4 2 2 4 2 6" xfId="27172" xr:uid="{00000000-0005-0000-0000-0000EA6A0000}"/>
    <cellStyle name="Standard 4 4 4 2 2 4 3" xfId="27173" xr:uid="{00000000-0005-0000-0000-0000EB6A0000}"/>
    <cellStyle name="Standard 4 4 4 2 2 4 3 2" xfId="27174" xr:uid="{00000000-0005-0000-0000-0000EC6A0000}"/>
    <cellStyle name="Standard 4 4 4 2 2 4 3 3" xfId="27175" xr:uid="{00000000-0005-0000-0000-0000ED6A0000}"/>
    <cellStyle name="Standard 4 4 4 2 2 4 4" xfId="27176" xr:uid="{00000000-0005-0000-0000-0000EE6A0000}"/>
    <cellStyle name="Standard 4 4 4 2 2 4 4 2" xfId="27177" xr:uid="{00000000-0005-0000-0000-0000EF6A0000}"/>
    <cellStyle name="Standard 4 4 4 2 2 4 4 3" xfId="27178" xr:uid="{00000000-0005-0000-0000-0000F06A0000}"/>
    <cellStyle name="Standard 4 4 4 2 2 4 5" xfId="27179" xr:uid="{00000000-0005-0000-0000-0000F16A0000}"/>
    <cellStyle name="Standard 4 4 4 2 2 4 5 2" xfId="27180" xr:uid="{00000000-0005-0000-0000-0000F26A0000}"/>
    <cellStyle name="Standard 4 4 4 2 2 4 6" xfId="27181" xr:uid="{00000000-0005-0000-0000-0000F36A0000}"/>
    <cellStyle name="Standard 4 4 4 2 2 4 7" xfId="27182" xr:uid="{00000000-0005-0000-0000-0000F46A0000}"/>
    <cellStyle name="Standard 4 4 4 2 2 5" xfId="27183" xr:uid="{00000000-0005-0000-0000-0000F56A0000}"/>
    <cellStyle name="Standard 4 4 4 2 2 5 2" xfId="27184" xr:uid="{00000000-0005-0000-0000-0000F66A0000}"/>
    <cellStyle name="Standard 4 4 4 2 2 5 2 2" xfId="27185" xr:uid="{00000000-0005-0000-0000-0000F76A0000}"/>
    <cellStyle name="Standard 4 4 4 2 2 5 2 3" xfId="27186" xr:uid="{00000000-0005-0000-0000-0000F86A0000}"/>
    <cellStyle name="Standard 4 4 4 2 2 5 3" xfId="27187" xr:uid="{00000000-0005-0000-0000-0000F96A0000}"/>
    <cellStyle name="Standard 4 4 4 2 2 5 3 2" xfId="27188" xr:uid="{00000000-0005-0000-0000-0000FA6A0000}"/>
    <cellStyle name="Standard 4 4 4 2 2 5 3 3" xfId="27189" xr:uid="{00000000-0005-0000-0000-0000FB6A0000}"/>
    <cellStyle name="Standard 4 4 4 2 2 5 4" xfId="27190" xr:uid="{00000000-0005-0000-0000-0000FC6A0000}"/>
    <cellStyle name="Standard 4 4 4 2 2 5 4 2" xfId="27191" xr:uid="{00000000-0005-0000-0000-0000FD6A0000}"/>
    <cellStyle name="Standard 4 4 4 2 2 5 5" xfId="27192" xr:uid="{00000000-0005-0000-0000-0000FE6A0000}"/>
    <cellStyle name="Standard 4 4 4 2 2 5 6" xfId="27193" xr:uid="{00000000-0005-0000-0000-0000FF6A0000}"/>
    <cellStyle name="Standard 4 4 4 2 2 6" xfId="27194" xr:uid="{00000000-0005-0000-0000-0000006B0000}"/>
    <cellStyle name="Standard 4 4 4 2 2 6 2" xfId="27195" xr:uid="{00000000-0005-0000-0000-0000016B0000}"/>
    <cellStyle name="Standard 4 4 4 2 2 6 3" xfId="27196" xr:uid="{00000000-0005-0000-0000-0000026B0000}"/>
    <cellStyle name="Standard 4 4 4 2 2 7" xfId="27197" xr:uid="{00000000-0005-0000-0000-0000036B0000}"/>
    <cellStyle name="Standard 4 4 4 2 2 7 2" xfId="27198" xr:uid="{00000000-0005-0000-0000-0000046B0000}"/>
    <cellStyle name="Standard 4 4 4 2 2 7 3" xfId="27199" xr:uid="{00000000-0005-0000-0000-0000056B0000}"/>
    <cellStyle name="Standard 4 4 4 2 2 8" xfId="27200" xr:uid="{00000000-0005-0000-0000-0000066B0000}"/>
    <cellStyle name="Standard 4 4 4 2 2 8 2" xfId="27201" xr:uid="{00000000-0005-0000-0000-0000076B0000}"/>
    <cellStyle name="Standard 4 4 4 2 2 9" xfId="27202" xr:uid="{00000000-0005-0000-0000-0000086B0000}"/>
    <cellStyle name="Standard 4 4 4 2 3" xfId="27203" xr:uid="{00000000-0005-0000-0000-0000096B0000}"/>
    <cellStyle name="Standard 4 4 4 2 3 2" xfId="27204" xr:uid="{00000000-0005-0000-0000-00000A6B0000}"/>
    <cellStyle name="Standard 4 4 4 2 3 2 2" xfId="27205" xr:uid="{00000000-0005-0000-0000-00000B6B0000}"/>
    <cellStyle name="Standard 4 4 4 2 3 2 2 2" xfId="27206" xr:uid="{00000000-0005-0000-0000-00000C6B0000}"/>
    <cellStyle name="Standard 4 4 4 2 3 2 2 2 2" xfId="27207" xr:uid="{00000000-0005-0000-0000-00000D6B0000}"/>
    <cellStyle name="Standard 4 4 4 2 3 2 2 2 3" xfId="27208" xr:uid="{00000000-0005-0000-0000-00000E6B0000}"/>
    <cellStyle name="Standard 4 4 4 2 3 2 2 3" xfId="27209" xr:uid="{00000000-0005-0000-0000-00000F6B0000}"/>
    <cellStyle name="Standard 4 4 4 2 3 2 2 3 2" xfId="27210" xr:uid="{00000000-0005-0000-0000-0000106B0000}"/>
    <cellStyle name="Standard 4 4 4 2 3 2 2 3 3" xfId="27211" xr:uid="{00000000-0005-0000-0000-0000116B0000}"/>
    <cellStyle name="Standard 4 4 4 2 3 2 2 4" xfId="27212" xr:uid="{00000000-0005-0000-0000-0000126B0000}"/>
    <cellStyle name="Standard 4 4 4 2 3 2 2 4 2" xfId="27213" xr:uid="{00000000-0005-0000-0000-0000136B0000}"/>
    <cellStyle name="Standard 4 4 4 2 3 2 2 5" xfId="27214" xr:uid="{00000000-0005-0000-0000-0000146B0000}"/>
    <cellStyle name="Standard 4 4 4 2 3 2 2 6" xfId="27215" xr:uid="{00000000-0005-0000-0000-0000156B0000}"/>
    <cellStyle name="Standard 4 4 4 2 3 2 3" xfId="27216" xr:uid="{00000000-0005-0000-0000-0000166B0000}"/>
    <cellStyle name="Standard 4 4 4 2 3 2 3 2" xfId="27217" xr:uid="{00000000-0005-0000-0000-0000176B0000}"/>
    <cellStyle name="Standard 4 4 4 2 3 2 3 3" xfId="27218" xr:uid="{00000000-0005-0000-0000-0000186B0000}"/>
    <cellStyle name="Standard 4 4 4 2 3 2 4" xfId="27219" xr:uid="{00000000-0005-0000-0000-0000196B0000}"/>
    <cellStyle name="Standard 4 4 4 2 3 2 4 2" xfId="27220" xr:uid="{00000000-0005-0000-0000-00001A6B0000}"/>
    <cellStyle name="Standard 4 4 4 2 3 2 4 3" xfId="27221" xr:uid="{00000000-0005-0000-0000-00001B6B0000}"/>
    <cellStyle name="Standard 4 4 4 2 3 2 5" xfId="27222" xr:uid="{00000000-0005-0000-0000-00001C6B0000}"/>
    <cellStyle name="Standard 4 4 4 2 3 2 5 2" xfId="27223" xr:uid="{00000000-0005-0000-0000-00001D6B0000}"/>
    <cellStyle name="Standard 4 4 4 2 3 2 6" xfId="27224" xr:uid="{00000000-0005-0000-0000-00001E6B0000}"/>
    <cellStyle name="Standard 4 4 4 2 3 2 7" xfId="27225" xr:uid="{00000000-0005-0000-0000-00001F6B0000}"/>
    <cellStyle name="Standard 4 4 4 2 3 3" xfId="27226" xr:uid="{00000000-0005-0000-0000-0000206B0000}"/>
    <cellStyle name="Standard 4 4 4 2 3 3 2" xfId="27227" xr:uid="{00000000-0005-0000-0000-0000216B0000}"/>
    <cellStyle name="Standard 4 4 4 2 3 3 2 2" xfId="27228" xr:uid="{00000000-0005-0000-0000-0000226B0000}"/>
    <cellStyle name="Standard 4 4 4 2 3 3 2 3" xfId="27229" xr:uid="{00000000-0005-0000-0000-0000236B0000}"/>
    <cellStyle name="Standard 4 4 4 2 3 3 3" xfId="27230" xr:uid="{00000000-0005-0000-0000-0000246B0000}"/>
    <cellStyle name="Standard 4 4 4 2 3 3 3 2" xfId="27231" xr:uid="{00000000-0005-0000-0000-0000256B0000}"/>
    <cellStyle name="Standard 4 4 4 2 3 3 3 3" xfId="27232" xr:uid="{00000000-0005-0000-0000-0000266B0000}"/>
    <cellStyle name="Standard 4 4 4 2 3 3 4" xfId="27233" xr:uid="{00000000-0005-0000-0000-0000276B0000}"/>
    <cellStyle name="Standard 4 4 4 2 3 3 4 2" xfId="27234" xr:uid="{00000000-0005-0000-0000-0000286B0000}"/>
    <cellStyle name="Standard 4 4 4 2 3 3 5" xfId="27235" xr:uid="{00000000-0005-0000-0000-0000296B0000}"/>
    <cellStyle name="Standard 4 4 4 2 3 3 6" xfId="27236" xr:uid="{00000000-0005-0000-0000-00002A6B0000}"/>
    <cellStyle name="Standard 4 4 4 2 3 4" xfId="27237" xr:uid="{00000000-0005-0000-0000-00002B6B0000}"/>
    <cellStyle name="Standard 4 4 4 2 3 4 2" xfId="27238" xr:uid="{00000000-0005-0000-0000-00002C6B0000}"/>
    <cellStyle name="Standard 4 4 4 2 3 4 3" xfId="27239" xr:uid="{00000000-0005-0000-0000-00002D6B0000}"/>
    <cellStyle name="Standard 4 4 4 2 3 5" xfId="27240" xr:uid="{00000000-0005-0000-0000-00002E6B0000}"/>
    <cellStyle name="Standard 4 4 4 2 3 5 2" xfId="27241" xr:uid="{00000000-0005-0000-0000-00002F6B0000}"/>
    <cellStyle name="Standard 4 4 4 2 3 5 3" xfId="27242" xr:uid="{00000000-0005-0000-0000-0000306B0000}"/>
    <cellStyle name="Standard 4 4 4 2 3 6" xfId="27243" xr:uid="{00000000-0005-0000-0000-0000316B0000}"/>
    <cellStyle name="Standard 4 4 4 2 3 6 2" xfId="27244" xr:uid="{00000000-0005-0000-0000-0000326B0000}"/>
    <cellStyle name="Standard 4 4 4 2 3 7" xfId="27245" xr:uid="{00000000-0005-0000-0000-0000336B0000}"/>
    <cellStyle name="Standard 4 4 4 2 3 8" xfId="27246" xr:uid="{00000000-0005-0000-0000-0000346B0000}"/>
    <cellStyle name="Standard 4 4 4 2 4" xfId="27247" xr:uid="{00000000-0005-0000-0000-0000356B0000}"/>
    <cellStyle name="Standard 4 4 4 2 4 2" xfId="27248" xr:uid="{00000000-0005-0000-0000-0000366B0000}"/>
    <cellStyle name="Standard 4 4 4 2 4 2 2" xfId="27249" xr:uid="{00000000-0005-0000-0000-0000376B0000}"/>
    <cellStyle name="Standard 4 4 4 2 4 2 2 2" xfId="27250" xr:uid="{00000000-0005-0000-0000-0000386B0000}"/>
    <cellStyle name="Standard 4 4 4 2 4 2 2 2 2" xfId="27251" xr:uid="{00000000-0005-0000-0000-0000396B0000}"/>
    <cellStyle name="Standard 4 4 4 2 4 2 2 2 3" xfId="27252" xr:uid="{00000000-0005-0000-0000-00003A6B0000}"/>
    <cellStyle name="Standard 4 4 4 2 4 2 2 3" xfId="27253" xr:uid="{00000000-0005-0000-0000-00003B6B0000}"/>
    <cellStyle name="Standard 4 4 4 2 4 2 2 3 2" xfId="27254" xr:uid="{00000000-0005-0000-0000-00003C6B0000}"/>
    <cellStyle name="Standard 4 4 4 2 4 2 2 3 3" xfId="27255" xr:uid="{00000000-0005-0000-0000-00003D6B0000}"/>
    <cellStyle name="Standard 4 4 4 2 4 2 2 4" xfId="27256" xr:uid="{00000000-0005-0000-0000-00003E6B0000}"/>
    <cellStyle name="Standard 4 4 4 2 4 2 2 4 2" xfId="27257" xr:uid="{00000000-0005-0000-0000-00003F6B0000}"/>
    <cellStyle name="Standard 4 4 4 2 4 2 2 5" xfId="27258" xr:uid="{00000000-0005-0000-0000-0000406B0000}"/>
    <cellStyle name="Standard 4 4 4 2 4 2 2 6" xfId="27259" xr:uid="{00000000-0005-0000-0000-0000416B0000}"/>
    <cellStyle name="Standard 4 4 4 2 4 2 3" xfId="27260" xr:uid="{00000000-0005-0000-0000-0000426B0000}"/>
    <cellStyle name="Standard 4 4 4 2 4 2 3 2" xfId="27261" xr:uid="{00000000-0005-0000-0000-0000436B0000}"/>
    <cellStyle name="Standard 4 4 4 2 4 2 3 3" xfId="27262" xr:uid="{00000000-0005-0000-0000-0000446B0000}"/>
    <cellStyle name="Standard 4 4 4 2 4 2 4" xfId="27263" xr:uid="{00000000-0005-0000-0000-0000456B0000}"/>
    <cellStyle name="Standard 4 4 4 2 4 2 4 2" xfId="27264" xr:uid="{00000000-0005-0000-0000-0000466B0000}"/>
    <cellStyle name="Standard 4 4 4 2 4 2 4 3" xfId="27265" xr:uid="{00000000-0005-0000-0000-0000476B0000}"/>
    <cellStyle name="Standard 4 4 4 2 4 2 5" xfId="27266" xr:uid="{00000000-0005-0000-0000-0000486B0000}"/>
    <cellStyle name="Standard 4 4 4 2 4 2 5 2" xfId="27267" xr:uid="{00000000-0005-0000-0000-0000496B0000}"/>
    <cellStyle name="Standard 4 4 4 2 4 2 6" xfId="27268" xr:uid="{00000000-0005-0000-0000-00004A6B0000}"/>
    <cellStyle name="Standard 4 4 4 2 4 2 7" xfId="27269" xr:uid="{00000000-0005-0000-0000-00004B6B0000}"/>
    <cellStyle name="Standard 4 4 4 2 4 3" xfId="27270" xr:uid="{00000000-0005-0000-0000-00004C6B0000}"/>
    <cellStyle name="Standard 4 4 4 2 4 3 2" xfId="27271" xr:uid="{00000000-0005-0000-0000-00004D6B0000}"/>
    <cellStyle name="Standard 4 4 4 2 4 3 2 2" xfId="27272" xr:uid="{00000000-0005-0000-0000-00004E6B0000}"/>
    <cellStyle name="Standard 4 4 4 2 4 3 2 3" xfId="27273" xr:uid="{00000000-0005-0000-0000-00004F6B0000}"/>
    <cellStyle name="Standard 4 4 4 2 4 3 3" xfId="27274" xr:uid="{00000000-0005-0000-0000-0000506B0000}"/>
    <cellStyle name="Standard 4 4 4 2 4 3 3 2" xfId="27275" xr:uid="{00000000-0005-0000-0000-0000516B0000}"/>
    <cellStyle name="Standard 4 4 4 2 4 3 3 3" xfId="27276" xr:uid="{00000000-0005-0000-0000-0000526B0000}"/>
    <cellStyle name="Standard 4 4 4 2 4 3 4" xfId="27277" xr:uid="{00000000-0005-0000-0000-0000536B0000}"/>
    <cellStyle name="Standard 4 4 4 2 4 3 4 2" xfId="27278" xr:uid="{00000000-0005-0000-0000-0000546B0000}"/>
    <cellStyle name="Standard 4 4 4 2 4 3 5" xfId="27279" xr:uid="{00000000-0005-0000-0000-0000556B0000}"/>
    <cellStyle name="Standard 4 4 4 2 4 3 6" xfId="27280" xr:uid="{00000000-0005-0000-0000-0000566B0000}"/>
    <cellStyle name="Standard 4 4 4 2 4 4" xfId="27281" xr:uid="{00000000-0005-0000-0000-0000576B0000}"/>
    <cellStyle name="Standard 4 4 4 2 4 4 2" xfId="27282" xr:uid="{00000000-0005-0000-0000-0000586B0000}"/>
    <cellStyle name="Standard 4 4 4 2 4 4 3" xfId="27283" xr:uid="{00000000-0005-0000-0000-0000596B0000}"/>
    <cellStyle name="Standard 4 4 4 2 4 5" xfId="27284" xr:uid="{00000000-0005-0000-0000-00005A6B0000}"/>
    <cellStyle name="Standard 4 4 4 2 4 5 2" xfId="27285" xr:uid="{00000000-0005-0000-0000-00005B6B0000}"/>
    <cellStyle name="Standard 4 4 4 2 4 5 3" xfId="27286" xr:uid="{00000000-0005-0000-0000-00005C6B0000}"/>
    <cellStyle name="Standard 4 4 4 2 4 6" xfId="27287" xr:uid="{00000000-0005-0000-0000-00005D6B0000}"/>
    <cellStyle name="Standard 4 4 4 2 4 6 2" xfId="27288" xr:uid="{00000000-0005-0000-0000-00005E6B0000}"/>
    <cellStyle name="Standard 4 4 4 2 4 7" xfId="27289" xr:uid="{00000000-0005-0000-0000-00005F6B0000}"/>
    <cellStyle name="Standard 4 4 4 2 4 8" xfId="27290" xr:uid="{00000000-0005-0000-0000-0000606B0000}"/>
    <cellStyle name="Standard 4 4 4 2 5" xfId="27291" xr:uid="{00000000-0005-0000-0000-0000616B0000}"/>
    <cellStyle name="Standard 4 4 4 2 5 2" xfId="27292" xr:uid="{00000000-0005-0000-0000-0000626B0000}"/>
    <cellStyle name="Standard 4 4 4 2 5 2 2" xfId="27293" xr:uid="{00000000-0005-0000-0000-0000636B0000}"/>
    <cellStyle name="Standard 4 4 4 2 5 2 2 2" xfId="27294" xr:uid="{00000000-0005-0000-0000-0000646B0000}"/>
    <cellStyle name="Standard 4 4 4 2 5 2 2 3" xfId="27295" xr:uid="{00000000-0005-0000-0000-0000656B0000}"/>
    <cellStyle name="Standard 4 4 4 2 5 2 3" xfId="27296" xr:uid="{00000000-0005-0000-0000-0000666B0000}"/>
    <cellStyle name="Standard 4 4 4 2 5 2 3 2" xfId="27297" xr:uid="{00000000-0005-0000-0000-0000676B0000}"/>
    <cellStyle name="Standard 4 4 4 2 5 2 3 3" xfId="27298" xr:uid="{00000000-0005-0000-0000-0000686B0000}"/>
    <cellStyle name="Standard 4 4 4 2 5 2 4" xfId="27299" xr:uid="{00000000-0005-0000-0000-0000696B0000}"/>
    <cellStyle name="Standard 4 4 4 2 5 2 4 2" xfId="27300" xr:uid="{00000000-0005-0000-0000-00006A6B0000}"/>
    <cellStyle name="Standard 4 4 4 2 5 2 5" xfId="27301" xr:uid="{00000000-0005-0000-0000-00006B6B0000}"/>
    <cellStyle name="Standard 4 4 4 2 5 2 6" xfId="27302" xr:uid="{00000000-0005-0000-0000-00006C6B0000}"/>
    <cellStyle name="Standard 4 4 4 2 5 3" xfId="27303" xr:uid="{00000000-0005-0000-0000-00006D6B0000}"/>
    <cellStyle name="Standard 4 4 4 2 5 3 2" xfId="27304" xr:uid="{00000000-0005-0000-0000-00006E6B0000}"/>
    <cellStyle name="Standard 4 4 4 2 5 3 3" xfId="27305" xr:uid="{00000000-0005-0000-0000-00006F6B0000}"/>
    <cellStyle name="Standard 4 4 4 2 5 4" xfId="27306" xr:uid="{00000000-0005-0000-0000-0000706B0000}"/>
    <cellStyle name="Standard 4 4 4 2 5 4 2" xfId="27307" xr:uid="{00000000-0005-0000-0000-0000716B0000}"/>
    <cellStyle name="Standard 4 4 4 2 5 4 3" xfId="27308" xr:uid="{00000000-0005-0000-0000-0000726B0000}"/>
    <cellStyle name="Standard 4 4 4 2 5 5" xfId="27309" xr:uid="{00000000-0005-0000-0000-0000736B0000}"/>
    <cellStyle name="Standard 4 4 4 2 5 5 2" xfId="27310" xr:uid="{00000000-0005-0000-0000-0000746B0000}"/>
    <cellStyle name="Standard 4 4 4 2 5 6" xfId="27311" xr:uid="{00000000-0005-0000-0000-0000756B0000}"/>
    <cellStyle name="Standard 4 4 4 2 5 7" xfId="27312" xr:uid="{00000000-0005-0000-0000-0000766B0000}"/>
    <cellStyle name="Standard 4 4 4 2 6" xfId="27313" xr:uid="{00000000-0005-0000-0000-0000776B0000}"/>
    <cellStyle name="Standard 4 4 4 2 6 2" xfId="27314" xr:uid="{00000000-0005-0000-0000-0000786B0000}"/>
    <cellStyle name="Standard 4 4 4 2 6 2 2" xfId="27315" xr:uid="{00000000-0005-0000-0000-0000796B0000}"/>
    <cellStyle name="Standard 4 4 4 2 6 2 3" xfId="27316" xr:uid="{00000000-0005-0000-0000-00007A6B0000}"/>
    <cellStyle name="Standard 4 4 4 2 6 3" xfId="27317" xr:uid="{00000000-0005-0000-0000-00007B6B0000}"/>
    <cellStyle name="Standard 4 4 4 2 6 3 2" xfId="27318" xr:uid="{00000000-0005-0000-0000-00007C6B0000}"/>
    <cellStyle name="Standard 4 4 4 2 6 3 3" xfId="27319" xr:uid="{00000000-0005-0000-0000-00007D6B0000}"/>
    <cellStyle name="Standard 4 4 4 2 6 4" xfId="27320" xr:uid="{00000000-0005-0000-0000-00007E6B0000}"/>
    <cellStyle name="Standard 4 4 4 2 6 4 2" xfId="27321" xr:uid="{00000000-0005-0000-0000-00007F6B0000}"/>
    <cellStyle name="Standard 4 4 4 2 6 5" xfId="27322" xr:uid="{00000000-0005-0000-0000-0000806B0000}"/>
    <cellStyle name="Standard 4 4 4 2 6 6" xfId="27323" xr:uid="{00000000-0005-0000-0000-0000816B0000}"/>
    <cellStyle name="Standard 4 4 4 2 7" xfId="27324" xr:uid="{00000000-0005-0000-0000-0000826B0000}"/>
    <cellStyle name="Standard 4 4 4 2 7 2" xfId="27325" xr:uid="{00000000-0005-0000-0000-0000836B0000}"/>
    <cellStyle name="Standard 4 4 4 2 7 3" xfId="27326" xr:uid="{00000000-0005-0000-0000-0000846B0000}"/>
    <cellStyle name="Standard 4 4 4 2 8" xfId="27327" xr:uid="{00000000-0005-0000-0000-0000856B0000}"/>
    <cellStyle name="Standard 4 4 4 2 8 2" xfId="27328" xr:uid="{00000000-0005-0000-0000-0000866B0000}"/>
    <cellStyle name="Standard 4 4 4 2 8 3" xfId="27329" xr:uid="{00000000-0005-0000-0000-0000876B0000}"/>
    <cellStyle name="Standard 4 4 4 2 9" xfId="27330" xr:uid="{00000000-0005-0000-0000-0000886B0000}"/>
    <cellStyle name="Standard 4 4 4 2 9 2" xfId="27331" xr:uid="{00000000-0005-0000-0000-0000896B0000}"/>
    <cellStyle name="Standard 4 4 4 3" xfId="27332" xr:uid="{00000000-0005-0000-0000-00008A6B0000}"/>
    <cellStyle name="Standard 4 4 4 3 10" xfId="27333" xr:uid="{00000000-0005-0000-0000-00008B6B0000}"/>
    <cellStyle name="Standard 4 4 4 3 2" xfId="27334" xr:uid="{00000000-0005-0000-0000-00008C6B0000}"/>
    <cellStyle name="Standard 4 4 4 3 2 2" xfId="27335" xr:uid="{00000000-0005-0000-0000-00008D6B0000}"/>
    <cellStyle name="Standard 4 4 4 3 2 2 2" xfId="27336" xr:uid="{00000000-0005-0000-0000-00008E6B0000}"/>
    <cellStyle name="Standard 4 4 4 3 2 2 2 2" xfId="27337" xr:uid="{00000000-0005-0000-0000-00008F6B0000}"/>
    <cellStyle name="Standard 4 4 4 3 2 2 2 2 2" xfId="27338" xr:uid="{00000000-0005-0000-0000-0000906B0000}"/>
    <cellStyle name="Standard 4 4 4 3 2 2 2 2 3" xfId="27339" xr:uid="{00000000-0005-0000-0000-0000916B0000}"/>
    <cellStyle name="Standard 4 4 4 3 2 2 2 3" xfId="27340" xr:uid="{00000000-0005-0000-0000-0000926B0000}"/>
    <cellStyle name="Standard 4 4 4 3 2 2 2 3 2" xfId="27341" xr:uid="{00000000-0005-0000-0000-0000936B0000}"/>
    <cellStyle name="Standard 4 4 4 3 2 2 2 3 3" xfId="27342" xr:uid="{00000000-0005-0000-0000-0000946B0000}"/>
    <cellStyle name="Standard 4 4 4 3 2 2 2 4" xfId="27343" xr:uid="{00000000-0005-0000-0000-0000956B0000}"/>
    <cellStyle name="Standard 4 4 4 3 2 2 2 4 2" xfId="27344" xr:uid="{00000000-0005-0000-0000-0000966B0000}"/>
    <cellStyle name="Standard 4 4 4 3 2 2 2 5" xfId="27345" xr:uid="{00000000-0005-0000-0000-0000976B0000}"/>
    <cellStyle name="Standard 4 4 4 3 2 2 2 6" xfId="27346" xr:uid="{00000000-0005-0000-0000-0000986B0000}"/>
    <cellStyle name="Standard 4 4 4 3 2 2 3" xfId="27347" xr:uid="{00000000-0005-0000-0000-0000996B0000}"/>
    <cellStyle name="Standard 4 4 4 3 2 2 3 2" xfId="27348" xr:uid="{00000000-0005-0000-0000-00009A6B0000}"/>
    <cellStyle name="Standard 4 4 4 3 2 2 3 3" xfId="27349" xr:uid="{00000000-0005-0000-0000-00009B6B0000}"/>
    <cellStyle name="Standard 4 4 4 3 2 2 4" xfId="27350" xr:uid="{00000000-0005-0000-0000-00009C6B0000}"/>
    <cellStyle name="Standard 4 4 4 3 2 2 4 2" xfId="27351" xr:uid="{00000000-0005-0000-0000-00009D6B0000}"/>
    <cellStyle name="Standard 4 4 4 3 2 2 4 3" xfId="27352" xr:uid="{00000000-0005-0000-0000-00009E6B0000}"/>
    <cellStyle name="Standard 4 4 4 3 2 2 5" xfId="27353" xr:uid="{00000000-0005-0000-0000-00009F6B0000}"/>
    <cellStyle name="Standard 4 4 4 3 2 2 5 2" xfId="27354" xr:uid="{00000000-0005-0000-0000-0000A06B0000}"/>
    <cellStyle name="Standard 4 4 4 3 2 2 6" xfId="27355" xr:uid="{00000000-0005-0000-0000-0000A16B0000}"/>
    <cellStyle name="Standard 4 4 4 3 2 2 7" xfId="27356" xr:uid="{00000000-0005-0000-0000-0000A26B0000}"/>
    <cellStyle name="Standard 4 4 4 3 2 3" xfId="27357" xr:uid="{00000000-0005-0000-0000-0000A36B0000}"/>
    <cellStyle name="Standard 4 4 4 3 2 3 2" xfId="27358" xr:uid="{00000000-0005-0000-0000-0000A46B0000}"/>
    <cellStyle name="Standard 4 4 4 3 2 3 2 2" xfId="27359" xr:uid="{00000000-0005-0000-0000-0000A56B0000}"/>
    <cellStyle name="Standard 4 4 4 3 2 3 2 3" xfId="27360" xr:uid="{00000000-0005-0000-0000-0000A66B0000}"/>
    <cellStyle name="Standard 4 4 4 3 2 3 3" xfId="27361" xr:uid="{00000000-0005-0000-0000-0000A76B0000}"/>
    <cellStyle name="Standard 4 4 4 3 2 3 3 2" xfId="27362" xr:uid="{00000000-0005-0000-0000-0000A86B0000}"/>
    <cellStyle name="Standard 4 4 4 3 2 3 3 3" xfId="27363" xr:uid="{00000000-0005-0000-0000-0000A96B0000}"/>
    <cellStyle name="Standard 4 4 4 3 2 3 4" xfId="27364" xr:uid="{00000000-0005-0000-0000-0000AA6B0000}"/>
    <cellStyle name="Standard 4 4 4 3 2 3 4 2" xfId="27365" xr:uid="{00000000-0005-0000-0000-0000AB6B0000}"/>
    <cellStyle name="Standard 4 4 4 3 2 3 5" xfId="27366" xr:uid="{00000000-0005-0000-0000-0000AC6B0000}"/>
    <cellStyle name="Standard 4 4 4 3 2 3 6" xfId="27367" xr:uid="{00000000-0005-0000-0000-0000AD6B0000}"/>
    <cellStyle name="Standard 4 4 4 3 2 4" xfId="27368" xr:uid="{00000000-0005-0000-0000-0000AE6B0000}"/>
    <cellStyle name="Standard 4 4 4 3 2 4 2" xfId="27369" xr:uid="{00000000-0005-0000-0000-0000AF6B0000}"/>
    <cellStyle name="Standard 4 4 4 3 2 4 3" xfId="27370" xr:uid="{00000000-0005-0000-0000-0000B06B0000}"/>
    <cellStyle name="Standard 4 4 4 3 2 5" xfId="27371" xr:uid="{00000000-0005-0000-0000-0000B16B0000}"/>
    <cellStyle name="Standard 4 4 4 3 2 5 2" xfId="27372" xr:uid="{00000000-0005-0000-0000-0000B26B0000}"/>
    <cellStyle name="Standard 4 4 4 3 2 5 3" xfId="27373" xr:uid="{00000000-0005-0000-0000-0000B36B0000}"/>
    <cellStyle name="Standard 4 4 4 3 2 6" xfId="27374" xr:uid="{00000000-0005-0000-0000-0000B46B0000}"/>
    <cellStyle name="Standard 4 4 4 3 2 6 2" xfId="27375" xr:uid="{00000000-0005-0000-0000-0000B56B0000}"/>
    <cellStyle name="Standard 4 4 4 3 2 7" xfId="27376" xr:uid="{00000000-0005-0000-0000-0000B66B0000}"/>
    <cellStyle name="Standard 4 4 4 3 2 8" xfId="27377" xr:uid="{00000000-0005-0000-0000-0000B76B0000}"/>
    <cellStyle name="Standard 4 4 4 3 3" xfId="27378" xr:uid="{00000000-0005-0000-0000-0000B86B0000}"/>
    <cellStyle name="Standard 4 4 4 3 3 2" xfId="27379" xr:uid="{00000000-0005-0000-0000-0000B96B0000}"/>
    <cellStyle name="Standard 4 4 4 3 3 2 2" xfId="27380" xr:uid="{00000000-0005-0000-0000-0000BA6B0000}"/>
    <cellStyle name="Standard 4 4 4 3 3 2 2 2" xfId="27381" xr:uid="{00000000-0005-0000-0000-0000BB6B0000}"/>
    <cellStyle name="Standard 4 4 4 3 3 2 2 2 2" xfId="27382" xr:uid="{00000000-0005-0000-0000-0000BC6B0000}"/>
    <cellStyle name="Standard 4 4 4 3 3 2 2 2 3" xfId="27383" xr:uid="{00000000-0005-0000-0000-0000BD6B0000}"/>
    <cellStyle name="Standard 4 4 4 3 3 2 2 3" xfId="27384" xr:uid="{00000000-0005-0000-0000-0000BE6B0000}"/>
    <cellStyle name="Standard 4 4 4 3 3 2 2 3 2" xfId="27385" xr:uid="{00000000-0005-0000-0000-0000BF6B0000}"/>
    <cellStyle name="Standard 4 4 4 3 3 2 2 3 3" xfId="27386" xr:uid="{00000000-0005-0000-0000-0000C06B0000}"/>
    <cellStyle name="Standard 4 4 4 3 3 2 2 4" xfId="27387" xr:uid="{00000000-0005-0000-0000-0000C16B0000}"/>
    <cellStyle name="Standard 4 4 4 3 3 2 2 4 2" xfId="27388" xr:uid="{00000000-0005-0000-0000-0000C26B0000}"/>
    <cellStyle name="Standard 4 4 4 3 3 2 2 5" xfId="27389" xr:uid="{00000000-0005-0000-0000-0000C36B0000}"/>
    <cellStyle name="Standard 4 4 4 3 3 2 2 6" xfId="27390" xr:uid="{00000000-0005-0000-0000-0000C46B0000}"/>
    <cellStyle name="Standard 4 4 4 3 3 2 3" xfId="27391" xr:uid="{00000000-0005-0000-0000-0000C56B0000}"/>
    <cellStyle name="Standard 4 4 4 3 3 2 3 2" xfId="27392" xr:uid="{00000000-0005-0000-0000-0000C66B0000}"/>
    <cellStyle name="Standard 4 4 4 3 3 2 3 3" xfId="27393" xr:uid="{00000000-0005-0000-0000-0000C76B0000}"/>
    <cellStyle name="Standard 4 4 4 3 3 2 4" xfId="27394" xr:uid="{00000000-0005-0000-0000-0000C86B0000}"/>
    <cellStyle name="Standard 4 4 4 3 3 2 4 2" xfId="27395" xr:uid="{00000000-0005-0000-0000-0000C96B0000}"/>
    <cellStyle name="Standard 4 4 4 3 3 2 4 3" xfId="27396" xr:uid="{00000000-0005-0000-0000-0000CA6B0000}"/>
    <cellStyle name="Standard 4 4 4 3 3 2 5" xfId="27397" xr:uid="{00000000-0005-0000-0000-0000CB6B0000}"/>
    <cellStyle name="Standard 4 4 4 3 3 2 5 2" xfId="27398" xr:uid="{00000000-0005-0000-0000-0000CC6B0000}"/>
    <cellStyle name="Standard 4 4 4 3 3 2 6" xfId="27399" xr:uid="{00000000-0005-0000-0000-0000CD6B0000}"/>
    <cellStyle name="Standard 4 4 4 3 3 2 7" xfId="27400" xr:uid="{00000000-0005-0000-0000-0000CE6B0000}"/>
    <cellStyle name="Standard 4 4 4 3 3 3" xfId="27401" xr:uid="{00000000-0005-0000-0000-0000CF6B0000}"/>
    <cellStyle name="Standard 4 4 4 3 3 3 2" xfId="27402" xr:uid="{00000000-0005-0000-0000-0000D06B0000}"/>
    <cellStyle name="Standard 4 4 4 3 3 3 2 2" xfId="27403" xr:uid="{00000000-0005-0000-0000-0000D16B0000}"/>
    <cellStyle name="Standard 4 4 4 3 3 3 2 3" xfId="27404" xr:uid="{00000000-0005-0000-0000-0000D26B0000}"/>
    <cellStyle name="Standard 4 4 4 3 3 3 3" xfId="27405" xr:uid="{00000000-0005-0000-0000-0000D36B0000}"/>
    <cellStyle name="Standard 4 4 4 3 3 3 3 2" xfId="27406" xr:uid="{00000000-0005-0000-0000-0000D46B0000}"/>
    <cellStyle name="Standard 4 4 4 3 3 3 3 3" xfId="27407" xr:uid="{00000000-0005-0000-0000-0000D56B0000}"/>
    <cellStyle name="Standard 4 4 4 3 3 3 4" xfId="27408" xr:uid="{00000000-0005-0000-0000-0000D66B0000}"/>
    <cellStyle name="Standard 4 4 4 3 3 3 4 2" xfId="27409" xr:uid="{00000000-0005-0000-0000-0000D76B0000}"/>
    <cellStyle name="Standard 4 4 4 3 3 3 5" xfId="27410" xr:uid="{00000000-0005-0000-0000-0000D86B0000}"/>
    <cellStyle name="Standard 4 4 4 3 3 3 6" xfId="27411" xr:uid="{00000000-0005-0000-0000-0000D96B0000}"/>
    <cellStyle name="Standard 4 4 4 3 3 4" xfId="27412" xr:uid="{00000000-0005-0000-0000-0000DA6B0000}"/>
    <cellStyle name="Standard 4 4 4 3 3 4 2" xfId="27413" xr:uid="{00000000-0005-0000-0000-0000DB6B0000}"/>
    <cellStyle name="Standard 4 4 4 3 3 4 3" xfId="27414" xr:uid="{00000000-0005-0000-0000-0000DC6B0000}"/>
    <cellStyle name="Standard 4 4 4 3 3 5" xfId="27415" xr:uid="{00000000-0005-0000-0000-0000DD6B0000}"/>
    <cellStyle name="Standard 4 4 4 3 3 5 2" xfId="27416" xr:uid="{00000000-0005-0000-0000-0000DE6B0000}"/>
    <cellStyle name="Standard 4 4 4 3 3 5 3" xfId="27417" xr:uid="{00000000-0005-0000-0000-0000DF6B0000}"/>
    <cellStyle name="Standard 4 4 4 3 3 6" xfId="27418" xr:uid="{00000000-0005-0000-0000-0000E06B0000}"/>
    <cellStyle name="Standard 4 4 4 3 3 6 2" xfId="27419" xr:uid="{00000000-0005-0000-0000-0000E16B0000}"/>
    <cellStyle name="Standard 4 4 4 3 3 7" xfId="27420" xr:uid="{00000000-0005-0000-0000-0000E26B0000}"/>
    <cellStyle name="Standard 4 4 4 3 3 8" xfId="27421" xr:uid="{00000000-0005-0000-0000-0000E36B0000}"/>
    <cellStyle name="Standard 4 4 4 3 4" xfId="27422" xr:uid="{00000000-0005-0000-0000-0000E46B0000}"/>
    <cellStyle name="Standard 4 4 4 3 4 2" xfId="27423" xr:uid="{00000000-0005-0000-0000-0000E56B0000}"/>
    <cellStyle name="Standard 4 4 4 3 4 2 2" xfId="27424" xr:uid="{00000000-0005-0000-0000-0000E66B0000}"/>
    <cellStyle name="Standard 4 4 4 3 4 2 2 2" xfId="27425" xr:uid="{00000000-0005-0000-0000-0000E76B0000}"/>
    <cellStyle name="Standard 4 4 4 3 4 2 2 3" xfId="27426" xr:uid="{00000000-0005-0000-0000-0000E86B0000}"/>
    <cellStyle name="Standard 4 4 4 3 4 2 3" xfId="27427" xr:uid="{00000000-0005-0000-0000-0000E96B0000}"/>
    <cellStyle name="Standard 4 4 4 3 4 2 3 2" xfId="27428" xr:uid="{00000000-0005-0000-0000-0000EA6B0000}"/>
    <cellStyle name="Standard 4 4 4 3 4 2 3 3" xfId="27429" xr:uid="{00000000-0005-0000-0000-0000EB6B0000}"/>
    <cellStyle name="Standard 4 4 4 3 4 2 4" xfId="27430" xr:uid="{00000000-0005-0000-0000-0000EC6B0000}"/>
    <cellStyle name="Standard 4 4 4 3 4 2 4 2" xfId="27431" xr:uid="{00000000-0005-0000-0000-0000ED6B0000}"/>
    <cellStyle name="Standard 4 4 4 3 4 2 5" xfId="27432" xr:uid="{00000000-0005-0000-0000-0000EE6B0000}"/>
    <cellStyle name="Standard 4 4 4 3 4 2 6" xfId="27433" xr:uid="{00000000-0005-0000-0000-0000EF6B0000}"/>
    <cellStyle name="Standard 4 4 4 3 4 3" xfId="27434" xr:uid="{00000000-0005-0000-0000-0000F06B0000}"/>
    <cellStyle name="Standard 4 4 4 3 4 3 2" xfId="27435" xr:uid="{00000000-0005-0000-0000-0000F16B0000}"/>
    <cellStyle name="Standard 4 4 4 3 4 3 3" xfId="27436" xr:uid="{00000000-0005-0000-0000-0000F26B0000}"/>
    <cellStyle name="Standard 4 4 4 3 4 4" xfId="27437" xr:uid="{00000000-0005-0000-0000-0000F36B0000}"/>
    <cellStyle name="Standard 4 4 4 3 4 4 2" xfId="27438" xr:uid="{00000000-0005-0000-0000-0000F46B0000}"/>
    <cellStyle name="Standard 4 4 4 3 4 4 3" xfId="27439" xr:uid="{00000000-0005-0000-0000-0000F56B0000}"/>
    <cellStyle name="Standard 4 4 4 3 4 5" xfId="27440" xr:uid="{00000000-0005-0000-0000-0000F66B0000}"/>
    <cellStyle name="Standard 4 4 4 3 4 5 2" xfId="27441" xr:uid="{00000000-0005-0000-0000-0000F76B0000}"/>
    <cellStyle name="Standard 4 4 4 3 4 6" xfId="27442" xr:uid="{00000000-0005-0000-0000-0000F86B0000}"/>
    <cellStyle name="Standard 4 4 4 3 4 7" xfId="27443" xr:uid="{00000000-0005-0000-0000-0000F96B0000}"/>
    <cellStyle name="Standard 4 4 4 3 5" xfId="27444" xr:uid="{00000000-0005-0000-0000-0000FA6B0000}"/>
    <cellStyle name="Standard 4 4 4 3 5 2" xfId="27445" xr:uid="{00000000-0005-0000-0000-0000FB6B0000}"/>
    <cellStyle name="Standard 4 4 4 3 5 2 2" xfId="27446" xr:uid="{00000000-0005-0000-0000-0000FC6B0000}"/>
    <cellStyle name="Standard 4 4 4 3 5 2 3" xfId="27447" xr:uid="{00000000-0005-0000-0000-0000FD6B0000}"/>
    <cellStyle name="Standard 4 4 4 3 5 3" xfId="27448" xr:uid="{00000000-0005-0000-0000-0000FE6B0000}"/>
    <cellStyle name="Standard 4 4 4 3 5 3 2" xfId="27449" xr:uid="{00000000-0005-0000-0000-0000FF6B0000}"/>
    <cellStyle name="Standard 4 4 4 3 5 3 3" xfId="27450" xr:uid="{00000000-0005-0000-0000-0000006C0000}"/>
    <cellStyle name="Standard 4 4 4 3 5 4" xfId="27451" xr:uid="{00000000-0005-0000-0000-0000016C0000}"/>
    <cellStyle name="Standard 4 4 4 3 5 4 2" xfId="27452" xr:uid="{00000000-0005-0000-0000-0000026C0000}"/>
    <cellStyle name="Standard 4 4 4 3 5 5" xfId="27453" xr:uid="{00000000-0005-0000-0000-0000036C0000}"/>
    <cellStyle name="Standard 4 4 4 3 5 6" xfId="27454" xr:uid="{00000000-0005-0000-0000-0000046C0000}"/>
    <cellStyle name="Standard 4 4 4 3 6" xfId="27455" xr:uid="{00000000-0005-0000-0000-0000056C0000}"/>
    <cellStyle name="Standard 4 4 4 3 6 2" xfId="27456" xr:uid="{00000000-0005-0000-0000-0000066C0000}"/>
    <cellStyle name="Standard 4 4 4 3 6 3" xfId="27457" xr:uid="{00000000-0005-0000-0000-0000076C0000}"/>
    <cellStyle name="Standard 4 4 4 3 7" xfId="27458" xr:uid="{00000000-0005-0000-0000-0000086C0000}"/>
    <cellStyle name="Standard 4 4 4 3 7 2" xfId="27459" xr:uid="{00000000-0005-0000-0000-0000096C0000}"/>
    <cellStyle name="Standard 4 4 4 3 7 3" xfId="27460" xr:uid="{00000000-0005-0000-0000-00000A6C0000}"/>
    <cellStyle name="Standard 4 4 4 3 8" xfId="27461" xr:uid="{00000000-0005-0000-0000-00000B6C0000}"/>
    <cellStyle name="Standard 4 4 4 3 8 2" xfId="27462" xr:uid="{00000000-0005-0000-0000-00000C6C0000}"/>
    <cellStyle name="Standard 4 4 4 3 9" xfId="27463" xr:uid="{00000000-0005-0000-0000-00000D6C0000}"/>
    <cellStyle name="Standard 4 4 4 4" xfId="27464" xr:uid="{00000000-0005-0000-0000-00000E6C0000}"/>
    <cellStyle name="Standard 4 4 4 4 2" xfId="27465" xr:uid="{00000000-0005-0000-0000-00000F6C0000}"/>
    <cellStyle name="Standard 4 4 4 4 2 2" xfId="27466" xr:uid="{00000000-0005-0000-0000-0000106C0000}"/>
    <cellStyle name="Standard 4 4 4 4 2 2 2" xfId="27467" xr:uid="{00000000-0005-0000-0000-0000116C0000}"/>
    <cellStyle name="Standard 4 4 4 4 2 2 2 2" xfId="27468" xr:uid="{00000000-0005-0000-0000-0000126C0000}"/>
    <cellStyle name="Standard 4 4 4 4 2 2 2 3" xfId="27469" xr:uid="{00000000-0005-0000-0000-0000136C0000}"/>
    <cellStyle name="Standard 4 4 4 4 2 2 3" xfId="27470" xr:uid="{00000000-0005-0000-0000-0000146C0000}"/>
    <cellStyle name="Standard 4 4 4 4 2 2 3 2" xfId="27471" xr:uid="{00000000-0005-0000-0000-0000156C0000}"/>
    <cellStyle name="Standard 4 4 4 4 2 2 3 3" xfId="27472" xr:uid="{00000000-0005-0000-0000-0000166C0000}"/>
    <cellStyle name="Standard 4 4 4 4 2 2 4" xfId="27473" xr:uid="{00000000-0005-0000-0000-0000176C0000}"/>
    <cellStyle name="Standard 4 4 4 4 2 2 4 2" xfId="27474" xr:uid="{00000000-0005-0000-0000-0000186C0000}"/>
    <cellStyle name="Standard 4 4 4 4 2 2 5" xfId="27475" xr:uid="{00000000-0005-0000-0000-0000196C0000}"/>
    <cellStyle name="Standard 4 4 4 4 2 2 6" xfId="27476" xr:uid="{00000000-0005-0000-0000-00001A6C0000}"/>
    <cellStyle name="Standard 4 4 4 4 2 3" xfId="27477" xr:uid="{00000000-0005-0000-0000-00001B6C0000}"/>
    <cellStyle name="Standard 4 4 4 4 2 3 2" xfId="27478" xr:uid="{00000000-0005-0000-0000-00001C6C0000}"/>
    <cellStyle name="Standard 4 4 4 4 2 3 3" xfId="27479" xr:uid="{00000000-0005-0000-0000-00001D6C0000}"/>
    <cellStyle name="Standard 4 4 4 4 2 4" xfId="27480" xr:uid="{00000000-0005-0000-0000-00001E6C0000}"/>
    <cellStyle name="Standard 4 4 4 4 2 4 2" xfId="27481" xr:uid="{00000000-0005-0000-0000-00001F6C0000}"/>
    <cellStyle name="Standard 4 4 4 4 2 4 3" xfId="27482" xr:uid="{00000000-0005-0000-0000-0000206C0000}"/>
    <cellStyle name="Standard 4 4 4 4 2 5" xfId="27483" xr:uid="{00000000-0005-0000-0000-0000216C0000}"/>
    <cellStyle name="Standard 4 4 4 4 2 5 2" xfId="27484" xr:uid="{00000000-0005-0000-0000-0000226C0000}"/>
    <cellStyle name="Standard 4 4 4 4 2 6" xfId="27485" xr:uid="{00000000-0005-0000-0000-0000236C0000}"/>
    <cellStyle name="Standard 4 4 4 4 2 7" xfId="27486" xr:uid="{00000000-0005-0000-0000-0000246C0000}"/>
    <cellStyle name="Standard 4 4 4 4 3" xfId="27487" xr:uid="{00000000-0005-0000-0000-0000256C0000}"/>
    <cellStyle name="Standard 4 4 4 4 3 2" xfId="27488" xr:uid="{00000000-0005-0000-0000-0000266C0000}"/>
    <cellStyle name="Standard 4 4 4 4 3 2 2" xfId="27489" xr:uid="{00000000-0005-0000-0000-0000276C0000}"/>
    <cellStyle name="Standard 4 4 4 4 3 2 3" xfId="27490" xr:uid="{00000000-0005-0000-0000-0000286C0000}"/>
    <cellStyle name="Standard 4 4 4 4 3 3" xfId="27491" xr:uid="{00000000-0005-0000-0000-0000296C0000}"/>
    <cellStyle name="Standard 4 4 4 4 3 3 2" xfId="27492" xr:uid="{00000000-0005-0000-0000-00002A6C0000}"/>
    <cellStyle name="Standard 4 4 4 4 3 3 3" xfId="27493" xr:uid="{00000000-0005-0000-0000-00002B6C0000}"/>
    <cellStyle name="Standard 4 4 4 4 3 4" xfId="27494" xr:uid="{00000000-0005-0000-0000-00002C6C0000}"/>
    <cellStyle name="Standard 4 4 4 4 3 4 2" xfId="27495" xr:uid="{00000000-0005-0000-0000-00002D6C0000}"/>
    <cellStyle name="Standard 4 4 4 4 3 5" xfId="27496" xr:uid="{00000000-0005-0000-0000-00002E6C0000}"/>
    <cellStyle name="Standard 4 4 4 4 3 6" xfId="27497" xr:uid="{00000000-0005-0000-0000-00002F6C0000}"/>
    <cellStyle name="Standard 4 4 4 4 4" xfId="27498" xr:uid="{00000000-0005-0000-0000-0000306C0000}"/>
    <cellStyle name="Standard 4 4 4 4 4 2" xfId="27499" xr:uid="{00000000-0005-0000-0000-0000316C0000}"/>
    <cellStyle name="Standard 4 4 4 4 4 3" xfId="27500" xr:uid="{00000000-0005-0000-0000-0000326C0000}"/>
    <cellStyle name="Standard 4 4 4 4 5" xfId="27501" xr:uid="{00000000-0005-0000-0000-0000336C0000}"/>
    <cellStyle name="Standard 4 4 4 4 5 2" xfId="27502" xr:uid="{00000000-0005-0000-0000-0000346C0000}"/>
    <cellStyle name="Standard 4 4 4 4 5 3" xfId="27503" xr:uid="{00000000-0005-0000-0000-0000356C0000}"/>
    <cellStyle name="Standard 4 4 4 4 6" xfId="27504" xr:uid="{00000000-0005-0000-0000-0000366C0000}"/>
    <cellStyle name="Standard 4 4 4 4 6 2" xfId="27505" xr:uid="{00000000-0005-0000-0000-0000376C0000}"/>
    <cellStyle name="Standard 4 4 4 4 7" xfId="27506" xr:uid="{00000000-0005-0000-0000-0000386C0000}"/>
    <cellStyle name="Standard 4 4 4 4 8" xfId="27507" xr:uid="{00000000-0005-0000-0000-0000396C0000}"/>
    <cellStyle name="Standard 4 4 4 5" xfId="27508" xr:uid="{00000000-0005-0000-0000-00003A6C0000}"/>
    <cellStyle name="Standard 4 4 4 5 2" xfId="27509" xr:uid="{00000000-0005-0000-0000-00003B6C0000}"/>
    <cellStyle name="Standard 4 4 4 5 2 2" xfId="27510" xr:uid="{00000000-0005-0000-0000-00003C6C0000}"/>
    <cellStyle name="Standard 4 4 4 5 2 2 2" xfId="27511" xr:uid="{00000000-0005-0000-0000-00003D6C0000}"/>
    <cellStyle name="Standard 4 4 4 5 2 2 2 2" xfId="27512" xr:uid="{00000000-0005-0000-0000-00003E6C0000}"/>
    <cellStyle name="Standard 4 4 4 5 2 2 2 3" xfId="27513" xr:uid="{00000000-0005-0000-0000-00003F6C0000}"/>
    <cellStyle name="Standard 4 4 4 5 2 2 3" xfId="27514" xr:uid="{00000000-0005-0000-0000-0000406C0000}"/>
    <cellStyle name="Standard 4 4 4 5 2 2 3 2" xfId="27515" xr:uid="{00000000-0005-0000-0000-0000416C0000}"/>
    <cellStyle name="Standard 4 4 4 5 2 2 3 3" xfId="27516" xr:uid="{00000000-0005-0000-0000-0000426C0000}"/>
    <cellStyle name="Standard 4 4 4 5 2 2 4" xfId="27517" xr:uid="{00000000-0005-0000-0000-0000436C0000}"/>
    <cellStyle name="Standard 4 4 4 5 2 2 4 2" xfId="27518" xr:uid="{00000000-0005-0000-0000-0000446C0000}"/>
    <cellStyle name="Standard 4 4 4 5 2 2 5" xfId="27519" xr:uid="{00000000-0005-0000-0000-0000456C0000}"/>
    <cellStyle name="Standard 4 4 4 5 2 2 6" xfId="27520" xr:uid="{00000000-0005-0000-0000-0000466C0000}"/>
    <cellStyle name="Standard 4 4 4 5 2 3" xfId="27521" xr:uid="{00000000-0005-0000-0000-0000476C0000}"/>
    <cellStyle name="Standard 4 4 4 5 2 3 2" xfId="27522" xr:uid="{00000000-0005-0000-0000-0000486C0000}"/>
    <cellStyle name="Standard 4 4 4 5 2 3 3" xfId="27523" xr:uid="{00000000-0005-0000-0000-0000496C0000}"/>
    <cellStyle name="Standard 4 4 4 5 2 4" xfId="27524" xr:uid="{00000000-0005-0000-0000-00004A6C0000}"/>
    <cellStyle name="Standard 4 4 4 5 2 4 2" xfId="27525" xr:uid="{00000000-0005-0000-0000-00004B6C0000}"/>
    <cellStyle name="Standard 4 4 4 5 2 4 3" xfId="27526" xr:uid="{00000000-0005-0000-0000-00004C6C0000}"/>
    <cellStyle name="Standard 4 4 4 5 2 5" xfId="27527" xr:uid="{00000000-0005-0000-0000-00004D6C0000}"/>
    <cellStyle name="Standard 4 4 4 5 2 5 2" xfId="27528" xr:uid="{00000000-0005-0000-0000-00004E6C0000}"/>
    <cellStyle name="Standard 4 4 4 5 2 6" xfId="27529" xr:uid="{00000000-0005-0000-0000-00004F6C0000}"/>
    <cellStyle name="Standard 4 4 4 5 2 7" xfId="27530" xr:uid="{00000000-0005-0000-0000-0000506C0000}"/>
    <cellStyle name="Standard 4 4 4 5 3" xfId="27531" xr:uid="{00000000-0005-0000-0000-0000516C0000}"/>
    <cellStyle name="Standard 4 4 4 5 3 2" xfId="27532" xr:uid="{00000000-0005-0000-0000-0000526C0000}"/>
    <cellStyle name="Standard 4 4 4 5 3 2 2" xfId="27533" xr:uid="{00000000-0005-0000-0000-0000536C0000}"/>
    <cellStyle name="Standard 4 4 4 5 3 2 3" xfId="27534" xr:uid="{00000000-0005-0000-0000-0000546C0000}"/>
    <cellStyle name="Standard 4 4 4 5 3 3" xfId="27535" xr:uid="{00000000-0005-0000-0000-0000556C0000}"/>
    <cellStyle name="Standard 4 4 4 5 3 3 2" xfId="27536" xr:uid="{00000000-0005-0000-0000-0000566C0000}"/>
    <cellStyle name="Standard 4 4 4 5 3 3 3" xfId="27537" xr:uid="{00000000-0005-0000-0000-0000576C0000}"/>
    <cellStyle name="Standard 4 4 4 5 3 4" xfId="27538" xr:uid="{00000000-0005-0000-0000-0000586C0000}"/>
    <cellStyle name="Standard 4 4 4 5 3 4 2" xfId="27539" xr:uid="{00000000-0005-0000-0000-0000596C0000}"/>
    <cellStyle name="Standard 4 4 4 5 3 5" xfId="27540" xr:uid="{00000000-0005-0000-0000-00005A6C0000}"/>
    <cellStyle name="Standard 4 4 4 5 3 6" xfId="27541" xr:uid="{00000000-0005-0000-0000-00005B6C0000}"/>
    <cellStyle name="Standard 4 4 4 5 4" xfId="27542" xr:uid="{00000000-0005-0000-0000-00005C6C0000}"/>
    <cellStyle name="Standard 4 4 4 5 4 2" xfId="27543" xr:uid="{00000000-0005-0000-0000-00005D6C0000}"/>
    <cellStyle name="Standard 4 4 4 5 4 3" xfId="27544" xr:uid="{00000000-0005-0000-0000-00005E6C0000}"/>
    <cellStyle name="Standard 4 4 4 5 5" xfId="27545" xr:uid="{00000000-0005-0000-0000-00005F6C0000}"/>
    <cellStyle name="Standard 4 4 4 5 5 2" xfId="27546" xr:uid="{00000000-0005-0000-0000-0000606C0000}"/>
    <cellStyle name="Standard 4 4 4 5 5 3" xfId="27547" xr:uid="{00000000-0005-0000-0000-0000616C0000}"/>
    <cellStyle name="Standard 4 4 4 5 6" xfId="27548" xr:uid="{00000000-0005-0000-0000-0000626C0000}"/>
    <cellStyle name="Standard 4 4 4 5 6 2" xfId="27549" xr:uid="{00000000-0005-0000-0000-0000636C0000}"/>
    <cellStyle name="Standard 4 4 4 5 7" xfId="27550" xr:uid="{00000000-0005-0000-0000-0000646C0000}"/>
    <cellStyle name="Standard 4 4 4 5 8" xfId="27551" xr:uid="{00000000-0005-0000-0000-0000656C0000}"/>
    <cellStyle name="Standard 4 4 4 6" xfId="27552" xr:uid="{00000000-0005-0000-0000-0000666C0000}"/>
    <cellStyle name="Standard 4 4 4 6 2" xfId="27553" xr:uid="{00000000-0005-0000-0000-0000676C0000}"/>
    <cellStyle name="Standard 4 4 4 6 2 2" xfId="27554" xr:uid="{00000000-0005-0000-0000-0000686C0000}"/>
    <cellStyle name="Standard 4 4 4 6 2 2 2" xfId="27555" xr:uid="{00000000-0005-0000-0000-0000696C0000}"/>
    <cellStyle name="Standard 4 4 4 6 2 2 3" xfId="27556" xr:uid="{00000000-0005-0000-0000-00006A6C0000}"/>
    <cellStyle name="Standard 4 4 4 6 2 3" xfId="27557" xr:uid="{00000000-0005-0000-0000-00006B6C0000}"/>
    <cellStyle name="Standard 4 4 4 6 2 3 2" xfId="27558" xr:uid="{00000000-0005-0000-0000-00006C6C0000}"/>
    <cellStyle name="Standard 4 4 4 6 2 3 3" xfId="27559" xr:uid="{00000000-0005-0000-0000-00006D6C0000}"/>
    <cellStyle name="Standard 4 4 4 6 2 4" xfId="27560" xr:uid="{00000000-0005-0000-0000-00006E6C0000}"/>
    <cellStyle name="Standard 4 4 4 6 2 4 2" xfId="27561" xr:uid="{00000000-0005-0000-0000-00006F6C0000}"/>
    <cellStyle name="Standard 4 4 4 6 2 5" xfId="27562" xr:uid="{00000000-0005-0000-0000-0000706C0000}"/>
    <cellStyle name="Standard 4 4 4 6 2 6" xfId="27563" xr:uid="{00000000-0005-0000-0000-0000716C0000}"/>
    <cellStyle name="Standard 4 4 4 6 3" xfId="27564" xr:uid="{00000000-0005-0000-0000-0000726C0000}"/>
    <cellStyle name="Standard 4 4 4 6 3 2" xfId="27565" xr:uid="{00000000-0005-0000-0000-0000736C0000}"/>
    <cellStyle name="Standard 4 4 4 6 3 3" xfId="27566" xr:uid="{00000000-0005-0000-0000-0000746C0000}"/>
    <cellStyle name="Standard 4 4 4 6 4" xfId="27567" xr:uid="{00000000-0005-0000-0000-0000756C0000}"/>
    <cellStyle name="Standard 4 4 4 6 4 2" xfId="27568" xr:uid="{00000000-0005-0000-0000-0000766C0000}"/>
    <cellStyle name="Standard 4 4 4 6 4 3" xfId="27569" xr:uid="{00000000-0005-0000-0000-0000776C0000}"/>
    <cellStyle name="Standard 4 4 4 6 5" xfId="27570" xr:uid="{00000000-0005-0000-0000-0000786C0000}"/>
    <cellStyle name="Standard 4 4 4 6 5 2" xfId="27571" xr:uid="{00000000-0005-0000-0000-0000796C0000}"/>
    <cellStyle name="Standard 4 4 4 6 6" xfId="27572" xr:uid="{00000000-0005-0000-0000-00007A6C0000}"/>
    <cellStyle name="Standard 4 4 4 6 7" xfId="27573" xr:uid="{00000000-0005-0000-0000-00007B6C0000}"/>
    <cellStyle name="Standard 4 4 4 7" xfId="27574" xr:uid="{00000000-0005-0000-0000-00007C6C0000}"/>
    <cellStyle name="Standard 4 4 4 7 2" xfId="27575" xr:uid="{00000000-0005-0000-0000-00007D6C0000}"/>
    <cellStyle name="Standard 4 4 4 7 2 2" xfId="27576" xr:uid="{00000000-0005-0000-0000-00007E6C0000}"/>
    <cellStyle name="Standard 4 4 4 7 2 3" xfId="27577" xr:uid="{00000000-0005-0000-0000-00007F6C0000}"/>
    <cellStyle name="Standard 4 4 4 7 3" xfId="27578" xr:uid="{00000000-0005-0000-0000-0000806C0000}"/>
    <cellStyle name="Standard 4 4 4 7 3 2" xfId="27579" xr:uid="{00000000-0005-0000-0000-0000816C0000}"/>
    <cellStyle name="Standard 4 4 4 7 3 3" xfId="27580" xr:uid="{00000000-0005-0000-0000-0000826C0000}"/>
    <cellStyle name="Standard 4 4 4 7 4" xfId="27581" xr:uid="{00000000-0005-0000-0000-0000836C0000}"/>
    <cellStyle name="Standard 4 4 4 7 4 2" xfId="27582" xr:uid="{00000000-0005-0000-0000-0000846C0000}"/>
    <cellStyle name="Standard 4 4 4 7 5" xfId="27583" xr:uid="{00000000-0005-0000-0000-0000856C0000}"/>
    <cellStyle name="Standard 4 4 4 7 6" xfId="27584" xr:uid="{00000000-0005-0000-0000-0000866C0000}"/>
    <cellStyle name="Standard 4 4 4 8" xfId="27585" xr:uid="{00000000-0005-0000-0000-0000876C0000}"/>
    <cellStyle name="Standard 4 4 4 8 2" xfId="27586" xr:uid="{00000000-0005-0000-0000-0000886C0000}"/>
    <cellStyle name="Standard 4 4 4 8 3" xfId="27587" xr:uid="{00000000-0005-0000-0000-0000896C0000}"/>
    <cellStyle name="Standard 4 4 4 9" xfId="27588" xr:uid="{00000000-0005-0000-0000-00008A6C0000}"/>
    <cellStyle name="Standard 4 4 4 9 2" xfId="27589" xr:uid="{00000000-0005-0000-0000-00008B6C0000}"/>
    <cellStyle name="Standard 4 4 4 9 3" xfId="27590" xr:uid="{00000000-0005-0000-0000-00008C6C0000}"/>
    <cellStyle name="Standard 4 4 5" xfId="27591" xr:uid="{00000000-0005-0000-0000-00008D6C0000}"/>
    <cellStyle name="Standard 4 4 5 10" xfId="27592" xr:uid="{00000000-0005-0000-0000-00008E6C0000}"/>
    <cellStyle name="Standard 4 4 5 11" xfId="27593" xr:uid="{00000000-0005-0000-0000-00008F6C0000}"/>
    <cellStyle name="Standard 4 4 5 2" xfId="27594" xr:uid="{00000000-0005-0000-0000-0000906C0000}"/>
    <cellStyle name="Standard 4 4 5 2 10" xfId="27595" xr:uid="{00000000-0005-0000-0000-0000916C0000}"/>
    <cellStyle name="Standard 4 4 5 2 2" xfId="27596" xr:uid="{00000000-0005-0000-0000-0000926C0000}"/>
    <cellStyle name="Standard 4 4 5 2 2 2" xfId="27597" xr:uid="{00000000-0005-0000-0000-0000936C0000}"/>
    <cellStyle name="Standard 4 4 5 2 2 2 2" xfId="27598" xr:uid="{00000000-0005-0000-0000-0000946C0000}"/>
    <cellStyle name="Standard 4 4 5 2 2 2 2 2" xfId="27599" xr:uid="{00000000-0005-0000-0000-0000956C0000}"/>
    <cellStyle name="Standard 4 4 5 2 2 2 2 2 2" xfId="27600" xr:uid="{00000000-0005-0000-0000-0000966C0000}"/>
    <cellStyle name="Standard 4 4 5 2 2 2 2 2 3" xfId="27601" xr:uid="{00000000-0005-0000-0000-0000976C0000}"/>
    <cellStyle name="Standard 4 4 5 2 2 2 2 3" xfId="27602" xr:uid="{00000000-0005-0000-0000-0000986C0000}"/>
    <cellStyle name="Standard 4 4 5 2 2 2 2 3 2" xfId="27603" xr:uid="{00000000-0005-0000-0000-0000996C0000}"/>
    <cellStyle name="Standard 4 4 5 2 2 2 2 3 3" xfId="27604" xr:uid="{00000000-0005-0000-0000-00009A6C0000}"/>
    <cellStyle name="Standard 4 4 5 2 2 2 2 4" xfId="27605" xr:uid="{00000000-0005-0000-0000-00009B6C0000}"/>
    <cellStyle name="Standard 4 4 5 2 2 2 2 4 2" xfId="27606" xr:uid="{00000000-0005-0000-0000-00009C6C0000}"/>
    <cellStyle name="Standard 4 4 5 2 2 2 2 5" xfId="27607" xr:uid="{00000000-0005-0000-0000-00009D6C0000}"/>
    <cellStyle name="Standard 4 4 5 2 2 2 2 6" xfId="27608" xr:uid="{00000000-0005-0000-0000-00009E6C0000}"/>
    <cellStyle name="Standard 4 4 5 2 2 2 3" xfId="27609" xr:uid="{00000000-0005-0000-0000-00009F6C0000}"/>
    <cellStyle name="Standard 4 4 5 2 2 2 3 2" xfId="27610" xr:uid="{00000000-0005-0000-0000-0000A06C0000}"/>
    <cellStyle name="Standard 4 4 5 2 2 2 3 3" xfId="27611" xr:uid="{00000000-0005-0000-0000-0000A16C0000}"/>
    <cellStyle name="Standard 4 4 5 2 2 2 4" xfId="27612" xr:uid="{00000000-0005-0000-0000-0000A26C0000}"/>
    <cellStyle name="Standard 4 4 5 2 2 2 4 2" xfId="27613" xr:uid="{00000000-0005-0000-0000-0000A36C0000}"/>
    <cellStyle name="Standard 4 4 5 2 2 2 4 3" xfId="27614" xr:uid="{00000000-0005-0000-0000-0000A46C0000}"/>
    <cellStyle name="Standard 4 4 5 2 2 2 5" xfId="27615" xr:uid="{00000000-0005-0000-0000-0000A56C0000}"/>
    <cellStyle name="Standard 4 4 5 2 2 2 5 2" xfId="27616" xr:uid="{00000000-0005-0000-0000-0000A66C0000}"/>
    <cellStyle name="Standard 4 4 5 2 2 2 6" xfId="27617" xr:uid="{00000000-0005-0000-0000-0000A76C0000}"/>
    <cellStyle name="Standard 4 4 5 2 2 2 7" xfId="27618" xr:uid="{00000000-0005-0000-0000-0000A86C0000}"/>
    <cellStyle name="Standard 4 4 5 2 2 3" xfId="27619" xr:uid="{00000000-0005-0000-0000-0000A96C0000}"/>
    <cellStyle name="Standard 4 4 5 2 2 3 2" xfId="27620" xr:uid="{00000000-0005-0000-0000-0000AA6C0000}"/>
    <cellStyle name="Standard 4 4 5 2 2 3 2 2" xfId="27621" xr:uid="{00000000-0005-0000-0000-0000AB6C0000}"/>
    <cellStyle name="Standard 4 4 5 2 2 3 2 3" xfId="27622" xr:uid="{00000000-0005-0000-0000-0000AC6C0000}"/>
    <cellStyle name="Standard 4 4 5 2 2 3 3" xfId="27623" xr:uid="{00000000-0005-0000-0000-0000AD6C0000}"/>
    <cellStyle name="Standard 4 4 5 2 2 3 3 2" xfId="27624" xr:uid="{00000000-0005-0000-0000-0000AE6C0000}"/>
    <cellStyle name="Standard 4 4 5 2 2 3 3 3" xfId="27625" xr:uid="{00000000-0005-0000-0000-0000AF6C0000}"/>
    <cellStyle name="Standard 4 4 5 2 2 3 4" xfId="27626" xr:uid="{00000000-0005-0000-0000-0000B06C0000}"/>
    <cellStyle name="Standard 4 4 5 2 2 3 4 2" xfId="27627" xr:uid="{00000000-0005-0000-0000-0000B16C0000}"/>
    <cellStyle name="Standard 4 4 5 2 2 3 5" xfId="27628" xr:uid="{00000000-0005-0000-0000-0000B26C0000}"/>
    <cellStyle name="Standard 4 4 5 2 2 3 6" xfId="27629" xr:uid="{00000000-0005-0000-0000-0000B36C0000}"/>
    <cellStyle name="Standard 4 4 5 2 2 4" xfId="27630" xr:uid="{00000000-0005-0000-0000-0000B46C0000}"/>
    <cellStyle name="Standard 4 4 5 2 2 4 2" xfId="27631" xr:uid="{00000000-0005-0000-0000-0000B56C0000}"/>
    <cellStyle name="Standard 4 4 5 2 2 4 3" xfId="27632" xr:uid="{00000000-0005-0000-0000-0000B66C0000}"/>
    <cellStyle name="Standard 4 4 5 2 2 5" xfId="27633" xr:uid="{00000000-0005-0000-0000-0000B76C0000}"/>
    <cellStyle name="Standard 4 4 5 2 2 5 2" xfId="27634" xr:uid="{00000000-0005-0000-0000-0000B86C0000}"/>
    <cellStyle name="Standard 4 4 5 2 2 5 3" xfId="27635" xr:uid="{00000000-0005-0000-0000-0000B96C0000}"/>
    <cellStyle name="Standard 4 4 5 2 2 6" xfId="27636" xr:uid="{00000000-0005-0000-0000-0000BA6C0000}"/>
    <cellStyle name="Standard 4 4 5 2 2 6 2" xfId="27637" xr:uid="{00000000-0005-0000-0000-0000BB6C0000}"/>
    <cellStyle name="Standard 4 4 5 2 2 7" xfId="27638" xr:uid="{00000000-0005-0000-0000-0000BC6C0000}"/>
    <cellStyle name="Standard 4 4 5 2 2 8" xfId="27639" xr:uid="{00000000-0005-0000-0000-0000BD6C0000}"/>
    <cellStyle name="Standard 4 4 5 2 3" xfId="27640" xr:uid="{00000000-0005-0000-0000-0000BE6C0000}"/>
    <cellStyle name="Standard 4 4 5 2 3 2" xfId="27641" xr:uid="{00000000-0005-0000-0000-0000BF6C0000}"/>
    <cellStyle name="Standard 4 4 5 2 3 2 2" xfId="27642" xr:uid="{00000000-0005-0000-0000-0000C06C0000}"/>
    <cellStyle name="Standard 4 4 5 2 3 2 2 2" xfId="27643" xr:uid="{00000000-0005-0000-0000-0000C16C0000}"/>
    <cellStyle name="Standard 4 4 5 2 3 2 2 2 2" xfId="27644" xr:uid="{00000000-0005-0000-0000-0000C26C0000}"/>
    <cellStyle name="Standard 4 4 5 2 3 2 2 2 3" xfId="27645" xr:uid="{00000000-0005-0000-0000-0000C36C0000}"/>
    <cellStyle name="Standard 4 4 5 2 3 2 2 3" xfId="27646" xr:uid="{00000000-0005-0000-0000-0000C46C0000}"/>
    <cellStyle name="Standard 4 4 5 2 3 2 2 3 2" xfId="27647" xr:uid="{00000000-0005-0000-0000-0000C56C0000}"/>
    <cellStyle name="Standard 4 4 5 2 3 2 2 3 3" xfId="27648" xr:uid="{00000000-0005-0000-0000-0000C66C0000}"/>
    <cellStyle name="Standard 4 4 5 2 3 2 2 4" xfId="27649" xr:uid="{00000000-0005-0000-0000-0000C76C0000}"/>
    <cellStyle name="Standard 4 4 5 2 3 2 2 4 2" xfId="27650" xr:uid="{00000000-0005-0000-0000-0000C86C0000}"/>
    <cellStyle name="Standard 4 4 5 2 3 2 2 5" xfId="27651" xr:uid="{00000000-0005-0000-0000-0000C96C0000}"/>
    <cellStyle name="Standard 4 4 5 2 3 2 2 6" xfId="27652" xr:uid="{00000000-0005-0000-0000-0000CA6C0000}"/>
    <cellStyle name="Standard 4 4 5 2 3 2 3" xfId="27653" xr:uid="{00000000-0005-0000-0000-0000CB6C0000}"/>
    <cellStyle name="Standard 4 4 5 2 3 2 3 2" xfId="27654" xr:uid="{00000000-0005-0000-0000-0000CC6C0000}"/>
    <cellStyle name="Standard 4 4 5 2 3 2 3 3" xfId="27655" xr:uid="{00000000-0005-0000-0000-0000CD6C0000}"/>
    <cellStyle name="Standard 4 4 5 2 3 2 4" xfId="27656" xr:uid="{00000000-0005-0000-0000-0000CE6C0000}"/>
    <cellStyle name="Standard 4 4 5 2 3 2 4 2" xfId="27657" xr:uid="{00000000-0005-0000-0000-0000CF6C0000}"/>
    <cellStyle name="Standard 4 4 5 2 3 2 4 3" xfId="27658" xr:uid="{00000000-0005-0000-0000-0000D06C0000}"/>
    <cellStyle name="Standard 4 4 5 2 3 2 5" xfId="27659" xr:uid="{00000000-0005-0000-0000-0000D16C0000}"/>
    <cellStyle name="Standard 4 4 5 2 3 2 5 2" xfId="27660" xr:uid="{00000000-0005-0000-0000-0000D26C0000}"/>
    <cellStyle name="Standard 4 4 5 2 3 2 6" xfId="27661" xr:uid="{00000000-0005-0000-0000-0000D36C0000}"/>
    <cellStyle name="Standard 4 4 5 2 3 2 7" xfId="27662" xr:uid="{00000000-0005-0000-0000-0000D46C0000}"/>
    <cellStyle name="Standard 4 4 5 2 3 3" xfId="27663" xr:uid="{00000000-0005-0000-0000-0000D56C0000}"/>
    <cellStyle name="Standard 4 4 5 2 3 3 2" xfId="27664" xr:uid="{00000000-0005-0000-0000-0000D66C0000}"/>
    <cellStyle name="Standard 4 4 5 2 3 3 2 2" xfId="27665" xr:uid="{00000000-0005-0000-0000-0000D76C0000}"/>
    <cellStyle name="Standard 4 4 5 2 3 3 2 3" xfId="27666" xr:uid="{00000000-0005-0000-0000-0000D86C0000}"/>
    <cellStyle name="Standard 4 4 5 2 3 3 3" xfId="27667" xr:uid="{00000000-0005-0000-0000-0000D96C0000}"/>
    <cellStyle name="Standard 4 4 5 2 3 3 3 2" xfId="27668" xr:uid="{00000000-0005-0000-0000-0000DA6C0000}"/>
    <cellStyle name="Standard 4 4 5 2 3 3 3 3" xfId="27669" xr:uid="{00000000-0005-0000-0000-0000DB6C0000}"/>
    <cellStyle name="Standard 4 4 5 2 3 3 4" xfId="27670" xr:uid="{00000000-0005-0000-0000-0000DC6C0000}"/>
    <cellStyle name="Standard 4 4 5 2 3 3 4 2" xfId="27671" xr:uid="{00000000-0005-0000-0000-0000DD6C0000}"/>
    <cellStyle name="Standard 4 4 5 2 3 3 5" xfId="27672" xr:uid="{00000000-0005-0000-0000-0000DE6C0000}"/>
    <cellStyle name="Standard 4 4 5 2 3 3 6" xfId="27673" xr:uid="{00000000-0005-0000-0000-0000DF6C0000}"/>
    <cellStyle name="Standard 4 4 5 2 3 4" xfId="27674" xr:uid="{00000000-0005-0000-0000-0000E06C0000}"/>
    <cellStyle name="Standard 4 4 5 2 3 4 2" xfId="27675" xr:uid="{00000000-0005-0000-0000-0000E16C0000}"/>
    <cellStyle name="Standard 4 4 5 2 3 4 3" xfId="27676" xr:uid="{00000000-0005-0000-0000-0000E26C0000}"/>
    <cellStyle name="Standard 4 4 5 2 3 5" xfId="27677" xr:uid="{00000000-0005-0000-0000-0000E36C0000}"/>
    <cellStyle name="Standard 4 4 5 2 3 5 2" xfId="27678" xr:uid="{00000000-0005-0000-0000-0000E46C0000}"/>
    <cellStyle name="Standard 4 4 5 2 3 5 3" xfId="27679" xr:uid="{00000000-0005-0000-0000-0000E56C0000}"/>
    <cellStyle name="Standard 4 4 5 2 3 6" xfId="27680" xr:uid="{00000000-0005-0000-0000-0000E66C0000}"/>
    <cellStyle name="Standard 4 4 5 2 3 6 2" xfId="27681" xr:uid="{00000000-0005-0000-0000-0000E76C0000}"/>
    <cellStyle name="Standard 4 4 5 2 3 7" xfId="27682" xr:uid="{00000000-0005-0000-0000-0000E86C0000}"/>
    <cellStyle name="Standard 4 4 5 2 3 8" xfId="27683" xr:uid="{00000000-0005-0000-0000-0000E96C0000}"/>
    <cellStyle name="Standard 4 4 5 2 4" xfId="27684" xr:uid="{00000000-0005-0000-0000-0000EA6C0000}"/>
    <cellStyle name="Standard 4 4 5 2 4 2" xfId="27685" xr:uid="{00000000-0005-0000-0000-0000EB6C0000}"/>
    <cellStyle name="Standard 4 4 5 2 4 2 2" xfId="27686" xr:uid="{00000000-0005-0000-0000-0000EC6C0000}"/>
    <cellStyle name="Standard 4 4 5 2 4 2 2 2" xfId="27687" xr:uid="{00000000-0005-0000-0000-0000ED6C0000}"/>
    <cellStyle name="Standard 4 4 5 2 4 2 2 3" xfId="27688" xr:uid="{00000000-0005-0000-0000-0000EE6C0000}"/>
    <cellStyle name="Standard 4 4 5 2 4 2 3" xfId="27689" xr:uid="{00000000-0005-0000-0000-0000EF6C0000}"/>
    <cellStyle name="Standard 4 4 5 2 4 2 3 2" xfId="27690" xr:uid="{00000000-0005-0000-0000-0000F06C0000}"/>
    <cellStyle name="Standard 4 4 5 2 4 2 3 3" xfId="27691" xr:uid="{00000000-0005-0000-0000-0000F16C0000}"/>
    <cellStyle name="Standard 4 4 5 2 4 2 4" xfId="27692" xr:uid="{00000000-0005-0000-0000-0000F26C0000}"/>
    <cellStyle name="Standard 4 4 5 2 4 2 4 2" xfId="27693" xr:uid="{00000000-0005-0000-0000-0000F36C0000}"/>
    <cellStyle name="Standard 4 4 5 2 4 2 5" xfId="27694" xr:uid="{00000000-0005-0000-0000-0000F46C0000}"/>
    <cellStyle name="Standard 4 4 5 2 4 2 6" xfId="27695" xr:uid="{00000000-0005-0000-0000-0000F56C0000}"/>
    <cellStyle name="Standard 4 4 5 2 4 3" xfId="27696" xr:uid="{00000000-0005-0000-0000-0000F66C0000}"/>
    <cellStyle name="Standard 4 4 5 2 4 3 2" xfId="27697" xr:uid="{00000000-0005-0000-0000-0000F76C0000}"/>
    <cellStyle name="Standard 4 4 5 2 4 3 3" xfId="27698" xr:uid="{00000000-0005-0000-0000-0000F86C0000}"/>
    <cellStyle name="Standard 4 4 5 2 4 4" xfId="27699" xr:uid="{00000000-0005-0000-0000-0000F96C0000}"/>
    <cellStyle name="Standard 4 4 5 2 4 4 2" xfId="27700" xr:uid="{00000000-0005-0000-0000-0000FA6C0000}"/>
    <cellStyle name="Standard 4 4 5 2 4 4 3" xfId="27701" xr:uid="{00000000-0005-0000-0000-0000FB6C0000}"/>
    <cellStyle name="Standard 4 4 5 2 4 5" xfId="27702" xr:uid="{00000000-0005-0000-0000-0000FC6C0000}"/>
    <cellStyle name="Standard 4 4 5 2 4 5 2" xfId="27703" xr:uid="{00000000-0005-0000-0000-0000FD6C0000}"/>
    <cellStyle name="Standard 4 4 5 2 4 6" xfId="27704" xr:uid="{00000000-0005-0000-0000-0000FE6C0000}"/>
    <cellStyle name="Standard 4 4 5 2 4 7" xfId="27705" xr:uid="{00000000-0005-0000-0000-0000FF6C0000}"/>
    <cellStyle name="Standard 4 4 5 2 5" xfId="27706" xr:uid="{00000000-0005-0000-0000-0000006D0000}"/>
    <cellStyle name="Standard 4 4 5 2 5 2" xfId="27707" xr:uid="{00000000-0005-0000-0000-0000016D0000}"/>
    <cellStyle name="Standard 4 4 5 2 5 2 2" xfId="27708" xr:uid="{00000000-0005-0000-0000-0000026D0000}"/>
    <cellStyle name="Standard 4 4 5 2 5 2 3" xfId="27709" xr:uid="{00000000-0005-0000-0000-0000036D0000}"/>
    <cellStyle name="Standard 4 4 5 2 5 3" xfId="27710" xr:uid="{00000000-0005-0000-0000-0000046D0000}"/>
    <cellStyle name="Standard 4 4 5 2 5 3 2" xfId="27711" xr:uid="{00000000-0005-0000-0000-0000056D0000}"/>
    <cellStyle name="Standard 4 4 5 2 5 3 3" xfId="27712" xr:uid="{00000000-0005-0000-0000-0000066D0000}"/>
    <cellStyle name="Standard 4 4 5 2 5 4" xfId="27713" xr:uid="{00000000-0005-0000-0000-0000076D0000}"/>
    <cellStyle name="Standard 4 4 5 2 5 4 2" xfId="27714" xr:uid="{00000000-0005-0000-0000-0000086D0000}"/>
    <cellStyle name="Standard 4 4 5 2 5 5" xfId="27715" xr:uid="{00000000-0005-0000-0000-0000096D0000}"/>
    <cellStyle name="Standard 4 4 5 2 5 6" xfId="27716" xr:uid="{00000000-0005-0000-0000-00000A6D0000}"/>
    <cellStyle name="Standard 4 4 5 2 6" xfId="27717" xr:uid="{00000000-0005-0000-0000-00000B6D0000}"/>
    <cellStyle name="Standard 4 4 5 2 6 2" xfId="27718" xr:uid="{00000000-0005-0000-0000-00000C6D0000}"/>
    <cellStyle name="Standard 4 4 5 2 6 3" xfId="27719" xr:uid="{00000000-0005-0000-0000-00000D6D0000}"/>
    <cellStyle name="Standard 4 4 5 2 7" xfId="27720" xr:uid="{00000000-0005-0000-0000-00000E6D0000}"/>
    <cellStyle name="Standard 4 4 5 2 7 2" xfId="27721" xr:uid="{00000000-0005-0000-0000-00000F6D0000}"/>
    <cellStyle name="Standard 4 4 5 2 7 3" xfId="27722" xr:uid="{00000000-0005-0000-0000-0000106D0000}"/>
    <cellStyle name="Standard 4 4 5 2 8" xfId="27723" xr:uid="{00000000-0005-0000-0000-0000116D0000}"/>
    <cellStyle name="Standard 4 4 5 2 8 2" xfId="27724" xr:uid="{00000000-0005-0000-0000-0000126D0000}"/>
    <cellStyle name="Standard 4 4 5 2 9" xfId="27725" xr:uid="{00000000-0005-0000-0000-0000136D0000}"/>
    <cellStyle name="Standard 4 4 5 3" xfId="27726" xr:uid="{00000000-0005-0000-0000-0000146D0000}"/>
    <cellStyle name="Standard 4 4 5 3 2" xfId="27727" xr:uid="{00000000-0005-0000-0000-0000156D0000}"/>
    <cellStyle name="Standard 4 4 5 3 2 2" xfId="27728" xr:uid="{00000000-0005-0000-0000-0000166D0000}"/>
    <cellStyle name="Standard 4 4 5 3 2 2 2" xfId="27729" xr:uid="{00000000-0005-0000-0000-0000176D0000}"/>
    <cellStyle name="Standard 4 4 5 3 2 2 2 2" xfId="27730" xr:uid="{00000000-0005-0000-0000-0000186D0000}"/>
    <cellStyle name="Standard 4 4 5 3 2 2 2 3" xfId="27731" xr:uid="{00000000-0005-0000-0000-0000196D0000}"/>
    <cellStyle name="Standard 4 4 5 3 2 2 3" xfId="27732" xr:uid="{00000000-0005-0000-0000-00001A6D0000}"/>
    <cellStyle name="Standard 4 4 5 3 2 2 3 2" xfId="27733" xr:uid="{00000000-0005-0000-0000-00001B6D0000}"/>
    <cellStyle name="Standard 4 4 5 3 2 2 3 3" xfId="27734" xr:uid="{00000000-0005-0000-0000-00001C6D0000}"/>
    <cellStyle name="Standard 4 4 5 3 2 2 4" xfId="27735" xr:uid="{00000000-0005-0000-0000-00001D6D0000}"/>
    <cellStyle name="Standard 4 4 5 3 2 2 4 2" xfId="27736" xr:uid="{00000000-0005-0000-0000-00001E6D0000}"/>
    <cellStyle name="Standard 4 4 5 3 2 2 5" xfId="27737" xr:uid="{00000000-0005-0000-0000-00001F6D0000}"/>
    <cellStyle name="Standard 4 4 5 3 2 2 6" xfId="27738" xr:uid="{00000000-0005-0000-0000-0000206D0000}"/>
    <cellStyle name="Standard 4 4 5 3 2 3" xfId="27739" xr:uid="{00000000-0005-0000-0000-0000216D0000}"/>
    <cellStyle name="Standard 4 4 5 3 2 3 2" xfId="27740" xr:uid="{00000000-0005-0000-0000-0000226D0000}"/>
    <cellStyle name="Standard 4 4 5 3 2 3 3" xfId="27741" xr:uid="{00000000-0005-0000-0000-0000236D0000}"/>
    <cellStyle name="Standard 4 4 5 3 2 4" xfId="27742" xr:uid="{00000000-0005-0000-0000-0000246D0000}"/>
    <cellStyle name="Standard 4 4 5 3 2 4 2" xfId="27743" xr:uid="{00000000-0005-0000-0000-0000256D0000}"/>
    <cellStyle name="Standard 4 4 5 3 2 4 3" xfId="27744" xr:uid="{00000000-0005-0000-0000-0000266D0000}"/>
    <cellStyle name="Standard 4 4 5 3 2 5" xfId="27745" xr:uid="{00000000-0005-0000-0000-0000276D0000}"/>
    <cellStyle name="Standard 4 4 5 3 2 5 2" xfId="27746" xr:uid="{00000000-0005-0000-0000-0000286D0000}"/>
    <cellStyle name="Standard 4 4 5 3 2 6" xfId="27747" xr:uid="{00000000-0005-0000-0000-0000296D0000}"/>
    <cellStyle name="Standard 4 4 5 3 2 7" xfId="27748" xr:uid="{00000000-0005-0000-0000-00002A6D0000}"/>
    <cellStyle name="Standard 4 4 5 3 3" xfId="27749" xr:uid="{00000000-0005-0000-0000-00002B6D0000}"/>
    <cellStyle name="Standard 4 4 5 3 3 2" xfId="27750" xr:uid="{00000000-0005-0000-0000-00002C6D0000}"/>
    <cellStyle name="Standard 4 4 5 3 3 2 2" xfId="27751" xr:uid="{00000000-0005-0000-0000-00002D6D0000}"/>
    <cellStyle name="Standard 4 4 5 3 3 2 3" xfId="27752" xr:uid="{00000000-0005-0000-0000-00002E6D0000}"/>
    <cellStyle name="Standard 4 4 5 3 3 3" xfId="27753" xr:uid="{00000000-0005-0000-0000-00002F6D0000}"/>
    <cellStyle name="Standard 4 4 5 3 3 3 2" xfId="27754" xr:uid="{00000000-0005-0000-0000-0000306D0000}"/>
    <cellStyle name="Standard 4 4 5 3 3 3 3" xfId="27755" xr:uid="{00000000-0005-0000-0000-0000316D0000}"/>
    <cellStyle name="Standard 4 4 5 3 3 4" xfId="27756" xr:uid="{00000000-0005-0000-0000-0000326D0000}"/>
    <cellStyle name="Standard 4 4 5 3 3 4 2" xfId="27757" xr:uid="{00000000-0005-0000-0000-0000336D0000}"/>
    <cellStyle name="Standard 4 4 5 3 3 5" xfId="27758" xr:uid="{00000000-0005-0000-0000-0000346D0000}"/>
    <cellStyle name="Standard 4 4 5 3 3 6" xfId="27759" xr:uid="{00000000-0005-0000-0000-0000356D0000}"/>
    <cellStyle name="Standard 4 4 5 3 4" xfId="27760" xr:uid="{00000000-0005-0000-0000-0000366D0000}"/>
    <cellStyle name="Standard 4 4 5 3 4 2" xfId="27761" xr:uid="{00000000-0005-0000-0000-0000376D0000}"/>
    <cellStyle name="Standard 4 4 5 3 4 3" xfId="27762" xr:uid="{00000000-0005-0000-0000-0000386D0000}"/>
    <cellStyle name="Standard 4 4 5 3 5" xfId="27763" xr:uid="{00000000-0005-0000-0000-0000396D0000}"/>
    <cellStyle name="Standard 4 4 5 3 5 2" xfId="27764" xr:uid="{00000000-0005-0000-0000-00003A6D0000}"/>
    <cellStyle name="Standard 4 4 5 3 5 3" xfId="27765" xr:uid="{00000000-0005-0000-0000-00003B6D0000}"/>
    <cellStyle name="Standard 4 4 5 3 6" xfId="27766" xr:uid="{00000000-0005-0000-0000-00003C6D0000}"/>
    <cellStyle name="Standard 4 4 5 3 6 2" xfId="27767" xr:uid="{00000000-0005-0000-0000-00003D6D0000}"/>
    <cellStyle name="Standard 4 4 5 3 7" xfId="27768" xr:uid="{00000000-0005-0000-0000-00003E6D0000}"/>
    <cellStyle name="Standard 4 4 5 3 8" xfId="27769" xr:uid="{00000000-0005-0000-0000-00003F6D0000}"/>
    <cellStyle name="Standard 4 4 5 4" xfId="27770" xr:uid="{00000000-0005-0000-0000-0000406D0000}"/>
    <cellStyle name="Standard 4 4 5 4 2" xfId="27771" xr:uid="{00000000-0005-0000-0000-0000416D0000}"/>
    <cellStyle name="Standard 4 4 5 4 2 2" xfId="27772" xr:uid="{00000000-0005-0000-0000-0000426D0000}"/>
    <cellStyle name="Standard 4 4 5 4 2 2 2" xfId="27773" xr:uid="{00000000-0005-0000-0000-0000436D0000}"/>
    <cellStyle name="Standard 4 4 5 4 2 2 2 2" xfId="27774" xr:uid="{00000000-0005-0000-0000-0000446D0000}"/>
    <cellStyle name="Standard 4 4 5 4 2 2 2 3" xfId="27775" xr:uid="{00000000-0005-0000-0000-0000456D0000}"/>
    <cellStyle name="Standard 4 4 5 4 2 2 3" xfId="27776" xr:uid="{00000000-0005-0000-0000-0000466D0000}"/>
    <cellStyle name="Standard 4 4 5 4 2 2 3 2" xfId="27777" xr:uid="{00000000-0005-0000-0000-0000476D0000}"/>
    <cellStyle name="Standard 4 4 5 4 2 2 3 3" xfId="27778" xr:uid="{00000000-0005-0000-0000-0000486D0000}"/>
    <cellStyle name="Standard 4 4 5 4 2 2 4" xfId="27779" xr:uid="{00000000-0005-0000-0000-0000496D0000}"/>
    <cellStyle name="Standard 4 4 5 4 2 2 4 2" xfId="27780" xr:uid="{00000000-0005-0000-0000-00004A6D0000}"/>
    <cellStyle name="Standard 4 4 5 4 2 2 5" xfId="27781" xr:uid="{00000000-0005-0000-0000-00004B6D0000}"/>
    <cellStyle name="Standard 4 4 5 4 2 2 6" xfId="27782" xr:uid="{00000000-0005-0000-0000-00004C6D0000}"/>
    <cellStyle name="Standard 4 4 5 4 2 3" xfId="27783" xr:uid="{00000000-0005-0000-0000-00004D6D0000}"/>
    <cellStyle name="Standard 4 4 5 4 2 3 2" xfId="27784" xr:uid="{00000000-0005-0000-0000-00004E6D0000}"/>
    <cellStyle name="Standard 4 4 5 4 2 3 3" xfId="27785" xr:uid="{00000000-0005-0000-0000-00004F6D0000}"/>
    <cellStyle name="Standard 4 4 5 4 2 4" xfId="27786" xr:uid="{00000000-0005-0000-0000-0000506D0000}"/>
    <cellStyle name="Standard 4 4 5 4 2 4 2" xfId="27787" xr:uid="{00000000-0005-0000-0000-0000516D0000}"/>
    <cellStyle name="Standard 4 4 5 4 2 4 3" xfId="27788" xr:uid="{00000000-0005-0000-0000-0000526D0000}"/>
    <cellStyle name="Standard 4 4 5 4 2 5" xfId="27789" xr:uid="{00000000-0005-0000-0000-0000536D0000}"/>
    <cellStyle name="Standard 4 4 5 4 2 5 2" xfId="27790" xr:uid="{00000000-0005-0000-0000-0000546D0000}"/>
    <cellStyle name="Standard 4 4 5 4 2 6" xfId="27791" xr:uid="{00000000-0005-0000-0000-0000556D0000}"/>
    <cellStyle name="Standard 4 4 5 4 2 7" xfId="27792" xr:uid="{00000000-0005-0000-0000-0000566D0000}"/>
    <cellStyle name="Standard 4 4 5 4 3" xfId="27793" xr:uid="{00000000-0005-0000-0000-0000576D0000}"/>
    <cellStyle name="Standard 4 4 5 4 3 2" xfId="27794" xr:uid="{00000000-0005-0000-0000-0000586D0000}"/>
    <cellStyle name="Standard 4 4 5 4 3 2 2" xfId="27795" xr:uid="{00000000-0005-0000-0000-0000596D0000}"/>
    <cellStyle name="Standard 4 4 5 4 3 2 3" xfId="27796" xr:uid="{00000000-0005-0000-0000-00005A6D0000}"/>
    <cellStyle name="Standard 4 4 5 4 3 3" xfId="27797" xr:uid="{00000000-0005-0000-0000-00005B6D0000}"/>
    <cellStyle name="Standard 4 4 5 4 3 3 2" xfId="27798" xr:uid="{00000000-0005-0000-0000-00005C6D0000}"/>
    <cellStyle name="Standard 4 4 5 4 3 3 3" xfId="27799" xr:uid="{00000000-0005-0000-0000-00005D6D0000}"/>
    <cellStyle name="Standard 4 4 5 4 3 4" xfId="27800" xr:uid="{00000000-0005-0000-0000-00005E6D0000}"/>
    <cellStyle name="Standard 4 4 5 4 3 4 2" xfId="27801" xr:uid="{00000000-0005-0000-0000-00005F6D0000}"/>
    <cellStyle name="Standard 4 4 5 4 3 5" xfId="27802" xr:uid="{00000000-0005-0000-0000-0000606D0000}"/>
    <cellStyle name="Standard 4 4 5 4 3 6" xfId="27803" xr:uid="{00000000-0005-0000-0000-0000616D0000}"/>
    <cellStyle name="Standard 4 4 5 4 4" xfId="27804" xr:uid="{00000000-0005-0000-0000-0000626D0000}"/>
    <cellStyle name="Standard 4 4 5 4 4 2" xfId="27805" xr:uid="{00000000-0005-0000-0000-0000636D0000}"/>
    <cellStyle name="Standard 4 4 5 4 4 3" xfId="27806" xr:uid="{00000000-0005-0000-0000-0000646D0000}"/>
    <cellStyle name="Standard 4 4 5 4 5" xfId="27807" xr:uid="{00000000-0005-0000-0000-0000656D0000}"/>
    <cellStyle name="Standard 4 4 5 4 5 2" xfId="27808" xr:uid="{00000000-0005-0000-0000-0000666D0000}"/>
    <cellStyle name="Standard 4 4 5 4 5 3" xfId="27809" xr:uid="{00000000-0005-0000-0000-0000676D0000}"/>
    <cellStyle name="Standard 4 4 5 4 6" xfId="27810" xr:uid="{00000000-0005-0000-0000-0000686D0000}"/>
    <cellStyle name="Standard 4 4 5 4 6 2" xfId="27811" xr:uid="{00000000-0005-0000-0000-0000696D0000}"/>
    <cellStyle name="Standard 4 4 5 4 7" xfId="27812" xr:uid="{00000000-0005-0000-0000-00006A6D0000}"/>
    <cellStyle name="Standard 4 4 5 4 8" xfId="27813" xr:uid="{00000000-0005-0000-0000-00006B6D0000}"/>
    <cellStyle name="Standard 4 4 5 5" xfId="27814" xr:uid="{00000000-0005-0000-0000-00006C6D0000}"/>
    <cellStyle name="Standard 4 4 5 5 2" xfId="27815" xr:uid="{00000000-0005-0000-0000-00006D6D0000}"/>
    <cellStyle name="Standard 4 4 5 5 2 2" xfId="27816" xr:uid="{00000000-0005-0000-0000-00006E6D0000}"/>
    <cellStyle name="Standard 4 4 5 5 2 2 2" xfId="27817" xr:uid="{00000000-0005-0000-0000-00006F6D0000}"/>
    <cellStyle name="Standard 4 4 5 5 2 2 3" xfId="27818" xr:uid="{00000000-0005-0000-0000-0000706D0000}"/>
    <cellStyle name="Standard 4 4 5 5 2 3" xfId="27819" xr:uid="{00000000-0005-0000-0000-0000716D0000}"/>
    <cellStyle name="Standard 4 4 5 5 2 3 2" xfId="27820" xr:uid="{00000000-0005-0000-0000-0000726D0000}"/>
    <cellStyle name="Standard 4 4 5 5 2 3 3" xfId="27821" xr:uid="{00000000-0005-0000-0000-0000736D0000}"/>
    <cellStyle name="Standard 4 4 5 5 2 4" xfId="27822" xr:uid="{00000000-0005-0000-0000-0000746D0000}"/>
    <cellStyle name="Standard 4 4 5 5 2 4 2" xfId="27823" xr:uid="{00000000-0005-0000-0000-0000756D0000}"/>
    <cellStyle name="Standard 4 4 5 5 2 5" xfId="27824" xr:uid="{00000000-0005-0000-0000-0000766D0000}"/>
    <cellStyle name="Standard 4 4 5 5 2 6" xfId="27825" xr:uid="{00000000-0005-0000-0000-0000776D0000}"/>
    <cellStyle name="Standard 4 4 5 5 3" xfId="27826" xr:uid="{00000000-0005-0000-0000-0000786D0000}"/>
    <cellStyle name="Standard 4 4 5 5 3 2" xfId="27827" xr:uid="{00000000-0005-0000-0000-0000796D0000}"/>
    <cellStyle name="Standard 4 4 5 5 3 3" xfId="27828" xr:uid="{00000000-0005-0000-0000-00007A6D0000}"/>
    <cellStyle name="Standard 4 4 5 5 4" xfId="27829" xr:uid="{00000000-0005-0000-0000-00007B6D0000}"/>
    <cellStyle name="Standard 4 4 5 5 4 2" xfId="27830" xr:uid="{00000000-0005-0000-0000-00007C6D0000}"/>
    <cellStyle name="Standard 4 4 5 5 4 3" xfId="27831" xr:uid="{00000000-0005-0000-0000-00007D6D0000}"/>
    <cellStyle name="Standard 4 4 5 5 5" xfId="27832" xr:uid="{00000000-0005-0000-0000-00007E6D0000}"/>
    <cellStyle name="Standard 4 4 5 5 5 2" xfId="27833" xr:uid="{00000000-0005-0000-0000-00007F6D0000}"/>
    <cellStyle name="Standard 4 4 5 5 6" xfId="27834" xr:uid="{00000000-0005-0000-0000-0000806D0000}"/>
    <cellStyle name="Standard 4 4 5 5 7" xfId="27835" xr:uid="{00000000-0005-0000-0000-0000816D0000}"/>
    <cellStyle name="Standard 4 4 5 6" xfId="27836" xr:uid="{00000000-0005-0000-0000-0000826D0000}"/>
    <cellStyle name="Standard 4 4 5 6 2" xfId="27837" xr:uid="{00000000-0005-0000-0000-0000836D0000}"/>
    <cellStyle name="Standard 4 4 5 6 2 2" xfId="27838" xr:uid="{00000000-0005-0000-0000-0000846D0000}"/>
    <cellStyle name="Standard 4 4 5 6 2 3" xfId="27839" xr:uid="{00000000-0005-0000-0000-0000856D0000}"/>
    <cellStyle name="Standard 4 4 5 6 3" xfId="27840" xr:uid="{00000000-0005-0000-0000-0000866D0000}"/>
    <cellStyle name="Standard 4 4 5 6 3 2" xfId="27841" xr:uid="{00000000-0005-0000-0000-0000876D0000}"/>
    <cellStyle name="Standard 4 4 5 6 3 3" xfId="27842" xr:uid="{00000000-0005-0000-0000-0000886D0000}"/>
    <cellStyle name="Standard 4 4 5 6 4" xfId="27843" xr:uid="{00000000-0005-0000-0000-0000896D0000}"/>
    <cellStyle name="Standard 4 4 5 6 4 2" xfId="27844" xr:uid="{00000000-0005-0000-0000-00008A6D0000}"/>
    <cellStyle name="Standard 4 4 5 6 5" xfId="27845" xr:uid="{00000000-0005-0000-0000-00008B6D0000}"/>
    <cellStyle name="Standard 4 4 5 6 6" xfId="27846" xr:uid="{00000000-0005-0000-0000-00008C6D0000}"/>
    <cellStyle name="Standard 4 4 5 7" xfId="27847" xr:uid="{00000000-0005-0000-0000-00008D6D0000}"/>
    <cellStyle name="Standard 4 4 5 7 2" xfId="27848" xr:uid="{00000000-0005-0000-0000-00008E6D0000}"/>
    <cellStyle name="Standard 4 4 5 7 3" xfId="27849" xr:uid="{00000000-0005-0000-0000-00008F6D0000}"/>
    <cellStyle name="Standard 4 4 5 8" xfId="27850" xr:uid="{00000000-0005-0000-0000-0000906D0000}"/>
    <cellStyle name="Standard 4 4 5 8 2" xfId="27851" xr:uid="{00000000-0005-0000-0000-0000916D0000}"/>
    <cellStyle name="Standard 4 4 5 8 3" xfId="27852" xr:uid="{00000000-0005-0000-0000-0000926D0000}"/>
    <cellStyle name="Standard 4 4 5 9" xfId="27853" xr:uid="{00000000-0005-0000-0000-0000936D0000}"/>
    <cellStyle name="Standard 4 4 5 9 2" xfId="27854" xr:uid="{00000000-0005-0000-0000-0000946D0000}"/>
    <cellStyle name="Standard 4 4 6" xfId="27855" xr:uid="{00000000-0005-0000-0000-0000956D0000}"/>
    <cellStyle name="Standard 4 4 6 10" xfId="27856" xr:uid="{00000000-0005-0000-0000-0000966D0000}"/>
    <cellStyle name="Standard 4 4 6 11" xfId="27857" xr:uid="{00000000-0005-0000-0000-0000976D0000}"/>
    <cellStyle name="Standard 4 4 6 2" xfId="27858" xr:uid="{00000000-0005-0000-0000-0000986D0000}"/>
    <cellStyle name="Standard 4 4 6 2 10" xfId="27859" xr:uid="{00000000-0005-0000-0000-0000996D0000}"/>
    <cellStyle name="Standard 4 4 6 2 2" xfId="27860" xr:uid="{00000000-0005-0000-0000-00009A6D0000}"/>
    <cellStyle name="Standard 4 4 6 2 2 2" xfId="27861" xr:uid="{00000000-0005-0000-0000-00009B6D0000}"/>
    <cellStyle name="Standard 4 4 6 2 2 2 2" xfId="27862" xr:uid="{00000000-0005-0000-0000-00009C6D0000}"/>
    <cellStyle name="Standard 4 4 6 2 2 2 2 2" xfId="27863" xr:uid="{00000000-0005-0000-0000-00009D6D0000}"/>
    <cellStyle name="Standard 4 4 6 2 2 2 2 2 2" xfId="27864" xr:uid="{00000000-0005-0000-0000-00009E6D0000}"/>
    <cellStyle name="Standard 4 4 6 2 2 2 2 2 3" xfId="27865" xr:uid="{00000000-0005-0000-0000-00009F6D0000}"/>
    <cellStyle name="Standard 4 4 6 2 2 2 2 3" xfId="27866" xr:uid="{00000000-0005-0000-0000-0000A06D0000}"/>
    <cellStyle name="Standard 4 4 6 2 2 2 2 3 2" xfId="27867" xr:uid="{00000000-0005-0000-0000-0000A16D0000}"/>
    <cellStyle name="Standard 4 4 6 2 2 2 2 3 3" xfId="27868" xr:uid="{00000000-0005-0000-0000-0000A26D0000}"/>
    <cellStyle name="Standard 4 4 6 2 2 2 2 4" xfId="27869" xr:uid="{00000000-0005-0000-0000-0000A36D0000}"/>
    <cellStyle name="Standard 4 4 6 2 2 2 2 4 2" xfId="27870" xr:uid="{00000000-0005-0000-0000-0000A46D0000}"/>
    <cellStyle name="Standard 4 4 6 2 2 2 2 5" xfId="27871" xr:uid="{00000000-0005-0000-0000-0000A56D0000}"/>
    <cellStyle name="Standard 4 4 6 2 2 2 2 6" xfId="27872" xr:uid="{00000000-0005-0000-0000-0000A66D0000}"/>
    <cellStyle name="Standard 4 4 6 2 2 2 3" xfId="27873" xr:uid="{00000000-0005-0000-0000-0000A76D0000}"/>
    <cellStyle name="Standard 4 4 6 2 2 2 3 2" xfId="27874" xr:uid="{00000000-0005-0000-0000-0000A86D0000}"/>
    <cellStyle name="Standard 4 4 6 2 2 2 3 3" xfId="27875" xr:uid="{00000000-0005-0000-0000-0000A96D0000}"/>
    <cellStyle name="Standard 4 4 6 2 2 2 4" xfId="27876" xr:uid="{00000000-0005-0000-0000-0000AA6D0000}"/>
    <cellStyle name="Standard 4 4 6 2 2 2 4 2" xfId="27877" xr:uid="{00000000-0005-0000-0000-0000AB6D0000}"/>
    <cellStyle name="Standard 4 4 6 2 2 2 4 3" xfId="27878" xr:uid="{00000000-0005-0000-0000-0000AC6D0000}"/>
    <cellStyle name="Standard 4 4 6 2 2 2 5" xfId="27879" xr:uid="{00000000-0005-0000-0000-0000AD6D0000}"/>
    <cellStyle name="Standard 4 4 6 2 2 2 5 2" xfId="27880" xr:uid="{00000000-0005-0000-0000-0000AE6D0000}"/>
    <cellStyle name="Standard 4 4 6 2 2 2 6" xfId="27881" xr:uid="{00000000-0005-0000-0000-0000AF6D0000}"/>
    <cellStyle name="Standard 4 4 6 2 2 2 7" xfId="27882" xr:uid="{00000000-0005-0000-0000-0000B06D0000}"/>
    <cellStyle name="Standard 4 4 6 2 2 3" xfId="27883" xr:uid="{00000000-0005-0000-0000-0000B16D0000}"/>
    <cellStyle name="Standard 4 4 6 2 2 3 2" xfId="27884" xr:uid="{00000000-0005-0000-0000-0000B26D0000}"/>
    <cellStyle name="Standard 4 4 6 2 2 3 2 2" xfId="27885" xr:uid="{00000000-0005-0000-0000-0000B36D0000}"/>
    <cellStyle name="Standard 4 4 6 2 2 3 2 3" xfId="27886" xr:uid="{00000000-0005-0000-0000-0000B46D0000}"/>
    <cellStyle name="Standard 4 4 6 2 2 3 3" xfId="27887" xr:uid="{00000000-0005-0000-0000-0000B56D0000}"/>
    <cellStyle name="Standard 4 4 6 2 2 3 3 2" xfId="27888" xr:uid="{00000000-0005-0000-0000-0000B66D0000}"/>
    <cellStyle name="Standard 4 4 6 2 2 3 3 3" xfId="27889" xr:uid="{00000000-0005-0000-0000-0000B76D0000}"/>
    <cellStyle name="Standard 4 4 6 2 2 3 4" xfId="27890" xr:uid="{00000000-0005-0000-0000-0000B86D0000}"/>
    <cellStyle name="Standard 4 4 6 2 2 3 4 2" xfId="27891" xr:uid="{00000000-0005-0000-0000-0000B96D0000}"/>
    <cellStyle name="Standard 4 4 6 2 2 3 5" xfId="27892" xr:uid="{00000000-0005-0000-0000-0000BA6D0000}"/>
    <cellStyle name="Standard 4 4 6 2 2 3 6" xfId="27893" xr:uid="{00000000-0005-0000-0000-0000BB6D0000}"/>
    <cellStyle name="Standard 4 4 6 2 2 4" xfId="27894" xr:uid="{00000000-0005-0000-0000-0000BC6D0000}"/>
    <cellStyle name="Standard 4 4 6 2 2 4 2" xfId="27895" xr:uid="{00000000-0005-0000-0000-0000BD6D0000}"/>
    <cellStyle name="Standard 4 4 6 2 2 4 3" xfId="27896" xr:uid="{00000000-0005-0000-0000-0000BE6D0000}"/>
    <cellStyle name="Standard 4 4 6 2 2 5" xfId="27897" xr:uid="{00000000-0005-0000-0000-0000BF6D0000}"/>
    <cellStyle name="Standard 4 4 6 2 2 5 2" xfId="27898" xr:uid="{00000000-0005-0000-0000-0000C06D0000}"/>
    <cellStyle name="Standard 4 4 6 2 2 5 3" xfId="27899" xr:uid="{00000000-0005-0000-0000-0000C16D0000}"/>
    <cellStyle name="Standard 4 4 6 2 2 6" xfId="27900" xr:uid="{00000000-0005-0000-0000-0000C26D0000}"/>
    <cellStyle name="Standard 4 4 6 2 2 6 2" xfId="27901" xr:uid="{00000000-0005-0000-0000-0000C36D0000}"/>
    <cellStyle name="Standard 4 4 6 2 2 7" xfId="27902" xr:uid="{00000000-0005-0000-0000-0000C46D0000}"/>
    <cellStyle name="Standard 4 4 6 2 2 8" xfId="27903" xr:uid="{00000000-0005-0000-0000-0000C56D0000}"/>
    <cellStyle name="Standard 4 4 6 2 3" xfId="27904" xr:uid="{00000000-0005-0000-0000-0000C66D0000}"/>
    <cellStyle name="Standard 4 4 6 2 3 2" xfId="27905" xr:uid="{00000000-0005-0000-0000-0000C76D0000}"/>
    <cellStyle name="Standard 4 4 6 2 3 2 2" xfId="27906" xr:uid="{00000000-0005-0000-0000-0000C86D0000}"/>
    <cellStyle name="Standard 4 4 6 2 3 2 2 2" xfId="27907" xr:uid="{00000000-0005-0000-0000-0000C96D0000}"/>
    <cellStyle name="Standard 4 4 6 2 3 2 2 2 2" xfId="27908" xr:uid="{00000000-0005-0000-0000-0000CA6D0000}"/>
    <cellStyle name="Standard 4 4 6 2 3 2 2 2 3" xfId="27909" xr:uid="{00000000-0005-0000-0000-0000CB6D0000}"/>
    <cellStyle name="Standard 4 4 6 2 3 2 2 3" xfId="27910" xr:uid="{00000000-0005-0000-0000-0000CC6D0000}"/>
    <cellStyle name="Standard 4 4 6 2 3 2 2 3 2" xfId="27911" xr:uid="{00000000-0005-0000-0000-0000CD6D0000}"/>
    <cellStyle name="Standard 4 4 6 2 3 2 2 3 3" xfId="27912" xr:uid="{00000000-0005-0000-0000-0000CE6D0000}"/>
    <cellStyle name="Standard 4 4 6 2 3 2 2 4" xfId="27913" xr:uid="{00000000-0005-0000-0000-0000CF6D0000}"/>
    <cellStyle name="Standard 4 4 6 2 3 2 2 4 2" xfId="27914" xr:uid="{00000000-0005-0000-0000-0000D06D0000}"/>
    <cellStyle name="Standard 4 4 6 2 3 2 2 5" xfId="27915" xr:uid="{00000000-0005-0000-0000-0000D16D0000}"/>
    <cellStyle name="Standard 4 4 6 2 3 2 2 6" xfId="27916" xr:uid="{00000000-0005-0000-0000-0000D26D0000}"/>
    <cellStyle name="Standard 4 4 6 2 3 2 3" xfId="27917" xr:uid="{00000000-0005-0000-0000-0000D36D0000}"/>
    <cellStyle name="Standard 4 4 6 2 3 2 3 2" xfId="27918" xr:uid="{00000000-0005-0000-0000-0000D46D0000}"/>
    <cellStyle name="Standard 4 4 6 2 3 2 3 3" xfId="27919" xr:uid="{00000000-0005-0000-0000-0000D56D0000}"/>
    <cellStyle name="Standard 4 4 6 2 3 2 4" xfId="27920" xr:uid="{00000000-0005-0000-0000-0000D66D0000}"/>
    <cellStyle name="Standard 4 4 6 2 3 2 4 2" xfId="27921" xr:uid="{00000000-0005-0000-0000-0000D76D0000}"/>
    <cellStyle name="Standard 4 4 6 2 3 2 4 3" xfId="27922" xr:uid="{00000000-0005-0000-0000-0000D86D0000}"/>
    <cellStyle name="Standard 4 4 6 2 3 2 5" xfId="27923" xr:uid="{00000000-0005-0000-0000-0000D96D0000}"/>
    <cellStyle name="Standard 4 4 6 2 3 2 5 2" xfId="27924" xr:uid="{00000000-0005-0000-0000-0000DA6D0000}"/>
    <cellStyle name="Standard 4 4 6 2 3 2 6" xfId="27925" xr:uid="{00000000-0005-0000-0000-0000DB6D0000}"/>
    <cellStyle name="Standard 4 4 6 2 3 2 7" xfId="27926" xr:uid="{00000000-0005-0000-0000-0000DC6D0000}"/>
    <cellStyle name="Standard 4 4 6 2 3 3" xfId="27927" xr:uid="{00000000-0005-0000-0000-0000DD6D0000}"/>
    <cellStyle name="Standard 4 4 6 2 3 3 2" xfId="27928" xr:uid="{00000000-0005-0000-0000-0000DE6D0000}"/>
    <cellStyle name="Standard 4 4 6 2 3 3 2 2" xfId="27929" xr:uid="{00000000-0005-0000-0000-0000DF6D0000}"/>
    <cellStyle name="Standard 4 4 6 2 3 3 2 3" xfId="27930" xr:uid="{00000000-0005-0000-0000-0000E06D0000}"/>
    <cellStyle name="Standard 4 4 6 2 3 3 3" xfId="27931" xr:uid="{00000000-0005-0000-0000-0000E16D0000}"/>
    <cellStyle name="Standard 4 4 6 2 3 3 3 2" xfId="27932" xr:uid="{00000000-0005-0000-0000-0000E26D0000}"/>
    <cellStyle name="Standard 4 4 6 2 3 3 3 3" xfId="27933" xr:uid="{00000000-0005-0000-0000-0000E36D0000}"/>
    <cellStyle name="Standard 4 4 6 2 3 3 4" xfId="27934" xr:uid="{00000000-0005-0000-0000-0000E46D0000}"/>
    <cellStyle name="Standard 4 4 6 2 3 3 4 2" xfId="27935" xr:uid="{00000000-0005-0000-0000-0000E56D0000}"/>
    <cellStyle name="Standard 4 4 6 2 3 3 5" xfId="27936" xr:uid="{00000000-0005-0000-0000-0000E66D0000}"/>
    <cellStyle name="Standard 4 4 6 2 3 3 6" xfId="27937" xr:uid="{00000000-0005-0000-0000-0000E76D0000}"/>
    <cellStyle name="Standard 4 4 6 2 3 4" xfId="27938" xr:uid="{00000000-0005-0000-0000-0000E86D0000}"/>
    <cellStyle name="Standard 4 4 6 2 3 4 2" xfId="27939" xr:uid="{00000000-0005-0000-0000-0000E96D0000}"/>
    <cellStyle name="Standard 4 4 6 2 3 4 3" xfId="27940" xr:uid="{00000000-0005-0000-0000-0000EA6D0000}"/>
    <cellStyle name="Standard 4 4 6 2 3 5" xfId="27941" xr:uid="{00000000-0005-0000-0000-0000EB6D0000}"/>
    <cellStyle name="Standard 4 4 6 2 3 5 2" xfId="27942" xr:uid="{00000000-0005-0000-0000-0000EC6D0000}"/>
    <cellStyle name="Standard 4 4 6 2 3 5 3" xfId="27943" xr:uid="{00000000-0005-0000-0000-0000ED6D0000}"/>
    <cellStyle name="Standard 4 4 6 2 3 6" xfId="27944" xr:uid="{00000000-0005-0000-0000-0000EE6D0000}"/>
    <cellStyle name="Standard 4 4 6 2 3 6 2" xfId="27945" xr:uid="{00000000-0005-0000-0000-0000EF6D0000}"/>
    <cellStyle name="Standard 4 4 6 2 3 7" xfId="27946" xr:uid="{00000000-0005-0000-0000-0000F06D0000}"/>
    <cellStyle name="Standard 4 4 6 2 3 8" xfId="27947" xr:uid="{00000000-0005-0000-0000-0000F16D0000}"/>
    <cellStyle name="Standard 4 4 6 2 4" xfId="27948" xr:uid="{00000000-0005-0000-0000-0000F26D0000}"/>
    <cellStyle name="Standard 4 4 6 2 4 2" xfId="27949" xr:uid="{00000000-0005-0000-0000-0000F36D0000}"/>
    <cellStyle name="Standard 4 4 6 2 4 2 2" xfId="27950" xr:uid="{00000000-0005-0000-0000-0000F46D0000}"/>
    <cellStyle name="Standard 4 4 6 2 4 2 2 2" xfId="27951" xr:uid="{00000000-0005-0000-0000-0000F56D0000}"/>
    <cellStyle name="Standard 4 4 6 2 4 2 2 3" xfId="27952" xr:uid="{00000000-0005-0000-0000-0000F66D0000}"/>
    <cellStyle name="Standard 4 4 6 2 4 2 3" xfId="27953" xr:uid="{00000000-0005-0000-0000-0000F76D0000}"/>
    <cellStyle name="Standard 4 4 6 2 4 2 3 2" xfId="27954" xr:uid="{00000000-0005-0000-0000-0000F86D0000}"/>
    <cellStyle name="Standard 4 4 6 2 4 2 3 3" xfId="27955" xr:uid="{00000000-0005-0000-0000-0000F96D0000}"/>
    <cellStyle name="Standard 4 4 6 2 4 2 4" xfId="27956" xr:uid="{00000000-0005-0000-0000-0000FA6D0000}"/>
    <cellStyle name="Standard 4 4 6 2 4 2 4 2" xfId="27957" xr:uid="{00000000-0005-0000-0000-0000FB6D0000}"/>
    <cellStyle name="Standard 4 4 6 2 4 2 5" xfId="27958" xr:uid="{00000000-0005-0000-0000-0000FC6D0000}"/>
    <cellStyle name="Standard 4 4 6 2 4 2 6" xfId="27959" xr:uid="{00000000-0005-0000-0000-0000FD6D0000}"/>
    <cellStyle name="Standard 4 4 6 2 4 3" xfId="27960" xr:uid="{00000000-0005-0000-0000-0000FE6D0000}"/>
    <cellStyle name="Standard 4 4 6 2 4 3 2" xfId="27961" xr:uid="{00000000-0005-0000-0000-0000FF6D0000}"/>
    <cellStyle name="Standard 4 4 6 2 4 3 3" xfId="27962" xr:uid="{00000000-0005-0000-0000-0000006E0000}"/>
    <cellStyle name="Standard 4 4 6 2 4 4" xfId="27963" xr:uid="{00000000-0005-0000-0000-0000016E0000}"/>
    <cellStyle name="Standard 4 4 6 2 4 4 2" xfId="27964" xr:uid="{00000000-0005-0000-0000-0000026E0000}"/>
    <cellStyle name="Standard 4 4 6 2 4 4 3" xfId="27965" xr:uid="{00000000-0005-0000-0000-0000036E0000}"/>
    <cellStyle name="Standard 4 4 6 2 4 5" xfId="27966" xr:uid="{00000000-0005-0000-0000-0000046E0000}"/>
    <cellStyle name="Standard 4 4 6 2 4 5 2" xfId="27967" xr:uid="{00000000-0005-0000-0000-0000056E0000}"/>
    <cellStyle name="Standard 4 4 6 2 4 6" xfId="27968" xr:uid="{00000000-0005-0000-0000-0000066E0000}"/>
    <cellStyle name="Standard 4 4 6 2 4 7" xfId="27969" xr:uid="{00000000-0005-0000-0000-0000076E0000}"/>
    <cellStyle name="Standard 4 4 6 2 5" xfId="27970" xr:uid="{00000000-0005-0000-0000-0000086E0000}"/>
    <cellStyle name="Standard 4 4 6 2 5 2" xfId="27971" xr:uid="{00000000-0005-0000-0000-0000096E0000}"/>
    <cellStyle name="Standard 4 4 6 2 5 2 2" xfId="27972" xr:uid="{00000000-0005-0000-0000-00000A6E0000}"/>
    <cellStyle name="Standard 4 4 6 2 5 2 3" xfId="27973" xr:uid="{00000000-0005-0000-0000-00000B6E0000}"/>
    <cellStyle name="Standard 4 4 6 2 5 3" xfId="27974" xr:uid="{00000000-0005-0000-0000-00000C6E0000}"/>
    <cellStyle name="Standard 4 4 6 2 5 3 2" xfId="27975" xr:uid="{00000000-0005-0000-0000-00000D6E0000}"/>
    <cellStyle name="Standard 4 4 6 2 5 3 3" xfId="27976" xr:uid="{00000000-0005-0000-0000-00000E6E0000}"/>
    <cellStyle name="Standard 4 4 6 2 5 4" xfId="27977" xr:uid="{00000000-0005-0000-0000-00000F6E0000}"/>
    <cellStyle name="Standard 4 4 6 2 5 4 2" xfId="27978" xr:uid="{00000000-0005-0000-0000-0000106E0000}"/>
    <cellStyle name="Standard 4 4 6 2 5 5" xfId="27979" xr:uid="{00000000-0005-0000-0000-0000116E0000}"/>
    <cellStyle name="Standard 4 4 6 2 5 6" xfId="27980" xr:uid="{00000000-0005-0000-0000-0000126E0000}"/>
    <cellStyle name="Standard 4 4 6 2 6" xfId="27981" xr:uid="{00000000-0005-0000-0000-0000136E0000}"/>
    <cellStyle name="Standard 4 4 6 2 6 2" xfId="27982" xr:uid="{00000000-0005-0000-0000-0000146E0000}"/>
    <cellStyle name="Standard 4 4 6 2 6 3" xfId="27983" xr:uid="{00000000-0005-0000-0000-0000156E0000}"/>
    <cellStyle name="Standard 4 4 6 2 7" xfId="27984" xr:uid="{00000000-0005-0000-0000-0000166E0000}"/>
    <cellStyle name="Standard 4 4 6 2 7 2" xfId="27985" xr:uid="{00000000-0005-0000-0000-0000176E0000}"/>
    <cellStyle name="Standard 4 4 6 2 7 3" xfId="27986" xr:uid="{00000000-0005-0000-0000-0000186E0000}"/>
    <cellStyle name="Standard 4 4 6 2 8" xfId="27987" xr:uid="{00000000-0005-0000-0000-0000196E0000}"/>
    <cellStyle name="Standard 4 4 6 2 8 2" xfId="27988" xr:uid="{00000000-0005-0000-0000-00001A6E0000}"/>
    <cellStyle name="Standard 4 4 6 2 9" xfId="27989" xr:uid="{00000000-0005-0000-0000-00001B6E0000}"/>
    <cellStyle name="Standard 4 4 6 3" xfId="27990" xr:uid="{00000000-0005-0000-0000-00001C6E0000}"/>
    <cellStyle name="Standard 4 4 6 3 2" xfId="27991" xr:uid="{00000000-0005-0000-0000-00001D6E0000}"/>
    <cellStyle name="Standard 4 4 6 3 2 2" xfId="27992" xr:uid="{00000000-0005-0000-0000-00001E6E0000}"/>
    <cellStyle name="Standard 4 4 6 3 2 2 2" xfId="27993" xr:uid="{00000000-0005-0000-0000-00001F6E0000}"/>
    <cellStyle name="Standard 4 4 6 3 2 2 2 2" xfId="27994" xr:uid="{00000000-0005-0000-0000-0000206E0000}"/>
    <cellStyle name="Standard 4 4 6 3 2 2 2 3" xfId="27995" xr:uid="{00000000-0005-0000-0000-0000216E0000}"/>
    <cellStyle name="Standard 4 4 6 3 2 2 3" xfId="27996" xr:uid="{00000000-0005-0000-0000-0000226E0000}"/>
    <cellStyle name="Standard 4 4 6 3 2 2 3 2" xfId="27997" xr:uid="{00000000-0005-0000-0000-0000236E0000}"/>
    <cellStyle name="Standard 4 4 6 3 2 2 3 3" xfId="27998" xr:uid="{00000000-0005-0000-0000-0000246E0000}"/>
    <cellStyle name="Standard 4 4 6 3 2 2 4" xfId="27999" xr:uid="{00000000-0005-0000-0000-0000256E0000}"/>
    <cellStyle name="Standard 4 4 6 3 2 2 4 2" xfId="28000" xr:uid="{00000000-0005-0000-0000-0000266E0000}"/>
    <cellStyle name="Standard 4 4 6 3 2 2 5" xfId="28001" xr:uid="{00000000-0005-0000-0000-0000276E0000}"/>
    <cellStyle name="Standard 4 4 6 3 2 2 6" xfId="28002" xr:uid="{00000000-0005-0000-0000-0000286E0000}"/>
    <cellStyle name="Standard 4 4 6 3 2 3" xfId="28003" xr:uid="{00000000-0005-0000-0000-0000296E0000}"/>
    <cellStyle name="Standard 4 4 6 3 2 3 2" xfId="28004" xr:uid="{00000000-0005-0000-0000-00002A6E0000}"/>
    <cellStyle name="Standard 4 4 6 3 2 3 3" xfId="28005" xr:uid="{00000000-0005-0000-0000-00002B6E0000}"/>
    <cellStyle name="Standard 4 4 6 3 2 4" xfId="28006" xr:uid="{00000000-0005-0000-0000-00002C6E0000}"/>
    <cellStyle name="Standard 4 4 6 3 2 4 2" xfId="28007" xr:uid="{00000000-0005-0000-0000-00002D6E0000}"/>
    <cellStyle name="Standard 4 4 6 3 2 4 3" xfId="28008" xr:uid="{00000000-0005-0000-0000-00002E6E0000}"/>
    <cellStyle name="Standard 4 4 6 3 2 5" xfId="28009" xr:uid="{00000000-0005-0000-0000-00002F6E0000}"/>
    <cellStyle name="Standard 4 4 6 3 2 5 2" xfId="28010" xr:uid="{00000000-0005-0000-0000-0000306E0000}"/>
    <cellStyle name="Standard 4 4 6 3 2 6" xfId="28011" xr:uid="{00000000-0005-0000-0000-0000316E0000}"/>
    <cellStyle name="Standard 4 4 6 3 2 7" xfId="28012" xr:uid="{00000000-0005-0000-0000-0000326E0000}"/>
    <cellStyle name="Standard 4 4 6 3 3" xfId="28013" xr:uid="{00000000-0005-0000-0000-0000336E0000}"/>
    <cellStyle name="Standard 4 4 6 3 3 2" xfId="28014" xr:uid="{00000000-0005-0000-0000-0000346E0000}"/>
    <cellStyle name="Standard 4 4 6 3 3 2 2" xfId="28015" xr:uid="{00000000-0005-0000-0000-0000356E0000}"/>
    <cellStyle name="Standard 4 4 6 3 3 2 3" xfId="28016" xr:uid="{00000000-0005-0000-0000-0000366E0000}"/>
    <cellStyle name="Standard 4 4 6 3 3 3" xfId="28017" xr:uid="{00000000-0005-0000-0000-0000376E0000}"/>
    <cellStyle name="Standard 4 4 6 3 3 3 2" xfId="28018" xr:uid="{00000000-0005-0000-0000-0000386E0000}"/>
    <cellStyle name="Standard 4 4 6 3 3 3 3" xfId="28019" xr:uid="{00000000-0005-0000-0000-0000396E0000}"/>
    <cellStyle name="Standard 4 4 6 3 3 4" xfId="28020" xr:uid="{00000000-0005-0000-0000-00003A6E0000}"/>
    <cellStyle name="Standard 4 4 6 3 3 4 2" xfId="28021" xr:uid="{00000000-0005-0000-0000-00003B6E0000}"/>
    <cellStyle name="Standard 4 4 6 3 3 5" xfId="28022" xr:uid="{00000000-0005-0000-0000-00003C6E0000}"/>
    <cellStyle name="Standard 4 4 6 3 3 6" xfId="28023" xr:uid="{00000000-0005-0000-0000-00003D6E0000}"/>
    <cellStyle name="Standard 4 4 6 3 4" xfId="28024" xr:uid="{00000000-0005-0000-0000-00003E6E0000}"/>
    <cellStyle name="Standard 4 4 6 3 4 2" xfId="28025" xr:uid="{00000000-0005-0000-0000-00003F6E0000}"/>
    <cellStyle name="Standard 4 4 6 3 4 3" xfId="28026" xr:uid="{00000000-0005-0000-0000-0000406E0000}"/>
    <cellStyle name="Standard 4 4 6 3 5" xfId="28027" xr:uid="{00000000-0005-0000-0000-0000416E0000}"/>
    <cellStyle name="Standard 4 4 6 3 5 2" xfId="28028" xr:uid="{00000000-0005-0000-0000-0000426E0000}"/>
    <cellStyle name="Standard 4 4 6 3 5 3" xfId="28029" xr:uid="{00000000-0005-0000-0000-0000436E0000}"/>
    <cellStyle name="Standard 4 4 6 3 6" xfId="28030" xr:uid="{00000000-0005-0000-0000-0000446E0000}"/>
    <cellStyle name="Standard 4 4 6 3 6 2" xfId="28031" xr:uid="{00000000-0005-0000-0000-0000456E0000}"/>
    <cellStyle name="Standard 4 4 6 3 7" xfId="28032" xr:uid="{00000000-0005-0000-0000-0000466E0000}"/>
    <cellStyle name="Standard 4 4 6 3 8" xfId="28033" xr:uid="{00000000-0005-0000-0000-0000476E0000}"/>
    <cellStyle name="Standard 4 4 6 4" xfId="28034" xr:uid="{00000000-0005-0000-0000-0000486E0000}"/>
    <cellStyle name="Standard 4 4 6 4 2" xfId="28035" xr:uid="{00000000-0005-0000-0000-0000496E0000}"/>
    <cellStyle name="Standard 4 4 6 4 2 2" xfId="28036" xr:uid="{00000000-0005-0000-0000-00004A6E0000}"/>
    <cellStyle name="Standard 4 4 6 4 2 2 2" xfId="28037" xr:uid="{00000000-0005-0000-0000-00004B6E0000}"/>
    <cellStyle name="Standard 4 4 6 4 2 2 2 2" xfId="28038" xr:uid="{00000000-0005-0000-0000-00004C6E0000}"/>
    <cellStyle name="Standard 4 4 6 4 2 2 2 3" xfId="28039" xr:uid="{00000000-0005-0000-0000-00004D6E0000}"/>
    <cellStyle name="Standard 4 4 6 4 2 2 3" xfId="28040" xr:uid="{00000000-0005-0000-0000-00004E6E0000}"/>
    <cellStyle name="Standard 4 4 6 4 2 2 3 2" xfId="28041" xr:uid="{00000000-0005-0000-0000-00004F6E0000}"/>
    <cellStyle name="Standard 4 4 6 4 2 2 3 3" xfId="28042" xr:uid="{00000000-0005-0000-0000-0000506E0000}"/>
    <cellStyle name="Standard 4 4 6 4 2 2 4" xfId="28043" xr:uid="{00000000-0005-0000-0000-0000516E0000}"/>
    <cellStyle name="Standard 4 4 6 4 2 2 4 2" xfId="28044" xr:uid="{00000000-0005-0000-0000-0000526E0000}"/>
    <cellStyle name="Standard 4 4 6 4 2 2 5" xfId="28045" xr:uid="{00000000-0005-0000-0000-0000536E0000}"/>
    <cellStyle name="Standard 4 4 6 4 2 2 6" xfId="28046" xr:uid="{00000000-0005-0000-0000-0000546E0000}"/>
    <cellStyle name="Standard 4 4 6 4 2 3" xfId="28047" xr:uid="{00000000-0005-0000-0000-0000556E0000}"/>
    <cellStyle name="Standard 4 4 6 4 2 3 2" xfId="28048" xr:uid="{00000000-0005-0000-0000-0000566E0000}"/>
    <cellStyle name="Standard 4 4 6 4 2 3 3" xfId="28049" xr:uid="{00000000-0005-0000-0000-0000576E0000}"/>
    <cellStyle name="Standard 4 4 6 4 2 4" xfId="28050" xr:uid="{00000000-0005-0000-0000-0000586E0000}"/>
    <cellStyle name="Standard 4 4 6 4 2 4 2" xfId="28051" xr:uid="{00000000-0005-0000-0000-0000596E0000}"/>
    <cellStyle name="Standard 4 4 6 4 2 4 3" xfId="28052" xr:uid="{00000000-0005-0000-0000-00005A6E0000}"/>
    <cellStyle name="Standard 4 4 6 4 2 5" xfId="28053" xr:uid="{00000000-0005-0000-0000-00005B6E0000}"/>
    <cellStyle name="Standard 4 4 6 4 2 5 2" xfId="28054" xr:uid="{00000000-0005-0000-0000-00005C6E0000}"/>
    <cellStyle name="Standard 4 4 6 4 2 6" xfId="28055" xr:uid="{00000000-0005-0000-0000-00005D6E0000}"/>
    <cellStyle name="Standard 4 4 6 4 2 7" xfId="28056" xr:uid="{00000000-0005-0000-0000-00005E6E0000}"/>
    <cellStyle name="Standard 4 4 6 4 3" xfId="28057" xr:uid="{00000000-0005-0000-0000-00005F6E0000}"/>
    <cellStyle name="Standard 4 4 6 4 3 2" xfId="28058" xr:uid="{00000000-0005-0000-0000-0000606E0000}"/>
    <cellStyle name="Standard 4 4 6 4 3 2 2" xfId="28059" xr:uid="{00000000-0005-0000-0000-0000616E0000}"/>
    <cellStyle name="Standard 4 4 6 4 3 2 3" xfId="28060" xr:uid="{00000000-0005-0000-0000-0000626E0000}"/>
    <cellStyle name="Standard 4 4 6 4 3 3" xfId="28061" xr:uid="{00000000-0005-0000-0000-0000636E0000}"/>
    <cellStyle name="Standard 4 4 6 4 3 3 2" xfId="28062" xr:uid="{00000000-0005-0000-0000-0000646E0000}"/>
    <cellStyle name="Standard 4 4 6 4 3 3 3" xfId="28063" xr:uid="{00000000-0005-0000-0000-0000656E0000}"/>
    <cellStyle name="Standard 4 4 6 4 3 4" xfId="28064" xr:uid="{00000000-0005-0000-0000-0000666E0000}"/>
    <cellStyle name="Standard 4 4 6 4 3 4 2" xfId="28065" xr:uid="{00000000-0005-0000-0000-0000676E0000}"/>
    <cellStyle name="Standard 4 4 6 4 3 5" xfId="28066" xr:uid="{00000000-0005-0000-0000-0000686E0000}"/>
    <cellStyle name="Standard 4 4 6 4 3 6" xfId="28067" xr:uid="{00000000-0005-0000-0000-0000696E0000}"/>
    <cellStyle name="Standard 4 4 6 4 4" xfId="28068" xr:uid="{00000000-0005-0000-0000-00006A6E0000}"/>
    <cellStyle name="Standard 4 4 6 4 4 2" xfId="28069" xr:uid="{00000000-0005-0000-0000-00006B6E0000}"/>
    <cellStyle name="Standard 4 4 6 4 4 3" xfId="28070" xr:uid="{00000000-0005-0000-0000-00006C6E0000}"/>
    <cellStyle name="Standard 4 4 6 4 5" xfId="28071" xr:uid="{00000000-0005-0000-0000-00006D6E0000}"/>
    <cellStyle name="Standard 4 4 6 4 5 2" xfId="28072" xr:uid="{00000000-0005-0000-0000-00006E6E0000}"/>
    <cellStyle name="Standard 4 4 6 4 5 3" xfId="28073" xr:uid="{00000000-0005-0000-0000-00006F6E0000}"/>
    <cellStyle name="Standard 4 4 6 4 6" xfId="28074" xr:uid="{00000000-0005-0000-0000-0000706E0000}"/>
    <cellStyle name="Standard 4 4 6 4 6 2" xfId="28075" xr:uid="{00000000-0005-0000-0000-0000716E0000}"/>
    <cellStyle name="Standard 4 4 6 4 7" xfId="28076" xr:uid="{00000000-0005-0000-0000-0000726E0000}"/>
    <cellStyle name="Standard 4 4 6 4 8" xfId="28077" xr:uid="{00000000-0005-0000-0000-0000736E0000}"/>
    <cellStyle name="Standard 4 4 6 5" xfId="28078" xr:uid="{00000000-0005-0000-0000-0000746E0000}"/>
    <cellStyle name="Standard 4 4 6 5 2" xfId="28079" xr:uid="{00000000-0005-0000-0000-0000756E0000}"/>
    <cellStyle name="Standard 4 4 6 5 2 2" xfId="28080" xr:uid="{00000000-0005-0000-0000-0000766E0000}"/>
    <cellStyle name="Standard 4 4 6 5 2 2 2" xfId="28081" xr:uid="{00000000-0005-0000-0000-0000776E0000}"/>
    <cellStyle name="Standard 4 4 6 5 2 2 3" xfId="28082" xr:uid="{00000000-0005-0000-0000-0000786E0000}"/>
    <cellStyle name="Standard 4 4 6 5 2 3" xfId="28083" xr:uid="{00000000-0005-0000-0000-0000796E0000}"/>
    <cellStyle name="Standard 4 4 6 5 2 3 2" xfId="28084" xr:uid="{00000000-0005-0000-0000-00007A6E0000}"/>
    <cellStyle name="Standard 4 4 6 5 2 3 3" xfId="28085" xr:uid="{00000000-0005-0000-0000-00007B6E0000}"/>
    <cellStyle name="Standard 4 4 6 5 2 4" xfId="28086" xr:uid="{00000000-0005-0000-0000-00007C6E0000}"/>
    <cellStyle name="Standard 4 4 6 5 2 4 2" xfId="28087" xr:uid="{00000000-0005-0000-0000-00007D6E0000}"/>
    <cellStyle name="Standard 4 4 6 5 2 5" xfId="28088" xr:uid="{00000000-0005-0000-0000-00007E6E0000}"/>
    <cellStyle name="Standard 4 4 6 5 2 6" xfId="28089" xr:uid="{00000000-0005-0000-0000-00007F6E0000}"/>
    <cellStyle name="Standard 4 4 6 5 3" xfId="28090" xr:uid="{00000000-0005-0000-0000-0000806E0000}"/>
    <cellStyle name="Standard 4 4 6 5 3 2" xfId="28091" xr:uid="{00000000-0005-0000-0000-0000816E0000}"/>
    <cellStyle name="Standard 4 4 6 5 3 3" xfId="28092" xr:uid="{00000000-0005-0000-0000-0000826E0000}"/>
    <cellStyle name="Standard 4 4 6 5 4" xfId="28093" xr:uid="{00000000-0005-0000-0000-0000836E0000}"/>
    <cellStyle name="Standard 4 4 6 5 4 2" xfId="28094" xr:uid="{00000000-0005-0000-0000-0000846E0000}"/>
    <cellStyle name="Standard 4 4 6 5 4 3" xfId="28095" xr:uid="{00000000-0005-0000-0000-0000856E0000}"/>
    <cellStyle name="Standard 4 4 6 5 5" xfId="28096" xr:uid="{00000000-0005-0000-0000-0000866E0000}"/>
    <cellStyle name="Standard 4 4 6 5 5 2" xfId="28097" xr:uid="{00000000-0005-0000-0000-0000876E0000}"/>
    <cellStyle name="Standard 4 4 6 5 6" xfId="28098" xr:uid="{00000000-0005-0000-0000-0000886E0000}"/>
    <cellStyle name="Standard 4 4 6 5 7" xfId="28099" xr:uid="{00000000-0005-0000-0000-0000896E0000}"/>
    <cellStyle name="Standard 4 4 6 6" xfId="28100" xr:uid="{00000000-0005-0000-0000-00008A6E0000}"/>
    <cellStyle name="Standard 4 4 6 6 2" xfId="28101" xr:uid="{00000000-0005-0000-0000-00008B6E0000}"/>
    <cellStyle name="Standard 4 4 6 6 2 2" xfId="28102" xr:uid="{00000000-0005-0000-0000-00008C6E0000}"/>
    <cellStyle name="Standard 4 4 6 6 2 3" xfId="28103" xr:uid="{00000000-0005-0000-0000-00008D6E0000}"/>
    <cellStyle name="Standard 4 4 6 6 3" xfId="28104" xr:uid="{00000000-0005-0000-0000-00008E6E0000}"/>
    <cellStyle name="Standard 4 4 6 6 3 2" xfId="28105" xr:uid="{00000000-0005-0000-0000-00008F6E0000}"/>
    <cellStyle name="Standard 4 4 6 6 3 3" xfId="28106" xr:uid="{00000000-0005-0000-0000-0000906E0000}"/>
    <cellStyle name="Standard 4 4 6 6 4" xfId="28107" xr:uid="{00000000-0005-0000-0000-0000916E0000}"/>
    <cellStyle name="Standard 4 4 6 6 4 2" xfId="28108" xr:uid="{00000000-0005-0000-0000-0000926E0000}"/>
    <cellStyle name="Standard 4 4 6 6 5" xfId="28109" xr:uid="{00000000-0005-0000-0000-0000936E0000}"/>
    <cellStyle name="Standard 4 4 6 6 6" xfId="28110" xr:uid="{00000000-0005-0000-0000-0000946E0000}"/>
    <cellStyle name="Standard 4 4 6 7" xfId="28111" xr:uid="{00000000-0005-0000-0000-0000956E0000}"/>
    <cellStyle name="Standard 4 4 6 7 2" xfId="28112" xr:uid="{00000000-0005-0000-0000-0000966E0000}"/>
    <cellStyle name="Standard 4 4 6 7 3" xfId="28113" xr:uid="{00000000-0005-0000-0000-0000976E0000}"/>
    <cellStyle name="Standard 4 4 6 8" xfId="28114" xr:uid="{00000000-0005-0000-0000-0000986E0000}"/>
    <cellStyle name="Standard 4 4 6 8 2" xfId="28115" xr:uid="{00000000-0005-0000-0000-0000996E0000}"/>
    <cellStyle name="Standard 4 4 6 8 3" xfId="28116" xr:uid="{00000000-0005-0000-0000-00009A6E0000}"/>
    <cellStyle name="Standard 4 4 6 9" xfId="28117" xr:uid="{00000000-0005-0000-0000-00009B6E0000}"/>
    <cellStyle name="Standard 4 4 6 9 2" xfId="28118" xr:uid="{00000000-0005-0000-0000-00009C6E0000}"/>
    <cellStyle name="Standard 4 4 7" xfId="28119" xr:uid="{00000000-0005-0000-0000-00009D6E0000}"/>
    <cellStyle name="Standard 4 4 7 10" xfId="28120" xr:uid="{00000000-0005-0000-0000-00009E6E0000}"/>
    <cellStyle name="Standard 4 4 7 2" xfId="28121" xr:uid="{00000000-0005-0000-0000-00009F6E0000}"/>
    <cellStyle name="Standard 4 4 7 2 2" xfId="28122" xr:uid="{00000000-0005-0000-0000-0000A06E0000}"/>
    <cellStyle name="Standard 4 4 7 2 2 2" xfId="28123" xr:uid="{00000000-0005-0000-0000-0000A16E0000}"/>
    <cellStyle name="Standard 4 4 7 2 2 2 2" xfId="28124" xr:uid="{00000000-0005-0000-0000-0000A26E0000}"/>
    <cellStyle name="Standard 4 4 7 2 2 2 2 2" xfId="28125" xr:uid="{00000000-0005-0000-0000-0000A36E0000}"/>
    <cellStyle name="Standard 4 4 7 2 2 2 2 3" xfId="28126" xr:uid="{00000000-0005-0000-0000-0000A46E0000}"/>
    <cellStyle name="Standard 4 4 7 2 2 2 3" xfId="28127" xr:uid="{00000000-0005-0000-0000-0000A56E0000}"/>
    <cellStyle name="Standard 4 4 7 2 2 2 3 2" xfId="28128" xr:uid="{00000000-0005-0000-0000-0000A66E0000}"/>
    <cellStyle name="Standard 4 4 7 2 2 2 3 3" xfId="28129" xr:uid="{00000000-0005-0000-0000-0000A76E0000}"/>
    <cellStyle name="Standard 4 4 7 2 2 2 4" xfId="28130" xr:uid="{00000000-0005-0000-0000-0000A86E0000}"/>
    <cellStyle name="Standard 4 4 7 2 2 2 4 2" xfId="28131" xr:uid="{00000000-0005-0000-0000-0000A96E0000}"/>
    <cellStyle name="Standard 4 4 7 2 2 2 5" xfId="28132" xr:uid="{00000000-0005-0000-0000-0000AA6E0000}"/>
    <cellStyle name="Standard 4 4 7 2 2 2 6" xfId="28133" xr:uid="{00000000-0005-0000-0000-0000AB6E0000}"/>
    <cellStyle name="Standard 4 4 7 2 2 3" xfId="28134" xr:uid="{00000000-0005-0000-0000-0000AC6E0000}"/>
    <cellStyle name="Standard 4 4 7 2 2 3 2" xfId="28135" xr:uid="{00000000-0005-0000-0000-0000AD6E0000}"/>
    <cellStyle name="Standard 4 4 7 2 2 3 3" xfId="28136" xr:uid="{00000000-0005-0000-0000-0000AE6E0000}"/>
    <cellStyle name="Standard 4 4 7 2 2 4" xfId="28137" xr:uid="{00000000-0005-0000-0000-0000AF6E0000}"/>
    <cellStyle name="Standard 4 4 7 2 2 4 2" xfId="28138" xr:uid="{00000000-0005-0000-0000-0000B06E0000}"/>
    <cellStyle name="Standard 4 4 7 2 2 4 3" xfId="28139" xr:uid="{00000000-0005-0000-0000-0000B16E0000}"/>
    <cellStyle name="Standard 4 4 7 2 2 5" xfId="28140" xr:uid="{00000000-0005-0000-0000-0000B26E0000}"/>
    <cellStyle name="Standard 4 4 7 2 2 5 2" xfId="28141" xr:uid="{00000000-0005-0000-0000-0000B36E0000}"/>
    <cellStyle name="Standard 4 4 7 2 2 6" xfId="28142" xr:uid="{00000000-0005-0000-0000-0000B46E0000}"/>
    <cellStyle name="Standard 4 4 7 2 2 7" xfId="28143" xr:uid="{00000000-0005-0000-0000-0000B56E0000}"/>
    <cellStyle name="Standard 4 4 7 2 3" xfId="28144" xr:uid="{00000000-0005-0000-0000-0000B66E0000}"/>
    <cellStyle name="Standard 4 4 7 2 3 2" xfId="28145" xr:uid="{00000000-0005-0000-0000-0000B76E0000}"/>
    <cellStyle name="Standard 4 4 7 2 3 2 2" xfId="28146" xr:uid="{00000000-0005-0000-0000-0000B86E0000}"/>
    <cellStyle name="Standard 4 4 7 2 3 2 3" xfId="28147" xr:uid="{00000000-0005-0000-0000-0000B96E0000}"/>
    <cellStyle name="Standard 4 4 7 2 3 3" xfId="28148" xr:uid="{00000000-0005-0000-0000-0000BA6E0000}"/>
    <cellStyle name="Standard 4 4 7 2 3 3 2" xfId="28149" xr:uid="{00000000-0005-0000-0000-0000BB6E0000}"/>
    <cellStyle name="Standard 4 4 7 2 3 3 3" xfId="28150" xr:uid="{00000000-0005-0000-0000-0000BC6E0000}"/>
    <cellStyle name="Standard 4 4 7 2 3 4" xfId="28151" xr:uid="{00000000-0005-0000-0000-0000BD6E0000}"/>
    <cellStyle name="Standard 4 4 7 2 3 4 2" xfId="28152" xr:uid="{00000000-0005-0000-0000-0000BE6E0000}"/>
    <cellStyle name="Standard 4 4 7 2 3 5" xfId="28153" xr:uid="{00000000-0005-0000-0000-0000BF6E0000}"/>
    <cellStyle name="Standard 4 4 7 2 3 6" xfId="28154" xr:uid="{00000000-0005-0000-0000-0000C06E0000}"/>
    <cellStyle name="Standard 4 4 7 2 4" xfId="28155" xr:uid="{00000000-0005-0000-0000-0000C16E0000}"/>
    <cellStyle name="Standard 4 4 7 2 4 2" xfId="28156" xr:uid="{00000000-0005-0000-0000-0000C26E0000}"/>
    <cellStyle name="Standard 4 4 7 2 4 3" xfId="28157" xr:uid="{00000000-0005-0000-0000-0000C36E0000}"/>
    <cellStyle name="Standard 4 4 7 2 5" xfId="28158" xr:uid="{00000000-0005-0000-0000-0000C46E0000}"/>
    <cellStyle name="Standard 4 4 7 2 5 2" xfId="28159" xr:uid="{00000000-0005-0000-0000-0000C56E0000}"/>
    <cellStyle name="Standard 4 4 7 2 5 3" xfId="28160" xr:uid="{00000000-0005-0000-0000-0000C66E0000}"/>
    <cellStyle name="Standard 4 4 7 2 6" xfId="28161" xr:uid="{00000000-0005-0000-0000-0000C76E0000}"/>
    <cellStyle name="Standard 4 4 7 2 6 2" xfId="28162" xr:uid="{00000000-0005-0000-0000-0000C86E0000}"/>
    <cellStyle name="Standard 4 4 7 2 7" xfId="28163" xr:uid="{00000000-0005-0000-0000-0000C96E0000}"/>
    <cellStyle name="Standard 4 4 7 2 8" xfId="28164" xr:uid="{00000000-0005-0000-0000-0000CA6E0000}"/>
    <cellStyle name="Standard 4 4 7 3" xfId="28165" xr:uid="{00000000-0005-0000-0000-0000CB6E0000}"/>
    <cellStyle name="Standard 4 4 7 3 2" xfId="28166" xr:uid="{00000000-0005-0000-0000-0000CC6E0000}"/>
    <cellStyle name="Standard 4 4 7 3 2 2" xfId="28167" xr:uid="{00000000-0005-0000-0000-0000CD6E0000}"/>
    <cellStyle name="Standard 4 4 7 3 2 2 2" xfId="28168" xr:uid="{00000000-0005-0000-0000-0000CE6E0000}"/>
    <cellStyle name="Standard 4 4 7 3 2 2 2 2" xfId="28169" xr:uid="{00000000-0005-0000-0000-0000CF6E0000}"/>
    <cellStyle name="Standard 4 4 7 3 2 2 2 3" xfId="28170" xr:uid="{00000000-0005-0000-0000-0000D06E0000}"/>
    <cellStyle name="Standard 4 4 7 3 2 2 3" xfId="28171" xr:uid="{00000000-0005-0000-0000-0000D16E0000}"/>
    <cellStyle name="Standard 4 4 7 3 2 2 3 2" xfId="28172" xr:uid="{00000000-0005-0000-0000-0000D26E0000}"/>
    <cellStyle name="Standard 4 4 7 3 2 2 3 3" xfId="28173" xr:uid="{00000000-0005-0000-0000-0000D36E0000}"/>
    <cellStyle name="Standard 4 4 7 3 2 2 4" xfId="28174" xr:uid="{00000000-0005-0000-0000-0000D46E0000}"/>
    <cellStyle name="Standard 4 4 7 3 2 2 4 2" xfId="28175" xr:uid="{00000000-0005-0000-0000-0000D56E0000}"/>
    <cellStyle name="Standard 4 4 7 3 2 2 5" xfId="28176" xr:uid="{00000000-0005-0000-0000-0000D66E0000}"/>
    <cellStyle name="Standard 4 4 7 3 2 2 6" xfId="28177" xr:uid="{00000000-0005-0000-0000-0000D76E0000}"/>
    <cellStyle name="Standard 4 4 7 3 2 3" xfId="28178" xr:uid="{00000000-0005-0000-0000-0000D86E0000}"/>
    <cellStyle name="Standard 4 4 7 3 2 3 2" xfId="28179" xr:uid="{00000000-0005-0000-0000-0000D96E0000}"/>
    <cellStyle name="Standard 4 4 7 3 2 3 3" xfId="28180" xr:uid="{00000000-0005-0000-0000-0000DA6E0000}"/>
    <cellStyle name="Standard 4 4 7 3 2 4" xfId="28181" xr:uid="{00000000-0005-0000-0000-0000DB6E0000}"/>
    <cellStyle name="Standard 4 4 7 3 2 4 2" xfId="28182" xr:uid="{00000000-0005-0000-0000-0000DC6E0000}"/>
    <cellStyle name="Standard 4 4 7 3 2 4 3" xfId="28183" xr:uid="{00000000-0005-0000-0000-0000DD6E0000}"/>
    <cellStyle name="Standard 4 4 7 3 2 5" xfId="28184" xr:uid="{00000000-0005-0000-0000-0000DE6E0000}"/>
    <cellStyle name="Standard 4 4 7 3 2 5 2" xfId="28185" xr:uid="{00000000-0005-0000-0000-0000DF6E0000}"/>
    <cellStyle name="Standard 4 4 7 3 2 6" xfId="28186" xr:uid="{00000000-0005-0000-0000-0000E06E0000}"/>
    <cellStyle name="Standard 4 4 7 3 2 7" xfId="28187" xr:uid="{00000000-0005-0000-0000-0000E16E0000}"/>
    <cellStyle name="Standard 4 4 7 3 3" xfId="28188" xr:uid="{00000000-0005-0000-0000-0000E26E0000}"/>
    <cellStyle name="Standard 4 4 7 3 3 2" xfId="28189" xr:uid="{00000000-0005-0000-0000-0000E36E0000}"/>
    <cellStyle name="Standard 4 4 7 3 3 2 2" xfId="28190" xr:uid="{00000000-0005-0000-0000-0000E46E0000}"/>
    <cellStyle name="Standard 4 4 7 3 3 2 3" xfId="28191" xr:uid="{00000000-0005-0000-0000-0000E56E0000}"/>
    <cellStyle name="Standard 4 4 7 3 3 3" xfId="28192" xr:uid="{00000000-0005-0000-0000-0000E66E0000}"/>
    <cellStyle name="Standard 4 4 7 3 3 3 2" xfId="28193" xr:uid="{00000000-0005-0000-0000-0000E76E0000}"/>
    <cellStyle name="Standard 4 4 7 3 3 3 3" xfId="28194" xr:uid="{00000000-0005-0000-0000-0000E86E0000}"/>
    <cellStyle name="Standard 4 4 7 3 3 4" xfId="28195" xr:uid="{00000000-0005-0000-0000-0000E96E0000}"/>
    <cellStyle name="Standard 4 4 7 3 3 4 2" xfId="28196" xr:uid="{00000000-0005-0000-0000-0000EA6E0000}"/>
    <cellStyle name="Standard 4 4 7 3 3 5" xfId="28197" xr:uid="{00000000-0005-0000-0000-0000EB6E0000}"/>
    <cellStyle name="Standard 4 4 7 3 3 6" xfId="28198" xr:uid="{00000000-0005-0000-0000-0000EC6E0000}"/>
    <cellStyle name="Standard 4 4 7 3 4" xfId="28199" xr:uid="{00000000-0005-0000-0000-0000ED6E0000}"/>
    <cellStyle name="Standard 4 4 7 3 4 2" xfId="28200" xr:uid="{00000000-0005-0000-0000-0000EE6E0000}"/>
    <cellStyle name="Standard 4 4 7 3 4 3" xfId="28201" xr:uid="{00000000-0005-0000-0000-0000EF6E0000}"/>
    <cellStyle name="Standard 4 4 7 3 5" xfId="28202" xr:uid="{00000000-0005-0000-0000-0000F06E0000}"/>
    <cellStyle name="Standard 4 4 7 3 5 2" xfId="28203" xr:uid="{00000000-0005-0000-0000-0000F16E0000}"/>
    <cellStyle name="Standard 4 4 7 3 5 3" xfId="28204" xr:uid="{00000000-0005-0000-0000-0000F26E0000}"/>
    <cellStyle name="Standard 4 4 7 3 6" xfId="28205" xr:uid="{00000000-0005-0000-0000-0000F36E0000}"/>
    <cellStyle name="Standard 4 4 7 3 6 2" xfId="28206" xr:uid="{00000000-0005-0000-0000-0000F46E0000}"/>
    <cellStyle name="Standard 4 4 7 3 7" xfId="28207" xr:uid="{00000000-0005-0000-0000-0000F56E0000}"/>
    <cellStyle name="Standard 4 4 7 3 8" xfId="28208" xr:uid="{00000000-0005-0000-0000-0000F66E0000}"/>
    <cellStyle name="Standard 4 4 7 4" xfId="28209" xr:uid="{00000000-0005-0000-0000-0000F76E0000}"/>
    <cellStyle name="Standard 4 4 7 4 2" xfId="28210" xr:uid="{00000000-0005-0000-0000-0000F86E0000}"/>
    <cellStyle name="Standard 4 4 7 4 2 2" xfId="28211" xr:uid="{00000000-0005-0000-0000-0000F96E0000}"/>
    <cellStyle name="Standard 4 4 7 4 2 2 2" xfId="28212" xr:uid="{00000000-0005-0000-0000-0000FA6E0000}"/>
    <cellStyle name="Standard 4 4 7 4 2 2 3" xfId="28213" xr:uid="{00000000-0005-0000-0000-0000FB6E0000}"/>
    <cellStyle name="Standard 4 4 7 4 2 3" xfId="28214" xr:uid="{00000000-0005-0000-0000-0000FC6E0000}"/>
    <cellStyle name="Standard 4 4 7 4 2 3 2" xfId="28215" xr:uid="{00000000-0005-0000-0000-0000FD6E0000}"/>
    <cellStyle name="Standard 4 4 7 4 2 3 3" xfId="28216" xr:uid="{00000000-0005-0000-0000-0000FE6E0000}"/>
    <cellStyle name="Standard 4 4 7 4 2 4" xfId="28217" xr:uid="{00000000-0005-0000-0000-0000FF6E0000}"/>
    <cellStyle name="Standard 4 4 7 4 2 4 2" xfId="28218" xr:uid="{00000000-0005-0000-0000-0000006F0000}"/>
    <cellStyle name="Standard 4 4 7 4 2 5" xfId="28219" xr:uid="{00000000-0005-0000-0000-0000016F0000}"/>
    <cellStyle name="Standard 4 4 7 4 2 6" xfId="28220" xr:uid="{00000000-0005-0000-0000-0000026F0000}"/>
    <cellStyle name="Standard 4 4 7 4 3" xfId="28221" xr:uid="{00000000-0005-0000-0000-0000036F0000}"/>
    <cellStyle name="Standard 4 4 7 4 3 2" xfId="28222" xr:uid="{00000000-0005-0000-0000-0000046F0000}"/>
    <cellStyle name="Standard 4 4 7 4 3 3" xfId="28223" xr:uid="{00000000-0005-0000-0000-0000056F0000}"/>
    <cellStyle name="Standard 4 4 7 4 4" xfId="28224" xr:uid="{00000000-0005-0000-0000-0000066F0000}"/>
    <cellStyle name="Standard 4 4 7 4 4 2" xfId="28225" xr:uid="{00000000-0005-0000-0000-0000076F0000}"/>
    <cellStyle name="Standard 4 4 7 4 4 3" xfId="28226" xr:uid="{00000000-0005-0000-0000-0000086F0000}"/>
    <cellStyle name="Standard 4 4 7 4 5" xfId="28227" xr:uid="{00000000-0005-0000-0000-0000096F0000}"/>
    <cellStyle name="Standard 4 4 7 4 5 2" xfId="28228" xr:uid="{00000000-0005-0000-0000-00000A6F0000}"/>
    <cellStyle name="Standard 4 4 7 4 6" xfId="28229" xr:uid="{00000000-0005-0000-0000-00000B6F0000}"/>
    <cellStyle name="Standard 4 4 7 4 7" xfId="28230" xr:uid="{00000000-0005-0000-0000-00000C6F0000}"/>
    <cellStyle name="Standard 4 4 7 5" xfId="28231" xr:uid="{00000000-0005-0000-0000-00000D6F0000}"/>
    <cellStyle name="Standard 4 4 7 5 2" xfId="28232" xr:uid="{00000000-0005-0000-0000-00000E6F0000}"/>
    <cellStyle name="Standard 4 4 7 5 2 2" xfId="28233" xr:uid="{00000000-0005-0000-0000-00000F6F0000}"/>
    <cellStyle name="Standard 4 4 7 5 2 3" xfId="28234" xr:uid="{00000000-0005-0000-0000-0000106F0000}"/>
    <cellStyle name="Standard 4 4 7 5 3" xfId="28235" xr:uid="{00000000-0005-0000-0000-0000116F0000}"/>
    <cellStyle name="Standard 4 4 7 5 3 2" xfId="28236" xr:uid="{00000000-0005-0000-0000-0000126F0000}"/>
    <cellStyle name="Standard 4 4 7 5 3 3" xfId="28237" xr:uid="{00000000-0005-0000-0000-0000136F0000}"/>
    <cellStyle name="Standard 4 4 7 5 4" xfId="28238" xr:uid="{00000000-0005-0000-0000-0000146F0000}"/>
    <cellStyle name="Standard 4 4 7 5 4 2" xfId="28239" xr:uid="{00000000-0005-0000-0000-0000156F0000}"/>
    <cellStyle name="Standard 4 4 7 5 5" xfId="28240" xr:uid="{00000000-0005-0000-0000-0000166F0000}"/>
    <cellStyle name="Standard 4 4 7 5 6" xfId="28241" xr:uid="{00000000-0005-0000-0000-0000176F0000}"/>
    <cellStyle name="Standard 4 4 7 6" xfId="28242" xr:uid="{00000000-0005-0000-0000-0000186F0000}"/>
    <cellStyle name="Standard 4 4 7 6 2" xfId="28243" xr:uid="{00000000-0005-0000-0000-0000196F0000}"/>
    <cellStyle name="Standard 4 4 7 6 3" xfId="28244" xr:uid="{00000000-0005-0000-0000-00001A6F0000}"/>
    <cellStyle name="Standard 4 4 7 7" xfId="28245" xr:uid="{00000000-0005-0000-0000-00001B6F0000}"/>
    <cellStyle name="Standard 4 4 7 7 2" xfId="28246" xr:uid="{00000000-0005-0000-0000-00001C6F0000}"/>
    <cellStyle name="Standard 4 4 7 7 3" xfId="28247" xr:uid="{00000000-0005-0000-0000-00001D6F0000}"/>
    <cellStyle name="Standard 4 4 7 8" xfId="28248" xr:uid="{00000000-0005-0000-0000-00001E6F0000}"/>
    <cellStyle name="Standard 4 4 7 8 2" xfId="28249" xr:uid="{00000000-0005-0000-0000-00001F6F0000}"/>
    <cellStyle name="Standard 4 4 7 9" xfId="28250" xr:uid="{00000000-0005-0000-0000-0000206F0000}"/>
    <cellStyle name="Standard 4 4 8" xfId="28251" xr:uid="{00000000-0005-0000-0000-0000216F0000}"/>
    <cellStyle name="Standard 4 4 8 2" xfId="28252" xr:uid="{00000000-0005-0000-0000-0000226F0000}"/>
    <cellStyle name="Standard 4 4 8 2 2" xfId="28253" xr:uid="{00000000-0005-0000-0000-0000236F0000}"/>
    <cellStyle name="Standard 4 4 8 2 2 2" xfId="28254" xr:uid="{00000000-0005-0000-0000-0000246F0000}"/>
    <cellStyle name="Standard 4 4 8 2 2 2 2" xfId="28255" xr:uid="{00000000-0005-0000-0000-0000256F0000}"/>
    <cellStyle name="Standard 4 4 8 2 2 2 2 2" xfId="28256" xr:uid="{00000000-0005-0000-0000-0000266F0000}"/>
    <cellStyle name="Standard 4 4 8 2 2 2 2 3" xfId="28257" xr:uid="{00000000-0005-0000-0000-0000276F0000}"/>
    <cellStyle name="Standard 4 4 8 2 2 2 3" xfId="28258" xr:uid="{00000000-0005-0000-0000-0000286F0000}"/>
    <cellStyle name="Standard 4 4 8 2 2 2 3 2" xfId="28259" xr:uid="{00000000-0005-0000-0000-0000296F0000}"/>
    <cellStyle name="Standard 4 4 8 2 2 2 3 3" xfId="28260" xr:uid="{00000000-0005-0000-0000-00002A6F0000}"/>
    <cellStyle name="Standard 4 4 8 2 2 2 4" xfId="28261" xr:uid="{00000000-0005-0000-0000-00002B6F0000}"/>
    <cellStyle name="Standard 4 4 8 2 2 2 4 2" xfId="28262" xr:uid="{00000000-0005-0000-0000-00002C6F0000}"/>
    <cellStyle name="Standard 4 4 8 2 2 2 5" xfId="28263" xr:uid="{00000000-0005-0000-0000-00002D6F0000}"/>
    <cellStyle name="Standard 4 4 8 2 2 2 6" xfId="28264" xr:uid="{00000000-0005-0000-0000-00002E6F0000}"/>
    <cellStyle name="Standard 4 4 8 2 2 3" xfId="28265" xr:uid="{00000000-0005-0000-0000-00002F6F0000}"/>
    <cellStyle name="Standard 4 4 8 2 2 3 2" xfId="28266" xr:uid="{00000000-0005-0000-0000-0000306F0000}"/>
    <cellStyle name="Standard 4 4 8 2 2 3 3" xfId="28267" xr:uid="{00000000-0005-0000-0000-0000316F0000}"/>
    <cellStyle name="Standard 4 4 8 2 2 4" xfId="28268" xr:uid="{00000000-0005-0000-0000-0000326F0000}"/>
    <cellStyle name="Standard 4 4 8 2 2 4 2" xfId="28269" xr:uid="{00000000-0005-0000-0000-0000336F0000}"/>
    <cellStyle name="Standard 4 4 8 2 2 4 3" xfId="28270" xr:uid="{00000000-0005-0000-0000-0000346F0000}"/>
    <cellStyle name="Standard 4 4 8 2 2 5" xfId="28271" xr:uid="{00000000-0005-0000-0000-0000356F0000}"/>
    <cellStyle name="Standard 4 4 8 2 2 5 2" xfId="28272" xr:uid="{00000000-0005-0000-0000-0000366F0000}"/>
    <cellStyle name="Standard 4 4 8 2 2 6" xfId="28273" xr:uid="{00000000-0005-0000-0000-0000376F0000}"/>
    <cellStyle name="Standard 4 4 8 2 2 7" xfId="28274" xr:uid="{00000000-0005-0000-0000-0000386F0000}"/>
    <cellStyle name="Standard 4 4 8 2 3" xfId="28275" xr:uid="{00000000-0005-0000-0000-0000396F0000}"/>
    <cellStyle name="Standard 4 4 8 2 3 2" xfId="28276" xr:uid="{00000000-0005-0000-0000-00003A6F0000}"/>
    <cellStyle name="Standard 4 4 8 2 3 2 2" xfId="28277" xr:uid="{00000000-0005-0000-0000-00003B6F0000}"/>
    <cellStyle name="Standard 4 4 8 2 3 2 3" xfId="28278" xr:uid="{00000000-0005-0000-0000-00003C6F0000}"/>
    <cellStyle name="Standard 4 4 8 2 3 3" xfId="28279" xr:uid="{00000000-0005-0000-0000-00003D6F0000}"/>
    <cellStyle name="Standard 4 4 8 2 3 3 2" xfId="28280" xr:uid="{00000000-0005-0000-0000-00003E6F0000}"/>
    <cellStyle name="Standard 4 4 8 2 3 3 3" xfId="28281" xr:uid="{00000000-0005-0000-0000-00003F6F0000}"/>
    <cellStyle name="Standard 4 4 8 2 3 4" xfId="28282" xr:uid="{00000000-0005-0000-0000-0000406F0000}"/>
    <cellStyle name="Standard 4 4 8 2 3 4 2" xfId="28283" xr:uid="{00000000-0005-0000-0000-0000416F0000}"/>
    <cellStyle name="Standard 4 4 8 2 3 5" xfId="28284" xr:uid="{00000000-0005-0000-0000-0000426F0000}"/>
    <cellStyle name="Standard 4 4 8 2 3 6" xfId="28285" xr:uid="{00000000-0005-0000-0000-0000436F0000}"/>
    <cellStyle name="Standard 4 4 8 2 4" xfId="28286" xr:uid="{00000000-0005-0000-0000-0000446F0000}"/>
    <cellStyle name="Standard 4 4 8 2 4 2" xfId="28287" xr:uid="{00000000-0005-0000-0000-0000456F0000}"/>
    <cellStyle name="Standard 4 4 8 2 4 3" xfId="28288" xr:uid="{00000000-0005-0000-0000-0000466F0000}"/>
    <cellStyle name="Standard 4 4 8 2 5" xfId="28289" xr:uid="{00000000-0005-0000-0000-0000476F0000}"/>
    <cellStyle name="Standard 4 4 8 2 5 2" xfId="28290" xr:uid="{00000000-0005-0000-0000-0000486F0000}"/>
    <cellStyle name="Standard 4 4 8 2 5 3" xfId="28291" xr:uid="{00000000-0005-0000-0000-0000496F0000}"/>
    <cellStyle name="Standard 4 4 8 2 6" xfId="28292" xr:uid="{00000000-0005-0000-0000-00004A6F0000}"/>
    <cellStyle name="Standard 4 4 8 2 6 2" xfId="28293" xr:uid="{00000000-0005-0000-0000-00004B6F0000}"/>
    <cellStyle name="Standard 4 4 8 2 7" xfId="28294" xr:uid="{00000000-0005-0000-0000-00004C6F0000}"/>
    <cellStyle name="Standard 4 4 8 2 8" xfId="28295" xr:uid="{00000000-0005-0000-0000-00004D6F0000}"/>
    <cellStyle name="Standard 4 4 8 3" xfId="28296" xr:uid="{00000000-0005-0000-0000-00004E6F0000}"/>
    <cellStyle name="Standard 4 4 8 3 2" xfId="28297" xr:uid="{00000000-0005-0000-0000-00004F6F0000}"/>
    <cellStyle name="Standard 4 4 8 3 2 2" xfId="28298" xr:uid="{00000000-0005-0000-0000-0000506F0000}"/>
    <cellStyle name="Standard 4 4 8 3 2 2 2" xfId="28299" xr:uid="{00000000-0005-0000-0000-0000516F0000}"/>
    <cellStyle name="Standard 4 4 8 3 2 2 3" xfId="28300" xr:uid="{00000000-0005-0000-0000-0000526F0000}"/>
    <cellStyle name="Standard 4 4 8 3 2 3" xfId="28301" xr:uid="{00000000-0005-0000-0000-0000536F0000}"/>
    <cellStyle name="Standard 4 4 8 3 2 3 2" xfId="28302" xr:uid="{00000000-0005-0000-0000-0000546F0000}"/>
    <cellStyle name="Standard 4 4 8 3 2 3 3" xfId="28303" xr:uid="{00000000-0005-0000-0000-0000556F0000}"/>
    <cellStyle name="Standard 4 4 8 3 2 4" xfId="28304" xr:uid="{00000000-0005-0000-0000-0000566F0000}"/>
    <cellStyle name="Standard 4 4 8 3 2 4 2" xfId="28305" xr:uid="{00000000-0005-0000-0000-0000576F0000}"/>
    <cellStyle name="Standard 4 4 8 3 2 5" xfId="28306" xr:uid="{00000000-0005-0000-0000-0000586F0000}"/>
    <cellStyle name="Standard 4 4 8 3 2 6" xfId="28307" xr:uid="{00000000-0005-0000-0000-0000596F0000}"/>
    <cellStyle name="Standard 4 4 8 3 3" xfId="28308" xr:uid="{00000000-0005-0000-0000-00005A6F0000}"/>
    <cellStyle name="Standard 4 4 8 3 3 2" xfId="28309" xr:uid="{00000000-0005-0000-0000-00005B6F0000}"/>
    <cellStyle name="Standard 4 4 8 3 3 3" xfId="28310" xr:uid="{00000000-0005-0000-0000-00005C6F0000}"/>
    <cellStyle name="Standard 4 4 8 3 4" xfId="28311" xr:uid="{00000000-0005-0000-0000-00005D6F0000}"/>
    <cellStyle name="Standard 4 4 8 3 4 2" xfId="28312" xr:uid="{00000000-0005-0000-0000-00005E6F0000}"/>
    <cellStyle name="Standard 4 4 8 3 4 3" xfId="28313" xr:uid="{00000000-0005-0000-0000-00005F6F0000}"/>
    <cellStyle name="Standard 4 4 8 3 5" xfId="28314" xr:uid="{00000000-0005-0000-0000-0000606F0000}"/>
    <cellStyle name="Standard 4 4 8 3 5 2" xfId="28315" xr:uid="{00000000-0005-0000-0000-0000616F0000}"/>
    <cellStyle name="Standard 4 4 8 3 6" xfId="28316" xr:uid="{00000000-0005-0000-0000-0000626F0000}"/>
    <cellStyle name="Standard 4 4 8 3 7" xfId="28317" xr:uid="{00000000-0005-0000-0000-0000636F0000}"/>
    <cellStyle name="Standard 4 4 8 4" xfId="28318" xr:uid="{00000000-0005-0000-0000-0000646F0000}"/>
    <cellStyle name="Standard 4 4 8 4 2" xfId="28319" xr:uid="{00000000-0005-0000-0000-0000656F0000}"/>
    <cellStyle name="Standard 4 4 8 4 2 2" xfId="28320" xr:uid="{00000000-0005-0000-0000-0000666F0000}"/>
    <cellStyle name="Standard 4 4 8 4 2 3" xfId="28321" xr:uid="{00000000-0005-0000-0000-0000676F0000}"/>
    <cellStyle name="Standard 4 4 8 4 3" xfId="28322" xr:uid="{00000000-0005-0000-0000-0000686F0000}"/>
    <cellStyle name="Standard 4 4 8 4 3 2" xfId="28323" xr:uid="{00000000-0005-0000-0000-0000696F0000}"/>
    <cellStyle name="Standard 4 4 8 4 3 3" xfId="28324" xr:uid="{00000000-0005-0000-0000-00006A6F0000}"/>
    <cellStyle name="Standard 4 4 8 4 4" xfId="28325" xr:uid="{00000000-0005-0000-0000-00006B6F0000}"/>
    <cellStyle name="Standard 4 4 8 4 4 2" xfId="28326" xr:uid="{00000000-0005-0000-0000-00006C6F0000}"/>
    <cellStyle name="Standard 4 4 8 4 5" xfId="28327" xr:uid="{00000000-0005-0000-0000-00006D6F0000}"/>
    <cellStyle name="Standard 4 4 8 4 6" xfId="28328" xr:uid="{00000000-0005-0000-0000-00006E6F0000}"/>
    <cellStyle name="Standard 4 4 8 5" xfId="28329" xr:uid="{00000000-0005-0000-0000-00006F6F0000}"/>
    <cellStyle name="Standard 4 4 8 5 2" xfId="28330" xr:uid="{00000000-0005-0000-0000-0000706F0000}"/>
    <cellStyle name="Standard 4 4 8 5 3" xfId="28331" xr:uid="{00000000-0005-0000-0000-0000716F0000}"/>
    <cellStyle name="Standard 4 4 8 6" xfId="28332" xr:uid="{00000000-0005-0000-0000-0000726F0000}"/>
    <cellStyle name="Standard 4 4 8 6 2" xfId="28333" xr:uid="{00000000-0005-0000-0000-0000736F0000}"/>
    <cellStyle name="Standard 4 4 8 6 3" xfId="28334" xr:uid="{00000000-0005-0000-0000-0000746F0000}"/>
    <cellStyle name="Standard 4 4 8 7" xfId="28335" xr:uid="{00000000-0005-0000-0000-0000756F0000}"/>
    <cellStyle name="Standard 4 4 8 7 2" xfId="28336" xr:uid="{00000000-0005-0000-0000-0000766F0000}"/>
    <cellStyle name="Standard 4 4 8 8" xfId="28337" xr:uid="{00000000-0005-0000-0000-0000776F0000}"/>
    <cellStyle name="Standard 4 4 8 9" xfId="28338" xr:uid="{00000000-0005-0000-0000-0000786F0000}"/>
    <cellStyle name="Standard 4 4 9" xfId="28339" xr:uid="{00000000-0005-0000-0000-0000796F0000}"/>
    <cellStyle name="Standard 4 4 9 2" xfId="28340" xr:uid="{00000000-0005-0000-0000-00007A6F0000}"/>
    <cellStyle name="Standard 4 4 9 2 2" xfId="28341" xr:uid="{00000000-0005-0000-0000-00007B6F0000}"/>
    <cellStyle name="Standard 4 4 9 2 2 2" xfId="28342" xr:uid="{00000000-0005-0000-0000-00007C6F0000}"/>
    <cellStyle name="Standard 4 4 9 2 2 2 2" xfId="28343" xr:uid="{00000000-0005-0000-0000-00007D6F0000}"/>
    <cellStyle name="Standard 4 4 9 2 2 2 3" xfId="28344" xr:uid="{00000000-0005-0000-0000-00007E6F0000}"/>
    <cellStyle name="Standard 4 4 9 2 2 3" xfId="28345" xr:uid="{00000000-0005-0000-0000-00007F6F0000}"/>
    <cellStyle name="Standard 4 4 9 2 2 3 2" xfId="28346" xr:uid="{00000000-0005-0000-0000-0000806F0000}"/>
    <cellStyle name="Standard 4 4 9 2 2 3 3" xfId="28347" xr:uid="{00000000-0005-0000-0000-0000816F0000}"/>
    <cellStyle name="Standard 4 4 9 2 2 4" xfId="28348" xr:uid="{00000000-0005-0000-0000-0000826F0000}"/>
    <cellStyle name="Standard 4 4 9 2 2 4 2" xfId="28349" xr:uid="{00000000-0005-0000-0000-0000836F0000}"/>
    <cellStyle name="Standard 4 4 9 2 2 5" xfId="28350" xr:uid="{00000000-0005-0000-0000-0000846F0000}"/>
    <cellStyle name="Standard 4 4 9 2 2 6" xfId="28351" xr:uid="{00000000-0005-0000-0000-0000856F0000}"/>
    <cellStyle name="Standard 4 4 9 2 3" xfId="28352" xr:uid="{00000000-0005-0000-0000-0000866F0000}"/>
    <cellStyle name="Standard 4 4 9 2 3 2" xfId="28353" xr:uid="{00000000-0005-0000-0000-0000876F0000}"/>
    <cellStyle name="Standard 4 4 9 2 3 3" xfId="28354" xr:uid="{00000000-0005-0000-0000-0000886F0000}"/>
    <cellStyle name="Standard 4 4 9 2 4" xfId="28355" xr:uid="{00000000-0005-0000-0000-0000896F0000}"/>
    <cellStyle name="Standard 4 4 9 2 4 2" xfId="28356" xr:uid="{00000000-0005-0000-0000-00008A6F0000}"/>
    <cellStyle name="Standard 4 4 9 2 4 3" xfId="28357" xr:uid="{00000000-0005-0000-0000-00008B6F0000}"/>
    <cellStyle name="Standard 4 4 9 2 5" xfId="28358" xr:uid="{00000000-0005-0000-0000-00008C6F0000}"/>
    <cellStyle name="Standard 4 4 9 2 5 2" xfId="28359" xr:uid="{00000000-0005-0000-0000-00008D6F0000}"/>
    <cellStyle name="Standard 4 4 9 2 6" xfId="28360" xr:uid="{00000000-0005-0000-0000-00008E6F0000}"/>
    <cellStyle name="Standard 4 4 9 2 7" xfId="28361" xr:uid="{00000000-0005-0000-0000-00008F6F0000}"/>
    <cellStyle name="Standard 4 4 9 3" xfId="28362" xr:uid="{00000000-0005-0000-0000-0000906F0000}"/>
    <cellStyle name="Standard 4 4 9 3 2" xfId="28363" xr:uid="{00000000-0005-0000-0000-0000916F0000}"/>
    <cellStyle name="Standard 4 4 9 3 2 2" xfId="28364" xr:uid="{00000000-0005-0000-0000-0000926F0000}"/>
    <cellStyle name="Standard 4 4 9 3 2 3" xfId="28365" xr:uid="{00000000-0005-0000-0000-0000936F0000}"/>
    <cellStyle name="Standard 4 4 9 3 3" xfId="28366" xr:uid="{00000000-0005-0000-0000-0000946F0000}"/>
    <cellStyle name="Standard 4 4 9 3 3 2" xfId="28367" xr:uid="{00000000-0005-0000-0000-0000956F0000}"/>
    <cellStyle name="Standard 4 4 9 3 3 3" xfId="28368" xr:uid="{00000000-0005-0000-0000-0000966F0000}"/>
    <cellStyle name="Standard 4 4 9 3 4" xfId="28369" xr:uid="{00000000-0005-0000-0000-0000976F0000}"/>
    <cellStyle name="Standard 4 4 9 3 4 2" xfId="28370" xr:uid="{00000000-0005-0000-0000-0000986F0000}"/>
    <cellStyle name="Standard 4 4 9 3 5" xfId="28371" xr:uid="{00000000-0005-0000-0000-0000996F0000}"/>
    <cellStyle name="Standard 4 4 9 3 6" xfId="28372" xr:uid="{00000000-0005-0000-0000-00009A6F0000}"/>
    <cellStyle name="Standard 4 4 9 4" xfId="28373" xr:uid="{00000000-0005-0000-0000-00009B6F0000}"/>
    <cellStyle name="Standard 4 4 9 4 2" xfId="28374" xr:uid="{00000000-0005-0000-0000-00009C6F0000}"/>
    <cellStyle name="Standard 4 4 9 4 3" xfId="28375" xr:uid="{00000000-0005-0000-0000-00009D6F0000}"/>
    <cellStyle name="Standard 4 4 9 5" xfId="28376" xr:uid="{00000000-0005-0000-0000-00009E6F0000}"/>
    <cellStyle name="Standard 4 4 9 5 2" xfId="28377" xr:uid="{00000000-0005-0000-0000-00009F6F0000}"/>
    <cellStyle name="Standard 4 4 9 5 3" xfId="28378" xr:uid="{00000000-0005-0000-0000-0000A06F0000}"/>
    <cellStyle name="Standard 4 4 9 6" xfId="28379" xr:uid="{00000000-0005-0000-0000-0000A16F0000}"/>
    <cellStyle name="Standard 4 4 9 6 2" xfId="28380" xr:uid="{00000000-0005-0000-0000-0000A26F0000}"/>
    <cellStyle name="Standard 4 4 9 7" xfId="28381" xr:uid="{00000000-0005-0000-0000-0000A36F0000}"/>
    <cellStyle name="Standard 4 4 9 8" xfId="28382" xr:uid="{00000000-0005-0000-0000-0000A46F0000}"/>
    <cellStyle name="Standard 4 5" xfId="590" xr:uid="{00000000-0005-0000-0000-0000A56F0000}"/>
    <cellStyle name="Standard 4 5 10" xfId="28383" xr:uid="{00000000-0005-0000-0000-0000A66F0000}"/>
    <cellStyle name="Standard 4 5 10 2" xfId="28384" xr:uid="{00000000-0005-0000-0000-0000A76F0000}"/>
    <cellStyle name="Standard 4 5 10 3" xfId="28385" xr:uid="{00000000-0005-0000-0000-0000A86F0000}"/>
    <cellStyle name="Standard 4 5 11" xfId="28386" xr:uid="{00000000-0005-0000-0000-0000A96F0000}"/>
    <cellStyle name="Standard 4 5 11 2" xfId="28387" xr:uid="{00000000-0005-0000-0000-0000AA6F0000}"/>
    <cellStyle name="Standard 4 5 11 3" xfId="28388" xr:uid="{00000000-0005-0000-0000-0000AB6F0000}"/>
    <cellStyle name="Standard 4 5 12" xfId="28389" xr:uid="{00000000-0005-0000-0000-0000AC6F0000}"/>
    <cellStyle name="Standard 4 5 12 2" xfId="28390" xr:uid="{00000000-0005-0000-0000-0000AD6F0000}"/>
    <cellStyle name="Standard 4 5 13" xfId="28391" xr:uid="{00000000-0005-0000-0000-0000AE6F0000}"/>
    <cellStyle name="Standard 4 5 14" xfId="28392" xr:uid="{00000000-0005-0000-0000-0000AF6F0000}"/>
    <cellStyle name="Standard 4 5 15" xfId="33470" xr:uid="{00000000-0005-0000-0000-0000B06F0000}"/>
    <cellStyle name="Standard 4 5 2" xfId="591" xr:uid="{00000000-0005-0000-0000-0000B16F0000}"/>
    <cellStyle name="Standard 4 5 2 10" xfId="28393" xr:uid="{00000000-0005-0000-0000-0000B26F0000}"/>
    <cellStyle name="Standard 4 5 2 10 2" xfId="28394" xr:uid="{00000000-0005-0000-0000-0000B36F0000}"/>
    <cellStyle name="Standard 4 5 2 11" xfId="28395" xr:uid="{00000000-0005-0000-0000-0000B46F0000}"/>
    <cellStyle name="Standard 4 5 2 12" xfId="28396" xr:uid="{00000000-0005-0000-0000-0000B56F0000}"/>
    <cellStyle name="Standard 4 5 2 13" xfId="33471" xr:uid="{00000000-0005-0000-0000-0000B66F0000}"/>
    <cellStyle name="Standard 4 5 2 2" xfId="28397" xr:uid="{00000000-0005-0000-0000-0000B76F0000}"/>
    <cellStyle name="Standard 4 5 2 2 10" xfId="28398" xr:uid="{00000000-0005-0000-0000-0000B86F0000}"/>
    <cellStyle name="Standard 4 5 2 2 11" xfId="28399" xr:uid="{00000000-0005-0000-0000-0000B96F0000}"/>
    <cellStyle name="Standard 4 5 2 2 12" xfId="33472" xr:uid="{00000000-0005-0000-0000-0000BA6F0000}"/>
    <cellStyle name="Standard 4 5 2 2 2" xfId="28400" xr:uid="{00000000-0005-0000-0000-0000BB6F0000}"/>
    <cellStyle name="Standard 4 5 2 2 2 10" xfId="28401" xr:uid="{00000000-0005-0000-0000-0000BC6F0000}"/>
    <cellStyle name="Standard 4 5 2 2 2 2" xfId="28402" xr:uid="{00000000-0005-0000-0000-0000BD6F0000}"/>
    <cellStyle name="Standard 4 5 2 2 2 2 2" xfId="28403" xr:uid="{00000000-0005-0000-0000-0000BE6F0000}"/>
    <cellStyle name="Standard 4 5 2 2 2 2 2 2" xfId="28404" xr:uid="{00000000-0005-0000-0000-0000BF6F0000}"/>
    <cellStyle name="Standard 4 5 2 2 2 2 2 2 2" xfId="28405" xr:uid="{00000000-0005-0000-0000-0000C06F0000}"/>
    <cellStyle name="Standard 4 5 2 2 2 2 2 2 2 2" xfId="28406" xr:uid="{00000000-0005-0000-0000-0000C16F0000}"/>
    <cellStyle name="Standard 4 5 2 2 2 2 2 2 2 3" xfId="28407" xr:uid="{00000000-0005-0000-0000-0000C26F0000}"/>
    <cellStyle name="Standard 4 5 2 2 2 2 2 2 3" xfId="28408" xr:uid="{00000000-0005-0000-0000-0000C36F0000}"/>
    <cellStyle name="Standard 4 5 2 2 2 2 2 2 3 2" xfId="28409" xr:uid="{00000000-0005-0000-0000-0000C46F0000}"/>
    <cellStyle name="Standard 4 5 2 2 2 2 2 2 3 3" xfId="28410" xr:uid="{00000000-0005-0000-0000-0000C56F0000}"/>
    <cellStyle name="Standard 4 5 2 2 2 2 2 2 4" xfId="28411" xr:uid="{00000000-0005-0000-0000-0000C66F0000}"/>
    <cellStyle name="Standard 4 5 2 2 2 2 2 2 4 2" xfId="28412" xr:uid="{00000000-0005-0000-0000-0000C76F0000}"/>
    <cellStyle name="Standard 4 5 2 2 2 2 2 2 5" xfId="28413" xr:uid="{00000000-0005-0000-0000-0000C86F0000}"/>
    <cellStyle name="Standard 4 5 2 2 2 2 2 2 6" xfId="28414" xr:uid="{00000000-0005-0000-0000-0000C96F0000}"/>
    <cellStyle name="Standard 4 5 2 2 2 2 2 3" xfId="28415" xr:uid="{00000000-0005-0000-0000-0000CA6F0000}"/>
    <cellStyle name="Standard 4 5 2 2 2 2 2 3 2" xfId="28416" xr:uid="{00000000-0005-0000-0000-0000CB6F0000}"/>
    <cellStyle name="Standard 4 5 2 2 2 2 2 3 3" xfId="28417" xr:uid="{00000000-0005-0000-0000-0000CC6F0000}"/>
    <cellStyle name="Standard 4 5 2 2 2 2 2 4" xfId="28418" xr:uid="{00000000-0005-0000-0000-0000CD6F0000}"/>
    <cellStyle name="Standard 4 5 2 2 2 2 2 4 2" xfId="28419" xr:uid="{00000000-0005-0000-0000-0000CE6F0000}"/>
    <cellStyle name="Standard 4 5 2 2 2 2 2 4 3" xfId="28420" xr:uid="{00000000-0005-0000-0000-0000CF6F0000}"/>
    <cellStyle name="Standard 4 5 2 2 2 2 2 5" xfId="28421" xr:uid="{00000000-0005-0000-0000-0000D06F0000}"/>
    <cellStyle name="Standard 4 5 2 2 2 2 2 5 2" xfId="28422" xr:uid="{00000000-0005-0000-0000-0000D16F0000}"/>
    <cellStyle name="Standard 4 5 2 2 2 2 2 6" xfId="28423" xr:uid="{00000000-0005-0000-0000-0000D26F0000}"/>
    <cellStyle name="Standard 4 5 2 2 2 2 2 7" xfId="28424" xr:uid="{00000000-0005-0000-0000-0000D36F0000}"/>
    <cellStyle name="Standard 4 5 2 2 2 2 3" xfId="28425" xr:uid="{00000000-0005-0000-0000-0000D46F0000}"/>
    <cellStyle name="Standard 4 5 2 2 2 2 3 2" xfId="28426" xr:uid="{00000000-0005-0000-0000-0000D56F0000}"/>
    <cellStyle name="Standard 4 5 2 2 2 2 3 2 2" xfId="28427" xr:uid="{00000000-0005-0000-0000-0000D66F0000}"/>
    <cellStyle name="Standard 4 5 2 2 2 2 3 2 3" xfId="28428" xr:uid="{00000000-0005-0000-0000-0000D76F0000}"/>
    <cellStyle name="Standard 4 5 2 2 2 2 3 3" xfId="28429" xr:uid="{00000000-0005-0000-0000-0000D86F0000}"/>
    <cellStyle name="Standard 4 5 2 2 2 2 3 3 2" xfId="28430" xr:uid="{00000000-0005-0000-0000-0000D96F0000}"/>
    <cellStyle name="Standard 4 5 2 2 2 2 3 3 3" xfId="28431" xr:uid="{00000000-0005-0000-0000-0000DA6F0000}"/>
    <cellStyle name="Standard 4 5 2 2 2 2 3 4" xfId="28432" xr:uid="{00000000-0005-0000-0000-0000DB6F0000}"/>
    <cellStyle name="Standard 4 5 2 2 2 2 3 4 2" xfId="28433" xr:uid="{00000000-0005-0000-0000-0000DC6F0000}"/>
    <cellStyle name="Standard 4 5 2 2 2 2 3 5" xfId="28434" xr:uid="{00000000-0005-0000-0000-0000DD6F0000}"/>
    <cellStyle name="Standard 4 5 2 2 2 2 3 6" xfId="28435" xr:uid="{00000000-0005-0000-0000-0000DE6F0000}"/>
    <cellStyle name="Standard 4 5 2 2 2 2 4" xfId="28436" xr:uid="{00000000-0005-0000-0000-0000DF6F0000}"/>
    <cellStyle name="Standard 4 5 2 2 2 2 4 2" xfId="28437" xr:uid="{00000000-0005-0000-0000-0000E06F0000}"/>
    <cellStyle name="Standard 4 5 2 2 2 2 4 3" xfId="28438" xr:uid="{00000000-0005-0000-0000-0000E16F0000}"/>
    <cellStyle name="Standard 4 5 2 2 2 2 5" xfId="28439" xr:uid="{00000000-0005-0000-0000-0000E26F0000}"/>
    <cellStyle name="Standard 4 5 2 2 2 2 5 2" xfId="28440" xr:uid="{00000000-0005-0000-0000-0000E36F0000}"/>
    <cellStyle name="Standard 4 5 2 2 2 2 5 3" xfId="28441" xr:uid="{00000000-0005-0000-0000-0000E46F0000}"/>
    <cellStyle name="Standard 4 5 2 2 2 2 6" xfId="28442" xr:uid="{00000000-0005-0000-0000-0000E56F0000}"/>
    <cellStyle name="Standard 4 5 2 2 2 2 6 2" xfId="28443" xr:uid="{00000000-0005-0000-0000-0000E66F0000}"/>
    <cellStyle name="Standard 4 5 2 2 2 2 7" xfId="28444" xr:uid="{00000000-0005-0000-0000-0000E76F0000}"/>
    <cellStyle name="Standard 4 5 2 2 2 2 8" xfId="28445" xr:uid="{00000000-0005-0000-0000-0000E86F0000}"/>
    <cellStyle name="Standard 4 5 2 2 2 3" xfId="28446" xr:uid="{00000000-0005-0000-0000-0000E96F0000}"/>
    <cellStyle name="Standard 4 5 2 2 2 3 2" xfId="28447" xr:uid="{00000000-0005-0000-0000-0000EA6F0000}"/>
    <cellStyle name="Standard 4 5 2 2 2 3 2 2" xfId="28448" xr:uid="{00000000-0005-0000-0000-0000EB6F0000}"/>
    <cellStyle name="Standard 4 5 2 2 2 3 2 2 2" xfId="28449" xr:uid="{00000000-0005-0000-0000-0000EC6F0000}"/>
    <cellStyle name="Standard 4 5 2 2 2 3 2 2 2 2" xfId="28450" xr:uid="{00000000-0005-0000-0000-0000ED6F0000}"/>
    <cellStyle name="Standard 4 5 2 2 2 3 2 2 2 3" xfId="28451" xr:uid="{00000000-0005-0000-0000-0000EE6F0000}"/>
    <cellStyle name="Standard 4 5 2 2 2 3 2 2 3" xfId="28452" xr:uid="{00000000-0005-0000-0000-0000EF6F0000}"/>
    <cellStyle name="Standard 4 5 2 2 2 3 2 2 3 2" xfId="28453" xr:uid="{00000000-0005-0000-0000-0000F06F0000}"/>
    <cellStyle name="Standard 4 5 2 2 2 3 2 2 3 3" xfId="28454" xr:uid="{00000000-0005-0000-0000-0000F16F0000}"/>
    <cellStyle name="Standard 4 5 2 2 2 3 2 2 4" xfId="28455" xr:uid="{00000000-0005-0000-0000-0000F26F0000}"/>
    <cellStyle name="Standard 4 5 2 2 2 3 2 2 4 2" xfId="28456" xr:uid="{00000000-0005-0000-0000-0000F36F0000}"/>
    <cellStyle name="Standard 4 5 2 2 2 3 2 2 5" xfId="28457" xr:uid="{00000000-0005-0000-0000-0000F46F0000}"/>
    <cellStyle name="Standard 4 5 2 2 2 3 2 2 6" xfId="28458" xr:uid="{00000000-0005-0000-0000-0000F56F0000}"/>
    <cellStyle name="Standard 4 5 2 2 2 3 2 3" xfId="28459" xr:uid="{00000000-0005-0000-0000-0000F66F0000}"/>
    <cellStyle name="Standard 4 5 2 2 2 3 2 3 2" xfId="28460" xr:uid="{00000000-0005-0000-0000-0000F76F0000}"/>
    <cellStyle name="Standard 4 5 2 2 2 3 2 3 3" xfId="28461" xr:uid="{00000000-0005-0000-0000-0000F86F0000}"/>
    <cellStyle name="Standard 4 5 2 2 2 3 2 4" xfId="28462" xr:uid="{00000000-0005-0000-0000-0000F96F0000}"/>
    <cellStyle name="Standard 4 5 2 2 2 3 2 4 2" xfId="28463" xr:uid="{00000000-0005-0000-0000-0000FA6F0000}"/>
    <cellStyle name="Standard 4 5 2 2 2 3 2 4 3" xfId="28464" xr:uid="{00000000-0005-0000-0000-0000FB6F0000}"/>
    <cellStyle name="Standard 4 5 2 2 2 3 2 5" xfId="28465" xr:uid="{00000000-0005-0000-0000-0000FC6F0000}"/>
    <cellStyle name="Standard 4 5 2 2 2 3 2 5 2" xfId="28466" xr:uid="{00000000-0005-0000-0000-0000FD6F0000}"/>
    <cellStyle name="Standard 4 5 2 2 2 3 2 6" xfId="28467" xr:uid="{00000000-0005-0000-0000-0000FE6F0000}"/>
    <cellStyle name="Standard 4 5 2 2 2 3 2 7" xfId="28468" xr:uid="{00000000-0005-0000-0000-0000FF6F0000}"/>
    <cellStyle name="Standard 4 5 2 2 2 3 3" xfId="28469" xr:uid="{00000000-0005-0000-0000-000000700000}"/>
    <cellStyle name="Standard 4 5 2 2 2 3 3 2" xfId="28470" xr:uid="{00000000-0005-0000-0000-000001700000}"/>
    <cellStyle name="Standard 4 5 2 2 2 3 3 2 2" xfId="28471" xr:uid="{00000000-0005-0000-0000-000002700000}"/>
    <cellStyle name="Standard 4 5 2 2 2 3 3 2 3" xfId="28472" xr:uid="{00000000-0005-0000-0000-000003700000}"/>
    <cellStyle name="Standard 4 5 2 2 2 3 3 3" xfId="28473" xr:uid="{00000000-0005-0000-0000-000004700000}"/>
    <cellStyle name="Standard 4 5 2 2 2 3 3 3 2" xfId="28474" xr:uid="{00000000-0005-0000-0000-000005700000}"/>
    <cellStyle name="Standard 4 5 2 2 2 3 3 3 3" xfId="28475" xr:uid="{00000000-0005-0000-0000-000006700000}"/>
    <cellStyle name="Standard 4 5 2 2 2 3 3 4" xfId="28476" xr:uid="{00000000-0005-0000-0000-000007700000}"/>
    <cellStyle name="Standard 4 5 2 2 2 3 3 4 2" xfId="28477" xr:uid="{00000000-0005-0000-0000-000008700000}"/>
    <cellStyle name="Standard 4 5 2 2 2 3 3 5" xfId="28478" xr:uid="{00000000-0005-0000-0000-000009700000}"/>
    <cellStyle name="Standard 4 5 2 2 2 3 3 6" xfId="28479" xr:uid="{00000000-0005-0000-0000-00000A700000}"/>
    <cellStyle name="Standard 4 5 2 2 2 3 4" xfId="28480" xr:uid="{00000000-0005-0000-0000-00000B700000}"/>
    <cellStyle name="Standard 4 5 2 2 2 3 4 2" xfId="28481" xr:uid="{00000000-0005-0000-0000-00000C700000}"/>
    <cellStyle name="Standard 4 5 2 2 2 3 4 3" xfId="28482" xr:uid="{00000000-0005-0000-0000-00000D700000}"/>
    <cellStyle name="Standard 4 5 2 2 2 3 5" xfId="28483" xr:uid="{00000000-0005-0000-0000-00000E700000}"/>
    <cellStyle name="Standard 4 5 2 2 2 3 5 2" xfId="28484" xr:uid="{00000000-0005-0000-0000-00000F700000}"/>
    <cellStyle name="Standard 4 5 2 2 2 3 5 3" xfId="28485" xr:uid="{00000000-0005-0000-0000-000010700000}"/>
    <cellStyle name="Standard 4 5 2 2 2 3 6" xfId="28486" xr:uid="{00000000-0005-0000-0000-000011700000}"/>
    <cellStyle name="Standard 4 5 2 2 2 3 6 2" xfId="28487" xr:uid="{00000000-0005-0000-0000-000012700000}"/>
    <cellStyle name="Standard 4 5 2 2 2 3 7" xfId="28488" xr:uid="{00000000-0005-0000-0000-000013700000}"/>
    <cellStyle name="Standard 4 5 2 2 2 3 8" xfId="28489" xr:uid="{00000000-0005-0000-0000-000014700000}"/>
    <cellStyle name="Standard 4 5 2 2 2 4" xfId="28490" xr:uid="{00000000-0005-0000-0000-000015700000}"/>
    <cellStyle name="Standard 4 5 2 2 2 4 2" xfId="28491" xr:uid="{00000000-0005-0000-0000-000016700000}"/>
    <cellStyle name="Standard 4 5 2 2 2 4 2 2" xfId="28492" xr:uid="{00000000-0005-0000-0000-000017700000}"/>
    <cellStyle name="Standard 4 5 2 2 2 4 2 2 2" xfId="28493" xr:uid="{00000000-0005-0000-0000-000018700000}"/>
    <cellStyle name="Standard 4 5 2 2 2 4 2 2 3" xfId="28494" xr:uid="{00000000-0005-0000-0000-000019700000}"/>
    <cellStyle name="Standard 4 5 2 2 2 4 2 3" xfId="28495" xr:uid="{00000000-0005-0000-0000-00001A700000}"/>
    <cellStyle name="Standard 4 5 2 2 2 4 2 3 2" xfId="28496" xr:uid="{00000000-0005-0000-0000-00001B700000}"/>
    <cellStyle name="Standard 4 5 2 2 2 4 2 3 3" xfId="28497" xr:uid="{00000000-0005-0000-0000-00001C700000}"/>
    <cellStyle name="Standard 4 5 2 2 2 4 2 4" xfId="28498" xr:uid="{00000000-0005-0000-0000-00001D700000}"/>
    <cellStyle name="Standard 4 5 2 2 2 4 2 4 2" xfId="28499" xr:uid="{00000000-0005-0000-0000-00001E700000}"/>
    <cellStyle name="Standard 4 5 2 2 2 4 2 5" xfId="28500" xr:uid="{00000000-0005-0000-0000-00001F700000}"/>
    <cellStyle name="Standard 4 5 2 2 2 4 2 6" xfId="28501" xr:uid="{00000000-0005-0000-0000-000020700000}"/>
    <cellStyle name="Standard 4 5 2 2 2 4 3" xfId="28502" xr:uid="{00000000-0005-0000-0000-000021700000}"/>
    <cellStyle name="Standard 4 5 2 2 2 4 3 2" xfId="28503" xr:uid="{00000000-0005-0000-0000-000022700000}"/>
    <cellStyle name="Standard 4 5 2 2 2 4 3 3" xfId="28504" xr:uid="{00000000-0005-0000-0000-000023700000}"/>
    <cellStyle name="Standard 4 5 2 2 2 4 4" xfId="28505" xr:uid="{00000000-0005-0000-0000-000024700000}"/>
    <cellStyle name="Standard 4 5 2 2 2 4 4 2" xfId="28506" xr:uid="{00000000-0005-0000-0000-000025700000}"/>
    <cellStyle name="Standard 4 5 2 2 2 4 4 3" xfId="28507" xr:uid="{00000000-0005-0000-0000-000026700000}"/>
    <cellStyle name="Standard 4 5 2 2 2 4 5" xfId="28508" xr:uid="{00000000-0005-0000-0000-000027700000}"/>
    <cellStyle name="Standard 4 5 2 2 2 4 5 2" xfId="28509" xr:uid="{00000000-0005-0000-0000-000028700000}"/>
    <cellStyle name="Standard 4 5 2 2 2 4 6" xfId="28510" xr:uid="{00000000-0005-0000-0000-000029700000}"/>
    <cellStyle name="Standard 4 5 2 2 2 4 7" xfId="28511" xr:uid="{00000000-0005-0000-0000-00002A700000}"/>
    <cellStyle name="Standard 4 5 2 2 2 5" xfId="28512" xr:uid="{00000000-0005-0000-0000-00002B700000}"/>
    <cellStyle name="Standard 4 5 2 2 2 5 2" xfId="28513" xr:uid="{00000000-0005-0000-0000-00002C700000}"/>
    <cellStyle name="Standard 4 5 2 2 2 5 2 2" xfId="28514" xr:uid="{00000000-0005-0000-0000-00002D700000}"/>
    <cellStyle name="Standard 4 5 2 2 2 5 2 3" xfId="28515" xr:uid="{00000000-0005-0000-0000-00002E700000}"/>
    <cellStyle name="Standard 4 5 2 2 2 5 3" xfId="28516" xr:uid="{00000000-0005-0000-0000-00002F700000}"/>
    <cellStyle name="Standard 4 5 2 2 2 5 3 2" xfId="28517" xr:uid="{00000000-0005-0000-0000-000030700000}"/>
    <cellStyle name="Standard 4 5 2 2 2 5 3 3" xfId="28518" xr:uid="{00000000-0005-0000-0000-000031700000}"/>
    <cellStyle name="Standard 4 5 2 2 2 5 4" xfId="28519" xr:uid="{00000000-0005-0000-0000-000032700000}"/>
    <cellStyle name="Standard 4 5 2 2 2 5 4 2" xfId="28520" xr:uid="{00000000-0005-0000-0000-000033700000}"/>
    <cellStyle name="Standard 4 5 2 2 2 5 5" xfId="28521" xr:uid="{00000000-0005-0000-0000-000034700000}"/>
    <cellStyle name="Standard 4 5 2 2 2 5 6" xfId="28522" xr:uid="{00000000-0005-0000-0000-000035700000}"/>
    <cellStyle name="Standard 4 5 2 2 2 6" xfId="28523" xr:uid="{00000000-0005-0000-0000-000036700000}"/>
    <cellStyle name="Standard 4 5 2 2 2 6 2" xfId="28524" xr:uid="{00000000-0005-0000-0000-000037700000}"/>
    <cellStyle name="Standard 4 5 2 2 2 6 3" xfId="28525" xr:uid="{00000000-0005-0000-0000-000038700000}"/>
    <cellStyle name="Standard 4 5 2 2 2 7" xfId="28526" xr:uid="{00000000-0005-0000-0000-000039700000}"/>
    <cellStyle name="Standard 4 5 2 2 2 7 2" xfId="28527" xr:uid="{00000000-0005-0000-0000-00003A700000}"/>
    <cellStyle name="Standard 4 5 2 2 2 7 3" xfId="28528" xr:uid="{00000000-0005-0000-0000-00003B700000}"/>
    <cellStyle name="Standard 4 5 2 2 2 8" xfId="28529" xr:uid="{00000000-0005-0000-0000-00003C700000}"/>
    <cellStyle name="Standard 4 5 2 2 2 8 2" xfId="28530" xr:uid="{00000000-0005-0000-0000-00003D700000}"/>
    <cellStyle name="Standard 4 5 2 2 2 9" xfId="28531" xr:uid="{00000000-0005-0000-0000-00003E700000}"/>
    <cellStyle name="Standard 4 5 2 2 3" xfId="28532" xr:uid="{00000000-0005-0000-0000-00003F700000}"/>
    <cellStyle name="Standard 4 5 2 2 3 2" xfId="28533" xr:uid="{00000000-0005-0000-0000-000040700000}"/>
    <cellStyle name="Standard 4 5 2 2 3 2 2" xfId="28534" xr:uid="{00000000-0005-0000-0000-000041700000}"/>
    <cellStyle name="Standard 4 5 2 2 3 2 2 2" xfId="28535" xr:uid="{00000000-0005-0000-0000-000042700000}"/>
    <cellStyle name="Standard 4 5 2 2 3 2 2 2 2" xfId="28536" xr:uid="{00000000-0005-0000-0000-000043700000}"/>
    <cellStyle name="Standard 4 5 2 2 3 2 2 2 3" xfId="28537" xr:uid="{00000000-0005-0000-0000-000044700000}"/>
    <cellStyle name="Standard 4 5 2 2 3 2 2 3" xfId="28538" xr:uid="{00000000-0005-0000-0000-000045700000}"/>
    <cellStyle name="Standard 4 5 2 2 3 2 2 3 2" xfId="28539" xr:uid="{00000000-0005-0000-0000-000046700000}"/>
    <cellStyle name="Standard 4 5 2 2 3 2 2 3 3" xfId="28540" xr:uid="{00000000-0005-0000-0000-000047700000}"/>
    <cellStyle name="Standard 4 5 2 2 3 2 2 4" xfId="28541" xr:uid="{00000000-0005-0000-0000-000048700000}"/>
    <cellStyle name="Standard 4 5 2 2 3 2 2 4 2" xfId="28542" xr:uid="{00000000-0005-0000-0000-000049700000}"/>
    <cellStyle name="Standard 4 5 2 2 3 2 2 5" xfId="28543" xr:uid="{00000000-0005-0000-0000-00004A700000}"/>
    <cellStyle name="Standard 4 5 2 2 3 2 2 6" xfId="28544" xr:uid="{00000000-0005-0000-0000-00004B700000}"/>
    <cellStyle name="Standard 4 5 2 2 3 2 3" xfId="28545" xr:uid="{00000000-0005-0000-0000-00004C700000}"/>
    <cellStyle name="Standard 4 5 2 2 3 2 3 2" xfId="28546" xr:uid="{00000000-0005-0000-0000-00004D700000}"/>
    <cellStyle name="Standard 4 5 2 2 3 2 3 3" xfId="28547" xr:uid="{00000000-0005-0000-0000-00004E700000}"/>
    <cellStyle name="Standard 4 5 2 2 3 2 4" xfId="28548" xr:uid="{00000000-0005-0000-0000-00004F700000}"/>
    <cellStyle name="Standard 4 5 2 2 3 2 4 2" xfId="28549" xr:uid="{00000000-0005-0000-0000-000050700000}"/>
    <cellStyle name="Standard 4 5 2 2 3 2 4 3" xfId="28550" xr:uid="{00000000-0005-0000-0000-000051700000}"/>
    <cellStyle name="Standard 4 5 2 2 3 2 5" xfId="28551" xr:uid="{00000000-0005-0000-0000-000052700000}"/>
    <cellStyle name="Standard 4 5 2 2 3 2 5 2" xfId="28552" xr:uid="{00000000-0005-0000-0000-000053700000}"/>
    <cellStyle name="Standard 4 5 2 2 3 2 6" xfId="28553" xr:uid="{00000000-0005-0000-0000-000054700000}"/>
    <cellStyle name="Standard 4 5 2 2 3 2 7" xfId="28554" xr:uid="{00000000-0005-0000-0000-000055700000}"/>
    <cellStyle name="Standard 4 5 2 2 3 3" xfId="28555" xr:uid="{00000000-0005-0000-0000-000056700000}"/>
    <cellStyle name="Standard 4 5 2 2 3 3 2" xfId="28556" xr:uid="{00000000-0005-0000-0000-000057700000}"/>
    <cellStyle name="Standard 4 5 2 2 3 3 2 2" xfId="28557" xr:uid="{00000000-0005-0000-0000-000058700000}"/>
    <cellStyle name="Standard 4 5 2 2 3 3 2 3" xfId="28558" xr:uid="{00000000-0005-0000-0000-000059700000}"/>
    <cellStyle name="Standard 4 5 2 2 3 3 3" xfId="28559" xr:uid="{00000000-0005-0000-0000-00005A700000}"/>
    <cellStyle name="Standard 4 5 2 2 3 3 3 2" xfId="28560" xr:uid="{00000000-0005-0000-0000-00005B700000}"/>
    <cellStyle name="Standard 4 5 2 2 3 3 3 3" xfId="28561" xr:uid="{00000000-0005-0000-0000-00005C700000}"/>
    <cellStyle name="Standard 4 5 2 2 3 3 4" xfId="28562" xr:uid="{00000000-0005-0000-0000-00005D700000}"/>
    <cellStyle name="Standard 4 5 2 2 3 3 4 2" xfId="28563" xr:uid="{00000000-0005-0000-0000-00005E700000}"/>
    <cellStyle name="Standard 4 5 2 2 3 3 5" xfId="28564" xr:uid="{00000000-0005-0000-0000-00005F700000}"/>
    <cellStyle name="Standard 4 5 2 2 3 3 6" xfId="28565" xr:uid="{00000000-0005-0000-0000-000060700000}"/>
    <cellStyle name="Standard 4 5 2 2 3 4" xfId="28566" xr:uid="{00000000-0005-0000-0000-000061700000}"/>
    <cellStyle name="Standard 4 5 2 2 3 4 2" xfId="28567" xr:uid="{00000000-0005-0000-0000-000062700000}"/>
    <cellStyle name="Standard 4 5 2 2 3 4 3" xfId="28568" xr:uid="{00000000-0005-0000-0000-000063700000}"/>
    <cellStyle name="Standard 4 5 2 2 3 5" xfId="28569" xr:uid="{00000000-0005-0000-0000-000064700000}"/>
    <cellStyle name="Standard 4 5 2 2 3 5 2" xfId="28570" xr:uid="{00000000-0005-0000-0000-000065700000}"/>
    <cellStyle name="Standard 4 5 2 2 3 5 3" xfId="28571" xr:uid="{00000000-0005-0000-0000-000066700000}"/>
    <cellStyle name="Standard 4 5 2 2 3 6" xfId="28572" xr:uid="{00000000-0005-0000-0000-000067700000}"/>
    <cellStyle name="Standard 4 5 2 2 3 6 2" xfId="28573" xr:uid="{00000000-0005-0000-0000-000068700000}"/>
    <cellStyle name="Standard 4 5 2 2 3 7" xfId="28574" xr:uid="{00000000-0005-0000-0000-000069700000}"/>
    <cellStyle name="Standard 4 5 2 2 3 8" xfId="28575" xr:uid="{00000000-0005-0000-0000-00006A700000}"/>
    <cellStyle name="Standard 4 5 2 2 4" xfId="28576" xr:uid="{00000000-0005-0000-0000-00006B700000}"/>
    <cellStyle name="Standard 4 5 2 2 4 2" xfId="28577" xr:uid="{00000000-0005-0000-0000-00006C700000}"/>
    <cellStyle name="Standard 4 5 2 2 4 2 2" xfId="28578" xr:uid="{00000000-0005-0000-0000-00006D700000}"/>
    <cellStyle name="Standard 4 5 2 2 4 2 2 2" xfId="28579" xr:uid="{00000000-0005-0000-0000-00006E700000}"/>
    <cellStyle name="Standard 4 5 2 2 4 2 2 2 2" xfId="28580" xr:uid="{00000000-0005-0000-0000-00006F700000}"/>
    <cellStyle name="Standard 4 5 2 2 4 2 2 2 3" xfId="28581" xr:uid="{00000000-0005-0000-0000-000070700000}"/>
    <cellStyle name="Standard 4 5 2 2 4 2 2 3" xfId="28582" xr:uid="{00000000-0005-0000-0000-000071700000}"/>
    <cellStyle name="Standard 4 5 2 2 4 2 2 3 2" xfId="28583" xr:uid="{00000000-0005-0000-0000-000072700000}"/>
    <cellStyle name="Standard 4 5 2 2 4 2 2 3 3" xfId="28584" xr:uid="{00000000-0005-0000-0000-000073700000}"/>
    <cellStyle name="Standard 4 5 2 2 4 2 2 4" xfId="28585" xr:uid="{00000000-0005-0000-0000-000074700000}"/>
    <cellStyle name="Standard 4 5 2 2 4 2 2 4 2" xfId="28586" xr:uid="{00000000-0005-0000-0000-000075700000}"/>
    <cellStyle name="Standard 4 5 2 2 4 2 2 5" xfId="28587" xr:uid="{00000000-0005-0000-0000-000076700000}"/>
    <cellStyle name="Standard 4 5 2 2 4 2 2 6" xfId="28588" xr:uid="{00000000-0005-0000-0000-000077700000}"/>
    <cellStyle name="Standard 4 5 2 2 4 2 3" xfId="28589" xr:uid="{00000000-0005-0000-0000-000078700000}"/>
    <cellStyle name="Standard 4 5 2 2 4 2 3 2" xfId="28590" xr:uid="{00000000-0005-0000-0000-000079700000}"/>
    <cellStyle name="Standard 4 5 2 2 4 2 3 3" xfId="28591" xr:uid="{00000000-0005-0000-0000-00007A700000}"/>
    <cellStyle name="Standard 4 5 2 2 4 2 4" xfId="28592" xr:uid="{00000000-0005-0000-0000-00007B700000}"/>
    <cellStyle name="Standard 4 5 2 2 4 2 4 2" xfId="28593" xr:uid="{00000000-0005-0000-0000-00007C700000}"/>
    <cellStyle name="Standard 4 5 2 2 4 2 4 3" xfId="28594" xr:uid="{00000000-0005-0000-0000-00007D700000}"/>
    <cellStyle name="Standard 4 5 2 2 4 2 5" xfId="28595" xr:uid="{00000000-0005-0000-0000-00007E700000}"/>
    <cellStyle name="Standard 4 5 2 2 4 2 5 2" xfId="28596" xr:uid="{00000000-0005-0000-0000-00007F700000}"/>
    <cellStyle name="Standard 4 5 2 2 4 2 6" xfId="28597" xr:uid="{00000000-0005-0000-0000-000080700000}"/>
    <cellStyle name="Standard 4 5 2 2 4 2 7" xfId="28598" xr:uid="{00000000-0005-0000-0000-000081700000}"/>
    <cellStyle name="Standard 4 5 2 2 4 3" xfId="28599" xr:uid="{00000000-0005-0000-0000-000082700000}"/>
    <cellStyle name="Standard 4 5 2 2 4 3 2" xfId="28600" xr:uid="{00000000-0005-0000-0000-000083700000}"/>
    <cellStyle name="Standard 4 5 2 2 4 3 2 2" xfId="28601" xr:uid="{00000000-0005-0000-0000-000084700000}"/>
    <cellStyle name="Standard 4 5 2 2 4 3 2 3" xfId="28602" xr:uid="{00000000-0005-0000-0000-000085700000}"/>
    <cellStyle name="Standard 4 5 2 2 4 3 3" xfId="28603" xr:uid="{00000000-0005-0000-0000-000086700000}"/>
    <cellStyle name="Standard 4 5 2 2 4 3 3 2" xfId="28604" xr:uid="{00000000-0005-0000-0000-000087700000}"/>
    <cellStyle name="Standard 4 5 2 2 4 3 3 3" xfId="28605" xr:uid="{00000000-0005-0000-0000-000088700000}"/>
    <cellStyle name="Standard 4 5 2 2 4 3 4" xfId="28606" xr:uid="{00000000-0005-0000-0000-000089700000}"/>
    <cellStyle name="Standard 4 5 2 2 4 3 4 2" xfId="28607" xr:uid="{00000000-0005-0000-0000-00008A700000}"/>
    <cellStyle name="Standard 4 5 2 2 4 3 5" xfId="28608" xr:uid="{00000000-0005-0000-0000-00008B700000}"/>
    <cellStyle name="Standard 4 5 2 2 4 3 6" xfId="28609" xr:uid="{00000000-0005-0000-0000-00008C700000}"/>
    <cellStyle name="Standard 4 5 2 2 4 4" xfId="28610" xr:uid="{00000000-0005-0000-0000-00008D700000}"/>
    <cellStyle name="Standard 4 5 2 2 4 4 2" xfId="28611" xr:uid="{00000000-0005-0000-0000-00008E700000}"/>
    <cellStyle name="Standard 4 5 2 2 4 4 3" xfId="28612" xr:uid="{00000000-0005-0000-0000-00008F700000}"/>
    <cellStyle name="Standard 4 5 2 2 4 5" xfId="28613" xr:uid="{00000000-0005-0000-0000-000090700000}"/>
    <cellStyle name="Standard 4 5 2 2 4 5 2" xfId="28614" xr:uid="{00000000-0005-0000-0000-000091700000}"/>
    <cellStyle name="Standard 4 5 2 2 4 5 3" xfId="28615" xr:uid="{00000000-0005-0000-0000-000092700000}"/>
    <cellStyle name="Standard 4 5 2 2 4 6" xfId="28616" xr:uid="{00000000-0005-0000-0000-000093700000}"/>
    <cellStyle name="Standard 4 5 2 2 4 6 2" xfId="28617" xr:uid="{00000000-0005-0000-0000-000094700000}"/>
    <cellStyle name="Standard 4 5 2 2 4 7" xfId="28618" xr:uid="{00000000-0005-0000-0000-000095700000}"/>
    <cellStyle name="Standard 4 5 2 2 4 8" xfId="28619" xr:uid="{00000000-0005-0000-0000-000096700000}"/>
    <cellStyle name="Standard 4 5 2 2 5" xfId="28620" xr:uid="{00000000-0005-0000-0000-000097700000}"/>
    <cellStyle name="Standard 4 5 2 2 5 2" xfId="28621" xr:uid="{00000000-0005-0000-0000-000098700000}"/>
    <cellStyle name="Standard 4 5 2 2 5 2 2" xfId="28622" xr:uid="{00000000-0005-0000-0000-000099700000}"/>
    <cellStyle name="Standard 4 5 2 2 5 2 2 2" xfId="28623" xr:uid="{00000000-0005-0000-0000-00009A700000}"/>
    <cellStyle name="Standard 4 5 2 2 5 2 2 3" xfId="28624" xr:uid="{00000000-0005-0000-0000-00009B700000}"/>
    <cellStyle name="Standard 4 5 2 2 5 2 3" xfId="28625" xr:uid="{00000000-0005-0000-0000-00009C700000}"/>
    <cellStyle name="Standard 4 5 2 2 5 2 3 2" xfId="28626" xr:uid="{00000000-0005-0000-0000-00009D700000}"/>
    <cellStyle name="Standard 4 5 2 2 5 2 3 3" xfId="28627" xr:uid="{00000000-0005-0000-0000-00009E700000}"/>
    <cellStyle name="Standard 4 5 2 2 5 2 4" xfId="28628" xr:uid="{00000000-0005-0000-0000-00009F700000}"/>
    <cellStyle name="Standard 4 5 2 2 5 2 4 2" xfId="28629" xr:uid="{00000000-0005-0000-0000-0000A0700000}"/>
    <cellStyle name="Standard 4 5 2 2 5 2 5" xfId="28630" xr:uid="{00000000-0005-0000-0000-0000A1700000}"/>
    <cellStyle name="Standard 4 5 2 2 5 2 6" xfId="28631" xr:uid="{00000000-0005-0000-0000-0000A2700000}"/>
    <cellStyle name="Standard 4 5 2 2 5 3" xfId="28632" xr:uid="{00000000-0005-0000-0000-0000A3700000}"/>
    <cellStyle name="Standard 4 5 2 2 5 3 2" xfId="28633" xr:uid="{00000000-0005-0000-0000-0000A4700000}"/>
    <cellStyle name="Standard 4 5 2 2 5 3 3" xfId="28634" xr:uid="{00000000-0005-0000-0000-0000A5700000}"/>
    <cellStyle name="Standard 4 5 2 2 5 4" xfId="28635" xr:uid="{00000000-0005-0000-0000-0000A6700000}"/>
    <cellStyle name="Standard 4 5 2 2 5 4 2" xfId="28636" xr:uid="{00000000-0005-0000-0000-0000A7700000}"/>
    <cellStyle name="Standard 4 5 2 2 5 4 3" xfId="28637" xr:uid="{00000000-0005-0000-0000-0000A8700000}"/>
    <cellStyle name="Standard 4 5 2 2 5 5" xfId="28638" xr:uid="{00000000-0005-0000-0000-0000A9700000}"/>
    <cellStyle name="Standard 4 5 2 2 5 5 2" xfId="28639" xr:uid="{00000000-0005-0000-0000-0000AA700000}"/>
    <cellStyle name="Standard 4 5 2 2 5 6" xfId="28640" xr:uid="{00000000-0005-0000-0000-0000AB700000}"/>
    <cellStyle name="Standard 4 5 2 2 5 7" xfId="28641" xr:uid="{00000000-0005-0000-0000-0000AC700000}"/>
    <cellStyle name="Standard 4 5 2 2 6" xfId="28642" xr:uid="{00000000-0005-0000-0000-0000AD700000}"/>
    <cellStyle name="Standard 4 5 2 2 6 2" xfId="28643" xr:uid="{00000000-0005-0000-0000-0000AE700000}"/>
    <cellStyle name="Standard 4 5 2 2 6 2 2" xfId="28644" xr:uid="{00000000-0005-0000-0000-0000AF700000}"/>
    <cellStyle name="Standard 4 5 2 2 6 2 3" xfId="28645" xr:uid="{00000000-0005-0000-0000-0000B0700000}"/>
    <cellStyle name="Standard 4 5 2 2 6 3" xfId="28646" xr:uid="{00000000-0005-0000-0000-0000B1700000}"/>
    <cellStyle name="Standard 4 5 2 2 6 3 2" xfId="28647" xr:uid="{00000000-0005-0000-0000-0000B2700000}"/>
    <cellStyle name="Standard 4 5 2 2 6 3 3" xfId="28648" xr:uid="{00000000-0005-0000-0000-0000B3700000}"/>
    <cellStyle name="Standard 4 5 2 2 6 4" xfId="28649" xr:uid="{00000000-0005-0000-0000-0000B4700000}"/>
    <cellStyle name="Standard 4 5 2 2 6 4 2" xfId="28650" xr:uid="{00000000-0005-0000-0000-0000B5700000}"/>
    <cellStyle name="Standard 4 5 2 2 6 5" xfId="28651" xr:uid="{00000000-0005-0000-0000-0000B6700000}"/>
    <cellStyle name="Standard 4 5 2 2 6 6" xfId="28652" xr:uid="{00000000-0005-0000-0000-0000B7700000}"/>
    <cellStyle name="Standard 4 5 2 2 7" xfId="28653" xr:uid="{00000000-0005-0000-0000-0000B8700000}"/>
    <cellStyle name="Standard 4 5 2 2 7 2" xfId="28654" xr:uid="{00000000-0005-0000-0000-0000B9700000}"/>
    <cellStyle name="Standard 4 5 2 2 7 3" xfId="28655" xr:uid="{00000000-0005-0000-0000-0000BA700000}"/>
    <cellStyle name="Standard 4 5 2 2 8" xfId="28656" xr:uid="{00000000-0005-0000-0000-0000BB700000}"/>
    <cellStyle name="Standard 4 5 2 2 8 2" xfId="28657" xr:uid="{00000000-0005-0000-0000-0000BC700000}"/>
    <cellStyle name="Standard 4 5 2 2 8 3" xfId="28658" xr:uid="{00000000-0005-0000-0000-0000BD700000}"/>
    <cellStyle name="Standard 4 5 2 2 9" xfId="28659" xr:uid="{00000000-0005-0000-0000-0000BE700000}"/>
    <cellStyle name="Standard 4 5 2 2 9 2" xfId="28660" xr:uid="{00000000-0005-0000-0000-0000BF700000}"/>
    <cellStyle name="Standard 4 5 2 3" xfId="28661" xr:uid="{00000000-0005-0000-0000-0000C0700000}"/>
    <cellStyle name="Standard 4 5 2 3 10" xfId="28662" xr:uid="{00000000-0005-0000-0000-0000C1700000}"/>
    <cellStyle name="Standard 4 5 2 3 2" xfId="28663" xr:uid="{00000000-0005-0000-0000-0000C2700000}"/>
    <cellStyle name="Standard 4 5 2 3 2 2" xfId="28664" xr:uid="{00000000-0005-0000-0000-0000C3700000}"/>
    <cellStyle name="Standard 4 5 2 3 2 2 2" xfId="28665" xr:uid="{00000000-0005-0000-0000-0000C4700000}"/>
    <cellStyle name="Standard 4 5 2 3 2 2 2 2" xfId="28666" xr:uid="{00000000-0005-0000-0000-0000C5700000}"/>
    <cellStyle name="Standard 4 5 2 3 2 2 2 2 2" xfId="28667" xr:uid="{00000000-0005-0000-0000-0000C6700000}"/>
    <cellStyle name="Standard 4 5 2 3 2 2 2 2 3" xfId="28668" xr:uid="{00000000-0005-0000-0000-0000C7700000}"/>
    <cellStyle name="Standard 4 5 2 3 2 2 2 3" xfId="28669" xr:uid="{00000000-0005-0000-0000-0000C8700000}"/>
    <cellStyle name="Standard 4 5 2 3 2 2 2 3 2" xfId="28670" xr:uid="{00000000-0005-0000-0000-0000C9700000}"/>
    <cellStyle name="Standard 4 5 2 3 2 2 2 3 3" xfId="28671" xr:uid="{00000000-0005-0000-0000-0000CA700000}"/>
    <cellStyle name="Standard 4 5 2 3 2 2 2 4" xfId="28672" xr:uid="{00000000-0005-0000-0000-0000CB700000}"/>
    <cellStyle name="Standard 4 5 2 3 2 2 2 4 2" xfId="28673" xr:uid="{00000000-0005-0000-0000-0000CC700000}"/>
    <cellStyle name="Standard 4 5 2 3 2 2 2 5" xfId="28674" xr:uid="{00000000-0005-0000-0000-0000CD700000}"/>
    <cellStyle name="Standard 4 5 2 3 2 2 2 6" xfId="28675" xr:uid="{00000000-0005-0000-0000-0000CE700000}"/>
    <cellStyle name="Standard 4 5 2 3 2 2 3" xfId="28676" xr:uid="{00000000-0005-0000-0000-0000CF700000}"/>
    <cellStyle name="Standard 4 5 2 3 2 2 3 2" xfId="28677" xr:uid="{00000000-0005-0000-0000-0000D0700000}"/>
    <cellStyle name="Standard 4 5 2 3 2 2 3 3" xfId="28678" xr:uid="{00000000-0005-0000-0000-0000D1700000}"/>
    <cellStyle name="Standard 4 5 2 3 2 2 4" xfId="28679" xr:uid="{00000000-0005-0000-0000-0000D2700000}"/>
    <cellStyle name="Standard 4 5 2 3 2 2 4 2" xfId="28680" xr:uid="{00000000-0005-0000-0000-0000D3700000}"/>
    <cellStyle name="Standard 4 5 2 3 2 2 4 3" xfId="28681" xr:uid="{00000000-0005-0000-0000-0000D4700000}"/>
    <cellStyle name="Standard 4 5 2 3 2 2 5" xfId="28682" xr:uid="{00000000-0005-0000-0000-0000D5700000}"/>
    <cellStyle name="Standard 4 5 2 3 2 2 5 2" xfId="28683" xr:uid="{00000000-0005-0000-0000-0000D6700000}"/>
    <cellStyle name="Standard 4 5 2 3 2 2 6" xfId="28684" xr:uid="{00000000-0005-0000-0000-0000D7700000}"/>
    <cellStyle name="Standard 4 5 2 3 2 2 7" xfId="28685" xr:uid="{00000000-0005-0000-0000-0000D8700000}"/>
    <cellStyle name="Standard 4 5 2 3 2 3" xfId="28686" xr:uid="{00000000-0005-0000-0000-0000D9700000}"/>
    <cellStyle name="Standard 4 5 2 3 2 3 2" xfId="28687" xr:uid="{00000000-0005-0000-0000-0000DA700000}"/>
    <cellStyle name="Standard 4 5 2 3 2 3 2 2" xfId="28688" xr:uid="{00000000-0005-0000-0000-0000DB700000}"/>
    <cellStyle name="Standard 4 5 2 3 2 3 2 3" xfId="28689" xr:uid="{00000000-0005-0000-0000-0000DC700000}"/>
    <cellStyle name="Standard 4 5 2 3 2 3 3" xfId="28690" xr:uid="{00000000-0005-0000-0000-0000DD700000}"/>
    <cellStyle name="Standard 4 5 2 3 2 3 3 2" xfId="28691" xr:uid="{00000000-0005-0000-0000-0000DE700000}"/>
    <cellStyle name="Standard 4 5 2 3 2 3 3 3" xfId="28692" xr:uid="{00000000-0005-0000-0000-0000DF700000}"/>
    <cellStyle name="Standard 4 5 2 3 2 3 4" xfId="28693" xr:uid="{00000000-0005-0000-0000-0000E0700000}"/>
    <cellStyle name="Standard 4 5 2 3 2 3 4 2" xfId="28694" xr:uid="{00000000-0005-0000-0000-0000E1700000}"/>
    <cellStyle name="Standard 4 5 2 3 2 3 5" xfId="28695" xr:uid="{00000000-0005-0000-0000-0000E2700000}"/>
    <cellStyle name="Standard 4 5 2 3 2 3 6" xfId="28696" xr:uid="{00000000-0005-0000-0000-0000E3700000}"/>
    <cellStyle name="Standard 4 5 2 3 2 4" xfId="28697" xr:uid="{00000000-0005-0000-0000-0000E4700000}"/>
    <cellStyle name="Standard 4 5 2 3 2 4 2" xfId="28698" xr:uid="{00000000-0005-0000-0000-0000E5700000}"/>
    <cellStyle name="Standard 4 5 2 3 2 4 3" xfId="28699" xr:uid="{00000000-0005-0000-0000-0000E6700000}"/>
    <cellStyle name="Standard 4 5 2 3 2 5" xfId="28700" xr:uid="{00000000-0005-0000-0000-0000E7700000}"/>
    <cellStyle name="Standard 4 5 2 3 2 5 2" xfId="28701" xr:uid="{00000000-0005-0000-0000-0000E8700000}"/>
    <cellStyle name="Standard 4 5 2 3 2 5 3" xfId="28702" xr:uid="{00000000-0005-0000-0000-0000E9700000}"/>
    <cellStyle name="Standard 4 5 2 3 2 6" xfId="28703" xr:uid="{00000000-0005-0000-0000-0000EA700000}"/>
    <cellStyle name="Standard 4 5 2 3 2 6 2" xfId="28704" xr:uid="{00000000-0005-0000-0000-0000EB700000}"/>
    <cellStyle name="Standard 4 5 2 3 2 7" xfId="28705" xr:uid="{00000000-0005-0000-0000-0000EC700000}"/>
    <cellStyle name="Standard 4 5 2 3 2 8" xfId="28706" xr:uid="{00000000-0005-0000-0000-0000ED700000}"/>
    <cellStyle name="Standard 4 5 2 3 3" xfId="28707" xr:uid="{00000000-0005-0000-0000-0000EE700000}"/>
    <cellStyle name="Standard 4 5 2 3 3 2" xfId="28708" xr:uid="{00000000-0005-0000-0000-0000EF700000}"/>
    <cellStyle name="Standard 4 5 2 3 3 2 2" xfId="28709" xr:uid="{00000000-0005-0000-0000-0000F0700000}"/>
    <cellStyle name="Standard 4 5 2 3 3 2 2 2" xfId="28710" xr:uid="{00000000-0005-0000-0000-0000F1700000}"/>
    <cellStyle name="Standard 4 5 2 3 3 2 2 2 2" xfId="28711" xr:uid="{00000000-0005-0000-0000-0000F2700000}"/>
    <cellStyle name="Standard 4 5 2 3 3 2 2 2 3" xfId="28712" xr:uid="{00000000-0005-0000-0000-0000F3700000}"/>
    <cellStyle name="Standard 4 5 2 3 3 2 2 3" xfId="28713" xr:uid="{00000000-0005-0000-0000-0000F4700000}"/>
    <cellStyle name="Standard 4 5 2 3 3 2 2 3 2" xfId="28714" xr:uid="{00000000-0005-0000-0000-0000F5700000}"/>
    <cellStyle name="Standard 4 5 2 3 3 2 2 3 3" xfId="28715" xr:uid="{00000000-0005-0000-0000-0000F6700000}"/>
    <cellStyle name="Standard 4 5 2 3 3 2 2 4" xfId="28716" xr:uid="{00000000-0005-0000-0000-0000F7700000}"/>
    <cellStyle name="Standard 4 5 2 3 3 2 2 4 2" xfId="28717" xr:uid="{00000000-0005-0000-0000-0000F8700000}"/>
    <cellStyle name="Standard 4 5 2 3 3 2 2 5" xfId="28718" xr:uid="{00000000-0005-0000-0000-0000F9700000}"/>
    <cellStyle name="Standard 4 5 2 3 3 2 2 6" xfId="28719" xr:uid="{00000000-0005-0000-0000-0000FA700000}"/>
    <cellStyle name="Standard 4 5 2 3 3 2 3" xfId="28720" xr:uid="{00000000-0005-0000-0000-0000FB700000}"/>
    <cellStyle name="Standard 4 5 2 3 3 2 3 2" xfId="28721" xr:uid="{00000000-0005-0000-0000-0000FC700000}"/>
    <cellStyle name="Standard 4 5 2 3 3 2 3 3" xfId="28722" xr:uid="{00000000-0005-0000-0000-0000FD700000}"/>
    <cellStyle name="Standard 4 5 2 3 3 2 4" xfId="28723" xr:uid="{00000000-0005-0000-0000-0000FE700000}"/>
    <cellStyle name="Standard 4 5 2 3 3 2 4 2" xfId="28724" xr:uid="{00000000-0005-0000-0000-0000FF700000}"/>
    <cellStyle name="Standard 4 5 2 3 3 2 4 3" xfId="28725" xr:uid="{00000000-0005-0000-0000-000000710000}"/>
    <cellStyle name="Standard 4 5 2 3 3 2 5" xfId="28726" xr:uid="{00000000-0005-0000-0000-000001710000}"/>
    <cellStyle name="Standard 4 5 2 3 3 2 5 2" xfId="28727" xr:uid="{00000000-0005-0000-0000-000002710000}"/>
    <cellStyle name="Standard 4 5 2 3 3 2 6" xfId="28728" xr:uid="{00000000-0005-0000-0000-000003710000}"/>
    <cellStyle name="Standard 4 5 2 3 3 2 7" xfId="28729" xr:uid="{00000000-0005-0000-0000-000004710000}"/>
    <cellStyle name="Standard 4 5 2 3 3 3" xfId="28730" xr:uid="{00000000-0005-0000-0000-000005710000}"/>
    <cellStyle name="Standard 4 5 2 3 3 3 2" xfId="28731" xr:uid="{00000000-0005-0000-0000-000006710000}"/>
    <cellStyle name="Standard 4 5 2 3 3 3 2 2" xfId="28732" xr:uid="{00000000-0005-0000-0000-000007710000}"/>
    <cellStyle name="Standard 4 5 2 3 3 3 2 3" xfId="28733" xr:uid="{00000000-0005-0000-0000-000008710000}"/>
    <cellStyle name="Standard 4 5 2 3 3 3 3" xfId="28734" xr:uid="{00000000-0005-0000-0000-000009710000}"/>
    <cellStyle name="Standard 4 5 2 3 3 3 3 2" xfId="28735" xr:uid="{00000000-0005-0000-0000-00000A710000}"/>
    <cellStyle name="Standard 4 5 2 3 3 3 3 3" xfId="28736" xr:uid="{00000000-0005-0000-0000-00000B710000}"/>
    <cellStyle name="Standard 4 5 2 3 3 3 4" xfId="28737" xr:uid="{00000000-0005-0000-0000-00000C710000}"/>
    <cellStyle name="Standard 4 5 2 3 3 3 4 2" xfId="28738" xr:uid="{00000000-0005-0000-0000-00000D710000}"/>
    <cellStyle name="Standard 4 5 2 3 3 3 5" xfId="28739" xr:uid="{00000000-0005-0000-0000-00000E710000}"/>
    <cellStyle name="Standard 4 5 2 3 3 3 6" xfId="28740" xr:uid="{00000000-0005-0000-0000-00000F710000}"/>
    <cellStyle name="Standard 4 5 2 3 3 4" xfId="28741" xr:uid="{00000000-0005-0000-0000-000010710000}"/>
    <cellStyle name="Standard 4 5 2 3 3 4 2" xfId="28742" xr:uid="{00000000-0005-0000-0000-000011710000}"/>
    <cellStyle name="Standard 4 5 2 3 3 4 3" xfId="28743" xr:uid="{00000000-0005-0000-0000-000012710000}"/>
    <cellStyle name="Standard 4 5 2 3 3 5" xfId="28744" xr:uid="{00000000-0005-0000-0000-000013710000}"/>
    <cellStyle name="Standard 4 5 2 3 3 5 2" xfId="28745" xr:uid="{00000000-0005-0000-0000-000014710000}"/>
    <cellStyle name="Standard 4 5 2 3 3 5 3" xfId="28746" xr:uid="{00000000-0005-0000-0000-000015710000}"/>
    <cellStyle name="Standard 4 5 2 3 3 6" xfId="28747" xr:uid="{00000000-0005-0000-0000-000016710000}"/>
    <cellStyle name="Standard 4 5 2 3 3 6 2" xfId="28748" xr:uid="{00000000-0005-0000-0000-000017710000}"/>
    <cellStyle name="Standard 4 5 2 3 3 7" xfId="28749" xr:uid="{00000000-0005-0000-0000-000018710000}"/>
    <cellStyle name="Standard 4 5 2 3 3 8" xfId="28750" xr:uid="{00000000-0005-0000-0000-000019710000}"/>
    <cellStyle name="Standard 4 5 2 3 4" xfId="28751" xr:uid="{00000000-0005-0000-0000-00001A710000}"/>
    <cellStyle name="Standard 4 5 2 3 4 2" xfId="28752" xr:uid="{00000000-0005-0000-0000-00001B710000}"/>
    <cellStyle name="Standard 4 5 2 3 4 2 2" xfId="28753" xr:uid="{00000000-0005-0000-0000-00001C710000}"/>
    <cellStyle name="Standard 4 5 2 3 4 2 2 2" xfId="28754" xr:uid="{00000000-0005-0000-0000-00001D710000}"/>
    <cellStyle name="Standard 4 5 2 3 4 2 2 3" xfId="28755" xr:uid="{00000000-0005-0000-0000-00001E710000}"/>
    <cellStyle name="Standard 4 5 2 3 4 2 3" xfId="28756" xr:uid="{00000000-0005-0000-0000-00001F710000}"/>
    <cellStyle name="Standard 4 5 2 3 4 2 3 2" xfId="28757" xr:uid="{00000000-0005-0000-0000-000020710000}"/>
    <cellStyle name="Standard 4 5 2 3 4 2 3 3" xfId="28758" xr:uid="{00000000-0005-0000-0000-000021710000}"/>
    <cellStyle name="Standard 4 5 2 3 4 2 4" xfId="28759" xr:uid="{00000000-0005-0000-0000-000022710000}"/>
    <cellStyle name="Standard 4 5 2 3 4 2 4 2" xfId="28760" xr:uid="{00000000-0005-0000-0000-000023710000}"/>
    <cellStyle name="Standard 4 5 2 3 4 2 5" xfId="28761" xr:uid="{00000000-0005-0000-0000-000024710000}"/>
    <cellStyle name="Standard 4 5 2 3 4 2 6" xfId="28762" xr:uid="{00000000-0005-0000-0000-000025710000}"/>
    <cellStyle name="Standard 4 5 2 3 4 3" xfId="28763" xr:uid="{00000000-0005-0000-0000-000026710000}"/>
    <cellStyle name="Standard 4 5 2 3 4 3 2" xfId="28764" xr:uid="{00000000-0005-0000-0000-000027710000}"/>
    <cellStyle name="Standard 4 5 2 3 4 3 3" xfId="28765" xr:uid="{00000000-0005-0000-0000-000028710000}"/>
    <cellStyle name="Standard 4 5 2 3 4 4" xfId="28766" xr:uid="{00000000-0005-0000-0000-000029710000}"/>
    <cellStyle name="Standard 4 5 2 3 4 4 2" xfId="28767" xr:uid="{00000000-0005-0000-0000-00002A710000}"/>
    <cellStyle name="Standard 4 5 2 3 4 4 3" xfId="28768" xr:uid="{00000000-0005-0000-0000-00002B710000}"/>
    <cellStyle name="Standard 4 5 2 3 4 5" xfId="28769" xr:uid="{00000000-0005-0000-0000-00002C710000}"/>
    <cellStyle name="Standard 4 5 2 3 4 5 2" xfId="28770" xr:uid="{00000000-0005-0000-0000-00002D710000}"/>
    <cellStyle name="Standard 4 5 2 3 4 6" xfId="28771" xr:uid="{00000000-0005-0000-0000-00002E710000}"/>
    <cellStyle name="Standard 4 5 2 3 4 7" xfId="28772" xr:uid="{00000000-0005-0000-0000-00002F710000}"/>
    <cellStyle name="Standard 4 5 2 3 5" xfId="28773" xr:uid="{00000000-0005-0000-0000-000030710000}"/>
    <cellStyle name="Standard 4 5 2 3 5 2" xfId="28774" xr:uid="{00000000-0005-0000-0000-000031710000}"/>
    <cellStyle name="Standard 4 5 2 3 5 2 2" xfId="28775" xr:uid="{00000000-0005-0000-0000-000032710000}"/>
    <cellStyle name="Standard 4 5 2 3 5 2 3" xfId="28776" xr:uid="{00000000-0005-0000-0000-000033710000}"/>
    <cellStyle name="Standard 4 5 2 3 5 3" xfId="28777" xr:uid="{00000000-0005-0000-0000-000034710000}"/>
    <cellStyle name="Standard 4 5 2 3 5 3 2" xfId="28778" xr:uid="{00000000-0005-0000-0000-000035710000}"/>
    <cellStyle name="Standard 4 5 2 3 5 3 3" xfId="28779" xr:uid="{00000000-0005-0000-0000-000036710000}"/>
    <cellStyle name="Standard 4 5 2 3 5 4" xfId="28780" xr:uid="{00000000-0005-0000-0000-000037710000}"/>
    <cellStyle name="Standard 4 5 2 3 5 4 2" xfId="28781" xr:uid="{00000000-0005-0000-0000-000038710000}"/>
    <cellStyle name="Standard 4 5 2 3 5 5" xfId="28782" xr:uid="{00000000-0005-0000-0000-000039710000}"/>
    <cellStyle name="Standard 4 5 2 3 5 6" xfId="28783" xr:uid="{00000000-0005-0000-0000-00003A710000}"/>
    <cellStyle name="Standard 4 5 2 3 6" xfId="28784" xr:uid="{00000000-0005-0000-0000-00003B710000}"/>
    <cellStyle name="Standard 4 5 2 3 6 2" xfId="28785" xr:uid="{00000000-0005-0000-0000-00003C710000}"/>
    <cellStyle name="Standard 4 5 2 3 6 3" xfId="28786" xr:uid="{00000000-0005-0000-0000-00003D710000}"/>
    <cellStyle name="Standard 4 5 2 3 7" xfId="28787" xr:uid="{00000000-0005-0000-0000-00003E710000}"/>
    <cellStyle name="Standard 4 5 2 3 7 2" xfId="28788" xr:uid="{00000000-0005-0000-0000-00003F710000}"/>
    <cellStyle name="Standard 4 5 2 3 7 3" xfId="28789" xr:uid="{00000000-0005-0000-0000-000040710000}"/>
    <cellStyle name="Standard 4 5 2 3 8" xfId="28790" xr:uid="{00000000-0005-0000-0000-000041710000}"/>
    <cellStyle name="Standard 4 5 2 3 8 2" xfId="28791" xr:uid="{00000000-0005-0000-0000-000042710000}"/>
    <cellStyle name="Standard 4 5 2 3 9" xfId="28792" xr:uid="{00000000-0005-0000-0000-000043710000}"/>
    <cellStyle name="Standard 4 5 2 4" xfId="28793" xr:uid="{00000000-0005-0000-0000-000044710000}"/>
    <cellStyle name="Standard 4 5 2 4 2" xfId="28794" xr:uid="{00000000-0005-0000-0000-000045710000}"/>
    <cellStyle name="Standard 4 5 2 4 2 2" xfId="28795" xr:uid="{00000000-0005-0000-0000-000046710000}"/>
    <cellStyle name="Standard 4 5 2 4 2 2 2" xfId="28796" xr:uid="{00000000-0005-0000-0000-000047710000}"/>
    <cellStyle name="Standard 4 5 2 4 2 2 2 2" xfId="28797" xr:uid="{00000000-0005-0000-0000-000048710000}"/>
    <cellStyle name="Standard 4 5 2 4 2 2 2 3" xfId="28798" xr:uid="{00000000-0005-0000-0000-000049710000}"/>
    <cellStyle name="Standard 4 5 2 4 2 2 3" xfId="28799" xr:uid="{00000000-0005-0000-0000-00004A710000}"/>
    <cellStyle name="Standard 4 5 2 4 2 2 3 2" xfId="28800" xr:uid="{00000000-0005-0000-0000-00004B710000}"/>
    <cellStyle name="Standard 4 5 2 4 2 2 3 3" xfId="28801" xr:uid="{00000000-0005-0000-0000-00004C710000}"/>
    <cellStyle name="Standard 4 5 2 4 2 2 4" xfId="28802" xr:uid="{00000000-0005-0000-0000-00004D710000}"/>
    <cellStyle name="Standard 4 5 2 4 2 2 4 2" xfId="28803" xr:uid="{00000000-0005-0000-0000-00004E710000}"/>
    <cellStyle name="Standard 4 5 2 4 2 2 5" xfId="28804" xr:uid="{00000000-0005-0000-0000-00004F710000}"/>
    <cellStyle name="Standard 4 5 2 4 2 2 6" xfId="28805" xr:uid="{00000000-0005-0000-0000-000050710000}"/>
    <cellStyle name="Standard 4 5 2 4 2 3" xfId="28806" xr:uid="{00000000-0005-0000-0000-000051710000}"/>
    <cellStyle name="Standard 4 5 2 4 2 3 2" xfId="28807" xr:uid="{00000000-0005-0000-0000-000052710000}"/>
    <cellStyle name="Standard 4 5 2 4 2 3 3" xfId="28808" xr:uid="{00000000-0005-0000-0000-000053710000}"/>
    <cellStyle name="Standard 4 5 2 4 2 4" xfId="28809" xr:uid="{00000000-0005-0000-0000-000054710000}"/>
    <cellStyle name="Standard 4 5 2 4 2 4 2" xfId="28810" xr:uid="{00000000-0005-0000-0000-000055710000}"/>
    <cellStyle name="Standard 4 5 2 4 2 4 3" xfId="28811" xr:uid="{00000000-0005-0000-0000-000056710000}"/>
    <cellStyle name="Standard 4 5 2 4 2 5" xfId="28812" xr:uid="{00000000-0005-0000-0000-000057710000}"/>
    <cellStyle name="Standard 4 5 2 4 2 5 2" xfId="28813" xr:uid="{00000000-0005-0000-0000-000058710000}"/>
    <cellStyle name="Standard 4 5 2 4 2 6" xfId="28814" xr:uid="{00000000-0005-0000-0000-000059710000}"/>
    <cellStyle name="Standard 4 5 2 4 2 7" xfId="28815" xr:uid="{00000000-0005-0000-0000-00005A710000}"/>
    <cellStyle name="Standard 4 5 2 4 3" xfId="28816" xr:uid="{00000000-0005-0000-0000-00005B710000}"/>
    <cellStyle name="Standard 4 5 2 4 3 2" xfId="28817" xr:uid="{00000000-0005-0000-0000-00005C710000}"/>
    <cellStyle name="Standard 4 5 2 4 3 2 2" xfId="28818" xr:uid="{00000000-0005-0000-0000-00005D710000}"/>
    <cellStyle name="Standard 4 5 2 4 3 2 3" xfId="28819" xr:uid="{00000000-0005-0000-0000-00005E710000}"/>
    <cellStyle name="Standard 4 5 2 4 3 3" xfId="28820" xr:uid="{00000000-0005-0000-0000-00005F710000}"/>
    <cellStyle name="Standard 4 5 2 4 3 3 2" xfId="28821" xr:uid="{00000000-0005-0000-0000-000060710000}"/>
    <cellStyle name="Standard 4 5 2 4 3 3 3" xfId="28822" xr:uid="{00000000-0005-0000-0000-000061710000}"/>
    <cellStyle name="Standard 4 5 2 4 3 4" xfId="28823" xr:uid="{00000000-0005-0000-0000-000062710000}"/>
    <cellStyle name="Standard 4 5 2 4 3 4 2" xfId="28824" xr:uid="{00000000-0005-0000-0000-000063710000}"/>
    <cellStyle name="Standard 4 5 2 4 3 5" xfId="28825" xr:uid="{00000000-0005-0000-0000-000064710000}"/>
    <cellStyle name="Standard 4 5 2 4 3 6" xfId="28826" xr:uid="{00000000-0005-0000-0000-000065710000}"/>
    <cellStyle name="Standard 4 5 2 4 4" xfId="28827" xr:uid="{00000000-0005-0000-0000-000066710000}"/>
    <cellStyle name="Standard 4 5 2 4 4 2" xfId="28828" xr:uid="{00000000-0005-0000-0000-000067710000}"/>
    <cellStyle name="Standard 4 5 2 4 4 3" xfId="28829" xr:uid="{00000000-0005-0000-0000-000068710000}"/>
    <cellStyle name="Standard 4 5 2 4 5" xfId="28830" xr:uid="{00000000-0005-0000-0000-000069710000}"/>
    <cellStyle name="Standard 4 5 2 4 5 2" xfId="28831" xr:uid="{00000000-0005-0000-0000-00006A710000}"/>
    <cellStyle name="Standard 4 5 2 4 5 3" xfId="28832" xr:uid="{00000000-0005-0000-0000-00006B710000}"/>
    <cellStyle name="Standard 4 5 2 4 6" xfId="28833" xr:uid="{00000000-0005-0000-0000-00006C710000}"/>
    <cellStyle name="Standard 4 5 2 4 6 2" xfId="28834" xr:uid="{00000000-0005-0000-0000-00006D710000}"/>
    <cellStyle name="Standard 4 5 2 4 7" xfId="28835" xr:uid="{00000000-0005-0000-0000-00006E710000}"/>
    <cellStyle name="Standard 4 5 2 4 8" xfId="28836" xr:uid="{00000000-0005-0000-0000-00006F710000}"/>
    <cellStyle name="Standard 4 5 2 5" xfId="28837" xr:uid="{00000000-0005-0000-0000-000070710000}"/>
    <cellStyle name="Standard 4 5 2 5 2" xfId="28838" xr:uid="{00000000-0005-0000-0000-000071710000}"/>
    <cellStyle name="Standard 4 5 2 5 2 2" xfId="28839" xr:uid="{00000000-0005-0000-0000-000072710000}"/>
    <cellStyle name="Standard 4 5 2 5 2 2 2" xfId="28840" xr:uid="{00000000-0005-0000-0000-000073710000}"/>
    <cellStyle name="Standard 4 5 2 5 2 2 2 2" xfId="28841" xr:uid="{00000000-0005-0000-0000-000074710000}"/>
    <cellStyle name="Standard 4 5 2 5 2 2 2 3" xfId="28842" xr:uid="{00000000-0005-0000-0000-000075710000}"/>
    <cellStyle name="Standard 4 5 2 5 2 2 3" xfId="28843" xr:uid="{00000000-0005-0000-0000-000076710000}"/>
    <cellStyle name="Standard 4 5 2 5 2 2 3 2" xfId="28844" xr:uid="{00000000-0005-0000-0000-000077710000}"/>
    <cellStyle name="Standard 4 5 2 5 2 2 3 3" xfId="28845" xr:uid="{00000000-0005-0000-0000-000078710000}"/>
    <cellStyle name="Standard 4 5 2 5 2 2 4" xfId="28846" xr:uid="{00000000-0005-0000-0000-000079710000}"/>
    <cellStyle name="Standard 4 5 2 5 2 2 4 2" xfId="28847" xr:uid="{00000000-0005-0000-0000-00007A710000}"/>
    <cellStyle name="Standard 4 5 2 5 2 2 5" xfId="28848" xr:uid="{00000000-0005-0000-0000-00007B710000}"/>
    <cellStyle name="Standard 4 5 2 5 2 2 6" xfId="28849" xr:uid="{00000000-0005-0000-0000-00007C710000}"/>
    <cellStyle name="Standard 4 5 2 5 2 3" xfId="28850" xr:uid="{00000000-0005-0000-0000-00007D710000}"/>
    <cellStyle name="Standard 4 5 2 5 2 3 2" xfId="28851" xr:uid="{00000000-0005-0000-0000-00007E710000}"/>
    <cellStyle name="Standard 4 5 2 5 2 3 3" xfId="28852" xr:uid="{00000000-0005-0000-0000-00007F710000}"/>
    <cellStyle name="Standard 4 5 2 5 2 4" xfId="28853" xr:uid="{00000000-0005-0000-0000-000080710000}"/>
    <cellStyle name="Standard 4 5 2 5 2 4 2" xfId="28854" xr:uid="{00000000-0005-0000-0000-000081710000}"/>
    <cellStyle name="Standard 4 5 2 5 2 4 3" xfId="28855" xr:uid="{00000000-0005-0000-0000-000082710000}"/>
    <cellStyle name="Standard 4 5 2 5 2 5" xfId="28856" xr:uid="{00000000-0005-0000-0000-000083710000}"/>
    <cellStyle name="Standard 4 5 2 5 2 5 2" xfId="28857" xr:uid="{00000000-0005-0000-0000-000084710000}"/>
    <cellStyle name="Standard 4 5 2 5 2 6" xfId="28858" xr:uid="{00000000-0005-0000-0000-000085710000}"/>
    <cellStyle name="Standard 4 5 2 5 2 7" xfId="28859" xr:uid="{00000000-0005-0000-0000-000086710000}"/>
    <cellStyle name="Standard 4 5 2 5 3" xfId="28860" xr:uid="{00000000-0005-0000-0000-000087710000}"/>
    <cellStyle name="Standard 4 5 2 5 3 2" xfId="28861" xr:uid="{00000000-0005-0000-0000-000088710000}"/>
    <cellStyle name="Standard 4 5 2 5 3 2 2" xfId="28862" xr:uid="{00000000-0005-0000-0000-000089710000}"/>
    <cellStyle name="Standard 4 5 2 5 3 2 3" xfId="28863" xr:uid="{00000000-0005-0000-0000-00008A710000}"/>
    <cellStyle name="Standard 4 5 2 5 3 3" xfId="28864" xr:uid="{00000000-0005-0000-0000-00008B710000}"/>
    <cellStyle name="Standard 4 5 2 5 3 3 2" xfId="28865" xr:uid="{00000000-0005-0000-0000-00008C710000}"/>
    <cellStyle name="Standard 4 5 2 5 3 3 3" xfId="28866" xr:uid="{00000000-0005-0000-0000-00008D710000}"/>
    <cellStyle name="Standard 4 5 2 5 3 4" xfId="28867" xr:uid="{00000000-0005-0000-0000-00008E710000}"/>
    <cellStyle name="Standard 4 5 2 5 3 4 2" xfId="28868" xr:uid="{00000000-0005-0000-0000-00008F710000}"/>
    <cellStyle name="Standard 4 5 2 5 3 5" xfId="28869" xr:uid="{00000000-0005-0000-0000-000090710000}"/>
    <cellStyle name="Standard 4 5 2 5 3 6" xfId="28870" xr:uid="{00000000-0005-0000-0000-000091710000}"/>
    <cellStyle name="Standard 4 5 2 5 4" xfId="28871" xr:uid="{00000000-0005-0000-0000-000092710000}"/>
    <cellStyle name="Standard 4 5 2 5 4 2" xfId="28872" xr:uid="{00000000-0005-0000-0000-000093710000}"/>
    <cellStyle name="Standard 4 5 2 5 4 3" xfId="28873" xr:uid="{00000000-0005-0000-0000-000094710000}"/>
    <cellStyle name="Standard 4 5 2 5 5" xfId="28874" xr:uid="{00000000-0005-0000-0000-000095710000}"/>
    <cellStyle name="Standard 4 5 2 5 5 2" xfId="28875" xr:uid="{00000000-0005-0000-0000-000096710000}"/>
    <cellStyle name="Standard 4 5 2 5 5 3" xfId="28876" xr:uid="{00000000-0005-0000-0000-000097710000}"/>
    <cellStyle name="Standard 4 5 2 5 6" xfId="28877" xr:uid="{00000000-0005-0000-0000-000098710000}"/>
    <cellStyle name="Standard 4 5 2 5 6 2" xfId="28878" xr:uid="{00000000-0005-0000-0000-000099710000}"/>
    <cellStyle name="Standard 4 5 2 5 7" xfId="28879" xr:uid="{00000000-0005-0000-0000-00009A710000}"/>
    <cellStyle name="Standard 4 5 2 5 8" xfId="28880" xr:uid="{00000000-0005-0000-0000-00009B710000}"/>
    <cellStyle name="Standard 4 5 2 6" xfId="28881" xr:uid="{00000000-0005-0000-0000-00009C710000}"/>
    <cellStyle name="Standard 4 5 2 6 2" xfId="28882" xr:uid="{00000000-0005-0000-0000-00009D710000}"/>
    <cellStyle name="Standard 4 5 2 6 2 2" xfId="28883" xr:uid="{00000000-0005-0000-0000-00009E710000}"/>
    <cellStyle name="Standard 4 5 2 6 2 2 2" xfId="28884" xr:uid="{00000000-0005-0000-0000-00009F710000}"/>
    <cellStyle name="Standard 4 5 2 6 2 2 3" xfId="28885" xr:uid="{00000000-0005-0000-0000-0000A0710000}"/>
    <cellStyle name="Standard 4 5 2 6 2 3" xfId="28886" xr:uid="{00000000-0005-0000-0000-0000A1710000}"/>
    <cellStyle name="Standard 4 5 2 6 2 3 2" xfId="28887" xr:uid="{00000000-0005-0000-0000-0000A2710000}"/>
    <cellStyle name="Standard 4 5 2 6 2 3 3" xfId="28888" xr:uid="{00000000-0005-0000-0000-0000A3710000}"/>
    <cellStyle name="Standard 4 5 2 6 2 4" xfId="28889" xr:uid="{00000000-0005-0000-0000-0000A4710000}"/>
    <cellStyle name="Standard 4 5 2 6 2 4 2" xfId="28890" xr:uid="{00000000-0005-0000-0000-0000A5710000}"/>
    <cellStyle name="Standard 4 5 2 6 2 5" xfId="28891" xr:uid="{00000000-0005-0000-0000-0000A6710000}"/>
    <cellStyle name="Standard 4 5 2 6 2 6" xfId="28892" xr:uid="{00000000-0005-0000-0000-0000A7710000}"/>
    <cellStyle name="Standard 4 5 2 6 3" xfId="28893" xr:uid="{00000000-0005-0000-0000-0000A8710000}"/>
    <cellStyle name="Standard 4 5 2 6 3 2" xfId="28894" xr:uid="{00000000-0005-0000-0000-0000A9710000}"/>
    <cellStyle name="Standard 4 5 2 6 3 3" xfId="28895" xr:uid="{00000000-0005-0000-0000-0000AA710000}"/>
    <cellStyle name="Standard 4 5 2 6 4" xfId="28896" xr:uid="{00000000-0005-0000-0000-0000AB710000}"/>
    <cellStyle name="Standard 4 5 2 6 4 2" xfId="28897" xr:uid="{00000000-0005-0000-0000-0000AC710000}"/>
    <cellStyle name="Standard 4 5 2 6 4 3" xfId="28898" xr:uid="{00000000-0005-0000-0000-0000AD710000}"/>
    <cellStyle name="Standard 4 5 2 6 5" xfId="28899" xr:uid="{00000000-0005-0000-0000-0000AE710000}"/>
    <cellStyle name="Standard 4 5 2 6 5 2" xfId="28900" xr:uid="{00000000-0005-0000-0000-0000AF710000}"/>
    <cellStyle name="Standard 4 5 2 6 6" xfId="28901" xr:uid="{00000000-0005-0000-0000-0000B0710000}"/>
    <cellStyle name="Standard 4 5 2 6 7" xfId="28902" xr:uid="{00000000-0005-0000-0000-0000B1710000}"/>
    <cellStyle name="Standard 4 5 2 7" xfId="28903" xr:uid="{00000000-0005-0000-0000-0000B2710000}"/>
    <cellStyle name="Standard 4 5 2 7 2" xfId="28904" xr:uid="{00000000-0005-0000-0000-0000B3710000}"/>
    <cellStyle name="Standard 4 5 2 7 2 2" xfId="28905" xr:uid="{00000000-0005-0000-0000-0000B4710000}"/>
    <cellStyle name="Standard 4 5 2 7 2 3" xfId="28906" xr:uid="{00000000-0005-0000-0000-0000B5710000}"/>
    <cellStyle name="Standard 4 5 2 7 3" xfId="28907" xr:uid="{00000000-0005-0000-0000-0000B6710000}"/>
    <cellStyle name="Standard 4 5 2 7 3 2" xfId="28908" xr:uid="{00000000-0005-0000-0000-0000B7710000}"/>
    <cellStyle name="Standard 4 5 2 7 3 3" xfId="28909" xr:uid="{00000000-0005-0000-0000-0000B8710000}"/>
    <cellStyle name="Standard 4 5 2 7 4" xfId="28910" xr:uid="{00000000-0005-0000-0000-0000B9710000}"/>
    <cellStyle name="Standard 4 5 2 7 4 2" xfId="28911" xr:uid="{00000000-0005-0000-0000-0000BA710000}"/>
    <cellStyle name="Standard 4 5 2 7 5" xfId="28912" xr:uid="{00000000-0005-0000-0000-0000BB710000}"/>
    <cellStyle name="Standard 4 5 2 7 6" xfId="28913" xr:uid="{00000000-0005-0000-0000-0000BC710000}"/>
    <cellStyle name="Standard 4 5 2 8" xfId="28914" xr:uid="{00000000-0005-0000-0000-0000BD710000}"/>
    <cellStyle name="Standard 4 5 2 8 2" xfId="28915" xr:uid="{00000000-0005-0000-0000-0000BE710000}"/>
    <cellStyle name="Standard 4 5 2 8 3" xfId="28916" xr:uid="{00000000-0005-0000-0000-0000BF710000}"/>
    <cellStyle name="Standard 4 5 2 9" xfId="28917" xr:uid="{00000000-0005-0000-0000-0000C0710000}"/>
    <cellStyle name="Standard 4 5 2 9 2" xfId="28918" xr:uid="{00000000-0005-0000-0000-0000C1710000}"/>
    <cellStyle name="Standard 4 5 2 9 3" xfId="28919" xr:uid="{00000000-0005-0000-0000-0000C2710000}"/>
    <cellStyle name="Standard 4 5 3" xfId="28920" xr:uid="{00000000-0005-0000-0000-0000C3710000}"/>
    <cellStyle name="Standard 4 5 3 10" xfId="28921" xr:uid="{00000000-0005-0000-0000-0000C4710000}"/>
    <cellStyle name="Standard 4 5 3 11" xfId="28922" xr:uid="{00000000-0005-0000-0000-0000C5710000}"/>
    <cellStyle name="Standard 4 5 3 12" xfId="33473" xr:uid="{00000000-0005-0000-0000-0000C6710000}"/>
    <cellStyle name="Standard 4 5 3 2" xfId="28923" xr:uid="{00000000-0005-0000-0000-0000C7710000}"/>
    <cellStyle name="Standard 4 5 3 2 10" xfId="28924" xr:uid="{00000000-0005-0000-0000-0000C8710000}"/>
    <cellStyle name="Standard 4 5 3 2 2" xfId="28925" xr:uid="{00000000-0005-0000-0000-0000C9710000}"/>
    <cellStyle name="Standard 4 5 3 2 2 2" xfId="28926" xr:uid="{00000000-0005-0000-0000-0000CA710000}"/>
    <cellStyle name="Standard 4 5 3 2 2 2 2" xfId="28927" xr:uid="{00000000-0005-0000-0000-0000CB710000}"/>
    <cellStyle name="Standard 4 5 3 2 2 2 2 2" xfId="28928" xr:uid="{00000000-0005-0000-0000-0000CC710000}"/>
    <cellStyle name="Standard 4 5 3 2 2 2 2 2 2" xfId="28929" xr:uid="{00000000-0005-0000-0000-0000CD710000}"/>
    <cellStyle name="Standard 4 5 3 2 2 2 2 2 3" xfId="28930" xr:uid="{00000000-0005-0000-0000-0000CE710000}"/>
    <cellStyle name="Standard 4 5 3 2 2 2 2 3" xfId="28931" xr:uid="{00000000-0005-0000-0000-0000CF710000}"/>
    <cellStyle name="Standard 4 5 3 2 2 2 2 3 2" xfId="28932" xr:uid="{00000000-0005-0000-0000-0000D0710000}"/>
    <cellStyle name="Standard 4 5 3 2 2 2 2 3 3" xfId="28933" xr:uid="{00000000-0005-0000-0000-0000D1710000}"/>
    <cellStyle name="Standard 4 5 3 2 2 2 2 4" xfId="28934" xr:uid="{00000000-0005-0000-0000-0000D2710000}"/>
    <cellStyle name="Standard 4 5 3 2 2 2 2 4 2" xfId="28935" xr:uid="{00000000-0005-0000-0000-0000D3710000}"/>
    <cellStyle name="Standard 4 5 3 2 2 2 2 5" xfId="28936" xr:uid="{00000000-0005-0000-0000-0000D4710000}"/>
    <cellStyle name="Standard 4 5 3 2 2 2 2 6" xfId="28937" xr:uid="{00000000-0005-0000-0000-0000D5710000}"/>
    <cellStyle name="Standard 4 5 3 2 2 2 3" xfId="28938" xr:uid="{00000000-0005-0000-0000-0000D6710000}"/>
    <cellStyle name="Standard 4 5 3 2 2 2 3 2" xfId="28939" xr:uid="{00000000-0005-0000-0000-0000D7710000}"/>
    <cellStyle name="Standard 4 5 3 2 2 2 3 3" xfId="28940" xr:uid="{00000000-0005-0000-0000-0000D8710000}"/>
    <cellStyle name="Standard 4 5 3 2 2 2 4" xfId="28941" xr:uid="{00000000-0005-0000-0000-0000D9710000}"/>
    <cellStyle name="Standard 4 5 3 2 2 2 4 2" xfId="28942" xr:uid="{00000000-0005-0000-0000-0000DA710000}"/>
    <cellStyle name="Standard 4 5 3 2 2 2 4 3" xfId="28943" xr:uid="{00000000-0005-0000-0000-0000DB710000}"/>
    <cellStyle name="Standard 4 5 3 2 2 2 5" xfId="28944" xr:uid="{00000000-0005-0000-0000-0000DC710000}"/>
    <cellStyle name="Standard 4 5 3 2 2 2 5 2" xfId="28945" xr:uid="{00000000-0005-0000-0000-0000DD710000}"/>
    <cellStyle name="Standard 4 5 3 2 2 2 6" xfId="28946" xr:uid="{00000000-0005-0000-0000-0000DE710000}"/>
    <cellStyle name="Standard 4 5 3 2 2 2 7" xfId="28947" xr:uid="{00000000-0005-0000-0000-0000DF710000}"/>
    <cellStyle name="Standard 4 5 3 2 2 3" xfId="28948" xr:uid="{00000000-0005-0000-0000-0000E0710000}"/>
    <cellStyle name="Standard 4 5 3 2 2 3 2" xfId="28949" xr:uid="{00000000-0005-0000-0000-0000E1710000}"/>
    <cellStyle name="Standard 4 5 3 2 2 3 2 2" xfId="28950" xr:uid="{00000000-0005-0000-0000-0000E2710000}"/>
    <cellStyle name="Standard 4 5 3 2 2 3 2 3" xfId="28951" xr:uid="{00000000-0005-0000-0000-0000E3710000}"/>
    <cellStyle name="Standard 4 5 3 2 2 3 3" xfId="28952" xr:uid="{00000000-0005-0000-0000-0000E4710000}"/>
    <cellStyle name="Standard 4 5 3 2 2 3 3 2" xfId="28953" xr:uid="{00000000-0005-0000-0000-0000E5710000}"/>
    <cellStyle name="Standard 4 5 3 2 2 3 3 3" xfId="28954" xr:uid="{00000000-0005-0000-0000-0000E6710000}"/>
    <cellStyle name="Standard 4 5 3 2 2 3 4" xfId="28955" xr:uid="{00000000-0005-0000-0000-0000E7710000}"/>
    <cellStyle name="Standard 4 5 3 2 2 3 4 2" xfId="28956" xr:uid="{00000000-0005-0000-0000-0000E8710000}"/>
    <cellStyle name="Standard 4 5 3 2 2 3 5" xfId="28957" xr:uid="{00000000-0005-0000-0000-0000E9710000}"/>
    <cellStyle name="Standard 4 5 3 2 2 3 6" xfId="28958" xr:uid="{00000000-0005-0000-0000-0000EA710000}"/>
    <cellStyle name="Standard 4 5 3 2 2 4" xfId="28959" xr:uid="{00000000-0005-0000-0000-0000EB710000}"/>
    <cellStyle name="Standard 4 5 3 2 2 4 2" xfId="28960" xr:uid="{00000000-0005-0000-0000-0000EC710000}"/>
    <cellStyle name="Standard 4 5 3 2 2 4 3" xfId="28961" xr:uid="{00000000-0005-0000-0000-0000ED710000}"/>
    <cellStyle name="Standard 4 5 3 2 2 5" xfId="28962" xr:uid="{00000000-0005-0000-0000-0000EE710000}"/>
    <cellStyle name="Standard 4 5 3 2 2 5 2" xfId="28963" xr:uid="{00000000-0005-0000-0000-0000EF710000}"/>
    <cellStyle name="Standard 4 5 3 2 2 5 3" xfId="28964" xr:uid="{00000000-0005-0000-0000-0000F0710000}"/>
    <cellStyle name="Standard 4 5 3 2 2 6" xfId="28965" xr:uid="{00000000-0005-0000-0000-0000F1710000}"/>
    <cellStyle name="Standard 4 5 3 2 2 6 2" xfId="28966" xr:uid="{00000000-0005-0000-0000-0000F2710000}"/>
    <cellStyle name="Standard 4 5 3 2 2 7" xfId="28967" xr:uid="{00000000-0005-0000-0000-0000F3710000}"/>
    <cellStyle name="Standard 4 5 3 2 2 8" xfId="28968" xr:uid="{00000000-0005-0000-0000-0000F4710000}"/>
    <cellStyle name="Standard 4 5 3 2 3" xfId="28969" xr:uid="{00000000-0005-0000-0000-0000F5710000}"/>
    <cellStyle name="Standard 4 5 3 2 3 2" xfId="28970" xr:uid="{00000000-0005-0000-0000-0000F6710000}"/>
    <cellStyle name="Standard 4 5 3 2 3 2 2" xfId="28971" xr:uid="{00000000-0005-0000-0000-0000F7710000}"/>
    <cellStyle name="Standard 4 5 3 2 3 2 2 2" xfId="28972" xr:uid="{00000000-0005-0000-0000-0000F8710000}"/>
    <cellStyle name="Standard 4 5 3 2 3 2 2 2 2" xfId="28973" xr:uid="{00000000-0005-0000-0000-0000F9710000}"/>
    <cellStyle name="Standard 4 5 3 2 3 2 2 2 3" xfId="28974" xr:uid="{00000000-0005-0000-0000-0000FA710000}"/>
    <cellStyle name="Standard 4 5 3 2 3 2 2 3" xfId="28975" xr:uid="{00000000-0005-0000-0000-0000FB710000}"/>
    <cellStyle name="Standard 4 5 3 2 3 2 2 3 2" xfId="28976" xr:uid="{00000000-0005-0000-0000-0000FC710000}"/>
    <cellStyle name="Standard 4 5 3 2 3 2 2 3 3" xfId="28977" xr:uid="{00000000-0005-0000-0000-0000FD710000}"/>
    <cellStyle name="Standard 4 5 3 2 3 2 2 4" xfId="28978" xr:uid="{00000000-0005-0000-0000-0000FE710000}"/>
    <cellStyle name="Standard 4 5 3 2 3 2 2 4 2" xfId="28979" xr:uid="{00000000-0005-0000-0000-0000FF710000}"/>
    <cellStyle name="Standard 4 5 3 2 3 2 2 5" xfId="28980" xr:uid="{00000000-0005-0000-0000-000000720000}"/>
    <cellStyle name="Standard 4 5 3 2 3 2 2 6" xfId="28981" xr:uid="{00000000-0005-0000-0000-000001720000}"/>
    <cellStyle name="Standard 4 5 3 2 3 2 3" xfId="28982" xr:uid="{00000000-0005-0000-0000-000002720000}"/>
    <cellStyle name="Standard 4 5 3 2 3 2 3 2" xfId="28983" xr:uid="{00000000-0005-0000-0000-000003720000}"/>
    <cellStyle name="Standard 4 5 3 2 3 2 3 3" xfId="28984" xr:uid="{00000000-0005-0000-0000-000004720000}"/>
    <cellStyle name="Standard 4 5 3 2 3 2 4" xfId="28985" xr:uid="{00000000-0005-0000-0000-000005720000}"/>
    <cellStyle name="Standard 4 5 3 2 3 2 4 2" xfId="28986" xr:uid="{00000000-0005-0000-0000-000006720000}"/>
    <cellStyle name="Standard 4 5 3 2 3 2 4 3" xfId="28987" xr:uid="{00000000-0005-0000-0000-000007720000}"/>
    <cellStyle name="Standard 4 5 3 2 3 2 5" xfId="28988" xr:uid="{00000000-0005-0000-0000-000008720000}"/>
    <cellStyle name="Standard 4 5 3 2 3 2 5 2" xfId="28989" xr:uid="{00000000-0005-0000-0000-000009720000}"/>
    <cellStyle name="Standard 4 5 3 2 3 2 6" xfId="28990" xr:uid="{00000000-0005-0000-0000-00000A720000}"/>
    <cellStyle name="Standard 4 5 3 2 3 2 7" xfId="28991" xr:uid="{00000000-0005-0000-0000-00000B720000}"/>
    <cellStyle name="Standard 4 5 3 2 3 3" xfId="28992" xr:uid="{00000000-0005-0000-0000-00000C720000}"/>
    <cellStyle name="Standard 4 5 3 2 3 3 2" xfId="28993" xr:uid="{00000000-0005-0000-0000-00000D720000}"/>
    <cellStyle name="Standard 4 5 3 2 3 3 2 2" xfId="28994" xr:uid="{00000000-0005-0000-0000-00000E720000}"/>
    <cellStyle name="Standard 4 5 3 2 3 3 2 3" xfId="28995" xr:uid="{00000000-0005-0000-0000-00000F720000}"/>
    <cellStyle name="Standard 4 5 3 2 3 3 3" xfId="28996" xr:uid="{00000000-0005-0000-0000-000010720000}"/>
    <cellStyle name="Standard 4 5 3 2 3 3 3 2" xfId="28997" xr:uid="{00000000-0005-0000-0000-000011720000}"/>
    <cellStyle name="Standard 4 5 3 2 3 3 3 3" xfId="28998" xr:uid="{00000000-0005-0000-0000-000012720000}"/>
    <cellStyle name="Standard 4 5 3 2 3 3 4" xfId="28999" xr:uid="{00000000-0005-0000-0000-000013720000}"/>
    <cellStyle name="Standard 4 5 3 2 3 3 4 2" xfId="29000" xr:uid="{00000000-0005-0000-0000-000014720000}"/>
    <cellStyle name="Standard 4 5 3 2 3 3 5" xfId="29001" xr:uid="{00000000-0005-0000-0000-000015720000}"/>
    <cellStyle name="Standard 4 5 3 2 3 3 6" xfId="29002" xr:uid="{00000000-0005-0000-0000-000016720000}"/>
    <cellStyle name="Standard 4 5 3 2 3 4" xfId="29003" xr:uid="{00000000-0005-0000-0000-000017720000}"/>
    <cellStyle name="Standard 4 5 3 2 3 4 2" xfId="29004" xr:uid="{00000000-0005-0000-0000-000018720000}"/>
    <cellStyle name="Standard 4 5 3 2 3 4 3" xfId="29005" xr:uid="{00000000-0005-0000-0000-000019720000}"/>
    <cellStyle name="Standard 4 5 3 2 3 5" xfId="29006" xr:uid="{00000000-0005-0000-0000-00001A720000}"/>
    <cellStyle name="Standard 4 5 3 2 3 5 2" xfId="29007" xr:uid="{00000000-0005-0000-0000-00001B720000}"/>
    <cellStyle name="Standard 4 5 3 2 3 5 3" xfId="29008" xr:uid="{00000000-0005-0000-0000-00001C720000}"/>
    <cellStyle name="Standard 4 5 3 2 3 6" xfId="29009" xr:uid="{00000000-0005-0000-0000-00001D720000}"/>
    <cellStyle name="Standard 4 5 3 2 3 6 2" xfId="29010" xr:uid="{00000000-0005-0000-0000-00001E720000}"/>
    <cellStyle name="Standard 4 5 3 2 3 7" xfId="29011" xr:uid="{00000000-0005-0000-0000-00001F720000}"/>
    <cellStyle name="Standard 4 5 3 2 3 8" xfId="29012" xr:uid="{00000000-0005-0000-0000-000020720000}"/>
    <cellStyle name="Standard 4 5 3 2 4" xfId="29013" xr:uid="{00000000-0005-0000-0000-000021720000}"/>
    <cellStyle name="Standard 4 5 3 2 4 2" xfId="29014" xr:uid="{00000000-0005-0000-0000-000022720000}"/>
    <cellStyle name="Standard 4 5 3 2 4 2 2" xfId="29015" xr:uid="{00000000-0005-0000-0000-000023720000}"/>
    <cellStyle name="Standard 4 5 3 2 4 2 2 2" xfId="29016" xr:uid="{00000000-0005-0000-0000-000024720000}"/>
    <cellStyle name="Standard 4 5 3 2 4 2 2 3" xfId="29017" xr:uid="{00000000-0005-0000-0000-000025720000}"/>
    <cellStyle name="Standard 4 5 3 2 4 2 3" xfId="29018" xr:uid="{00000000-0005-0000-0000-000026720000}"/>
    <cellStyle name="Standard 4 5 3 2 4 2 3 2" xfId="29019" xr:uid="{00000000-0005-0000-0000-000027720000}"/>
    <cellStyle name="Standard 4 5 3 2 4 2 3 3" xfId="29020" xr:uid="{00000000-0005-0000-0000-000028720000}"/>
    <cellStyle name="Standard 4 5 3 2 4 2 4" xfId="29021" xr:uid="{00000000-0005-0000-0000-000029720000}"/>
    <cellStyle name="Standard 4 5 3 2 4 2 4 2" xfId="29022" xr:uid="{00000000-0005-0000-0000-00002A720000}"/>
    <cellStyle name="Standard 4 5 3 2 4 2 5" xfId="29023" xr:uid="{00000000-0005-0000-0000-00002B720000}"/>
    <cellStyle name="Standard 4 5 3 2 4 2 6" xfId="29024" xr:uid="{00000000-0005-0000-0000-00002C720000}"/>
    <cellStyle name="Standard 4 5 3 2 4 3" xfId="29025" xr:uid="{00000000-0005-0000-0000-00002D720000}"/>
    <cellStyle name="Standard 4 5 3 2 4 3 2" xfId="29026" xr:uid="{00000000-0005-0000-0000-00002E720000}"/>
    <cellStyle name="Standard 4 5 3 2 4 3 3" xfId="29027" xr:uid="{00000000-0005-0000-0000-00002F720000}"/>
    <cellStyle name="Standard 4 5 3 2 4 4" xfId="29028" xr:uid="{00000000-0005-0000-0000-000030720000}"/>
    <cellStyle name="Standard 4 5 3 2 4 4 2" xfId="29029" xr:uid="{00000000-0005-0000-0000-000031720000}"/>
    <cellStyle name="Standard 4 5 3 2 4 4 3" xfId="29030" xr:uid="{00000000-0005-0000-0000-000032720000}"/>
    <cellStyle name="Standard 4 5 3 2 4 5" xfId="29031" xr:uid="{00000000-0005-0000-0000-000033720000}"/>
    <cellStyle name="Standard 4 5 3 2 4 5 2" xfId="29032" xr:uid="{00000000-0005-0000-0000-000034720000}"/>
    <cellStyle name="Standard 4 5 3 2 4 6" xfId="29033" xr:uid="{00000000-0005-0000-0000-000035720000}"/>
    <cellStyle name="Standard 4 5 3 2 4 7" xfId="29034" xr:uid="{00000000-0005-0000-0000-000036720000}"/>
    <cellStyle name="Standard 4 5 3 2 5" xfId="29035" xr:uid="{00000000-0005-0000-0000-000037720000}"/>
    <cellStyle name="Standard 4 5 3 2 5 2" xfId="29036" xr:uid="{00000000-0005-0000-0000-000038720000}"/>
    <cellStyle name="Standard 4 5 3 2 5 2 2" xfId="29037" xr:uid="{00000000-0005-0000-0000-000039720000}"/>
    <cellStyle name="Standard 4 5 3 2 5 2 3" xfId="29038" xr:uid="{00000000-0005-0000-0000-00003A720000}"/>
    <cellStyle name="Standard 4 5 3 2 5 3" xfId="29039" xr:uid="{00000000-0005-0000-0000-00003B720000}"/>
    <cellStyle name="Standard 4 5 3 2 5 3 2" xfId="29040" xr:uid="{00000000-0005-0000-0000-00003C720000}"/>
    <cellStyle name="Standard 4 5 3 2 5 3 3" xfId="29041" xr:uid="{00000000-0005-0000-0000-00003D720000}"/>
    <cellStyle name="Standard 4 5 3 2 5 4" xfId="29042" xr:uid="{00000000-0005-0000-0000-00003E720000}"/>
    <cellStyle name="Standard 4 5 3 2 5 4 2" xfId="29043" xr:uid="{00000000-0005-0000-0000-00003F720000}"/>
    <cellStyle name="Standard 4 5 3 2 5 5" xfId="29044" xr:uid="{00000000-0005-0000-0000-000040720000}"/>
    <cellStyle name="Standard 4 5 3 2 5 6" xfId="29045" xr:uid="{00000000-0005-0000-0000-000041720000}"/>
    <cellStyle name="Standard 4 5 3 2 6" xfId="29046" xr:uid="{00000000-0005-0000-0000-000042720000}"/>
    <cellStyle name="Standard 4 5 3 2 6 2" xfId="29047" xr:uid="{00000000-0005-0000-0000-000043720000}"/>
    <cellStyle name="Standard 4 5 3 2 6 3" xfId="29048" xr:uid="{00000000-0005-0000-0000-000044720000}"/>
    <cellStyle name="Standard 4 5 3 2 7" xfId="29049" xr:uid="{00000000-0005-0000-0000-000045720000}"/>
    <cellStyle name="Standard 4 5 3 2 7 2" xfId="29050" xr:uid="{00000000-0005-0000-0000-000046720000}"/>
    <cellStyle name="Standard 4 5 3 2 7 3" xfId="29051" xr:uid="{00000000-0005-0000-0000-000047720000}"/>
    <cellStyle name="Standard 4 5 3 2 8" xfId="29052" xr:uid="{00000000-0005-0000-0000-000048720000}"/>
    <cellStyle name="Standard 4 5 3 2 8 2" xfId="29053" xr:uid="{00000000-0005-0000-0000-000049720000}"/>
    <cellStyle name="Standard 4 5 3 2 9" xfId="29054" xr:uid="{00000000-0005-0000-0000-00004A720000}"/>
    <cellStyle name="Standard 4 5 3 3" xfId="29055" xr:uid="{00000000-0005-0000-0000-00004B720000}"/>
    <cellStyle name="Standard 4 5 3 3 2" xfId="29056" xr:uid="{00000000-0005-0000-0000-00004C720000}"/>
    <cellStyle name="Standard 4 5 3 3 2 2" xfId="29057" xr:uid="{00000000-0005-0000-0000-00004D720000}"/>
    <cellStyle name="Standard 4 5 3 3 2 2 2" xfId="29058" xr:uid="{00000000-0005-0000-0000-00004E720000}"/>
    <cellStyle name="Standard 4 5 3 3 2 2 2 2" xfId="29059" xr:uid="{00000000-0005-0000-0000-00004F720000}"/>
    <cellStyle name="Standard 4 5 3 3 2 2 2 3" xfId="29060" xr:uid="{00000000-0005-0000-0000-000050720000}"/>
    <cellStyle name="Standard 4 5 3 3 2 2 3" xfId="29061" xr:uid="{00000000-0005-0000-0000-000051720000}"/>
    <cellStyle name="Standard 4 5 3 3 2 2 3 2" xfId="29062" xr:uid="{00000000-0005-0000-0000-000052720000}"/>
    <cellStyle name="Standard 4 5 3 3 2 2 3 3" xfId="29063" xr:uid="{00000000-0005-0000-0000-000053720000}"/>
    <cellStyle name="Standard 4 5 3 3 2 2 4" xfId="29064" xr:uid="{00000000-0005-0000-0000-000054720000}"/>
    <cellStyle name="Standard 4 5 3 3 2 2 4 2" xfId="29065" xr:uid="{00000000-0005-0000-0000-000055720000}"/>
    <cellStyle name="Standard 4 5 3 3 2 2 5" xfId="29066" xr:uid="{00000000-0005-0000-0000-000056720000}"/>
    <cellStyle name="Standard 4 5 3 3 2 2 6" xfId="29067" xr:uid="{00000000-0005-0000-0000-000057720000}"/>
    <cellStyle name="Standard 4 5 3 3 2 3" xfId="29068" xr:uid="{00000000-0005-0000-0000-000058720000}"/>
    <cellStyle name="Standard 4 5 3 3 2 3 2" xfId="29069" xr:uid="{00000000-0005-0000-0000-000059720000}"/>
    <cellStyle name="Standard 4 5 3 3 2 3 3" xfId="29070" xr:uid="{00000000-0005-0000-0000-00005A720000}"/>
    <cellStyle name="Standard 4 5 3 3 2 4" xfId="29071" xr:uid="{00000000-0005-0000-0000-00005B720000}"/>
    <cellStyle name="Standard 4 5 3 3 2 4 2" xfId="29072" xr:uid="{00000000-0005-0000-0000-00005C720000}"/>
    <cellStyle name="Standard 4 5 3 3 2 4 3" xfId="29073" xr:uid="{00000000-0005-0000-0000-00005D720000}"/>
    <cellStyle name="Standard 4 5 3 3 2 5" xfId="29074" xr:uid="{00000000-0005-0000-0000-00005E720000}"/>
    <cellStyle name="Standard 4 5 3 3 2 5 2" xfId="29075" xr:uid="{00000000-0005-0000-0000-00005F720000}"/>
    <cellStyle name="Standard 4 5 3 3 2 6" xfId="29076" xr:uid="{00000000-0005-0000-0000-000060720000}"/>
    <cellStyle name="Standard 4 5 3 3 2 7" xfId="29077" xr:uid="{00000000-0005-0000-0000-000061720000}"/>
    <cellStyle name="Standard 4 5 3 3 3" xfId="29078" xr:uid="{00000000-0005-0000-0000-000062720000}"/>
    <cellStyle name="Standard 4 5 3 3 3 2" xfId="29079" xr:uid="{00000000-0005-0000-0000-000063720000}"/>
    <cellStyle name="Standard 4 5 3 3 3 2 2" xfId="29080" xr:uid="{00000000-0005-0000-0000-000064720000}"/>
    <cellStyle name="Standard 4 5 3 3 3 2 3" xfId="29081" xr:uid="{00000000-0005-0000-0000-000065720000}"/>
    <cellStyle name="Standard 4 5 3 3 3 3" xfId="29082" xr:uid="{00000000-0005-0000-0000-000066720000}"/>
    <cellStyle name="Standard 4 5 3 3 3 3 2" xfId="29083" xr:uid="{00000000-0005-0000-0000-000067720000}"/>
    <cellStyle name="Standard 4 5 3 3 3 3 3" xfId="29084" xr:uid="{00000000-0005-0000-0000-000068720000}"/>
    <cellStyle name="Standard 4 5 3 3 3 4" xfId="29085" xr:uid="{00000000-0005-0000-0000-000069720000}"/>
    <cellStyle name="Standard 4 5 3 3 3 4 2" xfId="29086" xr:uid="{00000000-0005-0000-0000-00006A720000}"/>
    <cellStyle name="Standard 4 5 3 3 3 5" xfId="29087" xr:uid="{00000000-0005-0000-0000-00006B720000}"/>
    <cellStyle name="Standard 4 5 3 3 3 6" xfId="29088" xr:uid="{00000000-0005-0000-0000-00006C720000}"/>
    <cellStyle name="Standard 4 5 3 3 4" xfId="29089" xr:uid="{00000000-0005-0000-0000-00006D720000}"/>
    <cellStyle name="Standard 4 5 3 3 4 2" xfId="29090" xr:uid="{00000000-0005-0000-0000-00006E720000}"/>
    <cellStyle name="Standard 4 5 3 3 4 3" xfId="29091" xr:uid="{00000000-0005-0000-0000-00006F720000}"/>
    <cellStyle name="Standard 4 5 3 3 5" xfId="29092" xr:uid="{00000000-0005-0000-0000-000070720000}"/>
    <cellStyle name="Standard 4 5 3 3 5 2" xfId="29093" xr:uid="{00000000-0005-0000-0000-000071720000}"/>
    <cellStyle name="Standard 4 5 3 3 5 3" xfId="29094" xr:uid="{00000000-0005-0000-0000-000072720000}"/>
    <cellStyle name="Standard 4 5 3 3 6" xfId="29095" xr:uid="{00000000-0005-0000-0000-000073720000}"/>
    <cellStyle name="Standard 4 5 3 3 6 2" xfId="29096" xr:uid="{00000000-0005-0000-0000-000074720000}"/>
    <cellStyle name="Standard 4 5 3 3 7" xfId="29097" xr:uid="{00000000-0005-0000-0000-000075720000}"/>
    <cellStyle name="Standard 4 5 3 3 8" xfId="29098" xr:uid="{00000000-0005-0000-0000-000076720000}"/>
    <cellStyle name="Standard 4 5 3 4" xfId="29099" xr:uid="{00000000-0005-0000-0000-000077720000}"/>
    <cellStyle name="Standard 4 5 3 4 2" xfId="29100" xr:uid="{00000000-0005-0000-0000-000078720000}"/>
    <cellStyle name="Standard 4 5 3 4 2 2" xfId="29101" xr:uid="{00000000-0005-0000-0000-000079720000}"/>
    <cellStyle name="Standard 4 5 3 4 2 2 2" xfId="29102" xr:uid="{00000000-0005-0000-0000-00007A720000}"/>
    <cellStyle name="Standard 4 5 3 4 2 2 2 2" xfId="29103" xr:uid="{00000000-0005-0000-0000-00007B720000}"/>
    <cellStyle name="Standard 4 5 3 4 2 2 2 3" xfId="29104" xr:uid="{00000000-0005-0000-0000-00007C720000}"/>
    <cellStyle name="Standard 4 5 3 4 2 2 3" xfId="29105" xr:uid="{00000000-0005-0000-0000-00007D720000}"/>
    <cellStyle name="Standard 4 5 3 4 2 2 3 2" xfId="29106" xr:uid="{00000000-0005-0000-0000-00007E720000}"/>
    <cellStyle name="Standard 4 5 3 4 2 2 3 3" xfId="29107" xr:uid="{00000000-0005-0000-0000-00007F720000}"/>
    <cellStyle name="Standard 4 5 3 4 2 2 4" xfId="29108" xr:uid="{00000000-0005-0000-0000-000080720000}"/>
    <cellStyle name="Standard 4 5 3 4 2 2 4 2" xfId="29109" xr:uid="{00000000-0005-0000-0000-000081720000}"/>
    <cellStyle name="Standard 4 5 3 4 2 2 5" xfId="29110" xr:uid="{00000000-0005-0000-0000-000082720000}"/>
    <cellStyle name="Standard 4 5 3 4 2 2 6" xfId="29111" xr:uid="{00000000-0005-0000-0000-000083720000}"/>
    <cellStyle name="Standard 4 5 3 4 2 3" xfId="29112" xr:uid="{00000000-0005-0000-0000-000084720000}"/>
    <cellStyle name="Standard 4 5 3 4 2 3 2" xfId="29113" xr:uid="{00000000-0005-0000-0000-000085720000}"/>
    <cellStyle name="Standard 4 5 3 4 2 3 3" xfId="29114" xr:uid="{00000000-0005-0000-0000-000086720000}"/>
    <cellStyle name="Standard 4 5 3 4 2 4" xfId="29115" xr:uid="{00000000-0005-0000-0000-000087720000}"/>
    <cellStyle name="Standard 4 5 3 4 2 4 2" xfId="29116" xr:uid="{00000000-0005-0000-0000-000088720000}"/>
    <cellStyle name="Standard 4 5 3 4 2 4 3" xfId="29117" xr:uid="{00000000-0005-0000-0000-000089720000}"/>
    <cellStyle name="Standard 4 5 3 4 2 5" xfId="29118" xr:uid="{00000000-0005-0000-0000-00008A720000}"/>
    <cellStyle name="Standard 4 5 3 4 2 5 2" xfId="29119" xr:uid="{00000000-0005-0000-0000-00008B720000}"/>
    <cellStyle name="Standard 4 5 3 4 2 6" xfId="29120" xr:uid="{00000000-0005-0000-0000-00008C720000}"/>
    <cellStyle name="Standard 4 5 3 4 2 7" xfId="29121" xr:uid="{00000000-0005-0000-0000-00008D720000}"/>
    <cellStyle name="Standard 4 5 3 4 3" xfId="29122" xr:uid="{00000000-0005-0000-0000-00008E720000}"/>
    <cellStyle name="Standard 4 5 3 4 3 2" xfId="29123" xr:uid="{00000000-0005-0000-0000-00008F720000}"/>
    <cellStyle name="Standard 4 5 3 4 3 2 2" xfId="29124" xr:uid="{00000000-0005-0000-0000-000090720000}"/>
    <cellStyle name="Standard 4 5 3 4 3 2 3" xfId="29125" xr:uid="{00000000-0005-0000-0000-000091720000}"/>
    <cellStyle name="Standard 4 5 3 4 3 3" xfId="29126" xr:uid="{00000000-0005-0000-0000-000092720000}"/>
    <cellStyle name="Standard 4 5 3 4 3 3 2" xfId="29127" xr:uid="{00000000-0005-0000-0000-000093720000}"/>
    <cellStyle name="Standard 4 5 3 4 3 3 3" xfId="29128" xr:uid="{00000000-0005-0000-0000-000094720000}"/>
    <cellStyle name="Standard 4 5 3 4 3 4" xfId="29129" xr:uid="{00000000-0005-0000-0000-000095720000}"/>
    <cellStyle name="Standard 4 5 3 4 3 4 2" xfId="29130" xr:uid="{00000000-0005-0000-0000-000096720000}"/>
    <cellStyle name="Standard 4 5 3 4 3 5" xfId="29131" xr:uid="{00000000-0005-0000-0000-000097720000}"/>
    <cellStyle name="Standard 4 5 3 4 3 6" xfId="29132" xr:uid="{00000000-0005-0000-0000-000098720000}"/>
    <cellStyle name="Standard 4 5 3 4 4" xfId="29133" xr:uid="{00000000-0005-0000-0000-000099720000}"/>
    <cellStyle name="Standard 4 5 3 4 4 2" xfId="29134" xr:uid="{00000000-0005-0000-0000-00009A720000}"/>
    <cellStyle name="Standard 4 5 3 4 4 3" xfId="29135" xr:uid="{00000000-0005-0000-0000-00009B720000}"/>
    <cellStyle name="Standard 4 5 3 4 5" xfId="29136" xr:uid="{00000000-0005-0000-0000-00009C720000}"/>
    <cellStyle name="Standard 4 5 3 4 5 2" xfId="29137" xr:uid="{00000000-0005-0000-0000-00009D720000}"/>
    <cellStyle name="Standard 4 5 3 4 5 3" xfId="29138" xr:uid="{00000000-0005-0000-0000-00009E720000}"/>
    <cellStyle name="Standard 4 5 3 4 6" xfId="29139" xr:uid="{00000000-0005-0000-0000-00009F720000}"/>
    <cellStyle name="Standard 4 5 3 4 6 2" xfId="29140" xr:uid="{00000000-0005-0000-0000-0000A0720000}"/>
    <cellStyle name="Standard 4 5 3 4 7" xfId="29141" xr:uid="{00000000-0005-0000-0000-0000A1720000}"/>
    <cellStyle name="Standard 4 5 3 4 8" xfId="29142" xr:uid="{00000000-0005-0000-0000-0000A2720000}"/>
    <cellStyle name="Standard 4 5 3 5" xfId="29143" xr:uid="{00000000-0005-0000-0000-0000A3720000}"/>
    <cellStyle name="Standard 4 5 3 5 2" xfId="29144" xr:uid="{00000000-0005-0000-0000-0000A4720000}"/>
    <cellStyle name="Standard 4 5 3 5 2 2" xfId="29145" xr:uid="{00000000-0005-0000-0000-0000A5720000}"/>
    <cellStyle name="Standard 4 5 3 5 2 2 2" xfId="29146" xr:uid="{00000000-0005-0000-0000-0000A6720000}"/>
    <cellStyle name="Standard 4 5 3 5 2 2 3" xfId="29147" xr:uid="{00000000-0005-0000-0000-0000A7720000}"/>
    <cellStyle name="Standard 4 5 3 5 2 3" xfId="29148" xr:uid="{00000000-0005-0000-0000-0000A8720000}"/>
    <cellStyle name="Standard 4 5 3 5 2 3 2" xfId="29149" xr:uid="{00000000-0005-0000-0000-0000A9720000}"/>
    <cellStyle name="Standard 4 5 3 5 2 3 3" xfId="29150" xr:uid="{00000000-0005-0000-0000-0000AA720000}"/>
    <cellStyle name="Standard 4 5 3 5 2 4" xfId="29151" xr:uid="{00000000-0005-0000-0000-0000AB720000}"/>
    <cellStyle name="Standard 4 5 3 5 2 4 2" xfId="29152" xr:uid="{00000000-0005-0000-0000-0000AC720000}"/>
    <cellStyle name="Standard 4 5 3 5 2 5" xfId="29153" xr:uid="{00000000-0005-0000-0000-0000AD720000}"/>
    <cellStyle name="Standard 4 5 3 5 2 6" xfId="29154" xr:uid="{00000000-0005-0000-0000-0000AE720000}"/>
    <cellStyle name="Standard 4 5 3 5 3" xfId="29155" xr:uid="{00000000-0005-0000-0000-0000AF720000}"/>
    <cellStyle name="Standard 4 5 3 5 3 2" xfId="29156" xr:uid="{00000000-0005-0000-0000-0000B0720000}"/>
    <cellStyle name="Standard 4 5 3 5 3 3" xfId="29157" xr:uid="{00000000-0005-0000-0000-0000B1720000}"/>
    <cellStyle name="Standard 4 5 3 5 4" xfId="29158" xr:uid="{00000000-0005-0000-0000-0000B2720000}"/>
    <cellStyle name="Standard 4 5 3 5 4 2" xfId="29159" xr:uid="{00000000-0005-0000-0000-0000B3720000}"/>
    <cellStyle name="Standard 4 5 3 5 4 3" xfId="29160" xr:uid="{00000000-0005-0000-0000-0000B4720000}"/>
    <cellStyle name="Standard 4 5 3 5 5" xfId="29161" xr:uid="{00000000-0005-0000-0000-0000B5720000}"/>
    <cellStyle name="Standard 4 5 3 5 5 2" xfId="29162" xr:uid="{00000000-0005-0000-0000-0000B6720000}"/>
    <cellStyle name="Standard 4 5 3 5 6" xfId="29163" xr:uid="{00000000-0005-0000-0000-0000B7720000}"/>
    <cellStyle name="Standard 4 5 3 5 7" xfId="29164" xr:uid="{00000000-0005-0000-0000-0000B8720000}"/>
    <cellStyle name="Standard 4 5 3 6" xfId="29165" xr:uid="{00000000-0005-0000-0000-0000B9720000}"/>
    <cellStyle name="Standard 4 5 3 6 2" xfId="29166" xr:uid="{00000000-0005-0000-0000-0000BA720000}"/>
    <cellStyle name="Standard 4 5 3 6 2 2" xfId="29167" xr:uid="{00000000-0005-0000-0000-0000BB720000}"/>
    <cellStyle name="Standard 4 5 3 6 2 3" xfId="29168" xr:uid="{00000000-0005-0000-0000-0000BC720000}"/>
    <cellStyle name="Standard 4 5 3 6 3" xfId="29169" xr:uid="{00000000-0005-0000-0000-0000BD720000}"/>
    <cellStyle name="Standard 4 5 3 6 3 2" xfId="29170" xr:uid="{00000000-0005-0000-0000-0000BE720000}"/>
    <cellStyle name="Standard 4 5 3 6 3 3" xfId="29171" xr:uid="{00000000-0005-0000-0000-0000BF720000}"/>
    <cellStyle name="Standard 4 5 3 6 4" xfId="29172" xr:uid="{00000000-0005-0000-0000-0000C0720000}"/>
    <cellStyle name="Standard 4 5 3 6 4 2" xfId="29173" xr:uid="{00000000-0005-0000-0000-0000C1720000}"/>
    <cellStyle name="Standard 4 5 3 6 5" xfId="29174" xr:uid="{00000000-0005-0000-0000-0000C2720000}"/>
    <cellStyle name="Standard 4 5 3 6 6" xfId="29175" xr:uid="{00000000-0005-0000-0000-0000C3720000}"/>
    <cellStyle name="Standard 4 5 3 7" xfId="29176" xr:uid="{00000000-0005-0000-0000-0000C4720000}"/>
    <cellStyle name="Standard 4 5 3 7 2" xfId="29177" xr:uid="{00000000-0005-0000-0000-0000C5720000}"/>
    <cellStyle name="Standard 4 5 3 7 3" xfId="29178" xr:uid="{00000000-0005-0000-0000-0000C6720000}"/>
    <cellStyle name="Standard 4 5 3 8" xfId="29179" xr:uid="{00000000-0005-0000-0000-0000C7720000}"/>
    <cellStyle name="Standard 4 5 3 8 2" xfId="29180" xr:uid="{00000000-0005-0000-0000-0000C8720000}"/>
    <cellStyle name="Standard 4 5 3 8 3" xfId="29181" xr:uid="{00000000-0005-0000-0000-0000C9720000}"/>
    <cellStyle name="Standard 4 5 3 9" xfId="29182" xr:uid="{00000000-0005-0000-0000-0000CA720000}"/>
    <cellStyle name="Standard 4 5 3 9 2" xfId="29183" xr:uid="{00000000-0005-0000-0000-0000CB720000}"/>
    <cellStyle name="Standard 4 5 4" xfId="29184" xr:uid="{00000000-0005-0000-0000-0000CC720000}"/>
    <cellStyle name="Standard 4 5 4 10" xfId="29185" xr:uid="{00000000-0005-0000-0000-0000CD720000}"/>
    <cellStyle name="Standard 4 5 4 11" xfId="29186" xr:uid="{00000000-0005-0000-0000-0000CE720000}"/>
    <cellStyle name="Standard 4 5 4 2" xfId="29187" xr:uid="{00000000-0005-0000-0000-0000CF720000}"/>
    <cellStyle name="Standard 4 5 4 2 10" xfId="29188" xr:uid="{00000000-0005-0000-0000-0000D0720000}"/>
    <cellStyle name="Standard 4 5 4 2 2" xfId="29189" xr:uid="{00000000-0005-0000-0000-0000D1720000}"/>
    <cellStyle name="Standard 4 5 4 2 2 2" xfId="29190" xr:uid="{00000000-0005-0000-0000-0000D2720000}"/>
    <cellStyle name="Standard 4 5 4 2 2 2 2" xfId="29191" xr:uid="{00000000-0005-0000-0000-0000D3720000}"/>
    <cellStyle name="Standard 4 5 4 2 2 2 2 2" xfId="29192" xr:uid="{00000000-0005-0000-0000-0000D4720000}"/>
    <cellStyle name="Standard 4 5 4 2 2 2 2 2 2" xfId="29193" xr:uid="{00000000-0005-0000-0000-0000D5720000}"/>
    <cellStyle name="Standard 4 5 4 2 2 2 2 2 3" xfId="29194" xr:uid="{00000000-0005-0000-0000-0000D6720000}"/>
    <cellStyle name="Standard 4 5 4 2 2 2 2 3" xfId="29195" xr:uid="{00000000-0005-0000-0000-0000D7720000}"/>
    <cellStyle name="Standard 4 5 4 2 2 2 2 3 2" xfId="29196" xr:uid="{00000000-0005-0000-0000-0000D8720000}"/>
    <cellStyle name="Standard 4 5 4 2 2 2 2 3 3" xfId="29197" xr:uid="{00000000-0005-0000-0000-0000D9720000}"/>
    <cellStyle name="Standard 4 5 4 2 2 2 2 4" xfId="29198" xr:uid="{00000000-0005-0000-0000-0000DA720000}"/>
    <cellStyle name="Standard 4 5 4 2 2 2 2 4 2" xfId="29199" xr:uid="{00000000-0005-0000-0000-0000DB720000}"/>
    <cellStyle name="Standard 4 5 4 2 2 2 2 5" xfId="29200" xr:uid="{00000000-0005-0000-0000-0000DC720000}"/>
    <cellStyle name="Standard 4 5 4 2 2 2 2 6" xfId="29201" xr:uid="{00000000-0005-0000-0000-0000DD720000}"/>
    <cellStyle name="Standard 4 5 4 2 2 2 3" xfId="29202" xr:uid="{00000000-0005-0000-0000-0000DE720000}"/>
    <cellStyle name="Standard 4 5 4 2 2 2 3 2" xfId="29203" xr:uid="{00000000-0005-0000-0000-0000DF720000}"/>
    <cellStyle name="Standard 4 5 4 2 2 2 3 3" xfId="29204" xr:uid="{00000000-0005-0000-0000-0000E0720000}"/>
    <cellStyle name="Standard 4 5 4 2 2 2 4" xfId="29205" xr:uid="{00000000-0005-0000-0000-0000E1720000}"/>
    <cellStyle name="Standard 4 5 4 2 2 2 4 2" xfId="29206" xr:uid="{00000000-0005-0000-0000-0000E2720000}"/>
    <cellStyle name="Standard 4 5 4 2 2 2 4 3" xfId="29207" xr:uid="{00000000-0005-0000-0000-0000E3720000}"/>
    <cellStyle name="Standard 4 5 4 2 2 2 5" xfId="29208" xr:uid="{00000000-0005-0000-0000-0000E4720000}"/>
    <cellStyle name="Standard 4 5 4 2 2 2 5 2" xfId="29209" xr:uid="{00000000-0005-0000-0000-0000E5720000}"/>
    <cellStyle name="Standard 4 5 4 2 2 2 6" xfId="29210" xr:uid="{00000000-0005-0000-0000-0000E6720000}"/>
    <cellStyle name="Standard 4 5 4 2 2 2 7" xfId="29211" xr:uid="{00000000-0005-0000-0000-0000E7720000}"/>
    <cellStyle name="Standard 4 5 4 2 2 3" xfId="29212" xr:uid="{00000000-0005-0000-0000-0000E8720000}"/>
    <cellStyle name="Standard 4 5 4 2 2 3 2" xfId="29213" xr:uid="{00000000-0005-0000-0000-0000E9720000}"/>
    <cellStyle name="Standard 4 5 4 2 2 3 2 2" xfId="29214" xr:uid="{00000000-0005-0000-0000-0000EA720000}"/>
    <cellStyle name="Standard 4 5 4 2 2 3 2 3" xfId="29215" xr:uid="{00000000-0005-0000-0000-0000EB720000}"/>
    <cellStyle name="Standard 4 5 4 2 2 3 3" xfId="29216" xr:uid="{00000000-0005-0000-0000-0000EC720000}"/>
    <cellStyle name="Standard 4 5 4 2 2 3 3 2" xfId="29217" xr:uid="{00000000-0005-0000-0000-0000ED720000}"/>
    <cellStyle name="Standard 4 5 4 2 2 3 3 3" xfId="29218" xr:uid="{00000000-0005-0000-0000-0000EE720000}"/>
    <cellStyle name="Standard 4 5 4 2 2 3 4" xfId="29219" xr:uid="{00000000-0005-0000-0000-0000EF720000}"/>
    <cellStyle name="Standard 4 5 4 2 2 3 4 2" xfId="29220" xr:uid="{00000000-0005-0000-0000-0000F0720000}"/>
    <cellStyle name="Standard 4 5 4 2 2 3 5" xfId="29221" xr:uid="{00000000-0005-0000-0000-0000F1720000}"/>
    <cellStyle name="Standard 4 5 4 2 2 3 6" xfId="29222" xr:uid="{00000000-0005-0000-0000-0000F2720000}"/>
    <cellStyle name="Standard 4 5 4 2 2 4" xfId="29223" xr:uid="{00000000-0005-0000-0000-0000F3720000}"/>
    <cellStyle name="Standard 4 5 4 2 2 4 2" xfId="29224" xr:uid="{00000000-0005-0000-0000-0000F4720000}"/>
    <cellStyle name="Standard 4 5 4 2 2 4 3" xfId="29225" xr:uid="{00000000-0005-0000-0000-0000F5720000}"/>
    <cellStyle name="Standard 4 5 4 2 2 5" xfId="29226" xr:uid="{00000000-0005-0000-0000-0000F6720000}"/>
    <cellStyle name="Standard 4 5 4 2 2 5 2" xfId="29227" xr:uid="{00000000-0005-0000-0000-0000F7720000}"/>
    <cellStyle name="Standard 4 5 4 2 2 5 3" xfId="29228" xr:uid="{00000000-0005-0000-0000-0000F8720000}"/>
    <cellStyle name="Standard 4 5 4 2 2 6" xfId="29229" xr:uid="{00000000-0005-0000-0000-0000F9720000}"/>
    <cellStyle name="Standard 4 5 4 2 2 6 2" xfId="29230" xr:uid="{00000000-0005-0000-0000-0000FA720000}"/>
    <cellStyle name="Standard 4 5 4 2 2 7" xfId="29231" xr:uid="{00000000-0005-0000-0000-0000FB720000}"/>
    <cellStyle name="Standard 4 5 4 2 2 8" xfId="29232" xr:uid="{00000000-0005-0000-0000-0000FC720000}"/>
    <cellStyle name="Standard 4 5 4 2 3" xfId="29233" xr:uid="{00000000-0005-0000-0000-0000FD720000}"/>
    <cellStyle name="Standard 4 5 4 2 3 2" xfId="29234" xr:uid="{00000000-0005-0000-0000-0000FE720000}"/>
    <cellStyle name="Standard 4 5 4 2 3 2 2" xfId="29235" xr:uid="{00000000-0005-0000-0000-0000FF720000}"/>
    <cellStyle name="Standard 4 5 4 2 3 2 2 2" xfId="29236" xr:uid="{00000000-0005-0000-0000-000000730000}"/>
    <cellStyle name="Standard 4 5 4 2 3 2 2 2 2" xfId="29237" xr:uid="{00000000-0005-0000-0000-000001730000}"/>
    <cellStyle name="Standard 4 5 4 2 3 2 2 2 3" xfId="29238" xr:uid="{00000000-0005-0000-0000-000002730000}"/>
    <cellStyle name="Standard 4 5 4 2 3 2 2 3" xfId="29239" xr:uid="{00000000-0005-0000-0000-000003730000}"/>
    <cellStyle name="Standard 4 5 4 2 3 2 2 3 2" xfId="29240" xr:uid="{00000000-0005-0000-0000-000004730000}"/>
    <cellStyle name="Standard 4 5 4 2 3 2 2 3 3" xfId="29241" xr:uid="{00000000-0005-0000-0000-000005730000}"/>
    <cellStyle name="Standard 4 5 4 2 3 2 2 4" xfId="29242" xr:uid="{00000000-0005-0000-0000-000006730000}"/>
    <cellStyle name="Standard 4 5 4 2 3 2 2 4 2" xfId="29243" xr:uid="{00000000-0005-0000-0000-000007730000}"/>
    <cellStyle name="Standard 4 5 4 2 3 2 2 5" xfId="29244" xr:uid="{00000000-0005-0000-0000-000008730000}"/>
    <cellStyle name="Standard 4 5 4 2 3 2 2 6" xfId="29245" xr:uid="{00000000-0005-0000-0000-000009730000}"/>
    <cellStyle name="Standard 4 5 4 2 3 2 3" xfId="29246" xr:uid="{00000000-0005-0000-0000-00000A730000}"/>
    <cellStyle name="Standard 4 5 4 2 3 2 3 2" xfId="29247" xr:uid="{00000000-0005-0000-0000-00000B730000}"/>
    <cellStyle name="Standard 4 5 4 2 3 2 3 3" xfId="29248" xr:uid="{00000000-0005-0000-0000-00000C730000}"/>
    <cellStyle name="Standard 4 5 4 2 3 2 4" xfId="29249" xr:uid="{00000000-0005-0000-0000-00000D730000}"/>
    <cellStyle name="Standard 4 5 4 2 3 2 4 2" xfId="29250" xr:uid="{00000000-0005-0000-0000-00000E730000}"/>
    <cellStyle name="Standard 4 5 4 2 3 2 4 3" xfId="29251" xr:uid="{00000000-0005-0000-0000-00000F730000}"/>
    <cellStyle name="Standard 4 5 4 2 3 2 5" xfId="29252" xr:uid="{00000000-0005-0000-0000-000010730000}"/>
    <cellStyle name="Standard 4 5 4 2 3 2 5 2" xfId="29253" xr:uid="{00000000-0005-0000-0000-000011730000}"/>
    <cellStyle name="Standard 4 5 4 2 3 2 6" xfId="29254" xr:uid="{00000000-0005-0000-0000-000012730000}"/>
    <cellStyle name="Standard 4 5 4 2 3 2 7" xfId="29255" xr:uid="{00000000-0005-0000-0000-000013730000}"/>
    <cellStyle name="Standard 4 5 4 2 3 3" xfId="29256" xr:uid="{00000000-0005-0000-0000-000014730000}"/>
    <cellStyle name="Standard 4 5 4 2 3 3 2" xfId="29257" xr:uid="{00000000-0005-0000-0000-000015730000}"/>
    <cellStyle name="Standard 4 5 4 2 3 3 2 2" xfId="29258" xr:uid="{00000000-0005-0000-0000-000016730000}"/>
    <cellStyle name="Standard 4 5 4 2 3 3 2 3" xfId="29259" xr:uid="{00000000-0005-0000-0000-000017730000}"/>
    <cellStyle name="Standard 4 5 4 2 3 3 3" xfId="29260" xr:uid="{00000000-0005-0000-0000-000018730000}"/>
    <cellStyle name="Standard 4 5 4 2 3 3 3 2" xfId="29261" xr:uid="{00000000-0005-0000-0000-000019730000}"/>
    <cellStyle name="Standard 4 5 4 2 3 3 3 3" xfId="29262" xr:uid="{00000000-0005-0000-0000-00001A730000}"/>
    <cellStyle name="Standard 4 5 4 2 3 3 4" xfId="29263" xr:uid="{00000000-0005-0000-0000-00001B730000}"/>
    <cellStyle name="Standard 4 5 4 2 3 3 4 2" xfId="29264" xr:uid="{00000000-0005-0000-0000-00001C730000}"/>
    <cellStyle name="Standard 4 5 4 2 3 3 5" xfId="29265" xr:uid="{00000000-0005-0000-0000-00001D730000}"/>
    <cellStyle name="Standard 4 5 4 2 3 3 6" xfId="29266" xr:uid="{00000000-0005-0000-0000-00001E730000}"/>
    <cellStyle name="Standard 4 5 4 2 3 4" xfId="29267" xr:uid="{00000000-0005-0000-0000-00001F730000}"/>
    <cellStyle name="Standard 4 5 4 2 3 4 2" xfId="29268" xr:uid="{00000000-0005-0000-0000-000020730000}"/>
    <cellStyle name="Standard 4 5 4 2 3 4 3" xfId="29269" xr:uid="{00000000-0005-0000-0000-000021730000}"/>
    <cellStyle name="Standard 4 5 4 2 3 5" xfId="29270" xr:uid="{00000000-0005-0000-0000-000022730000}"/>
    <cellStyle name="Standard 4 5 4 2 3 5 2" xfId="29271" xr:uid="{00000000-0005-0000-0000-000023730000}"/>
    <cellStyle name="Standard 4 5 4 2 3 5 3" xfId="29272" xr:uid="{00000000-0005-0000-0000-000024730000}"/>
    <cellStyle name="Standard 4 5 4 2 3 6" xfId="29273" xr:uid="{00000000-0005-0000-0000-000025730000}"/>
    <cellStyle name="Standard 4 5 4 2 3 6 2" xfId="29274" xr:uid="{00000000-0005-0000-0000-000026730000}"/>
    <cellStyle name="Standard 4 5 4 2 3 7" xfId="29275" xr:uid="{00000000-0005-0000-0000-000027730000}"/>
    <cellStyle name="Standard 4 5 4 2 3 8" xfId="29276" xr:uid="{00000000-0005-0000-0000-000028730000}"/>
    <cellStyle name="Standard 4 5 4 2 4" xfId="29277" xr:uid="{00000000-0005-0000-0000-000029730000}"/>
    <cellStyle name="Standard 4 5 4 2 4 2" xfId="29278" xr:uid="{00000000-0005-0000-0000-00002A730000}"/>
    <cellStyle name="Standard 4 5 4 2 4 2 2" xfId="29279" xr:uid="{00000000-0005-0000-0000-00002B730000}"/>
    <cellStyle name="Standard 4 5 4 2 4 2 2 2" xfId="29280" xr:uid="{00000000-0005-0000-0000-00002C730000}"/>
    <cellStyle name="Standard 4 5 4 2 4 2 2 3" xfId="29281" xr:uid="{00000000-0005-0000-0000-00002D730000}"/>
    <cellStyle name="Standard 4 5 4 2 4 2 3" xfId="29282" xr:uid="{00000000-0005-0000-0000-00002E730000}"/>
    <cellStyle name="Standard 4 5 4 2 4 2 3 2" xfId="29283" xr:uid="{00000000-0005-0000-0000-00002F730000}"/>
    <cellStyle name="Standard 4 5 4 2 4 2 3 3" xfId="29284" xr:uid="{00000000-0005-0000-0000-000030730000}"/>
    <cellStyle name="Standard 4 5 4 2 4 2 4" xfId="29285" xr:uid="{00000000-0005-0000-0000-000031730000}"/>
    <cellStyle name="Standard 4 5 4 2 4 2 4 2" xfId="29286" xr:uid="{00000000-0005-0000-0000-000032730000}"/>
    <cellStyle name="Standard 4 5 4 2 4 2 5" xfId="29287" xr:uid="{00000000-0005-0000-0000-000033730000}"/>
    <cellStyle name="Standard 4 5 4 2 4 2 6" xfId="29288" xr:uid="{00000000-0005-0000-0000-000034730000}"/>
    <cellStyle name="Standard 4 5 4 2 4 3" xfId="29289" xr:uid="{00000000-0005-0000-0000-000035730000}"/>
    <cellStyle name="Standard 4 5 4 2 4 3 2" xfId="29290" xr:uid="{00000000-0005-0000-0000-000036730000}"/>
    <cellStyle name="Standard 4 5 4 2 4 3 3" xfId="29291" xr:uid="{00000000-0005-0000-0000-000037730000}"/>
    <cellStyle name="Standard 4 5 4 2 4 4" xfId="29292" xr:uid="{00000000-0005-0000-0000-000038730000}"/>
    <cellStyle name="Standard 4 5 4 2 4 4 2" xfId="29293" xr:uid="{00000000-0005-0000-0000-000039730000}"/>
    <cellStyle name="Standard 4 5 4 2 4 4 3" xfId="29294" xr:uid="{00000000-0005-0000-0000-00003A730000}"/>
    <cellStyle name="Standard 4 5 4 2 4 5" xfId="29295" xr:uid="{00000000-0005-0000-0000-00003B730000}"/>
    <cellStyle name="Standard 4 5 4 2 4 5 2" xfId="29296" xr:uid="{00000000-0005-0000-0000-00003C730000}"/>
    <cellStyle name="Standard 4 5 4 2 4 6" xfId="29297" xr:uid="{00000000-0005-0000-0000-00003D730000}"/>
    <cellStyle name="Standard 4 5 4 2 4 7" xfId="29298" xr:uid="{00000000-0005-0000-0000-00003E730000}"/>
    <cellStyle name="Standard 4 5 4 2 5" xfId="29299" xr:uid="{00000000-0005-0000-0000-00003F730000}"/>
    <cellStyle name="Standard 4 5 4 2 5 2" xfId="29300" xr:uid="{00000000-0005-0000-0000-000040730000}"/>
    <cellStyle name="Standard 4 5 4 2 5 2 2" xfId="29301" xr:uid="{00000000-0005-0000-0000-000041730000}"/>
    <cellStyle name="Standard 4 5 4 2 5 2 3" xfId="29302" xr:uid="{00000000-0005-0000-0000-000042730000}"/>
    <cellStyle name="Standard 4 5 4 2 5 3" xfId="29303" xr:uid="{00000000-0005-0000-0000-000043730000}"/>
    <cellStyle name="Standard 4 5 4 2 5 3 2" xfId="29304" xr:uid="{00000000-0005-0000-0000-000044730000}"/>
    <cellStyle name="Standard 4 5 4 2 5 3 3" xfId="29305" xr:uid="{00000000-0005-0000-0000-000045730000}"/>
    <cellStyle name="Standard 4 5 4 2 5 4" xfId="29306" xr:uid="{00000000-0005-0000-0000-000046730000}"/>
    <cellStyle name="Standard 4 5 4 2 5 4 2" xfId="29307" xr:uid="{00000000-0005-0000-0000-000047730000}"/>
    <cellStyle name="Standard 4 5 4 2 5 5" xfId="29308" xr:uid="{00000000-0005-0000-0000-000048730000}"/>
    <cellStyle name="Standard 4 5 4 2 5 6" xfId="29309" xr:uid="{00000000-0005-0000-0000-000049730000}"/>
    <cellStyle name="Standard 4 5 4 2 6" xfId="29310" xr:uid="{00000000-0005-0000-0000-00004A730000}"/>
    <cellStyle name="Standard 4 5 4 2 6 2" xfId="29311" xr:uid="{00000000-0005-0000-0000-00004B730000}"/>
    <cellStyle name="Standard 4 5 4 2 6 3" xfId="29312" xr:uid="{00000000-0005-0000-0000-00004C730000}"/>
    <cellStyle name="Standard 4 5 4 2 7" xfId="29313" xr:uid="{00000000-0005-0000-0000-00004D730000}"/>
    <cellStyle name="Standard 4 5 4 2 7 2" xfId="29314" xr:uid="{00000000-0005-0000-0000-00004E730000}"/>
    <cellStyle name="Standard 4 5 4 2 7 3" xfId="29315" xr:uid="{00000000-0005-0000-0000-00004F730000}"/>
    <cellStyle name="Standard 4 5 4 2 8" xfId="29316" xr:uid="{00000000-0005-0000-0000-000050730000}"/>
    <cellStyle name="Standard 4 5 4 2 8 2" xfId="29317" xr:uid="{00000000-0005-0000-0000-000051730000}"/>
    <cellStyle name="Standard 4 5 4 2 9" xfId="29318" xr:uid="{00000000-0005-0000-0000-000052730000}"/>
    <cellStyle name="Standard 4 5 4 3" xfId="29319" xr:uid="{00000000-0005-0000-0000-000053730000}"/>
    <cellStyle name="Standard 4 5 4 3 2" xfId="29320" xr:uid="{00000000-0005-0000-0000-000054730000}"/>
    <cellStyle name="Standard 4 5 4 3 2 2" xfId="29321" xr:uid="{00000000-0005-0000-0000-000055730000}"/>
    <cellStyle name="Standard 4 5 4 3 2 2 2" xfId="29322" xr:uid="{00000000-0005-0000-0000-000056730000}"/>
    <cellStyle name="Standard 4 5 4 3 2 2 2 2" xfId="29323" xr:uid="{00000000-0005-0000-0000-000057730000}"/>
    <cellStyle name="Standard 4 5 4 3 2 2 2 3" xfId="29324" xr:uid="{00000000-0005-0000-0000-000058730000}"/>
    <cellStyle name="Standard 4 5 4 3 2 2 3" xfId="29325" xr:uid="{00000000-0005-0000-0000-000059730000}"/>
    <cellStyle name="Standard 4 5 4 3 2 2 3 2" xfId="29326" xr:uid="{00000000-0005-0000-0000-00005A730000}"/>
    <cellStyle name="Standard 4 5 4 3 2 2 3 3" xfId="29327" xr:uid="{00000000-0005-0000-0000-00005B730000}"/>
    <cellStyle name="Standard 4 5 4 3 2 2 4" xfId="29328" xr:uid="{00000000-0005-0000-0000-00005C730000}"/>
    <cellStyle name="Standard 4 5 4 3 2 2 4 2" xfId="29329" xr:uid="{00000000-0005-0000-0000-00005D730000}"/>
    <cellStyle name="Standard 4 5 4 3 2 2 5" xfId="29330" xr:uid="{00000000-0005-0000-0000-00005E730000}"/>
    <cellStyle name="Standard 4 5 4 3 2 2 6" xfId="29331" xr:uid="{00000000-0005-0000-0000-00005F730000}"/>
    <cellStyle name="Standard 4 5 4 3 2 3" xfId="29332" xr:uid="{00000000-0005-0000-0000-000060730000}"/>
    <cellStyle name="Standard 4 5 4 3 2 3 2" xfId="29333" xr:uid="{00000000-0005-0000-0000-000061730000}"/>
    <cellStyle name="Standard 4 5 4 3 2 3 3" xfId="29334" xr:uid="{00000000-0005-0000-0000-000062730000}"/>
    <cellStyle name="Standard 4 5 4 3 2 4" xfId="29335" xr:uid="{00000000-0005-0000-0000-000063730000}"/>
    <cellStyle name="Standard 4 5 4 3 2 4 2" xfId="29336" xr:uid="{00000000-0005-0000-0000-000064730000}"/>
    <cellStyle name="Standard 4 5 4 3 2 4 3" xfId="29337" xr:uid="{00000000-0005-0000-0000-000065730000}"/>
    <cellStyle name="Standard 4 5 4 3 2 5" xfId="29338" xr:uid="{00000000-0005-0000-0000-000066730000}"/>
    <cellStyle name="Standard 4 5 4 3 2 5 2" xfId="29339" xr:uid="{00000000-0005-0000-0000-000067730000}"/>
    <cellStyle name="Standard 4 5 4 3 2 6" xfId="29340" xr:uid="{00000000-0005-0000-0000-000068730000}"/>
    <cellStyle name="Standard 4 5 4 3 2 7" xfId="29341" xr:uid="{00000000-0005-0000-0000-000069730000}"/>
    <cellStyle name="Standard 4 5 4 3 3" xfId="29342" xr:uid="{00000000-0005-0000-0000-00006A730000}"/>
    <cellStyle name="Standard 4 5 4 3 3 2" xfId="29343" xr:uid="{00000000-0005-0000-0000-00006B730000}"/>
    <cellStyle name="Standard 4 5 4 3 3 2 2" xfId="29344" xr:uid="{00000000-0005-0000-0000-00006C730000}"/>
    <cellStyle name="Standard 4 5 4 3 3 2 3" xfId="29345" xr:uid="{00000000-0005-0000-0000-00006D730000}"/>
    <cellStyle name="Standard 4 5 4 3 3 3" xfId="29346" xr:uid="{00000000-0005-0000-0000-00006E730000}"/>
    <cellStyle name="Standard 4 5 4 3 3 3 2" xfId="29347" xr:uid="{00000000-0005-0000-0000-00006F730000}"/>
    <cellStyle name="Standard 4 5 4 3 3 3 3" xfId="29348" xr:uid="{00000000-0005-0000-0000-000070730000}"/>
    <cellStyle name="Standard 4 5 4 3 3 4" xfId="29349" xr:uid="{00000000-0005-0000-0000-000071730000}"/>
    <cellStyle name="Standard 4 5 4 3 3 4 2" xfId="29350" xr:uid="{00000000-0005-0000-0000-000072730000}"/>
    <cellStyle name="Standard 4 5 4 3 3 5" xfId="29351" xr:uid="{00000000-0005-0000-0000-000073730000}"/>
    <cellStyle name="Standard 4 5 4 3 3 6" xfId="29352" xr:uid="{00000000-0005-0000-0000-000074730000}"/>
    <cellStyle name="Standard 4 5 4 3 4" xfId="29353" xr:uid="{00000000-0005-0000-0000-000075730000}"/>
    <cellStyle name="Standard 4 5 4 3 4 2" xfId="29354" xr:uid="{00000000-0005-0000-0000-000076730000}"/>
    <cellStyle name="Standard 4 5 4 3 4 3" xfId="29355" xr:uid="{00000000-0005-0000-0000-000077730000}"/>
    <cellStyle name="Standard 4 5 4 3 5" xfId="29356" xr:uid="{00000000-0005-0000-0000-000078730000}"/>
    <cellStyle name="Standard 4 5 4 3 5 2" xfId="29357" xr:uid="{00000000-0005-0000-0000-000079730000}"/>
    <cellStyle name="Standard 4 5 4 3 5 3" xfId="29358" xr:uid="{00000000-0005-0000-0000-00007A730000}"/>
    <cellStyle name="Standard 4 5 4 3 6" xfId="29359" xr:uid="{00000000-0005-0000-0000-00007B730000}"/>
    <cellStyle name="Standard 4 5 4 3 6 2" xfId="29360" xr:uid="{00000000-0005-0000-0000-00007C730000}"/>
    <cellStyle name="Standard 4 5 4 3 7" xfId="29361" xr:uid="{00000000-0005-0000-0000-00007D730000}"/>
    <cellStyle name="Standard 4 5 4 3 8" xfId="29362" xr:uid="{00000000-0005-0000-0000-00007E730000}"/>
    <cellStyle name="Standard 4 5 4 4" xfId="29363" xr:uid="{00000000-0005-0000-0000-00007F730000}"/>
    <cellStyle name="Standard 4 5 4 4 2" xfId="29364" xr:uid="{00000000-0005-0000-0000-000080730000}"/>
    <cellStyle name="Standard 4 5 4 4 2 2" xfId="29365" xr:uid="{00000000-0005-0000-0000-000081730000}"/>
    <cellStyle name="Standard 4 5 4 4 2 2 2" xfId="29366" xr:uid="{00000000-0005-0000-0000-000082730000}"/>
    <cellStyle name="Standard 4 5 4 4 2 2 2 2" xfId="29367" xr:uid="{00000000-0005-0000-0000-000083730000}"/>
    <cellStyle name="Standard 4 5 4 4 2 2 2 3" xfId="29368" xr:uid="{00000000-0005-0000-0000-000084730000}"/>
    <cellStyle name="Standard 4 5 4 4 2 2 3" xfId="29369" xr:uid="{00000000-0005-0000-0000-000085730000}"/>
    <cellStyle name="Standard 4 5 4 4 2 2 3 2" xfId="29370" xr:uid="{00000000-0005-0000-0000-000086730000}"/>
    <cellStyle name="Standard 4 5 4 4 2 2 3 3" xfId="29371" xr:uid="{00000000-0005-0000-0000-000087730000}"/>
    <cellStyle name="Standard 4 5 4 4 2 2 4" xfId="29372" xr:uid="{00000000-0005-0000-0000-000088730000}"/>
    <cellStyle name="Standard 4 5 4 4 2 2 4 2" xfId="29373" xr:uid="{00000000-0005-0000-0000-000089730000}"/>
    <cellStyle name="Standard 4 5 4 4 2 2 5" xfId="29374" xr:uid="{00000000-0005-0000-0000-00008A730000}"/>
    <cellStyle name="Standard 4 5 4 4 2 2 6" xfId="29375" xr:uid="{00000000-0005-0000-0000-00008B730000}"/>
    <cellStyle name="Standard 4 5 4 4 2 3" xfId="29376" xr:uid="{00000000-0005-0000-0000-00008C730000}"/>
    <cellStyle name="Standard 4 5 4 4 2 3 2" xfId="29377" xr:uid="{00000000-0005-0000-0000-00008D730000}"/>
    <cellStyle name="Standard 4 5 4 4 2 3 3" xfId="29378" xr:uid="{00000000-0005-0000-0000-00008E730000}"/>
    <cellStyle name="Standard 4 5 4 4 2 4" xfId="29379" xr:uid="{00000000-0005-0000-0000-00008F730000}"/>
    <cellStyle name="Standard 4 5 4 4 2 4 2" xfId="29380" xr:uid="{00000000-0005-0000-0000-000090730000}"/>
    <cellStyle name="Standard 4 5 4 4 2 4 3" xfId="29381" xr:uid="{00000000-0005-0000-0000-000091730000}"/>
    <cellStyle name="Standard 4 5 4 4 2 5" xfId="29382" xr:uid="{00000000-0005-0000-0000-000092730000}"/>
    <cellStyle name="Standard 4 5 4 4 2 5 2" xfId="29383" xr:uid="{00000000-0005-0000-0000-000093730000}"/>
    <cellStyle name="Standard 4 5 4 4 2 6" xfId="29384" xr:uid="{00000000-0005-0000-0000-000094730000}"/>
    <cellStyle name="Standard 4 5 4 4 2 7" xfId="29385" xr:uid="{00000000-0005-0000-0000-000095730000}"/>
    <cellStyle name="Standard 4 5 4 4 3" xfId="29386" xr:uid="{00000000-0005-0000-0000-000096730000}"/>
    <cellStyle name="Standard 4 5 4 4 3 2" xfId="29387" xr:uid="{00000000-0005-0000-0000-000097730000}"/>
    <cellStyle name="Standard 4 5 4 4 3 2 2" xfId="29388" xr:uid="{00000000-0005-0000-0000-000098730000}"/>
    <cellStyle name="Standard 4 5 4 4 3 2 3" xfId="29389" xr:uid="{00000000-0005-0000-0000-000099730000}"/>
    <cellStyle name="Standard 4 5 4 4 3 3" xfId="29390" xr:uid="{00000000-0005-0000-0000-00009A730000}"/>
    <cellStyle name="Standard 4 5 4 4 3 3 2" xfId="29391" xr:uid="{00000000-0005-0000-0000-00009B730000}"/>
    <cellStyle name="Standard 4 5 4 4 3 3 3" xfId="29392" xr:uid="{00000000-0005-0000-0000-00009C730000}"/>
    <cellStyle name="Standard 4 5 4 4 3 4" xfId="29393" xr:uid="{00000000-0005-0000-0000-00009D730000}"/>
    <cellStyle name="Standard 4 5 4 4 3 4 2" xfId="29394" xr:uid="{00000000-0005-0000-0000-00009E730000}"/>
    <cellStyle name="Standard 4 5 4 4 3 5" xfId="29395" xr:uid="{00000000-0005-0000-0000-00009F730000}"/>
    <cellStyle name="Standard 4 5 4 4 3 6" xfId="29396" xr:uid="{00000000-0005-0000-0000-0000A0730000}"/>
    <cellStyle name="Standard 4 5 4 4 4" xfId="29397" xr:uid="{00000000-0005-0000-0000-0000A1730000}"/>
    <cellStyle name="Standard 4 5 4 4 4 2" xfId="29398" xr:uid="{00000000-0005-0000-0000-0000A2730000}"/>
    <cellStyle name="Standard 4 5 4 4 4 3" xfId="29399" xr:uid="{00000000-0005-0000-0000-0000A3730000}"/>
    <cellStyle name="Standard 4 5 4 4 5" xfId="29400" xr:uid="{00000000-0005-0000-0000-0000A4730000}"/>
    <cellStyle name="Standard 4 5 4 4 5 2" xfId="29401" xr:uid="{00000000-0005-0000-0000-0000A5730000}"/>
    <cellStyle name="Standard 4 5 4 4 5 3" xfId="29402" xr:uid="{00000000-0005-0000-0000-0000A6730000}"/>
    <cellStyle name="Standard 4 5 4 4 6" xfId="29403" xr:uid="{00000000-0005-0000-0000-0000A7730000}"/>
    <cellStyle name="Standard 4 5 4 4 6 2" xfId="29404" xr:uid="{00000000-0005-0000-0000-0000A8730000}"/>
    <cellStyle name="Standard 4 5 4 4 7" xfId="29405" xr:uid="{00000000-0005-0000-0000-0000A9730000}"/>
    <cellStyle name="Standard 4 5 4 4 8" xfId="29406" xr:uid="{00000000-0005-0000-0000-0000AA730000}"/>
    <cellStyle name="Standard 4 5 4 5" xfId="29407" xr:uid="{00000000-0005-0000-0000-0000AB730000}"/>
    <cellStyle name="Standard 4 5 4 5 2" xfId="29408" xr:uid="{00000000-0005-0000-0000-0000AC730000}"/>
    <cellStyle name="Standard 4 5 4 5 2 2" xfId="29409" xr:uid="{00000000-0005-0000-0000-0000AD730000}"/>
    <cellStyle name="Standard 4 5 4 5 2 2 2" xfId="29410" xr:uid="{00000000-0005-0000-0000-0000AE730000}"/>
    <cellStyle name="Standard 4 5 4 5 2 2 3" xfId="29411" xr:uid="{00000000-0005-0000-0000-0000AF730000}"/>
    <cellStyle name="Standard 4 5 4 5 2 3" xfId="29412" xr:uid="{00000000-0005-0000-0000-0000B0730000}"/>
    <cellStyle name="Standard 4 5 4 5 2 3 2" xfId="29413" xr:uid="{00000000-0005-0000-0000-0000B1730000}"/>
    <cellStyle name="Standard 4 5 4 5 2 3 3" xfId="29414" xr:uid="{00000000-0005-0000-0000-0000B2730000}"/>
    <cellStyle name="Standard 4 5 4 5 2 4" xfId="29415" xr:uid="{00000000-0005-0000-0000-0000B3730000}"/>
    <cellStyle name="Standard 4 5 4 5 2 4 2" xfId="29416" xr:uid="{00000000-0005-0000-0000-0000B4730000}"/>
    <cellStyle name="Standard 4 5 4 5 2 5" xfId="29417" xr:uid="{00000000-0005-0000-0000-0000B5730000}"/>
    <cellStyle name="Standard 4 5 4 5 2 6" xfId="29418" xr:uid="{00000000-0005-0000-0000-0000B6730000}"/>
    <cellStyle name="Standard 4 5 4 5 3" xfId="29419" xr:uid="{00000000-0005-0000-0000-0000B7730000}"/>
    <cellStyle name="Standard 4 5 4 5 3 2" xfId="29420" xr:uid="{00000000-0005-0000-0000-0000B8730000}"/>
    <cellStyle name="Standard 4 5 4 5 3 3" xfId="29421" xr:uid="{00000000-0005-0000-0000-0000B9730000}"/>
    <cellStyle name="Standard 4 5 4 5 4" xfId="29422" xr:uid="{00000000-0005-0000-0000-0000BA730000}"/>
    <cellStyle name="Standard 4 5 4 5 4 2" xfId="29423" xr:uid="{00000000-0005-0000-0000-0000BB730000}"/>
    <cellStyle name="Standard 4 5 4 5 4 3" xfId="29424" xr:uid="{00000000-0005-0000-0000-0000BC730000}"/>
    <cellStyle name="Standard 4 5 4 5 5" xfId="29425" xr:uid="{00000000-0005-0000-0000-0000BD730000}"/>
    <cellStyle name="Standard 4 5 4 5 5 2" xfId="29426" xr:uid="{00000000-0005-0000-0000-0000BE730000}"/>
    <cellStyle name="Standard 4 5 4 5 6" xfId="29427" xr:uid="{00000000-0005-0000-0000-0000BF730000}"/>
    <cellStyle name="Standard 4 5 4 5 7" xfId="29428" xr:uid="{00000000-0005-0000-0000-0000C0730000}"/>
    <cellStyle name="Standard 4 5 4 6" xfId="29429" xr:uid="{00000000-0005-0000-0000-0000C1730000}"/>
    <cellStyle name="Standard 4 5 4 6 2" xfId="29430" xr:uid="{00000000-0005-0000-0000-0000C2730000}"/>
    <cellStyle name="Standard 4 5 4 6 2 2" xfId="29431" xr:uid="{00000000-0005-0000-0000-0000C3730000}"/>
    <cellStyle name="Standard 4 5 4 6 2 3" xfId="29432" xr:uid="{00000000-0005-0000-0000-0000C4730000}"/>
    <cellStyle name="Standard 4 5 4 6 3" xfId="29433" xr:uid="{00000000-0005-0000-0000-0000C5730000}"/>
    <cellStyle name="Standard 4 5 4 6 3 2" xfId="29434" xr:uid="{00000000-0005-0000-0000-0000C6730000}"/>
    <cellStyle name="Standard 4 5 4 6 3 3" xfId="29435" xr:uid="{00000000-0005-0000-0000-0000C7730000}"/>
    <cellStyle name="Standard 4 5 4 6 4" xfId="29436" xr:uid="{00000000-0005-0000-0000-0000C8730000}"/>
    <cellStyle name="Standard 4 5 4 6 4 2" xfId="29437" xr:uid="{00000000-0005-0000-0000-0000C9730000}"/>
    <cellStyle name="Standard 4 5 4 6 5" xfId="29438" xr:uid="{00000000-0005-0000-0000-0000CA730000}"/>
    <cellStyle name="Standard 4 5 4 6 6" xfId="29439" xr:uid="{00000000-0005-0000-0000-0000CB730000}"/>
    <cellStyle name="Standard 4 5 4 7" xfId="29440" xr:uid="{00000000-0005-0000-0000-0000CC730000}"/>
    <cellStyle name="Standard 4 5 4 7 2" xfId="29441" xr:uid="{00000000-0005-0000-0000-0000CD730000}"/>
    <cellStyle name="Standard 4 5 4 7 3" xfId="29442" xr:uid="{00000000-0005-0000-0000-0000CE730000}"/>
    <cellStyle name="Standard 4 5 4 8" xfId="29443" xr:uid="{00000000-0005-0000-0000-0000CF730000}"/>
    <cellStyle name="Standard 4 5 4 8 2" xfId="29444" xr:uid="{00000000-0005-0000-0000-0000D0730000}"/>
    <cellStyle name="Standard 4 5 4 8 3" xfId="29445" xr:uid="{00000000-0005-0000-0000-0000D1730000}"/>
    <cellStyle name="Standard 4 5 4 9" xfId="29446" xr:uid="{00000000-0005-0000-0000-0000D2730000}"/>
    <cellStyle name="Standard 4 5 4 9 2" xfId="29447" xr:uid="{00000000-0005-0000-0000-0000D3730000}"/>
    <cellStyle name="Standard 4 5 5" xfId="29448" xr:uid="{00000000-0005-0000-0000-0000D4730000}"/>
    <cellStyle name="Standard 4 5 5 10" xfId="29449" xr:uid="{00000000-0005-0000-0000-0000D5730000}"/>
    <cellStyle name="Standard 4 5 5 2" xfId="29450" xr:uid="{00000000-0005-0000-0000-0000D6730000}"/>
    <cellStyle name="Standard 4 5 5 2 2" xfId="29451" xr:uid="{00000000-0005-0000-0000-0000D7730000}"/>
    <cellStyle name="Standard 4 5 5 2 2 2" xfId="29452" xr:uid="{00000000-0005-0000-0000-0000D8730000}"/>
    <cellStyle name="Standard 4 5 5 2 2 2 2" xfId="29453" xr:uid="{00000000-0005-0000-0000-0000D9730000}"/>
    <cellStyle name="Standard 4 5 5 2 2 2 2 2" xfId="29454" xr:uid="{00000000-0005-0000-0000-0000DA730000}"/>
    <cellStyle name="Standard 4 5 5 2 2 2 2 3" xfId="29455" xr:uid="{00000000-0005-0000-0000-0000DB730000}"/>
    <cellStyle name="Standard 4 5 5 2 2 2 3" xfId="29456" xr:uid="{00000000-0005-0000-0000-0000DC730000}"/>
    <cellStyle name="Standard 4 5 5 2 2 2 3 2" xfId="29457" xr:uid="{00000000-0005-0000-0000-0000DD730000}"/>
    <cellStyle name="Standard 4 5 5 2 2 2 3 3" xfId="29458" xr:uid="{00000000-0005-0000-0000-0000DE730000}"/>
    <cellStyle name="Standard 4 5 5 2 2 2 4" xfId="29459" xr:uid="{00000000-0005-0000-0000-0000DF730000}"/>
    <cellStyle name="Standard 4 5 5 2 2 2 4 2" xfId="29460" xr:uid="{00000000-0005-0000-0000-0000E0730000}"/>
    <cellStyle name="Standard 4 5 5 2 2 2 5" xfId="29461" xr:uid="{00000000-0005-0000-0000-0000E1730000}"/>
    <cellStyle name="Standard 4 5 5 2 2 2 6" xfId="29462" xr:uid="{00000000-0005-0000-0000-0000E2730000}"/>
    <cellStyle name="Standard 4 5 5 2 2 3" xfId="29463" xr:uid="{00000000-0005-0000-0000-0000E3730000}"/>
    <cellStyle name="Standard 4 5 5 2 2 3 2" xfId="29464" xr:uid="{00000000-0005-0000-0000-0000E4730000}"/>
    <cellStyle name="Standard 4 5 5 2 2 3 3" xfId="29465" xr:uid="{00000000-0005-0000-0000-0000E5730000}"/>
    <cellStyle name="Standard 4 5 5 2 2 4" xfId="29466" xr:uid="{00000000-0005-0000-0000-0000E6730000}"/>
    <cellStyle name="Standard 4 5 5 2 2 4 2" xfId="29467" xr:uid="{00000000-0005-0000-0000-0000E7730000}"/>
    <cellStyle name="Standard 4 5 5 2 2 4 3" xfId="29468" xr:uid="{00000000-0005-0000-0000-0000E8730000}"/>
    <cellStyle name="Standard 4 5 5 2 2 5" xfId="29469" xr:uid="{00000000-0005-0000-0000-0000E9730000}"/>
    <cellStyle name="Standard 4 5 5 2 2 5 2" xfId="29470" xr:uid="{00000000-0005-0000-0000-0000EA730000}"/>
    <cellStyle name="Standard 4 5 5 2 2 6" xfId="29471" xr:uid="{00000000-0005-0000-0000-0000EB730000}"/>
    <cellStyle name="Standard 4 5 5 2 2 7" xfId="29472" xr:uid="{00000000-0005-0000-0000-0000EC730000}"/>
    <cellStyle name="Standard 4 5 5 2 3" xfId="29473" xr:uid="{00000000-0005-0000-0000-0000ED730000}"/>
    <cellStyle name="Standard 4 5 5 2 3 2" xfId="29474" xr:uid="{00000000-0005-0000-0000-0000EE730000}"/>
    <cellStyle name="Standard 4 5 5 2 3 2 2" xfId="29475" xr:uid="{00000000-0005-0000-0000-0000EF730000}"/>
    <cellStyle name="Standard 4 5 5 2 3 2 3" xfId="29476" xr:uid="{00000000-0005-0000-0000-0000F0730000}"/>
    <cellStyle name="Standard 4 5 5 2 3 3" xfId="29477" xr:uid="{00000000-0005-0000-0000-0000F1730000}"/>
    <cellStyle name="Standard 4 5 5 2 3 3 2" xfId="29478" xr:uid="{00000000-0005-0000-0000-0000F2730000}"/>
    <cellStyle name="Standard 4 5 5 2 3 3 3" xfId="29479" xr:uid="{00000000-0005-0000-0000-0000F3730000}"/>
    <cellStyle name="Standard 4 5 5 2 3 4" xfId="29480" xr:uid="{00000000-0005-0000-0000-0000F4730000}"/>
    <cellStyle name="Standard 4 5 5 2 3 4 2" xfId="29481" xr:uid="{00000000-0005-0000-0000-0000F5730000}"/>
    <cellStyle name="Standard 4 5 5 2 3 5" xfId="29482" xr:uid="{00000000-0005-0000-0000-0000F6730000}"/>
    <cellStyle name="Standard 4 5 5 2 3 6" xfId="29483" xr:uid="{00000000-0005-0000-0000-0000F7730000}"/>
    <cellStyle name="Standard 4 5 5 2 4" xfId="29484" xr:uid="{00000000-0005-0000-0000-0000F8730000}"/>
    <cellStyle name="Standard 4 5 5 2 4 2" xfId="29485" xr:uid="{00000000-0005-0000-0000-0000F9730000}"/>
    <cellStyle name="Standard 4 5 5 2 4 3" xfId="29486" xr:uid="{00000000-0005-0000-0000-0000FA730000}"/>
    <cellStyle name="Standard 4 5 5 2 5" xfId="29487" xr:uid="{00000000-0005-0000-0000-0000FB730000}"/>
    <cellStyle name="Standard 4 5 5 2 5 2" xfId="29488" xr:uid="{00000000-0005-0000-0000-0000FC730000}"/>
    <cellStyle name="Standard 4 5 5 2 5 3" xfId="29489" xr:uid="{00000000-0005-0000-0000-0000FD730000}"/>
    <cellStyle name="Standard 4 5 5 2 6" xfId="29490" xr:uid="{00000000-0005-0000-0000-0000FE730000}"/>
    <cellStyle name="Standard 4 5 5 2 6 2" xfId="29491" xr:uid="{00000000-0005-0000-0000-0000FF730000}"/>
    <cellStyle name="Standard 4 5 5 2 7" xfId="29492" xr:uid="{00000000-0005-0000-0000-000000740000}"/>
    <cellStyle name="Standard 4 5 5 2 8" xfId="29493" xr:uid="{00000000-0005-0000-0000-000001740000}"/>
    <cellStyle name="Standard 4 5 5 3" xfId="29494" xr:uid="{00000000-0005-0000-0000-000002740000}"/>
    <cellStyle name="Standard 4 5 5 3 2" xfId="29495" xr:uid="{00000000-0005-0000-0000-000003740000}"/>
    <cellStyle name="Standard 4 5 5 3 2 2" xfId="29496" xr:uid="{00000000-0005-0000-0000-000004740000}"/>
    <cellStyle name="Standard 4 5 5 3 2 2 2" xfId="29497" xr:uid="{00000000-0005-0000-0000-000005740000}"/>
    <cellStyle name="Standard 4 5 5 3 2 2 2 2" xfId="29498" xr:uid="{00000000-0005-0000-0000-000006740000}"/>
    <cellStyle name="Standard 4 5 5 3 2 2 2 3" xfId="29499" xr:uid="{00000000-0005-0000-0000-000007740000}"/>
    <cellStyle name="Standard 4 5 5 3 2 2 3" xfId="29500" xr:uid="{00000000-0005-0000-0000-000008740000}"/>
    <cellStyle name="Standard 4 5 5 3 2 2 3 2" xfId="29501" xr:uid="{00000000-0005-0000-0000-000009740000}"/>
    <cellStyle name="Standard 4 5 5 3 2 2 3 3" xfId="29502" xr:uid="{00000000-0005-0000-0000-00000A740000}"/>
    <cellStyle name="Standard 4 5 5 3 2 2 4" xfId="29503" xr:uid="{00000000-0005-0000-0000-00000B740000}"/>
    <cellStyle name="Standard 4 5 5 3 2 2 4 2" xfId="29504" xr:uid="{00000000-0005-0000-0000-00000C740000}"/>
    <cellStyle name="Standard 4 5 5 3 2 2 5" xfId="29505" xr:uid="{00000000-0005-0000-0000-00000D740000}"/>
    <cellStyle name="Standard 4 5 5 3 2 2 6" xfId="29506" xr:uid="{00000000-0005-0000-0000-00000E740000}"/>
    <cellStyle name="Standard 4 5 5 3 2 3" xfId="29507" xr:uid="{00000000-0005-0000-0000-00000F740000}"/>
    <cellStyle name="Standard 4 5 5 3 2 3 2" xfId="29508" xr:uid="{00000000-0005-0000-0000-000010740000}"/>
    <cellStyle name="Standard 4 5 5 3 2 3 3" xfId="29509" xr:uid="{00000000-0005-0000-0000-000011740000}"/>
    <cellStyle name="Standard 4 5 5 3 2 4" xfId="29510" xr:uid="{00000000-0005-0000-0000-000012740000}"/>
    <cellStyle name="Standard 4 5 5 3 2 4 2" xfId="29511" xr:uid="{00000000-0005-0000-0000-000013740000}"/>
    <cellStyle name="Standard 4 5 5 3 2 4 3" xfId="29512" xr:uid="{00000000-0005-0000-0000-000014740000}"/>
    <cellStyle name="Standard 4 5 5 3 2 5" xfId="29513" xr:uid="{00000000-0005-0000-0000-000015740000}"/>
    <cellStyle name="Standard 4 5 5 3 2 5 2" xfId="29514" xr:uid="{00000000-0005-0000-0000-000016740000}"/>
    <cellStyle name="Standard 4 5 5 3 2 6" xfId="29515" xr:uid="{00000000-0005-0000-0000-000017740000}"/>
    <cellStyle name="Standard 4 5 5 3 2 7" xfId="29516" xr:uid="{00000000-0005-0000-0000-000018740000}"/>
    <cellStyle name="Standard 4 5 5 3 3" xfId="29517" xr:uid="{00000000-0005-0000-0000-000019740000}"/>
    <cellStyle name="Standard 4 5 5 3 3 2" xfId="29518" xr:uid="{00000000-0005-0000-0000-00001A740000}"/>
    <cellStyle name="Standard 4 5 5 3 3 2 2" xfId="29519" xr:uid="{00000000-0005-0000-0000-00001B740000}"/>
    <cellStyle name="Standard 4 5 5 3 3 2 3" xfId="29520" xr:uid="{00000000-0005-0000-0000-00001C740000}"/>
    <cellStyle name="Standard 4 5 5 3 3 3" xfId="29521" xr:uid="{00000000-0005-0000-0000-00001D740000}"/>
    <cellStyle name="Standard 4 5 5 3 3 3 2" xfId="29522" xr:uid="{00000000-0005-0000-0000-00001E740000}"/>
    <cellStyle name="Standard 4 5 5 3 3 3 3" xfId="29523" xr:uid="{00000000-0005-0000-0000-00001F740000}"/>
    <cellStyle name="Standard 4 5 5 3 3 4" xfId="29524" xr:uid="{00000000-0005-0000-0000-000020740000}"/>
    <cellStyle name="Standard 4 5 5 3 3 4 2" xfId="29525" xr:uid="{00000000-0005-0000-0000-000021740000}"/>
    <cellStyle name="Standard 4 5 5 3 3 5" xfId="29526" xr:uid="{00000000-0005-0000-0000-000022740000}"/>
    <cellStyle name="Standard 4 5 5 3 3 6" xfId="29527" xr:uid="{00000000-0005-0000-0000-000023740000}"/>
    <cellStyle name="Standard 4 5 5 3 4" xfId="29528" xr:uid="{00000000-0005-0000-0000-000024740000}"/>
    <cellStyle name="Standard 4 5 5 3 4 2" xfId="29529" xr:uid="{00000000-0005-0000-0000-000025740000}"/>
    <cellStyle name="Standard 4 5 5 3 4 3" xfId="29530" xr:uid="{00000000-0005-0000-0000-000026740000}"/>
    <cellStyle name="Standard 4 5 5 3 5" xfId="29531" xr:uid="{00000000-0005-0000-0000-000027740000}"/>
    <cellStyle name="Standard 4 5 5 3 5 2" xfId="29532" xr:uid="{00000000-0005-0000-0000-000028740000}"/>
    <cellStyle name="Standard 4 5 5 3 5 3" xfId="29533" xr:uid="{00000000-0005-0000-0000-000029740000}"/>
    <cellStyle name="Standard 4 5 5 3 6" xfId="29534" xr:uid="{00000000-0005-0000-0000-00002A740000}"/>
    <cellStyle name="Standard 4 5 5 3 6 2" xfId="29535" xr:uid="{00000000-0005-0000-0000-00002B740000}"/>
    <cellStyle name="Standard 4 5 5 3 7" xfId="29536" xr:uid="{00000000-0005-0000-0000-00002C740000}"/>
    <cellStyle name="Standard 4 5 5 3 8" xfId="29537" xr:uid="{00000000-0005-0000-0000-00002D740000}"/>
    <cellStyle name="Standard 4 5 5 4" xfId="29538" xr:uid="{00000000-0005-0000-0000-00002E740000}"/>
    <cellStyle name="Standard 4 5 5 4 2" xfId="29539" xr:uid="{00000000-0005-0000-0000-00002F740000}"/>
    <cellStyle name="Standard 4 5 5 4 2 2" xfId="29540" xr:uid="{00000000-0005-0000-0000-000030740000}"/>
    <cellStyle name="Standard 4 5 5 4 2 2 2" xfId="29541" xr:uid="{00000000-0005-0000-0000-000031740000}"/>
    <cellStyle name="Standard 4 5 5 4 2 2 3" xfId="29542" xr:uid="{00000000-0005-0000-0000-000032740000}"/>
    <cellStyle name="Standard 4 5 5 4 2 3" xfId="29543" xr:uid="{00000000-0005-0000-0000-000033740000}"/>
    <cellStyle name="Standard 4 5 5 4 2 3 2" xfId="29544" xr:uid="{00000000-0005-0000-0000-000034740000}"/>
    <cellStyle name="Standard 4 5 5 4 2 3 3" xfId="29545" xr:uid="{00000000-0005-0000-0000-000035740000}"/>
    <cellStyle name="Standard 4 5 5 4 2 4" xfId="29546" xr:uid="{00000000-0005-0000-0000-000036740000}"/>
    <cellStyle name="Standard 4 5 5 4 2 4 2" xfId="29547" xr:uid="{00000000-0005-0000-0000-000037740000}"/>
    <cellStyle name="Standard 4 5 5 4 2 5" xfId="29548" xr:uid="{00000000-0005-0000-0000-000038740000}"/>
    <cellStyle name="Standard 4 5 5 4 2 6" xfId="29549" xr:uid="{00000000-0005-0000-0000-000039740000}"/>
    <cellStyle name="Standard 4 5 5 4 3" xfId="29550" xr:uid="{00000000-0005-0000-0000-00003A740000}"/>
    <cellStyle name="Standard 4 5 5 4 3 2" xfId="29551" xr:uid="{00000000-0005-0000-0000-00003B740000}"/>
    <cellStyle name="Standard 4 5 5 4 3 3" xfId="29552" xr:uid="{00000000-0005-0000-0000-00003C740000}"/>
    <cellStyle name="Standard 4 5 5 4 4" xfId="29553" xr:uid="{00000000-0005-0000-0000-00003D740000}"/>
    <cellStyle name="Standard 4 5 5 4 4 2" xfId="29554" xr:uid="{00000000-0005-0000-0000-00003E740000}"/>
    <cellStyle name="Standard 4 5 5 4 4 3" xfId="29555" xr:uid="{00000000-0005-0000-0000-00003F740000}"/>
    <cellStyle name="Standard 4 5 5 4 5" xfId="29556" xr:uid="{00000000-0005-0000-0000-000040740000}"/>
    <cellStyle name="Standard 4 5 5 4 5 2" xfId="29557" xr:uid="{00000000-0005-0000-0000-000041740000}"/>
    <cellStyle name="Standard 4 5 5 4 6" xfId="29558" xr:uid="{00000000-0005-0000-0000-000042740000}"/>
    <cellStyle name="Standard 4 5 5 4 7" xfId="29559" xr:uid="{00000000-0005-0000-0000-000043740000}"/>
    <cellStyle name="Standard 4 5 5 5" xfId="29560" xr:uid="{00000000-0005-0000-0000-000044740000}"/>
    <cellStyle name="Standard 4 5 5 5 2" xfId="29561" xr:uid="{00000000-0005-0000-0000-000045740000}"/>
    <cellStyle name="Standard 4 5 5 5 2 2" xfId="29562" xr:uid="{00000000-0005-0000-0000-000046740000}"/>
    <cellStyle name="Standard 4 5 5 5 2 3" xfId="29563" xr:uid="{00000000-0005-0000-0000-000047740000}"/>
    <cellStyle name="Standard 4 5 5 5 3" xfId="29564" xr:uid="{00000000-0005-0000-0000-000048740000}"/>
    <cellStyle name="Standard 4 5 5 5 3 2" xfId="29565" xr:uid="{00000000-0005-0000-0000-000049740000}"/>
    <cellStyle name="Standard 4 5 5 5 3 3" xfId="29566" xr:uid="{00000000-0005-0000-0000-00004A740000}"/>
    <cellStyle name="Standard 4 5 5 5 4" xfId="29567" xr:uid="{00000000-0005-0000-0000-00004B740000}"/>
    <cellStyle name="Standard 4 5 5 5 4 2" xfId="29568" xr:uid="{00000000-0005-0000-0000-00004C740000}"/>
    <cellStyle name="Standard 4 5 5 5 5" xfId="29569" xr:uid="{00000000-0005-0000-0000-00004D740000}"/>
    <cellStyle name="Standard 4 5 5 5 6" xfId="29570" xr:uid="{00000000-0005-0000-0000-00004E740000}"/>
    <cellStyle name="Standard 4 5 5 6" xfId="29571" xr:uid="{00000000-0005-0000-0000-00004F740000}"/>
    <cellStyle name="Standard 4 5 5 6 2" xfId="29572" xr:uid="{00000000-0005-0000-0000-000050740000}"/>
    <cellStyle name="Standard 4 5 5 6 3" xfId="29573" xr:uid="{00000000-0005-0000-0000-000051740000}"/>
    <cellStyle name="Standard 4 5 5 7" xfId="29574" xr:uid="{00000000-0005-0000-0000-000052740000}"/>
    <cellStyle name="Standard 4 5 5 7 2" xfId="29575" xr:uid="{00000000-0005-0000-0000-000053740000}"/>
    <cellStyle name="Standard 4 5 5 7 3" xfId="29576" xr:uid="{00000000-0005-0000-0000-000054740000}"/>
    <cellStyle name="Standard 4 5 5 8" xfId="29577" xr:uid="{00000000-0005-0000-0000-000055740000}"/>
    <cellStyle name="Standard 4 5 5 8 2" xfId="29578" xr:uid="{00000000-0005-0000-0000-000056740000}"/>
    <cellStyle name="Standard 4 5 5 9" xfId="29579" xr:uid="{00000000-0005-0000-0000-000057740000}"/>
    <cellStyle name="Standard 4 5 6" xfId="29580" xr:uid="{00000000-0005-0000-0000-000058740000}"/>
    <cellStyle name="Standard 4 5 6 2" xfId="29581" xr:uid="{00000000-0005-0000-0000-000059740000}"/>
    <cellStyle name="Standard 4 5 6 2 2" xfId="29582" xr:uid="{00000000-0005-0000-0000-00005A740000}"/>
    <cellStyle name="Standard 4 5 6 2 2 2" xfId="29583" xr:uid="{00000000-0005-0000-0000-00005B740000}"/>
    <cellStyle name="Standard 4 5 6 2 2 2 2" xfId="29584" xr:uid="{00000000-0005-0000-0000-00005C740000}"/>
    <cellStyle name="Standard 4 5 6 2 2 2 3" xfId="29585" xr:uid="{00000000-0005-0000-0000-00005D740000}"/>
    <cellStyle name="Standard 4 5 6 2 2 3" xfId="29586" xr:uid="{00000000-0005-0000-0000-00005E740000}"/>
    <cellStyle name="Standard 4 5 6 2 2 3 2" xfId="29587" xr:uid="{00000000-0005-0000-0000-00005F740000}"/>
    <cellStyle name="Standard 4 5 6 2 2 3 3" xfId="29588" xr:uid="{00000000-0005-0000-0000-000060740000}"/>
    <cellStyle name="Standard 4 5 6 2 2 4" xfId="29589" xr:uid="{00000000-0005-0000-0000-000061740000}"/>
    <cellStyle name="Standard 4 5 6 2 2 4 2" xfId="29590" xr:uid="{00000000-0005-0000-0000-000062740000}"/>
    <cellStyle name="Standard 4 5 6 2 2 5" xfId="29591" xr:uid="{00000000-0005-0000-0000-000063740000}"/>
    <cellStyle name="Standard 4 5 6 2 2 6" xfId="29592" xr:uid="{00000000-0005-0000-0000-000064740000}"/>
    <cellStyle name="Standard 4 5 6 2 3" xfId="29593" xr:uid="{00000000-0005-0000-0000-000065740000}"/>
    <cellStyle name="Standard 4 5 6 2 3 2" xfId="29594" xr:uid="{00000000-0005-0000-0000-000066740000}"/>
    <cellStyle name="Standard 4 5 6 2 3 3" xfId="29595" xr:uid="{00000000-0005-0000-0000-000067740000}"/>
    <cellStyle name="Standard 4 5 6 2 4" xfId="29596" xr:uid="{00000000-0005-0000-0000-000068740000}"/>
    <cellStyle name="Standard 4 5 6 2 4 2" xfId="29597" xr:uid="{00000000-0005-0000-0000-000069740000}"/>
    <cellStyle name="Standard 4 5 6 2 4 3" xfId="29598" xr:uid="{00000000-0005-0000-0000-00006A740000}"/>
    <cellStyle name="Standard 4 5 6 2 5" xfId="29599" xr:uid="{00000000-0005-0000-0000-00006B740000}"/>
    <cellStyle name="Standard 4 5 6 2 5 2" xfId="29600" xr:uid="{00000000-0005-0000-0000-00006C740000}"/>
    <cellStyle name="Standard 4 5 6 2 6" xfId="29601" xr:uid="{00000000-0005-0000-0000-00006D740000}"/>
    <cellStyle name="Standard 4 5 6 2 7" xfId="29602" xr:uid="{00000000-0005-0000-0000-00006E740000}"/>
    <cellStyle name="Standard 4 5 6 3" xfId="29603" xr:uid="{00000000-0005-0000-0000-00006F740000}"/>
    <cellStyle name="Standard 4 5 6 3 2" xfId="29604" xr:uid="{00000000-0005-0000-0000-000070740000}"/>
    <cellStyle name="Standard 4 5 6 3 2 2" xfId="29605" xr:uid="{00000000-0005-0000-0000-000071740000}"/>
    <cellStyle name="Standard 4 5 6 3 2 3" xfId="29606" xr:uid="{00000000-0005-0000-0000-000072740000}"/>
    <cellStyle name="Standard 4 5 6 3 3" xfId="29607" xr:uid="{00000000-0005-0000-0000-000073740000}"/>
    <cellStyle name="Standard 4 5 6 3 3 2" xfId="29608" xr:uid="{00000000-0005-0000-0000-000074740000}"/>
    <cellStyle name="Standard 4 5 6 3 3 3" xfId="29609" xr:uid="{00000000-0005-0000-0000-000075740000}"/>
    <cellStyle name="Standard 4 5 6 3 4" xfId="29610" xr:uid="{00000000-0005-0000-0000-000076740000}"/>
    <cellStyle name="Standard 4 5 6 3 4 2" xfId="29611" xr:uid="{00000000-0005-0000-0000-000077740000}"/>
    <cellStyle name="Standard 4 5 6 3 5" xfId="29612" xr:uid="{00000000-0005-0000-0000-000078740000}"/>
    <cellStyle name="Standard 4 5 6 3 6" xfId="29613" xr:uid="{00000000-0005-0000-0000-000079740000}"/>
    <cellStyle name="Standard 4 5 6 4" xfId="29614" xr:uid="{00000000-0005-0000-0000-00007A740000}"/>
    <cellStyle name="Standard 4 5 6 4 2" xfId="29615" xr:uid="{00000000-0005-0000-0000-00007B740000}"/>
    <cellStyle name="Standard 4 5 6 4 3" xfId="29616" xr:uid="{00000000-0005-0000-0000-00007C740000}"/>
    <cellStyle name="Standard 4 5 6 5" xfId="29617" xr:uid="{00000000-0005-0000-0000-00007D740000}"/>
    <cellStyle name="Standard 4 5 6 5 2" xfId="29618" xr:uid="{00000000-0005-0000-0000-00007E740000}"/>
    <cellStyle name="Standard 4 5 6 5 3" xfId="29619" xr:uid="{00000000-0005-0000-0000-00007F740000}"/>
    <cellStyle name="Standard 4 5 6 6" xfId="29620" xr:uid="{00000000-0005-0000-0000-000080740000}"/>
    <cellStyle name="Standard 4 5 6 6 2" xfId="29621" xr:uid="{00000000-0005-0000-0000-000081740000}"/>
    <cellStyle name="Standard 4 5 6 7" xfId="29622" xr:uid="{00000000-0005-0000-0000-000082740000}"/>
    <cellStyle name="Standard 4 5 6 8" xfId="29623" xr:uid="{00000000-0005-0000-0000-000083740000}"/>
    <cellStyle name="Standard 4 5 7" xfId="29624" xr:uid="{00000000-0005-0000-0000-000084740000}"/>
    <cellStyle name="Standard 4 5 7 2" xfId="29625" xr:uid="{00000000-0005-0000-0000-000085740000}"/>
    <cellStyle name="Standard 4 5 7 2 2" xfId="29626" xr:uid="{00000000-0005-0000-0000-000086740000}"/>
    <cellStyle name="Standard 4 5 7 2 2 2" xfId="29627" xr:uid="{00000000-0005-0000-0000-000087740000}"/>
    <cellStyle name="Standard 4 5 7 2 2 2 2" xfId="29628" xr:uid="{00000000-0005-0000-0000-000088740000}"/>
    <cellStyle name="Standard 4 5 7 2 2 2 3" xfId="29629" xr:uid="{00000000-0005-0000-0000-000089740000}"/>
    <cellStyle name="Standard 4 5 7 2 2 3" xfId="29630" xr:uid="{00000000-0005-0000-0000-00008A740000}"/>
    <cellStyle name="Standard 4 5 7 2 2 3 2" xfId="29631" xr:uid="{00000000-0005-0000-0000-00008B740000}"/>
    <cellStyle name="Standard 4 5 7 2 2 3 3" xfId="29632" xr:uid="{00000000-0005-0000-0000-00008C740000}"/>
    <cellStyle name="Standard 4 5 7 2 2 4" xfId="29633" xr:uid="{00000000-0005-0000-0000-00008D740000}"/>
    <cellStyle name="Standard 4 5 7 2 2 4 2" xfId="29634" xr:uid="{00000000-0005-0000-0000-00008E740000}"/>
    <cellStyle name="Standard 4 5 7 2 2 5" xfId="29635" xr:uid="{00000000-0005-0000-0000-00008F740000}"/>
    <cellStyle name="Standard 4 5 7 2 2 6" xfId="29636" xr:uid="{00000000-0005-0000-0000-000090740000}"/>
    <cellStyle name="Standard 4 5 7 2 3" xfId="29637" xr:uid="{00000000-0005-0000-0000-000091740000}"/>
    <cellStyle name="Standard 4 5 7 2 3 2" xfId="29638" xr:uid="{00000000-0005-0000-0000-000092740000}"/>
    <cellStyle name="Standard 4 5 7 2 3 3" xfId="29639" xr:uid="{00000000-0005-0000-0000-000093740000}"/>
    <cellStyle name="Standard 4 5 7 2 4" xfId="29640" xr:uid="{00000000-0005-0000-0000-000094740000}"/>
    <cellStyle name="Standard 4 5 7 2 4 2" xfId="29641" xr:uid="{00000000-0005-0000-0000-000095740000}"/>
    <cellStyle name="Standard 4 5 7 2 4 3" xfId="29642" xr:uid="{00000000-0005-0000-0000-000096740000}"/>
    <cellStyle name="Standard 4 5 7 2 5" xfId="29643" xr:uid="{00000000-0005-0000-0000-000097740000}"/>
    <cellStyle name="Standard 4 5 7 2 5 2" xfId="29644" xr:uid="{00000000-0005-0000-0000-000098740000}"/>
    <cellStyle name="Standard 4 5 7 2 6" xfId="29645" xr:uid="{00000000-0005-0000-0000-000099740000}"/>
    <cellStyle name="Standard 4 5 7 2 7" xfId="29646" xr:uid="{00000000-0005-0000-0000-00009A740000}"/>
    <cellStyle name="Standard 4 5 7 3" xfId="29647" xr:uid="{00000000-0005-0000-0000-00009B740000}"/>
    <cellStyle name="Standard 4 5 7 3 2" xfId="29648" xr:uid="{00000000-0005-0000-0000-00009C740000}"/>
    <cellStyle name="Standard 4 5 7 3 2 2" xfId="29649" xr:uid="{00000000-0005-0000-0000-00009D740000}"/>
    <cellStyle name="Standard 4 5 7 3 2 3" xfId="29650" xr:uid="{00000000-0005-0000-0000-00009E740000}"/>
    <cellStyle name="Standard 4 5 7 3 3" xfId="29651" xr:uid="{00000000-0005-0000-0000-00009F740000}"/>
    <cellStyle name="Standard 4 5 7 3 3 2" xfId="29652" xr:uid="{00000000-0005-0000-0000-0000A0740000}"/>
    <cellStyle name="Standard 4 5 7 3 3 3" xfId="29653" xr:uid="{00000000-0005-0000-0000-0000A1740000}"/>
    <cellStyle name="Standard 4 5 7 3 4" xfId="29654" xr:uid="{00000000-0005-0000-0000-0000A2740000}"/>
    <cellStyle name="Standard 4 5 7 3 4 2" xfId="29655" xr:uid="{00000000-0005-0000-0000-0000A3740000}"/>
    <cellStyle name="Standard 4 5 7 3 5" xfId="29656" xr:uid="{00000000-0005-0000-0000-0000A4740000}"/>
    <cellStyle name="Standard 4 5 7 3 6" xfId="29657" xr:uid="{00000000-0005-0000-0000-0000A5740000}"/>
    <cellStyle name="Standard 4 5 7 4" xfId="29658" xr:uid="{00000000-0005-0000-0000-0000A6740000}"/>
    <cellStyle name="Standard 4 5 7 4 2" xfId="29659" xr:uid="{00000000-0005-0000-0000-0000A7740000}"/>
    <cellStyle name="Standard 4 5 7 4 3" xfId="29660" xr:uid="{00000000-0005-0000-0000-0000A8740000}"/>
    <cellStyle name="Standard 4 5 7 5" xfId="29661" xr:uid="{00000000-0005-0000-0000-0000A9740000}"/>
    <cellStyle name="Standard 4 5 7 5 2" xfId="29662" xr:uid="{00000000-0005-0000-0000-0000AA740000}"/>
    <cellStyle name="Standard 4 5 7 5 3" xfId="29663" xr:uid="{00000000-0005-0000-0000-0000AB740000}"/>
    <cellStyle name="Standard 4 5 7 6" xfId="29664" xr:uid="{00000000-0005-0000-0000-0000AC740000}"/>
    <cellStyle name="Standard 4 5 7 6 2" xfId="29665" xr:uid="{00000000-0005-0000-0000-0000AD740000}"/>
    <cellStyle name="Standard 4 5 7 7" xfId="29666" xr:uid="{00000000-0005-0000-0000-0000AE740000}"/>
    <cellStyle name="Standard 4 5 7 8" xfId="29667" xr:uid="{00000000-0005-0000-0000-0000AF740000}"/>
    <cellStyle name="Standard 4 5 8" xfId="29668" xr:uid="{00000000-0005-0000-0000-0000B0740000}"/>
    <cellStyle name="Standard 4 5 8 2" xfId="29669" xr:uid="{00000000-0005-0000-0000-0000B1740000}"/>
    <cellStyle name="Standard 4 5 8 2 2" xfId="29670" xr:uid="{00000000-0005-0000-0000-0000B2740000}"/>
    <cellStyle name="Standard 4 5 8 2 2 2" xfId="29671" xr:uid="{00000000-0005-0000-0000-0000B3740000}"/>
    <cellStyle name="Standard 4 5 8 2 2 3" xfId="29672" xr:uid="{00000000-0005-0000-0000-0000B4740000}"/>
    <cellStyle name="Standard 4 5 8 2 3" xfId="29673" xr:uid="{00000000-0005-0000-0000-0000B5740000}"/>
    <cellStyle name="Standard 4 5 8 2 3 2" xfId="29674" xr:uid="{00000000-0005-0000-0000-0000B6740000}"/>
    <cellStyle name="Standard 4 5 8 2 3 3" xfId="29675" xr:uid="{00000000-0005-0000-0000-0000B7740000}"/>
    <cellStyle name="Standard 4 5 8 2 4" xfId="29676" xr:uid="{00000000-0005-0000-0000-0000B8740000}"/>
    <cellStyle name="Standard 4 5 8 2 4 2" xfId="29677" xr:uid="{00000000-0005-0000-0000-0000B9740000}"/>
    <cellStyle name="Standard 4 5 8 2 5" xfId="29678" xr:uid="{00000000-0005-0000-0000-0000BA740000}"/>
    <cellStyle name="Standard 4 5 8 2 6" xfId="29679" xr:uid="{00000000-0005-0000-0000-0000BB740000}"/>
    <cellStyle name="Standard 4 5 8 3" xfId="29680" xr:uid="{00000000-0005-0000-0000-0000BC740000}"/>
    <cellStyle name="Standard 4 5 8 3 2" xfId="29681" xr:uid="{00000000-0005-0000-0000-0000BD740000}"/>
    <cellStyle name="Standard 4 5 8 3 3" xfId="29682" xr:uid="{00000000-0005-0000-0000-0000BE740000}"/>
    <cellStyle name="Standard 4 5 8 4" xfId="29683" xr:uid="{00000000-0005-0000-0000-0000BF740000}"/>
    <cellStyle name="Standard 4 5 8 4 2" xfId="29684" xr:uid="{00000000-0005-0000-0000-0000C0740000}"/>
    <cellStyle name="Standard 4 5 8 4 3" xfId="29685" xr:uid="{00000000-0005-0000-0000-0000C1740000}"/>
    <cellStyle name="Standard 4 5 8 5" xfId="29686" xr:uid="{00000000-0005-0000-0000-0000C2740000}"/>
    <cellStyle name="Standard 4 5 8 5 2" xfId="29687" xr:uid="{00000000-0005-0000-0000-0000C3740000}"/>
    <cellStyle name="Standard 4 5 8 6" xfId="29688" xr:uid="{00000000-0005-0000-0000-0000C4740000}"/>
    <cellStyle name="Standard 4 5 8 7" xfId="29689" xr:uid="{00000000-0005-0000-0000-0000C5740000}"/>
    <cellStyle name="Standard 4 5 9" xfId="29690" xr:uid="{00000000-0005-0000-0000-0000C6740000}"/>
    <cellStyle name="Standard 4 5 9 2" xfId="29691" xr:uid="{00000000-0005-0000-0000-0000C7740000}"/>
    <cellStyle name="Standard 4 5 9 2 2" xfId="29692" xr:uid="{00000000-0005-0000-0000-0000C8740000}"/>
    <cellStyle name="Standard 4 5 9 2 3" xfId="29693" xr:uid="{00000000-0005-0000-0000-0000C9740000}"/>
    <cellStyle name="Standard 4 5 9 3" xfId="29694" xr:uid="{00000000-0005-0000-0000-0000CA740000}"/>
    <cellStyle name="Standard 4 5 9 3 2" xfId="29695" xr:uid="{00000000-0005-0000-0000-0000CB740000}"/>
    <cellStyle name="Standard 4 5 9 3 3" xfId="29696" xr:uid="{00000000-0005-0000-0000-0000CC740000}"/>
    <cellStyle name="Standard 4 5 9 4" xfId="29697" xr:uid="{00000000-0005-0000-0000-0000CD740000}"/>
    <cellStyle name="Standard 4 5 9 4 2" xfId="29698" xr:uid="{00000000-0005-0000-0000-0000CE740000}"/>
    <cellStyle name="Standard 4 5 9 5" xfId="29699" xr:uid="{00000000-0005-0000-0000-0000CF740000}"/>
    <cellStyle name="Standard 4 5 9 6" xfId="29700" xr:uid="{00000000-0005-0000-0000-0000D0740000}"/>
    <cellStyle name="Standard 4 6" xfId="592" xr:uid="{00000000-0005-0000-0000-0000D1740000}"/>
    <cellStyle name="Standard 4 6 10" xfId="29701" xr:uid="{00000000-0005-0000-0000-0000D2740000}"/>
    <cellStyle name="Standard 4 6 10 2" xfId="29702" xr:uid="{00000000-0005-0000-0000-0000D3740000}"/>
    <cellStyle name="Standard 4 6 10 3" xfId="29703" xr:uid="{00000000-0005-0000-0000-0000D4740000}"/>
    <cellStyle name="Standard 4 6 11" xfId="29704" xr:uid="{00000000-0005-0000-0000-0000D5740000}"/>
    <cellStyle name="Standard 4 6 11 2" xfId="29705" xr:uid="{00000000-0005-0000-0000-0000D6740000}"/>
    <cellStyle name="Standard 4 6 12" xfId="29706" xr:uid="{00000000-0005-0000-0000-0000D7740000}"/>
    <cellStyle name="Standard 4 6 13" xfId="29707" xr:uid="{00000000-0005-0000-0000-0000D8740000}"/>
    <cellStyle name="Standard 4 6 14" xfId="33115" xr:uid="{00000000-0005-0000-0000-0000D9740000}"/>
    <cellStyle name="Standard 4 6 15" xfId="33190" xr:uid="{00000000-0005-0000-0000-0000DA740000}"/>
    <cellStyle name="Standard 4 6 16" xfId="33265" xr:uid="{00000000-0005-0000-0000-0000DB740000}"/>
    <cellStyle name="Standard 4 6 17" xfId="33340" xr:uid="{00000000-0005-0000-0000-0000DC740000}"/>
    <cellStyle name="Standard 4 6 18" xfId="33474" xr:uid="{00000000-0005-0000-0000-0000DD740000}"/>
    <cellStyle name="Standard 4 6 2" xfId="29708" xr:uid="{00000000-0005-0000-0000-0000DE740000}"/>
    <cellStyle name="Standard 4 6 2 10" xfId="29709" xr:uid="{00000000-0005-0000-0000-0000DF740000}"/>
    <cellStyle name="Standard 4 6 2 11" xfId="29710" xr:uid="{00000000-0005-0000-0000-0000E0740000}"/>
    <cellStyle name="Standard 4 6 2 12" xfId="33475" xr:uid="{00000000-0005-0000-0000-0000E1740000}"/>
    <cellStyle name="Standard 4 6 2 2" xfId="29711" xr:uid="{00000000-0005-0000-0000-0000E2740000}"/>
    <cellStyle name="Standard 4 6 2 2 10" xfId="29712" xr:uid="{00000000-0005-0000-0000-0000E3740000}"/>
    <cellStyle name="Standard 4 6 2 2 2" xfId="29713" xr:uid="{00000000-0005-0000-0000-0000E4740000}"/>
    <cellStyle name="Standard 4 6 2 2 2 2" xfId="29714" xr:uid="{00000000-0005-0000-0000-0000E5740000}"/>
    <cellStyle name="Standard 4 6 2 2 2 2 2" xfId="29715" xr:uid="{00000000-0005-0000-0000-0000E6740000}"/>
    <cellStyle name="Standard 4 6 2 2 2 2 2 2" xfId="29716" xr:uid="{00000000-0005-0000-0000-0000E7740000}"/>
    <cellStyle name="Standard 4 6 2 2 2 2 2 2 2" xfId="29717" xr:uid="{00000000-0005-0000-0000-0000E8740000}"/>
    <cellStyle name="Standard 4 6 2 2 2 2 2 2 3" xfId="29718" xr:uid="{00000000-0005-0000-0000-0000E9740000}"/>
    <cellStyle name="Standard 4 6 2 2 2 2 2 3" xfId="29719" xr:uid="{00000000-0005-0000-0000-0000EA740000}"/>
    <cellStyle name="Standard 4 6 2 2 2 2 2 3 2" xfId="29720" xr:uid="{00000000-0005-0000-0000-0000EB740000}"/>
    <cellStyle name="Standard 4 6 2 2 2 2 2 3 3" xfId="29721" xr:uid="{00000000-0005-0000-0000-0000EC740000}"/>
    <cellStyle name="Standard 4 6 2 2 2 2 2 4" xfId="29722" xr:uid="{00000000-0005-0000-0000-0000ED740000}"/>
    <cellStyle name="Standard 4 6 2 2 2 2 2 4 2" xfId="29723" xr:uid="{00000000-0005-0000-0000-0000EE740000}"/>
    <cellStyle name="Standard 4 6 2 2 2 2 2 5" xfId="29724" xr:uid="{00000000-0005-0000-0000-0000EF740000}"/>
    <cellStyle name="Standard 4 6 2 2 2 2 2 6" xfId="29725" xr:uid="{00000000-0005-0000-0000-0000F0740000}"/>
    <cellStyle name="Standard 4 6 2 2 2 2 3" xfId="29726" xr:uid="{00000000-0005-0000-0000-0000F1740000}"/>
    <cellStyle name="Standard 4 6 2 2 2 2 3 2" xfId="29727" xr:uid="{00000000-0005-0000-0000-0000F2740000}"/>
    <cellStyle name="Standard 4 6 2 2 2 2 3 3" xfId="29728" xr:uid="{00000000-0005-0000-0000-0000F3740000}"/>
    <cellStyle name="Standard 4 6 2 2 2 2 4" xfId="29729" xr:uid="{00000000-0005-0000-0000-0000F4740000}"/>
    <cellStyle name="Standard 4 6 2 2 2 2 4 2" xfId="29730" xr:uid="{00000000-0005-0000-0000-0000F5740000}"/>
    <cellStyle name="Standard 4 6 2 2 2 2 4 3" xfId="29731" xr:uid="{00000000-0005-0000-0000-0000F6740000}"/>
    <cellStyle name="Standard 4 6 2 2 2 2 5" xfId="29732" xr:uid="{00000000-0005-0000-0000-0000F7740000}"/>
    <cellStyle name="Standard 4 6 2 2 2 2 5 2" xfId="29733" xr:uid="{00000000-0005-0000-0000-0000F8740000}"/>
    <cellStyle name="Standard 4 6 2 2 2 2 6" xfId="29734" xr:uid="{00000000-0005-0000-0000-0000F9740000}"/>
    <cellStyle name="Standard 4 6 2 2 2 2 7" xfId="29735" xr:uid="{00000000-0005-0000-0000-0000FA740000}"/>
    <cellStyle name="Standard 4 6 2 2 2 3" xfId="29736" xr:uid="{00000000-0005-0000-0000-0000FB740000}"/>
    <cellStyle name="Standard 4 6 2 2 2 3 2" xfId="29737" xr:uid="{00000000-0005-0000-0000-0000FC740000}"/>
    <cellStyle name="Standard 4 6 2 2 2 3 2 2" xfId="29738" xr:uid="{00000000-0005-0000-0000-0000FD740000}"/>
    <cellStyle name="Standard 4 6 2 2 2 3 2 3" xfId="29739" xr:uid="{00000000-0005-0000-0000-0000FE740000}"/>
    <cellStyle name="Standard 4 6 2 2 2 3 3" xfId="29740" xr:uid="{00000000-0005-0000-0000-0000FF740000}"/>
    <cellStyle name="Standard 4 6 2 2 2 3 3 2" xfId="29741" xr:uid="{00000000-0005-0000-0000-000000750000}"/>
    <cellStyle name="Standard 4 6 2 2 2 3 3 3" xfId="29742" xr:uid="{00000000-0005-0000-0000-000001750000}"/>
    <cellStyle name="Standard 4 6 2 2 2 3 4" xfId="29743" xr:uid="{00000000-0005-0000-0000-000002750000}"/>
    <cellStyle name="Standard 4 6 2 2 2 3 4 2" xfId="29744" xr:uid="{00000000-0005-0000-0000-000003750000}"/>
    <cellStyle name="Standard 4 6 2 2 2 3 5" xfId="29745" xr:uid="{00000000-0005-0000-0000-000004750000}"/>
    <cellStyle name="Standard 4 6 2 2 2 3 6" xfId="29746" xr:uid="{00000000-0005-0000-0000-000005750000}"/>
    <cellStyle name="Standard 4 6 2 2 2 4" xfId="29747" xr:uid="{00000000-0005-0000-0000-000006750000}"/>
    <cellStyle name="Standard 4 6 2 2 2 4 2" xfId="29748" xr:uid="{00000000-0005-0000-0000-000007750000}"/>
    <cellStyle name="Standard 4 6 2 2 2 4 3" xfId="29749" xr:uid="{00000000-0005-0000-0000-000008750000}"/>
    <cellStyle name="Standard 4 6 2 2 2 5" xfId="29750" xr:uid="{00000000-0005-0000-0000-000009750000}"/>
    <cellStyle name="Standard 4 6 2 2 2 5 2" xfId="29751" xr:uid="{00000000-0005-0000-0000-00000A750000}"/>
    <cellStyle name="Standard 4 6 2 2 2 5 3" xfId="29752" xr:uid="{00000000-0005-0000-0000-00000B750000}"/>
    <cellStyle name="Standard 4 6 2 2 2 6" xfId="29753" xr:uid="{00000000-0005-0000-0000-00000C750000}"/>
    <cellStyle name="Standard 4 6 2 2 2 6 2" xfId="29754" xr:uid="{00000000-0005-0000-0000-00000D750000}"/>
    <cellStyle name="Standard 4 6 2 2 2 7" xfId="29755" xr:uid="{00000000-0005-0000-0000-00000E750000}"/>
    <cellStyle name="Standard 4 6 2 2 2 8" xfId="29756" xr:uid="{00000000-0005-0000-0000-00000F750000}"/>
    <cellStyle name="Standard 4 6 2 2 3" xfId="29757" xr:uid="{00000000-0005-0000-0000-000010750000}"/>
    <cellStyle name="Standard 4 6 2 2 3 2" xfId="29758" xr:uid="{00000000-0005-0000-0000-000011750000}"/>
    <cellStyle name="Standard 4 6 2 2 3 2 2" xfId="29759" xr:uid="{00000000-0005-0000-0000-000012750000}"/>
    <cellStyle name="Standard 4 6 2 2 3 2 2 2" xfId="29760" xr:uid="{00000000-0005-0000-0000-000013750000}"/>
    <cellStyle name="Standard 4 6 2 2 3 2 2 2 2" xfId="29761" xr:uid="{00000000-0005-0000-0000-000014750000}"/>
    <cellStyle name="Standard 4 6 2 2 3 2 2 2 3" xfId="29762" xr:uid="{00000000-0005-0000-0000-000015750000}"/>
    <cellStyle name="Standard 4 6 2 2 3 2 2 3" xfId="29763" xr:uid="{00000000-0005-0000-0000-000016750000}"/>
    <cellStyle name="Standard 4 6 2 2 3 2 2 3 2" xfId="29764" xr:uid="{00000000-0005-0000-0000-000017750000}"/>
    <cellStyle name="Standard 4 6 2 2 3 2 2 3 3" xfId="29765" xr:uid="{00000000-0005-0000-0000-000018750000}"/>
    <cellStyle name="Standard 4 6 2 2 3 2 2 4" xfId="29766" xr:uid="{00000000-0005-0000-0000-000019750000}"/>
    <cellStyle name="Standard 4 6 2 2 3 2 2 4 2" xfId="29767" xr:uid="{00000000-0005-0000-0000-00001A750000}"/>
    <cellStyle name="Standard 4 6 2 2 3 2 2 5" xfId="29768" xr:uid="{00000000-0005-0000-0000-00001B750000}"/>
    <cellStyle name="Standard 4 6 2 2 3 2 2 6" xfId="29769" xr:uid="{00000000-0005-0000-0000-00001C750000}"/>
    <cellStyle name="Standard 4 6 2 2 3 2 3" xfId="29770" xr:uid="{00000000-0005-0000-0000-00001D750000}"/>
    <cellStyle name="Standard 4 6 2 2 3 2 3 2" xfId="29771" xr:uid="{00000000-0005-0000-0000-00001E750000}"/>
    <cellStyle name="Standard 4 6 2 2 3 2 3 3" xfId="29772" xr:uid="{00000000-0005-0000-0000-00001F750000}"/>
    <cellStyle name="Standard 4 6 2 2 3 2 4" xfId="29773" xr:uid="{00000000-0005-0000-0000-000020750000}"/>
    <cellStyle name="Standard 4 6 2 2 3 2 4 2" xfId="29774" xr:uid="{00000000-0005-0000-0000-000021750000}"/>
    <cellStyle name="Standard 4 6 2 2 3 2 4 3" xfId="29775" xr:uid="{00000000-0005-0000-0000-000022750000}"/>
    <cellStyle name="Standard 4 6 2 2 3 2 5" xfId="29776" xr:uid="{00000000-0005-0000-0000-000023750000}"/>
    <cellStyle name="Standard 4 6 2 2 3 2 5 2" xfId="29777" xr:uid="{00000000-0005-0000-0000-000024750000}"/>
    <cellStyle name="Standard 4 6 2 2 3 2 6" xfId="29778" xr:uid="{00000000-0005-0000-0000-000025750000}"/>
    <cellStyle name="Standard 4 6 2 2 3 2 7" xfId="29779" xr:uid="{00000000-0005-0000-0000-000026750000}"/>
    <cellStyle name="Standard 4 6 2 2 3 3" xfId="29780" xr:uid="{00000000-0005-0000-0000-000027750000}"/>
    <cellStyle name="Standard 4 6 2 2 3 3 2" xfId="29781" xr:uid="{00000000-0005-0000-0000-000028750000}"/>
    <cellStyle name="Standard 4 6 2 2 3 3 2 2" xfId="29782" xr:uid="{00000000-0005-0000-0000-000029750000}"/>
    <cellStyle name="Standard 4 6 2 2 3 3 2 3" xfId="29783" xr:uid="{00000000-0005-0000-0000-00002A750000}"/>
    <cellStyle name="Standard 4 6 2 2 3 3 3" xfId="29784" xr:uid="{00000000-0005-0000-0000-00002B750000}"/>
    <cellStyle name="Standard 4 6 2 2 3 3 3 2" xfId="29785" xr:uid="{00000000-0005-0000-0000-00002C750000}"/>
    <cellStyle name="Standard 4 6 2 2 3 3 3 3" xfId="29786" xr:uid="{00000000-0005-0000-0000-00002D750000}"/>
    <cellStyle name="Standard 4 6 2 2 3 3 4" xfId="29787" xr:uid="{00000000-0005-0000-0000-00002E750000}"/>
    <cellStyle name="Standard 4 6 2 2 3 3 4 2" xfId="29788" xr:uid="{00000000-0005-0000-0000-00002F750000}"/>
    <cellStyle name="Standard 4 6 2 2 3 3 5" xfId="29789" xr:uid="{00000000-0005-0000-0000-000030750000}"/>
    <cellStyle name="Standard 4 6 2 2 3 3 6" xfId="29790" xr:uid="{00000000-0005-0000-0000-000031750000}"/>
    <cellStyle name="Standard 4 6 2 2 3 4" xfId="29791" xr:uid="{00000000-0005-0000-0000-000032750000}"/>
    <cellStyle name="Standard 4 6 2 2 3 4 2" xfId="29792" xr:uid="{00000000-0005-0000-0000-000033750000}"/>
    <cellStyle name="Standard 4 6 2 2 3 4 3" xfId="29793" xr:uid="{00000000-0005-0000-0000-000034750000}"/>
    <cellStyle name="Standard 4 6 2 2 3 5" xfId="29794" xr:uid="{00000000-0005-0000-0000-000035750000}"/>
    <cellStyle name="Standard 4 6 2 2 3 5 2" xfId="29795" xr:uid="{00000000-0005-0000-0000-000036750000}"/>
    <cellStyle name="Standard 4 6 2 2 3 5 3" xfId="29796" xr:uid="{00000000-0005-0000-0000-000037750000}"/>
    <cellStyle name="Standard 4 6 2 2 3 6" xfId="29797" xr:uid="{00000000-0005-0000-0000-000038750000}"/>
    <cellStyle name="Standard 4 6 2 2 3 6 2" xfId="29798" xr:uid="{00000000-0005-0000-0000-000039750000}"/>
    <cellStyle name="Standard 4 6 2 2 3 7" xfId="29799" xr:uid="{00000000-0005-0000-0000-00003A750000}"/>
    <cellStyle name="Standard 4 6 2 2 3 8" xfId="29800" xr:uid="{00000000-0005-0000-0000-00003B750000}"/>
    <cellStyle name="Standard 4 6 2 2 4" xfId="29801" xr:uid="{00000000-0005-0000-0000-00003C750000}"/>
    <cellStyle name="Standard 4 6 2 2 4 2" xfId="29802" xr:uid="{00000000-0005-0000-0000-00003D750000}"/>
    <cellStyle name="Standard 4 6 2 2 4 2 2" xfId="29803" xr:uid="{00000000-0005-0000-0000-00003E750000}"/>
    <cellStyle name="Standard 4 6 2 2 4 2 2 2" xfId="29804" xr:uid="{00000000-0005-0000-0000-00003F750000}"/>
    <cellStyle name="Standard 4 6 2 2 4 2 2 3" xfId="29805" xr:uid="{00000000-0005-0000-0000-000040750000}"/>
    <cellStyle name="Standard 4 6 2 2 4 2 3" xfId="29806" xr:uid="{00000000-0005-0000-0000-000041750000}"/>
    <cellStyle name="Standard 4 6 2 2 4 2 3 2" xfId="29807" xr:uid="{00000000-0005-0000-0000-000042750000}"/>
    <cellStyle name="Standard 4 6 2 2 4 2 3 3" xfId="29808" xr:uid="{00000000-0005-0000-0000-000043750000}"/>
    <cellStyle name="Standard 4 6 2 2 4 2 4" xfId="29809" xr:uid="{00000000-0005-0000-0000-000044750000}"/>
    <cellStyle name="Standard 4 6 2 2 4 2 4 2" xfId="29810" xr:uid="{00000000-0005-0000-0000-000045750000}"/>
    <cellStyle name="Standard 4 6 2 2 4 2 5" xfId="29811" xr:uid="{00000000-0005-0000-0000-000046750000}"/>
    <cellStyle name="Standard 4 6 2 2 4 2 6" xfId="29812" xr:uid="{00000000-0005-0000-0000-000047750000}"/>
    <cellStyle name="Standard 4 6 2 2 4 3" xfId="29813" xr:uid="{00000000-0005-0000-0000-000048750000}"/>
    <cellStyle name="Standard 4 6 2 2 4 3 2" xfId="29814" xr:uid="{00000000-0005-0000-0000-000049750000}"/>
    <cellStyle name="Standard 4 6 2 2 4 3 3" xfId="29815" xr:uid="{00000000-0005-0000-0000-00004A750000}"/>
    <cellStyle name="Standard 4 6 2 2 4 4" xfId="29816" xr:uid="{00000000-0005-0000-0000-00004B750000}"/>
    <cellStyle name="Standard 4 6 2 2 4 4 2" xfId="29817" xr:uid="{00000000-0005-0000-0000-00004C750000}"/>
    <cellStyle name="Standard 4 6 2 2 4 4 3" xfId="29818" xr:uid="{00000000-0005-0000-0000-00004D750000}"/>
    <cellStyle name="Standard 4 6 2 2 4 5" xfId="29819" xr:uid="{00000000-0005-0000-0000-00004E750000}"/>
    <cellStyle name="Standard 4 6 2 2 4 5 2" xfId="29820" xr:uid="{00000000-0005-0000-0000-00004F750000}"/>
    <cellStyle name="Standard 4 6 2 2 4 6" xfId="29821" xr:uid="{00000000-0005-0000-0000-000050750000}"/>
    <cellStyle name="Standard 4 6 2 2 4 7" xfId="29822" xr:uid="{00000000-0005-0000-0000-000051750000}"/>
    <cellStyle name="Standard 4 6 2 2 5" xfId="29823" xr:uid="{00000000-0005-0000-0000-000052750000}"/>
    <cellStyle name="Standard 4 6 2 2 5 2" xfId="29824" xr:uid="{00000000-0005-0000-0000-000053750000}"/>
    <cellStyle name="Standard 4 6 2 2 5 2 2" xfId="29825" xr:uid="{00000000-0005-0000-0000-000054750000}"/>
    <cellStyle name="Standard 4 6 2 2 5 2 3" xfId="29826" xr:uid="{00000000-0005-0000-0000-000055750000}"/>
    <cellStyle name="Standard 4 6 2 2 5 3" xfId="29827" xr:uid="{00000000-0005-0000-0000-000056750000}"/>
    <cellStyle name="Standard 4 6 2 2 5 3 2" xfId="29828" xr:uid="{00000000-0005-0000-0000-000057750000}"/>
    <cellStyle name="Standard 4 6 2 2 5 3 3" xfId="29829" xr:uid="{00000000-0005-0000-0000-000058750000}"/>
    <cellStyle name="Standard 4 6 2 2 5 4" xfId="29830" xr:uid="{00000000-0005-0000-0000-000059750000}"/>
    <cellStyle name="Standard 4 6 2 2 5 4 2" xfId="29831" xr:uid="{00000000-0005-0000-0000-00005A750000}"/>
    <cellStyle name="Standard 4 6 2 2 5 5" xfId="29832" xr:uid="{00000000-0005-0000-0000-00005B750000}"/>
    <cellStyle name="Standard 4 6 2 2 5 6" xfId="29833" xr:uid="{00000000-0005-0000-0000-00005C750000}"/>
    <cellStyle name="Standard 4 6 2 2 6" xfId="29834" xr:uid="{00000000-0005-0000-0000-00005D750000}"/>
    <cellStyle name="Standard 4 6 2 2 6 2" xfId="29835" xr:uid="{00000000-0005-0000-0000-00005E750000}"/>
    <cellStyle name="Standard 4 6 2 2 6 3" xfId="29836" xr:uid="{00000000-0005-0000-0000-00005F750000}"/>
    <cellStyle name="Standard 4 6 2 2 7" xfId="29837" xr:uid="{00000000-0005-0000-0000-000060750000}"/>
    <cellStyle name="Standard 4 6 2 2 7 2" xfId="29838" xr:uid="{00000000-0005-0000-0000-000061750000}"/>
    <cellStyle name="Standard 4 6 2 2 7 3" xfId="29839" xr:uid="{00000000-0005-0000-0000-000062750000}"/>
    <cellStyle name="Standard 4 6 2 2 8" xfId="29840" xr:uid="{00000000-0005-0000-0000-000063750000}"/>
    <cellStyle name="Standard 4 6 2 2 8 2" xfId="29841" xr:uid="{00000000-0005-0000-0000-000064750000}"/>
    <cellStyle name="Standard 4 6 2 2 9" xfId="29842" xr:uid="{00000000-0005-0000-0000-000065750000}"/>
    <cellStyle name="Standard 4 6 2 3" xfId="29843" xr:uid="{00000000-0005-0000-0000-000066750000}"/>
    <cellStyle name="Standard 4 6 2 3 2" xfId="29844" xr:uid="{00000000-0005-0000-0000-000067750000}"/>
    <cellStyle name="Standard 4 6 2 3 2 2" xfId="29845" xr:uid="{00000000-0005-0000-0000-000068750000}"/>
    <cellStyle name="Standard 4 6 2 3 2 2 2" xfId="29846" xr:uid="{00000000-0005-0000-0000-000069750000}"/>
    <cellStyle name="Standard 4 6 2 3 2 2 2 2" xfId="29847" xr:uid="{00000000-0005-0000-0000-00006A750000}"/>
    <cellStyle name="Standard 4 6 2 3 2 2 2 3" xfId="29848" xr:uid="{00000000-0005-0000-0000-00006B750000}"/>
    <cellStyle name="Standard 4 6 2 3 2 2 3" xfId="29849" xr:uid="{00000000-0005-0000-0000-00006C750000}"/>
    <cellStyle name="Standard 4 6 2 3 2 2 3 2" xfId="29850" xr:uid="{00000000-0005-0000-0000-00006D750000}"/>
    <cellStyle name="Standard 4 6 2 3 2 2 3 3" xfId="29851" xr:uid="{00000000-0005-0000-0000-00006E750000}"/>
    <cellStyle name="Standard 4 6 2 3 2 2 4" xfId="29852" xr:uid="{00000000-0005-0000-0000-00006F750000}"/>
    <cellStyle name="Standard 4 6 2 3 2 2 4 2" xfId="29853" xr:uid="{00000000-0005-0000-0000-000070750000}"/>
    <cellStyle name="Standard 4 6 2 3 2 2 5" xfId="29854" xr:uid="{00000000-0005-0000-0000-000071750000}"/>
    <cellStyle name="Standard 4 6 2 3 2 2 6" xfId="29855" xr:uid="{00000000-0005-0000-0000-000072750000}"/>
    <cellStyle name="Standard 4 6 2 3 2 3" xfId="29856" xr:uid="{00000000-0005-0000-0000-000073750000}"/>
    <cellStyle name="Standard 4 6 2 3 2 3 2" xfId="29857" xr:uid="{00000000-0005-0000-0000-000074750000}"/>
    <cellStyle name="Standard 4 6 2 3 2 3 3" xfId="29858" xr:uid="{00000000-0005-0000-0000-000075750000}"/>
    <cellStyle name="Standard 4 6 2 3 2 4" xfId="29859" xr:uid="{00000000-0005-0000-0000-000076750000}"/>
    <cellStyle name="Standard 4 6 2 3 2 4 2" xfId="29860" xr:uid="{00000000-0005-0000-0000-000077750000}"/>
    <cellStyle name="Standard 4 6 2 3 2 4 3" xfId="29861" xr:uid="{00000000-0005-0000-0000-000078750000}"/>
    <cellStyle name="Standard 4 6 2 3 2 5" xfId="29862" xr:uid="{00000000-0005-0000-0000-000079750000}"/>
    <cellStyle name="Standard 4 6 2 3 2 5 2" xfId="29863" xr:uid="{00000000-0005-0000-0000-00007A750000}"/>
    <cellStyle name="Standard 4 6 2 3 2 6" xfId="29864" xr:uid="{00000000-0005-0000-0000-00007B750000}"/>
    <cellStyle name="Standard 4 6 2 3 2 7" xfId="29865" xr:uid="{00000000-0005-0000-0000-00007C750000}"/>
    <cellStyle name="Standard 4 6 2 3 3" xfId="29866" xr:uid="{00000000-0005-0000-0000-00007D750000}"/>
    <cellStyle name="Standard 4 6 2 3 3 2" xfId="29867" xr:uid="{00000000-0005-0000-0000-00007E750000}"/>
    <cellStyle name="Standard 4 6 2 3 3 2 2" xfId="29868" xr:uid="{00000000-0005-0000-0000-00007F750000}"/>
    <cellStyle name="Standard 4 6 2 3 3 2 3" xfId="29869" xr:uid="{00000000-0005-0000-0000-000080750000}"/>
    <cellStyle name="Standard 4 6 2 3 3 3" xfId="29870" xr:uid="{00000000-0005-0000-0000-000081750000}"/>
    <cellStyle name="Standard 4 6 2 3 3 3 2" xfId="29871" xr:uid="{00000000-0005-0000-0000-000082750000}"/>
    <cellStyle name="Standard 4 6 2 3 3 3 3" xfId="29872" xr:uid="{00000000-0005-0000-0000-000083750000}"/>
    <cellStyle name="Standard 4 6 2 3 3 4" xfId="29873" xr:uid="{00000000-0005-0000-0000-000084750000}"/>
    <cellStyle name="Standard 4 6 2 3 3 4 2" xfId="29874" xr:uid="{00000000-0005-0000-0000-000085750000}"/>
    <cellStyle name="Standard 4 6 2 3 3 5" xfId="29875" xr:uid="{00000000-0005-0000-0000-000086750000}"/>
    <cellStyle name="Standard 4 6 2 3 3 6" xfId="29876" xr:uid="{00000000-0005-0000-0000-000087750000}"/>
    <cellStyle name="Standard 4 6 2 3 4" xfId="29877" xr:uid="{00000000-0005-0000-0000-000088750000}"/>
    <cellStyle name="Standard 4 6 2 3 4 2" xfId="29878" xr:uid="{00000000-0005-0000-0000-000089750000}"/>
    <cellStyle name="Standard 4 6 2 3 4 3" xfId="29879" xr:uid="{00000000-0005-0000-0000-00008A750000}"/>
    <cellStyle name="Standard 4 6 2 3 5" xfId="29880" xr:uid="{00000000-0005-0000-0000-00008B750000}"/>
    <cellStyle name="Standard 4 6 2 3 5 2" xfId="29881" xr:uid="{00000000-0005-0000-0000-00008C750000}"/>
    <cellStyle name="Standard 4 6 2 3 5 3" xfId="29882" xr:uid="{00000000-0005-0000-0000-00008D750000}"/>
    <cellStyle name="Standard 4 6 2 3 6" xfId="29883" xr:uid="{00000000-0005-0000-0000-00008E750000}"/>
    <cellStyle name="Standard 4 6 2 3 6 2" xfId="29884" xr:uid="{00000000-0005-0000-0000-00008F750000}"/>
    <cellStyle name="Standard 4 6 2 3 7" xfId="29885" xr:uid="{00000000-0005-0000-0000-000090750000}"/>
    <cellStyle name="Standard 4 6 2 3 8" xfId="29886" xr:uid="{00000000-0005-0000-0000-000091750000}"/>
    <cellStyle name="Standard 4 6 2 4" xfId="29887" xr:uid="{00000000-0005-0000-0000-000092750000}"/>
    <cellStyle name="Standard 4 6 2 4 2" xfId="29888" xr:uid="{00000000-0005-0000-0000-000093750000}"/>
    <cellStyle name="Standard 4 6 2 4 2 2" xfId="29889" xr:uid="{00000000-0005-0000-0000-000094750000}"/>
    <cellStyle name="Standard 4 6 2 4 2 2 2" xfId="29890" xr:uid="{00000000-0005-0000-0000-000095750000}"/>
    <cellStyle name="Standard 4 6 2 4 2 2 2 2" xfId="29891" xr:uid="{00000000-0005-0000-0000-000096750000}"/>
    <cellStyle name="Standard 4 6 2 4 2 2 2 3" xfId="29892" xr:uid="{00000000-0005-0000-0000-000097750000}"/>
    <cellStyle name="Standard 4 6 2 4 2 2 3" xfId="29893" xr:uid="{00000000-0005-0000-0000-000098750000}"/>
    <cellStyle name="Standard 4 6 2 4 2 2 3 2" xfId="29894" xr:uid="{00000000-0005-0000-0000-000099750000}"/>
    <cellStyle name="Standard 4 6 2 4 2 2 3 3" xfId="29895" xr:uid="{00000000-0005-0000-0000-00009A750000}"/>
    <cellStyle name="Standard 4 6 2 4 2 2 4" xfId="29896" xr:uid="{00000000-0005-0000-0000-00009B750000}"/>
    <cellStyle name="Standard 4 6 2 4 2 2 4 2" xfId="29897" xr:uid="{00000000-0005-0000-0000-00009C750000}"/>
    <cellStyle name="Standard 4 6 2 4 2 2 5" xfId="29898" xr:uid="{00000000-0005-0000-0000-00009D750000}"/>
    <cellStyle name="Standard 4 6 2 4 2 2 6" xfId="29899" xr:uid="{00000000-0005-0000-0000-00009E750000}"/>
    <cellStyle name="Standard 4 6 2 4 2 3" xfId="29900" xr:uid="{00000000-0005-0000-0000-00009F750000}"/>
    <cellStyle name="Standard 4 6 2 4 2 3 2" xfId="29901" xr:uid="{00000000-0005-0000-0000-0000A0750000}"/>
    <cellStyle name="Standard 4 6 2 4 2 3 3" xfId="29902" xr:uid="{00000000-0005-0000-0000-0000A1750000}"/>
    <cellStyle name="Standard 4 6 2 4 2 4" xfId="29903" xr:uid="{00000000-0005-0000-0000-0000A2750000}"/>
    <cellStyle name="Standard 4 6 2 4 2 4 2" xfId="29904" xr:uid="{00000000-0005-0000-0000-0000A3750000}"/>
    <cellStyle name="Standard 4 6 2 4 2 4 3" xfId="29905" xr:uid="{00000000-0005-0000-0000-0000A4750000}"/>
    <cellStyle name="Standard 4 6 2 4 2 5" xfId="29906" xr:uid="{00000000-0005-0000-0000-0000A5750000}"/>
    <cellStyle name="Standard 4 6 2 4 2 5 2" xfId="29907" xr:uid="{00000000-0005-0000-0000-0000A6750000}"/>
    <cellStyle name="Standard 4 6 2 4 2 6" xfId="29908" xr:uid="{00000000-0005-0000-0000-0000A7750000}"/>
    <cellStyle name="Standard 4 6 2 4 2 7" xfId="29909" xr:uid="{00000000-0005-0000-0000-0000A8750000}"/>
    <cellStyle name="Standard 4 6 2 4 3" xfId="29910" xr:uid="{00000000-0005-0000-0000-0000A9750000}"/>
    <cellStyle name="Standard 4 6 2 4 3 2" xfId="29911" xr:uid="{00000000-0005-0000-0000-0000AA750000}"/>
    <cellStyle name="Standard 4 6 2 4 3 2 2" xfId="29912" xr:uid="{00000000-0005-0000-0000-0000AB750000}"/>
    <cellStyle name="Standard 4 6 2 4 3 2 3" xfId="29913" xr:uid="{00000000-0005-0000-0000-0000AC750000}"/>
    <cellStyle name="Standard 4 6 2 4 3 3" xfId="29914" xr:uid="{00000000-0005-0000-0000-0000AD750000}"/>
    <cellStyle name="Standard 4 6 2 4 3 3 2" xfId="29915" xr:uid="{00000000-0005-0000-0000-0000AE750000}"/>
    <cellStyle name="Standard 4 6 2 4 3 3 3" xfId="29916" xr:uid="{00000000-0005-0000-0000-0000AF750000}"/>
    <cellStyle name="Standard 4 6 2 4 3 4" xfId="29917" xr:uid="{00000000-0005-0000-0000-0000B0750000}"/>
    <cellStyle name="Standard 4 6 2 4 3 4 2" xfId="29918" xr:uid="{00000000-0005-0000-0000-0000B1750000}"/>
    <cellStyle name="Standard 4 6 2 4 3 5" xfId="29919" xr:uid="{00000000-0005-0000-0000-0000B2750000}"/>
    <cellStyle name="Standard 4 6 2 4 3 6" xfId="29920" xr:uid="{00000000-0005-0000-0000-0000B3750000}"/>
    <cellStyle name="Standard 4 6 2 4 4" xfId="29921" xr:uid="{00000000-0005-0000-0000-0000B4750000}"/>
    <cellStyle name="Standard 4 6 2 4 4 2" xfId="29922" xr:uid="{00000000-0005-0000-0000-0000B5750000}"/>
    <cellStyle name="Standard 4 6 2 4 4 3" xfId="29923" xr:uid="{00000000-0005-0000-0000-0000B6750000}"/>
    <cellStyle name="Standard 4 6 2 4 5" xfId="29924" xr:uid="{00000000-0005-0000-0000-0000B7750000}"/>
    <cellStyle name="Standard 4 6 2 4 5 2" xfId="29925" xr:uid="{00000000-0005-0000-0000-0000B8750000}"/>
    <cellStyle name="Standard 4 6 2 4 5 3" xfId="29926" xr:uid="{00000000-0005-0000-0000-0000B9750000}"/>
    <cellStyle name="Standard 4 6 2 4 6" xfId="29927" xr:uid="{00000000-0005-0000-0000-0000BA750000}"/>
    <cellStyle name="Standard 4 6 2 4 6 2" xfId="29928" xr:uid="{00000000-0005-0000-0000-0000BB750000}"/>
    <cellStyle name="Standard 4 6 2 4 7" xfId="29929" xr:uid="{00000000-0005-0000-0000-0000BC750000}"/>
    <cellStyle name="Standard 4 6 2 4 8" xfId="29930" xr:uid="{00000000-0005-0000-0000-0000BD750000}"/>
    <cellStyle name="Standard 4 6 2 5" xfId="29931" xr:uid="{00000000-0005-0000-0000-0000BE750000}"/>
    <cellStyle name="Standard 4 6 2 5 2" xfId="29932" xr:uid="{00000000-0005-0000-0000-0000BF750000}"/>
    <cellStyle name="Standard 4 6 2 5 2 2" xfId="29933" xr:uid="{00000000-0005-0000-0000-0000C0750000}"/>
    <cellStyle name="Standard 4 6 2 5 2 2 2" xfId="29934" xr:uid="{00000000-0005-0000-0000-0000C1750000}"/>
    <cellStyle name="Standard 4 6 2 5 2 2 3" xfId="29935" xr:uid="{00000000-0005-0000-0000-0000C2750000}"/>
    <cellStyle name="Standard 4 6 2 5 2 3" xfId="29936" xr:uid="{00000000-0005-0000-0000-0000C3750000}"/>
    <cellStyle name="Standard 4 6 2 5 2 3 2" xfId="29937" xr:uid="{00000000-0005-0000-0000-0000C4750000}"/>
    <cellStyle name="Standard 4 6 2 5 2 3 3" xfId="29938" xr:uid="{00000000-0005-0000-0000-0000C5750000}"/>
    <cellStyle name="Standard 4 6 2 5 2 4" xfId="29939" xr:uid="{00000000-0005-0000-0000-0000C6750000}"/>
    <cellStyle name="Standard 4 6 2 5 2 4 2" xfId="29940" xr:uid="{00000000-0005-0000-0000-0000C7750000}"/>
    <cellStyle name="Standard 4 6 2 5 2 5" xfId="29941" xr:uid="{00000000-0005-0000-0000-0000C8750000}"/>
    <cellStyle name="Standard 4 6 2 5 2 6" xfId="29942" xr:uid="{00000000-0005-0000-0000-0000C9750000}"/>
    <cellStyle name="Standard 4 6 2 5 3" xfId="29943" xr:uid="{00000000-0005-0000-0000-0000CA750000}"/>
    <cellStyle name="Standard 4 6 2 5 3 2" xfId="29944" xr:uid="{00000000-0005-0000-0000-0000CB750000}"/>
    <cellStyle name="Standard 4 6 2 5 3 3" xfId="29945" xr:uid="{00000000-0005-0000-0000-0000CC750000}"/>
    <cellStyle name="Standard 4 6 2 5 4" xfId="29946" xr:uid="{00000000-0005-0000-0000-0000CD750000}"/>
    <cellStyle name="Standard 4 6 2 5 4 2" xfId="29947" xr:uid="{00000000-0005-0000-0000-0000CE750000}"/>
    <cellStyle name="Standard 4 6 2 5 4 3" xfId="29948" xr:uid="{00000000-0005-0000-0000-0000CF750000}"/>
    <cellStyle name="Standard 4 6 2 5 5" xfId="29949" xr:uid="{00000000-0005-0000-0000-0000D0750000}"/>
    <cellStyle name="Standard 4 6 2 5 5 2" xfId="29950" xr:uid="{00000000-0005-0000-0000-0000D1750000}"/>
    <cellStyle name="Standard 4 6 2 5 6" xfId="29951" xr:uid="{00000000-0005-0000-0000-0000D2750000}"/>
    <cellStyle name="Standard 4 6 2 5 7" xfId="29952" xr:uid="{00000000-0005-0000-0000-0000D3750000}"/>
    <cellStyle name="Standard 4 6 2 6" xfId="29953" xr:uid="{00000000-0005-0000-0000-0000D4750000}"/>
    <cellStyle name="Standard 4 6 2 6 2" xfId="29954" xr:uid="{00000000-0005-0000-0000-0000D5750000}"/>
    <cellStyle name="Standard 4 6 2 6 2 2" xfId="29955" xr:uid="{00000000-0005-0000-0000-0000D6750000}"/>
    <cellStyle name="Standard 4 6 2 6 2 3" xfId="29956" xr:uid="{00000000-0005-0000-0000-0000D7750000}"/>
    <cellStyle name="Standard 4 6 2 6 3" xfId="29957" xr:uid="{00000000-0005-0000-0000-0000D8750000}"/>
    <cellStyle name="Standard 4 6 2 6 3 2" xfId="29958" xr:uid="{00000000-0005-0000-0000-0000D9750000}"/>
    <cellStyle name="Standard 4 6 2 6 3 3" xfId="29959" xr:uid="{00000000-0005-0000-0000-0000DA750000}"/>
    <cellStyle name="Standard 4 6 2 6 4" xfId="29960" xr:uid="{00000000-0005-0000-0000-0000DB750000}"/>
    <cellStyle name="Standard 4 6 2 6 4 2" xfId="29961" xr:uid="{00000000-0005-0000-0000-0000DC750000}"/>
    <cellStyle name="Standard 4 6 2 6 5" xfId="29962" xr:uid="{00000000-0005-0000-0000-0000DD750000}"/>
    <cellStyle name="Standard 4 6 2 6 6" xfId="29963" xr:uid="{00000000-0005-0000-0000-0000DE750000}"/>
    <cellStyle name="Standard 4 6 2 7" xfId="29964" xr:uid="{00000000-0005-0000-0000-0000DF750000}"/>
    <cellStyle name="Standard 4 6 2 7 2" xfId="29965" xr:uid="{00000000-0005-0000-0000-0000E0750000}"/>
    <cellStyle name="Standard 4 6 2 7 3" xfId="29966" xr:uid="{00000000-0005-0000-0000-0000E1750000}"/>
    <cellStyle name="Standard 4 6 2 8" xfId="29967" xr:uid="{00000000-0005-0000-0000-0000E2750000}"/>
    <cellStyle name="Standard 4 6 2 8 2" xfId="29968" xr:uid="{00000000-0005-0000-0000-0000E3750000}"/>
    <cellStyle name="Standard 4 6 2 8 3" xfId="29969" xr:uid="{00000000-0005-0000-0000-0000E4750000}"/>
    <cellStyle name="Standard 4 6 2 9" xfId="29970" xr:uid="{00000000-0005-0000-0000-0000E5750000}"/>
    <cellStyle name="Standard 4 6 2 9 2" xfId="29971" xr:uid="{00000000-0005-0000-0000-0000E6750000}"/>
    <cellStyle name="Standard 4 6 3" xfId="29972" xr:uid="{00000000-0005-0000-0000-0000E7750000}"/>
    <cellStyle name="Standard 4 6 3 10" xfId="29973" xr:uid="{00000000-0005-0000-0000-0000E8750000}"/>
    <cellStyle name="Standard 4 6 3 11" xfId="29974" xr:uid="{00000000-0005-0000-0000-0000E9750000}"/>
    <cellStyle name="Standard 4 6 3 12" xfId="33476" xr:uid="{00000000-0005-0000-0000-0000EA750000}"/>
    <cellStyle name="Standard 4 6 3 2" xfId="29975" xr:uid="{00000000-0005-0000-0000-0000EB750000}"/>
    <cellStyle name="Standard 4 6 3 2 10" xfId="29976" xr:uid="{00000000-0005-0000-0000-0000EC750000}"/>
    <cellStyle name="Standard 4 6 3 2 2" xfId="29977" xr:uid="{00000000-0005-0000-0000-0000ED750000}"/>
    <cellStyle name="Standard 4 6 3 2 2 2" xfId="29978" xr:uid="{00000000-0005-0000-0000-0000EE750000}"/>
    <cellStyle name="Standard 4 6 3 2 2 2 2" xfId="29979" xr:uid="{00000000-0005-0000-0000-0000EF750000}"/>
    <cellStyle name="Standard 4 6 3 2 2 2 2 2" xfId="29980" xr:uid="{00000000-0005-0000-0000-0000F0750000}"/>
    <cellStyle name="Standard 4 6 3 2 2 2 2 2 2" xfId="29981" xr:uid="{00000000-0005-0000-0000-0000F1750000}"/>
    <cellStyle name="Standard 4 6 3 2 2 2 2 2 3" xfId="29982" xr:uid="{00000000-0005-0000-0000-0000F2750000}"/>
    <cellStyle name="Standard 4 6 3 2 2 2 2 3" xfId="29983" xr:uid="{00000000-0005-0000-0000-0000F3750000}"/>
    <cellStyle name="Standard 4 6 3 2 2 2 2 3 2" xfId="29984" xr:uid="{00000000-0005-0000-0000-0000F4750000}"/>
    <cellStyle name="Standard 4 6 3 2 2 2 2 3 3" xfId="29985" xr:uid="{00000000-0005-0000-0000-0000F5750000}"/>
    <cellStyle name="Standard 4 6 3 2 2 2 2 4" xfId="29986" xr:uid="{00000000-0005-0000-0000-0000F6750000}"/>
    <cellStyle name="Standard 4 6 3 2 2 2 2 4 2" xfId="29987" xr:uid="{00000000-0005-0000-0000-0000F7750000}"/>
    <cellStyle name="Standard 4 6 3 2 2 2 2 5" xfId="29988" xr:uid="{00000000-0005-0000-0000-0000F8750000}"/>
    <cellStyle name="Standard 4 6 3 2 2 2 2 6" xfId="29989" xr:uid="{00000000-0005-0000-0000-0000F9750000}"/>
    <cellStyle name="Standard 4 6 3 2 2 2 3" xfId="29990" xr:uid="{00000000-0005-0000-0000-0000FA750000}"/>
    <cellStyle name="Standard 4 6 3 2 2 2 3 2" xfId="29991" xr:uid="{00000000-0005-0000-0000-0000FB750000}"/>
    <cellStyle name="Standard 4 6 3 2 2 2 3 3" xfId="29992" xr:uid="{00000000-0005-0000-0000-0000FC750000}"/>
    <cellStyle name="Standard 4 6 3 2 2 2 4" xfId="29993" xr:uid="{00000000-0005-0000-0000-0000FD750000}"/>
    <cellStyle name="Standard 4 6 3 2 2 2 4 2" xfId="29994" xr:uid="{00000000-0005-0000-0000-0000FE750000}"/>
    <cellStyle name="Standard 4 6 3 2 2 2 4 3" xfId="29995" xr:uid="{00000000-0005-0000-0000-0000FF750000}"/>
    <cellStyle name="Standard 4 6 3 2 2 2 5" xfId="29996" xr:uid="{00000000-0005-0000-0000-000000760000}"/>
    <cellStyle name="Standard 4 6 3 2 2 2 5 2" xfId="29997" xr:uid="{00000000-0005-0000-0000-000001760000}"/>
    <cellStyle name="Standard 4 6 3 2 2 2 6" xfId="29998" xr:uid="{00000000-0005-0000-0000-000002760000}"/>
    <cellStyle name="Standard 4 6 3 2 2 2 7" xfId="29999" xr:uid="{00000000-0005-0000-0000-000003760000}"/>
    <cellStyle name="Standard 4 6 3 2 2 3" xfId="30000" xr:uid="{00000000-0005-0000-0000-000004760000}"/>
    <cellStyle name="Standard 4 6 3 2 2 3 2" xfId="30001" xr:uid="{00000000-0005-0000-0000-000005760000}"/>
    <cellStyle name="Standard 4 6 3 2 2 3 2 2" xfId="30002" xr:uid="{00000000-0005-0000-0000-000006760000}"/>
    <cellStyle name="Standard 4 6 3 2 2 3 2 3" xfId="30003" xr:uid="{00000000-0005-0000-0000-000007760000}"/>
    <cellStyle name="Standard 4 6 3 2 2 3 3" xfId="30004" xr:uid="{00000000-0005-0000-0000-000008760000}"/>
    <cellStyle name="Standard 4 6 3 2 2 3 3 2" xfId="30005" xr:uid="{00000000-0005-0000-0000-000009760000}"/>
    <cellStyle name="Standard 4 6 3 2 2 3 3 3" xfId="30006" xr:uid="{00000000-0005-0000-0000-00000A760000}"/>
    <cellStyle name="Standard 4 6 3 2 2 3 4" xfId="30007" xr:uid="{00000000-0005-0000-0000-00000B760000}"/>
    <cellStyle name="Standard 4 6 3 2 2 3 4 2" xfId="30008" xr:uid="{00000000-0005-0000-0000-00000C760000}"/>
    <cellStyle name="Standard 4 6 3 2 2 3 5" xfId="30009" xr:uid="{00000000-0005-0000-0000-00000D760000}"/>
    <cellStyle name="Standard 4 6 3 2 2 3 6" xfId="30010" xr:uid="{00000000-0005-0000-0000-00000E760000}"/>
    <cellStyle name="Standard 4 6 3 2 2 4" xfId="30011" xr:uid="{00000000-0005-0000-0000-00000F760000}"/>
    <cellStyle name="Standard 4 6 3 2 2 4 2" xfId="30012" xr:uid="{00000000-0005-0000-0000-000010760000}"/>
    <cellStyle name="Standard 4 6 3 2 2 4 3" xfId="30013" xr:uid="{00000000-0005-0000-0000-000011760000}"/>
    <cellStyle name="Standard 4 6 3 2 2 5" xfId="30014" xr:uid="{00000000-0005-0000-0000-000012760000}"/>
    <cellStyle name="Standard 4 6 3 2 2 5 2" xfId="30015" xr:uid="{00000000-0005-0000-0000-000013760000}"/>
    <cellStyle name="Standard 4 6 3 2 2 5 3" xfId="30016" xr:uid="{00000000-0005-0000-0000-000014760000}"/>
    <cellStyle name="Standard 4 6 3 2 2 6" xfId="30017" xr:uid="{00000000-0005-0000-0000-000015760000}"/>
    <cellStyle name="Standard 4 6 3 2 2 6 2" xfId="30018" xr:uid="{00000000-0005-0000-0000-000016760000}"/>
    <cellStyle name="Standard 4 6 3 2 2 7" xfId="30019" xr:uid="{00000000-0005-0000-0000-000017760000}"/>
    <cellStyle name="Standard 4 6 3 2 2 8" xfId="30020" xr:uid="{00000000-0005-0000-0000-000018760000}"/>
    <cellStyle name="Standard 4 6 3 2 3" xfId="30021" xr:uid="{00000000-0005-0000-0000-000019760000}"/>
    <cellStyle name="Standard 4 6 3 2 3 2" xfId="30022" xr:uid="{00000000-0005-0000-0000-00001A760000}"/>
    <cellStyle name="Standard 4 6 3 2 3 2 2" xfId="30023" xr:uid="{00000000-0005-0000-0000-00001B760000}"/>
    <cellStyle name="Standard 4 6 3 2 3 2 2 2" xfId="30024" xr:uid="{00000000-0005-0000-0000-00001C760000}"/>
    <cellStyle name="Standard 4 6 3 2 3 2 2 2 2" xfId="30025" xr:uid="{00000000-0005-0000-0000-00001D760000}"/>
    <cellStyle name="Standard 4 6 3 2 3 2 2 2 3" xfId="30026" xr:uid="{00000000-0005-0000-0000-00001E760000}"/>
    <cellStyle name="Standard 4 6 3 2 3 2 2 3" xfId="30027" xr:uid="{00000000-0005-0000-0000-00001F760000}"/>
    <cellStyle name="Standard 4 6 3 2 3 2 2 3 2" xfId="30028" xr:uid="{00000000-0005-0000-0000-000020760000}"/>
    <cellStyle name="Standard 4 6 3 2 3 2 2 3 3" xfId="30029" xr:uid="{00000000-0005-0000-0000-000021760000}"/>
    <cellStyle name="Standard 4 6 3 2 3 2 2 4" xfId="30030" xr:uid="{00000000-0005-0000-0000-000022760000}"/>
    <cellStyle name="Standard 4 6 3 2 3 2 2 4 2" xfId="30031" xr:uid="{00000000-0005-0000-0000-000023760000}"/>
    <cellStyle name="Standard 4 6 3 2 3 2 2 5" xfId="30032" xr:uid="{00000000-0005-0000-0000-000024760000}"/>
    <cellStyle name="Standard 4 6 3 2 3 2 2 6" xfId="30033" xr:uid="{00000000-0005-0000-0000-000025760000}"/>
    <cellStyle name="Standard 4 6 3 2 3 2 3" xfId="30034" xr:uid="{00000000-0005-0000-0000-000026760000}"/>
    <cellStyle name="Standard 4 6 3 2 3 2 3 2" xfId="30035" xr:uid="{00000000-0005-0000-0000-000027760000}"/>
    <cellStyle name="Standard 4 6 3 2 3 2 3 3" xfId="30036" xr:uid="{00000000-0005-0000-0000-000028760000}"/>
    <cellStyle name="Standard 4 6 3 2 3 2 4" xfId="30037" xr:uid="{00000000-0005-0000-0000-000029760000}"/>
    <cellStyle name="Standard 4 6 3 2 3 2 4 2" xfId="30038" xr:uid="{00000000-0005-0000-0000-00002A760000}"/>
    <cellStyle name="Standard 4 6 3 2 3 2 4 3" xfId="30039" xr:uid="{00000000-0005-0000-0000-00002B760000}"/>
    <cellStyle name="Standard 4 6 3 2 3 2 5" xfId="30040" xr:uid="{00000000-0005-0000-0000-00002C760000}"/>
    <cellStyle name="Standard 4 6 3 2 3 2 5 2" xfId="30041" xr:uid="{00000000-0005-0000-0000-00002D760000}"/>
    <cellStyle name="Standard 4 6 3 2 3 2 6" xfId="30042" xr:uid="{00000000-0005-0000-0000-00002E760000}"/>
    <cellStyle name="Standard 4 6 3 2 3 2 7" xfId="30043" xr:uid="{00000000-0005-0000-0000-00002F760000}"/>
    <cellStyle name="Standard 4 6 3 2 3 3" xfId="30044" xr:uid="{00000000-0005-0000-0000-000030760000}"/>
    <cellStyle name="Standard 4 6 3 2 3 3 2" xfId="30045" xr:uid="{00000000-0005-0000-0000-000031760000}"/>
    <cellStyle name="Standard 4 6 3 2 3 3 2 2" xfId="30046" xr:uid="{00000000-0005-0000-0000-000032760000}"/>
    <cellStyle name="Standard 4 6 3 2 3 3 2 3" xfId="30047" xr:uid="{00000000-0005-0000-0000-000033760000}"/>
    <cellStyle name="Standard 4 6 3 2 3 3 3" xfId="30048" xr:uid="{00000000-0005-0000-0000-000034760000}"/>
    <cellStyle name="Standard 4 6 3 2 3 3 3 2" xfId="30049" xr:uid="{00000000-0005-0000-0000-000035760000}"/>
    <cellStyle name="Standard 4 6 3 2 3 3 3 3" xfId="30050" xr:uid="{00000000-0005-0000-0000-000036760000}"/>
    <cellStyle name="Standard 4 6 3 2 3 3 4" xfId="30051" xr:uid="{00000000-0005-0000-0000-000037760000}"/>
    <cellStyle name="Standard 4 6 3 2 3 3 4 2" xfId="30052" xr:uid="{00000000-0005-0000-0000-000038760000}"/>
    <cellStyle name="Standard 4 6 3 2 3 3 5" xfId="30053" xr:uid="{00000000-0005-0000-0000-000039760000}"/>
    <cellStyle name="Standard 4 6 3 2 3 3 6" xfId="30054" xr:uid="{00000000-0005-0000-0000-00003A760000}"/>
    <cellStyle name="Standard 4 6 3 2 3 4" xfId="30055" xr:uid="{00000000-0005-0000-0000-00003B760000}"/>
    <cellStyle name="Standard 4 6 3 2 3 4 2" xfId="30056" xr:uid="{00000000-0005-0000-0000-00003C760000}"/>
    <cellStyle name="Standard 4 6 3 2 3 4 3" xfId="30057" xr:uid="{00000000-0005-0000-0000-00003D760000}"/>
    <cellStyle name="Standard 4 6 3 2 3 5" xfId="30058" xr:uid="{00000000-0005-0000-0000-00003E760000}"/>
    <cellStyle name="Standard 4 6 3 2 3 5 2" xfId="30059" xr:uid="{00000000-0005-0000-0000-00003F760000}"/>
    <cellStyle name="Standard 4 6 3 2 3 5 3" xfId="30060" xr:uid="{00000000-0005-0000-0000-000040760000}"/>
    <cellStyle name="Standard 4 6 3 2 3 6" xfId="30061" xr:uid="{00000000-0005-0000-0000-000041760000}"/>
    <cellStyle name="Standard 4 6 3 2 3 6 2" xfId="30062" xr:uid="{00000000-0005-0000-0000-000042760000}"/>
    <cellStyle name="Standard 4 6 3 2 3 7" xfId="30063" xr:uid="{00000000-0005-0000-0000-000043760000}"/>
    <cellStyle name="Standard 4 6 3 2 3 8" xfId="30064" xr:uid="{00000000-0005-0000-0000-000044760000}"/>
    <cellStyle name="Standard 4 6 3 2 4" xfId="30065" xr:uid="{00000000-0005-0000-0000-000045760000}"/>
    <cellStyle name="Standard 4 6 3 2 4 2" xfId="30066" xr:uid="{00000000-0005-0000-0000-000046760000}"/>
    <cellStyle name="Standard 4 6 3 2 4 2 2" xfId="30067" xr:uid="{00000000-0005-0000-0000-000047760000}"/>
    <cellStyle name="Standard 4 6 3 2 4 2 2 2" xfId="30068" xr:uid="{00000000-0005-0000-0000-000048760000}"/>
    <cellStyle name="Standard 4 6 3 2 4 2 2 3" xfId="30069" xr:uid="{00000000-0005-0000-0000-000049760000}"/>
    <cellStyle name="Standard 4 6 3 2 4 2 3" xfId="30070" xr:uid="{00000000-0005-0000-0000-00004A760000}"/>
    <cellStyle name="Standard 4 6 3 2 4 2 3 2" xfId="30071" xr:uid="{00000000-0005-0000-0000-00004B760000}"/>
    <cellStyle name="Standard 4 6 3 2 4 2 3 3" xfId="30072" xr:uid="{00000000-0005-0000-0000-00004C760000}"/>
    <cellStyle name="Standard 4 6 3 2 4 2 4" xfId="30073" xr:uid="{00000000-0005-0000-0000-00004D760000}"/>
    <cellStyle name="Standard 4 6 3 2 4 2 4 2" xfId="30074" xr:uid="{00000000-0005-0000-0000-00004E760000}"/>
    <cellStyle name="Standard 4 6 3 2 4 2 5" xfId="30075" xr:uid="{00000000-0005-0000-0000-00004F760000}"/>
    <cellStyle name="Standard 4 6 3 2 4 2 6" xfId="30076" xr:uid="{00000000-0005-0000-0000-000050760000}"/>
    <cellStyle name="Standard 4 6 3 2 4 3" xfId="30077" xr:uid="{00000000-0005-0000-0000-000051760000}"/>
    <cellStyle name="Standard 4 6 3 2 4 3 2" xfId="30078" xr:uid="{00000000-0005-0000-0000-000052760000}"/>
    <cellStyle name="Standard 4 6 3 2 4 3 3" xfId="30079" xr:uid="{00000000-0005-0000-0000-000053760000}"/>
    <cellStyle name="Standard 4 6 3 2 4 4" xfId="30080" xr:uid="{00000000-0005-0000-0000-000054760000}"/>
    <cellStyle name="Standard 4 6 3 2 4 4 2" xfId="30081" xr:uid="{00000000-0005-0000-0000-000055760000}"/>
    <cellStyle name="Standard 4 6 3 2 4 4 3" xfId="30082" xr:uid="{00000000-0005-0000-0000-000056760000}"/>
    <cellStyle name="Standard 4 6 3 2 4 5" xfId="30083" xr:uid="{00000000-0005-0000-0000-000057760000}"/>
    <cellStyle name="Standard 4 6 3 2 4 5 2" xfId="30084" xr:uid="{00000000-0005-0000-0000-000058760000}"/>
    <cellStyle name="Standard 4 6 3 2 4 6" xfId="30085" xr:uid="{00000000-0005-0000-0000-000059760000}"/>
    <cellStyle name="Standard 4 6 3 2 4 7" xfId="30086" xr:uid="{00000000-0005-0000-0000-00005A760000}"/>
    <cellStyle name="Standard 4 6 3 2 5" xfId="30087" xr:uid="{00000000-0005-0000-0000-00005B760000}"/>
    <cellStyle name="Standard 4 6 3 2 5 2" xfId="30088" xr:uid="{00000000-0005-0000-0000-00005C760000}"/>
    <cellStyle name="Standard 4 6 3 2 5 2 2" xfId="30089" xr:uid="{00000000-0005-0000-0000-00005D760000}"/>
    <cellStyle name="Standard 4 6 3 2 5 2 3" xfId="30090" xr:uid="{00000000-0005-0000-0000-00005E760000}"/>
    <cellStyle name="Standard 4 6 3 2 5 3" xfId="30091" xr:uid="{00000000-0005-0000-0000-00005F760000}"/>
    <cellStyle name="Standard 4 6 3 2 5 3 2" xfId="30092" xr:uid="{00000000-0005-0000-0000-000060760000}"/>
    <cellStyle name="Standard 4 6 3 2 5 3 3" xfId="30093" xr:uid="{00000000-0005-0000-0000-000061760000}"/>
    <cellStyle name="Standard 4 6 3 2 5 4" xfId="30094" xr:uid="{00000000-0005-0000-0000-000062760000}"/>
    <cellStyle name="Standard 4 6 3 2 5 4 2" xfId="30095" xr:uid="{00000000-0005-0000-0000-000063760000}"/>
    <cellStyle name="Standard 4 6 3 2 5 5" xfId="30096" xr:uid="{00000000-0005-0000-0000-000064760000}"/>
    <cellStyle name="Standard 4 6 3 2 5 6" xfId="30097" xr:uid="{00000000-0005-0000-0000-000065760000}"/>
    <cellStyle name="Standard 4 6 3 2 6" xfId="30098" xr:uid="{00000000-0005-0000-0000-000066760000}"/>
    <cellStyle name="Standard 4 6 3 2 6 2" xfId="30099" xr:uid="{00000000-0005-0000-0000-000067760000}"/>
    <cellStyle name="Standard 4 6 3 2 6 3" xfId="30100" xr:uid="{00000000-0005-0000-0000-000068760000}"/>
    <cellStyle name="Standard 4 6 3 2 7" xfId="30101" xr:uid="{00000000-0005-0000-0000-000069760000}"/>
    <cellStyle name="Standard 4 6 3 2 7 2" xfId="30102" xr:uid="{00000000-0005-0000-0000-00006A760000}"/>
    <cellStyle name="Standard 4 6 3 2 7 3" xfId="30103" xr:uid="{00000000-0005-0000-0000-00006B760000}"/>
    <cellStyle name="Standard 4 6 3 2 8" xfId="30104" xr:uid="{00000000-0005-0000-0000-00006C760000}"/>
    <cellStyle name="Standard 4 6 3 2 8 2" xfId="30105" xr:uid="{00000000-0005-0000-0000-00006D760000}"/>
    <cellStyle name="Standard 4 6 3 2 9" xfId="30106" xr:uid="{00000000-0005-0000-0000-00006E760000}"/>
    <cellStyle name="Standard 4 6 3 3" xfId="30107" xr:uid="{00000000-0005-0000-0000-00006F760000}"/>
    <cellStyle name="Standard 4 6 3 3 2" xfId="30108" xr:uid="{00000000-0005-0000-0000-000070760000}"/>
    <cellStyle name="Standard 4 6 3 3 2 2" xfId="30109" xr:uid="{00000000-0005-0000-0000-000071760000}"/>
    <cellStyle name="Standard 4 6 3 3 2 2 2" xfId="30110" xr:uid="{00000000-0005-0000-0000-000072760000}"/>
    <cellStyle name="Standard 4 6 3 3 2 2 2 2" xfId="30111" xr:uid="{00000000-0005-0000-0000-000073760000}"/>
    <cellStyle name="Standard 4 6 3 3 2 2 2 3" xfId="30112" xr:uid="{00000000-0005-0000-0000-000074760000}"/>
    <cellStyle name="Standard 4 6 3 3 2 2 3" xfId="30113" xr:uid="{00000000-0005-0000-0000-000075760000}"/>
    <cellStyle name="Standard 4 6 3 3 2 2 3 2" xfId="30114" xr:uid="{00000000-0005-0000-0000-000076760000}"/>
    <cellStyle name="Standard 4 6 3 3 2 2 3 3" xfId="30115" xr:uid="{00000000-0005-0000-0000-000077760000}"/>
    <cellStyle name="Standard 4 6 3 3 2 2 4" xfId="30116" xr:uid="{00000000-0005-0000-0000-000078760000}"/>
    <cellStyle name="Standard 4 6 3 3 2 2 4 2" xfId="30117" xr:uid="{00000000-0005-0000-0000-000079760000}"/>
    <cellStyle name="Standard 4 6 3 3 2 2 5" xfId="30118" xr:uid="{00000000-0005-0000-0000-00007A760000}"/>
    <cellStyle name="Standard 4 6 3 3 2 2 6" xfId="30119" xr:uid="{00000000-0005-0000-0000-00007B760000}"/>
    <cellStyle name="Standard 4 6 3 3 2 3" xfId="30120" xr:uid="{00000000-0005-0000-0000-00007C760000}"/>
    <cellStyle name="Standard 4 6 3 3 2 3 2" xfId="30121" xr:uid="{00000000-0005-0000-0000-00007D760000}"/>
    <cellStyle name="Standard 4 6 3 3 2 3 3" xfId="30122" xr:uid="{00000000-0005-0000-0000-00007E760000}"/>
    <cellStyle name="Standard 4 6 3 3 2 4" xfId="30123" xr:uid="{00000000-0005-0000-0000-00007F760000}"/>
    <cellStyle name="Standard 4 6 3 3 2 4 2" xfId="30124" xr:uid="{00000000-0005-0000-0000-000080760000}"/>
    <cellStyle name="Standard 4 6 3 3 2 4 3" xfId="30125" xr:uid="{00000000-0005-0000-0000-000081760000}"/>
    <cellStyle name="Standard 4 6 3 3 2 5" xfId="30126" xr:uid="{00000000-0005-0000-0000-000082760000}"/>
    <cellStyle name="Standard 4 6 3 3 2 5 2" xfId="30127" xr:uid="{00000000-0005-0000-0000-000083760000}"/>
    <cellStyle name="Standard 4 6 3 3 2 6" xfId="30128" xr:uid="{00000000-0005-0000-0000-000084760000}"/>
    <cellStyle name="Standard 4 6 3 3 2 7" xfId="30129" xr:uid="{00000000-0005-0000-0000-000085760000}"/>
    <cellStyle name="Standard 4 6 3 3 3" xfId="30130" xr:uid="{00000000-0005-0000-0000-000086760000}"/>
    <cellStyle name="Standard 4 6 3 3 3 2" xfId="30131" xr:uid="{00000000-0005-0000-0000-000087760000}"/>
    <cellStyle name="Standard 4 6 3 3 3 2 2" xfId="30132" xr:uid="{00000000-0005-0000-0000-000088760000}"/>
    <cellStyle name="Standard 4 6 3 3 3 2 3" xfId="30133" xr:uid="{00000000-0005-0000-0000-000089760000}"/>
    <cellStyle name="Standard 4 6 3 3 3 3" xfId="30134" xr:uid="{00000000-0005-0000-0000-00008A760000}"/>
    <cellStyle name="Standard 4 6 3 3 3 3 2" xfId="30135" xr:uid="{00000000-0005-0000-0000-00008B760000}"/>
    <cellStyle name="Standard 4 6 3 3 3 3 3" xfId="30136" xr:uid="{00000000-0005-0000-0000-00008C760000}"/>
    <cellStyle name="Standard 4 6 3 3 3 4" xfId="30137" xr:uid="{00000000-0005-0000-0000-00008D760000}"/>
    <cellStyle name="Standard 4 6 3 3 3 4 2" xfId="30138" xr:uid="{00000000-0005-0000-0000-00008E760000}"/>
    <cellStyle name="Standard 4 6 3 3 3 5" xfId="30139" xr:uid="{00000000-0005-0000-0000-00008F760000}"/>
    <cellStyle name="Standard 4 6 3 3 3 6" xfId="30140" xr:uid="{00000000-0005-0000-0000-000090760000}"/>
    <cellStyle name="Standard 4 6 3 3 4" xfId="30141" xr:uid="{00000000-0005-0000-0000-000091760000}"/>
    <cellStyle name="Standard 4 6 3 3 4 2" xfId="30142" xr:uid="{00000000-0005-0000-0000-000092760000}"/>
    <cellStyle name="Standard 4 6 3 3 4 3" xfId="30143" xr:uid="{00000000-0005-0000-0000-000093760000}"/>
    <cellStyle name="Standard 4 6 3 3 5" xfId="30144" xr:uid="{00000000-0005-0000-0000-000094760000}"/>
    <cellStyle name="Standard 4 6 3 3 5 2" xfId="30145" xr:uid="{00000000-0005-0000-0000-000095760000}"/>
    <cellStyle name="Standard 4 6 3 3 5 3" xfId="30146" xr:uid="{00000000-0005-0000-0000-000096760000}"/>
    <cellStyle name="Standard 4 6 3 3 6" xfId="30147" xr:uid="{00000000-0005-0000-0000-000097760000}"/>
    <cellStyle name="Standard 4 6 3 3 6 2" xfId="30148" xr:uid="{00000000-0005-0000-0000-000098760000}"/>
    <cellStyle name="Standard 4 6 3 3 7" xfId="30149" xr:uid="{00000000-0005-0000-0000-000099760000}"/>
    <cellStyle name="Standard 4 6 3 3 8" xfId="30150" xr:uid="{00000000-0005-0000-0000-00009A760000}"/>
    <cellStyle name="Standard 4 6 3 4" xfId="30151" xr:uid="{00000000-0005-0000-0000-00009B760000}"/>
    <cellStyle name="Standard 4 6 3 4 2" xfId="30152" xr:uid="{00000000-0005-0000-0000-00009C760000}"/>
    <cellStyle name="Standard 4 6 3 4 2 2" xfId="30153" xr:uid="{00000000-0005-0000-0000-00009D760000}"/>
    <cellStyle name="Standard 4 6 3 4 2 2 2" xfId="30154" xr:uid="{00000000-0005-0000-0000-00009E760000}"/>
    <cellStyle name="Standard 4 6 3 4 2 2 2 2" xfId="30155" xr:uid="{00000000-0005-0000-0000-00009F760000}"/>
    <cellStyle name="Standard 4 6 3 4 2 2 2 3" xfId="30156" xr:uid="{00000000-0005-0000-0000-0000A0760000}"/>
    <cellStyle name="Standard 4 6 3 4 2 2 3" xfId="30157" xr:uid="{00000000-0005-0000-0000-0000A1760000}"/>
    <cellStyle name="Standard 4 6 3 4 2 2 3 2" xfId="30158" xr:uid="{00000000-0005-0000-0000-0000A2760000}"/>
    <cellStyle name="Standard 4 6 3 4 2 2 3 3" xfId="30159" xr:uid="{00000000-0005-0000-0000-0000A3760000}"/>
    <cellStyle name="Standard 4 6 3 4 2 2 4" xfId="30160" xr:uid="{00000000-0005-0000-0000-0000A4760000}"/>
    <cellStyle name="Standard 4 6 3 4 2 2 4 2" xfId="30161" xr:uid="{00000000-0005-0000-0000-0000A5760000}"/>
    <cellStyle name="Standard 4 6 3 4 2 2 5" xfId="30162" xr:uid="{00000000-0005-0000-0000-0000A6760000}"/>
    <cellStyle name="Standard 4 6 3 4 2 2 6" xfId="30163" xr:uid="{00000000-0005-0000-0000-0000A7760000}"/>
    <cellStyle name="Standard 4 6 3 4 2 3" xfId="30164" xr:uid="{00000000-0005-0000-0000-0000A8760000}"/>
    <cellStyle name="Standard 4 6 3 4 2 3 2" xfId="30165" xr:uid="{00000000-0005-0000-0000-0000A9760000}"/>
    <cellStyle name="Standard 4 6 3 4 2 3 3" xfId="30166" xr:uid="{00000000-0005-0000-0000-0000AA760000}"/>
    <cellStyle name="Standard 4 6 3 4 2 4" xfId="30167" xr:uid="{00000000-0005-0000-0000-0000AB760000}"/>
    <cellStyle name="Standard 4 6 3 4 2 4 2" xfId="30168" xr:uid="{00000000-0005-0000-0000-0000AC760000}"/>
    <cellStyle name="Standard 4 6 3 4 2 4 3" xfId="30169" xr:uid="{00000000-0005-0000-0000-0000AD760000}"/>
    <cellStyle name="Standard 4 6 3 4 2 5" xfId="30170" xr:uid="{00000000-0005-0000-0000-0000AE760000}"/>
    <cellStyle name="Standard 4 6 3 4 2 5 2" xfId="30171" xr:uid="{00000000-0005-0000-0000-0000AF760000}"/>
    <cellStyle name="Standard 4 6 3 4 2 6" xfId="30172" xr:uid="{00000000-0005-0000-0000-0000B0760000}"/>
    <cellStyle name="Standard 4 6 3 4 2 7" xfId="30173" xr:uid="{00000000-0005-0000-0000-0000B1760000}"/>
    <cellStyle name="Standard 4 6 3 4 3" xfId="30174" xr:uid="{00000000-0005-0000-0000-0000B2760000}"/>
    <cellStyle name="Standard 4 6 3 4 3 2" xfId="30175" xr:uid="{00000000-0005-0000-0000-0000B3760000}"/>
    <cellStyle name="Standard 4 6 3 4 3 2 2" xfId="30176" xr:uid="{00000000-0005-0000-0000-0000B4760000}"/>
    <cellStyle name="Standard 4 6 3 4 3 2 3" xfId="30177" xr:uid="{00000000-0005-0000-0000-0000B5760000}"/>
    <cellStyle name="Standard 4 6 3 4 3 3" xfId="30178" xr:uid="{00000000-0005-0000-0000-0000B6760000}"/>
    <cellStyle name="Standard 4 6 3 4 3 3 2" xfId="30179" xr:uid="{00000000-0005-0000-0000-0000B7760000}"/>
    <cellStyle name="Standard 4 6 3 4 3 3 3" xfId="30180" xr:uid="{00000000-0005-0000-0000-0000B8760000}"/>
    <cellStyle name="Standard 4 6 3 4 3 4" xfId="30181" xr:uid="{00000000-0005-0000-0000-0000B9760000}"/>
    <cellStyle name="Standard 4 6 3 4 3 4 2" xfId="30182" xr:uid="{00000000-0005-0000-0000-0000BA760000}"/>
    <cellStyle name="Standard 4 6 3 4 3 5" xfId="30183" xr:uid="{00000000-0005-0000-0000-0000BB760000}"/>
    <cellStyle name="Standard 4 6 3 4 3 6" xfId="30184" xr:uid="{00000000-0005-0000-0000-0000BC760000}"/>
    <cellStyle name="Standard 4 6 3 4 4" xfId="30185" xr:uid="{00000000-0005-0000-0000-0000BD760000}"/>
    <cellStyle name="Standard 4 6 3 4 4 2" xfId="30186" xr:uid="{00000000-0005-0000-0000-0000BE760000}"/>
    <cellStyle name="Standard 4 6 3 4 4 3" xfId="30187" xr:uid="{00000000-0005-0000-0000-0000BF760000}"/>
    <cellStyle name="Standard 4 6 3 4 5" xfId="30188" xr:uid="{00000000-0005-0000-0000-0000C0760000}"/>
    <cellStyle name="Standard 4 6 3 4 5 2" xfId="30189" xr:uid="{00000000-0005-0000-0000-0000C1760000}"/>
    <cellStyle name="Standard 4 6 3 4 5 3" xfId="30190" xr:uid="{00000000-0005-0000-0000-0000C2760000}"/>
    <cellStyle name="Standard 4 6 3 4 6" xfId="30191" xr:uid="{00000000-0005-0000-0000-0000C3760000}"/>
    <cellStyle name="Standard 4 6 3 4 6 2" xfId="30192" xr:uid="{00000000-0005-0000-0000-0000C4760000}"/>
    <cellStyle name="Standard 4 6 3 4 7" xfId="30193" xr:uid="{00000000-0005-0000-0000-0000C5760000}"/>
    <cellStyle name="Standard 4 6 3 4 8" xfId="30194" xr:uid="{00000000-0005-0000-0000-0000C6760000}"/>
    <cellStyle name="Standard 4 6 3 5" xfId="30195" xr:uid="{00000000-0005-0000-0000-0000C7760000}"/>
    <cellStyle name="Standard 4 6 3 5 2" xfId="30196" xr:uid="{00000000-0005-0000-0000-0000C8760000}"/>
    <cellStyle name="Standard 4 6 3 5 2 2" xfId="30197" xr:uid="{00000000-0005-0000-0000-0000C9760000}"/>
    <cellStyle name="Standard 4 6 3 5 2 2 2" xfId="30198" xr:uid="{00000000-0005-0000-0000-0000CA760000}"/>
    <cellStyle name="Standard 4 6 3 5 2 2 3" xfId="30199" xr:uid="{00000000-0005-0000-0000-0000CB760000}"/>
    <cellStyle name="Standard 4 6 3 5 2 3" xfId="30200" xr:uid="{00000000-0005-0000-0000-0000CC760000}"/>
    <cellStyle name="Standard 4 6 3 5 2 3 2" xfId="30201" xr:uid="{00000000-0005-0000-0000-0000CD760000}"/>
    <cellStyle name="Standard 4 6 3 5 2 3 3" xfId="30202" xr:uid="{00000000-0005-0000-0000-0000CE760000}"/>
    <cellStyle name="Standard 4 6 3 5 2 4" xfId="30203" xr:uid="{00000000-0005-0000-0000-0000CF760000}"/>
    <cellStyle name="Standard 4 6 3 5 2 4 2" xfId="30204" xr:uid="{00000000-0005-0000-0000-0000D0760000}"/>
    <cellStyle name="Standard 4 6 3 5 2 5" xfId="30205" xr:uid="{00000000-0005-0000-0000-0000D1760000}"/>
    <cellStyle name="Standard 4 6 3 5 2 6" xfId="30206" xr:uid="{00000000-0005-0000-0000-0000D2760000}"/>
    <cellStyle name="Standard 4 6 3 5 3" xfId="30207" xr:uid="{00000000-0005-0000-0000-0000D3760000}"/>
    <cellStyle name="Standard 4 6 3 5 3 2" xfId="30208" xr:uid="{00000000-0005-0000-0000-0000D4760000}"/>
    <cellStyle name="Standard 4 6 3 5 3 3" xfId="30209" xr:uid="{00000000-0005-0000-0000-0000D5760000}"/>
    <cellStyle name="Standard 4 6 3 5 4" xfId="30210" xr:uid="{00000000-0005-0000-0000-0000D6760000}"/>
    <cellStyle name="Standard 4 6 3 5 4 2" xfId="30211" xr:uid="{00000000-0005-0000-0000-0000D7760000}"/>
    <cellStyle name="Standard 4 6 3 5 4 3" xfId="30212" xr:uid="{00000000-0005-0000-0000-0000D8760000}"/>
    <cellStyle name="Standard 4 6 3 5 5" xfId="30213" xr:uid="{00000000-0005-0000-0000-0000D9760000}"/>
    <cellStyle name="Standard 4 6 3 5 5 2" xfId="30214" xr:uid="{00000000-0005-0000-0000-0000DA760000}"/>
    <cellStyle name="Standard 4 6 3 5 6" xfId="30215" xr:uid="{00000000-0005-0000-0000-0000DB760000}"/>
    <cellStyle name="Standard 4 6 3 5 7" xfId="30216" xr:uid="{00000000-0005-0000-0000-0000DC760000}"/>
    <cellStyle name="Standard 4 6 3 6" xfId="30217" xr:uid="{00000000-0005-0000-0000-0000DD760000}"/>
    <cellStyle name="Standard 4 6 3 6 2" xfId="30218" xr:uid="{00000000-0005-0000-0000-0000DE760000}"/>
    <cellStyle name="Standard 4 6 3 6 2 2" xfId="30219" xr:uid="{00000000-0005-0000-0000-0000DF760000}"/>
    <cellStyle name="Standard 4 6 3 6 2 3" xfId="30220" xr:uid="{00000000-0005-0000-0000-0000E0760000}"/>
    <cellStyle name="Standard 4 6 3 6 3" xfId="30221" xr:uid="{00000000-0005-0000-0000-0000E1760000}"/>
    <cellStyle name="Standard 4 6 3 6 3 2" xfId="30222" xr:uid="{00000000-0005-0000-0000-0000E2760000}"/>
    <cellStyle name="Standard 4 6 3 6 3 3" xfId="30223" xr:uid="{00000000-0005-0000-0000-0000E3760000}"/>
    <cellStyle name="Standard 4 6 3 6 4" xfId="30224" xr:uid="{00000000-0005-0000-0000-0000E4760000}"/>
    <cellStyle name="Standard 4 6 3 6 4 2" xfId="30225" xr:uid="{00000000-0005-0000-0000-0000E5760000}"/>
    <cellStyle name="Standard 4 6 3 6 5" xfId="30226" xr:uid="{00000000-0005-0000-0000-0000E6760000}"/>
    <cellStyle name="Standard 4 6 3 6 6" xfId="30227" xr:uid="{00000000-0005-0000-0000-0000E7760000}"/>
    <cellStyle name="Standard 4 6 3 7" xfId="30228" xr:uid="{00000000-0005-0000-0000-0000E8760000}"/>
    <cellStyle name="Standard 4 6 3 7 2" xfId="30229" xr:uid="{00000000-0005-0000-0000-0000E9760000}"/>
    <cellStyle name="Standard 4 6 3 7 3" xfId="30230" xr:uid="{00000000-0005-0000-0000-0000EA760000}"/>
    <cellStyle name="Standard 4 6 3 8" xfId="30231" xr:uid="{00000000-0005-0000-0000-0000EB760000}"/>
    <cellStyle name="Standard 4 6 3 8 2" xfId="30232" xr:uid="{00000000-0005-0000-0000-0000EC760000}"/>
    <cellStyle name="Standard 4 6 3 8 3" xfId="30233" xr:uid="{00000000-0005-0000-0000-0000ED760000}"/>
    <cellStyle name="Standard 4 6 3 9" xfId="30234" xr:uid="{00000000-0005-0000-0000-0000EE760000}"/>
    <cellStyle name="Standard 4 6 3 9 2" xfId="30235" xr:uid="{00000000-0005-0000-0000-0000EF760000}"/>
    <cellStyle name="Standard 4 6 4" xfId="30236" xr:uid="{00000000-0005-0000-0000-0000F0760000}"/>
    <cellStyle name="Standard 4 6 4 10" xfId="30237" xr:uid="{00000000-0005-0000-0000-0000F1760000}"/>
    <cellStyle name="Standard 4 6 4 2" xfId="30238" xr:uid="{00000000-0005-0000-0000-0000F2760000}"/>
    <cellStyle name="Standard 4 6 4 2 2" xfId="30239" xr:uid="{00000000-0005-0000-0000-0000F3760000}"/>
    <cellStyle name="Standard 4 6 4 2 2 2" xfId="30240" xr:uid="{00000000-0005-0000-0000-0000F4760000}"/>
    <cellStyle name="Standard 4 6 4 2 2 2 2" xfId="30241" xr:uid="{00000000-0005-0000-0000-0000F5760000}"/>
    <cellStyle name="Standard 4 6 4 2 2 2 2 2" xfId="30242" xr:uid="{00000000-0005-0000-0000-0000F6760000}"/>
    <cellStyle name="Standard 4 6 4 2 2 2 2 3" xfId="30243" xr:uid="{00000000-0005-0000-0000-0000F7760000}"/>
    <cellStyle name="Standard 4 6 4 2 2 2 3" xfId="30244" xr:uid="{00000000-0005-0000-0000-0000F8760000}"/>
    <cellStyle name="Standard 4 6 4 2 2 2 3 2" xfId="30245" xr:uid="{00000000-0005-0000-0000-0000F9760000}"/>
    <cellStyle name="Standard 4 6 4 2 2 2 3 3" xfId="30246" xr:uid="{00000000-0005-0000-0000-0000FA760000}"/>
    <cellStyle name="Standard 4 6 4 2 2 2 4" xfId="30247" xr:uid="{00000000-0005-0000-0000-0000FB760000}"/>
    <cellStyle name="Standard 4 6 4 2 2 2 4 2" xfId="30248" xr:uid="{00000000-0005-0000-0000-0000FC760000}"/>
    <cellStyle name="Standard 4 6 4 2 2 2 5" xfId="30249" xr:uid="{00000000-0005-0000-0000-0000FD760000}"/>
    <cellStyle name="Standard 4 6 4 2 2 2 6" xfId="30250" xr:uid="{00000000-0005-0000-0000-0000FE760000}"/>
    <cellStyle name="Standard 4 6 4 2 2 3" xfId="30251" xr:uid="{00000000-0005-0000-0000-0000FF760000}"/>
    <cellStyle name="Standard 4 6 4 2 2 3 2" xfId="30252" xr:uid="{00000000-0005-0000-0000-000000770000}"/>
    <cellStyle name="Standard 4 6 4 2 2 3 3" xfId="30253" xr:uid="{00000000-0005-0000-0000-000001770000}"/>
    <cellStyle name="Standard 4 6 4 2 2 4" xfId="30254" xr:uid="{00000000-0005-0000-0000-000002770000}"/>
    <cellStyle name="Standard 4 6 4 2 2 4 2" xfId="30255" xr:uid="{00000000-0005-0000-0000-000003770000}"/>
    <cellStyle name="Standard 4 6 4 2 2 4 3" xfId="30256" xr:uid="{00000000-0005-0000-0000-000004770000}"/>
    <cellStyle name="Standard 4 6 4 2 2 5" xfId="30257" xr:uid="{00000000-0005-0000-0000-000005770000}"/>
    <cellStyle name="Standard 4 6 4 2 2 5 2" xfId="30258" xr:uid="{00000000-0005-0000-0000-000006770000}"/>
    <cellStyle name="Standard 4 6 4 2 2 6" xfId="30259" xr:uid="{00000000-0005-0000-0000-000007770000}"/>
    <cellStyle name="Standard 4 6 4 2 2 7" xfId="30260" xr:uid="{00000000-0005-0000-0000-000008770000}"/>
    <cellStyle name="Standard 4 6 4 2 3" xfId="30261" xr:uid="{00000000-0005-0000-0000-000009770000}"/>
    <cellStyle name="Standard 4 6 4 2 3 2" xfId="30262" xr:uid="{00000000-0005-0000-0000-00000A770000}"/>
    <cellStyle name="Standard 4 6 4 2 3 2 2" xfId="30263" xr:uid="{00000000-0005-0000-0000-00000B770000}"/>
    <cellStyle name="Standard 4 6 4 2 3 2 3" xfId="30264" xr:uid="{00000000-0005-0000-0000-00000C770000}"/>
    <cellStyle name="Standard 4 6 4 2 3 3" xfId="30265" xr:uid="{00000000-0005-0000-0000-00000D770000}"/>
    <cellStyle name="Standard 4 6 4 2 3 3 2" xfId="30266" xr:uid="{00000000-0005-0000-0000-00000E770000}"/>
    <cellStyle name="Standard 4 6 4 2 3 3 3" xfId="30267" xr:uid="{00000000-0005-0000-0000-00000F770000}"/>
    <cellStyle name="Standard 4 6 4 2 3 4" xfId="30268" xr:uid="{00000000-0005-0000-0000-000010770000}"/>
    <cellStyle name="Standard 4 6 4 2 3 4 2" xfId="30269" xr:uid="{00000000-0005-0000-0000-000011770000}"/>
    <cellStyle name="Standard 4 6 4 2 3 5" xfId="30270" xr:uid="{00000000-0005-0000-0000-000012770000}"/>
    <cellStyle name="Standard 4 6 4 2 3 6" xfId="30271" xr:uid="{00000000-0005-0000-0000-000013770000}"/>
    <cellStyle name="Standard 4 6 4 2 4" xfId="30272" xr:uid="{00000000-0005-0000-0000-000014770000}"/>
    <cellStyle name="Standard 4 6 4 2 4 2" xfId="30273" xr:uid="{00000000-0005-0000-0000-000015770000}"/>
    <cellStyle name="Standard 4 6 4 2 4 3" xfId="30274" xr:uid="{00000000-0005-0000-0000-000016770000}"/>
    <cellStyle name="Standard 4 6 4 2 5" xfId="30275" xr:uid="{00000000-0005-0000-0000-000017770000}"/>
    <cellStyle name="Standard 4 6 4 2 5 2" xfId="30276" xr:uid="{00000000-0005-0000-0000-000018770000}"/>
    <cellStyle name="Standard 4 6 4 2 5 3" xfId="30277" xr:uid="{00000000-0005-0000-0000-000019770000}"/>
    <cellStyle name="Standard 4 6 4 2 6" xfId="30278" xr:uid="{00000000-0005-0000-0000-00001A770000}"/>
    <cellStyle name="Standard 4 6 4 2 6 2" xfId="30279" xr:uid="{00000000-0005-0000-0000-00001B770000}"/>
    <cellStyle name="Standard 4 6 4 2 7" xfId="30280" xr:uid="{00000000-0005-0000-0000-00001C770000}"/>
    <cellStyle name="Standard 4 6 4 2 8" xfId="30281" xr:uid="{00000000-0005-0000-0000-00001D770000}"/>
    <cellStyle name="Standard 4 6 4 3" xfId="30282" xr:uid="{00000000-0005-0000-0000-00001E770000}"/>
    <cellStyle name="Standard 4 6 4 3 2" xfId="30283" xr:uid="{00000000-0005-0000-0000-00001F770000}"/>
    <cellStyle name="Standard 4 6 4 3 2 2" xfId="30284" xr:uid="{00000000-0005-0000-0000-000020770000}"/>
    <cellStyle name="Standard 4 6 4 3 2 2 2" xfId="30285" xr:uid="{00000000-0005-0000-0000-000021770000}"/>
    <cellStyle name="Standard 4 6 4 3 2 2 2 2" xfId="30286" xr:uid="{00000000-0005-0000-0000-000022770000}"/>
    <cellStyle name="Standard 4 6 4 3 2 2 2 3" xfId="30287" xr:uid="{00000000-0005-0000-0000-000023770000}"/>
    <cellStyle name="Standard 4 6 4 3 2 2 3" xfId="30288" xr:uid="{00000000-0005-0000-0000-000024770000}"/>
    <cellStyle name="Standard 4 6 4 3 2 2 3 2" xfId="30289" xr:uid="{00000000-0005-0000-0000-000025770000}"/>
    <cellStyle name="Standard 4 6 4 3 2 2 3 3" xfId="30290" xr:uid="{00000000-0005-0000-0000-000026770000}"/>
    <cellStyle name="Standard 4 6 4 3 2 2 4" xfId="30291" xr:uid="{00000000-0005-0000-0000-000027770000}"/>
    <cellStyle name="Standard 4 6 4 3 2 2 4 2" xfId="30292" xr:uid="{00000000-0005-0000-0000-000028770000}"/>
    <cellStyle name="Standard 4 6 4 3 2 2 5" xfId="30293" xr:uid="{00000000-0005-0000-0000-000029770000}"/>
    <cellStyle name="Standard 4 6 4 3 2 2 6" xfId="30294" xr:uid="{00000000-0005-0000-0000-00002A770000}"/>
    <cellStyle name="Standard 4 6 4 3 2 3" xfId="30295" xr:uid="{00000000-0005-0000-0000-00002B770000}"/>
    <cellStyle name="Standard 4 6 4 3 2 3 2" xfId="30296" xr:uid="{00000000-0005-0000-0000-00002C770000}"/>
    <cellStyle name="Standard 4 6 4 3 2 3 3" xfId="30297" xr:uid="{00000000-0005-0000-0000-00002D770000}"/>
    <cellStyle name="Standard 4 6 4 3 2 4" xfId="30298" xr:uid="{00000000-0005-0000-0000-00002E770000}"/>
    <cellStyle name="Standard 4 6 4 3 2 4 2" xfId="30299" xr:uid="{00000000-0005-0000-0000-00002F770000}"/>
    <cellStyle name="Standard 4 6 4 3 2 4 3" xfId="30300" xr:uid="{00000000-0005-0000-0000-000030770000}"/>
    <cellStyle name="Standard 4 6 4 3 2 5" xfId="30301" xr:uid="{00000000-0005-0000-0000-000031770000}"/>
    <cellStyle name="Standard 4 6 4 3 2 5 2" xfId="30302" xr:uid="{00000000-0005-0000-0000-000032770000}"/>
    <cellStyle name="Standard 4 6 4 3 2 6" xfId="30303" xr:uid="{00000000-0005-0000-0000-000033770000}"/>
    <cellStyle name="Standard 4 6 4 3 2 7" xfId="30304" xr:uid="{00000000-0005-0000-0000-000034770000}"/>
    <cellStyle name="Standard 4 6 4 3 3" xfId="30305" xr:uid="{00000000-0005-0000-0000-000035770000}"/>
    <cellStyle name="Standard 4 6 4 3 3 2" xfId="30306" xr:uid="{00000000-0005-0000-0000-000036770000}"/>
    <cellStyle name="Standard 4 6 4 3 3 2 2" xfId="30307" xr:uid="{00000000-0005-0000-0000-000037770000}"/>
    <cellStyle name="Standard 4 6 4 3 3 2 3" xfId="30308" xr:uid="{00000000-0005-0000-0000-000038770000}"/>
    <cellStyle name="Standard 4 6 4 3 3 3" xfId="30309" xr:uid="{00000000-0005-0000-0000-000039770000}"/>
    <cellStyle name="Standard 4 6 4 3 3 3 2" xfId="30310" xr:uid="{00000000-0005-0000-0000-00003A770000}"/>
    <cellStyle name="Standard 4 6 4 3 3 3 3" xfId="30311" xr:uid="{00000000-0005-0000-0000-00003B770000}"/>
    <cellStyle name="Standard 4 6 4 3 3 4" xfId="30312" xr:uid="{00000000-0005-0000-0000-00003C770000}"/>
    <cellStyle name="Standard 4 6 4 3 3 4 2" xfId="30313" xr:uid="{00000000-0005-0000-0000-00003D770000}"/>
    <cellStyle name="Standard 4 6 4 3 3 5" xfId="30314" xr:uid="{00000000-0005-0000-0000-00003E770000}"/>
    <cellStyle name="Standard 4 6 4 3 3 6" xfId="30315" xr:uid="{00000000-0005-0000-0000-00003F770000}"/>
    <cellStyle name="Standard 4 6 4 3 4" xfId="30316" xr:uid="{00000000-0005-0000-0000-000040770000}"/>
    <cellStyle name="Standard 4 6 4 3 4 2" xfId="30317" xr:uid="{00000000-0005-0000-0000-000041770000}"/>
    <cellStyle name="Standard 4 6 4 3 4 3" xfId="30318" xr:uid="{00000000-0005-0000-0000-000042770000}"/>
    <cellStyle name="Standard 4 6 4 3 5" xfId="30319" xr:uid="{00000000-0005-0000-0000-000043770000}"/>
    <cellStyle name="Standard 4 6 4 3 5 2" xfId="30320" xr:uid="{00000000-0005-0000-0000-000044770000}"/>
    <cellStyle name="Standard 4 6 4 3 5 3" xfId="30321" xr:uid="{00000000-0005-0000-0000-000045770000}"/>
    <cellStyle name="Standard 4 6 4 3 6" xfId="30322" xr:uid="{00000000-0005-0000-0000-000046770000}"/>
    <cellStyle name="Standard 4 6 4 3 6 2" xfId="30323" xr:uid="{00000000-0005-0000-0000-000047770000}"/>
    <cellStyle name="Standard 4 6 4 3 7" xfId="30324" xr:uid="{00000000-0005-0000-0000-000048770000}"/>
    <cellStyle name="Standard 4 6 4 3 8" xfId="30325" xr:uid="{00000000-0005-0000-0000-000049770000}"/>
    <cellStyle name="Standard 4 6 4 4" xfId="30326" xr:uid="{00000000-0005-0000-0000-00004A770000}"/>
    <cellStyle name="Standard 4 6 4 4 2" xfId="30327" xr:uid="{00000000-0005-0000-0000-00004B770000}"/>
    <cellStyle name="Standard 4 6 4 4 2 2" xfId="30328" xr:uid="{00000000-0005-0000-0000-00004C770000}"/>
    <cellStyle name="Standard 4 6 4 4 2 2 2" xfId="30329" xr:uid="{00000000-0005-0000-0000-00004D770000}"/>
    <cellStyle name="Standard 4 6 4 4 2 2 3" xfId="30330" xr:uid="{00000000-0005-0000-0000-00004E770000}"/>
    <cellStyle name="Standard 4 6 4 4 2 3" xfId="30331" xr:uid="{00000000-0005-0000-0000-00004F770000}"/>
    <cellStyle name="Standard 4 6 4 4 2 3 2" xfId="30332" xr:uid="{00000000-0005-0000-0000-000050770000}"/>
    <cellStyle name="Standard 4 6 4 4 2 3 3" xfId="30333" xr:uid="{00000000-0005-0000-0000-000051770000}"/>
    <cellStyle name="Standard 4 6 4 4 2 4" xfId="30334" xr:uid="{00000000-0005-0000-0000-000052770000}"/>
    <cellStyle name="Standard 4 6 4 4 2 4 2" xfId="30335" xr:uid="{00000000-0005-0000-0000-000053770000}"/>
    <cellStyle name="Standard 4 6 4 4 2 5" xfId="30336" xr:uid="{00000000-0005-0000-0000-000054770000}"/>
    <cellStyle name="Standard 4 6 4 4 2 6" xfId="30337" xr:uid="{00000000-0005-0000-0000-000055770000}"/>
    <cellStyle name="Standard 4 6 4 4 3" xfId="30338" xr:uid="{00000000-0005-0000-0000-000056770000}"/>
    <cellStyle name="Standard 4 6 4 4 3 2" xfId="30339" xr:uid="{00000000-0005-0000-0000-000057770000}"/>
    <cellStyle name="Standard 4 6 4 4 3 3" xfId="30340" xr:uid="{00000000-0005-0000-0000-000058770000}"/>
    <cellStyle name="Standard 4 6 4 4 4" xfId="30341" xr:uid="{00000000-0005-0000-0000-000059770000}"/>
    <cellStyle name="Standard 4 6 4 4 4 2" xfId="30342" xr:uid="{00000000-0005-0000-0000-00005A770000}"/>
    <cellStyle name="Standard 4 6 4 4 4 3" xfId="30343" xr:uid="{00000000-0005-0000-0000-00005B770000}"/>
    <cellStyle name="Standard 4 6 4 4 5" xfId="30344" xr:uid="{00000000-0005-0000-0000-00005C770000}"/>
    <cellStyle name="Standard 4 6 4 4 5 2" xfId="30345" xr:uid="{00000000-0005-0000-0000-00005D770000}"/>
    <cellStyle name="Standard 4 6 4 4 6" xfId="30346" xr:uid="{00000000-0005-0000-0000-00005E770000}"/>
    <cellStyle name="Standard 4 6 4 4 7" xfId="30347" xr:uid="{00000000-0005-0000-0000-00005F770000}"/>
    <cellStyle name="Standard 4 6 4 5" xfId="30348" xr:uid="{00000000-0005-0000-0000-000060770000}"/>
    <cellStyle name="Standard 4 6 4 5 2" xfId="30349" xr:uid="{00000000-0005-0000-0000-000061770000}"/>
    <cellStyle name="Standard 4 6 4 5 2 2" xfId="30350" xr:uid="{00000000-0005-0000-0000-000062770000}"/>
    <cellStyle name="Standard 4 6 4 5 2 3" xfId="30351" xr:uid="{00000000-0005-0000-0000-000063770000}"/>
    <cellStyle name="Standard 4 6 4 5 3" xfId="30352" xr:uid="{00000000-0005-0000-0000-000064770000}"/>
    <cellStyle name="Standard 4 6 4 5 3 2" xfId="30353" xr:uid="{00000000-0005-0000-0000-000065770000}"/>
    <cellStyle name="Standard 4 6 4 5 3 3" xfId="30354" xr:uid="{00000000-0005-0000-0000-000066770000}"/>
    <cellStyle name="Standard 4 6 4 5 4" xfId="30355" xr:uid="{00000000-0005-0000-0000-000067770000}"/>
    <cellStyle name="Standard 4 6 4 5 4 2" xfId="30356" xr:uid="{00000000-0005-0000-0000-000068770000}"/>
    <cellStyle name="Standard 4 6 4 5 5" xfId="30357" xr:uid="{00000000-0005-0000-0000-000069770000}"/>
    <cellStyle name="Standard 4 6 4 5 6" xfId="30358" xr:uid="{00000000-0005-0000-0000-00006A770000}"/>
    <cellStyle name="Standard 4 6 4 6" xfId="30359" xr:uid="{00000000-0005-0000-0000-00006B770000}"/>
    <cellStyle name="Standard 4 6 4 6 2" xfId="30360" xr:uid="{00000000-0005-0000-0000-00006C770000}"/>
    <cellStyle name="Standard 4 6 4 6 3" xfId="30361" xr:uid="{00000000-0005-0000-0000-00006D770000}"/>
    <cellStyle name="Standard 4 6 4 7" xfId="30362" xr:uid="{00000000-0005-0000-0000-00006E770000}"/>
    <cellStyle name="Standard 4 6 4 7 2" xfId="30363" xr:uid="{00000000-0005-0000-0000-00006F770000}"/>
    <cellStyle name="Standard 4 6 4 7 3" xfId="30364" xr:uid="{00000000-0005-0000-0000-000070770000}"/>
    <cellStyle name="Standard 4 6 4 8" xfId="30365" xr:uid="{00000000-0005-0000-0000-000071770000}"/>
    <cellStyle name="Standard 4 6 4 8 2" xfId="30366" xr:uid="{00000000-0005-0000-0000-000072770000}"/>
    <cellStyle name="Standard 4 6 4 9" xfId="30367" xr:uid="{00000000-0005-0000-0000-000073770000}"/>
    <cellStyle name="Standard 4 6 5" xfId="30368" xr:uid="{00000000-0005-0000-0000-000074770000}"/>
    <cellStyle name="Standard 4 6 5 2" xfId="30369" xr:uid="{00000000-0005-0000-0000-000075770000}"/>
    <cellStyle name="Standard 4 6 5 2 2" xfId="30370" xr:uid="{00000000-0005-0000-0000-000076770000}"/>
    <cellStyle name="Standard 4 6 5 2 2 2" xfId="30371" xr:uid="{00000000-0005-0000-0000-000077770000}"/>
    <cellStyle name="Standard 4 6 5 2 2 2 2" xfId="30372" xr:uid="{00000000-0005-0000-0000-000078770000}"/>
    <cellStyle name="Standard 4 6 5 2 2 2 3" xfId="30373" xr:uid="{00000000-0005-0000-0000-000079770000}"/>
    <cellStyle name="Standard 4 6 5 2 2 3" xfId="30374" xr:uid="{00000000-0005-0000-0000-00007A770000}"/>
    <cellStyle name="Standard 4 6 5 2 2 3 2" xfId="30375" xr:uid="{00000000-0005-0000-0000-00007B770000}"/>
    <cellStyle name="Standard 4 6 5 2 2 3 3" xfId="30376" xr:uid="{00000000-0005-0000-0000-00007C770000}"/>
    <cellStyle name="Standard 4 6 5 2 2 4" xfId="30377" xr:uid="{00000000-0005-0000-0000-00007D770000}"/>
    <cellStyle name="Standard 4 6 5 2 2 4 2" xfId="30378" xr:uid="{00000000-0005-0000-0000-00007E770000}"/>
    <cellStyle name="Standard 4 6 5 2 2 5" xfId="30379" xr:uid="{00000000-0005-0000-0000-00007F770000}"/>
    <cellStyle name="Standard 4 6 5 2 2 6" xfId="30380" xr:uid="{00000000-0005-0000-0000-000080770000}"/>
    <cellStyle name="Standard 4 6 5 2 3" xfId="30381" xr:uid="{00000000-0005-0000-0000-000081770000}"/>
    <cellStyle name="Standard 4 6 5 2 3 2" xfId="30382" xr:uid="{00000000-0005-0000-0000-000082770000}"/>
    <cellStyle name="Standard 4 6 5 2 3 3" xfId="30383" xr:uid="{00000000-0005-0000-0000-000083770000}"/>
    <cellStyle name="Standard 4 6 5 2 4" xfId="30384" xr:uid="{00000000-0005-0000-0000-000084770000}"/>
    <cellStyle name="Standard 4 6 5 2 4 2" xfId="30385" xr:uid="{00000000-0005-0000-0000-000085770000}"/>
    <cellStyle name="Standard 4 6 5 2 4 3" xfId="30386" xr:uid="{00000000-0005-0000-0000-000086770000}"/>
    <cellStyle name="Standard 4 6 5 2 5" xfId="30387" xr:uid="{00000000-0005-0000-0000-000087770000}"/>
    <cellStyle name="Standard 4 6 5 2 5 2" xfId="30388" xr:uid="{00000000-0005-0000-0000-000088770000}"/>
    <cellStyle name="Standard 4 6 5 2 6" xfId="30389" xr:uid="{00000000-0005-0000-0000-000089770000}"/>
    <cellStyle name="Standard 4 6 5 2 7" xfId="30390" xr:uid="{00000000-0005-0000-0000-00008A770000}"/>
    <cellStyle name="Standard 4 6 5 3" xfId="30391" xr:uid="{00000000-0005-0000-0000-00008B770000}"/>
    <cellStyle name="Standard 4 6 5 3 2" xfId="30392" xr:uid="{00000000-0005-0000-0000-00008C770000}"/>
    <cellStyle name="Standard 4 6 5 3 2 2" xfId="30393" xr:uid="{00000000-0005-0000-0000-00008D770000}"/>
    <cellStyle name="Standard 4 6 5 3 2 3" xfId="30394" xr:uid="{00000000-0005-0000-0000-00008E770000}"/>
    <cellStyle name="Standard 4 6 5 3 3" xfId="30395" xr:uid="{00000000-0005-0000-0000-00008F770000}"/>
    <cellStyle name="Standard 4 6 5 3 3 2" xfId="30396" xr:uid="{00000000-0005-0000-0000-000090770000}"/>
    <cellStyle name="Standard 4 6 5 3 3 3" xfId="30397" xr:uid="{00000000-0005-0000-0000-000091770000}"/>
    <cellStyle name="Standard 4 6 5 3 4" xfId="30398" xr:uid="{00000000-0005-0000-0000-000092770000}"/>
    <cellStyle name="Standard 4 6 5 3 4 2" xfId="30399" xr:uid="{00000000-0005-0000-0000-000093770000}"/>
    <cellStyle name="Standard 4 6 5 3 5" xfId="30400" xr:uid="{00000000-0005-0000-0000-000094770000}"/>
    <cellStyle name="Standard 4 6 5 3 6" xfId="30401" xr:uid="{00000000-0005-0000-0000-000095770000}"/>
    <cellStyle name="Standard 4 6 5 4" xfId="30402" xr:uid="{00000000-0005-0000-0000-000096770000}"/>
    <cellStyle name="Standard 4 6 5 4 2" xfId="30403" xr:uid="{00000000-0005-0000-0000-000097770000}"/>
    <cellStyle name="Standard 4 6 5 4 3" xfId="30404" xr:uid="{00000000-0005-0000-0000-000098770000}"/>
    <cellStyle name="Standard 4 6 5 5" xfId="30405" xr:uid="{00000000-0005-0000-0000-000099770000}"/>
    <cellStyle name="Standard 4 6 5 5 2" xfId="30406" xr:uid="{00000000-0005-0000-0000-00009A770000}"/>
    <cellStyle name="Standard 4 6 5 5 3" xfId="30407" xr:uid="{00000000-0005-0000-0000-00009B770000}"/>
    <cellStyle name="Standard 4 6 5 6" xfId="30408" xr:uid="{00000000-0005-0000-0000-00009C770000}"/>
    <cellStyle name="Standard 4 6 5 6 2" xfId="30409" xr:uid="{00000000-0005-0000-0000-00009D770000}"/>
    <cellStyle name="Standard 4 6 5 7" xfId="30410" xr:uid="{00000000-0005-0000-0000-00009E770000}"/>
    <cellStyle name="Standard 4 6 5 8" xfId="30411" xr:uid="{00000000-0005-0000-0000-00009F770000}"/>
    <cellStyle name="Standard 4 6 6" xfId="30412" xr:uid="{00000000-0005-0000-0000-0000A0770000}"/>
    <cellStyle name="Standard 4 6 6 2" xfId="30413" xr:uid="{00000000-0005-0000-0000-0000A1770000}"/>
    <cellStyle name="Standard 4 6 6 2 2" xfId="30414" xr:uid="{00000000-0005-0000-0000-0000A2770000}"/>
    <cellStyle name="Standard 4 6 6 2 2 2" xfId="30415" xr:uid="{00000000-0005-0000-0000-0000A3770000}"/>
    <cellStyle name="Standard 4 6 6 2 2 2 2" xfId="30416" xr:uid="{00000000-0005-0000-0000-0000A4770000}"/>
    <cellStyle name="Standard 4 6 6 2 2 2 3" xfId="30417" xr:uid="{00000000-0005-0000-0000-0000A5770000}"/>
    <cellStyle name="Standard 4 6 6 2 2 3" xfId="30418" xr:uid="{00000000-0005-0000-0000-0000A6770000}"/>
    <cellStyle name="Standard 4 6 6 2 2 3 2" xfId="30419" xr:uid="{00000000-0005-0000-0000-0000A7770000}"/>
    <cellStyle name="Standard 4 6 6 2 2 3 3" xfId="30420" xr:uid="{00000000-0005-0000-0000-0000A8770000}"/>
    <cellStyle name="Standard 4 6 6 2 2 4" xfId="30421" xr:uid="{00000000-0005-0000-0000-0000A9770000}"/>
    <cellStyle name="Standard 4 6 6 2 2 4 2" xfId="30422" xr:uid="{00000000-0005-0000-0000-0000AA770000}"/>
    <cellStyle name="Standard 4 6 6 2 2 5" xfId="30423" xr:uid="{00000000-0005-0000-0000-0000AB770000}"/>
    <cellStyle name="Standard 4 6 6 2 2 6" xfId="30424" xr:uid="{00000000-0005-0000-0000-0000AC770000}"/>
    <cellStyle name="Standard 4 6 6 2 3" xfId="30425" xr:uid="{00000000-0005-0000-0000-0000AD770000}"/>
    <cellStyle name="Standard 4 6 6 2 3 2" xfId="30426" xr:uid="{00000000-0005-0000-0000-0000AE770000}"/>
    <cellStyle name="Standard 4 6 6 2 3 3" xfId="30427" xr:uid="{00000000-0005-0000-0000-0000AF770000}"/>
    <cellStyle name="Standard 4 6 6 2 4" xfId="30428" xr:uid="{00000000-0005-0000-0000-0000B0770000}"/>
    <cellStyle name="Standard 4 6 6 2 4 2" xfId="30429" xr:uid="{00000000-0005-0000-0000-0000B1770000}"/>
    <cellStyle name="Standard 4 6 6 2 4 3" xfId="30430" xr:uid="{00000000-0005-0000-0000-0000B2770000}"/>
    <cellStyle name="Standard 4 6 6 2 5" xfId="30431" xr:uid="{00000000-0005-0000-0000-0000B3770000}"/>
    <cellStyle name="Standard 4 6 6 2 5 2" xfId="30432" xr:uid="{00000000-0005-0000-0000-0000B4770000}"/>
    <cellStyle name="Standard 4 6 6 2 6" xfId="30433" xr:uid="{00000000-0005-0000-0000-0000B5770000}"/>
    <cellStyle name="Standard 4 6 6 2 7" xfId="30434" xr:uid="{00000000-0005-0000-0000-0000B6770000}"/>
    <cellStyle name="Standard 4 6 6 3" xfId="30435" xr:uid="{00000000-0005-0000-0000-0000B7770000}"/>
    <cellStyle name="Standard 4 6 6 3 2" xfId="30436" xr:uid="{00000000-0005-0000-0000-0000B8770000}"/>
    <cellStyle name="Standard 4 6 6 3 2 2" xfId="30437" xr:uid="{00000000-0005-0000-0000-0000B9770000}"/>
    <cellStyle name="Standard 4 6 6 3 2 3" xfId="30438" xr:uid="{00000000-0005-0000-0000-0000BA770000}"/>
    <cellStyle name="Standard 4 6 6 3 3" xfId="30439" xr:uid="{00000000-0005-0000-0000-0000BB770000}"/>
    <cellStyle name="Standard 4 6 6 3 3 2" xfId="30440" xr:uid="{00000000-0005-0000-0000-0000BC770000}"/>
    <cellStyle name="Standard 4 6 6 3 3 3" xfId="30441" xr:uid="{00000000-0005-0000-0000-0000BD770000}"/>
    <cellStyle name="Standard 4 6 6 3 4" xfId="30442" xr:uid="{00000000-0005-0000-0000-0000BE770000}"/>
    <cellStyle name="Standard 4 6 6 3 4 2" xfId="30443" xr:uid="{00000000-0005-0000-0000-0000BF770000}"/>
    <cellStyle name="Standard 4 6 6 3 5" xfId="30444" xr:uid="{00000000-0005-0000-0000-0000C0770000}"/>
    <cellStyle name="Standard 4 6 6 3 6" xfId="30445" xr:uid="{00000000-0005-0000-0000-0000C1770000}"/>
    <cellStyle name="Standard 4 6 6 4" xfId="30446" xr:uid="{00000000-0005-0000-0000-0000C2770000}"/>
    <cellStyle name="Standard 4 6 6 4 2" xfId="30447" xr:uid="{00000000-0005-0000-0000-0000C3770000}"/>
    <cellStyle name="Standard 4 6 6 4 3" xfId="30448" xr:uid="{00000000-0005-0000-0000-0000C4770000}"/>
    <cellStyle name="Standard 4 6 6 5" xfId="30449" xr:uid="{00000000-0005-0000-0000-0000C5770000}"/>
    <cellStyle name="Standard 4 6 6 5 2" xfId="30450" xr:uid="{00000000-0005-0000-0000-0000C6770000}"/>
    <cellStyle name="Standard 4 6 6 5 3" xfId="30451" xr:uid="{00000000-0005-0000-0000-0000C7770000}"/>
    <cellStyle name="Standard 4 6 6 6" xfId="30452" xr:uid="{00000000-0005-0000-0000-0000C8770000}"/>
    <cellStyle name="Standard 4 6 6 6 2" xfId="30453" xr:uid="{00000000-0005-0000-0000-0000C9770000}"/>
    <cellStyle name="Standard 4 6 6 7" xfId="30454" xr:uid="{00000000-0005-0000-0000-0000CA770000}"/>
    <cellStyle name="Standard 4 6 6 8" xfId="30455" xr:uid="{00000000-0005-0000-0000-0000CB770000}"/>
    <cellStyle name="Standard 4 6 7" xfId="30456" xr:uid="{00000000-0005-0000-0000-0000CC770000}"/>
    <cellStyle name="Standard 4 6 7 2" xfId="30457" xr:uid="{00000000-0005-0000-0000-0000CD770000}"/>
    <cellStyle name="Standard 4 6 7 2 2" xfId="30458" xr:uid="{00000000-0005-0000-0000-0000CE770000}"/>
    <cellStyle name="Standard 4 6 7 2 2 2" xfId="30459" xr:uid="{00000000-0005-0000-0000-0000CF770000}"/>
    <cellStyle name="Standard 4 6 7 2 2 3" xfId="30460" xr:uid="{00000000-0005-0000-0000-0000D0770000}"/>
    <cellStyle name="Standard 4 6 7 2 3" xfId="30461" xr:uid="{00000000-0005-0000-0000-0000D1770000}"/>
    <cellStyle name="Standard 4 6 7 2 3 2" xfId="30462" xr:uid="{00000000-0005-0000-0000-0000D2770000}"/>
    <cellStyle name="Standard 4 6 7 2 3 3" xfId="30463" xr:uid="{00000000-0005-0000-0000-0000D3770000}"/>
    <cellStyle name="Standard 4 6 7 2 4" xfId="30464" xr:uid="{00000000-0005-0000-0000-0000D4770000}"/>
    <cellStyle name="Standard 4 6 7 2 4 2" xfId="30465" xr:uid="{00000000-0005-0000-0000-0000D5770000}"/>
    <cellStyle name="Standard 4 6 7 2 5" xfId="30466" xr:uid="{00000000-0005-0000-0000-0000D6770000}"/>
    <cellStyle name="Standard 4 6 7 2 6" xfId="30467" xr:uid="{00000000-0005-0000-0000-0000D7770000}"/>
    <cellStyle name="Standard 4 6 7 3" xfId="30468" xr:uid="{00000000-0005-0000-0000-0000D8770000}"/>
    <cellStyle name="Standard 4 6 7 3 2" xfId="30469" xr:uid="{00000000-0005-0000-0000-0000D9770000}"/>
    <cellStyle name="Standard 4 6 7 3 3" xfId="30470" xr:uid="{00000000-0005-0000-0000-0000DA770000}"/>
    <cellStyle name="Standard 4 6 7 4" xfId="30471" xr:uid="{00000000-0005-0000-0000-0000DB770000}"/>
    <cellStyle name="Standard 4 6 7 4 2" xfId="30472" xr:uid="{00000000-0005-0000-0000-0000DC770000}"/>
    <cellStyle name="Standard 4 6 7 4 3" xfId="30473" xr:uid="{00000000-0005-0000-0000-0000DD770000}"/>
    <cellStyle name="Standard 4 6 7 5" xfId="30474" xr:uid="{00000000-0005-0000-0000-0000DE770000}"/>
    <cellStyle name="Standard 4 6 7 5 2" xfId="30475" xr:uid="{00000000-0005-0000-0000-0000DF770000}"/>
    <cellStyle name="Standard 4 6 7 6" xfId="30476" xr:uid="{00000000-0005-0000-0000-0000E0770000}"/>
    <cellStyle name="Standard 4 6 7 7" xfId="30477" xr:uid="{00000000-0005-0000-0000-0000E1770000}"/>
    <cellStyle name="Standard 4 6 8" xfId="30478" xr:uid="{00000000-0005-0000-0000-0000E2770000}"/>
    <cellStyle name="Standard 4 6 8 2" xfId="30479" xr:uid="{00000000-0005-0000-0000-0000E3770000}"/>
    <cellStyle name="Standard 4 6 8 2 2" xfId="30480" xr:uid="{00000000-0005-0000-0000-0000E4770000}"/>
    <cellStyle name="Standard 4 6 8 2 3" xfId="30481" xr:uid="{00000000-0005-0000-0000-0000E5770000}"/>
    <cellStyle name="Standard 4 6 8 3" xfId="30482" xr:uid="{00000000-0005-0000-0000-0000E6770000}"/>
    <cellStyle name="Standard 4 6 8 3 2" xfId="30483" xr:uid="{00000000-0005-0000-0000-0000E7770000}"/>
    <cellStyle name="Standard 4 6 8 3 3" xfId="30484" xr:uid="{00000000-0005-0000-0000-0000E8770000}"/>
    <cellStyle name="Standard 4 6 8 4" xfId="30485" xr:uid="{00000000-0005-0000-0000-0000E9770000}"/>
    <cellStyle name="Standard 4 6 8 4 2" xfId="30486" xr:uid="{00000000-0005-0000-0000-0000EA770000}"/>
    <cellStyle name="Standard 4 6 8 5" xfId="30487" xr:uid="{00000000-0005-0000-0000-0000EB770000}"/>
    <cellStyle name="Standard 4 6 8 6" xfId="30488" xr:uid="{00000000-0005-0000-0000-0000EC770000}"/>
    <cellStyle name="Standard 4 6 9" xfId="30489" xr:uid="{00000000-0005-0000-0000-0000ED770000}"/>
    <cellStyle name="Standard 4 6 9 2" xfId="30490" xr:uid="{00000000-0005-0000-0000-0000EE770000}"/>
    <cellStyle name="Standard 4 6 9 3" xfId="30491" xr:uid="{00000000-0005-0000-0000-0000EF770000}"/>
    <cellStyle name="Standard 4 7" xfId="593" xr:uid="{00000000-0005-0000-0000-0000F0770000}"/>
    <cellStyle name="Standard 4 7 10" xfId="30492" xr:uid="{00000000-0005-0000-0000-0000F1770000}"/>
    <cellStyle name="Standard 4 7 10 2" xfId="30493" xr:uid="{00000000-0005-0000-0000-0000F2770000}"/>
    <cellStyle name="Standard 4 7 11" xfId="30494" xr:uid="{00000000-0005-0000-0000-0000F3770000}"/>
    <cellStyle name="Standard 4 7 12" xfId="30495" xr:uid="{00000000-0005-0000-0000-0000F4770000}"/>
    <cellStyle name="Standard 4 7 2" xfId="30496" xr:uid="{00000000-0005-0000-0000-0000F5770000}"/>
    <cellStyle name="Standard 4 7 2 10" xfId="30497" xr:uid="{00000000-0005-0000-0000-0000F6770000}"/>
    <cellStyle name="Standard 4 7 2 11" xfId="30498" xr:uid="{00000000-0005-0000-0000-0000F7770000}"/>
    <cellStyle name="Standard 4 7 2 2" xfId="30499" xr:uid="{00000000-0005-0000-0000-0000F8770000}"/>
    <cellStyle name="Standard 4 7 2 2 10" xfId="30500" xr:uid="{00000000-0005-0000-0000-0000F9770000}"/>
    <cellStyle name="Standard 4 7 2 2 2" xfId="30501" xr:uid="{00000000-0005-0000-0000-0000FA770000}"/>
    <cellStyle name="Standard 4 7 2 2 2 2" xfId="30502" xr:uid="{00000000-0005-0000-0000-0000FB770000}"/>
    <cellStyle name="Standard 4 7 2 2 2 2 2" xfId="30503" xr:uid="{00000000-0005-0000-0000-0000FC770000}"/>
    <cellStyle name="Standard 4 7 2 2 2 2 2 2" xfId="30504" xr:uid="{00000000-0005-0000-0000-0000FD770000}"/>
    <cellStyle name="Standard 4 7 2 2 2 2 2 2 2" xfId="30505" xr:uid="{00000000-0005-0000-0000-0000FE770000}"/>
    <cellStyle name="Standard 4 7 2 2 2 2 2 2 3" xfId="30506" xr:uid="{00000000-0005-0000-0000-0000FF770000}"/>
    <cellStyle name="Standard 4 7 2 2 2 2 2 3" xfId="30507" xr:uid="{00000000-0005-0000-0000-000000780000}"/>
    <cellStyle name="Standard 4 7 2 2 2 2 2 3 2" xfId="30508" xr:uid="{00000000-0005-0000-0000-000001780000}"/>
    <cellStyle name="Standard 4 7 2 2 2 2 2 3 3" xfId="30509" xr:uid="{00000000-0005-0000-0000-000002780000}"/>
    <cellStyle name="Standard 4 7 2 2 2 2 2 4" xfId="30510" xr:uid="{00000000-0005-0000-0000-000003780000}"/>
    <cellStyle name="Standard 4 7 2 2 2 2 2 4 2" xfId="30511" xr:uid="{00000000-0005-0000-0000-000004780000}"/>
    <cellStyle name="Standard 4 7 2 2 2 2 2 5" xfId="30512" xr:uid="{00000000-0005-0000-0000-000005780000}"/>
    <cellStyle name="Standard 4 7 2 2 2 2 2 6" xfId="30513" xr:uid="{00000000-0005-0000-0000-000006780000}"/>
    <cellStyle name="Standard 4 7 2 2 2 2 3" xfId="30514" xr:uid="{00000000-0005-0000-0000-000007780000}"/>
    <cellStyle name="Standard 4 7 2 2 2 2 3 2" xfId="30515" xr:uid="{00000000-0005-0000-0000-000008780000}"/>
    <cellStyle name="Standard 4 7 2 2 2 2 3 3" xfId="30516" xr:uid="{00000000-0005-0000-0000-000009780000}"/>
    <cellStyle name="Standard 4 7 2 2 2 2 4" xfId="30517" xr:uid="{00000000-0005-0000-0000-00000A780000}"/>
    <cellStyle name="Standard 4 7 2 2 2 2 4 2" xfId="30518" xr:uid="{00000000-0005-0000-0000-00000B780000}"/>
    <cellStyle name="Standard 4 7 2 2 2 2 4 3" xfId="30519" xr:uid="{00000000-0005-0000-0000-00000C780000}"/>
    <cellStyle name="Standard 4 7 2 2 2 2 5" xfId="30520" xr:uid="{00000000-0005-0000-0000-00000D780000}"/>
    <cellStyle name="Standard 4 7 2 2 2 2 5 2" xfId="30521" xr:uid="{00000000-0005-0000-0000-00000E780000}"/>
    <cellStyle name="Standard 4 7 2 2 2 2 6" xfId="30522" xr:uid="{00000000-0005-0000-0000-00000F780000}"/>
    <cellStyle name="Standard 4 7 2 2 2 2 7" xfId="30523" xr:uid="{00000000-0005-0000-0000-000010780000}"/>
    <cellStyle name="Standard 4 7 2 2 2 3" xfId="30524" xr:uid="{00000000-0005-0000-0000-000011780000}"/>
    <cellStyle name="Standard 4 7 2 2 2 3 2" xfId="30525" xr:uid="{00000000-0005-0000-0000-000012780000}"/>
    <cellStyle name="Standard 4 7 2 2 2 3 2 2" xfId="30526" xr:uid="{00000000-0005-0000-0000-000013780000}"/>
    <cellStyle name="Standard 4 7 2 2 2 3 2 3" xfId="30527" xr:uid="{00000000-0005-0000-0000-000014780000}"/>
    <cellStyle name="Standard 4 7 2 2 2 3 3" xfId="30528" xr:uid="{00000000-0005-0000-0000-000015780000}"/>
    <cellStyle name="Standard 4 7 2 2 2 3 3 2" xfId="30529" xr:uid="{00000000-0005-0000-0000-000016780000}"/>
    <cellStyle name="Standard 4 7 2 2 2 3 3 3" xfId="30530" xr:uid="{00000000-0005-0000-0000-000017780000}"/>
    <cellStyle name="Standard 4 7 2 2 2 3 4" xfId="30531" xr:uid="{00000000-0005-0000-0000-000018780000}"/>
    <cellStyle name="Standard 4 7 2 2 2 3 4 2" xfId="30532" xr:uid="{00000000-0005-0000-0000-000019780000}"/>
    <cellStyle name="Standard 4 7 2 2 2 3 5" xfId="30533" xr:uid="{00000000-0005-0000-0000-00001A780000}"/>
    <cellStyle name="Standard 4 7 2 2 2 3 6" xfId="30534" xr:uid="{00000000-0005-0000-0000-00001B780000}"/>
    <cellStyle name="Standard 4 7 2 2 2 4" xfId="30535" xr:uid="{00000000-0005-0000-0000-00001C780000}"/>
    <cellStyle name="Standard 4 7 2 2 2 4 2" xfId="30536" xr:uid="{00000000-0005-0000-0000-00001D780000}"/>
    <cellStyle name="Standard 4 7 2 2 2 4 3" xfId="30537" xr:uid="{00000000-0005-0000-0000-00001E780000}"/>
    <cellStyle name="Standard 4 7 2 2 2 5" xfId="30538" xr:uid="{00000000-0005-0000-0000-00001F780000}"/>
    <cellStyle name="Standard 4 7 2 2 2 5 2" xfId="30539" xr:uid="{00000000-0005-0000-0000-000020780000}"/>
    <cellStyle name="Standard 4 7 2 2 2 5 3" xfId="30540" xr:uid="{00000000-0005-0000-0000-000021780000}"/>
    <cellStyle name="Standard 4 7 2 2 2 6" xfId="30541" xr:uid="{00000000-0005-0000-0000-000022780000}"/>
    <cellStyle name="Standard 4 7 2 2 2 6 2" xfId="30542" xr:uid="{00000000-0005-0000-0000-000023780000}"/>
    <cellStyle name="Standard 4 7 2 2 2 7" xfId="30543" xr:uid="{00000000-0005-0000-0000-000024780000}"/>
    <cellStyle name="Standard 4 7 2 2 2 8" xfId="30544" xr:uid="{00000000-0005-0000-0000-000025780000}"/>
    <cellStyle name="Standard 4 7 2 2 3" xfId="30545" xr:uid="{00000000-0005-0000-0000-000026780000}"/>
    <cellStyle name="Standard 4 7 2 2 3 2" xfId="30546" xr:uid="{00000000-0005-0000-0000-000027780000}"/>
    <cellStyle name="Standard 4 7 2 2 3 2 2" xfId="30547" xr:uid="{00000000-0005-0000-0000-000028780000}"/>
    <cellStyle name="Standard 4 7 2 2 3 2 2 2" xfId="30548" xr:uid="{00000000-0005-0000-0000-000029780000}"/>
    <cellStyle name="Standard 4 7 2 2 3 2 2 2 2" xfId="30549" xr:uid="{00000000-0005-0000-0000-00002A780000}"/>
    <cellStyle name="Standard 4 7 2 2 3 2 2 2 3" xfId="30550" xr:uid="{00000000-0005-0000-0000-00002B780000}"/>
    <cellStyle name="Standard 4 7 2 2 3 2 2 3" xfId="30551" xr:uid="{00000000-0005-0000-0000-00002C780000}"/>
    <cellStyle name="Standard 4 7 2 2 3 2 2 3 2" xfId="30552" xr:uid="{00000000-0005-0000-0000-00002D780000}"/>
    <cellStyle name="Standard 4 7 2 2 3 2 2 3 3" xfId="30553" xr:uid="{00000000-0005-0000-0000-00002E780000}"/>
    <cellStyle name="Standard 4 7 2 2 3 2 2 4" xfId="30554" xr:uid="{00000000-0005-0000-0000-00002F780000}"/>
    <cellStyle name="Standard 4 7 2 2 3 2 2 4 2" xfId="30555" xr:uid="{00000000-0005-0000-0000-000030780000}"/>
    <cellStyle name="Standard 4 7 2 2 3 2 2 5" xfId="30556" xr:uid="{00000000-0005-0000-0000-000031780000}"/>
    <cellStyle name="Standard 4 7 2 2 3 2 2 6" xfId="30557" xr:uid="{00000000-0005-0000-0000-000032780000}"/>
    <cellStyle name="Standard 4 7 2 2 3 2 3" xfId="30558" xr:uid="{00000000-0005-0000-0000-000033780000}"/>
    <cellStyle name="Standard 4 7 2 2 3 2 3 2" xfId="30559" xr:uid="{00000000-0005-0000-0000-000034780000}"/>
    <cellStyle name="Standard 4 7 2 2 3 2 3 3" xfId="30560" xr:uid="{00000000-0005-0000-0000-000035780000}"/>
    <cellStyle name="Standard 4 7 2 2 3 2 4" xfId="30561" xr:uid="{00000000-0005-0000-0000-000036780000}"/>
    <cellStyle name="Standard 4 7 2 2 3 2 4 2" xfId="30562" xr:uid="{00000000-0005-0000-0000-000037780000}"/>
    <cellStyle name="Standard 4 7 2 2 3 2 4 3" xfId="30563" xr:uid="{00000000-0005-0000-0000-000038780000}"/>
    <cellStyle name="Standard 4 7 2 2 3 2 5" xfId="30564" xr:uid="{00000000-0005-0000-0000-000039780000}"/>
    <cellStyle name="Standard 4 7 2 2 3 2 5 2" xfId="30565" xr:uid="{00000000-0005-0000-0000-00003A780000}"/>
    <cellStyle name="Standard 4 7 2 2 3 2 6" xfId="30566" xr:uid="{00000000-0005-0000-0000-00003B780000}"/>
    <cellStyle name="Standard 4 7 2 2 3 2 7" xfId="30567" xr:uid="{00000000-0005-0000-0000-00003C780000}"/>
    <cellStyle name="Standard 4 7 2 2 3 3" xfId="30568" xr:uid="{00000000-0005-0000-0000-00003D780000}"/>
    <cellStyle name="Standard 4 7 2 2 3 3 2" xfId="30569" xr:uid="{00000000-0005-0000-0000-00003E780000}"/>
    <cellStyle name="Standard 4 7 2 2 3 3 2 2" xfId="30570" xr:uid="{00000000-0005-0000-0000-00003F780000}"/>
    <cellStyle name="Standard 4 7 2 2 3 3 2 3" xfId="30571" xr:uid="{00000000-0005-0000-0000-000040780000}"/>
    <cellStyle name="Standard 4 7 2 2 3 3 3" xfId="30572" xr:uid="{00000000-0005-0000-0000-000041780000}"/>
    <cellStyle name="Standard 4 7 2 2 3 3 3 2" xfId="30573" xr:uid="{00000000-0005-0000-0000-000042780000}"/>
    <cellStyle name="Standard 4 7 2 2 3 3 3 3" xfId="30574" xr:uid="{00000000-0005-0000-0000-000043780000}"/>
    <cellStyle name="Standard 4 7 2 2 3 3 4" xfId="30575" xr:uid="{00000000-0005-0000-0000-000044780000}"/>
    <cellStyle name="Standard 4 7 2 2 3 3 4 2" xfId="30576" xr:uid="{00000000-0005-0000-0000-000045780000}"/>
    <cellStyle name="Standard 4 7 2 2 3 3 5" xfId="30577" xr:uid="{00000000-0005-0000-0000-000046780000}"/>
    <cellStyle name="Standard 4 7 2 2 3 3 6" xfId="30578" xr:uid="{00000000-0005-0000-0000-000047780000}"/>
    <cellStyle name="Standard 4 7 2 2 3 4" xfId="30579" xr:uid="{00000000-0005-0000-0000-000048780000}"/>
    <cellStyle name="Standard 4 7 2 2 3 4 2" xfId="30580" xr:uid="{00000000-0005-0000-0000-000049780000}"/>
    <cellStyle name="Standard 4 7 2 2 3 4 3" xfId="30581" xr:uid="{00000000-0005-0000-0000-00004A780000}"/>
    <cellStyle name="Standard 4 7 2 2 3 5" xfId="30582" xr:uid="{00000000-0005-0000-0000-00004B780000}"/>
    <cellStyle name="Standard 4 7 2 2 3 5 2" xfId="30583" xr:uid="{00000000-0005-0000-0000-00004C780000}"/>
    <cellStyle name="Standard 4 7 2 2 3 5 3" xfId="30584" xr:uid="{00000000-0005-0000-0000-00004D780000}"/>
    <cellStyle name="Standard 4 7 2 2 3 6" xfId="30585" xr:uid="{00000000-0005-0000-0000-00004E780000}"/>
    <cellStyle name="Standard 4 7 2 2 3 6 2" xfId="30586" xr:uid="{00000000-0005-0000-0000-00004F780000}"/>
    <cellStyle name="Standard 4 7 2 2 3 7" xfId="30587" xr:uid="{00000000-0005-0000-0000-000050780000}"/>
    <cellStyle name="Standard 4 7 2 2 3 8" xfId="30588" xr:uid="{00000000-0005-0000-0000-000051780000}"/>
    <cellStyle name="Standard 4 7 2 2 4" xfId="30589" xr:uid="{00000000-0005-0000-0000-000052780000}"/>
    <cellStyle name="Standard 4 7 2 2 4 2" xfId="30590" xr:uid="{00000000-0005-0000-0000-000053780000}"/>
    <cellStyle name="Standard 4 7 2 2 4 2 2" xfId="30591" xr:uid="{00000000-0005-0000-0000-000054780000}"/>
    <cellStyle name="Standard 4 7 2 2 4 2 2 2" xfId="30592" xr:uid="{00000000-0005-0000-0000-000055780000}"/>
    <cellStyle name="Standard 4 7 2 2 4 2 2 3" xfId="30593" xr:uid="{00000000-0005-0000-0000-000056780000}"/>
    <cellStyle name="Standard 4 7 2 2 4 2 3" xfId="30594" xr:uid="{00000000-0005-0000-0000-000057780000}"/>
    <cellStyle name="Standard 4 7 2 2 4 2 3 2" xfId="30595" xr:uid="{00000000-0005-0000-0000-000058780000}"/>
    <cellStyle name="Standard 4 7 2 2 4 2 3 3" xfId="30596" xr:uid="{00000000-0005-0000-0000-000059780000}"/>
    <cellStyle name="Standard 4 7 2 2 4 2 4" xfId="30597" xr:uid="{00000000-0005-0000-0000-00005A780000}"/>
    <cellStyle name="Standard 4 7 2 2 4 2 4 2" xfId="30598" xr:uid="{00000000-0005-0000-0000-00005B780000}"/>
    <cellStyle name="Standard 4 7 2 2 4 2 5" xfId="30599" xr:uid="{00000000-0005-0000-0000-00005C780000}"/>
    <cellStyle name="Standard 4 7 2 2 4 2 6" xfId="30600" xr:uid="{00000000-0005-0000-0000-00005D780000}"/>
    <cellStyle name="Standard 4 7 2 2 4 3" xfId="30601" xr:uid="{00000000-0005-0000-0000-00005E780000}"/>
    <cellStyle name="Standard 4 7 2 2 4 3 2" xfId="30602" xr:uid="{00000000-0005-0000-0000-00005F780000}"/>
    <cellStyle name="Standard 4 7 2 2 4 3 3" xfId="30603" xr:uid="{00000000-0005-0000-0000-000060780000}"/>
    <cellStyle name="Standard 4 7 2 2 4 4" xfId="30604" xr:uid="{00000000-0005-0000-0000-000061780000}"/>
    <cellStyle name="Standard 4 7 2 2 4 4 2" xfId="30605" xr:uid="{00000000-0005-0000-0000-000062780000}"/>
    <cellStyle name="Standard 4 7 2 2 4 4 3" xfId="30606" xr:uid="{00000000-0005-0000-0000-000063780000}"/>
    <cellStyle name="Standard 4 7 2 2 4 5" xfId="30607" xr:uid="{00000000-0005-0000-0000-000064780000}"/>
    <cellStyle name="Standard 4 7 2 2 4 5 2" xfId="30608" xr:uid="{00000000-0005-0000-0000-000065780000}"/>
    <cellStyle name="Standard 4 7 2 2 4 6" xfId="30609" xr:uid="{00000000-0005-0000-0000-000066780000}"/>
    <cellStyle name="Standard 4 7 2 2 4 7" xfId="30610" xr:uid="{00000000-0005-0000-0000-000067780000}"/>
    <cellStyle name="Standard 4 7 2 2 5" xfId="30611" xr:uid="{00000000-0005-0000-0000-000068780000}"/>
    <cellStyle name="Standard 4 7 2 2 5 2" xfId="30612" xr:uid="{00000000-0005-0000-0000-000069780000}"/>
    <cellStyle name="Standard 4 7 2 2 5 2 2" xfId="30613" xr:uid="{00000000-0005-0000-0000-00006A780000}"/>
    <cellStyle name="Standard 4 7 2 2 5 2 3" xfId="30614" xr:uid="{00000000-0005-0000-0000-00006B780000}"/>
    <cellStyle name="Standard 4 7 2 2 5 3" xfId="30615" xr:uid="{00000000-0005-0000-0000-00006C780000}"/>
    <cellStyle name="Standard 4 7 2 2 5 3 2" xfId="30616" xr:uid="{00000000-0005-0000-0000-00006D780000}"/>
    <cellStyle name="Standard 4 7 2 2 5 3 3" xfId="30617" xr:uid="{00000000-0005-0000-0000-00006E780000}"/>
    <cellStyle name="Standard 4 7 2 2 5 4" xfId="30618" xr:uid="{00000000-0005-0000-0000-00006F780000}"/>
    <cellStyle name="Standard 4 7 2 2 5 4 2" xfId="30619" xr:uid="{00000000-0005-0000-0000-000070780000}"/>
    <cellStyle name="Standard 4 7 2 2 5 5" xfId="30620" xr:uid="{00000000-0005-0000-0000-000071780000}"/>
    <cellStyle name="Standard 4 7 2 2 5 6" xfId="30621" xr:uid="{00000000-0005-0000-0000-000072780000}"/>
    <cellStyle name="Standard 4 7 2 2 6" xfId="30622" xr:uid="{00000000-0005-0000-0000-000073780000}"/>
    <cellStyle name="Standard 4 7 2 2 6 2" xfId="30623" xr:uid="{00000000-0005-0000-0000-000074780000}"/>
    <cellStyle name="Standard 4 7 2 2 6 3" xfId="30624" xr:uid="{00000000-0005-0000-0000-000075780000}"/>
    <cellStyle name="Standard 4 7 2 2 7" xfId="30625" xr:uid="{00000000-0005-0000-0000-000076780000}"/>
    <cellStyle name="Standard 4 7 2 2 7 2" xfId="30626" xr:uid="{00000000-0005-0000-0000-000077780000}"/>
    <cellStyle name="Standard 4 7 2 2 7 3" xfId="30627" xr:uid="{00000000-0005-0000-0000-000078780000}"/>
    <cellStyle name="Standard 4 7 2 2 8" xfId="30628" xr:uid="{00000000-0005-0000-0000-000079780000}"/>
    <cellStyle name="Standard 4 7 2 2 8 2" xfId="30629" xr:uid="{00000000-0005-0000-0000-00007A780000}"/>
    <cellStyle name="Standard 4 7 2 2 9" xfId="30630" xr:uid="{00000000-0005-0000-0000-00007B780000}"/>
    <cellStyle name="Standard 4 7 2 3" xfId="30631" xr:uid="{00000000-0005-0000-0000-00007C780000}"/>
    <cellStyle name="Standard 4 7 2 3 2" xfId="30632" xr:uid="{00000000-0005-0000-0000-00007D780000}"/>
    <cellStyle name="Standard 4 7 2 3 2 2" xfId="30633" xr:uid="{00000000-0005-0000-0000-00007E780000}"/>
    <cellStyle name="Standard 4 7 2 3 2 2 2" xfId="30634" xr:uid="{00000000-0005-0000-0000-00007F780000}"/>
    <cellStyle name="Standard 4 7 2 3 2 2 2 2" xfId="30635" xr:uid="{00000000-0005-0000-0000-000080780000}"/>
    <cellStyle name="Standard 4 7 2 3 2 2 2 3" xfId="30636" xr:uid="{00000000-0005-0000-0000-000081780000}"/>
    <cellStyle name="Standard 4 7 2 3 2 2 3" xfId="30637" xr:uid="{00000000-0005-0000-0000-000082780000}"/>
    <cellStyle name="Standard 4 7 2 3 2 2 3 2" xfId="30638" xr:uid="{00000000-0005-0000-0000-000083780000}"/>
    <cellStyle name="Standard 4 7 2 3 2 2 3 3" xfId="30639" xr:uid="{00000000-0005-0000-0000-000084780000}"/>
    <cellStyle name="Standard 4 7 2 3 2 2 4" xfId="30640" xr:uid="{00000000-0005-0000-0000-000085780000}"/>
    <cellStyle name="Standard 4 7 2 3 2 2 4 2" xfId="30641" xr:uid="{00000000-0005-0000-0000-000086780000}"/>
    <cellStyle name="Standard 4 7 2 3 2 2 5" xfId="30642" xr:uid="{00000000-0005-0000-0000-000087780000}"/>
    <cellStyle name="Standard 4 7 2 3 2 2 6" xfId="30643" xr:uid="{00000000-0005-0000-0000-000088780000}"/>
    <cellStyle name="Standard 4 7 2 3 2 3" xfId="30644" xr:uid="{00000000-0005-0000-0000-000089780000}"/>
    <cellStyle name="Standard 4 7 2 3 2 3 2" xfId="30645" xr:uid="{00000000-0005-0000-0000-00008A780000}"/>
    <cellStyle name="Standard 4 7 2 3 2 3 3" xfId="30646" xr:uid="{00000000-0005-0000-0000-00008B780000}"/>
    <cellStyle name="Standard 4 7 2 3 2 4" xfId="30647" xr:uid="{00000000-0005-0000-0000-00008C780000}"/>
    <cellStyle name="Standard 4 7 2 3 2 4 2" xfId="30648" xr:uid="{00000000-0005-0000-0000-00008D780000}"/>
    <cellStyle name="Standard 4 7 2 3 2 4 3" xfId="30649" xr:uid="{00000000-0005-0000-0000-00008E780000}"/>
    <cellStyle name="Standard 4 7 2 3 2 5" xfId="30650" xr:uid="{00000000-0005-0000-0000-00008F780000}"/>
    <cellStyle name="Standard 4 7 2 3 2 5 2" xfId="30651" xr:uid="{00000000-0005-0000-0000-000090780000}"/>
    <cellStyle name="Standard 4 7 2 3 2 6" xfId="30652" xr:uid="{00000000-0005-0000-0000-000091780000}"/>
    <cellStyle name="Standard 4 7 2 3 2 7" xfId="30653" xr:uid="{00000000-0005-0000-0000-000092780000}"/>
    <cellStyle name="Standard 4 7 2 3 3" xfId="30654" xr:uid="{00000000-0005-0000-0000-000093780000}"/>
    <cellStyle name="Standard 4 7 2 3 3 2" xfId="30655" xr:uid="{00000000-0005-0000-0000-000094780000}"/>
    <cellStyle name="Standard 4 7 2 3 3 2 2" xfId="30656" xr:uid="{00000000-0005-0000-0000-000095780000}"/>
    <cellStyle name="Standard 4 7 2 3 3 2 3" xfId="30657" xr:uid="{00000000-0005-0000-0000-000096780000}"/>
    <cellStyle name="Standard 4 7 2 3 3 3" xfId="30658" xr:uid="{00000000-0005-0000-0000-000097780000}"/>
    <cellStyle name="Standard 4 7 2 3 3 3 2" xfId="30659" xr:uid="{00000000-0005-0000-0000-000098780000}"/>
    <cellStyle name="Standard 4 7 2 3 3 3 3" xfId="30660" xr:uid="{00000000-0005-0000-0000-000099780000}"/>
    <cellStyle name="Standard 4 7 2 3 3 4" xfId="30661" xr:uid="{00000000-0005-0000-0000-00009A780000}"/>
    <cellStyle name="Standard 4 7 2 3 3 4 2" xfId="30662" xr:uid="{00000000-0005-0000-0000-00009B780000}"/>
    <cellStyle name="Standard 4 7 2 3 3 5" xfId="30663" xr:uid="{00000000-0005-0000-0000-00009C780000}"/>
    <cellStyle name="Standard 4 7 2 3 3 6" xfId="30664" xr:uid="{00000000-0005-0000-0000-00009D780000}"/>
    <cellStyle name="Standard 4 7 2 3 4" xfId="30665" xr:uid="{00000000-0005-0000-0000-00009E780000}"/>
    <cellStyle name="Standard 4 7 2 3 4 2" xfId="30666" xr:uid="{00000000-0005-0000-0000-00009F780000}"/>
    <cellStyle name="Standard 4 7 2 3 4 3" xfId="30667" xr:uid="{00000000-0005-0000-0000-0000A0780000}"/>
    <cellStyle name="Standard 4 7 2 3 5" xfId="30668" xr:uid="{00000000-0005-0000-0000-0000A1780000}"/>
    <cellStyle name="Standard 4 7 2 3 5 2" xfId="30669" xr:uid="{00000000-0005-0000-0000-0000A2780000}"/>
    <cellStyle name="Standard 4 7 2 3 5 3" xfId="30670" xr:uid="{00000000-0005-0000-0000-0000A3780000}"/>
    <cellStyle name="Standard 4 7 2 3 6" xfId="30671" xr:uid="{00000000-0005-0000-0000-0000A4780000}"/>
    <cellStyle name="Standard 4 7 2 3 6 2" xfId="30672" xr:uid="{00000000-0005-0000-0000-0000A5780000}"/>
    <cellStyle name="Standard 4 7 2 3 7" xfId="30673" xr:uid="{00000000-0005-0000-0000-0000A6780000}"/>
    <cellStyle name="Standard 4 7 2 3 8" xfId="30674" xr:uid="{00000000-0005-0000-0000-0000A7780000}"/>
    <cellStyle name="Standard 4 7 2 4" xfId="30675" xr:uid="{00000000-0005-0000-0000-0000A8780000}"/>
    <cellStyle name="Standard 4 7 2 4 2" xfId="30676" xr:uid="{00000000-0005-0000-0000-0000A9780000}"/>
    <cellStyle name="Standard 4 7 2 4 2 2" xfId="30677" xr:uid="{00000000-0005-0000-0000-0000AA780000}"/>
    <cellStyle name="Standard 4 7 2 4 2 2 2" xfId="30678" xr:uid="{00000000-0005-0000-0000-0000AB780000}"/>
    <cellStyle name="Standard 4 7 2 4 2 2 2 2" xfId="30679" xr:uid="{00000000-0005-0000-0000-0000AC780000}"/>
    <cellStyle name="Standard 4 7 2 4 2 2 2 3" xfId="30680" xr:uid="{00000000-0005-0000-0000-0000AD780000}"/>
    <cellStyle name="Standard 4 7 2 4 2 2 3" xfId="30681" xr:uid="{00000000-0005-0000-0000-0000AE780000}"/>
    <cellStyle name="Standard 4 7 2 4 2 2 3 2" xfId="30682" xr:uid="{00000000-0005-0000-0000-0000AF780000}"/>
    <cellStyle name="Standard 4 7 2 4 2 2 3 3" xfId="30683" xr:uid="{00000000-0005-0000-0000-0000B0780000}"/>
    <cellStyle name="Standard 4 7 2 4 2 2 4" xfId="30684" xr:uid="{00000000-0005-0000-0000-0000B1780000}"/>
    <cellStyle name="Standard 4 7 2 4 2 2 4 2" xfId="30685" xr:uid="{00000000-0005-0000-0000-0000B2780000}"/>
    <cellStyle name="Standard 4 7 2 4 2 2 5" xfId="30686" xr:uid="{00000000-0005-0000-0000-0000B3780000}"/>
    <cellStyle name="Standard 4 7 2 4 2 2 6" xfId="30687" xr:uid="{00000000-0005-0000-0000-0000B4780000}"/>
    <cellStyle name="Standard 4 7 2 4 2 3" xfId="30688" xr:uid="{00000000-0005-0000-0000-0000B5780000}"/>
    <cellStyle name="Standard 4 7 2 4 2 3 2" xfId="30689" xr:uid="{00000000-0005-0000-0000-0000B6780000}"/>
    <cellStyle name="Standard 4 7 2 4 2 3 3" xfId="30690" xr:uid="{00000000-0005-0000-0000-0000B7780000}"/>
    <cellStyle name="Standard 4 7 2 4 2 4" xfId="30691" xr:uid="{00000000-0005-0000-0000-0000B8780000}"/>
    <cellStyle name="Standard 4 7 2 4 2 4 2" xfId="30692" xr:uid="{00000000-0005-0000-0000-0000B9780000}"/>
    <cellStyle name="Standard 4 7 2 4 2 4 3" xfId="30693" xr:uid="{00000000-0005-0000-0000-0000BA780000}"/>
    <cellStyle name="Standard 4 7 2 4 2 5" xfId="30694" xr:uid="{00000000-0005-0000-0000-0000BB780000}"/>
    <cellStyle name="Standard 4 7 2 4 2 5 2" xfId="30695" xr:uid="{00000000-0005-0000-0000-0000BC780000}"/>
    <cellStyle name="Standard 4 7 2 4 2 6" xfId="30696" xr:uid="{00000000-0005-0000-0000-0000BD780000}"/>
    <cellStyle name="Standard 4 7 2 4 2 7" xfId="30697" xr:uid="{00000000-0005-0000-0000-0000BE780000}"/>
    <cellStyle name="Standard 4 7 2 4 3" xfId="30698" xr:uid="{00000000-0005-0000-0000-0000BF780000}"/>
    <cellStyle name="Standard 4 7 2 4 3 2" xfId="30699" xr:uid="{00000000-0005-0000-0000-0000C0780000}"/>
    <cellStyle name="Standard 4 7 2 4 3 2 2" xfId="30700" xr:uid="{00000000-0005-0000-0000-0000C1780000}"/>
    <cellStyle name="Standard 4 7 2 4 3 2 3" xfId="30701" xr:uid="{00000000-0005-0000-0000-0000C2780000}"/>
    <cellStyle name="Standard 4 7 2 4 3 3" xfId="30702" xr:uid="{00000000-0005-0000-0000-0000C3780000}"/>
    <cellStyle name="Standard 4 7 2 4 3 3 2" xfId="30703" xr:uid="{00000000-0005-0000-0000-0000C4780000}"/>
    <cellStyle name="Standard 4 7 2 4 3 3 3" xfId="30704" xr:uid="{00000000-0005-0000-0000-0000C5780000}"/>
    <cellStyle name="Standard 4 7 2 4 3 4" xfId="30705" xr:uid="{00000000-0005-0000-0000-0000C6780000}"/>
    <cellStyle name="Standard 4 7 2 4 3 4 2" xfId="30706" xr:uid="{00000000-0005-0000-0000-0000C7780000}"/>
    <cellStyle name="Standard 4 7 2 4 3 5" xfId="30707" xr:uid="{00000000-0005-0000-0000-0000C8780000}"/>
    <cellStyle name="Standard 4 7 2 4 3 6" xfId="30708" xr:uid="{00000000-0005-0000-0000-0000C9780000}"/>
    <cellStyle name="Standard 4 7 2 4 4" xfId="30709" xr:uid="{00000000-0005-0000-0000-0000CA780000}"/>
    <cellStyle name="Standard 4 7 2 4 4 2" xfId="30710" xr:uid="{00000000-0005-0000-0000-0000CB780000}"/>
    <cellStyle name="Standard 4 7 2 4 4 3" xfId="30711" xr:uid="{00000000-0005-0000-0000-0000CC780000}"/>
    <cellStyle name="Standard 4 7 2 4 5" xfId="30712" xr:uid="{00000000-0005-0000-0000-0000CD780000}"/>
    <cellStyle name="Standard 4 7 2 4 5 2" xfId="30713" xr:uid="{00000000-0005-0000-0000-0000CE780000}"/>
    <cellStyle name="Standard 4 7 2 4 5 3" xfId="30714" xr:uid="{00000000-0005-0000-0000-0000CF780000}"/>
    <cellStyle name="Standard 4 7 2 4 6" xfId="30715" xr:uid="{00000000-0005-0000-0000-0000D0780000}"/>
    <cellStyle name="Standard 4 7 2 4 6 2" xfId="30716" xr:uid="{00000000-0005-0000-0000-0000D1780000}"/>
    <cellStyle name="Standard 4 7 2 4 7" xfId="30717" xr:uid="{00000000-0005-0000-0000-0000D2780000}"/>
    <cellStyle name="Standard 4 7 2 4 8" xfId="30718" xr:uid="{00000000-0005-0000-0000-0000D3780000}"/>
    <cellStyle name="Standard 4 7 2 5" xfId="30719" xr:uid="{00000000-0005-0000-0000-0000D4780000}"/>
    <cellStyle name="Standard 4 7 2 5 2" xfId="30720" xr:uid="{00000000-0005-0000-0000-0000D5780000}"/>
    <cellStyle name="Standard 4 7 2 5 2 2" xfId="30721" xr:uid="{00000000-0005-0000-0000-0000D6780000}"/>
    <cellStyle name="Standard 4 7 2 5 2 2 2" xfId="30722" xr:uid="{00000000-0005-0000-0000-0000D7780000}"/>
    <cellStyle name="Standard 4 7 2 5 2 2 3" xfId="30723" xr:uid="{00000000-0005-0000-0000-0000D8780000}"/>
    <cellStyle name="Standard 4 7 2 5 2 3" xfId="30724" xr:uid="{00000000-0005-0000-0000-0000D9780000}"/>
    <cellStyle name="Standard 4 7 2 5 2 3 2" xfId="30725" xr:uid="{00000000-0005-0000-0000-0000DA780000}"/>
    <cellStyle name="Standard 4 7 2 5 2 3 3" xfId="30726" xr:uid="{00000000-0005-0000-0000-0000DB780000}"/>
    <cellStyle name="Standard 4 7 2 5 2 4" xfId="30727" xr:uid="{00000000-0005-0000-0000-0000DC780000}"/>
    <cellStyle name="Standard 4 7 2 5 2 4 2" xfId="30728" xr:uid="{00000000-0005-0000-0000-0000DD780000}"/>
    <cellStyle name="Standard 4 7 2 5 2 5" xfId="30729" xr:uid="{00000000-0005-0000-0000-0000DE780000}"/>
    <cellStyle name="Standard 4 7 2 5 2 6" xfId="30730" xr:uid="{00000000-0005-0000-0000-0000DF780000}"/>
    <cellStyle name="Standard 4 7 2 5 3" xfId="30731" xr:uid="{00000000-0005-0000-0000-0000E0780000}"/>
    <cellStyle name="Standard 4 7 2 5 3 2" xfId="30732" xr:uid="{00000000-0005-0000-0000-0000E1780000}"/>
    <cellStyle name="Standard 4 7 2 5 3 3" xfId="30733" xr:uid="{00000000-0005-0000-0000-0000E2780000}"/>
    <cellStyle name="Standard 4 7 2 5 4" xfId="30734" xr:uid="{00000000-0005-0000-0000-0000E3780000}"/>
    <cellStyle name="Standard 4 7 2 5 4 2" xfId="30735" xr:uid="{00000000-0005-0000-0000-0000E4780000}"/>
    <cellStyle name="Standard 4 7 2 5 4 3" xfId="30736" xr:uid="{00000000-0005-0000-0000-0000E5780000}"/>
    <cellStyle name="Standard 4 7 2 5 5" xfId="30737" xr:uid="{00000000-0005-0000-0000-0000E6780000}"/>
    <cellStyle name="Standard 4 7 2 5 5 2" xfId="30738" xr:uid="{00000000-0005-0000-0000-0000E7780000}"/>
    <cellStyle name="Standard 4 7 2 5 6" xfId="30739" xr:uid="{00000000-0005-0000-0000-0000E8780000}"/>
    <cellStyle name="Standard 4 7 2 5 7" xfId="30740" xr:uid="{00000000-0005-0000-0000-0000E9780000}"/>
    <cellStyle name="Standard 4 7 2 6" xfId="30741" xr:uid="{00000000-0005-0000-0000-0000EA780000}"/>
    <cellStyle name="Standard 4 7 2 6 2" xfId="30742" xr:uid="{00000000-0005-0000-0000-0000EB780000}"/>
    <cellStyle name="Standard 4 7 2 6 2 2" xfId="30743" xr:uid="{00000000-0005-0000-0000-0000EC780000}"/>
    <cellStyle name="Standard 4 7 2 6 2 3" xfId="30744" xr:uid="{00000000-0005-0000-0000-0000ED780000}"/>
    <cellStyle name="Standard 4 7 2 6 3" xfId="30745" xr:uid="{00000000-0005-0000-0000-0000EE780000}"/>
    <cellStyle name="Standard 4 7 2 6 3 2" xfId="30746" xr:uid="{00000000-0005-0000-0000-0000EF780000}"/>
    <cellStyle name="Standard 4 7 2 6 3 3" xfId="30747" xr:uid="{00000000-0005-0000-0000-0000F0780000}"/>
    <cellStyle name="Standard 4 7 2 6 4" xfId="30748" xr:uid="{00000000-0005-0000-0000-0000F1780000}"/>
    <cellStyle name="Standard 4 7 2 6 4 2" xfId="30749" xr:uid="{00000000-0005-0000-0000-0000F2780000}"/>
    <cellStyle name="Standard 4 7 2 6 5" xfId="30750" xr:uid="{00000000-0005-0000-0000-0000F3780000}"/>
    <cellStyle name="Standard 4 7 2 6 6" xfId="30751" xr:uid="{00000000-0005-0000-0000-0000F4780000}"/>
    <cellStyle name="Standard 4 7 2 7" xfId="30752" xr:uid="{00000000-0005-0000-0000-0000F5780000}"/>
    <cellStyle name="Standard 4 7 2 7 2" xfId="30753" xr:uid="{00000000-0005-0000-0000-0000F6780000}"/>
    <cellStyle name="Standard 4 7 2 7 3" xfId="30754" xr:uid="{00000000-0005-0000-0000-0000F7780000}"/>
    <cellStyle name="Standard 4 7 2 8" xfId="30755" xr:uid="{00000000-0005-0000-0000-0000F8780000}"/>
    <cellStyle name="Standard 4 7 2 8 2" xfId="30756" xr:uid="{00000000-0005-0000-0000-0000F9780000}"/>
    <cellStyle name="Standard 4 7 2 8 3" xfId="30757" xr:uid="{00000000-0005-0000-0000-0000FA780000}"/>
    <cellStyle name="Standard 4 7 2 9" xfId="30758" xr:uid="{00000000-0005-0000-0000-0000FB780000}"/>
    <cellStyle name="Standard 4 7 2 9 2" xfId="30759" xr:uid="{00000000-0005-0000-0000-0000FC780000}"/>
    <cellStyle name="Standard 4 7 3" xfId="30760" xr:uid="{00000000-0005-0000-0000-0000FD780000}"/>
    <cellStyle name="Standard 4 7 3 10" xfId="30761" xr:uid="{00000000-0005-0000-0000-0000FE780000}"/>
    <cellStyle name="Standard 4 7 3 2" xfId="30762" xr:uid="{00000000-0005-0000-0000-0000FF780000}"/>
    <cellStyle name="Standard 4 7 3 2 2" xfId="30763" xr:uid="{00000000-0005-0000-0000-000000790000}"/>
    <cellStyle name="Standard 4 7 3 2 2 2" xfId="30764" xr:uid="{00000000-0005-0000-0000-000001790000}"/>
    <cellStyle name="Standard 4 7 3 2 2 2 2" xfId="30765" xr:uid="{00000000-0005-0000-0000-000002790000}"/>
    <cellStyle name="Standard 4 7 3 2 2 2 2 2" xfId="30766" xr:uid="{00000000-0005-0000-0000-000003790000}"/>
    <cellStyle name="Standard 4 7 3 2 2 2 2 3" xfId="30767" xr:uid="{00000000-0005-0000-0000-000004790000}"/>
    <cellStyle name="Standard 4 7 3 2 2 2 3" xfId="30768" xr:uid="{00000000-0005-0000-0000-000005790000}"/>
    <cellStyle name="Standard 4 7 3 2 2 2 3 2" xfId="30769" xr:uid="{00000000-0005-0000-0000-000006790000}"/>
    <cellStyle name="Standard 4 7 3 2 2 2 3 3" xfId="30770" xr:uid="{00000000-0005-0000-0000-000007790000}"/>
    <cellStyle name="Standard 4 7 3 2 2 2 4" xfId="30771" xr:uid="{00000000-0005-0000-0000-000008790000}"/>
    <cellStyle name="Standard 4 7 3 2 2 2 4 2" xfId="30772" xr:uid="{00000000-0005-0000-0000-000009790000}"/>
    <cellStyle name="Standard 4 7 3 2 2 2 5" xfId="30773" xr:uid="{00000000-0005-0000-0000-00000A790000}"/>
    <cellStyle name="Standard 4 7 3 2 2 2 6" xfId="30774" xr:uid="{00000000-0005-0000-0000-00000B790000}"/>
    <cellStyle name="Standard 4 7 3 2 2 3" xfId="30775" xr:uid="{00000000-0005-0000-0000-00000C790000}"/>
    <cellStyle name="Standard 4 7 3 2 2 3 2" xfId="30776" xr:uid="{00000000-0005-0000-0000-00000D790000}"/>
    <cellStyle name="Standard 4 7 3 2 2 3 3" xfId="30777" xr:uid="{00000000-0005-0000-0000-00000E790000}"/>
    <cellStyle name="Standard 4 7 3 2 2 4" xfId="30778" xr:uid="{00000000-0005-0000-0000-00000F790000}"/>
    <cellStyle name="Standard 4 7 3 2 2 4 2" xfId="30779" xr:uid="{00000000-0005-0000-0000-000010790000}"/>
    <cellStyle name="Standard 4 7 3 2 2 4 3" xfId="30780" xr:uid="{00000000-0005-0000-0000-000011790000}"/>
    <cellStyle name="Standard 4 7 3 2 2 5" xfId="30781" xr:uid="{00000000-0005-0000-0000-000012790000}"/>
    <cellStyle name="Standard 4 7 3 2 2 5 2" xfId="30782" xr:uid="{00000000-0005-0000-0000-000013790000}"/>
    <cellStyle name="Standard 4 7 3 2 2 6" xfId="30783" xr:uid="{00000000-0005-0000-0000-000014790000}"/>
    <cellStyle name="Standard 4 7 3 2 2 7" xfId="30784" xr:uid="{00000000-0005-0000-0000-000015790000}"/>
    <cellStyle name="Standard 4 7 3 2 3" xfId="30785" xr:uid="{00000000-0005-0000-0000-000016790000}"/>
    <cellStyle name="Standard 4 7 3 2 3 2" xfId="30786" xr:uid="{00000000-0005-0000-0000-000017790000}"/>
    <cellStyle name="Standard 4 7 3 2 3 2 2" xfId="30787" xr:uid="{00000000-0005-0000-0000-000018790000}"/>
    <cellStyle name="Standard 4 7 3 2 3 2 3" xfId="30788" xr:uid="{00000000-0005-0000-0000-000019790000}"/>
    <cellStyle name="Standard 4 7 3 2 3 3" xfId="30789" xr:uid="{00000000-0005-0000-0000-00001A790000}"/>
    <cellStyle name="Standard 4 7 3 2 3 3 2" xfId="30790" xr:uid="{00000000-0005-0000-0000-00001B790000}"/>
    <cellStyle name="Standard 4 7 3 2 3 3 3" xfId="30791" xr:uid="{00000000-0005-0000-0000-00001C790000}"/>
    <cellStyle name="Standard 4 7 3 2 3 4" xfId="30792" xr:uid="{00000000-0005-0000-0000-00001D790000}"/>
    <cellStyle name="Standard 4 7 3 2 3 4 2" xfId="30793" xr:uid="{00000000-0005-0000-0000-00001E790000}"/>
    <cellStyle name="Standard 4 7 3 2 3 5" xfId="30794" xr:uid="{00000000-0005-0000-0000-00001F790000}"/>
    <cellStyle name="Standard 4 7 3 2 3 6" xfId="30795" xr:uid="{00000000-0005-0000-0000-000020790000}"/>
    <cellStyle name="Standard 4 7 3 2 4" xfId="30796" xr:uid="{00000000-0005-0000-0000-000021790000}"/>
    <cellStyle name="Standard 4 7 3 2 4 2" xfId="30797" xr:uid="{00000000-0005-0000-0000-000022790000}"/>
    <cellStyle name="Standard 4 7 3 2 4 3" xfId="30798" xr:uid="{00000000-0005-0000-0000-000023790000}"/>
    <cellStyle name="Standard 4 7 3 2 5" xfId="30799" xr:uid="{00000000-0005-0000-0000-000024790000}"/>
    <cellStyle name="Standard 4 7 3 2 5 2" xfId="30800" xr:uid="{00000000-0005-0000-0000-000025790000}"/>
    <cellStyle name="Standard 4 7 3 2 5 3" xfId="30801" xr:uid="{00000000-0005-0000-0000-000026790000}"/>
    <cellStyle name="Standard 4 7 3 2 6" xfId="30802" xr:uid="{00000000-0005-0000-0000-000027790000}"/>
    <cellStyle name="Standard 4 7 3 2 6 2" xfId="30803" xr:uid="{00000000-0005-0000-0000-000028790000}"/>
    <cellStyle name="Standard 4 7 3 2 7" xfId="30804" xr:uid="{00000000-0005-0000-0000-000029790000}"/>
    <cellStyle name="Standard 4 7 3 2 8" xfId="30805" xr:uid="{00000000-0005-0000-0000-00002A790000}"/>
    <cellStyle name="Standard 4 7 3 3" xfId="30806" xr:uid="{00000000-0005-0000-0000-00002B790000}"/>
    <cellStyle name="Standard 4 7 3 3 2" xfId="30807" xr:uid="{00000000-0005-0000-0000-00002C790000}"/>
    <cellStyle name="Standard 4 7 3 3 2 2" xfId="30808" xr:uid="{00000000-0005-0000-0000-00002D790000}"/>
    <cellStyle name="Standard 4 7 3 3 2 2 2" xfId="30809" xr:uid="{00000000-0005-0000-0000-00002E790000}"/>
    <cellStyle name="Standard 4 7 3 3 2 2 2 2" xfId="30810" xr:uid="{00000000-0005-0000-0000-00002F790000}"/>
    <cellStyle name="Standard 4 7 3 3 2 2 2 3" xfId="30811" xr:uid="{00000000-0005-0000-0000-000030790000}"/>
    <cellStyle name="Standard 4 7 3 3 2 2 3" xfId="30812" xr:uid="{00000000-0005-0000-0000-000031790000}"/>
    <cellStyle name="Standard 4 7 3 3 2 2 3 2" xfId="30813" xr:uid="{00000000-0005-0000-0000-000032790000}"/>
    <cellStyle name="Standard 4 7 3 3 2 2 3 3" xfId="30814" xr:uid="{00000000-0005-0000-0000-000033790000}"/>
    <cellStyle name="Standard 4 7 3 3 2 2 4" xfId="30815" xr:uid="{00000000-0005-0000-0000-000034790000}"/>
    <cellStyle name="Standard 4 7 3 3 2 2 4 2" xfId="30816" xr:uid="{00000000-0005-0000-0000-000035790000}"/>
    <cellStyle name="Standard 4 7 3 3 2 2 5" xfId="30817" xr:uid="{00000000-0005-0000-0000-000036790000}"/>
    <cellStyle name="Standard 4 7 3 3 2 2 6" xfId="30818" xr:uid="{00000000-0005-0000-0000-000037790000}"/>
    <cellStyle name="Standard 4 7 3 3 2 3" xfId="30819" xr:uid="{00000000-0005-0000-0000-000038790000}"/>
    <cellStyle name="Standard 4 7 3 3 2 3 2" xfId="30820" xr:uid="{00000000-0005-0000-0000-000039790000}"/>
    <cellStyle name="Standard 4 7 3 3 2 3 3" xfId="30821" xr:uid="{00000000-0005-0000-0000-00003A790000}"/>
    <cellStyle name="Standard 4 7 3 3 2 4" xfId="30822" xr:uid="{00000000-0005-0000-0000-00003B790000}"/>
    <cellStyle name="Standard 4 7 3 3 2 4 2" xfId="30823" xr:uid="{00000000-0005-0000-0000-00003C790000}"/>
    <cellStyle name="Standard 4 7 3 3 2 4 3" xfId="30824" xr:uid="{00000000-0005-0000-0000-00003D790000}"/>
    <cellStyle name="Standard 4 7 3 3 2 5" xfId="30825" xr:uid="{00000000-0005-0000-0000-00003E790000}"/>
    <cellStyle name="Standard 4 7 3 3 2 5 2" xfId="30826" xr:uid="{00000000-0005-0000-0000-00003F790000}"/>
    <cellStyle name="Standard 4 7 3 3 2 6" xfId="30827" xr:uid="{00000000-0005-0000-0000-000040790000}"/>
    <cellStyle name="Standard 4 7 3 3 2 7" xfId="30828" xr:uid="{00000000-0005-0000-0000-000041790000}"/>
    <cellStyle name="Standard 4 7 3 3 3" xfId="30829" xr:uid="{00000000-0005-0000-0000-000042790000}"/>
    <cellStyle name="Standard 4 7 3 3 3 2" xfId="30830" xr:uid="{00000000-0005-0000-0000-000043790000}"/>
    <cellStyle name="Standard 4 7 3 3 3 2 2" xfId="30831" xr:uid="{00000000-0005-0000-0000-000044790000}"/>
    <cellStyle name="Standard 4 7 3 3 3 2 3" xfId="30832" xr:uid="{00000000-0005-0000-0000-000045790000}"/>
    <cellStyle name="Standard 4 7 3 3 3 3" xfId="30833" xr:uid="{00000000-0005-0000-0000-000046790000}"/>
    <cellStyle name="Standard 4 7 3 3 3 3 2" xfId="30834" xr:uid="{00000000-0005-0000-0000-000047790000}"/>
    <cellStyle name="Standard 4 7 3 3 3 3 3" xfId="30835" xr:uid="{00000000-0005-0000-0000-000048790000}"/>
    <cellStyle name="Standard 4 7 3 3 3 4" xfId="30836" xr:uid="{00000000-0005-0000-0000-000049790000}"/>
    <cellStyle name="Standard 4 7 3 3 3 4 2" xfId="30837" xr:uid="{00000000-0005-0000-0000-00004A790000}"/>
    <cellStyle name="Standard 4 7 3 3 3 5" xfId="30838" xr:uid="{00000000-0005-0000-0000-00004B790000}"/>
    <cellStyle name="Standard 4 7 3 3 3 6" xfId="30839" xr:uid="{00000000-0005-0000-0000-00004C790000}"/>
    <cellStyle name="Standard 4 7 3 3 4" xfId="30840" xr:uid="{00000000-0005-0000-0000-00004D790000}"/>
    <cellStyle name="Standard 4 7 3 3 4 2" xfId="30841" xr:uid="{00000000-0005-0000-0000-00004E790000}"/>
    <cellStyle name="Standard 4 7 3 3 4 3" xfId="30842" xr:uid="{00000000-0005-0000-0000-00004F790000}"/>
    <cellStyle name="Standard 4 7 3 3 5" xfId="30843" xr:uid="{00000000-0005-0000-0000-000050790000}"/>
    <cellStyle name="Standard 4 7 3 3 5 2" xfId="30844" xr:uid="{00000000-0005-0000-0000-000051790000}"/>
    <cellStyle name="Standard 4 7 3 3 5 3" xfId="30845" xr:uid="{00000000-0005-0000-0000-000052790000}"/>
    <cellStyle name="Standard 4 7 3 3 6" xfId="30846" xr:uid="{00000000-0005-0000-0000-000053790000}"/>
    <cellStyle name="Standard 4 7 3 3 6 2" xfId="30847" xr:uid="{00000000-0005-0000-0000-000054790000}"/>
    <cellStyle name="Standard 4 7 3 3 7" xfId="30848" xr:uid="{00000000-0005-0000-0000-000055790000}"/>
    <cellStyle name="Standard 4 7 3 3 8" xfId="30849" xr:uid="{00000000-0005-0000-0000-000056790000}"/>
    <cellStyle name="Standard 4 7 3 4" xfId="30850" xr:uid="{00000000-0005-0000-0000-000057790000}"/>
    <cellStyle name="Standard 4 7 3 4 2" xfId="30851" xr:uid="{00000000-0005-0000-0000-000058790000}"/>
    <cellStyle name="Standard 4 7 3 4 2 2" xfId="30852" xr:uid="{00000000-0005-0000-0000-000059790000}"/>
    <cellStyle name="Standard 4 7 3 4 2 2 2" xfId="30853" xr:uid="{00000000-0005-0000-0000-00005A790000}"/>
    <cellStyle name="Standard 4 7 3 4 2 2 3" xfId="30854" xr:uid="{00000000-0005-0000-0000-00005B790000}"/>
    <cellStyle name="Standard 4 7 3 4 2 3" xfId="30855" xr:uid="{00000000-0005-0000-0000-00005C790000}"/>
    <cellStyle name="Standard 4 7 3 4 2 3 2" xfId="30856" xr:uid="{00000000-0005-0000-0000-00005D790000}"/>
    <cellStyle name="Standard 4 7 3 4 2 3 3" xfId="30857" xr:uid="{00000000-0005-0000-0000-00005E790000}"/>
    <cellStyle name="Standard 4 7 3 4 2 4" xfId="30858" xr:uid="{00000000-0005-0000-0000-00005F790000}"/>
    <cellStyle name="Standard 4 7 3 4 2 4 2" xfId="30859" xr:uid="{00000000-0005-0000-0000-000060790000}"/>
    <cellStyle name="Standard 4 7 3 4 2 5" xfId="30860" xr:uid="{00000000-0005-0000-0000-000061790000}"/>
    <cellStyle name="Standard 4 7 3 4 2 6" xfId="30861" xr:uid="{00000000-0005-0000-0000-000062790000}"/>
    <cellStyle name="Standard 4 7 3 4 3" xfId="30862" xr:uid="{00000000-0005-0000-0000-000063790000}"/>
    <cellStyle name="Standard 4 7 3 4 3 2" xfId="30863" xr:uid="{00000000-0005-0000-0000-000064790000}"/>
    <cellStyle name="Standard 4 7 3 4 3 3" xfId="30864" xr:uid="{00000000-0005-0000-0000-000065790000}"/>
    <cellStyle name="Standard 4 7 3 4 4" xfId="30865" xr:uid="{00000000-0005-0000-0000-000066790000}"/>
    <cellStyle name="Standard 4 7 3 4 4 2" xfId="30866" xr:uid="{00000000-0005-0000-0000-000067790000}"/>
    <cellStyle name="Standard 4 7 3 4 4 3" xfId="30867" xr:uid="{00000000-0005-0000-0000-000068790000}"/>
    <cellStyle name="Standard 4 7 3 4 5" xfId="30868" xr:uid="{00000000-0005-0000-0000-000069790000}"/>
    <cellStyle name="Standard 4 7 3 4 5 2" xfId="30869" xr:uid="{00000000-0005-0000-0000-00006A790000}"/>
    <cellStyle name="Standard 4 7 3 4 6" xfId="30870" xr:uid="{00000000-0005-0000-0000-00006B790000}"/>
    <cellStyle name="Standard 4 7 3 4 7" xfId="30871" xr:uid="{00000000-0005-0000-0000-00006C790000}"/>
    <cellStyle name="Standard 4 7 3 5" xfId="30872" xr:uid="{00000000-0005-0000-0000-00006D790000}"/>
    <cellStyle name="Standard 4 7 3 5 2" xfId="30873" xr:uid="{00000000-0005-0000-0000-00006E790000}"/>
    <cellStyle name="Standard 4 7 3 5 2 2" xfId="30874" xr:uid="{00000000-0005-0000-0000-00006F790000}"/>
    <cellStyle name="Standard 4 7 3 5 2 3" xfId="30875" xr:uid="{00000000-0005-0000-0000-000070790000}"/>
    <cellStyle name="Standard 4 7 3 5 3" xfId="30876" xr:uid="{00000000-0005-0000-0000-000071790000}"/>
    <cellStyle name="Standard 4 7 3 5 3 2" xfId="30877" xr:uid="{00000000-0005-0000-0000-000072790000}"/>
    <cellStyle name="Standard 4 7 3 5 3 3" xfId="30878" xr:uid="{00000000-0005-0000-0000-000073790000}"/>
    <cellStyle name="Standard 4 7 3 5 4" xfId="30879" xr:uid="{00000000-0005-0000-0000-000074790000}"/>
    <cellStyle name="Standard 4 7 3 5 4 2" xfId="30880" xr:uid="{00000000-0005-0000-0000-000075790000}"/>
    <cellStyle name="Standard 4 7 3 5 5" xfId="30881" xr:uid="{00000000-0005-0000-0000-000076790000}"/>
    <cellStyle name="Standard 4 7 3 5 6" xfId="30882" xr:uid="{00000000-0005-0000-0000-000077790000}"/>
    <cellStyle name="Standard 4 7 3 6" xfId="30883" xr:uid="{00000000-0005-0000-0000-000078790000}"/>
    <cellStyle name="Standard 4 7 3 6 2" xfId="30884" xr:uid="{00000000-0005-0000-0000-000079790000}"/>
    <cellStyle name="Standard 4 7 3 6 3" xfId="30885" xr:uid="{00000000-0005-0000-0000-00007A790000}"/>
    <cellStyle name="Standard 4 7 3 7" xfId="30886" xr:uid="{00000000-0005-0000-0000-00007B790000}"/>
    <cellStyle name="Standard 4 7 3 7 2" xfId="30887" xr:uid="{00000000-0005-0000-0000-00007C790000}"/>
    <cellStyle name="Standard 4 7 3 7 3" xfId="30888" xr:uid="{00000000-0005-0000-0000-00007D790000}"/>
    <cellStyle name="Standard 4 7 3 8" xfId="30889" xr:uid="{00000000-0005-0000-0000-00007E790000}"/>
    <cellStyle name="Standard 4 7 3 8 2" xfId="30890" xr:uid="{00000000-0005-0000-0000-00007F790000}"/>
    <cellStyle name="Standard 4 7 3 9" xfId="30891" xr:uid="{00000000-0005-0000-0000-000080790000}"/>
    <cellStyle name="Standard 4 7 4" xfId="30892" xr:uid="{00000000-0005-0000-0000-000081790000}"/>
    <cellStyle name="Standard 4 7 4 2" xfId="30893" xr:uid="{00000000-0005-0000-0000-000082790000}"/>
    <cellStyle name="Standard 4 7 4 2 2" xfId="30894" xr:uid="{00000000-0005-0000-0000-000083790000}"/>
    <cellStyle name="Standard 4 7 4 2 2 2" xfId="30895" xr:uid="{00000000-0005-0000-0000-000084790000}"/>
    <cellStyle name="Standard 4 7 4 2 2 2 2" xfId="30896" xr:uid="{00000000-0005-0000-0000-000085790000}"/>
    <cellStyle name="Standard 4 7 4 2 2 2 3" xfId="30897" xr:uid="{00000000-0005-0000-0000-000086790000}"/>
    <cellStyle name="Standard 4 7 4 2 2 3" xfId="30898" xr:uid="{00000000-0005-0000-0000-000087790000}"/>
    <cellStyle name="Standard 4 7 4 2 2 3 2" xfId="30899" xr:uid="{00000000-0005-0000-0000-000088790000}"/>
    <cellStyle name="Standard 4 7 4 2 2 3 3" xfId="30900" xr:uid="{00000000-0005-0000-0000-000089790000}"/>
    <cellStyle name="Standard 4 7 4 2 2 4" xfId="30901" xr:uid="{00000000-0005-0000-0000-00008A790000}"/>
    <cellStyle name="Standard 4 7 4 2 2 4 2" xfId="30902" xr:uid="{00000000-0005-0000-0000-00008B790000}"/>
    <cellStyle name="Standard 4 7 4 2 2 5" xfId="30903" xr:uid="{00000000-0005-0000-0000-00008C790000}"/>
    <cellStyle name="Standard 4 7 4 2 2 6" xfId="30904" xr:uid="{00000000-0005-0000-0000-00008D790000}"/>
    <cellStyle name="Standard 4 7 4 2 3" xfId="30905" xr:uid="{00000000-0005-0000-0000-00008E790000}"/>
    <cellStyle name="Standard 4 7 4 2 3 2" xfId="30906" xr:uid="{00000000-0005-0000-0000-00008F790000}"/>
    <cellStyle name="Standard 4 7 4 2 3 3" xfId="30907" xr:uid="{00000000-0005-0000-0000-000090790000}"/>
    <cellStyle name="Standard 4 7 4 2 4" xfId="30908" xr:uid="{00000000-0005-0000-0000-000091790000}"/>
    <cellStyle name="Standard 4 7 4 2 4 2" xfId="30909" xr:uid="{00000000-0005-0000-0000-000092790000}"/>
    <cellStyle name="Standard 4 7 4 2 4 3" xfId="30910" xr:uid="{00000000-0005-0000-0000-000093790000}"/>
    <cellStyle name="Standard 4 7 4 2 5" xfId="30911" xr:uid="{00000000-0005-0000-0000-000094790000}"/>
    <cellStyle name="Standard 4 7 4 2 5 2" xfId="30912" xr:uid="{00000000-0005-0000-0000-000095790000}"/>
    <cellStyle name="Standard 4 7 4 2 6" xfId="30913" xr:uid="{00000000-0005-0000-0000-000096790000}"/>
    <cellStyle name="Standard 4 7 4 2 7" xfId="30914" xr:uid="{00000000-0005-0000-0000-000097790000}"/>
    <cellStyle name="Standard 4 7 4 3" xfId="30915" xr:uid="{00000000-0005-0000-0000-000098790000}"/>
    <cellStyle name="Standard 4 7 4 3 2" xfId="30916" xr:uid="{00000000-0005-0000-0000-000099790000}"/>
    <cellStyle name="Standard 4 7 4 3 2 2" xfId="30917" xr:uid="{00000000-0005-0000-0000-00009A790000}"/>
    <cellStyle name="Standard 4 7 4 3 2 3" xfId="30918" xr:uid="{00000000-0005-0000-0000-00009B790000}"/>
    <cellStyle name="Standard 4 7 4 3 3" xfId="30919" xr:uid="{00000000-0005-0000-0000-00009C790000}"/>
    <cellStyle name="Standard 4 7 4 3 3 2" xfId="30920" xr:uid="{00000000-0005-0000-0000-00009D790000}"/>
    <cellStyle name="Standard 4 7 4 3 3 3" xfId="30921" xr:uid="{00000000-0005-0000-0000-00009E790000}"/>
    <cellStyle name="Standard 4 7 4 3 4" xfId="30922" xr:uid="{00000000-0005-0000-0000-00009F790000}"/>
    <cellStyle name="Standard 4 7 4 3 4 2" xfId="30923" xr:uid="{00000000-0005-0000-0000-0000A0790000}"/>
    <cellStyle name="Standard 4 7 4 3 5" xfId="30924" xr:uid="{00000000-0005-0000-0000-0000A1790000}"/>
    <cellStyle name="Standard 4 7 4 3 6" xfId="30925" xr:uid="{00000000-0005-0000-0000-0000A2790000}"/>
    <cellStyle name="Standard 4 7 4 4" xfId="30926" xr:uid="{00000000-0005-0000-0000-0000A3790000}"/>
    <cellStyle name="Standard 4 7 4 4 2" xfId="30927" xr:uid="{00000000-0005-0000-0000-0000A4790000}"/>
    <cellStyle name="Standard 4 7 4 4 3" xfId="30928" xr:uid="{00000000-0005-0000-0000-0000A5790000}"/>
    <cellStyle name="Standard 4 7 4 5" xfId="30929" xr:uid="{00000000-0005-0000-0000-0000A6790000}"/>
    <cellStyle name="Standard 4 7 4 5 2" xfId="30930" xr:uid="{00000000-0005-0000-0000-0000A7790000}"/>
    <cellStyle name="Standard 4 7 4 5 3" xfId="30931" xr:uid="{00000000-0005-0000-0000-0000A8790000}"/>
    <cellStyle name="Standard 4 7 4 6" xfId="30932" xr:uid="{00000000-0005-0000-0000-0000A9790000}"/>
    <cellStyle name="Standard 4 7 4 6 2" xfId="30933" xr:uid="{00000000-0005-0000-0000-0000AA790000}"/>
    <cellStyle name="Standard 4 7 4 7" xfId="30934" xr:uid="{00000000-0005-0000-0000-0000AB790000}"/>
    <cellStyle name="Standard 4 7 4 8" xfId="30935" xr:uid="{00000000-0005-0000-0000-0000AC790000}"/>
    <cellStyle name="Standard 4 7 5" xfId="30936" xr:uid="{00000000-0005-0000-0000-0000AD790000}"/>
    <cellStyle name="Standard 4 7 5 2" xfId="30937" xr:uid="{00000000-0005-0000-0000-0000AE790000}"/>
    <cellStyle name="Standard 4 7 5 2 2" xfId="30938" xr:uid="{00000000-0005-0000-0000-0000AF790000}"/>
    <cellStyle name="Standard 4 7 5 2 2 2" xfId="30939" xr:uid="{00000000-0005-0000-0000-0000B0790000}"/>
    <cellStyle name="Standard 4 7 5 2 2 2 2" xfId="30940" xr:uid="{00000000-0005-0000-0000-0000B1790000}"/>
    <cellStyle name="Standard 4 7 5 2 2 2 3" xfId="30941" xr:uid="{00000000-0005-0000-0000-0000B2790000}"/>
    <cellStyle name="Standard 4 7 5 2 2 3" xfId="30942" xr:uid="{00000000-0005-0000-0000-0000B3790000}"/>
    <cellStyle name="Standard 4 7 5 2 2 3 2" xfId="30943" xr:uid="{00000000-0005-0000-0000-0000B4790000}"/>
    <cellStyle name="Standard 4 7 5 2 2 3 3" xfId="30944" xr:uid="{00000000-0005-0000-0000-0000B5790000}"/>
    <cellStyle name="Standard 4 7 5 2 2 4" xfId="30945" xr:uid="{00000000-0005-0000-0000-0000B6790000}"/>
    <cellStyle name="Standard 4 7 5 2 2 4 2" xfId="30946" xr:uid="{00000000-0005-0000-0000-0000B7790000}"/>
    <cellStyle name="Standard 4 7 5 2 2 5" xfId="30947" xr:uid="{00000000-0005-0000-0000-0000B8790000}"/>
    <cellStyle name="Standard 4 7 5 2 2 6" xfId="30948" xr:uid="{00000000-0005-0000-0000-0000B9790000}"/>
    <cellStyle name="Standard 4 7 5 2 3" xfId="30949" xr:uid="{00000000-0005-0000-0000-0000BA790000}"/>
    <cellStyle name="Standard 4 7 5 2 3 2" xfId="30950" xr:uid="{00000000-0005-0000-0000-0000BB790000}"/>
    <cellStyle name="Standard 4 7 5 2 3 3" xfId="30951" xr:uid="{00000000-0005-0000-0000-0000BC790000}"/>
    <cellStyle name="Standard 4 7 5 2 4" xfId="30952" xr:uid="{00000000-0005-0000-0000-0000BD790000}"/>
    <cellStyle name="Standard 4 7 5 2 4 2" xfId="30953" xr:uid="{00000000-0005-0000-0000-0000BE790000}"/>
    <cellStyle name="Standard 4 7 5 2 4 3" xfId="30954" xr:uid="{00000000-0005-0000-0000-0000BF790000}"/>
    <cellStyle name="Standard 4 7 5 2 5" xfId="30955" xr:uid="{00000000-0005-0000-0000-0000C0790000}"/>
    <cellStyle name="Standard 4 7 5 2 5 2" xfId="30956" xr:uid="{00000000-0005-0000-0000-0000C1790000}"/>
    <cellStyle name="Standard 4 7 5 2 6" xfId="30957" xr:uid="{00000000-0005-0000-0000-0000C2790000}"/>
    <cellStyle name="Standard 4 7 5 2 7" xfId="30958" xr:uid="{00000000-0005-0000-0000-0000C3790000}"/>
    <cellStyle name="Standard 4 7 5 3" xfId="30959" xr:uid="{00000000-0005-0000-0000-0000C4790000}"/>
    <cellStyle name="Standard 4 7 5 3 2" xfId="30960" xr:uid="{00000000-0005-0000-0000-0000C5790000}"/>
    <cellStyle name="Standard 4 7 5 3 2 2" xfId="30961" xr:uid="{00000000-0005-0000-0000-0000C6790000}"/>
    <cellStyle name="Standard 4 7 5 3 2 3" xfId="30962" xr:uid="{00000000-0005-0000-0000-0000C7790000}"/>
    <cellStyle name="Standard 4 7 5 3 3" xfId="30963" xr:uid="{00000000-0005-0000-0000-0000C8790000}"/>
    <cellStyle name="Standard 4 7 5 3 3 2" xfId="30964" xr:uid="{00000000-0005-0000-0000-0000C9790000}"/>
    <cellStyle name="Standard 4 7 5 3 3 3" xfId="30965" xr:uid="{00000000-0005-0000-0000-0000CA790000}"/>
    <cellStyle name="Standard 4 7 5 3 4" xfId="30966" xr:uid="{00000000-0005-0000-0000-0000CB790000}"/>
    <cellStyle name="Standard 4 7 5 3 4 2" xfId="30967" xr:uid="{00000000-0005-0000-0000-0000CC790000}"/>
    <cellStyle name="Standard 4 7 5 3 5" xfId="30968" xr:uid="{00000000-0005-0000-0000-0000CD790000}"/>
    <cellStyle name="Standard 4 7 5 3 6" xfId="30969" xr:uid="{00000000-0005-0000-0000-0000CE790000}"/>
    <cellStyle name="Standard 4 7 5 4" xfId="30970" xr:uid="{00000000-0005-0000-0000-0000CF790000}"/>
    <cellStyle name="Standard 4 7 5 4 2" xfId="30971" xr:uid="{00000000-0005-0000-0000-0000D0790000}"/>
    <cellStyle name="Standard 4 7 5 4 3" xfId="30972" xr:uid="{00000000-0005-0000-0000-0000D1790000}"/>
    <cellStyle name="Standard 4 7 5 5" xfId="30973" xr:uid="{00000000-0005-0000-0000-0000D2790000}"/>
    <cellStyle name="Standard 4 7 5 5 2" xfId="30974" xr:uid="{00000000-0005-0000-0000-0000D3790000}"/>
    <cellStyle name="Standard 4 7 5 5 3" xfId="30975" xr:uid="{00000000-0005-0000-0000-0000D4790000}"/>
    <cellStyle name="Standard 4 7 5 6" xfId="30976" xr:uid="{00000000-0005-0000-0000-0000D5790000}"/>
    <cellStyle name="Standard 4 7 5 6 2" xfId="30977" xr:uid="{00000000-0005-0000-0000-0000D6790000}"/>
    <cellStyle name="Standard 4 7 5 7" xfId="30978" xr:uid="{00000000-0005-0000-0000-0000D7790000}"/>
    <cellStyle name="Standard 4 7 5 8" xfId="30979" xr:uid="{00000000-0005-0000-0000-0000D8790000}"/>
    <cellStyle name="Standard 4 7 6" xfId="30980" xr:uid="{00000000-0005-0000-0000-0000D9790000}"/>
    <cellStyle name="Standard 4 7 6 2" xfId="30981" xr:uid="{00000000-0005-0000-0000-0000DA790000}"/>
    <cellStyle name="Standard 4 7 6 2 2" xfId="30982" xr:uid="{00000000-0005-0000-0000-0000DB790000}"/>
    <cellStyle name="Standard 4 7 6 2 2 2" xfId="30983" xr:uid="{00000000-0005-0000-0000-0000DC790000}"/>
    <cellStyle name="Standard 4 7 6 2 2 3" xfId="30984" xr:uid="{00000000-0005-0000-0000-0000DD790000}"/>
    <cellStyle name="Standard 4 7 6 2 3" xfId="30985" xr:uid="{00000000-0005-0000-0000-0000DE790000}"/>
    <cellStyle name="Standard 4 7 6 2 3 2" xfId="30986" xr:uid="{00000000-0005-0000-0000-0000DF790000}"/>
    <cellStyle name="Standard 4 7 6 2 3 3" xfId="30987" xr:uid="{00000000-0005-0000-0000-0000E0790000}"/>
    <cellStyle name="Standard 4 7 6 2 4" xfId="30988" xr:uid="{00000000-0005-0000-0000-0000E1790000}"/>
    <cellStyle name="Standard 4 7 6 2 4 2" xfId="30989" xr:uid="{00000000-0005-0000-0000-0000E2790000}"/>
    <cellStyle name="Standard 4 7 6 2 5" xfId="30990" xr:uid="{00000000-0005-0000-0000-0000E3790000}"/>
    <cellStyle name="Standard 4 7 6 2 6" xfId="30991" xr:uid="{00000000-0005-0000-0000-0000E4790000}"/>
    <cellStyle name="Standard 4 7 6 3" xfId="30992" xr:uid="{00000000-0005-0000-0000-0000E5790000}"/>
    <cellStyle name="Standard 4 7 6 3 2" xfId="30993" xr:uid="{00000000-0005-0000-0000-0000E6790000}"/>
    <cellStyle name="Standard 4 7 6 3 3" xfId="30994" xr:uid="{00000000-0005-0000-0000-0000E7790000}"/>
    <cellStyle name="Standard 4 7 6 4" xfId="30995" xr:uid="{00000000-0005-0000-0000-0000E8790000}"/>
    <cellStyle name="Standard 4 7 6 4 2" xfId="30996" xr:uid="{00000000-0005-0000-0000-0000E9790000}"/>
    <cellStyle name="Standard 4 7 6 4 3" xfId="30997" xr:uid="{00000000-0005-0000-0000-0000EA790000}"/>
    <cellStyle name="Standard 4 7 6 5" xfId="30998" xr:uid="{00000000-0005-0000-0000-0000EB790000}"/>
    <cellStyle name="Standard 4 7 6 5 2" xfId="30999" xr:uid="{00000000-0005-0000-0000-0000EC790000}"/>
    <cellStyle name="Standard 4 7 6 6" xfId="31000" xr:uid="{00000000-0005-0000-0000-0000ED790000}"/>
    <cellStyle name="Standard 4 7 6 7" xfId="31001" xr:uid="{00000000-0005-0000-0000-0000EE790000}"/>
    <cellStyle name="Standard 4 7 7" xfId="31002" xr:uid="{00000000-0005-0000-0000-0000EF790000}"/>
    <cellStyle name="Standard 4 7 7 2" xfId="31003" xr:uid="{00000000-0005-0000-0000-0000F0790000}"/>
    <cellStyle name="Standard 4 7 7 2 2" xfId="31004" xr:uid="{00000000-0005-0000-0000-0000F1790000}"/>
    <cellStyle name="Standard 4 7 7 2 3" xfId="31005" xr:uid="{00000000-0005-0000-0000-0000F2790000}"/>
    <cellStyle name="Standard 4 7 7 3" xfId="31006" xr:uid="{00000000-0005-0000-0000-0000F3790000}"/>
    <cellStyle name="Standard 4 7 7 3 2" xfId="31007" xr:uid="{00000000-0005-0000-0000-0000F4790000}"/>
    <cellStyle name="Standard 4 7 7 3 3" xfId="31008" xr:uid="{00000000-0005-0000-0000-0000F5790000}"/>
    <cellStyle name="Standard 4 7 7 4" xfId="31009" xr:uid="{00000000-0005-0000-0000-0000F6790000}"/>
    <cellStyle name="Standard 4 7 7 4 2" xfId="31010" xr:uid="{00000000-0005-0000-0000-0000F7790000}"/>
    <cellStyle name="Standard 4 7 7 5" xfId="31011" xr:uid="{00000000-0005-0000-0000-0000F8790000}"/>
    <cellStyle name="Standard 4 7 7 6" xfId="31012" xr:uid="{00000000-0005-0000-0000-0000F9790000}"/>
    <cellStyle name="Standard 4 7 8" xfId="31013" xr:uid="{00000000-0005-0000-0000-0000FA790000}"/>
    <cellStyle name="Standard 4 7 8 2" xfId="31014" xr:uid="{00000000-0005-0000-0000-0000FB790000}"/>
    <cellStyle name="Standard 4 7 8 3" xfId="31015" xr:uid="{00000000-0005-0000-0000-0000FC790000}"/>
    <cellStyle name="Standard 4 7 9" xfId="31016" xr:uid="{00000000-0005-0000-0000-0000FD790000}"/>
    <cellStyle name="Standard 4 7 9 2" xfId="31017" xr:uid="{00000000-0005-0000-0000-0000FE790000}"/>
    <cellStyle name="Standard 4 7 9 3" xfId="31018" xr:uid="{00000000-0005-0000-0000-0000FF790000}"/>
    <cellStyle name="Standard 4 8" xfId="594" xr:uid="{00000000-0005-0000-0000-0000007A0000}"/>
    <cellStyle name="Standard 4 8 10" xfId="31019" xr:uid="{00000000-0005-0000-0000-0000017A0000}"/>
    <cellStyle name="Standard 4 8 11" xfId="31020" xr:uid="{00000000-0005-0000-0000-0000027A0000}"/>
    <cellStyle name="Standard 4 8 12" xfId="33116" xr:uid="{00000000-0005-0000-0000-0000037A0000}"/>
    <cellStyle name="Standard 4 8 13" xfId="33191" xr:uid="{00000000-0005-0000-0000-0000047A0000}"/>
    <cellStyle name="Standard 4 8 14" xfId="33266" xr:uid="{00000000-0005-0000-0000-0000057A0000}"/>
    <cellStyle name="Standard 4 8 15" xfId="33341" xr:uid="{00000000-0005-0000-0000-0000067A0000}"/>
    <cellStyle name="Standard 4 8 16" xfId="33477" xr:uid="{00000000-0005-0000-0000-0000077A0000}"/>
    <cellStyle name="Standard 4 8 2" xfId="31021" xr:uid="{00000000-0005-0000-0000-0000087A0000}"/>
    <cellStyle name="Standard 4 8 2 10" xfId="31022" xr:uid="{00000000-0005-0000-0000-0000097A0000}"/>
    <cellStyle name="Standard 4 8 2 2" xfId="31023" xr:uid="{00000000-0005-0000-0000-00000A7A0000}"/>
    <cellStyle name="Standard 4 8 2 2 2" xfId="31024" xr:uid="{00000000-0005-0000-0000-00000B7A0000}"/>
    <cellStyle name="Standard 4 8 2 2 2 2" xfId="31025" xr:uid="{00000000-0005-0000-0000-00000C7A0000}"/>
    <cellStyle name="Standard 4 8 2 2 2 2 2" xfId="31026" xr:uid="{00000000-0005-0000-0000-00000D7A0000}"/>
    <cellStyle name="Standard 4 8 2 2 2 2 2 2" xfId="31027" xr:uid="{00000000-0005-0000-0000-00000E7A0000}"/>
    <cellStyle name="Standard 4 8 2 2 2 2 2 3" xfId="31028" xr:uid="{00000000-0005-0000-0000-00000F7A0000}"/>
    <cellStyle name="Standard 4 8 2 2 2 2 3" xfId="31029" xr:uid="{00000000-0005-0000-0000-0000107A0000}"/>
    <cellStyle name="Standard 4 8 2 2 2 2 3 2" xfId="31030" xr:uid="{00000000-0005-0000-0000-0000117A0000}"/>
    <cellStyle name="Standard 4 8 2 2 2 2 3 3" xfId="31031" xr:uid="{00000000-0005-0000-0000-0000127A0000}"/>
    <cellStyle name="Standard 4 8 2 2 2 2 4" xfId="31032" xr:uid="{00000000-0005-0000-0000-0000137A0000}"/>
    <cellStyle name="Standard 4 8 2 2 2 2 4 2" xfId="31033" xr:uid="{00000000-0005-0000-0000-0000147A0000}"/>
    <cellStyle name="Standard 4 8 2 2 2 2 5" xfId="31034" xr:uid="{00000000-0005-0000-0000-0000157A0000}"/>
    <cellStyle name="Standard 4 8 2 2 2 2 6" xfId="31035" xr:uid="{00000000-0005-0000-0000-0000167A0000}"/>
    <cellStyle name="Standard 4 8 2 2 2 3" xfId="31036" xr:uid="{00000000-0005-0000-0000-0000177A0000}"/>
    <cellStyle name="Standard 4 8 2 2 2 3 2" xfId="31037" xr:uid="{00000000-0005-0000-0000-0000187A0000}"/>
    <cellStyle name="Standard 4 8 2 2 2 3 3" xfId="31038" xr:uid="{00000000-0005-0000-0000-0000197A0000}"/>
    <cellStyle name="Standard 4 8 2 2 2 4" xfId="31039" xr:uid="{00000000-0005-0000-0000-00001A7A0000}"/>
    <cellStyle name="Standard 4 8 2 2 2 4 2" xfId="31040" xr:uid="{00000000-0005-0000-0000-00001B7A0000}"/>
    <cellStyle name="Standard 4 8 2 2 2 4 3" xfId="31041" xr:uid="{00000000-0005-0000-0000-00001C7A0000}"/>
    <cellStyle name="Standard 4 8 2 2 2 5" xfId="31042" xr:uid="{00000000-0005-0000-0000-00001D7A0000}"/>
    <cellStyle name="Standard 4 8 2 2 2 5 2" xfId="31043" xr:uid="{00000000-0005-0000-0000-00001E7A0000}"/>
    <cellStyle name="Standard 4 8 2 2 2 6" xfId="31044" xr:uid="{00000000-0005-0000-0000-00001F7A0000}"/>
    <cellStyle name="Standard 4 8 2 2 2 7" xfId="31045" xr:uid="{00000000-0005-0000-0000-0000207A0000}"/>
    <cellStyle name="Standard 4 8 2 2 3" xfId="31046" xr:uid="{00000000-0005-0000-0000-0000217A0000}"/>
    <cellStyle name="Standard 4 8 2 2 3 2" xfId="31047" xr:uid="{00000000-0005-0000-0000-0000227A0000}"/>
    <cellStyle name="Standard 4 8 2 2 3 2 2" xfId="31048" xr:uid="{00000000-0005-0000-0000-0000237A0000}"/>
    <cellStyle name="Standard 4 8 2 2 3 2 3" xfId="31049" xr:uid="{00000000-0005-0000-0000-0000247A0000}"/>
    <cellStyle name="Standard 4 8 2 2 3 3" xfId="31050" xr:uid="{00000000-0005-0000-0000-0000257A0000}"/>
    <cellStyle name="Standard 4 8 2 2 3 3 2" xfId="31051" xr:uid="{00000000-0005-0000-0000-0000267A0000}"/>
    <cellStyle name="Standard 4 8 2 2 3 3 3" xfId="31052" xr:uid="{00000000-0005-0000-0000-0000277A0000}"/>
    <cellStyle name="Standard 4 8 2 2 3 4" xfId="31053" xr:uid="{00000000-0005-0000-0000-0000287A0000}"/>
    <cellStyle name="Standard 4 8 2 2 3 4 2" xfId="31054" xr:uid="{00000000-0005-0000-0000-0000297A0000}"/>
    <cellStyle name="Standard 4 8 2 2 3 5" xfId="31055" xr:uid="{00000000-0005-0000-0000-00002A7A0000}"/>
    <cellStyle name="Standard 4 8 2 2 3 6" xfId="31056" xr:uid="{00000000-0005-0000-0000-00002B7A0000}"/>
    <cellStyle name="Standard 4 8 2 2 4" xfId="31057" xr:uid="{00000000-0005-0000-0000-00002C7A0000}"/>
    <cellStyle name="Standard 4 8 2 2 4 2" xfId="31058" xr:uid="{00000000-0005-0000-0000-00002D7A0000}"/>
    <cellStyle name="Standard 4 8 2 2 4 3" xfId="31059" xr:uid="{00000000-0005-0000-0000-00002E7A0000}"/>
    <cellStyle name="Standard 4 8 2 2 5" xfId="31060" xr:uid="{00000000-0005-0000-0000-00002F7A0000}"/>
    <cellStyle name="Standard 4 8 2 2 5 2" xfId="31061" xr:uid="{00000000-0005-0000-0000-0000307A0000}"/>
    <cellStyle name="Standard 4 8 2 2 5 3" xfId="31062" xr:uid="{00000000-0005-0000-0000-0000317A0000}"/>
    <cellStyle name="Standard 4 8 2 2 6" xfId="31063" xr:uid="{00000000-0005-0000-0000-0000327A0000}"/>
    <cellStyle name="Standard 4 8 2 2 6 2" xfId="31064" xr:uid="{00000000-0005-0000-0000-0000337A0000}"/>
    <cellStyle name="Standard 4 8 2 2 7" xfId="31065" xr:uid="{00000000-0005-0000-0000-0000347A0000}"/>
    <cellStyle name="Standard 4 8 2 2 8" xfId="31066" xr:uid="{00000000-0005-0000-0000-0000357A0000}"/>
    <cellStyle name="Standard 4 8 2 3" xfId="31067" xr:uid="{00000000-0005-0000-0000-0000367A0000}"/>
    <cellStyle name="Standard 4 8 2 3 2" xfId="31068" xr:uid="{00000000-0005-0000-0000-0000377A0000}"/>
    <cellStyle name="Standard 4 8 2 3 2 2" xfId="31069" xr:uid="{00000000-0005-0000-0000-0000387A0000}"/>
    <cellStyle name="Standard 4 8 2 3 2 2 2" xfId="31070" xr:uid="{00000000-0005-0000-0000-0000397A0000}"/>
    <cellStyle name="Standard 4 8 2 3 2 2 2 2" xfId="31071" xr:uid="{00000000-0005-0000-0000-00003A7A0000}"/>
    <cellStyle name="Standard 4 8 2 3 2 2 2 3" xfId="31072" xr:uid="{00000000-0005-0000-0000-00003B7A0000}"/>
    <cellStyle name="Standard 4 8 2 3 2 2 3" xfId="31073" xr:uid="{00000000-0005-0000-0000-00003C7A0000}"/>
    <cellStyle name="Standard 4 8 2 3 2 2 3 2" xfId="31074" xr:uid="{00000000-0005-0000-0000-00003D7A0000}"/>
    <cellStyle name="Standard 4 8 2 3 2 2 3 3" xfId="31075" xr:uid="{00000000-0005-0000-0000-00003E7A0000}"/>
    <cellStyle name="Standard 4 8 2 3 2 2 4" xfId="31076" xr:uid="{00000000-0005-0000-0000-00003F7A0000}"/>
    <cellStyle name="Standard 4 8 2 3 2 2 4 2" xfId="31077" xr:uid="{00000000-0005-0000-0000-0000407A0000}"/>
    <cellStyle name="Standard 4 8 2 3 2 2 5" xfId="31078" xr:uid="{00000000-0005-0000-0000-0000417A0000}"/>
    <cellStyle name="Standard 4 8 2 3 2 2 6" xfId="31079" xr:uid="{00000000-0005-0000-0000-0000427A0000}"/>
    <cellStyle name="Standard 4 8 2 3 2 3" xfId="31080" xr:uid="{00000000-0005-0000-0000-0000437A0000}"/>
    <cellStyle name="Standard 4 8 2 3 2 3 2" xfId="31081" xr:uid="{00000000-0005-0000-0000-0000447A0000}"/>
    <cellStyle name="Standard 4 8 2 3 2 3 3" xfId="31082" xr:uid="{00000000-0005-0000-0000-0000457A0000}"/>
    <cellStyle name="Standard 4 8 2 3 2 4" xfId="31083" xr:uid="{00000000-0005-0000-0000-0000467A0000}"/>
    <cellStyle name="Standard 4 8 2 3 2 4 2" xfId="31084" xr:uid="{00000000-0005-0000-0000-0000477A0000}"/>
    <cellStyle name="Standard 4 8 2 3 2 4 3" xfId="31085" xr:uid="{00000000-0005-0000-0000-0000487A0000}"/>
    <cellStyle name="Standard 4 8 2 3 2 5" xfId="31086" xr:uid="{00000000-0005-0000-0000-0000497A0000}"/>
    <cellStyle name="Standard 4 8 2 3 2 5 2" xfId="31087" xr:uid="{00000000-0005-0000-0000-00004A7A0000}"/>
    <cellStyle name="Standard 4 8 2 3 2 6" xfId="31088" xr:uid="{00000000-0005-0000-0000-00004B7A0000}"/>
    <cellStyle name="Standard 4 8 2 3 2 7" xfId="31089" xr:uid="{00000000-0005-0000-0000-00004C7A0000}"/>
    <cellStyle name="Standard 4 8 2 3 3" xfId="31090" xr:uid="{00000000-0005-0000-0000-00004D7A0000}"/>
    <cellStyle name="Standard 4 8 2 3 3 2" xfId="31091" xr:uid="{00000000-0005-0000-0000-00004E7A0000}"/>
    <cellStyle name="Standard 4 8 2 3 3 2 2" xfId="31092" xr:uid="{00000000-0005-0000-0000-00004F7A0000}"/>
    <cellStyle name="Standard 4 8 2 3 3 2 3" xfId="31093" xr:uid="{00000000-0005-0000-0000-0000507A0000}"/>
    <cellStyle name="Standard 4 8 2 3 3 3" xfId="31094" xr:uid="{00000000-0005-0000-0000-0000517A0000}"/>
    <cellStyle name="Standard 4 8 2 3 3 3 2" xfId="31095" xr:uid="{00000000-0005-0000-0000-0000527A0000}"/>
    <cellStyle name="Standard 4 8 2 3 3 3 3" xfId="31096" xr:uid="{00000000-0005-0000-0000-0000537A0000}"/>
    <cellStyle name="Standard 4 8 2 3 3 4" xfId="31097" xr:uid="{00000000-0005-0000-0000-0000547A0000}"/>
    <cellStyle name="Standard 4 8 2 3 3 4 2" xfId="31098" xr:uid="{00000000-0005-0000-0000-0000557A0000}"/>
    <cellStyle name="Standard 4 8 2 3 3 5" xfId="31099" xr:uid="{00000000-0005-0000-0000-0000567A0000}"/>
    <cellStyle name="Standard 4 8 2 3 3 6" xfId="31100" xr:uid="{00000000-0005-0000-0000-0000577A0000}"/>
    <cellStyle name="Standard 4 8 2 3 4" xfId="31101" xr:uid="{00000000-0005-0000-0000-0000587A0000}"/>
    <cellStyle name="Standard 4 8 2 3 4 2" xfId="31102" xr:uid="{00000000-0005-0000-0000-0000597A0000}"/>
    <cellStyle name="Standard 4 8 2 3 4 3" xfId="31103" xr:uid="{00000000-0005-0000-0000-00005A7A0000}"/>
    <cellStyle name="Standard 4 8 2 3 5" xfId="31104" xr:uid="{00000000-0005-0000-0000-00005B7A0000}"/>
    <cellStyle name="Standard 4 8 2 3 5 2" xfId="31105" xr:uid="{00000000-0005-0000-0000-00005C7A0000}"/>
    <cellStyle name="Standard 4 8 2 3 5 3" xfId="31106" xr:uid="{00000000-0005-0000-0000-00005D7A0000}"/>
    <cellStyle name="Standard 4 8 2 3 6" xfId="31107" xr:uid="{00000000-0005-0000-0000-00005E7A0000}"/>
    <cellStyle name="Standard 4 8 2 3 6 2" xfId="31108" xr:uid="{00000000-0005-0000-0000-00005F7A0000}"/>
    <cellStyle name="Standard 4 8 2 3 7" xfId="31109" xr:uid="{00000000-0005-0000-0000-0000607A0000}"/>
    <cellStyle name="Standard 4 8 2 3 8" xfId="31110" xr:uid="{00000000-0005-0000-0000-0000617A0000}"/>
    <cellStyle name="Standard 4 8 2 4" xfId="31111" xr:uid="{00000000-0005-0000-0000-0000627A0000}"/>
    <cellStyle name="Standard 4 8 2 4 2" xfId="31112" xr:uid="{00000000-0005-0000-0000-0000637A0000}"/>
    <cellStyle name="Standard 4 8 2 4 2 2" xfId="31113" xr:uid="{00000000-0005-0000-0000-0000647A0000}"/>
    <cellStyle name="Standard 4 8 2 4 2 2 2" xfId="31114" xr:uid="{00000000-0005-0000-0000-0000657A0000}"/>
    <cellStyle name="Standard 4 8 2 4 2 2 3" xfId="31115" xr:uid="{00000000-0005-0000-0000-0000667A0000}"/>
    <cellStyle name="Standard 4 8 2 4 2 3" xfId="31116" xr:uid="{00000000-0005-0000-0000-0000677A0000}"/>
    <cellStyle name="Standard 4 8 2 4 2 3 2" xfId="31117" xr:uid="{00000000-0005-0000-0000-0000687A0000}"/>
    <cellStyle name="Standard 4 8 2 4 2 3 3" xfId="31118" xr:uid="{00000000-0005-0000-0000-0000697A0000}"/>
    <cellStyle name="Standard 4 8 2 4 2 4" xfId="31119" xr:uid="{00000000-0005-0000-0000-00006A7A0000}"/>
    <cellStyle name="Standard 4 8 2 4 2 4 2" xfId="31120" xr:uid="{00000000-0005-0000-0000-00006B7A0000}"/>
    <cellStyle name="Standard 4 8 2 4 2 5" xfId="31121" xr:uid="{00000000-0005-0000-0000-00006C7A0000}"/>
    <cellStyle name="Standard 4 8 2 4 2 6" xfId="31122" xr:uid="{00000000-0005-0000-0000-00006D7A0000}"/>
    <cellStyle name="Standard 4 8 2 4 3" xfId="31123" xr:uid="{00000000-0005-0000-0000-00006E7A0000}"/>
    <cellStyle name="Standard 4 8 2 4 3 2" xfId="31124" xr:uid="{00000000-0005-0000-0000-00006F7A0000}"/>
    <cellStyle name="Standard 4 8 2 4 3 3" xfId="31125" xr:uid="{00000000-0005-0000-0000-0000707A0000}"/>
    <cellStyle name="Standard 4 8 2 4 4" xfId="31126" xr:uid="{00000000-0005-0000-0000-0000717A0000}"/>
    <cellStyle name="Standard 4 8 2 4 4 2" xfId="31127" xr:uid="{00000000-0005-0000-0000-0000727A0000}"/>
    <cellStyle name="Standard 4 8 2 4 4 3" xfId="31128" xr:uid="{00000000-0005-0000-0000-0000737A0000}"/>
    <cellStyle name="Standard 4 8 2 4 5" xfId="31129" xr:uid="{00000000-0005-0000-0000-0000747A0000}"/>
    <cellStyle name="Standard 4 8 2 4 5 2" xfId="31130" xr:uid="{00000000-0005-0000-0000-0000757A0000}"/>
    <cellStyle name="Standard 4 8 2 4 6" xfId="31131" xr:uid="{00000000-0005-0000-0000-0000767A0000}"/>
    <cellStyle name="Standard 4 8 2 4 7" xfId="31132" xr:uid="{00000000-0005-0000-0000-0000777A0000}"/>
    <cellStyle name="Standard 4 8 2 5" xfId="31133" xr:uid="{00000000-0005-0000-0000-0000787A0000}"/>
    <cellStyle name="Standard 4 8 2 5 2" xfId="31134" xr:uid="{00000000-0005-0000-0000-0000797A0000}"/>
    <cellStyle name="Standard 4 8 2 5 2 2" xfId="31135" xr:uid="{00000000-0005-0000-0000-00007A7A0000}"/>
    <cellStyle name="Standard 4 8 2 5 2 3" xfId="31136" xr:uid="{00000000-0005-0000-0000-00007B7A0000}"/>
    <cellStyle name="Standard 4 8 2 5 3" xfId="31137" xr:uid="{00000000-0005-0000-0000-00007C7A0000}"/>
    <cellStyle name="Standard 4 8 2 5 3 2" xfId="31138" xr:uid="{00000000-0005-0000-0000-00007D7A0000}"/>
    <cellStyle name="Standard 4 8 2 5 3 3" xfId="31139" xr:uid="{00000000-0005-0000-0000-00007E7A0000}"/>
    <cellStyle name="Standard 4 8 2 5 4" xfId="31140" xr:uid="{00000000-0005-0000-0000-00007F7A0000}"/>
    <cellStyle name="Standard 4 8 2 5 4 2" xfId="31141" xr:uid="{00000000-0005-0000-0000-0000807A0000}"/>
    <cellStyle name="Standard 4 8 2 5 5" xfId="31142" xr:uid="{00000000-0005-0000-0000-0000817A0000}"/>
    <cellStyle name="Standard 4 8 2 5 6" xfId="31143" xr:uid="{00000000-0005-0000-0000-0000827A0000}"/>
    <cellStyle name="Standard 4 8 2 6" xfId="31144" xr:uid="{00000000-0005-0000-0000-0000837A0000}"/>
    <cellStyle name="Standard 4 8 2 6 2" xfId="31145" xr:uid="{00000000-0005-0000-0000-0000847A0000}"/>
    <cellStyle name="Standard 4 8 2 6 3" xfId="31146" xr:uid="{00000000-0005-0000-0000-0000857A0000}"/>
    <cellStyle name="Standard 4 8 2 7" xfId="31147" xr:uid="{00000000-0005-0000-0000-0000867A0000}"/>
    <cellStyle name="Standard 4 8 2 7 2" xfId="31148" xr:uid="{00000000-0005-0000-0000-0000877A0000}"/>
    <cellStyle name="Standard 4 8 2 7 3" xfId="31149" xr:uid="{00000000-0005-0000-0000-0000887A0000}"/>
    <cellStyle name="Standard 4 8 2 8" xfId="31150" xr:uid="{00000000-0005-0000-0000-0000897A0000}"/>
    <cellStyle name="Standard 4 8 2 8 2" xfId="31151" xr:uid="{00000000-0005-0000-0000-00008A7A0000}"/>
    <cellStyle name="Standard 4 8 2 9" xfId="31152" xr:uid="{00000000-0005-0000-0000-00008B7A0000}"/>
    <cellStyle name="Standard 4 8 3" xfId="31153" xr:uid="{00000000-0005-0000-0000-00008C7A0000}"/>
    <cellStyle name="Standard 4 8 3 2" xfId="31154" xr:uid="{00000000-0005-0000-0000-00008D7A0000}"/>
    <cellStyle name="Standard 4 8 3 2 2" xfId="31155" xr:uid="{00000000-0005-0000-0000-00008E7A0000}"/>
    <cellStyle name="Standard 4 8 3 2 2 2" xfId="31156" xr:uid="{00000000-0005-0000-0000-00008F7A0000}"/>
    <cellStyle name="Standard 4 8 3 2 2 2 2" xfId="31157" xr:uid="{00000000-0005-0000-0000-0000907A0000}"/>
    <cellStyle name="Standard 4 8 3 2 2 2 3" xfId="31158" xr:uid="{00000000-0005-0000-0000-0000917A0000}"/>
    <cellStyle name="Standard 4 8 3 2 2 3" xfId="31159" xr:uid="{00000000-0005-0000-0000-0000927A0000}"/>
    <cellStyle name="Standard 4 8 3 2 2 3 2" xfId="31160" xr:uid="{00000000-0005-0000-0000-0000937A0000}"/>
    <cellStyle name="Standard 4 8 3 2 2 3 3" xfId="31161" xr:uid="{00000000-0005-0000-0000-0000947A0000}"/>
    <cellStyle name="Standard 4 8 3 2 2 4" xfId="31162" xr:uid="{00000000-0005-0000-0000-0000957A0000}"/>
    <cellStyle name="Standard 4 8 3 2 2 4 2" xfId="31163" xr:uid="{00000000-0005-0000-0000-0000967A0000}"/>
    <cellStyle name="Standard 4 8 3 2 2 5" xfId="31164" xr:uid="{00000000-0005-0000-0000-0000977A0000}"/>
    <cellStyle name="Standard 4 8 3 2 2 6" xfId="31165" xr:uid="{00000000-0005-0000-0000-0000987A0000}"/>
    <cellStyle name="Standard 4 8 3 2 3" xfId="31166" xr:uid="{00000000-0005-0000-0000-0000997A0000}"/>
    <cellStyle name="Standard 4 8 3 2 3 2" xfId="31167" xr:uid="{00000000-0005-0000-0000-00009A7A0000}"/>
    <cellStyle name="Standard 4 8 3 2 3 3" xfId="31168" xr:uid="{00000000-0005-0000-0000-00009B7A0000}"/>
    <cellStyle name="Standard 4 8 3 2 4" xfId="31169" xr:uid="{00000000-0005-0000-0000-00009C7A0000}"/>
    <cellStyle name="Standard 4 8 3 2 4 2" xfId="31170" xr:uid="{00000000-0005-0000-0000-00009D7A0000}"/>
    <cellStyle name="Standard 4 8 3 2 4 3" xfId="31171" xr:uid="{00000000-0005-0000-0000-00009E7A0000}"/>
    <cellStyle name="Standard 4 8 3 2 5" xfId="31172" xr:uid="{00000000-0005-0000-0000-00009F7A0000}"/>
    <cellStyle name="Standard 4 8 3 2 5 2" xfId="31173" xr:uid="{00000000-0005-0000-0000-0000A07A0000}"/>
    <cellStyle name="Standard 4 8 3 2 6" xfId="31174" xr:uid="{00000000-0005-0000-0000-0000A17A0000}"/>
    <cellStyle name="Standard 4 8 3 2 7" xfId="31175" xr:uid="{00000000-0005-0000-0000-0000A27A0000}"/>
    <cellStyle name="Standard 4 8 3 3" xfId="31176" xr:uid="{00000000-0005-0000-0000-0000A37A0000}"/>
    <cellStyle name="Standard 4 8 3 3 2" xfId="31177" xr:uid="{00000000-0005-0000-0000-0000A47A0000}"/>
    <cellStyle name="Standard 4 8 3 3 2 2" xfId="31178" xr:uid="{00000000-0005-0000-0000-0000A57A0000}"/>
    <cellStyle name="Standard 4 8 3 3 2 3" xfId="31179" xr:uid="{00000000-0005-0000-0000-0000A67A0000}"/>
    <cellStyle name="Standard 4 8 3 3 3" xfId="31180" xr:uid="{00000000-0005-0000-0000-0000A77A0000}"/>
    <cellStyle name="Standard 4 8 3 3 3 2" xfId="31181" xr:uid="{00000000-0005-0000-0000-0000A87A0000}"/>
    <cellStyle name="Standard 4 8 3 3 3 3" xfId="31182" xr:uid="{00000000-0005-0000-0000-0000A97A0000}"/>
    <cellStyle name="Standard 4 8 3 3 4" xfId="31183" xr:uid="{00000000-0005-0000-0000-0000AA7A0000}"/>
    <cellStyle name="Standard 4 8 3 3 4 2" xfId="31184" xr:uid="{00000000-0005-0000-0000-0000AB7A0000}"/>
    <cellStyle name="Standard 4 8 3 3 5" xfId="31185" xr:uid="{00000000-0005-0000-0000-0000AC7A0000}"/>
    <cellStyle name="Standard 4 8 3 3 6" xfId="31186" xr:uid="{00000000-0005-0000-0000-0000AD7A0000}"/>
    <cellStyle name="Standard 4 8 3 4" xfId="31187" xr:uid="{00000000-0005-0000-0000-0000AE7A0000}"/>
    <cellStyle name="Standard 4 8 3 4 2" xfId="31188" xr:uid="{00000000-0005-0000-0000-0000AF7A0000}"/>
    <cellStyle name="Standard 4 8 3 4 3" xfId="31189" xr:uid="{00000000-0005-0000-0000-0000B07A0000}"/>
    <cellStyle name="Standard 4 8 3 5" xfId="31190" xr:uid="{00000000-0005-0000-0000-0000B17A0000}"/>
    <cellStyle name="Standard 4 8 3 5 2" xfId="31191" xr:uid="{00000000-0005-0000-0000-0000B27A0000}"/>
    <cellStyle name="Standard 4 8 3 5 3" xfId="31192" xr:uid="{00000000-0005-0000-0000-0000B37A0000}"/>
    <cellStyle name="Standard 4 8 3 6" xfId="31193" xr:uid="{00000000-0005-0000-0000-0000B47A0000}"/>
    <cellStyle name="Standard 4 8 3 6 2" xfId="31194" xr:uid="{00000000-0005-0000-0000-0000B57A0000}"/>
    <cellStyle name="Standard 4 8 3 7" xfId="31195" xr:uid="{00000000-0005-0000-0000-0000B67A0000}"/>
    <cellStyle name="Standard 4 8 3 8" xfId="31196" xr:uid="{00000000-0005-0000-0000-0000B77A0000}"/>
    <cellStyle name="Standard 4 8 4" xfId="31197" xr:uid="{00000000-0005-0000-0000-0000B87A0000}"/>
    <cellStyle name="Standard 4 8 4 2" xfId="31198" xr:uid="{00000000-0005-0000-0000-0000B97A0000}"/>
    <cellStyle name="Standard 4 8 4 2 2" xfId="31199" xr:uid="{00000000-0005-0000-0000-0000BA7A0000}"/>
    <cellStyle name="Standard 4 8 4 2 2 2" xfId="31200" xr:uid="{00000000-0005-0000-0000-0000BB7A0000}"/>
    <cellStyle name="Standard 4 8 4 2 2 2 2" xfId="31201" xr:uid="{00000000-0005-0000-0000-0000BC7A0000}"/>
    <cellStyle name="Standard 4 8 4 2 2 2 3" xfId="31202" xr:uid="{00000000-0005-0000-0000-0000BD7A0000}"/>
    <cellStyle name="Standard 4 8 4 2 2 3" xfId="31203" xr:uid="{00000000-0005-0000-0000-0000BE7A0000}"/>
    <cellStyle name="Standard 4 8 4 2 2 3 2" xfId="31204" xr:uid="{00000000-0005-0000-0000-0000BF7A0000}"/>
    <cellStyle name="Standard 4 8 4 2 2 3 3" xfId="31205" xr:uid="{00000000-0005-0000-0000-0000C07A0000}"/>
    <cellStyle name="Standard 4 8 4 2 2 4" xfId="31206" xr:uid="{00000000-0005-0000-0000-0000C17A0000}"/>
    <cellStyle name="Standard 4 8 4 2 2 4 2" xfId="31207" xr:uid="{00000000-0005-0000-0000-0000C27A0000}"/>
    <cellStyle name="Standard 4 8 4 2 2 5" xfId="31208" xr:uid="{00000000-0005-0000-0000-0000C37A0000}"/>
    <cellStyle name="Standard 4 8 4 2 2 6" xfId="31209" xr:uid="{00000000-0005-0000-0000-0000C47A0000}"/>
    <cellStyle name="Standard 4 8 4 2 3" xfId="31210" xr:uid="{00000000-0005-0000-0000-0000C57A0000}"/>
    <cellStyle name="Standard 4 8 4 2 3 2" xfId="31211" xr:uid="{00000000-0005-0000-0000-0000C67A0000}"/>
    <cellStyle name="Standard 4 8 4 2 3 3" xfId="31212" xr:uid="{00000000-0005-0000-0000-0000C77A0000}"/>
    <cellStyle name="Standard 4 8 4 2 4" xfId="31213" xr:uid="{00000000-0005-0000-0000-0000C87A0000}"/>
    <cellStyle name="Standard 4 8 4 2 4 2" xfId="31214" xr:uid="{00000000-0005-0000-0000-0000C97A0000}"/>
    <cellStyle name="Standard 4 8 4 2 4 3" xfId="31215" xr:uid="{00000000-0005-0000-0000-0000CA7A0000}"/>
    <cellStyle name="Standard 4 8 4 2 5" xfId="31216" xr:uid="{00000000-0005-0000-0000-0000CB7A0000}"/>
    <cellStyle name="Standard 4 8 4 2 5 2" xfId="31217" xr:uid="{00000000-0005-0000-0000-0000CC7A0000}"/>
    <cellStyle name="Standard 4 8 4 2 6" xfId="31218" xr:uid="{00000000-0005-0000-0000-0000CD7A0000}"/>
    <cellStyle name="Standard 4 8 4 2 7" xfId="31219" xr:uid="{00000000-0005-0000-0000-0000CE7A0000}"/>
    <cellStyle name="Standard 4 8 4 3" xfId="31220" xr:uid="{00000000-0005-0000-0000-0000CF7A0000}"/>
    <cellStyle name="Standard 4 8 4 3 2" xfId="31221" xr:uid="{00000000-0005-0000-0000-0000D07A0000}"/>
    <cellStyle name="Standard 4 8 4 3 2 2" xfId="31222" xr:uid="{00000000-0005-0000-0000-0000D17A0000}"/>
    <cellStyle name="Standard 4 8 4 3 2 3" xfId="31223" xr:uid="{00000000-0005-0000-0000-0000D27A0000}"/>
    <cellStyle name="Standard 4 8 4 3 3" xfId="31224" xr:uid="{00000000-0005-0000-0000-0000D37A0000}"/>
    <cellStyle name="Standard 4 8 4 3 3 2" xfId="31225" xr:uid="{00000000-0005-0000-0000-0000D47A0000}"/>
    <cellStyle name="Standard 4 8 4 3 3 3" xfId="31226" xr:uid="{00000000-0005-0000-0000-0000D57A0000}"/>
    <cellStyle name="Standard 4 8 4 3 4" xfId="31227" xr:uid="{00000000-0005-0000-0000-0000D67A0000}"/>
    <cellStyle name="Standard 4 8 4 3 4 2" xfId="31228" xr:uid="{00000000-0005-0000-0000-0000D77A0000}"/>
    <cellStyle name="Standard 4 8 4 3 5" xfId="31229" xr:uid="{00000000-0005-0000-0000-0000D87A0000}"/>
    <cellStyle name="Standard 4 8 4 3 6" xfId="31230" xr:uid="{00000000-0005-0000-0000-0000D97A0000}"/>
    <cellStyle name="Standard 4 8 4 4" xfId="31231" xr:uid="{00000000-0005-0000-0000-0000DA7A0000}"/>
    <cellStyle name="Standard 4 8 4 4 2" xfId="31232" xr:uid="{00000000-0005-0000-0000-0000DB7A0000}"/>
    <cellStyle name="Standard 4 8 4 4 3" xfId="31233" xr:uid="{00000000-0005-0000-0000-0000DC7A0000}"/>
    <cellStyle name="Standard 4 8 4 5" xfId="31234" xr:uid="{00000000-0005-0000-0000-0000DD7A0000}"/>
    <cellStyle name="Standard 4 8 4 5 2" xfId="31235" xr:uid="{00000000-0005-0000-0000-0000DE7A0000}"/>
    <cellStyle name="Standard 4 8 4 5 3" xfId="31236" xr:uid="{00000000-0005-0000-0000-0000DF7A0000}"/>
    <cellStyle name="Standard 4 8 4 6" xfId="31237" xr:uid="{00000000-0005-0000-0000-0000E07A0000}"/>
    <cellStyle name="Standard 4 8 4 6 2" xfId="31238" xr:uid="{00000000-0005-0000-0000-0000E17A0000}"/>
    <cellStyle name="Standard 4 8 4 7" xfId="31239" xr:uid="{00000000-0005-0000-0000-0000E27A0000}"/>
    <cellStyle name="Standard 4 8 4 8" xfId="31240" xr:uid="{00000000-0005-0000-0000-0000E37A0000}"/>
    <cellStyle name="Standard 4 8 5" xfId="31241" xr:uid="{00000000-0005-0000-0000-0000E47A0000}"/>
    <cellStyle name="Standard 4 8 5 2" xfId="31242" xr:uid="{00000000-0005-0000-0000-0000E57A0000}"/>
    <cellStyle name="Standard 4 8 5 2 2" xfId="31243" xr:uid="{00000000-0005-0000-0000-0000E67A0000}"/>
    <cellStyle name="Standard 4 8 5 2 2 2" xfId="31244" xr:uid="{00000000-0005-0000-0000-0000E77A0000}"/>
    <cellStyle name="Standard 4 8 5 2 2 3" xfId="31245" xr:uid="{00000000-0005-0000-0000-0000E87A0000}"/>
    <cellStyle name="Standard 4 8 5 2 3" xfId="31246" xr:uid="{00000000-0005-0000-0000-0000E97A0000}"/>
    <cellStyle name="Standard 4 8 5 2 3 2" xfId="31247" xr:uid="{00000000-0005-0000-0000-0000EA7A0000}"/>
    <cellStyle name="Standard 4 8 5 2 3 3" xfId="31248" xr:uid="{00000000-0005-0000-0000-0000EB7A0000}"/>
    <cellStyle name="Standard 4 8 5 2 4" xfId="31249" xr:uid="{00000000-0005-0000-0000-0000EC7A0000}"/>
    <cellStyle name="Standard 4 8 5 2 4 2" xfId="31250" xr:uid="{00000000-0005-0000-0000-0000ED7A0000}"/>
    <cellStyle name="Standard 4 8 5 2 5" xfId="31251" xr:uid="{00000000-0005-0000-0000-0000EE7A0000}"/>
    <cellStyle name="Standard 4 8 5 2 6" xfId="31252" xr:uid="{00000000-0005-0000-0000-0000EF7A0000}"/>
    <cellStyle name="Standard 4 8 5 3" xfId="31253" xr:uid="{00000000-0005-0000-0000-0000F07A0000}"/>
    <cellStyle name="Standard 4 8 5 3 2" xfId="31254" xr:uid="{00000000-0005-0000-0000-0000F17A0000}"/>
    <cellStyle name="Standard 4 8 5 3 3" xfId="31255" xr:uid="{00000000-0005-0000-0000-0000F27A0000}"/>
    <cellStyle name="Standard 4 8 5 4" xfId="31256" xr:uid="{00000000-0005-0000-0000-0000F37A0000}"/>
    <cellStyle name="Standard 4 8 5 4 2" xfId="31257" xr:uid="{00000000-0005-0000-0000-0000F47A0000}"/>
    <cellStyle name="Standard 4 8 5 4 3" xfId="31258" xr:uid="{00000000-0005-0000-0000-0000F57A0000}"/>
    <cellStyle name="Standard 4 8 5 5" xfId="31259" xr:uid="{00000000-0005-0000-0000-0000F67A0000}"/>
    <cellStyle name="Standard 4 8 5 5 2" xfId="31260" xr:uid="{00000000-0005-0000-0000-0000F77A0000}"/>
    <cellStyle name="Standard 4 8 5 6" xfId="31261" xr:uid="{00000000-0005-0000-0000-0000F87A0000}"/>
    <cellStyle name="Standard 4 8 5 7" xfId="31262" xr:uid="{00000000-0005-0000-0000-0000F97A0000}"/>
    <cellStyle name="Standard 4 8 6" xfId="31263" xr:uid="{00000000-0005-0000-0000-0000FA7A0000}"/>
    <cellStyle name="Standard 4 8 6 2" xfId="31264" xr:uid="{00000000-0005-0000-0000-0000FB7A0000}"/>
    <cellStyle name="Standard 4 8 6 2 2" xfId="31265" xr:uid="{00000000-0005-0000-0000-0000FC7A0000}"/>
    <cellStyle name="Standard 4 8 6 2 3" xfId="31266" xr:uid="{00000000-0005-0000-0000-0000FD7A0000}"/>
    <cellStyle name="Standard 4 8 6 3" xfId="31267" xr:uid="{00000000-0005-0000-0000-0000FE7A0000}"/>
    <cellStyle name="Standard 4 8 6 3 2" xfId="31268" xr:uid="{00000000-0005-0000-0000-0000FF7A0000}"/>
    <cellStyle name="Standard 4 8 6 3 3" xfId="31269" xr:uid="{00000000-0005-0000-0000-0000007B0000}"/>
    <cellStyle name="Standard 4 8 6 4" xfId="31270" xr:uid="{00000000-0005-0000-0000-0000017B0000}"/>
    <cellStyle name="Standard 4 8 6 4 2" xfId="31271" xr:uid="{00000000-0005-0000-0000-0000027B0000}"/>
    <cellStyle name="Standard 4 8 6 5" xfId="31272" xr:uid="{00000000-0005-0000-0000-0000037B0000}"/>
    <cellStyle name="Standard 4 8 6 6" xfId="31273" xr:uid="{00000000-0005-0000-0000-0000047B0000}"/>
    <cellStyle name="Standard 4 8 7" xfId="31274" xr:uid="{00000000-0005-0000-0000-0000057B0000}"/>
    <cellStyle name="Standard 4 8 7 2" xfId="31275" xr:uid="{00000000-0005-0000-0000-0000067B0000}"/>
    <cellStyle name="Standard 4 8 7 3" xfId="31276" xr:uid="{00000000-0005-0000-0000-0000077B0000}"/>
    <cellStyle name="Standard 4 8 8" xfId="31277" xr:uid="{00000000-0005-0000-0000-0000087B0000}"/>
    <cellStyle name="Standard 4 8 8 2" xfId="31278" xr:uid="{00000000-0005-0000-0000-0000097B0000}"/>
    <cellStyle name="Standard 4 8 8 3" xfId="31279" xr:uid="{00000000-0005-0000-0000-00000A7B0000}"/>
    <cellStyle name="Standard 4 8 9" xfId="31280" xr:uid="{00000000-0005-0000-0000-00000B7B0000}"/>
    <cellStyle name="Standard 4 8 9 2" xfId="31281" xr:uid="{00000000-0005-0000-0000-00000C7B0000}"/>
    <cellStyle name="Standard 4 9" xfId="595" xr:uid="{00000000-0005-0000-0000-00000D7B0000}"/>
    <cellStyle name="Standard 4 9 10" xfId="31282" xr:uid="{00000000-0005-0000-0000-00000E7B0000}"/>
    <cellStyle name="Standard 4 9 11" xfId="31283" xr:uid="{00000000-0005-0000-0000-00000F7B0000}"/>
    <cellStyle name="Standard 4 9 12" xfId="33117" xr:uid="{00000000-0005-0000-0000-0000107B0000}"/>
    <cellStyle name="Standard 4 9 13" xfId="33192" xr:uid="{00000000-0005-0000-0000-0000117B0000}"/>
    <cellStyle name="Standard 4 9 14" xfId="33267" xr:uid="{00000000-0005-0000-0000-0000127B0000}"/>
    <cellStyle name="Standard 4 9 15" xfId="33342" xr:uid="{00000000-0005-0000-0000-0000137B0000}"/>
    <cellStyle name="Standard 4 9 2" xfId="31284" xr:uid="{00000000-0005-0000-0000-0000147B0000}"/>
    <cellStyle name="Standard 4 9 2 10" xfId="31285" xr:uid="{00000000-0005-0000-0000-0000157B0000}"/>
    <cellStyle name="Standard 4 9 2 2" xfId="31286" xr:uid="{00000000-0005-0000-0000-0000167B0000}"/>
    <cellStyle name="Standard 4 9 2 2 2" xfId="31287" xr:uid="{00000000-0005-0000-0000-0000177B0000}"/>
    <cellStyle name="Standard 4 9 2 2 2 2" xfId="31288" xr:uid="{00000000-0005-0000-0000-0000187B0000}"/>
    <cellStyle name="Standard 4 9 2 2 2 2 2" xfId="31289" xr:uid="{00000000-0005-0000-0000-0000197B0000}"/>
    <cellStyle name="Standard 4 9 2 2 2 2 2 2" xfId="31290" xr:uid="{00000000-0005-0000-0000-00001A7B0000}"/>
    <cellStyle name="Standard 4 9 2 2 2 2 2 3" xfId="31291" xr:uid="{00000000-0005-0000-0000-00001B7B0000}"/>
    <cellStyle name="Standard 4 9 2 2 2 2 3" xfId="31292" xr:uid="{00000000-0005-0000-0000-00001C7B0000}"/>
    <cellStyle name="Standard 4 9 2 2 2 2 3 2" xfId="31293" xr:uid="{00000000-0005-0000-0000-00001D7B0000}"/>
    <cellStyle name="Standard 4 9 2 2 2 2 3 3" xfId="31294" xr:uid="{00000000-0005-0000-0000-00001E7B0000}"/>
    <cellStyle name="Standard 4 9 2 2 2 2 4" xfId="31295" xr:uid="{00000000-0005-0000-0000-00001F7B0000}"/>
    <cellStyle name="Standard 4 9 2 2 2 2 4 2" xfId="31296" xr:uid="{00000000-0005-0000-0000-0000207B0000}"/>
    <cellStyle name="Standard 4 9 2 2 2 2 5" xfId="31297" xr:uid="{00000000-0005-0000-0000-0000217B0000}"/>
    <cellStyle name="Standard 4 9 2 2 2 2 6" xfId="31298" xr:uid="{00000000-0005-0000-0000-0000227B0000}"/>
    <cellStyle name="Standard 4 9 2 2 2 3" xfId="31299" xr:uid="{00000000-0005-0000-0000-0000237B0000}"/>
    <cellStyle name="Standard 4 9 2 2 2 3 2" xfId="31300" xr:uid="{00000000-0005-0000-0000-0000247B0000}"/>
    <cellStyle name="Standard 4 9 2 2 2 3 3" xfId="31301" xr:uid="{00000000-0005-0000-0000-0000257B0000}"/>
    <cellStyle name="Standard 4 9 2 2 2 4" xfId="31302" xr:uid="{00000000-0005-0000-0000-0000267B0000}"/>
    <cellStyle name="Standard 4 9 2 2 2 4 2" xfId="31303" xr:uid="{00000000-0005-0000-0000-0000277B0000}"/>
    <cellStyle name="Standard 4 9 2 2 2 4 3" xfId="31304" xr:uid="{00000000-0005-0000-0000-0000287B0000}"/>
    <cellStyle name="Standard 4 9 2 2 2 5" xfId="31305" xr:uid="{00000000-0005-0000-0000-0000297B0000}"/>
    <cellStyle name="Standard 4 9 2 2 2 5 2" xfId="31306" xr:uid="{00000000-0005-0000-0000-00002A7B0000}"/>
    <cellStyle name="Standard 4 9 2 2 2 6" xfId="31307" xr:uid="{00000000-0005-0000-0000-00002B7B0000}"/>
    <cellStyle name="Standard 4 9 2 2 2 7" xfId="31308" xr:uid="{00000000-0005-0000-0000-00002C7B0000}"/>
    <cellStyle name="Standard 4 9 2 2 3" xfId="31309" xr:uid="{00000000-0005-0000-0000-00002D7B0000}"/>
    <cellStyle name="Standard 4 9 2 2 3 2" xfId="31310" xr:uid="{00000000-0005-0000-0000-00002E7B0000}"/>
    <cellStyle name="Standard 4 9 2 2 3 2 2" xfId="31311" xr:uid="{00000000-0005-0000-0000-00002F7B0000}"/>
    <cellStyle name="Standard 4 9 2 2 3 2 3" xfId="31312" xr:uid="{00000000-0005-0000-0000-0000307B0000}"/>
    <cellStyle name="Standard 4 9 2 2 3 3" xfId="31313" xr:uid="{00000000-0005-0000-0000-0000317B0000}"/>
    <cellStyle name="Standard 4 9 2 2 3 3 2" xfId="31314" xr:uid="{00000000-0005-0000-0000-0000327B0000}"/>
    <cellStyle name="Standard 4 9 2 2 3 3 3" xfId="31315" xr:uid="{00000000-0005-0000-0000-0000337B0000}"/>
    <cellStyle name="Standard 4 9 2 2 3 4" xfId="31316" xr:uid="{00000000-0005-0000-0000-0000347B0000}"/>
    <cellStyle name="Standard 4 9 2 2 3 4 2" xfId="31317" xr:uid="{00000000-0005-0000-0000-0000357B0000}"/>
    <cellStyle name="Standard 4 9 2 2 3 5" xfId="31318" xr:uid="{00000000-0005-0000-0000-0000367B0000}"/>
    <cellStyle name="Standard 4 9 2 2 3 6" xfId="31319" xr:uid="{00000000-0005-0000-0000-0000377B0000}"/>
    <cellStyle name="Standard 4 9 2 2 4" xfId="31320" xr:uid="{00000000-0005-0000-0000-0000387B0000}"/>
    <cellStyle name="Standard 4 9 2 2 4 2" xfId="31321" xr:uid="{00000000-0005-0000-0000-0000397B0000}"/>
    <cellStyle name="Standard 4 9 2 2 4 3" xfId="31322" xr:uid="{00000000-0005-0000-0000-00003A7B0000}"/>
    <cellStyle name="Standard 4 9 2 2 5" xfId="31323" xr:uid="{00000000-0005-0000-0000-00003B7B0000}"/>
    <cellStyle name="Standard 4 9 2 2 5 2" xfId="31324" xr:uid="{00000000-0005-0000-0000-00003C7B0000}"/>
    <cellStyle name="Standard 4 9 2 2 5 3" xfId="31325" xr:uid="{00000000-0005-0000-0000-00003D7B0000}"/>
    <cellStyle name="Standard 4 9 2 2 6" xfId="31326" xr:uid="{00000000-0005-0000-0000-00003E7B0000}"/>
    <cellStyle name="Standard 4 9 2 2 6 2" xfId="31327" xr:uid="{00000000-0005-0000-0000-00003F7B0000}"/>
    <cellStyle name="Standard 4 9 2 2 7" xfId="31328" xr:uid="{00000000-0005-0000-0000-0000407B0000}"/>
    <cellStyle name="Standard 4 9 2 2 8" xfId="31329" xr:uid="{00000000-0005-0000-0000-0000417B0000}"/>
    <cellStyle name="Standard 4 9 2 3" xfId="31330" xr:uid="{00000000-0005-0000-0000-0000427B0000}"/>
    <cellStyle name="Standard 4 9 2 3 2" xfId="31331" xr:uid="{00000000-0005-0000-0000-0000437B0000}"/>
    <cellStyle name="Standard 4 9 2 3 2 2" xfId="31332" xr:uid="{00000000-0005-0000-0000-0000447B0000}"/>
    <cellStyle name="Standard 4 9 2 3 2 2 2" xfId="31333" xr:uid="{00000000-0005-0000-0000-0000457B0000}"/>
    <cellStyle name="Standard 4 9 2 3 2 2 2 2" xfId="31334" xr:uid="{00000000-0005-0000-0000-0000467B0000}"/>
    <cellStyle name="Standard 4 9 2 3 2 2 2 3" xfId="31335" xr:uid="{00000000-0005-0000-0000-0000477B0000}"/>
    <cellStyle name="Standard 4 9 2 3 2 2 3" xfId="31336" xr:uid="{00000000-0005-0000-0000-0000487B0000}"/>
    <cellStyle name="Standard 4 9 2 3 2 2 3 2" xfId="31337" xr:uid="{00000000-0005-0000-0000-0000497B0000}"/>
    <cellStyle name="Standard 4 9 2 3 2 2 3 3" xfId="31338" xr:uid="{00000000-0005-0000-0000-00004A7B0000}"/>
    <cellStyle name="Standard 4 9 2 3 2 2 4" xfId="31339" xr:uid="{00000000-0005-0000-0000-00004B7B0000}"/>
    <cellStyle name="Standard 4 9 2 3 2 2 4 2" xfId="31340" xr:uid="{00000000-0005-0000-0000-00004C7B0000}"/>
    <cellStyle name="Standard 4 9 2 3 2 2 5" xfId="31341" xr:uid="{00000000-0005-0000-0000-00004D7B0000}"/>
    <cellStyle name="Standard 4 9 2 3 2 2 6" xfId="31342" xr:uid="{00000000-0005-0000-0000-00004E7B0000}"/>
    <cellStyle name="Standard 4 9 2 3 2 3" xfId="31343" xr:uid="{00000000-0005-0000-0000-00004F7B0000}"/>
    <cellStyle name="Standard 4 9 2 3 2 3 2" xfId="31344" xr:uid="{00000000-0005-0000-0000-0000507B0000}"/>
    <cellStyle name="Standard 4 9 2 3 2 3 3" xfId="31345" xr:uid="{00000000-0005-0000-0000-0000517B0000}"/>
    <cellStyle name="Standard 4 9 2 3 2 4" xfId="31346" xr:uid="{00000000-0005-0000-0000-0000527B0000}"/>
    <cellStyle name="Standard 4 9 2 3 2 4 2" xfId="31347" xr:uid="{00000000-0005-0000-0000-0000537B0000}"/>
    <cellStyle name="Standard 4 9 2 3 2 4 3" xfId="31348" xr:uid="{00000000-0005-0000-0000-0000547B0000}"/>
    <cellStyle name="Standard 4 9 2 3 2 5" xfId="31349" xr:uid="{00000000-0005-0000-0000-0000557B0000}"/>
    <cellStyle name="Standard 4 9 2 3 2 5 2" xfId="31350" xr:uid="{00000000-0005-0000-0000-0000567B0000}"/>
    <cellStyle name="Standard 4 9 2 3 2 6" xfId="31351" xr:uid="{00000000-0005-0000-0000-0000577B0000}"/>
    <cellStyle name="Standard 4 9 2 3 2 7" xfId="31352" xr:uid="{00000000-0005-0000-0000-0000587B0000}"/>
    <cellStyle name="Standard 4 9 2 3 3" xfId="31353" xr:uid="{00000000-0005-0000-0000-0000597B0000}"/>
    <cellStyle name="Standard 4 9 2 3 3 2" xfId="31354" xr:uid="{00000000-0005-0000-0000-00005A7B0000}"/>
    <cellStyle name="Standard 4 9 2 3 3 2 2" xfId="31355" xr:uid="{00000000-0005-0000-0000-00005B7B0000}"/>
    <cellStyle name="Standard 4 9 2 3 3 2 3" xfId="31356" xr:uid="{00000000-0005-0000-0000-00005C7B0000}"/>
    <cellStyle name="Standard 4 9 2 3 3 3" xfId="31357" xr:uid="{00000000-0005-0000-0000-00005D7B0000}"/>
    <cellStyle name="Standard 4 9 2 3 3 3 2" xfId="31358" xr:uid="{00000000-0005-0000-0000-00005E7B0000}"/>
    <cellStyle name="Standard 4 9 2 3 3 3 3" xfId="31359" xr:uid="{00000000-0005-0000-0000-00005F7B0000}"/>
    <cellStyle name="Standard 4 9 2 3 3 4" xfId="31360" xr:uid="{00000000-0005-0000-0000-0000607B0000}"/>
    <cellStyle name="Standard 4 9 2 3 3 4 2" xfId="31361" xr:uid="{00000000-0005-0000-0000-0000617B0000}"/>
    <cellStyle name="Standard 4 9 2 3 3 5" xfId="31362" xr:uid="{00000000-0005-0000-0000-0000627B0000}"/>
    <cellStyle name="Standard 4 9 2 3 3 6" xfId="31363" xr:uid="{00000000-0005-0000-0000-0000637B0000}"/>
    <cellStyle name="Standard 4 9 2 3 4" xfId="31364" xr:uid="{00000000-0005-0000-0000-0000647B0000}"/>
    <cellStyle name="Standard 4 9 2 3 4 2" xfId="31365" xr:uid="{00000000-0005-0000-0000-0000657B0000}"/>
    <cellStyle name="Standard 4 9 2 3 4 3" xfId="31366" xr:uid="{00000000-0005-0000-0000-0000667B0000}"/>
    <cellStyle name="Standard 4 9 2 3 5" xfId="31367" xr:uid="{00000000-0005-0000-0000-0000677B0000}"/>
    <cellStyle name="Standard 4 9 2 3 5 2" xfId="31368" xr:uid="{00000000-0005-0000-0000-0000687B0000}"/>
    <cellStyle name="Standard 4 9 2 3 5 3" xfId="31369" xr:uid="{00000000-0005-0000-0000-0000697B0000}"/>
    <cellStyle name="Standard 4 9 2 3 6" xfId="31370" xr:uid="{00000000-0005-0000-0000-00006A7B0000}"/>
    <cellStyle name="Standard 4 9 2 3 6 2" xfId="31371" xr:uid="{00000000-0005-0000-0000-00006B7B0000}"/>
    <cellStyle name="Standard 4 9 2 3 7" xfId="31372" xr:uid="{00000000-0005-0000-0000-00006C7B0000}"/>
    <cellStyle name="Standard 4 9 2 3 8" xfId="31373" xr:uid="{00000000-0005-0000-0000-00006D7B0000}"/>
    <cellStyle name="Standard 4 9 2 4" xfId="31374" xr:uid="{00000000-0005-0000-0000-00006E7B0000}"/>
    <cellStyle name="Standard 4 9 2 4 2" xfId="31375" xr:uid="{00000000-0005-0000-0000-00006F7B0000}"/>
    <cellStyle name="Standard 4 9 2 4 2 2" xfId="31376" xr:uid="{00000000-0005-0000-0000-0000707B0000}"/>
    <cellStyle name="Standard 4 9 2 4 2 2 2" xfId="31377" xr:uid="{00000000-0005-0000-0000-0000717B0000}"/>
    <cellStyle name="Standard 4 9 2 4 2 2 3" xfId="31378" xr:uid="{00000000-0005-0000-0000-0000727B0000}"/>
    <cellStyle name="Standard 4 9 2 4 2 3" xfId="31379" xr:uid="{00000000-0005-0000-0000-0000737B0000}"/>
    <cellStyle name="Standard 4 9 2 4 2 3 2" xfId="31380" xr:uid="{00000000-0005-0000-0000-0000747B0000}"/>
    <cellStyle name="Standard 4 9 2 4 2 3 3" xfId="31381" xr:uid="{00000000-0005-0000-0000-0000757B0000}"/>
    <cellStyle name="Standard 4 9 2 4 2 4" xfId="31382" xr:uid="{00000000-0005-0000-0000-0000767B0000}"/>
    <cellStyle name="Standard 4 9 2 4 2 4 2" xfId="31383" xr:uid="{00000000-0005-0000-0000-0000777B0000}"/>
    <cellStyle name="Standard 4 9 2 4 2 5" xfId="31384" xr:uid="{00000000-0005-0000-0000-0000787B0000}"/>
    <cellStyle name="Standard 4 9 2 4 2 6" xfId="31385" xr:uid="{00000000-0005-0000-0000-0000797B0000}"/>
    <cellStyle name="Standard 4 9 2 4 3" xfId="31386" xr:uid="{00000000-0005-0000-0000-00007A7B0000}"/>
    <cellStyle name="Standard 4 9 2 4 3 2" xfId="31387" xr:uid="{00000000-0005-0000-0000-00007B7B0000}"/>
    <cellStyle name="Standard 4 9 2 4 3 3" xfId="31388" xr:uid="{00000000-0005-0000-0000-00007C7B0000}"/>
    <cellStyle name="Standard 4 9 2 4 4" xfId="31389" xr:uid="{00000000-0005-0000-0000-00007D7B0000}"/>
    <cellStyle name="Standard 4 9 2 4 4 2" xfId="31390" xr:uid="{00000000-0005-0000-0000-00007E7B0000}"/>
    <cellStyle name="Standard 4 9 2 4 4 3" xfId="31391" xr:uid="{00000000-0005-0000-0000-00007F7B0000}"/>
    <cellStyle name="Standard 4 9 2 4 5" xfId="31392" xr:uid="{00000000-0005-0000-0000-0000807B0000}"/>
    <cellStyle name="Standard 4 9 2 4 5 2" xfId="31393" xr:uid="{00000000-0005-0000-0000-0000817B0000}"/>
    <cellStyle name="Standard 4 9 2 4 6" xfId="31394" xr:uid="{00000000-0005-0000-0000-0000827B0000}"/>
    <cellStyle name="Standard 4 9 2 4 7" xfId="31395" xr:uid="{00000000-0005-0000-0000-0000837B0000}"/>
    <cellStyle name="Standard 4 9 2 5" xfId="31396" xr:uid="{00000000-0005-0000-0000-0000847B0000}"/>
    <cellStyle name="Standard 4 9 2 5 2" xfId="31397" xr:uid="{00000000-0005-0000-0000-0000857B0000}"/>
    <cellStyle name="Standard 4 9 2 5 2 2" xfId="31398" xr:uid="{00000000-0005-0000-0000-0000867B0000}"/>
    <cellStyle name="Standard 4 9 2 5 2 3" xfId="31399" xr:uid="{00000000-0005-0000-0000-0000877B0000}"/>
    <cellStyle name="Standard 4 9 2 5 3" xfId="31400" xr:uid="{00000000-0005-0000-0000-0000887B0000}"/>
    <cellStyle name="Standard 4 9 2 5 3 2" xfId="31401" xr:uid="{00000000-0005-0000-0000-0000897B0000}"/>
    <cellStyle name="Standard 4 9 2 5 3 3" xfId="31402" xr:uid="{00000000-0005-0000-0000-00008A7B0000}"/>
    <cellStyle name="Standard 4 9 2 5 4" xfId="31403" xr:uid="{00000000-0005-0000-0000-00008B7B0000}"/>
    <cellStyle name="Standard 4 9 2 5 4 2" xfId="31404" xr:uid="{00000000-0005-0000-0000-00008C7B0000}"/>
    <cellStyle name="Standard 4 9 2 5 5" xfId="31405" xr:uid="{00000000-0005-0000-0000-00008D7B0000}"/>
    <cellStyle name="Standard 4 9 2 5 6" xfId="31406" xr:uid="{00000000-0005-0000-0000-00008E7B0000}"/>
    <cellStyle name="Standard 4 9 2 6" xfId="31407" xr:uid="{00000000-0005-0000-0000-00008F7B0000}"/>
    <cellStyle name="Standard 4 9 2 6 2" xfId="31408" xr:uid="{00000000-0005-0000-0000-0000907B0000}"/>
    <cellStyle name="Standard 4 9 2 6 3" xfId="31409" xr:uid="{00000000-0005-0000-0000-0000917B0000}"/>
    <cellStyle name="Standard 4 9 2 7" xfId="31410" xr:uid="{00000000-0005-0000-0000-0000927B0000}"/>
    <cellStyle name="Standard 4 9 2 7 2" xfId="31411" xr:uid="{00000000-0005-0000-0000-0000937B0000}"/>
    <cellStyle name="Standard 4 9 2 7 3" xfId="31412" xr:uid="{00000000-0005-0000-0000-0000947B0000}"/>
    <cellStyle name="Standard 4 9 2 8" xfId="31413" xr:uid="{00000000-0005-0000-0000-0000957B0000}"/>
    <cellStyle name="Standard 4 9 2 8 2" xfId="31414" xr:uid="{00000000-0005-0000-0000-0000967B0000}"/>
    <cellStyle name="Standard 4 9 2 9" xfId="31415" xr:uid="{00000000-0005-0000-0000-0000977B0000}"/>
    <cellStyle name="Standard 4 9 3" xfId="31416" xr:uid="{00000000-0005-0000-0000-0000987B0000}"/>
    <cellStyle name="Standard 4 9 3 2" xfId="31417" xr:uid="{00000000-0005-0000-0000-0000997B0000}"/>
    <cellStyle name="Standard 4 9 3 2 2" xfId="31418" xr:uid="{00000000-0005-0000-0000-00009A7B0000}"/>
    <cellStyle name="Standard 4 9 3 2 2 2" xfId="31419" xr:uid="{00000000-0005-0000-0000-00009B7B0000}"/>
    <cellStyle name="Standard 4 9 3 2 2 2 2" xfId="31420" xr:uid="{00000000-0005-0000-0000-00009C7B0000}"/>
    <cellStyle name="Standard 4 9 3 2 2 2 3" xfId="31421" xr:uid="{00000000-0005-0000-0000-00009D7B0000}"/>
    <cellStyle name="Standard 4 9 3 2 2 3" xfId="31422" xr:uid="{00000000-0005-0000-0000-00009E7B0000}"/>
    <cellStyle name="Standard 4 9 3 2 2 3 2" xfId="31423" xr:uid="{00000000-0005-0000-0000-00009F7B0000}"/>
    <cellStyle name="Standard 4 9 3 2 2 3 3" xfId="31424" xr:uid="{00000000-0005-0000-0000-0000A07B0000}"/>
    <cellStyle name="Standard 4 9 3 2 2 4" xfId="31425" xr:uid="{00000000-0005-0000-0000-0000A17B0000}"/>
    <cellStyle name="Standard 4 9 3 2 2 4 2" xfId="31426" xr:uid="{00000000-0005-0000-0000-0000A27B0000}"/>
    <cellStyle name="Standard 4 9 3 2 2 5" xfId="31427" xr:uid="{00000000-0005-0000-0000-0000A37B0000}"/>
    <cellStyle name="Standard 4 9 3 2 2 6" xfId="31428" xr:uid="{00000000-0005-0000-0000-0000A47B0000}"/>
    <cellStyle name="Standard 4 9 3 2 3" xfId="31429" xr:uid="{00000000-0005-0000-0000-0000A57B0000}"/>
    <cellStyle name="Standard 4 9 3 2 3 2" xfId="31430" xr:uid="{00000000-0005-0000-0000-0000A67B0000}"/>
    <cellStyle name="Standard 4 9 3 2 3 3" xfId="31431" xr:uid="{00000000-0005-0000-0000-0000A77B0000}"/>
    <cellStyle name="Standard 4 9 3 2 4" xfId="31432" xr:uid="{00000000-0005-0000-0000-0000A87B0000}"/>
    <cellStyle name="Standard 4 9 3 2 4 2" xfId="31433" xr:uid="{00000000-0005-0000-0000-0000A97B0000}"/>
    <cellStyle name="Standard 4 9 3 2 4 3" xfId="31434" xr:uid="{00000000-0005-0000-0000-0000AA7B0000}"/>
    <cellStyle name="Standard 4 9 3 2 5" xfId="31435" xr:uid="{00000000-0005-0000-0000-0000AB7B0000}"/>
    <cellStyle name="Standard 4 9 3 2 5 2" xfId="31436" xr:uid="{00000000-0005-0000-0000-0000AC7B0000}"/>
    <cellStyle name="Standard 4 9 3 2 6" xfId="31437" xr:uid="{00000000-0005-0000-0000-0000AD7B0000}"/>
    <cellStyle name="Standard 4 9 3 2 7" xfId="31438" xr:uid="{00000000-0005-0000-0000-0000AE7B0000}"/>
    <cellStyle name="Standard 4 9 3 3" xfId="31439" xr:uid="{00000000-0005-0000-0000-0000AF7B0000}"/>
    <cellStyle name="Standard 4 9 3 3 2" xfId="31440" xr:uid="{00000000-0005-0000-0000-0000B07B0000}"/>
    <cellStyle name="Standard 4 9 3 3 2 2" xfId="31441" xr:uid="{00000000-0005-0000-0000-0000B17B0000}"/>
    <cellStyle name="Standard 4 9 3 3 2 3" xfId="31442" xr:uid="{00000000-0005-0000-0000-0000B27B0000}"/>
    <cellStyle name="Standard 4 9 3 3 3" xfId="31443" xr:uid="{00000000-0005-0000-0000-0000B37B0000}"/>
    <cellStyle name="Standard 4 9 3 3 3 2" xfId="31444" xr:uid="{00000000-0005-0000-0000-0000B47B0000}"/>
    <cellStyle name="Standard 4 9 3 3 3 3" xfId="31445" xr:uid="{00000000-0005-0000-0000-0000B57B0000}"/>
    <cellStyle name="Standard 4 9 3 3 4" xfId="31446" xr:uid="{00000000-0005-0000-0000-0000B67B0000}"/>
    <cellStyle name="Standard 4 9 3 3 4 2" xfId="31447" xr:uid="{00000000-0005-0000-0000-0000B77B0000}"/>
    <cellStyle name="Standard 4 9 3 3 5" xfId="31448" xr:uid="{00000000-0005-0000-0000-0000B87B0000}"/>
    <cellStyle name="Standard 4 9 3 3 6" xfId="31449" xr:uid="{00000000-0005-0000-0000-0000B97B0000}"/>
    <cellStyle name="Standard 4 9 3 4" xfId="31450" xr:uid="{00000000-0005-0000-0000-0000BA7B0000}"/>
    <cellStyle name="Standard 4 9 3 4 2" xfId="31451" xr:uid="{00000000-0005-0000-0000-0000BB7B0000}"/>
    <cellStyle name="Standard 4 9 3 4 3" xfId="31452" xr:uid="{00000000-0005-0000-0000-0000BC7B0000}"/>
    <cellStyle name="Standard 4 9 3 5" xfId="31453" xr:uid="{00000000-0005-0000-0000-0000BD7B0000}"/>
    <cellStyle name="Standard 4 9 3 5 2" xfId="31454" xr:uid="{00000000-0005-0000-0000-0000BE7B0000}"/>
    <cellStyle name="Standard 4 9 3 5 3" xfId="31455" xr:uid="{00000000-0005-0000-0000-0000BF7B0000}"/>
    <cellStyle name="Standard 4 9 3 6" xfId="31456" xr:uid="{00000000-0005-0000-0000-0000C07B0000}"/>
    <cellStyle name="Standard 4 9 3 6 2" xfId="31457" xr:uid="{00000000-0005-0000-0000-0000C17B0000}"/>
    <cellStyle name="Standard 4 9 3 7" xfId="31458" xr:uid="{00000000-0005-0000-0000-0000C27B0000}"/>
    <cellStyle name="Standard 4 9 3 8" xfId="31459" xr:uid="{00000000-0005-0000-0000-0000C37B0000}"/>
    <cellStyle name="Standard 4 9 4" xfId="31460" xr:uid="{00000000-0005-0000-0000-0000C47B0000}"/>
    <cellStyle name="Standard 4 9 4 2" xfId="31461" xr:uid="{00000000-0005-0000-0000-0000C57B0000}"/>
    <cellStyle name="Standard 4 9 4 2 2" xfId="31462" xr:uid="{00000000-0005-0000-0000-0000C67B0000}"/>
    <cellStyle name="Standard 4 9 4 2 2 2" xfId="31463" xr:uid="{00000000-0005-0000-0000-0000C77B0000}"/>
    <cellStyle name="Standard 4 9 4 2 2 2 2" xfId="31464" xr:uid="{00000000-0005-0000-0000-0000C87B0000}"/>
    <cellStyle name="Standard 4 9 4 2 2 2 3" xfId="31465" xr:uid="{00000000-0005-0000-0000-0000C97B0000}"/>
    <cellStyle name="Standard 4 9 4 2 2 3" xfId="31466" xr:uid="{00000000-0005-0000-0000-0000CA7B0000}"/>
    <cellStyle name="Standard 4 9 4 2 2 3 2" xfId="31467" xr:uid="{00000000-0005-0000-0000-0000CB7B0000}"/>
    <cellStyle name="Standard 4 9 4 2 2 3 3" xfId="31468" xr:uid="{00000000-0005-0000-0000-0000CC7B0000}"/>
    <cellStyle name="Standard 4 9 4 2 2 4" xfId="31469" xr:uid="{00000000-0005-0000-0000-0000CD7B0000}"/>
    <cellStyle name="Standard 4 9 4 2 2 4 2" xfId="31470" xr:uid="{00000000-0005-0000-0000-0000CE7B0000}"/>
    <cellStyle name="Standard 4 9 4 2 2 5" xfId="31471" xr:uid="{00000000-0005-0000-0000-0000CF7B0000}"/>
    <cellStyle name="Standard 4 9 4 2 2 6" xfId="31472" xr:uid="{00000000-0005-0000-0000-0000D07B0000}"/>
    <cellStyle name="Standard 4 9 4 2 3" xfId="31473" xr:uid="{00000000-0005-0000-0000-0000D17B0000}"/>
    <cellStyle name="Standard 4 9 4 2 3 2" xfId="31474" xr:uid="{00000000-0005-0000-0000-0000D27B0000}"/>
    <cellStyle name="Standard 4 9 4 2 3 3" xfId="31475" xr:uid="{00000000-0005-0000-0000-0000D37B0000}"/>
    <cellStyle name="Standard 4 9 4 2 4" xfId="31476" xr:uid="{00000000-0005-0000-0000-0000D47B0000}"/>
    <cellStyle name="Standard 4 9 4 2 4 2" xfId="31477" xr:uid="{00000000-0005-0000-0000-0000D57B0000}"/>
    <cellStyle name="Standard 4 9 4 2 4 3" xfId="31478" xr:uid="{00000000-0005-0000-0000-0000D67B0000}"/>
    <cellStyle name="Standard 4 9 4 2 5" xfId="31479" xr:uid="{00000000-0005-0000-0000-0000D77B0000}"/>
    <cellStyle name="Standard 4 9 4 2 5 2" xfId="31480" xr:uid="{00000000-0005-0000-0000-0000D87B0000}"/>
    <cellStyle name="Standard 4 9 4 2 6" xfId="31481" xr:uid="{00000000-0005-0000-0000-0000D97B0000}"/>
    <cellStyle name="Standard 4 9 4 2 7" xfId="31482" xr:uid="{00000000-0005-0000-0000-0000DA7B0000}"/>
    <cellStyle name="Standard 4 9 4 3" xfId="31483" xr:uid="{00000000-0005-0000-0000-0000DB7B0000}"/>
    <cellStyle name="Standard 4 9 4 3 2" xfId="31484" xr:uid="{00000000-0005-0000-0000-0000DC7B0000}"/>
    <cellStyle name="Standard 4 9 4 3 2 2" xfId="31485" xr:uid="{00000000-0005-0000-0000-0000DD7B0000}"/>
    <cellStyle name="Standard 4 9 4 3 2 3" xfId="31486" xr:uid="{00000000-0005-0000-0000-0000DE7B0000}"/>
    <cellStyle name="Standard 4 9 4 3 3" xfId="31487" xr:uid="{00000000-0005-0000-0000-0000DF7B0000}"/>
    <cellStyle name="Standard 4 9 4 3 3 2" xfId="31488" xr:uid="{00000000-0005-0000-0000-0000E07B0000}"/>
    <cellStyle name="Standard 4 9 4 3 3 3" xfId="31489" xr:uid="{00000000-0005-0000-0000-0000E17B0000}"/>
    <cellStyle name="Standard 4 9 4 3 4" xfId="31490" xr:uid="{00000000-0005-0000-0000-0000E27B0000}"/>
    <cellStyle name="Standard 4 9 4 3 4 2" xfId="31491" xr:uid="{00000000-0005-0000-0000-0000E37B0000}"/>
    <cellStyle name="Standard 4 9 4 3 5" xfId="31492" xr:uid="{00000000-0005-0000-0000-0000E47B0000}"/>
    <cellStyle name="Standard 4 9 4 3 6" xfId="31493" xr:uid="{00000000-0005-0000-0000-0000E57B0000}"/>
    <cellStyle name="Standard 4 9 4 4" xfId="31494" xr:uid="{00000000-0005-0000-0000-0000E67B0000}"/>
    <cellStyle name="Standard 4 9 4 4 2" xfId="31495" xr:uid="{00000000-0005-0000-0000-0000E77B0000}"/>
    <cellStyle name="Standard 4 9 4 4 3" xfId="31496" xr:uid="{00000000-0005-0000-0000-0000E87B0000}"/>
    <cellStyle name="Standard 4 9 4 5" xfId="31497" xr:uid="{00000000-0005-0000-0000-0000E97B0000}"/>
    <cellStyle name="Standard 4 9 4 5 2" xfId="31498" xr:uid="{00000000-0005-0000-0000-0000EA7B0000}"/>
    <cellStyle name="Standard 4 9 4 5 3" xfId="31499" xr:uid="{00000000-0005-0000-0000-0000EB7B0000}"/>
    <cellStyle name="Standard 4 9 4 6" xfId="31500" xr:uid="{00000000-0005-0000-0000-0000EC7B0000}"/>
    <cellStyle name="Standard 4 9 4 6 2" xfId="31501" xr:uid="{00000000-0005-0000-0000-0000ED7B0000}"/>
    <cellStyle name="Standard 4 9 4 7" xfId="31502" xr:uid="{00000000-0005-0000-0000-0000EE7B0000}"/>
    <cellStyle name="Standard 4 9 4 8" xfId="31503" xr:uid="{00000000-0005-0000-0000-0000EF7B0000}"/>
    <cellStyle name="Standard 4 9 5" xfId="31504" xr:uid="{00000000-0005-0000-0000-0000F07B0000}"/>
    <cellStyle name="Standard 4 9 5 2" xfId="31505" xr:uid="{00000000-0005-0000-0000-0000F17B0000}"/>
    <cellStyle name="Standard 4 9 5 2 2" xfId="31506" xr:uid="{00000000-0005-0000-0000-0000F27B0000}"/>
    <cellStyle name="Standard 4 9 5 2 2 2" xfId="31507" xr:uid="{00000000-0005-0000-0000-0000F37B0000}"/>
    <cellStyle name="Standard 4 9 5 2 2 3" xfId="31508" xr:uid="{00000000-0005-0000-0000-0000F47B0000}"/>
    <cellStyle name="Standard 4 9 5 2 3" xfId="31509" xr:uid="{00000000-0005-0000-0000-0000F57B0000}"/>
    <cellStyle name="Standard 4 9 5 2 3 2" xfId="31510" xr:uid="{00000000-0005-0000-0000-0000F67B0000}"/>
    <cellStyle name="Standard 4 9 5 2 3 3" xfId="31511" xr:uid="{00000000-0005-0000-0000-0000F77B0000}"/>
    <cellStyle name="Standard 4 9 5 2 4" xfId="31512" xr:uid="{00000000-0005-0000-0000-0000F87B0000}"/>
    <cellStyle name="Standard 4 9 5 2 4 2" xfId="31513" xr:uid="{00000000-0005-0000-0000-0000F97B0000}"/>
    <cellStyle name="Standard 4 9 5 2 5" xfId="31514" xr:uid="{00000000-0005-0000-0000-0000FA7B0000}"/>
    <cellStyle name="Standard 4 9 5 2 6" xfId="31515" xr:uid="{00000000-0005-0000-0000-0000FB7B0000}"/>
    <cellStyle name="Standard 4 9 5 3" xfId="31516" xr:uid="{00000000-0005-0000-0000-0000FC7B0000}"/>
    <cellStyle name="Standard 4 9 5 3 2" xfId="31517" xr:uid="{00000000-0005-0000-0000-0000FD7B0000}"/>
    <cellStyle name="Standard 4 9 5 3 3" xfId="31518" xr:uid="{00000000-0005-0000-0000-0000FE7B0000}"/>
    <cellStyle name="Standard 4 9 5 4" xfId="31519" xr:uid="{00000000-0005-0000-0000-0000FF7B0000}"/>
    <cellStyle name="Standard 4 9 5 4 2" xfId="31520" xr:uid="{00000000-0005-0000-0000-0000007C0000}"/>
    <cellStyle name="Standard 4 9 5 4 3" xfId="31521" xr:uid="{00000000-0005-0000-0000-0000017C0000}"/>
    <cellStyle name="Standard 4 9 5 5" xfId="31522" xr:uid="{00000000-0005-0000-0000-0000027C0000}"/>
    <cellStyle name="Standard 4 9 5 5 2" xfId="31523" xr:uid="{00000000-0005-0000-0000-0000037C0000}"/>
    <cellStyle name="Standard 4 9 5 6" xfId="31524" xr:uid="{00000000-0005-0000-0000-0000047C0000}"/>
    <cellStyle name="Standard 4 9 5 7" xfId="31525" xr:uid="{00000000-0005-0000-0000-0000057C0000}"/>
    <cellStyle name="Standard 4 9 6" xfId="31526" xr:uid="{00000000-0005-0000-0000-0000067C0000}"/>
    <cellStyle name="Standard 4 9 6 2" xfId="31527" xr:uid="{00000000-0005-0000-0000-0000077C0000}"/>
    <cellStyle name="Standard 4 9 6 2 2" xfId="31528" xr:uid="{00000000-0005-0000-0000-0000087C0000}"/>
    <cellStyle name="Standard 4 9 6 2 3" xfId="31529" xr:uid="{00000000-0005-0000-0000-0000097C0000}"/>
    <cellStyle name="Standard 4 9 6 3" xfId="31530" xr:uid="{00000000-0005-0000-0000-00000A7C0000}"/>
    <cellStyle name="Standard 4 9 6 3 2" xfId="31531" xr:uid="{00000000-0005-0000-0000-00000B7C0000}"/>
    <cellStyle name="Standard 4 9 6 3 3" xfId="31532" xr:uid="{00000000-0005-0000-0000-00000C7C0000}"/>
    <cellStyle name="Standard 4 9 6 4" xfId="31533" xr:uid="{00000000-0005-0000-0000-00000D7C0000}"/>
    <cellStyle name="Standard 4 9 6 4 2" xfId="31534" xr:uid="{00000000-0005-0000-0000-00000E7C0000}"/>
    <cellStyle name="Standard 4 9 6 5" xfId="31535" xr:uid="{00000000-0005-0000-0000-00000F7C0000}"/>
    <cellStyle name="Standard 4 9 6 6" xfId="31536" xr:uid="{00000000-0005-0000-0000-0000107C0000}"/>
    <cellStyle name="Standard 4 9 7" xfId="31537" xr:uid="{00000000-0005-0000-0000-0000117C0000}"/>
    <cellStyle name="Standard 4 9 7 2" xfId="31538" xr:uid="{00000000-0005-0000-0000-0000127C0000}"/>
    <cellStyle name="Standard 4 9 7 3" xfId="31539" xr:uid="{00000000-0005-0000-0000-0000137C0000}"/>
    <cellStyle name="Standard 4 9 8" xfId="31540" xr:uid="{00000000-0005-0000-0000-0000147C0000}"/>
    <cellStyle name="Standard 4 9 8 2" xfId="31541" xr:uid="{00000000-0005-0000-0000-0000157C0000}"/>
    <cellStyle name="Standard 4 9 8 3" xfId="31542" xr:uid="{00000000-0005-0000-0000-0000167C0000}"/>
    <cellStyle name="Standard 4 9 9" xfId="31543" xr:uid="{00000000-0005-0000-0000-0000177C0000}"/>
    <cellStyle name="Standard 4 9 9 2" xfId="31544" xr:uid="{00000000-0005-0000-0000-0000187C0000}"/>
    <cellStyle name="Standard 40" xfId="596" xr:uid="{00000000-0005-0000-0000-0000197C0000}"/>
    <cellStyle name="Standard 40 2" xfId="597" xr:uid="{00000000-0005-0000-0000-00001A7C0000}"/>
    <cellStyle name="Standard 41" xfId="598" xr:uid="{00000000-0005-0000-0000-00001B7C0000}"/>
    <cellStyle name="Standard 41 2" xfId="599" xr:uid="{00000000-0005-0000-0000-00001C7C0000}"/>
    <cellStyle name="Standard 42" xfId="600" xr:uid="{00000000-0005-0000-0000-00001D7C0000}"/>
    <cellStyle name="Standard 42 2" xfId="601" xr:uid="{00000000-0005-0000-0000-00001E7C0000}"/>
    <cellStyle name="Standard 43" xfId="602" xr:uid="{00000000-0005-0000-0000-00001F7C0000}"/>
    <cellStyle name="Standard 43 2" xfId="603" xr:uid="{00000000-0005-0000-0000-0000207C0000}"/>
    <cellStyle name="Standard 44" xfId="604" xr:uid="{00000000-0005-0000-0000-0000217C0000}"/>
    <cellStyle name="Standard 44 2" xfId="605" xr:uid="{00000000-0005-0000-0000-0000227C0000}"/>
    <cellStyle name="Standard 45" xfId="606" xr:uid="{00000000-0005-0000-0000-0000237C0000}"/>
    <cellStyle name="Standard 45 2" xfId="607" xr:uid="{00000000-0005-0000-0000-0000247C0000}"/>
    <cellStyle name="Standard 46" xfId="608" xr:uid="{00000000-0005-0000-0000-0000257C0000}"/>
    <cellStyle name="Standard 46 2" xfId="609" xr:uid="{00000000-0005-0000-0000-0000267C0000}"/>
    <cellStyle name="Standard 47" xfId="610" xr:uid="{00000000-0005-0000-0000-0000277C0000}"/>
    <cellStyle name="Standard 47 2" xfId="611" xr:uid="{00000000-0005-0000-0000-0000287C0000}"/>
    <cellStyle name="Standard 48" xfId="612" xr:uid="{00000000-0005-0000-0000-0000297C0000}"/>
    <cellStyle name="Standard 48 2" xfId="613" xr:uid="{00000000-0005-0000-0000-00002A7C0000}"/>
    <cellStyle name="Standard 49" xfId="614" xr:uid="{00000000-0005-0000-0000-00002B7C0000}"/>
    <cellStyle name="Standard 49 2" xfId="615" xr:uid="{00000000-0005-0000-0000-00002C7C0000}"/>
    <cellStyle name="Standard 5" xfId="616" xr:uid="{00000000-0005-0000-0000-00002D7C0000}"/>
    <cellStyle name="Standard 5 10" xfId="31545" xr:uid="{00000000-0005-0000-0000-00002E7C0000}"/>
    <cellStyle name="Standard 5 10 2" xfId="31546" xr:uid="{00000000-0005-0000-0000-00002F7C0000}"/>
    <cellStyle name="Standard 5 10 3" xfId="31547" xr:uid="{00000000-0005-0000-0000-0000307C0000}"/>
    <cellStyle name="Standard 5 11" xfId="31548" xr:uid="{00000000-0005-0000-0000-0000317C0000}"/>
    <cellStyle name="Standard 5 11 2" xfId="31549" xr:uid="{00000000-0005-0000-0000-0000327C0000}"/>
    <cellStyle name="Standard 5 11 3" xfId="31550" xr:uid="{00000000-0005-0000-0000-0000337C0000}"/>
    <cellStyle name="Standard 5 12" xfId="31551" xr:uid="{00000000-0005-0000-0000-0000347C0000}"/>
    <cellStyle name="Standard 5 12 2" xfId="31552" xr:uid="{00000000-0005-0000-0000-0000357C0000}"/>
    <cellStyle name="Standard 5 13" xfId="31553" xr:uid="{00000000-0005-0000-0000-0000367C0000}"/>
    <cellStyle name="Standard 5 14" xfId="31554" xr:uid="{00000000-0005-0000-0000-0000377C0000}"/>
    <cellStyle name="Standard 5 15" xfId="31555" xr:uid="{00000000-0005-0000-0000-0000387C0000}"/>
    <cellStyle name="Standard 5 16" xfId="31556" xr:uid="{00000000-0005-0000-0000-0000397C0000}"/>
    <cellStyle name="Standard 5 2" xfId="617" xr:uid="{00000000-0005-0000-0000-00003A7C0000}"/>
    <cellStyle name="Standard 5 2 2" xfId="618" xr:uid="{00000000-0005-0000-0000-00003B7C0000}"/>
    <cellStyle name="Standard 5 2 2 2" xfId="33478" xr:uid="{00000000-0005-0000-0000-00003C7C0000}"/>
    <cellStyle name="Standard 5 2 3" xfId="31557" xr:uid="{00000000-0005-0000-0000-00003D7C0000}"/>
    <cellStyle name="Standard 5 2 4" xfId="31558" xr:uid="{00000000-0005-0000-0000-00003E7C0000}"/>
    <cellStyle name="Standard 5 3" xfId="619" xr:uid="{00000000-0005-0000-0000-00003F7C0000}"/>
    <cellStyle name="Standard 5 3 2" xfId="31559" xr:uid="{00000000-0005-0000-0000-0000407C0000}"/>
    <cellStyle name="Standard 5 3 3" xfId="31560" xr:uid="{00000000-0005-0000-0000-0000417C0000}"/>
    <cellStyle name="Standard 5 4" xfId="31561" xr:uid="{00000000-0005-0000-0000-0000427C0000}"/>
    <cellStyle name="Standard 5 5" xfId="31562" xr:uid="{00000000-0005-0000-0000-0000437C0000}"/>
    <cellStyle name="Standard 5 5 10" xfId="31563" xr:uid="{00000000-0005-0000-0000-0000447C0000}"/>
    <cellStyle name="Standard 5 5 2" xfId="31564" xr:uid="{00000000-0005-0000-0000-0000457C0000}"/>
    <cellStyle name="Standard 5 5 2 2" xfId="31565" xr:uid="{00000000-0005-0000-0000-0000467C0000}"/>
    <cellStyle name="Standard 5 5 2 2 2" xfId="31566" xr:uid="{00000000-0005-0000-0000-0000477C0000}"/>
    <cellStyle name="Standard 5 5 2 2 2 2" xfId="31567" xr:uid="{00000000-0005-0000-0000-0000487C0000}"/>
    <cellStyle name="Standard 5 5 2 2 2 2 2" xfId="31568" xr:uid="{00000000-0005-0000-0000-0000497C0000}"/>
    <cellStyle name="Standard 5 5 2 2 2 2 3" xfId="31569" xr:uid="{00000000-0005-0000-0000-00004A7C0000}"/>
    <cellStyle name="Standard 5 5 2 2 2 3" xfId="31570" xr:uid="{00000000-0005-0000-0000-00004B7C0000}"/>
    <cellStyle name="Standard 5 5 2 2 2 3 2" xfId="31571" xr:uid="{00000000-0005-0000-0000-00004C7C0000}"/>
    <cellStyle name="Standard 5 5 2 2 2 3 3" xfId="31572" xr:uid="{00000000-0005-0000-0000-00004D7C0000}"/>
    <cellStyle name="Standard 5 5 2 2 2 4" xfId="31573" xr:uid="{00000000-0005-0000-0000-00004E7C0000}"/>
    <cellStyle name="Standard 5 5 2 2 2 4 2" xfId="31574" xr:uid="{00000000-0005-0000-0000-00004F7C0000}"/>
    <cellStyle name="Standard 5 5 2 2 2 5" xfId="31575" xr:uid="{00000000-0005-0000-0000-0000507C0000}"/>
    <cellStyle name="Standard 5 5 2 2 2 6" xfId="31576" xr:uid="{00000000-0005-0000-0000-0000517C0000}"/>
    <cellStyle name="Standard 5 5 2 2 3" xfId="31577" xr:uid="{00000000-0005-0000-0000-0000527C0000}"/>
    <cellStyle name="Standard 5 5 2 2 3 2" xfId="31578" xr:uid="{00000000-0005-0000-0000-0000537C0000}"/>
    <cellStyle name="Standard 5 5 2 2 3 3" xfId="31579" xr:uid="{00000000-0005-0000-0000-0000547C0000}"/>
    <cellStyle name="Standard 5 5 2 2 4" xfId="31580" xr:uid="{00000000-0005-0000-0000-0000557C0000}"/>
    <cellStyle name="Standard 5 5 2 2 4 2" xfId="31581" xr:uid="{00000000-0005-0000-0000-0000567C0000}"/>
    <cellStyle name="Standard 5 5 2 2 4 3" xfId="31582" xr:uid="{00000000-0005-0000-0000-0000577C0000}"/>
    <cellStyle name="Standard 5 5 2 2 5" xfId="31583" xr:uid="{00000000-0005-0000-0000-0000587C0000}"/>
    <cellStyle name="Standard 5 5 2 2 5 2" xfId="31584" xr:uid="{00000000-0005-0000-0000-0000597C0000}"/>
    <cellStyle name="Standard 5 5 2 2 6" xfId="31585" xr:uid="{00000000-0005-0000-0000-00005A7C0000}"/>
    <cellStyle name="Standard 5 5 2 2 7" xfId="31586" xr:uid="{00000000-0005-0000-0000-00005B7C0000}"/>
    <cellStyle name="Standard 5 5 2 3" xfId="31587" xr:uid="{00000000-0005-0000-0000-00005C7C0000}"/>
    <cellStyle name="Standard 5 5 2 3 2" xfId="31588" xr:uid="{00000000-0005-0000-0000-00005D7C0000}"/>
    <cellStyle name="Standard 5 5 2 3 2 2" xfId="31589" xr:uid="{00000000-0005-0000-0000-00005E7C0000}"/>
    <cellStyle name="Standard 5 5 2 3 2 3" xfId="31590" xr:uid="{00000000-0005-0000-0000-00005F7C0000}"/>
    <cellStyle name="Standard 5 5 2 3 3" xfId="31591" xr:uid="{00000000-0005-0000-0000-0000607C0000}"/>
    <cellStyle name="Standard 5 5 2 3 3 2" xfId="31592" xr:uid="{00000000-0005-0000-0000-0000617C0000}"/>
    <cellStyle name="Standard 5 5 2 3 3 3" xfId="31593" xr:uid="{00000000-0005-0000-0000-0000627C0000}"/>
    <cellStyle name="Standard 5 5 2 3 4" xfId="31594" xr:uid="{00000000-0005-0000-0000-0000637C0000}"/>
    <cellStyle name="Standard 5 5 2 3 4 2" xfId="31595" xr:uid="{00000000-0005-0000-0000-0000647C0000}"/>
    <cellStyle name="Standard 5 5 2 3 5" xfId="31596" xr:uid="{00000000-0005-0000-0000-0000657C0000}"/>
    <cellStyle name="Standard 5 5 2 3 6" xfId="31597" xr:uid="{00000000-0005-0000-0000-0000667C0000}"/>
    <cellStyle name="Standard 5 5 2 4" xfId="31598" xr:uid="{00000000-0005-0000-0000-0000677C0000}"/>
    <cellStyle name="Standard 5 5 2 4 2" xfId="31599" xr:uid="{00000000-0005-0000-0000-0000687C0000}"/>
    <cellStyle name="Standard 5 5 2 4 3" xfId="31600" xr:uid="{00000000-0005-0000-0000-0000697C0000}"/>
    <cellStyle name="Standard 5 5 2 5" xfId="31601" xr:uid="{00000000-0005-0000-0000-00006A7C0000}"/>
    <cellStyle name="Standard 5 5 2 5 2" xfId="31602" xr:uid="{00000000-0005-0000-0000-00006B7C0000}"/>
    <cellStyle name="Standard 5 5 2 5 3" xfId="31603" xr:uid="{00000000-0005-0000-0000-00006C7C0000}"/>
    <cellStyle name="Standard 5 5 2 6" xfId="31604" xr:uid="{00000000-0005-0000-0000-00006D7C0000}"/>
    <cellStyle name="Standard 5 5 2 6 2" xfId="31605" xr:uid="{00000000-0005-0000-0000-00006E7C0000}"/>
    <cellStyle name="Standard 5 5 2 7" xfId="31606" xr:uid="{00000000-0005-0000-0000-00006F7C0000}"/>
    <cellStyle name="Standard 5 5 2 8" xfId="31607" xr:uid="{00000000-0005-0000-0000-0000707C0000}"/>
    <cellStyle name="Standard 5 5 3" xfId="31608" xr:uid="{00000000-0005-0000-0000-0000717C0000}"/>
    <cellStyle name="Standard 5 5 3 2" xfId="31609" xr:uid="{00000000-0005-0000-0000-0000727C0000}"/>
    <cellStyle name="Standard 5 5 3 2 2" xfId="31610" xr:uid="{00000000-0005-0000-0000-0000737C0000}"/>
    <cellStyle name="Standard 5 5 3 2 2 2" xfId="31611" xr:uid="{00000000-0005-0000-0000-0000747C0000}"/>
    <cellStyle name="Standard 5 5 3 2 2 2 2" xfId="31612" xr:uid="{00000000-0005-0000-0000-0000757C0000}"/>
    <cellStyle name="Standard 5 5 3 2 2 2 3" xfId="31613" xr:uid="{00000000-0005-0000-0000-0000767C0000}"/>
    <cellStyle name="Standard 5 5 3 2 2 3" xfId="31614" xr:uid="{00000000-0005-0000-0000-0000777C0000}"/>
    <cellStyle name="Standard 5 5 3 2 2 3 2" xfId="31615" xr:uid="{00000000-0005-0000-0000-0000787C0000}"/>
    <cellStyle name="Standard 5 5 3 2 2 3 3" xfId="31616" xr:uid="{00000000-0005-0000-0000-0000797C0000}"/>
    <cellStyle name="Standard 5 5 3 2 2 4" xfId="31617" xr:uid="{00000000-0005-0000-0000-00007A7C0000}"/>
    <cellStyle name="Standard 5 5 3 2 2 4 2" xfId="31618" xr:uid="{00000000-0005-0000-0000-00007B7C0000}"/>
    <cellStyle name="Standard 5 5 3 2 2 5" xfId="31619" xr:uid="{00000000-0005-0000-0000-00007C7C0000}"/>
    <cellStyle name="Standard 5 5 3 2 2 6" xfId="31620" xr:uid="{00000000-0005-0000-0000-00007D7C0000}"/>
    <cellStyle name="Standard 5 5 3 2 3" xfId="31621" xr:uid="{00000000-0005-0000-0000-00007E7C0000}"/>
    <cellStyle name="Standard 5 5 3 2 3 2" xfId="31622" xr:uid="{00000000-0005-0000-0000-00007F7C0000}"/>
    <cellStyle name="Standard 5 5 3 2 3 3" xfId="31623" xr:uid="{00000000-0005-0000-0000-0000807C0000}"/>
    <cellStyle name="Standard 5 5 3 2 4" xfId="31624" xr:uid="{00000000-0005-0000-0000-0000817C0000}"/>
    <cellStyle name="Standard 5 5 3 2 4 2" xfId="31625" xr:uid="{00000000-0005-0000-0000-0000827C0000}"/>
    <cellStyle name="Standard 5 5 3 2 4 3" xfId="31626" xr:uid="{00000000-0005-0000-0000-0000837C0000}"/>
    <cellStyle name="Standard 5 5 3 2 5" xfId="31627" xr:uid="{00000000-0005-0000-0000-0000847C0000}"/>
    <cellStyle name="Standard 5 5 3 2 5 2" xfId="31628" xr:uid="{00000000-0005-0000-0000-0000857C0000}"/>
    <cellStyle name="Standard 5 5 3 2 6" xfId="31629" xr:uid="{00000000-0005-0000-0000-0000867C0000}"/>
    <cellStyle name="Standard 5 5 3 2 7" xfId="31630" xr:uid="{00000000-0005-0000-0000-0000877C0000}"/>
    <cellStyle name="Standard 5 5 3 3" xfId="31631" xr:uid="{00000000-0005-0000-0000-0000887C0000}"/>
    <cellStyle name="Standard 5 5 3 3 2" xfId="31632" xr:uid="{00000000-0005-0000-0000-0000897C0000}"/>
    <cellStyle name="Standard 5 5 3 3 2 2" xfId="31633" xr:uid="{00000000-0005-0000-0000-00008A7C0000}"/>
    <cellStyle name="Standard 5 5 3 3 2 3" xfId="31634" xr:uid="{00000000-0005-0000-0000-00008B7C0000}"/>
    <cellStyle name="Standard 5 5 3 3 3" xfId="31635" xr:uid="{00000000-0005-0000-0000-00008C7C0000}"/>
    <cellStyle name="Standard 5 5 3 3 3 2" xfId="31636" xr:uid="{00000000-0005-0000-0000-00008D7C0000}"/>
    <cellStyle name="Standard 5 5 3 3 3 3" xfId="31637" xr:uid="{00000000-0005-0000-0000-00008E7C0000}"/>
    <cellStyle name="Standard 5 5 3 3 4" xfId="31638" xr:uid="{00000000-0005-0000-0000-00008F7C0000}"/>
    <cellStyle name="Standard 5 5 3 3 4 2" xfId="31639" xr:uid="{00000000-0005-0000-0000-0000907C0000}"/>
    <cellStyle name="Standard 5 5 3 3 5" xfId="31640" xr:uid="{00000000-0005-0000-0000-0000917C0000}"/>
    <cellStyle name="Standard 5 5 3 3 6" xfId="31641" xr:uid="{00000000-0005-0000-0000-0000927C0000}"/>
    <cellStyle name="Standard 5 5 3 4" xfId="31642" xr:uid="{00000000-0005-0000-0000-0000937C0000}"/>
    <cellStyle name="Standard 5 5 3 4 2" xfId="31643" xr:uid="{00000000-0005-0000-0000-0000947C0000}"/>
    <cellStyle name="Standard 5 5 3 4 3" xfId="31644" xr:uid="{00000000-0005-0000-0000-0000957C0000}"/>
    <cellStyle name="Standard 5 5 3 5" xfId="31645" xr:uid="{00000000-0005-0000-0000-0000967C0000}"/>
    <cellStyle name="Standard 5 5 3 5 2" xfId="31646" xr:uid="{00000000-0005-0000-0000-0000977C0000}"/>
    <cellStyle name="Standard 5 5 3 5 3" xfId="31647" xr:uid="{00000000-0005-0000-0000-0000987C0000}"/>
    <cellStyle name="Standard 5 5 3 6" xfId="31648" xr:uid="{00000000-0005-0000-0000-0000997C0000}"/>
    <cellStyle name="Standard 5 5 3 6 2" xfId="31649" xr:uid="{00000000-0005-0000-0000-00009A7C0000}"/>
    <cellStyle name="Standard 5 5 3 7" xfId="31650" xr:uid="{00000000-0005-0000-0000-00009B7C0000}"/>
    <cellStyle name="Standard 5 5 3 8" xfId="31651" xr:uid="{00000000-0005-0000-0000-00009C7C0000}"/>
    <cellStyle name="Standard 5 5 4" xfId="31652" xr:uid="{00000000-0005-0000-0000-00009D7C0000}"/>
    <cellStyle name="Standard 5 5 4 2" xfId="31653" xr:uid="{00000000-0005-0000-0000-00009E7C0000}"/>
    <cellStyle name="Standard 5 5 4 2 2" xfId="31654" xr:uid="{00000000-0005-0000-0000-00009F7C0000}"/>
    <cellStyle name="Standard 5 5 4 2 2 2" xfId="31655" xr:uid="{00000000-0005-0000-0000-0000A07C0000}"/>
    <cellStyle name="Standard 5 5 4 2 2 3" xfId="31656" xr:uid="{00000000-0005-0000-0000-0000A17C0000}"/>
    <cellStyle name="Standard 5 5 4 2 3" xfId="31657" xr:uid="{00000000-0005-0000-0000-0000A27C0000}"/>
    <cellStyle name="Standard 5 5 4 2 3 2" xfId="31658" xr:uid="{00000000-0005-0000-0000-0000A37C0000}"/>
    <cellStyle name="Standard 5 5 4 2 3 3" xfId="31659" xr:uid="{00000000-0005-0000-0000-0000A47C0000}"/>
    <cellStyle name="Standard 5 5 4 2 4" xfId="31660" xr:uid="{00000000-0005-0000-0000-0000A57C0000}"/>
    <cellStyle name="Standard 5 5 4 2 4 2" xfId="31661" xr:uid="{00000000-0005-0000-0000-0000A67C0000}"/>
    <cellStyle name="Standard 5 5 4 2 5" xfId="31662" xr:uid="{00000000-0005-0000-0000-0000A77C0000}"/>
    <cellStyle name="Standard 5 5 4 2 6" xfId="31663" xr:uid="{00000000-0005-0000-0000-0000A87C0000}"/>
    <cellStyle name="Standard 5 5 4 3" xfId="31664" xr:uid="{00000000-0005-0000-0000-0000A97C0000}"/>
    <cellStyle name="Standard 5 5 4 3 2" xfId="31665" xr:uid="{00000000-0005-0000-0000-0000AA7C0000}"/>
    <cellStyle name="Standard 5 5 4 3 3" xfId="31666" xr:uid="{00000000-0005-0000-0000-0000AB7C0000}"/>
    <cellStyle name="Standard 5 5 4 4" xfId="31667" xr:uid="{00000000-0005-0000-0000-0000AC7C0000}"/>
    <cellStyle name="Standard 5 5 4 4 2" xfId="31668" xr:uid="{00000000-0005-0000-0000-0000AD7C0000}"/>
    <cellStyle name="Standard 5 5 4 4 3" xfId="31669" xr:uid="{00000000-0005-0000-0000-0000AE7C0000}"/>
    <cellStyle name="Standard 5 5 4 5" xfId="31670" xr:uid="{00000000-0005-0000-0000-0000AF7C0000}"/>
    <cellStyle name="Standard 5 5 4 5 2" xfId="31671" xr:uid="{00000000-0005-0000-0000-0000B07C0000}"/>
    <cellStyle name="Standard 5 5 4 6" xfId="31672" xr:uid="{00000000-0005-0000-0000-0000B17C0000}"/>
    <cellStyle name="Standard 5 5 4 7" xfId="31673" xr:uid="{00000000-0005-0000-0000-0000B27C0000}"/>
    <cellStyle name="Standard 5 5 5" xfId="31674" xr:uid="{00000000-0005-0000-0000-0000B37C0000}"/>
    <cellStyle name="Standard 5 5 5 2" xfId="31675" xr:uid="{00000000-0005-0000-0000-0000B47C0000}"/>
    <cellStyle name="Standard 5 5 5 2 2" xfId="31676" xr:uid="{00000000-0005-0000-0000-0000B57C0000}"/>
    <cellStyle name="Standard 5 5 5 2 3" xfId="31677" xr:uid="{00000000-0005-0000-0000-0000B67C0000}"/>
    <cellStyle name="Standard 5 5 5 3" xfId="31678" xr:uid="{00000000-0005-0000-0000-0000B77C0000}"/>
    <cellStyle name="Standard 5 5 5 3 2" xfId="31679" xr:uid="{00000000-0005-0000-0000-0000B87C0000}"/>
    <cellStyle name="Standard 5 5 5 3 3" xfId="31680" xr:uid="{00000000-0005-0000-0000-0000B97C0000}"/>
    <cellStyle name="Standard 5 5 5 4" xfId="31681" xr:uid="{00000000-0005-0000-0000-0000BA7C0000}"/>
    <cellStyle name="Standard 5 5 5 4 2" xfId="31682" xr:uid="{00000000-0005-0000-0000-0000BB7C0000}"/>
    <cellStyle name="Standard 5 5 5 5" xfId="31683" xr:uid="{00000000-0005-0000-0000-0000BC7C0000}"/>
    <cellStyle name="Standard 5 5 5 6" xfId="31684" xr:uid="{00000000-0005-0000-0000-0000BD7C0000}"/>
    <cellStyle name="Standard 5 5 6" xfId="31685" xr:uid="{00000000-0005-0000-0000-0000BE7C0000}"/>
    <cellStyle name="Standard 5 5 6 2" xfId="31686" xr:uid="{00000000-0005-0000-0000-0000BF7C0000}"/>
    <cellStyle name="Standard 5 5 6 3" xfId="31687" xr:uid="{00000000-0005-0000-0000-0000C07C0000}"/>
    <cellStyle name="Standard 5 5 7" xfId="31688" xr:uid="{00000000-0005-0000-0000-0000C17C0000}"/>
    <cellStyle name="Standard 5 5 7 2" xfId="31689" xr:uid="{00000000-0005-0000-0000-0000C27C0000}"/>
    <cellStyle name="Standard 5 5 7 3" xfId="31690" xr:uid="{00000000-0005-0000-0000-0000C37C0000}"/>
    <cellStyle name="Standard 5 5 8" xfId="31691" xr:uid="{00000000-0005-0000-0000-0000C47C0000}"/>
    <cellStyle name="Standard 5 5 8 2" xfId="31692" xr:uid="{00000000-0005-0000-0000-0000C57C0000}"/>
    <cellStyle name="Standard 5 5 9" xfId="31693" xr:uid="{00000000-0005-0000-0000-0000C67C0000}"/>
    <cellStyle name="Standard 5 6" xfId="31694" xr:uid="{00000000-0005-0000-0000-0000C77C0000}"/>
    <cellStyle name="Standard 5 6 2" xfId="31695" xr:uid="{00000000-0005-0000-0000-0000C87C0000}"/>
    <cellStyle name="Standard 5 6 2 2" xfId="31696" xr:uid="{00000000-0005-0000-0000-0000C97C0000}"/>
    <cellStyle name="Standard 5 6 2 2 2" xfId="31697" xr:uid="{00000000-0005-0000-0000-0000CA7C0000}"/>
    <cellStyle name="Standard 5 6 2 2 2 2" xfId="31698" xr:uid="{00000000-0005-0000-0000-0000CB7C0000}"/>
    <cellStyle name="Standard 5 6 2 2 2 3" xfId="31699" xr:uid="{00000000-0005-0000-0000-0000CC7C0000}"/>
    <cellStyle name="Standard 5 6 2 2 3" xfId="31700" xr:uid="{00000000-0005-0000-0000-0000CD7C0000}"/>
    <cellStyle name="Standard 5 6 2 2 3 2" xfId="31701" xr:uid="{00000000-0005-0000-0000-0000CE7C0000}"/>
    <cellStyle name="Standard 5 6 2 2 3 3" xfId="31702" xr:uid="{00000000-0005-0000-0000-0000CF7C0000}"/>
    <cellStyle name="Standard 5 6 2 2 4" xfId="31703" xr:uid="{00000000-0005-0000-0000-0000D07C0000}"/>
    <cellStyle name="Standard 5 6 2 2 4 2" xfId="31704" xr:uid="{00000000-0005-0000-0000-0000D17C0000}"/>
    <cellStyle name="Standard 5 6 2 2 5" xfId="31705" xr:uid="{00000000-0005-0000-0000-0000D27C0000}"/>
    <cellStyle name="Standard 5 6 2 2 6" xfId="31706" xr:uid="{00000000-0005-0000-0000-0000D37C0000}"/>
    <cellStyle name="Standard 5 6 2 3" xfId="31707" xr:uid="{00000000-0005-0000-0000-0000D47C0000}"/>
    <cellStyle name="Standard 5 6 2 3 2" xfId="31708" xr:uid="{00000000-0005-0000-0000-0000D57C0000}"/>
    <cellStyle name="Standard 5 6 2 3 3" xfId="31709" xr:uid="{00000000-0005-0000-0000-0000D67C0000}"/>
    <cellStyle name="Standard 5 6 2 4" xfId="31710" xr:uid="{00000000-0005-0000-0000-0000D77C0000}"/>
    <cellStyle name="Standard 5 6 2 4 2" xfId="31711" xr:uid="{00000000-0005-0000-0000-0000D87C0000}"/>
    <cellStyle name="Standard 5 6 2 4 3" xfId="31712" xr:uid="{00000000-0005-0000-0000-0000D97C0000}"/>
    <cellStyle name="Standard 5 6 2 5" xfId="31713" xr:uid="{00000000-0005-0000-0000-0000DA7C0000}"/>
    <cellStyle name="Standard 5 6 2 5 2" xfId="31714" xr:uid="{00000000-0005-0000-0000-0000DB7C0000}"/>
    <cellStyle name="Standard 5 6 2 6" xfId="31715" xr:uid="{00000000-0005-0000-0000-0000DC7C0000}"/>
    <cellStyle name="Standard 5 6 2 7" xfId="31716" xr:uid="{00000000-0005-0000-0000-0000DD7C0000}"/>
    <cellStyle name="Standard 5 6 3" xfId="31717" xr:uid="{00000000-0005-0000-0000-0000DE7C0000}"/>
    <cellStyle name="Standard 5 6 3 2" xfId="31718" xr:uid="{00000000-0005-0000-0000-0000DF7C0000}"/>
    <cellStyle name="Standard 5 6 3 2 2" xfId="31719" xr:uid="{00000000-0005-0000-0000-0000E07C0000}"/>
    <cellStyle name="Standard 5 6 3 2 3" xfId="31720" xr:uid="{00000000-0005-0000-0000-0000E17C0000}"/>
    <cellStyle name="Standard 5 6 3 3" xfId="31721" xr:uid="{00000000-0005-0000-0000-0000E27C0000}"/>
    <cellStyle name="Standard 5 6 3 3 2" xfId="31722" xr:uid="{00000000-0005-0000-0000-0000E37C0000}"/>
    <cellStyle name="Standard 5 6 3 3 3" xfId="31723" xr:uid="{00000000-0005-0000-0000-0000E47C0000}"/>
    <cellStyle name="Standard 5 6 3 4" xfId="31724" xr:uid="{00000000-0005-0000-0000-0000E57C0000}"/>
    <cellStyle name="Standard 5 6 3 4 2" xfId="31725" xr:uid="{00000000-0005-0000-0000-0000E67C0000}"/>
    <cellStyle name="Standard 5 6 3 5" xfId="31726" xr:uid="{00000000-0005-0000-0000-0000E77C0000}"/>
    <cellStyle name="Standard 5 6 3 6" xfId="31727" xr:uid="{00000000-0005-0000-0000-0000E87C0000}"/>
    <cellStyle name="Standard 5 6 4" xfId="31728" xr:uid="{00000000-0005-0000-0000-0000E97C0000}"/>
    <cellStyle name="Standard 5 6 4 2" xfId="31729" xr:uid="{00000000-0005-0000-0000-0000EA7C0000}"/>
    <cellStyle name="Standard 5 6 4 3" xfId="31730" xr:uid="{00000000-0005-0000-0000-0000EB7C0000}"/>
    <cellStyle name="Standard 5 6 5" xfId="31731" xr:uid="{00000000-0005-0000-0000-0000EC7C0000}"/>
    <cellStyle name="Standard 5 6 5 2" xfId="31732" xr:uid="{00000000-0005-0000-0000-0000ED7C0000}"/>
    <cellStyle name="Standard 5 6 5 3" xfId="31733" xr:uid="{00000000-0005-0000-0000-0000EE7C0000}"/>
    <cellStyle name="Standard 5 6 6" xfId="31734" xr:uid="{00000000-0005-0000-0000-0000EF7C0000}"/>
    <cellStyle name="Standard 5 6 6 2" xfId="31735" xr:uid="{00000000-0005-0000-0000-0000F07C0000}"/>
    <cellStyle name="Standard 5 6 7" xfId="31736" xr:uid="{00000000-0005-0000-0000-0000F17C0000}"/>
    <cellStyle name="Standard 5 6 8" xfId="31737" xr:uid="{00000000-0005-0000-0000-0000F27C0000}"/>
    <cellStyle name="Standard 5 7" xfId="31738" xr:uid="{00000000-0005-0000-0000-0000F37C0000}"/>
    <cellStyle name="Standard 5 7 2" xfId="31739" xr:uid="{00000000-0005-0000-0000-0000F47C0000}"/>
    <cellStyle name="Standard 5 7 2 2" xfId="31740" xr:uid="{00000000-0005-0000-0000-0000F57C0000}"/>
    <cellStyle name="Standard 5 7 2 2 2" xfId="31741" xr:uid="{00000000-0005-0000-0000-0000F67C0000}"/>
    <cellStyle name="Standard 5 7 2 2 2 2" xfId="31742" xr:uid="{00000000-0005-0000-0000-0000F77C0000}"/>
    <cellStyle name="Standard 5 7 2 2 2 3" xfId="31743" xr:uid="{00000000-0005-0000-0000-0000F87C0000}"/>
    <cellStyle name="Standard 5 7 2 2 3" xfId="31744" xr:uid="{00000000-0005-0000-0000-0000F97C0000}"/>
    <cellStyle name="Standard 5 7 2 2 3 2" xfId="31745" xr:uid="{00000000-0005-0000-0000-0000FA7C0000}"/>
    <cellStyle name="Standard 5 7 2 2 3 3" xfId="31746" xr:uid="{00000000-0005-0000-0000-0000FB7C0000}"/>
    <cellStyle name="Standard 5 7 2 2 4" xfId="31747" xr:uid="{00000000-0005-0000-0000-0000FC7C0000}"/>
    <cellStyle name="Standard 5 7 2 2 4 2" xfId="31748" xr:uid="{00000000-0005-0000-0000-0000FD7C0000}"/>
    <cellStyle name="Standard 5 7 2 2 5" xfId="31749" xr:uid="{00000000-0005-0000-0000-0000FE7C0000}"/>
    <cellStyle name="Standard 5 7 2 2 6" xfId="31750" xr:uid="{00000000-0005-0000-0000-0000FF7C0000}"/>
    <cellStyle name="Standard 5 7 2 3" xfId="31751" xr:uid="{00000000-0005-0000-0000-0000007D0000}"/>
    <cellStyle name="Standard 5 7 2 3 2" xfId="31752" xr:uid="{00000000-0005-0000-0000-0000017D0000}"/>
    <cellStyle name="Standard 5 7 2 3 3" xfId="31753" xr:uid="{00000000-0005-0000-0000-0000027D0000}"/>
    <cellStyle name="Standard 5 7 2 4" xfId="31754" xr:uid="{00000000-0005-0000-0000-0000037D0000}"/>
    <cellStyle name="Standard 5 7 2 4 2" xfId="31755" xr:uid="{00000000-0005-0000-0000-0000047D0000}"/>
    <cellStyle name="Standard 5 7 2 4 3" xfId="31756" xr:uid="{00000000-0005-0000-0000-0000057D0000}"/>
    <cellStyle name="Standard 5 7 2 5" xfId="31757" xr:uid="{00000000-0005-0000-0000-0000067D0000}"/>
    <cellStyle name="Standard 5 7 2 5 2" xfId="31758" xr:uid="{00000000-0005-0000-0000-0000077D0000}"/>
    <cellStyle name="Standard 5 7 2 6" xfId="31759" xr:uid="{00000000-0005-0000-0000-0000087D0000}"/>
    <cellStyle name="Standard 5 7 2 7" xfId="31760" xr:uid="{00000000-0005-0000-0000-0000097D0000}"/>
    <cellStyle name="Standard 5 7 3" xfId="31761" xr:uid="{00000000-0005-0000-0000-00000A7D0000}"/>
    <cellStyle name="Standard 5 7 3 2" xfId="31762" xr:uid="{00000000-0005-0000-0000-00000B7D0000}"/>
    <cellStyle name="Standard 5 7 3 2 2" xfId="31763" xr:uid="{00000000-0005-0000-0000-00000C7D0000}"/>
    <cellStyle name="Standard 5 7 3 2 3" xfId="31764" xr:uid="{00000000-0005-0000-0000-00000D7D0000}"/>
    <cellStyle name="Standard 5 7 3 3" xfId="31765" xr:uid="{00000000-0005-0000-0000-00000E7D0000}"/>
    <cellStyle name="Standard 5 7 3 3 2" xfId="31766" xr:uid="{00000000-0005-0000-0000-00000F7D0000}"/>
    <cellStyle name="Standard 5 7 3 3 3" xfId="31767" xr:uid="{00000000-0005-0000-0000-0000107D0000}"/>
    <cellStyle name="Standard 5 7 3 4" xfId="31768" xr:uid="{00000000-0005-0000-0000-0000117D0000}"/>
    <cellStyle name="Standard 5 7 3 4 2" xfId="31769" xr:uid="{00000000-0005-0000-0000-0000127D0000}"/>
    <cellStyle name="Standard 5 7 3 5" xfId="31770" xr:uid="{00000000-0005-0000-0000-0000137D0000}"/>
    <cellStyle name="Standard 5 7 3 6" xfId="31771" xr:uid="{00000000-0005-0000-0000-0000147D0000}"/>
    <cellStyle name="Standard 5 7 4" xfId="31772" xr:uid="{00000000-0005-0000-0000-0000157D0000}"/>
    <cellStyle name="Standard 5 7 4 2" xfId="31773" xr:uid="{00000000-0005-0000-0000-0000167D0000}"/>
    <cellStyle name="Standard 5 7 4 3" xfId="31774" xr:uid="{00000000-0005-0000-0000-0000177D0000}"/>
    <cellStyle name="Standard 5 7 5" xfId="31775" xr:uid="{00000000-0005-0000-0000-0000187D0000}"/>
    <cellStyle name="Standard 5 7 5 2" xfId="31776" xr:uid="{00000000-0005-0000-0000-0000197D0000}"/>
    <cellStyle name="Standard 5 7 5 3" xfId="31777" xr:uid="{00000000-0005-0000-0000-00001A7D0000}"/>
    <cellStyle name="Standard 5 7 6" xfId="31778" xr:uid="{00000000-0005-0000-0000-00001B7D0000}"/>
    <cellStyle name="Standard 5 7 6 2" xfId="31779" xr:uid="{00000000-0005-0000-0000-00001C7D0000}"/>
    <cellStyle name="Standard 5 7 7" xfId="31780" xr:uid="{00000000-0005-0000-0000-00001D7D0000}"/>
    <cellStyle name="Standard 5 7 8" xfId="31781" xr:uid="{00000000-0005-0000-0000-00001E7D0000}"/>
    <cellStyle name="Standard 5 8" xfId="31782" xr:uid="{00000000-0005-0000-0000-00001F7D0000}"/>
    <cellStyle name="Standard 5 8 2" xfId="31783" xr:uid="{00000000-0005-0000-0000-0000207D0000}"/>
    <cellStyle name="Standard 5 8 2 2" xfId="31784" xr:uid="{00000000-0005-0000-0000-0000217D0000}"/>
    <cellStyle name="Standard 5 8 2 2 2" xfId="31785" xr:uid="{00000000-0005-0000-0000-0000227D0000}"/>
    <cellStyle name="Standard 5 8 2 2 3" xfId="31786" xr:uid="{00000000-0005-0000-0000-0000237D0000}"/>
    <cellStyle name="Standard 5 8 2 3" xfId="31787" xr:uid="{00000000-0005-0000-0000-0000247D0000}"/>
    <cellStyle name="Standard 5 8 2 3 2" xfId="31788" xr:uid="{00000000-0005-0000-0000-0000257D0000}"/>
    <cellStyle name="Standard 5 8 2 3 3" xfId="31789" xr:uid="{00000000-0005-0000-0000-0000267D0000}"/>
    <cellStyle name="Standard 5 8 2 4" xfId="31790" xr:uid="{00000000-0005-0000-0000-0000277D0000}"/>
    <cellStyle name="Standard 5 8 2 4 2" xfId="31791" xr:uid="{00000000-0005-0000-0000-0000287D0000}"/>
    <cellStyle name="Standard 5 8 2 5" xfId="31792" xr:uid="{00000000-0005-0000-0000-0000297D0000}"/>
    <cellStyle name="Standard 5 8 2 6" xfId="31793" xr:uid="{00000000-0005-0000-0000-00002A7D0000}"/>
    <cellStyle name="Standard 5 8 3" xfId="31794" xr:uid="{00000000-0005-0000-0000-00002B7D0000}"/>
    <cellStyle name="Standard 5 8 3 2" xfId="31795" xr:uid="{00000000-0005-0000-0000-00002C7D0000}"/>
    <cellStyle name="Standard 5 8 3 3" xfId="31796" xr:uid="{00000000-0005-0000-0000-00002D7D0000}"/>
    <cellStyle name="Standard 5 8 4" xfId="31797" xr:uid="{00000000-0005-0000-0000-00002E7D0000}"/>
    <cellStyle name="Standard 5 8 4 2" xfId="31798" xr:uid="{00000000-0005-0000-0000-00002F7D0000}"/>
    <cellStyle name="Standard 5 8 4 3" xfId="31799" xr:uid="{00000000-0005-0000-0000-0000307D0000}"/>
    <cellStyle name="Standard 5 8 5" xfId="31800" xr:uid="{00000000-0005-0000-0000-0000317D0000}"/>
    <cellStyle name="Standard 5 8 5 2" xfId="31801" xr:uid="{00000000-0005-0000-0000-0000327D0000}"/>
    <cellStyle name="Standard 5 8 6" xfId="31802" xr:uid="{00000000-0005-0000-0000-0000337D0000}"/>
    <cellStyle name="Standard 5 8 7" xfId="31803" xr:uid="{00000000-0005-0000-0000-0000347D0000}"/>
    <cellStyle name="Standard 5 9" xfId="31804" xr:uid="{00000000-0005-0000-0000-0000357D0000}"/>
    <cellStyle name="Standard 5 9 2" xfId="31805" xr:uid="{00000000-0005-0000-0000-0000367D0000}"/>
    <cellStyle name="Standard 5 9 2 2" xfId="31806" xr:uid="{00000000-0005-0000-0000-0000377D0000}"/>
    <cellStyle name="Standard 5 9 2 3" xfId="31807" xr:uid="{00000000-0005-0000-0000-0000387D0000}"/>
    <cellStyle name="Standard 5 9 3" xfId="31808" xr:uid="{00000000-0005-0000-0000-0000397D0000}"/>
    <cellStyle name="Standard 5 9 3 2" xfId="31809" xr:uid="{00000000-0005-0000-0000-00003A7D0000}"/>
    <cellStyle name="Standard 5 9 3 3" xfId="31810" xr:uid="{00000000-0005-0000-0000-00003B7D0000}"/>
    <cellStyle name="Standard 5 9 4" xfId="31811" xr:uid="{00000000-0005-0000-0000-00003C7D0000}"/>
    <cellStyle name="Standard 5 9 4 2" xfId="31812" xr:uid="{00000000-0005-0000-0000-00003D7D0000}"/>
    <cellStyle name="Standard 5 9 5" xfId="31813" xr:uid="{00000000-0005-0000-0000-00003E7D0000}"/>
    <cellStyle name="Standard 5 9 6" xfId="31814" xr:uid="{00000000-0005-0000-0000-00003F7D0000}"/>
    <cellStyle name="Standard 50" xfId="620" xr:uid="{00000000-0005-0000-0000-0000407D0000}"/>
    <cellStyle name="Standard 50 2" xfId="621" xr:uid="{00000000-0005-0000-0000-0000417D0000}"/>
    <cellStyle name="Standard 51" xfId="622" xr:uid="{00000000-0005-0000-0000-0000427D0000}"/>
    <cellStyle name="Standard 51 2" xfId="623" xr:uid="{00000000-0005-0000-0000-0000437D0000}"/>
    <cellStyle name="Standard 52" xfId="624" xr:uid="{00000000-0005-0000-0000-0000447D0000}"/>
    <cellStyle name="Standard 52 2" xfId="625" xr:uid="{00000000-0005-0000-0000-0000457D0000}"/>
    <cellStyle name="Standard 53" xfId="626" xr:uid="{00000000-0005-0000-0000-0000467D0000}"/>
    <cellStyle name="Standard 53 2" xfId="627" xr:uid="{00000000-0005-0000-0000-0000477D0000}"/>
    <cellStyle name="Standard 54" xfId="628" xr:uid="{00000000-0005-0000-0000-0000487D0000}"/>
    <cellStyle name="Standard 54 2" xfId="629" xr:uid="{00000000-0005-0000-0000-0000497D0000}"/>
    <cellStyle name="Standard 55" xfId="630" xr:uid="{00000000-0005-0000-0000-00004A7D0000}"/>
    <cellStyle name="Standard 55 2" xfId="631" xr:uid="{00000000-0005-0000-0000-00004B7D0000}"/>
    <cellStyle name="Standard 56" xfId="632" xr:uid="{00000000-0005-0000-0000-00004C7D0000}"/>
    <cellStyle name="Standard 56 2" xfId="633" xr:uid="{00000000-0005-0000-0000-00004D7D0000}"/>
    <cellStyle name="Standard 57" xfId="634" xr:uid="{00000000-0005-0000-0000-00004E7D0000}"/>
    <cellStyle name="Standard 57 2" xfId="635" xr:uid="{00000000-0005-0000-0000-00004F7D0000}"/>
    <cellStyle name="Standard 58" xfId="636" xr:uid="{00000000-0005-0000-0000-0000507D0000}"/>
    <cellStyle name="Standard 58 2" xfId="637" xr:uid="{00000000-0005-0000-0000-0000517D0000}"/>
    <cellStyle name="Standard 59" xfId="638" xr:uid="{00000000-0005-0000-0000-0000527D0000}"/>
    <cellStyle name="Standard 59 2" xfId="639" xr:uid="{00000000-0005-0000-0000-0000537D0000}"/>
    <cellStyle name="Standard 6" xfId="640" xr:uid="{00000000-0005-0000-0000-0000547D0000}"/>
    <cellStyle name="Standard 6 10" xfId="33268" xr:uid="{00000000-0005-0000-0000-0000557D0000}"/>
    <cellStyle name="Standard 6 11" xfId="33343" xr:uid="{00000000-0005-0000-0000-0000567D0000}"/>
    <cellStyle name="Standard 6 12" xfId="33479" xr:uid="{00000000-0005-0000-0000-0000577D0000}"/>
    <cellStyle name="Standard 6 2" xfId="641" xr:uid="{00000000-0005-0000-0000-0000587D0000}"/>
    <cellStyle name="Standard 6 2 10" xfId="31815" xr:uid="{00000000-0005-0000-0000-0000597D0000}"/>
    <cellStyle name="Standard 6 2 11" xfId="31816" xr:uid="{00000000-0005-0000-0000-00005A7D0000}"/>
    <cellStyle name="Standard 6 2 12" xfId="33119" xr:uid="{00000000-0005-0000-0000-00005B7D0000}"/>
    <cellStyle name="Standard 6 2 13" xfId="33194" xr:uid="{00000000-0005-0000-0000-00005C7D0000}"/>
    <cellStyle name="Standard 6 2 14" xfId="33269" xr:uid="{00000000-0005-0000-0000-00005D7D0000}"/>
    <cellStyle name="Standard 6 2 15" xfId="33344" xr:uid="{00000000-0005-0000-0000-00005E7D0000}"/>
    <cellStyle name="Standard 6 2 16" xfId="33480" xr:uid="{00000000-0005-0000-0000-00005F7D0000}"/>
    <cellStyle name="Standard 6 2 2" xfId="31817" xr:uid="{00000000-0005-0000-0000-0000607D0000}"/>
    <cellStyle name="Standard 6 2 2 10" xfId="31818" xr:uid="{00000000-0005-0000-0000-0000617D0000}"/>
    <cellStyle name="Standard 6 2 2 2" xfId="31819" xr:uid="{00000000-0005-0000-0000-0000627D0000}"/>
    <cellStyle name="Standard 6 2 2 2 2" xfId="31820" xr:uid="{00000000-0005-0000-0000-0000637D0000}"/>
    <cellStyle name="Standard 6 2 2 2 2 2" xfId="31821" xr:uid="{00000000-0005-0000-0000-0000647D0000}"/>
    <cellStyle name="Standard 6 2 2 2 2 2 2" xfId="31822" xr:uid="{00000000-0005-0000-0000-0000657D0000}"/>
    <cellStyle name="Standard 6 2 2 2 2 2 2 2" xfId="31823" xr:uid="{00000000-0005-0000-0000-0000667D0000}"/>
    <cellStyle name="Standard 6 2 2 2 2 2 2 3" xfId="31824" xr:uid="{00000000-0005-0000-0000-0000677D0000}"/>
    <cellStyle name="Standard 6 2 2 2 2 2 3" xfId="31825" xr:uid="{00000000-0005-0000-0000-0000687D0000}"/>
    <cellStyle name="Standard 6 2 2 2 2 2 3 2" xfId="31826" xr:uid="{00000000-0005-0000-0000-0000697D0000}"/>
    <cellStyle name="Standard 6 2 2 2 2 2 3 3" xfId="31827" xr:uid="{00000000-0005-0000-0000-00006A7D0000}"/>
    <cellStyle name="Standard 6 2 2 2 2 2 4" xfId="31828" xr:uid="{00000000-0005-0000-0000-00006B7D0000}"/>
    <cellStyle name="Standard 6 2 2 2 2 2 4 2" xfId="31829" xr:uid="{00000000-0005-0000-0000-00006C7D0000}"/>
    <cellStyle name="Standard 6 2 2 2 2 2 5" xfId="31830" xr:uid="{00000000-0005-0000-0000-00006D7D0000}"/>
    <cellStyle name="Standard 6 2 2 2 2 2 6" xfId="31831" xr:uid="{00000000-0005-0000-0000-00006E7D0000}"/>
    <cellStyle name="Standard 6 2 2 2 2 3" xfId="31832" xr:uid="{00000000-0005-0000-0000-00006F7D0000}"/>
    <cellStyle name="Standard 6 2 2 2 2 3 2" xfId="31833" xr:uid="{00000000-0005-0000-0000-0000707D0000}"/>
    <cellStyle name="Standard 6 2 2 2 2 3 3" xfId="31834" xr:uid="{00000000-0005-0000-0000-0000717D0000}"/>
    <cellStyle name="Standard 6 2 2 2 2 4" xfId="31835" xr:uid="{00000000-0005-0000-0000-0000727D0000}"/>
    <cellStyle name="Standard 6 2 2 2 2 4 2" xfId="31836" xr:uid="{00000000-0005-0000-0000-0000737D0000}"/>
    <cellStyle name="Standard 6 2 2 2 2 4 3" xfId="31837" xr:uid="{00000000-0005-0000-0000-0000747D0000}"/>
    <cellStyle name="Standard 6 2 2 2 2 5" xfId="31838" xr:uid="{00000000-0005-0000-0000-0000757D0000}"/>
    <cellStyle name="Standard 6 2 2 2 2 5 2" xfId="31839" xr:uid="{00000000-0005-0000-0000-0000767D0000}"/>
    <cellStyle name="Standard 6 2 2 2 2 6" xfId="31840" xr:uid="{00000000-0005-0000-0000-0000777D0000}"/>
    <cellStyle name="Standard 6 2 2 2 2 7" xfId="31841" xr:uid="{00000000-0005-0000-0000-0000787D0000}"/>
    <cellStyle name="Standard 6 2 2 2 3" xfId="31842" xr:uid="{00000000-0005-0000-0000-0000797D0000}"/>
    <cellStyle name="Standard 6 2 2 2 3 2" xfId="31843" xr:uid="{00000000-0005-0000-0000-00007A7D0000}"/>
    <cellStyle name="Standard 6 2 2 2 3 2 2" xfId="31844" xr:uid="{00000000-0005-0000-0000-00007B7D0000}"/>
    <cellStyle name="Standard 6 2 2 2 3 2 3" xfId="31845" xr:uid="{00000000-0005-0000-0000-00007C7D0000}"/>
    <cellStyle name="Standard 6 2 2 2 3 3" xfId="31846" xr:uid="{00000000-0005-0000-0000-00007D7D0000}"/>
    <cellStyle name="Standard 6 2 2 2 3 3 2" xfId="31847" xr:uid="{00000000-0005-0000-0000-00007E7D0000}"/>
    <cellStyle name="Standard 6 2 2 2 3 3 3" xfId="31848" xr:uid="{00000000-0005-0000-0000-00007F7D0000}"/>
    <cellStyle name="Standard 6 2 2 2 3 4" xfId="31849" xr:uid="{00000000-0005-0000-0000-0000807D0000}"/>
    <cellStyle name="Standard 6 2 2 2 3 4 2" xfId="31850" xr:uid="{00000000-0005-0000-0000-0000817D0000}"/>
    <cellStyle name="Standard 6 2 2 2 3 5" xfId="31851" xr:uid="{00000000-0005-0000-0000-0000827D0000}"/>
    <cellStyle name="Standard 6 2 2 2 3 6" xfId="31852" xr:uid="{00000000-0005-0000-0000-0000837D0000}"/>
    <cellStyle name="Standard 6 2 2 2 4" xfId="31853" xr:uid="{00000000-0005-0000-0000-0000847D0000}"/>
    <cellStyle name="Standard 6 2 2 2 4 2" xfId="31854" xr:uid="{00000000-0005-0000-0000-0000857D0000}"/>
    <cellStyle name="Standard 6 2 2 2 4 3" xfId="31855" xr:uid="{00000000-0005-0000-0000-0000867D0000}"/>
    <cellStyle name="Standard 6 2 2 2 5" xfId="31856" xr:uid="{00000000-0005-0000-0000-0000877D0000}"/>
    <cellStyle name="Standard 6 2 2 2 5 2" xfId="31857" xr:uid="{00000000-0005-0000-0000-0000887D0000}"/>
    <cellStyle name="Standard 6 2 2 2 5 3" xfId="31858" xr:uid="{00000000-0005-0000-0000-0000897D0000}"/>
    <cellStyle name="Standard 6 2 2 2 6" xfId="31859" xr:uid="{00000000-0005-0000-0000-00008A7D0000}"/>
    <cellStyle name="Standard 6 2 2 2 6 2" xfId="31860" xr:uid="{00000000-0005-0000-0000-00008B7D0000}"/>
    <cellStyle name="Standard 6 2 2 2 7" xfId="31861" xr:uid="{00000000-0005-0000-0000-00008C7D0000}"/>
    <cellStyle name="Standard 6 2 2 2 8" xfId="31862" xr:uid="{00000000-0005-0000-0000-00008D7D0000}"/>
    <cellStyle name="Standard 6 2 2 3" xfId="31863" xr:uid="{00000000-0005-0000-0000-00008E7D0000}"/>
    <cellStyle name="Standard 6 2 2 3 2" xfId="31864" xr:uid="{00000000-0005-0000-0000-00008F7D0000}"/>
    <cellStyle name="Standard 6 2 2 3 2 2" xfId="31865" xr:uid="{00000000-0005-0000-0000-0000907D0000}"/>
    <cellStyle name="Standard 6 2 2 3 2 2 2" xfId="31866" xr:uid="{00000000-0005-0000-0000-0000917D0000}"/>
    <cellStyle name="Standard 6 2 2 3 2 2 2 2" xfId="31867" xr:uid="{00000000-0005-0000-0000-0000927D0000}"/>
    <cellStyle name="Standard 6 2 2 3 2 2 2 3" xfId="31868" xr:uid="{00000000-0005-0000-0000-0000937D0000}"/>
    <cellStyle name="Standard 6 2 2 3 2 2 3" xfId="31869" xr:uid="{00000000-0005-0000-0000-0000947D0000}"/>
    <cellStyle name="Standard 6 2 2 3 2 2 3 2" xfId="31870" xr:uid="{00000000-0005-0000-0000-0000957D0000}"/>
    <cellStyle name="Standard 6 2 2 3 2 2 3 3" xfId="31871" xr:uid="{00000000-0005-0000-0000-0000967D0000}"/>
    <cellStyle name="Standard 6 2 2 3 2 2 4" xfId="31872" xr:uid="{00000000-0005-0000-0000-0000977D0000}"/>
    <cellStyle name="Standard 6 2 2 3 2 2 4 2" xfId="31873" xr:uid="{00000000-0005-0000-0000-0000987D0000}"/>
    <cellStyle name="Standard 6 2 2 3 2 2 5" xfId="31874" xr:uid="{00000000-0005-0000-0000-0000997D0000}"/>
    <cellStyle name="Standard 6 2 2 3 2 2 6" xfId="31875" xr:uid="{00000000-0005-0000-0000-00009A7D0000}"/>
    <cellStyle name="Standard 6 2 2 3 2 3" xfId="31876" xr:uid="{00000000-0005-0000-0000-00009B7D0000}"/>
    <cellStyle name="Standard 6 2 2 3 2 3 2" xfId="31877" xr:uid="{00000000-0005-0000-0000-00009C7D0000}"/>
    <cellStyle name="Standard 6 2 2 3 2 3 3" xfId="31878" xr:uid="{00000000-0005-0000-0000-00009D7D0000}"/>
    <cellStyle name="Standard 6 2 2 3 2 4" xfId="31879" xr:uid="{00000000-0005-0000-0000-00009E7D0000}"/>
    <cellStyle name="Standard 6 2 2 3 2 4 2" xfId="31880" xr:uid="{00000000-0005-0000-0000-00009F7D0000}"/>
    <cellStyle name="Standard 6 2 2 3 2 4 3" xfId="31881" xr:uid="{00000000-0005-0000-0000-0000A07D0000}"/>
    <cellStyle name="Standard 6 2 2 3 2 5" xfId="31882" xr:uid="{00000000-0005-0000-0000-0000A17D0000}"/>
    <cellStyle name="Standard 6 2 2 3 2 5 2" xfId="31883" xr:uid="{00000000-0005-0000-0000-0000A27D0000}"/>
    <cellStyle name="Standard 6 2 2 3 2 6" xfId="31884" xr:uid="{00000000-0005-0000-0000-0000A37D0000}"/>
    <cellStyle name="Standard 6 2 2 3 2 7" xfId="31885" xr:uid="{00000000-0005-0000-0000-0000A47D0000}"/>
    <cellStyle name="Standard 6 2 2 3 3" xfId="31886" xr:uid="{00000000-0005-0000-0000-0000A57D0000}"/>
    <cellStyle name="Standard 6 2 2 3 3 2" xfId="31887" xr:uid="{00000000-0005-0000-0000-0000A67D0000}"/>
    <cellStyle name="Standard 6 2 2 3 3 2 2" xfId="31888" xr:uid="{00000000-0005-0000-0000-0000A77D0000}"/>
    <cellStyle name="Standard 6 2 2 3 3 2 3" xfId="31889" xr:uid="{00000000-0005-0000-0000-0000A87D0000}"/>
    <cellStyle name="Standard 6 2 2 3 3 3" xfId="31890" xr:uid="{00000000-0005-0000-0000-0000A97D0000}"/>
    <cellStyle name="Standard 6 2 2 3 3 3 2" xfId="31891" xr:uid="{00000000-0005-0000-0000-0000AA7D0000}"/>
    <cellStyle name="Standard 6 2 2 3 3 3 3" xfId="31892" xr:uid="{00000000-0005-0000-0000-0000AB7D0000}"/>
    <cellStyle name="Standard 6 2 2 3 3 4" xfId="31893" xr:uid="{00000000-0005-0000-0000-0000AC7D0000}"/>
    <cellStyle name="Standard 6 2 2 3 3 4 2" xfId="31894" xr:uid="{00000000-0005-0000-0000-0000AD7D0000}"/>
    <cellStyle name="Standard 6 2 2 3 3 5" xfId="31895" xr:uid="{00000000-0005-0000-0000-0000AE7D0000}"/>
    <cellStyle name="Standard 6 2 2 3 3 6" xfId="31896" xr:uid="{00000000-0005-0000-0000-0000AF7D0000}"/>
    <cellStyle name="Standard 6 2 2 3 4" xfId="31897" xr:uid="{00000000-0005-0000-0000-0000B07D0000}"/>
    <cellStyle name="Standard 6 2 2 3 4 2" xfId="31898" xr:uid="{00000000-0005-0000-0000-0000B17D0000}"/>
    <cellStyle name="Standard 6 2 2 3 4 3" xfId="31899" xr:uid="{00000000-0005-0000-0000-0000B27D0000}"/>
    <cellStyle name="Standard 6 2 2 3 5" xfId="31900" xr:uid="{00000000-0005-0000-0000-0000B37D0000}"/>
    <cellStyle name="Standard 6 2 2 3 5 2" xfId="31901" xr:uid="{00000000-0005-0000-0000-0000B47D0000}"/>
    <cellStyle name="Standard 6 2 2 3 5 3" xfId="31902" xr:uid="{00000000-0005-0000-0000-0000B57D0000}"/>
    <cellStyle name="Standard 6 2 2 3 6" xfId="31903" xr:uid="{00000000-0005-0000-0000-0000B67D0000}"/>
    <cellStyle name="Standard 6 2 2 3 6 2" xfId="31904" xr:uid="{00000000-0005-0000-0000-0000B77D0000}"/>
    <cellStyle name="Standard 6 2 2 3 7" xfId="31905" xr:uid="{00000000-0005-0000-0000-0000B87D0000}"/>
    <cellStyle name="Standard 6 2 2 3 8" xfId="31906" xr:uid="{00000000-0005-0000-0000-0000B97D0000}"/>
    <cellStyle name="Standard 6 2 2 4" xfId="31907" xr:uid="{00000000-0005-0000-0000-0000BA7D0000}"/>
    <cellStyle name="Standard 6 2 2 4 2" xfId="31908" xr:uid="{00000000-0005-0000-0000-0000BB7D0000}"/>
    <cellStyle name="Standard 6 2 2 4 2 2" xfId="31909" xr:uid="{00000000-0005-0000-0000-0000BC7D0000}"/>
    <cellStyle name="Standard 6 2 2 4 2 2 2" xfId="31910" xr:uid="{00000000-0005-0000-0000-0000BD7D0000}"/>
    <cellStyle name="Standard 6 2 2 4 2 2 3" xfId="31911" xr:uid="{00000000-0005-0000-0000-0000BE7D0000}"/>
    <cellStyle name="Standard 6 2 2 4 2 3" xfId="31912" xr:uid="{00000000-0005-0000-0000-0000BF7D0000}"/>
    <cellStyle name="Standard 6 2 2 4 2 3 2" xfId="31913" xr:uid="{00000000-0005-0000-0000-0000C07D0000}"/>
    <cellStyle name="Standard 6 2 2 4 2 3 3" xfId="31914" xr:uid="{00000000-0005-0000-0000-0000C17D0000}"/>
    <cellStyle name="Standard 6 2 2 4 2 4" xfId="31915" xr:uid="{00000000-0005-0000-0000-0000C27D0000}"/>
    <cellStyle name="Standard 6 2 2 4 2 4 2" xfId="31916" xr:uid="{00000000-0005-0000-0000-0000C37D0000}"/>
    <cellStyle name="Standard 6 2 2 4 2 5" xfId="31917" xr:uid="{00000000-0005-0000-0000-0000C47D0000}"/>
    <cellStyle name="Standard 6 2 2 4 2 6" xfId="31918" xr:uid="{00000000-0005-0000-0000-0000C57D0000}"/>
    <cellStyle name="Standard 6 2 2 4 3" xfId="31919" xr:uid="{00000000-0005-0000-0000-0000C67D0000}"/>
    <cellStyle name="Standard 6 2 2 4 3 2" xfId="31920" xr:uid="{00000000-0005-0000-0000-0000C77D0000}"/>
    <cellStyle name="Standard 6 2 2 4 3 3" xfId="31921" xr:uid="{00000000-0005-0000-0000-0000C87D0000}"/>
    <cellStyle name="Standard 6 2 2 4 4" xfId="31922" xr:uid="{00000000-0005-0000-0000-0000C97D0000}"/>
    <cellStyle name="Standard 6 2 2 4 4 2" xfId="31923" xr:uid="{00000000-0005-0000-0000-0000CA7D0000}"/>
    <cellStyle name="Standard 6 2 2 4 4 3" xfId="31924" xr:uid="{00000000-0005-0000-0000-0000CB7D0000}"/>
    <cellStyle name="Standard 6 2 2 4 5" xfId="31925" xr:uid="{00000000-0005-0000-0000-0000CC7D0000}"/>
    <cellStyle name="Standard 6 2 2 4 5 2" xfId="31926" xr:uid="{00000000-0005-0000-0000-0000CD7D0000}"/>
    <cellStyle name="Standard 6 2 2 4 6" xfId="31927" xr:uid="{00000000-0005-0000-0000-0000CE7D0000}"/>
    <cellStyle name="Standard 6 2 2 4 7" xfId="31928" xr:uid="{00000000-0005-0000-0000-0000CF7D0000}"/>
    <cellStyle name="Standard 6 2 2 5" xfId="31929" xr:uid="{00000000-0005-0000-0000-0000D07D0000}"/>
    <cellStyle name="Standard 6 2 2 5 2" xfId="31930" xr:uid="{00000000-0005-0000-0000-0000D17D0000}"/>
    <cellStyle name="Standard 6 2 2 5 2 2" xfId="31931" xr:uid="{00000000-0005-0000-0000-0000D27D0000}"/>
    <cellStyle name="Standard 6 2 2 5 2 3" xfId="31932" xr:uid="{00000000-0005-0000-0000-0000D37D0000}"/>
    <cellStyle name="Standard 6 2 2 5 3" xfId="31933" xr:uid="{00000000-0005-0000-0000-0000D47D0000}"/>
    <cellStyle name="Standard 6 2 2 5 3 2" xfId="31934" xr:uid="{00000000-0005-0000-0000-0000D57D0000}"/>
    <cellStyle name="Standard 6 2 2 5 3 3" xfId="31935" xr:uid="{00000000-0005-0000-0000-0000D67D0000}"/>
    <cellStyle name="Standard 6 2 2 5 4" xfId="31936" xr:uid="{00000000-0005-0000-0000-0000D77D0000}"/>
    <cellStyle name="Standard 6 2 2 5 4 2" xfId="31937" xr:uid="{00000000-0005-0000-0000-0000D87D0000}"/>
    <cellStyle name="Standard 6 2 2 5 5" xfId="31938" xr:uid="{00000000-0005-0000-0000-0000D97D0000}"/>
    <cellStyle name="Standard 6 2 2 5 6" xfId="31939" xr:uid="{00000000-0005-0000-0000-0000DA7D0000}"/>
    <cellStyle name="Standard 6 2 2 6" xfId="31940" xr:uid="{00000000-0005-0000-0000-0000DB7D0000}"/>
    <cellStyle name="Standard 6 2 2 6 2" xfId="31941" xr:uid="{00000000-0005-0000-0000-0000DC7D0000}"/>
    <cellStyle name="Standard 6 2 2 6 3" xfId="31942" xr:uid="{00000000-0005-0000-0000-0000DD7D0000}"/>
    <cellStyle name="Standard 6 2 2 7" xfId="31943" xr:uid="{00000000-0005-0000-0000-0000DE7D0000}"/>
    <cellStyle name="Standard 6 2 2 7 2" xfId="31944" xr:uid="{00000000-0005-0000-0000-0000DF7D0000}"/>
    <cellStyle name="Standard 6 2 2 7 3" xfId="31945" xr:uid="{00000000-0005-0000-0000-0000E07D0000}"/>
    <cellStyle name="Standard 6 2 2 8" xfId="31946" xr:uid="{00000000-0005-0000-0000-0000E17D0000}"/>
    <cellStyle name="Standard 6 2 2 8 2" xfId="31947" xr:uid="{00000000-0005-0000-0000-0000E27D0000}"/>
    <cellStyle name="Standard 6 2 2 9" xfId="31948" xr:uid="{00000000-0005-0000-0000-0000E37D0000}"/>
    <cellStyle name="Standard 6 2 3" xfId="31949" xr:uid="{00000000-0005-0000-0000-0000E47D0000}"/>
    <cellStyle name="Standard 6 2 3 2" xfId="31950" xr:uid="{00000000-0005-0000-0000-0000E57D0000}"/>
    <cellStyle name="Standard 6 2 3 2 2" xfId="31951" xr:uid="{00000000-0005-0000-0000-0000E67D0000}"/>
    <cellStyle name="Standard 6 2 3 2 2 2" xfId="31952" xr:uid="{00000000-0005-0000-0000-0000E77D0000}"/>
    <cellStyle name="Standard 6 2 3 2 2 2 2" xfId="31953" xr:uid="{00000000-0005-0000-0000-0000E87D0000}"/>
    <cellStyle name="Standard 6 2 3 2 2 2 3" xfId="31954" xr:uid="{00000000-0005-0000-0000-0000E97D0000}"/>
    <cellStyle name="Standard 6 2 3 2 2 3" xfId="31955" xr:uid="{00000000-0005-0000-0000-0000EA7D0000}"/>
    <cellStyle name="Standard 6 2 3 2 2 3 2" xfId="31956" xr:uid="{00000000-0005-0000-0000-0000EB7D0000}"/>
    <cellStyle name="Standard 6 2 3 2 2 3 3" xfId="31957" xr:uid="{00000000-0005-0000-0000-0000EC7D0000}"/>
    <cellStyle name="Standard 6 2 3 2 2 4" xfId="31958" xr:uid="{00000000-0005-0000-0000-0000ED7D0000}"/>
    <cellStyle name="Standard 6 2 3 2 2 4 2" xfId="31959" xr:uid="{00000000-0005-0000-0000-0000EE7D0000}"/>
    <cellStyle name="Standard 6 2 3 2 2 5" xfId="31960" xr:uid="{00000000-0005-0000-0000-0000EF7D0000}"/>
    <cellStyle name="Standard 6 2 3 2 2 6" xfId="31961" xr:uid="{00000000-0005-0000-0000-0000F07D0000}"/>
    <cellStyle name="Standard 6 2 3 2 3" xfId="31962" xr:uid="{00000000-0005-0000-0000-0000F17D0000}"/>
    <cellStyle name="Standard 6 2 3 2 3 2" xfId="31963" xr:uid="{00000000-0005-0000-0000-0000F27D0000}"/>
    <cellStyle name="Standard 6 2 3 2 3 3" xfId="31964" xr:uid="{00000000-0005-0000-0000-0000F37D0000}"/>
    <cellStyle name="Standard 6 2 3 2 4" xfId="31965" xr:uid="{00000000-0005-0000-0000-0000F47D0000}"/>
    <cellStyle name="Standard 6 2 3 2 4 2" xfId="31966" xr:uid="{00000000-0005-0000-0000-0000F57D0000}"/>
    <cellStyle name="Standard 6 2 3 2 4 3" xfId="31967" xr:uid="{00000000-0005-0000-0000-0000F67D0000}"/>
    <cellStyle name="Standard 6 2 3 2 5" xfId="31968" xr:uid="{00000000-0005-0000-0000-0000F77D0000}"/>
    <cellStyle name="Standard 6 2 3 2 5 2" xfId="31969" xr:uid="{00000000-0005-0000-0000-0000F87D0000}"/>
    <cellStyle name="Standard 6 2 3 2 6" xfId="31970" xr:uid="{00000000-0005-0000-0000-0000F97D0000}"/>
    <cellStyle name="Standard 6 2 3 2 7" xfId="31971" xr:uid="{00000000-0005-0000-0000-0000FA7D0000}"/>
    <cellStyle name="Standard 6 2 3 3" xfId="31972" xr:uid="{00000000-0005-0000-0000-0000FB7D0000}"/>
    <cellStyle name="Standard 6 2 3 3 2" xfId="31973" xr:uid="{00000000-0005-0000-0000-0000FC7D0000}"/>
    <cellStyle name="Standard 6 2 3 3 2 2" xfId="31974" xr:uid="{00000000-0005-0000-0000-0000FD7D0000}"/>
    <cellStyle name="Standard 6 2 3 3 2 3" xfId="31975" xr:uid="{00000000-0005-0000-0000-0000FE7D0000}"/>
    <cellStyle name="Standard 6 2 3 3 3" xfId="31976" xr:uid="{00000000-0005-0000-0000-0000FF7D0000}"/>
    <cellStyle name="Standard 6 2 3 3 3 2" xfId="31977" xr:uid="{00000000-0005-0000-0000-0000007E0000}"/>
    <cellStyle name="Standard 6 2 3 3 3 3" xfId="31978" xr:uid="{00000000-0005-0000-0000-0000017E0000}"/>
    <cellStyle name="Standard 6 2 3 3 4" xfId="31979" xr:uid="{00000000-0005-0000-0000-0000027E0000}"/>
    <cellStyle name="Standard 6 2 3 3 4 2" xfId="31980" xr:uid="{00000000-0005-0000-0000-0000037E0000}"/>
    <cellStyle name="Standard 6 2 3 3 5" xfId="31981" xr:uid="{00000000-0005-0000-0000-0000047E0000}"/>
    <cellStyle name="Standard 6 2 3 3 6" xfId="31982" xr:uid="{00000000-0005-0000-0000-0000057E0000}"/>
    <cellStyle name="Standard 6 2 3 4" xfId="31983" xr:uid="{00000000-0005-0000-0000-0000067E0000}"/>
    <cellStyle name="Standard 6 2 3 4 2" xfId="31984" xr:uid="{00000000-0005-0000-0000-0000077E0000}"/>
    <cellStyle name="Standard 6 2 3 4 3" xfId="31985" xr:uid="{00000000-0005-0000-0000-0000087E0000}"/>
    <cellStyle name="Standard 6 2 3 5" xfId="31986" xr:uid="{00000000-0005-0000-0000-0000097E0000}"/>
    <cellStyle name="Standard 6 2 3 5 2" xfId="31987" xr:uid="{00000000-0005-0000-0000-00000A7E0000}"/>
    <cellStyle name="Standard 6 2 3 5 3" xfId="31988" xr:uid="{00000000-0005-0000-0000-00000B7E0000}"/>
    <cellStyle name="Standard 6 2 3 6" xfId="31989" xr:uid="{00000000-0005-0000-0000-00000C7E0000}"/>
    <cellStyle name="Standard 6 2 3 6 2" xfId="31990" xr:uid="{00000000-0005-0000-0000-00000D7E0000}"/>
    <cellStyle name="Standard 6 2 3 7" xfId="31991" xr:uid="{00000000-0005-0000-0000-00000E7E0000}"/>
    <cellStyle name="Standard 6 2 3 8" xfId="31992" xr:uid="{00000000-0005-0000-0000-00000F7E0000}"/>
    <cellStyle name="Standard 6 2 4" xfId="31993" xr:uid="{00000000-0005-0000-0000-0000107E0000}"/>
    <cellStyle name="Standard 6 2 4 2" xfId="31994" xr:uid="{00000000-0005-0000-0000-0000117E0000}"/>
    <cellStyle name="Standard 6 2 4 2 2" xfId="31995" xr:uid="{00000000-0005-0000-0000-0000127E0000}"/>
    <cellStyle name="Standard 6 2 4 2 2 2" xfId="31996" xr:uid="{00000000-0005-0000-0000-0000137E0000}"/>
    <cellStyle name="Standard 6 2 4 2 2 2 2" xfId="31997" xr:uid="{00000000-0005-0000-0000-0000147E0000}"/>
    <cellStyle name="Standard 6 2 4 2 2 2 3" xfId="31998" xr:uid="{00000000-0005-0000-0000-0000157E0000}"/>
    <cellStyle name="Standard 6 2 4 2 2 3" xfId="31999" xr:uid="{00000000-0005-0000-0000-0000167E0000}"/>
    <cellStyle name="Standard 6 2 4 2 2 3 2" xfId="32000" xr:uid="{00000000-0005-0000-0000-0000177E0000}"/>
    <cellStyle name="Standard 6 2 4 2 2 3 3" xfId="32001" xr:uid="{00000000-0005-0000-0000-0000187E0000}"/>
    <cellStyle name="Standard 6 2 4 2 2 4" xfId="32002" xr:uid="{00000000-0005-0000-0000-0000197E0000}"/>
    <cellStyle name="Standard 6 2 4 2 2 4 2" xfId="32003" xr:uid="{00000000-0005-0000-0000-00001A7E0000}"/>
    <cellStyle name="Standard 6 2 4 2 2 5" xfId="32004" xr:uid="{00000000-0005-0000-0000-00001B7E0000}"/>
    <cellStyle name="Standard 6 2 4 2 2 6" xfId="32005" xr:uid="{00000000-0005-0000-0000-00001C7E0000}"/>
    <cellStyle name="Standard 6 2 4 2 3" xfId="32006" xr:uid="{00000000-0005-0000-0000-00001D7E0000}"/>
    <cellStyle name="Standard 6 2 4 2 3 2" xfId="32007" xr:uid="{00000000-0005-0000-0000-00001E7E0000}"/>
    <cellStyle name="Standard 6 2 4 2 3 3" xfId="32008" xr:uid="{00000000-0005-0000-0000-00001F7E0000}"/>
    <cellStyle name="Standard 6 2 4 2 4" xfId="32009" xr:uid="{00000000-0005-0000-0000-0000207E0000}"/>
    <cellStyle name="Standard 6 2 4 2 4 2" xfId="32010" xr:uid="{00000000-0005-0000-0000-0000217E0000}"/>
    <cellStyle name="Standard 6 2 4 2 4 3" xfId="32011" xr:uid="{00000000-0005-0000-0000-0000227E0000}"/>
    <cellStyle name="Standard 6 2 4 2 5" xfId="32012" xr:uid="{00000000-0005-0000-0000-0000237E0000}"/>
    <cellStyle name="Standard 6 2 4 2 5 2" xfId="32013" xr:uid="{00000000-0005-0000-0000-0000247E0000}"/>
    <cellStyle name="Standard 6 2 4 2 6" xfId="32014" xr:uid="{00000000-0005-0000-0000-0000257E0000}"/>
    <cellStyle name="Standard 6 2 4 2 7" xfId="32015" xr:uid="{00000000-0005-0000-0000-0000267E0000}"/>
    <cellStyle name="Standard 6 2 4 3" xfId="32016" xr:uid="{00000000-0005-0000-0000-0000277E0000}"/>
    <cellStyle name="Standard 6 2 4 3 2" xfId="32017" xr:uid="{00000000-0005-0000-0000-0000287E0000}"/>
    <cellStyle name="Standard 6 2 4 3 2 2" xfId="32018" xr:uid="{00000000-0005-0000-0000-0000297E0000}"/>
    <cellStyle name="Standard 6 2 4 3 2 3" xfId="32019" xr:uid="{00000000-0005-0000-0000-00002A7E0000}"/>
    <cellStyle name="Standard 6 2 4 3 3" xfId="32020" xr:uid="{00000000-0005-0000-0000-00002B7E0000}"/>
    <cellStyle name="Standard 6 2 4 3 3 2" xfId="32021" xr:uid="{00000000-0005-0000-0000-00002C7E0000}"/>
    <cellStyle name="Standard 6 2 4 3 3 3" xfId="32022" xr:uid="{00000000-0005-0000-0000-00002D7E0000}"/>
    <cellStyle name="Standard 6 2 4 3 4" xfId="32023" xr:uid="{00000000-0005-0000-0000-00002E7E0000}"/>
    <cellStyle name="Standard 6 2 4 3 4 2" xfId="32024" xr:uid="{00000000-0005-0000-0000-00002F7E0000}"/>
    <cellStyle name="Standard 6 2 4 3 5" xfId="32025" xr:uid="{00000000-0005-0000-0000-0000307E0000}"/>
    <cellStyle name="Standard 6 2 4 3 6" xfId="32026" xr:uid="{00000000-0005-0000-0000-0000317E0000}"/>
    <cellStyle name="Standard 6 2 4 4" xfId="32027" xr:uid="{00000000-0005-0000-0000-0000327E0000}"/>
    <cellStyle name="Standard 6 2 4 4 2" xfId="32028" xr:uid="{00000000-0005-0000-0000-0000337E0000}"/>
    <cellStyle name="Standard 6 2 4 4 3" xfId="32029" xr:uid="{00000000-0005-0000-0000-0000347E0000}"/>
    <cellStyle name="Standard 6 2 4 5" xfId="32030" xr:uid="{00000000-0005-0000-0000-0000357E0000}"/>
    <cellStyle name="Standard 6 2 4 5 2" xfId="32031" xr:uid="{00000000-0005-0000-0000-0000367E0000}"/>
    <cellStyle name="Standard 6 2 4 5 3" xfId="32032" xr:uid="{00000000-0005-0000-0000-0000377E0000}"/>
    <cellStyle name="Standard 6 2 4 6" xfId="32033" xr:uid="{00000000-0005-0000-0000-0000387E0000}"/>
    <cellStyle name="Standard 6 2 4 6 2" xfId="32034" xr:uid="{00000000-0005-0000-0000-0000397E0000}"/>
    <cellStyle name="Standard 6 2 4 7" xfId="32035" xr:uid="{00000000-0005-0000-0000-00003A7E0000}"/>
    <cellStyle name="Standard 6 2 4 8" xfId="32036" xr:uid="{00000000-0005-0000-0000-00003B7E0000}"/>
    <cellStyle name="Standard 6 2 5" xfId="32037" xr:uid="{00000000-0005-0000-0000-00003C7E0000}"/>
    <cellStyle name="Standard 6 2 5 2" xfId="32038" xr:uid="{00000000-0005-0000-0000-00003D7E0000}"/>
    <cellStyle name="Standard 6 2 5 2 2" xfId="32039" xr:uid="{00000000-0005-0000-0000-00003E7E0000}"/>
    <cellStyle name="Standard 6 2 5 2 2 2" xfId="32040" xr:uid="{00000000-0005-0000-0000-00003F7E0000}"/>
    <cellStyle name="Standard 6 2 5 2 2 3" xfId="32041" xr:uid="{00000000-0005-0000-0000-0000407E0000}"/>
    <cellStyle name="Standard 6 2 5 2 3" xfId="32042" xr:uid="{00000000-0005-0000-0000-0000417E0000}"/>
    <cellStyle name="Standard 6 2 5 2 3 2" xfId="32043" xr:uid="{00000000-0005-0000-0000-0000427E0000}"/>
    <cellStyle name="Standard 6 2 5 2 3 3" xfId="32044" xr:uid="{00000000-0005-0000-0000-0000437E0000}"/>
    <cellStyle name="Standard 6 2 5 2 4" xfId="32045" xr:uid="{00000000-0005-0000-0000-0000447E0000}"/>
    <cellStyle name="Standard 6 2 5 2 4 2" xfId="32046" xr:uid="{00000000-0005-0000-0000-0000457E0000}"/>
    <cellStyle name="Standard 6 2 5 2 5" xfId="32047" xr:uid="{00000000-0005-0000-0000-0000467E0000}"/>
    <cellStyle name="Standard 6 2 5 2 6" xfId="32048" xr:uid="{00000000-0005-0000-0000-0000477E0000}"/>
    <cellStyle name="Standard 6 2 5 3" xfId="32049" xr:uid="{00000000-0005-0000-0000-0000487E0000}"/>
    <cellStyle name="Standard 6 2 5 3 2" xfId="32050" xr:uid="{00000000-0005-0000-0000-0000497E0000}"/>
    <cellStyle name="Standard 6 2 5 3 3" xfId="32051" xr:uid="{00000000-0005-0000-0000-00004A7E0000}"/>
    <cellStyle name="Standard 6 2 5 4" xfId="32052" xr:uid="{00000000-0005-0000-0000-00004B7E0000}"/>
    <cellStyle name="Standard 6 2 5 4 2" xfId="32053" xr:uid="{00000000-0005-0000-0000-00004C7E0000}"/>
    <cellStyle name="Standard 6 2 5 4 3" xfId="32054" xr:uid="{00000000-0005-0000-0000-00004D7E0000}"/>
    <cellStyle name="Standard 6 2 5 5" xfId="32055" xr:uid="{00000000-0005-0000-0000-00004E7E0000}"/>
    <cellStyle name="Standard 6 2 5 5 2" xfId="32056" xr:uid="{00000000-0005-0000-0000-00004F7E0000}"/>
    <cellStyle name="Standard 6 2 5 6" xfId="32057" xr:uid="{00000000-0005-0000-0000-0000507E0000}"/>
    <cellStyle name="Standard 6 2 5 7" xfId="32058" xr:uid="{00000000-0005-0000-0000-0000517E0000}"/>
    <cellStyle name="Standard 6 2 6" xfId="32059" xr:uid="{00000000-0005-0000-0000-0000527E0000}"/>
    <cellStyle name="Standard 6 2 6 2" xfId="32060" xr:uid="{00000000-0005-0000-0000-0000537E0000}"/>
    <cellStyle name="Standard 6 2 6 2 2" xfId="32061" xr:uid="{00000000-0005-0000-0000-0000547E0000}"/>
    <cellStyle name="Standard 6 2 6 2 3" xfId="32062" xr:uid="{00000000-0005-0000-0000-0000557E0000}"/>
    <cellStyle name="Standard 6 2 6 3" xfId="32063" xr:uid="{00000000-0005-0000-0000-0000567E0000}"/>
    <cellStyle name="Standard 6 2 6 3 2" xfId="32064" xr:uid="{00000000-0005-0000-0000-0000577E0000}"/>
    <cellStyle name="Standard 6 2 6 3 3" xfId="32065" xr:uid="{00000000-0005-0000-0000-0000587E0000}"/>
    <cellStyle name="Standard 6 2 6 4" xfId="32066" xr:uid="{00000000-0005-0000-0000-0000597E0000}"/>
    <cellStyle name="Standard 6 2 6 4 2" xfId="32067" xr:uid="{00000000-0005-0000-0000-00005A7E0000}"/>
    <cellStyle name="Standard 6 2 6 5" xfId="32068" xr:uid="{00000000-0005-0000-0000-00005B7E0000}"/>
    <cellStyle name="Standard 6 2 6 6" xfId="32069" xr:uid="{00000000-0005-0000-0000-00005C7E0000}"/>
    <cellStyle name="Standard 6 2 7" xfId="32070" xr:uid="{00000000-0005-0000-0000-00005D7E0000}"/>
    <cellStyle name="Standard 6 2 7 2" xfId="32071" xr:uid="{00000000-0005-0000-0000-00005E7E0000}"/>
    <cellStyle name="Standard 6 2 7 3" xfId="32072" xr:uid="{00000000-0005-0000-0000-00005F7E0000}"/>
    <cellStyle name="Standard 6 2 8" xfId="32073" xr:uid="{00000000-0005-0000-0000-0000607E0000}"/>
    <cellStyle name="Standard 6 2 8 2" xfId="32074" xr:uid="{00000000-0005-0000-0000-0000617E0000}"/>
    <cellStyle name="Standard 6 2 8 3" xfId="32075" xr:uid="{00000000-0005-0000-0000-0000627E0000}"/>
    <cellStyle name="Standard 6 2 9" xfId="32076" xr:uid="{00000000-0005-0000-0000-0000637E0000}"/>
    <cellStyle name="Standard 6 2 9 2" xfId="32077" xr:uid="{00000000-0005-0000-0000-0000647E0000}"/>
    <cellStyle name="Standard 6 3" xfId="32078" xr:uid="{00000000-0005-0000-0000-0000657E0000}"/>
    <cellStyle name="Standard 6 3 2" xfId="33482" xr:uid="{00000000-0005-0000-0000-0000667E0000}"/>
    <cellStyle name="Standard 6 3 3" xfId="33481" xr:uid="{00000000-0005-0000-0000-0000677E0000}"/>
    <cellStyle name="Standard 6 4" xfId="32079" xr:uid="{00000000-0005-0000-0000-0000687E0000}"/>
    <cellStyle name="Standard 6 4 2" xfId="33483" xr:uid="{00000000-0005-0000-0000-0000697E0000}"/>
    <cellStyle name="Standard 6 5" xfId="32080" xr:uid="{00000000-0005-0000-0000-00006A7E0000}"/>
    <cellStyle name="Standard 6 5 2" xfId="32081" xr:uid="{00000000-0005-0000-0000-00006B7E0000}"/>
    <cellStyle name="Standard 6 5 3" xfId="32082" xr:uid="{00000000-0005-0000-0000-00006C7E0000}"/>
    <cellStyle name="Standard 6 6" xfId="32083" xr:uid="{00000000-0005-0000-0000-00006D7E0000}"/>
    <cellStyle name="Standard 6 7" xfId="32084" xr:uid="{00000000-0005-0000-0000-00006E7E0000}"/>
    <cellStyle name="Standard 6 8" xfId="33118" xr:uid="{00000000-0005-0000-0000-00006F7E0000}"/>
    <cellStyle name="Standard 6 9" xfId="33193" xr:uid="{00000000-0005-0000-0000-0000707E0000}"/>
    <cellStyle name="Standard 60" xfId="642" xr:uid="{00000000-0005-0000-0000-0000717E0000}"/>
    <cellStyle name="Standard 60 2" xfId="643" xr:uid="{00000000-0005-0000-0000-0000727E0000}"/>
    <cellStyle name="Standard 61" xfId="644" xr:uid="{00000000-0005-0000-0000-0000737E0000}"/>
    <cellStyle name="Standard 61 2" xfId="645" xr:uid="{00000000-0005-0000-0000-0000747E0000}"/>
    <cellStyle name="Standard 62" xfId="646" xr:uid="{00000000-0005-0000-0000-0000757E0000}"/>
    <cellStyle name="Standard 62 2" xfId="647" xr:uid="{00000000-0005-0000-0000-0000767E0000}"/>
    <cellStyle name="Standard 62 3" xfId="648" xr:uid="{00000000-0005-0000-0000-0000777E0000}"/>
    <cellStyle name="Standard 62 4" xfId="649" xr:uid="{00000000-0005-0000-0000-0000787E0000}"/>
    <cellStyle name="Standard 63" xfId="650" xr:uid="{00000000-0005-0000-0000-0000797E0000}"/>
    <cellStyle name="Standard 63 2" xfId="651" xr:uid="{00000000-0005-0000-0000-00007A7E0000}"/>
    <cellStyle name="Standard 63 3" xfId="652" xr:uid="{00000000-0005-0000-0000-00007B7E0000}"/>
    <cellStyle name="Standard 63 4" xfId="653" xr:uid="{00000000-0005-0000-0000-00007C7E0000}"/>
    <cellStyle name="Standard 64" xfId="654" xr:uid="{00000000-0005-0000-0000-00007D7E0000}"/>
    <cellStyle name="Standard 64 2" xfId="655" xr:uid="{00000000-0005-0000-0000-00007E7E0000}"/>
    <cellStyle name="Standard 64 3" xfId="656" xr:uid="{00000000-0005-0000-0000-00007F7E0000}"/>
    <cellStyle name="Standard 64 4" xfId="657" xr:uid="{00000000-0005-0000-0000-0000807E0000}"/>
    <cellStyle name="Standard 65" xfId="658" xr:uid="{00000000-0005-0000-0000-0000817E0000}"/>
    <cellStyle name="Standard 65 2" xfId="659" xr:uid="{00000000-0005-0000-0000-0000827E0000}"/>
    <cellStyle name="Standard 65 3" xfId="660" xr:uid="{00000000-0005-0000-0000-0000837E0000}"/>
    <cellStyle name="Standard 65 4" xfId="661" xr:uid="{00000000-0005-0000-0000-0000847E0000}"/>
    <cellStyle name="Standard 66" xfId="662" xr:uid="{00000000-0005-0000-0000-0000857E0000}"/>
    <cellStyle name="Standard 66 2" xfId="663" xr:uid="{00000000-0005-0000-0000-0000867E0000}"/>
    <cellStyle name="Standard 66 3" xfId="664" xr:uid="{00000000-0005-0000-0000-0000877E0000}"/>
    <cellStyle name="Standard 66 4" xfId="665" xr:uid="{00000000-0005-0000-0000-0000887E0000}"/>
    <cellStyle name="Standard 67" xfId="666" xr:uid="{00000000-0005-0000-0000-0000897E0000}"/>
    <cellStyle name="Standard 67 2" xfId="667" xr:uid="{00000000-0005-0000-0000-00008A7E0000}"/>
    <cellStyle name="Standard 67 3" xfId="668" xr:uid="{00000000-0005-0000-0000-00008B7E0000}"/>
    <cellStyle name="Standard 67 4" xfId="669" xr:uid="{00000000-0005-0000-0000-00008C7E0000}"/>
    <cellStyle name="Standard 68" xfId="670" xr:uid="{00000000-0005-0000-0000-00008D7E0000}"/>
    <cellStyle name="Standard 68 2" xfId="671" xr:uid="{00000000-0005-0000-0000-00008E7E0000}"/>
    <cellStyle name="Standard 69" xfId="672" xr:uid="{00000000-0005-0000-0000-00008F7E0000}"/>
    <cellStyle name="Standard 69 2" xfId="673" xr:uid="{00000000-0005-0000-0000-0000907E0000}"/>
    <cellStyle name="Standard 7" xfId="674" xr:uid="{00000000-0005-0000-0000-0000917E0000}"/>
    <cellStyle name="Standard 7 10" xfId="32085" xr:uid="{00000000-0005-0000-0000-0000927E0000}"/>
    <cellStyle name="Standard 7 11" xfId="32086" xr:uid="{00000000-0005-0000-0000-0000937E0000}"/>
    <cellStyle name="Standard 7 12" xfId="32087" xr:uid="{00000000-0005-0000-0000-0000947E0000}"/>
    <cellStyle name="Standard 7 13" xfId="32088" xr:uid="{00000000-0005-0000-0000-0000957E0000}"/>
    <cellStyle name="Standard 7 2" xfId="675" xr:uid="{00000000-0005-0000-0000-0000967E0000}"/>
    <cellStyle name="Standard 7 2 10" xfId="32089" xr:uid="{00000000-0005-0000-0000-0000977E0000}"/>
    <cellStyle name="Standard 7 2 11" xfId="33484" xr:uid="{00000000-0005-0000-0000-0000987E0000}"/>
    <cellStyle name="Standard 7 2 2" xfId="32090" xr:uid="{00000000-0005-0000-0000-0000997E0000}"/>
    <cellStyle name="Standard 7 2 2 2" xfId="32091" xr:uid="{00000000-0005-0000-0000-00009A7E0000}"/>
    <cellStyle name="Standard 7 2 2 2 2" xfId="32092" xr:uid="{00000000-0005-0000-0000-00009B7E0000}"/>
    <cellStyle name="Standard 7 2 2 2 2 2" xfId="32093" xr:uid="{00000000-0005-0000-0000-00009C7E0000}"/>
    <cellStyle name="Standard 7 2 2 2 2 2 2" xfId="32094" xr:uid="{00000000-0005-0000-0000-00009D7E0000}"/>
    <cellStyle name="Standard 7 2 2 2 2 2 3" xfId="32095" xr:uid="{00000000-0005-0000-0000-00009E7E0000}"/>
    <cellStyle name="Standard 7 2 2 2 2 3" xfId="32096" xr:uid="{00000000-0005-0000-0000-00009F7E0000}"/>
    <cellStyle name="Standard 7 2 2 2 2 3 2" xfId="32097" xr:uid="{00000000-0005-0000-0000-0000A07E0000}"/>
    <cellStyle name="Standard 7 2 2 2 2 3 3" xfId="32098" xr:uid="{00000000-0005-0000-0000-0000A17E0000}"/>
    <cellStyle name="Standard 7 2 2 2 2 4" xfId="32099" xr:uid="{00000000-0005-0000-0000-0000A27E0000}"/>
    <cellStyle name="Standard 7 2 2 2 2 4 2" xfId="32100" xr:uid="{00000000-0005-0000-0000-0000A37E0000}"/>
    <cellStyle name="Standard 7 2 2 2 2 5" xfId="32101" xr:uid="{00000000-0005-0000-0000-0000A47E0000}"/>
    <cellStyle name="Standard 7 2 2 2 2 6" xfId="32102" xr:uid="{00000000-0005-0000-0000-0000A57E0000}"/>
    <cellStyle name="Standard 7 2 2 2 2 7" xfId="33487" xr:uid="{00000000-0005-0000-0000-0000A67E0000}"/>
    <cellStyle name="Standard 7 2 2 2 3" xfId="32103" xr:uid="{00000000-0005-0000-0000-0000A77E0000}"/>
    <cellStyle name="Standard 7 2 2 2 3 2" xfId="32104" xr:uid="{00000000-0005-0000-0000-0000A87E0000}"/>
    <cellStyle name="Standard 7 2 2 2 3 3" xfId="32105" xr:uid="{00000000-0005-0000-0000-0000A97E0000}"/>
    <cellStyle name="Standard 7 2 2 2 4" xfId="32106" xr:uid="{00000000-0005-0000-0000-0000AA7E0000}"/>
    <cellStyle name="Standard 7 2 2 2 4 2" xfId="32107" xr:uid="{00000000-0005-0000-0000-0000AB7E0000}"/>
    <cellStyle name="Standard 7 2 2 2 4 3" xfId="32108" xr:uid="{00000000-0005-0000-0000-0000AC7E0000}"/>
    <cellStyle name="Standard 7 2 2 2 5" xfId="32109" xr:uid="{00000000-0005-0000-0000-0000AD7E0000}"/>
    <cellStyle name="Standard 7 2 2 2 5 2" xfId="32110" xr:uid="{00000000-0005-0000-0000-0000AE7E0000}"/>
    <cellStyle name="Standard 7 2 2 2 6" xfId="32111" xr:uid="{00000000-0005-0000-0000-0000AF7E0000}"/>
    <cellStyle name="Standard 7 2 2 2 7" xfId="32112" xr:uid="{00000000-0005-0000-0000-0000B07E0000}"/>
    <cellStyle name="Standard 7 2 2 2 8" xfId="33486" xr:uid="{00000000-0005-0000-0000-0000B17E0000}"/>
    <cellStyle name="Standard 7 2 2 3" xfId="32113" xr:uid="{00000000-0005-0000-0000-0000B27E0000}"/>
    <cellStyle name="Standard 7 2 2 3 2" xfId="32114" xr:uid="{00000000-0005-0000-0000-0000B37E0000}"/>
    <cellStyle name="Standard 7 2 2 3 2 2" xfId="32115" xr:uid="{00000000-0005-0000-0000-0000B47E0000}"/>
    <cellStyle name="Standard 7 2 2 3 2 3" xfId="32116" xr:uid="{00000000-0005-0000-0000-0000B57E0000}"/>
    <cellStyle name="Standard 7 2 2 3 3" xfId="32117" xr:uid="{00000000-0005-0000-0000-0000B67E0000}"/>
    <cellStyle name="Standard 7 2 2 3 3 2" xfId="32118" xr:uid="{00000000-0005-0000-0000-0000B77E0000}"/>
    <cellStyle name="Standard 7 2 2 3 3 3" xfId="32119" xr:uid="{00000000-0005-0000-0000-0000B87E0000}"/>
    <cellStyle name="Standard 7 2 2 3 4" xfId="32120" xr:uid="{00000000-0005-0000-0000-0000B97E0000}"/>
    <cellStyle name="Standard 7 2 2 3 4 2" xfId="32121" xr:uid="{00000000-0005-0000-0000-0000BA7E0000}"/>
    <cellStyle name="Standard 7 2 2 3 5" xfId="32122" xr:uid="{00000000-0005-0000-0000-0000BB7E0000}"/>
    <cellStyle name="Standard 7 2 2 3 6" xfId="32123" xr:uid="{00000000-0005-0000-0000-0000BC7E0000}"/>
    <cellStyle name="Standard 7 2 2 3 7" xfId="33488" xr:uid="{00000000-0005-0000-0000-0000BD7E0000}"/>
    <cellStyle name="Standard 7 2 2 4" xfId="32124" xr:uid="{00000000-0005-0000-0000-0000BE7E0000}"/>
    <cellStyle name="Standard 7 2 2 4 2" xfId="32125" xr:uid="{00000000-0005-0000-0000-0000BF7E0000}"/>
    <cellStyle name="Standard 7 2 2 4 3" xfId="32126" xr:uid="{00000000-0005-0000-0000-0000C07E0000}"/>
    <cellStyle name="Standard 7 2 2 5" xfId="32127" xr:uid="{00000000-0005-0000-0000-0000C17E0000}"/>
    <cellStyle name="Standard 7 2 2 5 2" xfId="32128" xr:uid="{00000000-0005-0000-0000-0000C27E0000}"/>
    <cellStyle name="Standard 7 2 2 5 3" xfId="32129" xr:uid="{00000000-0005-0000-0000-0000C37E0000}"/>
    <cellStyle name="Standard 7 2 2 6" xfId="32130" xr:uid="{00000000-0005-0000-0000-0000C47E0000}"/>
    <cellStyle name="Standard 7 2 2 6 2" xfId="32131" xr:uid="{00000000-0005-0000-0000-0000C57E0000}"/>
    <cellStyle name="Standard 7 2 2 7" xfId="32132" xr:uid="{00000000-0005-0000-0000-0000C67E0000}"/>
    <cellStyle name="Standard 7 2 2 8" xfId="32133" xr:uid="{00000000-0005-0000-0000-0000C77E0000}"/>
    <cellStyle name="Standard 7 2 2 9" xfId="33485" xr:uid="{00000000-0005-0000-0000-0000C87E0000}"/>
    <cellStyle name="Standard 7 2 3" xfId="32134" xr:uid="{00000000-0005-0000-0000-0000C97E0000}"/>
    <cellStyle name="Standard 7 2 3 2" xfId="32135" xr:uid="{00000000-0005-0000-0000-0000CA7E0000}"/>
    <cellStyle name="Standard 7 2 3 2 2" xfId="32136" xr:uid="{00000000-0005-0000-0000-0000CB7E0000}"/>
    <cellStyle name="Standard 7 2 3 2 2 2" xfId="32137" xr:uid="{00000000-0005-0000-0000-0000CC7E0000}"/>
    <cellStyle name="Standard 7 2 3 2 2 2 2" xfId="32138" xr:uid="{00000000-0005-0000-0000-0000CD7E0000}"/>
    <cellStyle name="Standard 7 2 3 2 2 2 3" xfId="32139" xr:uid="{00000000-0005-0000-0000-0000CE7E0000}"/>
    <cellStyle name="Standard 7 2 3 2 2 3" xfId="32140" xr:uid="{00000000-0005-0000-0000-0000CF7E0000}"/>
    <cellStyle name="Standard 7 2 3 2 2 3 2" xfId="32141" xr:uid="{00000000-0005-0000-0000-0000D07E0000}"/>
    <cellStyle name="Standard 7 2 3 2 2 3 3" xfId="32142" xr:uid="{00000000-0005-0000-0000-0000D17E0000}"/>
    <cellStyle name="Standard 7 2 3 2 2 4" xfId="32143" xr:uid="{00000000-0005-0000-0000-0000D27E0000}"/>
    <cellStyle name="Standard 7 2 3 2 2 4 2" xfId="32144" xr:uid="{00000000-0005-0000-0000-0000D37E0000}"/>
    <cellStyle name="Standard 7 2 3 2 2 5" xfId="32145" xr:uid="{00000000-0005-0000-0000-0000D47E0000}"/>
    <cellStyle name="Standard 7 2 3 2 2 6" xfId="32146" xr:uid="{00000000-0005-0000-0000-0000D57E0000}"/>
    <cellStyle name="Standard 7 2 3 2 3" xfId="32147" xr:uid="{00000000-0005-0000-0000-0000D67E0000}"/>
    <cellStyle name="Standard 7 2 3 2 3 2" xfId="32148" xr:uid="{00000000-0005-0000-0000-0000D77E0000}"/>
    <cellStyle name="Standard 7 2 3 2 3 3" xfId="32149" xr:uid="{00000000-0005-0000-0000-0000D87E0000}"/>
    <cellStyle name="Standard 7 2 3 2 4" xfId="32150" xr:uid="{00000000-0005-0000-0000-0000D97E0000}"/>
    <cellStyle name="Standard 7 2 3 2 4 2" xfId="32151" xr:uid="{00000000-0005-0000-0000-0000DA7E0000}"/>
    <cellStyle name="Standard 7 2 3 2 4 3" xfId="32152" xr:uid="{00000000-0005-0000-0000-0000DB7E0000}"/>
    <cellStyle name="Standard 7 2 3 2 5" xfId="32153" xr:uid="{00000000-0005-0000-0000-0000DC7E0000}"/>
    <cellStyle name="Standard 7 2 3 2 5 2" xfId="32154" xr:uid="{00000000-0005-0000-0000-0000DD7E0000}"/>
    <cellStyle name="Standard 7 2 3 2 6" xfId="32155" xr:uid="{00000000-0005-0000-0000-0000DE7E0000}"/>
    <cellStyle name="Standard 7 2 3 2 7" xfId="32156" xr:uid="{00000000-0005-0000-0000-0000DF7E0000}"/>
    <cellStyle name="Standard 7 2 3 2 8" xfId="33490" xr:uid="{00000000-0005-0000-0000-0000E07E0000}"/>
    <cellStyle name="Standard 7 2 3 3" xfId="32157" xr:uid="{00000000-0005-0000-0000-0000E17E0000}"/>
    <cellStyle name="Standard 7 2 3 3 2" xfId="32158" xr:uid="{00000000-0005-0000-0000-0000E27E0000}"/>
    <cellStyle name="Standard 7 2 3 3 2 2" xfId="32159" xr:uid="{00000000-0005-0000-0000-0000E37E0000}"/>
    <cellStyle name="Standard 7 2 3 3 2 3" xfId="32160" xr:uid="{00000000-0005-0000-0000-0000E47E0000}"/>
    <cellStyle name="Standard 7 2 3 3 3" xfId="32161" xr:uid="{00000000-0005-0000-0000-0000E57E0000}"/>
    <cellStyle name="Standard 7 2 3 3 3 2" xfId="32162" xr:uid="{00000000-0005-0000-0000-0000E67E0000}"/>
    <cellStyle name="Standard 7 2 3 3 3 3" xfId="32163" xr:uid="{00000000-0005-0000-0000-0000E77E0000}"/>
    <cellStyle name="Standard 7 2 3 3 4" xfId="32164" xr:uid="{00000000-0005-0000-0000-0000E87E0000}"/>
    <cellStyle name="Standard 7 2 3 3 4 2" xfId="32165" xr:uid="{00000000-0005-0000-0000-0000E97E0000}"/>
    <cellStyle name="Standard 7 2 3 3 5" xfId="32166" xr:uid="{00000000-0005-0000-0000-0000EA7E0000}"/>
    <cellStyle name="Standard 7 2 3 3 6" xfId="32167" xr:uid="{00000000-0005-0000-0000-0000EB7E0000}"/>
    <cellStyle name="Standard 7 2 3 4" xfId="32168" xr:uid="{00000000-0005-0000-0000-0000EC7E0000}"/>
    <cellStyle name="Standard 7 2 3 4 2" xfId="32169" xr:uid="{00000000-0005-0000-0000-0000ED7E0000}"/>
    <cellStyle name="Standard 7 2 3 4 3" xfId="32170" xr:uid="{00000000-0005-0000-0000-0000EE7E0000}"/>
    <cellStyle name="Standard 7 2 3 5" xfId="32171" xr:uid="{00000000-0005-0000-0000-0000EF7E0000}"/>
    <cellStyle name="Standard 7 2 3 5 2" xfId="32172" xr:uid="{00000000-0005-0000-0000-0000F07E0000}"/>
    <cellStyle name="Standard 7 2 3 5 3" xfId="32173" xr:uid="{00000000-0005-0000-0000-0000F17E0000}"/>
    <cellStyle name="Standard 7 2 3 6" xfId="32174" xr:uid="{00000000-0005-0000-0000-0000F27E0000}"/>
    <cellStyle name="Standard 7 2 3 6 2" xfId="32175" xr:uid="{00000000-0005-0000-0000-0000F37E0000}"/>
    <cellStyle name="Standard 7 2 3 7" xfId="32176" xr:uid="{00000000-0005-0000-0000-0000F47E0000}"/>
    <cellStyle name="Standard 7 2 3 8" xfId="32177" xr:uid="{00000000-0005-0000-0000-0000F57E0000}"/>
    <cellStyle name="Standard 7 2 3 9" xfId="33489" xr:uid="{00000000-0005-0000-0000-0000F67E0000}"/>
    <cellStyle name="Standard 7 2 4" xfId="32178" xr:uid="{00000000-0005-0000-0000-0000F77E0000}"/>
    <cellStyle name="Standard 7 2 4 2" xfId="32179" xr:uid="{00000000-0005-0000-0000-0000F87E0000}"/>
    <cellStyle name="Standard 7 2 4 2 2" xfId="32180" xr:uid="{00000000-0005-0000-0000-0000F97E0000}"/>
    <cellStyle name="Standard 7 2 4 2 2 2" xfId="32181" xr:uid="{00000000-0005-0000-0000-0000FA7E0000}"/>
    <cellStyle name="Standard 7 2 4 2 2 3" xfId="32182" xr:uid="{00000000-0005-0000-0000-0000FB7E0000}"/>
    <cellStyle name="Standard 7 2 4 2 3" xfId="32183" xr:uid="{00000000-0005-0000-0000-0000FC7E0000}"/>
    <cellStyle name="Standard 7 2 4 2 3 2" xfId="32184" xr:uid="{00000000-0005-0000-0000-0000FD7E0000}"/>
    <cellStyle name="Standard 7 2 4 2 3 3" xfId="32185" xr:uid="{00000000-0005-0000-0000-0000FE7E0000}"/>
    <cellStyle name="Standard 7 2 4 2 4" xfId="32186" xr:uid="{00000000-0005-0000-0000-0000FF7E0000}"/>
    <cellStyle name="Standard 7 2 4 2 4 2" xfId="32187" xr:uid="{00000000-0005-0000-0000-0000007F0000}"/>
    <cellStyle name="Standard 7 2 4 2 5" xfId="32188" xr:uid="{00000000-0005-0000-0000-0000017F0000}"/>
    <cellStyle name="Standard 7 2 4 2 6" xfId="32189" xr:uid="{00000000-0005-0000-0000-0000027F0000}"/>
    <cellStyle name="Standard 7 2 4 3" xfId="32190" xr:uid="{00000000-0005-0000-0000-0000037F0000}"/>
    <cellStyle name="Standard 7 2 4 3 2" xfId="32191" xr:uid="{00000000-0005-0000-0000-0000047F0000}"/>
    <cellStyle name="Standard 7 2 4 3 3" xfId="32192" xr:uid="{00000000-0005-0000-0000-0000057F0000}"/>
    <cellStyle name="Standard 7 2 4 4" xfId="32193" xr:uid="{00000000-0005-0000-0000-0000067F0000}"/>
    <cellStyle name="Standard 7 2 4 4 2" xfId="32194" xr:uid="{00000000-0005-0000-0000-0000077F0000}"/>
    <cellStyle name="Standard 7 2 4 4 3" xfId="32195" xr:uid="{00000000-0005-0000-0000-0000087F0000}"/>
    <cellStyle name="Standard 7 2 4 5" xfId="32196" xr:uid="{00000000-0005-0000-0000-0000097F0000}"/>
    <cellStyle name="Standard 7 2 4 5 2" xfId="32197" xr:uid="{00000000-0005-0000-0000-00000A7F0000}"/>
    <cellStyle name="Standard 7 2 4 6" xfId="32198" xr:uid="{00000000-0005-0000-0000-00000B7F0000}"/>
    <cellStyle name="Standard 7 2 4 7" xfId="32199" xr:uid="{00000000-0005-0000-0000-00000C7F0000}"/>
    <cellStyle name="Standard 7 2 4 8" xfId="33491" xr:uid="{00000000-0005-0000-0000-00000D7F0000}"/>
    <cellStyle name="Standard 7 2 5" xfId="32200" xr:uid="{00000000-0005-0000-0000-00000E7F0000}"/>
    <cellStyle name="Standard 7 2 5 2" xfId="32201" xr:uid="{00000000-0005-0000-0000-00000F7F0000}"/>
    <cellStyle name="Standard 7 2 5 2 2" xfId="32202" xr:uid="{00000000-0005-0000-0000-0000107F0000}"/>
    <cellStyle name="Standard 7 2 5 2 3" xfId="32203" xr:uid="{00000000-0005-0000-0000-0000117F0000}"/>
    <cellStyle name="Standard 7 2 5 3" xfId="32204" xr:uid="{00000000-0005-0000-0000-0000127F0000}"/>
    <cellStyle name="Standard 7 2 5 3 2" xfId="32205" xr:uid="{00000000-0005-0000-0000-0000137F0000}"/>
    <cellStyle name="Standard 7 2 5 3 3" xfId="32206" xr:uid="{00000000-0005-0000-0000-0000147F0000}"/>
    <cellStyle name="Standard 7 2 5 4" xfId="32207" xr:uid="{00000000-0005-0000-0000-0000157F0000}"/>
    <cellStyle name="Standard 7 2 5 4 2" xfId="32208" xr:uid="{00000000-0005-0000-0000-0000167F0000}"/>
    <cellStyle name="Standard 7 2 5 5" xfId="32209" xr:uid="{00000000-0005-0000-0000-0000177F0000}"/>
    <cellStyle name="Standard 7 2 5 6" xfId="32210" xr:uid="{00000000-0005-0000-0000-0000187F0000}"/>
    <cellStyle name="Standard 7 2 6" xfId="32211" xr:uid="{00000000-0005-0000-0000-0000197F0000}"/>
    <cellStyle name="Standard 7 2 6 2" xfId="32212" xr:uid="{00000000-0005-0000-0000-00001A7F0000}"/>
    <cellStyle name="Standard 7 2 6 3" xfId="32213" xr:uid="{00000000-0005-0000-0000-00001B7F0000}"/>
    <cellStyle name="Standard 7 2 7" xfId="32214" xr:uid="{00000000-0005-0000-0000-00001C7F0000}"/>
    <cellStyle name="Standard 7 2 7 2" xfId="32215" xr:uid="{00000000-0005-0000-0000-00001D7F0000}"/>
    <cellStyle name="Standard 7 2 7 3" xfId="32216" xr:uid="{00000000-0005-0000-0000-00001E7F0000}"/>
    <cellStyle name="Standard 7 2 8" xfId="32217" xr:uid="{00000000-0005-0000-0000-00001F7F0000}"/>
    <cellStyle name="Standard 7 2 8 2" xfId="32218" xr:uid="{00000000-0005-0000-0000-0000207F0000}"/>
    <cellStyle name="Standard 7 2 9" xfId="32219" xr:uid="{00000000-0005-0000-0000-0000217F0000}"/>
    <cellStyle name="Standard 7 3" xfId="32220" xr:uid="{00000000-0005-0000-0000-0000227F0000}"/>
    <cellStyle name="Standard 7 3 2" xfId="32221" xr:uid="{00000000-0005-0000-0000-0000237F0000}"/>
    <cellStyle name="Standard 7 3 2 2" xfId="32222" xr:uid="{00000000-0005-0000-0000-0000247F0000}"/>
    <cellStyle name="Standard 7 3 2 2 2" xfId="32223" xr:uid="{00000000-0005-0000-0000-0000257F0000}"/>
    <cellStyle name="Standard 7 3 2 2 2 2" xfId="32224" xr:uid="{00000000-0005-0000-0000-0000267F0000}"/>
    <cellStyle name="Standard 7 3 2 2 2 3" xfId="32225" xr:uid="{00000000-0005-0000-0000-0000277F0000}"/>
    <cellStyle name="Standard 7 3 2 2 3" xfId="32226" xr:uid="{00000000-0005-0000-0000-0000287F0000}"/>
    <cellStyle name="Standard 7 3 2 2 3 2" xfId="32227" xr:uid="{00000000-0005-0000-0000-0000297F0000}"/>
    <cellStyle name="Standard 7 3 2 2 3 3" xfId="32228" xr:uid="{00000000-0005-0000-0000-00002A7F0000}"/>
    <cellStyle name="Standard 7 3 2 2 4" xfId="32229" xr:uid="{00000000-0005-0000-0000-00002B7F0000}"/>
    <cellStyle name="Standard 7 3 2 2 4 2" xfId="32230" xr:uid="{00000000-0005-0000-0000-00002C7F0000}"/>
    <cellStyle name="Standard 7 3 2 2 5" xfId="32231" xr:uid="{00000000-0005-0000-0000-00002D7F0000}"/>
    <cellStyle name="Standard 7 3 2 2 6" xfId="32232" xr:uid="{00000000-0005-0000-0000-00002E7F0000}"/>
    <cellStyle name="Standard 7 3 2 2 7" xfId="33494" xr:uid="{00000000-0005-0000-0000-00002F7F0000}"/>
    <cellStyle name="Standard 7 3 2 3" xfId="32233" xr:uid="{00000000-0005-0000-0000-0000307F0000}"/>
    <cellStyle name="Standard 7 3 2 3 2" xfId="32234" xr:uid="{00000000-0005-0000-0000-0000317F0000}"/>
    <cellStyle name="Standard 7 3 2 3 3" xfId="32235" xr:uid="{00000000-0005-0000-0000-0000327F0000}"/>
    <cellStyle name="Standard 7 3 2 4" xfId="32236" xr:uid="{00000000-0005-0000-0000-0000337F0000}"/>
    <cellStyle name="Standard 7 3 2 4 2" xfId="32237" xr:uid="{00000000-0005-0000-0000-0000347F0000}"/>
    <cellStyle name="Standard 7 3 2 4 3" xfId="32238" xr:uid="{00000000-0005-0000-0000-0000357F0000}"/>
    <cellStyle name="Standard 7 3 2 5" xfId="32239" xr:uid="{00000000-0005-0000-0000-0000367F0000}"/>
    <cellStyle name="Standard 7 3 2 5 2" xfId="32240" xr:uid="{00000000-0005-0000-0000-0000377F0000}"/>
    <cellStyle name="Standard 7 3 2 6" xfId="32241" xr:uid="{00000000-0005-0000-0000-0000387F0000}"/>
    <cellStyle name="Standard 7 3 2 7" xfId="32242" xr:uid="{00000000-0005-0000-0000-0000397F0000}"/>
    <cellStyle name="Standard 7 3 2 8" xfId="33493" xr:uid="{00000000-0005-0000-0000-00003A7F0000}"/>
    <cellStyle name="Standard 7 3 3" xfId="32243" xr:uid="{00000000-0005-0000-0000-00003B7F0000}"/>
    <cellStyle name="Standard 7 3 3 2" xfId="32244" xr:uid="{00000000-0005-0000-0000-00003C7F0000}"/>
    <cellStyle name="Standard 7 3 3 2 2" xfId="32245" xr:uid="{00000000-0005-0000-0000-00003D7F0000}"/>
    <cellStyle name="Standard 7 3 3 2 3" xfId="32246" xr:uid="{00000000-0005-0000-0000-00003E7F0000}"/>
    <cellStyle name="Standard 7 3 3 3" xfId="32247" xr:uid="{00000000-0005-0000-0000-00003F7F0000}"/>
    <cellStyle name="Standard 7 3 3 3 2" xfId="32248" xr:uid="{00000000-0005-0000-0000-0000407F0000}"/>
    <cellStyle name="Standard 7 3 3 3 3" xfId="32249" xr:uid="{00000000-0005-0000-0000-0000417F0000}"/>
    <cellStyle name="Standard 7 3 3 4" xfId="32250" xr:uid="{00000000-0005-0000-0000-0000427F0000}"/>
    <cellStyle name="Standard 7 3 3 4 2" xfId="32251" xr:uid="{00000000-0005-0000-0000-0000437F0000}"/>
    <cellStyle name="Standard 7 3 3 5" xfId="32252" xr:uid="{00000000-0005-0000-0000-0000447F0000}"/>
    <cellStyle name="Standard 7 3 3 6" xfId="32253" xr:uid="{00000000-0005-0000-0000-0000457F0000}"/>
    <cellStyle name="Standard 7 3 3 7" xfId="33495" xr:uid="{00000000-0005-0000-0000-0000467F0000}"/>
    <cellStyle name="Standard 7 3 4" xfId="32254" xr:uid="{00000000-0005-0000-0000-0000477F0000}"/>
    <cellStyle name="Standard 7 3 4 2" xfId="32255" xr:uid="{00000000-0005-0000-0000-0000487F0000}"/>
    <cellStyle name="Standard 7 3 4 3" xfId="32256" xr:uid="{00000000-0005-0000-0000-0000497F0000}"/>
    <cellStyle name="Standard 7 3 5" xfId="32257" xr:uid="{00000000-0005-0000-0000-00004A7F0000}"/>
    <cellStyle name="Standard 7 3 5 2" xfId="32258" xr:uid="{00000000-0005-0000-0000-00004B7F0000}"/>
    <cellStyle name="Standard 7 3 5 3" xfId="32259" xr:uid="{00000000-0005-0000-0000-00004C7F0000}"/>
    <cellStyle name="Standard 7 3 6" xfId="32260" xr:uid="{00000000-0005-0000-0000-00004D7F0000}"/>
    <cellStyle name="Standard 7 3 6 2" xfId="32261" xr:uid="{00000000-0005-0000-0000-00004E7F0000}"/>
    <cellStyle name="Standard 7 3 7" xfId="32262" xr:uid="{00000000-0005-0000-0000-00004F7F0000}"/>
    <cellStyle name="Standard 7 3 8" xfId="32263" xr:uid="{00000000-0005-0000-0000-0000507F0000}"/>
    <cellStyle name="Standard 7 3 9" xfId="33492" xr:uid="{00000000-0005-0000-0000-0000517F0000}"/>
    <cellStyle name="Standard 7 4" xfId="32264" xr:uid="{00000000-0005-0000-0000-0000527F0000}"/>
    <cellStyle name="Standard 7 4 2" xfId="32265" xr:uid="{00000000-0005-0000-0000-0000537F0000}"/>
    <cellStyle name="Standard 7 4 2 2" xfId="32266" xr:uid="{00000000-0005-0000-0000-0000547F0000}"/>
    <cellStyle name="Standard 7 4 2 2 2" xfId="32267" xr:uid="{00000000-0005-0000-0000-0000557F0000}"/>
    <cellStyle name="Standard 7 4 2 2 2 2" xfId="32268" xr:uid="{00000000-0005-0000-0000-0000567F0000}"/>
    <cellStyle name="Standard 7 4 2 2 2 3" xfId="32269" xr:uid="{00000000-0005-0000-0000-0000577F0000}"/>
    <cellStyle name="Standard 7 4 2 2 3" xfId="32270" xr:uid="{00000000-0005-0000-0000-0000587F0000}"/>
    <cellStyle name="Standard 7 4 2 2 3 2" xfId="32271" xr:uid="{00000000-0005-0000-0000-0000597F0000}"/>
    <cellStyle name="Standard 7 4 2 2 3 3" xfId="32272" xr:uid="{00000000-0005-0000-0000-00005A7F0000}"/>
    <cellStyle name="Standard 7 4 2 2 4" xfId="32273" xr:uid="{00000000-0005-0000-0000-00005B7F0000}"/>
    <cellStyle name="Standard 7 4 2 2 4 2" xfId="32274" xr:uid="{00000000-0005-0000-0000-00005C7F0000}"/>
    <cellStyle name="Standard 7 4 2 2 5" xfId="32275" xr:uid="{00000000-0005-0000-0000-00005D7F0000}"/>
    <cellStyle name="Standard 7 4 2 2 6" xfId="32276" xr:uid="{00000000-0005-0000-0000-00005E7F0000}"/>
    <cellStyle name="Standard 7 4 2 2 7" xfId="33498" xr:uid="{00000000-0005-0000-0000-00005F7F0000}"/>
    <cellStyle name="Standard 7 4 2 3" xfId="32277" xr:uid="{00000000-0005-0000-0000-0000607F0000}"/>
    <cellStyle name="Standard 7 4 2 3 2" xfId="32278" xr:uid="{00000000-0005-0000-0000-0000617F0000}"/>
    <cellStyle name="Standard 7 4 2 3 3" xfId="32279" xr:uid="{00000000-0005-0000-0000-0000627F0000}"/>
    <cellStyle name="Standard 7 4 2 4" xfId="32280" xr:uid="{00000000-0005-0000-0000-0000637F0000}"/>
    <cellStyle name="Standard 7 4 2 4 2" xfId="32281" xr:uid="{00000000-0005-0000-0000-0000647F0000}"/>
    <cellStyle name="Standard 7 4 2 4 3" xfId="32282" xr:uid="{00000000-0005-0000-0000-0000657F0000}"/>
    <cellStyle name="Standard 7 4 2 5" xfId="32283" xr:uid="{00000000-0005-0000-0000-0000667F0000}"/>
    <cellStyle name="Standard 7 4 2 5 2" xfId="32284" xr:uid="{00000000-0005-0000-0000-0000677F0000}"/>
    <cellStyle name="Standard 7 4 2 6" xfId="32285" xr:uid="{00000000-0005-0000-0000-0000687F0000}"/>
    <cellStyle name="Standard 7 4 2 7" xfId="32286" xr:uid="{00000000-0005-0000-0000-0000697F0000}"/>
    <cellStyle name="Standard 7 4 2 8" xfId="33497" xr:uid="{00000000-0005-0000-0000-00006A7F0000}"/>
    <cellStyle name="Standard 7 4 3" xfId="32287" xr:uid="{00000000-0005-0000-0000-00006B7F0000}"/>
    <cellStyle name="Standard 7 4 3 2" xfId="32288" xr:uid="{00000000-0005-0000-0000-00006C7F0000}"/>
    <cellStyle name="Standard 7 4 3 2 2" xfId="32289" xr:uid="{00000000-0005-0000-0000-00006D7F0000}"/>
    <cellStyle name="Standard 7 4 3 2 3" xfId="32290" xr:uid="{00000000-0005-0000-0000-00006E7F0000}"/>
    <cellStyle name="Standard 7 4 3 3" xfId="32291" xr:uid="{00000000-0005-0000-0000-00006F7F0000}"/>
    <cellStyle name="Standard 7 4 3 3 2" xfId="32292" xr:uid="{00000000-0005-0000-0000-0000707F0000}"/>
    <cellStyle name="Standard 7 4 3 3 3" xfId="32293" xr:uid="{00000000-0005-0000-0000-0000717F0000}"/>
    <cellStyle name="Standard 7 4 3 4" xfId="32294" xr:uid="{00000000-0005-0000-0000-0000727F0000}"/>
    <cellStyle name="Standard 7 4 3 4 2" xfId="32295" xr:uid="{00000000-0005-0000-0000-0000737F0000}"/>
    <cellStyle name="Standard 7 4 3 5" xfId="32296" xr:uid="{00000000-0005-0000-0000-0000747F0000}"/>
    <cellStyle name="Standard 7 4 3 6" xfId="32297" xr:uid="{00000000-0005-0000-0000-0000757F0000}"/>
    <cellStyle name="Standard 7 4 3 7" xfId="33499" xr:uid="{00000000-0005-0000-0000-0000767F0000}"/>
    <cellStyle name="Standard 7 4 4" xfId="32298" xr:uid="{00000000-0005-0000-0000-0000777F0000}"/>
    <cellStyle name="Standard 7 4 4 2" xfId="32299" xr:uid="{00000000-0005-0000-0000-0000787F0000}"/>
    <cellStyle name="Standard 7 4 4 3" xfId="32300" xr:uid="{00000000-0005-0000-0000-0000797F0000}"/>
    <cellStyle name="Standard 7 4 5" xfId="32301" xr:uid="{00000000-0005-0000-0000-00007A7F0000}"/>
    <cellStyle name="Standard 7 4 5 2" xfId="32302" xr:uid="{00000000-0005-0000-0000-00007B7F0000}"/>
    <cellStyle name="Standard 7 4 5 3" xfId="32303" xr:uid="{00000000-0005-0000-0000-00007C7F0000}"/>
    <cellStyle name="Standard 7 4 6" xfId="32304" xr:uid="{00000000-0005-0000-0000-00007D7F0000}"/>
    <cellStyle name="Standard 7 4 6 2" xfId="32305" xr:uid="{00000000-0005-0000-0000-00007E7F0000}"/>
    <cellStyle name="Standard 7 4 7" xfId="32306" xr:uid="{00000000-0005-0000-0000-00007F7F0000}"/>
    <cellStyle name="Standard 7 4 8" xfId="32307" xr:uid="{00000000-0005-0000-0000-0000807F0000}"/>
    <cellStyle name="Standard 7 4 9" xfId="33496" xr:uid="{00000000-0005-0000-0000-0000817F0000}"/>
    <cellStyle name="Standard 7 5" xfId="32308" xr:uid="{00000000-0005-0000-0000-0000827F0000}"/>
    <cellStyle name="Standard 7 5 2" xfId="32309" xr:uid="{00000000-0005-0000-0000-0000837F0000}"/>
    <cellStyle name="Standard 7 5 2 2" xfId="32310" xr:uid="{00000000-0005-0000-0000-0000847F0000}"/>
    <cellStyle name="Standard 7 5 2 2 2" xfId="32311" xr:uid="{00000000-0005-0000-0000-0000857F0000}"/>
    <cellStyle name="Standard 7 5 2 2 3" xfId="32312" xr:uid="{00000000-0005-0000-0000-0000867F0000}"/>
    <cellStyle name="Standard 7 5 2 3" xfId="32313" xr:uid="{00000000-0005-0000-0000-0000877F0000}"/>
    <cellStyle name="Standard 7 5 2 3 2" xfId="32314" xr:uid="{00000000-0005-0000-0000-0000887F0000}"/>
    <cellStyle name="Standard 7 5 2 3 3" xfId="32315" xr:uid="{00000000-0005-0000-0000-0000897F0000}"/>
    <cellStyle name="Standard 7 5 2 4" xfId="32316" xr:uid="{00000000-0005-0000-0000-00008A7F0000}"/>
    <cellStyle name="Standard 7 5 2 4 2" xfId="32317" xr:uid="{00000000-0005-0000-0000-00008B7F0000}"/>
    <cellStyle name="Standard 7 5 2 5" xfId="32318" xr:uid="{00000000-0005-0000-0000-00008C7F0000}"/>
    <cellStyle name="Standard 7 5 2 6" xfId="32319" xr:uid="{00000000-0005-0000-0000-00008D7F0000}"/>
    <cellStyle name="Standard 7 5 3" xfId="32320" xr:uid="{00000000-0005-0000-0000-00008E7F0000}"/>
    <cellStyle name="Standard 7 5 3 2" xfId="32321" xr:uid="{00000000-0005-0000-0000-00008F7F0000}"/>
    <cellStyle name="Standard 7 5 3 3" xfId="32322" xr:uid="{00000000-0005-0000-0000-0000907F0000}"/>
    <cellStyle name="Standard 7 5 4" xfId="32323" xr:uid="{00000000-0005-0000-0000-0000917F0000}"/>
    <cellStyle name="Standard 7 5 4 2" xfId="32324" xr:uid="{00000000-0005-0000-0000-0000927F0000}"/>
    <cellStyle name="Standard 7 5 4 3" xfId="32325" xr:uid="{00000000-0005-0000-0000-0000937F0000}"/>
    <cellStyle name="Standard 7 5 5" xfId="32326" xr:uid="{00000000-0005-0000-0000-0000947F0000}"/>
    <cellStyle name="Standard 7 5 5 2" xfId="32327" xr:uid="{00000000-0005-0000-0000-0000957F0000}"/>
    <cellStyle name="Standard 7 5 6" xfId="32328" xr:uid="{00000000-0005-0000-0000-0000967F0000}"/>
    <cellStyle name="Standard 7 5 7" xfId="32329" xr:uid="{00000000-0005-0000-0000-0000977F0000}"/>
    <cellStyle name="Standard 7 6" xfId="32330" xr:uid="{00000000-0005-0000-0000-0000987F0000}"/>
    <cellStyle name="Standard 7 6 2" xfId="32331" xr:uid="{00000000-0005-0000-0000-0000997F0000}"/>
    <cellStyle name="Standard 7 6 2 2" xfId="32332" xr:uid="{00000000-0005-0000-0000-00009A7F0000}"/>
    <cellStyle name="Standard 7 6 2 3" xfId="32333" xr:uid="{00000000-0005-0000-0000-00009B7F0000}"/>
    <cellStyle name="Standard 7 6 3" xfId="32334" xr:uid="{00000000-0005-0000-0000-00009C7F0000}"/>
    <cellStyle name="Standard 7 6 3 2" xfId="32335" xr:uid="{00000000-0005-0000-0000-00009D7F0000}"/>
    <cellStyle name="Standard 7 6 3 3" xfId="32336" xr:uid="{00000000-0005-0000-0000-00009E7F0000}"/>
    <cellStyle name="Standard 7 6 4" xfId="32337" xr:uid="{00000000-0005-0000-0000-00009F7F0000}"/>
    <cellStyle name="Standard 7 6 4 2" xfId="32338" xr:uid="{00000000-0005-0000-0000-0000A07F0000}"/>
    <cellStyle name="Standard 7 6 5" xfId="32339" xr:uid="{00000000-0005-0000-0000-0000A17F0000}"/>
    <cellStyle name="Standard 7 6 6" xfId="32340" xr:uid="{00000000-0005-0000-0000-0000A27F0000}"/>
    <cellStyle name="Standard 7 7" xfId="32341" xr:uid="{00000000-0005-0000-0000-0000A37F0000}"/>
    <cellStyle name="Standard 7 7 2" xfId="32342" xr:uid="{00000000-0005-0000-0000-0000A47F0000}"/>
    <cellStyle name="Standard 7 7 3" xfId="32343" xr:uid="{00000000-0005-0000-0000-0000A57F0000}"/>
    <cellStyle name="Standard 7 8" xfId="32344" xr:uid="{00000000-0005-0000-0000-0000A67F0000}"/>
    <cellStyle name="Standard 7 8 2" xfId="32345" xr:uid="{00000000-0005-0000-0000-0000A77F0000}"/>
    <cellStyle name="Standard 7 8 3" xfId="32346" xr:uid="{00000000-0005-0000-0000-0000A87F0000}"/>
    <cellStyle name="Standard 7 9" xfId="32347" xr:uid="{00000000-0005-0000-0000-0000A97F0000}"/>
    <cellStyle name="Standard 7 9 2" xfId="32348" xr:uid="{00000000-0005-0000-0000-0000AA7F0000}"/>
    <cellStyle name="Standard 70" xfId="676" xr:uid="{00000000-0005-0000-0000-0000AB7F0000}"/>
    <cellStyle name="Standard 70 2" xfId="677" xr:uid="{00000000-0005-0000-0000-0000AC7F0000}"/>
    <cellStyle name="Standard 71" xfId="678" xr:uid="{00000000-0005-0000-0000-0000AD7F0000}"/>
    <cellStyle name="Standard 71 2" xfId="679" xr:uid="{00000000-0005-0000-0000-0000AE7F0000}"/>
    <cellStyle name="Standard 72" xfId="680" xr:uid="{00000000-0005-0000-0000-0000AF7F0000}"/>
    <cellStyle name="Standard 72 2" xfId="681" xr:uid="{00000000-0005-0000-0000-0000B07F0000}"/>
    <cellStyle name="Standard 73" xfId="682" xr:uid="{00000000-0005-0000-0000-0000B17F0000}"/>
    <cellStyle name="Standard 73 2" xfId="683" xr:uid="{00000000-0005-0000-0000-0000B27F0000}"/>
    <cellStyle name="Standard 74" xfId="684" xr:uid="{00000000-0005-0000-0000-0000B37F0000}"/>
    <cellStyle name="Standard 74 2" xfId="685" xr:uid="{00000000-0005-0000-0000-0000B47F0000}"/>
    <cellStyle name="Standard 75" xfId="686" xr:uid="{00000000-0005-0000-0000-0000B57F0000}"/>
    <cellStyle name="Standard 75 2" xfId="687" xr:uid="{00000000-0005-0000-0000-0000B67F0000}"/>
    <cellStyle name="Standard 76" xfId="688" xr:uid="{00000000-0005-0000-0000-0000B77F0000}"/>
    <cellStyle name="Standard 76 2" xfId="689" xr:uid="{00000000-0005-0000-0000-0000B87F0000}"/>
    <cellStyle name="Standard 77" xfId="690" xr:uid="{00000000-0005-0000-0000-0000B97F0000}"/>
    <cellStyle name="Standard 77 2" xfId="691" xr:uid="{00000000-0005-0000-0000-0000BA7F0000}"/>
    <cellStyle name="Standard 78" xfId="692" xr:uid="{00000000-0005-0000-0000-0000BB7F0000}"/>
    <cellStyle name="Standard 78 2" xfId="693" xr:uid="{00000000-0005-0000-0000-0000BC7F0000}"/>
    <cellStyle name="Standard 79" xfId="694" xr:uid="{00000000-0005-0000-0000-0000BD7F0000}"/>
    <cellStyle name="Standard 79 2" xfId="695" xr:uid="{00000000-0005-0000-0000-0000BE7F0000}"/>
    <cellStyle name="Standard 8" xfId="696" xr:uid="{00000000-0005-0000-0000-0000BF7F0000}"/>
    <cellStyle name="Standard 8 10" xfId="32349" xr:uid="{00000000-0005-0000-0000-0000C07F0000}"/>
    <cellStyle name="Standard 8 11" xfId="32350" xr:uid="{00000000-0005-0000-0000-0000C17F0000}"/>
    <cellStyle name="Standard 8 12" xfId="32351" xr:uid="{00000000-0005-0000-0000-0000C27F0000}"/>
    <cellStyle name="Standard 8 13" xfId="32352" xr:uid="{00000000-0005-0000-0000-0000C37F0000}"/>
    <cellStyle name="Standard 8 2" xfId="697" xr:uid="{00000000-0005-0000-0000-0000C47F0000}"/>
    <cellStyle name="Standard 8 2 10" xfId="32353" xr:uid="{00000000-0005-0000-0000-0000C57F0000}"/>
    <cellStyle name="Standard 8 2 2" xfId="32354" xr:uid="{00000000-0005-0000-0000-0000C67F0000}"/>
    <cellStyle name="Standard 8 2 2 2" xfId="32355" xr:uid="{00000000-0005-0000-0000-0000C77F0000}"/>
    <cellStyle name="Standard 8 2 2 2 2" xfId="32356" xr:uid="{00000000-0005-0000-0000-0000C87F0000}"/>
    <cellStyle name="Standard 8 2 2 2 2 2" xfId="32357" xr:uid="{00000000-0005-0000-0000-0000C97F0000}"/>
    <cellStyle name="Standard 8 2 2 2 2 2 2" xfId="32358" xr:uid="{00000000-0005-0000-0000-0000CA7F0000}"/>
    <cellStyle name="Standard 8 2 2 2 2 2 3" xfId="32359" xr:uid="{00000000-0005-0000-0000-0000CB7F0000}"/>
    <cellStyle name="Standard 8 2 2 2 2 3" xfId="32360" xr:uid="{00000000-0005-0000-0000-0000CC7F0000}"/>
    <cellStyle name="Standard 8 2 2 2 2 3 2" xfId="32361" xr:uid="{00000000-0005-0000-0000-0000CD7F0000}"/>
    <cellStyle name="Standard 8 2 2 2 2 3 3" xfId="32362" xr:uid="{00000000-0005-0000-0000-0000CE7F0000}"/>
    <cellStyle name="Standard 8 2 2 2 2 4" xfId="32363" xr:uid="{00000000-0005-0000-0000-0000CF7F0000}"/>
    <cellStyle name="Standard 8 2 2 2 2 4 2" xfId="32364" xr:uid="{00000000-0005-0000-0000-0000D07F0000}"/>
    <cellStyle name="Standard 8 2 2 2 2 5" xfId="32365" xr:uid="{00000000-0005-0000-0000-0000D17F0000}"/>
    <cellStyle name="Standard 8 2 2 2 2 6" xfId="32366" xr:uid="{00000000-0005-0000-0000-0000D27F0000}"/>
    <cellStyle name="Standard 8 2 2 2 3" xfId="32367" xr:uid="{00000000-0005-0000-0000-0000D37F0000}"/>
    <cellStyle name="Standard 8 2 2 2 3 2" xfId="32368" xr:uid="{00000000-0005-0000-0000-0000D47F0000}"/>
    <cellStyle name="Standard 8 2 2 2 3 3" xfId="32369" xr:uid="{00000000-0005-0000-0000-0000D57F0000}"/>
    <cellStyle name="Standard 8 2 2 2 4" xfId="32370" xr:uid="{00000000-0005-0000-0000-0000D67F0000}"/>
    <cellStyle name="Standard 8 2 2 2 4 2" xfId="32371" xr:uid="{00000000-0005-0000-0000-0000D77F0000}"/>
    <cellStyle name="Standard 8 2 2 2 4 3" xfId="32372" xr:uid="{00000000-0005-0000-0000-0000D87F0000}"/>
    <cellStyle name="Standard 8 2 2 2 5" xfId="32373" xr:uid="{00000000-0005-0000-0000-0000D97F0000}"/>
    <cellStyle name="Standard 8 2 2 2 5 2" xfId="32374" xr:uid="{00000000-0005-0000-0000-0000DA7F0000}"/>
    <cellStyle name="Standard 8 2 2 2 6" xfId="32375" xr:uid="{00000000-0005-0000-0000-0000DB7F0000}"/>
    <cellStyle name="Standard 8 2 2 2 7" xfId="32376" xr:uid="{00000000-0005-0000-0000-0000DC7F0000}"/>
    <cellStyle name="Standard 8 2 2 3" xfId="32377" xr:uid="{00000000-0005-0000-0000-0000DD7F0000}"/>
    <cellStyle name="Standard 8 2 2 3 2" xfId="32378" xr:uid="{00000000-0005-0000-0000-0000DE7F0000}"/>
    <cellStyle name="Standard 8 2 2 3 2 2" xfId="32379" xr:uid="{00000000-0005-0000-0000-0000DF7F0000}"/>
    <cellStyle name="Standard 8 2 2 3 2 3" xfId="32380" xr:uid="{00000000-0005-0000-0000-0000E07F0000}"/>
    <cellStyle name="Standard 8 2 2 3 3" xfId="32381" xr:uid="{00000000-0005-0000-0000-0000E17F0000}"/>
    <cellStyle name="Standard 8 2 2 3 3 2" xfId="32382" xr:uid="{00000000-0005-0000-0000-0000E27F0000}"/>
    <cellStyle name="Standard 8 2 2 3 3 3" xfId="32383" xr:uid="{00000000-0005-0000-0000-0000E37F0000}"/>
    <cellStyle name="Standard 8 2 2 3 4" xfId="32384" xr:uid="{00000000-0005-0000-0000-0000E47F0000}"/>
    <cellStyle name="Standard 8 2 2 3 4 2" xfId="32385" xr:uid="{00000000-0005-0000-0000-0000E57F0000}"/>
    <cellStyle name="Standard 8 2 2 3 5" xfId="32386" xr:uid="{00000000-0005-0000-0000-0000E67F0000}"/>
    <cellStyle name="Standard 8 2 2 3 6" xfId="32387" xr:uid="{00000000-0005-0000-0000-0000E77F0000}"/>
    <cellStyle name="Standard 8 2 2 4" xfId="32388" xr:uid="{00000000-0005-0000-0000-0000E87F0000}"/>
    <cellStyle name="Standard 8 2 2 4 2" xfId="32389" xr:uid="{00000000-0005-0000-0000-0000E97F0000}"/>
    <cellStyle name="Standard 8 2 2 4 3" xfId="32390" xr:uid="{00000000-0005-0000-0000-0000EA7F0000}"/>
    <cellStyle name="Standard 8 2 2 5" xfId="32391" xr:uid="{00000000-0005-0000-0000-0000EB7F0000}"/>
    <cellStyle name="Standard 8 2 2 5 2" xfId="32392" xr:uid="{00000000-0005-0000-0000-0000EC7F0000}"/>
    <cellStyle name="Standard 8 2 2 5 3" xfId="32393" xr:uid="{00000000-0005-0000-0000-0000ED7F0000}"/>
    <cellStyle name="Standard 8 2 2 6" xfId="32394" xr:uid="{00000000-0005-0000-0000-0000EE7F0000}"/>
    <cellStyle name="Standard 8 2 2 6 2" xfId="32395" xr:uid="{00000000-0005-0000-0000-0000EF7F0000}"/>
    <cellStyle name="Standard 8 2 2 7" xfId="32396" xr:uid="{00000000-0005-0000-0000-0000F07F0000}"/>
    <cellStyle name="Standard 8 2 2 8" xfId="32397" xr:uid="{00000000-0005-0000-0000-0000F17F0000}"/>
    <cellStyle name="Standard 8 2 3" xfId="32398" xr:uid="{00000000-0005-0000-0000-0000F27F0000}"/>
    <cellStyle name="Standard 8 2 3 2" xfId="32399" xr:uid="{00000000-0005-0000-0000-0000F37F0000}"/>
    <cellStyle name="Standard 8 2 3 2 2" xfId="32400" xr:uid="{00000000-0005-0000-0000-0000F47F0000}"/>
    <cellStyle name="Standard 8 2 3 2 2 2" xfId="32401" xr:uid="{00000000-0005-0000-0000-0000F57F0000}"/>
    <cellStyle name="Standard 8 2 3 2 2 2 2" xfId="32402" xr:uid="{00000000-0005-0000-0000-0000F67F0000}"/>
    <cellStyle name="Standard 8 2 3 2 2 2 3" xfId="32403" xr:uid="{00000000-0005-0000-0000-0000F77F0000}"/>
    <cellStyle name="Standard 8 2 3 2 2 3" xfId="32404" xr:uid="{00000000-0005-0000-0000-0000F87F0000}"/>
    <cellStyle name="Standard 8 2 3 2 2 3 2" xfId="32405" xr:uid="{00000000-0005-0000-0000-0000F97F0000}"/>
    <cellStyle name="Standard 8 2 3 2 2 3 3" xfId="32406" xr:uid="{00000000-0005-0000-0000-0000FA7F0000}"/>
    <cellStyle name="Standard 8 2 3 2 2 4" xfId="32407" xr:uid="{00000000-0005-0000-0000-0000FB7F0000}"/>
    <cellStyle name="Standard 8 2 3 2 2 4 2" xfId="32408" xr:uid="{00000000-0005-0000-0000-0000FC7F0000}"/>
    <cellStyle name="Standard 8 2 3 2 2 5" xfId="32409" xr:uid="{00000000-0005-0000-0000-0000FD7F0000}"/>
    <cellStyle name="Standard 8 2 3 2 2 6" xfId="32410" xr:uid="{00000000-0005-0000-0000-0000FE7F0000}"/>
    <cellStyle name="Standard 8 2 3 2 3" xfId="32411" xr:uid="{00000000-0005-0000-0000-0000FF7F0000}"/>
    <cellStyle name="Standard 8 2 3 2 3 2" xfId="32412" xr:uid="{00000000-0005-0000-0000-000000800000}"/>
    <cellStyle name="Standard 8 2 3 2 3 3" xfId="32413" xr:uid="{00000000-0005-0000-0000-000001800000}"/>
    <cellStyle name="Standard 8 2 3 2 4" xfId="32414" xr:uid="{00000000-0005-0000-0000-000002800000}"/>
    <cellStyle name="Standard 8 2 3 2 4 2" xfId="32415" xr:uid="{00000000-0005-0000-0000-000003800000}"/>
    <cellStyle name="Standard 8 2 3 2 4 3" xfId="32416" xr:uid="{00000000-0005-0000-0000-000004800000}"/>
    <cellStyle name="Standard 8 2 3 2 5" xfId="32417" xr:uid="{00000000-0005-0000-0000-000005800000}"/>
    <cellStyle name="Standard 8 2 3 2 5 2" xfId="32418" xr:uid="{00000000-0005-0000-0000-000006800000}"/>
    <cellStyle name="Standard 8 2 3 2 6" xfId="32419" xr:uid="{00000000-0005-0000-0000-000007800000}"/>
    <cellStyle name="Standard 8 2 3 2 7" xfId="32420" xr:uid="{00000000-0005-0000-0000-000008800000}"/>
    <cellStyle name="Standard 8 2 3 3" xfId="32421" xr:uid="{00000000-0005-0000-0000-000009800000}"/>
    <cellStyle name="Standard 8 2 3 3 2" xfId="32422" xr:uid="{00000000-0005-0000-0000-00000A800000}"/>
    <cellStyle name="Standard 8 2 3 3 2 2" xfId="32423" xr:uid="{00000000-0005-0000-0000-00000B800000}"/>
    <cellStyle name="Standard 8 2 3 3 2 3" xfId="32424" xr:uid="{00000000-0005-0000-0000-00000C800000}"/>
    <cellStyle name="Standard 8 2 3 3 3" xfId="32425" xr:uid="{00000000-0005-0000-0000-00000D800000}"/>
    <cellStyle name="Standard 8 2 3 3 3 2" xfId="32426" xr:uid="{00000000-0005-0000-0000-00000E800000}"/>
    <cellStyle name="Standard 8 2 3 3 3 3" xfId="32427" xr:uid="{00000000-0005-0000-0000-00000F800000}"/>
    <cellStyle name="Standard 8 2 3 3 4" xfId="32428" xr:uid="{00000000-0005-0000-0000-000010800000}"/>
    <cellStyle name="Standard 8 2 3 3 4 2" xfId="32429" xr:uid="{00000000-0005-0000-0000-000011800000}"/>
    <cellStyle name="Standard 8 2 3 3 5" xfId="32430" xr:uid="{00000000-0005-0000-0000-000012800000}"/>
    <cellStyle name="Standard 8 2 3 3 6" xfId="32431" xr:uid="{00000000-0005-0000-0000-000013800000}"/>
    <cellStyle name="Standard 8 2 3 4" xfId="32432" xr:uid="{00000000-0005-0000-0000-000014800000}"/>
    <cellStyle name="Standard 8 2 3 4 2" xfId="32433" xr:uid="{00000000-0005-0000-0000-000015800000}"/>
    <cellStyle name="Standard 8 2 3 4 3" xfId="32434" xr:uid="{00000000-0005-0000-0000-000016800000}"/>
    <cellStyle name="Standard 8 2 3 5" xfId="32435" xr:uid="{00000000-0005-0000-0000-000017800000}"/>
    <cellStyle name="Standard 8 2 3 5 2" xfId="32436" xr:uid="{00000000-0005-0000-0000-000018800000}"/>
    <cellStyle name="Standard 8 2 3 5 3" xfId="32437" xr:uid="{00000000-0005-0000-0000-000019800000}"/>
    <cellStyle name="Standard 8 2 3 6" xfId="32438" xr:uid="{00000000-0005-0000-0000-00001A800000}"/>
    <cellStyle name="Standard 8 2 3 6 2" xfId="32439" xr:uid="{00000000-0005-0000-0000-00001B800000}"/>
    <cellStyle name="Standard 8 2 3 7" xfId="32440" xr:uid="{00000000-0005-0000-0000-00001C800000}"/>
    <cellStyle name="Standard 8 2 3 8" xfId="32441" xr:uid="{00000000-0005-0000-0000-00001D800000}"/>
    <cellStyle name="Standard 8 2 4" xfId="32442" xr:uid="{00000000-0005-0000-0000-00001E800000}"/>
    <cellStyle name="Standard 8 2 4 2" xfId="32443" xr:uid="{00000000-0005-0000-0000-00001F800000}"/>
    <cellStyle name="Standard 8 2 4 2 2" xfId="32444" xr:uid="{00000000-0005-0000-0000-000020800000}"/>
    <cellStyle name="Standard 8 2 4 2 2 2" xfId="32445" xr:uid="{00000000-0005-0000-0000-000021800000}"/>
    <cellStyle name="Standard 8 2 4 2 2 3" xfId="32446" xr:uid="{00000000-0005-0000-0000-000022800000}"/>
    <cellStyle name="Standard 8 2 4 2 3" xfId="32447" xr:uid="{00000000-0005-0000-0000-000023800000}"/>
    <cellStyle name="Standard 8 2 4 2 3 2" xfId="32448" xr:uid="{00000000-0005-0000-0000-000024800000}"/>
    <cellStyle name="Standard 8 2 4 2 3 3" xfId="32449" xr:uid="{00000000-0005-0000-0000-000025800000}"/>
    <cellStyle name="Standard 8 2 4 2 4" xfId="32450" xr:uid="{00000000-0005-0000-0000-000026800000}"/>
    <cellStyle name="Standard 8 2 4 2 4 2" xfId="32451" xr:uid="{00000000-0005-0000-0000-000027800000}"/>
    <cellStyle name="Standard 8 2 4 2 5" xfId="32452" xr:uid="{00000000-0005-0000-0000-000028800000}"/>
    <cellStyle name="Standard 8 2 4 2 6" xfId="32453" xr:uid="{00000000-0005-0000-0000-000029800000}"/>
    <cellStyle name="Standard 8 2 4 3" xfId="32454" xr:uid="{00000000-0005-0000-0000-00002A800000}"/>
    <cellStyle name="Standard 8 2 4 3 2" xfId="32455" xr:uid="{00000000-0005-0000-0000-00002B800000}"/>
    <cellStyle name="Standard 8 2 4 3 3" xfId="32456" xr:uid="{00000000-0005-0000-0000-00002C800000}"/>
    <cellStyle name="Standard 8 2 4 4" xfId="32457" xr:uid="{00000000-0005-0000-0000-00002D800000}"/>
    <cellStyle name="Standard 8 2 4 4 2" xfId="32458" xr:uid="{00000000-0005-0000-0000-00002E800000}"/>
    <cellStyle name="Standard 8 2 4 4 3" xfId="32459" xr:uid="{00000000-0005-0000-0000-00002F800000}"/>
    <cellStyle name="Standard 8 2 4 5" xfId="32460" xr:uid="{00000000-0005-0000-0000-000030800000}"/>
    <cellStyle name="Standard 8 2 4 5 2" xfId="32461" xr:uid="{00000000-0005-0000-0000-000031800000}"/>
    <cellStyle name="Standard 8 2 4 6" xfId="32462" xr:uid="{00000000-0005-0000-0000-000032800000}"/>
    <cellStyle name="Standard 8 2 4 7" xfId="32463" xr:uid="{00000000-0005-0000-0000-000033800000}"/>
    <cellStyle name="Standard 8 2 5" xfId="32464" xr:uid="{00000000-0005-0000-0000-000034800000}"/>
    <cellStyle name="Standard 8 2 5 2" xfId="32465" xr:uid="{00000000-0005-0000-0000-000035800000}"/>
    <cellStyle name="Standard 8 2 5 2 2" xfId="32466" xr:uid="{00000000-0005-0000-0000-000036800000}"/>
    <cellStyle name="Standard 8 2 5 2 3" xfId="32467" xr:uid="{00000000-0005-0000-0000-000037800000}"/>
    <cellStyle name="Standard 8 2 5 3" xfId="32468" xr:uid="{00000000-0005-0000-0000-000038800000}"/>
    <cellStyle name="Standard 8 2 5 3 2" xfId="32469" xr:uid="{00000000-0005-0000-0000-000039800000}"/>
    <cellStyle name="Standard 8 2 5 3 3" xfId="32470" xr:uid="{00000000-0005-0000-0000-00003A800000}"/>
    <cellStyle name="Standard 8 2 5 4" xfId="32471" xr:uid="{00000000-0005-0000-0000-00003B800000}"/>
    <cellStyle name="Standard 8 2 5 4 2" xfId="32472" xr:uid="{00000000-0005-0000-0000-00003C800000}"/>
    <cellStyle name="Standard 8 2 5 5" xfId="32473" xr:uid="{00000000-0005-0000-0000-00003D800000}"/>
    <cellStyle name="Standard 8 2 5 6" xfId="32474" xr:uid="{00000000-0005-0000-0000-00003E800000}"/>
    <cellStyle name="Standard 8 2 6" xfId="32475" xr:uid="{00000000-0005-0000-0000-00003F800000}"/>
    <cellStyle name="Standard 8 2 6 2" xfId="32476" xr:uid="{00000000-0005-0000-0000-000040800000}"/>
    <cellStyle name="Standard 8 2 6 3" xfId="32477" xr:uid="{00000000-0005-0000-0000-000041800000}"/>
    <cellStyle name="Standard 8 2 7" xfId="32478" xr:uid="{00000000-0005-0000-0000-000042800000}"/>
    <cellStyle name="Standard 8 2 7 2" xfId="32479" xr:uid="{00000000-0005-0000-0000-000043800000}"/>
    <cellStyle name="Standard 8 2 7 3" xfId="32480" xr:uid="{00000000-0005-0000-0000-000044800000}"/>
    <cellStyle name="Standard 8 2 8" xfId="32481" xr:uid="{00000000-0005-0000-0000-000045800000}"/>
    <cellStyle name="Standard 8 2 8 2" xfId="32482" xr:uid="{00000000-0005-0000-0000-000046800000}"/>
    <cellStyle name="Standard 8 2 9" xfId="32483" xr:uid="{00000000-0005-0000-0000-000047800000}"/>
    <cellStyle name="Standard 8 3" xfId="32484" xr:uid="{00000000-0005-0000-0000-000048800000}"/>
    <cellStyle name="Standard 8 3 2" xfId="32485" xr:uid="{00000000-0005-0000-0000-000049800000}"/>
    <cellStyle name="Standard 8 3 2 2" xfId="32486" xr:uid="{00000000-0005-0000-0000-00004A800000}"/>
    <cellStyle name="Standard 8 3 2 2 2" xfId="32487" xr:uid="{00000000-0005-0000-0000-00004B800000}"/>
    <cellStyle name="Standard 8 3 2 2 2 2" xfId="32488" xr:uid="{00000000-0005-0000-0000-00004C800000}"/>
    <cellStyle name="Standard 8 3 2 2 2 3" xfId="32489" xr:uid="{00000000-0005-0000-0000-00004D800000}"/>
    <cellStyle name="Standard 8 3 2 2 3" xfId="32490" xr:uid="{00000000-0005-0000-0000-00004E800000}"/>
    <cellStyle name="Standard 8 3 2 2 3 2" xfId="32491" xr:uid="{00000000-0005-0000-0000-00004F800000}"/>
    <cellStyle name="Standard 8 3 2 2 3 3" xfId="32492" xr:uid="{00000000-0005-0000-0000-000050800000}"/>
    <cellStyle name="Standard 8 3 2 2 4" xfId="32493" xr:uid="{00000000-0005-0000-0000-000051800000}"/>
    <cellStyle name="Standard 8 3 2 2 4 2" xfId="32494" xr:uid="{00000000-0005-0000-0000-000052800000}"/>
    <cellStyle name="Standard 8 3 2 2 5" xfId="32495" xr:uid="{00000000-0005-0000-0000-000053800000}"/>
    <cellStyle name="Standard 8 3 2 2 6" xfId="32496" xr:uid="{00000000-0005-0000-0000-000054800000}"/>
    <cellStyle name="Standard 8 3 2 3" xfId="32497" xr:uid="{00000000-0005-0000-0000-000055800000}"/>
    <cellStyle name="Standard 8 3 2 3 2" xfId="32498" xr:uid="{00000000-0005-0000-0000-000056800000}"/>
    <cellStyle name="Standard 8 3 2 3 3" xfId="32499" xr:uid="{00000000-0005-0000-0000-000057800000}"/>
    <cellStyle name="Standard 8 3 2 4" xfId="32500" xr:uid="{00000000-0005-0000-0000-000058800000}"/>
    <cellStyle name="Standard 8 3 2 4 2" xfId="32501" xr:uid="{00000000-0005-0000-0000-000059800000}"/>
    <cellStyle name="Standard 8 3 2 4 3" xfId="32502" xr:uid="{00000000-0005-0000-0000-00005A800000}"/>
    <cellStyle name="Standard 8 3 2 5" xfId="32503" xr:uid="{00000000-0005-0000-0000-00005B800000}"/>
    <cellStyle name="Standard 8 3 2 5 2" xfId="32504" xr:uid="{00000000-0005-0000-0000-00005C800000}"/>
    <cellStyle name="Standard 8 3 2 6" xfId="32505" xr:uid="{00000000-0005-0000-0000-00005D800000}"/>
    <cellStyle name="Standard 8 3 2 7" xfId="32506" xr:uid="{00000000-0005-0000-0000-00005E800000}"/>
    <cellStyle name="Standard 8 3 3" xfId="32507" xr:uid="{00000000-0005-0000-0000-00005F800000}"/>
    <cellStyle name="Standard 8 3 3 2" xfId="32508" xr:uid="{00000000-0005-0000-0000-000060800000}"/>
    <cellStyle name="Standard 8 3 3 2 2" xfId="32509" xr:uid="{00000000-0005-0000-0000-000061800000}"/>
    <cellStyle name="Standard 8 3 3 2 3" xfId="32510" xr:uid="{00000000-0005-0000-0000-000062800000}"/>
    <cellStyle name="Standard 8 3 3 3" xfId="32511" xr:uid="{00000000-0005-0000-0000-000063800000}"/>
    <cellStyle name="Standard 8 3 3 3 2" xfId="32512" xr:uid="{00000000-0005-0000-0000-000064800000}"/>
    <cellStyle name="Standard 8 3 3 3 3" xfId="32513" xr:uid="{00000000-0005-0000-0000-000065800000}"/>
    <cellStyle name="Standard 8 3 3 4" xfId="32514" xr:uid="{00000000-0005-0000-0000-000066800000}"/>
    <cellStyle name="Standard 8 3 3 4 2" xfId="32515" xr:uid="{00000000-0005-0000-0000-000067800000}"/>
    <cellStyle name="Standard 8 3 3 5" xfId="32516" xr:uid="{00000000-0005-0000-0000-000068800000}"/>
    <cellStyle name="Standard 8 3 3 6" xfId="32517" xr:uid="{00000000-0005-0000-0000-000069800000}"/>
    <cellStyle name="Standard 8 3 4" xfId="32518" xr:uid="{00000000-0005-0000-0000-00006A800000}"/>
    <cellStyle name="Standard 8 3 4 2" xfId="32519" xr:uid="{00000000-0005-0000-0000-00006B800000}"/>
    <cellStyle name="Standard 8 3 4 3" xfId="32520" xr:uid="{00000000-0005-0000-0000-00006C800000}"/>
    <cellStyle name="Standard 8 3 5" xfId="32521" xr:uid="{00000000-0005-0000-0000-00006D800000}"/>
    <cellStyle name="Standard 8 3 5 2" xfId="32522" xr:uid="{00000000-0005-0000-0000-00006E800000}"/>
    <cellStyle name="Standard 8 3 5 3" xfId="32523" xr:uid="{00000000-0005-0000-0000-00006F800000}"/>
    <cellStyle name="Standard 8 3 6" xfId="32524" xr:uid="{00000000-0005-0000-0000-000070800000}"/>
    <cellStyle name="Standard 8 3 6 2" xfId="32525" xr:uid="{00000000-0005-0000-0000-000071800000}"/>
    <cellStyle name="Standard 8 3 7" xfId="32526" xr:uid="{00000000-0005-0000-0000-000072800000}"/>
    <cellStyle name="Standard 8 3 8" xfId="32527" xr:uid="{00000000-0005-0000-0000-000073800000}"/>
    <cellStyle name="Standard 8 4" xfId="32528" xr:uid="{00000000-0005-0000-0000-000074800000}"/>
    <cellStyle name="Standard 8 4 2" xfId="32529" xr:uid="{00000000-0005-0000-0000-000075800000}"/>
    <cellStyle name="Standard 8 4 2 2" xfId="32530" xr:uid="{00000000-0005-0000-0000-000076800000}"/>
    <cellStyle name="Standard 8 4 2 2 2" xfId="32531" xr:uid="{00000000-0005-0000-0000-000077800000}"/>
    <cellStyle name="Standard 8 4 2 2 2 2" xfId="32532" xr:uid="{00000000-0005-0000-0000-000078800000}"/>
    <cellStyle name="Standard 8 4 2 2 2 3" xfId="32533" xr:uid="{00000000-0005-0000-0000-000079800000}"/>
    <cellStyle name="Standard 8 4 2 2 3" xfId="32534" xr:uid="{00000000-0005-0000-0000-00007A800000}"/>
    <cellStyle name="Standard 8 4 2 2 3 2" xfId="32535" xr:uid="{00000000-0005-0000-0000-00007B800000}"/>
    <cellStyle name="Standard 8 4 2 2 3 3" xfId="32536" xr:uid="{00000000-0005-0000-0000-00007C800000}"/>
    <cellStyle name="Standard 8 4 2 2 4" xfId="32537" xr:uid="{00000000-0005-0000-0000-00007D800000}"/>
    <cellStyle name="Standard 8 4 2 2 4 2" xfId="32538" xr:uid="{00000000-0005-0000-0000-00007E800000}"/>
    <cellStyle name="Standard 8 4 2 2 5" xfId="32539" xr:uid="{00000000-0005-0000-0000-00007F800000}"/>
    <cellStyle name="Standard 8 4 2 2 6" xfId="32540" xr:uid="{00000000-0005-0000-0000-000080800000}"/>
    <cellStyle name="Standard 8 4 2 3" xfId="32541" xr:uid="{00000000-0005-0000-0000-000081800000}"/>
    <cellStyle name="Standard 8 4 2 3 2" xfId="32542" xr:uid="{00000000-0005-0000-0000-000082800000}"/>
    <cellStyle name="Standard 8 4 2 3 3" xfId="32543" xr:uid="{00000000-0005-0000-0000-000083800000}"/>
    <cellStyle name="Standard 8 4 2 4" xfId="32544" xr:uid="{00000000-0005-0000-0000-000084800000}"/>
    <cellStyle name="Standard 8 4 2 4 2" xfId="32545" xr:uid="{00000000-0005-0000-0000-000085800000}"/>
    <cellStyle name="Standard 8 4 2 4 3" xfId="32546" xr:uid="{00000000-0005-0000-0000-000086800000}"/>
    <cellStyle name="Standard 8 4 2 5" xfId="32547" xr:uid="{00000000-0005-0000-0000-000087800000}"/>
    <cellStyle name="Standard 8 4 2 5 2" xfId="32548" xr:uid="{00000000-0005-0000-0000-000088800000}"/>
    <cellStyle name="Standard 8 4 2 6" xfId="32549" xr:uid="{00000000-0005-0000-0000-000089800000}"/>
    <cellStyle name="Standard 8 4 2 7" xfId="32550" xr:uid="{00000000-0005-0000-0000-00008A800000}"/>
    <cellStyle name="Standard 8 4 3" xfId="32551" xr:uid="{00000000-0005-0000-0000-00008B800000}"/>
    <cellStyle name="Standard 8 4 3 2" xfId="32552" xr:uid="{00000000-0005-0000-0000-00008C800000}"/>
    <cellStyle name="Standard 8 4 3 2 2" xfId="32553" xr:uid="{00000000-0005-0000-0000-00008D800000}"/>
    <cellStyle name="Standard 8 4 3 2 3" xfId="32554" xr:uid="{00000000-0005-0000-0000-00008E800000}"/>
    <cellStyle name="Standard 8 4 3 3" xfId="32555" xr:uid="{00000000-0005-0000-0000-00008F800000}"/>
    <cellStyle name="Standard 8 4 3 3 2" xfId="32556" xr:uid="{00000000-0005-0000-0000-000090800000}"/>
    <cellStyle name="Standard 8 4 3 3 3" xfId="32557" xr:uid="{00000000-0005-0000-0000-000091800000}"/>
    <cellStyle name="Standard 8 4 3 4" xfId="32558" xr:uid="{00000000-0005-0000-0000-000092800000}"/>
    <cellStyle name="Standard 8 4 3 4 2" xfId="32559" xr:uid="{00000000-0005-0000-0000-000093800000}"/>
    <cellStyle name="Standard 8 4 3 5" xfId="32560" xr:uid="{00000000-0005-0000-0000-000094800000}"/>
    <cellStyle name="Standard 8 4 3 6" xfId="32561" xr:uid="{00000000-0005-0000-0000-000095800000}"/>
    <cellStyle name="Standard 8 4 4" xfId="32562" xr:uid="{00000000-0005-0000-0000-000096800000}"/>
    <cellStyle name="Standard 8 4 4 2" xfId="32563" xr:uid="{00000000-0005-0000-0000-000097800000}"/>
    <cellStyle name="Standard 8 4 4 3" xfId="32564" xr:uid="{00000000-0005-0000-0000-000098800000}"/>
    <cellStyle name="Standard 8 4 5" xfId="32565" xr:uid="{00000000-0005-0000-0000-000099800000}"/>
    <cellStyle name="Standard 8 4 5 2" xfId="32566" xr:uid="{00000000-0005-0000-0000-00009A800000}"/>
    <cellStyle name="Standard 8 4 5 3" xfId="32567" xr:uid="{00000000-0005-0000-0000-00009B800000}"/>
    <cellStyle name="Standard 8 4 6" xfId="32568" xr:uid="{00000000-0005-0000-0000-00009C800000}"/>
    <cellStyle name="Standard 8 4 6 2" xfId="32569" xr:uid="{00000000-0005-0000-0000-00009D800000}"/>
    <cellStyle name="Standard 8 4 7" xfId="32570" xr:uid="{00000000-0005-0000-0000-00009E800000}"/>
    <cellStyle name="Standard 8 4 8" xfId="32571" xr:uid="{00000000-0005-0000-0000-00009F800000}"/>
    <cellStyle name="Standard 8 5" xfId="32572" xr:uid="{00000000-0005-0000-0000-0000A0800000}"/>
    <cellStyle name="Standard 8 5 2" xfId="32573" xr:uid="{00000000-0005-0000-0000-0000A1800000}"/>
    <cellStyle name="Standard 8 5 2 2" xfId="32574" xr:uid="{00000000-0005-0000-0000-0000A2800000}"/>
    <cellStyle name="Standard 8 5 2 2 2" xfId="32575" xr:uid="{00000000-0005-0000-0000-0000A3800000}"/>
    <cellStyle name="Standard 8 5 2 2 3" xfId="32576" xr:uid="{00000000-0005-0000-0000-0000A4800000}"/>
    <cellStyle name="Standard 8 5 2 3" xfId="32577" xr:uid="{00000000-0005-0000-0000-0000A5800000}"/>
    <cellStyle name="Standard 8 5 2 3 2" xfId="32578" xr:uid="{00000000-0005-0000-0000-0000A6800000}"/>
    <cellStyle name="Standard 8 5 2 3 3" xfId="32579" xr:uid="{00000000-0005-0000-0000-0000A7800000}"/>
    <cellStyle name="Standard 8 5 2 4" xfId="32580" xr:uid="{00000000-0005-0000-0000-0000A8800000}"/>
    <cellStyle name="Standard 8 5 2 4 2" xfId="32581" xr:uid="{00000000-0005-0000-0000-0000A9800000}"/>
    <cellStyle name="Standard 8 5 2 5" xfId="32582" xr:uid="{00000000-0005-0000-0000-0000AA800000}"/>
    <cellStyle name="Standard 8 5 2 6" xfId="32583" xr:uid="{00000000-0005-0000-0000-0000AB800000}"/>
    <cellStyle name="Standard 8 5 3" xfId="32584" xr:uid="{00000000-0005-0000-0000-0000AC800000}"/>
    <cellStyle name="Standard 8 5 3 2" xfId="32585" xr:uid="{00000000-0005-0000-0000-0000AD800000}"/>
    <cellStyle name="Standard 8 5 3 3" xfId="32586" xr:uid="{00000000-0005-0000-0000-0000AE800000}"/>
    <cellStyle name="Standard 8 5 4" xfId="32587" xr:uid="{00000000-0005-0000-0000-0000AF800000}"/>
    <cellStyle name="Standard 8 5 4 2" xfId="32588" xr:uid="{00000000-0005-0000-0000-0000B0800000}"/>
    <cellStyle name="Standard 8 5 4 3" xfId="32589" xr:uid="{00000000-0005-0000-0000-0000B1800000}"/>
    <cellStyle name="Standard 8 5 5" xfId="32590" xr:uid="{00000000-0005-0000-0000-0000B2800000}"/>
    <cellStyle name="Standard 8 5 5 2" xfId="32591" xr:uid="{00000000-0005-0000-0000-0000B3800000}"/>
    <cellStyle name="Standard 8 5 6" xfId="32592" xr:uid="{00000000-0005-0000-0000-0000B4800000}"/>
    <cellStyle name="Standard 8 5 7" xfId="32593" xr:uid="{00000000-0005-0000-0000-0000B5800000}"/>
    <cellStyle name="Standard 8 6" xfId="32594" xr:uid="{00000000-0005-0000-0000-0000B6800000}"/>
    <cellStyle name="Standard 8 6 2" xfId="32595" xr:uid="{00000000-0005-0000-0000-0000B7800000}"/>
    <cellStyle name="Standard 8 6 2 2" xfId="32596" xr:uid="{00000000-0005-0000-0000-0000B8800000}"/>
    <cellStyle name="Standard 8 6 2 3" xfId="32597" xr:uid="{00000000-0005-0000-0000-0000B9800000}"/>
    <cellStyle name="Standard 8 6 3" xfId="32598" xr:uid="{00000000-0005-0000-0000-0000BA800000}"/>
    <cellStyle name="Standard 8 6 3 2" xfId="32599" xr:uid="{00000000-0005-0000-0000-0000BB800000}"/>
    <cellStyle name="Standard 8 6 3 3" xfId="32600" xr:uid="{00000000-0005-0000-0000-0000BC800000}"/>
    <cellStyle name="Standard 8 6 4" xfId="32601" xr:uid="{00000000-0005-0000-0000-0000BD800000}"/>
    <cellStyle name="Standard 8 6 4 2" xfId="32602" xr:uid="{00000000-0005-0000-0000-0000BE800000}"/>
    <cellStyle name="Standard 8 6 5" xfId="32603" xr:uid="{00000000-0005-0000-0000-0000BF800000}"/>
    <cellStyle name="Standard 8 6 6" xfId="32604" xr:uid="{00000000-0005-0000-0000-0000C0800000}"/>
    <cellStyle name="Standard 8 7" xfId="32605" xr:uid="{00000000-0005-0000-0000-0000C1800000}"/>
    <cellStyle name="Standard 8 7 2" xfId="32606" xr:uid="{00000000-0005-0000-0000-0000C2800000}"/>
    <cellStyle name="Standard 8 7 3" xfId="32607" xr:uid="{00000000-0005-0000-0000-0000C3800000}"/>
    <cellStyle name="Standard 8 8" xfId="32608" xr:uid="{00000000-0005-0000-0000-0000C4800000}"/>
    <cellStyle name="Standard 8 8 2" xfId="32609" xr:uid="{00000000-0005-0000-0000-0000C5800000}"/>
    <cellStyle name="Standard 8 8 3" xfId="32610" xr:uid="{00000000-0005-0000-0000-0000C6800000}"/>
    <cellStyle name="Standard 8 9" xfId="32611" xr:uid="{00000000-0005-0000-0000-0000C7800000}"/>
    <cellStyle name="Standard 8 9 2" xfId="32612" xr:uid="{00000000-0005-0000-0000-0000C8800000}"/>
    <cellStyle name="Standard 80" xfId="698" xr:uid="{00000000-0005-0000-0000-0000C9800000}"/>
    <cellStyle name="Standard 80 2" xfId="699" xr:uid="{00000000-0005-0000-0000-0000CA800000}"/>
    <cellStyle name="Standard 81" xfId="700" xr:uid="{00000000-0005-0000-0000-0000CB800000}"/>
    <cellStyle name="Standard 81 2" xfId="701" xr:uid="{00000000-0005-0000-0000-0000CC800000}"/>
    <cellStyle name="Standard 82" xfId="702" xr:uid="{00000000-0005-0000-0000-0000CD800000}"/>
    <cellStyle name="Standard 82 2" xfId="703" xr:uid="{00000000-0005-0000-0000-0000CE800000}"/>
    <cellStyle name="Standard 83" xfId="704" xr:uid="{00000000-0005-0000-0000-0000CF800000}"/>
    <cellStyle name="Standard 83 2" xfId="705" xr:uid="{00000000-0005-0000-0000-0000D0800000}"/>
    <cellStyle name="Standard 84" xfId="706" xr:uid="{00000000-0005-0000-0000-0000D1800000}"/>
    <cellStyle name="Standard 84 2" xfId="707" xr:uid="{00000000-0005-0000-0000-0000D2800000}"/>
    <cellStyle name="Standard 85" xfId="708" xr:uid="{00000000-0005-0000-0000-0000D3800000}"/>
    <cellStyle name="Standard 85 2" xfId="709" xr:uid="{00000000-0005-0000-0000-0000D4800000}"/>
    <cellStyle name="Standard 86" xfId="710" xr:uid="{00000000-0005-0000-0000-0000D5800000}"/>
    <cellStyle name="Standard 87" xfId="711" xr:uid="{00000000-0005-0000-0000-0000D6800000}"/>
    <cellStyle name="Standard 88" xfId="712" xr:uid="{00000000-0005-0000-0000-0000D7800000}"/>
    <cellStyle name="Standard 89" xfId="713" xr:uid="{00000000-0005-0000-0000-0000D8800000}"/>
    <cellStyle name="Standard 9" xfId="714" xr:uid="{00000000-0005-0000-0000-0000D9800000}"/>
    <cellStyle name="Standard 9 10" xfId="32613" xr:uid="{00000000-0005-0000-0000-0000DA800000}"/>
    <cellStyle name="Standard 9 11" xfId="32614" xr:uid="{00000000-0005-0000-0000-0000DB800000}"/>
    <cellStyle name="Standard 9 12" xfId="32615" xr:uid="{00000000-0005-0000-0000-0000DC800000}"/>
    <cellStyle name="Standard 9 13" xfId="33120" xr:uid="{00000000-0005-0000-0000-0000DD800000}"/>
    <cellStyle name="Standard 9 14" xfId="33195" xr:uid="{00000000-0005-0000-0000-0000DE800000}"/>
    <cellStyle name="Standard 9 15" xfId="33270" xr:uid="{00000000-0005-0000-0000-0000DF800000}"/>
    <cellStyle name="Standard 9 16" xfId="33345" xr:uid="{00000000-0005-0000-0000-0000E0800000}"/>
    <cellStyle name="Standard 9 17" xfId="33500" xr:uid="{00000000-0005-0000-0000-0000E1800000}"/>
    <cellStyle name="Standard 9 2" xfId="715" xr:uid="{00000000-0005-0000-0000-0000E2800000}"/>
    <cellStyle name="Standard 9 2 10" xfId="32616" xr:uid="{00000000-0005-0000-0000-0000E3800000}"/>
    <cellStyle name="Standard 9 2 11" xfId="33121" xr:uid="{00000000-0005-0000-0000-0000E4800000}"/>
    <cellStyle name="Standard 9 2 12" xfId="33196" xr:uid="{00000000-0005-0000-0000-0000E5800000}"/>
    <cellStyle name="Standard 9 2 13" xfId="33271" xr:uid="{00000000-0005-0000-0000-0000E6800000}"/>
    <cellStyle name="Standard 9 2 14" xfId="33346" xr:uid="{00000000-0005-0000-0000-0000E7800000}"/>
    <cellStyle name="Standard 9 2 15" xfId="33501" xr:uid="{00000000-0005-0000-0000-0000E8800000}"/>
    <cellStyle name="Standard 9 2 2" xfId="32617" xr:uid="{00000000-0005-0000-0000-0000E9800000}"/>
    <cellStyle name="Standard 9 2 2 2" xfId="32618" xr:uid="{00000000-0005-0000-0000-0000EA800000}"/>
    <cellStyle name="Standard 9 2 2 2 2" xfId="32619" xr:uid="{00000000-0005-0000-0000-0000EB800000}"/>
    <cellStyle name="Standard 9 2 2 2 2 2" xfId="32620" xr:uid="{00000000-0005-0000-0000-0000EC800000}"/>
    <cellStyle name="Standard 9 2 2 2 2 2 2" xfId="32621" xr:uid="{00000000-0005-0000-0000-0000ED800000}"/>
    <cellStyle name="Standard 9 2 2 2 2 2 3" xfId="32622" xr:uid="{00000000-0005-0000-0000-0000EE800000}"/>
    <cellStyle name="Standard 9 2 2 2 2 3" xfId="32623" xr:uid="{00000000-0005-0000-0000-0000EF800000}"/>
    <cellStyle name="Standard 9 2 2 2 2 3 2" xfId="32624" xr:uid="{00000000-0005-0000-0000-0000F0800000}"/>
    <cellStyle name="Standard 9 2 2 2 2 3 3" xfId="32625" xr:uid="{00000000-0005-0000-0000-0000F1800000}"/>
    <cellStyle name="Standard 9 2 2 2 2 4" xfId="32626" xr:uid="{00000000-0005-0000-0000-0000F2800000}"/>
    <cellStyle name="Standard 9 2 2 2 2 4 2" xfId="32627" xr:uid="{00000000-0005-0000-0000-0000F3800000}"/>
    <cellStyle name="Standard 9 2 2 2 2 5" xfId="32628" xr:uid="{00000000-0005-0000-0000-0000F4800000}"/>
    <cellStyle name="Standard 9 2 2 2 2 6" xfId="32629" xr:uid="{00000000-0005-0000-0000-0000F5800000}"/>
    <cellStyle name="Standard 9 2 2 2 3" xfId="32630" xr:uid="{00000000-0005-0000-0000-0000F6800000}"/>
    <cellStyle name="Standard 9 2 2 2 3 2" xfId="32631" xr:uid="{00000000-0005-0000-0000-0000F7800000}"/>
    <cellStyle name="Standard 9 2 2 2 3 3" xfId="32632" xr:uid="{00000000-0005-0000-0000-0000F8800000}"/>
    <cellStyle name="Standard 9 2 2 2 4" xfId="32633" xr:uid="{00000000-0005-0000-0000-0000F9800000}"/>
    <cellStyle name="Standard 9 2 2 2 4 2" xfId="32634" xr:uid="{00000000-0005-0000-0000-0000FA800000}"/>
    <cellStyle name="Standard 9 2 2 2 4 3" xfId="32635" xr:uid="{00000000-0005-0000-0000-0000FB800000}"/>
    <cellStyle name="Standard 9 2 2 2 5" xfId="32636" xr:uid="{00000000-0005-0000-0000-0000FC800000}"/>
    <cellStyle name="Standard 9 2 2 2 5 2" xfId="32637" xr:uid="{00000000-0005-0000-0000-0000FD800000}"/>
    <cellStyle name="Standard 9 2 2 2 6" xfId="32638" xr:uid="{00000000-0005-0000-0000-0000FE800000}"/>
    <cellStyle name="Standard 9 2 2 2 7" xfId="32639" xr:uid="{00000000-0005-0000-0000-0000FF800000}"/>
    <cellStyle name="Standard 9 2 2 3" xfId="32640" xr:uid="{00000000-0005-0000-0000-000000810000}"/>
    <cellStyle name="Standard 9 2 2 3 2" xfId="32641" xr:uid="{00000000-0005-0000-0000-000001810000}"/>
    <cellStyle name="Standard 9 2 2 3 2 2" xfId="32642" xr:uid="{00000000-0005-0000-0000-000002810000}"/>
    <cellStyle name="Standard 9 2 2 3 2 3" xfId="32643" xr:uid="{00000000-0005-0000-0000-000003810000}"/>
    <cellStyle name="Standard 9 2 2 3 3" xfId="32644" xr:uid="{00000000-0005-0000-0000-000004810000}"/>
    <cellStyle name="Standard 9 2 2 3 3 2" xfId="32645" xr:uid="{00000000-0005-0000-0000-000005810000}"/>
    <cellStyle name="Standard 9 2 2 3 3 3" xfId="32646" xr:uid="{00000000-0005-0000-0000-000006810000}"/>
    <cellStyle name="Standard 9 2 2 3 4" xfId="32647" xr:uid="{00000000-0005-0000-0000-000007810000}"/>
    <cellStyle name="Standard 9 2 2 3 4 2" xfId="32648" xr:uid="{00000000-0005-0000-0000-000008810000}"/>
    <cellStyle name="Standard 9 2 2 3 5" xfId="32649" xr:uid="{00000000-0005-0000-0000-000009810000}"/>
    <cellStyle name="Standard 9 2 2 3 6" xfId="32650" xr:uid="{00000000-0005-0000-0000-00000A810000}"/>
    <cellStyle name="Standard 9 2 2 4" xfId="32651" xr:uid="{00000000-0005-0000-0000-00000B810000}"/>
    <cellStyle name="Standard 9 2 2 4 2" xfId="32652" xr:uid="{00000000-0005-0000-0000-00000C810000}"/>
    <cellStyle name="Standard 9 2 2 4 3" xfId="32653" xr:uid="{00000000-0005-0000-0000-00000D810000}"/>
    <cellStyle name="Standard 9 2 2 5" xfId="32654" xr:uid="{00000000-0005-0000-0000-00000E810000}"/>
    <cellStyle name="Standard 9 2 2 5 2" xfId="32655" xr:uid="{00000000-0005-0000-0000-00000F810000}"/>
    <cellStyle name="Standard 9 2 2 5 3" xfId="32656" xr:uid="{00000000-0005-0000-0000-000010810000}"/>
    <cellStyle name="Standard 9 2 2 6" xfId="32657" xr:uid="{00000000-0005-0000-0000-000011810000}"/>
    <cellStyle name="Standard 9 2 2 6 2" xfId="32658" xr:uid="{00000000-0005-0000-0000-000012810000}"/>
    <cellStyle name="Standard 9 2 2 7" xfId="32659" xr:uid="{00000000-0005-0000-0000-000013810000}"/>
    <cellStyle name="Standard 9 2 2 8" xfId="32660" xr:uid="{00000000-0005-0000-0000-000014810000}"/>
    <cellStyle name="Standard 9 2 2 9" xfId="33502" xr:uid="{00000000-0005-0000-0000-000015810000}"/>
    <cellStyle name="Standard 9 2 3" xfId="32661" xr:uid="{00000000-0005-0000-0000-000016810000}"/>
    <cellStyle name="Standard 9 2 3 2" xfId="32662" xr:uid="{00000000-0005-0000-0000-000017810000}"/>
    <cellStyle name="Standard 9 2 3 2 2" xfId="32663" xr:uid="{00000000-0005-0000-0000-000018810000}"/>
    <cellStyle name="Standard 9 2 3 2 2 2" xfId="32664" xr:uid="{00000000-0005-0000-0000-000019810000}"/>
    <cellStyle name="Standard 9 2 3 2 2 2 2" xfId="32665" xr:uid="{00000000-0005-0000-0000-00001A810000}"/>
    <cellStyle name="Standard 9 2 3 2 2 2 3" xfId="32666" xr:uid="{00000000-0005-0000-0000-00001B810000}"/>
    <cellStyle name="Standard 9 2 3 2 2 3" xfId="32667" xr:uid="{00000000-0005-0000-0000-00001C810000}"/>
    <cellStyle name="Standard 9 2 3 2 2 3 2" xfId="32668" xr:uid="{00000000-0005-0000-0000-00001D810000}"/>
    <cellStyle name="Standard 9 2 3 2 2 3 3" xfId="32669" xr:uid="{00000000-0005-0000-0000-00001E810000}"/>
    <cellStyle name="Standard 9 2 3 2 2 4" xfId="32670" xr:uid="{00000000-0005-0000-0000-00001F810000}"/>
    <cellStyle name="Standard 9 2 3 2 2 4 2" xfId="32671" xr:uid="{00000000-0005-0000-0000-000020810000}"/>
    <cellStyle name="Standard 9 2 3 2 2 5" xfId="32672" xr:uid="{00000000-0005-0000-0000-000021810000}"/>
    <cellStyle name="Standard 9 2 3 2 2 6" xfId="32673" xr:uid="{00000000-0005-0000-0000-000022810000}"/>
    <cellStyle name="Standard 9 2 3 2 3" xfId="32674" xr:uid="{00000000-0005-0000-0000-000023810000}"/>
    <cellStyle name="Standard 9 2 3 2 3 2" xfId="32675" xr:uid="{00000000-0005-0000-0000-000024810000}"/>
    <cellStyle name="Standard 9 2 3 2 3 3" xfId="32676" xr:uid="{00000000-0005-0000-0000-000025810000}"/>
    <cellStyle name="Standard 9 2 3 2 4" xfId="32677" xr:uid="{00000000-0005-0000-0000-000026810000}"/>
    <cellStyle name="Standard 9 2 3 2 4 2" xfId="32678" xr:uid="{00000000-0005-0000-0000-000027810000}"/>
    <cellStyle name="Standard 9 2 3 2 4 3" xfId="32679" xr:uid="{00000000-0005-0000-0000-000028810000}"/>
    <cellStyle name="Standard 9 2 3 2 5" xfId="32680" xr:uid="{00000000-0005-0000-0000-000029810000}"/>
    <cellStyle name="Standard 9 2 3 2 5 2" xfId="32681" xr:uid="{00000000-0005-0000-0000-00002A810000}"/>
    <cellStyle name="Standard 9 2 3 2 6" xfId="32682" xr:uid="{00000000-0005-0000-0000-00002B810000}"/>
    <cellStyle name="Standard 9 2 3 2 7" xfId="32683" xr:uid="{00000000-0005-0000-0000-00002C810000}"/>
    <cellStyle name="Standard 9 2 3 3" xfId="32684" xr:uid="{00000000-0005-0000-0000-00002D810000}"/>
    <cellStyle name="Standard 9 2 3 3 2" xfId="32685" xr:uid="{00000000-0005-0000-0000-00002E810000}"/>
    <cellStyle name="Standard 9 2 3 3 2 2" xfId="32686" xr:uid="{00000000-0005-0000-0000-00002F810000}"/>
    <cellStyle name="Standard 9 2 3 3 2 3" xfId="32687" xr:uid="{00000000-0005-0000-0000-000030810000}"/>
    <cellStyle name="Standard 9 2 3 3 3" xfId="32688" xr:uid="{00000000-0005-0000-0000-000031810000}"/>
    <cellStyle name="Standard 9 2 3 3 3 2" xfId="32689" xr:uid="{00000000-0005-0000-0000-000032810000}"/>
    <cellStyle name="Standard 9 2 3 3 3 3" xfId="32690" xr:uid="{00000000-0005-0000-0000-000033810000}"/>
    <cellStyle name="Standard 9 2 3 3 4" xfId="32691" xr:uid="{00000000-0005-0000-0000-000034810000}"/>
    <cellStyle name="Standard 9 2 3 3 4 2" xfId="32692" xr:uid="{00000000-0005-0000-0000-000035810000}"/>
    <cellStyle name="Standard 9 2 3 3 5" xfId="32693" xr:uid="{00000000-0005-0000-0000-000036810000}"/>
    <cellStyle name="Standard 9 2 3 3 6" xfId="32694" xr:uid="{00000000-0005-0000-0000-000037810000}"/>
    <cellStyle name="Standard 9 2 3 4" xfId="32695" xr:uid="{00000000-0005-0000-0000-000038810000}"/>
    <cellStyle name="Standard 9 2 3 4 2" xfId="32696" xr:uid="{00000000-0005-0000-0000-000039810000}"/>
    <cellStyle name="Standard 9 2 3 4 3" xfId="32697" xr:uid="{00000000-0005-0000-0000-00003A810000}"/>
    <cellStyle name="Standard 9 2 3 5" xfId="32698" xr:uid="{00000000-0005-0000-0000-00003B810000}"/>
    <cellStyle name="Standard 9 2 3 5 2" xfId="32699" xr:uid="{00000000-0005-0000-0000-00003C810000}"/>
    <cellStyle name="Standard 9 2 3 5 3" xfId="32700" xr:uid="{00000000-0005-0000-0000-00003D810000}"/>
    <cellStyle name="Standard 9 2 3 6" xfId="32701" xr:uid="{00000000-0005-0000-0000-00003E810000}"/>
    <cellStyle name="Standard 9 2 3 6 2" xfId="32702" xr:uid="{00000000-0005-0000-0000-00003F810000}"/>
    <cellStyle name="Standard 9 2 3 7" xfId="32703" xr:uid="{00000000-0005-0000-0000-000040810000}"/>
    <cellStyle name="Standard 9 2 3 8" xfId="32704" xr:uid="{00000000-0005-0000-0000-000041810000}"/>
    <cellStyle name="Standard 9 2 4" xfId="32705" xr:uid="{00000000-0005-0000-0000-000042810000}"/>
    <cellStyle name="Standard 9 2 4 2" xfId="32706" xr:uid="{00000000-0005-0000-0000-000043810000}"/>
    <cellStyle name="Standard 9 2 4 2 2" xfId="32707" xr:uid="{00000000-0005-0000-0000-000044810000}"/>
    <cellStyle name="Standard 9 2 4 2 2 2" xfId="32708" xr:uid="{00000000-0005-0000-0000-000045810000}"/>
    <cellStyle name="Standard 9 2 4 2 2 3" xfId="32709" xr:uid="{00000000-0005-0000-0000-000046810000}"/>
    <cellStyle name="Standard 9 2 4 2 3" xfId="32710" xr:uid="{00000000-0005-0000-0000-000047810000}"/>
    <cellStyle name="Standard 9 2 4 2 3 2" xfId="32711" xr:uid="{00000000-0005-0000-0000-000048810000}"/>
    <cellStyle name="Standard 9 2 4 2 3 3" xfId="32712" xr:uid="{00000000-0005-0000-0000-000049810000}"/>
    <cellStyle name="Standard 9 2 4 2 4" xfId="32713" xr:uid="{00000000-0005-0000-0000-00004A810000}"/>
    <cellStyle name="Standard 9 2 4 2 4 2" xfId="32714" xr:uid="{00000000-0005-0000-0000-00004B810000}"/>
    <cellStyle name="Standard 9 2 4 2 5" xfId="32715" xr:uid="{00000000-0005-0000-0000-00004C810000}"/>
    <cellStyle name="Standard 9 2 4 2 6" xfId="32716" xr:uid="{00000000-0005-0000-0000-00004D810000}"/>
    <cellStyle name="Standard 9 2 4 3" xfId="32717" xr:uid="{00000000-0005-0000-0000-00004E810000}"/>
    <cellStyle name="Standard 9 2 4 3 2" xfId="32718" xr:uid="{00000000-0005-0000-0000-00004F810000}"/>
    <cellStyle name="Standard 9 2 4 3 3" xfId="32719" xr:uid="{00000000-0005-0000-0000-000050810000}"/>
    <cellStyle name="Standard 9 2 4 4" xfId="32720" xr:uid="{00000000-0005-0000-0000-000051810000}"/>
    <cellStyle name="Standard 9 2 4 4 2" xfId="32721" xr:uid="{00000000-0005-0000-0000-000052810000}"/>
    <cellStyle name="Standard 9 2 4 4 3" xfId="32722" xr:uid="{00000000-0005-0000-0000-000053810000}"/>
    <cellStyle name="Standard 9 2 4 5" xfId="32723" xr:uid="{00000000-0005-0000-0000-000054810000}"/>
    <cellStyle name="Standard 9 2 4 5 2" xfId="32724" xr:uid="{00000000-0005-0000-0000-000055810000}"/>
    <cellStyle name="Standard 9 2 4 6" xfId="32725" xr:uid="{00000000-0005-0000-0000-000056810000}"/>
    <cellStyle name="Standard 9 2 4 7" xfId="32726" xr:uid="{00000000-0005-0000-0000-000057810000}"/>
    <cellStyle name="Standard 9 2 5" xfId="32727" xr:uid="{00000000-0005-0000-0000-000058810000}"/>
    <cellStyle name="Standard 9 2 5 2" xfId="32728" xr:uid="{00000000-0005-0000-0000-000059810000}"/>
    <cellStyle name="Standard 9 2 5 2 2" xfId="32729" xr:uid="{00000000-0005-0000-0000-00005A810000}"/>
    <cellStyle name="Standard 9 2 5 2 3" xfId="32730" xr:uid="{00000000-0005-0000-0000-00005B810000}"/>
    <cellStyle name="Standard 9 2 5 3" xfId="32731" xr:uid="{00000000-0005-0000-0000-00005C810000}"/>
    <cellStyle name="Standard 9 2 5 3 2" xfId="32732" xr:uid="{00000000-0005-0000-0000-00005D810000}"/>
    <cellStyle name="Standard 9 2 5 3 3" xfId="32733" xr:uid="{00000000-0005-0000-0000-00005E810000}"/>
    <cellStyle name="Standard 9 2 5 4" xfId="32734" xr:uid="{00000000-0005-0000-0000-00005F810000}"/>
    <cellStyle name="Standard 9 2 5 4 2" xfId="32735" xr:uid="{00000000-0005-0000-0000-000060810000}"/>
    <cellStyle name="Standard 9 2 5 5" xfId="32736" xr:uid="{00000000-0005-0000-0000-000061810000}"/>
    <cellStyle name="Standard 9 2 5 6" xfId="32737" xr:uid="{00000000-0005-0000-0000-000062810000}"/>
    <cellStyle name="Standard 9 2 6" xfId="32738" xr:uid="{00000000-0005-0000-0000-000063810000}"/>
    <cellStyle name="Standard 9 2 6 2" xfId="32739" xr:uid="{00000000-0005-0000-0000-000064810000}"/>
    <cellStyle name="Standard 9 2 6 3" xfId="32740" xr:uid="{00000000-0005-0000-0000-000065810000}"/>
    <cellStyle name="Standard 9 2 7" xfId="32741" xr:uid="{00000000-0005-0000-0000-000066810000}"/>
    <cellStyle name="Standard 9 2 7 2" xfId="32742" xr:uid="{00000000-0005-0000-0000-000067810000}"/>
    <cellStyle name="Standard 9 2 7 3" xfId="32743" xr:uid="{00000000-0005-0000-0000-000068810000}"/>
    <cellStyle name="Standard 9 2 8" xfId="32744" xr:uid="{00000000-0005-0000-0000-000069810000}"/>
    <cellStyle name="Standard 9 2 8 2" xfId="32745" xr:uid="{00000000-0005-0000-0000-00006A810000}"/>
    <cellStyle name="Standard 9 2 9" xfId="32746" xr:uid="{00000000-0005-0000-0000-00006B810000}"/>
    <cellStyle name="Standard 9 3" xfId="32747" xr:uid="{00000000-0005-0000-0000-00006C810000}"/>
    <cellStyle name="Standard 9 3 2" xfId="32748" xr:uid="{00000000-0005-0000-0000-00006D810000}"/>
    <cellStyle name="Standard 9 3 2 2" xfId="32749" xr:uid="{00000000-0005-0000-0000-00006E810000}"/>
    <cellStyle name="Standard 9 3 2 2 2" xfId="32750" xr:uid="{00000000-0005-0000-0000-00006F810000}"/>
    <cellStyle name="Standard 9 3 2 2 2 2" xfId="32751" xr:uid="{00000000-0005-0000-0000-000070810000}"/>
    <cellStyle name="Standard 9 3 2 2 2 3" xfId="32752" xr:uid="{00000000-0005-0000-0000-000071810000}"/>
    <cellStyle name="Standard 9 3 2 2 3" xfId="32753" xr:uid="{00000000-0005-0000-0000-000072810000}"/>
    <cellStyle name="Standard 9 3 2 2 3 2" xfId="32754" xr:uid="{00000000-0005-0000-0000-000073810000}"/>
    <cellStyle name="Standard 9 3 2 2 3 3" xfId="32755" xr:uid="{00000000-0005-0000-0000-000074810000}"/>
    <cellStyle name="Standard 9 3 2 2 4" xfId="32756" xr:uid="{00000000-0005-0000-0000-000075810000}"/>
    <cellStyle name="Standard 9 3 2 2 4 2" xfId="32757" xr:uid="{00000000-0005-0000-0000-000076810000}"/>
    <cellStyle name="Standard 9 3 2 2 5" xfId="32758" xr:uid="{00000000-0005-0000-0000-000077810000}"/>
    <cellStyle name="Standard 9 3 2 2 6" xfId="32759" xr:uid="{00000000-0005-0000-0000-000078810000}"/>
    <cellStyle name="Standard 9 3 2 3" xfId="32760" xr:uid="{00000000-0005-0000-0000-000079810000}"/>
    <cellStyle name="Standard 9 3 2 3 2" xfId="32761" xr:uid="{00000000-0005-0000-0000-00007A810000}"/>
    <cellStyle name="Standard 9 3 2 3 3" xfId="32762" xr:uid="{00000000-0005-0000-0000-00007B810000}"/>
    <cellStyle name="Standard 9 3 2 4" xfId="32763" xr:uid="{00000000-0005-0000-0000-00007C810000}"/>
    <cellStyle name="Standard 9 3 2 4 2" xfId="32764" xr:uid="{00000000-0005-0000-0000-00007D810000}"/>
    <cellStyle name="Standard 9 3 2 4 3" xfId="32765" xr:uid="{00000000-0005-0000-0000-00007E810000}"/>
    <cellStyle name="Standard 9 3 2 5" xfId="32766" xr:uid="{00000000-0005-0000-0000-00007F810000}"/>
    <cellStyle name="Standard 9 3 2 5 2" xfId="32767" xr:uid="{00000000-0005-0000-0000-000080810000}"/>
    <cellStyle name="Standard 9 3 2 6" xfId="32768" xr:uid="{00000000-0005-0000-0000-000081810000}"/>
    <cellStyle name="Standard 9 3 2 7" xfId="32769" xr:uid="{00000000-0005-0000-0000-000082810000}"/>
    <cellStyle name="Standard 9 3 3" xfId="32770" xr:uid="{00000000-0005-0000-0000-000083810000}"/>
    <cellStyle name="Standard 9 3 3 2" xfId="32771" xr:uid="{00000000-0005-0000-0000-000084810000}"/>
    <cellStyle name="Standard 9 3 3 2 2" xfId="32772" xr:uid="{00000000-0005-0000-0000-000085810000}"/>
    <cellStyle name="Standard 9 3 3 2 3" xfId="32773" xr:uid="{00000000-0005-0000-0000-000086810000}"/>
    <cellStyle name="Standard 9 3 3 3" xfId="32774" xr:uid="{00000000-0005-0000-0000-000087810000}"/>
    <cellStyle name="Standard 9 3 3 3 2" xfId="32775" xr:uid="{00000000-0005-0000-0000-000088810000}"/>
    <cellStyle name="Standard 9 3 3 3 3" xfId="32776" xr:uid="{00000000-0005-0000-0000-000089810000}"/>
    <cellStyle name="Standard 9 3 3 4" xfId="32777" xr:uid="{00000000-0005-0000-0000-00008A810000}"/>
    <cellStyle name="Standard 9 3 3 4 2" xfId="32778" xr:uid="{00000000-0005-0000-0000-00008B810000}"/>
    <cellStyle name="Standard 9 3 3 5" xfId="32779" xr:uid="{00000000-0005-0000-0000-00008C810000}"/>
    <cellStyle name="Standard 9 3 3 6" xfId="32780" xr:uid="{00000000-0005-0000-0000-00008D810000}"/>
    <cellStyle name="Standard 9 3 4" xfId="32781" xr:uid="{00000000-0005-0000-0000-00008E810000}"/>
    <cellStyle name="Standard 9 3 4 2" xfId="32782" xr:uid="{00000000-0005-0000-0000-00008F810000}"/>
    <cellStyle name="Standard 9 3 4 3" xfId="32783" xr:uid="{00000000-0005-0000-0000-000090810000}"/>
    <cellStyle name="Standard 9 3 5" xfId="32784" xr:uid="{00000000-0005-0000-0000-000091810000}"/>
    <cellStyle name="Standard 9 3 5 2" xfId="32785" xr:uid="{00000000-0005-0000-0000-000092810000}"/>
    <cellStyle name="Standard 9 3 5 3" xfId="32786" xr:uid="{00000000-0005-0000-0000-000093810000}"/>
    <cellStyle name="Standard 9 3 6" xfId="32787" xr:uid="{00000000-0005-0000-0000-000094810000}"/>
    <cellStyle name="Standard 9 3 6 2" xfId="32788" xr:uid="{00000000-0005-0000-0000-000095810000}"/>
    <cellStyle name="Standard 9 3 7" xfId="32789" xr:uid="{00000000-0005-0000-0000-000096810000}"/>
    <cellStyle name="Standard 9 3 8" xfId="32790" xr:uid="{00000000-0005-0000-0000-000097810000}"/>
    <cellStyle name="Standard 9 3 9" xfId="33503" xr:uid="{00000000-0005-0000-0000-000098810000}"/>
    <cellStyle name="Standard 9 4" xfId="32791" xr:uid="{00000000-0005-0000-0000-000099810000}"/>
    <cellStyle name="Standard 9 4 2" xfId="32792" xr:uid="{00000000-0005-0000-0000-00009A810000}"/>
    <cellStyle name="Standard 9 4 2 2" xfId="32793" xr:uid="{00000000-0005-0000-0000-00009B810000}"/>
    <cellStyle name="Standard 9 4 2 2 2" xfId="32794" xr:uid="{00000000-0005-0000-0000-00009C810000}"/>
    <cellStyle name="Standard 9 4 2 2 2 2" xfId="32795" xr:uid="{00000000-0005-0000-0000-00009D810000}"/>
    <cellStyle name="Standard 9 4 2 2 2 3" xfId="32796" xr:uid="{00000000-0005-0000-0000-00009E810000}"/>
    <cellStyle name="Standard 9 4 2 2 3" xfId="32797" xr:uid="{00000000-0005-0000-0000-00009F810000}"/>
    <cellStyle name="Standard 9 4 2 2 3 2" xfId="32798" xr:uid="{00000000-0005-0000-0000-0000A0810000}"/>
    <cellStyle name="Standard 9 4 2 2 3 3" xfId="32799" xr:uid="{00000000-0005-0000-0000-0000A1810000}"/>
    <cellStyle name="Standard 9 4 2 2 4" xfId="32800" xr:uid="{00000000-0005-0000-0000-0000A2810000}"/>
    <cellStyle name="Standard 9 4 2 2 4 2" xfId="32801" xr:uid="{00000000-0005-0000-0000-0000A3810000}"/>
    <cellStyle name="Standard 9 4 2 2 5" xfId="32802" xr:uid="{00000000-0005-0000-0000-0000A4810000}"/>
    <cellStyle name="Standard 9 4 2 2 6" xfId="32803" xr:uid="{00000000-0005-0000-0000-0000A5810000}"/>
    <cellStyle name="Standard 9 4 2 3" xfId="32804" xr:uid="{00000000-0005-0000-0000-0000A6810000}"/>
    <cellStyle name="Standard 9 4 2 3 2" xfId="32805" xr:uid="{00000000-0005-0000-0000-0000A7810000}"/>
    <cellStyle name="Standard 9 4 2 3 3" xfId="32806" xr:uid="{00000000-0005-0000-0000-0000A8810000}"/>
    <cellStyle name="Standard 9 4 2 4" xfId="32807" xr:uid="{00000000-0005-0000-0000-0000A9810000}"/>
    <cellStyle name="Standard 9 4 2 4 2" xfId="32808" xr:uid="{00000000-0005-0000-0000-0000AA810000}"/>
    <cellStyle name="Standard 9 4 2 4 3" xfId="32809" xr:uid="{00000000-0005-0000-0000-0000AB810000}"/>
    <cellStyle name="Standard 9 4 2 5" xfId="32810" xr:uid="{00000000-0005-0000-0000-0000AC810000}"/>
    <cellStyle name="Standard 9 4 2 5 2" xfId="32811" xr:uid="{00000000-0005-0000-0000-0000AD810000}"/>
    <cellStyle name="Standard 9 4 2 6" xfId="32812" xr:uid="{00000000-0005-0000-0000-0000AE810000}"/>
    <cellStyle name="Standard 9 4 2 7" xfId="32813" xr:uid="{00000000-0005-0000-0000-0000AF810000}"/>
    <cellStyle name="Standard 9 4 3" xfId="32814" xr:uid="{00000000-0005-0000-0000-0000B0810000}"/>
    <cellStyle name="Standard 9 4 3 2" xfId="32815" xr:uid="{00000000-0005-0000-0000-0000B1810000}"/>
    <cellStyle name="Standard 9 4 3 2 2" xfId="32816" xr:uid="{00000000-0005-0000-0000-0000B2810000}"/>
    <cellStyle name="Standard 9 4 3 2 3" xfId="32817" xr:uid="{00000000-0005-0000-0000-0000B3810000}"/>
    <cellStyle name="Standard 9 4 3 3" xfId="32818" xr:uid="{00000000-0005-0000-0000-0000B4810000}"/>
    <cellStyle name="Standard 9 4 3 3 2" xfId="32819" xr:uid="{00000000-0005-0000-0000-0000B5810000}"/>
    <cellStyle name="Standard 9 4 3 3 3" xfId="32820" xr:uid="{00000000-0005-0000-0000-0000B6810000}"/>
    <cellStyle name="Standard 9 4 3 4" xfId="32821" xr:uid="{00000000-0005-0000-0000-0000B7810000}"/>
    <cellStyle name="Standard 9 4 3 4 2" xfId="32822" xr:uid="{00000000-0005-0000-0000-0000B8810000}"/>
    <cellStyle name="Standard 9 4 3 5" xfId="32823" xr:uid="{00000000-0005-0000-0000-0000B9810000}"/>
    <cellStyle name="Standard 9 4 3 6" xfId="32824" xr:uid="{00000000-0005-0000-0000-0000BA810000}"/>
    <cellStyle name="Standard 9 4 4" xfId="32825" xr:uid="{00000000-0005-0000-0000-0000BB810000}"/>
    <cellStyle name="Standard 9 4 4 2" xfId="32826" xr:uid="{00000000-0005-0000-0000-0000BC810000}"/>
    <cellStyle name="Standard 9 4 4 3" xfId="32827" xr:uid="{00000000-0005-0000-0000-0000BD810000}"/>
    <cellStyle name="Standard 9 4 5" xfId="32828" xr:uid="{00000000-0005-0000-0000-0000BE810000}"/>
    <cellStyle name="Standard 9 4 5 2" xfId="32829" xr:uid="{00000000-0005-0000-0000-0000BF810000}"/>
    <cellStyle name="Standard 9 4 5 3" xfId="32830" xr:uid="{00000000-0005-0000-0000-0000C0810000}"/>
    <cellStyle name="Standard 9 4 6" xfId="32831" xr:uid="{00000000-0005-0000-0000-0000C1810000}"/>
    <cellStyle name="Standard 9 4 6 2" xfId="32832" xr:uid="{00000000-0005-0000-0000-0000C2810000}"/>
    <cellStyle name="Standard 9 4 7" xfId="32833" xr:uid="{00000000-0005-0000-0000-0000C3810000}"/>
    <cellStyle name="Standard 9 4 8" xfId="32834" xr:uid="{00000000-0005-0000-0000-0000C4810000}"/>
    <cellStyle name="Standard 9 5" xfId="32835" xr:uid="{00000000-0005-0000-0000-0000C5810000}"/>
    <cellStyle name="Standard 9 5 2" xfId="32836" xr:uid="{00000000-0005-0000-0000-0000C6810000}"/>
    <cellStyle name="Standard 9 5 2 2" xfId="32837" xr:uid="{00000000-0005-0000-0000-0000C7810000}"/>
    <cellStyle name="Standard 9 5 2 2 2" xfId="32838" xr:uid="{00000000-0005-0000-0000-0000C8810000}"/>
    <cellStyle name="Standard 9 5 2 2 3" xfId="32839" xr:uid="{00000000-0005-0000-0000-0000C9810000}"/>
    <cellStyle name="Standard 9 5 2 3" xfId="32840" xr:uid="{00000000-0005-0000-0000-0000CA810000}"/>
    <cellStyle name="Standard 9 5 2 3 2" xfId="32841" xr:uid="{00000000-0005-0000-0000-0000CB810000}"/>
    <cellStyle name="Standard 9 5 2 3 3" xfId="32842" xr:uid="{00000000-0005-0000-0000-0000CC810000}"/>
    <cellStyle name="Standard 9 5 2 4" xfId="32843" xr:uid="{00000000-0005-0000-0000-0000CD810000}"/>
    <cellStyle name="Standard 9 5 2 4 2" xfId="32844" xr:uid="{00000000-0005-0000-0000-0000CE810000}"/>
    <cellStyle name="Standard 9 5 2 5" xfId="32845" xr:uid="{00000000-0005-0000-0000-0000CF810000}"/>
    <cellStyle name="Standard 9 5 2 6" xfId="32846" xr:uid="{00000000-0005-0000-0000-0000D0810000}"/>
    <cellStyle name="Standard 9 5 3" xfId="32847" xr:uid="{00000000-0005-0000-0000-0000D1810000}"/>
    <cellStyle name="Standard 9 5 3 2" xfId="32848" xr:uid="{00000000-0005-0000-0000-0000D2810000}"/>
    <cellStyle name="Standard 9 5 3 3" xfId="32849" xr:uid="{00000000-0005-0000-0000-0000D3810000}"/>
    <cellStyle name="Standard 9 5 4" xfId="32850" xr:uid="{00000000-0005-0000-0000-0000D4810000}"/>
    <cellStyle name="Standard 9 5 4 2" xfId="32851" xr:uid="{00000000-0005-0000-0000-0000D5810000}"/>
    <cellStyle name="Standard 9 5 4 3" xfId="32852" xr:uid="{00000000-0005-0000-0000-0000D6810000}"/>
    <cellStyle name="Standard 9 5 5" xfId="32853" xr:uid="{00000000-0005-0000-0000-0000D7810000}"/>
    <cellStyle name="Standard 9 5 5 2" xfId="32854" xr:uid="{00000000-0005-0000-0000-0000D8810000}"/>
    <cellStyle name="Standard 9 5 6" xfId="32855" xr:uid="{00000000-0005-0000-0000-0000D9810000}"/>
    <cellStyle name="Standard 9 5 7" xfId="32856" xr:uid="{00000000-0005-0000-0000-0000DA810000}"/>
    <cellStyle name="Standard 9 6" xfId="32857" xr:uid="{00000000-0005-0000-0000-0000DB810000}"/>
    <cellStyle name="Standard 9 6 2" xfId="32858" xr:uid="{00000000-0005-0000-0000-0000DC810000}"/>
    <cellStyle name="Standard 9 6 2 2" xfId="32859" xr:uid="{00000000-0005-0000-0000-0000DD810000}"/>
    <cellStyle name="Standard 9 6 2 3" xfId="32860" xr:uid="{00000000-0005-0000-0000-0000DE810000}"/>
    <cellStyle name="Standard 9 6 3" xfId="32861" xr:uid="{00000000-0005-0000-0000-0000DF810000}"/>
    <cellStyle name="Standard 9 6 3 2" xfId="32862" xr:uid="{00000000-0005-0000-0000-0000E0810000}"/>
    <cellStyle name="Standard 9 6 3 3" xfId="32863" xr:uid="{00000000-0005-0000-0000-0000E1810000}"/>
    <cellStyle name="Standard 9 6 4" xfId="32864" xr:uid="{00000000-0005-0000-0000-0000E2810000}"/>
    <cellStyle name="Standard 9 6 4 2" xfId="32865" xr:uid="{00000000-0005-0000-0000-0000E3810000}"/>
    <cellStyle name="Standard 9 6 5" xfId="32866" xr:uid="{00000000-0005-0000-0000-0000E4810000}"/>
    <cellStyle name="Standard 9 6 6" xfId="32867" xr:uid="{00000000-0005-0000-0000-0000E5810000}"/>
    <cellStyle name="Standard 9 7" xfId="32868" xr:uid="{00000000-0005-0000-0000-0000E6810000}"/>
    <cellStyle name="Standard 9 7 2" xfId="32869" xr:uid="{00000000-0005-0000-0000-0000E7810000}"/>
    <cellStyle name="Standard 9 7 3" xfId="32870" xr:uid="{00000000-0005-0000-0000-0000E8810000}"/>
    <cellStyle name="Standard 9 8" xfId="32871" xr:uid="{00000000-0005-0000-0000-0000E9810000}"/>
    <cellStyle name="Standard 9 8 2" xfId="32872" xr:uid="{00000000-0005-0000-0000-0000EA810000}"/>
    <cellStyle name="Standard 9 8 3" xfId="32873" xr:uid="{00000000-0005-0000-0000-0000EB810000}"/>
    <cellStyle name="Standard 9 9" xfId="32874" xr:uid="{00000000-0005-0000-0000-0000EC810000}"/>
    <cellStyle name="Standard 9 9 2" xfId="32875" xr:uid="{00000000-0005-0000-0000-0000ED810000}"/>
    <cellStyle name="Standard 90" xfId="716" xr:uid="{00000000-0005-0000-0000-0000EE810000}"/>
    <cellStyle name="Standard 91" xfId="717" xr:uid="{00000000-0005-0000-0000-0000EF810000}"/>
    <cellStyle name="Standard 92" xfId="718" xr:uid="{00000000-0005-0000-0000-0000F0810000}"/>
    <cellStyle name="Standard 93" xfId="719" xr:uid="{00000000-0005-0000-0000-0000F1810000}"/>
    <cellStyle name="Standard 94" xfId="720" xr:uid="{00000000-0005-0000-0000-0000F2810000}"/>
    <cellStyle name="Standard 95" xfId="721" xr:uid="{00000000-0005-0000-0000-0000F3810000}"/>
    <cellStyle name="Standard 96" xfId="722" xr:uid="{00000000-0005-0000-0000-0000F4810000}"/>
    <cellStyle name="Standard 97" xfId="723" xr:uid="{00000000-0005-0000-0000-0000F5810000}"/>
    <cellStyle name="Standard 98" xfId="724" xr:uid="{00000000-0005-0000-0000-0000F6810000}"/>
    <cellStyle name="Standard 99" xfId="725" xr:uid="{00000000-0005-0000-0000-0000F7810000}"/>
    <cellStyle name="Standard_090713_MQBPFREI_GL44_MATBASIS" xfId="14" xr:uid="{00000000-0005-0000-0000-0000F8810000}"/>
    <cellStyle name="Standard_Punktplan_07012008" xfId="15" xr:uid="{00000000-0005-0000-0000-0000F9810000}"/>
    <cellStyle name="Standard_Punktplan_PO170_37-A33-31D 343193_194" xfId="16" xr:uid="{00000000-0005-0000-0000-0000FA810000}"/>
    <cellStyle name="Standard_Punktplan_VW100_37-A33-31D 343187_188" xfId="17" xr:uid="{00000000-0005-0000-0000-0000FB810000}"/>
    <cellStyle name="Standard_Punktplan_VW330_37-A33-31D 343205_206" xfId="18" xr:uid="{00000000-0005-0000-0000-0000FC810000}"/>
    <cellStyle name="Stil 1" xfId="32876" xr:uid="{00000000-0005-0000-0000-0000FD810000}"/>
    <cellStyle name="Stil 1 2" xfId="32877" xr:uid="{00000000-0005-0000-0000-0000FE810000}"/>
    <cellStyle name="Stil 1 2 2" xfId="32878" xr:uid="{00000000-0005-0000-0000-0000FF810000}"/>
    <cellStyle name="Stil 1 2 2 2" xfId="32879" xr:uid="{00000000-0005-0000-0000-000000820000}"/>
    <cellStyle name="Stil 1 2 3" xfId="32880" xr:uid="{00000000-0005-0000-0000-000001820000}"/>
    <cellStyle name="Stil 1 3" xfId="32881" xr:uid="{00000000-0005-0000-0000-000002820000}"/>
    <cellStyle name="Stil 1 3 2" xfId="32882" xr:uid="{00000000-0005-0000-0000-000003820000}"/>
    <cellStyle name="Stil 1 4" xfId="32883" xr:uid="{00000000-0005-0000-0000-000004820000}"/>
    <cellStyle name="Stil 1 4 2" xfId="32884" xr:uid="{00000000-0005-0000-0000-000005820000}"/>
    <cellStyle name="Stil 1 4 3" xfId="32885" xr:uid="{00000000-0005-0000-0000-000006820000}"/>
    <cellStyle name="Stil 1 4 4" xfId="32886" xr:uid="{00000000-0005-0000-0000-000007820000}"/>
    <cellStyle name="Stil 1 4 4 2" xfId="32887" xr:uid="{00000000-0005-0000-0000-000008820000}"/>
    <cellStyle name="Stil 1 4 4 3" xfId="32888" xr:uid="{00000000-0005-0000-0000-000009820000}"/>
    <cellStyle name="Stil 1 5" xfId="32889" xr:uid="{00000000-0005-0000-0000-00000A820000}"/>
    <cellStyle name="Style 1" xfId="32890" xr:uid="{00000000-0005-0000-0000-00000B820000}"/>
    <cellStyle name="subhead" xfId="32891" xr:uid="{00000000-0005-0000-0000-00000C820000}"/>
    <cellStyle name="Text Indent A" xfId="32892" xr:uid="{00000000-0005-0000-0000-00000D820000}"/>
    <cellStyle name="Text Indent B" xfId="32893" xr:uid="{00000000-0005-0000-0000-00000E820000}"/>
    <cellStyle name="Text Indent C" xfId="32894" xr:uid="{00000000-0005-0000-0000-00000F820000}"/>
    <cellStyle name="Texto de advertencia" xfId="32895" xr:uid="{00000000-0005-0000-0000-000010820000}"/>
    <cellStyle name="Texto explicativo" xfId="32896" xr:uid="{00000000-0005-0000-0000-000011820000}"/>
    <cellStyle name="Title" xfId="731" xr:uid="{00000000-0005-0000-0000-000012820000}"/>
    <cellStyle name="Title 2" xfId="726" xr:uid="{00000000-0005-0000-0000-000013820000}"/>
    <cellStyle name="Title 2 2" xfId="32897" xr:uid="{00000000-0005-0000-0000-000014820000}"/>
    <cellStyle name="Title 2 3" xfId="32898" xr:uid="{00000000-0005-0000-0000-000015820000}"/>
    <cellStyle name="Title 3" xfId="727" xr:uid="{00000000-0005-0000-0000-000016820000}"/>
    <cellStyle name="Title 3 2" xfId="32899" xr:uid="{00000000-0005-0000-0000-000017820000}"/>
    <cellStyle name="Title 4" xfId="728" xr:uid="{00000000-0005-0000-0000-000018820000}"/>
    <cellStyle name="Title 5" xfId="32900" xr:uid="{00000000-0005-0000-0000-000019820000}"/>
    <cellStyle name="Title_Bauteile" xfId="729" xr:uid="{00000000-0005-0000-0000-00001A820000}"/>
    <cellStyle name="Título" xfId="32901" xr:uid="{00000000-0005-0000-0000-00001B820000}"/>
    <cellStyle name="Título 1" xfId="32902" xr:uid="{00000000-0005-0000-0000-00001C820000}"/>
    <cellStyle name="Título 1 2" xfId="32903" xr:uid="{00000000-0005-0000-0000-00001D820000}"/>
    <cellStyle name="Título 2" xfId="32904" xr:uid="{00000000-0005-0000-0000-00001E820000}"/>
    <cellStyle name="Título 2 2" xfId="32905" xr:uid="{00000000-0005-0000-0000-00001F820000}"/>
    <cellStyle name="Título 3" xfId="32906" xr:uid="{00000000-0005-0000-0000-000020820000}"/>
    <cellStyle name="Título 3 2" xfId="32907" xr:uid="{00000000-0005-0000-0000-000021820000}"/>
    <cellStyle name="Top Row" xfId="32908" xr:uid="{00000000-0005-0000-0000-000022820000}"/>
    <cellStyle name="Total" xfId="32909" xr:uid="{00000000-0005-0000-0000-000023820000}"/>
    <cellStyle name="Total 2" xfId="730" xr:uid="{00000000-0005-0000-0000-000024820000}"/>
    <cellStyle name="Total 2 2" xfId="32910" xr:uid="{00000000-0005-0000-0000-000025820000}"/>
    <cellStyle name="Total 2 3" xfId="32911" xr:uid="{00000000-0005-0000-0000-000026820000}"/>
    <cellStyle name="Total 3" xfId="32912" xr:uid="{00000000-0005-0000-0000-000027820000}"/>
    <cellStyle name="Total 4" xfId="32913" xr:uid="{00000000-0005-0000-0000-000028820000}"/>
    <cellStyle name="Total_readOnly" xfId="25" xr:uid="{00000000-0005-0000-0000-000029820000}"/>
    <cellStyle name="Überschrift 1 2" xfId="733" xr:uid="{00000000-0005-0000-0000-00002A820000}"/>
    <cellStyle name="Überschrift 1 2 2" xfId="32914" xr:uid="{00000000-0005-0000-0000-00002B820000}"/>
    <cellStyle name="Überschrift 1 2 3" xfId="32915" xr:uid="{00000000-0005-0000-0000-00002C820000}"/>
    <cellStyle name="Überschrift 1 2 4" xfId="32916" xr:uid="{00000000-0005-0000-0000-00002D820000}"/>
    <cellStyle name="Überschrift 1 2 5" xfId="32917" xr:uid="{00000000-0005-0000-0000-00002E820000}"/>
    <cellStyle name="Überschrift 1 3" xfId="734" xr:uid="{00000000-0005-0000-0000-00002F820000}"/>
    <cellStyle name="Überschrift 1 3 2" xfId="32918" xr:uid="{00000000-0005-0000-0000-000030820000}"/>
    <cellStyle name="Überschrift 1 3 3" xfId="32919" xr:uid="{00000000-0005-0000-0000-000031820000}"/>
    <cellStyle name="Überschrift 1 3 4" xfId="32920" xr:uid="{00000000-0005-0000-0000-000032820000}"/>
    <cellStyle name="Überschrift 1 3_Spotweld Crossreference Master" xfId="32921" xr:uid="{00000000-0005-0000-0000-000033820000}"/>
    <cellStyle name="Überschrift 1 4" xfId="735" xr:uid="{00000000-0005-0000-0000-000034820000}"/>
    <cellStyle name="Überschrift 1 4 2" xfId="32922" xr:uid="{00000000-0005-0000-0000-000035820000}"/>
    <cellStyle name="Überschrift 1 5" xfId="32923" xr:uid="{00000000-0005-0000-0000-000036820000}"/>
    <cellStyle name="Überschrift 1 5 2" xfId="32924" xr:uid="{00000000-0005-0000-0000-000037820000}"/>
    <cellStyle name="Überschrift 10" xfId="32925" xr:uid="{00000000-0005-0000-0000-000038820000}"/>
    <cellStyle name="Überschrift 11" xfId="32926" xr:uid="{00000000-0005-0000-0000-000039820000}"/>
    <cellStyle name="Überschrift 12" xfId="32927" xr:uid="{00000000-0005-0000-0000-00003A820000}"/>
    <cellStyle name="Überschrift 13" xfId="32928" xr:uid="{00000000-0005-0000-0000-00003B820000}"/>
    <cellStyle name="Überschrift 14" xfId="32929" xr:uid="{00000000-0005-0000-0000-00003C820000}"/>
    <cellStyle name="Überschrift 15" xfId="32930" xr:uid="{00000000-0005-0000-0000-00003D820000}"/>
    <cellStyle name="Überschrift 16" xfId="32931" xr:uid="{00000000-0005-0000-0000-00003E820000}"/>
    <cellStyle name="Überschrift 17" xfId="32932" xr:uid="{00000000-0005-0000-0000-00003F820000}"/>
    <cellStyle name="Überschrift 18" xfId="32933" xr:uid="{00000000-0005-0000-0000-000040820000}"/>
    <cellStyle name="Überschrift 2 2" xfId="737" xr:uid="{00000000-0005-0000-0000-000041820000}"/>
    <cellStyle name="Überschrift 2 2 2" xfId="32934" xr:uid="{00000000-0005-0000-0000-000042820000}"/>
    <cellStyle name="Überschrift 2 2 3" xfId="32935" xr:uid="{00000000-0005-0000-0000-000043820000}"/>
    <cellStyle name="Überschrift 2 2 4" xfId="32936" xr:uid="{00000000-0005-0000-0000-000044820000}"/>
    <cellStyle name="Überschrift 2 2 5" xfId="32937" xr:uid="{00000000-0005-0000-0000-000045820000}"/>
    <cellStyle name="Überschrift 2 3" xfId="738" xr:uid="{00000000-0005-0000-0000-000046820000}"/>
    <cellStyle name="Überschrift 2 3 2" xfId="32938" xr:uid="{00000000-0005-0000-0000-000047820000}"/>
    <cellStyle name="Überschrift 2 3 3" xfId="32939" xr:uid="{00000000-0005-0000-0000-000048820000}"/>
    <cellStyle name="Überschrift 2 3 4" xfId="32940" xr:uid="{00000000-0005-0000-0000-000049820000}"/>
    <cellStyle name="Überschrift 2 3_Spotweld Crossreference Master" xfId="32941" xr:uid="{00000000-0005-0000-0000-00004A820000}"/>
    <cellStyle name="Überschrift 2 4" xfId="739" xr:uid="{00000000-0005-0000-0000-00004B820000}"/>
    <cellStyle name="Überschrift 2 4 2" xfId="32942" xr:uid="{00000000-0005-0000-0000-00004C820000}"/>
    <cellStyle name="Überschrift 2 5" xfId="32943" xr:uid="{00000000-0005-0000-0000-00004D820000}"/>
    <cellStyle name="Überschrift 2 5 2" xfId="32944" xr:uid="{00000000-0005-0000-0000-00004E820000}"/>
    <cellStyle name="Überschrift 3 2" xfId="741" xr:uid="{00000000-0005-0000-0000-00004F820000}"/>
    <cellStyle name="Überschrift 3 2 2" xfId="32945" xr:uid="{00000000-0005-0000-0000-000050820000}"/>
    <cellStyle name="Überschrift 3 2 3" xfId="32946" xr:uid="{00000000-0005-0000-0000-000051820000}"/>
    <cellStyle name="Überschrift 3 2 4" xfId="32947" xr:uid="{00000000-0005-0000-0000-000052820000}"/>
    <cellStyle name="Überschrift 3 2 5" xfId="32948" xr:uid="{00000000-0005-0000-0000-000053820000}"/>
    <cellStyle name="Überschrift 3 3" xfId="742" xr:uid="{00000000-0005-0000-0000-000054820000}"/>
    <cellStyle name="Überschrift 3 3 2" xfId="32949" xr:uid="{00000000-0005-0000-0000-000055820000}"/>
    <cellStyle name="Überschrift 3 3 3" xfId="32950" xr:uid="{00000000-0005-0000-0000-000056820000}"/>
    <cellStyle name="Überschrift 3 3 4" xfId="32951" xr:uid="{00000000-0005-0000-0000-000057820000}"/>
    <cellStyle name="Überschrift 3 3_Spotweld Crossreference Master" xfId="32952" xr:uid="{00000000-0005-0000-0000-000058820000}"/>
    <cellStyle name="Überschrift 3 4" xfId="743" xr:uid="{00000000-0005-0000-0000-000059820000}"/>
    <cellStyle name="Überschrift 3 4 2" xfId="32953" xr:uid="{00000000-0005-0000-0000-00005A820000}"/>
    <cellStyle name="Überschrift 3 5" xfId="32954" xr:uid="{00000000-0005-0000-0000-00005B820000}"/>
    <cellStyle name="Überschrift 3 5 2" xfId="32955" xr:uid="{00000000-0005-0000-0000-00005C820000}"/>
    <cellStyle name="Überschrift 4 2" xfId="745" xr:uid="{00000000-0005-0000-0000-00005D820000}"/>
    <cellStyle name="Überschrift 4 2 2" xfId="32956" xr:uid="{00000000-0005-0000-0000-00005E820000}"/>
    <cellStyle name="Überschrift 4 2 3" xfId="32957" xr:uid="{00000000-0005-0000-0000-00005F820000}"/>
    <cellStyle name="Überschrift 4 2 4" xfId="32958" xr:uid="{00000000-0005-0000-0000-000060820000}"/>
    <cellStyle name="Überschrift 4 2 5" xfId="32959" xr:uid="{00000000-0005-0000-0000-000061820000}"/>
    <cellStyle name="Überschrift 4 3" xfId="746" xr:uid="{00000000-0005-0000-0000-000062820000}"/>
    <cellStyle name="Überschrift 4 3 2" xfId="32960" xr:uid="{00000000-0005-0000-0000-000063820000}"/>
    <cellStyle name="Überschrift 4 3 3" xfId="32961" xr:uid="{00000000-0005-0000-0000-000064820000}"/>
    <cellStyle name="Überschrift 4 3 4" xfId="32962" xr:uid="{00000000-0005-0000-0000-000065820000}"/>
    <cellStyle name="Überschrift 4 3_Spotweld Crossreference Master" xfId="32963" xr:uid="{00000000-0005-0000-0000-000066820000}"/>
    <cellStyle name="Überschrift 4 4" xfId="747" xr:uid="{00000000-0005-0000-0000-000067820000}"/>
    <cellStyle name="Überschrift 4 4 2" xfId="32964" xr:uid="{00000000-0005-0000-0000-000068820000}"/>
    <cellStyle name="Überschrift 4 5" xfId="32965" xr:uid="{00000000-0005-0000-0000-000069820000}"/>
    <cellStyle name="Überschrift 4 5 2" xfId="32966" xr:uid="{00000000-0005-0000-0000-00006A820000}"/>
    <cellStyle name="Überschrift 5" xfId="748" xr:uid="{00000000-0005-0000-0000-00006B820000}"/>
    <cellStyle name="Überschrift 5 2" xfId="32967" xr:uid="{00000000-0005-0000-0000-00006C820000}"/>
    <cellStyle name="Überschrift 5 3" xfId="32968" xr:uid="{00000000-0005-0000-0000-00006D820000}"/>
    <cellStyle name="Überschrift 5 4" xfId="32969" xr:uid="{00000000-0005-0000-0000-00006E820000}"/>
    <cellStyle name="Überschrift 6" xfId="749" xr:uid="{00000000-0005-0000-0000-00006F820000}"/>
    <cellStyle name="Überschrift 6 2" xfId="32970" xr:uid="{00000000-0005-0000-0000-000070820000}"/>
    <cellStyle name="Überschrift 6 3" xfId="32971" xr:uid="{00000000-0005-0000-0000-000071820000}"/>
    <cellStyle name="Überschrift 7" xfId="750" xr:uid="{00000000-0005-0000-0000-000072820000}"/>
    <cellStyle name="Überschrift 7 2" xfId="32972" xr:uid="{00000000-0005-0000-0000-000073820000}"/>
    <cellStyle name="Überschrift 8" xfId="32973" xr:uid="{00000000-0005-0000-0000-000074820000}"/>
    <cellStyle name="Überschrift 8 2" xfId="32974" xr:uid="{00000000-0005-0000-0000-000075820000}"/>
    <cellStyle name="Überschrift 9" xfId="32975" xr:uid="{00000000-0005-0000-0000-000076820000}"/>
    <cellStyle name="Underline" xfId="32976" xr:uid="{00000000-0005-0000-0000-000077820000}"/>
    <cellStyle name="Underline 2" xfId="32977" xr:uid="{00000000-0005-0000-0000-000078820000}"/>
    <cellStyle name="Underline 2 2" xfId="32978" xr:uid="{00000000-0005-0000-0000-000079820000}"/>
    <cellStyle name="Vector" xfId="19" xr:uid="{00000000-0005-0000-0000-00007A820000}"/>
    <cellStyle name="Vector 2" xfId="33504" xr:uid="{00000000-0005-0000-0000-00007B820000}"/>
    <cellStyle name="Vector 3" xfId="33505" xr:uid="{00000000-0005-0000-0000-00007C820000}"/>
    <cellStyle name="Vehicle_Benchmark" xfId="32979" xr:uid="{00000000-0005-0000-0000-00007D820000}"/>
    <cellStyle name="Verknüpfte Zelle 2" xfId="752" xr:uid="{00000000-0005-0000-0000-00007E820000}"/>
    <cellStyle name="Verknüpfte Zelle 2 2" xfId="32980" xr:uid="{00000000-0005-0000-0000-00007F820000}"/>
    <cellStyle name="Verknüpfte Zelle 2 3" xfId="32981" xr:uid="{00000000-0005-0000-0000-000080820000}"/>
    <cellStyle name="Verknüpfte Zelle 2 4" xfId="32982" xr:uid="{00000000-0005-0000-0000-000081820000}"/>
    <cellStyle name="Verknüpfte Zelle 2 5" xfId="32983" xr:uid="{00000000-0005-0000-0000-000082820000}"/>
    <cellStyle name="Verknüpfte Zelle 3" xfId="753" xr:uid="{00000000-0005-0000-0000-000083820000}"/>
    <cellStyle name="Verknüpfte Zelle 3 2" xfId="32984" xr:uid="{00000000-0005-0000-0000-000084820000}"/>
    <cellStyle name="Verknüpfte Zelle 3 3" xfId="32985" xr:uid="{00000000-0005-0000-0000-000085820000}"/>
    <cellStyle name="Verknüpfte Zelle 3 4" xfId="32986" xr:uid="{00000000-0005-0000-0000-000086820000}"/>
    <cellStyle name="Verknüpfte Zelle 3_Spotweld Crossreference Master" xfId="32987" xr:uid="{00000000-0005-0000-0000-000087820000}"/>
    <cellStyle name="Verknüpfte Zelle 4" xfId="754" xr:uid="{00000000-0005-0000-0000-000088820000}"/>
    <cellStyle name="Verknüpfte Zelle 4 2" xfId="32988" xr:uid="{00000000-0005-0000-0000-000089820000}"/>
    <cellStyle name="Verknüpfte Zelle 5" xfId="32989" xr:uid="{00000000-0005-0000-0000-00008A820000}"/>
    <cellStyle name="Verknüpfte Zelle 5 2" xfId="32990" xr:uid="{00000000-0005-0000-0000-00008B820000}"/>
    <cellStyle name="Version_Header" xfId="32991" xr:uid="{00000000-0005-0000-0000-00008C820000}"/>
    <cellStyle name="Volumes_Data" xfId="32992" xr:uid="{00000000-0005-0000-0000-00008D820000}"/>
    <cellStyle name="Währung 2" xfId="32993" xr:uid="{00000000-0005-0000-0000-00008E820000}"/>
    <cellStyle name="Währung 2 2" xfId="32994" xr:uid="{00000000-0005-0000-0000-00008F820000}"/>
    <cellStyle name="Währung 2 2 2" xfId="32995" xr:uid="{00000000-0005-0000-0000-000090820000}"/>
    <cellStyle name="Währung 2 2 2 2" xfId="32996" xr:uid="{00000000-0005-0000-0000-000091820000}"/>
    <cellStyle name="Währung 2 2 2 2 2" xfId="32997" xr:uid="{00000000-0005-0000-0000-000092820000}"/>
    <cellStyle name="Währung 2 2 2 2 3" xfId="32998" xr:uid="{00000000-0005-0000-0000-000093820000}"/>
    <cellStyle name="Währung 2 2 2 2 4" xfId="32999" xr:uid="{00000000-0005-0000-0000-000094820000}"/>
    <cellStyle name="Währung 2 2 2 3" xfId="33000" xr:uid="{00000000-0005-0000-0000-000095820000}"/>
    <cellStyle name="Währung 2 2 2 4" xfId="33001" xr:uid="{00000000-0005-0000-0000-000096820000}"/>
    <cellStyle name="Währung 2 2 2 5" xfId="33002" xr:uid="{00000000-0005-0000-0000-000097820000}"/>
    <cellStyle name="Währung 2 2 3" xfId="33003" xr:uid="{00000000-0005-0000-0000-000098820000}"/>
    <cellStyle name="Währung 2 2 3 2" xfId="33004" xr:uid="{00000000-0005-0000-0000-000099820000}"/>
    <cellStyle name="Währung 2 2 3 3" xfId="33005" xr:uid="{00000000-0005-0000-0000-00009A820000}"/>
    <cellStyle name="Währung 2 2 3 4" xfId="33006" xr:uid="{00000000-0005-0000-0000-00009B820000}"/>
    <cellStyle name="Währung 2 2 4" xfId="33007" xr:uid="{00000000-0005-0000-0000-00009C820000}"/>
    <cellStyle name="Währung 2 2 5" xfId="33008" xr:uid="{00000000-0005-0000-0000-00009D820000}"/>
    <cellStyle name="Währung 2 2 6" xfId="33009" xr:uid="{00000000-0005-0000-0000-00009E820000}"/>
    <cellStyle name="Währung 2 2 7" xfId="33010" xr:uid="{00000000-0005-0000-0000-00009F820000}"/>
    <cellStyle name="Währung 2 2 8" xfId="33011" xr:uid="{00000000-0005-0000-0000-0000A0820000}"/>
    <cellStyle name="Währung 2 3" xfId="33012" xr:uid="{00000000-0005-0000-0000-0000A1820000}"/>
    <cellStyle name="Währung 2 3 2" xfId="33013" xr:uid="{00000000-0005-0000-0000-0000A2820000}"/>
    <cellStyle name="Währung 2 3 3" xfId="33014" xr:uid="{00000000-0005-0000-0000-0000A3820000}"/>
    <cellStyle name="Währung 2 3 4" xfId="33015" xr:uid="{00000000-0005-0000-0000-0000A4820000}"/>
    <cellStyle name="Währung 2 4" xfId="33016" xr:uid="{00000000-0005-0000-0000-0000A5820000}"/>
    <cellStyle name="Währung 2 5" xfId="33017" xr:uid="{00000000-0005-0000-0000-0000A6820000}"/>
    <cellStyle name="Währung 2 6" xfId="33018" xr:uid="{00000000-0005-0000-0000-0000A7820000}"/>
    <cellStyle name="Währung 2 7" xfId="33019" xr:uid="{00000000-0005-0000-0000-0000A8820000}"/>
    <cellStyle name="Währung 2 8" xfId="33020" xr:uid="{00000000-0005-0000-0000-0000A9820000}"/>
    <cellStyle name="Währung 2 9" xfId="33506" xr:uid="{00000000-0005-0000-0000-0000AA820000}"/>
    <cellStyle name="Währung 3" xfId="33021" xr:uid="{00000000-0005-0000-0000-0000AB820000}"/>
    <cellStyle name="Währung 3 2" xfId="33022" xr:uid="{00000000-0005-0000-0000-0000AC820000}"/>
    <cellStyle name="Währung 3 3" xfId="33507" xr:uid="{00000000-0005-0000-0000-0000AD820000}"/>
    <cellStyle name="Währung 4" xfId="33023" xr:uid="{00000000-0005-0000-0000-0000AE820000}"/>
    <cellStyle name="Währung 5" xfId="33024" xr:uid="{00000000-0005-0000-0000-0000AF820000}"/>
    <cellStyle name="Währung 6" xfId="33025" xr:uid="{00000000-0005-0000-0000-0000B0820000}"/>
    <cellStyle name="Währung 7" xfId="33026" xr:uid="{00000000-0005-0000-0000-0000B1820000}"/>
    <cellStyle name="Walutowy [0]_Arkusz1" xfId="33027" xr:uid="{00000000-0005-0000-0000-0000B2820000}"/>
    <cellStyle name="Walutowy_Arkusz1" xfId="33028" xr:uid="{00000000-0005-0000-0000-0000B3820000}"/>
    <cellStyle name="Warnender Text 2" xfId="755" xr:uid="{00000000-0005-0000-0000-0000B4820000}"/>
    <cellStyle name="Warnender Text 2 2" xfId="756" xr:uid="{00000000-0005-0000-0000-0000B5820000}"/>
    <cellStyle name="Warnender Text 2 2 2" xfId="757" xr:uid="{00000000-0005-0000-0000-0000B6820000}"/>
    <cellStyle name="Warnender Text 2 3" xfId="758" xr:uid="{00000000-0005-0000-0000-0000B7820000}"/>
    <cellStyle name="Warnender Text 3" xfId="759" xr:uid="{00000000-0005-0000-0000-0000B8820000}"/>
    <cellStyle name="Warnender Text 3 2" xfId="33029" xr:uid="{00000000-0005-0000-0000-0000B9820000}"/>
    <cellStyle name="Warnender Text 3 3" xfId="33030" xr:uid="{00000000-0005-0000-0000-0000BA820000}"/>
    <cellStyle name="Warnender Text 3_Spotweld Crossreference Master" xfId="33031" xr:uid="{00000000-0005-0000-0000-0000BB820000}"/>
    <cellStyle name="Warnender Text 4" xfId="33032" xr:uid="{00000000-0005-0000-0000-0000BC820000}"/>
    <cellStyle name="Warnender Text 4 2" xfId="33033" xr:uid="{00000000-0005-0000-0000-0000BD820000}"/>
    <cellStyle name="Warnender Text 5" xfId="33034" xr:uid="{00000000-0005-0000-0000-0000BE820000}"/>
    <cellStyle name="Warning Text" xfId="33035" xr:uid="{00000000-0005-0000-0000-0000BF820000}"/>
    <cellStyle name="Warning Text 2" xfId="760" xr:uid="{00000000-0005-0000-0000-0000C0820000}"/>
    <cellStyle name="weekly" xfId="33036" xr:uid="{00000000-0005-0000-0000-0000C1820000}"/>
    <cellStyle name="Wingding" xfId="33037" xr:uid="{00000000-0005-0000-0000-0000C2820000}"/>
    <cellStyle name="Zelle überprüfen 2" xfId="762" xr:uid="{00000000-0005-0000-0000-0000C3820000}"/>
    <cellStyle name="Zelle überprüfen 2 2" xfId="33038" xr:uid="{00000000-0005-0000-0000-0000C4820000}"/>
    <cellStyle name="Zelle überprüfen 3" xfId="763" xr:uid="{00000000-0005-0000-0000-0000C5820000}"/>
    <cellStyle name="Zelle überprüfen 3 2" xfId="33039" xr:uid="{00000000-0005-0000-0000-0000C6820000}"/>
    <cellStyle name="Zelle überprüfen 3 3" xfId="33040" xr:uid="{00000000-0005-0000-0000-0000C7820000}"/>
    <cellStyle name="Zelle überprüfen 3_Spotweld Crossreference Master" xfId="33041" xr:uid="{00000000-0005-0000-0000-0000C8820000}"/>
    <cellStyle name="Zelle überprüfen 4" xfId="764" xr:uid="{00000000-0005-0000-0000-0000C9820000}"/>
    <cellStyle name="Zelle überprüfen 4 2" xfId="33042" xr:uid="{00000000-0005-0000-0000-0000CA820000}"/>
    <cellStyle name="Zelle überprüfen 5" xfId="33043" xr:uid="{00000000-0005-0000-0000-0000CB820000}"/>
    <cellStyle name="Zelle überprüfen 5 2" xfId="33044" xr:uid="{00000000-0005-0000-0000-0000CC820000}"/>
    <cellStyle name="Акцент1" xfId="765" xr:uid="{00000000-0005-0000-0000-0000CD820000}"/>
    <cellStyle name="Акцент2" xfId="766" xr:uid="{00000000-0005-0000-0000-0000CE820000}"/>
    <cellStyle name="Акцент3" xfId="767" xr:uid="{00000000-0005-0000-0000-0000CF820000}"/>
    <cellStyle name="Акцент4" xfId="768" xr:uid="{00000000-0005-0000-0000-0000D0820000}"/>
    <cellStyle name="Акцент5" xfId="769" xr:uid="{00000000-0005-0000-0000-0000D1820000}"/>
    <cellStyle name="Акцент6" xfId="770" xr:uid="{00000000-0005-0000-0000-0000D2820000}"/>
    <cellStyle name="Ввод " xfId="771" xr:uid="{00000000-0005-0000-0000-0000D3820000}"/>
    <cellStyle name="Вывод" xfId="772" xr:uid="{00000000-0005-0000-0000-0000D4820000}"/>
    <cellStyle name="Вычисление" xfId="773" xr:uid="{00000000-0005-0000-0000-0000D5820000}"/>
    <cellStyle name="Заголовок 1" xfId="774" xr:uid="{00000000-0005-0000-0000-0000D6820000}"/>
    <cellStyle name="Заголовок 2" xfId="775" xr:uid="{00000000-0005-0000-0000-0000D7820000}"/>
    <cellStyle name="Заголовок 3" xfId="776" xr:uid="{00000000-0005-0000-0000-0000D8820000}"/>
    <cellStyle name="Заголовок 4" xfId="777" xr:uid="{00000000-0005-0000-0000-0000D9820000}"/>
    <cellStyle name="Итог" xfId="778" xr:uid="{00000000-0005-0000-0000-0000DA820000}"/>
    <cellStyle name="Контрольная ячейка" xfId="779" xr:uid="{00000000-0005-0000-0000-0000DB820000}"/>
    <cellStyle name="Название" xfId="780" xr:uid="{00000000-0005-0000-0000-0000DC820000}"/>
    <cellStyle name="Нейтральный" xfId="781" xr:uid="{00000000-0005-0000-0000-0000DD820000}"/>
    <cellStyle name="Плохой" xfId="782" xr:uid="{00000000-0005-0000-0000-0000DE820000}"/>
    <cellStyle name="Пояснение" xfId="783" xr:uid="{00000000-0005-0000-0000-0000DF820000}"/>
    <cellStyle name="Примечание" xfId="784" xr:uid="{00000000-0005-0000-0000-0000E0820000}"/>
    <cellStyle name="Примечание 2" xfId="785" xr:uid="{00000000-0005-0000-0000-0000E1820000}"/>
    <cellStyle name="Связанная ячейка" xfId="786" xr:uid="{00000000-0005-0000-0000-0000E2820000}"/>
    <cellStyle name="Текст предупреждения" xfId="787" xr:uid="{00000000-0005-0000-0000-0000E3820000}"/>
    <cellStyle name="Хороший" xfId="788" xr:uid="{00000000-0005-0000-0000-0000E4820000}"/>
    <cellStyle name="표준_I.E. G-9" xfId="33045" xr:uid="{00000000-0005-0000-0000-0000E5820000}"/>
    <cellStyle name="標準_00MYDOM07" xfId="33046" xr:uid="{00000000-0005-0000-0000-0000E6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id="{00000000-0008-0000-0100-000007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id="{00000000-0008-0000-0100-000008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1250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id="{00000000-0008-0000-0100-000009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7x GEO 1250R01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id="{00000000-0008-0000-0100-00000A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id="{00000000-0008-0000-0100-00000B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389109/323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269875</xdr:colOff>
      <xdr:row>42</xdr:row>
      <xdr:rowOff>127000</xdr:rowOff>
    </xdr:from>
    <xdr:to>
      <xdr:col>8</xdr:col>
      <xdr:colOff>1127124</xdr:colOff>
      <xdr:row>48</xdr:row>
      <xdr:rowOff>133717</xdr:rowOff>
    </xdr:to>
    <xdr:pic>
      <xdr:nvPicPr>
        <xdr:cNvPr id="17" name="Imagem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3"/>
        <a:stretch>
          <a:fillRect/>
        </a:stretch>
      </xdr:blipFill>
      <xdr:spPr>
        <a:xfrm rot="5400000">
          <a:off x="1671453" y="8599672"/>
          <a:ext cx="1340217" cy="3063874"/>
        </a:xfrm>
        <a:prstGeom prst="rect">
          <a:avLst/>
        </a:prstGeom>
      </xdr:spPr>
    </xdr:pic>
    <xdr:clientData/>
  </xdr:twoCellAnchor>
  <xdr:twoCellAnchor editAs="oneCell">
    <xdr:from>
      <xdr:col>7</xdr:col>
      <xdr:colOff>253999</xdr:colOff>
      <xdr:row>10</xdr:row>
      <xdr:rowOff>63499</xdr:rowOff>
    </xdr:from>
    <xdr:to>
      <xdr:col>34</xdr:col>
      <xdr:colOff>287269</xdr:colOff>
      <xdr:row>39</xdr:row>
      <xdr:rowOff>63500</xdr:rowOff>
    </xdr:to>
    <xdr:pic>
      <xdr:nvPicPr>
        <xdr:cNvPr id="18" name="Imagem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
        <a:stretch>
          <a:fillRect/>
        </a:stretch>
      </xdr:blipFill>
      <xdr:spPr>
        <a:xfrm>
          <a:off x="2746374" y="2285999"/>
          <a:ext cx="14368395" cy="6445251"/>
        </a:xfrm>
        <a:prstGeom prst="rect">
          <a:avLst/>
        </a:prstGeom>
      </xdr:spPr>
    </xdr:pic>
    <xdr:clientData/>
  </xdr:twoCellAnchor>
  <xdr:twoCellAnchor editAs="oneCell">
    <xdr:from>
      <xdr:col>7</xdr:col>
      <xdr:colOff>206375</xdr:colOff>
      <xdr:row>10</xdr:row>
      <xdr:rowOff>95249</xdr:rowOff>
    </xdr:from>
    <xdr:to>
      <xdr:col>8</xdr:col>
      <xdr:colOff>950485</xdr:colOff>
      <xdr:row>12</xdr:row>
      <xdr:rowOff>95970</xdr:rowOff>
    </xdr:to>
    <xdr:pic>
      <xdr:nvPicPr>
        <xdr:cNvPr id="15" name="Imagem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5"/>
        <a:stretch>
          <a:fillRect/>
        </a:stretch>
      </xdr:blipFill>
      <xdr:spPr>
        <a:xfrm>
          <a:off x="2698750" y="2317749"/>
          <a:ext cx="998110" cy="44522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2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2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opLeftCell="A13" zoomScale="70" zoomScaleNormal="70" zoomScaleSheetLayoutView="85" workbookViewId="0">
      <selection activeCell="AA59" sqref="AA59:AB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58"/>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659"/>
      <c r="B2" s="190"/>
      <c r="C2" s="205" t="s">
        <v>25</v>
      </c>
      <c r="D2" s="205" t="s">
        <v>26</v>
      </c>
      <c r="E2" s="206"/>
      <c r="F2" s="669" t="s">
        <v>27</v>
      </c>
      <c r="G2" s="670"/>
      <c r="H2" s="671"/>
      <c r="I2" s="207" t="s">
        <v>28</v>
      </c>
      <c r="J2" s="208" t="s">
        <v>29</v>
      </c>
      <c r="K2" s="206"/>
      <c r="L2" s="209"/>
      <c r="M2" s="666" t="s">
        <v>30</v>
      </c>
      <c r="N2" s="667"/>
      <c r="O2" s="667"/>
      <c r="P2" s="667"/>
      <c r="Q2" s="667"/>
      <c r="R2" s="667"/>
      <c r="S2" s="667"/>
      <c r="T2" s="667"/>
      <c r="U2" s="667"/>
      <c r="V2" s="667"/>
      <c r="W2" s="667"/>
      <c r="X2" s="667"/>
      <c r="Y2" s="667"/>
      <c r="Z2" s="667"/>
      <c r="AA2" s="667"/>
      <c r="AB2" s="667"/>
      <c r="AC2" s="667"/>
      <c r="AD2" s="667"/>
      <c r="AE2" s="667"/>
      <c r="AF2" s="667"/>
      <c r="AG2" s="667"/>
      <c r="AH2" s="667"/>
      <c r="AI2" s="667"/>
      <c r="AJ2" s="668"/>
      <c r="AK2" s="198"/>
      <c r="AL2" s="198"/>
      <c r="AM2" s="204"/>
    </row>
    <row r="3" spans="1:39" ht="17.25" customHeight="1">
      <c r="A3" s="659"/>
      <c r="B3" s="190"/>
      <c r="C3" s="269">
        <v>0</v>
      </c>
      <c r="D3" s="268" t="s">
        <v>1640</v>
      </c>
      <c r="E3" s="219"/>
      <c r="F3" s="641">
        <v>45014</v>
      </c>
      <c r="G3" s="642"/>
      <c r="H3" s="643"/>
      <c r="I3" s="303" t="s">
        <v>1641</v>
      </c>
      <c r="J3" s="220"/>
      <c r="K3" s="221"/>
      <c r="L3" s="220"/>
      <c r="M3" s="582" t="s">
        <v>1642</v>
      </c>
      <c r="N3" s="583"/>
      <c r="O3" s="583"/>
      <c r="P3" s="583"/>
      <c r="Q3" s="583"/>
      <c r="R3" s="583"/>
      <c r="S3" s="583"/>
      <c r="T3" s="583"/>
      <c r="U3" s="583"/>
      <c r="V3" s="583"/>
      <c r="W3" s="583"/>
      <c r="X3" s="583"/>
      <c r="Y3" s="583"/>
      <c r="Z3" s="583"/>
      <c r="AA3" s="583"/>
      <c r="AB3" s="583"/>
      <c r="AC3" s="583"/>
      <c r="AD3" s="583"/>
      <c r="AE3" s="583"/>
      <c r="AF3" s="583"/>
      <c r="AG3" s="583"/>
      <c r="AH3" s="583"/>
      <c r="AI3" s="583"/>
      <c r="AJ3" s="584"/>
      <c r="AK3" s="198"/>
      <c r="AL3" s="198"/>
      <c r="AM3" s="204"/>
    </row>
    <row r="4" spans="1:39" ht="17.25" customHeight="1">
      <c r="A4" s="659"/>
      <c r="B4" s="190"/>
      <c r="C4" s="268"/>
      <c r="D4" s="268"/>
      <c r="E4" s="221"/>
      <c r="F4" s="644"/>
      <c r="G4" s="645"/>
      <c r="H4" s="646"/>
      <c r="I4" s="303"/>
      <c r="J4" s="220"/>
      <c r="K4" s="221"/>
      <c r="L4" s="220"/>
      <c r="M4" s="579"/>
      <c r="N4" s="580"/>
      <c r="O4" s="580"/>
      <c r="P4" s="580"/>
      <c r="Q4" s="580"/>
      <c r="R4" s="580"/>
      <c r="S4" s="580"/>
      <c r="T4" s="580"/>
      <c r="U4" s="580"/>
      <c r="V4" s="580"/>
      <c r="W4" s="580"/>
      <c r="X4" s="580"/>
      <c r="Y4" s="580"/>
      <c r="Z4" s="580"/>
      <c r="AA4" s="580"/>
      <c r="AB4" s="580"/>
      <c r="AC4" s="580"/>
      <c r="AD4" s="580"/>
      <c r="AE4" s="580"/>
      <c r="AF4" s="580"/>
      <c r="AG4" s="580"/>
      <c r="AH4" s="580"/>
      <c r="AI4" s="580"/>
      <c r="AJ4" s="581"/>
      <c r="AK4" s="199"/>
      <c r="AL4" s="199"/>
      <c r="AM4" s="204"/>
    </row>
    <row r="5" spans="1:39" ht="17.25" customHeight="1">
      <c r="A5" s="659"/>
      <c r="B5" s="190"/>
      <c r="C5" s="268"/>
      <c r="D5" s="268"/>
      <c r="E5" s="222"/>
      <c r="F5" s="644"/>
      <c r="G5" s="645"/>
      <c r="H5" s="646"/>
      <c r="I5" s="304"/>
      <c r="J5" s="223"/>
      <c r="K5" s="224"/>
      <c r="L5" s="225"/>
      <c r="M5" s="579"/>
      <c r="N5" s="580"/>
      <c r="O5" s="580"/>
      <c r="P5" s="580"/>
      <c r="Q5" s="580"/>
      <c r="R5" s="580"/>
      <c r="S5" s="580"/>
      <c r="T5" s="580"/>
      <c r="U5" s="580"/>
      <c r="V5" s="580"/>
      <c r="W5" s="580"/>
      <c r="X5" s="580"/>
      <c r="Y5" s="580"/>
      <c r="Z5" s="580"/>
      <c r="AA5" s="580"/>
      <c r="AB5" s="580"/>
      <c r="AC5" s="580"/>
      <c r="AD5" s="580"/>
      <c r="AE5" s="580"/>
      <c r="AF5" s="580"/>
      <c r="AG5" s="580"/>
      <c r="AH5" s="580"/>
      <c r="AI5" s="580"/>
      <c r="AJ5" s="581"/>
      <c r="AK5" s="210"/>
      <c r="AL5" s="168"/>
      <c r="AM5" s="204"/>
    </row>
    <row r="6" spans="1:39" ht="17.25" customHeight="1">
      <c r="A6" s="659"/>
      <c r="B6" s="190"/>
      <c r="C6" s="268"/>
      <c r="D6" s="268"/>
      <c r="E6" s="222"/>
      <c r="F6" s="644"/>
      <c r="G6" s="645"/>
      <c r="H6" s="646"/>
      <c r="I6" s="304"/>
      <c r="J6" s="223"/>
      <c r="K6" s="224"/>
      <c r="L6" s="225"/>
      <c r="M6" s="579"/>
      <c r="N6" s="580"/>
      <c r="O6" s="580"/>
      <c r="P6" s="580"/>
      <c r="Q6" s="580"/>
      <c r="R6" s="580"/>
      <c r="S6" s="580"/>
      <c r="T6" s="580"/>
      <c r="U6" s="580"/>
      <c r="V6" s="580"/>
      <c r="W6" s="580"/>
      <c r="X6" s="580"/>
      <c r="Y6" s="580"/>
      <c r="Z6" s="580"/>
      <c r="AA6" s="580"/>
      <c r="AB6" s="580"/>
      <c r="AC6" s="580"/>
      <c r="AD6" s="580"/>
      <c r="AE6" s="580"/>
      <c r="AF6" s="580"/>
      <c r="AG6" s="580"/>
      <c r="AH6" s="580"/>
      <c r="AI6" s="580"/>
      <c r="AJ6" s="581"/>
      <c r="AK6" s="168"/>
      <c r="AL6" s="168"/>
      <c r="AM6" s="204"/>
    </row>
    <row r="7" spans="1:39" ht="17.25" customHeight="1">
      <c r="A7" s="659"/>
      <c r="B7" s="190"/>
      <c r="C7" s="268"/>
      <c r="D7" s="226"/>
      <c r="E7" s="227"/>
      <c r="F7" s="647"/>
      <c r="G7" s="648"/>
      <c r="H7" s="649"/>
      <c r="I7" s="305"/>
      <c r="J7" s="228"/>
      <c r="K7" s="229"/>
      <c r="L7" s="230"/>
      <c r="M7" s="582"/>
      <c r="N7" s="583"/>
      <c r="O7" s="583"/>
      <c r="P7" s="583"/>
      <c r="Q7" s="583"/>
      <c r="R7" s="583"/>
      <c r="S7" s="583"/>
      <c r="T7" s="583"/>
      <c r="U7" s="583"/>
      <c r="V7" s="583"/>
      <c r="W7" s="583"/>
      <c r="X7" s="583"/>
      <c r="Y7" s="583"/>
      <c r="Z7" s="583"/>
      <c r="AA7" s="583"/>
      <c r="AB7" s="583"/>
      <c r="AC7" s="583"/>
      <c r="AD7" s="583"/>
      <c r="AE7" s="583"/>
      <c r="AF7" s="583"/>
      <c r="AG7" s="583"/>
      <c r="AH7" s="583"/>
      <c r="AI7" s="583"/>
      <c r="AJ7" s="584"/>
      <c r="AK7" s="168"/>
      <c r="AL7" s="168"/>
      <c r="AM7" s="204"/>
    </row>
    <row r="8" spans="1:39" ht="17.25" customHeight="1">
      <c r="A8" s="659"/>
      <c r="B8" s="190"/>
      <c r="C8" s="268"/>
      <c r="D8" s="226"/>
      <c r="E8" s="227"/>
      <c r="F8" s="647"/>
      <c r="G8" s="648"/>
      <c r="H8" s="649"/>
      <c r="I8" s="304"/>
      <c r="J8" s="228"/>
      <c r="K8" s="229"/>
      <c r="L8" s="230"/>
      <c r="M8" s="582"/>
      <c r="N8" s="583"/>
      <c r="O8" s="583"/>
      <c r="P8" s="583"/>
      <c r="Q8" s="583"/>
      <c r="R8" s="583"/>
      <c r="S8" s="583"/>
      <c r="T8" s="583"/>
      <c r="U8" s="583"/>
      <c r="V8" s="583"/>
      <c r="W8" s="583"/>
      <c r="X8" s="583"/>
      <c r="Y8" s="583"/>
      <c r="Z8" s="583"/>
      <c r="AA8" s="583"/>
      <c r="AB8" s="583"/>
      <c r="AC8" s="583"/>
      <c r="AD8" s="583"/>
      <c r="AE8" s="583"/>
      <c r="AF8" s="583"/>
      <c r="AG8" s="583"/>
      <c r="AH8" s="583"/>
      <c r="AI8" s="583"/>
      <c r="AJ8" s="584"/>
      <c r="AK8" s="168"/>
      <c r="AL8" s="168"/>
      <c r="AM8" s="204"/>
    </row>
    <row r="9" spans="1:39" ht="17.25" customHeight="1">
      <c r="A9" s="659"/>
      <c r="B9" s="190"/>
      <c r="C9" s="268"/>
      <c r="D9" s="231"/>
      <c r="E9" s="232"/>
      <c r="F9" s="562"/>
      <c r="G9" s="650"/>
      <c r="H9" s="650"/>
      <c r="I9" s="306"/>
      <c r="J9" s="223"/>
      <c r="K9" s="225"/>
      <c r="L9" s="225"/>
      <c r="M9" s="665"/>
      <c r="N9" s="665"/>
      <c r="O9" s="665"/>
      <c r="P9" s="665"/>
      <c r="Q9" s="665"/>
      <c r="R9" s="665"/>
      <c r="S9" s="665"/>
      <c r="T9" s="665"/>
      <c r="U9" s="665"/>
      <c r="V9" s="665"/>
      <c r="W9" s="665"/>
      <c r="X9" s="665"/>
      <c r="Y9" s="665"/>
      <c r="Z9" s="665"/>
      <c r="AA9" s="665"/>
      <c r="AB9" s="665"/>
      <c r="AC9" s="665"/>
      <c r="AD9" s="665"/>
      <c r="AE9" s="665"/>
      <c r="AF9" s="665"/>
      <c r="AG9" s="665"/>
      <c r="AH9" s="665"/>
      <c r="AI9" s="665"/>
      <c r="AJ9" s="665"/>
      <c r="AK9" s="168"/>
      <c r="AL9" s="168"/>
      <c r="AM9" s="204"/>
    </row>
    <row r="10" spans="1:39" ht="17.25" customHeight="1">
      <c r="A10" s="659"/>
      <c r="B10" s="190"/>
      <c r="C10" s="268"/>
      <c r="D10" s="231"/>
      <c r="E10" s="232"/>
      <c r="F10" s="562"/>
      <c r="G10" s="650"/>
      <c r="H10" s="650"/>
      <c r="I10" s="306"/>
      <c r="J10" s="223"/>
      <c r="K10" s="225"/>
      <c r="L10" s="225"/>
      <c r="M10" s="665"/>
      <c r="N10" s="665"/>
      <c r="O10" s="665"/>
      <c r="P10" s="665"/>
      <c r="Q10" s="665"/>
      <c r="R10" s="665"/>
      <c r="S10" s="665"/>
      <c r="T10" s="665"/>
      <c r="U10" s="665"/>
      <c r="V10" s="665"/>
      <c r="W10" s="665"/>
      <c r="X10" s="665"/>
      <c r="Y10" s="665"/>
      <c r="Z10" s="665"/>
      <c r="AA10" s="665"/>
      <c r="AB10" s="665"/>
      <c r="AC10" s="665"/>
      <c r="AD10" s="665"/>
      <c r="AE10" s="665"/>
      <c r="AF10" s="665"/>
      <c r="AG10" s="665"/>
      <c r="AH10" s="665"/>
      <c r="AI10" s="665"/>
      <c r="AJ10" s="665"/>
      <c r="AK10" s="168"/>
      <c r="AL10" s="168"/>
      <c r="AM10" s="204"/>
    </row>
    <row r="11" spans="1:39" ht="17.25" customHeight="1">
      <c r="A11" s="659"/>
      <c r="B11" s="190"/>
      <c r="C11" s="268"/>
      <c r="D11" s="231"/>
      <c r="E11" s="232"/>
      <c r="F11" s="562"/>
      <c r="G11" s="562"/>
      <c r="H11" s="562"/>
      <c r="I11" s="232"/>
      <c r="J11" s="223"/>
      <c r="K11" s="225"/>
      <c r="L11" s="225"/>
      <c r="M11" s="673"/>
      <c r="N11" s="665"/>
      <c r="O11" s="665"/>
      <c r="P11" s="665"/>
      <c r="Q11" s="665"/>
      <c r="R11" s="665"/>
      <c r="S11" s="665"/>
      <c r="T11" s="665"/>
      <c r="U11" s="665"/>
      <c r="V11" s="665"/>
      <c r="W11" s="665"/>
      <c r="X11" s="665"/>
      <c r="Y11" s="665"/>
      <c r="Z11" s="665"/>
      <c r="AA11" s="665"/>
      <c r="AB11" s="665"/>
      <c r="AC11" s="665"/>
      <c r="AD11" s="665"/>
      <c r="AE11" s="665"/>
      <c r="AF11" s="665"/>
      <c r="AG11" s="665"/>
      <c r="AH11" s="665"/>
      <c r="AI11" s="665"/>
      <c r="AJ11" s="665"/>
      <c r="AK11" s="168"/>
      <c r="AL11" s="168"/>
      <c r="AM11" s="204"/>
    </row>
    <row r="12" spans="1:39" ht="17.25" customHeight="1">
      <c r="A12" s="659"/>
      <c r="B12" s="190"/>
      <c r="C12" s="268"/>
      <c r="D12" s="233"/>
      <c r="E12" s="234"/>
      <c r="F12" s="655"/>
      <c r="G12" s="656"/>
      <c r="H12" s="657"/>
      <c r="I12" s="234"/>
      <c r="J12" s="235"/>
      <c r="K12" s="236"/>
      <c r="L12" s="237"/>
      <c r="M12" s="662"/>
      <c r="N12" s="663"/>
      <c r="O12" s="663"/>
      <c r="P12" s="663"/>
      <c r="Q12" s="663"/>
      <c r="R12" s="663"/>
      <c r="S12" s="663"/>
      <c r="T12" s="663"/>
      <c r="U12" s="663"/>
      <c r="V12" s="663"/>
      <c r="W12" s="663"/>
      <c r="X12" s="663"/>
      <c r="Y12" s="663"/>
      <c r="Z12" s="663"/>
      <c r="AA12" s="663"/>
      <c r="AB12" s="663"/>
      <c r="AC12" s="663"/>
      <c r="AD12" s="663"/>
      <c r="AE12" s="663"/>
      <c r="AF12" s="663"/>
      <c r="AG12" s="663"/>
      <c r="AH12" s="663"/>
      <c r="AI12" s="663"/>
      <c r="AJ12" s="664"/>
      <c r="AK12" s="168"/>
      <c r="AL12" s="168"/>
      <c r="AM12" s="204"/>
    </row>
    <row r="13" spans="1:39" ht="17.25" customHeight="1">
      <c r="A13" s="659"/>
      <c r="B13" s="190"/>
      <c r="C13" s="268"/>
      <c r="D13" s="238"/>
      <c r="E13" s="222"/>
      <c r="F13" s="652"/>
      <c r="G13" s="653"/>
      <c r="H13" s="654"/>
      <c r="I13" s="222"/>
      <c r="J13" s="223"/>
      <c r="K13" s="224"/>
      <c r="L13" s="225"/>
      <c r="M13" s="582"/>
      <c r="N13" s="583"/>
      <c r="O13" s="583"/>
      <c r="P13" s="583"/>
      <c r="Q13" s="583"/>
      <c r="R13" s="583"/>
      <c r="S13" s="583"/>
      <c r="T13" s="583"/>
      <c r="U13" s="583"/>
      <c r="V13" s="583"/>
      <c r="W13" s="583"/>
      <c r="X13" s="583"/>
      <c r="Y13" s="583"/>
      <c r="Z13" s="583"/>
      <c r="AA13" s="583"/>
      <c r="AB13" s="583"/>
      <c r="AC13" s="583"/>
      <c r="AD13" s="583"/>
      <c r="AE13" s="583"/>
      <c r="AF13" s="583"/>
      <c r="AG13" s="583"/>
      <c r="AH13" s="583"/>
      <c r="AI13" s="583"/>
      <c r="AJ13" s="584"/>
      <c r="AK13" s="168"/>
      <c r="AL13" s="168"/>
      <c r="AM13" s="204"/>
    </row>
    <row r="14" spans="1:39" ht="17.25" customHeight="1">
      <c r="A14" s="659"/>
      <c r="B14" s="190"/>
      <c r="C14" s="268"/>
      <c r="D14" s="238"/>
      <c r="E14" s="222"/>
      <c r="F14" s="607"/>
      <c r="G14" s="608"/>
      <c r="H14" s="609"/>
      <c r="I14" s="222"/>
      <c r="J14" s="223"/>
      <c r="K14" s="224"/>
      <c r="L14" s="225"/>
      <c r="M14" s="579"/>
      <c r="N14" s="580"/>
      <c r="O14" s="580"/>
      <c r="P14" s="580"/>
      <c r="Q14" s="580"/>
      <c r="R14" s="580"/>
      <c r="S14" s="580"/>
      <c r="T14" s="580"/>
      <c r="U14" s="580"/>
      <c r="V14" s="580"/>
      <c r="W14" s="580"/>
      <c r="X14" s="580"/>
      <c r="Y14" s="580"/>
      <c r="Z14" s="580"/>
      <c r="AA14" s="580"/>
      <c r="AB14" s="580"/>
      <c r="AC14" s="580"/>
      <c r="AD14" s="580"/>
      <c r="AE14" s="580"/>
      <c r="AF14" s="580"/>
      <c r="AG14" s="580"/>
      <c r="AH14" s="580"/>
      <c r="AI14" s="580"/>
      <c r="AJ14" s="581"/>
      <c r="AK14" s="168"/>
      <c r="AL14" s="168"/>
      <c r="AM14" s="204"/>
    </row>
    <row r="15" spans="1:39" ht="17.25" customHeight="1">
      <c r="A15" s="659"/>
      <c r="B15" s="190"/>
      <c r="C15" s="268"/>
      <c r="D15" s="238"/>
      <c r="E15" s="222"/>
      <c r="F15" s="652"/>
      <c r="G15" s="653"/>
      <c r="H15" s="654"/>
      <c r="I15" s="313"/>
      <c r="J15" s="223"/>
      <c r="K15" s="224"/>
      <c r="L15" s="225"/>
      <c r="M15" s="582"/>
      <c r="N15" s="583"/>
      <c r="O15" s="583"/>
      <c r="P15" s="583"/>
      <c r="Q15" s="583"/>
      <c r="R15" s="583"/>
      <c r="S15" s="583"/>
      <c r="T15" s="583"/>
      <c r="U15" s="583"/>
      <c r="V15" s="583"/>
      <c r="W15" s="583"/>
      <c r="X15" s="583"/>
      <c r="Y15" s="583"/>
      <c r="Z15" s="583"/>
      <c r="AA15" s="583"/>
      <c r="AB15" s="583"/>
      <c r="AC15" s="583"/>
      <c r="AD15" s="583"/>
      <c r="AE15" s="583"/>
      <c r="AF15" s="583"/>
      <c r="AG15" s="583"/>
      <c r="AH15" s="583"/>
      <c r="AI15" s="583"/>
      <c r="AJ15" s="584"/>
      <c r="AK15" s="168"/>
      <c r="AL15" s="168"/>
      <c r="AM15" s="204"/>
    </row>
    <row r="16" spans="1:39" ht="17.25" customHeight="1">
      <c r="A16" s="659"/>
      <c r="B16" s="190"/>
      <c r="C16" s="268"/>
      <c r="D16" s="238"/>
      <c r="E16" s="234"/>
      <c r="F16" s="607"/>
      <c r="G16" s="608"/>
      <c r="H16" s="609"/>
      <c r="I16" s="222"/>
      <c r="J16" s="235"/>
      <c r="K16" s="236"/>
      <c r="L16" s="237"/>
      <c r="M16" s="582"/>
      <c r="N16" s="583"/>
      <c r="O16" s="583"/>
      <c r="P16" s="583"/>
      <c r="Q16" s="583"/>
      <c r="R16" s="583"/>
      <c r="S16" s="583"/>
      <c r="T16" s="583"/>
      <c r="U16" s="583"/>
      <c r="V16" s="583"/>
      <c r="W16" s="583"/>
      <c r="X16" s="583"/>
      <c r="Y16" s="583"/>
      <c r="Z16" s="583"/>
      <c r="AA16" s="583"/>
      <c r="AB16" s="583"/>
      <c r="AC16" s="583"/>
      <c r="AD16" s="583"/>
      <c r="AE16" s="583"/>
      <c r="AF16" s="583"/>
      <c r="AG16" s="583"/>
      <c r="AH16" s="583"/>
      <c r="AI16" s="583"/>
      <c r="AJ16" s="584"/>
      <c r="AK16" s="168"/>
      <c r="AL16" s="168"/>
      <c r="AM16" s="204"/>
    </row>
    <row r="17" spans="1:39" ht="17.25" customHeight="1">
      <c r="A17" s="659"/>
      <c r="B17" s="190"/>
      <c r="C17" s="268"/>
      <c r="D17" s="238"/>
      <c r="E17" s="222"/>
      <c r="F17" s="652"/>
      <c r="G17" s="653"/>
      <c r="H17" s="654"/>
      <c r="I17" s="222"/>
      <c r="J17" s="223"/>
      <c r="K17" s="224"/>
      <c r="L17" s="225"/>
      <c r="M17" s="672"/>
      <c r="N17" s="583"/>
      <c r="O17" s="583"/>
      <c r="P17" s="583"/>
      <c r="Q17" s="583"/>
      <c r="R17" s="583"/>
      <c r="S17" s="583"/>
      <c r="T17" s="583"/>
      <c r="U17" s="583"/>
      <c r="V17" s="583"/>
      <c r="W17" s="583"/>
      <c r="X17" s="583"/>
      <c r="Y17" s="583"/>
      <c r="Z17" s="583"/>
      <c r="AA17" s="583"/>
      <c r="AB17" s="583"/>
      <c r="AC17" s="583"/>
      <c r="AD17" s="583"/>
      <c r="AE17" s="583"/>
      <c r="AF17" s="583"/>
      <c r="AG17" s="583"/>
      <c r="AH17" s="583"/>
      <c r="AI17" s="583"/>
      <c r="AJ17" s="584"/>
      <c r="AK17" s="168"/>
      <c r="AL17" s="168"/>
      <c r="AM17" s="204"/>
    </row>
    <row r="18" spans="1:39" ht="17.25" customHeight="1">
      <c r="A18" s="659"/>
      <c r="B18" s="190"/>
      <c r="C18" s="268"/>
      <c r="D18" s="238"/>
      <c r="E18" s="222"/>
      <c r="F18" s="607"/>
      <c r="G18" s="608"/>
      <c r="H18" s="609"/>
      <c r="I18" s="222"/>
      <c r="J18" s="223"/>
      <c r="K18" s="224"/>
      <c r="L18" s="225"/>
      <c r="M18" s="582"/>
      <c r="N18" s="583"/>
      <c r="O18" s="583"/>
      <c r="P18" s="583"/>
      <c r="Q18" s="583"/>
      <c r="R18" s="583"/>
      <c r="S18" s="583"/>
      <c r="T18" s="583"/>
      <c r="U18" s="583"/>
      <c r="V18" s="583"/>
      <c r="W18" s="583"/>
      <c r="X18" s="583"/>
      <c r="Y18" s="583"/>
      <c r="Z18" s="583"/>
      <c r="AA18" s="583"/>
      <c r="AB18" s="583"/>
      <c r="AC18" s="583"/>
      <c r="AD18" s="583"/>
      <c r="AE18" s="583"/>
      <c r="AF18" s="583"/>
      <c r="AG18" s="583"/>
      <c r="AH18" s="583"/>
      <c r="AI18" s="583"/>
      <c r="AJ18" s="584"/>
      <c r="AK18" s="168"/>
      <c r="AL18" s="168"/>
      <c r="AM18" s="204"/>
    </row>
    <row r="19" spans="1:39" ht="17.25" customHeight="1">
      <c r="A19" s="659"/>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659"/>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659"/>
      <c r="B21" s="190"/>
      <c r="C21" s="268"/>
      <c r="D21" s="240"/>
      <c r="E21" s="245"/>
      <c r="F21" s="566"/>
      <c r="G21" s="567"/>
      <c r="H21" s="568"/>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659"/>
      <c r="B22" s="190"/>
      <c r="C22" s="268"/>
      <c r="D22" s="244"/>
      <c r="E22" s="245"/>
      <c r="F22" s="651"/>
      <c r="G22" s="567"/>
      <c r="H22" s="568"/>
      <c r="I22" s="307"/>
      <c r="J22" s="246"/>
      <c r="K22" s="243"/>
      <c r="L22" s="242"/>
      <c r="M22" s="674"/>
      <c r="N22" s="675"/>
      <c r="O22" s="675"/>
      <c r="P22" s="675"/>
      <c r="Q22" s="675"/>
      <c r="R22" s="675"/>
      <c r="S22" s="675"/>
      <c r="T22" s="675"/>
      <c r="U22" s="675"/>
      <c r="V22" s="675"/>
      <c r="W22" s="675"/>
      <c r="X22" s="675"/>
      <c r="Y22" s="675"/>
      <c r="Z22" s="675"/>
      <c r="AA22" s="675"/>
      <c r="AB22" s="675"/>
      <c r="AC22" s="675"/>
      <c r="AD22" s="675"/>
      <c r="AE22" s="675"/>
      <c r="AF22" s="675"/>
      <c r="AG22" s="675"/>
      <c r="AH22" s="675"/>
      <c r="AI22" s="675"/>
      <c r="AJ22" s="676"/>
      <c r="AK22" s="168"/>
      <c r="AL22" s="168"/>
      <c r="AM22" s="204"/>
    </row>
    <row r="23" spans="1:39" ht="17.25" customHeight="1">
      <c r="A23" s="659"/>
      <c r="B23" s="190"/>
      <c r="C23" s="268"/>
      <c r="D23" s="240"/>
      <c r="E23" s="241"/>
      <c r="F23" s="601"/>
      <c r="G23" s="602"/>
      <c r="H23" s="603"/>
      <c r="I23" s="308"/>
      <c r="J23" s="242"/>
      <c r="K23" s="243"/>
      <c r="L23" s="242"/>
      <c r="M23" s="576"/>
      <c r="N23" s="577"/>
      <c r="O23" s="577"/>
      <c r="P23" s="577"/>
      <c r="Q23" s="577"/>
      <c r="R23" s="577"/>
      <c r="S23" s="577"/>
      <c r="T23" s="577"/>
      <c r="U23" s="577"/>
      <c r="V23" s="577"/>
      <c r="W23" s="577"/>
      <c r="X23" s="577"/>
      <c r="Y23" s="577"/>
      <c r="Z23" s="577"/>
      <c r="AA23" s="577"/>
      <c r="AB23" s="577"/>
      <c r="AC23" s="577"/>
      <c r="AD23" s="577"/>
      <c r="AE23" s="577"/>
      <c r="AF23" s="577"/>
      <c r="AG23" s="577"/>
      <c r="AH23" s="577"/>
      <c r="AI23" s="577"/>
      <c r="AJ23" s="578"/>
      <c r="AK23" s="168"/>
      <c r="AL23" s="168"/>
      <c r="AM23" s="204"/>
    </row>
    <row r="24" spans="1:39" ht="17.25" customHeight="1">
      <c r="A24" s="659"/>
      <c r="B24" s="190"/>
      <c r="C24" s="268"/>
      <c r="D24" s="244"/>
      <c r="E24" s="245"/>
      <c r="F24" s="566"/>
      <c r="G24" s="567"/>
      <c r="H24" s="568"/>
      <c r="I24" s="309"/>
      <c r="J24" s="248"/>
      <c r="K24" s="247"/>
      <c r="L24" s="248"/>
      <c r="M24" s="576"/>
      <c r="N24" s="577"/>
      <c r="O24" s="577"/>
      <c r="P24" s="577"/>
      <c r="Q24" s="577"/>
      <c r="R24" s="577"/>
      <c r="S24" s="577"/>
      <c r="T24" s="577"/>
      <c r="U24" s="577"/>
      <c r="V24" s="577"/>
      <c r="W24" s="577"/>
      <c r="X24" s="577"/>
      <c r="Y24" s="577"/>
      <c r="Z24" s="577"/>
      <c r="AA24" s="577"/>
      <c r="AB24" s="577"/>
      <c r="AC24" s="577"/>
      <c r="AD24" s="577"/>
      <c r="AE24" s="577"/>
      <c r="AF24" s="577"/>
      <c r="AG24" s="577"/>
      <c r="AH24" s="577"/>
      <c r="AI24" s="577"/>
      <c r="AJ24" s="578"/>
      <c r="AK24" s="168"/>
      <c r="AL24" s="168"/>
      <c r="AM24" s="204"/>
    </row>
    <row r="25" spans="1:39" ht="17.25" customHeight="1">
      <c r="A25" s="659"/>
      <c r="B25" s="190"/>
      <c r="C25" s="268"/>
      <c r="D25" s="240"/>
      <c r="E25" s="241"/>
      <c r="F25" s="601"/>
      <c r="G25" s="602"/>
      <c r="H25" s="603"/>
      <c r="I25" s="308"/>
      <c r="J25" s="242"/>
      <c r="K25" s="243"/>
      <c r="L25" s="242"/>
      <c r="M25" s="576"/>
      <c r="N25" s="577"/>
      <c r="O25" s="577"/>
      <c r="P25" s="577"/>
      <c r="Q25" s="577"/>
      <c r="R25" s="577"/>
      <c r="S25" s="577"/>
      <c r="T25" s="577"/>
      <c r="U25" s="577"/>
      <c r="V25" s="577"/>
      <c r="W25" s="577"/>
      <c r="X25" s="577"/>
      <c r="Y25" s="577"/>
      <c r="Z25" s="577"/>
      <c r="AA25" s="577"/>
      <c r="AB25" s="577"/>
      <c r="AC25" s="577"/>
      <c r="AD25" s="577"/>
      <c r="AE25" s="577"/>
      <c r="AF25" s="577"/>
      <c r="AG25" s="577"/>
      <c r="AH25" s="577"/>
      <c r="AI25" s="577"/>
      <c r="AJ25" s="578"/>
      <c r="AK25" s="168"/>
      <c r="AL25" s="168"/>
      <c r="AM25" s="204"/>
    </row>
    <row r="26" spans="1:39" ht="17.25" customHeight="1">
      <c r="A26" s="659"/>
      <c r="B26" s="190"/>
      <c r="C26" s="268"/>
      <c r="D26" s="244"/>
      <c r="E26" s="245"/>
      <c r="F26" s="566"/>
      <c r="G26" s="567"/>
      <c r="H26" s="568"/>
      <c r="I26" s="309"/>
      <c r="J26" s="246"/>
      <c r="K26" s="247"/>
      <c r="L26" s="248"/>
      <c r="M26" s="576"/>
      <c r="N26" s="577"/>
      <c r="O26" s="577"/>
      <c r="P26" s="577"/>
      <c r="Q26" s="577"/>
      <c r="R26" s="577"/>
      <c r="S26" s="577"/>
      <c r="T26" s="577"/>
      <c r="U26" s="577"/>
      <c r="V26" s="577"/>
      <c r="W26" s="577"/>
      <c r="X26" s="577"/>
      <c r="Y26" s="577"/>
      <c r="Z26" s="577"/>
      <c r="AA26" s="577"/>
      <c r="AB26" s="577"/>
      <c r="AC26" s="577"/>
      <c r="AD26" s="577"/>
      <c r="AE26" s="577"/>
      <c r="AF26" s="577"/>
      <c r="AG26" s="577"/>
      <c r="AH26" s="577"/>
      <c r="AI26" s="577"/>
      <c r="AJ26" s="578"/>
      <c r="AK26" s="168"/>
      <c r="AL26" s="168"/>
      <c r="AM26" s="204"/>
    </row>
    <row r="27" spans="1:39" ht="17.25" customHeight="1">
      <c r="A27" s="659"/>
      <c r="B27" s="190"/>
      <c r="C27" s="268"/>
      <c r="D27" s="240"/>
      <c r="E27" s="241"/>
      <c r="F27" s="601"/>
      <c r="G27" s="602"/>
      <c r="H27" s="603"/>
      <c r="I27" s="308"/>
      <c r="J27" s="242"/>
      <c r="K27" s="243"/>
      <c r="L27" s="242"/>
      <c r="M27" s="576"/>
      <c r="N27" s="577"/>
      <c r="O27" s="577"/>
      <c r="P27" s="577"/>
      <c r="Q27" s="577"/>
      <c r="R27" s="577"/>
      <c r="S27" s="577"/>
      <c r="T27" s="577"/>
      <c r="U27" s="577"/>
      <c r="V27" s="577"/>
      <c r="W27" s="577"/>
      <c r="X27" s="577"/>
      <c r="Y27" s="577"/>
      <c r="Z27" s="577"/>
      <c r="AA27" s="577"/>
      <c r="AB27" s="577"/>
      <c r="AC27" s="577"/>
      <c r="AD27" s="577"/>
      <c r="AE27" s="577"/>
      <c r="AF27" s="577"/>
      <c r="AG27" s="577"/>
      <c r="AH27" s="577"/>
      <c r="AI27" s="577"/>
      <c r="AJ27" s="578"/>
      <c r="AK27" s="168"/>
      <c r="AL27" s="168"/>
      <c r="AM27" s="204"/>
    </row>
    <row r="28" spans="1:39" ht="17.25" customHeight="1">
      <c r="A28" s="659"/>
      <c r="B28" s="190"/>
      <c r="C28" s="268"/>
      <c r="D28" s="244"/>
      <c r="E28" s="245"/>
      <c r="F28" s="566"/>
      <c r="G28" s="567"/>
      <c r="H28" s="568"/>
      <c r="I28" s="309"/>
      <c r="J28" s="248"/>
      <c r="K28" s="247"/>
      <c r="L28" s="248"/>
      <c r="M28" s="576"/>
      <c r="N28" s="577"/>
      <c r="O28" s="577"/>
      <c r="P28" s="577"/>
      <c r="Q28" s="577"/>
      <c r="R28" s="577"/>
      <c r="S28" s="577"/>
      <c r="T28" s="577"/>
      <c r="U28" s="577"/>
      <c r="V28" s="577"/>
      <c r="W28" s="577"/>
      <c r="X28" s="577"/>
      <c r="Y28" s="577"/>
      <c r="Z28" s="577"/>
      <c r="AA28" s="577"/>
      <c r="AB28" s="577"/>
      <c r="AC28" s="577"/>
      <c r="AD28" s="577"/>
      <c r="AE28" s="577"/>
      <c r="AF28" s="577"/>
      <c r="AG28" s="577"/>
      <c r="AH28" s="577"/>
      <c r="AI28" s="577"/>
      <c r="AJ28" s="578"/>
      <c r="AK28" s="168"/>
      <c r="AL28" s="168"/>
      <c r="AM28" s="204"/>
    </row>
    <row r="29" spans="1:39" ht="17.25" customHeight="1">
      <c r="A29" s="659"/>
      <c r="B29" s="190"/>
      <c r="C29" s="268"/>
      <c r="D29" s="240"/>
      <c r="E29" s="241"/>
      <c r="F29" s="601"/>
      <c r="G29" s="602"/>
      <c r="H29" s="603"/>
      <c r="I29" s="308"/>
      <c r="J29" s="250"/>
      <c r="K29" s="243"/>
      <c r="L29" s="250"/>
      <c r="M29" s="576"/>
      <c r="N29" s="577"/>
      <c r="O29" s="577"/>
      <c r="P29" s="577"/>
      <c r="Q29" s="577"/>
      <c r="R29" s="577"/>
      <c r="S29" s="577"/>
      <c r="T29" s="577"/>
      <c r="U29" s="577"/>
      <c r="V29" s="577"/>
      <c r="W29" s="577"/>
      <c r="X29" s="577"/>
      <c r="Y29" s="577"/>
      <c r="Z29" s="577"/>
      <c r="AA29" s="577"/>
      <c r="AB29" s="577"/>
      <c r="AC29" s="577"/>
      <c r="AD29" s="577"/>
      <c r="AE29" s="577"/>
      <c r="AF29" s="577"/>
      <c r="AG29" s="577"/>
      <c r="AH29" s="577"/>
      <c r="AI29" s="577"/>
      <c r="AJ29" s="578"/>
      <c r="AK29" s="168"/>
      <c r="AL29" s="168"/>
      <c r="AM29" s="204"/>
    </row>
    <row r="30" spans="1:39" ht="17.25" customHeight="1">
      <c r="A30" s="660"/>
      <c r="B30" s="190"/>
      <c r="C30" s="268"/>
      <c r="D30" s="244"/>
      <c r="E30" s="245"/>
      <c r="F30" s="566"/>
      <c r="G30" s="567"/>
      <c r="H30" s="568"/>
      <c r="I30" s="309"/>
      <c r="J30" s="251"/>
      <c r="K30" s="247"/>
      <c r="L30" s="251"/>
      <c r="M30" s="661"/>
      <c r="N30" s="645"/>
      <c r="O30" s="645"/>
      <c r="P30" s="645"/>
      <c r="Q30" s="645"/>
      <c r="R30" s="645"/>
      <c r="S30" s="645"/>
      <c r="T30" s="645"/>
      <c r="U30" s="645"/>
      <c r="V30" s="645"/>
      <c r="W30" s="645"/>
      <c r="X30" s="645"/>
      <c r="Y30" s="645"/>
      <c r="Z30" s="645"/>
      <c r="AA30" s="645"/>
      <c r="AB30" s="645"/>
      <c r="AC30" s="645"/>
      <c r="AD30" s="645"/>
      <c r="AE30" s="645"/>
      <c r="AF30" s="645"/>
      <c r="AG30" s="645"/>
      <c r="AH30" s="645"/>
      <c r="AI30" s="645"/>
      <c r="AJ30" s="646"/>
      <c r="AK30" s="168"/>
      <c r="AL30" s="168"/>
      <c r="AM30" s="204"/>
    </row>
    <row r="31" spans="1:39" ht="17.25" customHeight="1">
      <c r="A31" s="638"/>
      <c r="B31" s="190"/>
      <c r="C31" s="268"/>
      <c r="D31" s="252"/>
      <c r="E31" s="241"/>
      <c r="F31" s="569"/>
      <c r="G31" s="570"/>
      <c r="H31" s="571"/>
      <c r="I31" s="310"/>
      <c r="J31" s="253"/>
      <c r="K31" s="254"/>
      <c r="L31" s="253"/>
      <c r="M31" s="621"/>
      <c r="N31" s="622"/>
      <c r="O31" s="622"/>
      <c r="P31" s="622"/>
      <c r="Q31" s="622"/>
      <c r="R31" s="622"/>
      <c r="S31" s="622"/>
      <c r="T31" s="622"/>
      <c r="U31" s="622"/>
      <c r="V31" s="622"/>
      <c r="W31" s="622"/>
      <c r="X31" s="622"/>
      <c r="Y31" s="622"/>
      <c r="Z31" s="622"/>
      <c r="AA31" s="622"/>
      <c r="AB31" s="622"/>
      <c r="AC31" s="622"/>
      <c r="AD31" s="622"/>
      <c r="AE31" s="622"/>
      <c r="AF31" s="622"/>
      <c r="AG31" s="622"/>
      <c r="AH31" s="622"/>
      <c r="AI31" s="622"/>
      <c r="AJ31" s="623"/>
      <c r="AK31" s="168"/>
      <c r="AL31" s="168"/>
      <c r="AM31" s="204"/>
    </row>
    <row r="32" spans="1:39" ht="17.25" customHeight="1">
      <c r="A32" s="639"/>
      <c r="B32" s="190"/>
      <c r="C32" s="268"/>
      <c r="D32" s="255"/>
      <c r="E32" s="245"/>
      <c r="F32" s="621"/>
      <c r="G32" s="622"/>
      <c r="H32" s="623"/>
      <c r="I32" s="311"/>
      <c r="J32" s="256"/>
      <c r="K32" s="249"/>
      <c r="L32" s="256"/>
      <c r="M32" s="621"/>
      <c r="N32" s="622"/>
      <c r="O32" s="622"/>
      <c r="P32" s="622"/>
      <c r="Q32" s="622"/>
      <c r="R32" s="622"/>
      <c r="S32" s="622"/>
      <c r="T32" s="622"/>
      <c r="U32" s="622"/>
      <c r="V32" s="622"/>
      <c r="W32" s="622"/>
      <c r="X32" s="622"/>
      <c r="Y32" s="622"/>
      <c r="Z32" s="622"/>
      <c r="AA32" s="622"/>
      <c r="AB32" s="622"/>
      <c r="AC32" s="622"/>
      <c r="AD32" s="622"/>
      <c r="AE32" s="622"/>
      <c r="AF32" s="622"/>
      <c r="AG32" s="622"/>
      <c r="AH32" s="622"/>
      <c r="AI32" s="622"/>
      <c r="AJ32" s="623"/>
      <c r="AK32" s="168"/>
      <c r="AL32" s="168"/>
      <c r="AM32" s="204"/>
    </row>
    <row r="33" spans="1:39" ht="17.25" customHeight="1">
      <c r="A33" s="639"/>
      <c r="B33" s="190"/>
      <c r="C33" s="268"/>
      <c r="D33" s="240"/>
      <c r="E33" s="241"/>
      <c r="F33" s="601"/>
      <c r="G33" s="602"/>
      <c r="H33" s="603"/>
      <c r="I33" s="308"/>
      <c r="J33" s="250"/>
      <c r="K33" s="257"/>
      <c r="L33" s="250"/>
      <c r="M33" s="576"/>
      <c r="N33" s="577"/>
      <c r="O33" s="577"/>
      <c r="P33" s="577"/>
      <c r="Q33" s="577"/>
      <c r="R33" s="577"/>
      <c r="S33" s="577"/>
      <c r="T33" s="577"/>
      <c r="U33" s="577"/>
      <c r="V33" s="577"/>
      <c r="W33" s="577"/>
      <c r="X33" s="577"/>
      <c r="Y33" s="577"/>
      <c r="Z33" s="577"/>
      <c r="AA33" s="577"/>
      <c r="AB33" s="577"/>
      <c r="AC33" s="577"/>
      <c r="AD33" s="577"/>
      <c r="AE33" s="577"/>
      <c r="AF33" s="577"/>
      <c r="AG33" s="577"/>
      <c r="AH33" s="577"/>
      <c r="AI33" s="577"/>
      <c r="AJ33" s="578"/>
      <c r="AK33" s="168"/>
      <c r="AL33" s="168"/>
      <c r="AM33" s="204"/>
    </row>
    <row r="34" spans="1:39" ht="17.25" customHeight="1">
      <c r="A34" s="639"/>
      <c r="B34" s="190"/>
      <c r="C34" s="268"/>
      <c r="D34" s="244"/>
      <c r="E34" s="245"/>
      <c r="F34" s="566"/>
      <c r="G34" s="567"/>
      <c r="H34" s="568"/>
      <c r="I34" s="309"/>
      <c r="J34" s="251"/>
      <c r="K34" s="258"/>
      <c r="L34" s="251"/>
      <c r="M34" s="661"/>
      <c r="N34" s="645"/>
      <c r="O34" s="645"/>
      <c r="P34" s="645"/>
      <c r="Q34" s="645"/>
      <c r="R34" s="645"/>
      <c r="S34" s="645"/>
      <c r="T34" s="645"/>
      <c r="U34" s="645"/>
      <c r="V34" s="645"/>
      <c r="W34" s="645"/>
      <c r="X34" s="645"/>
      <c r="Y34" s="645"/>
      <c r="Z34" s="645"/>
      <c r="AA34" s="645"/>
      <c r="AB34" s="645"/>
      <c r="AC34" s="645"/>
      <c r="AD34" s="645"/>
      <c r="AE34" s="645"/>
      <c r="AF34" s="645"/>
      <c r="AG34" s="645"/>
      <c r="AH34" s="645"/>
      <c r="AI34" s="645"/>
      <c r="AJ34" s="646"/>
      <c r="AK34" s="168"/>
      <c r="AL34" s="168"/>
      <c r="AM34" s="204"/>
    </row>
    <row r="35" spans="1:39" ht="17.25" customHeight="1">
      <c r="A35" s="639"/>
      <c r="B35" s="190"/>
      <c r="C35" s="268"/>
      <c r="D35" s="252"/>
      <c r="E35" s="241"/>
      <c r="F35" s="569"/>
      <c r="G35" s="570"/>
      <c r="H35" s="571"/>
      <c r="I35" s="310"/>
      <c r="J35" s="259"/>
      <c r="K35" s="241"/>
      <c r="L35" s="260"/>
      <c r="M35" s="621"/>
      <c r="N35" s="622"/>
      <c r="O35" s="622"/>
      <c r="P35" s="622"/>
      <c r="Q35" s="622"/>
      <c r="R35" s="622"/>
      <c r="S35" s="622"/>
      <c r="T35" s="622"/>
      <c r="U35" s="622"/>
      <c r="V35" s="622"/>
      <c r="W35" s="622"/>
      <c r="X35" s="622"/>
      <c r="Y35" s="622"/>
      <c r="Z35" s="622"/>
      <c r="AA35" s="622"/>
      <c r="AB35" s="622"/>
      <c r="AC35" s="622"/>
      <c r="AD35" s="622"/>
      <c r="AE35" s="622"/>
      <c r="AF35" s="622"/>
      <c r="AG35" s="622"/>
      <c r="AH35" s="622"/>
      <c r="AI35" s="622"/>
      <c r="AJ35" s="623"/>
      <c r="AK35" s="168"/>
      <c r="AL35" s="168"/>
      <c r="AM35" s="204"/>
    </row>
    <row r="36" spans="1:39" ht="17.25" customHeight="1">
      <c r="A36" s="639"/>
      <c r="B36" s="190"/>
      <c r="C36" s="268"/>
      <c r="D36" s="261"/>
      <c r="E36" s="245"/>
      <c r="F36" s="563"/>
      <c r="G36" s="564"/>
      <c r="H36" s="565"/>
      <c r="I36" s="311"/>
      <c r="J36" s="262"/>
      <c r="K36" s="245"/>
      <c r="L36" s="262"/>
      <c r="M36" s="621"/>
      <c r="N36" s="622"/>
      <c r="O36" s="622"/>
      <c r="P36" s="622"/>
      <c r="Q36" s="622"/>
      <c r="R36" s="622"/>
      <c r="S36" s="622"/>
      <c r="T36" s="622"/>
      <c r="U36" s="622"/>
      <c r="V36" s="622"/>
      <c r="W36" s="622"/>
      <c r="X36" s="622"/>
      <c r="Y36" s="622"/>
      <c r="Z36" s="622"/>
      <c r="AA36" s="622"/>
      <c r="AB36" s="622"/>
      <c r="AC36" s="622"/>
      <c r="AD36" s="622"/>
      <c r="AE36" s="622"/>
      <c r="AF36" s="622"/>
      <c r="AG36" s="622"/>
      <c r="AH36" s="622"/>
      <c r="AI36" s="622"/>
      <c r="AJ36" s="623"/>
      <c r="AK36" s="168"/>
      <c r="AL36" s="168"/>
      <c r="AM36" s="204"/>
    </row>
    <row r="37" spans="1:39" ht="17.25" customHeight="1">
      <c r="A37" s="639"/>
      <c r="B37" s="190"/>
      <c r="C37" s="268"/>
      <c r="D37" s="263"/>
      <c r="E37" s="241"/>
      <c r="F37" s="573"/>
      <c r="G37" s="574"/>
      <c r="H37" s="575"/>
      <c r="I37" s="310"/>
      <c r="J37" s="260"/>
      <c r="K37" s="241"/>
      <c r="L37" s="260"/>
      <c r="M37" s="621"/>
      <c r="N37" s="622"/>
      <c r="O37" s="622"/>
      <c r="P37" s="622"/>
      <c r="Q37" s="622"/>
      <c r="R37" s="622"/>
      <c r="S37" s="622"/>
      <c r="T37" s="622"/>
      <c r="U37" s="622"/>
      <c r="V37" s="622"/>
      <c r="W37" s="622"/>
      <c r="X37" s="622"/>
      <c r="Y37" s="622"/>
      <c r="Z37" s="622"/>
      <c r="AA37" s="622"/>
      <c r="AB37" s="622"/>
      <c r="AC37" s="622"/>
      <c r="AD37" s="622"/>
      <c r="AE37" s="622"/>
      <c r="AF37" s="622"/>
      <c r="AG37" s="622"/>
      <c r="AH37" s="622"/>
      <c r="AI37" s="622"/>
      <c r="AJ37" s="623"/>
      <c r="AK37" s="168"/>
      <c r="AL37" s="168"/>
      <c r="AM37" s="204"/>
    </row>
    <row r="38" spans="1:39" ht="17.25" customHeight="1">
      <c r="A38" s="639"/>
      <c r="B38" s="190"/>
      <c r="C38" s="268"/>
      <c r="D38" s="261"/>
      <c r="E38" s="245"/>
      <c r="F38" s="563"/>
      <c r="G38" s="564"/>
      <c r="H38" s="565"/>
      <c r="I38" s="311"/>
      <c r="J38" s="262"/>
      <c r="K38" s="245"/>
      <c r="L38" s="262"/>
      <c r="M38" s="621"/>
      <c r="N38" s="622"/>
      <c r="O38" s="622"/>
      <c r="P38" s="622"/>
      <c r="Q38" s="622"/>
      <c r="R38" s="622"/>
      <c r="S38" s="622"/>
      <c r="T38" s="622"/>
      <c r="U38" s="622"/>
      <c r="V38" s="622"/>
      <c r="W38" s="622"/>
      <c r="X38" s="622"/>
      <c r="Y38" s="622"/>
      <c r="Z38" s="622"/>
      <c r="AA38" s="622"/>
      <c r="AB38" s="622"/>
      <c r="AC38" s="622"/>
      <c r="AD38" s="622"/>
      <c r="AE38" s="622"/>
      <c r="AF38" s="622"/>
      <c r="AG38" s="622"/>
      <c r="AH38" s="622"/>
      <c r="AI38" s="622"/>
      <c r="AJ38" s="623"/>
      <c r="AK38" s="168"/>
      <c r="AL38" s="168"/>
      <c r="AM38" s="204"/>
    </row>
    <row r="39" spans="1:39" ht="17.25" customHeight="1">
      <c r="A39" s="639"/>
      <c r="B39" s="190"/>
      <c r="C39" s="268"/>
      <c r="D39" s="263"/>
      <c r="E39" s="241"/>
      <c r="F39" s="573"/>
      <c r="G39" s="574"/>
      <c r="H39" s="575"/>
      <c r="I39" s="310"/>
      <c r="J39" s="260"/>
      <c r="K39" s="241"/>
      <c r="L39" s="260"/>
      <c r="M39" s="621"/>
      <c r="N39" s="622"/>
      <c r="O39" s="622"/>
      <c r="P39" s="622"/>
      <c r="Q39" s="622"/>
      <c r="R39" s="622"/>
      <c r="S39" s="622"/>
      <c r="T39" s="622"/>
      <c r="U39" s="622"/>
      <c r="V39" s="622"/>
      <c r="W39" s="622"/>
      <c r="X39" s="622"/>
      <c r="Y39" s="622"/>
      <c r="Z39" s="622"/>
      <c r="AA39" s="622"/>
      <c r="AB39" s="622"/>
      <c r="AC39" s="622"/>
      <c r="AD39" s="622"/>
      <c r="AE39" s="622"/>
      <c r="AF39" s="622"/>
      <c r="AG39" s="622"/>
      <c r="AH39" s="622"/>
      <c r="AI39" s="622"/>
      <c r="AJ39" s="623"/>
      <c r="AK39" s="168"/>
      <c r="AL39" s="168"/>
      <c r="AM39" s="204"/>
    </row>
    <row r="40" spans="1:39" ht="17.25" customHeight="1">
      <c r="A40" s="639"/>
      <c r="B40" s="190"/>
      <c r="C40" s="268"/>
      <c r="D40" s="261"/>
      <c r="E40" s="245"/>
      <c r="F40" s="563"/>
      <c r="G40" s="564"/>
      <c r="H40" s="565"/>
      <c r="I40" s="311"/>
      <c r="J40" s="262"/>
      <c r="K40" s="245"/>
      <c r="L40" s="262"/>
      <c r="M40" s="621"/>
      <c r="N40" s="622"/>
      <c r="O40" s="622"/>
      <c r="P40" s="622"/>
      <c r="Q40" s="622"/>
      <c r="R40" s="622"/>
      <c r="S40" s="622"/>
      <c r="T40" s="622"/>
      <c r="U40" s="622"/>
      <c r="V40" s="622"/>
      <c r="W40" s="622"/>
      <c r="X40" s="622"/>
      <c r="Y40" s="622"/>
      <c r="Z40" s="622"/>
      <c r="AA40" s="622"/>
      <c r="AB40" s="622"/>
      <c r="AC40" s="622"/>
      <c r="AD40" s="622"/>
      <c r="AE40" s="622"/>
      <c r="AF40" s="622"/>
      <c r="AG40" s="622"/>
      <c r="AH40" s="622"/>
      <c r="AI40" s="622"/>
      <c r="AJ40" s="623"/>
      <c r="AK40" s="168"/>
      <c r="AL40" s="168"/>
      <c r="AM40" s="204"/>
    </row>
    <row r="41" spans="1:39" ht="17.25" customHeight="1">
      <c r="A41" s="639"/>
      <c r="B41" s="190"/>
      <c r="C41" s="268"/>
      <c r="D41" s="263"/>
      <c r="E41" s="241"/>
      <c r="F41" s="573"/>
      <c r="G41" s="574"/>
      <c r="H41" s="575"/>
      <c r="I41" s="310"/>
      <c r="J41" s="260"/>
      <c r="K41" s="241"/>
      <c r="L41" s="260"/>
      <c r="M41" s="621"/>
      <c r="N41" s="622"/>
      <c r="O41" s="622"/>
      <c r="P41" s="622"/>
      <c r="Q41" s="622"/>
      <c r="R41" s="622"/>
      <c r="S41" s="622"/>
      <c r="T41" s="622"/>
      <c r="U41" s="622"/>
      <c r="V41" s="622"/>
      <c r="W41" s="622"/>
      <c r="X41" s="622"/>
      <c r="Y41" s="622"/>
      <c r="Z41" s="622"/>
      <c r="AA41" s="622"/>
      <c r="AB41" s="622"/>
      <c r="AC41" s="622"/>
      <c r="AD41" s="622"/>
      <c r="AE41" s="622"/>
      <c r="AF41" s="622"/>
      <c r="AG41" s="622"/>
      <c r="AH41" s="622"/>
      <c r="AI41" s="622"/>
      <c r="AJ41" s="623"/>
      <c r="AK41" s="168"/>
      <c r="AL41" s="168"/>
      <c r="AM41" s="204"/>
    </row>
    <row r="42" spans="1:39" ht="17.25" customHeight="1">
      <c r="A42" s="639"/>
      <c r="B42" s="190"/>
      <c r="C42" s="268"/>
      <c r="D42" s="261"/>
      <c r="E42" s="245"/>
      <c r="F42" s="563"/>
      <c r="G42" s="564"/>
      <c r="H42" s="565"/>
      <c r="I42" s="311"/>
      <c r="J42" s="262"/>
      <c r="K42" s="245"/>
      <c r="L42" s="262"/>
      <c r="M42" s="621"/>
      <c r="N42" s="622"/>
      <c r="O42" s="622"/>
      <c r="P42" s="622"/>
      <c r="Q42" s="622"/>
      <c r="R42" s="622"/>
      <c r="S42" s="622"/>
      <c r="T42" s="622"/>
      <c r="U42" s="622"/>
      <c r="V42" s="622"/>
      <c r="W42" s="622"/>
      <c r="X42" s="622"/>
      <c r="Y42" s="622"/>
      <c r="Z42" s="622"/>
      <c r="AA42" s="622"/>
      <c r="AB42" s="622"/>
      <c r="AC42" s="622"/>
      <c r="AD42" s="622"/>
      <c r="AE42" s="622"/>
      <c r="AF42" s="622"/>
      <c r="AG42" s="622"/>
      <c r="AH42" s="622"/>
      <c r="AI42" s="622"/>
      <c r="AJ42" s="623"/>
      <c r="AK42" s="168"/>
      <c r="AL42" s="168"/>
      <c r="AM42" s="204"/>
    </row>
    <row r="43" spans="1:39" ht="17.25" customHeight="1">
      <c r="A43" s="639"/>
      <c r="B43" s="190"/>
      <c r="C43" s="268"/>
      <c r="D43" s="263"/>
      <c r="E43" s="241"/>
      <c r="F43" s="573"/>
      <c r="G43" s="574"/>
      <c r="H43" s="575"/>
      <c r="I43" s="310"/>
      <c r="J43" s="260"/>
      <c r="K43" s="241"/>
      <c r="L43" s="260"/>
      <c r="M43" s="621"/>
      <c r="N43" s="622"/>
      <c r="O43" s="622"/>
      <c r="P43" s="622"/>
      <c r="Q43" s="622"/>
      <c r="R43" s="622"/>
      <c r="S43" s="622"/>
      <c r="T43" s="622"/>
      <c r="U43" s="622"/>
      <c r="V43" s="622"/>
      <c r="W43" s="622"/>
      <c r="X43" s="622"/>
      <c r="Y43" s="622"/>
      <c r="Z43" s="622"/>
      <c r="AA43" s="622"/>
      <c r="AB43" s="622"/>
      <c r="AC43" s="622"/>
      <c r="AD43" s="622"/>
      <c r="AE43" s="622"/>
      <c r="AF43" s="622"/>
      <c r="AG43" s="622"/>
      <c r="AH43" s="622"/>
      <c r="AI43" s="622"/>
      <c r="AJ43" s="623"/>
      <c r="AK43" s="168"/>
      <c r="AL43" s="168"/>
      <c r="AM43" s="204"/>
    </row>
    <row r="44" spans="1:39" ht="17.25" customHeight="1">
      <c r="A44" s="639"/>
      <c r="B44" s="190"/>
      <c r="C44" s="268"/>
      <c r="D44" s="261"/>
      <c r="E44" s="245"/>
      <c r="F44" s="563"/>
      <c r="G44" s="564"/>
      <c r="H44" s="565"/>
      <c r="I44" s="311"/>
      <c r="J44" s="262"/>
      <c r="K44" s="245"/>
      <c r="L44" s="262"/>
      <c r="M44" s="621"/>
      <c r="N44" s="622"/>
      <c r="O44" s="622"/>
      <c r="P44" s="622"/>
      <c r="Q44" s="622"/>
      <c r="R44" s="622"/>
      <c r="S44" s="622"/>
      <c r="T44" s="622"/>
      <c r="U44" s="622"/>
      <c r="V44" s="622"/>
      <c r="W44" s="622"/>
      <c r="X44" s="622"/>
      <c r="Y44" s="622"/>
      <c r="Z44" s="622"/>
      <c r="AA44" s="622"/>
      <c r="AB44" s="622"/>
      <c r="AC44" s="622"/>
      <c r="AD44" s="622"/>
      <c r="AE44" s="622"/>
      <c r="AF44" s="622"/>
      <c r="AG44" s="622"/>
      <c r="AH44" s="622"/>
      <c r="AI44" s="622"/>
      <c r="AJ44" s="623"/>
      <c r="AK44" s="168"/>
      <c r="AL44" s="168"/>
      <c r="AM44" s="204"/>
    </row>
    <row r="45" spans="1:39" ht="17.25" customHeight="1">
      <c r="A45" s="639"/>
      <c r="B45" s="190"/>
      <c r="C45" s="268"/>
      <c r="D45" s="263"/>
      <c r="E45" s="241"/>
      <c r="F45" s="573"/>
      <c r="G45" s="574"/>
      <c r="H45" s="575"/>
      <c r="I45" s="310"/>
      <c r="J45" s="260"/>
      <c r="K45" s="241"/>
      <c r="L45" s="260"/>
      <c r="M45" s="621"/>
      <c r="N45" s="622"/>
      <c r="O45" s="622"/>
      <c r="P45" s="622"/>
      <c r="Q45" s="622"/>
      <c r="R45" s="622"/>
      <c r="S45" s="622"/>
      <c r="T45" s="622"/>
      <c r="U45" s="622"/>
      <c r="V45" s="622"/>
      <c r="W45" s="622"/>
      <c r="X45" s="622"/>
      <c r="Y45" s="622"/>
      <c r="Z45" s="622"/>
      <c r="AA45" s="622"/>
      <c r="AB45" s="622"/>
      <c r="AC45" s="622"/>
      <c r="AD45" s="622"/>
      <c r="AE45" s="622"/>
      <c r="AF45" s="622"/>
      <c r="AG45" s="622"/>
      <c r="AH45" s="622"/>
      <c r="AI45" s="622"/>
      <c r="AJ45" s="623"/>
      <c r="AK45" s="168"/>
      <c r="AL45" s="168"/>
      <c r="AM45" s="204"/>
    </row>
    <row r="46" spans="1:39" ht="17.25" customHeight="1">
      <c r="A46" s="639"/>
      <c r="B46" s="190"/>
      <c r="C46" s="268"/>
      <c r="D46" s="261"/>
      <c r="E46" s="245"/>
      <c r="F46" s="563"/>
      <c r="G46" s="564"/>
      <c r="H46" s="565"/>
      <c r="I46" s="311"/>
      <c r="J46" s="262"/>
      <c r="K46" s="245"/>
      <c r="L46" s="262"/>
      <c r="M46" s="621"/>
      <c r="N46" s="622"/>
      <c r="O46" s="622"/>
      <c r="P46" s="622"/>
      <c r="Q46" s="622"/>
      <c r="R46" s="622"/>
      <c r="S46" s="622"/>
      <c r="T46" s="622"/>
      <c r="U46" s="622"/>
      <c r="V46" s="622"/>
      <c r="W46" s="622"/>
      <c r="X46" s="622"/>
      <c r="Y46" s="622"/>
      <c r="Z46" s="622"/>
      <c r="AA46" s="622"/>
      <c r="AB46" s="622"/>
      <c r="AC46" s="622"/>
      <c r="AD46" s="622"/>
      <c r="AE46" s="622"/>
      <c r="AF46" s="622"/>
      <c r="AG46" s="622"/>
      <c r="AH46" s="622"/>
      <c r="AI46" s="622"/>
      <c r="AJ46" s="623"/>
      <c r="AK46" s="168"/>
      <c r="AL46" s="168"/>
      <c r="AM46" s="204"/>
    </row>
    <row r="47" spans="1:39" ht="17.25" customHeight="1">
      <c r="A47" s="639"/>
      <c r="B47" s="190"/>
      <c r="C47" s="268"/>
      <c r="D47" s="264"/>
      <c r="E47" s="265"/>
      <c r="F47" s="573"/>
      <c r="G47" s="574"/>
      <c r="H47" s="575"/>
      <c r="I47" s="312"/>
      <c r="J47" s="266"/>
      <c r="K47" s="265"/>
      <c r="L47" s="266"/>
      <c r="M47" s="621"/>
      <c r="N47" s="622"/>
      <c r="O47" s="622"/>
      <c r="P47" s="622"/>
      <c r="Q47" s="622"/>
      <c r="R47" s="622"/>
      <c r="S47" s="622"/>
      <c r="T47" s="622"/>
      <c r="U47" s="622"/>
      <c r="V47" s="622"/>
      <c r="W47" s="622"/>
      <c r="X47" s="622"/>
      <c r="Y47" s="622"/>
      <c r="Z47" s="622"/>
      <c r="AA47" s="622"/>
      <c r="AB47" s="622"/>
      <c r="AC47" s="622"/>
      <c r="AD47" s="622"/>
      <c r="AE47" s="622"/>
      <c r="AF47" s="622"/>
      <c r="AG47" s="622"/>
      <c r="AH47" s="622"/>
      <c r="AI47" s="622"/>
      <c r="AJ47" s="623"/>
      <c r="AK47" s="168"/>
      <c r="AL47" s="168"/>
      <c r="AM47" s="204"/>
    </row>
    <row r="48" spans="1:39" ht="17.25" customHeight="1">
      <c r="A48" s="639"/>
      <c r="B48" s="190"/>
      <c r="C48" s="250"/>
      <c r="D48" s="263"/>
      <c r="E48" s="241"/>
      <c r="F48" s="563"/>
      <c r="G48" s="564"/>
      <c r="H48" s="565"/>
      <c r="I48" s="310"/>
      <c r="J48" s="260"/>
      <c r="K48" s="241"/>
      <c r="L48" s="260"/>
      <c r="M48" s="621"/>
      <c r="N48" s="622"/>
      <c r="O48" s="622"/>
      <c r="P48" s="622"/>
      <c r="Q48" s="622"/>
      <c r="R48" s="622"/>
      <c r="S48" s="622"/>
      <c r="T48" s="622"/>
      <c r="U48" s="622"/>
      <c r="V48" s="622"/>
      <c r="W48" s="622"/>
      <c r="X48" s="622"/>
      <c r="Y48" s="622"/>
      <c r="Z48" s="622"/>
      <c r="AA48" s="622"/>
      <c r="AB48" s="622"/>
      <c r="AC48" s="622"/>
      <c r="AD48" s="622"/>
      <c r="AE48" s="622"/>
      <c r="AF48" s="622"/>
      <c r="AG48" s="622"/>
      <c r="AH48" s="622"/>
      <c r="AI48" s="622"/>
      <c r="AJ48" s="623"/>
      <c r="AK48" s="168"/>
      <c r="AL48" s="168"/>
      <c r="AM48" s="204"/>
    </row>
    <row r="49" spans="1:39" ht="17.25" customHeight="1">
      <c r="A49" s="639"/>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639"/>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639"/>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639"/>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599" t="s">
        <v>24</v>
      </c>
      <c r="AI52" s="599"/>
      <c r="AJ52" s="599"/>
      <c r="AK52" s="168"/>
      <c r="AL52" s="168"/>
      <c r="AM52" s="204"/>
    </row>
    <row r="53" spans="1:39" ht="17.25" customHeight="1">
      <c r="A53" s="639"/>
      <c r="B53" s="190"/>
      <c r="AH53" s="599"/>
      <c r="AI53" s="600"/>
      <c r="AJ53" s="600"/>
      <c r="AK53" s="211"/>
      <c r="AL53" s="168"/>
      <c r="AM53" s="204"/>
    </row>
    <row r="54" spans="1:39" ht="17.25" customHeight="1">
      <c r="A54" s="639"/>
      <c r="B54" s="190"/>
      <c r="D54" s="164"/>
      <c r="E54" s="164"/>
      <c r="F54" s="165"/>
      <c r="G54" s="166"/>
      <c r="H54" s="166"/>
      <c r="AB54" s="596" t="s">
        <v>1655</v>
      </c>
      <c r="AC54" s="597"/>
      <c r="AD54" s="597"/>
      <c r="AE54" s="597"/>
      <c r="AF54" s="597"/>
      <c r="AG54" s="597"/>
      <c r="AH54" s="597"/>
      <c r="AI54" s="597"/>
      <c r="AJ54" s="597"/>
      <c r="AK54" s="598"/>
      <c r="AL54" s="168"/>
      <c r="AM54" s="204"/>
    </row>
    <row r="55" spans="1:39" ht="17.25" customHeight="1">
      <c r="A55" s="639"/>
      <c r="B55" s="610"/>
      <c r="C55" s="611"/>
      <c r="D55" s="611"/>
      <c r="E55" s="611"/>
      <c r="F55" s="612"/>
      <c r="G55" s="167"/>
      <c r="H55" s="170" t="s">
        <v>0</v>
      </c>
      <c r="I55" s="171"/>
      <c r="J55" s="161"/>
      <c r="K55" s="161"/>
      <c r="L55" s="167"/>
      <c r="M55" s="572" t="s">
        <v>47</v>
      </c>
      <c r="N55" s="572"/>
      <c r="O55" s="629" t="str">
        <f>IF(ISNUMBER(VALUE(RIGHT(O57,4))),RIGHT(O57,4),"Stationsbezeichnung ungültig / invalid station name")</f>
        <v>1250</v>
      </c>
      <c r="P55" s="630"/>
      <c r="Q55" s="630"/>
      <c r="R55" s="630"/>
      <c r="S55" s="631"/>
      <c r="T55" s="635" t="s">
        <v>13</v>
      </c>
      <c r="U55" s="572" t="s">
        <v>2</v>
      </c>
      <c r="V55" s="572"/>
      <c r="W55" s="172"/>
      <c r="X55" s="589" t="s">
        <v>1683</v>
      </c>
      <c r="Y55" s="590"/>
      <c r="Z55" s="628" t="s">
        <v>3</v>
      </c>
      <c r="AA55" s="628"/>
      <c r="AB55" s="594">
        <v>6</v>
      </c>
      <c r="AD55" s="161"/>
      <c r="AE55" s="161"/>
      <c r="AF55" s="193" t="s">
        <v>11</v>
      </c>
      <c r="AG55" s="193"/>
      <c r="AH55" s="187"/>
      <c r="AI55" s="167"/>
      <c r="AJ55" s="195" t="s">
        <v>4</v>
      </c>
      <c r="AK55" s="195" t="s">
        <v>5</v>
      </c>
      <c r="AL55" s="167"/>
      <c r="AM55" s="204"/>
    </row>
    <row r="56" spans="1:39" ht="17.25" customHeight="1">
      <c r="A56" s="639"/>
      <c r="B56" s="613"/>
      <c r="C56" s="614"/>
      <c r="D56" s="614"/>
      <c r="E56" s="614"/>
      <c r="F56" s="615"/>
      <c r="G56" s="168"/>
      <c r="H56" s="604" t="s">
        <v>31</v>
      </c>
      <c r="I56" s="605"/>
      <c r="J56" s="605"/>
      <c r="K56" s="605"/>
      <c r="L56" s="606"/>
      <c r="M56" s="572" t="s">
        <v>15</v>
      </c>
      <c r="N56" s="572"/>
      <c r="O56" s="632"/>
      <c r="P56" s="633"/>
      <c r="Q56" s="633"/>
      <c r="R56" s="633"/>
      <c r="S56" s="634"/>
      <c r="T56" s="636"/>
      <c r="U56" s="572" t="s">
        <v>52</v>
      </c>
      <c r="V56" s="572"/>
      <c r="W56" s="173"/>
      <c r="X56" s="592"/>
      <c r="Y56" s="593"/>
      <c r="Z56" s="587" t="s">
        <v>1263</v>
      </c>
      <c r="AA56" s="587"/>
      <c r="AB56" s="595"/>
      <c r="AF56" s="200" t="s">
        <v>58</v>
      </c>
      <c r="AG56" s="201"/>
      <c r="AH56" s="188"/>
      <c r="AI56" s="168"/>
      <c r="AJ56" s="202" t="s">
        <v>55</v>
      </c>
      <c r="AK56" s="212" t="s">
        <v>43</v>
      </c>
      <c r="AL56" s="168"/>
      <c r="AM56" s="204"/>
    </row>
    <row r="57" spans="1:39" ht="17.25" customHeight="1">
      <c r="A57" s="639"/>
      <c r="B57" s="613"/>
      <c r="C57" s="614"/>
      <c r="D57" s="614"/>
      <c r="E57" s="614"/>
      <c r="F57" s="615"/>
      <c r="G57" s="169"/>
      <c r="H57" s="194"/>
      <c r="I57" s="191"/>
      <c r="J57" s="191"/>
      <c r="K57" s="191"/>
      <c r="L57" s="192"/>
      <c r="M57" s="572" t="s">
        <v>48</v>
      </c>
      <c r="N57" s="572"/>
      <c r="O57" s="588" t="s">
        <v>1657</v>
      </c>
      <c r="P57" s="589"/>
      <c r="Q57" s="589"/>
      <c r="R57" s="589"/>
      <c r="S57" s="590"/>
      <c r="T57" s="637"/>
      <c r="U57" s="572" t="s">
        <v>7</v>
      </c>
      <c r="V57" s="572"/>
      <c r="W57" s="175"/>
      <c r="X57" s="589" t="s">
        <v>1683</v>
      </c>
      <c r="Y57" s="590"/>
      <c r="Z57" s="267" t="s">
        <v>8</v>
      </c>
      <c r="AA57" s="624">
        <v>45014</v>
      </c>
      <c r="AB57" s="625"/>
      <c r="AC57" s="176"/>
      <c r="AD57" s="163"/>
      <c r="AE57" s="163"/>
      <c r="AF57" s="215"/>
      <c r="AG57" s="215"/>
      <c r="AH57" s="215"/>
      <c r="AI57" s="216"/>
      <c r="AJ57" s="213"/>
      <c r="AK57" s="168"/>
      <c r="AL57" s="168"/>
      <c r="AM57" s="204"/>
    </row>
    <row r="58" spans="1:39" ht="18" customHeight="1">
      <c r="A58" s="639"/>
      <c r="B58" s="613"/>
      <c r="C58" s="614"/>
      <c r="D58" s="614"/>
      <c r="E58" s="614"/>
      <c r="F58" s="615"/>
      <c r="G58" s="167"/>
      <c r="H58" s="170" t="s">
        <v>56</v>
      </c>
      <c r="I58" s="171"/>
      <c r="J58" s="161"/>
      <c r="K58" s="161"/>
      <c r="L58" s="167"/>
      <c r="M58" s="572" t="s">
        <v>49</v>
      </c>
      <c r="N58" s="572"/>
      <c r="O58" s="591"/>
      <c r="P58" s="592"/>
      <c r="Q58" s="592"/>
      <c r="R58" s="592"/>
      <c r="S58" s="593"/>
      <c r="T58" s="635" t="s">
        <v>51</v>
      </c>
      <c r="U58" s="572" t="s">
        <v>53</v>
      </c>
      <c r="V58" s="572"/>
      <c r="W58" s="172"/>
      <c r="X58" s="592"/>
      <c r="Y58" s="593"/>
      <c r="Z58" s="267" t="s">
        <v>57</v>
      </c>
      <c r="AA58" s="626"/>
      <c r="AB58" s="627"/>
      <c r="AD58" s="161"/>
      <c r="AE58" s="161"/>
      <c r="AF58" s="585" t="s">
        <v>1654</v>
      </c>
      <c r="AG58" s="585"/>
      <c r="AH58" s="585"/>
      <c r="AI58" s="586"/>
      <c r="AJ58" s="619" t="s">
        <v>20</v>
      </c>
      <c r="AK58" s="619" t="s">
        <v>21</v>
      </c>
      <c r="AL58" s="168"/>
      <c r="AM58" s="204"/>
    </row>
    <row r="59" spans="1:39" ht="17.25" customHeight="1">
      <c r="A59" s="639"/>
      <c r="B59" s="613"/>
      <c r="C59" s="614"/>
      <c r="D59" s="614"/>
      <c r="E59" s="614"/>
      <c r="F59" s="615"/>
      <c r="G59" s="168"/>
      <c r="H59" s="604" t="s">
        <v>45</v>
      </c>
      <c r="I59" s="605"/>
      <c r="J59" s="605"/>
      <c r="K59" s="605"/>
      <c r="L59" s="606"/>
      <c r="M59" s="572" t="s">
        <v>6</v>
      </c>
      <c r="N59" s="572"/>
      <c r="O59" s="588" t="s">
        <v>1653</v>
      </c>
      <c r="P59" s="589"/>
      <c r="Q59" s="589"/>
      <c r="R59" s="589"/>
      <c r="S59" s="590"/>
      <c r="T59" s="636"/>
      <c r="U59" s="572" t="s">
        <v>10</v>
      </c>
      <c r="V59" s="572"/>
      <c r="W59" s="173"/>
      <c r="X59" s="589" t="s">
        <v>1683</v>
      </c>
      <c r="Y59" s="590"/>
      <c r="Z59" s="267" t="s">
        <v>9</v>
      </c>
      <c r="AA59" s="588" t="s">
        <v>1683</v>
      </c>
      <c r="AB59" s="590"/>
      <c r="AF59" s="214"/>
      <c r="AG59" s="215"/>
      <c r="AH59" s="215"/>
      <c r="AI59" s="216"/>
      <c r="AJ59" s="619"/>
      <c r="AK59" s="619"/>
      <c r="AL59" s="168"/>
      <c r="AM59" s="204"/>
    </row>
    <row r="60" spans="1:39" ht="17.25" customHeight="1">
      <c r="A60" s="640"/>
      <c r="B60" s="616"/>
      <c r="C60" s="617"/>
      <c r="D60" s="617"/>
      <c r="E60" s="617"/>
      <c r="F60" s="618"/>
      <c r="G60" s="169"/>
      <c r="H60" s="194"/>
      <c r="I60" s="191"/>
      <c r="J60" s="191"/>
      <c r="K60" s="191"/>
      <c r="L60" s="192"/>
      <c r="M60" s="572" t="s">
        <v>50</v>
      </c>
      <c r="N60" s="572"/>
      <c r="O60" s="591"/>
      <c r="P60" s="592"/>
      <c r="Q60" s="592"/>
      <c r="R60" s="592"/>
      <c r="S60" s="593"/>
      <c r="T60" s="637"/>
      <c r="U60" s="572" t="s">
        <v>54</v>
      </c>
      <c r="V60" s="572"/>
      <c r="W60" s="175"/>
      <c r="X60" s="592"/>
      <c r="Y60" s="593"/>
      <c r="Z60" s="267" t="s">
        <v>23</v>
      </c>
      <c r="AA60" s="591"/>
      <c r="AB60" s="593"/>
      <c r="AC60" s="176"/>
      <c r="AD60" s="163"/>
      <c r="AE60" s="163"/>
      <c r="AF60" s="217"/>
      <c r="AG60" s="217"/>
      <c r="AH60" s="217"/>
      <c r="AI60" s="218"/>
      <c r="AJ60" s="620"/>
      <c r="AK60" s="620"/>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70"/>
  <sheetViews>
    <sheetView showGridLines="0" zoomScale="60" zoomScaleNormal="60" zoomScaleSheetLayoutView="50" workbookViewId="0">
      <selection activeCell="X48" sqref="X48"/>
    </sheetView>
  </sheetViews>
  <sheetFormatPr defaultColWidth="11.42578125" defaultRowHeight="17.25" customHeight="1"/>
  <cols>
    <col min="1" max="1" width="5.42578125" style="3" customWidth="1"/>
    <col min="2" max="2" width="2.7109375" style="464" customWidth="1"/>
    <col min="3" max="3" width="5.7109375" style="464"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58"/>
      <c r="B1" s="466"/>
      <c r="C1" s="467"/>
      <c r="D1" s="468"/>
      <c r="E1" s="468"/>
      <c r="F1" s="468"/>
      <c r="G1" s="468"/>
      <c r="H1" s="468"/>
      <c r="I1" s="468"/>
      <c r="J1" s="468"/>
      <c r="K1" s="468"/>
      <c r="L1" s="468"/>
      <c r="M1" s="468"/>
      <c r="N1" s="468"/>
      <c r="O1" s="468"/>
      <c r="P1" s="468"/>
      <c r="Q1" s="468"/>
      <c r="R1" s="468"/>
      <c r="S1" s="468"/>
      <c r="T1" s="468"/>
      <c r="U1" s="468"/>
      <c r="V1" s="468"/>
      <c r="W1" s="468"/>
      <c r="X1" s="468"/>
      <c r="Y1" s="468"/>
      <c r="Z1" s="468"/>
      <c r="AA1" s="468"/>
      <c r="AB1" s="468"/>
      <c r="AC1" s="468"/>
      <c r="AD1" s="468"/>
      <c r="AE1" s="468"/>
      <c r="AF1" s="468"/>
      <c r="AG1" s="468"/>
      <c r="AH1" s="458"/>
      <c r="AI1" s="458"/>
      <c r="AJ1" s="458"/>
      <c r="AK1" s="459"/>
      <c r="AL1" s="197"/>
      <c r="AM1" s="204"/>
    </row>
    <row r="2" spans="1:39" ht="17.25" customHeight="1">
      <c r="A2" s="659"/>
      <c r="B2" s="469"/>
      <c r="C2" s="470"/>
      <c r="D2" s="471"/>
      <c r="E2" s="471"/>
      <c r="F2" s="471"/>
      <c r="G2" s="471"/>
      <c r="H2" s="471"/>
      <c r="I2" s="471"/>
      <c r="J2" s="471"/>
      <c r="K2" s="471"/>
      <c r="L2" s="471"/>
      <c r="M2" s="471"/>
      <c r="N2" s="471"/>
      <c r="O2" s="471"/>
      <c r="P2" s="471"/>
      <c r="Q2" s="471"/>
      <c r="R2" s="471"/>
      <c r="S2" s="471"/>
      <c r="T2" s="471"/>
      <c r="U2" s="471"/>
      <c r="V2" s="471"/>
      <c r="W2" s="471"/>
      <c r="X2" s="471"/>
      <c r="Y2" s="471"/>
      <c r="Z2" s="471"/>
      <c r="AA2" s="471"/>
      <c r="AB2" s="471"/>
      <c r="AC2" s="471"/>
      <c r="AD2" s="471"/>
      <c r="AE2" s="471"/>
      <c r="AF2" s="471"/>
      <c r="AG2" s="471"/>
      <c r="AH2" s="460"/>
      <c r="AI2" s="460"/>
      <c r="AJ2" s="460"/>
      <c r="AK2" s="461"/>
      <c r="AL2" s="198"/>
      <c r="AM2" s="204"/>
    </row>
    <row r="3" spans="1:39" ht="17.25" customHeight="1">
      <c r="A3" s="659"/>
      <c r="B3" s="469"/>
      <c r="C3" s="470"/>
      <c r="D3" s="677"/>
      <c r="E3" s="677"/>
      <c r="F3" s="678"/>
      <c r="G3" s="678"/>
      <c r="H3" s="678"/>
      <c r="I3" s="678"/>
      <c r="J3" s="678"/>
      <c r="K3" s="678"/>
      <c r="L3" s="678"/>
      <c r="M3" s="678"/>
      <c r="N3" s="678"/>
      <c r="O3" s="678"/>
      <c r="P3" s="472"/>
      <c r="Q3" s="472"/>
      <c r="R3" s="472"/>
      <c r="S3" s="472"/>
      <c r="T3" s="472"/>
      <c r="U3" s="472"/>
      <c r="V3" s="472"/>
      <c r="W3" s="472"/>
      <c r="X3" s="472"/>
      <c r="Y3" s="472"/>
      <c r="Z3" s="472"/>
      <c r="AA3" s="472"/>
      <c r="AB3" s="472"/>
      <c r="AC3" s="472"/>
      <c r="AD3" s="472"/>
      <c r="AE3" s="472"/>
      <c r="AF3" s="472"/>
      <c r="AG3" s="472"/>
      <c r="AH3" s="460"/>
      <c r="AI3" s="460"/>
      <c r="AJ3" s="460"/>
      <c r="AK3" s="461"/>
      <c r="AL3" s="198"/>
      <c r="AM3" s="204"/>
    </row>
    <row r="4" spans="1:39" ht="17.25" customHeight="1">
      <c r="A4" s="659"/>
      <c r="B4" s="469"/>
      <c r="C4" s="470"/>
      <c r="D4" s="677"/>
      <c r="E4" s="677"/>
      <c r="F4" s="678"/>
      <c r="G4" s="678"/>
      <c r="H4" s="678"/>
      <c r="I4" s="678"/>
      <c r="J4" s="678"/>
      <c r="K4" s="678"/>
      <c r="L4" s="678"/>
      <c r="M4" s="678"/>
      <c r="N4" s="678"/>
      <c r="O4" s="678"/>
      <c r="P4" s="472"/>
      <c r="Q4" s="472"/>
      <c r="R4" s="472"/>
      <c r="S4" s="472"/>
      <c r="T4" s="472"/>
      <c r="U4" s="472"/>
      <c r="V4" s="472"/>
      <c r="W4" s="472"/>
      <c r="X4" s="472"/>
      <c r="Y4" s="472"/>
      <c r="Z4" s="472"/>
      <c r="AA4" s="472"/>
      <c r="AB4" s="472"/>
      <c r="AC4" s="472"/>
      <c r="AD4" s="472"/>
      <c r="AE4" s="472"/>
      <c r="AF4" s="472"/>
      <c r="AG4" s="472"/>
      <c r="AH4" s="473"/>
      <c r="AI4" s="473"/>
      <c r="AJ4" s="473"/>
      <c r="AK4" s="474"/>
      <c r="AL4" s="199"/>
      <c r="AM4" s="204"/>
    </row>
    <row r="5" spans="1:39" ht="17.25" customHeight="1">
      <c r="A5" s="659"/>
      <c r="B5" s="469"/>
      <c r="C5" s="470"/>
      <c r="D5" s="471"/>
      <c r="E5" s="471"/>
      <c r="F5" s="471"/>
      <c r="G5" s="471"/>
      <c r="H5" s="471"/>
      <c r="I5" s="471"/>
      <c r="J5" s="471"/>
      <c r="K5" s="471"/>
      <c r="L5" s="471"/>
      <c r="M5" s="471"/>
      <c r="N5" s="471"/>
      <c r="O5" s="471"/>
      <c r="P5" s="471"/>
      <c r="Q5" s="471"/>
      <c r="R5" s="471"/>
      <c r="S5" s="471"/>
      <c r="T5" s="471"/>
      <c r="U5" s="471"/>
      <c r="V5" s="471"/>
      <c r="W5" s="471"/>
      <c r="X5" s="471"/>
      <c r="Y5" s="471"/>
      <c r="Z5" s="471"/>
      <c r="AA5" s="471"/>
      <c r="AB5" s="471"/>
      <c r="AC5" s="471"/>
      <c r="AD5" s="471"/>
      <c r="AE5" s="471"/>
      <c r="AF5" s="471"/>
      <c r="AG5" s="471"/>
      <c r="AH5" s="475"/>
      <c r="AI5" s="471"/>
      <c r="AJ5" s="476"/>
      <c r="AK5" s="477"/>
      <c r="AL5" s="168"/>
      <c r="AM5" s="204"/>
    </row>
    <row r="6" spans="1:39" ht="17.25" customHeight="1">
      <c r="A6" s="659"/>
      <c r="B6" s="469"/>
      <c r="C6" s="470"/>
      <c r="D6" s="478"/>
      <c r="E6" s="479"/>
      <c r="F6" s="471"/>
      <c r="G6" s="471"/>
      <c r="H6" s="480"/>
      <c r="I6" s="471"/>
      <c r="J6" s="481"/>
      <c r="K6" s="482"/>
      <c r="L6" s="482"/>
      <c r="M6" s="481"/>
      <c r="N6" s="482"/>
      <c r="O6" s="482"/>
      <c r="P6" s="481"/>
      <c r="Q6" s="483"/>
      <c r="R6" s="483"/>
      <c r="S6" s="471"/>
      <c r="T6" s="484"/>
      <c r="U6" s="481"/>
      <c r="V6" s="483"/>
      <c r="W6" s="483"/>
      <c r="X6" s="481"/>
      <c r="Y6" s="482"/>
      <c r="Z6" s="482"/>
      <c r="AA6" s="472"/>
      <c r="AB6" s="472"/>
      <c r="AC6" s="472"/>
      <c r="AD6" s="472"/>
      <c r="AE6" s="472"/>
      <c r="AF6" s="472"/>
      <c r="AG6" s="472"/>
      <c r="AH6" s="485"/>
      <c r="AI6" s="480"/>
      <c r="AJ6" s="471"/>
      <c r="AK6" s="486"/>
      <c r="AL6" s="168"/>
      <c r="AM6" s="204"/>
    </row>
    <row r="7" spans="1:39" ht="17.25" customHeight="1">
      <c r="A7" s="659"/>
      <c r="B7" s="469"/>
      <c r="C7" s="470"/>
      <c r="D7" s="478"/>
      <c r="E7" s="479"/>
      <c r="F7" s="471"/>
      <c r="G7" s="471"/>
      <c r="H7" s="480"/>
      <c r="I7" s="471"/>
      <c r="J7" s="481"/>
      <c r="K7" s="482"/>
      <c r="L7" s="482"/>
      <c r="M7" s="481"/>
      <c r="N7" s="482"/>
      <c r="O7" s="482"/>
      <c r="P7" s="481"/>
      <c r="Q7" s="483"/>
      <c r="R7" s="483"/>
      <c r="S7" s="471"/>
      <c r="T7" s="484"/>
      <c r="U7" s="481"/>
      <c r="V7" s="483"/>
      <c r="W7" s="483"/>
      <c r="X7" s="481"/>
      <c r="Y7" s="482"/>
      <c r="Z7" s="482"/>
      <c r="AA7" s="472"/>
      <c r="AB7" s="472"/>
      <c r="AC7" s="472"/>
      <c r="AD7" s="472"/>
      <c r="AE7" s="472"/>
      <c r="AF7" s="472"/>
      <c r="AG7" s="472"/>
      <c r="AH7" s="485"/>
      <c r="AI7" s="480"/>
      <c r="AJ7" s="471"/>
      <c r="AK7" s="486"/>
      <c r="AL7" s="168"/>
      <c r="AM7" s="204"/>
    </row>
    <row r="8" spans="1:39" ht="17.25" customHeight="1">
      <c r="A8" s="659"/>
      <c r="B8" s="469"/>
      <c r="C8" s="470"/>
      <c r="D8" s="478"/>
      <c r="E8" s="479"/>
      <c r="F8" s="471"/>
      <c r="G8" s="471"/>
      <c r="H8" s="480"/>
      <c r="I8" s="471"/>
      <c r="J8" s="481"/>
      <c r="K8" s="482"/>
      <c r="L8" s="482"/>
      <c r="M8" s="481"/>
      <c r="N8" s="482"/>
      <c r="O8" s="482"/>
      <c r="P8" s="481"/>
      <c r="Q8" s="483"/>
      <c r="R8" s="483"/>
      <c r="S8" s="471"/>
      <c r="T8" s="484"/>
      <c r="U8" s="481"/>
      <c r="V8" s="483"/>
      <c r="W8" s="483"/>
      <c r="X8" s="481"/>
      <c r="Y8" s="482"/>
      <c r="Z8" s="482"/>
      <c r="AA8" s="472"/>
      <c r="AB8" s="472"/>
      <c r="AC8" s="472"/>
      <c r="AD8" s="472"/>
      <c r="AE8" s="472"/>
      <c r="AF8" s="472"/>
      <c r="AG8" s="472"/>
      <c r="AH8" s="485"/>
      <c r="AI8" s="480"/>
      <c r="AJ8" s="471"/>
      <c r="AK8" s="486"/>
      <c r="AL8" s="168"/>
      <c r="AM8" s="204"/>
    </row>
    <row r="9" spans="1:39" ht="17.25" customHeight="1">
      <c r="A9" s="659"/>
      <c r="B9" s="469"/>
      <c r="C9" s="470"/>
      <c r="D9" s="478"/>
      <c r="E9" s="479"/>
      <c r="F9" s="471"/>
      <c r="G9" s="471"/>
      <c r="H9" s="480"/>
      <c r="I9" s="471"/>
      <c r="J9" s="481"/>
      <c r="K9" s="482"/>
      <c r="L9" s="481"/>
      <c r="Q9" s="483"/>
      <c r="R9" s="483"/>
      <c r="S9" s="471"/>
      <c r="T9" s="484"/>
      <c r="U9" s="481"/>
      <c r="V9" s="483"/>
      <c r="W9" s="483"/>
      <c r="X9" s="481"/>
      <c r="Y9" s="482"/>
      <c r="Z9" s="482"/>
      <c r="AA9" s="472"/>
      <c r="AB9" s="472"/>
      <c r="AC9" s="472"/>
      <c r="AD9" s="472"/>
      <c r="AE9" s="472"/>
      <c r="AF9" s="472"/>
      <c r="AG9" s="472"/>
      <c r="AH9" s="485"/>
      <c r="AI9" s="480"/>
      <c r="AJ9" s="471"/>
      <c r="AK9" s="486"/>
      <c r="AL9" s="168"/>
      <c r="AM9" s="204"/>
    </row>
    <row r="10" spans="1:39" ht="17.25" customHeight="1">
      <c r="A10" s="659"/>
      <c r="B10" s="469"/>
      <c r="C10" s="470"/>
      <c r="D10" s="478"/>
      <c r="E10" s="479"/>
      <c r="F10" s="471"/>
      <c r="G10" s="471"/>
      <c r="H10" s="480"/>
      <c r="I10" s="471"/>
      <c r="J10" s="481"/>
      <c r="K10" s="482"/>
      <c r="L10" s="471"/>
      <c r="M10" s="482"/>
      <c r="Q10" s="483"/>
      <c r="R10" s="483"/>
      <c r="S10" s="471"/>
      <c r="T10" s="484"/>
      <c r="U10" s="481"/>
      <c r="V10" s="483"/>
      <c r="W10" s="483"/>
      <c r="X10" s="481"/>
      <c r="Y10" s="482"/>
      <c r="Z10" s="482"/>
      <c r="AA10" s="472"/>
      <c r="AB10" s="472"/>
      <c r="AC10" s="472"/>
      <c r="AD10" s="472"/>
      <c r="AE10" s="472"/>
      <c r="AF10" s="472"/>
      <c r="AG10" s="472"/>
      <c r="AH10" s="485"/>
      <c r="AI10" s="480"/>
      <c r="AJ10" s="471"/>
      <c r="AK10" s="486"/>
      <c r="AL10" s="168"/>
      <c r="AM10" s="204"/>
    </row>
    <row r="11" spans="1:39" ht="17.25" customHeight="1">
      <c r="A11" s="659"/>
      <c r="B11" s="469"/>
      <c r="C11" s="470"/>
      <c r="D11" s="478"/>
      <c r="E11" s="479"/>
      <c r="F11" s="471"/>
      <c r="G11" s="471"/>
      <c r="H11" s="480"/>
      <c r="I11" s="471"/>
      <c r="J11" s="481"/>
      <c r="K11" s="482"/>
      <c r="L11" s="482"/>
      <c r="N11" s="482"/>
      <c r="O11" s="481"/>
      <c r="P11" s="481"/>
      <c r="Q11" s="483"/>
      <c r="R11" s="483"/>
      <c r="S11" s="482"/>
      <c r="T11" s="484"/>
      <c r="U11" s="481"/>
      <c r="V11" s="483"/>
      <c r="W11" s="483"/>
      <c r="X11" s="481"/>
      <c r="Y11" s="482"/>
      <c r="Z11" s="482"/>
      <c r="AA11" s="472"/>
      <c r="AB11" s="472"/>
      <c r="AC11" s="472"/>
      <c r="AD11" s="472"/>
      <c r="AE11" s="472"/>
      <c r="AF11" s="472"/>
      <c r="AG11" s="472"/>
      <c r="AH11" s="485"/>
      <c r="AI11" s="480"/>
      <c r="AJ11" s="471"/>
      <c r="AK11" s="486"/>
      <c r="AL11" s="168"/>
      <c r="AM11" s="204"/>
    </row>
    <row r="12" spans="1:39" ht="17.25" customHeight="1">
      <c r="A12" s="659"/>
      <c r="B12" s="469"/>
      <c r="C12" s="470"/>
      <c r="D12" s="478"/>
      <c r="E12" s="479"/>
      <c r="F12" s="471"/>
      <c r="G12" s="471"/>
      <c r="H12" s="480"/>
      <c r="I12" s="471"/>
      <c r="J12" s="481"/>
      <c r="K12" s="482"/>
      <c r="L12" s="482"/>
      <c r="M12" s="482"/>
      <c r="N12" s="482"/>
      <c r="O12" s="481"/>
      <c r="P12" s="481"/>
      <c r="Q12" s="483"/>
      <c r="R12" s="483"/>
      <c r="S12" s="482"/>
      <c r="T12" s="484"/>
      <c r="U12" s="481"/>
      <c r="V12" s="483"/>
      <c r="W12" s="483"/>
      <c r="X12" s="481"/>
      <c r="Y12" s="482"/>
      <c r="Z12" s="482"/>
      <c r="AA12" s="472"/>
      <c r="AB12" s="472"/>
      <c r="AC12" s="472"/>
      <c r="AD12" s="472"/>
      <c r="AE12" s="472"/>
      <c r="AF12" s="472"/>
      <c r="AG12" s="472"/>
      <c r="AH12" s="485"/>
      <c r="AI12" s="480"/>
      <c r="AJ12" s="471"/>
      <c r="AK12" s="486"/>
      <c r="AL12" s="168"/>
      <c r="AM12" s="204"/>
    </row>
    <row r="13" spans="1:39" ht="17.25" customHeight="1">
      <c r="A13" s="659"/>
      <c r="B13" s="469"/>
      <c r="C13" s="470"/>
      <c r="D13" s="478"/>
      <c r="E13" s="479"/>
      <c r="F13" s="471"/>
      <c r="G13" s="471"/>
      <c r="H13" s="480"/>
      <c r="I13" s="471"/>
      <c r="J13" s="481"/>
      <c r="K13" s="482"/>
      <c r="L13" s="482"/>
      <c r="M13" s="481"/>
      <c r="N13" s="482"/>
      <c r="P13" s="481"/>
      <c r="Q13" s="483"/>
      <c r="R13" s="483"/>
      <c r="S13" s="471"/>
      <c r="T13" s="484"/>
      <c r="U13" s="481"/>
      <c r="V13" s="483"/>
      <c r="W13" s="483"/>
      <c r="X13" s="481"/>
      <c r="Y13" s="482"/>
      <c r="Z13" s="482"/>
      <c r="AA13" s="472"/>
      <c r="AB13" s="472"/>
      <c r="AC13" s="472"/>
      <c r="AD13" s="472"/>
      <c r="AE13" s="472"/>
      <c r="AF13" s="472"/>
      <c r="AG13" s="472"/>
      <c r="AH13" s="485"/>
      <c r="AI13" s="480"/>
      <c r="AJ13" s="471"/>
      <c r="AK13" s="486"/>
      <c r="AL13" s="168"/>
      <c r="AM13" s="204"/>
    </row>
    <row r="14" spans="1:39" ht="17.25" customHeight="1">
      <c r="A14" s="659"/>
      <c r="B14" s="469"/>
      <c r="C14" s="470"/>
      <c r="D14" s="478"/>
      <c r="E14" s="479"/>
      <c r="F14" s="471"/>
      <c r="G14" s="471"/>
      <c r="H14" s="480"/>
      <c r="I14" s="471"/>
      <c r="J14" s="481"/>
      <c r="K14" s="482"/>
      <c r="L14" s="482"/>
      <c r="M14" s="481"/>
      <c r="N14" s="482"/>
      <c r="P14" s="481"/>
      <c r="Q14" s="483"/>
      <c r="R14" s="483"/>
      <c r="S14" s="471"/>
      <c r="T14" s="484"/>
      <c r="U14" s="481"/>
      <c r="V14" s="483"/>
      <c r="W14" s="483"/>
      <c r="X14" s="481"/>
      <c r="Y14" s="482"/>
      <c r="Z14" s="482"/>
      <c r="AA14" s="472"/>
      <c r="AB14" s="472"/>
      <c r="AC14" s="472"/>
      <c r="AD14" s="472"/>
      <c r="AE14" s="472"/>
      <c r="AF14" s="472"/>
      <c r="AG14" s="472"/>
      <c r="AH14" s="485"/>
      <c r="AI14" s="480"/>
      <c r="AJ14" s="471"/>
      <c r="AK14" s="486"/>
      <c r="AL14" s="168"/>
      <c r="AM14" s="204"/>
    </row>
    <row r="15" spans="1:39" ht="17.25" customHeight="1">
      <c r="A15" s="659"/>
      <c r="B15" s="469"/>
      <c r="C15" s="470"/>
      <c r="D15" s="478"/>
      <c r="E15" s="479"/>
      <c r="F15" s="471"/>
      <c r="G15" s="471"/>
      <c r="H15" s="480"/>
      <c r="I15" s="471"/>
      <c r="J15" s="481"/>
      <c r="K15" s="482"/>
      <c r="L15" s="482"/>
      <c r="M15" s="481"/>
      <c r="N15" s="482"/>
      <c r="O15" s="482"/>
      <c r="P15" s="481"/>
      <c r="Q15" s="483"/>
      <c r="R15" s="483"/>
      <c r="S15" s="471"/>
      <c r="T15" s="484"/>
      <c r="U15" s="481"/>
      <c r="V15" s="483"/>
      <c r="W15" s="483"/>
      <c r="X15" s="481"/>
      <c r="Y15" s="482"/>
      <c r="Z15" s="482"/>
      <c r="AA15" s="472"/>
      <c r="AB15" s="472"/>
      <c r="AC15" s="472"/>
      <c r="AD15" s="472"/>
      <c r="AE15" s="472"/>
      <c r="AF15" s="472"/>
      <c r="AG15" s="472"/>
      <c r="AH15" s="485"/>
      <c r="AI15" s="480"/>
      <c r="AJ15" s="471"/>
      <c r="AK15" s="486"/>
      <c r="AL15" s="168"/>
      <c r="AM15" s="204"/>
    </row>
    <row r="16" spans="1:39" ht="17.25" customHeight="1">
      <c r="A16" s="659"/>
      <c r="B16" s="469"/>
      <c r="C16" s="470"/>
      <c r="D16" s="478"/>
      <c r="E16" s="479"/>
      <c r="F16" s="471"/>
      <c r="G16" s="471"/>
      <c r="H16" s="480"/>
      <c r="I16" s="471"/>
      <c r="J16" s="481"/>
      <c r="K16" s="482"/>
      <c r="L16" s="482"/>
      <c r="M16" s="481"/>
      <c r="N16" s="482"/>
      <c r="O16" s="482"/>
      <c r="P16" s="481"/>
      <c r="Q16" s="483"/>
      <c r="R16" s="483"/>
      <c r="S16" s="471"/>
      <c r="T16" s="484"/>
      <c r="U16" s="481"/>
      <c r="V16" s="483"/>
      <c r="W16" s="483"/>
      <c r="X16" s="481"/>
      <c r="Y16" s="482"/>
      <c r="Z16" s="482"/>
      <c r="AA16" s="472"/>
      <c r="AB16" s="472"/>
      <c r="AC16" s="472"/>
      <c r="AD16" s="472"/>
      <c r="AE16" s="472"/>
      <c r="AF16" s="472"/>
      <c r="AG16" s="472"/>
      <c r="AH16" s="485"/>
      <c r="AI16" s="480"/>
      <c r="AJ16" s="471"/>
      <c r="AK16" s="486"/>
      <c r="AL16" s="168"/>
      <c r="AM16" s="204"/>
    </row>
    <row r="17" spans="1:39" ht="17.25" customHeight="1">
      <c r="A17" s="659"/>
      <c r="B17" s="469"/>
      <c r="C17" s="470"/>
      <c r="D17" s="478"/>
      <c r="E17" s="479"/>
      <c r="F17" s="471"/>
      <c r="G17" s="471"/>
      <c r="H17" s="480"/>
      <c r="I17" s="471"/>
      <c r="J17" s="481"/>
      <c r="K17" s="482"/>
      <c r="L17" s="482"/>
      <c r="M17" s="481"/>
      <c r="N17" s="482"/>
      <c r="O17" s="482"/>
      <c r="P17" s="481"/>
      <c r="Q17" s="483"/>
      <c r="R17" s="483"/>
      <c r="S17" s="471"/>
      <c r="T17" s="484"/>
      <c r="U17" s="481"/>
      <c r="V17" s="483"/>
      <c r="W17" s="483"/>
      <c r="X17" s="481"/>
      <c r="Y17" s="482"/>
      <c r="Z17" s="482"/>
      <c r="AA17" s="472"/>
      <c r="AB17" s="472"/>
      <c r="AC17" s="472"/>
      <c r="AD17" s="472"/>
      <c r="AE17" s="472"/>
      <c r="AF17" s="472"/>
      <c r="AG17" s="472"/>
      <c r="AH17" s="485"/>
      <c r="AI17" s="480"/>
      <c r="AJ17" s="471"/>
      <c r="AK17" s="486"/>
      <c r="AL17" s="168"/>
      <c r="AM17" s="204"/>
    </row>
    <row r="18" spans="1:39" ht="17.25" customHeight="1">
      <c r="A18" s="659"/>
      <c r="B18" s="469"/>
      <c r="C18" s="470"/>
      <c r="D18" s="478"/>
      <c r="E18" s="479"/>
      <c r="F18" s="471"/>
      <c r="G18" s="471"/>
      <c r="H18" s="480"/>
      <c r="I18" s="471"/>
      <c r="J18" s="481"/>
      <c r="K18" s="482"/>
      <c r="L18" s="482"/>
      <c r="M18" s="481"/>
      <c r="N18" s="482"/>
      <c r="O18" s="482"/>
      <c r="P18" s="481"/>
      <c r="Q18" s="483"/>
      <c r="R18" s="483"/>
      <c r="S18" s="471"/>
      <c r="T18" s="484"/>
      <c r="U18" s="481"/>
      <c r="V18" s="483"/>
      <c r="W18" s="483"/>
      <c r="X18" s="481"/>
      <c r="Y18" s="482"/>
      <c r="Z18" s="482"/>
      <c r="AA18" s="472"/>
      <c r="AB18" s="472"/>
      <c r="AC18" s="472"/>
      <c r="AD18" s="472"/>
      <c r="AE18" s="472"/>
      <c r="AF18" s="472"/>
      <c r="AG18" s="472"/>
      <c r="AH18" s="485"/>
      <c r="AI18" s="480"/>
      <c r="AJ18" s="471"/>
      <c r="AK18" s="486"/>
      <c r="AL18" s="168"/>
      <c r="AM18" s="204"/>
    </row>
    <row r="19" spans="1:39" ht="17.25" customHeight="1">
      <c r="A19" s="659"/>
      <c r="B19" s="469"/>
      <c r="C19" s="470"/>
      <c r="D19" s="478"/>
      <c r="E19" s="479"/>
      <c r="F19" s="471"/>
      <c r="G19" s="471"/>
      <c r="H19" s="480"/>
      <c r="I19" s="471"/>
      <c r="J19" s="481"/>
      <c r="K19" s="482"/>
      <c r="L19" s="482"/>
      <c r="M19" s="481"/>
      <c r="N19" s="482"/>
      <c r="O19" s="482"/>
      <c r="P19" s="481"/>
      <c r="Q19" s="483"/>
      <c r="R19" s="483"/>
      <c r="S19" s="471"/>
      <c r="T19" s="484"/>
      <c r="U19" s="481"/>
      <c r="V19" s="483"/>
      <c r="W19" s="483"/>
      <c r="X19" s="481"/>
      <c r="Y19" s="482"/>
      <c r="Z19" s="482"/>
      <c r="AA19" s="472"/>
      <c r="AB19" s="472"/>
      <c r="AC19" s="472"/>
      <c r="AD19" s="472"/>
      <c r="AE19" s="472"/>
      <c r="AF19" s="472"/>
      <c r="AG19" s="472"/>
      <c r="AH19" s="485"/>
      <c r="AI19" s="480"/>
      <c r="AJ19" s="471"/>
      <c r="AK19" s="486"/>
      <c r="AL19" s="168"/>
      <c r="AM19" s="204"/>
    </row>
    <row r="20" spans="1:39" ht="17.25" customHeight="1">
      <c r="A20" s="659"/>
      <c r="B20" s="469"/>
      <c r="C20" s="470"/>
      <c r="D20" s="487"/>
      <c r="E20" s="487"/>
      <c r="F20" s="488"/>
      <c r="G20" s="488"/>
      <c r="H20" s="489"/>
      <c r="I20" s="471"/>
      <c r="J20" s="490"/>
      <c r="K20" s="490"/>
      <c r="L20" s="490"/>
      <c r="M20" s="490"/>
      <c r="N20" s="490"/>
      <c r="O20" s="490"/>
      <c r="P20" s="491"/>
      <c r="Q20" s="491"/>
      <c r="R20" s="491"/>
      <c r="S20" s="492"/>
      <c r="T20" s="493"/>
      <c r="U20" s="492"/>
      <c r="V20" s="492"/>
      <c r="W20" s="494"/>
      <c r="X20" s="493"/>
      <c r="Y20" s="493"/>
      <c r="Z20" s="492"/>
      <c r="AA20" s="493"/>
      <c r="AB20" s="495"/>
      <c r="AC20" s="495"/>
      <c r="AD20" s="495"/>
      <c r="AE20" s="495"/>
      <c r="AF20" s="495"/>
      <c r="AG20" s="495"/>
      <c r="AH20" s="479"/>
      <c r="AI20" s="470"/>
      <c r="AJ20" s="471"/>
      <c r="AK20" s="486"/>
      <c r="AL20" s="168"/>
      <c r="AM20" s="204"/>
    </row>
    <row r="21" spans="1:39" ht="17.25" customHeight="1">
      <c r="A21" s="659"/>
      <c r="B21" s="469"/>
      <c r="C21" s="490"/>
      <c r="D21" s="496"/>
      <c r="E21" s="497"/>
      <c r="F21" s="498"/>
      <c r="G21" s="499"/>
      <c r="H21" s="500"/>
      <c r="I21" s="500"/>
      <c r="J21" s="501"/>
      <c r="K21" s="501"/>
      <c r="L21" s="501"/>
      <c r="M21" s="502"/>
      <c r="N21" s="502"/>
      <c r="O21" s="503"/>
      <c r="P21" s="504"/>
      <c r="Q21" s="504"/>
      <c r="R21" s="491"/>
      <c r="S21" s="505"/>
      <c r="T21" s="506"/>
      <c r="U21" s="506"/>
      <c r="V21" s="506"/>
      <c r="W21" s="491"/>
      <c r="X21" s="507"/>
      <c r="Y21" s="507"/>
      <c r="Z21" s="508"/>
      <c r="AA21" s="490"/>
      <c r="AB21" s="509"/>
      <c r="AC21" s="495"/>
      <c r="AD21" s="495"/>
      <c r="AE21" s="495"/>
      <c r="AF21" s="510"/>
      <c r="AG21" s="510"/>
      <c r="AH21" s="502"/>
      <c r="AI21" s="511"/>
      <c r="AJ21" s="471"/>
      <c r="AK21" s="486"/>
      <c r="AL21" s="168"/>
      <c r="AM21" s="204"/>
    </row>
    <row r="22" spans="1:39" ht="17.25" customHeight="1">
      <c r="A22" s="659"/>
      <c r="B22" s="469"/>
      <c r="C22" s="490"/>
      <c r="D22" s="496"/>
      <c r="E22" s="497"/>
      <c r="F22" s="498"/>
      <c r="G22" s="499"/>
      <c r="H22" s="500"/>
      <c r="I22" s="500"/>
      <c r="J22" s="512"/>
      <c r="K22" s="501"/>
      <c r="L22" s="501"/>
      <c r="M22" s="502"/>
      <c r="N22" s="502"/>
      <c r="O22" s="513"/>
      <c r="P22" s="504"/>
      <c r="Q22" s="504"/>
      <c r="R22" s="514"/>
      <c r="S22" s="505"/>
      <c r="T22" s="506"/>
      <c r="U22" s="506"/>
      <c r="V22" s="506"/>
      <c r="W22" s="491"/>
      <c r="X22" s="507"/>
      <c r="Y22" s="507"/>
      <c r="Z22" s="508"/>
      <c r="AA22" s="490"/>
      <c r="AB22" s="509"/>
      <c r="AC22" s="495"/>
      <c r="AD22" s="495"/>
      <c r="AE22" s="495"/>
      <c r="AF22" s="510"/>
      <c r="AG22" s="510"/>
      <c r="AH22" s="502"/>
      <c r="AI22" s="511"/>
      <c r="AJ22" s="471"/>
      <c r="AK22" s="486"/>
      <c r="AL22" s="168"/>
      <c r="AM22" s="204"/>
    </row>
    <row r="23" spans="1:39" ht="17.25" customHeight="1">
      <c r="A23" s="659"/>
      <c r="B23" s="469"/>
      <c r="C23" s="490"/>
      <c r="D23" s="496"/>
      <c r="E23" s="497"/>
      <c r="F23" s="498"/>
      <c r="G23" s="499"/>
      <c r="H23" s="498"/>
      <c r="I23" s="498"/>
      <c r="J23" s="501"/>
      <c r="K23" s="501"/>
      <c r="L23" s="501"/>
      <c r="M23" s="502"/>
      <c r="N23" s="502"/>
      <c r="O23" s="513"/>
      <c r="P23" s="504"/>
      <c r="Q23" s="504"/>
      <c r="R23" s="515"/>
      <c r="S23" s="516"/>
      <c r="T23" s="517"/>
      <c r="U23" s="516"/>
      <c r="V23" s="517"/>
      <c r="W23" s="491"/>
      <c r="X23" s="507"/>
      <c r="Y23" s="507"/>
      <c r="Z23" s="508"/>
      <c r="AA23" s="490"/>
      <c r="AB23" s="497"/>
      <c r="AC23" s="495"/>
      <c r="AD23" s="495"/>
      <c r="AE23" s="495"/>
      <c r="AF23" s="510"/>
      <c r="AG23" s="510"/>
      <c r="AH23" s="502"/>
      <c r="AI23" s="511"/>
      <c r="AJ23" s="471"/>
      <c r="AK23" s="486"/>
      <c r="AL23" s="168"/>
      <c r="AM23" s="204"/>
    </row>
    <row r="24" spans="1:39" ht="17.25" customHeight="1">
      <c r="A24" s="659"/>
      <c r="B24" s="469"/>
      <c r="C24" s="490"/>
      <c r="D24" s="496"/>
      <c r="E24" s="497"/>
      <c r="F24" s="498"/>
      <c r="G24" s="499"/>
      <c r="H24" s="498"/>
      <c r="I24" s="498"/>
      <c r="J24" s="501"/>
      <c r="K24" s="501"/>
      <c r="L24" s="501"/>
      <c r="M24" s="502"/>
      <c r="N24" s="502"/>
      <c r="O24" s="513"/>
      <c r="P24" s="504"/>
      <c r="Q24" s="504"/>
      <c r="R24" s="515"/>
      <c r="S24" s="516"/>
      <c r="T24" s="517"/>
      <c r="U24" s="516"/>
      <c r="V24" s="517"/>
      <c r="W24" s="491"/>
      <c r="X24" s="518"/>
      <c r="Y24" s="507"/>
      <c r="Z24" s="508"/>
      <c r="AA24" s="490"/>
      <c r="AB24" s="497"/>
      <c r="AC24" s="495"/>
      <c r="AD24" s="495"/>
      <c r="AE24" s="495"/>
      <c r="AF24" s="510"/>
      <c r="AG24" s="510"/>
      <c r="AH24" s="502"/>
      <c r="AI24" s="511"/>
      <c r="AJ24" s="471"/>
      <c r="AK24" s="486"/>
      <c r="AL24" s="168"/>
      <c r="AM24" s="204"/>
    </row>
    <row r="25" spans="1:39" ht="17.25" customHeight="1">
      <c r="A25" s="659"/>
      <c r="B25" s="469"/>
      <c r="C25" s="490"/>
      <c r="D25" s="496"/>
      <c r="E25" s="497"/>
      <c r="F25" s="498"/>
      <c r="G25" s="499"/>
      <c r="H25" s="498"/>
      <c r="I25" s="498"/>
      <c r="J25" s="501"/>
      <c r="K25" s="501"/>
      <c r="L25" s="501"/>
      <c r="M25" s="502"/>
      <c r="N25" s="502"/>
      <c r="O25" s="497"/>
      <c r="P25" s="504"/>
      <c r="Q25" s="504"/>
      <c r="R25" s="515"/>
      <c r="S25" s="516"/>
      <c r="T25" s="517"/>
      <c r="U25" s="516"/>
      <c r="V25" s="517"/>
      <c r="W25" s="491"/>
      <c r="X25" s="507"/>
      <c r="Y25" s="507"/>
      <c r="Z25" s="508"/>
      <c r="AA25" s="490"/>
      <c r="AB25" s="497"/>
      <c r="AC25" s="495"/>
      <c r="AD25" s="495"/>
      <c r="AE25" s="495"/>
      <c r="AF25" s="510"/>
      <c r="AG25" s="510"/>
      <c r="AH25" s="502"/>
      <c r="AI25" s="511"/>
      <c r="AJ25" s="471"/>
      <c r="AK25" s="486"/>
      <c r="AL25" s="168"/>
      <c r="AM25" s="204"/>
    </row>
    <row r="26" spans="1:39" ht="17.25" customHeight="1">
      <c r="A26" s="659"/>
      <c r="B26" s="469"/>
      <c r="C26" s="490"/>
      <c r="D26" s="496"/>
      <c r="E26" s="497"/>
      <c r="F26" s="498"/>
      <c r="G26" s="519"/>
      <c r="H26" s="498"/>
      <c r="I26" s="498"/>
      <c r="J26" s="512"/>
      <c r="K26" s="501"/>
      <c r="L26" s="501"/>
      <c r="M26" s="502"/>
      <c r="N26" s="502"/>
      <c r="O26" s="490"/>
      <c r="P26" s="504"/>
      <c r="Q26" s="504"/>
      <c r="R26" s="515"/>
      <c r="S26" s="516"/>
      <c r="T26" s="517"/>
      <c r="U26" s="516"/>
      <c r="V26" s="517"/>
      <c r="W26" s="491"/>
      <c r="X26" s="507"/>
      <c r="Y26" s="507"/>
      <c r="Z26" s="508"/>
      <c r="AA26" s="490"/>
      <c r="AB26" s="497"/>
      <c r="AC26" s="490"/>
      <c r="AD26" s="490"/>
      <c r="AE26" s="490"/>
      <c r="AF26" s="510"/>
      <c r="AG26" s="510"/>
      <c r="AH26" s="502"/>
      <c r="AI26" s="511"/>
      <c r="AJ26" s="471"/>
      <c r="AK26" s="486"/>
      <c r="AL26" s="168"/>
      <c r="AM26" s="204"/>
    </row>
    <row r="27" spans="1:39" ht="17.25" customHeight="1">
      <c r="A27" s="659"/>
      <c r="B27" s="469"/>
      <c r="C27" s="490"/>
      <c r="D27" s="496"/>
      <c r="E27" s="497"/>
      <c r="F27" s="498"/>
      <c r="G27" s="519"/>
      <c r="H27" s="498"/>
      <c r="I27" s="498"/>
      <c r="J27" s="501"/>
      <c r="K27" s="501"/>
      <c r="L27" s="501"/>
      <c r="M27" s="502"/>
      <c r="N27" s="502"/>
      <c r="O27" s="490"/>
      <c r="P27" s="504"/>
      <c r="Q27" s="504"/>
      <c r="R27" s="515"/>
      <c r="S27" s="516"/>
      <c r="T27" s="517"/>
      <c r="U27" s="516"/>
      <c r="V27" s="517"/>
      <c r="W27" s="491"/>
      <c r="X27" s="507"/>
      <c r="Y27" s="507"/>
      <c r="Z27" s="508"/>
      <c r="AA27" s="490"/>
      <c r="AB27" s="497"/>
      <c r="AC27" s="490"/>
      <c r="AD27" s="490"/>
      <c r="AE27" s="490"/>
      <c r="AF27" s="510"/>
      <c r="AG27" s="510"/>
      <c r="AH27" s="502"/>
      <c r="AI27" s="511"/>
      <c r="AJ27" s="471"/>
      <c r="AK27" s="486"/>
      <c r="AL27" s="168"/>
      <c r="AM27" s="204"/>
    </row>
    <row r="28" spans="1:39" ht="17.25" customHeight="1">
      <c r="A28" s="659"/>
      <c r="B28" s="469"/>
      <c r="C28" s="490"/>
      <c r="D28" s="496"/>
      <c r="E28" s="497"/>
      <c r="F28" s="498"/>
      <c r="G28" s="499"/>
      <c r="H28" s="498"/>
      <c r="I28" s="498"/>
      <c r="J28" s="501"/>
      <c r="K28" s="501"/>
      <c r="L28" s="501"/>
      <c r="M28" s="502"/>
      <c r="N28" s="502"/>
      <c r="O28" s="497"/>
      <c r="P28" s="504"/>
      <c r="Q28" s="504"/>
      <c r="R28" s="515"/>
      <c r="S28" s="516"/>
      <c r="T28" s="517"/>
      <c r="U28" s="516"/>
      <c r="V28" s="517"/>
      <c r="W28" s="491"/>
      <c r="X28" s="507"/>
      <c r="Y28" s="507"/>
      <c r="Z28" s="508"/>
      <c r="AA28" s="490"/>
      <c r="AB28" s="497"/>
      <c r="AC28" s="490"/>
      <c r="AD28" s="490"/>
      <c r="AE28" s="490"/>
      <c r="AF28" s="510"/>
      <c r="AG28" s="510"/>
      <c r="AH28" s="502"/>
      <c r="AI28" s="511"/>
      <c r="AJ28" s="471"/>
      <c r="AK28" s="486"/>
      <c r="AL28" s="168"/>
      <c r="AM28" s="204"/>
    </row>
    <row r="29" spans="1:39" ht="17.25" customHeight="1">
      <c r="A29" s="659"/>
      <c r="B29" s="469"/>
      <c r="C29" s="490"/>
      <c r="D29" s="496"/>
      <c r="E29" s="497"/>
      <c r="F29" s="498"/>
      <c r="G29" s="499"/>
      <c r="H29" s="498"/>
      <c r="I29" s="498"/>
      <c r="J29" s="496"/>
      <c r="K29" s="501"/>
      <c r="L29" s="496"/>
      <c r="M29" s="502"/>
      <c r="N29" s="502"/>
      <c r="O29" s="513"/>
      <c r="P29" s="505"/>
      <c r="Q29" s="504"/>
      <c r="R29" s="491"/>
      <c r="S29" s="516"/>
      <c r="T29" s="516"/>
      <c r="U29" s="520"/>
      <c r="V29" s="521"/>
      <c r="W29" s="491"/>
      <c r="X29" s="507"/>
      <c r="Y29" s="507"/>
      <c r="Z29" s="508"/>
      <c r="AA29" s="490"/>
      <c r="AB29" s="497"/>
      <c r="AC29" s="490"/>
      <c r="AD29" s="490"/>
      <c r="AE29" s="490"/>
      <c r="AF29" s="510"/>
      <c r="AG29" s="510"/>
      <c r="AH29" s="502"/>
      <c r="AI29" s="490"/>
      <c r="AJ29" s="471"/>
      <c r="AK29" s="486"/>
      <c r="AL29" s="168"/>
      <c r="AM29" s="204"/>
    </row>
    <row r="30" spans="1:39" ht="17.25" customHeight="1">
      <c r="A30" s="660"/>
      <c r="B30" s="469"/>
      <c r="C30" s="490"/>
      <c r="D30" s="496"/>
      <c r="E30" s="497"/>
      <c r="F30" s="498"/>
      <c r="G30" s="499"/>
      <c r="H30" s="498"/>
      <c r="I30" s="498"/>
      <c r="J30" s="496"/>
      <c r="K30" s="501"/>
      <c r="L30" s="496"/>
      <c r="M30" s="496"/>
      <c r="N30" s="502"/>
      <c r="O30" s="513"/>
      <c r="P30" s="505"/>
      <c r="Q30" s="504"/>
      <c r="R30" s="491"/>
      <c r="S30" s="516"/>
      <c r="T30" s="516"/>
      <c r="U30" s="520"/>
      <c r="V30" s="501"/>
      <c r="W30" s="491"/>
      <c r="X30" s="507"/>
      <c r="Y30" s="507"/>
      <c r="Z30" s="508"/>
      <c r="AA30" s="490"/>
      <c r="AB30" s="497"/>
      <c r="AC30" s="490"/>
      <c r="AD30" s="490"/>
      <c r="AE30" s="490"/>
      <c r="AF30" s="510"/>
      <c r="AG30" s="510"/>
      <c r="AH30" s="502"/>
      <c r="AI30" s="490"/>
      <c r="AJ30" s="471"/>
      <c r="AK30" s="486"/>
      <c r="AL30" s="168"/>
      <c r="AM30" s="204"/>
    </row>
    <row r="31" spans="1:39" ht="17.25" customHeight="1">
      <c r="A31" s="679"/>
      <c r="B31" s="469"/>
      <c r="C31" s="490"/>
      <c r="D31" s="490"/>
      <c r="E31" s="497"/>
      <c r="F31" s="497"/>
      <c r="G31" s="499"/>
      <c r="H31" s="497"/>
      <c r="I31" s="497"/>
      <c r="J31" s="522"/>
      <c r="K31" s="523"/>
      <c r="L31" s="522"/>
      <c r="M31" s="497"/>
      <c r="N31" s="497"/>
      <c r="O31" s="513"/>
      <c r="P31" s="515"/>
      <c r="Q31" s="515"/>
      <c r="R31" s="515"/>
      <c r="S31" s="515"/>
      <c r="T31" s="490"/>
      <c r="U31" s="491"/>
      <c r="V31" s="491"/>
      <c r="W31" s="491"/>
      <c r="X31" s="507"/>
      <c r="Y31" s="507"/>
      <c r="Z31" s="508"/>
      <c r="AA31" s="490"/>
      <c r="AB31" s="497"/>
      <c r="AC31" s="490"/>
      <c r="AD31" s="490"/>
      <c r="AE31" s="490"/>
      <c r="AF31" s="524"/>
      <c r="AG31" s="525"/>
      <c r="AH31" s="526"/>
      <c r="AI31" s="490"/>
      <c r="AJ31" s="471"/>
      <c r="AK31" s="486"/>
      <c r="AL31" s="168"/>
      <c r="AM31" s="204"/>
    </row>
    <row r="32" spans="1:39" ht="17.25" customHeight="1">
      <c r="A32" s="680"/>
      <c r="B32" s="469"/>
      <c r="C32" s="490"/>
      <c r="D32" s="490"/>
      <c r="E32" s="497"/>
      <c r="F32" s="497"/>
      <c r="G32" s="499"/>
      <c r="H32" s="497"/>
      <c r="I32" s="497"/>
      <c r="J32" s="522"/>
      <c r="K32" s="498"/>
      <c r="L32" s="522"/>
      <c r="M32" s="497"/>
      <c r="N32" s="497"/>
      <c r="O32" s="513"/>
      <c r="P32" s="515"/>
      <c r="Q32" s="515"/>
      <c r="R32" s="515"/>
      <c r="S32" s="515"/>
      <c r="T32" s="490"/>
      <c r="U32" s="491"/>
      <c r="V32" s="491"/>
      <c r="W32" s="491"/>
      <c r="X32" s="507"/>
      <c r="Y32" s="507"/>
      <c r="Z32" s="508"/>
      <c r="AA32" s="490"/>
      <c r="AB32" s="497"/>
      <c r="AC32" s="490"/>
      <c r="AD32" s="490"/>
      <c r="AE32" s="490"/>
      <c r="AF32" s="524"/>
      <c r="AG32" s="525"/>
      <c r="AH32" s="526"/>
      <c r="AI32" s="490"/>
      <c r="AJ32" s="471"/>
      <c r="AK32" s="486"/>
      <c r="AL32" s="168"/>
      <c r="AM32" s="204"/>
    </row>
    <row r="33" spans="1:39" ht="17.25" customHeight="1">
      <c r="A33" s="680"/>
      <c r="B33" s="469"/>
      <c r="C33" s="490"/>
      <c r="D33" s="496"/>
      <c r="E33" s="497"/>
      <c r="F33" s="498"/>
      <c r="G33" s="499"/>
      <c r="H33" s="498"/>
      <c r="I33" s="498"/>
      <c r="J33" s="496"/>
      <c r="K33" s="527"/>
      <c r="L33" s="496"/>
      <c r="M33" s="502"/>
      <c r="N33" s="496"/>
      <c r="O33" s="513"/>
      <c r="P33" s="528"/>
      <c r="Q33" s="504"/>
      <c r="R33" s="491"/>
      <c r="S33" s="528"/>
      <c r="T33" s="503"/>
      <c r="U33" s="514"/>
      <c r="V33" s="514"/>
      <c r="W33" s="491"/>
      <c r="X33" s="507"/>
      <c r="Y33" s="507"/>
      <c r="Z33" s="508"/>
      <c r="AA33" s="490"/>
      <c r="AB33" s="497"/>
      <c r="AC33" s="490"/>
      <c r="AD33" s="490"/>
      <c r="AE33" s="490"/>
      <c r="AF33" s="510"/>
      <c r="AG33" s="510"/>
      <c r="AH33" s="502"/>
      <c r="AI33" s="490"/>
      <c r="AJ33" s="471"/>
      <c r="AK33" s="486"/>
      <c r="AL33" s="168"/>
      <c r="AM33" s="204"/>
    </row>
    <row r="34" spans="1:39" ht="17.25" customHeight="1">
      <c r="A34" s="680"/>
      <c r="B34" s="469"/>
      <c r="C34" s="490"/>
      <c r="D34" s="496"/>
      <c r="E34" s="497"/>
      <c r="F34" s="498"/>
      <c r="G34" s="499"/>
      <c r="H34" s="498"/>
      <c r="I34" s="498"/>
      <c r="J34" s="496"/>
      <c r="K34" s="527"/>
      <c r="L34" s="496"/>
      <c r="M34" s="496"/>
      <c r="N34" s="496"/>
      <c r="O34" s="513"/>
      <c r="P34" s="528"/>
      <c r="Q34" s="504"/>
      <c r="R34" s="491"/>
      <c r="S34" s="528"/>
      <c r="T34" s="503"/>
      <c r="U34" s="514"/>
      <c r="V34" s="514"/>
      <c r="W34" s="491"/>
      <c r="X34" s="507"/>
      <c r="Y34" s="507"/>
      <c r="Z34" s="508"/>
      <c r="AA34" s="490"/>
      <c r="AB34" s="497"/>
      <c r="AC34" s="490"/>
      <c r="AD34" s="490"/>
      <c r="AE34" s="490"/>
      <c r="AF34" s="510"/>
      <c r="AG34" s="510"/>
      <c r="AH34" s="502"/>
      <c r="AI34" s="490"/>
      <c r="AJ34" s="471"/>
      <c r="AK34" s="486"/>
      <c r="AL34" s="168"/>
      <c r="AM34" s="204"/>
    </row>
    <row r="35" spans="1:39" ht="17.25" customHeight="1">
      <c r="A35" s="680"/>
      <c r="B35" s="469"/>
      <c r="C35" s="490"/>
      <c r="D35" s="490"/>
      <c r="E35" s="497"/>
      <c r="F35" s="497"/>
      <c r="G35" s="499"/>
      <c r="H35" s="497"/>
      <c r="I35" s="497"/>
      <c r="J35" s="498"/>
      <c r="K35" s="497"/>
      <c r="L35" s="497"/>
      <c r="M35" s="497"/>
      <c r="N35" s="497"/>
      <c r="O35" s="497"/>
      <c r="P35" s="515"/>
      <c r="Q35" s="515"/>
      <c r="R35" s="491"/>
      <c r="S35" s="515"/>
      <c r="T35" s="497"/>
      <c r="U35" s="497"/>
      <c r="V35" s="497"/>
      <c r="W35" s="491"/>
      <c r="X35" s="507"/>
      <c r="Y35" s="507"/>
      <c r="Z35" s="508"/>
      <c r="AA35" s="490"/>
      <c r="AB35" s="497"/>
      <c r="AC35" s="490"/>
      <c r="AD35" s="490"/>
      <c r="AE35" s="490"/>
      <c r="AF35" s="510"/>
      <c r="AG35" s="510"/>
      <c r="AH35" s="526"/>
      <c r="AI35" s="490"/>
      <c r="AJ35" s="471"/>
      <c r="AK35" s="486"/>
      <c r="AL35" s="168"/>
      <c r="AM35" s="204"/>
    </row>
    <row r="36" spans="1:39" ht="17.25" customHeight="1">
      <c r="A36" s="680"/>
      <c r="B36" s="469"/>
      <c r="C36" s="490"/>
      <c r="D36" s="529"/>
      <c r="E36" s="497"/>
      <c r="F36" s="519"/>
      <c r="G36" s="519"/>
      <c r="H36" s="273"/>
      <c r="I36" s="515"/>
      <c r="J36" s="497"/>
      <c r="K36" s="497"/>
      <c r="L36" s="497"/>
      <c r="M36" s="497"/>
      <c r="N36" s="497"/>
      <c r="O36" s="490"/>
      <c r="P36" s="515"/>
      <c r="Q36" s="515"/>
      <c r="R36" s="491"/>
      <c r="S36" s="490"/>
      <c r="T36" s="490"/>
      <c r="U36" s="491"/>
      <c r="V36" s="491"/>
      <c r="W36" s="491"/>
      <c r="X36" s="507"/>
      <c r="Y36" s="507"/>
      <c r="Z36" s="508"/>
      <c r="AA36" s="490"/>
      <c r="AB36" s="497"/>
      <c r="AC36" s="490"/>
      <c r="AD36" s="490"/>
      <c r="AE36" s="490"/>
      <c r="AF36" s="530"/>
      <c r="AG36" s="530"/>
      <c r="AH36" s="531"/>
      <c r="AI36" s="511"/>
      <c r="AJ36" s="471"/>
      <c r="AK36" s="486"/>
      <c r="AL36" s="168"/>
      <c r="AM36" s="204"/>
    </row>
    <row r="37" spans="1:39" ht="17.25" customHeight="1">
      <c r="A37" s="680"/>
      <c r="B37" s="469"/>
      <c r="C37" s="490"/>
      <c r="D37" s="529"/>
      <c r="E37" s="497"/>
      <c r="F37" s="519"/>
      <c r="G37" s="519"/>
      <c r="H37" s="273"/>
      <c r="I37" s="515"/>
      <c r="J37" s="497"/>
      <c r="K37" s="497"/>
      <c r="L37" s="497"/>
      <c r="M37" s="497"/>
      <c r="N37" s="497"/>
      <c r="O37" s="490"/>
      <c r="P37" s="515"/>
      <c r="Q37" s="515"/>
      <c r="R37" s="515"/>
      <c r="S37" s="490"/>
      <c r="T37" s="490"/>
      <c r="U37" s="491"/>
      <c r="V37" s="491"/>
      <c r="W37" s="491"/>
      <c r="X37" s="507"/>
      <c r="Y37" s="507"/>
      <c r="Z37" s="508"/>
      <c r="AA37" s="490"/>
      <c r="AB37" s="497"/>
      <c r="AC37" s="490"/>
      <c r="AD37" s="490"/>
      <c r="AE37" s="490"/>
      <c r="AF37" s="530"/>
      <c r="AG37" s="530"/>
      <c r="AH37" s="531"/>
      <c r="AI37" s="532"/>
      <c r="AJ37" s="471"/>
      <c r="AK37" s="486"/>
      <c r="AL37" s="168"/>
      <c r="AM37" s="204"/>
    </row>
    <row r="38" spans="1:39" ht="17.25" customHeight="1">
      <c r="A38" s="680"/>
      <c r="B38" s="469"/>
      <c r="C38" s="490"/>
      <c r="D38" s="529"/>
      <c r="E38" s="497"/>
      <c r="F38" s="519"/>
      <c r="G38" s="499"/>
      <c r="H38" s="273"/>
      <c r="I38" s="515"/>
      <c r="J38" s="497"/>
      <c r="K38" s="497"/>
      <c r="L38" s="497"/>
      <c r="M38" s="497"/>
      <c r="N38" s="497"/>
      <c r="O38" s="497"/>
      <c r="P38" s="515"/>
      <c r="Q38" s="515"/>
      <c r="R38" s="515"/>
      <c r="S38" s="490"/>
      <c r="T38" s="490"/>
      <c r="U38" s="491"/>
      <c r="V38" s="491"/>
      <c r="W38" s="491"/>
      <c r="X38" s="507"/>
      <c r="Y38" s="507"/>
      <c r="Z38" s="508"/>
      <c r="AA38" s="490"/>
      <c r="AB38" s="497"/>
      <c r="AC38" s="490"/>
      <c r="AD38" s="490"/>
      <c r="AE38" s="490"/>
      <c r="AF38" s="530"/>
      <c r="AG38" s="530"/>
      <c r="AH38" s="531"/>
      <c r="AI38" s="511"/>
      <c r="AJ38" s="471"/>
      <c r="AK38" s="486"/>
      <c r="AL38" s="168"/>
      <c r="AM38" s="204"/>
    </row>
    <row r="39" spans="1:39" ht="17.25" customHeight="1">
      <c r="A39" s="680"/>
      <c r="B39" s="469"/>
      <c r="C39" s="490"/>
      <c r="D39" s="529"/>
      <c r="E39" s="497"/>
      <c r="F39" s="519"/>
      <c r="G39" s="499"/>
      <c r="H39" s="273"/>
      <c r="I39" s="515"/>
      <c r="J39" s="497"/>
      <c r="K39" s="497"/>
      <c r="L39" s="497"/>
      <c r="M39" s="497"/>
      <c r="N39" s="497"/>
      <c r="O39" s="497"/>
      <c r="P39" s="515"/>
      <c r="Q39" s="515"/>
      <c r="R39" s="515"/>
      <c r="S39" s="490"/>
      <c r="T39" s="490"/>
      <c r="U39" s="491"/>
      <c r="V39" s="491"/>
      <c r="W39" s="491"/>
      <c r="X39" s="507"/>
      <c r="Y39" s="507"/>
      <c r="Z39" s="508"/>
      <c r="AA39" s="490"/>
      <c r="AB39" s="497"/>
      <c r="AC39" s="490"/>
      <c r="AD39" s="490"/>
      <c r="AE39" s="490"/>
      <c r="AF39" s="530"/>
      <c r="AG39" s="530"/>
      <c r="AH39" s="531"/>
      <c r="AI39" s="511"/>
      <c r="AJ39" s="471"/>
      <c r="AK39" s="486"/>
      <c r="AL39" s="168"/>
      <c r="AM39" s="204"/>
    </row>
    <row r="40" spans="1:39" ht="17.25" customHeight="1">
      <c r="A40" s="680"/>
      <c r="B40" s="469"/>
      <c r="C40" s="490"/>
      <c r="D40" s="529"/>
      <c r="E40" s="497"/>
      <c r="F40" s="519"/>
      <c r="G40" s="499"/>
      <c r="H40" s="273"/>
      <c r="I40" s="515"/>
      <c r="J40" s="497"/>
      <c r="K40" s="497"/>
      <c r="L40" s="497"/>
      <c r="M40" s="497"/>
      <c r="N40" s="497"/>
      <c r="O40" s="497"/>
      <c r="P40" s="515"/>
      <c r="Q40" s="515"/>
      <c r="R40" s="491"/>
      <c r="S40" s="490"/>
      <c r="T40" s="490"/>
      <c r="U40" s="491"/>
      <c r="V40" s="491"/>
      <c r="W40" s="491"/>
      <c r="X40" s="507"/>
      <c r="Y40" s="507"/>
      <c r="Z40" s="508"/>
      <c r="AA40" s="490"/>
      <c r="AB40" s="497"/>
      <c r="AC40" s="490"/>
      <c r="AD40" s="490"/>
      <c r="AE40" s="490"/>
      <c r="AF40" s="530"/>
      <c r="AG40" s="530"/>
      <c r="AH40" s="531"/>
      <c r="AI40" s="511"/>
      <c r="AJ40" s="471"/>
      <c r="AK40" s="486"/>
      <c r="AL40" s="168"/>
      <c r="AM40" s="204"/>
    </row>
    <row r="41" spans="1:39" ht="17.25" customHeight="1">
      <c r="A41" s="680"/>
      <c r="B41" s="469"/>
      <c r="C41" s="490"/>
      <c r="D41" s="529"/>
      <c r="E41" s="497"/>
      <c r="F41" s="519"/>
      <c r="G41" s="499"/>
      <c r="H41" s="273"/>
      <c r="I41" s="515"/>
      <c r="J41" s="497"/>
      <c r="K41" s="497"/>
      <c r="L41" s="497"/>
      <c r="M41" s="497"/>
      <c r="N41" s="497"/>
      <c r="O41" s="513"/>
      <c r="P41" s="515"/>
      <c r="Q41" s="515"/>
      <c r="R41" s="491"/>
      <c r="S41" s="490"/>
      <c r="T41" s="490"/>
      <c r="U41" s="491"/>
      <c r="V41" s="491"/>
      <c r="W41" s="491"/>
      <c r="X41" s="507"/>
      <c r="Y41" s="507"/>
      <c r="Z41" s="508"/>
      <c r="AA41" s="490"/>
      <c r="AB41" s="497"/>
      <c r="AC41" s="490"/>
      <c r="AD41" s="490"/>
      <c r="AE41" s="490"/>
      <c r="AF41" s="533"/>
      <c r="AG41" s="533"/>
      <c r="AH41" s="531"/>
      <c r="AI41" s="490"/>
      <c r="AJ41" s="471"/>
      <c r="AK41" s="486"/>
      <c r="AL41" s="168"/>
      <c r="AM41" s="204"/>
    </row>
    <row r="42" spans="1:39" ht="17.25" customHeight="1">
      <c r="A42" s="680"/>
      <c r="B42" s="469"/>
      <c r="C42" s="490"/>
      <c r="D42" s="529"/>
      <c r="E42" s="497"/>
      <c r="F42" s="519"/>
      <c r="G42" s="499"/>
      <c r="H42" s="273"/>
      <c r="I42" s="515"/>
      <c r="J42" s="497"/>
      <c r="K42" s="497"/>
      <c r="L42" s="497"/>
      <c r="M42" s="497"/>
      <c r="N42" s="497"/>
      <c r="O42" s="513"/>
      <c r="P42" s="515"/>
      <c r="Q42" s="515"/>
      <c r="R42" s="491"/>
      <c r="S42" s="490"/>
      <c r="T42" s="490"/>
      <c r="U42" s="491"/>
      <c r="V42" s="491"/>
      <c r="W42" s="491"/>
      <c r="X42" s="507"/>
      <c r="Y42" s="507"/>
      <c r="Z42" s="508"/>
      <c r="AA42" s="490"/>
      <c r="AB42" s="497"/>
      <c r="AC42" s="490"/>
      <c r="AD42" s="490"/>
      <c r="AE42" s="490"/>
      <c r="AF42" s="533"/>
      <c r="AG42" s="533"/>
      <c r="AH42" s="531"/>
      <c r="AI42" s="490"/>
      <c r="AJ42" s="471"/>
      <c r="AK42" s="486"/>
      <c r="AL42" s="168"/>
      <c r="AM42" s="204"/>
    </row>
    <row r="43" spans="1:39" ht="17.25" customHeight="1">
      <c r="A43" s="680"/>
      <c r="B43" s="469"/>
      <c r="C43" s="490"/>
      <c r="D43" s="529"/>
      <c r="E43" s="497"/>
      <c r="F43" s="519"/>
      <c r="G43" s="499"/>
      <c r="H43" s="273"/>
      <c r="I43" s="515"/>
      <c r="J43" s="497"/>
      <c r="K43" s="497"/>
      <c r="L43" s="497"/>
      <c r="M43" s="497"/>
      <c r="N43" s="497"/>
      <c r="O43" s="513"/>
      <c r="P43" s="515"/>
      <c r="Q43" s="515"/>
      <c r="R43" s="491"/>
      <c r="S43" s="490"/>
      <c r="T43" s="490"/>
      <c r="U43" s="491"/>
      <c r="V43" s="491"/>
      <c r="W43" s="491"/>
      <c r="X43" s="507"/>
      <c r="Y43" s="507"/>
      <c r="Z43" s="508"/>
      <c r="AA43" s="490"/>
      <c r="AB43" s="534"/>
      <c r="AC43" s="490"/>
      <c r="AD43" s="490"/>
      <c r="AE43" s="490"/>
      <c r="AF43" s="533"/>
      <c r="AG43" s="533"/>
      <c r="AH43" s="531"/>
      <c r="AI43" s="490"/>
      <c r="AJ43" s="471"/>
      <c r="AK43" s="486"/>
      <c r="AL43" s="168"/>
      <c r="AM43" s="204"/>
    </row>
    <row r="44" spans="1:39" ht="17.25" customHeight="1">
      <c r="A44" s="680"/>
      <c r="B44" s="469"/>
      <c r="C44" s="490"/>
      <c r="D44" s="529"/>
      <c r="E44" s="497"/>
      <c r="F44" s="519"/>
      <c r="G44" s="499"/>
      <c r="H44" s="273"/>
      <c r="I44" s="515"/>
      <c r="J44" s="497"/>
      <c r="K44" s="497"/>
      <c r="L44" s="497"/>
      <c r="M44" s="497"/>
      <c r="N44" s="497"/>
      <c r="O44" s="513"/>
      <c r="P44" s="515"/>
      <c r="Q44" s="515"/>
      <c r="R44" s="491"/>
      <c r="S44" s="490"/>
      <c r="T44" s="490"/>
      <c r="U44" s="491"/>
      <c r="V44" s="491"/>
      <c r="W44" s="491"/>
      <c r="X44" s="507"/>
      <c r="Y44" s="507"/>
      <c r="Z44" s="471"/>
      <c r="AA44" s="508"/>
      <c r="AB44" s="535"/>
      <c r="AC44" s="490"/>
      <c r="AD44" s="490"/>
      <c r="AE44" s="490"/>
      <c r="AF44" s="533"/>
      <c r="AG44" s="533"/>
      <c r="AH44" s="531"/>
      <c r="AI44" s="490"/>
      <c r="AJ44" s="471"/>
      <c r="AK44" s="486"/>
      <c r="AL44" s="168"/>
      <c r="AM44" s="204"/>
    </row>
    <row r="45" spans="1:39" ht="17.25" customHeight="1">
      <c r="A45" s="680"/>
      <c r="B45" s="469"/>
      <c r="C45" s="490"/>
      <c r="D45" s="529"/>
      <c r="E45" s="497"/>
      <c r="F45" s="519"/>
      <c r="G45" s="499"/>
      <c r="H45" s="273"/>
      <c r="I45" s="515"/>
      <c r="J45" s="497"/>
      <c r="K45" s="497"/>
      <c r="L45" s="497"/>
      <c r="M45" s="497"/>
      <c r="N45" s="497"/>
      <c r="O45" s="513"/>
      <c r="P45" s="515"/>
      <c r="Q45" s="515"/>
      <c r="R45" s="491"/>
      <c r="S45" s="490"/>
      <c r="T45" s="490"/>
      <c r="U45" s="491"/>
      <c r="V45" s="491"/>
      <c r="W45" s="491"/>
      <c r="X45" s="507"/>
      <c r="Y45" s="507"/>
      <c r="Z45" s="508"/>
      <c r="AA45" s="490"/>
      <c r="AB45" s="497"/>
      <c r="AC45" s="490"/>
      <c r="AD45" s="490"/>
      <c r="AE45" s="490"/>
      <c r="AF45" s="533"/>
      <c r="AG45" s="533"/>
      <c r="AH45" s="531"/>
      <c r="AI45" s="490"/>
      <c r="AJ45" s="471"/>
      <c r="AK45" s="486"/>
      <c r="AL45" s="168"/>
      <c r="AM45" s="204"/>
    </row>
    <row r="46" spans="1:39" ht="17.25" customHeight="1">
      <c r="A46" s="680"/>
      <c r="B46" s="469"/>
      <c r="C46" s="490"/>
      <c r="D46" s="529"/>
      <c r="E46" s="497"/>
      <c r="F46" s="519"/>
      <c r="G46" s="499"/>
      <c r="H46" s="273"/>
      <c r="I46" s="515"/>
      <c r="J46" s="497"/>
      <c r="K46" s="536"/>
      <c r="L46" s="497"/>
      <c r="M46" s="497"/>
      <c r="N46" s="497"/>
      <c r="O46" s="513"/>
      <c r="P46" s="515"/>
      <c r="Q46" s="515"/>
      <c r="R46" s="491"/>
      <c r="S46" s="490"/>
      <c r="T46" s="490"/>
      <c r="U46" s="491"/>
      <c r="V46" s="491"/>
      <c r="W46" s="491"/>
      <c r="X46" s="507"/>
      <c r="Y46" s="507"/>
      <c r="Z46" s="508"/>
      <c r="AA46" s="490"/>
      <c r="AB46" s="497"/>
      <c r="AC46" s="490"/>
      <c r="AD46" s="490"/>
      <c r="AE46" s="490"/>
      <c r="AF46" s="533"/>
      <c r="AG46" s="533"/>
      <c r="AH46" s="531"/>
      <c r="AI46" s="490"/>
      <c r="AJ46" s="471"/>
      <c r="AK46" s="486"/>
      <c r="AL46" s="168"/>
      <c r="AM46" s="204"/>
    </row>
    <row r="47" spans="1:39" ht="17.25" customHeight="1">
      <c r="A47" s="680"/>
      <c r="B47" s="469"/>
      <c r="C47" s="490"/>
      <c r="D47" s="529"/>
      <c r="E47" s="497"/>
      <c r="F47" s="519"/>
      <c r="G47" s="499"/>
      <c r="H47" s="273"/>
      <c r="I47" s="471"/>
      <c r="J47" s="497"/>
      <c r="K47" s="497"/>
      <c r="L47" s="471"/>
      <c r="M47" s="471"/>
      <c r="N47" s="471"/>
      <c r="O47" s="513"/>
      <c r="P47" s="515"/>
      <c r="Q47" s="515"/>
      <c r="R47" s="491"/>
      <c r="S47" s="490"/>
      <c r="T47" s="490"/>
      <c r="U47" s="491"/>
      <c r="V47" s="491"/>
      <c r="W47" s="491"/>
      <c r="X47" s="507"/>
      <c r="Y47" s="507"/>
      <c r="Z47" s="508"/>
      <c r="AA47" s="490"/>
      <c r="AB47" s="497"/>
      <c r="AC47" s="490"/>
      <c r="AD47" s="490"/>
      <c r="AE47" s="490"/>
      <c r="AF47" s="533"/>
      <c r="AG47" s="533"/>
      <c r="AH47" s="531"/>
      <c r="AI47" s="490"/>
      <c r="AJ47" s="471"/>
      <c r="AK47" s="486"/>
      <c r="AL47" s="168"/>
      <c r="AM47" s="204"/>
    </row>
    <row r="48" spans="1:39" ht="17.25" customHeight="1">
      <c r="A48" s="680"/>
      <c r="B48" s="469"/>
      <c r="C48" s="490"/>
      <c r="D48" s="529"/>
      <c r="E48" s="497"/>
      <c r="F48" s="519"/>
      <c r="G48" s="499"/>
      <c r="H48" s="273"/>
      <c r="I48" s="536"/>
      <c r="J48" s="490"/>
      <c r="K48" s="536"/>
      <c r="L48" s="497"/>
      <c r="M48" s="497"/>
      <c r="N48" s="497"/>
      <c r="O48" s="513"/>
      <c r="P48" s="515"/>
      <c r="Q48" s="515"/>
      <c r="R48" s="491"/>
      <c r="S48" s="490"/>
      <c r="T48" s="490"/>
      <c r="U48" s="491"/>
      <c r="V48" s="491"/>
      <c r="W48" s="491"/>
      <c r="X48" s="507"/>
      <c r="Y48" s="507"/>
      <c r="Z48" s="508"/>
      <c r="AA48" s="490"/>
      <c r="AB48" s="497"/>
      <c r="AC48" s="490"/>
      <c r="AD48" s="490"/>
      <c r="AE48" s="490"/>
      <c r="AF48" s="533"/>
      <c r="AG48" s="533"/>
      <c r="AH48" s="531"/>
      <c r="AI48" s="490"/>
      <c r="AJ48" s="471"/>
      <c r="AK48" s="486"/>
      <c r="AL48" s="168"/>
      <c r="AM48" s="204"/>
    </row>
    <row r="49" spans="1:39" ht="17.25" customHeight="1">
      <c r="A49" s="680"/>
      <c r="B49" s="469"/>
      <c r="C49" s="490"/>
      <c r="D49" s="529"/>
      <c r="E49" s="497"/>
      <c r="F49" s="519"/>
      <c r="G49" s="499"/>
      <c r="H49" s="273"/>
      <c r="I49" s="471"/>
      <c r="J49" s="471"/>
      <c r="K49" s="471"/>
      <c r="L49" s="497"/>
      <c r="M49" s="497"/>
      <c r="N49" s="497"/>
      <c r="O49" s="513"/>
      <c r="P49" s="515"/>
      <c r="Q49" s="515"/>
      <c r="R49" s="491"/>
      <c r="S49" s="490"/>
      <c r="T49" s="490"/>
      <c r="U49" s="491"/>
      <c r="V49" s="491"/>
      <c r="W49" s="491"/>
      <c r="X49" s="507"/>
      <c r="Y49" s="507"/>
      <c r="Z49" s="508"/>
      <c r="AA49" s="490"/>
      <c r="AB49" s="497"/>
      <c r="AC49" s="490"/>
      <c r="AD49" s="490"/>
      <c r="AE49" s="490"/>
      <c r="AF49" s="533"/>
      <c r="AG49" s="533"/>
      <c r="AH49" s="531"/>
      <c r="AI49" s="490"/>
      <c r="AJ49" s="471"/>
      <c r="AK49" s="486"/>
      <c r="AL49" s="168"/>
      <c r="AM49" s="204"/>
    </row>
    <row r="50" spans="1:39" ht="17.25" customHeight="1">
      <c r="A50" s="680"/>
      <c r="B50" s="469"/>
      <c r="C50" s="490"/>
      <c r="D50" s="529"/>
      <c r="E50" s="497"/>
      <c r="F50" s="519"/>
      <c r="G50" s="499"/>
      <c r="H50" s="273"/>
      <c r="I50" s="471"/>
      <c r="J50" s="497"/>
      <c r="K50" s="497"/>
      <c r="L50" s="497"/>
      <c r="M50" s="497"/>
      <c r="N50" s="497"/>
      <c r="O50" s="513"/>
      <c r="P50" s="515"/>
      <c r="Q50" s="515"/>
      <c r="R50" s="491"/>
      <c r="S50" s="490"/>
      <c r="T50" s="490"/>
      <c r="U50" s="491"/>
      <c r="V50" s="491"/>
      <c r="W50" s="491"/>
      <c r="X50" s="507"/>
      <c r="Y50" s="507"/>
      <c r="Z50" s="508"/>
      <c r="AA50" s="490"/>
      <c r="AB50" s="497"/>
      <c r="AC50" s="490"/>
      <c r="AD50" s="490"/>
      <c r="AE50" s="490"/>
      <c r="AF50" s="533"/>
      <c r="AG50" s="533"/>
      <c r="AH50" s="531"/>
      <c r="AI50" s="490"/>
      <c r="AJ50" s="471"/>
      <c r="AK50" s="486"/>
      <c r="AL50" s="168"/>
      <c r="AM50" s="204"/>
    </row>
    <row r="51" spans="1:39" ht="16.899999999999999" customHeight="1">
      <c r="A51" s="680"/>
      <c r="B51" s="469"/>
      <c r="C51" s="490"/>
      <c r="D51" s="529"/>
      <c r="E51" s="471"/>
      <c r="F51" s="519"/>
      <c r="G51" s="499"/>
      <c r="H51" s="273"/>
      <c r="I51" s="536"/>
      <c r="J51" s="490"/>
      <c r="K51" s="536"/>
      <c r="L51" s="497"/>
      <c r="M51" s="497"/>
      <c r="N51" s="497"/>
      <c r="O51" s="513"/>
      <c r="P51" s="515"/>
      <c r="Q51" s="515"/>
      <c r="R51" s="491"/>
      <c r="S51" s="490"/>
      <c r="T51" s="490"/>
      <c r="U51" s="491"/>
      <c r="V51" s="491"/>
      <c r="W51" s="491"/>
      <c r="X51" s="507"/>
      <c r="Y51" s="507"/>
      <c r="Z51" s="508"/>
      <c r="AA51" s="490"/>
      <c r="AB51" s="497"/>
      <c r="AC51" s="490"/>
      <c r="AD51" s="490"/>
      <c r="AE51" s="490"/>
      <c r="AF51" s="533"/>
      <c r="AG51" s="533"/>
      <c r="AH51" s="531"/>
      <c r="AI51" s="490"/>
      <c r="AJ51" s="471"/>
      <c r="AK51" s="486"/>
      <c r="AL51" s="168"/>
      <c r="AM51" s="204"/>
    </row>
    <row r="52" spans="1:39" ht="16.899999999999999" customHeight="1">
      <c r="A52" s="680"/>
      <c r="B52" s="537"/>
      <c r="C52" s="538"/>
      <c r="D52" s="539"/>
      <c r="E52" s="540"/>
      <c r="F52" s="541"/>
      <c r="G52" s="542"/>
      <c r="H52" s="543"/>
      <c r="I52" s="544"/>
      <c r="J52" s="545"/>
      <c r="K52" s="546"/>
      <c r="L52" s="546"/>
      <c r="M52" s="546"/>
      <c r="N52" s="546"/>
      <c r="O52" s="547"/>
      <c r="P52" s="544"/>
      <c r="Q52" s="544"/>
      <c r="R52" s="548"/>
      <c r="S52" s="545"/>
      <c r="T52" s="545"/>
      <c r="U52" s="548"/>
      <c r="V52" s="548"/>
      <c r="W52" s="548"/>
      <c r="X52" s="549"/>
      <c r="Y52" s="549"/>
      <c r="Z52" s="550"/>
      <c r="AA52" s="545"/>
      <c r="AB52" s="546"/>
      <c r="AC52" s="545"/>
      <c r="AD52" s="545"/>
      <c r="AE52" s="545"/>
      <c r="AF52" s="545"/>
      <c r="AG52" s="545"/>
      <c r="AH52" s="551"/>
      <c r="AI52" s="545"/>
      <c r="AJ52" s="540"/>
      <c r="AK52" s="552"/>
      <c r="AL52" s="169"/>
      <c r="AM52" s="204"/>
    </row>
    <row r="53" spans="1:39" ht="24.95" customHeight="1">
      <c r="A53" s="680"/>
      <c r="B53" s="463"/>
      <c r="AG53" s="553" t="s">
        <v>1677</v>
      </c>
      <c r="AH53" s="554">
        <f>MAX('Blatt 0'!C3:C48)</f>
        <v>0</v>
      </c>
      <c r="AI53" s="682"/>
      <c r="AJ53" s="683"/>
      <c r="AK53" s="684"/>
      <c r="AL53" s="168"/>
      <c r="AM53" s="204"/>
    </row>
    <row r="54" spans="1:39" ht="24.95" customHeight="1">
      <c r="A54" s="680"/>
      <c r="B54" s="463"/>
      <c r="D54" s="164"/>
      <c r="E54" s="164"/>
      <c r="F54" s="165"/>
      <c r="G54" s="166"/>
      <c r="H54" s="166"/>
      <c r="AB54" s="685" t="str">
        <f>'Blatt 0'!AB54:AK54</f>
        <v>VW336 Aufbau ND/PGD Chattanooga</v>
      </c>
      <c r="AC54" s="686"/>
      <c r="AD54" s="686"/>
      <c r="AE54" s="686"/>
      <c r="AF54" s="686"/>
      <c r="AG54" s="686"/>
      <c r="AH54" s="686"/>
      <c r="AI54" s="686"/>
      <c r="AJ54" s="686"/>
      <c r="AK54" s="687"/>
      <c r="AL54" s="168"/>
      <c r="AM54" s="204"/>
    </row>
    <row r="55" spans="1:39" ht="17.25" customHeight="1">
      <c r="A55" s="680"/>
      <c r="B55" s="610"/>
      <c r="C55" s="611"/>
      <c r="D55" s="611"/>
      <c r="E55" s="611"/>
      <c r="F55" s="612"/>
      <c r="G55" s="167"/>
      <c r="H55" s="170" t="s">
        <v>0</v>
      </c>
      <c r="I55" s="171"/>
      <c r="J55" s="161"/>
      <c r="K55" s="161"/>
      <c r="L55" s="167"/>
      <c r="M55" s="688" t="s">
        <v>47</v>
      </c>
      <c r="N55" s="688"/>
      <c r="O55" s="689" t="str">
        <f>'Blatt 0'!O55:S56</f>
        <v>1250</v>
      </c>
      <c r="P55" s="689"/>
      <c r="Q55" s="689"/>
      <c r="R55" s="689"/>
      <c r="S55" s="689"/>
      <c r="T55" s="635" t="s">
        <v>13</v>
      </c>
      <c r="U55" s="688" t="s">
        <v>2</v>
      </c>
      <c r="V55" s="688"/>
      <c r="W55" s="462"/>
      <c r="X55" s="690" t="str">
        <f>'Blatt 0'!X55:Y56</f>
        <v>GME</v>
      </c>
      <c r="Y55" s="690"/>
      <c r="Z55" s="691" t="s">
        <v>3</v>
      </c>
      <c r="AA55" s="691"/>
      <c r="AB55" s="690">
        <f>'Blatt 0'!AB55:AB56</f>
        <v>6</v>
      </c>
      <c r="AD55" s="161"/>
      <c r="AE55" s="161"/>
      <c r="AF55" s="193" t="s">
        <v>11</v>
      </c>
      <c r="AG55" s="193"/>
      <c r="AH55" s="187"/>
      <c r="AI55" s="167"/>
      <c r="AJ55" s="195" t="s">
        <v>4</v>
      </c>
      <c r="AK55" s="195" t="s">
        <v>5</v>
      </c>
      <c r="AL55" s="167"/>
      <c r="AM55" s="204"/>
    </row>
    <row r="56" spans="1:39" ht="17.25" customHeight="1">
      <c r="A56" s="680"/>
      <c r="B56" s="613"/>
      <c r="C56" s="614"/>
      <c r="D56" s="614"/>
      <c r="E56" s="614"/>
      <c r="F56" s="615"/>
      <c r="G56" s="168"/>
      <c r="H56" s="604" t="s">
        <v>31</v>
      </c>
      <c r="I56" s="605"/>
      <c r="J56" s="605"/>
      <c r="K56" s="605"/>
      <c r="L56" s="606"/>
      <c r="M56" s="688" t="s">
        <v>15</v>
      </c>
      <c r="N56" s="688"/>
      <c r="O56" s="689"/>
      <c r="P56" s="689"/>
      <c r="Q56" s="689"/>
      <c r="R56" s="689"/>
      <c r="S56" s="689"/>
      <c r="T56" s="636"/>
      <c r="U56" s="688" t="s">
        <v>19</v>
      </c>
      <c r="V56" s="688"/>
      <c r="W56" s="555"/>
      <c r="X56" s="690"/>
      <c r="Y56" s="690"/>
      <c r="Z56" s="691" t="s">
        <v>1678</v>
      </c>
      <c r="AA56" s="691"/>
      <c r="AB56" s="690"/>
      <c r="AF56" s="200" t="s">
        <v>1679</v>
      </c>
      <c r="AG56" s="201"/>
      <c r="AH56" s="188"/>
      <c r="AI56" s="168"/>
      <c r="AJ56" s="202" t="s">
        <v>55</v>
      </c>
      <c r="AK56" s="212" t="s">
        <v>43</v>
      </c>
      <c r="AL56" s="168"/>
      <c r="AM56" s="204"/>
    </row>
    <row r="57" spans="1:39" ht="17.25" customHeight="1">
      <c r="A57" s="680"/>
      <c r="B57" s="613"/>
      <c r="C57" s="614"/>
      <c r="D57" s="614"/>
      <c r="E57" s="614"/>
      <c r="F57" s="615"/>
      <c r="G57" s="169"/>
      <c r="H57" s="194"/>
      <c r="I57" s="191"/>
      <c r="J57" s="191"/>
      <c r="K57" s="191"/>
      <c r="L57" s="192"/>
      <c r="M57" s="688" t="s">
        <v>48</v>
      </c>
      <c r="N57" s="688"/>
      <c r="O57" s="692" t="str">
        <f>'Blatt 0'!O57:S58</f>
        <v>KJLTVL111250</v>
      </c>
      <c r="P57" s="692"/>
      <c r="Q57" s="692"/>
      <c r="R57" s="692"/>
      <c r="S57" s="692"/>
      <c r="T57" s="637"/>
      <c r="U57" s="688" t="s">
        <v>7</v>
      </c>
      <c r="V57" s="688"/>
      <c r="W57" s="556"/>
      <c r="X57" s="690" t="str">
        <f>'Blatt 0'!X57:Y58</f>
        <v>GME</v>
      </c>
      <c r="Y57" s="690"/>
      <c r="Z57" s="557" t="s">
        <v>8</v>
      </c>
      <c r="AA57" s="693">
        <f>'Blatt 0'!AA57:AB58</f>
        <v>45014</v>
      </c>
      <c r="AB57" s="694"/>
      <c r="AC57" s="465"/>
      <c r="AD57" s="163"/>
      <c r="AE57" s="163"/>
      <c r="AF57" s="558"/>
      <c r="AG57" s="558"/>
      <c r="AH57" s="558"/>
      <c r="AI57" s="559"/>
      <c r="AJ57" s="213"/>
      <c r="AK57" s="168"/>
      <c r="AL57" s="168"/>
      <c r="AM57" s="204"/>
    </row>
    <row r="58" spans="1:39" ht="18" customHeight="1">
      <c r="A58" s="680"/>
      <c r="B58" s="613"/>
      <c r="C58" s="614"/>
      <c r="D58" s="614"/>
      <c r="E58" s="614"/>
      <c r="F58" s="615"/>
      <c r="G58" s="167"/>
      <c r="H58" s="170" t="s">
        <v>56</v>
      </c>
      <c r="I58" s="171"/>
      <c r="J58" s="161"/>
      <c r="K58" s="161"/>
      <c r="L58" s="167"/>
      <c r="M58" s="688" t="s">
        <v>49</v>
      </c>
      <c r="N58" s="688"/>
      <c r="O58" s="692"/>
      <c r="P58" s="692"/>
      <c r="Q58" s="692"/>
      <c r="R58" s="692"/>
      <c r="S58" s="692"/>
      <c r="T58" s="635" t="s">
        <v>51</v>
      </c>
      <c r="U58" s="688" t="s">
        <v>1680</v>
      </c>
      <c r="V58" s="688"/>
      <c r="W58" s="462"/>
      <c r="X58" s="690"/>
      <c r="Y58" s="690"/>
      <c r="Z58" s="557" t="s">
        <v>22</v>
      </c>
      <c r="AA58" s="695"/>
      <c r="AB58" s="696"/>
      <c r="AC58" s="560"/>
      <c r="AD58" s="161"/>
      <c r="AE58" s="161"/>
      <c r="AF58" s="697" t="str">
        <f>'Blatt 0'!AF58:AI58</f>
        <v>66-A53-96D 313785</v>
      </c>
      <c r="AG58" s="698"/>
      <c r="AH58" s="698"/>
      <c r="AI58" s="699"/>
      <c r="AJ58" s="619" t="s">
        <v>20</v>
      </c>
      <c r="AK58" s="619" t="s">
        <v>21</v>
      </c>
      <c r="AL58" s="168"/>
      <c r="AM58" s="204"/>
    </row>
    <row r="59" spans="1:39" ht="17.25" customHeight="1">
      <c r="A59" s="680"/>
      <c r="B59" s="700" t="e">
        <f>#REF!</f>
        <v>#REF!</v>
      </c>
      <c r="C59" s="701"/>
      <c r="D59" s="701"/>
      <c r="E59" s="701"/>
      <c r="F59" s="702"/>
      <c r="G59" s="168"/>
      <c r="H59" s="604" t="s">
        <v>45</v>
      </c>
      <c r="I59" s="605"/>
      <c r="J59" s="605"/>
      <c r="K59" s="605"/>
      <c r="L59" s="606"/>
      <c r="M59" s="688" t="s">
        <v>6</v>
      </c>
      <c r="N59" s="688"/>
      <c r="O59" s="690" t="str">
        <f>'Blatt 0'!O59:S60</f>
        <v>VW336</v>
      </c>
      <c r="P59" s="690"/>
      <c r="Q59" s="690"/>
      <c r="R59" s="690"/>
      <c r="S59" s="690"/>
      <c r="T59" s="636"/>
      <c r="U59" s="688" t="s">
        <v>10</v>
      </c>
      <c r="V59" s="688"/>
      <c r="W59" s="555"/>
      <c r="X59" s="690" t="str">
        <f>'Blatt 0'!X59:Y60</f>
        <v>GME</v>
      </c>
      <c r="Y59" s="690"/>
      <c r="Z59" s="557" t="s">
        <v>9</v>
      </c>
      <c r="AA59" s="706" t="str">
        <f>'Blatt 0'!AA59:AB60</f>
        <v>GME</v>
      </c>
      <c r="AB59" s="707"/>
      <c r="AF59" s="561"/>
      <c r="AG59" s="558"/>
      <c r="AH59" s="558"/>
      <c r="AI59" s="559"/>
      <c r="AJ59" s="619"/>
      <c r="AK59" s="619"/>
      <c r="AL59" s="168"/>
      <c r="AM59" s="204"/>
    </row>
    <row r="60" spans="1:39" ht="17.25" customHeight="1">
      <c r="A60" s="681"/>
      <c r="B60" s="703"/>
      <c r="C60" s="704"/>
      <c r="D60" s="704"/>
      <c r="E60" s="704"/>
      <c r="F60" s="705"/>
      <c r="G60" s="169"/>
      <c r="H60" s="194"/>
      <c r="I60" s="191"/>
      <c r="J60" s="191"/>
      <c r="K60" s="191"/>
      <c r="L60" s="192"/>
      <c r="M60" s="688" t="s">
        <v>16</v>
      </c>
      <c r="N60" s="688"/>
      <c r="O60" s="690"/>
      <c r="P60" s="690"/>
      <c r="Q60" s="690"/>
      <c r="R60" s="690"/>
      <c r="S60" s="690"/>
      <c r="T60" s="637"/>
      <c r="U60" s="688" t="s">
        <v>1681</v>
      </c>
      <c r="V60" s="688"/>
      <c r="W60" s="556"/>
      <c r="X60" s="690"/>
      <c r="Y60" s="690"/>
      <c r="Z60" s="557" t="s">
        <v>1682</v>
      </c>
      <c r="AA60" s="708"/>
      <c r="AB60" s="709"/>
      <c r="AC60" s="465"/>
      <c r="AD60" s="163"/>
      <c r="AE60" s="163"/>
      <c r="AF60" s="191"/>
      <c r="AG60" s="191"/>
      <c r="AH60" s="191"/>
      <c r="AI60" s="192"/>
      <c r="AJ60" s="620"/>
      <c r="AK60" s="620"/>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64"/>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9">
    <pageSetUpPr fitToPage="1"/>
  </sheetPr>
  <dimension ref="A1:CK50"/>
  <sheetViews>
    <sheetView tabSelected="1" showWhiteSpace="0" topLeftCell="A13" zoomScale="55" zoomScaleNormal="55" zoomScaleSheetLayoutView="40" zoomScalePageLayoutView="10" workbookViewId="0">
      <selection activeCell="W21" sqref="W2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1013" t="s">
        <v>1169</v>
      </c>
      <c r="BE1" s="1013" t="s">
        <v>1174</v>
      </c>
      <c r="BF1" s="1013"/>
      <c r="BG1" s="1013"/>
      <c r="BH1" s="101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1013"/>
      <c r="BE2" s="1014"/>
      <c r="BF2" s="1014"/>
      <c r="BG2" s="1013"/>
      <c r="BH2" s="1013"/>
    </row>
    <row r="3" spans="1:74" ht="39" customHeight="1" thickBot="1">
      <c r="A3" s="1015"/>
      <c r="B3" s="7"/>
      <c r="C3" s="1018" t="s">
        <v>32</v>
      </c>
      <c r="D3" s="1019"/>
      <c r="E3" s="1020"/>
      <c r="F3" s="1021" t="str">
        <f>IF($E$6="DE","Karosseriebau","Bodyshop")</f>
        <v>Karosseriebau</v>
      </c>
      <c r="G3" s="1022"/>
      <c r="H3" s="1022"/>
      <c r="I3" s="1022"/>
      <c r="J3" s="1022"/>
      <c r="K3" s="1022"/>
      <c r="L3" s="1022"/>
      <c r="M3" s="1022"/>
      <c r="N3" s="1022"/>
      <c r="O3" s="1022"/>
      <c r="P3" s="1022"/>
      <c r="Q3" s="1022"/>
      <c r="R3" s="1022"/>
      <c r="S3" s="1023"/>
      <c r="T3" s="1024" t="s">
        <v>1255</v>
      </c>
      <c r="U3" s="1025"/>
      <c r="V3" s="1025"/>
      <c r="W3" s="1025"/>
      <c r="X3" s="1025"/>
      <c r="Y3" s="1025"/>
      <c r="Z3" s="1025"/>
      <c r="AA3" s="1025"/>
      <c r="AB3" s="1025"/>
      <c r="AC3" s="1025"/>
      <c r="AD3" s="1025"/>
      <c r="AE3" s="1025"/>
      <c r="AF3" s="1025"/>
      <c r="AG3" s="1025"/>
      <c r="AH3" s="1025"/>
      <c r="AI3" s="1025"/>
      <c r="AJ3" s="1025"/>
      <c r="AK3" s="1026" t="s">
        <v>1637</v>
      </c>
      <c r="AL3" s="1027"/>
      <c r="AM3" s="1027"/>
      <c r="AN3" s="1028"/>
      <c r="AO3" s="1046"/>
      <c r="AP3" s="1047"/>
      <c r="AQ3" s="1047"/>
      <c r="AR3" s="1047"/>
      <c r="AS3" s="1047"/>
      <c r="AT3" s="1047"/>
      <c r="AU3" s="1047"/>
      <c r="AV3" s="1047"/>
      <c r="AW3" s="1047"/>
      <c r="AX3" s="1047"/>
      <c r="AY3" s="280"/>
      <c r="AZ3" s="280"/>
      <c r="BA3" s="280"/>
      <c r="BB3" s="280"/>
      <c r="BC3" s="33"/>
      <c r="BD3" s="33"/>
      <c r="BE3" s="92" t="s">
        <v>1180</v>
      </c>
      <c r="BF3" s="95"/>
      <c r="BH3" s="94"/>
    </row>
    <row r="4" spans="1:74" ht="63" customHeight="1">
      <c r="A4" s="1016"/>
      <c r="B4" s="7"/>
      <c r="C4" s="1050" t="str">
        <f>IF($E$6="DE","Punktschweißen","Spot Welding")</f>
        <v>Punktschweißen</v>
      </c>
      <c r="D4" s="1051"/>
      <c r="E4" s="1051"/>
      <c r="F4" s="1051"/>
      <c r="G4" s="1051"/>
      <c r="H4" s="1051"/>
      <c r="I4" s="1051"/>
      <c r="J4" s="1051"/>
      <c r="K4" s="1051"/>
      <c r="L4" s="1052"/>
      <c r="M4" s="1056" t="str">
        <f>IF($E$6="DE","Zeichnungsstand:","Dwg release:")</f>
        <v>Zeichnungsstand:</v>
      </c>
      <c r="N4" s="1057"/>
      <c r="O4" s="1058"/>
      <c r="P4" s="1062">
        <v>44971</v>
      </c>
      <c r="Q4" s="1063"/>
      <c r="R4" s="1063"/>
      <c r="S4" s="1064"/>
      <c r="T4" s="1067"/>
      <c r="U4" s="1068"/>
      <c r="V4" s="1068"/>
      <c r="W4" s="1068"/>
      <c r="X4" s="1068"/>
      <c r="Y4" s="1068"/>
      <c r="Z4" s="1068"/>
      <c r="AA4" s="1068"/>
      <c r="AB4" s="1068"/>
      <c r="AC4" s="1068"/>
      <c r="AD4" s="1068"/>
      <c r="AE4" s="1068"/>
      <c r="AF4" s="1068"/>
      <c r="AG4" s="1069"/>
      <c r="AH4" s="1073" t="str">
        <f>IF($E$6="DE","Elektrodenkappe","Electrode Cap")</f>
        <v>Elektrodenkappe</v>
      </c>
      <c r="AI4" s="1074"/>
      <c r="AJ4" s="1075"/>
      <c r="AK4" s="1079" t="e">
        <f>X37</f>
        <v>#VALUE!</v>
      </c>
      <c r="AL4" s="1079"/>
      <c r="AM4" s="1079"/>
      <c r="AN4" s="1080"/>
      <c r="AO4" s="1046"/>
      <c r="AP4" s="1047"/>
      <c r="AQ4" s="1047"/>
      <c r="AR4" s="1047"/>
      <c r="AS4" s="1047"/>
      <c r="AT4" s="1047"/>
      <c r="AU4" s="1047"/>
      <c r="AV4" s="1047"/>
      <c r="AW4" s="1047"/>
      <c r="AX4" s="1047"/>
      <c r="AY4" s="280"/>
      <c r="AZ4" s="280"/>
      <c r="BA4" s="280"/>
      <c r="BB4" s="280"/>
      <c r="BC4" s="32"/>
      <c r="BD4" s="52" t="s">
        <v>1167</v>
      </c>
      <c r="BE4" s="52" t="s">
        <v>1178</v>
      </c>
      <c r="BF4" s="91"/>
      <c r="BH4" s="93" t="s">
        <v>1257</v>
      </c>
    </row>
    <row r="5" spans="1:74" ht="57" customHeight="1" thickBot="1">
      <c r="A5" s="1016"/>
      <c r="B5" s="7"/>
      <c r="C5" s="1053"/>
      <c r="D5" s="1054"/>
      <c r="E5" s="1054"/>
      <c r="F5" s="1054"/>
      <c r="G5" s="1054"/>
      <c r="H5" s="1054"/>
      <c r="I5" s="1054"/>
      <c r="J5" s="1054"/>
      <c r="K5" s="1054"/>
      <c r="L5" s="1055"/>
      <c r="M5" s="1059"/>
      <c r="N5" s="1060"/>
      <c r="O5" s="1061"/>
      <c r="P5" s="1065"/>
      <c r="Q5" s="1065"/>
      <c r="R5" s="1065"/>
      <c r="S5" s="1066"/>
      <c r="T5" s="1070"/>
      <c r="U5" s="1071"/>
      <c r="V5" s="1071"/>
      <c r="W5" s="1071"/>
      <c r="X5" s="1071"/>
      <c r="Y5" s="1071"/>
      <c r="Z5" s="1071"/>
      <c r="AA5" s="1071"/>
      <c r="AB5" s="1071"/>
      <c r="AC5" s="1071"/>
      <c r="AD5" s="1071"/>
      <c r="AE5" s="1071"/>
      <c r="AF5" s="1071"/>
      <c r="AG5" s="1072"/>
      <c r="AH5" s="1076"/>
      <c r="AI5" s="1077"/>
      <c r="AJ5" s="1078"/>
      <c r="AK5" s="1081"/>
      <c r="AL5" s="1081"/>
      <c r="AM5" s="1081"/>
      <c r="AN5" s="1082"/>
      <c r="AO5" s="1046"/>
      <c r="AP5" s="1047"/>
      <c r="AQ5" s="1047"/>
      <c r="AR5" s="1047"/>
      <c r="AS5" s="1047"/>
      <c r="AT5" s="1047"/>
      <c r="AU5" s="1047"/>
      <c r="AV5" s="1047"/>
      <c r="AW5" s="1047"/>
      <c r="AX5" s="1047"/>
      <c r="AY5" s="280"/>
      <c r="AZ5" s="280"/>
      <c r="BA5" s="280"/>
      <c r="BB5" s="280"/>
      <c r="BC5" s="31"/>
      <c r="BD5" s="53" t="s">
        <v>1168</v>
      </c>
      <c r="BE5" s="52" t="s">
        <v>1179</v>
      </c>
      <c r="BF5" s="91"/>
      <c r="BH5" s="91" t="s">
        <v>1258</v>
      </c>
      <c r="BK5" s="46" t="s">
        <v>1177</v>
      </c>
    </row>
    <row r="6" spans="1:74" ht="38.25" customHeight="1">
      <c r="A6" s="1016"/>
      <c r="B6" s="7"/>
      <c r="C6" s="1083" t="s">
        <v>1166</v>
      </c>
      <c r="D6" s="1084"/>
      <c r="E6" s="1089" t="s">
        <v>1167</v>
      </c>
      <c r="F6" s="991" t="s">
        <v>1175</v>
      </c>
      <c r="G6" s="1005" t="s">
        <v>1178</v>
      </c>
      <c r="H6" s="1007" t="str">
        <f>IF(G6="SPZ","Servopneumatische Schweißzange /                    Servopneumatic Welding Gun",IF(G6="RZ","Roboterschweißzange /                            Robot Welding Gun","Zangentyp auswählen! /                                          Choose Gun Type"))</f>
        <v>Servopneumatische Schweißzange /                    Servopneumatic Welding Gun</v>
      </c>
      <c r="I6" s="1008"/>
      <c r="J6" s="1008"/>
      <c r="K6" s="1008"/>
      <c r="L6" s="1009"/>
      <c r="M6" s="937" t="s">
        <v>1653</v>
      </c>
      <c r="N6" s="938"/>
      <c r="O6" s="938"/>
      <c r="P6" s="938"/>
      <c r="Q6" s="938"/>
      <c r="R6" s="938"/>
      <c r="S6" s="939"/>
      <c r="T6" s="1029" t="s">
        <v>1649</v>
      </c>
      <c r="U6" s="1029"/>
      <c r="V6" s="1029"/>
      <c r="W6" s="1029"/>
      <c r="X6" s="1029"/>
      <c r="Y6" s="1029"/>
      <c r="Z6" s="1029"/>
      <c r="AA6" s="1029"/>
      <c r="AB6" s="1029"/>
      <c r="AC6" s="1029"/>
      <c r="AD6" s="1029"/>
      <c r="AE6" s="1029"/>
      <c r="AF6" s="1029"/>
      <c r="AG6" s="1030"/>
      <c r="AH6" s="925" t="str">
        <f>IF($E$6="DE","Sonderelektrode (manuelle Auswahl)","Special Electrode Cap (manual selection)")</f>
        <v>Sonderelektrode (manuelle Auswahl)</v>
      </c>
      <c r="AI6" s="1035"/>
      <c r="AJ6" s="1036"/>
      <c r="AK6" s="1037" t="str">
        <f>IF($E$6="DE","Sonderfräsmesser (manuelle Auswahl)","Special Tip-Dresser (manual selection)")</f>
        <v>Sonderfräsmesser (manuelle Auswahl)</v>
      </c>
      <c r="AL6" s="1038"/>
      <c r="AM6" s="1038"/>
      <c r="AN6" s="1039"/>
      <c r="AO6" s="1046"/>
      <c r="AP6" s="1047"/>
      <c r="AQ6" s="1047"/>
      <c r="AR6" s="1047"/>
      <c r="AS6" s="1047"/>
      <c r="AT6" s="1047"/>
      <c r="AU6" s="1047"/>
      <c r="AV6" s="1047"/>
      <c r="AW6" s="1047"/>
      <c r="AX6" s="1047"/>
      <c r="AY6" s="280"/>
      <c r="AZ6" s="280"/>
      <c r="BA6" s="280"/>
      <c r="BB6" s="280"/>
      <c r="BK6" s="46" t="s">
        <v>1176</v>
      </c>
    </row>
    <row r="7" spans="1:74" ht="38.25" customHeight="1">
      <c r="A7" s="1016"/>
      <c r="B7" s="7"/>
      <c r="C7" s="1085"/>
      <c r="D7" s="1086"/>
      <c r="E7" s="1090"/>
      <c r="F7" s="992"/>
      <c r="G7" s="1006"/>
      <c r="H7" s="1010"/>
      <c r="I7" s="1011"/>
      <c r="J7" s="1011"/>
      <c r="K7" s="1011"/>
      <c r="L7" s="1012"/>
      <c r="M7" s="940"/>
      <c r="N7" s="941"/>
      <c r="O7" s="941"/>
      <c r="P7" s="941"/>
      <c r="Q7" s="941"/>
      <c r="R7" s="941"/>
      <c r="S7" s="942"/>
      <c r="T7" s="1031"/>
      <c r="U7" s="1031"/>
      <c r="V7" s="1031"/>
      <c r="W7" s="1031"/>
      <c r="X7" s="1031"/>
      <c r="Y7" s="1031"/>
      <c r="Z7" s="1031"/>
      <c r="AA7" s="1031"/>
      <c r="AB7" s="1031"/>
      <c r="AC7" s="1031"/>
      <c r="AD7" s="1031"/>
      <c r="AE7" s="1031"/>
      <c r="AF7" s="1031"/>
      <c r="AG7" s="1032"/>
      <c r="AH7" s="969"/>
      <c r="AI7" s="970"/>
      <c r="AJ7" s="971"/>
      <c r="AK7" s="112" t="s">
        <v>1170</v>
      </c>
      <c r="AL7" s="113" t="s">
        <v>1172</v>
      </c>
      <c r="AM7" s="113" t="s">
        <v>1171</v>
      </c>
      <c r="AN7" s="114" t="s">
        <v>1173</v>
      </c>
      <c r="AO7" s="1046"/>
      <c r="AP7" s="1047"/>
      <c r="AQ7" s="1047"/>
      <c r="AR7" s="1047"/>
      <c r="AS7" s="1047"/>
      <c r="AT7" s="1047"/>
      <c r="AU7" s="1047"/>
      <c r="AV7" s="1047"/>
      <c r="AW7" s="1047"/>
      <c r="AX7" s="1047"/>
      <c r="AY7" s="280"/>
      <c r="AZ7" s="280"/>
      <c r="BA7" s="280"/>
      <c r="BB7" s="280"/>
    </row>
    <row r="8" spans="1:74" ht="53.25" customHeight="1" thickBot="1">
      <c r="A8" s="1016"/>
      <c r="B8" s="7"/>
      <c r="C8" s="1087"/>
      <c r="D8" s="1088"/>
      <c r="E8" s="1091"/>
      <c r="F8" s="157" t="str">
        <f>IF(E6="DE","Doppelzange (J/N)","Twin-Spot-Gun (J=Yes/N=No)")</f>
        <v>Doppelzange (J/N)</v>
      </c>
      <c r="G8" s="156" t="s">
        <v>1644</v>
      </c>
      <c r="H8" s="1040"/>
      <c r="I8" s="1041"/>
      <c r="J8" s="1041"/>
      <c r="K8" s="1041"/>
      <c r="L8" s="1042"/>
      <c r="M8" s="943"/>
      <c r="N8" s="944"/>
      <c r="O8" s="944"/>
      <c r="P8" s="944"/>
      <c r="Q8" s="944"/>
      <c r="R8" s="944"/>
      <c r="S8" s="945"/>
      <c r="T8" s="1033"/>
      <c r="U8" s="1033"/>
      <c r="V8" s="1033"/>
      <c r="W8" s="1033"/>
      <c r="X8" s="1033"/>
      <c r="Y8" s="1033"/>
      <c r="Z8" s="1033"/>
      <c r="AA8" s="1033"/>
      <c r="AB8" s="1033"/>
      <c r="AC8" s="1033"/>
      <c r="AD8" s="1033"/>
      <c r="AE8" s="1033"/>
      <c r="AF8" s="1033"/>
      <c r="AG8" s="1034"/>
      <c r="AH8" s="1043"/>
      <c r="AI8" s="1044"/>
      <c r="AJ8" s="1045"/>
      <c r="AK8" s="54">
        <v>8</v>
      </c>
      <c r="AL8" s="55">
        <v>50</v>
      </c>
      <c r="AM8" s="56">
        <v>8</v>
      </c>
      <c r="AN8" s="57">
        <v>50</v>
      </c>
      <c r="AO8" s="1048"/>
      <c r="AP8" s="1049"/>
      <c r="AQ8" s="1049"/>
      <c r="AR8" s="1049"/>
      <c r="AS8" s="1049"/>
      <c r="AT8" s="1049"/>
      <c r="AU8" s="1049"/>
      <c r="AV8" s="1049"/>
      <c r="AW8" s="1049"/>
      <c r="AX8" s="1049"/>
      <c r="AY8" s="280"/>
      <c r="AZ8" s="280"/>
      <c r="BA8" s="280"/>
      <c r="BB8" s="280"/>
    </row>
    <row r="9" spans="1:74" ht="43.5" customHeight="1">
      <c r="A9" s="1016"/>
      <c r="B9" s="7"/>
      <c r="C9" s="993" t="str">
        <f>IF($E$6="DE","Punkt- Nummer (Index)","Welding-Spot Number (Index)")</f>
        <v>Punkt- Nummer (Index)</v>
      </c>
      <c r="D9" s="996" t="str">
        <f>IF($E$6="DE","Punkt- Name                                                   (FE - Bezeichnung)","Welding-Spot Number                                              (FE - designition)")</f>
        <v>Punkt- Name                                                   (FE - Bezeichnung)</v>
      </c>
      <c r="E9" s="999" t="str">
        <f>IF($E$6="DE","Schweißkoffer","Welding case-No.")</f>
        <v>Schweißkoffer</v>
      </c>
      <c r="F9" s="999" t="str">
        <f>IF($E$6="DE","Schweißen durch Rob. IR .. /                                Werker WA ..","Welding with Rob. IR ... /                    Worker WR No …")</f>
        <v>Schweißen durch Rob. IR .. /                                Werker WA ..</v>
      </c>
      <c r="G9" s="999" t="str">
        <f>IF($E$6="DE","Schweißzangen-Typ","Weldgun - Type")</f>
        <v>Schweißzangen-Typ</v>
      </c>
      <c r="H9" s="1002" t="str">
        <f>IF($E$6="DE","Schweißzangen-Nr.","Weldgun drawing No.")</f>
        <v>Schweißzangen-Nr.</v>
      </c>
      <c r="I9" s="966" t="str">
        <f>IF($E$6="DE","Trafo","Weld-Transformer")</f>
        <v>Trafo</v>
      </c>
      <c r="J9" s="969" t="str">
        <f>IF($E$6="DE","Netzlinien","Car Netline")</f>
        <v>Netzlinien</v>
      </c>
      <c r="K9" s="970"/>
      <c r="L9" s="971"/>
      <c r="M9" s="969" t="str">
        <f>IF($E$6="DE","Blechpaarung","Sheet metal stack")</f>
        <v>Blechpaarung</v>
      </c>
      <c r="N9" s="970"/>
      <c r="O9" s="972"/>
      <c r="P9" s="973" t="str">
        <f>IF($E$6="DE","Blechdicke / Werkstoff","Sheet Thickness / Material")</f>
        <v>Blechdicke / Werkstoff</v>
      </c>
      <c r="Q9" s="974"/>
      <c r="R9" s="974"/>
      <c r="S9" s="974"/>
      <c r="T9" s="974"/>
      <c r="U9" s="974"/>
      <c r="V9" s="974"/>
      <c r="W9" s="974"/>
      <c r="X9" s="975"/>
      <c r="Y9" s="298"/>
      <c r="Z9" s="976" t="str">
        <f>IF($E$6="DE","Zwischenrechnung","theoretical Values")</f>
        <v>Zwischenrechnung</v>
      </c>
      <c r="AA9" s="977"/>
      <c r="AB9" s="978"/>
      <c r="AC9" s="969" t="str">
        <f>IF($E$6="DE","Schweißparameter","Welding Parameters")</f>
        <v>Schweißparameter</v>
      </c>
      <c r="AD9" s="970"/>
      <c r="AE9" s="971"/>
      <c r="AF9" s="919" t="str">
        <f>IF($E$6="DE","Anforderung","Requirement")</f>
        <v>Anforderung</v>
      </c>
      <c r="AG9" s="920"/>
      <c r="AH9" s="921" t="str">
        <f>IF($E$6="DE","benötigte Elektrodenkappen für Schweißpunkt","required Electrode Caps for Spot")</f>
        <v>benötigte Elektrodenkappen für Schweißpunkt</v>
      </c>
      <c r="AI9" s="922"/>
      <c r="AJ9" s="922"/>
      <c r="AK9" s="923"/>
      <c r="AL9" s="924"/>
      <c r="AM9" s="925" t="str">
        <f>IF($E$6="DE","Bemerkung","Comments")</f>
        <v>Bemerkung</v>
      </c>
      <c r="AN9" s="926"/>
      <c r="AO9" s="946" t="str">
        <f>IF($E$6="DE","Schweißpunkte gültig für folgende Typen:","Welding Spots valid for the following Types")</f>
        <v>Schweißpunkte gültig für folgende Typen:</v>
      </c>
      <c r="AP9" s="923"/>
      <c r="AQ9" s="923"/>
      <c r="AR9" s="923"/>
      <c r="AS9" s="923"/>
      <c r="AT9" s="923"/>
      <c r="AU9" s="923"/>
      <c r="AV9" s="923"/>
      <c r="AW9" s="923"/>
      <c r="AX9" s="924"/>
      <c r="AY9" s="280"/>
      <c r="AZ9" s="280"/>
      <c r="BA9" s="280"/>
      <c r="BB9" s="280"/>
    </row>
    <row r="10" spans="1:74" ht="32.25" customHeight="1">
      <c r="A10" s="1016"/>
      <c r="B10" s="7"/>
      <c r="C10" s="994"/>
      <c r="D10" s="997"/>
      <c r="E10" s="1000"/>
      <c r="F10" s="1000"/>
      <c r="G10" s="1000"/>
      <c r="H10" s="1003"/>
      <c r="I10" s="967"/>
      <c r="J10" s="947" t="s">
        <v>33</v>
      </c>
      <c r="K10" s="950" t="s">
        <v>34</v>
      </c>
      <c r="L10" s="953" t="s">
        <v>35</v>
      </c>
      <c r="M10" s="956" t="str">
        <f>IF($E$6="DE","Zeichnungsnummer","Part drawing no")</f>
        <v>Zeichnungsnummer</v>
      </c>
      <c r="N10" s="957"/>
      <c r="O10" s="957"/>
      <c r="P10" s="962" t="s">
        <v>59</v>
      </c>
      <c r="Q10" s="964" t="str">
        <f>IF($E$6="DE","Werkstoff 1","Material 1")</f>
        <v>Werkstoff 1</v>
      </c>
      <c r="R10" s="979" t="str">
        <f>IF($E$6="DE","Streckgrenze Re 1","Yield strength Re 1")</f>
        <v>Streckgrenze Re 1</v>
      </c>
      <c r="S10" s="981" t="s">
        <v>60</v>
      </c>
      <c r="T10" s="964" t="str">
        <f>IF($E$6="DE","Werkstoff 2","Material 2")</f>
        <v>Werkstoff 2</v>
      </c>
      <c r="U10" s="979" t="str">
        <f>IF($E$6="DE","Streckgrenze Re 2","Yield strength Re 2")</f>
        <v>Streckgrenze Re 2</v>
      </c>
      <c r="V10" s="981" t="s">
        <v>61</v>
      </c>
      <c r="W10" s="964" t="str">
        <f>IF($E$6="DE","Werkstoff 3","Material 3")</f>
        <v>Werkstoff 3</v>
      </c>
      <c r="X10" s="979" t="str">
        <f>IF($E$6="DE","Streckgrenze Re 3","Yield strength Re 3")</f>
        <v>Streckgrenze Re 3</v>
      </c>
      <c r="Y10" s="983" t="str">
        <f>IF($E$6="DE","Klebstoff (J/N)","Adhesive (J=Yes /N=No)")</f>
        <v>Klebstoff (J/N)</v>
      </c>
      <c r="Z10" s="985" t="str">
        <f>IF($E$6="DE","Vergleichsblechdicke tv","Ref. Thickness tv")</f>
        <v>Vergleichsblechdicke tv</v>
      </c>
      <c r="AA10" s="988" t="str">
        <f>IF($E$6="DE","Zuschlag Streckgrenze    (Re1+Re2+Re3)/(220*3*10)+0,9","Yield strength surcharge    (Re1+Re2+Re3)/(220*3*10)+0,9")</f>
        <v>Zuschlag Streckgrenze    (Re1+Re2+Re3)/(220*3*10)+0,9</v>
      </c>
      <c r="AB10" s="901" t="str">
        <f>IF($E$6="DE","Schweißkraft inkl. Klebstoff (Zangenauslegung)","Welding Force incl. Adhesive (Gun Calculation)")</f>
        <v>Schweißkraft inkl. Klebstoff (Zangenauslegung)</v>
      </c>
      <c r="AC10" s="904" t="str">
        <f>IF($E$6="DE","Schweißstrom","Welding Current")</f>
        <v>Schweißstrom</v>
      </c>
      <c r="AD10" s="907" t="str">
        <f>IF($E$6="DE","Schweißzeit","Welding Time")</f>
        <v>Schweißzeit</v>
      </c>
      <c r="AE10" s="910" t="str">
        <f>IF($E$6="DE","Schweißkraft incl. Klebstoff u. TL 4225 außen","Welding Force incl. adhesive and TL 4225 outside")</f>
        <v>Schweißkraft incl. Klebstoff u. TL 4225 außen</v>
      </c>
      <c r="AF10" s="913" t="str">
        <f>IF($E$6="DE","Linsendurchmesser dn min (Blech 1 - Blech 2)","Nuggetdiameter dn min (Sheet 1 - Sheet 2)")</f>
        <v>Linsendurchmesser dn min (Blech 1 - Blech 2)</v>
      </c>
      <c r="AG10" s="910" t="str">
        <f>IF($E$6="DE","Linsendurchmesser dn min (Blech 2 - Blech 3)","Nuggetdiameter dn min (Sheet 2 - Sheet 3)")</f>
        <v>Linsendurchmesser dn min (Blech 2 - Blech 3)</v>
      </c>
      <c r="AH10" s="913" t="str">
        <f>IF($E$6="DE","Elektrodenkappen","Electrode Cap")</f>
        <v>Elektrodenkappen</v>
      </c>
      <c r="AI10" s="907" t="str">
        <f>IF($E$6="DE"," Arbeitsflächendurchm. für Elektrode an Blech 1 (AF1)","Electrode Tip Diameter                       on Sheet 1 (AF1)")</f>
        <v xml:space="preserve"> Arbeitsflächendurchm. für Elektrode an Blech 1 (AF1)</v>
      </c>
      <c r="AJ10" s="907" t="str">
        <f>IF($E$6="DE","Arbeitsflächenradius für Elektrode an Blech 1 (R1)","Electrode Tip Radius                    on Sheet 1 (R1)")</f>
        <v>Arbeitsflächenradius für Elektrode an Blech 1 (R1)</v>
      </c>
      <c r="AK10" s="931" t="str">
        <f>IF($E$6="DE"," Arbeitsflächendurchm. für Elektrode an Blech 2/3 (AF2/3)","Electrode Tip Diameter                      on Sheet 2/3 (AF2/3)")</f>
        <v xml:space="preserve"> Arbeitsflächendurchm. für Elektrode an Blech 2/3 (AF2/3)</v>
      </c>
      <c r="AL10" s="934" t="str">
        <f>IF($E$6="DE","Arbeitsflächenradius für Elektrode an Blech 2/3 (R2/3)","Electrode Tip Radius                   on Sheet 2 (R2/3)")</f>
        <v>Arbeitsflächenradius für Elektrode an Blech 2/3 (R2/3)</v>
      </c>
      <c r="AM10" s="927"/>
      <c r="AN10" s="928"/>
      <c r="AO10" s="898" t="s">
        <v>1645</v>
      </c>
      <c r="AP10" s="898" t="s">
        <v>1646</v>
      </c>
      <c r="AQ10" s="898" t="s">
        <v>1647</v>
      </c>
      <c r="AR10" s="898" t="s">
        <v>1629</v>
      </c>
      <c r="AS10" s="898" t="s">
        <v>1630</v>
      </c>
      <c r="AT10" s="898" t="s">
        <v>1631</v>
      </c>
      <c r="AU10" s="898" t="s">
        <v>1632</v>
      </c>
      <c r="AV10" s="898" t="s">
        <v>1633</v>
      </c>
      <c r="AW10" s="898" t="s">
        <v>1634</v>
      </c>
      <c r="AX10" s="916" t="s">
        <v>1635</v>
      </c>
      <c r="AY10" s="280"/>
      <c r="AZ10" s="280"/>
      <c r="BA10" s="280"/>
      <c r="BB10" s="280"/>
    </row>
    <row r="11" spans="1:74" ht="32.25" customHeight="1">
      <c r="A11" s="1016"/>
      <c r="B11" s="7"/>
      <c r="C11" s="994"/>
      <c r="D11" s="997"/>
      <c r="E11" s="1000"/>
      <c r="F11" s="1000"/>
      <c r="G11" s="1000"/>
      <c r="H11" s="1003"/>
      <c r="I11" s="967"/>
      <c r="J11" s="948"/>
      <c r="K11" s="951"/>
      <c r="L11" s="954"/>
      <c r="M11" s="958"/>
      <c r="N11" s="959"/>
      <c r="O11" s="959"/>
      <c r="P11" s="963"/>
      <c r="Q11" s="964"/>
      <c r="R11" s="979"/>
      <c r="S11" s="981"/>
      <c r="T11" s="964"/>
      <c r="U11" s="979"/>
      <c r="V11" s="981"/>
      <c r="W11" s="964"/>
      <c r="X11" s="979"/>
      <c r="Y11" s="983"/>
      <c r="Z11" s="986"/>
      <c r="AA11" s="989"/>
      <c r="AB11" s="902"/>
      <c r="AC11" s="905"/>
      <c r="AD11" s="908"/>
      <c r="AE11" s="911"/>
      <c r="AF11" s="914"/>
      <c r="AG11" s="911"/>
      <c r="AH11" s="914"/>
      <c r="AI11" s="908"/>
      <c r="AJ11" s="908"/>
      <c r="AK11" s="932"/>
      <c r="AL11" s="935"/>
      <c r="AM11" s="927"/>
      <c r="AN11" s="928"/>
      <c r="AO11" s="899"/>
      <c r="AP11" s="899"/>
      <c r="AQ11" s="899"/>
      <c r="AR11" s="899"/>
      <c r="AS11" s="899"/>
      <c r="AT11" s="899"/>
      <c r="AU11" s="899"/>
      <c r="AV11" s="899"/>
      <c r="AW11" s="899"/>
      <c r="AX11" s="917"/>
      <c r="AY11" s="280"/>
      <c r="AZ11" s="280"/>
      <c r="BA11" s="280"/>
      <c r="BB11" s="280"/>
      <c r="BD11" s="895" t="s">
        <v>1125</v>
      </c>
      <c r="BE11" s="895" t="s">
        <v>1126</v>
      </c>
      <c r="BF11" s="895" t="s">
        <v>1127</v>
      </c>
    </row>
    <row r="12" spans="1:74" ht="32.25" customHeight="1">
      <c r="A12" s="1016"/>
      <c r="B12" s="7"/>
      <c r="C12" s="994"/>
      <c r="D12" s="997"/>
      <c r="E12" s="1000"/>
      <c r="F12" s="1000"/>
      <c r="G12" s="1000"/>
      <c r="H12" s="1003"/>
      <c r="I12" s="967"/>
      <c r="J12" s="948"/>
      <c r="K12" s="951"/>
      <c r="L12" s="954"/>
      <c r="M12" s="958"/>
      <c r="N12" s="959"/>
      <c r="O12" s="959"/>
      <c r="P12" s="963"/>
      <c r="Q12" s="964"/>
      <c r="R12" s="979"/>
      <c r="S12" s="981"/>
      <c r="T12" s="964"/>
      <c r="U12" s="979"/>
      <c r="V12" s="981"/>
      <c r="W12" s="964"/>
      <c r="X12" s="979"/>
      <c r="Y12" s="983"/>
      <c r="Z12" s="986"/>
      <c r="AA12" s="989"/>
      <c r="AB12" s="902"/>
      <c r="AC12" s="905"/>
      <c r="AD12" s="908"/>
      <c r="AE12" s="911"/>
      <c r="AF12" s="914"/>
      <c r="AG12" s="911"/>
      <c r="AH12" s="914"/>
      <c r="AI12" s="908"/>
      <c r="AJ12" s="908"/>
      <c r="AK12" s="932"/>
      <c r="AL12" s="935"/>
      <c r="AM12" s="927"/>
      <c r="AN12" s="928"/>
      <c r="AO12" s="899"/>
      <c r="AP12" s="899"/>
      <c r="AQ12" s="899"/>
      <c r="AR12" s="899"/>
      <c r="AS12" s="899"/>
      <c r="AT12" s="899"/>
      <c r="AU12" s="899"/>
      <c r="AV12" s="899"/>
      <c r="AW12" s="899"/>
      <c r="AX12" s="917"/>
      <c r="AY12" s="280"/>
      <c r="AZ12" s="280"/>
      <c r="BA12" s="280"/>
      <c r="BB12" s="280"/>
      <c r="BD12" s="896"/>
      <c r="BE12" s="896"/>
      <c r="BF12" s="896"/>
    </row>
    <row r="13" spans="1:74" ht="32.25" customHeight="1">
      <c r="A13" s="1016"/>
      <c r="B13" s="7"/>
      <c r="C13" s="994"/>
      <c r="D13" s="997"/>
      <c r="E13" s="1000"/>
      <c r="F13" s="1000"/>
      <c r="G13" s="1000"/>
      <c r="H13" s="1003"/>
      <c r="I13" s="967"/>
      <c r="J13" s="948"/>
      <c r="K13" s="951"/>
      <c r="L13" s="954"/>
      <c r="M13" s="958"/>
      <c r="N13" s="959"/>
      <c r="O13" s="959"/>
      <c r="P13" s="963"/>
      <c r="Q13" s="964"/>
      <c r="R13" s="979"/>
      <c r="S13" s="981"/>
      <c r="T13" s="964"/>
      <c r="U13" s="979"/>
      <c r="V13" s="981"/>
      <c r="W13" s="964"/>
      <c r="X13" s="979"/>
      <c r="Y13" s="983"/>
      <c r="Z13" s="986"/>
      <c r="AA13" s="989"/>
      <c r="AB13" s="902"/>
      <c r="AC13" s="905"/>
      <c r="AD13" s="908"/>
      <c r="AE13" s="911"/>
      <c r="AF13" s="914"/>
      <c r="AG13" s="911"/>
      <c r="AH13" s="914"/>
      <c r="AI13" s="908"/>
      <c r="AJ13" s="908"/>
      <c r="AK13" s="932"/>
      <c r="AL13" s="935"/>
      <c r="AM13" s="927"/>
      <c r="AN13" s="928"/>
      <c r="AO13" s="899"/>
      <c r="AP13" s="899"/>
      <c r="AQ13" s="899"/>
      <c r="AR13" s="899"/>
      <c r="AS13" s="899"/>
      <c r="AT13" s="899"/>
      <c r="AU13" s="899"/>
      <c r="AV13" s="899"/>
      <c r="AW13" s="899"/>
      <c r="AX13" s="917"/>
      <c r="AY13" s="280"/>
      <c r="AZ13" s="280"/>
      <c r="BA13" s="280"/>
      <c r="BB13" s="280"/>
      <c r="BD13" s="896"/>
      <c r="BE13" s="896"/>
      <c r="BF13" s="896"/>
    </row>
    <row r="14" spans="1:74" ht="32.25" customHeight="1">
      <c r="A14" s="1016"/>
      <c r="B14" s="7"/>
      <c r="C14" s="994"/>
      <c r="D14" s="997"/>
      <c r="E14" s="1000"/>
      <c r="F14" s="1000"/>
      <c r="G14" s="1000"/>
      <c r="H14" s="1003"/>
      <c r="I14" s="967"/>
      <c r="J14" s="948"/>
      <c r="K14" s="951"/>
      <c r="L14" s="954"/>
      <c r="M14" s="958"/>
      <c r="N14" s="959"/>
      <c r="O14" s="959"/>
      <c r="P14" s="963"/>
      <c r="Q14" s="964"/>
      <c r="R14" s="979"/>
      <c r="S14" s="981"/>
      <c r="T14" s="964"/>
      <c r="U14" s="979"/>
      <c r="V14" s="981"/>
      <c r="W14" s="964"/>
      <c r="X14" s="979"/>
      <c r="Y14" s="983"/>
      <c r="Z14" s="986"/>
      <c r="AA14" s="989"/>
      <c r="AB14" s="902"/>
      <c r="AC14" s="905"/>
      <c r="AD14" s="908"/>
      <c r="AE14" s="911"/>
      <c r="AF14" s="914"/>
      <c r="AG14" s="911"/>
      <c r="AH14" s="914"/>
      <c r="AI14" s="908"/>
      <c r="AJ14" s="908"/>
      <c r="AK14" s="932"/>
      <c r="AL14" s="935"/>
      <c r="AM14" s="927"/>
      <c r="AN14" s="928"/>
      <c r="AO14" s="899"/>
      <c r="AP14" s="899"/>
      <c r="AQ14" s="899"/>
      <c r="AR14" s="899"/>
      <c r="AS14" s="899"/>
      <c r="AT14" s="899"/>
      <c r="AU14" s="899"/>
      <c r="AV14" s="899"/>
      <c r="AW14" s="899"/>
      <c r="AX14" s="917"/>
      <c r="AY14" s="280"/>
      <c r="AZ14" s="280"/>
      <c r="BA14" s="280"/>
      <c r="BB14" s="280"/>
      <c r="BD14" s="896"/>
      <c r="BE14" s="896"/>
      <c r="BF14" s="896"/>
    </row>
    <row r="15" spans="1:74" ht="32.25" customHeight="1">
      <c r="A15" s="1016"/>
      <c r="B15" s="7"/>
      <c r="C15" s="994"/>
      <c r="D15" s="997"/>
      <c r="E15" s="1000"/>
      <c r="F15" s="1000"/>
      <c r="G15" s="1000"/>
      <c r="H15" s="1003"/>
      <c r="I15" s="967"/>
      <c r="J15" s="948"/>
      <c r="K15" s="951"/>
      <c r="L15" s="954"/>
      <c r="M15" s="958"/>
      <c r="N15" s="959"/>
      <c r="O15" s="959"/>
      <c r="P15" s="963"/>
      <c r="Q15" s="964"/>
      <c r="R15" s="979"/>
      <c r="S15" s="981"/>
      <c r="T15" s="964"/>
      <c r="U15" s="979"/>
      <c r="V15" s="981"/>
      <c r="W15" s="964"/>
      <c r="X15" s="979"/>
      <c r="Y15" s="983"/>
      <c r="Z15" s="986"/>
      <c r="AA15" s="989"/>
      <c r="AB15" s="902"/>
      <c r="AC15" s="905"/>
      <c r="AD15" s="908"/>
      <c r="AE15" s="911"/>
      <c r="AF15" s="914"/>
      <c r="AG15" s="911"/>
      <c r="AH15" s="914"/>
      <c r="AI15" s="908"/>
      <c r="AJ15" s="908"/>
      <c r="AK15" s="932"/>
      <c r="AL15" s="935"/>
      <c r="AM15" s="927"/>
      <c r="AN15" s="928"/>
      <c r="AO15" s="899"/>
      <c r="AP15" s="899"/>
      <c r="AQ15" s="899"/>
      <c r="AR15" s="899"/>
      <c r="AS15" s="899"/>
      <c r="AT15" s="899"/>
      <c r="AU15" s="899"/>
      <c r="AV15" s="899"/>
      <c r="AW15" s="899"/>
      <c r="AX15" s="917"/>
      <c r="AY15" s="280"/>
      <c r="AZ15" s="280"/>
      <c r="BA15" s="280"/>
      <c r="BB15" s="280"/>
      <c r="BD15" s="896"/>
      <c r="BE15" s="896"/>
      <c r="BF15" s="896"/>
    </row>
    <row r="16" spans="1:74" ht="32.25" customHeight="1">
      <c r="A16" s="1016"/>
      <c r="B16" s="7"/>
      <c r="C16" s="994"/>
      <c r="D16" s="997"/>
      <c r="E16" s="1000"/>
      <c r="F16" s="1000"/>
      <c r="G16" s="1000"/>
      <c r="H16" s="1003"/>
      <c r="I16" s="967"/>
      <c r="J16" s="948"/>
      <c r="K16" s="951"/>
      <c r="L16" s="954"/>
      <c r="M16" s="958"/>
      <c r="N16" s="959"/>
      <c r="O16" s="959"/>
      <c r="P16" s="963"/>
      <c r="Q16" s="964"/>
      <c r="R16" s="979"/>
      <c r="S16" s="981"/>
      <c r="T16" s="964"/>
      <c r="U16" s="979"/>
      <c r="V16" s="981"/>
      <c r="W16" s="964"/>
      <c r="X16" s="979"/>
      <c r="Y16" s="983"/>
      <c r="Z16" s="986"/>
      <c r="AA16" s="989"/>
      <c r="AB16" s="902"/>
      <c r="AC16" s="905"/>
      <c r="AD16" s="908"/>
      <c r="AE16" s="911"/>
      <c r="AF16" s="914"/>
      <c r="AG16" s="911"/>
      <c r="AH16" s="914"/>
      <c r="AI16" s="908"/>
      <c r="AJ16" s="908"/>
      <c r="AK16" s="932"/>
      <c r="AL16" s="935"/>
      <c r="AM16" s="927"/>
      <c r="AN16" s="928"/>
      <c r="AO16" s="899"/>
      <c r="AP16" s="899"/>
      <c r="AQ16" s="899"/>
      <c r="AR16" s="899"/>
      <c r="AS16" s="899"/>
      <c r="AT16" s="899"/>
      <c r="AU16" s="899"/>
      <c r="AV16" s="899"/>
      <c r="AW16" s="899"/>
      <c r="AX16" s="917"/>
      <c r="AY16" s="280"/>
      <c r="AZ16" s="280"/>
      <c r="BA16" s="280"/>
      <c r="BB16" s="280"/>
      <c r="BD16" s="896"/>
      <c r="BE16" s="896"/>
      <c r="BF16" s="896"/>
      <c r="BI16" s="5"/>
      <c r="BJ16" s="5"/>
      <c r="BK16" s="5"/>
      <c r="BL16" s="5"/>
      <c r="BM16" s="5"/>
      <c r="BN16" s="5"/>
      <c r="BO16" s="5"/>
      <c r="BP16" s="5"/>
      <c r="BQ16" s="5"/>
      <c r="BR16" s="5"/>
      <c r="BS16" s="5"/>
      <c r="BT16" s="5"/>
      <c r="BU16" s="5"/>
      <c r="BV16" s="5"/>
    </row>
    <row r="17" spans="1:85" ht="32.25" customHeight="1">
      <c r="A17" s="1016"/>
      <c r="B17" s="7"/>
      <c r="C17" s="994"/>
      <c r="D17" s="997"/>
      <c r="E17" s="1000"/>
      <c r="F17" s="1000"/>
      <c r="G17" s="1000"/>
      <c r="H17" s="1003"/>
      <c r="I17" s="968"/>
      <c r="J17" s="949"/>
      <c r="K17" s="952"/>
      <c r="L17" s="955"/>
      <c r="M17" s="960"/>
      <c r="N17" s="961"/>
      <c r="O17" s="961"/>
      <c r="P17" s="963"/>
      <c r="Q17" s="965"/>
      <c r="R17" s="980"/>
      <c r="S17" s="982"/>
      <c r="T17" s="965"/>
      <c r="U17" s="980"/>
      <c r="V17" s="982"/>
      <c r="W17" s="965"/>
      <c r="X17" s="980"/>
      <c r="Y17" s="984"/>
      <c r="Z17" s="987"/>
      <c r="AA17" s="990"/>
      <c r="AB17" s="903"/>
      <c r="AC17" s="906"/>
      <c r="AD17" s="909"/>
      <c r="AE17" s="912"/>
      <c r="AF17" s="915"/>
      <c r="AG17" s="912"/>
      <c r="AH17" s="915"/>
      <c r="AI17" s="909"/>
      <c r="AJ17" s="909"/>
      <c r="AK17" s="933"/>
      <c r="AL17" s="936"/>
      <c r="AM17" s="927"/>
      <c r="AN17" s="928"/>
      <c r="AO17" s="899"/>
      <c r="AP17" s="899"/>
      <c r="AQ17" s="899"/>
      <c r="AR17" s="899"/>
      <c r="AS17" s="899"/>
      <c r="AT17" s="899"/>
      <c r="AU17" s="899"/>
      <c r="AV17" s="899"/>
      <c r="AW17" s="899"/>
      <c r="AX17" s="917"/>
      <c r="AY17" s="280"/>
      <c r="AZ17" s="280"/>
      <c r="BA17" s="280"/>
      <c r="BB17" s="280"/>
      <c r="BD17" s="896"/>
      <c r="BE17" s="896"/>
      <c r="BF17" s="896"/>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1016"/>
      <c r="B18" s="7"/>
      <c r="C18" s="995"/>
      <c r="D18" s="998"/>
      <c r="E18" s="1001"/>
      <c r="F18" s="1001"/>
      <c r="G18" s="1001"/>
      <c r="H18" s="100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929"/>
      <c r="AN18" s="930"/>
      <c r="AO18" s="900"/>
      <c r="AP18" s="900"/>
      <c r="AQ18" s="900"/>
      <c r="AR18" s="900"/>
      <c r="AS18" s="900"/>
      <c r="AT18" s="900"/>
      <c r="AU18" s="900"/>
      <c r="AV18" s="900"/>
      <c r="AW18" s="900"/>
      <c r="AX18" s="918"/>
      <c r="AY18" s="280"/>
      <c r="AZ18" s="280"/>
      <c r="BA18" s="280"/>
      <c r="BB18" s="280"/>
      <c r="BD18" s="897"/>
      <c r="BE18" s="897"/>
      <c r="BF18" s="897"/>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1016"/>
      <c r="B19" s="7"/>
      <c r="C19" s="402">
        <v>7.1003699999999998</v>
      </c>
      <c r="D19" s="403" t="s">
        <v>1659</v>
      </c>
      <c r="E19" s="404" t="s">
        <v>1180</v>
      </c>
      <c r="F19" s="405" t="s">
        <v>1673</v>
      </c>
      <c r="G19" s="406" t="s">
        <v>1656</v>
      </c>
      <c r="H19" s="407" t="s">
        <v>1666</v>
      </c>
      <c r="I19" s="408" t="s">
        <v>1180</v>
      </c>
      <c r="J19" s="101">
        <v>-240</v>
      </c>
      <c r="K19" s="102">
        <v>-443.87</v>
      </c>
      <c r="L19" s="103">
        <v>209.5</v>
      </c>
      <c r="M19" s="105" t="s">
        <v>1674</v>
      </c>
      <c r="N19" s="104" t="s">
        <v>1670</v>
      </c>
      <c r="O19" s="327" t="s">
        <v>1180</v>
      </c>
      <c r="P19" s="409">
        <v>2.1</v>
      </c>
      <c r="Q19" s="410" t="s">
        <v>1684</v>
      </c>
      <c r="R19" s="411" t="e">
        <f>IF(AND(ISBLANK(P19),ISTEXT(Q19)),"t1?",IF(AND(ISBLANK(Q19),ISBLANK(P19)),"",VLOOKUP(BD19,Materialliste!$A$2:$B$1477,2,FALSE)))</f>
        <v>#N/A</v>
      </c>
      <c r="S19" s="409">
        <v>2.5</v>
      </c>
      <c r="T19" s="410" t="s">
        <v>1686</v>
      </c>
      <c r="U19" s="411" t="e">
        <f>IF(AND(ISBLANK(S19),ISTEXT(T19)),"t2?",IF(AND(ISBLANK(T19),ISBLANK(S19)),"",VLOOKUP(BE19,Materialliste!$A$2:$B$1477,2,FALSE)))</f>
        <v>#N/A</v>
      </c>
      <c r="V19" s="409"/>
      <c r="W19" s="412"/>
      <c r="X19" s="413" t="str">
        <f>IF(AND(ISBLANK(V19),ISTEXT(W19)),"t3?",IF(AND(ISBLANK(W19),ISBLANK(V19)),"",VLOOKUP(BF19,Materialliste!$A$2:$B$1477,2,FALSE)))</f>
        <v/>
      </c>
      <c r="Y19" s="414" t="s">
        <v>1644</v>
      </c>
      <c r="Z19" s="415">
        <f t="shared" ref="Z19:Z23" si="0">IF($E$6="DE",IF(P19*S19&gt;0,0.8*BJ19+0.2*BI19,"BLECH?"),IF(P19*S19&gt;0,0.8*BJ19+0.2*BI19,"Sheet?"))</f>
        <v>2.1800000000000002</v>
      </c>
      <c r="AA19" s="416" t="str">
        <f>IF(AND(ISNUMBER(R19),ISNUMBER(U19)),IF(ISTEXT(X19),(R19+U19)/(220*3*10)+0.9,(R19+U19+X19)/(220*3*10)+0.9),"?Re")</f>
        <v>?Re</v>
      </c>
      <c r="AB19" s="417" t="e">
        <f t="shared" ref="AB19:AB2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8" t="e">
        <f t="shared" ref="AC19:AC23" si="2">IF(OR(G19="C",G19="X"),IF(Z19="BLECH?","",IF(AND(BS19=TRUE,BU19=TRUE),IF(Z19&lt;=2,((1.13*Z19+7.1+BT19)+(1.13*Z19+7.1+BV19))/2*BR19,((1.5*Z19+5.8+BT19)+(1.5*Z19+5.8+BV19))/2*BR19),IF(Z19&lt;=2,(1.13*Z19+7.1+BT19+BV19)*BR19,(1.5*Z19+5.8+BT19+BV19)*BR19))),IF(OR(G19="B",G19="S"),"6",IF(G19="R","7",IF(G19="M","4,3",""))))</f>
        <v>#N/A</v>
      </c>
      <c r="AD19" s="419" t="e">
        <f t="shared" ref="AD19:AD23" si="3">IF(OR(G19="C",G19="X"),IF(Z19="BLECH?","",MIN((((P19+S19+V19-1.4)*(600/4.6))+200)+BP19,900)),IF(G19="B","60",IF(G19="R","150",IF(G19="S","90",IF(G19="m","350","")))))</f>
        <v>#N/A</v>
      </c>
      <c r="AE19" s="420" t="e">
        <f t="shared" ref="AE19:AE23" si="4">IF(OR(G19="C",G19="X"),AB19*BQ19,AB19)</f>
        <v>#VALUE!</v>
      </c>
      <c r="AF19" s="421">
        <f>IF(G19="S","-",IF(OR(G19="M",G19="B"),1.6,IF(P19=0,"",3.5*SQRT(MIN(P19,S19)))))</f>
        <v>5.0719818611663037</v>
      </c>
      <c r="AG19" s="422" t="str">
        <f>IF(V19&gt;0,(IF(G19="S","-",IF(OR(G19="M",G19="B"),1.6,3.5*SQRT(MIN(S19,V19))))),"")</f>
        <v/>
      </c>
      <c r="AH19" s="423" t="e">
        <f t="shared" ref="AH19:AH34" si="5">IF(AND($AN$36="Ja",ISTEXT($AG$38),ISNUMBER($AL$38)),CG19,CC19)</f>
        <v>#VALUE!</v>
      </c>
      <c r="AI19" s="424">
        <f>IF(ISBLANK(G19),"",IF(ISNUMBER($AK$8),$AK$8,IF(G19="R",0,IF(G19="S",4,IF(G19="M",5,IF(G19="B",8,IF(Z19&gt;=2,8,6)))))))</f>
        <v>8</v>
      </c>
      <c r="AJ19" s="424">
        <f>IF(ISBLANK(G19),"",IF(ISNUMBER($AL$8),$AL$8,IF(G19="R",8,IF(G19="S",50,IF(G19="M",15,IF(G19="B",0,50))))))</f>
        <v>50</v>
      </c>
      <c r="AK19" s="424">
        <f>IF(ISBLANK(G19),"",IF(ISNUMBER($AM$8),$AM$8,IF(G19="R",0,IF(G19="S","-",IF(G19="M",5,IF(G19="B",8,IF(Z19&gt;=2,8,6)))))))</f>
        <v>8</v>
      </c>
      <c r="AL19" s="425">
        <f>IF(ISBLANK(G19),"",IF(ISNUMBER($AN$8),$AN$8,IF(G19="R",8,IF(G19="S","-",IF(G19="M",15,IF(G19="B",0,50))))))</f>
        <v>50</v>
      </c>
      <c r="AM19" s="426"/>
      <c r="AN19" s="427"/>
      <c r="AO19" s="428"/>
      <c r="AP19" s="429" t="s">
        <v>1650</v>
      </c>
      <c r="AQ19" s="429" t="s">
        <v>1650</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CR440Y780T-DP GI40/40</v>
      </c>
      <c r="BE19" s="34" t="str">
        <f t="shared" ref="BE19:BE34" si="7">IF(OR((RIGHT(T19,3)="U-O"),(RIGHT(T19,3)="E-O"),(RIGHT(T19,3)="U-P"),(RIGHT(T19,3)="E-P")),LEFT(T19,LEN(T19)-4),(IF(OR((RIGHT(T19,1)="U"),(RIGHT(T19,1)="E"),(RIGHT(T19,1)="O"),(RIGHT(T19,1)="P")),LEFT(T19,LEN(T19)-2),T19)))</f>
        <v>HX300LAD+Z100MB</v>
      </c>
      <c r="BF19" s="34">
        <f t="shared" ref="BF19:BF34" si="8">IF(OR((RIGHT(W19,3)="U-O"),(RIGHT(W19,3)="E-O"),(RIGHT(W19,3)="U-P"),(RIGHT(W19,3)="E-P")),LEFT(W19,LEN(W19)-4),(IF(OR((RIGHT(W19,1)="U"),(RIGHT(W19,1)="E"),(RIGHT(W19,1)="O"),(RIGHT(W19,1)="P")),LEFT(W19,LEN(W19)-2),W19)))</f>
        <v>0</v>
      </c>
      <c r="BI19" s="10">
        <f t="shared" ref="BI19:BI34" si="9">MAX(P19,S19,V19)</f>
        <v>2.5</v>
      </c>
      <c r="BJ19" s="11">
        <f>LARGE(BK19:BM19,2)</f>
        <v>2.1</v>
      </c>
      <c r="BK19" s="10">
        <f t="shared" ref="BK19:BK34" si="10">P19</f>
        <v>2.1</v>
      </c>
      <c r="BL19" s="10">
        <f t="shared" ref="BL19:BL34" si="11">S19</f>
        <v>2.5</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1016"/>
      <c r="B20" s="7"/>
      <c r="C20" s="430">
        <v>7.1003800000000004</v>
      </c>
      <c r="D20" s="431" t="s">
        <v>1660</v>
      </c>
      <c r="E20" s="432" t="s">
        <v>1180</v>
      </c>
      <c r="F20" s="433" t="s">
        <v>1673</v>
      </c>
      <c r="G20" s="434" t="s">
        <v>1656</v>
      </c>
      <c r="H20" s="435" t="s">
        <v>1666</v>
      </c>
      <c r="I20" s="436" t="s">
        <v>1180</v>
      </c>
      <c r="J20" s="109">
        <v>-356.5</v>
      </c>
      <c r="K20" s="108">
        <v>-495.08</v>
      </c>
      <c r="L20" s="106">
        <v>274.60000000000002</v>
      </c>
      <c r="M20" s="100" t="s">
        <v>1674</v>
      </c>
      <c r="N20" s="99" t="s">
        <v>1670</v>
      </c>
      <c r="O20" s="328" t="s">
        <v>1180</v>
      </c>
      <c r="P20" s="437">
        <v>2.1</v>
      </c>
      <c r="Q20" s="438" t="s">
        <v>1684</v>
      </c>
      <c r="R20" s="439" t="e">
        <f>IF(AND(ISBLANK(P20),ISTEXT(Q20)),"t1?",IF(AND(ISBLANK(Q20),ISBLANK(P20)),"",VLOOKUP(BD20,Materialliste!$A$2:$B$1477,2,FALSE)))</f>
        <v>#N/A</v>
      </c>
      <c r="S20" s="437">
        <v>2.5</v>
      </c>
      <c r="T20" s="438" t="s">
        <v>1686</v>
      </c>
      <c r="U20" s="440" t="e">
        <f>IF(AND(ISBLANK(S20),ISTEXT(T20)),"t2?",IF(AND(ISBLANK(T20),ISBLANK(S20)),"",VLOOKUP(BE20,Materialliste!$A$2:$B$1477,2,FALSE)))</f>
        <v>#N/A</v>
      </c>
      <c r="V20" s="437"/>
      <c r="W20" s="441"/>
      <c r="X20" s="440" t="str">
        <f>IF(AND(ISBLANK(V20),ISTEXT(W20)),"t3?",IF(AND(ISBLANK(W20),ISBLANK(V20)),"",VLOOKUP(BF20,Materialliste!$A$2:$B$1477,2,FALSE)))</f>
        <v/>
      </c>
      <c r="Y20" s="442" t="s">
        <v>1644</v>
      </c>
      <c r="Z20" s="443">
        <f t="shared" si="0"/>
        <v>2.1800000000000002</v>
      </c>
      <c r="AA20" s="444" t="str">
        <f t="shared" ref="AA20:AA21" si="14">IF(AND(ISNUMBER(R20),ISNUMBER(U20)),IF(ISTEXT(X20),(R20+U20)/(220*3*10)+0.9,(R20+U20+X20)/(220*3*10)+0.9),"?Re")</f>
        <v>?Re</v>
      </c>
      <c r="AB20" s="445" t="e">
        <f t="shared" si="1"/>
        <v>#VALUE!</v>
      </c>
      <c r="AC20" s="446" t="e">
        <f t="shared" si="2"/>
        <v>#N/A</v>
      </c>
      <c r="AD20" s="419" t="e">
        <f t="shared" si="3"/>
        <v>#N/A</v>
      </c>
      <c r="AE20" s="447" t="e">
        <f t="shared" si="4"/>
        <v>#VALUE!</v>
      </c>
      <c r="AF20" s="448">
        <f t="shared" ref="AF20:AF21" si="15">IF(G20="S","-",IF(OR(G20="M",G20="B"),1.6,IF(P20=0,"",3.5*SQRT(MIN(P20,S20)))))</f>
        <v>5.0719818611663037</v>
      </c>
      <c r="AG20" s="449" t="str">
        <f t="shared" ref="AG20:AG34" si="16">IF(V20&gt;0,(IF(G20="S","-",IF(OR(G20="M",G20="B"),1.6,3.5*SQRT(MIN(S20,V20))))),"")</f>
        <v/>
      </c>
      <c r="AH20" s="423" t="e">
        <f t="shared" si="5"/>
        <v>#VALUE!</v>
      </c>
      <c r="AI20" s="450">
        <f t="shared" ref="AI20:AI34" si="17">IF(ISBLANK(G20),"",IF(ISNUMBER($AK$8),$AK$8,IF(G20="R",0,IF(G20="S",4,IF(G20="M",5,IF(G20="B",8,IF(Z20&gt;=2,8,6)))))))</f>
        <v>8</v>
      </c>
      <c r="AJ20" s="450">
        <f t="shared" ref="AJ20:AJ34" si="18">IF(ISBLANK(G20),"",IF(ISNUMBER($AL$8),$AL$8,IF(G20="R",8,IF(G20="S",50,IF(G20="M",15,IF(G20="B",0,50))))))</f>
        <v>50</v>
      </c>
      <c r="AK20" s="450">
        <f t="shared" ref="AK20:AK34" si="19">IF(ISBLANK(G20),"",IF(ISNUMBER($AM$8),$AM$8,IF(G20="R",0,IF(G20="S","-",IF(G20="M",5,IF(G20="B",8,IF(Z20&gt;=2,8,6)))))))</f>
        <v>8</v>
      </c>
      <c r="AL20" s="451">
        <f t="shared" ref="AL20:AL34" si="20">IF(ISBLANK(G20),"",IF(ISNUMBER($AN$8),$AN$8,IF(G20="R",8,IF(G20="S","-",IF(G20="M",15,IF(G20="B",0,50))))))</f>
        <v>50</v>
      </c>
      <c r="AM20" s="452" t="s">
        <v>1652</v>
      </c>
      <c r="AN20" s="453"/>
      <c r="AO20" s="454"/>
      <c r="AP20" s="455" t="s">
        <v>1650</v>
      </c>
      <c r="AQ20" s="455" t="s">
        <v>1650</v>
      </c>
      <c r="AR20" s="281"/>
      <c r="AS20" s="281"/>
      <c r="AT20" s="281"/>
      <c r="AU20" s="281"/>
      <c r="AV20" s="281"/>
      <c r="AW20" s="281"/>
      <c r="AX20" s="282"/>
      <c r="AY20" s="280"/>
      <c r="AZ20" s="280"/>
      <c r="BA20" s="280"/>
      <c r="BB20" s="280"/>
      <c r="BD20" s="34" t="str">
        <f t="shared" si="6"/>
        <v>CR440Y780T-DP GI40/40</v>
      </c>
      <c r="BE20" s="34" t="str">
        <f t="shared" si="7"/>
        <v>HX300LAD+Z100MB</v>
      </c>
      <c r="BF20" s="34">
        <f t="shared" si="8"/>
        <v>0</v>
      </c>
      <c r="BI20" s="10">
        <f t="shared" si="9"/>
        <v>2.5</v>
      </c>
      <c r="BJ20" s="11">
        <f t="shared" ref="BJ20:BJ34" si="21">LARGE(BK20:BM20,2)</f>
        <v>2.1</v>
      </c>
      <c r="BK20" s="10">
        <f t="shared" si="10"/>
        <v>2.1</v>
      </c>
      <c r="BL20" s="10">
        <f t="shared" si="11"/>
        <v>2.5</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1016"/>
      <c r="B21" s="7"/>
      <c r="C21" s="430">
        <v>7.10039</v>
      </c>
      <c r="D21" s="431" t="s">
        <v>1661</v>
      </c>
      <c r="E21" s="432" t="s">
        <v>1180</v>
      </c>
      <c r="F21" s="433" t="s">
        <v>1673</v>
      </c>
      <c r="G21" s="434" t="s">
        <v>1656</v>
      </c>
      <c r="H21" s="435" t="s">
        <v>1666</v>
      </c>
      <c r="I21" s="436" t="s">
        <v>1180</v>
      </c>
      <c r="J21" s="109">
        <v>-124.5</v>
      </c>
      <c r="K21" s="108">
        <v>-473.78</v>
      </c>
      <c r="L21" s="106">
        <v>274.48</v>
      </c>
      <c r="M21" s="100" t="s">
        <v>1674</v>
      </c>
      <c r="N21" s="99" t="s">
        <v>1670</v>
      </c>
      <c r="O21" s="328" t="s">
        <v>1180</v>
      </c>
      <c r="P21" s="437">
        <v>2.1</v>
      </c>
      <c r="Q21" s="438" t="s">
        <v>1684</v>
      </c>
      <c r="R21" s="439" t="e">
        <f>IF(AND(ISBLANK(P21),ISTEXT(Q21)),"t1?",IF(AND(ISBLANK(Q21),ISBLANK(P21)),"",VLOOKUP(BD21,Materialliste!$A$2:$B$1477,2,FALSE)))</f>
        <v>#N/A</v>
      </c>
      <c r="S21" s="437">
        <v>2.5</v>
      </c>
      <c r="T21" s="438" t="s">
        <v>1686</v>
      </c>
      <c r="U21" s="440" t="e">
        <f>IF(AND(ISBLANK(S21),ISTEXT(T21)),"t2?",IF(AND(ISBLANK(T21),ISBLANK(S21)),"",VLOOKUP(BE21,Materialliste!$A$2:$B$1477,2,FALSE)))</f>
        <v>#N/A</v>
      </c>
      <c r="V21" s="437"/>
      <c r="W21" s="441"/>
      <c r="X21" s="456" t="str">
        <f>IF(AND(ISBLANK(V21),ISTEXT(W21)),"t3?",IF(AND(ISBLANK(W21),ISBLANK(V21)),"",VLOOKUP(BF21,Materialliste!$A$2:$B$1477,2,FALSE)))</f>
        <v/>
      </c>
      <c r="Y21" s="442" t="s">
        <v>1644</v>
      </c>
      <c r="Z21" s="443">
        <f t="shared" si="0"/>
        <v>2.1800000000000002</v>
      </c>
      <c r="AA21" s="444" t="str">
        <f t="shared" si="14"/>
        <v>?Re</v>
      </c>
      <c r="AB21" s="445" t="e">
        <f t="shared" si="1"/>
        <v>#VALUE!</v>
      </c>
      <c r="AC21" s="446" t="e">
        <f t="shared" si="2"/>
        <v>#N/A</v>
      </c>
      <c r="AD21" s="419" t="e">
        <f t="shared" si="3"/>
        <v>#N/A</v>
      </c>
      <c r="AE21" s="447" t="e">
        <f t="shared" si="4"/>
        <v>#VALUE!</v>
      </c>
      <c r="AF21" s="448">
        <f t="shared" si="15"/>
        <v>5.0719818611663037</v>
      </c>
      <c r="AG21" s="449" t="str">
        <f t="shared" si="16"/>
        <v/>
      </c>
      <c r="AH21" s="423" t="e">
        <f t="shared" si="5"/>
        <v>#VALUE!</v>
      </c>
      <c r="AI21" s="450">
        <f t="shared" si="17"/>
        <v>8</v>
      </c>
      <c r="AJ21" s="450">
        <f t="shared" si="18"/>
        <v>50</v>
      </c>
      <c r="AK21" s="450">
        <f t="shared" si="19"/>
        <v>8</v>
      </c>
      <c r="AL21" s="451">
        <f t="shared" si="20"/>
        <v>50</v>
      </c>
      <c r="AM21" s="452"/>
      <c r="AN21" s="453"/>
      <c r="AO21" s="454"/>
      <c r="AP21" s="455" t="s">
        <v>1650</v>
      </c>
      <c r="AQ21" s="455"/>
      <c r="AR21" s="281"/>
      <c r="AS21" s="281"/>
      <c r="AT21" s="281"/>
      <c r="AU21" s="281"/>
      <c r="AV21" s="281"/>
      <c r="AW21" s="281"/>
      <c r="AX21" s="282"/>
      <c r="AY21" s="280"/>
      <c r="AZ21" s="280"/>
      <c r="BA21" s="280"/>
      <c r="BB21" s="280"/>
      <c r="BD21" s="34" t="str">
        <f t="shared" si="6"/>
        <v>CR440Y780T-DP GI40/40</v>
      </c>
      <c r="BE21" s="34" t="str">
        <f t="shared" si="7"/>
        <v>HX300LAD+Z100MB</v>
      </c>
      <c r="BF21" s="34">
        <f t="shared" si="8"/>
        <v>0</v>
      </c>
      <c r="BI21" s="10">
        <f t="shared" si="9"/>
        <v>2.5</v>
      </c>
      <c r="BJ21" s="11">
        <f t="shared" si="21"/>
        <v>2.1</v>
      </c>
      <c r="BK21" s="10">
        <f t="shared" si="10"/>
        <v>2.1</v>
      </c>
      <c r="BL21" s="10">
        <f t="shared" si="11"/>
        <v>2.5</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1016"/>
      <c r="B22" s="7"/>
      <c r="C22" s="457">
        <v>7.1003999999999996</v>
      </c>
      <c r="D22" s="403" t="s">
        <v>1662</v>
      </c>
      <c r="E22" s="404" t="s">
        <v>1180</v>
      </c>
      <c r="F22" s="405" t="s">
        <v>1673</v>
      </c>
      <c r="G22" s="406" t="s">
        <v>1656</v>
      </c>
      <c r="H22" s="407" t="s">
        <v>1666</v>
      </c>
      <c r="I22" s="408" t="s">
        <v>1180</v>
      </c>
      <c r="J22" s="101">
        <v>138.38999999999999</v>
      </c>
      <c r="K22" s="102">
        <v>-416.09</v>
      </c>
      <c r="L22" s="103">
        <v>35.78</v>
      </c>
      <c r="M22" s="105" t="s">
        <v>1675</v>
      </c>
      <c r="N22" s="104" t="s">
        <v>1674</v>
      </c>
      <c r="O22" s="327" t="s">
        <v>1671</v>
      </c>
      <c r="P22" s="409">
        <v>2</v>
      </c>
      <c r="Q22" s="410" t="s">
        <v>1685</v>
      </c>
      <c r="R22" s="439" t="e">
        <f>IF(AND(ISBLANK(P22),ISTEXT(Q22)),"t1?",IF(AND(ISBLANK(Q22),ISBLANK(P22)),"",VLOOKUP(BD22,Materialliste!$A$2:$B$1477,2,FALSE)))</f>
        <v>#N/A</v>
      </c>
      <c r="S22" s="409">
        <v>2.1</v>
      </c>
      <c r="T22" s="438" t="s">
        <v>1684</v>
      </c>
      <c r="U22" s="440" t="e">
        <f>IF(AND(ISBLANK(S22),ISTEXT(T22)),"t2?",IF(AND(ISBLANK(T22),ISBLANK(S22)),"",VLOOKUP(BE22,Materialliste!$A$2:$B$1477,2,FALSE)))</f>
        <v>#N/A</v>
      </c>
      <c r="V22" s="409">
        <v>2</v>
      </c>
      <c r="W22" s="412" t="s">
        <v>1676</v>
      </c>
      <c r="X22" s="413" t="e">
        <f>IF(AND(ISBLANK(V22),ISTEXT(W22)),"t3?",IF(AND(ISBLANK(W22),ISBLANK(V22)),"",VLOOKUP(BF22,Materialliste!$A$2:$B$1477,2,FALSE)))</f>
        <v>#N/A</v>
      </c>
      <c r="Y22" s="414" t="s">
        <v>1644</v>
      </c>
      <c r="Z22" s="415">
        <f t="shared" si="0"/>
        <v>2.02</v>
      </c>
      <c r="AA22" s="416" t="str">
        <f>IF(AND(ISNUMBER(R22),ISNUMBER(U22)),IF(ISTEXT(X22),(R22+U22)/(220*3*10)+0.9,(R22+U22+X22)/(220*3*10)+0.9),"?Re")</f>
        <v>?Re</v>
      </c>
      <c r="AB22" s="417" t="e">
        <f t="shared" si="1"/>
        <v>#VALUE!</v>
      </c>
      <c r="AC22" s="418" t="e">
        <f t="shared" si="2"/>
        <v>#N/A</v>
      </c>
      <c r="AD22" s="419" t="e">
        <f t="shared" si="3"/>
        <v>#N/A</v>
      </c>
      <c r="AE22" s="420" t="e">
        <f t="shared" si="4"/>
        <v>#VALUE!</v>
      </c>
      <c r="AF22" s="421">
        <f>IF(G22="S","-",IF(OR(G22="M",G22="B"),1.6,IF(P22=0,"",3.5*SQRT(MIN(P22,S22)))))</f>
        <v>4.9497474683058327</v>
      </c>
      <c r="AG22" s="422">
        <f>IF(V22&gt;0,(IF(G22="S","-",IF(OR(G22="M",G22="B"),1.6,3.5*SQRT(MIN(S22,V22))))),"")</f>
        <v>4.9497474683058327</v>
      </c>
      <c r="AH22" s="423" t="e">
        <f t="shared" si="5"/>
        <v>#VALUE!</v>
      </c>
      <c r="AI22" s="424">
        <f>IF(ISBLANK(G22),"",IF(ISNUMBER($AK$8),$AK$8,IF(G22="R",0,IF(G22="S",4,IF(G22="M",5,IF(G22="B",8,IF(Z22&gt;=2,8,6)))))))</f>
        <v>8</v>
      </c>
      <c r="AJ22" s="424">
        <f>IF(ISBLANK(G22),"",IF(ISNUMBER($AL$8),$AL$8,IF(G22="R",8,IF(G22="S",50,IF(G22="M",15,IF(G22="B",0,50))))))</f>
        <v>50</v>
      </c>
      <c r="AK22" s="424">
        <f>IF(ISBLANK(G22),"",IF(ISNUMBER($AM$8),$AM$8,IF(G22="R",0,IF(G22="S","-",IF(G22="M",5,IF(G22="B",8,IF(Z22&gt;=2,8,6)))))))</f>
        <v>8</v>
      </c>
      <c r="AL22" s="425">
        <f>IF(ISBLANK(G22),"",IF(ISNUMBER($AN$8),$AN$8,IF(G22="R",8,IF(G22="S","-",IF(G22="M",15,IF(G22="B",0,50))))))</f>
        <v>50</v>
      </c>
      <c r="AM22" s="426"/>
      <c r="AN22" s="427"/>
      <c r="AO22" s="428"/>
      <c r="AP22" s="429" t="s">
        <v>1650</v>
      </c>
      <c r="AQ22" s="429" t="s">
        <v>1650</v>
      </c>
      <c r="AR22" s="281"/>
      <c r="AS22" s="281"/>
      <c r="AT22" s="281"/>
      <c r="AU22" s="281"/>
      <c r="AV22" s="281"/>
      <c r="AW22" s="281"/>
      <c r="AX22" s="282"/>
      <c r="AY22" s="280"/>
      <c r="AZ22" s="280"/>
      <c r="BA22" s="280"/>
      <c r="BB22" s="280"/>
      <c r="BD22" s="34" t="str">
        <f t="shared" si="6"/>
        <v>TL4225+AS150</v>
      </c>
      <c r="BE22" s="34" t="str">
        <f t="shared" si="7"/>
        <v>CR440Y780T-DP GI40/40</v>
      </c>
      <c r="BF22" s="34" t="str">
        <f t="shared" si="8"/>
        <v>HX420LAD + Z100-M-B</v>
      </c>
      <c r="BI22" s="10">
        <f t="shared" si="9"/>
        <v>2.1</v>
      </c>
      <c r="BJ22" s="11">
        <f t="shared" si="21"/>
        <v>2</v>
      </c>
      <c r="BK22" s="10">
        <f t="shared" si="10"/>
        <v>2</v>
      </c>
      <c r="BL22" s="10">
        <f t="shared" si="11"/>
        <v>2.1</v>
      </c>
      <c r="BM22" s="10">
        <f t="shared" si="12"/>
        <v>2</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1016"/>
      <c r="B23" s="7"/>
      <c r="C23" s="430">
        <v>7.1004100000000001</v>
      </c>
      <c r="D23" s="431" t="s">
        <v>1663</v>
      </c>
      <c r="E23" s="432" t="s">
        <v>1180</v>
      </c>
      <c r="F23" s="433" t="s">
        <v>1673</v>
      </c>
      <c r="G23" s="434" t="s">
        <v>1656</v>
      </c>
      <c r="H23" s="435" t="s">
        <v>1666</v>
      </c>
      <c r="I23" s="436" t="s">
        <v>1180</v>
      </c>
      <c r="J23" s="109">
        <v>108.1</v>
      </c>
      <c r="K23" s="108">
        <v>-423.08</v>
      </c>
      <c r="L23" s="106">
        <v>55.42</v>
      </c>
      <c r="M23" s="100" t="s">
        <v>1675</v>
      </c>
      <c r="N23" s="99" t="s">
        <v>1674</v>
      </c>
      <c r="O23" s="328" t="s">
        <v>1671</v>
      </c>
      <c r="P23" s="437">
        <v>2</v>
      </c>
      <c r="Q23" s="438" t="s">
        <v>1685</v>
      </c>
      <c r="R23" s="439" t="e">
        <f>IF(AND(ISBLANK(P23),ISTEXT(Q23)),"t1?",IF(AND(ISBLANK(Q23),ISBLANK(P23)),"",VLOOKUP(BD23,Materialliste!$A$2:$B$1477,2,FALSE)))</f>
        <v>#N/A</v>
      </c>
      <c r="S23" s="437">
        <v>2.1</v>
      </c>
      <c r="T23" s="438" t="s">
        <v>1684</v>
      </c>
      <c r="U23" s="440" t="e">
        <f>IF(AND(ISBLANK(S23),ISTEXT(T23)),"t2?",IF(AND(ISBLANK(T23),ISBLANK(S23)),"",VLOOKUP(BE23,Materialliste!$A$2:$B$1477,2,FALSE)))</f>
        <v>#N/A</v>
      </c>
      <c r="V23" s="437">
        <v>2</v>
      </c>
      <c r="W23" s="441" t="s">
        <v>1676</v>
      </c>
      <c r="X23" s="440" t="e">
        <f>IF(AND(ISBLANK(V23),ISTEXT(W23)),"t3?",IF(AND(ISBLANK(W23),ISBLANK(V23)),"",VLOOKUP(BF23,Materialliste!$A$2:$B$1477,2,FALSE)))</f>
        <v>#N/A</v>
      </c>
      <c r="Y23" s="442" t="s">
        <v>1644</v>
      </c>
      <c r="Z23" s="443">
        <f t="shared" si="0"/>
        <v>2.02</v>
      </c>
      <c r="AA23" s="444" t="str">
        <f t="shared" ref="AA23" si="31">IF(AND(ISNUMBER(R23),ISNUMBER(U23)),IF(ISTEXT(X23),(R23+U23)/(220*3*10)+0.9,(R23+U23+X23)/(220*3*10)+0.9),"?Re")</f>
        <v>?Re</v>
      </c>
      <c r="AB23" s="445" t="e">
        <f t="shared" si="1"/>
        <v>#VALUE!</v>
      </c>
      <c r="AC23" s="446" t="e">
        <f t="shared" si="2"/>
        <v>#N/A</v>
      </c>
      <c r="AD23" s="419" t="e">
        <f t="shared" si="3"/>
        <v>#N/A</v>
      </c>
      <c r="AE23" s="447" t="e">
        <f t="shared" si="4"/>
        <v>#VALUE!</v>
      </c>
      <c r="AF23" s="448">
        <f t="shared" ref="AF23" si="32">IF(G23="S","-",IF(OR(G23="M",G23="B"),1.6,IF(P23=0,"",3.5*SQRT(MIN(P23,S23)))))</f>
        <v>4.9497474683058327</v>
      </c>
      <c r="AG23" s="449">
        <f t="shared" ref="AG23" si="33">IF(V23&gt;0,(IF(G23="S","-",IF(OR(G23="M",G23="B"),1.6,3.5*SQRT(MIN(S23,V23))))),"")</f>
        <v>4.9497474683058327</v>
      </c>
      <c r="AH23" s="423" t="e">
        <f t="shared" si="5"/>
        <v>#VALUE!</v>
      </c>
      <c r="AI23" s="450">
        <f t="shared" ref="AI23" si="34">IF(ISBLANK(G23),"",IF(ISNUMBER($AK$8),$AK$8,IF(G23="R",0,IF(G23="S",4,IF(G23="M",5,IF(G23="B",8,IF(Z23&gt;=2,8,6)))))))</f>
        <v>8</v>
      </c>
      <c r="AJ23" s="450">
        <f t="shared" ref="AJ23" si="35">IF(ISBLANK(G23),"",IF(ISNUMBER($AL$8),$AL$8,IF(G23="R",8,IF(G23="S",50,IF(G23="M",15,IF(G23="B",0,50))))))</f>
        <v>50</v>
      </c>
      <c r="AK23" s="450">
        <f t="shared" ref="AK23" si="36">IF(ISBLANK(G23),"",IF(ISNUMBER($AM$8),$AM$8,IF(G23="R",0,IF(G23="S","-",IF(G23="M",5,IF(G23="B",8,IF(Z23&gt;=2,8,6)))))))</f>
        <v>8</v>
      </c>
      <c r="AL23" s="451">
        <f t="shared" ref="AL23" si="37">IF(ISBLANK(G23),"",IF(ISNUMBER($AN$8),$AN$8,IF(G23="R",8,IF(G23="S","-",IF(G23="M",15,IF(G23="B",0,50))))))</f>
        <v>50</v>
      </c>
      <c r="AM23" s="452" t="s">
        <v>1652</v>
      </c>
      <c r="AN23" s="453"/>
      <c r="AO23" s="454"/>
      <c r="AP23" s="455" t="s">
        <v>1650</v>
      </c>
      <c r="AQ23" s="455" t="s">
        <v>1650</v>
      </c>
      <c r="AR23" s="281"/>
      <c r="AS23" s="281"/>
      <c r="AT23" s="281"/>
      <c r="AU23" s="281"/>
      <c r="AV23" s="281"/>
      <c r="AW23" s="281"/>
      <c r="AX23" s="282"/>
      <c r="AY23" s="280"/>
      <c r="AZ23" s="280"/>
      <c r="BA23" s="280"/>
      <c r="BB23" s="280"/>
      <c r="BD23" s="34" t="str">
        <f t="shared" si="6"/>
        <v>TL4225+AS150</v>
      </c>
      <c r="BE23" s="34" t="str">
        <f t="shared" si="7"/>
        <v>CR440Y780T-DP GI40/40</v>
      </c>
      <c r="BF23" s="34" t="str">
        <f t="shared" si="8"/>
        <v>HX420LAD + Z100-M-B</v>
      </c>
      <c r="BI23" s="10">
        <f t="shared" si="9"/>
        <v>2.1</v>
      </c>
      <c r="BJ23" s="11">
        <f>LARGE(BK23:BM23,2)</f>
        <v>2</v>
      </c>
      <c r="BK23" s="10">
        <f t="shared" si="10"/>
        <v>2</v>
      </c>
      <c r="BL23" s="10">
        <f t="shared" si="11"/>
        <v>2.1</v>
      </c>
      <c r="BM23" s="10">
        <f t="shared" si="12"/>
        <v>2</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1016"/>
      <c r="B24" s="7"/>
      <c r="C24" s="430">
        <v>7.1004199999999997</v>
      </c>
      <c r="D24" s="431" t="s">
        <v>1664</v>
      </c>
      <c r="E24" s="432" t="s">
        <v>1180</v>
      </c>
      <c r="F24" s="433" t="s">
        <v>1673</v>
      </c>
      <c r="G24" s="434" t="s">
        <v>1656</v>
      </c>
      <c r="H24" s="435" t="s">
        <v>1666</v>
      </c>
      <c r="I24" s="436" t="s">
        <v>1180</v>
      </c>
      <c r="J24" s="109">
        <v>199.9</v>
      </c>
      <c r="K24" s="108">
        <v>-363.8</v>
      </c>
      <c r="L24" s="106">
        <v>66.47</v>
      </c>
      <c r="M24" s="100" t="s">
        <v>1675</v>
      </c>
      <c r="N24" s="99" t="s">
        <v>1671</v>
      </c>
      <c r="O24" s="328" t="s">
        <v>1180</v>
      </c>
      <c r="P24" s="437">
        <v>2</v>
      </c>
      <c r="Q24" s="438" t="s">
        <v>1685</v>
      </c>
      <c r="R24" s="439" t="e">
        <f>IF(AND(ISBLANK(P24),ISTEXT(Q24)),"t1?",IF(AND(ISBLANK(Q24),ISBLANK(P24)),"",VLOOKUP(BD24,Materialliste!$A$2:$B$1477,2,FALSE)))</f>
        <v>#N/A</v>
      </c>
      <c r="S24" s="437">
        <v>2</v>
      </c>
      <c r="T24" s="441" t="s">
        <v>1676</v>
      </c>
      <c r="U24" s="440" t="e">
        <f>IF(AND(ISBLANK(S24),ISTEXT(T24)),"t2?",IF(AND(ISBLANK(T24),ISBLANK(S24)),"",VLOOKUP(BE24,Materialliste!$A$2:$B$1477,2,FALSE)))</f>
        <v>#N/A</v>
      </c>
      <c r="V24" s="437"/>
      <c r="W24" s="441"/>
      <c r="X24" s="456" t="s">
        <v>1667</v>
      </c>
      <c r="Y24" s="442" t="s">
        <v>1644</v>
      </c>
      <c r="Z24" s="443">
        <v>1.26</v>
      </c>
      <c r="AA24" s="444">
        <v>1.0287878787878788</v>
      </c>
      <c r="AB24" s="445">
        <v>2.7988418181818182</v>
      </c>
      <c r="AC24" s="446">
        <v>8.5237999999999996</v>
      </c>
      <c r="AD24" s="419">
        <v>369.56521739130437</v>
      </c>
      <c r="AE24" s="447">
        <v>2.7988418181818182</v>
      </c>
      <c r="AF24" s="448">
        <v>3.8340579025361627</v>
      </c>
      <c r="AG24" s="449" t="s">
        <v>1667</v>
      </c>
      <c r="AH24" s="423" t="s">
        <v>1668</v>
      </c>
      <c r="AI24" s="450">
        <v>8</v>
      </c>
      <c r="AJ24" s="450">
        <v>50</v>
      </c>
      <c r="AK24" s="450">
        <v>8</v>
      </c>
      <c r="AL24" s="451">
        <v>50</v>
      </c>
      <c r="AM24" s="452" t="s">
        <v>1669</v>
      </c>
      <c r="AN24" s="453"/>
      <c r="AO24" s="454"/>
      <c r="AP24" s="455" t="s">
        <v>1650</v>
      </c>
      <c r="AQ24" s="455" t="s">
        <v>1650</v>
      </c>
      <c r="AR24" s="281"/>
      <c r="AS24" s="281"/>
      <c r="AT24" s="281"/>
      <c r="AU24" s="281"/>
      <c r="AV24" s="281"/>
      <c r="AW24" s="281"/>
      <c r="AX24" s="282"/>
      <c r="AY24" s="280"/>
      <c r="AZ24" s="280"/>
      <c r="BA24" s="280"/>
      <c r="BB24" s="280"/>
      <c r="BD24" s="34" t="str">
        <f t="shared" si="6"/>
        <v>TL4225+AS150</v>
      </c>
      <c r="BE24" s="34" t="str">
        <f t="shared" si="7"/>
        <v>HX420LAD + Z100-M-B</v>
      </c>
      <c r="BF24" s="34">
        <f t="shared" si="8"/>
        <v>0</v>
      </c>
      <c r="BI24" s="10">
        <f t="shared" si="9"/>
        <v>2</v>
      </c>
      <c r="BJ24" s="11">
        <f t="shared" si="21"/>
        <v>2</v>
      </c>
      <c r="BK24" s="10">
        <f t="shared" si="10"/>
        <v>2</v>
      </c>
      <c r="BL24" s="10">
        <f t="shared" si="11"/>
        <v>2</v>
      </c>
      <c r="BM24" s="10">
        <f t="shared" si="12"/>
        <v>0</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str">
        <f t="shared" si="29"/>
        <v>39D 1978-2</v>
      </c>
      <c r="CG24" s="96" t="str">
        <f t="shared" si="30"/>
        <v>39D 1978-2</v>
      </c>
    </row>
    <row r="25" spans="1:85" ht="63" customHeight="1" thickBot="1">
      <c r="A25" s="1016"/>
      <c r="B25" s="7"/>
      <c r="C25" s="430">
        <v>7.1004300000000002</v>
      </c>
      <c r="D25" s="431" t="s">
        <v>1665</v>
      </c>
      <c r="E25" s="432" t="s">
        <v>1180</v>
      </c>
      <c r="F25" s="433" t="s">
        <v>1673</v>
      </c>
      <c r="G25" s="434" t="s">
        <v>1656</v>
      </c>
      <c r="H25" s="435" t="s">
        <v>1666</v>
      </c>
      <c r="I25" s="436" t="s">
        <v>1180</v>
      </c>
      <c r="J25" s="109">
        <v>146.38999999999999</v>
      </c>
      <c r="K25" s="108">
        <v>-372.7</v>
      </c>
      <c r="L25" s="106">
        <v>140.4</v>
      </c>
      <c r="M25" s="100" t="s">
        <v>1674</v>
      </c>
      <c r="N25" s="99" t="s">
        <v>1672</v>
      </c>
      <c r="O25" s="328" t="s">
        <v>1180</v>
      </c>
      <c r="P25" s="437">
        <v>2.1</v>
      </c>
      <c r="Q25" s="438" t="s">
        <v>1684</v>
      </c>
      <c r="R25" s="439" t="e">
        <f>IF(AND(ISBLANK(P25),ISTEXT(Q25)),"t1?",IF(AND(ISBLANK(Q25),ISBLANK(P25)),"",VLOOKUP(BD25,Materialliste!$A$2:$B$1477,2,FALSE)))</f>
        <v>#N/A</v>
      </c>
      <c r="S25" s="437">
        <v>1.5</v>
      </c>
      <c r="T25" s="441" t="s">
        <v>1687</v>
      </c>
      <c r="U25" s="440" t="e">
        <f>IF(AND(ISBLANK(S25),ISTEXT(T25)),"t2?",IF(AND(ISBLANK(T25),ISBLANK(S25)),"",VLOOKUP(BE25,Materialliste!$A$2:$B$1477,2,FALSE)))</f>
        <v>#N/A</v>
      </c>
      <c r="V25" s="437"/>
      <c r="W25" s="441"/>
      <c r="X25" s="456" t="s">
        <v>1667</v>
      </c>
      <c r="Y25" s="442" t="s">
        <v>1644</v>
      </c>
      <c r="Z25" s="443">
        <v>1.26</v>
      </c>
      <c r="AA25" s="444">
        <v>1.0287878787878788</v>
      </c>
      <c r="AB25" s="445">
        <v>2.7988418181818182</v>
      </c>
      <c r="AC25" s="446">
        <v>8.5237999999999996</v>
      </c>
      <c r="AD25" s="419">
        <v>369.56521739130437</v>
      </c>
      <c r="AE25" s="447">
        <v>2.7988418181818182</v>
      </c>
      <c r="AF25" s="448">
        <v>3.8340579025361627</v>
      </c>
      <c r="AG25" s="449" t="s">
        <v>1667</v>
      </c>
      <c r="AH25" s="423" t="s">
        <v>1668</v>
      </c>
      <c r="AI25" s="450">
        <v>8</v>
      </c>
      <c r="AJ25" s="450">
        <v>50</v>
      </c>
      <c r="AK25" s="450">
        <v>8</v>
      </c>
      <c r="AL25" s="451">
        <v>50</v>
      </c>
      <c r="AM25" s="452" t="s">
        <v>1669</v>
      </c>
      <c r="AN25" s="453"/>
      <c r="AO25" s="454"/>
      <c r="AP25" s="455" t="s">
        <v>1650</v>
      </c>
      <c r="AQ25" s="455" t="s">
        <v>1650</v>
      </c>
      <c r="AR25" s="281"/>
      <c r="AS25" s="281"/>
      <c r="AT25" s="281"/>
      <c r="AU25" s="281"/>
      <c r="AV25" s="281"/>
      <c r="AW25" s="281"/>
      <c r="AX25" s="282"/>
      <c r="AY25" s="280"/>
      <c r="AZ25" s="280"/>
      <c r="BA25" s="280"/>
      <c r="BB25" s="280"/>
      <c r="BD25" s="34" t="str">
        <f t="shared" si="6"/>
        <v>CR440Y780T-DP GI40/40</v>
      </c>
      <c r="BE25" s="34" t="str">
        <f t="shared" si="7"/>
        <v>HX420LAD+Z100MB</v>
      </c>
      <c r="BF25" s="34">
        <f t="shared" si="8"/>
        <v>0</v>
      </c>
      <c r="BI25" s="10">
        <f t="shared" si="9"/>
        <v>2.1</v>
      </c>
      <c r="BJ25" s="11">
        <f t="shared" si="21"/>
        <v>1.5</v>
      </c>
      <c r="BK25" s="10">
        <f t="shared" si="10"/>
        <v>2.1</v>
      </c>
      <c r="BL25" s="10">
        <f t="shared" si="11"/>
        <v>1.5</v>
      </c>
      <c r="BM25" s="10">
        <f t="shared" si="12"/>
        <v>0</v>
      </c>
      <c r="BN25" s="10"/>
      <c r="BO25" s="270" t="e">
        <f t="shared" si="22"/>
        <v>#N/A</v>
      </c>
      <c r="BP25" s="270" t="e">
        <f t="shared" si="23"/>
        <v>#N/A</v>
      </c>
      <c r="BQ25" s="270" t="e">
        <f t="shared" si="24"/>
        <v>#N/A</v>
      </c>
      <c r="BR25" s="270" t="e">
        <f t="shared" si="25"/>
        <v>#N/A</v>
      </c>
      <c r="BS25" s="270" t="b">
        <f t="shared" si="13"/>
        <v>0</v>
      </c>
      <c r="BT25" s="270">
        <f t="shared" si="26"/>
        <v>0</v>
      </c>
      <c r="BU25" s="270" t="e">
        <f t="shared" si="27"/>
        <v>#N/A</v>
      </c>
      <c r="BV25" s="270" t="e">
        <f t="shared" si="28"/>
        <v>#N/A</v>
      </c>
      <c r="BW25" s="12"/>
      <c r="CC25" s="96" t="str">
        <f t="shared" si="29"/>
        <v>39D 1978-2</v>
      </c>
      <c r="CG25" s="96" t="str">
        <f t="shared" si="30"/>
        <v>39D 1978-2</v>
      </c>
    </row>
    <row r="26" spans="1:85" ht="63" customHeight="1">
      <c r="A26" s="1016"/>
      <c r="B26" s="7"/>
      <c r="C26" s="332"/>
      <c r="D26" s="333"/>
      <c r="E26" s="334"/>
      <c r="F26" s="335"/>
      <c r="G26" s="336"/>
      <c r="H26" s="337"/>
      <c r="I26" s="338"/>
      <c r="J26" s="339"/>
      <c r="K26" s="340"/>
      <c r="L26" s="341"/>
      <c r="M26" s="342"/>
      <c r="N26" s="343"/>
      <c r="O26" s="344"/>
      <c r="P26" s="330"/>
      <c r="Q26" s="345"/>
      <c r="R26" s="346"/>
      <c r="S26" s="330"/>
      <c r="T26" s="345"/>
      <c r="U26" s="346"/>
      <c r="V26" s="330"/>
      <c r="W26" s="345"/>
      <c r="X26" s="347"/>
      <c r="Y26" s="348"/>
      <c r="Z26" s="349"/>
      <c r="AA26" s="350"/>
      <c r="AB26" s="351"/>
      <c r="AC26" s="352"/>
      <c r="AD26" s="353"/>
      <c r="AE26" s="354"/>
      <c r="AF26" s="355"/>
      <c r="AG26" s="356"/>
      <c r="AH26" s="357"/>
      <c r="AI26" s="358"/>
      <c r="AJ26" s="358"/>
      <c r="AK26" s="358"/>
      <c r="AL26" s="359"/>
      <c r="AM26" s="360"/>
      <c r="AN26" s="361"/>
      <c r="AO26" s="362"/>
      <c r="AP26" s="363"/>
      <c r="AQ26" s="363"/>
      <c r="AR26" s="281"/>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1016"/>
      <c r="B27" s="7"/>
      <c r="C27" s="364"/>
      <c r="D27" s="365"/>
      <c r="E27" s="366"/>
      <c r="F27" s="367"/>
      <c r="G27" s="368"/>
      <c r="H27" s="369"/>
      <c r="I27" s="370"/>
      <c r="J27" s="371"/>
      <c r="K27" s="372"/>
      <c r="L27" s="373"/>
      <c r="M27" s="374"/>
      <c r="N27" s="375"/>
      <c r="O27" s="376"/>
      <c r="P27" s="331"/>
      <c r="Q27" s="377"/>
      <c r="R27" s="378"/>
      <c r="S27" s="331"/>
      <c r="T27" s="377"/>
      <c r="U27" s="379"/>
      <c r="V27" s="331"/>
      <c r="W27" s="377"/>
      <c r="X27" s="379"/>
      <c r="Y27" s="380"/>
      <c r="Z27" s="381"/>
      <c r="AA27" s="382"/>
      <c r="AB27" s="383"/>
      <c r="AC27" s="384"/>
      <c r="AD27" s="353"/>
      <c r="AE27" s="385"/>
      <c r="AF27" s="386"/>
      <c r="AG27" s="387"/>
      <c r="AH27" s="357"/>
      <c r="AI27" s="388"/>
      <c r="AJ27" s="388"/>
      <c r="AK27" s="388"/>
      <c r="AL27" s="389"/>
      <c r="AM27" s="390"/>
      <c r="AN27" s="391"/>
      <c r="AO27" s="392"/>
      <c r="AP27" s="393"/>
      <c r="AQ27" s="393"/>
      <c r="AR27" s="281"/>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1016"/>
      <c r="B28" s="7"/>
      <c r="C28" s="364"/>
      <c r="D28" s="365"/>
      <c r="E28" s="366"/>
      <c r="F28" s="367"/>
      <c r="G28" s="368"/>
      <c r="H28" s="369"/>
      <c r="I28" s="370"/>
      <c r="J28" s="371"/>
      <c r="K28" s="372"/>
      <c r="L28" s="373"/>
      <c r="M28" s="374"/>
      <c r="N28" s="375"/>
      <c r="O28" s="376"/>
      <c r="P28" s="331"/>
      <c r="Q28" s="377"/>
      <c r="R28" s="394"/>
      <c r="S28" s="331"/>
      <c r="T28" s="377"/>
      <c r="U28" s="394"/>
      <c r="V28" s="331"/>
      <c r="W28" s="377"/>
      <c r="X28" s="394"/>
      <c r="Y28" s="380"/>
      <c r="Z28" s="381"/>
      <c r="AA28" s="382"/>
      <c r="AB28" s="383"/>
      <c r="AC28" s="384"/>
      <c r="AD28" s="353"/>
      <c r="AE28" s="385"/>
      <c r="AF28" s="386"/>
      <c r="AG28" s="387"/>
      <c r="AH28" s="357"/>
      <c r="AI28" s="388"/>
      <c r="AJ28" s="388"/>
      <c r="AK28" s="388"/>
      <c r="AL28" s="389"/>
      <c r="AM28" s="390"/>
      <c r="AN28" s="391"/>
      <c r="AO28" s="392"/>
      <c r="AP28" s="393"/>
      <c r="AQ28" s="393"/>
      <c r="AR28" s="281"/>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1016"/>
      <c r="B29" s="7"/>
      <c r="C29" s="332"/>
      <c r="D29" s="333"/>
      <c r="E29" s="334"/>
      <c r="F29" s="335"/>
      <c r="G29" s="336"/>
      <c r="H29" s="337"/>
      <c r="I29" s="338"/>
      <c r="J29" s="339"/>
      <c r="K29" s="340"/>
      <c r="L29" s="341"/>
      <c r="M29" s="342"/>
      <c r="N29" s="343"/>
      <c r="O29" s="344"/>
      <c r="P29" s="330"/>
      <c r="Q29" s="345"/>
      <c r="R29" s="346"/>
      <c r="S29" s="330"/>
      <c r="T29" s="345"/>
      <c r="U29" s="346"/>
      <c r="V29" s="330"/>
      <c r="W29" s="345"/>
      <c r="X29" s="347"/>
      <c r="Y29" s="348"/>
      <c r="Z29" s="349"/>
      <c r="AA29" s="350"/>
      <c r="AB29" s="351"/>
      <c r="AC29" s="352"/>
      <c r="AD29" s="353"/>
      <c r="AE29" s="354"/>
      <c r="AF29" s="355"/>
      <c r="AG29" s="356"/>
      <c r="AH29" s="357"/>
      <c r="AI29" s="358"/>
      <c r="AJ29" s="358"/>
      <c r="AK29" s="358"/>
      <c r="AL29" s="359"/>
      <c r="AM29" s="360"/>
      <c r="AN29" s="361"/>
      <c r="AO29" s="362"/>
      <c r="AP29" s="363"/>
      <c r="AQ29" s="363"/>
      <c r="AR29" s="281"/>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1016"/>
      <c r="B30" s="7"/>
      <c r="C30" s="332"/>
      <c r="D30" s="395"/>
      <c r="E30" s="366"/>
      <c r="F30" s="367"/>
      <c r="G30" s="368"/>
      <c r="H30" s="369"/>
      <c r="I30" s="370"/>
      <c r="J30" s="396"/>
      <c r="K30" s="397"/>
      <c r="L30" s="398"/>
      <c r="M30" s="399"/>
      <c r="N30" s="400"/>
      <c r="O30" s="401"/>
      <c r="P30" s="330"/>
      <c r="Q30" s="345"/>
      <c r="R30" s="346"/>
      <c r="S30" s="330"/>
      <c r="T30" s="345"/>
      <c r="U30" s="346"/>
      <c r="V30" s="331"/>
      <c r="W30" s="377"/>
      <c r="X30" s="379"/>
      <c r="Y30" s="348"/>
      <c r="Z30" s="349"/>
      <c r="AA30" s="350"/>
      <c r="AB30" s="351"/>
      <c r="AC30" s="352"/>
      <c r="AD30" s="353"/>
      <c r="AE30" s="354"/>
      <c r="AF30" s="355"/>
      <c r="AG30" s="356"/>
      <c r="AH30" s="357"/>
      <c r="AI30" s="358"/>
      <c r="AJ30" s="358"/>
      <c r="AK30" s="358"/>
      <c r="AL30" s="359"/>
      <c r="AM30" s="360"/>
      <c r="AN30" s="361"/>
      <c r="AO30" s="362"/>
      <c r="AP30" s="363"/>
      <c r="AQ30" s="363"/>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1016"/>
      <c r="B31" s="7"/>
      <c r="C31" s="332"/>
      <c r="D31" s="395"/>
      <c r="E31" s="366"/>
      <c r="F31" s="367" t="s">
        <v>1658</v>
      </c>
      <c r="G31" s="368"/>
      <c r="H31" s="369"/>
      <c r="I31" s="370"/>
      <c r="J31" s="396"/>
      <c r="K31" s="397"/>
      <c r="L31" s="398"/>
      <c r="M31" s="399"/>
      <c r="N31" s="400"/>
      <c r="O31" s="401"/>
      <c r="P31" s="330"/>
      <c r="Q31" s="345"/>
      <c r="R31" s="346"/>
      <c r="S31" s="330"/>
      <c r="T31" s="345"/>
      <c r="U31" s="346"/>
      <c r="V31" s="331"/>
      <c r="W31" s="377"/>
      <c r="X31" s="379"/>
      <c r="Y31" s="348"/>
      <c r="Z31" s="349"/>
      <c r="AA31" s="350"/>
      <c r="AB31" s="351"/>
      <c r="AC31" s="352"/>
      <c r="AD31" s="353"/>
      <c r="AE31" s="354"/>
      <c r="AF31" s="355"/>
      <c r="AG31" s="356"/>
      <c r="AH31" s="357"/>
      <c r="AI31" s="358"/>
      <c r="AJ31" s="358"/>
      <c r="AK31" s="358"/>
      <c r="AL31" s="359"/>
      <c r="AM31" s="360"/>
      <c r="AN31" s="361"/>
      <c r="AO31" s="362"/>
      <c r="AP31" s="363"/>
      <c r="AQ31" s="363"/>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1016"/>
      <c r="B32" s="7"/>
      <c r="C32" s="364"/>
      <c r="D32" s="365"/>
      <c r="E32" s="366"/>
      <c r="F32" s="367"/>
      <c r="G32" s="368"/>
      <c r="H32" s="369"/>
      <c r="I32" s="370"/>
      <c r="J32" s="371"/>
      <c r="K32" s="372"/>
      <c r="L32" s="373"/>
      <c r="M32" s="374"/>
      <c r="N32" s="375"/>
      <c r="O32" s="376"/>
      <c r="P32" s="331"/>
      <c r="Q32" s="377"/>
      <c r="R32" s="378"/>
      <c r="S32" s="331"/>
      <c r="T32" s="377"/>
      <c r="U32" s="379"/>
      <c r="V32" s="331"/>
      <c r="W32" s="377"/>
      <c r="X32" s="379"/>
      <c r="Y32" s="380"/>
      <c r="Z32" s="381"/>
      <c r="AA32" s="382"/>
      <c r="AB32" s="383"/>
      <c r="AC32" s="384"/>
      <c r="AD32" s="353"/>
      <c r="AE32" s="385"/>
      <c r="AF32" s="386"/>
      <c r="AG32" s="387"/>
      <c r="AH32" s="357"/>
      <c r="AI32" s="388"/>
      <c r="AJ32" s="388"/>
      <c r="AK32" s="388"/>
      <c r="AL32" s="389"/>
      <c r="AM32" s="390"/>
      <c r="AN32" s="391"/>
      <c r="AO32" s="392"/>
      <c r="AP32" s="393"/>
      <c r="AQ32" s="393"/>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1016"/>
      <c r="B33" s="7"/>
      <c r="C33" s="364"/>
      <c r="D33" s="365"/>
      <c r="E33" s="366"/>
      <c r="F33" s="367"/>
      <c r="G33" s="368"/>
      <c r="H33" s="369"/>
      <c r="I33" s="370"/>
      <c r="J33" s="371"/>
      <c r="K33" s="372"/>
      <c r="L33" s="373"/>
      <c r="M33" s="374"/>
      <c r="N33" s="375"/>
      <c r="O33" s="376"/>
      <c r="P33" s="331"/>
      <c r="Q33" s="377"/>
      <c r="R33" s="394"/>
      <c r="S33" s="331"/>
      <c r="T33" s="377"/>
      <c r="U33" s="394"/>
      <c r="V33" s="331"/>
      <c r="W33" s="377"/>
      <c r="X33" s="394"/>
      <c r="Y33" s="380"/>
      <c r="Z33" s="381"/>
      <c r="AA33" s="382"/>
      <c r="AB33" s="383"/>
      <c r="AC33" s="384"/>
      <c r="AD33" s="353"/>
      <c r="AE33" s="385"/>
      <c r="AF33" s="386"/>
      <c r="AG33" s="387"/>
      <c r="AH33" s="357"/>
      <c r="AI33" s="388"/>
      <c r="AJ33" s="388"/>
      <c r="AK33" s="388"/>
      <c r="AL33" s="389"/>
      <c r="AM33" s="390"/>
      <c r="AN33" s="391"/>
      <c r="AO33" s="392"/>
      <c r="AP33" s="393"/>
      <c r="AQ33" s="393"/>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1016"/>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c r="AA34" s="132"/>
      <c r="AB34" s="133"/>
      <c r="AC34" s="135"/>
      <c r="AD34" s="136"/>
      <c r="AE34" s="137"/>
      <c r="AF34" s="138"/>
      <c r="AG34" s="139" t="str">
        <f t="shared" si="16"/>
        <v/>
      </c>
      <c r="AH34" s="134" t="str">
        <f t="shared" si="5"/>
        <v/>
      </c>
      <c r="AI34" s="140" t="str">
        <f t="shared" si="17"/>
        <v/>
      </c>
      <c r="AJ34" s="140" t="str">
        <f t="shared" si="18"/>
        <v/>
      </c>
      <c r="AK34" s="140" t="str">
        <f t="shared" si="19"/>
        <v/>
      </c>
      <c r="AL34" s="141" t="str">
        <f t="shared" si="20"/>
        <v/>
      </c>
      <c r="AM34" s="868"/>
      <c r="AN34" s="869"/>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1016"/>
      <c r="B35" s="7"/>
      <c r="C35" s="870" t="str">
        <f>IF($E$6="DE","Zylinderdurchmesser [mm]                 (nur für SPZ)","Cylinder Diameter (mm)              (only for SPZ)")</f>
        <v>Zylinderdurchmesser [mm]                 (nur für SPZ)</v>
      </c>
      <c r="D35" s="871"/>
      <c r="E35" s="874"/>
      <c r="F35" s="876" t="str">
        <f>IF($E$6="DE","Schweißkraft min. [N]","Welding Force min. [N]")</f>
        <v>Schweißkraft min. [N]</v>
      </c>
      <c r="G35" s="877"/>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876" t="str">
        <f>IF($E$6="DE","Ausladung [mm]","Distance to Tip [mm]")</f>
        <v>Ausladung [mm]</v>
      </c>
      <c r="J35" s="878"/>
      <c r="K35" s="877"/>
      <c r="L35" s="64">
        <v>752</v>
      </c>
      <c r="M35" s="876" t="str">
        <f>IF($E$6="DE","Zylinderkraft min. [N]","Cyl. Force min. [N]")</f>
        <v>Zylinderkraft min. [N]</v>
      </c>
      <c r="N35" s="877"/>
      <c r="O35" s="277" t="e">
        <f>IF(G8="J",(H35/L37)*2,H35/L37)</f>
        <v>#VALUE!</v>
      </c>
      <c r="P35" s="876" t="str">
        <f>IF($E$6="DE","Zylinderdruck min. [bar]","Cyl. Pressure min. [bar]")</f>
        <v>Zylinderdruck min. [bar]</v>
      </c>
      <c r="Q35" s="877"/>
      <c r="R35" s="879" t="e">
        <f>10*O35/(H37*E37)</f>
        <v>#VALUE!</v>
      </c>
      <c r="S35" s="880"/>
      <c r="T35" s="881" t="str">
        <f>IF(AND($E$6="DE",G6="RZ"),"Ergebnis Zangen-/Motorauslegung",IF(AND($E$6="ENG",G6="RZ"),"Result Gun/Motor Design",IF(AND($E$6="DE",G6="SPZ"),"Ergebnis zwischen 2,5 bar und 10 bar:",IF(AND($E$6="ENG",G6="SPZ"),"Result between 2,5 bar and 10 bar:","-"))))</f>
        <v>Ergebnis zwischen 2,5 bar und 10 bar:</v>
      </c>
      <c r="U35" s="882"/>
      <c r="V35" s="882"/>
      <c r="W35" s="883"/>
      <c r="X35" s="884" t="str">
        <f>IF($E$6="DE","benötigte Elektrodenkappen für Schweißzange","required Electrode Caps for Gun")</f>
        <v>benötigte Elektrodenkappen für Schweißzange</v>
      </c>
      <c r="Y35" s="885"/>
      <c r="Z35" s="886"/>
      <c r="AA35" s="889" t="str">
        <f>IF($E$6="DE","benötigtes Fräsmesser","required Tip Dresser")</f>
        <v>benötigtes Fräsmesser</v>
      </c>
      <c r="AB35" s="890"/>
      <c r="AC35" s="891"/>
      <c r="AD35" s="890"/>
      <c r="AE35" s="892" t="str">
        <f>IF(AND(AN36="JA",COUNTIF(BO19:BO34,TRUE)=0),"kein TL4225 außen vorhanden, bitte auf 'Nein' zurückschalten / No TL4225 outside detected, please switch back to 'Nein' ","")</f>
        <v/>
      </c>
      <c r="AF35" s="893"/>
      <c r="AG35" s="893"/>
      <c r="AH35" s="893"/>
      <c r="AI35" s="893"/>
      <c r="AJ35" s="893"/>
      <c r="AK35" s="893"/>
      <c r="AL35" s="893"/>
      <c r="AM35" s="893"/>
      <c r="AN35" s="894"/>
      <c r="AO35" s="849" t="str">
        <f>IF($E$6="DE","Legende der Indizes:","Legend of Indices")</f>
        <v>Legende der Indizes:</v>
      </c>
      <c r="AP35" s="850"/>
      <c r="AQ35" s="850"/>
      <c r="AR35" s="850"/>
      <c r="AS35" s="850"/>
      <c r="AT35" s="850"/>
      <c r="AU35" s="850"/>
      <c r="AV35" s="850"/>
      <c r="AW35" s="850"/>
      <c r="AX35" s="851"/>
      <c r="AY35" s="280"/>
      <c r="AZ35" s="280"/>
      <c r="BA35" s="280"/>
      <c r="BB35" s="280"/>
    </row>
    <row r="36" spans="1:85" ht="54.75" customHeight="1" thickBot="1">
      <c r="A36" s="1016"/>
      <c r="B36" s="7"/>
      <c r="C36" s="872"/>
      <c r="D36" s="873"/>
      <c r="E36" s="875"/>
      <c r="F36" s="852" t="str">
        <f>IF($E$6="DE","Schweißkraft max. [N]","Welding Force max. [N]")</f>
        <v>Schweißkraft max. [N]</v>
      </c>
      <c r="G36" s="853"/>
      <c r="H36" s="126" t="e">
        <f>IF(AND(AN36="Ja",ISTEXT(AG38),ISNUMBER(AL38)),(IF(ROUNDUP(MAX(AE19:AE34)*2300,-3)&gt;5000,(ROUNDUP(MAX(AE19:AE34)*2300,-3)/2),2500)),(IF(ROUNDUP(MAX(AB19:AB34)*2200,-3)&gt;5000,(ROUNDUP(MAX(AB19:AB34)*2200,-3)/2),2500)))</f>
        <v>#VALUE!</v>
      </c>
      <c r="I36" s="852" t="str">
        <f>IF(G6="RZ",IF($E$6="DE","Abstand Motor [mm]","Distance to Motor [mm]"),IF($E$6="DE","Abstand Zylinder [mm]","Distance to Cylinder [mm]"))</f>
        <v>Abstand Zylinder [mm]</v>
      </c>
      <c r="J36" s="854"/>
      <c r="K36" s="853"/>
      <c r="L36" s="65">
        <v>330</v>
      </c>
      <c r="M36" s="828" t="str">
        <f>IF($E$6="DE","Zylinderkraft max.[N]","Cyl. Force max.[N]")</f>
        <v>Zylinderkraft max.[N]</v>
      </c>
      <c r="N36" s="829"/>
      <c r="O36" s="155" t="e">
        <f>IF(G8="J",(H36/L37)*2,H36/L37)</f>
        <v>#VALUE!</v>
      </c>
      <c r="P36" s="828" t="str">
        <f>IF($E$6="DE","Zylinderdruck max. [bar]","Cyl. Pressure max. [bar]")</f>
        <v>Zylinderdruck max. [bar]</v>
      </c>
      <c r="Q36" s="829"/>
      <c r="R36" s="855" t="e">
        <f>10*O36/(H37*E37)</f>
        <v>#VALUE!</v>
      </c>
      <c r="S36" s="856"/>
      <c r="T36" s="857" t="e">
        <f>IF(G6="RZ",BD40,IF(G6="SPZ",BD37,IF(G6="-","Zangentyp/Guntype?")))</f>
        <v>#VALUE!</v>
      </c>
      <c r="U36" s="858"/>
      <c r="V36" s="858"/>
      <c r="W36" s="859"/>
      <c r="X36" s="887"/>
      <c r="Y36" s="887"/>
      <c r="Z36" s="888"/>
      <c r="AA36" s="115" t="s">
        <v>1170</v>
      </c>
      <c r="AB36" s="116" t="s">
        <v>1172</v>
      </c>
      <c r="AC36" s="116" t="s">
        <v>1171</v>
      </c>
      <c r="AD36" s="117" t="s">
        <v>1173</v>
      </c>
      <c r="AE36" s="860"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61"/>
      <c r="AG36" s="861"/>
      <c r="AH36" s="861"/>
      <c r="AI36" s="861"/>
      <c r="AJ36" s="861"/>
      <c r="AK36" s="861"/>
      <c r="AL36" s="861"/>
      <c r="AM36" s="861"/>
      <c r="AN36" s="817" t="s">
        <v>1258</v>
      </c>
      <c r="AO36" s="819" t="s">
        <v>1648</v>
      </c>
      <c r="AP36" s="820"/>
      <c r="AQ36" s="820"/>
      <c r="AR36" s="820"/>
      <c r="AS36" s="820"/>
      <c r="AT36" s="820"/>
      <c r="AU36" s="820"/>
      <c r="AV36" s="820"/>
      <c r="AW36" s="820"/>
      <c r="AX36" s="821"/>
      <c r="AY36" s="280"/>
      <c r="AZ36" s="280"/>
      <c r="BA36" s="280"/>
      <c r="BB36" s="280"/>
      <c r="BD36" s="795" t="s">
        <v>1181</v>
      </c>
      <c r="BE36" s="796"/>
    </row>
    <row r="37" spans="1:85" ht="64.5" customHeight="1" thickBot="1">
      <c r="A37" s="1016"/>
      <c r="B37" s="7"/>
      <c r="C37" s="828" t="str">
        <f>IF($E$6="DE","Zylinderwirkungsgrad                           (nur für SPZ)","Cylinder Efficiency                                  (only for SPZ)")</f>
        <v>Zylinderwirkungsgrad                           (nur für SPZ)</v>
      </c>
      <c r="D37" s="829"/>
      <c r="E37" s="155">
        <v>0.95</v>
      </c>
      <c r="F37" s="828" t="str">
        <f>IF($E$6="DE","Zylinderfläche [mm²] (nur für SPZ)","Cylinder Surface [mm²] (only for SPZ)")</f>
        <v>Zylinderfläche [mm²] (nur für SPZ)</v>
      </c>
      <c r="G37" s="829"/>
      <c r="H37" s="279">
        <f>IF(E36="T",2*PI()/4*POWER(E35,2),PI()/4*POWER(E35,2))</f>
        <v>0</v>
      </c>
      <c r="I37" s="830" t="str">
        <f>IF($E$6="DE","Ausladung/ Abstand","Leverage Ratio")</f>
        <v>Ausladung/ Abstand</v>
      </c>
      <c r="J37" s="831"/>
      <c r="K37" s="832"/>
      <c r="L37" s="124">
        <f>IF(G19="X",L36/L35,1)</f>
        <v>1</v>
      </c>
      <c r="M37" s="833" t="str">
        <f>IF($E$6="DE","notwendige Motorkraft min. [N]","requiered Motor Force min. [N]")</f>
        <v>notwendige Motorkraft min. [N]</v>
      </c>
      <c r="N37" s="834"/>
      <c r="O37" s="294" t="e">
        <f>IF(G8="J",(H35/L37)*2,H35/L37)</f>
        <v>#VALUE!</v>
      </c>
      <c r="P37" s="833" t="str">
        <f>IF($E$6="DE","erreichbare Motorkraft min. [N]","feasible Motor Force min. [N]")</f>
        <v>erreichbare Motorkraft min. [N]</v>
      </c>
      <c r="Q37" s="834"/>
      <c r="R37" s="835">
        <f>IF(ISNA(VLOOKUP(CONCATENATE(E38,H38,L38),Motordaten!D4:H18,3,FALSE)),"",VLOOKUP(CONCATENATE(E38,H38,L38),Motordaten!D4:H18,3,FALSE))</f>
        <v>2000</v>
      </c>
      <c r="S37" s="836"/>
      <c r="T37" s="837" t="e">
        <f>IF(G6="RZ",BD41,IF(G6="SPZ",BD38," "))</f>
        <v>#VALUE!</v>
      </c>
      <c r="U37" s="838"/>
      <c r="V37" s="838"/>
      <c r="W37" s="839"/>
      <c r="X37" s="803" t="e">
        <f t="array" ref="X37">IF(ISBLANK(AH8),IF(OR(EXACT("39D 1978-1 !",AH19:AH34)),"39D 1978-1 !",(IF(OR(EXACT("59D 388 863 !",AH19:AH34)),"59D 388 863 !",(IF(OR(EXACT("59D 358 170 !",AH19:AH34)),"59D 358 170 !",IF(OR(EXACT("39D 1979-2 !",AH19:AH34)),"39D 1979-2 !","39D 1978-2")))))),AH8)</f>
        <v>#VALUE!</v>
      </c>
      <c r="Y37" s="803"/>
      <c r="Z37" s="804"/>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862"/>
      <c r="AF37" s="863"/>
      <c r="AG37" s="863"/>
      <c r="AH37" s="863"/>
      <c r="AI37" s="863"/>
      <c r="AJ37" s="863"/>
      <c r="AK37" s="863"/>
      <c r="AL37" s="863"/>
      <c r="AM37" s="863"/>
      <c r="AN37" s="818"/>
      <c r="AO37" s="822"/>
      <c r="AP37" s="823"/>
      <c r="AQ37" s="823"/>
      <c r="AR37" s="823"/>
      <c r="AS37" s="823"/>
      <c r="AT37" s="823"/>
      <c r="AU37" s="823"/>
      <c r="AV37" s="823"/>
      <c r="AW37" s="823"/>
      <c r="AX37" s="824"/>
      <c r="AY37" s="280"/>
      <c r="AZ37" s="280"/>
      <c r="BA37" s="280"/>
      <c r="BB37" s="280"/>
      <c r="BD37" s="770"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71"/>
    </row>
    <row r="38" spans="1:85" ht="54.75" customHeight="1" thickBot="1">
      <c r="A38" s="1016"/>
      <c r="B38" s="7"/>
      <c r="C38" s="805" t="str">
        <f>IF($E$6="DE","Roboterhersteller                                          (nur für RZ)","Robot Supplier                                  (only for RZ)")</f>
        <v>Roboterhersteller                                          (nur für RZ)</v>
      </c>
      <c r="D38" s="806"/>
      <c r="E38" s="271" t="s">
        <v>1137</v>
      </c>
      <c r="F38" s="805" t="str">
        <f>IF($E$6="DE","Zangengrundkörper               (nur für RZ)","Weld Gun Basic Body (only for RZ)")</f>
        <v>Zangengrundkörper               (nur für RZ)</v>
      </c>
      <c r="G38" s="806"/>
      <c r="H38" s="271" t="s">
        <v>1147</v>
      </c>
      <c r="I38" s="807" t="str">
        <f>IF($E$6="DE","Motorhersteller                           (nur für RZ)","Motor Supplier                        (only for RZ)")</f>
        <v>Motorhersteller                           (nur für RZ)</v>
      </c>
      <c r="J38" s="808"/>
      <c r="K38" s="809"/>
      <c r="L38" s="271" t="s">
        <v>1131</v>
      </c>
      <c r="M38" s="810" t="str">
        <f>IF($E$6="DE","notwendige Motorkraft max. [N]","requiered Motor Force max. [N]")</f>
        <v>notwendige Motorkraft max. [N]</v>
      </c>
      <c r="N38" s="811"/>
      <c r="O38" s="329" t="e">
        <f>IF(G8="J",(H36/L37)*2,H36/L37)</f>
        <v>#VALUE!</v>
      </c>
      <c r="P38" s="810" t="str">
        <f>IF($E$6="DE","erreichbare Motorkraft max. [N]"," feasible  Motor Force max. [N]")</f>
        <v>erreichbare Motorkraft max. [N]</v>
      </c>
      <c r="Q38" s="811"/>
      <c r="R38" s="812">
        <f>IF(ISNA(VLOOKUP(CONCATENATE(E38,H38,L38),Motordaten!D4:H18,4,FALSE)),"",VLOOKUP(CONCATENATE(E38,H38,L38),Motordaten!D4:H18,4,FALSE))</f>
        <v>12000</v>
      </c>
      <c r="S38" s="813"/>
      <c r="T38" s="814" t="str">
        <f>IF($E$6="DE","Max.Elektrodenkraft lt.Zeichnung[N]","Max.Electrode-Force acc.to Drw.[N]")</f>
        <v>Max.Elektrodenkraft lt.Zeichnung[N]</v>
      </c>
      <c r="U38" s="815"/>
      <c r="V38" s="816"/>
      <c r="W38" s="66">
        <v>5000</v>
      </c>
      <c r="X38" s="762" t="str">
        <f>IF($E$6="DE","Motorbezeichnung:","Designation of Motor")</f>
        <v>Motorbezeichnung:</v>
      </c>
      <c r="Y38" s="763"/>
      <c r="Z38" s="764"/>
      <c r="AA38" s="762" t="str">
        <f>VLOOKUP(CONCATENATE(E38,H38,L38),Motordaten!D4:H18,5,FALSE)</f>
        <v>Fanuc X100 V1.0</v>
      </c>
      <c r="AB38" s="763"/>
      <c r="AC38" s="763"/>
      <c r="AD38" s="764"/>
      <c r="AE38" s="765" t="str">
        <f>IF(E6="DE", "Name:                         (Abteilung)","Name                        (Dept.)")</f>
        <v>Name:                         (Abteilung)</v>
      </c>
      <c r="AF38" s="766"/>
      <c r="AG38" s="767"/>
      <c r="AH38" s="768"/>
      <c r="AI38" s="769"/>
      <c r="AJ38" s="864" t="str">
        <f>IF(E6="DE", "Datum","Date")</f>
        <v>Datum</v>
      </c>
      <c r="AK38" s="766"/>
      <c r="AL38" s="865"/>
      <c r="AM38" s="866"/>
      <c r="AN38" s="867"/>
      <c r="AO38" s="822"/>
      <c r="AP38" s="823"/>
      <c r="AQ38" s="823"/>
      <c r="AR38" s="823"/>
      <c r="AS38" s="823"/>
      <c r="AT38" s="823"/>
      <c r="AU38" s="823"/>
      <c r="AV38" s="823"/>
      <c r="AW38" s="823"/>
      <c r="AX38" s="824"/>
      <c r="AY38" s="280"/>
      <c r="AZ38" s="280"/>
      <c r="BA38" s="280"/>
      <c r="BB38" s="280"/>
      <c r="BD38" s="770" t="e">
        <f>IF($E$6="DE",IF(AND(R35&gt;2.5,R35&lt;10,R36&gt;2.5,R36&lt;10)," ","Rücksprache Prozessmethodik"),IF(AND(R35&gt;2.5,R35&lt;10,R36&gt;2.5,R36&lt;10)," ","consult Process Methodology"))</f>
        <v>#VALUE!</v>
      </c>
      <c r="BE38" s="771"/>
    </row>
    <row r="39" spans="1:85" ht="30" customHeight="1">
      <c r="A39" s="1016"/>
      <c r="B39" s="7"/>
      <c r="C39" s="840"/>
      <c r="D39" s="841"/>
      <c r="E39" s="841"/>
      <c r="F39" s="841"/>
      <c r="G39" s="844" t="s">
        <v>0</v>
      </c>
      <c r="H39" s="845"/>
      <c r="I39" s="845"/>
      <c r="J39" s="846"/>
      <c r="K39" s="847" t="s">
        <v>12</v>
      </c>
      <c r="L39" s="848"/>
      <c r="M39" s="753" t="str">
        <f>IF(ISBLANK('Blatt 0'!O55),"Blatt 0!",'Blatt 0'!O55)</f>
        <v>1250</v>
      </c>
      <c r="N39" s="754"/>
      <c r="O39" s="757" t="s">
        <v>13</v>
      </c>
      <c r="P39" s="760" t="s">
        <v>2</v>
      </c>
      <c r="Q39" s="761"/>
      <c r="R39" s="789" t="str">
        <f>IF(ISBLANK('Blatt 0'!X55),"Blatt 0!",'Blatt 0'!X55)</f>
        <v>GME</v>
      </c>
      <c r="S39" s="790"/>
      <c r="T39" s="790"/>
      <c r="U39" s="790"/>
      <c r="V39" s="791"/>
      <c r="W39" s="127" t="s">
        <v>39</v>
      </c>
      <c r="X39" s="792">
        <f>IF(ISBLANK('Blatt 0'!AB55),"Blatt 0!",'Blatt 0'!AB55)</f>
        <v>6</v>
      </c>
      <c r="Y39" s="793"/>
      <c r="Z39" s="794"/>
      <c r="AA39" s="295"/>
      <c r="AB39" s="150"/>
      <c r="AC39" s="143"/>
      <c r="AD39" s="144"/>
      <c r="AE39" s="144"/>
      <c r="AF39" s="275"/>
      <c r="AG39" s="275"/>
      <c r="AH39" s="144"/>
      <c r="AI39" s="144"/>
      <c r="AJ39" s="144"/>
      <c r="AK39" s="160"/>
      <c r="AL39" s="276"/>
      <c r="AM39" s="118" t="s">
        <v>40</v>
      </c>
      <c r="AN39" s="119" t="s">
        <v>5</v>
      </c>
      <c r="AO39" s="822"/>
      <c r="AP39" s="823"/>
      <c r="AQ39" s="823"/>
      <c r="AR39" s="823"/>
      <c r="AS39" s="823"/>
      <c r="AT39" s="823"/>
      <c r="AU39" s="823"/>
      <c r="AV39" s="823"/>
      <c r="AW39" s="823"/>
      <c r="AX39" s="824"/>
      <c r="AY39" s="280"/>
      <c r="AZ39" s="280"/>
      <c r="BA39" s="280"/>
      <c r="BB39" s="280"/>
      <c r="BD39" s="795" t="s">
        <v>1182</v>
      </c>
      <c r="BE39" s="796"/>
      <c r="BF39" s="5"/>
      <c r="BG39" s="5"/>
      <c r="BH39" s="5"/>
      <c r="BI39" s="5"/>
      <c r="BJ39" s="5"/>
      <c r="BK39" s="5"/>
      <c r="BL39" s="5"/>
    </row>
    <row r="40" spans="1:85" ht="30" customHeight="1">
      <c r="A40" s="1016"/>
      <c r="B40" s="7"/>
      <c r="C40" s="840"/>
      <c r="D40" s="841"/>
      <c r="E40" s="841"/>
      <c r="F40" s="841"/>
      <c r="G40" s="797" t="s">
        <v>31</v>
      </c>
      <c r="H40" s="798"/>
      <c r="I40" s="798"/>
      <c r="J40" s="799"/>
      <c r="K40" s="723" t="s">
        <v>15</v>
      </c>
      <c r="L40" s="724"/>
      <c r="M40" s="755"/>
      <c r="N40" s="756"/>
      <c r="O40" s="758"/>
      <c r="P40" s="729" t="s">
        <v>19</v>
      </c>
      <c r="Q40" s="730"/>
      <c r="R40" s="734"/>
      <c r="S40" s="735"/>
      <c r="T40" s="735"/>
      <c r="U40" s="735"/>
      <c r="V40" s="736"/>
      <c r="W40" s="128" t="s">
        <v>41</v>
      </c>
      <c r="X40" s="740"/>
      <c r="Y40" s="741"/>
      <c r="Z40" s="742"/>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822"/>
      <c r="AP40" s="823"/>
      <c r="AQ40" s="823"/>
      <c r="AR40" s="823"/>
      <c r="AS40" s="823"/>
      <c r="AT40" s="823"/>
      <c r="AU40" s="823"/>
      <c r="AV40" s="823"/>
      <c r="AW40" s="823"/>
      <c r="AX40" s="824"/>
      <c r="AY40" s="280"/>
      <c r="AZ40" s="280"/>
      <c r="BA40" s="280"/>
      <c r="BB40" s="280"/>
      <c r="BD40" s="770"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71"/>
      <c r="BF40" s="49"/>
      <c r="BG40" s="49"/>
      <c r="BH40" s="5"/>
      <c r="BI40" s="5"/>
      <c r="BJ40" s="5"/>
      <c r="BK40" s="5"/>
      <c r="BL40" s="5"/>
    </row>
    <row r="41" spans="1:85" ht="30" customHeight="1">
      <c r="A41" s="1016"/>
      <c r="B41" s="7"/>
      <c r="C41" s="840"/>
      <c r="D41" s="841"/>
      <c r="E41" s="841"/>
      <c r="F41" s="841"/>
      <c r="G41" s="800"/>
      <c r="H41" s="801"/>
      <c r="I41" s="801"/>
      <c r="J41" s="802"/>
      <c r="K41" s="723" t="s">
        <v>1</v>
      </c>
      <c r="L41" s="724"/>
      <c r="M41" s="725" t="str">
        <f>IF(ISBLANK('Blatt 0'!O57),"Blatt 0!",'Blatt 0'!O57)</f>
        <v>KJLTVL111250</v>
      </c>
      <c r="N41" s="726"/>
      <c r="O41" s="759"/>
      <c r="P41" s="729" t="s">
        <v>7</v>
      </c>
      <c r="Q41" s="730"/>
      <c r="R41" s="731" t="str">
        <f>IF(ISBLANK('Blatt 0'!X57),"Blatt 0!",'Blatt 0'!X57)</f>
        <v>GME</v>
      </c>
      <c r="S41" s="732"/>
      <c r="T41" s="732"/>
      <c r="U41" s="732"/>
      <c r="V41" s="733"/>
      <c r="W41" s="128" t="s">
        <v>8</v>
      </c>
      <c r="X41" s="747">
        <f>IF(ISBLANK('Blatt 0'!AA57),"Blatt 0!",'Blatt 0'!AA57)</f>
        <v>45014</v>
      </c>
      <c r="Y41" s="748"/>
      <c r="Z41" s="749"/>
      <c r="AA41" s="151"/>
      <c r="AB41" s="152"/>
      <c r="AC41" s="147"/>
      <c r="AD41" s="158"/>
      <c r="AE41" s="158"/>
      <c r="AF41" s="158"/>
      <c r="AG41" s="158"/>
      <c r="AH41" s="158"/>
      <c r="AI41" s="158"/>
      <c r="AJ41" s="158"/>
      <c r="AK41" s="158"/>
      <c r="AL41" s="159"/>
      <c r="AM41" s="122"/>
      <c r="AN41" s="123"/>
      <c r="AO41" s="822"/>
      <c r="AP41" s="823"/>
      <c r="AQ41" s="823"/>
      <c r="AR41" s="823"/>
      <c r="AS41" s="823"/>
      <c r="AT41" s="823"/>
      <c r="AU41" s="823"/>
      <c r="AV41" s="823"/>
      <c r="AW41" s="823"/>
      <c r="AX41" s="824"/>
      <c r="AY41" s="280"/>
      <c r="AZ41" s="280"/>
      <c r="BA41" s="280"/>
      <c r="BB41" s="280"/>
      <c r="BC41" s="48"/>
      <c r="BD41" s="770" t="e">
        <f>IF(O37&lt;R37,IF(E6="DE","Rücksprache Prozessmethodik","consult Process Methodology")," ")</f>
        <v>#VALUE!</v>
      </c>
      <c r="BE41" s="771"/>
      <c r="BF41" s="49"/>
      <c r="BG41" s="49"/>
    </row>
    <row r="42" spans="1:85" ht="30" customHeight="1">
      <c r="A42" s="1016"/>
      <c r="B42" s="7"/>
      <c r="C42" s="840"/>
      <c r="D42" s="841"/>
      <c r="E42" s="841"/>
      <c r="F42" s="841"/>
      <c r="G42" s="772" t="s">
        <v>14</v>
      </c>
      <c r="H42" s="773"/>
      <c r="I42" s="773"/>
      <c r="J42" s="774"/>
      <c r="K42" s="723" t="s">
        <v>17</v>
      </c>
      <c r="L42" s="724"/>
      <c r="M42" s="755"/>
      <c r="N42" s="756"/>
      <c r="O42" s="775" t="s">
        <v>18</v>
      </c>
      <c r="P42" s="778" t="s">
        <v>44</v>
      </c>
      <c r="Q42" s="724"/>
      <c r="R42" s="734"/>
      <c r="S42" s="735"/>
      <c r="T42" s="735"/>
      <c r="U42" s="735"/>
      <c r="V42" s="736"/>
      <c r="W42" s="129" t="s">
        <v>22</v>
      </c>
      <c r="X42" s="750"/>
      <c r="Y42" s="751"/>
      <c r="Z42" s="752"/>
      <c r="AA42" s="779" t="s">
        <v>1259</v>
      </c>
      <c r="AB42" s="780"/>
      <c r="AC42" s="781" t="str">
        <f>IF(ISBLANK('Blatt 0'!AF58),"Blatt 0!",'Blatt 0'!AF58)</f>
        <v>66-A53-96D 313785</v>
      </c>
      <c r="AD42" s="782"/>
      <c r="AE42" s="782"/>
      <c r="AF42" s="782"/>
      <c r="AG42" s="782"/>
      <c r="AH42" s="782"/>
      <c r="AI42" s="782"/>
      <c r="AJ42" s="782"/>
      <c r="AK42" s="782"/>
      <c r="AL42" s="783"/>
      <c r="AM42" s="787" t="s">
        <v>1643</v>
      </c>
      <c r="AN42" s="715" t="s">
        <v>1651</v>
      </c>
      <c r="AO42" s="822"/>
      <c r="AP42" s="823"/>
      <c r="AQ42" s="823"/>
      <c r="AR42" s="823"/>
      <c r="AS42" s="823"/>
      <c r="AT42" s="823"/>
      <c r="AU42" s="823"/>
      <c r="AV42" s="823"/>
      <c r="AW42" s="823"/>
      <c r="AX42" s="824"/>
      <c r="AY42" s="280"/>
      <c r="AZ42" s="280"/>
      <c r="BA42" s="280"/>
      <c r="BB42" s="280"/>
      <c r="BC42" s="48"/>
      <c r="BD42" s="48"/>
      <c r="BE42" s="48"/>
      <c r="BF42" s="48"/>
    </row>
    <row r="43" spans="1:85" ht="30" customHeight="1">
      <c r="A43" s="1016"/>
      <c r="B43" s="7"/>
      <c r="C43" s="840"/>
      <c r="D43" s="841"/>
      <c r="E43" s="841"/>
      <c r="F43" s="841"/>
      <c r="G43" s="717" t="s">
        <v>45</v>
      </c>
      <c r="H43" s="718"/>
      <c r="I43" s="718"/>
      <c r="J43" s="719"/>
      <c r="K43" s="723" t="s">
        <v>6</v>
      </c>
      <c r="L43" s="724"/>
      <c r="M43" s="725" t="str">
        <f>IF(ISBLANK('Blatt 0'!O59),"Blatt 0!",'Blatt 0'!O59)</f>
        <v>VW336</v>
      </c>
      <c r="N43" s="726"/>
      <c r="O43" s="776"/>
      <c r="P43" s="729" t="s">
        <v>10</v>
      </c>
      <c r="Q43" s="730"/>
      <c r="R43" s="731" t="str">
        <f>IF(ISBLANK('Blatt 0'!X59),"Blatt 0!",'Blatt 0'!X59)</f>
        <v>GME</v>
      </c>
      <c r="S43" s="732"/>
      <c r="T43" s="732"/>
      <c r="U43" s="732"/>
      <c r="V43" s="733"/>
      <c r="W43" s="129" t="s">
        <v>9</v>
      </c>
      <c r="X43" s="737" t="str">
        <f>IF(ISBLANK('Blatt 0'!AA59),"Blatt 0!",'Blatt 0'!AA59)</f>
        <v>GME</v>
      </c>
      <c r="Y43" s="738"/>
      <c r="Z43" s="739"/>
      <c r="AA43" s="779"/>
      <c r="AB43" s="780"/>
      <c r="AC43" s="781"/>
      <c r="AD43" s="782"/>
      <c r="AE43" s="782"/>
      <c r="AF43" s="782"/>
      <c r="AG43" s="782"/>
      <c r="AH43" s="782"/>
      <c r="AI43" s="782"/>
      <c r="AJ43" s="782"/>
      <c r="AK43" s="782"/>
      <c r="AL43" s="783"/>
      <c r="AM43" s="787"/>
      <c r="AN43" s="715"/>
      <c r="AO43" s="822"/>
      <c r="AP43" s="823"/>
      <c r="AQ43" s="823"/>
      <c r="AR43" s="823"/>
      <c r="AS43" s="823"/>
      <c r="AT43" s="823"/>
      <c r="AU43" s="823"/>
      <c r="AV43" s="823"/>
      <c r="AW43" s="823"/>
      <c r="AX43" s="824"/>
      <c r="AY43" s="280"/>
      <c r="AZ43" s="280"/>
      <c r="BA43" s="280"/>
      <c r="BB43" s="280"/>
      <c r="BC43" s="48"/>
      <c r="BD43" s="48"/>
      <c r="BE43" s="48"/>
      <c r="BF43" s="48"/>
    </row>
    <row r="44" spans="1:85" ht="30" customHeight="1" thickBot="1">
      <c r="A44" s="1017"/>
      <c r="B44" s="7"/>
      <c r="C44" s="842"/>
      <c r="D44" s="843"/>
      <c r="E44" s="843"/>
      <c r="F44" s="843"/>
      <c r="G44" s="720"/>
      <c r="H44" s="721"/>
      <c r="I44" s="721"/>
      <c r="J44" s="722"/>
      <c r="K44" s="743" t="s">
        <v>16</v>
      </c>
      <c r="L44" s="744"/>
      <c r="M44" s="727"/>
      <c r="N44" s="728"/>
      <c r="O44" s="777"/>
      <c r="P44" s="745" t="s">
        <v>46</v>
      </c>
      <c r="Q44" s="746"/>
      <c r="R44" s="734"/>
      <c r="S44" s="735"/>
      <c r="T44" s="735"/>
      <c r="U44" s="735"/>
      <c r="V44" s="736"/>
      <c r="W44" s="130" t="s">
        <v>23</v>
      </c>
      <c r="X44" s="740"/>
      <c r="Y44" s="741"/>
      <c r="Z44" s="742"/>
      <c r="AA44" s="153"/>
      <c r="AB44" s="154"/>
      <c r="AC44" s="784"/>
      <c r="AD44" s="785"/>
      <c r="AE44" s="785"/>
      <c r="AF44" s="785"/>
      <c r="AG44" s="785"/>
      <c r="AH44" s="785"/>
      <c r="AI44" s="785"/>
      <c r="AJ44" s="785"/>
      <c r="AK44" s="785"/>
      <c r="AL44" s="786"/>
      <c r="AM44" s="788"/>
      <c r="AN44" s="716"/>
      <c r="AO44" s="825"/>
      <c r="AP44" s="826"/>
      <c r="AQ44" s="826"/>
      <c r="AR44" s="826"/>
      <c r="AS44" s="826"/>
      <c r="AT44" s="826"/>
      <c r="AU44" s="826"/>
      <c r="AV44" s="826"/>
      <c r="AW44" s="826"/>
      <c r="AX44" s="827"/>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710" t="s">
        <v>1639</v>
      </c>
      <c r="N45" s="710"/>
      <c r="O45" s="302" t="s">
        <v>1638</v>
      </c>
      <c r="P45" s="302"/>
      <c r="Q45" s="301"/>
      <c r="R45" s="301"/>
      <c r="S45" s="301"/>
      <c r="T45" s="301"/>
      <c r="U45" s="301"/>
      <c r="V45" s="301"/>
      <c r="W45" s="301"/>
      <c r="X45" s="301"/>
      <c r="Y45" s="301"/>
      <c r="Z45" s="301"/>
      <c r="AA45" s="301"/>
      <c r="AB45" s="301"/>
      <c r="AC45" s="274"/>
      <c r="AD45" s="274"/>
      <c r="AF45" s="711" t="s">
        <v>1248</v>
      </c>
      <c r="AG45" s="711"/>
      <c r="AH45" s="712" t="s">
        <v>1253</v>
      </c>
      <c r="AI45" s="712"/>
      <c r="AJ45" s="712"/>
      <c r="AK45" s="713" t="s">
        <v>1247</v>
      </c>
      <c r="AL45" s="713"/>
      <c r="AM45" s="714"/>
      <c r="AN45" s="714"/>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6" stopIfTrue="1" operator="equal">
      <formula>"Ergebnis des Druckbereichs i.O."</formula>
    </cfRule>
    <cfRule type="cellIs" dxfId="200" priority="197" stopIfTrue="1" operator="equal">
      <formula>"Ergebnis des Druckbereichs nicht i.O."</formula>
    </cfRule>
  </conditionalFormatting>
  <conditionalFormatting sqref="BD38">
    <cfRule type="cellIs" dxfId="199" priority="194" stopIfTrue="1" operator="equal">
      <formula>" "</formula>
    </cfRule>
    <cfRule type="cellIs" dxfId="198" priority="195" stopIfTrue="1" operator="equal">
      <formula>"Rücksprache Prozessmethodik"</formula>
    </cfRule>
  </conditionalFormatting>
  <conditionalFormatting sqref="X37">
    <cfRule type="cellIs" dxfId="197" priority="191" stopIfTrue="1" operator="notEqual">
      <formula>"39D 1978-2"</formula>
    </cfRule>
    <cfRule type="containsText" dxfId="196" priority="192" stopIfTrue="1" operator="containsText" text="39D 1978-2">
      <formula>NOT(ISERROR(SEARCH("39D 1978-2",X37)))</formula>
    </cfRule>
    <cfRule type="expression" priority="193" stopIfTrue="1">
      <formula>1</formula>
    </cfRule>
  </conditionalFormatting>
  <conditionalFormatting sqref="AA37">
    <cfRule type="cellIs" dxfId="195" priority="190" stopIfTrue="1" operator="notEqual">
      <formula>6</formula>
    </cfRule>
  </conditionalFormatting>
  <conditionalFormatting sqref="AB37">
    <cfRule type="cellIs" dxfId="194" priority="189" stopIfTrue="1" operator="notEqual">
      <formula>50</formula>
    </cfRule>
  </conditionalFormatting>
  <conditionalFormatting sqref="AC37">
    <cfRule type="cellIs" dxfId="193" priority="188" stopIfTrue="1" operator="notEqual">
      <formula>6</formula>
    </cfRule>
  </conditionalFormatting>
  <conditionalFormatting sqref="AD37">
    <cfRule type="cellIs" dxfId="192" priority="187" stopIfTrue="1" operator="notEqual">
      <formula>50</formula>
    </cfRule>
  </conditionalFormatting>
  <conditionalFormatting sqref="BW19:BW34">
    <cfRule type="cellIs" dxfId="191" priority="198" stopIfTrue="1" operator="equal">
      <formula>$AC$19</formula>
    </cfRule>
  </conditionalFormatting>
  <conditionalFormatting sqref="G34">
    <cfRule type="expression" dxfId="190" priority="186" stopIfTrue="1">
      <formula>OR(AND(ISNUMBER($P34),ISBLANK($G34)),AND(ISTEXT($G34),ISBLANK($P34)))</formula>
    </cfRule>
  </conditionalFormatting>
  <conditionalFormatting sqref="BD37">
    <cfRule type="cellIs" dxfId="189" priority="181" operator="equal">
      <formula>"pressure level not allowed"</formula>
    </cfRule>
    <cfRule type="cellIs" dxfId="188" priority="182" operator="equal">
      <formula>"presure level allowed"</formula>
    </cfRule>
    <cfRule type="cellIs" dxfId="187" priority="183" operator="equal">
      <formula>"Max. Force of gun acc.Drw.exceeded!"</formula>
    </cfRule>
    <cfRule type="cellIs" dxfId="186" priority="185" stopIfTrue="1" operator="equal">
      <formula>"Zangenkraft lt.Zangenzeichnung überschritten!"</formula>
    </cfRule>
  </conditionalFormatting>
  <conditionalFormatting sqref="AE19:AE21 AE34">
    <cfRule type="expression" dxfId="185" priority="184">
      <formula>ISERROR(AE19)</formula>
    </cfRule>
  </conditionalFormatting>
  <conditionalFormatting sqref="BD38">
    <cfRule type="cellIs" dxfId="184" priority="180" operator="equal">
      <formula>"consult process methodology"</formula>
    </cfRule>
  </conditionalFormatting>
  <conditionalFormatting sqref="G6">
    <cfRule type="cellIs" dxfId="183" priority="179" operator="equal">
      <formula>"-"</formula>
    </cfRule>
  </conditionalFormatting>
  <conditionalFormatting sqref="H35">
    <cfRule type="cellIs" dxfId="182" priority="178" operator="equal">
      <formula>"Zangentyp?"</formula>
    </cfRule>
  </conditionalFormatting>
  <conditionalFormatting sqref="BD40">
    <cfRule type="cellIs" dxfId="181" priority="176" stopIfTrue="1" operator="equal">
      <formula>"Zangen/Motorauslegung i.O."</formula>
    </cfRule>
    <cfRule type="cellIs" dxfId="180" priority="177" stopIfTrue="1" operator="equal">
      <formula>"Zangen/Motorauslegung nicht i.O."</formula>
    </cfRule>
  </conditionalFormatting>
  <conditionalFormatting sqref="BD40 BF40:BG40">
    <cfRule type="cellIs" dxfId="179" priority="170" operator="equal">
      <formula>"Gun/Electromotor Design not O.K."</formula>
    </cfRule>
    <cfRule type="cellIs" dxfId="178" priority="171" operator="equal">
      <formula>"Gun/Electromotor Design O.K."</formula>
    </cfRule>
    <cfRule type="cellIs" dxfId="177" priority="172" operator="equal">
      <formula>"incorrect Gun Type/Gun Body/Gun Measure"</formula>
    </cfRule>
    <cfRule type="cellIs" dxfId="176" priority="173" operator="equal">
      <formula>"Max. Force of Gun acc.Drw.exceeded!"</formula>
    </cfRule>
    <cfRule type="cellIs" dxfId="175" priority="174" operator="equal">
      <formula>"max. Zangenkraft lt.Zeichnung überschritten!"</formula>
    </cfRule>
    <cfRule type="cellIs" dxfId="174" priority="175" stopIfTrue="1" operator="equal">
      <formula>"Zangentyp/-grundkörper/-maße falsch"</formula>
    </cfRule>
  </conditionalFormatting>
  <conditionalFormatting sqref="BD41">
    <cfRule type="cellIs" dxfId="173" priority="168" stopIfTrue="1" operator="equal">
      <formula>" "</formula>
    </cfRule>
    <cfRule type="cellIs" dxfId="172" priority="169" stopIfTrue="1" operator="equal">
      <formula>"Rücksprache Prozessmethodik"</formula>
    </cfRule>
  </conditionalFormatting>
  <conditionalFormatting sqref="T37">
    <cfRule type="cellIs" dxfId="171" priority="166" stopIfTrue="1" operator="equal">
      <formula>" "</formula>
    </cfRule>
    <cfRule type="cellIs" dxfId="170" priority="167" stopIfTrue="1" operator="equal">
      <formula>"Rücksprache Prozessmethodik"</formula>
    </cfRule>
  </conditionalFormatting>
  <conditionalFormatting sqref="T37">
    <cfRule type="cellIs" dxfId="169" priority="165" operator="equal">
      <formula>"consult process methodology"</formula>
    </cfRule>
  </conditionalFormatting>
  <conditionalFormatting sqref="T36">
    <cfRule type="cellIs" dxfId="168" priority="163" stopIfTrue="1" operator="equal">
      <formula>"Zangen/Motorauslegung i.O."</formula>
    </cfRule>
    <cfRule type="cellIs" dxfId="167" priority="164" stopIfTrue="1" operator="equal">
      <formula>"Zangen/Motorauslegung nicht i.O."</formula>
    </cfRule>
  </conditionalFormatting>
  <conditionalFormatting sqref="T36:W36">
    <cfRule type="cellIs" dxfId="166" priority="150" operator="equal">
      <formula>"Zangentyp/Guntype?"</formula>
    </cfRule>
    <cfRule type="cellIs" dxfId="165" priority="153" operator="equal">
      <formula>"Pressure level not allowed"</formula>
    </cfRule>
    <cfRule type="cellIs" dxfId="164" priority="154" operator="equal">
      <formula>"Presure level allowed"</formula>
    </cfRule>
    <cfRule type="cellIs" dxfId="163" priority="155" operator="equal">
      <formula>"Ergebnis des Druckbereichs nicht i.O."</formula>
    </cfRule>
    <cfRule type="cellIs" dxfId="162" priority="156" operator="equal">
      <formula>"Ergebnis des Druckbereichs i.O."</formula>
    </cfRule>
    <cfRule type="cellIs" dxfId="161" priority="157" operator="equal">
      <formula>"Gun/Electromotor Design not O.K."</formula>
    </cfRule>
    <cfRule type="cellIs" dxfId="160" priority="158" operator="equal">
      <formula>"Gun/Electromotor Design O.K."</formula>
    </cfRule>
    <cfRule type="cellIs" dxfId="159" priority="159" operator="equal">
      <formula>"incorrect Gun Type/Gun Body/Gun Measure"</formula>
    </cfRule>
    <cfRule type="cellIs" dxfId="158" priority="160" operator="equal">
      <formula>"Max. Force of Gun acc.Drw.exceeded!"</formula>
    </cfRule>
    <cfRule type="cellIs" dxfId="157" priority="161" operator="equal">
      <formula>"max. Zangenkraft lt.Zeichnung überschritten!"</formula>
    </cfRule>
    <cfRule type="cellIs" dxfId="156" priority="162" stopIfTrue="1" operator="equal">
      <formula>"Zangentyp/-grundkörper/-maße falsch"</formula>
    </cfRule>
  </conditionalFormatting>
  <conditionalFormatting sqref="E38">
    <cfRule type="expression" dxfId="155" priority="152">
      <formula>$G$6="SPZ"</formula>
    </cfRule>
  </conditionalFormatting>
  <conditionalFormatting sqref="E35">
    <cfRule type="expression" dxfId="154" priority="151">
      <formula>$G$6="RZ"</formula>
    </cfRule>
  </conditionalFormatting>
  <conditionalFormatting sqref="E37">
    <cfRule type="expression" dxfId="153" priority="136">
      <formula>$G$6="RZ"</formula>
    </cfRule>
  </conditionalFormatting>
  <conditionalFormatting sqref="Y34">
    <cfRule type="expression" dxfId="152" priority="149">
      <formula>ISERR(AE34)</formula>
    </cfRule>
  </conditionalFormatting>
  <conditionalFormatting sqref="S34">
    <cfRule type="expression" dxfId="151" priority="148">
      <formula>$U34="t2?"</formula>
    </cfRule>
  </conditionalFormatting>
  <conditionalFormatting sqref="AN36:AN37">
    <cfRule type="cellIs" dxfId="150" priority="147" operator="equal">
      <formula>"Ja"</formula>
    </cfRule>
  </conditionalFormatting>
  <conditionalFormatting sqref="AE36:AE37">
    <cfRule type="expression" dxfId="149" priority="199">
      <formula>AN36="Ja"</formula>
    </cfRule>
  </conditionalFormatting>
  <conditionalFormatting sqref="AE38">
    <cfRule type="expression" dxfId="148" priority="200">
      <formula>AND(AN36="Ja",ISBLANK($AG$38))</formula>
    </cfRule>
  </conditionalFormatting>
  <conditionalFormatting sqref="AJ38">
    <cfRule type="expression" dxfId="147" priority="201">
      <formula>AND(AN36="Ja",ISBLANK($AL$38))</formula>
    </cfRule>
  </conditionalFormatting>
  <conditionalFormatting sqref="AL38">
    <cfRule type="expression" dxfId="146" priority="146">
      <formula>AND(AN36="Ja",ISBLANK($AL$38))</formula>
    </cfRule>
  </conditionalFormatting>
  <conditionalFormatting sqref="G8">
    <cfRule type="expression" dxfId="145" priority="145">
      <formula>NOT(OR(G8="J",G8="N"))</formula>
    </cfRule>
  </conditionalFormatting>
  <conditionalFormatting sqref="V34">
    <cfRule type="expression" dxfId="144" priority="144">
      <formula>$R34="t1?"</formula>
    </cfRule>
  </conditionalFormatting>
  <conditionalFormatting sqref="L38">
    <cfRule type="expression" dxfId="143" priority="143">
      <formula>$G$6="SPZ"</formula>
    </cfRule>
  </conditionalFormatting>
  <conditionalFormatting sqref="O37">
    <cfRule type="expression" dxfId="142" priority="142">
      <formula>$G$6="SPZ"</formula>
    </cfRule>
  </conditionalFormatting>
  <conditionalFormatting sqref="O38">
    <cfRule type="expression" dxfId="141" priority="141">
      <formula>$G$6="SPZ"</formula>
    </cfRule>
  </conditionalFormatting>
  <conditionalFormatting sqref="R37">
    <cfRule type="expression" dxfId="140" priority="140">
      <formula>$G$6="SPZ"</formula>
    </cfRule>
  </conditionalFormatting>
  <conditionalFormatting sqref="R38">
    <cfRule type="expression" dxfId="139" priority="139">
      <formula>$G$6="SPZ"</formula>
    </cfRule>
  </conditionalFormatting>
  <conditionalFormatting sqref="X38">
    <cfRule type="expression" dxfId="138" priority="138">
      <formula>$G$6="SPZ"</formula>
    </cfRule>
  </conditionalFormatting>
  <conditionalFormatting sqref="AA38">
    <cfRule type="expression" dxfId="137" priority="137">
      <formula>$G$6="SPZ"</formula>
    </cfRule>
  </conditionalFormatting>
  <conditionalFormatting sqref="H37">
    <cfRule type="expression" dxfId="136" priority="135">
      <formula>$G$6="RZ"</formula>
    </cfRule>
  </conditionalFormatting>
  <conditionalFormatting sqref="O35">
    <cfRule type="expression" dxfId="135" priority="134">
      <formula>$G$6="RZ"</formula>
    </cfRule>
  </conditionalFormatting>
  <conditionalFormatting sqref="O36">
    <cfRule type="expression" dxfId="134" priority="133">
      <formula>$G$6="RZ"</formula>
    </cfRule>
  </conditionalFormatting>
  <conditionalFormatting sqref="R35">
    <cfRule type="expression" dxfId="133" priority="132">
      <formula>$G$6="RZ"</formula>
    </cfRule>
  </conditionalFormatting>
  <conditionalFormatting sqref="R36">
    <cfRule type="expression" dxfId="132" priority="131">
      <formula>$G$6="RZ"</formula>
    </cfRule>
  </conditionalFormatting>
  <conditionalFormatting sqref="C35:D36">
    <cfRule type="expression" dxfId="131" priority="130">
      <formula>$G$6="RZ"</formula>
    </cfRule>
  </conditionalFormatting>
  <conditionalFormatting sqref="C37:D37">
    <cfRule type="expression" dxfId="130" priority="129">
      <formula>$G$6="RZ"</formula>
    </cfRule>
  </conditionalFormatting>
  <conditionalFormatting sqref="F37:G37">
    <cfRule type="expression" dxfId="129" priority="128">
      <formula>$G$6="RZ"</formula>
    </cfRule>
  </conditionalFormatting>
  <conditionalFormatting sqref="M36:N36">
    <cfRule type="expression" dxfId="128" priority="127">
      <formula>$G$6="RZ"</formula>
    </cfRule>
  </conditionalFormatting>
  <conditionalFormatting sqref="P36:Q36">
    <cfRule type="expression" dxfId="127" priority="126">
      <formula>$G$6="RZ"</formula>
    </cfRule>
  </conditionalFormatting>
  <conditionalFormatting sqref="M35:N35">
    <cfRule type="expression" dxfId="126" priority="125">
      <formula>$G$6="RZ"</formula>
    </cfRule>
  </conditionalFormatting>
  <conditionalFormatting sqref="P35:Q35">
    <cfRule type="expression" dxfId="125" priority="124">
      <formula>$G$6="RZ"</formula>
    </cfRule>
  </conditionalFormatting>
  <conditionalFormatting sqref="C38:D38">
    <cfRule type="expression" dxfId="124" priority="123">
      <formula>$G$6="SPZ"</formula>
    </cfRule>
  </conditionalFormatting>
  <conditionalFormatting sqref="F38:G38">
    <cfRule type="expression" dxfId="123" priority="122">
      <formula>$G$6="SPZ"</formula>
    </cfRule>
  </conditionalFormatting>
  <conditionalFormatting sqref="I38">
    <cfRule type="expression" dxfId="122" priority="121">
      <formula>$G$6="SPZ"</formula>
    </cfRule>
  </conditionalFormatting>
  <conditionalFormatting sqref="M37:N37">
    <cfRule type="expression" dxfId="121" priority="120">
      <formula>$G$6="SPZ"</formula>
    </cfRule>
  </conditionalFormatting>
  <conditionalFormatting sqref="M38:N38">
    <cfRule type="expression" dxfId="120" priority="119">
      <formula>$G$6="SPZ"</formula>
    </cfRule>
  </conditionalFormatting>
  <conditionalFormatting sqref="P38:Q38">
    <cfRule type="expression" dxfId="119" priority="118">
      <formula>$G$6="SPZ"</formula>
    </cfRule>
  </conditionalFormatting>
  <conditionalFormatting sqref="P37:Q37">
    <cfRule type="expression" dxfId="118" priority="117">
      <formula>$G$6="SPZ"</formula>
    </cfRule>
  </conditionalFormatting>
  <conditionalFormatting sqref="AF36:AM37">
    <cfRule type="expression" dxfId="117" priority="202">
      <formula>BC36="Ja"</formula>
    </cfRule>
  </conditionalFormatting>
  <conditionalFormatting sqref="AF38">
    <cfRule type="expression" dxfId="116" priority="203">
      <formula>AND(BC36="Ja",ISBLANK($AG$38))</formula>
    </cfRule>
  </conditionalFormatting>
  <conditionalFormatting sqref="AK38">
    <cfRule type="expression" dxfId="115" priority="204">
      <formula>AND(BC36="Ja",ISBLANK($AL$38))</formula>
    </cfRule>
  </conditionalFormatting>
  <conditionalFormatting sqref="AM38:AN38">
    <cfRule type="expression" dxfId="114" priority="205">
      <formula>AND(BC36="Ja",ISBLANK($AL$38))</formula>
    </cfRule>
  </conditionalFormatting>
  <conditionalFormatting sqref="P34">
    <cfRule type="expression" dxfId="113" priority="116">
      <formula>$U34="t2?"</formula>
    </cfRule>
  </conditionalFormatting>
  <conditionalFormatting sqref="AE35:AN35">
    <cfRule type="containsText" dxfId="112" priority="115"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4" stopIfTrue="1">
      <formula>OR(AND(ISNUMBER($P20),ISBLANK($G20)),AND(ISTEXT($G20),ISBLANK($P20)))</formula>
    </cfRule>
  </conditionalFormatting>
  <conditionalFormatting sqref="P21">
    <cfRule type="expression" dxfId="110" priority="109">
      <formula>$R21="t1?"</formula>
    </cfRule>
  </conditionalFormatting>
  <conditionalFormatting sqref="P19">
    <cfRule type="expression" dxfId="109" priority="113">
      <formula>$R19="t1?"</formula>
    </cfRule>
  </conditionalFormatting>
  <conditionalFormatting sqref="Q21">
    <cfRule type="expression" dxfId="108" priority="108">
      <formula>CELL("Schutz",Q21)</formula>
    </cfRule>
  </conditionalFormatting>
  <conditionalFormatting sqref="Q19">
    <cfRule type="expression" dxfId="107" priority="112">
      <formula>CELL("Schutz",Q19)</formula>
    </cfRule>
  </conditionalFormatting>
  <conditionalFormatting sqref="P20">
    <cfRule type="expression" dxfId="106" priority="111">
      <formula>$R20="t1?"</formula>
    </cfRule>
  </conditionalFormatting>
  <conditionalFormatting sqref="Q20">
    <cfRule type="expression" dxfId="105" priority="110">
      <formula>CELL("Schutz",Q20)</formula>
    </cfRule>
  </conditionalFormatting>
  <conditionalFormatting sqref="S19">
    <cfRule type="expression" dxfId="104" priority="107">
      <formula>$R19="t1?"</formula>
    </cfRule>
  </conditionalFormatting>
  <conditionalFormatting sqref="T19">
    <cfRule type="expression" dxfId="103" priority="106">
      <formula>CELL("Schutz",T19)</formula>
    </cfRule>
  </conditionalFormatting>
  <conditionalFormatting sqref="S20">
    <cfRule type="expression" dxfId="102" priority="105">
      <formula>$R20="t1?"</formula>
    </cfRule>
  </conditionalFormatting>
  <conditionalFormatting sqref="T20">
    <cfRule type="expression" dxfId="101" priority="104">
      <formula>CELL("Schutz",T20)</formula>
    </cfRule>
  </conditionalFormatting>
  <conditionalFormatting sqref="S21">
    <cfRule type="expression" dxfId="100" priority="103">
      <formula>$R21="t1?"</formula>
    </cfRule>
  </conditionalFormatting>
  <conditionalFormatting sqref="T21">
    <cfRule type="expression" dxfId="99" priority="102">
      <formula>CELL("Schutz",T21)</formula>
    </cfRule>
  </conditionalFormatting>
  <conditionalFormatting sqref="W21">
    <cfRule type="expression" dxfId="98" priority="96">
      <formula>CELL("Schutz",W21)</formula>
    </cfRule>
  </conditionalFormatting>
  <conditionalFormatting sqref="V21">
    <cfRule type="expression" dxfId="97" priority="97">
      <formula>$R21="t1?"</formula>
    </cfRule>
  </conditionalFormatting>
  <conditionalFormatting sqref="V19">
    <cfRule type="expression" dxfId="96" priority="101">
      <formula>$R19="t1?"</formula>
    </cfRule>
  </conditionalFormatting>
  <conditionalFormatting sqref="W19">
    <cfRule type="expression" dxfId="95" priority="100">
      <formula>CELL("Schutz",W19)</formula>
    </cfRule>
  </conditionalFormatting>
  <conditionalFormatting sqref="V20">
    <cfRule type="expression" dxfId="94" priority="99">
      <formula>$R20="t1?"</formula>
    </cfRule>
  </conditionalFormatting>
  <conditionalFormatting sqref="W20">
    <cfRule type="expression" dxfId="93" priority="98">
      <formula>CELL("Schutz",W20)</formula>
    </cfRule>
  </conditionalFormatting>
  <conditionalFormatting sqref="Y19">
    <cfRule type="expression" dxfId="92" priority="95">
      <formula>ISERR(AE19)</formula>
    </cfRule>
  </conditionalFormatting>
  <conditionalFormatting sqref="Y20:Y21">
    <cfRule type="expression" dxfId="91" priority="94">
      <formula>ISERR(AE20)</formula>
    </cfRule>
  </conditionalFormatting>
  <conditionalFormatting sqref="H38">
    <cfRule type="expression" dxfId="90" priority="93">
      <formula>$G$6="SPZ"</formula>
    </cfRule>
  </conditionalFormatting>
  <conditionalFormatting sqref="W38">
    <cfRule type="expression" dxfId="89" priority="92" stopIfTrue="1">
      <formula>ISBLANK($W$38)</formula>
    </cfRule>
  </conditionalFormatting>
  <conditionalFormatting sqref="AG38">
    <cfRule type="expression" dxfId="88" priority="90">
      <formula>AND(AN36="Ja",ISBLANK($AG$38))</formula>
    </cfRule>
  </conditionalFormatting>
  <conditionalFormatting sqref="AH38:AI38">
    <cfRule type="expression" dxfId="87" priority="91">
      <formula>AND(BC36="Ja",ISBLANK($AG$38))</formula>
    </cfRule>
  </conditionalFormatting>
  <conditionalFormatting sqref="G19">
    <cfRule type="expression" dxfId="86" priority="89" stopIfTrue="1">
      <formula>OR(AND(ISNUMBER($P19),ISBLANK($G19)),AND(ISTEXT($G19),ISBLANK($P19)))</formula>
    </cfRule>
  </conditionalFormatting>
  <conditionalFormatting sqref="L35">
    <cfRule type="expression" dxfId="85" priority="88">
      <formula>ISERR($L$37)</formula>
    </cfRule>
  </conditionalFormatting>
  <conditionalFormatting sqref="L36">
    <cfRule type="expression" dxfId="84" priority="87">
      <formula>ISERR($L$37)</formula>
    </cfRule>
  </conditionalFormatting>
  <conditionalFormatting sqref="AE22:AE24">
    <cfRule type="expression" dxfId="83" priority="86">
      <formula>ISERROR(AE22)</formula>
    </cfRule>
  </conditionalFormatting>
  <conditionalFormatting sqref="G23:G24">
    <cfRule type="expression" dxfId="82" priority="85" stopIfTrue="1">
      <formula>OR(AND(ISNUMBER($P23),ISBLANK($G23)),AND(ISTEXT($G23),ISBLANK($P23)))</formula>
    </cfRule>
  </conditionalFormatting>
  <conditionalFormatting sqref="P24">
    <cfRule type="expression" dxfId="81" priority="80">
      <formula>$R24="t1?"</formula>
    </cfRule>
  </conditionalFormatting>
  <conditionalFormatting sqref="P22">
    <cfRule type="expression" dxfId="80" priority="84">
      <formula>$R22="t1?"</formula>
    </cfRule>
  </conditionalFormatting>
  <conditionalFormatting sqref="Q24">
    <cfRule type="expression" dxfId="79" priority="79">
      <formula>CELL("Schutz",Q24)</formula>
    </cfRule>
  </conditionalFormatting>
  <conditionalFormatting sqref="Q22">
    <cfRule type="expression" dxfId="78" priority="83">
      <formula>CELL("Schutz",Q22)</formula>
    </cfRule>
  </conditionalFormatting>
  <conditionalFormatting sqref="P23">
    <cfRule type="expression" dxfId="77" priority="82">
      <formula>$R23="t1?"</formula>
    </cfRule>
  </conditionalFormatting>
  <conditionalFormatting sqref="Q23">
    <cfRule type="expression" dxfId="76" priority="81">
      <formula>CELL("Schutz",Q23)</formula>
    </cfRule>
  </conditionalFormatting>
  <conditionalFormatting sqref="S22">
    <cfRule type="expression" dxfId="75" priority="78">
      <formula>$R22="t1?"</formula>
    </cfRule>
  </conditionalFormatting>
  <conditionalFormatting sqref="S23">
    <cfRule type="expression" dxfId="74" priority="76">
      <formula>$R23="t1?"</formula>
    </cfRule>
  </conditionalFormatting>
  <conditionalFormatting sqref="S24">
    <cfRule type="expression" dxfId="73" priority="74">
      <formula>$R24="t1?"</formula>
    </cfRule>
  </conditionalFormatting>
  <conditionalFormatting sqref="T24">
    <cfRule type="expression" dxfId="72" priority="73">
      <formula>CELL("Schutz",T24)</formula>
    </cfRule>
  </conditionalFormatting>
  <conditionalFormatting sqref="W24">
    <cfRule type="expression" dxfId="71" priority="67">
      <formula>CELL("Schutz",W24)</formula>
    </cfRule>
  </conditionalFormatting>
  <conditionalFormatting sqref="V24">
    <cfRule type="expression" dxfId="70" priority="68">
      <formula>$R24="t1?"</formula>
    </cfRule>
  </conditionalFormatting>
  <conditionalFormatting sqref="V22">
    <cfRule type="expression" dxfId="69" priority="72">
      <formula>$R22="t1?"</formula>
    </cfRule>
  </conditionalFormatting>
  <conditionalFormatting sqref="W22">
    <cfRule type="expression" dxfId="68" priority="71">
      <formula>CELL("Schutz",W22)</formula>
    </cfRule>
  </conditionalFormatting>
  <conditionalFormatting sqref="V23">
    <cfRule type="expression" dxfId="67" priority="70">
      <formula>$R23="t1?"</formula>
    </cfRule>
  </conditionalFormatting>
  <conditionalFormatting sqref="W23">
    <cfRule type="expression" dxfId="66" priority="69">
      <formula>CELL("Schutz",W23)</formula>
    </cfRule>
  </conditionalFormatting>
  <conditionalFormatting sqref="Y22">
    <cfRule type="expression" dxfId="65" priority="66">
      <formula>ISERR(AE22)</formula>
    </cfRule>
  </conditionalFormatting>
  <conditionalFormatting sqref="Y23:Y24">
    <cfRule type="expression" dxfId="64" priority="65">
      <formula>ISERR(AE23)</formula>
    </cfRule>
  </conditionalFormatting>
  <conditionalFormatting sqref="G22">
    <cfRule type="expression" dxfId="63" priority="64" stopIfTrue="1">
      <formula>OR(AND(ISNUMBER($P22),ISBLANK($G22)),AND(ISTEXT($G22),ISBLANK($P22)))</formula>
    </cfRule>
  </conditionalFormatting>
  <conditionalFormatting sqref="AE25">
    <cfRule type="expression" dxfId="62" priority="63">
      <formula>ISERROR(AE25)</formula>
    </cfRule>
  </conditionalFormatting>
  <conditionalFormatting sqref="G25">
    <cfRule type="expression" dxfId="61" priority="62" stopIfTrue="1">
      <formula>OR(AND(ISNUMBER($P25),ISBLANK($G25)),AND(ISTEXT($G25),ISBLANK($P25)))</formula>
    </cfRule>
  </conditionalFormatting>
  <conditionalFormatting sqref="P25">
    <cfRule type="expression" dxfId="60" priority="61">
      <formula>$R25="t1?"</formula>
    </cfRule>
  </conditionalFormatting>
  <conditionalFormatting sqref="Q25">
    <cfRule type="expression" dxfId="59" priority="60">
      <formula>CELL("Schutz",Q25)</formula>
    </cfRule>
  </conditionalFormatting>
  <conditionalFormatting sqref="S25">
    <cfRule type="expression" dxfId="58" priority="59">
      <formula>$R25="t1?"</formula>
    </cfRule>
  </conditionalFormatting>
  <conditionalFormatting sqref="T25">
    <cfRule type="expression" dxfId="57" priority="58">
      <formula>CELL("Schutz",T25)</formula>
    </cfRule>
  </conditionalFormatting>
  <conditionalFormatting sqref="W25">
    <cfRule type="expression" dxfId="56" priority="56">
      <formula>CELL("Schutz",W25)</formula>
    </cfRule>
  </conditionalFormatting>
  <conditionalFormatting sqref="V25">
    <cfRule type="expression" dxfId="55" priority="57">
      <formula>$R25="t1?"</formula>
    </cfRule>
  </conditionalFormatting>
  <conditionalFormatting sqref="Y25">
    <cfRule type="expression" dxfId="54" priority="55">
      <formula>ISERR(AE25)</formula>
    </cfRule>
  </conditionalFormatting>
  <conditionalFormatting sqref="AE26:AE28">
    <cfRule type="expression" dxfId="53" priority="54">
      <formula>ISERROR(AE26)</formula>
    </cfRule>
  </conditionalFormatting>
  <conditionalFormatting sqref="G27:G28">
    <cfRule type="expression" dxfId="52" priority="53" stopIfTrue="1">
      <formula>OR(AND(ISNUMBER($P27),ISBLANK($G27)),AND(ISTEXT($G27),ISBLANK($P27)))</formula>
    </cfRule>
  </conditionalFormatting>
  <conditionalFormatting sqref="P28">
    <cfRule type="expression" dxfId="51" priority="48">
      <formula>$R28="t1?"</formula>
    </cfRule>
  </conditionalFormatting>
  <conditionalFormatting sqref="P26">
    <cfRule type="expression" dxfId="50" priority="52">
      <formula>$R26="t1?"</formula>
    </cfRule>
  </conditionalFormatting>
  <conditionalFormatting sqref="Q28">
    <cfRule type="expression" dxfId="49" priority="47">
      <formula>CELL("Schutz",Q28)</formula>
    </cfRule>
  </conditionalFormatting>
  <conditionalFormatting sqref="Q26">
    <cfRule type="expression" dxfId="48" priority="51">
      <formula>CELL("Schutz",Q26)</formula>
    </cfRule>
  </conditionalFormatting>
  <conditionalFormatting sqref="P27">
    <cfRule type="expression" dxfId="47" priority="50">
      <formula>$R27="t1?"</formula>
    </cfRule>
  </conditionalFormatting>
  <conditionalFormatting sqref="Q27">
    <cfRule type="expression" dxfId="46" priority="49">
      <formula>CELL("Schutz",Q27)</formula>
    </cfRule>
  </conditionalFormatting>
  <conditionalFormatting sqref="S26">
    <cfRule type="expression" dxfId="45" priority="46">
      <formula>$R26="t1?"</formula>
    </cfRule>
  </conditionalFormatting>
  <conditionalFormatting sqref="T26">
    <cfRule type="expression" dxfId="44" priority="45">
      <formula>CELL("Schutz",T26)</formula>
    </cfRule>
  </conditionalFormatting>
  <conditionalFormatting sqref="S27">
    <cfRule type="expression" dxfId="43" priority="44">
      <formula>$R27="t1?"</formula>
    </cfRule>
  </conditionalFormatting>
  <conditionalFormatting sqref="T27">
    <cfRule type="expression" dxfId="42" priority="43">
      <formula>CELL("Schutz",T27)</formula>
    </cfRule>
  </conditionalFormatting>
  <conditionalFormatting sqref="S28">
    <cfRule type="expression" dxfId="41" priority="42">
      <formula>$R28="t1?"</formula>
    </cfRule>
  </conditionalFormatting>
  <conditionalFormatting sqref="T28">
    <cfRule type="expression" dxfId="40" priority="41">
      <formula>CELL("Schutz",T28)</formula>
    </cfRule>
  </conditionalFormatting>
  <conditionalFormatting sqref="W28">
    <cfRule type="expression" dxfId="39" priority="35">
      <formula>CELL("Schutz",W28)</formula>
    </cfRule>
  </conditionalFormatting>
  <conditionalFormatting sqref="V28">
    <cfRule type="expression" dxfId="38" priority="36">
      <formula>$R28="t1?"</formula>
    </cfRule>
  </conditionalFormatting>
  <conditionalFormatting sqref="V26">
    <cfRule type="expression" dxfId="37" priority="40">
      <formula>$R26="t1?"</formula>
    </cfRule>
  </conditionalFormatting>
  <conditionalFormatting sqref="W26">
    <cfRule type="expression" dxfId="36" priority="39">
      <formula>CELL("Schutz",W26)</formula>
    </cfRule>
  </conditionalFormatting>
  <conditionalFormatting sqref="V27">
    <cfRule type="expression" dxfId="35" priority="38">
      <formula>$R27="t1?"</formula>
    </cfRule>
  </conditionalFormatting>
  <conditionalFormatting sqref="W27">
    <cfRule type="expression" dxfId="34" priority="37">
      <formula>CELL("Schutz",W27)</formula>
    </cfRule>
  </conditionalFormatting>
  <conditionalFormatting sqref="Y26">
    <cfRule type="expression" dxfId="33" priority="34">
      <formula>ISERR(AE26)</formula>
    </cfRule>
  </conditionalFormatting>
  <conditionalFormatting sqref="Y27:Y28">
    <cfRule type="expression" dxfId="32" priority="33">
      <formula>ISERR(AE27)</formula>
    </cfRule>
  </conditionalFormatting>
  <conditionalFormatting sqref="G26">
    <cfRule type="expression" dxfId="31" priority="32" stopIfTrue="1">
      <formula>OR(AND(ISNUMBER($P26),ISBLANK($G26)),AND(ISTEXT($G26),ISBLANK($P26)))</formula>
    </cfRule>
  </conditionalFormatting>
  <conditionalFormatting sqref="AE29 AE32:AE33">
    <cfRule type="expression" dxfId="30" priority="31">
      <formula>ISERROR(AE29)</formula>
    </cfRule>
  </conditionalFormatting>
  <conditionalFormatting sqref="G32:G33">
    <cfRule type="expression" dxfId="29" priority="30" stopIfTrue="1">
      <formula>OR(AND(ISNUMBER($P32),ISBLANK($G32)),AND(ISTEXT($G32),ISBLANK($P32)))</formula>
    </cfRule>
  </conditionalFormatting>
  <conditionalFormatting sqref="P33">
    <cfRule type="expression" dxfId="28" priority="25">
      <formula>$R33="t1?"</formula>
    </cfRule>
  </conditionalFormatting>
  <conditionalFormatting sqref="P29">
    <cfRule type="expression" dxfId="27" priority="29">
      <formula>$R29="t1?"</formula>
    </cfRule>
  </conditionalFormatting>
  <conditionalFormatting sqref="Q33">
    <cfRule type="expression" dxfId="26" priority="24">
      <formula>CELL("Schutz",Q33)</formula>
    </cfRule>
  </conditionalFormatting>
  <conditionalFormatting sqref="Q29">
    <cfRule type="expression" dxfId="25" priority="28">
      <formula>CELL("Schutz",Q29)</formula>
    </cfRule>
  </conditionalFormatting>
  <conditionalFormatting sqref="P32">
    <cfRule type="expression" dxfId="24" priority="27">
      <formula>$R32="t1?"</formula>
    </cfRule>
  </conditionalFormatting>
  <conditionalFormatting sqref="Q32">
    <cfRule type="expression" dxfId="23" priority="26">
      <formula>CELL("Schutz",Q32)</formula>
    </cfRule>
  </conditionalFormatting>
  <conditionalFormatting sqref="S29">
    <cfRule type="expression" dxfId="22" priority="23">
      <formula>$R29="t1?"</formula>
    </cfRule>
  </conditionalFormatting>
  <conditionalFormatting sqref="T29">
    <cfRule type="expression" dxfId="21" priority="22">
      <formula>CELL("Schutz",T29)</formula>
    </cfRule>
  </conditionalFormatting>
  <conditionalFormatting sqref="S32">
    <cfRule type="expression" dxfId="20" priority="21">
      <formula>$R32="t1?"</formula>
    </cfRule>
  </conditionalFormatting>
  <conditionalFormatting sqref="T32">
    <cfRule type="expression" dxfId="19" priority="20">
      <formula>CELL("Schutz",T32)</formula>
    </cfRule>
  </conditionalFormatting>
  <conditionalFormatting sqref="S33">
    <cfRule type="expression" dxfId="18" priority="19">
      <formula>$R33="t1?"</formula>
    </cfRule>
  </conditionalFormatting>
  <conditionalFormatting sqref="T33">
    <cfRule type="expression" dxfId="17" priority="18">
      <formula>CELL("Schutz",T33)</formula>
    </cfRule>
  </conditionalFormatting>
  <conditionalFormatting sqref="W33">
    <cfRule type="expression" dxfId="16" priority="12">
      <formula>CELL("Schutz",W33)</formula>
    </cfRule>
  </conditionalFormatting>
  <conditionalFormatting sqref="V33">
    <cfRule type="expression" dxfId="15" priority="13">
      <formula>$R33="t1?"</formula>
    </cfRule>
  </conditionalFormatting>
  <conditionalFormatting sqref="V29:V31">
    <cfRule type="expression" dxfId="14" priority="17">
      <formula>$R29="t1?"</formula>
    </cfRule>
  </conditionalFormatting>
  <conditionalFormatting sqref="W29:W31">
    <cfRule type="expression" dxfId="13" priority="16">
      <formula>CELL("Schutz",W29)</formula>
    </cfRule>
  </conditionalFormatting>
  <conditionalFormatting sqref="V32">
    <cfRule type="expression" dxfId="12" priority="15">
      <formula>$R32="t1?"</formula>
    </cfRule>
  </conditionalFormatting>
  <conditionalFormatting sqref="W32">
    <cfRule type="expression" dxfId="11" priority="14">
      <formula>CELL("Schutz",W32)</formula>
    </cfRule>
  </conditionalFormatting>
  <conditionalFormatting sqref="Y29">
    <cfRule type="expression" dxfId="10" priority="11">
      <formula>ISERR(AE29)</formula>
    </cfRule>
  </conditionalFormatting>
  <conditionalFormatting sqref="Y32:Y33">
    <cfRule type="expression" dxfId="9" priority="10">
      <formula>ISERR(AE32)</formula>
    </cfRule>
  </conditionalFormatting>
  <conditionalFormatting sqref="G29:G31">
    <cfRule type="expression" dxfId="8" priority="9" stopIfTrue="1">
      <formula>OR(AND(ISNUMBER($P29),ISBLANK($G29)),AND(ISTEXT($G29),ISBLANK($P29)))</formula>
    </cfRule>
  </conditionalFormatting>
  <conditionalFormatting sqref="AE30:AE31">
    <cfRule type="expression" dxfId="7" priority="8">
      <formula>ISERROR(AE30)</formula>
    </cfRule>
  </conditionalFormatting>
  <conditionalFormatting sqref="Y30:Y31">
    <cfRule type="expression" dxfId="6" priority="7">
      <formula>ISERR(AE30)</formula>
    </cfRule>
  </conditionalFormatting>
  <conditionalFormatting sqref="P30:P31">
    <cfRule type="expression" dxfId="5" priority="6">
      <formula>$R30="t1?"</formula>
    </cfRule>
  </conditionalFormatting>
  <conditionalFormatting sqref="Q30:Q31">
    <cfRule type="expression" dxfId="4" priority="5">
      <formula>CELL("Schutz",Q30)</formula>
    </cfRule>
  </conditionalFormatting>
  <conditionalFormatting sqref="S30:S31">
    <cfRule type="expression" dxfId="3" priority="4">
      <formula>$R30="t1?"</formula>
    </cfRule>
  </conditionalFormatting>
  <conditionalFormatting sqref="T30:T31">
    <cfRule type="expression" dxfId="2" priority="3">
      <formula>CELL("Schutz",T30)</formula>
    </cfRule>
  </conditionalFormatting>
  <conditionalFormatting sqref="T22">
    <cfRule type="expression" dxfId="1" priority="2">
      <formula>CELL("Schutz",T22)</formula>
    </cfRule>
  </conditionalFormatting>
  <conditionalFormatting sqref="T23">
    <cfRule type="expression" dxfId="0" priority="1">
      <formula>CELL("Schutz",T23)</formula>
    </cfRule>
  </conditionalFormatting>
  <dataValidations disablePrompts="1" count="3">
    <dataValidation type="list" allowBlank="1" showInputMessage="1" showErrorMessage="1" sqref="E6" xr:uid="{00000000-0002-0000-0200-000000000000}">
      <formula1>$BD$4:$BD$5</formula1>
    </dataValidation>
    <dataValidation type="list" allowBlank="1" showInputMessage="1" showErrorMessage="1" sqref="G6" xr:uid="{00000000-0002-0000-0200-000001000000}">
      <formula1>$BE$3:$BE$5</formula1>
    </dataValidation>
    <dataValidation type="list" allowBlank="1" showInputMessage="1" showErrorMessage="1" sqref="AY36:BB37 AN36:AN37" xr:uid="{00000000-0002-0000-0200-000002000000}">
      <formula1>$BH$4:$BH$5</formula1>
    </dataValidation>
  </dataValidations>
  <hyperlinks>
    <hyperlink ref="AK45" r:id="rId1" xr:uid="{00000000-0004-0000-02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3000000}">
          <x14:formula1>
            <xm:f>Motordaten!$B$4:$B$18</xm:f>
          </x14:formula1>
          <xm:sqref>H38</xm:sqref>
        </x14:dataValidation>
        <x14:dataValidation type="list" allowBlank="1" showInputMessage="1" showErrorMessage="1" xr:uid="{00000000-0002-0000-0200-000004000000}">
          <x14:formula1>
            <xm:f>Motordaten!$A$3:$A$6</xm:f>
          </x14:formula1>
          <xm:sqref>E38</xm:sqref>
        </x14:dataValidation>
        <x14:dataValidation type="list" allowBlank="1" showInputMessage="1" showErrorMessage="1" xr:uid="{00000000-0002-0000-0200-000005000000}">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92" t="s">
        <v>1625</v>
      </c>
    </row>
    <row r="2" spans="1:5" ht="15" customHeight="1">
      <c r="A2" s="27"/>
      <c r="B2" s="28"/>
      <c r="C2" s="1106" t="s">
        <v>1636</v>
      </c>
      <c r="D2" s="1093"/>
      <c r="E2" s="289"/>
    </row>
    <row r="3" spans="1:5" ht="15" customHeight="1">
      <c r="A3" s="29"/>
      <c r="B3" s="30"/>
      <c r="C3" s="1106"/>
      <c r="D3" s="1093"/>
      <c r="E3" s="289"/>
    </row>
    <row r="4" spans="1:5" ht="15" customHeight="1">
      <c r="A4" s="29"/>
      <c r="B4" s="30"/>
      <c r="C4" s="1106"/>
      <c r="D4" s="1093"/>
      <c r="E4" s="289"/>
    </row>
    <row r="5" spans="1:5" ht="15" customHeight="1" thickBot="1">
      <c r="A5" s="29"/>
      <c r="B5" s="30"/>
      <c r="C5" s="1107"/>
      <c r="D5" s="1094"/>
      <c r="E5" s="289"/>
    </row>
    <row r="6" spans="1:5" ht="14.25">
      <c r="A6" s="21" t="s">
        <v>76</v>
      </c>
      <c r="B6" s="22">
        <v>300</v>
      </c>
      <c r="C6" s="1103" t="s">
        <v>77</v>
      </c>
      <c r="D6" s="290"/>
    </row>
    <row r="7" spans="1:5" ht="12.75">
      <c r="A7" s="17" t="s">
        <v>78</v>
      </c>
      <c r="B7" s="18">
        <v>300</v>
      </c>
      <c r="C7" s="1104"/>
      <c r="D7" s="291"/>
    </row>
    <row r="8" spans="1:5" ht="12.75">
      <c r="A8" s="17" t="s">
        <v>79</v>
      </c>
      <c r="B8" s="18">
        <v>300</v>
      </c>
      <c r="C8" s="1104"/>
      <c r="D8" s="291"/>
    </row>
    <row r="9" spans="1:5" ht="12.75">
      <c r="A9" s="17" t="s">
        <v>80</v>
      </c>
      <c r="B9" s="18">
        <v>300</v>
      </c>
      <c r="C9" s="1104"/>
      <c r="D9" s="291"/>
    </row>
    <row r="10" spans="1:5" ht="12.75">
      <c r="A10" s="17" t="s">
        <v>1185</v>
      </c>
      <c r="B10" s="18">
        <v>300</v>
      </c>
      <c r="C10" s="1104"/>
      <c r="D10" s="291"/>
    </row>
    <row r="11" spans="1:5" ht="12.75">
      <c r="A11" s="17" t="s">
        <v>81</v>
      </c>
      <c r="B11" s="18">
        <v>300</v>
      </c>
      <c r="C11" s="1104"/>
      <c r="D11" s="291"/>
    </row>
    <row r="12" spans="1:5" ht="12.75">
      <c r="A12" s="17" t="s">
        <v>1186</v>
      </c>
      <c r="B12" s="18">
        <v>300</v>
      </c>
      <c r="C12" s="1104"/>
      <c r="D12" s="291"/>
    </row>
    <row r="13" spans="1:5" ht="12.75">
      <c r="A13" s="17" t="s">
        <v>82</v>
      </c>
      <c r="B13" s="18">
        <v>300</v>
      </c>
      <c r="C13" s="1104"/>
      <c r="D13" s="291"/>
    </row>
    <row r="14" spans="1:5" ht="12.75">
      <c r="A14" s="17" t="s">
        <v>1187</v>
      </c>
      <c r="B14" s="18">
        <v>300</v>
      </c>
      <c r="C14" s="1104"/>
      <c r="D14" s="291"/>
    </row>
    <row r="15" spans="1:5" ht="12.75">
      <c r="A15" s="17" t="s">
        <v>83</v>
      </c>
      <c r="B15" s="18">
        <v>300</v>
      </c>
      <c r="C15" s="1104"/>
      <c r="D15" s="291"/>
    </row>
    <row r="16" spans="1:5" ht="12.75">
      <c r="A16" s="17" t="s">
        <v>84</v>
      </c>
      <c r="B16" s="18">
        <v>300</v>
      </c>
      <c r="C16" s="1104"/>
      <c r="D16" s="291"/>
    </row>
    <row r="17" spans="1:4" ht="12.75">
      <c r="A17" s="17" t="s">
        <v>85</v>
      </c>
      <c r="B17" s="18">
        <v>300</v>
      </c>
      <c r="C17" s="1104"/>
      <c r="D17" s="291"/>
    </row>
    <row r="18" spans="1:4" ht="12.75">
      <c r="A18" s="17" t="s">
        <v>86</v>
      </c>
      <c r="B18" s="18">
        <v>300</v>
      </c>
      <c r="C18" s="1104"/>
      <c r="D18" s="291"/>
    </row>
    <row r="19" spans="1:4" ht="12.75">
      <c r="A19" s="17" t="s">
        <v>87</v>
      </c>
      <c r="B19" s="18">
        <v>300</v>
      </c>
      <c r="C19" s="1104"/>
      <c r="D19" s="291"/>
    </row>
    <row r="20" spans="1:4" ht="12.75">
      <c r="A20" s="17" t="s">
        <v>88</v>
      </c>
      <c r="B20" s="18">
        <v>300</v>
      </c>
      <c r="C20" s="1104"/>
      <c r="D20" s="291"/>
    </row>
    <row r="21" spans="1:4" ht="12.75">
      <c r="A21" s="17" t="s">
        <v>89</v>
      </c>
      <c r="B21" s="18">
        <v>300</v>
      </c>
      <c r="C21" s="1104"/>
      <c r="D21" s="291"/>
    </row>
    <row r="22" spans="1:4" ht="12.75">
      <c r="A22" s="17" t="s">
        <v>90</v>
      </c>
      <c r="B22" s="18">
        <v>300</v>
      </c>
      <c r="C22" s="1104"/>
      <c r="D22" s="291"/>
    </row>
    <row r="23" spans="1:4" ht="12.75">
      <c r="A23" s="17" t="s">
        <v>91</v>
      </c>
      <c r="B23" s="18">
        <v>300</v>
      </c>
      <c r="C23" s="1104"/>
      <c r="D23" s="291"/>
    </row>
    <row r="24" spans="1:4" ht="12.75">
      <c r="A24" s="17" t="s">
        <v>92</v>
      </c>
      <c r="B24" s="18">
        <v>300</v>
      </c>
      <c r="C24" s="1104"/>
      <c r="D24" s="291"/>
    </row>
    <row r="25" spans="1:4" ht="12.75">
      <c r="A25" s="17" t="s">
        <v>93</v>
      </c>
      <c r="B25" s="18">
        <v>300</v>
      </c>
      <c r="C25" s="1104"/>
      <c r="D25" s="291"/>
    </row>
    <row r="26" spans="1:4" ht="12.75">
      <c r="A26" s="17" t="s">
        <v>94</v>
      </c>
      <c r="B26" s="18">
        <v>300</v>
      </c>
      <c r="C26" s="1104"/>
      <c r="D26" s="291"/>
    </row>
    <row r="27" spans="1:4" ht="12.75">
      <c r="A27" s="17" t="s">
        <v>95</v>
      </c>
      <c r="B27" s="18">
        <v>300</v>
      </c>
      <c r="C27" s="1104"/>
      <c r="D27" s="291"/>
    </row>
    <row r="28" spans="1:4" ht="12.75">
      <c r="A28" s="17" t="s">
        <v>96</v>
      </c>
      <c r="B28" s="18">
        <v>300</v>
      </c>
      <c r="C28" s="1104"/>
      <c r="D28" s="291"/>
    </row>
    <row r="29" spans="1:4" ht="12.75">
      <c r="A29" s="17" t="s">
        <v>1188</v>
      </c>
      <c r="B29" s="18">
        <v>300</v>
      </c>
      <c r="C29" s="1104"/>
      <c r="D29" s="291"/>
    </row>
    <row r="30" spans="1:4" ht="12.75">
      <c r="A30" s="17" t="s">
        <v>97</v>
      </c>
      <c r="B30" s="18">
        <v>300</v>
      </c>
      <c r="C30" s="1104"/>
      <c r="D30" s="291"/>
    </row>
    <row r="31" spans="1:4" ht="12.75">
      <c r="A31" s="17" t="s">
        <v>1189</v>
      </c>
      <c r="B31" s="18">
        <v>300</v>
      </c>
      <c r="C31" s="1104"/>
      <c r="D31" s="291"/>
    </row>
    <row r="32" spans="1:4" ht="12.75">
      <c r="A32" s="17" t="s">
        <v>98</v>
      </c>
      <c r="B32" s="18">
        <v>300</v>
      </c>
      <c r="C32" s="1104"/>
      <c r="D32" s="291"/>
    </row>
    <row r="33" spans="1:4" ht="12.75">
      <c r="A33" s="17" t="s">
        <v>1190</v>
      </c>
      <c r="B33" s="18">
        <v>300</v>
      </c>
      <c r="C33" s="1104"/>
      <c r="D33" s="291"/>
    </row>
    <row r="34" spans="1:4" ht="12.75">
      <c r="A34" s="17" t="s">
        <v>99</v>
      </c>
      <c r="B34" s="18">
        <v>300</v>
      </c>
      <c r="C34" s="1104"/>
      <c r="D34" s="291"/>
    </row>
    <row r="35" spans="1:4" ht="12.75">
      <c r="A35" s="17" t="s">
        <v>100</v>
      </c>
      <c r="B35" s="18">
        <v>300</v>
      </c>
      <c r="C35" s="1104"/>
      <c r="D35" s="291"/>
    </row>
    <row r="36" spans="1:4" ht="12.75">
      <c r="A36" s="17" t="s">
        <v>101</v>
      </c>
      <c r="B36" s="18">
        <v>300</v>
      </c>
      <c r="C36" s="1104"/>
      <c r="D36" s="291"/>
    </row>
    <row r="37" spans="1:4" ht="12.75">
      <c r="A37" s="17" t="s">
        <v>102</v>
      </c>
      <c r="B37" s="18">
        <v>300</v>
      </c>
      <c r="C37" s="1104"/>
      <c r="D37" s="291"/>
    </row>
    <row r="38" spans="1:4" ht="12.75">
      <c r="A38" s="17" t="s">
        <v>103</v>
      </c>
      <c r="B38" s="18">
        <v>300</v>
      </c>
      <c r="C38" s="1104"/>
      <c r="D38" s="291"/>
    </row>
    <row r="39" spans="1:4" ht="12.75">
      <c r="A39" s="17" t="s">
        <v>104</v>
      </c>
      <c r="B39" s="18">
        <v>300</v>
      </c>
      <c r="C39" s="1104"/>
      <c r="D39" s="291"/>
    </row>
    <row r="40" spans="1:4" ht="12.75">
      <c r="A40" s="17" t="s">
        <v>105</v>
      </c>
      <c r="B40" s="18">
        <v>300</v>
      </c>
      <c r="C40" s="1104"/>
      <c r="D40" s="291"/>
    </row>
    <row r="41" spans="1:4" ht="12.75">
      <c r="A41" s="17" t="s">
        <v>106</v>
      </c>
      <c r="B41" s="18">
        <v>300</v>
      </c>
      <c r="C41" s="1104"/>
      <c r="D41" s="291"/>
    </row>
    <row r="42" spans="1:4" ht="12.75">
      <c r="A42" s="17" t="s">
        <v>107</v>
      </c>
      <c r="B42" s="18">
        <v>300</v>
      </c>
      <c r="C42" s="1104"/>
      <c r="D42" s="291"/>
    </row>
    <row r="43" spans="1:4" ht="12.75">
      <c r="A43" s="17" t="s">
        <v>108</v>
      </c>
      <c r="B43" s="18">
        <v>300</v>
      </c>
      <c r="C43" s="1104"/>
      <c r="D43" s="291"/>
    </row>
    <row r="44" spans="1:4" ht="12.75">
      <c r="A44" s="17" t="s">
        <v>109</v>
      </c>
      <c r="B44" s="18">
        <v>300</v>
      </c>
      <c r="C44" s="1104"/>
      <c r="D44" s="291"/>
    </row>
    <row r="45" spans="1:4" ht="12.75">
      <c r="A45" s="17" t="s">
        <v>110</v>
      </c>
      <c r="B45" s="18">
        <v>300</v>
      </c>
      <c r="C45" s="1104"/>
      <c r="D45" s="291"/>
    </row>
    <row r="46" spans="1:4" ht="12.75">
      <c r="A46" s="17" t="s">
        <v>111</v>
      </c>
      <c r="B46" s="18">
        <v>300</v>
      </c>
      <c r="C46" s="1104"/>
      <c r="D46" s="291"/>
    </row>
    <row r="47" spans="1:4" ht="12.75">
      <c r="A47" s="17" t="s">
        <v>112</v>
      </c>
      <c r="B47" s="18">
        <v>300</v>
      </c>
      <c r="C47" s="1104"/>
      <c r="D47" s="291"/>
    </row>
    <row r="48" spans="1:4" ht="12.75">
      <c r="A48" s="17" t="s">
        <v>1191</v>
      </c>
      <c r="B48" s="18">
        <v>300</v>
      </c>
      <c r="C48" s="1104"/>
      <c r="D48" s="291"/>
    </row>
    <row r="49" spans="1:4" ht="12.75">
      <c r="A49" s="17" t="s">
        <v>113</v>
      </c>
      <c r="B49" s="18">
        <v>300</v>
      </c>
      <c r="C49" s="1104"/>
      <c r="D49" s="291"/>
    </row>
    <row r="50" spans="1:4" ht="12.75">
      <c r="A50" s="17" t="s">
        <v>1192</v>
      </c>
      <c r="B50" s="18">
        <v>300</v>
      </c>
      <c r="C50" s="1104"/>
      <c r="D50" s="291"/>
    </row>
    <row r="51" spans="1:4" ht="12.75">
      <c r="A51" s="17" t="s">
        <v>114</v>
      </c>
      <c r="B51" s="18">
        <v>300</v>
      </c>
      <c r="C51" s="1104"/>
      <c r="D51" s="291"/>
    </row>
    <row r="52" spans="1:4" ht="12.75">
      <c r="A52" s="17" t="s">
        <v>1193</v>
      </c>
      <c r="B52" s="18">
        <v>300</v>
      </c>
      <c r="C52" s="1104"/>
      <c r="D52" s="291"/>
    </row>
    <row r="53" spans="1:4" ht="12.75">
      <c r="A53" s="17" t="s">
        <v>115</v>
      </c>
      <c r="B53" s="18">
        <v>300</v>
      </c>
      <c r="C53" s="1104"/>
      <c r="D53" s="291"/>
    </row>
    <row r="54" spans="1:4" ht="12.75">
      <c r="A54" s="17" t="s">
        <v>116</v>
      </c>
      <c r="B54" s="18">
        <v>300</v>
      </c>
      <c r="C54" s="1104"/>
      <c r="D54" s="291"/>
    </row>
    <row r="55" spans="1:4" ht="12.75">
      <c r="A55" s="17" t="s">
        <v>117</v>
      </c>
      <c r="B55" s="18">
        <v>300</v>
      </c>
      <c r="C55" s="1104"/>
      <c r="D55" s="291"/>
    </row>
    <row r="56" spans="1:4" ht="12.75">
      <c r="A56" s="17" t="s">
        <v>118</v>
      </c>
      <c r="B56" s="18">
        <v>300</v>
      </c>
      <c r="C56" s="1104"/>
      <c r="D56" s="291"/>
    </row>
    <row r="57" spans="1:4" ht="12.75">
      <c r="A57" s="17" t="s">
        <v>119</v>
      </c>
      <c r="B57" s="18">
        <v>300</v>
      </c>
      <c r="C57" s="1104"/>
      <c r="D57" s="291"/>
    </row>
    <row r="58" spans="1:4" ht="12.75">
      <c r="A58" s="17" t="s">
        <v>120</v>
      </c>
      <c r="B58" s="18">
        <v>300</v>
      </c>
      <c r="C58" s="1104"/>
      <c r="D58" s="291"/>
    </row>
    <row r="59" spans="1:4" ht="12.75">
      <c r="A59" s="17" t="s">
        <v>121</v>
      </c>
      <c r="B59" s="18">
        <v>300</v>
      </c>
      <c r="C59" s="1104"/>
      <c r="D59" s="291"/>
    </row>
    <row r="60" spans="1:4" ht="12.75">
      <c r="A60" s="17" t="s">
        <v>122</v>
      </c>
      <c r="B60" s="18">
        <v>300</v>
      </c>
      <c r="C60" s="1104"/>
      <c r="D60" s="291"/>
    </row>
    <row r="61" spans="1:4" ht="12.75">
      <c r="A61" s="17" t="s">
        <v>123</v>
      </c>
      <c r="B61" s="18">
        <v>300</v>
      </c>
      <c r="C61" s="1104"/>
      <c r="D61" s="291"/>
    </row>
    <row r="62" spans="1:4" ht="12.75">
      <c r="A62" s="17" t="s">
        <v>124</v>
      </c>
      <c r="B62" s="18">
        <v>300</v>
      </c>
      <c r="C62" s="1104"/>
      <c r="D62" s="291"/>
    </row>
    <row r="63" spans="1:4" ht="12.75">
      <c r="A63" s="17" t="s">
        <v>125</v>
      </c>
      <c r="B63" s="18">
        <v>240</v>
      </c>
      <c r="C63" s="1104"/>
      <c r="D63" s="291"/>
    </row>
    <row r="64" spans="1:4" ht="12.75">
      <c r="A64" s="17" t="s">
        <v>126</v>
      </c>
      <c r="B64" s="18">
        <v>240</v>
      </c>
      <c r="C64" s="1104"/>
      <c r="D64" s="291"/>
    </row>
    <row r="65" spans="1:4" ht="12.75">
      <c r="A65" s="17" t="s">
        <v>127</v>
      </c>
      <c r="B65" s="18">
        <v>240</v>
      </c>
      <c r="C65" s="1104"/>
      <c r="D65" s="291"/>
    </row>
    <row r="66" spans="1:4" ht="12.75">
      <c r="A66" s="17" t="s">
        <v>128</v>
      </c>
      <c r="B66" s="18">
        <v>240</v>
      </c>
      <c r="C66" s="1104"/>
      <c r="D66" s="291"/>
    </row>
    <row r="67" spans="1:4" ht="12.75">
      <c r="A67" s="17" t="s">
        <v>1194</v>
      </c>
      <c r="B67" s="18">
        <v>240</v>
      </c>
      <c r="C67" s="1104"/>
      <c r="D67" s="291"/>
    </row>
    <row r="68" spans="1:4" ht="12.75">
      <c r="A68" s="17" t="s">
        <v>129</v>
      </c>
      <c r="B68" s="18">
        <v>240</v>
      </c>
      <c r="C68" s="1104"/>
      <c r="D68" s="291"/>
    </row>
    <row r="69" spans="1:4" ht="12.75">
      <c r="A69" s="17" t="s">
        <v>1195</v>
      </c>
      <c r="B69" s="18">
        <v>240</v>
      </c>
      <c r="C69" s="1104"/>
      <c r="D69" s="291"/>
    </row>
    <row r="70" spans="1:4" ht="12.75">
      <c r="A70" s="17" t="s">
        <v>130</v>
      </c>
      <c r="B70" s="18">
        <v>240</v>
      </c>
      <c r="C70" s="1104"/>
      <c r="D70" s="291"/>
    </row>
    <row r="71" spans="1:4" ht="12.75">
      <c r="A71" s="17" t="s">
        <v>1196</v>
      </c>
      <c r="B71" s="18">
        <v>240</v>
      </c>
      <c r="C71" s="1104"/>
      <c r="D71" s="291"/>
    </row>
    <row r="72" spans="1:4" ht="12.75">
      <c r="A72" s="17" t="s">
        <v>131</v>
      </c>
      <c r="B72" s="18">
        <v>240</v>
      </c>
      <c r="C72" s="1104"/>
      <c r="D72" s="291"/>
    </row>
    <row r="73" spans="1:4" ht="12.75">
      <c r="A73" s="17" t="s">
        <v>132</v>
      </c>
      <c r="B73" s="18">
        <v>240</v>
      </c>
      <c r="C73" s="1104"/>
      <c r="D73" s="291"/>
    </row>
    <row r="74" spans="1:4" ht="12.75">
      <c r="A74" s="17" t="s">
        <v>133</v>
      </c>
      <c r="B74" s="18">
        <v>240</v>
      </c>
      <c r="C74" s="1104"/>
      <c r="D74" s="291"/>
    </row>
    <row r="75" spans="1:4" ht="12.75">
      <c r="A75" s="17" t="s">
        <v>134</v>
      </c>
      <c r="B75" s="18">
        <v>240</v>
      </c>
      <c r="C75" s="1104"/>
      <c r="D75" s="291"/>
    </row>
    <row r="76" spans="1:4" ht="12.75">
      <c r="A76" s="17" t="s">
        <v>135</v>
      </c>
      <c r="B76" s="18">
        <v>240</v>
      </c>
      <c r="C76" s="1104"/>
      <c r="D76" s="291"/>
    </row>
    <row r="77" spans="1:4" ht="12.75">
      <c r="A77" s="17" t="s">
        <v>136</v>
      </c>
      <c r="B77" s="18">
        <v>240</v>
      </c>
      <c r="C77" s="1104"/>
      <c r="D77" s="291"/>
    </row>
    <row r="78" spans="1:4" ht="12.75">
      <c r="A78" s="17" t="s">
        <v>137</v>
      </c>
      <c r="B78" s="18">
        <v>240</v>
      </c>
      <c r="C78" s="1104"/>
      <c r="D78" s="291"/>
    </row>
    <row r="79" spans="1:4" ht="12.75">
      <c r="A79" s="17" t="s">
        <v>138</v>
      </c>
      <c r="B79" s="18">
        <v>240</v>
      </c>
      <c r="C79" s="1104"/>
      <c r="D79" s="291"/>
    </row>
    <row r="80" spans="1:4" ht="12.75">
      <c r="A80" s="17" t="s">
        <v>139</v>
      </c>
      <c r="B80" s="18">
        <v>240</v>
      </c>
      <c r="C80" s="1104"/>
      <c r="D80" s="291"/>
    </row>
    <row r="81" spans="1:4" ht="12.75">
      <c r="A81" s="17" t="s">
        <v>140</v>
      </c>
      <c r="B81" s="18">
        <v>240</v>
      </c>
      <c r="C81" s="1104"/>
      <c r="D81" s="291"/>
    </row>
    <row r="82" spans="1:4" ht="12.75">
      <c r="A82" s="17" t="s">
        <v>141</v>
      </c>
      <c r="B82" s="18">
        <v>240</v>
      </c>
      <c r="C82" s="1104"/>
      <c r="D82" s="291"/>
    </row>
    <row r="83" spans="1:4" ht="12.75">
      <c r="A83" s="17" t="s">
        <v>142</v>
      </c>
      <c r="B83" s="18">
        <v>240</v>
      </c>
      <c r="C83" s="1104"/>
      <c r="D83" s="291"/>
    </row>
    <row r="84" spans="1:4" ht="12.75">
      <c r="A84" s="17" t="s">
        <v>143</v>
      </c>
      <c r="B84" s="18">
        <v>240</v>
      </c>
      <c r="C84" s="1104"/>
      <c r="D84" s="291"/>
    </row>
    <row r="85" spans="1:4" ht="12.75">
      <c r="A85" s="17" t="s">
        <v>144</v>
      </c>
      <c r="B85" s="18">
        <v>240</v>
      </c>
      <c r="C85" s="1104"/>
      <c r="D85" s="291"/>
    </row>
    <row r="86" spans="1:4" ht="12.75">
      <c r="A86" s="17" t="s">
        <v>1197</v>
      </c>
      <c r="B86" s="18">
        <v>240</v>
      </c>
      <c r="C86" s="1104"/>
      <c r="D86" s="291"/>
    </row>
    <row r="87" spans="1:4" ht="12.75">
      <c r="A87" s="17" t="s">
        <v>145</v>
      </c>
      <c r="B87" s="18">
        <v>240</v>
      </c>
      <c r="C87" s="1104"/>
      <c r="D87" s="291"/>
    </row>
    <row r="88" spans="1:4" ht="12.75">
      <c r="A88" s="17" t="s">
        <v>1198</v>
      </c>
      <c r="B88" s="18">
        <v>240</v>
      </c>
      <c r="C88" s="1104"/>
      <c r="D88" s="291"/>
    </row>
    <row r="89" spans="1:4" ht="12.75">
      <c r="A89" s="17" t="s">
        <v>146</v>
      </c>
      <c r="B89" s="18">
        <v>240</v>
      </c>
      <c r="C89" s="1104"/>
      <c r="D89" s="291"/>
    </row>
    <row r="90" spans="1:4" ht="12.75">
      <c r="A90" s="17" t="s">
        <v>1199</v>
      </c>
      <c r="B90" s="18">
        <v>240</v>
      </c>
      <c r="C90" s="1104"/>
      <c r="D90" s="291"/>
    </row>
    <row r="91" spans="1:4" ht="12.75">
      <c r="A91" s="17" t="s">
        <v>147</v>
      </c>
      <c r="B91" s="18">
        <v>240</v>
      </c>
      <c r="C91" s="1104"/>
      <c r="D91" s="291"/>
    </row>
    <row r="92" spans="1:4" ht="12.75">
      <c r="A92" s="17" t="s">
        <v>148</v>
      </c>
      <c r="B92" s="18">
        <v>240</v>
      </c>
      <c r="C92" s="1104"/>
      <c r="D92" s="291"/>
    </row>
    <row r="93" spans="1:4" ht="12.75">
      <c r="A93" s="17" t="s">
        <v>149</v>
      </c>
      <c r="B93" s="18">
        <v>240</v>
      </c>
      <c r="C93" s="1104"/>
      <c r="D93" s="291"/>
    </row>
    <row r="94" spans="1:4" ht="12.75">
      <c r="A94" s="17" t="s">
        <v>150</v>
      </c>
      <c r="B94" s="18">
        <v>240</v>
      </c>
      <c r="C94" s="1104"/>
      <c r="D94" s="291"/>
    </row>
    <row r="95" spans="1:4" ht="12.75">
      <c r="A95" s="17" t="s">
        <v>151</v>
      </c>
      <c r="B95" s="18">
        <v>240</v>
      </c>
      <c r="C95" s="1104"/>
      <c r="D95" s="291"/>
    </row>
    <row r="96" spans="1:4" ht="12.75">
      <c r="A96" s="17" t="s">
        <v>152</v>
      </c>
      <c r="B96" s="18">
        <v>240</v>
      </c>
      <c r="C96" s="1104"/>
      <c r="D96" s="291"/>
    </row>
    <row r="97" spans="1:4" ht="12.75">
      <c r="A97" s="17" t="s">
        <v>153</v>
      </c>
      <c r="B97" s="18">
        <v>240</v>
      </c>
      <c r="C97" s="1104"/>
      <c r="D97" s="291"/>
    </row>
    <row r="98" spans="1:4" ht="12.75">
      <c r="A98" s="17" t="s">
        <v>154</v>
      </c>
      <c r="B98" s="18">
        <v>240</v>
      </c>
      <c r="C98" s="1104"/>
      <c r="D98" s="291"/>
    </row>
    <row r="99" spans="1:4" ht="12.75">
      <c r="A99" s="17" t="s">
        <v>155</v>
      </c>
      <c r="B99" s="18">
        <v>240</v>
      </c>
      <c r="C99" s="1104"/>
      <c r="D99" s="291"/>
    </row>
    <row r="100" spans="1:4" ht="12.75">
      <c r="A100" s="17" t="s">
        <v>156</v>
      </c>
      <c r="B100" s="18">
        <v>240</v>
      </c>
      <c r="C100" s="1104"/>
      <c r="D100" s="291"/>
    </row>
    <row r="101" spans="1:4" ht="12.75">
      <c r="A101" s="17" t="s">
        <v>157</v>
      </c>
      <c r="B101" s="18">
        <v>240</v>
      </c>
      <c r="C101" s="1104"/>
      <c r="D101" s="291"/>
    </row>
    <row r="102" spans="1:4" ht="12.75">
      <c r="A102" s="17" t="s">
        <v>158</v>
      </c>
      <c r="B102" s="18">
        <v>240</v>
      </c>
      <c r="C102" s="1104"/>
      <c r="D102" s="291"/>
    </row>
    <row r="103" spans="1:4" ht="12.75">
      <c r="A103" s="17" t="s">
        <v>159</v>
      </c>
      <c r="B103" s="18">
        <v>240</v>
      </c>
      <c r="C103" s="1104"/>
      <c r="D103" s="291"/>
    </row>
    <row r="104" spans="1:4" ht="12.75">
      <c r="A104" s="17" t="s">
        <v>160</v>
      </c>
      <c r="B104" s="18">
        <v>240</v>
      </c>
      <c r="C104" s="1104"/>
      <c r="D104" s="291"/>
    </row>
    <row r="105" spans="1:4" ht="12.75">
      <c r="A105" s="17" t="s">
        <v>1200</v>
      </c>
      <c r="B105" s="18">
        <v>240</v>
      </c>
      <c r="C105" s="1104"/>
      <c r="D105" s="291"/>
    </row>
    <row r="106" spans="1:4" ht="12.75">
      <c r="A106" s="17" t="s">
        <v>161</v>
      </c>
      <c r="B106" s="18">
        <v>240</v>
      </c>
      <c r="C106" s="1104"/>
      <c r="D106" s="291"/>
    </row>
    <row r="107" spans="1:4" ht="12.75">
      <c r="A107" s="17" t="s">
        <v>1201</v>
      </c>
      <c r="B107" s="18">
        <v>240</v>
      </c>
      <c r="C107" s="1104"/>
      <c r="D107" s="291"/>
    </row>
    <row r="108" spans="1:4" ht="12.75">
      <c r="A108" s="17" t="s">
        <v>162</v>
      </c>
      <c r="B108" s="18">
        <v>240</v>
      </c>
      <c r="C108" s="1104"/>
      <c r="D108" s="291"/>
    </row>
    <row r="109" spans="1:4" ht="12.75">
      <c r="A109" s="17" t="s">
        <v>1202</v>
      </c>
      <c r="B109" s="18">
        <v>240</v>
      </c>
      <c r="C109" s="1104"/>
      <c r="D109" s="291"/>
    </row>
    <row r="110" spans="1:4" ht="12.75">
      <c r="A110" s="17" t="s">
        <v>163</v>
      </c>
      <c r="B110" s="18">
        <v>240</v>
      </c>
      <c r="C110" s="1104"/>
      <c r="D110" s="291"/>
    </row>
    <row r="111" spans="1:4" ht="12.75">
      <c r="A111" s="17" t="s">
        <v>164</v>
      </c>
      <c r="B111" s="18">
        <v>240</v>
      </c>
      <c r="C111" s="1104"/>
      <c r="D111" s="291"/>
    </row>
    <row r="112" spans="1:4" ht="12.75">
      <c r="A112" s="17" t="s">
        <v>165</v>
      </c>
      <c r="B112" s="18">
        <v>240</v>
      </c>
      <c r="C112" s="1104"/>
      <c r="D112" s="291"/>
    </row>
    <row r="113" spans="1:4" ht="12.75">
      <c r="A113" s="17" t="s">
        <v>166</v>
      </c>
      <c r="B113" s="18">
        <v>240</v>
      </c>
      <c r="C113" s="1104"/>
      <c r="D113" s="291"/>
    </row>
    <row r="114" spans="1:4" ht="12.75">
      <c r="A114" s="17" t="s">
        <v>167</v>
      </c>
      <c r="B114" s="18">
        <v>240</v>
      </c>
      <c r="C114" s="1104"/>
      <c r="D114" s="291"/>
    </row>
    <row r="115" spans="1:4" ht="12.75">
      <c r="A115" s="17" t="s">
        <v>168</v>
      </c>
      <c r="B115" s="18">
        <v>240</v>
      </c>
      <c r="C115" s="1104"/>
      <c r="D115" s="291"/>
    </row>
    <row r="116" spans="1:4" ht="12.75">
      <c r="A116" s="17" t="s">
        <v>169</v>
      </c>
      <c r="B116" s="18">
        <v>240</v>
      </c>
      <c r="C116" s="1104"/>
      <c r="D116" s="291"/>
    </row>
    <row r="117" spans="1:4" ht="12.75">
      <c r="A117" s="17" t="s">
        <v>170</v>
      </c>
      <c r="B117" s="18">
        <v>240</v>
      </c>
      <c r="C117" s="1104"/>
      <c r="D117" s="291"/>
    </row>
    <row r="118" spans="1:4" ht="12.75">
      <c r="A118" s="17" t="s">
        <v>171</v>
      </c>
      <c r="B118" s="18">
        <v>240</v>
      </c>
      <c r="C118" s="1104"/>
      <c r="D118" s="291"/>
    </row>
    <row r="119" spans="1:4" ht="12.75">
      <c r="A119" s="17" t="s">
        <v>172</v>
      </c>
      <c r="B119" s="18">
        <v>240</v>
      </c>
      <c r="C119" s="1104"/>
      <c r="D119" s="291"/>
    </row>
    <row r="120" spans="1:4" ht="12.75">
      <c r="A120" s="17" t="s">
        <v>173</v>
      </c>
      <c r="B120" s="18">
        <v>180</v>
      </c>
      <c r="C120" s="1104"/>
      <c r="D120" s="291"/>
    </row>
    <row r="121" spans="1:4" ht="12.75">
      <c r="A121" s="17" t="s">
        <v>174</v>
      </c>
      <c r="B121" s="18">
        <v>180</v>
      </c>
      <c r="C121" s="1104"/>
      <c r="D121" s="291"/>
    </row>
    <row r="122" spans="1:4" ht="12.75">
      <c r="A122" s="17" t="s">
        <v>175</v>
      </c>
      <c r="B122" s="18">
        <v>180</v>
      </c>
      <c r="C122" s="1104"/>
      <c r="D122" s="291"/>
    </row>
    <row r="123" spans="1:4" ht="12.75">
      <c r="A123" s="17" t="s">
        <v>176</v>
      </c>
      <c r="B123" s="18">
        <v>180</v>
      </c>
      <c r="C123" s="1104"/>
      <c r="D123" s="291"/>
    </row>
    <row r="124" spans="1:4" ht="12.75">
      <c r="A124" s="17" t="s">
        <v>1203</v>
      </c>
      <c r="B124" s="18">
        <v>180</v>
      </c>
      <c r="C124" s="1104"/>
      <c r="D124" s="291"/>
    </row>
    <row r="125" spans="1:4" ht="12.75">
      <c r="A125" s="17" t="s">
        <v>177</v>
      </c>
      <c r="B125" s="18">
        <v>180</v>
      </c>
      <c r="C125" s="1104"/>
      <c r="D125" s="291"/>
    </row>
    <row r="126" spans="1:4" ht="12.75">
      <c r="A126" s="17" t="s">
        <v>1204</v>
      </c>
      <c r="B126" s="18">
        <v>180</v>
      </c>
      <c r="C126" s="1104"/>
      <c r="D126" s="291"/>
    </row>
    <row r="127" spans="1:4" ht="12.75">
      <c r="A127" s="17" t="s">
        <v>178</v>
      </c>
      <c r="B127" s="18">
        <v>180</v>
      </c>
      <c r="C127" s="1104"/>
      <c r="D127" s="291"/>
    </row>
    <row r="128" spans="1:4" ht="12.75">
      <c r="A128" s="17" t="s">
        <v>1205</v>
      </c>
      <c r="B128" s="18">
        <v>180</v>
      </c>
      <c r="C128" s="1104"/>
      <c r="D128" s="291"/>
    </row>
    <row r="129" spans="1:4" ht="12.75">
      <c r="A129" s="17" t="s">
        <v>179</v>
      </c>
      <c r="B129" s="18">
        <v>180</v>
      </c>
      <c r="C129" s="1104"/>
      <c r="D129" s="291"/>
    </row>
    <row r="130" spans="1:4" ht="12.75">
      <c r="A130" s="17" t="s">
        <v>180</v>
      </c>
      <c r="B130" s="18">
        <v>180</v>
      </c>
      <c r="C130" s="1104"/>
      <c r="D130" s="291"/>
    </row>
    <row r="131" spans="1:4" ht="12.75">
      <c r="A131" s="17" t="s">
        <v>181</v>
      </c>
      <c r="B131" s="18">
        <v>180</v>
      </c>
      <c r="C131" s="1104"/>
      <c r="D131" s="291"/>
    </row>
    <row r="132" spans="1:4" ht="12.75">
      <c r="A132" s="17" t="s">
        <v>182</v>
      </c>
      <c r="B132" s="18">
        <v>180</v>
      </c>
      <c r="C132" s="1104"/>
      <c r="D132" s="291"/>
    </row>
    <row r="133" spans="1:4" ht="12.75">
      <c r="A133" s="17" t="s">
        <v>183</v>
      </c>
      <c r="B133" s="18">
        <v>180</v>
      </c>
      <c r="C133" s="1104"/>
      <c r="D133" s="291"/>
    </row>
    <row r="134" spans="1:4" ht="12.75">
      <c r="A134" s="17" t="s">
        <v>184</v>
      </c>
      <c r="B134" s="18">
        <v>180</v>
      </c>
      <c r="C134" s="1104"/>
      <c r="D134" s="291"/>
    </row>
    <row r="135" spans="1:4" ht="12.75">
      <c r="A135" s="17" t="s">
        <v>185</v>
      </c>
      <c r="B135" s="18">
        <v>180</v>
      </c>
      <c r="C135" s="1104"/>
      <c r="D135" s="291"/>
    </row>
    <row r="136" spans="1:4" ht="12.75">
      <c r="A136" s="17" t="s">
        <v>186</v>
      </c>
      <c r="B136" s="18">
        <v>180</v>
      </c>
      <c r="C136" s="1104"/>
      <c r="D136" s="291"/>
    </row>
    <row r="137" spans="1:4" ht="12.75">
      <c r="A137" s="17" t="s">
        <v>187</v>
      </c>
      <c r="B137" s="18">
        <v>180</v>
      </c>
      <c r="C137" s="1104"/>
      <c r="D137" s="291"/>
    </row>
    <row r="138" spans="1:4" ht="12.75">
      <c r="A138" s="17" t="s">
        <v>188</v>
      </c>
      <c r="B138" s="18">
        <v>180</v>
      </c>
      <c r="C138" s="1104"/>
      <c r="D138" s="291"/>
    </row>
    <row r="139" spans="1:4" ht="12.75">
      <c r="A139" s="17" t="s">
        <v>189</v>
      </c>
      <c r="B139" s="18">
        <v>180</v>
      </c>
      <c r="C139" s="1104"/>
      <c r="D139" s="291"/>
    </row>
    <row r="140" spans="1:4" ht="12.75">
      <c r="A140" s="17" t="s">
        <v>190</v>
      </c>
      <c r="B140" s="18">
        <v>180</v>
      </c>
      <c r="C140" s="1104"/>
      <c r="D140" s="291"/>
    </row>
    <row r="141" spans="1:4" ht="12.75">
      <c r="A141" s="17" t="s">
        <v>191</v>
      </c>
      <c r="B141" s="18">
        <v>180</v>
      </c>
      <c r="C141" s="1104"/>
      <c r="D141" s="291"/>
    </row>
    <row r="142" spans="1:4" ht="12.75">
      <c r="A142" s="17" t="s">
        <v>192</v>
      </c>
      <c r="B142" s="18">
        <v>180</v>
      </c>
      <c r="C142" s="1104"/>
      <c r="D142" s="291"/>
    </row>
    <row r="143" spans="1:4" ht="12.75">
      <c r="A143" s="17" t="s">
        <v>1206</v>
      </c>
      <c r="B143" s="18">
        <v>180</v>
      </c>
      <c r="C143" s="1104"/>
      <c r="D143" s="291"/>
    </row>
    <row r="144" spans="1:4" ht="12.75">
      <c r="A144" s="17" t="s">
        <v>193</v>
      </c>
      <c r="B144" s="18">
        <v>180</v>
      </c>
      <c r="C144" s="1104"/>
      <c r="D144" s="291"/>
    </row>
    <row r="145" spans="1:4" ht="12.75">
      <c r="A145" s="17" t="s">
        <v>1207</v>
      </c>
      <c r="B145" s="18">
        <v>180</v>
      </c>
      <c r="C145" s="1104"/>
      <c r="D145" s="291"/>
    </row>
    <row r="146" spans="1:4" ht="12.75">
      <c r="A146" s="17" t="s">
        <v>194</v>
      </c>
      <c r="B146" s="18">
        <v>180</v>
      </c>
      <c r="C146" s="1104"/>
      <c r="D146" s="291"/>
    </row>
    <row r="147" spans="1:4" ht="12.75">
      <c r="A147" s="17" t="s">
        <v>1208</v>
      </c>
      <c r="B147" s="18">
        <v>180</v>
      </c>
      <c r="C147" s="1104"/>
      <c r="D147" s="291"/>
    </row>
    <row r="148" spans="1:4" ht="12.75">
      <c r="A148" s="17" t="s">
        <v>195</v>
      </c>
      <c r="B148" s="18">
        <v>180</v>
      </c>
      <c r="C148" s="1104"/>
      <c r="D148" s="291"/>
    </row>
    <row r="149" spans="1:4" ht="12.75">
      <c r="A149" s="17" t="s">
        <v>196</v>
      </c>
      <c r="B149" s="18">
        <v>180</v>
      </c>
      <c r="C149" s="1104"/>
      <c r="D149" s="291"/>
    </row>
    <row r="150" spans="1:4" ht="12.75">
      <c r="A150" s="17" t="s">
        <v>197</v>
      </c>
      <c r="B150" s="18">
        <v>180</v>
      </c>
      <c r="C150" s="1104"/>
      <c r="D150" s="291"/>
    </row>
    <row r="151" spans="1:4" ht="12.75">
      <c r="A151" s="17" t="s">
        <v>198</v>
      </c>
      <c r="B151" s="18">
        <v>180</v>
      </c>
      <c r="C151" s="1104"/>
      <c r="D151" s="291"/>
    </row>
    <row r="152" spans="1:4" ht="12.75">
      <c r="A152" s="17" t="s">
        <v>199</v>
      </c>
      <c r="B152" s="18">
        <v>180</v>
      </c>
      <c r="C152" s="1104"/>
      <c r="D152" s="291"/>
    </row>
    <row r="153" spans="1:4" ht="12.75">
      <c r="A153" s="17" t="s">
        <v>200</v>
      </c>
      <c r="B153" s="18">
        <v>180</v>
      </c>
      <c r="C153" s="1104"/>
      <c r="D153" s="291"/>
    </row>
    <row r="154" spans="1:4" ht="12.75">
      <c r="A154" s="17" t="s">
        <v>201</v>
      </c>
      <c r="B154" s="18">
        <v>180</v>
      </c>
      <c r="C154" s="1104"/>
      <c r="D154" s="291"/>
    </row>
    <row r="155" spans="1:4" ht="12.75">
      <c r="A155" s="17" t="s">
        <v>202</v>
      </c>
      <c r="B155" s="18">
        <v>180</v>
      </c>
      <c r="C155" s="1104"/>
      <c r="D155" s="291"/>
    </row>
    <row r="156" spans="1:4" ht="12.75">
      <c r="A156" s="17" t="s">
        <v>203</v>
      </c>
      <c r="B156" s="18">
        <v>180</v>
      </c>
      <c r="C156" s="1104"/>
      <c r="D156" s="291"/>
    </row>
    <row r="157" spans="1:4" ht="12.75">
      <c r="A157" s="17" t="s">
        <v>204</v>
      </c>
      <c r="B157" s="18">
        <v>180</v>
      </c>
      <c r="C157" s="1104"/>
      <c r="D157" s="291"/>
    </row>
    <row r="158" spans="1:4" ht="12.75">
      <c r="A158" s="17" t="s">
        <v>205</v>
      </c>
      <c r="B158" s="18">
        <v>180</v>
      </c>
      <c r="C158" s="1104"/>
      <c r="D158" s="291"/>
    </row>
    <row r="159" spans="1:4" ht="12.75">
      <c r="A159" s="17" t="s">
        <v>206</v>
      </c>
      <c r="B159" s="18">
        <v>180</v>
      </c>
      <c r="C159" s="1104"/>
      <c r="D159" s="291"/>
    </row>
    <row r="160" spans="1:4" ht="12.75">
      <c r="A160" s="17" t="s">
        <v>207</v>
      </c>
      <c r="B160" s="18">
        <v>180</v>
      </c>
      <c r="C160" s="1104"/>
      <c r="D160" s="291"/>
    </row>
    <row r="161" spans="1:4" ht="12.75">
      <c r="A161" s="17" t="s">
        <v>208</v>
      </c>
      <c r="B161" s="18">
        <v>180</v>
      </c>
      <c r="C161" s="1104"/>
      <c r="D161" s="291"/>
    </row>
    <row r="162" spans="1:4" ht="12.75">
      <c r="A162" s="17" t="s">
        <v>1184</v>
      </c>
      <c r="B162" s="18">
        <v>180</v>
      </c>
      <c r="C162" s="1104"/>
      <c r="D162" s="291"/>
    </row>
    <row r="163" spans="1:4" ht="12.75">
      <c r="A163" s="17" t="s">
        <v>209</v>
      </c>
      <c r="B163" s="18">
        <v>180</v>
      </c>
      <c r="C163" s="1104"/>
      <c r="D163" s="291"/>
    </row>
    <row r="164" spans="1:4" ht="12.75">
      <c r="A164" s="17" t="s">
        <v>1183</v>
      </c>
      <c r="B164" s="18">
        <v>180</v>
      </c>
      <c r="C164" s="1104"/>
      <c r="D164" s="291"/>
    </row>
    <row r="165" spans="1:4" ht="12.75">
      <c r="A165" s="17" t="s">
        <v>210</v>
      </c>
      <c r="B165" s="18">
        <v>180</v>
      </c>
      <c r="C165" s="1104"/>
      <c r="D165" s="291"/>
    </row>
    <row r="166" spans="1:4" ht="12.75">
      <c r="A166" s="17" t="s">
        <v>1209</v>
      </c>
      <c r="B166" s="18">
        <v>180</v>
      </c>
      <c r="C166" s="1104"/>
      <c r="D166" s="291"/>
    </row>
    <row r="167" spans="1:4" ht="12.75">
      <c r="A167" s="17" t="s">
        <v>211</v>
      </c>
      <c r="B167" s="18">
        <v>180</v>
      </c>
      <c r="C167" s="1104"/>
      <c r="D167" s="291"/>
    </row>
    <row r="168" spans="1:4" ht="12.75">
      <c r="A168" s="17" t="s">
        <v>212</v>
      </c>
      <c r="B168" s="18">
        <v>180</v>
      </c>
      <c r="C168" s="1104"/>
      <c r="D168" s="291"/>
    </row>
    <row r="169" spans="1:4" ht="12.75">
      <c r="A169" s="17" t="s">
        <v>213</v>
      </c>
      <c r="B169" s="18">
        <v>180</v>
      </c>
      <c r="C169" s="1104"/>
      <c r="D169" s="291"/>
    </row>
    <row r="170" spans="1:4" ht="12.75">
      <c r="A170" s="17" t="s">
        <v>214</v>
      </c>
      <c r="B170" s="18">
        <v>180</v>
      </c>
      <c r="C170" s="1104"/>
      <c r="D170" s="291"/>
    </row>
    <row r="171" spans="1:4" ht="12.75">
      <c r="A171" s="17" t="s">
        <v>215</v>
      </c>
      <c r="B171" s="18">
        <v>180</v>
      </c>
      <c r="C171" s="1104"/>
      <c r="D171" s="291"/>
    </row>
    <row r="172" spans="1:4" ht="12.75">
      <c r="A172" s="17" t="s">
        <v>216</v>
      </c>
      <c r="B172" s="18">
        <v>180</v>
      </c>
      <c r="C172" s="1104"/>
      <c r="D172" s="291"/>
    </row>
    <row r="173" spans="1:4" ht="12.75">
      <c r="A173" s="17" t="s">
        <v>217</v>
      </c>
      <c r="B173" s="18">
        <v>180</v>
      </c>
      <c r="C173" s="1104"/>
      <c r="D173" s="291"/>
    </row>
    <row r="174" spans="1:4" ht="12.75">
      <c r="A174" s="17" t="s">
        <v>218</v>
      </c>
      <c r="B174" s="18">
        <v>180</v>
      </c>
      <c r="C174" s="1104"/>
      <c r="D174" s="291"/>
    </row>
    <row r="175" spans="1:4" ht="12.75">
      <c r="A175" s="17" t="s">
        <v>219</v>
      </c>
      <c r="B175" s="18">
        <v>180</v>
      </c>
      <c r="C175" s="1104"/>
      <c r="D175" s="291"/>
    </row>
    <row r="176" spans="1:4" ht="12.75">
      <c r="A176" s="17" t="s">
        <v>220</v>
      </c>
      <c r="B176" s="18">
        <v>180</v>
      </c>
      <c r="C176" s="1104"/>
      <c r="D176" s="291"/>
    </row>
    <row r="177" spans="1:4" ht="12.75">
      <c r="A177" s="17" t="s">
        <v>221</v>
      </c>
      <c r="B177" s="18">
        <v>210</v>
      </c>
      <c r="C177" s="1104"/>
      <c r="D177" s="291"/>
    </row>
    <row r="178" spans="1:4" ht="12.75">
      <c r="A178" s="17" t="s">
        <v>222</v>
      </c>
      <c r="B178" s="18">
        <v>210</v>
      </c>
      <c r="C178" s="1104"/>
      <c r="D178" s="291"/>
    </row>
    <row r="179" spans="1:4" ht="12.75">
      <c r="A179" s="17" t="s">
        <v>223</v>
      </c>
      <c r="B179" s="18">
        <v>210</v>
      </c>
      <c r="C179" s="1104"/>
      <c r="D179" s="291"/>
    </row>
    <row r="180" spans="1:4" ht="12.75">
      <c r="A180" s="17" t="s">
        <v>224</v>
      </c>
      <c r="B180" s="18">
        <v>210</v>
      </c>
      <c r="C180" s="1104"/>
      <c r="D180" s="291"/>
    </row>
    <row r="181" spans="1:4" ht="12.75">
      <c r="A181" s="17" t="s">
        <v>1210</v>
      </c>
      <c r="B181" s="18">
        <v>210</v>
      </c>
      <c r="C181" s="1104"/>
      <c r="D181" s="291"/>
    </row>
    <row r="182" spans="1:4" ht="12.75">
      <c r="A182" s="17" t="s">
        <v>225</v>
      </c>
      <c r="B182" s="18">
        <v>210</v>
      </c>
      <c r="C182" s="1104"/>
      <c r="D182" s="291"/>
    </row>
    <row r="183" spans="1:4" ht="12.75">
      <c r="A183" s="17" t="s">
        <v>1211</v>
      </c>
      <c r="B183" s="18">
        <v>210</v>
      </c>
      <c r="C183" s="1104"/>
      <c r="D183" s="291"/>
    </row>
    <row r="184" spans="1:4" ht="12.75">
      <c r="A184" s="17" t="s">
        <v>226</v>
      </c>
      <c r="B184" s="18">
        <v>210</v>
      </c>
      <c r="C184" s="1104"/>
      <c r="D184" s="291"/>
    </row>
    <row r="185" spans="1:4" ht="12.75">
      <c r="A185" s="17" t="s">
        <v>1212</v>
      </c>
      <c r="B185" s="18">
        <v>210</v>
      </c>
      <c r="C185" s="1104"/>
      <c r="D185" s="291"/>
    </row>
    <row r="186" spans="1:4" ht="12.75">
      <c r="A186" s="17" t="s">
        <v>227</v>
      </c>
      <c r="B186" s="18">
        <v>210</v>
      </c>
      <c r="C186" s="1104"/>
      <c r="D186" s="291"/>
    </row>
    <row r="187" spans="1:4" ht="12.75">
      <c r="A187" s="17" t="s">
        <v>228</v>
      </c>
      <c r="B187" s="18">
        <v>210</v>
      </c>
      <c r="C187" s="1104"/>
      <c r="D187" s="291"/>
    </row>
    <row r="188" spans="1:4" ht="12.75">
      <c r="A188" s="17" t="s">
        <v>229</v>
      </c>
      <c r="B188" s="18">
        <v>210</v>
      </c>
      <c r="C188" s="1104"/>
      <c r="D188" s="291"/>
    </row>
    <row r="189" spans="1:4" ht="12.75">
      <c r="A189" s="17" t="s">
        <v>230</v>
      </c>
      <c r="B189" s="18">
        <v>210</v>
      </c>
      <c r="C189" s="1104"/>
      <c r="D189" s="291"/>
    </row>
    <row r="190" spans="1:4" ht="12.75">
      <c r="A190" s="17" t="s">
        <v>231</v>
      </c>
      <c r="B190" s="18">
        <v>210</v>
      </c>
      <c r="C190" s="1104"/>
      <c r="D190" s="291"/>
    </row>
    <row r="191" spans="1:4" ht="12.75">
      <c r="A191" s="17" t="s">
        <v>232</v>
      </c>
      <c r="B191" s="18">
        <v>210</v>
      </c>
      <c r="C191" s="1104"/>
      <c r="D191" s="291"/>
    </row>
    <row r="192" spans="1:4" ht="12.75">
      <c r="A192" s="17" t="s">
        <v>233</v>
      </c>
      <c r="B192" s="18">
        <v>210</v>
      </c>
      <c r="C192" s="1104"/>
      <c r="D192" s="291"/>
    </row>
    <row r="193" spans="1:4" ht="12.75">
      <c r="A193" s="17" t="s">
        <v>234</v>
      </c>
      <c r="B193" s="18">
        <v>210</v>
      </c>
      <c r="C193" s="1104"/>
      <c r="D193" s="291"/>
    </row>
    <row r="194" spans="1:4" ht="12.75">
      <c r="A194" s="17" t="s">
        <v>235</v>
      </c>
      <c r="B194" s="18">
        <v>210</v>
      </c>
      <c r="C194" s="1104"/>
      <c r="D194" s="291"/>
    </row>
    <row r="195" spans="1:4" ht="12.75">
      <c r="A195" s="17" t="s">
        <v>236</v>
      </c>
      <c r="B195" s="18">
        <v>210</v>
      </c>
      <c r="C195" s="1104"/>
      <c r="D195" s="291"/>
    </row>
    <row r="196" spans="1:4" ht="12.75">
      <c r="A196" s="17" t="s">
        <v>237</v>
      </c>
      <c r="B196" s="18">
        <v>210</v>
      </c>
      <c r="C196" s="1104"/>
      <c r="D196" s="291"/>
    </row>
    <row r="197" spans="1:4" ht="12.75">
      <c r="A197" s="17" t="s">
        <v>238</v>
      </c>
      <c r="B197" s="18">
        <v>210</v>
      </c>
      <c r="C197" s="1104"/>
      <c r="D197" s="291"/>
    </row>
    <row r="198" spans="1:4" ht="12.75">
      <c r="A198" s="17" t="s">
        <v>239</v>
      </c>
      <c r="B198" s="18">
        <v>210</v>
      </c>
      <c r="C198" s="1104"/>
      <c r="D198" s="291"/>
    </row>
    <row r="199" spans="1:4" ht="12.75">
      <c r="A199" s="17" t="s">
        <v>240</v>
      </c>
      <c r="B199" s="18">
        <v>210</v>
      </c>
      <c r="C199" s="1104"/>
      <c r="D199" s="291"/>
    </row>
    <row r="200" spans="1:4" ht="12.75">
      <c r="A200" s="17" t="s">
        <v>1213</v>
      </c>
      <c r="B200" s="18">
        <v>210</v>
      </c>
      <c r="C200" s="1104"/>
      <c r="D200" s="291"/>
    </row>
    <row r="201" spans="1:4" ht="12.75">
      <c r="A201" s="17" t="s">
        <v>241</v>
      </c>
      <c r="B201" s="18">
        <v>210</v>
      </c>
      <c r="C201" s="1104"/>
      <c r="D201" s="291"/>
    </row>
    <row r="202" spans="1:4" ht="12.75">
      <c r="A202" s="17" t="s">
        <v>1214</v>
      </c>
      <c r="B202" s="18">
        <v>210</v>
      </c>
      <c r="C202" s="1104"/>
      <c r="D202" s="291"/>
    </row>
    <row r="203" spans="1:4" ht="12.75">
      <c r="A203" s="17" t="s">
        <v>242</v>
      </c>
      <c r="B203" s="18">
        <v>210</v>
      </c>
      <c r="C203" s="1104"/>
      <c r="D203" s="291"/>
    </row>
    <row r="204" spans="1:4" ht="12.75">
      <c r="A204" s="17" t="s">
        <v>1215</v>
      </c>
      <c r="B204" s="18">
        <v>210</v>
      </c>
      <c r="C204" s="1104"/>
      <c r="D204" s="291"/>
    </row>
    <row r="205" spans="1:4" ht="12.75">
      <c r="A205" s="17" t="s">
        <v>243</v>
      </c>
      <c r="B205" s="18">
        <v>210</v>
      </c>
      <c r="C205" s="1104"/>
      <c r="D205" s="291"/>
    </row>
    <row r="206" spans="1:4" ht="12.75">
      <c r="A206" s="17" t="s">
        <v>244</v>
      </c>
      <c r="B206" s="18">
        <v>210</v>
      </c>
      <c r="C206" s="1104"/>
      <c r="D206" s="291"/>
    </row>
    <row r="207" spans="1:4" ht="12.75">
      <c r="A207" s="17" t="s">
        <v>245</v>
      </c>
      <c r="B207" s="18">
        <v>210</v>
      </c>
      <c r="C207" s="1104"/>
      <c r="D207" s="291"/>
    </row>
    <row r="208" spans="1:4" ht="12.75">
      <c r="A208" s="17" t="s">
        <v>246</v>
      </c>
      <c r="B208" s="18">
        <v>210</v>
      </c>
      <c r="C208" s="1104"/>
      <c r="D208" s="291"/>
    </row>
    <row r="209" spans="1:4" ht="12.75">
      <c r="A209" s="17" t="s">
        <v>247</v>
      </c>
      <c r="B209" s="18">
        <v>210</v>
      </c>
      <c r="C209" s="1104"/>
      <c r="D209" s="291"/>
    </row>
    <row r="210" spans="1:4" ht="12.75">
      <c r="A210" s="17" t="s">
        <v>248</v>
      </c>
      <c r="B210" s="18">
        <v>210</v>
      </c>
      <c r="C210" s="1104"/>
      <c r="D210" s="291"/>
    </row>
    <row r="211" spans="1:4" ht="12.75">
      <c r="A211" s="17" t="s">
        <v>249</v>
      </c>
      <c r="B211" s="18">
        <v>210</v>
      </c>
      <c r="C211" s="1104"/>
      <c r="D211" s="291"/>
    </row>
    <row r="212" spans="1:4" ht="12.75">
      <c r="A212" s="17" t="s">
        <v>250</v>
      </c>
      <c r="B212" s="18">
        <v>210</v>
      </c>
      <c r="C212" s="1104"/>
      <c r="D212" s="291"/>
    </row>
    <row r="213" spans="1:4" ht="12.75">
      <c r="A213" s="17" t="s">
        <v>251</v>
      </c>
      <c r="B213" s="18">
        <v>210</v>
      </c>
      <c r="C213" s="1104"/>
      <c r="D213" s="291"/>
    </row>
    <row r="214" spans="1:4" ht="12.75">
      <c r="A214" s="17" t="s">
        <v>252</v>
      </c>
      <c r="B214" s="18">
        <v>210</v>
      </c>
      <c r="C214" s="1104"/>
      <c r="D214" s="291"/>
    </row>
    <row r="215" spans="1:4" ht="12.75">
      <c r="A215" s="17" t="s">
        <v>253</v>
      </c>
      <c r="B215" s="18">
        <v>210</v>
      </c>
      <c r="C215" s="1104"/>
      <c r="D215" s="291"/>
    </row>
    <row r="216" spans="1:4" ht="12.75">
      <c r="A216" s="17" t="s">
        <v>254</v>
      </c>
      <c r="B216" s="18">
        <v>210</v>
      </c>
      <c r="C216" s="1104"/>
      <c r="D216" s="291"/>
    </row>
    <row r="217" spans="1:4" ht="12.75">
      <c r="A217" s="17" t="s">
        <v>255</v>
      </c>
      <c r="B217" s="18">
        <v>210</v>
      </c>
      <c r="C217" s="1104"/>
      <c r="D217" s="291"/>
    </row>
    <row r="218" spans="1:4" ht="12.75">
      <c r="A218" s="17" t="s">
        <v>256</v>
      </c>
      <c r="B218" s="18">
        <v>210</v>
      </c>
      <c r="C218" s="1104"/>
      <c r="D218" s="291"/>
    </row>
    <row r="219" spans="1:4" ht="12.75">
      <c r="A219" s="17" t="s">
        <v>1216</v>
      </c>
      <c r="B219" s="18">
        <v>210</v>
      </c>
      <c r="C219" s="1104"/>
      <c r="D219" s="291"/>
    </row>
    <row r="220" spans="1:4" ht="12.75">
      <c r="A220" s="17" t="s">
        <v>257</v>
      </c>
      <c r="B220" s="18">
        <v>210</v>
      </c>
      <c r="C220" s="1104"/>
      <c r="D220" s="291"/>
    </row>
    <row r="221" spans="1:4" ht="12.75">
      <c r="A221" s="17" t="s">
        <v>1217</v>
      </c>
      <c r="B221" s="18">
        <v>210</v>
      </c>
      <c r="C221" s="1104"/>
      <c r="D221" s="291"/>
    </row>
    <row r="222" spans="1:4" ht="12.75">
      <c r="A222" s="17" t="s">
        <v>258</v>
      </c>
      <c r="B222" s="18">
        <v>210</v>
      </c>
      <c r="C222" s="1104"/>
      <c r="D222" s="291"/>
    </row>
    <row r="223" spans="1:4" ht="12.75">
      <c r="A223" s="17" t="s">
        <v>1218</v>
      </c>
      <c r="B223" s="18">
        <v>210</v>
      </c>
      <c r="C223" s="1104"/>
      <c r="D223" s="291"/>
    </row>
    <row r="224" spans="1:4" ht="12.75">
      <c r="A224" s="17" t="s">
        <v>259</v>
      </c>
      <c r="B224" s="18">
        <v>210</v>
      </c>
      <c r="C224" s="1104"/>
      <c r="D224" s="291"/>
    </row>
    <row r="225" spans="1:4" ht="12.75">
      <c r="A225" s="17" t="s">
        <v>1219</v>
      </c>
      <c r="B225" s="18">
        <v>210</v>
      </c>
      <c r="C225" s="1104"/>
      <c r="D225" s="291"/>
    </row>
    <row r="226" spans="1:4" ht="12.75">
      <c r="A226" s="17" t="s">
        <v>260</v>
      </c>
      <c r="B226" s="18">
        <v>210</v>
      </c>
      <c r="C226" s="1104"/>
      <c r="D226" s="291"/>
    </row>
    <row r="227" spans="1:4" ht="12.75">
      <c r="A227" s="17" t="s">
        <v>261</v>
      </c>
      <c r="B227" s="18">
        <v>210</v>
      </c>
      <c r="C227" s="1104"/>
      <c r="D227" s="291"/>
    </row>
    <row r="228" spans="1:4" ht="12.75">
      <c r="A228" s="17" t="s">
        <v>262</v>
      </c>
      <c r="B228" s="18">
        <v>210</v>
      </c>
      <c r="C228" s="1104"/>
      <c r="D228" s="291"/>
    </row>
    <row r="229" spans="1:4" ht="12.75">
      <c r="A229" s="17" t="s">
        <v>263</v>
      </c>
      <c r="B229" s="18">
        <v>210</v>
      </c>
      <c r="C229" s="1104"/>
      <c r="D229" s="291"/>
    </row>
    <row r="230" spans="1:4" ht="12.75">
      <c r="A230" s="17" t="s">
        <v>264</v>
      </c>
      <c r="B230" s="18">
        <v>210</v>
      </c>
      <c r="C230" s="1104"/>
      <c r="D230" s="291"/>
    </row>
    <row r="231" spans="1:4" ht="12.75">
      <c r="A231" s="17" t="s">
        <v>265</v>
      </c>
      <c r="B231" s="18">
        <v>210</v>
      </c>
      <c r="C231" s="1104"/>
      <c r="D231" s="291"/>
    </row>
    <row r="232" spans="1:4" ht="12.75">
      <c r="A232" s="17" t="s">
        <v>266</v>
      </c>
      <c r="B232" s="18">
        <v>210</v>
      </c>
      <c r="C232" s="1104"/>
      <c r="D232" s="291"/>
    </row>
    <row r="233" spans="1:4" ht="12.75">
      <c r="A233" s="17" t="s">
        <v>267</v>
      </c>
      <c r="B233" s="18">
        <v>210</v>
      </c>
      <c r="C233" s="1104"/>
      <c r="D233" s="291"/>
    </row>
    <row r="234" spans="1:4" ht="12.75">
      <c r="A234" s="17" t="s">
        <v>268</v>
      </c>
      <c r="B234" s="18">
        <v>210</v>
      </c>
      <c r="C234" s="1104"/>
      <c r="D234" s="291"/>
    </row>
    <row r="235" spans="1:4" ht="12.75">
      <c r="A235" s="17" t="s">
        <v>269</v>
      </c>
      <c r="B235" s="18">
        <v>170</v>
      </c>
      <c r="C235" s="1104"/>
      <c r="D235" s="291"/>
    </row>
    <row r="236" spans="1:4" ht="12.75">
      <c r="A236" s="17" t="s">
        <v>270</v>
      </c>
      <c r="B236" s="18">
        <v>170</v>
      </c>
      <c r="C236" s="1104"/>
      <c r="D236" s="291"/>
    </row>
    <row r="237" spans="1:4" ht="12.75">
      <c r="A237" s="17" t="s">
        <v>271</v>
      </c>
      <c r="B237" s="18">
        <v>170</v>
      </c>
      <c r="C237" s="1104"/>
      <c r="D237" s="291"/>
    </row>
    <row r="238" spans="1:4" ht="12.75">
      <c r="A238" s="17" t="s">
        <v>272</v>
      </c>
      <c r="B238" s="18">
        <v>170</v>
      </c>
      <c r="C238" s="1104"/>
      <c r="D238" s="291"/>
    </row>
    <row r="239" spans="1:4" ht="12.75">
      <c r="A239" s="17" t="s">
        <v>1220</v>
      </c>
      <c r="B239" s="18">
        <v>170</v>
      </c>
      <c r="C239" s="1104"/>
      <c r="D239" s="291"/>
    </row>
    <row r="240" spans="1:4" ht="12.75">
      <c r="A240" s="17" t="s">
        <v>273</v>
      </c>
      <c r="B240" s="18">
        <v>170</v>
      </c>
      <c r="C240" s="1104"/>
      <c r="D240" s="291"/>
    </row>
    <row r="241" spans="1:4" ht="12.75">
      <c r="A241" s="17" t="s">
        <v>1221</v>
      </c>
      <c r="B241" s="18">
        <v>170</v>
      </c>
      <c r="C241" s="1104"/>
      <c r="D241" s="291"/>
    </row>
    <row r="242" spans="1:4" ht="12.75">
      <c r="A242" s="17" t="s">
        <v>274</v>
      </c>
      <c r="B242" s="18">
        <v>170</v>
      </c>
      <c r="C242" s="1104"/>
      <c r="D242" s="291"/>
    </row>
    <row r="243" spans="1:4" ht="12.75">
      <c r="A243" s="17" t="s">
        <v>1222</v>
      </c>
      <c r="B243" s="18">
        <v>170</v>
      </c>
      <c r="C243" s="1104"/>
      <c r="D243" s="291"/>
    </row>
    <row r="244" spans="1:4" ht="12.75">
      <c r="A244" s="17" t="s">
        <v>275</v>
      </c>
      <c r="B244" s="18">
        <v>170</v>
      </c>
      <c r="C244" s="1104"/>
      <c r="D244" s="291"/>
    </row>
    <row r="245" spans="1:4" ht="12.75">
      <c r="A245" s="17" t="s">
        <v>276</v>
      </c>
      <c r="B245" s="18">
        <v>170</v>
      </c>
      <c r="C245" s="1104"/>
      <c r="D245" s="291"/>
    </row>
    <row r="246" spans="1:4" ht="12.75">
      <c r="A246" s="17" t="s">
        <v>277</v>
      </c>
      <c r="B246" s="18">
        <v>170</v>
      </c>
      <c r="C246" s="1104"/>
      <c r="D246" s="291"/>
    </row>
    <row r="247" spans="1:4" ht="12.75">
      <c r="A247" s="17" t="s">
        <v>278</v>
      </c>
      <c r="B247" s="18">
        <v>170</v>
      </c>
      <c r="C247" s="1104"/>
      <c r="D247" s="291"/>
    </row>
    <row r="248" spans="1:4" ht="12.75">
      <c r="A248" s="17" t="s">
        <v>279</v>
      </c>
      <c r="B248" s="18">
        <v>170</v>
      </c>
      <c r="C248" s="1104"/>
      <c r="D248" s="291"/>
    </row>
    <row r="249" spans="1:4" ht="12.75">
      <c r="A249" s="17" t="s">
        <v>280</v>
      </c>
      <c r="B249" s="18">
        <v>170</v>
      </c>
      <c r="C249" s="1104"/>
      <c r="D249" s="291"/>
    </row>
    <row r="250" spans="1:4" ht="12.75">
      <c r="A250" s="17" t="s">
        <v>281</v>
      </c>
      <c r="B250" s="18">
        <v>170</v>
      </c>
      <c r="C250" s="1104"/>
      <c r="D250" s="291"/>
    </row>
    <row r="251" spans="1:4" ht="12.75">
      <c r="A251" s="17" t="s">
        <v>282</v>
      </c>
      <c r="B251" s="18">
        <v>170</v>
      </c>
      <c r="C251" s="1104"/>
      <c r="D251" s="291"/>
    </row>
    <row r="252" spans="1:4" ht="12.75">
      <c r="A252" s="17" t="s">
        <v>283</v>
      </c>
      <c r="B252" s="18">
        <v>170</v>
      </c>
      <c r="C252" s="1104"/>
      <c r="D252" s="291"/>
    </row>
    <row r="253" spans="1:4" ht="12.75">
      <c r="A253" s="17" t="s">
        <v>284</v>
      </c>
      <c r="B253" s="18">
        <v>170</v>
      </c>
      <c r="C253" s="1104"/>
      <c r="D253" s="291"/>
    </row>
    <row r="254" spans="1:4" ht="12.75">
      <c r="A254" s="17" t="s">
        <v>285</v>
      </c>
      <c r="B254" s="18">
        <v>170</v>
      </c>
      <c r="C254" s="1104"/>
      <c r="D254" s="291"/>
    </row>
    <row r="255" spans="1:4" ht="12.75">
      <c r="A255" s="17" t="s">
        <v>286</v>
      </c>
      <c r="B255" s="18">
        <v>170</v>
      </c>
      <c r="C255" s="1104"/>
      <c r="D255" s="291"/>
    </row>
    <row r="256" spans="1:4" ht="12.75">
      <c r="A256" s="17" t="s">
        <v>287</v>
      </c>
      <c r="B256" s="18">
        <v>170</v>
      </c>
      <c r="C256" s="1104"/>
      <c r="D256" s="291"/>
    </row>
    <row r="257" spans="1:4" ht="12.75">
      <c r="A257" s="17" t="s">
        <v>288</v>
      </c>
      <c r="B257" s="18">
        <v>170</v>
      </c>
      <c r="C257" s="1104"/>
      <c r="D257" s="291"/>
    </row>
    <row r="258" spans="1:4" ht="12.75">
      <c r="A258" s="17" t="s">
        <v>1223</v>
      </c>
      <c r="B258" s="18">
        <v>170</v>
      </c>
      <c r="C258" s="1104"/>
      <c r="D258" s="291"/>
    </row>
    <row r="259" spans="1:4" ht="12.75">
      <c r="A259" s="17" t="s">
        <v>289</v>
      </c>
      <c r="B259" s="18">
        <v>170</v>
      </c>
      <c r="C259" s="1104"/>
      <c r="D259" s="291"/>
    </row>
    <row r="260" spans="1:4" ht="12.75">
      <c r="A260" s="17" t="s">
        <v>1224</v>
      </c>
      <c r="B260" s="18">
        <v>170</v>
      </c>
      <c r="C260" s="1104"/>
      <c r="D260" s="291"/>
    </row>
    <row r="261" spans="1:4" ht="12.75">
      <c r="A261" s="17" t="s">
        <v>290</v>
      </c>
      <c r="B261" s="18">
        <v>170</v>
      </c>
      <c r="C261" s="1104"/>
      <c r="D261" s="291"/>
    </row>
    <row r="262" spans="1:4" ht="12.75">
      <c r="A262" s="17" t="s">
        <v>1225</v>
      </c>
      <c r="B262" s="18">
        <v>170</v>
      </c>
      <c r="C262" s="1104"/>
      <c r="D262" s="291"/>
    </row>
    <row r="263" spans="1:4" ht="12.75">
      <c r="A263" s="17" t="s">
        <v>291</v>
      </c>
      <c r="B263" s="18">
        <v>170</v>
      </c>
      <c r="C263" s="1104"/>
      <c r="D263" s="291"/>
    </row>
    <row r="264" spans="1:4" ht="12.75">
      <c r="A264" s="17" t="s">
        <v>292</v>
      </c>
      <c r="B264" s="18">
        <v>170</v>
      </c>
      <c r="C264" s="1104"/>
      <c r="D264" s="291"/>
    </row>
    <row r="265" spans="1:4" ht="12.75">
      <c r="A265" s="17" t="s">
        <v>293</v>
      </c>
      <c r="B265" s="18">
        <v>170</v>
      </c>
      <c r="C265" s="1104"/>
      <c r="D265" s="291"/>
    </row>
    <row r="266" spans="1:4" ht="12.75">
      <c r="A266" s="17" t="s">
        <v>294</v>
      </c>
      <c r="B266" s="18">
        <v>170</v>
      </c>
      <c r="C266" s="1104"/>
      <c r="D266" s="291"/>
    </row>
    <row r="267" spans="1:4" ht="12.75">
      <c r="A267" s="17" t="s">
        <v>295</v>
      </c>
      <c r="B267" s="18">
        <v>170</v>
      </c>
      <c r="C267" s="1104"/>
      <c r="D267" s="291"/>
    </row>
    <row r="268" spans="1:4" ht="12.75">
      <c r="A268" s="17" t="s">
        <v>296</v>
      </c>
      <c r="B268" s="18">
        <v>170</v>
      </c>
      <c r="C268" s="1104"/>
      <c r="D268" s="291"/>
    </row>
    <row r="269" spans="1:4" ht="12.75">
      <c r="A269" s="17" t="s">
        <v>297</v>
      </c>
      <c r="B269" s="18">
        <v>170</v>
      </c>
      <c r="C269" s="1104"/>
      <c r="D269" s="291"/>
    </row>
    <row r="270" spans="1:4" ht="12.75">
      <c r="A270" s="17" t="s">
        <v>298</v>
      </c>
      <c r="B270" s="18">
        <v>170</v>
      </c>
      <c r="C270" s="1104"/>
      <c r="D270" s="291"/>
    </row>
    <row r="271" spans="1:4" ht="12.75">
      <c r="A271" s="17" t="s">
        <v>299</v>
      </c>
      <c r="B271" s="18">
        <v>170</v>
      </c>
      <c r="C271" s="1104"/>
      <c r="D271" s="291"/>
    </row>
    <row r="272" spans="1:4" ht="12.75">
      <c r="A272" s="17" t="s">
        <v>300</v>
      </c>
      <c r="B272" s="18">
        <v>170</v>
      </c>
      <c r="C272" s="1104"/>
      <c r="D272" s="291"/>
    </row>
    <row r="273" spans="1:4" ht="12.75">
      <c r="A273" s="17" t="s">
        <v>301</v>
      </c>
      <c r="B273" s="18">
        <v>170</v>
      </c>
      <c r="C273" s="1104"/>
      <c r="D273" s="291"/>
    </row>
    <row r="274" spans="1:4" ht="12.75">
      <c r="A274" s="17" t="s">
        <v>302</v>
      </c>
      <c r="B274" s="18">
        <v>170</v>
      </c>
      <c r="C274" s="1104"/>
      <c r="D274" s="291"/>
    </row>
    <row r="275" spans="1:4" ht="12.75">
      <c r="A275" s="17" t="s">
        <v>303</v>
      </c>
      <c r="B275" s="18">
        <v>170</v>
      </c>
      <c r="C275" s="1104"/>
      <c r="D275" s="291"/>
    </row>
    <row r="276" spans="1:4" ht="12.75">
      <c r="A276" s="17" t="s">
        <v>304</v>
      </c>
      <c r="B276" s="18">
        <v>170</v>
      </c>
      <c r="C276" s="1104"/>
      <c r="D276" s="291"/>
    </row>
    <row r="277" spans="1:4" ht="12.75">
      <c r="A277" s="17" t="s">
        <v>1226</v>
      </c>
      <c r="B277" s="18">
        <v>170</v>
      </c>
      <c r="C277" s="1104"/>
      <c r="D277" s="291"/>
    </row>
    <row r="278" spans="1:4" ht="12.75">
      <c r="A278" s="17" t="s">
        <v>305</v>
      </c>
      <c r="B278" s="18">
        <v>170</v>
      </c>
      <c r="C278" s="1104"/>
      <c r="D278" s="291"/>
    </row>
    <row r="279" spans="1:4" ht="12.75">
      <c r="A279" s="17" t="s">
        <v>1227</v>
      </c>
      <c r="B279" s="18">
        <v>170</v>
      </c>
      <c r="C279" s="1104"/>
      <c r="D279" s="291"/>
    </row>
    <row r="280" spans="1:4" ht="12.75">
      <c r="A280" s="17" t="s">
        <v>306</v>
      </c>
      <c r="B280" s="18">
        <v>170</v>
      </c>
      <c r="C280" s="1104"/>
      <c r="D280" s="291"/>
    </row>
    <row r="281" spans="1:4" ht="12.75">
      <c r="A281" s="17" t="s">
        <v>1228</v>
      </c>
      <c r="B281" s="18">
        <v>170</v>
      </c>
      <c r="C281" s="1104"/>
      <c r="D281" s="291"/>
    </row>
    <row r="282" spans="1:4" ht="12.75">
      <c r="A282" s="17" t="s">
        <v>307</v>
      </c>
      <c r="B282" s="18">
        <v>170</v>
      </c>
      <c r="C282" s="1104"/>
      <c r="D282" s="291"/>
    </row>
    <row r="283" spans="1:4" ht="12.75">
      <c r="A283" s="17" t="s">
        <v>308</v>
      </c>
      <c r="B283" s="18">
        <v>170</v>
      </c>
      <c r="C283" s="1104"/>
      <c r="D283" s="291"/>
    </row>
    <row r="284" spans="1:4" ht="12.75">
      <c r="A284" s="17" t="s">
        <v>309</v>
      </c>
      <c r="B284" s="18">
        <v>170</v>
      </c>
      <c r="C284" s="1104"/>
      <c r="D284" s="291"/>
    </row>
    <row r="285" spans="1:4" ht="12.75">
      <c r="A285" s="17" t="s">
        <v>310</v>
      </c>
      <c r="B285" s="18">
        <v>170</v>
      </c>
      <c r="C285" s="1104"/>
      <c r="D285" s="291"/>
    </row>
    <row r="286" spans="1:4" ht="12.75">
      <c r="A286" s="17" t="s">
        <v>311</v>
      </c>
      <c r="B286" s="18">
        <v>170</v>
      </c>
      <c r="C286" s="1104"/>
      <c r="D286" s="291"/>
    </row>
    <row r="287" spans="1:4" ht="12.75">
      <c r="A287" s="17" t="s">
        <v>312</v>
      </c>
      <c r="B287" s="18">
        <v>170</v>
      </c>
      <c r="C287" s="1104"/>
      <c r="D287" s="291"/>
    </row>
    <row r="288" spans="1:4" ht="12.75">
      <c r="A288" s="17" t="s">
        <v>313</v>
      </c>
      <c r="B288" s="18">
        <v>170</v>
      </c>
      <c r="C288" s="1104"/>
      <c r="D288" s="291"/>
    </row>
    <row r="289" spans="1:4" ht="12.75">
      <c r="A289" s="17" t="s">
        <v>314</v>
      </c>
      <c r="B289" s="18">
        <v>170</v>
      </c>
      <c r="C289" s="1104"/>
      <c r="D289" s="291"/>
    </row>
    <row r="290" spans="1:4" ht="12.75">
      <c r="A290" s="17" t="s">
        <v>315</v>
      </c>
      <c r="B290" s="18">
        <v>170</v>
      </c>
      <c r="C290" s="1104"/>
      <c r="D290" s="291"/>
    </row>
    <row r="291" spans="1:4" ht="12.75">
      <c r="A291" s="17" t="s">
        <v>316</v>
      </c>
      <c r="B291" s="18">
        <v>170</v>
      </c>
      <c r="C291" s="1104"/>
      <c r="D291" s="291"/>
    </row>
    <row r="292" spans="1:4" ht="12.75">
      <c r="A292" s="17" t="s">
        <v>317</v>
      </c>
      <c r="B292" s="18">
        <v>170</v>
      </c>
      <c r="C292" s="1104"/>
      <c r="D292" s="291"/>
    </row>
    <row r="293" spans="1:4" ht="12.75">
      <c r="A293" s="17" t="s">
        <v>318</v>
      </c>
      <c r="B293" s="18">
        <v>170</v>
      </c>
      <c r="C293" s="1104"/>
      <c r="D293" s="291"/>
    </row>
    <row r="294" spans="1:4" ht="12.75">
      <c r="A294" s="17" t="s">
        <v>319</v>
      </c>
      <c r="B294" s="18">
        <v>170</v>
      </c>
      <c r="C294" s="1104"/>
      <c r="D294" s="291"/>
    </row>
    <row r="295" spans="1:4" ht="12.75">
      <c r="A295" s="17" t="s">
        <v>320</v>
      </c>
      <c r="B295" s="18">
        <v>170</v>
      </c>
      <c r="C295" s="1104"/>
      <c r="D295" s="291"/>
    </row>
    <row r="296" spans="1:4" ht="12.75">
      <c r="A296" s="17" t="s">
        <v>1229</v>
      </c>
      <c r="B296" s="18">
        <v>170</v>
      </c>
      <c r="C296" s="1104"/>
      <c r="D296" s="291"/>
    </row>
    <row r="297" spans="1:4" ht="12.75">
      <c r="A297" s="17" t="s">
        <v>321</v>
      </c>
      <c r="B297" s="18">
        <v>170</v>
      </c>
      <c r="C297" s="1104"/>
      <c r="D297" s="291"/>
    </row>
    <row r="298" spans="1:4" ht="12.75">
      <c r="A298" s="17" t="s">
        <v>1230</v>
      </c>
      <c r="B298" s="18">
        <v>170</v>
      </c>
      <c r="C298" s="1104"/>
      <c r="D298" s="291"/>
    </row>
    <row r="299" spans="1:4" ht="12.75">
      <c r="A299" s="17" t="s">
        <v>322</v>
      </c>
      <c r="B299" s="18">
        <v>170</v>
      </c>
      <c r="C299" s="1104"/>
      <c r="D299" s="291"/>
    </row>
    <row r="300" spans="1:4" ht="12.75">
      <c r="A300" s="17" t="s">
        <v>1231</v>
      </c>
      <c r="B300" s="18">
        <v>170</v>
      </c>
      <c r="C300" s="1104"/>
      <c r="D300" s="291"/>
    </row>
    <row r="301" spans="1:4" ht="12.75">
      <c r="A301" s="17" t="s">
        <v>323</v>
      </c>
      <c r="B301" s="18">
        <v>170</v>
      </c>
      <c r="C301" s="1104"/>
      <c r="D301" s="291"/>
    </row>
    <row r="302" spans="1:4" ht="12.75">
      <c r="A302" s="17" t="s">
        <v>324</v>
      </c>
      <c r="B302" s="18">
        <v>170</v>
      </c>
      <c r="C302" s="1104"/>
      <c r="D302" s="291"/>
    </row>
    <row r="303" spans="1:4" ht="12.75">
      <c r="A303" s="17" t="s">
        <v>325</v>
      </c>
      <c r="B303" s="18">
        <v>170</v>
      </c>
      <c r="C303" s="1104"/>
      <c r="D303" s="291"/>
    </row>
    <row r="304" spans="1:4" ht="12.75">
      <c r="A304" s="17" t="s">
        <v>326</v>
      </c>
      <c r="B304" s="18">
        <v>170</v>
      </c>
      <c r="C304" s="1104"/>
      <c r="D304" s="291"/>
    </row>
    <row r="305" spans="1:4" ht="12.75">
      <c r="A305" s="17" t="s">
        <v>327</v>
      </c>
      <c r="B305" s="18">
        <v>170</v>
      </c>
      <c r="C305" s="1104"/>
      <c r="D305" s="291"/>
    </row>
    <row r="306" spans="1:4" ht="12.75">
      <c r="A306" s="17" t="s">
        <v>328</v>
      </c>
      <c r="B306" s="18">
        <v>170</v>
      </c>
      <c r="C306" s="1104"/>
      <c r="D306" s="291"/>
    </row>
    <row r="307" spans="1:4" ht="12.75">
      <c r="A307" s="17" t="s">
        <v>329</v>
      </c>
      <c r="B307" s="18">
        <v>170</v>
      </c>
      <c r="C307" s="1104"/>
      <c r="D307" s="291"/>
    </row>
    <row r="308" spans="1:4" ht="12.75">
      <c r="A308" s="17" t="s">
        <v>330</v>
      </c>
      <c r="B308" s="18">
        <v>170</v>
      </c>
      <c r="C308" s="1104"/>
      <c r="D308" s="291"/>
    </row>
    <row r="309" spans="1:4" ht="12.75">
      <c r="A309" s="17" t="s">
        <v>331</v>
      </c>
      <c r="B309" s="18">
        <v>170</v>
      </c>
      <c r="C309" s="1104"/>
      <c r="D309" s="291"/>
    </row>
    <row r="310" spans="1:4" ht="12.75">
      <c r="A310" s="17" t="s">
        <v>332</v>
      </c>
      <c r="B310" s="18">
        <v>170</v>
      </c>
      <c r="C310" s="1104"/>
      <c r="D310" s="291"/>
    </row>
    <row r="311" spans="1:4" ht="12.75">
      <c r="A311" s="17" t="s">
        <v>333</v>
      </c>
      <c r="B311" s="18">
        <v>170</v>
      </c>
      <c r="C311" s="1104"/>
      <c r="D311" s="291"/>
    </row>
    <row r="312" spans="1:4" ht="12.75">
      <c r="A312" s="17" t="s">
        <v>334</v>
      </c>
      <c r="B312" s="18">
        <v>170</v>
      </c>
      <c r="C312" s="1104"/>
      <c r="D312" s="291"/>
    </row>
    <row r="313" spans="1:4" ht="12.75">
      <c r="A313" s="17" t="s">
        <v>335</v>
      </c>
      <c r="B313" s="18">
        <v>170</v>
      </c>
      <c r="C313" s="1104"/>
      <c r="D313" s="291"/>
    </row>
    <row r="314" spans="1:4" ht="12.75">
      <c r="A314" s="17" t="s">
        <v>336</v>
      </c>
      <c r="B314" s="18">
        <v>170</v>
      </c>
      <c r="C314" s="1104"/>
      <c r="D314" s="291"/>
    </row>
    <row r="315" spans="1:4" ht="12.75">
      <c r="A315" s="17" t="s">
        <v>1232</v>
      </c>
      <c r="B315" s="18">
        <v>170</v>
      </c>
      <c r="C315" s="1104"/>
      <c r="D315" s="291"/>
    </row>
    <row r="316" spans="1:4" ht="12.75">
      <c r="A316" s="17" t="s">
        <v>337</v>
      </c>
      <c r="B316" s="18">
        <v>170</v>
      </c>
      <c r="C316" s="1104"/>
      <c r="D316" s="291"/>
    </row>
    <row r="317" spans="1:4" ht="12.75">
      <c r="A317" s="17" t="s">
        <v>1233</v>
      </c>
      <c r="B317" s="18">
        <v>170</v>
      </c>
      <c r="C317" s="1104"/>
      <c r="D317" s="291"/>
    </row>
    <row r="318" spans="1:4" ht="12.75">
      <c r="A318" s="17" t="s">
        <v>338</v>
      </c>
      <c r="B318" s="18">
        <v>170</v>
      </c>
      <c r="C318" s="1104"/>
      <c r="D318" s="291"/>
    </row>
    <row r="319" spans="1:4" ht="12.75">
      <c r="A319" s="17" t="s">
        <v>1234</v>
      </c>
      <c r="B319" s="18">
        <v>170</v>
      </c>
      <c r="C319" s="1104"/>
      <c r="D319" s="291"/>
    </row>
    <row r="320" spans="1:4" ht="12.75">
      <c r="A320" s="17" t="s">
        <v>339</v>
      </c>
      <c r="B320" s="18">
        <v>170</v>
      </c>
      <c r="C320" s="1104"/>
      <c r="D320" s="291"/>
    </row>
    <row r="321" spans="1:4" ht="12.75">
      <c r="A321" s="17" t="s">
        <v>340</v>
      </c>
      <c r="B321" s="18">
        <v>170</v>
      </c>
      <c r="C321" s="1104"/>
      <c r="D321" s="291"/>
    </row>
    <row r="322" spans="1:4" ht="12.75">
      <c r="A322" s="17" t="s">
        <v>341</v>
      </c>
      <c r="B322" s="18">
        <v>170</v>
      </c>
      <c r="C322" s="1104"/>
      <c r="D322" s="291"/>
    </row>
    <row r="323" spans="1:4" ht="12.75">
      <c r="A323" s="17" t="s">
        <v>342</v>
      </c>
      <c r="B323" s="18">
        <v>170</v>
      </c>
      <c r="C323" s="1104"/>
      <c r="D323" s="291"/>
    </row>
    <row r="324" spans="1:4" ht="12.75">
      <c r="A324" s="17" t="s">
        <v>343</v>
      </c>
      <c r="B324" s="18">
        <v>170</v>
      </c>
      <c r="C324" s="1104"/>
      <c r="D324" s="291"/>
    </row>
    <row r="325" spans="1:4" ht="12.75">
      <c r="A325" s="17" t="s">
        <v>344</v>
      </c>
      <c r="B325" s="18">
        <v>170</v>
      </c>
      <c r="C325" s="1104"/>
      <c r="D325" s="291"/>
    </row>
    <row r="326" spans="1:4" ht="12.75">
      <c r="A326" s="17" t="s">
        <v>345</v>
      </c>
      <c r="B326" s="18">
        <v>170</v>
      </c>
      <c r="C326" s="1104"/>
      <c r="D326" s="291"/>
    </row>
    <row r="327" spans="1:4" ht="12.75">
      <c r="A327" s="17" t="s">
        <v>346</v>
      </c>
      <c r="B327" s="18">
        <v>170</v>
      </c>
      <c r="C327" s="1104"/>
      <c r="D327" s="291"/>
    </row>
    <row r="328" spans="1:4" ht="12.75">
      <c r="A328" s="17" t="s">
        <v>347</v>
      </c>
      <c r="B328" s="18">
        <v>170</v>
      </c>
      <c r="C328" s="1104"/>
      <c r="D328" s="291"/>
    </row>
    <row r="329" spans="1:4" ht="12.75">
      <c r="A329" s="17" t="s">
        <v>348</v>
      </c>
      <c r="B329" s="18">
        <v>170</v>
      </c>
      <c r="C329" s="1104"/>
      <c r="D329" s="291"/>
    </row>
    <row r="330" spans="1:4" ht="12.75">
      <c r="A330" s="17" t="s">
        <v>349</v>
      </c>
      <c r="B330" s="18">
        <v>170</v>
      </c>
      <c r="C330" s="1104"/>
      <c r="D330" s="291"/>
    </row>
    <row r="331" spans="1:4" ht="12.75">
      <c r="A331" s="17" t="s">
        <v>350</v>
      </c>
      <c r="B331" s="18">
        <v>170</v>
      </c>
      <c r="C331" s="1104"/>
      <c r="D331" s="291"/>
    </row>
    <row r="332" spans="1:4" ht="12.75">
      <c r="A332" s="17" t="s">
        <v>351</v>
      </c>
      <c r="B332" s="18">
        <v>170</v>
      </c>
      <c r="C332" s="1104"/>
      <c r="D332" s="291"/>
    </row>
    <row r="333" spans="1:4" ht="12.75">
      <c r="A333" s="17" t="s">
        <v>352</v>
      </c>
      <c r="B333" s="18">
        <v>170</v>
      </c>
      <c r="C333" s="1104"/>
      <c r="D333" s="291"/>
    </row>
    <row r="334" spans="1:4" ht="12.75">
      <c r="A334" s="17" t="s">
        <v>1235</v>
      </c>
      <c r="B334" s="18">
        <v>170</v>
      </c>
      <c r="C334" s="1104"/>
      <c r="D334" s="291"/>
    </row>
    <row r="335" spans="1:4" ht="12.75">
      <c r="A335" s="17" t="s">
        <v>353</v>
      </c>
      <c r="B335" s="18">
        <v>170</v>
      </c>
      <c r="C335" s="1104"/>
      <c r="D335" s="291"/>
    </row>
    <row r="336" spans="1:4" ht="12.75">
      <c r="A336" s="17" t="s">
        <v>1236</v>
      </c>
      <c r="B336" s="18">
        <v>170</v>
      </c>
      <c r="C336" s="1104"/>
      <c r="D336" s="291"/>
    </row>
    <row r="337" spans="1:4" ht="12.75">
      <c r="A337" s="17" t="s">
        <v>354</v>
      </c>
      <c r="B337" s="18">
        <v>170</v>
      </c>
      <c r="C337" s="1104"/>
      <c r="D337" s="291"/>
    </row>
    <row r="338" spans="1:4" ht="12.75">
      <c r="A338" s="17" t="s">
        <v>1237</v>
      </c>
      <c r="B338" s="18">
        <v>170</v>
      </c>
      <c r="C338" s="1104"/>
      <c r="D338" s="291"/>
    </row>
    <row r="339" spans="1:4" ht="12.75">
      <c r="A339" s="17" t="s">
        <v>355</v>
      </c>
      <c r="B339" s="18">
        <v>170</v>
      </c>
      <c r="C339" s="1104"/>
      <c r="D339" s="291"/>
    </row>
    <row r="340" spans="1:4" ht="12.75">
      <c r="A340" s="17" t="s">
        <v>356</v>
      </c>
      <c r="B340" s="18">
        <v>170</v>
      </c>
      <c r="C340" s="1104"/>
      <c r="D340" s="291"/>
    </row>
    <row r="341" spans="1:4" ht="12.75">
      <c r="A341" s="17" t="s">
        <v>357</v>
      </c>
      <c r="B341" s="18">
        <v>170</v>
      </c>
      <c r="C341" s="1104"/>
      <c r="D341" s="291"/>
    </row>
    <row r="342" spans="1:4" ht="12.75">
      <c r="A342" s="17" t="s">
        <v>358</v>
      </c>
      <c r="B342" s="18">
        <v>170</v>
      </c>
      <c r="C342" s="1104"/>
      <c r="D342" s="291"/>
    </row>
    <row r="343" spans="1:4" ht="12.75">
      <c r="A343" s="17" t="s">
        <v>359</v>
      </c>
      <c r="B343" s="18">
        <v>170</v>
      </c>
      <c r="C343" s="1104"/>
      <c r="D343" s="291"/>
    </row>
    <row r="344" spans="1:4" ht="12.75">
      <c r="A344" s="17" t="s">
        <v>360</v>
      </c>
      <c r="B344" s="18">
        <v>170</v>
      </c>
      <c r="C344" s="1104"/>
      <c r="D344" s="291"/>
    </row>
    <row r="345" spans="1:4" ht="12.75">
      <c r="A345" s="17" t="s">
        <v>361</v>
      </c>
      <c r="B345" s="18">
        <v>170</v>
      </c>
      <c r="C345" s="1104"/>
      <c r="D345" s="291"/>
    </row>
    <row r="346" spans="1:4" ht="12.75">
      <c r="A346" s="17" t="s">
        <v>362</v>
      </c>
      <c r="B346" s="18">
        <v>170</v>
      </c>
      <c r="C346" s="1104"/>
      <c r="D346" s="291"/>
    </row>
    <row r="347" spans="1:4" ht="12.75">
      <c r="A347" s="17" t="s">
        <v>363</v>
      </c>
      <c r="B347" s="18">
        <v>170</v>
      </c>
      <c r="C347" s="1104"/>
      <c r="D347" s="291"/>
    </row>
    <row r="348" spans="1:4" ht="12.75">
      <c r="A348" s="17" t="s">
        <v>364</v>
      </c>
      <c r="B348" s="18">
        <v>170</v>
      </c>
      <c r="C348" s="1104"/>
      <c r="D348" s="291"/>
    </row>
    <row r="349" spans="1:4" ht="12.75">
      <c r="A349" s="17" t="s">
        <v>1361</v>
      </c>
      <c r="B349" s="18">
        <v>350</v>
      </c>
      <c r="C349" s="1104"/>
      <c r="D349" s="292"/>
    </row>
    <row r="350" spans="1:4" ht="12.75">
      <c r="A350" s="17" t="s">
        <v>1362</v>
      </c>
      <c r="B350" s="18">
        <v>350</v>
      </c>
      <c r="C350" s="1104"/>
      <c r="D350" s="292"/>
    </row>
    <row r="351" spans="1:4" ht="12.75">
      <c r="A351" s="17" t="s">
        <v>1363</v>
      </c>
      <c r="B351" s="18">
        <v>350</v>
      </c>
      <c r="C351" s="1104"/>
      <c r="D351" s="292"/>
    </row>
    <row r="352" spans="1:4" ht="12.75">
      <c r="A352" s="17" t="s">
        <v>1364</v>
      </c>
      <c r="B352" s="18">
        <v>350</v>
      </c>
      <c r="C352" s="1104"/>
      <c r="D352" s="292"/>
    </row>
    <row r="353" spans="1:4" ht="12.75">
      <c r="A353" s="17" t="s">
        <v>1365</v>
      </c>
      <c r="B353" s="18">
        <v>350</v>
      </c>
      <c r="C353" s="1104"/>
      <c r="D353" s="292"/>
    </row>
    <row r="354" spans="1:4" ht="12.75">
      <c r="A354" s="17" t="s">
        <v>1366</v>
      </c>
      <c r="B354" s="18">
        <v>350</v>
      </c>
      <c r="C354" s="1104"/>
      <c r="D354" s="292"/>
    </row>
    <row r="355" spans="1:4" ht="12.75">
      <c r="A355" s="17" t="s">
        <v>1367</v>
      </c>
      <c r="B355" s="18">
        <v>350</v>
      </c>
      <c r="C355" s="1104"/>
      <c r="D355" s="292"/>
    </row>
    <row r="356" spans="1:4" ht="12.75">
      <c r="A356" s="17" t="s">
        <v>1368</v>
      </c>
      <c r="B356" s="18">
        <v>350</v>
      </c>
      <c r="C356" s="1104"/>
      <c r="D356" s="292"/>
    </row>
    <row r="357" spans="1:4" ht="12.75">
      <c r="A357" s="17" t="s">
        <v>1369</v>
      </c>
      <c r="B357" s="18">
        <v>350</v>
      </c>
      <c r="C357" s="1104"/>
      <c r="D357" s="292"/>
    </row>
    <row r="358" spans="1:4" ht="12.75">
      <c r="A358" s="17" t="s">
        <v>1370</v>
      </c>
      <c r="B358" s="18">
        <v>350</v>
      </c>
      <c r="C358" s="1104"/>
      <c r="D358" s="292"/>
    </row>
    <row r="359" spans="1:4" ht="12.75">
      <c r="A359" s="17" t="s">
        <v>1371</v>
      </c>
      <c r="B359" s="18">
        <v>350</v>
      </c>
      <c r="C359" s="1104"/>
      <c r="D359" s="292"/>
    </row>
    <row r="360" spans="1:4" ht="12.75">
      <c r="A360" s="17" t="s">
        <v>1372</v>
      </c>
      <c r="B360" s="18">
        <v>350</v>
      </c>
      <c r="C360" s="1104"/>
      <c r="D360" s="292"/>
    </row>
    <row r="361" spans="1:4" ht="12.75">
      <c r="A361" s="17" t="s">
        <v>1373</v>
      </c>
      <c r="B361" s="18">
        <v>350</v>
      </c>
      <c r="C361" s="1104"/>
      <c r="D361" s="292"/>
    </row>
    <row r="362" spans="1:4" ht="12.75">
      <c r="A362" s="17" t="s">
        <v>1374</v>
      </c>
      <c r="B362" s="18">
        <v>350</v>
      </c>
      <c r="C362" s="1104"/>
      <c r="D362" s="292"/>
    </row>
    <row r="363" spans="1:4" ht="12.75">
      <c r="A363" s="17" t="s">
        <v>1375</v>
      </c>
      <c r="B363" s="18">
        <v>350</v>
      </c>
      <c r="C363" s="1104"/>
      <c r="D363" s="292"/>
    </row>
    <row r="364" spans="1:4" ht="12.75">
      <c r="A364" s="17" t="s">
        <v>1376</v>
      </c>
      <c r="B364" s="18">
        <v>350</v>
      </c>
      <c r="C364" s="1104"/>
      <c r="D364" s="292"/>
    </row>
    <row r="365" spans="1:4" ht="12.75">
      <c r="A365" s="17" t="s">
        <v>1377</v>
      </c>
      <c r="B365" s="18">
        <v>350</v>
      </c>
      <c r="C365" s="1104"/>
      <c r="D365" s="292"/>
    </row>
    <row r="366" spans="1:4" ht="12.75">
      <c r="A366" s="17" t="s">
        <v>1378</v>
      </c>
      <c r="B366" s="18">
        <v>350</v>
      </c>
      <c r="C366" s="1104"/>
      <c r="D366" s="292"/>
    </row>
    <row r="367" spans="1:4" ht="12.75">
      <c r="A367" s="17" t="s">
        <v>1379</v>
      </c>
      <c r="B367" s="18">
        <v>350</v>
      </c>
      <c r="C367" s="1104"/>
      <c r="D367" s="292"/>
    </row>
    <row r="368" spans="1:4" ht="12.75">
      <c r="A368" s="17" t="s">
        <v>1380</v>
      </c>
      <c r="B368" s="18">
        <v>350</v>
      </c>
      <c r="C368" s="1104"/>
      <c r="D368" s="292"/>
    </row>
    <row r="369" spans="1:4" ht="12.75">
      <c r="A369" s="17" t="s">
        <v>1381</v>
      </c>
      <c r="B369" s="18">
        <v>350</v>
      </c>
      <c r="C369" s="1104"/>
      <c r="D369" s="292"/>
    </row>
    <row r="370" spans="1:4" ht="12.75">
      <c r="A370" s="17" t="s">
        <v>1382</v>
      </c>
      <c r="B370" s="18">
        <v>350</v>
      </c>
      <c r="C370" s="1104"/>
      <c r="D370" s="292"/>
    </row>
    <row r="371" spans="1:4" ht="12.75">
      <c r="A371" s="17" t="s">
        <v>1383</v>
      </c>
      <c r="B371" s="18">
        <v>350</v>
      </c>
      <c r="C371" s="1104"/>
      <c r="D371" s="292"/>
    </row>
    <row r="372" spans="1:4" ht="12.75">
      <c r="A372" s="17" t="s">
        <v>1384</v>
      </c>
      <c r="B372" s="18">
        <v>350</v>
      </c>
      <c r="C372" s="1104"/>
      <c r="D372" s="292"/>
    </row>
    <row r="373" spans="1:4" ht="12.75">
      <c r="A373" s="17" t="s">
        <v>1385</v>
      </c>
      <c r="B373" s="18">
        <v>350</v>
      </c>
      <c r="C373" s="1104"/>
      <c r="D373" s="292"/>
    </row>
    <row r="374" spans="1:4" ht="12.75">
      <c r="A374" s="17" t="s">
        <v>1386</v>
      </c>
      <c r="B374" s="18">
        <v>350</v>
      </c>
      <c r="C374" s="1104"/>
      <c r="D374" s="292"/>
    </row>
    <row r="375" spans="1:4" ht="12.75">
      <c r="A375" s="17" t="s">
        <v>1387</v>
      </c>
      <c r="B375" s="18">
        <v>350</v>
      </c>
      <c r="C375" s="1104"/>
      <c r="D375" s="292"/>
    </row>
    <row r="376" spans="1:4" ht="12.75">
      <c r="A376" s="17" t="s">
        <v>1388</v>
      </c>
      <c r="B376" s="18">
        <v>350</v>
      </c>
      <c r="C376" s="1104"/>
      <c r="D376" s="292"/>
    </row>
    <row r="377" spans="1:4" ht="12.75">
      <c r="A377" s="17" t="s">
        <v>1389</v>
      </c>
      <c r="B377" s="18">
        <v>350</v>
      </c>
      <c r="C377" s="1104"/>
      <c r="D377" s="292"/>
    </row>
    <row r="378" spans="1:4" ht="12.75">
      <c r="A378" s="17" t="s">
        <v>1390</v>
      </c>
      <c r="B378" s="18">
        <v>350</v>
      </c>
      <c r="C378" s="1104"/>
      <c r="D378" s="292"/>
    </row>
    <row r="379" spans="1:4" ht="12.75">
      <c r="A379" s="17" t="s">
        <v>1391</v>
      </c>
      <c r="B379" s="18">
        <v>350</v>
      </c>
      <c r="C379" s="1104"/>
      <c r="D379" s="292"/>
    </row>
    <row r="380" spans="1:4" ht="12.75">
      <c r="A380" s="17" t="s">
        <v>1392</v>
      </c>
      <c r="B380" s="18">
        <v>350</v>
      </c>
      <c r="C380" s="1104"/>
      <c r="D380" s="292"/>
    </row>
    <row r="381" spans="1:4" ht="12.75">
      <c r="A381" s="17" t="s">
        <v>1393</v>
      </c>
      <c r="B381" s="18">
        <v>350</v>
      </c>
      <c r="C381" s="1104"/>
      <c r="D381" s="292"/>
    </row>
    <row r="382" spans="1:4" ht="12.75">
      <c r="A382" s="17" t="s">
        <v>1394</v>
      </c>
      <c r="B382" s="18">
        <v>350</v>
      </c>
      <c r="C382" s="1104"/>
      <c r="D382" s="292"/>
    </row>
    <row r="383" spans="1:4" ht="12.75">
      <c r="A383" s="17" t="s">
        <v>1395</v>
      </c>
      <c r="B383" s="18">
        <v>350</v>
      </c>
      <c r="C383" s="1104"/>
      <c r="D383" s="292"/>
    </row>
    <row r="384" spans="1:4" ht="12.75">
      <c r="A384" s="17" t="s">
        <v>1396</v>
      </c>
      <c r="B384" s="18">
        <v>350</v>
      </c>
      <c r="C384" s="1104"/>
      <c r="D384" s="292"/>
    </row>
    <row r="385" spans="1:4" ht="12.75">
      <c r="A385" s="17" t="s">
        <v>1397</v>
      </c>
      <c r="B385" s="18">
        <v>350</v>
      </c>
      <c r="C385" s="1104"/>
      <c r="D385" s="292"/>
    </row>
    <row r="386" spans="1:4" ht="12.75">
      <c r="A386" s="17" t="s">
        <v>1398</v>
      </c>
      <c r="B386" s="18">
        <v>350</v>
      </c>
      <c r="C386" s="1104"/>
      <c r="D386" s="292"/>
    </row>
    <row r="387" spans="1:4" ht="12.75">
      <c r="A387" s="17" t="s">
        <v>1399</v>
      </c>
      <c r="B387" s="18">
        <v>350</v>
      </c>
      <c r="C387" s="1104"/>
      <c r="D387" s="292"/>
    </row>
    <row r="388" spans="1:4" ht="12.75">
      <c r="A388" s="17" t="s">
        <v>1400</v>
      </c>
      <c r="B388" s="18">
        <v>350</v>
      </c>
      <c r="C388" s="1104"/>
      <c r="D388" s="292"/>
    </row>
    <row r="389" spans="1:4" ht="12.75">
      <c r="A389" s="17" t="s">
        <v>1401</v>
      </c>
      <c r="B389" s="18">
        <v>350</v>
      </c>
      <c r="C389" s="1104"/>
      <c r="D389" s="292"/>
    </row>
    <row r="390" spans="1:4" ht="12.75">
      <c r="A390" s="17" t="s">
        <v>1402</v>
      </c>
      <c r="B390" s="18">
        <v>350</v>
      </c>
      <c r="C390" s="1104"/>
      <c r="D390" s="292"/>
    </row>
    <row r="391" spans="1:4" ht="12.75">
      <c r="A391" s="17" t="s">
        <v>1403</v>
      </c>
      <c r="B391" s="18">
        <v>350</v>
      </c>
      <c r="C391" s="1104"/>
      <c r="D391" s="292"/>
    </row>
    <row r="392" spans="1:4" ht="12.75">
      <c r="A392" s="17" t="s">
        <v>1404</v>
      </c>
      <c r="B392" s="18">
        <v>350</v>
      </c>
      <c r="C392" s="1104"/>
      <c r="D392" s="292"/>
    </row>
    <row r="393" spans="1:4" ht="12.75">
      <c r="A393" s="17" t="s">
        <v>1405</v>
      </c>
      <c r="B393" s="18">
        <v>350</v>
      </c>
      <c r="C393" s="1104"/>
      <c r="D393" s="292"/>
    </row>
    <row r="394" spans="1:4" ht="12.75">
      <c r="A394" s="17" t="s">
        <v>1406</v>
      </c>
      <c r="B394" s="18">
        <v>350</v>
      </c>
      <c r="C394" s="1104"/>
      <c r="D394" s="292"/>
    </row>
    <row r="395" spans="1:4" ht="12.75">
      <c r="A395" s="17" t="s">
        <v>1407</v>
      </c>
      <c r="B395" s="18">
        <v>350</v>
      </c>
      <c r="C395" s="1104"/>
      <c r="D395" s="292"/>
    </row>
    <row r="396" spans="1:4" ht="12.75">
      <c r="A396" s="17" t="s">
        <v>1408</v>
      </c>
      <c r="B396" s="18">
        <v>350</v>
      </c>
      <c r="C396" s="1104"/>
      <c r="D396" s="292"/>
    </row>
    <row r="397" spans="1:4" ht="12.75">
      <c r="A397" s="17" t="s">
        <v>1409</v>
      </c>
      <c r="B397" s="18">
        <v>350</v>
      </c>
      <c r="C397" s="1104"/>
      <c r="D397" s="292"/>
    </row>
    <row r="398" spans="1:4" ht="12.75">
      <c r="A398" s="17" t="s">
        <v>1410</v>
      </c>
      <c r="B398" s="18">
        <v>350</v>
      </c>
      <c r="C398" s="1104"/>
      <c r="D398" s="292"/>
    </row>
    <row r="399" spans="1:4" ht="12.75">
      <c r="A399" s="17" t="s">
        <v>1411</v>
      </c>
      <c r="B399" s="18">
        <v>350</v>
      </c>
      <c r="C399" s="1104"/>
      <c r="D399" s="292"/>
    </row>
    <row r="400" spans="1:4" ht="12.75">
      <c r="A400" s="17" t="s">
        <v>1412</v>
      </c>
      <c r="B400" s="18">
        <v>350</v>
      </c>
      <c r="C400" s="1104"/>
      <c r="D400" s="292"/>
    </row>
    <row r="401" spans="1:4" ht="12.75">
      <c r="A401" s="17" t="s">
        <v>1413</v>
      </c>
      <c r="B401" s="18">
        <v>350</v>
      </c>
      <c r="C401" s="1104"/>
      <c r="D401" s="292"/>
    </row>
    <row r="402" spans="1:4" ht="12.75">
      <c r="A402" s="17" t="s">
        <v>1360</v>
      </c>
      <c r="B402" s="18">
        <v>350</v>
      </c>
      <c r="C402" s="1104"/>
      <c r="D402" s="292"/>
    </row>
    <row r="403" spans="1:4" ht="12.75">
      <c r="A403" s="17" t="s">
        <v>1414</v>
      </c>
      <c r="B403" s="18">
        <v>350</v>
      </c>
      <c r="C403" s="1104"/>
      <c r="D403" s="292"/>
    </row>
    <row r="404" spans="1:4" ht="12.75">
      <c r="A404" s="17" t="s">
        <v>1415</v>
      </c>
      <c r="B404" s="18">
        <v>350</v>
      </c>
      <c r="C404" s="1104"/>
      <c r="D404" s="292"/>
    </row>
    <row r="405" spans="1:4" ht="12.75">
      <c r="A405" s="288" t="s">
        <v>1416</v>
      </c>
      <c r="B405" s="18">
        <v>350</v>
      </c>
      <c r="C405" s="1104"/>
      <c r="D405" s="292"/>
    </row>
    <row r="406" spans="1:4" ht="12.75">
      <c r="A406" s="17" t="s">
        <v>365</v>
      </c>
      <c r="B406" s="18">
        <v>290</v>
      </c>
      <c r="C406" s="1104"/>
      <c r="D406" s="291"/>
    </row>
    <row r="407" spans="1:4" ht="12.75">
      <c r="A407" s="17" t="s">
        <v>366</v>
      </c>
      <c r="B407" s="18">
        <v>290</v>
      </c>
      <c r="C407" s="1104"/>
      <c r="D407" s="291"/>
    </row>
    <row r="408" spans="1:4" ht="12.75">
      <c r="A408" s="17" t="s">
        <v>367</v>
      </c>
      <c r="B408" s="18">
        <v>290</v>
      </c>
      <c r="C408" s="1104"/>
      <c r="D408" s="291"/>
    </row>
    <row r="409" spans="1:4" ht="12.75">
      <c r="A409" s="17" t="s">
        <v>368</v>
      </c>
      <c r="B409" s="18">
        <v>290</v>
      </c>
      <c r="C409" s="1104"/>
      <c r="D409" s="291"/>
    </row>
    <row r="410" spans="1:4" ht="12.75">
      <c r="A410" s="17" t="s">
        <v>1238</v>
      </c>
      <c r="B410" s="18">
        <v>290</v>
      </c>
      <c r="C410" s="1104"/>
      <c r="D410" s="291"/>
    </row>
    <row r="411" spans="1:4" ht="12.75">
      <c r="A411" s="17" t="s">
        <v>369</v>
      </c>
      <c r="B411" s="18">
        <v>290</v>
      </c>
      <c r="C411" s="1104"/>
      <c r="D411" s="291"/>
    </row>
    <row r="412" spans="1:4" ht="12.75">
      <c r="A412" s="17" t="s">
        <v>1239</v>
      </c>
      <c r="B412" s="18">
        <v>290</v>
      </c>
      <c r="C412" s="1104"/>
      <c r="D412" s="291"/>
    </row>
    <row r="413" spans="1:4" ht="12.75">
      <c r="A413" s="17" t="s">
        <v>370</v>
      </c>
      <c r="B413" s="18">
        <v>290</v>
      </c>
      <c r="C413" s="1104"/>
      <c r="D413" s="291"/>
    </row>
    <row r="414" spans="1:4" ht="12.75">
      <c r="A414" s="17" t="s">
        <v>1240</v>
      </c>
      <c r="B414" s="18">
        <v>290</v>
      </c>
      <c r="C414" s="1104"/>
      <c r="D414" s="291"/>
    </row>
    <row r="415" spans="1:4" ht="12.75">
      <c r="A415" s="17" t="s">
        <v>371</v>
      </c>
      <c r="B415" s="18">
        <v>290</v>
      </c>
      <c r="C415" s="1104"/>
      <c r="D415" s="291"/>
    </row>
    <row r="416" spans="1:4" ht="12.75">
      <c r="A416" s="17" t="s">
        <v>372</v>
      </c>
      <c r="B416" s="18">
        <v>290</v>
      </c>
      <c r="C416" s="1104"/>
      <c r="D416" s="291"/>
    </row>
    <row r="417" spans="1:4" ht="12.75">
      <c r="A417" s="17" t="s">
        <v>373</v>
      </c>
      <c r="B417" s="18">
        <v>290</v>
      </c>
      <c r="C417" s="1104"/>
      <c r="D417" s="291"/>
    </row>
    <row r="418" spans="1:4" ht="12.75">
      <c r="A418" s="17" t="s">
        <v>374</v>
      </c>
      <c r="B418" s="18">
        <v>290</v>
      </c>
      <c r="C418" s="1104"/>
      <c r="D418" s="291"/>
    </row>
    <row r="419" spans="1:4" ht="12.75">
      <c r="A419" s="17" t="s">
        <v>375</v>
      </c>
      <c r="B419" s="18">
        <v>290</v>
      </c>
      <c r="C419" s="1104"/>
      <c r="D419" s="291"/>
    </row>
    <row r="420" spans="1:4" ht="12.75">
      <c r="A420" s="17" t="s">
        <v>376</v>
      </c>
      <c r="B420" s="18">
        <v>290</v>
      </c>
      <c r="C420" s="1104"/>
      <c r="D420" s="291"/>
    </row>
    <row r="421" spans="1:4" ht="12.75">
      <c r="A421" s="17" t="s">
        <v>377</v>
      </c>
      <c r="B421" s="18">
        <v>290</v>
      </c>
      <c r="C421" s="1104"/>
      <c r="D421" s="291"/>
    </row>
    <row r="422" spans="1:4" ht="12.75">
      <c r="A422" s="17" t="s">
        <v>378</v>
      </c>
      <c r="B422" s="18">
        <v>290</v>
      </c>
      <c r="C422" s="1104"/>
      <c r="D422" s="291"/>
    </row>
    <row r="423" spans="1:4" ht="12.75">
      <c r="A423" s="17" t="s">
        <v>379</v>
      </c>
      <c r="B423" s="18">
        <v>290</v>
      </c>
      <c r="C423" s="1104"/>
      <c r="D423" s="291"/>
    </row>
    <row r="424" spans="1:4" ht="12.75">
      <c r="A424" s="17" t="s">
        <v>380</v>
      </c>
      <c r="B424" s="18">
        <v>290</v>
      </c>
      <c r="C424" s="1104"/>
      <c r="D424" s="291"/>
    </row>
    <row r="425" spans="1:4" ht="12.75">
      <c r="A425" s="17" t="s">
        <v>381</v>
      </c>
      <c r="B425" s="18">
        <v>290</v>
      </c>
      <c r="C425" s="1104"/>
      <c r="D425" s="291"/>
    </row>
    <row r="426" spans="1:4" ht="12.75">
      <c r="A426" s="17" t="s">
        <v>382</v>
      </c>
      <c r="B426" s="18">
        <v>290</v>
      </c>
      <c r="C426" s="1104"/>
      <c r="D426" s="291"/>
    </row>
    <row r="427" spans="1:4" ht="12.75">
      <c r="A427" s="17" t="s">
        <v>383</v>
      </c>
      <c r="B427" s="18">
        <v>290</v>
      </c>
      <c r="C427" s="1104"/>
      <c r="D427" s="291"/>
    </row>
    <row r="428" spans="1:4" ht="12.75">
      <c r="A428" s="17" t="s">
        <v>384</v>
      </c>
      <c r="B428" s="18">
        <v>290</v>
      </c>
      <c r="C428" s="1104"/>
      <c r="D428" s="291"/>
    </row>
    <row r="429" spans="1:4" ht="12.75">
      <c r="A429" s="17" t="s">
        <v>1241</v>
      </c>
      <c r="B429" s="18">
        <v>290</v>
      </c>
      <c r="C429" s="1104"/>
      <c r="D429" s="291"/>
    </row>
    <row r="430" spans="1:4" ht="12.75">
      <c r="A430" s="17" t="s">
        <v>385</v>
      </c>
      <c r="B430" s="18">
        <v>290</v>
      </c>
      <c r="C430" s="1104"/>
      <c r="D430" s="291"/>
    </row>
    <row r="431" spans="1:4" ht="12.75">
      <c r="A431" s="17" t="s">
        <v>1242</v>
      </c>
      <c r="B431" s="18">
        <v>290</v>
      </c>
      <c r="C431" s="1104"/>
      <c r="D431" s="291"/>
    </row>
    <row r="432" spans="1:4" ht="12.75">
      <c r="A432" s="17" t="s">
        <v>386</v>
      </c>
      <c r="B432" s="18">
        <v>290</v>
      </c>
      <c r="C432" s="1104"/>
      <c r="D432" s="291"/>
    </row>
    <row r="433" spans="1:4" ht="12.75">
      <c r="A433" s="17" t="s">
        <v>1243</v>
      </c>
      <c r="B433" s="18">
        <v>290</v>
      </c>
      <c r="C433" s="1104"/>
      <c r="D433" s="291"/>
    </row>
    <row r="434" spans="1:4" ht="12.75">
      <c r="A434" s="17" t="s">
        <v>387</v>
      </c>
      <c r="B434" s="18">
        <v>290</v>
      </c>
      <c r="C434" s="1104"/>
      <c r="D434" s="291"/>
    </row>
    <row r="435" spans="1:4" ht="12.75">
      <c r="A435" s="17" t="s">
        <v>388</v>
      </c>
      <c r="B435" s="18">
        <v>290</v>
      </c>
      <c r="C435" s="1104"/>
      <c r="D435" s="291"/>
    </row>
    <row r="436" spans="1:4" ht="12.75">
      <c r="A436" s="17" t="s">
        <v>389</v>
      </c>
      <c r="B436" s="18">
        <v>290</v>
      </c>
      <c r="C436" s="1104"/>
      <c r="D436" s="291"/>
    </row>
    <row r="437" spans="1:4" ht="12.75">
      <c r="A437" s="17" t="s">
        <v>390</v>
      </c>
      <c r="B437" s="18">
        <v>290</v>
      </c>
      <c r="C437" s="1104"/>
      <c r="D437" s="291"/>
    </row>
    <row r="438" spans="1:4" ht="12.75">
      <c r="A438" s="17" t="s">
        <v>391</v>
      </c>
      <c r="B438" s="18">
        <v>290</v>
      </c>
      <c r="C438" s="1104"/>
      <c r="D438" s="291"/>
    </row>
    <row r="439" spans="1:4" ht="12.75">
      <c r="A439" s="17" t="s">
        <v>392</v>
      </c>
      <c r="B439" s="18">
        <v>290</v>
      </c>
      <c r="C439" s="1104"/>
      <c r="D439" s="291"/>
    </row>
    <row r="440" spans="1:4" ht="12.75">
      <c r="A440" s="17" t="s">
        <v>393</v>
      </c>
      <c r="B440" s="18">
        <v>290</v>
      </c>
      <c r="C440" s="1104"/>
      <c r="D440" s="291"/>
    </row>
    <row r="441" spans="1:4" ht="12.75">
      <c r="A441" s="17" t="s">
        <v>394</v>
      </c>
      <c r="B441" s="18">
        <v>290</v>
      </c>
      <c r="C441" s="1104"/>
      <c r="D441" s="291"/>
    </row>
    <row r="442" spans="1:4" ht="12.75">
      <c r="A442" s="17" t="s">
        <v>395</v>
      </c>
      <c r="B442" s="18">
        <v>290</v>
      </c>
      <c r="C442" s="1104"/>
      <c r="D442" s="291"/>
    </row>
    <row r="443" spans="1:4" ht="12.75">
      <c r="A443" s="17" t="s">
        <v>396</v>
      </c>
      <c r="B443" s="18">
        <v>290</v>
      </c>
      <c r="C443" s="1104"/>
      <c r="D443" s="291"/>
    </row>
    <row r="444" spans="1:4" ht="12.75">
      <c r="A444" s="17" t="s">
        <v>397</v>
      </c>
      <c r="B444" s="18">
        <v>290</v>
      </c>
      <c r="C444" s="1104"/>
      <c r="D444" s="291"/>
    </row>
    <row r="445" spans="1:4" ht="12.75">
      <c r="A445" s="17" t="s">
        <v>398</v>
      </c>
      <c r="B445" s="18">
        <v>290</v>
      </c>
      <c r="C445" s="1104"/>
      <c r="D445" s="291"/>
    </row>
    <row r="446" spans="1:4" ht="12.75">
      <c r="A446" s="17" t="s">
        <v>399</v>
      </c>
      <c r="B446" s="18">
        <v>290</v>
      </c>
      <c r="C446" s="1104"/>
      <c r="D446" s="291"/>
    </row>
    <row r="447" spans="1:4" ht="12.75">
      <c r="A447" s="17" t="s">
        <v>400</v>
      </c>
      <c r="B447" s="18">
        <v>290</v>
      </c>
      <c r="C447" s="1104"/>
      <c r="D447" s="291"/>
    </row>
    <row r="448" spans="1:4" ht="12.75">
      <c r="A448" s="17" t="s">
        <v>1244</v>
      </c>
      <c r="B448" s="18">
        <v>290</v>
      </c>
      <c r="C448" s="1104"/>
      <c r="D448" s="291"/>
    </row>
    <row r="449" spans="1:4" ht="12.75">
      <c r="A449" s="17" t="s">
        <v>401</v>
      </c>
      <c r="B449" s="18">
        <v>290</v>
      </c>
      <c r="C449" s="1104"/>
      <c r="D449" s="291"/>
    </row>
    <row r="450" spans="1:4" ht="12.75">
      <c r="A450" s="17" t="s">
        <v>1245</v>
      </c>
      <c r="B450" s="18">
        <v>290</v>
      </c>
      <c r="C450" s="1104"/>
      <c r="D450" s="291"/>
    </row>
    <row r="451" spans="1:4" ht="12.75">
      <c r="A451" s="17" t="s">
        <v>402</v>
      </c>
      <c r="B451" s="18">
        <v>290</v>
      </c>
      <c r="C451" s="1104"/>
      <c r="D451" s="291"/>
    </row>
    <row r="452" spans="1:4" ht="12.75">
      <c r="A452" s="17" t="s">
        <v>1246</v>
      </c>
      <c r="B452" s="18">
        <v>290</v>
      </c>
      <c r="C452" s="1104"/>
      <c r="D452" s="291"/>
    </row>
    <row r="453" spans="1:4" ht="12.75">
      <c r="A453" s="17" t="s">
        <v>403</v>
      </c>
      <c r="B453" s="18">
        <v>290</v>
      </c>
      <c r="C453" s="1104"/>
      <c r="D453" s="291"/>
    </row>
    <row r="454" spans="1:4" ht="12.75">
      <c r="A454" s="17" t="s">
        <v>404</v>
      </c>
      <c r="B454" s="18">
        <v>290</v>
      </c>
      <c r="C454" s="1104"/>
      <c r="D454" s="291"/>
    </row>
    <row r="455" spans="1:4" ht="12.75">
      <c r="A455" s="17" t="s">
        <v>405</v>
      </c>
      <c r="B455" s="18">
        <v>290</v>
      </c>
      <c r="C455" s="1104"/>
      <c r="D455" s="291"/>
    </row>
    <row r="456" spans="1:4" ht="12.75">
      <c r="A456" s="17" t="s">
        <v>406</v>
      </c>
      <c r="B456" s="18">
        <v>290</v>
      </c>
      <c r="C456" s="1104"/>
      <c r="D456" s="291"/>
    </row>
    <row r="457" spans="1:4" ht="12.75">
      <c r="A457" s="17" t="s">
        <v>407</v>
      </c>
      <c r="B457" s="18">
        <v>290</v>
      </c>
      <c r="C457" s="1104"/>
      <c r="D457" s="291"/>
    </row>
    <row r="458" spans="1:4" ht="12.75">
      <c r="A458" s="17" t="s">
        <v>408</v>
      </c>
      <c r="B458" s="18">
        <v>290</v>
      </c>
      <c r="C458" s="1104"/>
      <c r="D458" s="291"/>
    </row>
    <row r="459" spans="1:4" ht="12.75">
      <c r="A459" s="17" t="s">
        <v>409</v>
      </c>
      <c r="B459" s="18">
        <v>290</v>
      </c>
      <c r="C459" s="1104"/>
      <c r="D459" s="291"/>
    </row>
    <row r="460" spans="1:4" ht="12.75">
      <c r="A460" s="17" t="s">
        <v>410</v>
      </c>
      <c r="B460" s="18">
        <v>290</v>
      </c>
      <c r="C460" s="1104"/>
      <c r="D460" s="291"/>
    </row>
    <row r="461" spans="1:4" ht="12.75">
      <c r="A461" s="17" t="s">
        <v>411</v>
      </c>
      <c r="B461" s="18">
        <v>290</v>
      </c>
      <c r="C461" s="1104"/>
      <c r="D461" s="291"/>
    </row>
    <row r="462" spans="1:4" ht="13.5" thickBot="1">
      <c r="A462" s="23" t="s">
        <v>412</v>
      </c>
      <c r="B462" s="24">
        <v>290</v>
      </c>
      <c r="C462" s="1105"/>
      <c r="D462" s="291"/>
    </row>
    <row r="463" spans="1:4" ht="12.75">
      <c r="A463" s="21" t="s">
        <v>413</v>
      </c>
      <c r="B463" s="22">
        <v>270</v>
      </c>
      <c r="C463" s="1095" t="s">
        <v>414</v>
      </c>
      <c r="D463" s="291"/>
    </row>
    <row r="464" spans="1:4" ht="12.75">
      <c r="A464" s="17" t="s">
        <v>415</v>
      </c>
      <c r="B464" s="18">
        <v>270</v>
      </c>
      <c r="C464" s="1096"/>
      <c r="D464" s="291"/>
    </row>
    <row r="465" spans="1:4" ht="12.75">
      <c r="A465" s="17" t="s">
        <v>416</v>
      </c>
      <c r="B465" s="18">
        <v>270</v>
      </c>
      <c r="C465" s="1096"/>
      <c r="D465" s="291"/>
    </row>
    <row r="466" spans="1:4" ht="12.75">
      <c r="A466" s="17" t="s">
        <v>417</v>
      </c>
      <c r="B466" s="18">
        <v>270</v>
      </c>
      <c r="C466" s="1096"/>
      <c r="D466" s="291"/>
    </row>
    <row r="467" spans="1:4" ht="12.75">
      <c r="A467" s="17" t="s">
        <v>418</v>
      </c>
      <c r="B467" s="18">
        <v>270</v>
      </c>
      <c r="C467" s="1096"/>
      <c r="D467" s="291"/>
    </row>
    <row r="468" spans="1:4" ht="12.75">
      <c r="A468" s="17" t="s">
        <v>419</v>
      </c>
      <c r="B468" s="18">
        <v>270</v>
      </c>
      <c r="C468" s="1096"/>
      <c r="D468" s="291"/>
    </row>
    <row r="469" spans="1:4" ht="12.75">
      <c r="A469" s="17" t="s">
        <v>420</v>
      </c>
      <c r="B469" s="18">
        <v>270</v>
      </c>
      <c r="C469" s="1096"/>
      <c r="D469" s="291"/>
    </row>
    <row r="470" spans="1:4" ht="12.75">
      <c r="A470" s="17" t="s">
        <v>421</v>
      </c>
      <c r="B470" s="18">
        <v>270</v>
      </c>
      <c r="C470" s="1096"/>
      <c r="D470" s="291"/>
    </row>
    <row r="471" spans="1:4" ht="12.75">
      <c r="A471" s="17" t="s">
        <v>422</v>
      </c>
      <c r="B471" s="18">
        <v>270</v>
      </c>
      <c r="C471" s="1096"/>
      <c r="D471" s="291"/>
    </row>
    <row r="472" spans="1:4" ht="12.75">
      <c r="A472" s="17" t="s">
        <v>423</v>
      </c>
      <c r="B472" s="18">
        <v>270</v>
      </c>
      <c r="C472" s="1096"/>
      <c r="D472" s="291"/>
    </row>
    <row r="473" spans="1:4" ht="12.75">
      <c r="A473" s="17" t="s">
        <v>424</v>
      </c>
      <c r="B473" s="18">
        <v>270</v>
      </c>
      <c r="C473" s="1096"/>
      <c r="D473" s="291"/>
    </row>
    <row r="474" spans="1:4" ht="12.75">
      <c r="A474" s="17" t="s">
        <v>425</v>
      </c>
      <c r="B474" s="18">
        <v>270</v>
      </c>
      <c r="C474" s="1096"/>
      <c r="D474" s="291"/>
    </row>
    <row r="475" spans="1:4" ht="12.75">
      <c r="A475" s="17" t="s">
        <v>426</v>
      </c>
      <c r="B475" s="18">
        <v>270</v>
      </c>
      <c r="C475" s="1096"/>
      <c r="D475" s="291"/>
    </row>
    <row r="476" spans="1:4" ht="12.75">
      <c r="A476" s="17" t="s">
        <v>427</v>
      </c>
      <c r="B476" s="18">
        <v>270</v>
      </c>
      <c r="C476" s="1096"/>
      <c r="D476" s="291"/>
    </row>
    <row r="477" spans="1:4" ht="12.75">
      <c r="A477" s="17" t="s">
        <v>428</v>
      </c>
      <c r="B477" s="18">
        <v>270</v>
      </c>
      <c r="C477" s="1096"/>
      <c r="D477" s="291"/>
    </row>
    <row r="478" spans="1:4" ht="12.75">
      <c r="A478" s="17" t="s">
        <v>429</v>
      </c>
      <c r="B478" s="18">
        <v>270</v>
      </c>
      <c r="C478" s="1096"/>
      <c r="D478" s="291"/>
    </row>
    <row r="479" spans="1:4" ht="12.75">
      <c r="A479" s="17" t="s">
        <v>430</v>
      </c>
      <c r="B479" s="18">
        <v>300</v>
      </c>
      <c r="C479" s="1096"/>
      <c r="D479" s="291"/>
    </row>
    <row r="480" spans="1:4" ht="12.75">
      <c r="A480" s="17" t="s">
        <v>431</v>
      </c>
      <c r="B480" s="18">
        <v>300</v>
      </c>
      <c r="C480" s="1096"/>
      <c r="D480" s="291"/>
    </row>
    <row r="481" spans="1:4" ht="12.75">
      <c r="A481" s="17" t="s">
        <v>432</v>
      </c>
      <c r="B481" s="18">
        <v>300</v>
      </c>
      <c r="C481" s="1096"/>
      <c r="D481" s="291"/>
    </row>
    <row r="482" spans="1:4" ht="12.75">
      <c r="A482" s="17" t="s">
        <v>433</v>
      </c>
      <c r="B482" s="18">
        <v>300</v>
      </c>
      <c r="C482" s="1096"/>
      <c r="D482" s="291"/>
    </row>
    <row r="483" spans="1:4" ht="12.75">
      <c r="A483" s="17" t="s">
        <v>434</v>
      </c>
      <c r="B483" s="18">
        <v>300</v>
      </c>
      <c r="C483" s="1096"/>
      <c r="D483" s="291"/>
    </row>
    <row r="484" spans="1:4" ht="12.75">
      <c r="A484" s="17" t="s">
        <v>435</v>
      </c>
      <c r="B484" s="18">
        <v>300</v>
      </c>
      <c r="C484" s="1096"/>
      <c r="D484" s="291"/>
    </row>
    <row r="485" spans="1:4" ht="12.75">
      <c r="A485" s="17" t="s">
        <v>436</v>
      </c>
      <c r="B485" s="18">
        <v>300</v>
      </c>
      <c r="C485" s="1096"/>
      <c r="D485" s="291"/>
    </row>
    <row r="486" spans="1:4" ht="12.75">
      <c r="A486" s="17" t="s">
        <v>437</v>
      </c>
      <c r="B486" s="18">
        <v>300</v>
      </c>
      <c r="C486" s="1096"/>
      <c r="D486" s="291"/>
    </row>
    <row r="487" spans="1:4" ht="12.75">
      <c r="A487" s="17" t="s">
        <v>438</v>
      </c>
      <c r="B487" s="18">
        <v>300</v>
      </c>
      <c r="C487" s="1096"/>
      <c r="D487" s="291"/>
    </row>
    <row r="488" spans="1:4" ht="12.75">
      <c r="A488" s="17" t="s">
        <v>439</v>
      </c>
      <c r="B488" s="18">
        <v>300</v>
      </c>
      <c r="C488" s="1096"/>
      <c r="D488" s="291"/>
    </row>
    <row r="489" spans="1:4" ht="12.75">
      <c r="A489" s="17" t="s">
        <v>440</v>
      </c>
      <c r="B489" s="18">
        <v>300</v>
      </c>
      <c r="C489" s="1096"/>
      <c r="D489" s="291"/>
    </row>
    <row r="490" spans="1:4" ht="12.75">
      <c r="A490" s="17" t="s">
        <v>441</v>
      </c>
      <c r="B490" s="18">
        <v>300</v>
      </c>
      <c r="C490" s="1096"/>
      <c r="D490" s="291"/>
    </row>
    <row r="491" spans="1:4" ht="12.75">
      <c r="A491" s="17" t="s">
        <v>442</v>
      </c>
      <c r="B491" s="18">
        <v>300</v>
      </c>
      <c r="C491" s="1096"/>
      <c r="D491" s="291"/>
    </row>
    <row r="492" spans="1:4" ht="12.75">
      <c r="A492" s="17" t="s">
        <v>443</v>
      </c>
      <c r="B492" s="18">
        <v>300</v>
      </c>
      <c r="C492" s="1096"/>
      <c r="D492" s="291"/>
    </row>
    <row r="493" spans="1:4" ht="12.75">
      <c r="A493" s="17" t="s">
        <v>444</v>
      </c>
      <c r="B493" s="18">
        <v>300</v>
      </c>
      <c r="C493" s="1096"/>
      <c r="D493" s="291"/>
    </row>
    <row r="494" spans="1:4" ht="12.75">
      <c r="A494" s="17" t="s">
        <v>445</v>
      </c>
      <c r="B494" s="18">
        <v>300</v>
      </c>
      <c r="C494" s="1096"/>
      <c r="D494" s="291"/>
    </row>
    <row r="495" spans="1:4" ht="12.75">
      <c r="A495" s="17" t="s">
        <v>446</v>
      </c>
      <c r="B495" s="18">
        <v>240</v>
      </c>
      <c r="C495" s="1096"/>
      <c r="D495" s="291"/>
    </row>
    <row r="496" spans="1:4" ht="12.75">
      <c r="A496" s="17" t="s">
        <v>447</v>
      </c>
      <c r="B496" s="18">
        <v>240</v>
      </c>
      <c r="C496" s="1096"/>
      <c r="D496" s="291"/>
    </row>
    <row r="497" spans="1:4" ht="12.75">
      <c r="A497" s="17" t="s">
        <v>448</v>
      </c>
      <c r="B497" s="18">
        <v>240</v>
      </c>
      <c r="C497" s="1096"/>
      <c r="D497" s="291"/>
    </row>
    <row r="498" spans="1:4" ht="12.75">
      <c r="A498" s="17" t="s">
        <v>449</v>
      </c>
      <c r="B498" s="18">
        <v>240</v>
      </c>
      <c r="C498" s="1096"/>
      <c r="D498" s="291"/>
    </row>
    <row r="499" spans="1:4" ht="12.75">
      <c r="A499" s="17" t="s">
        <v>450</v>
      </c>
      <c r="B499" s="18">
        <v>240</v>
      </c>
      <c r="C499" s="1096"/>
      <c r="D499" s="291"/>
    </row>
    <row r="500" spans="1:4" ht="12.75">
      <c r="A500" s="17" t="s">
        <v>451</v>
      </c>
      <c r="B500" s="18">
        <v>240</v>
      </c>
      <c r="C500" s="1096"/>
      <c r="D500" s="291"/>
    </row>
    <row r="501" spans="1:4" ht="12.75">
      <c r="A501" s="17" t="s">
        <v>452</v>
      </c>
      <c r="B501" s="18">
        <v>240</v>
      </c>
      <c r="C501" s="1096"/>
      <c r="D501" s="291"/>
    </row>
    <row r="502" spans="1:4" ht="12.75">
      <c r="A502" s="17" t="s">
        <v>453</v>
      </c>
      <c r="B502" s="18">
        <v>240</v>
      </c>
      <c r="C502" s="1096"/>
      <c r="D502" s="291"/>
    </row>
    <row r="503" spans="1:4" ht="12.75">
      <c r="A503" s="17" t="s">
        <v>454</v>
      </c>
      <c r="B503" s="18">
        <v>240</v>
      </c>
      <c r="C503" s="1096"/>
      <c r="D503" s="291"/>
    </row>
    <row r="504" spans="1:4" ht="12.75">
      <c r="A504" s="17" t="s">
        <v>455</v>
      </c>
      <c r="B504" s="18">
        <v>240</v>
      </c>
      <c r="C504" s="1096"/>
      <c r="D504" s="291"/>
    </row>
    <row r="505" spans="1:4" ht="12.75">
      <c r="A505" s="17" t="s">
        <v>456</v>
      </c>
      <c r="B505" s="18">
        <v>240</v>
      </c>
      <c r="C505" s="1096"/>
      <c r="D505" s="291"/>
    </row>
    <row r="506" spans="1:4" ht="12.75">
      <c r="A506" s="17" t="s">
        <v>457</v>
      </c>
      <c r="B506" s="18">
        <v>240</v>
      </c>
      <c r="C506" s="1096"/>
      <c r="D506" s="291"/>
    </row>
    <row r="507" spans="1:4" ht="12.75">
      <c r="A507" s="17" t="s">
        <v>458</v>
      </c>
      <c r="B507" s="18">
        <v>240</v>
      </c>
      <c r="C507" s="1096"/>
      <c r="D507" s="291"/>
    </row>
    <row r="508" spans="1:4" ht="12.75">
      <c r="A508" s="17" t="s">
        <v>459</v>
      </c>
      <c r="B508" s="18">
        <v>240</v>
      </c>
      <c r="C508" s="1096"/>
      <c r="D508" s="291"/>
    </row>
    <row r="509" spans="1:4" ht="12.75">
      <c r="A509" s="17" t="s">
        <v>460</v>
      </c>
      <c r="B509" s="18">
        <v>240</v>
      </c>
      <c r="C509" s="1096"/>
      <c r="D509" s="291"/>
    </row>
    <row r="510" spans="1:4" ht="12.75">
      <c r="A510" s="17" t="s">
        <v>461</v>
      </c>
      <c r="B510" s="18">
        <v>240</v>
      </c>
      <c r="C510" s="1096"/>
      <c r="D510" s="291"/>
    </row>
    <row r="511" spans="1:4" ht="12.75">
      <c r="A511" s="17" t="s">
        <v>462</v>
      </c>
      <c r="B511" s="18">
        <v>270</v>
      </c>
      <c r="C511" s="1096"/>
      <c r="D511" s="291"/>
    </row>
    <row r="512" spans="1:4" ht="12.75">
      <c r="A512" s="17" t="s">
        <v>463</v>
      </c>
      <c r="B512" s="18">
        <v>270</v>
      </c>
      <c r="C512" s="1096"/>
      <c r="D512" s="291"/>
    </row>
    <row r="513" spans="1:4" ht="12.75">
      <c r="A513" s="17" t="s">
        <v>464</v>
      </c>
      <c r="B513" s="18">
        <v>270</v>
      </c>
      <c r="C513" s="1096"/>
      <c r="D513" s="291"/>
    </row>
    <row r="514" spans="1:4" ht="12.75">
      <c r="A514" s="17" t="s">
        <v>465</v>
      </c>
      <c r="B514" s="18">
        <v>270</v>
      </c>
      <c r="C514" s="1096"/>
      <c r="D514" s="291"/>
    </row>
    <row r="515" spans="1:4" ht="12.75">
      <c r="A515" s="17" t="s">
        <v>466</v>
      </c>
      <c r="B515" s="18">
        <v>270</v>
      </c>
      <c r="C515" s="1096"/>
      <c r="D515" s="291"/>
    </row>
    <row r="516" spans="1:4" ht="12.75">
      <c r="A516" s="17" t="s">
        <v>467</v>
      </c>
      <c r="B516" s="18">
        <v>270</v>
      </c>
      <c r="C516" s="1096"/>
      <c r="D516" s="291"/>
    </row>
    <row r="517" spans="1:4" ht="12.75">
      <c r="A517" s="17" t="s">
        <v>468</v>
      </c>
      <c r="B517" s="18">
        <v>270</v>
      </c>
      <c r="C517" s="1096"/>
      <c r="D517" s="291"/>
    </row>
    <row r="518" spans="1:4" ht="12.75">
      <c r="A518" s="17" t="s">
        <v>469</v>
      </c>
      <c r="B518" s="18">
        <v>270</v>
      </c>
      <c r="C518" s="1096"/>
      <c r="D518" s="291"/>
    </row>
    <row r="519" spans="1:4" ht="12.75">
      <c r="A519" s="17" t="s">
        <v>470</v>
      </c>
      <c r="B519" s="18">
        <v>270</v>
      </c>
      <c r="C519" s="1096"/>
      <c r="D519" s="291"/>
    </row>
    <row r="520" spans="1:4" ht="12.75">
      <c r="A520" s="17" t="s">
        <v>471</v>
      </c>
      <c r="B520" s="18">
        <v>270</v>
      </c>
      <c r="C520" s="1096"/>
      <c r="D520" s="291"/>
    </row>
    <row r="521" spans="1:4" ht="12.75">
      <c r="A521" s="17" t="s">
        <v>472</v>
      </c>
      <c r="B521" s="18">
        <v>270</v>
      </c>
      <c r="C521" s="1096"/>
      <c r="D521" s="291"/>
    </row>
    <row r="522" spans="1:4" ht="12.75">
      <c r="A522" s="17" t="s">
        <v>473</v>
      </c>
      <c r="B522" s="18">
        <v>270</v>
      </c>
      <c r="C522" s="1096"/>
      <c r="D522" s="291"/>
    </row>
    <row r="523" spans="1:4" ht="12.75">
      <c r="A523" s="17" t="s">
        <v>474</v>
      </c>
      <c r="B523" s="18">
        <v>270</v>
      </c>
      <c r="C523" s="1096"/>
      <c r="D523" s="291"/>
    </row>
    <row r="524" spans="1:4" ht="12.75">
      <c r="A524" s="17" t="s">
        <v>475</v>
      </c>
      <c r="B524" s="18">
        <v>270</v>
      </c>
      <c r="C524" s="1096"/>
      <c r="D524" s="291"/>
    </row>
    <row r="525" spans="1:4" ht="12.75">
      <c r="A525" s="17" t="s">
        <v>476</v>
      </c>
      <c r="B525" s="18">
        <v>270</v>
      </c>
      <c r="C525" s="1096"/>
      <c r="D525" s="291"/>
    </row>
    <row r="526" spans="1:4" ht="12.75">
      <c r="A526" s="17" t="s">
        <v>477</v>
      </c>
      <c r="B526" s="18">
        <v>270</v>
      </c>
      <c r="C526" s="1096"/>
      <c r="D526" s="291"/>
    </row>
    <row r="527" spans="1:4" ht="12.75">
      <c r="A527" s="17" t="s">
        <v>478</v>
      </c>
      <c r="B527" s="18">
        <v>300</v>
      </c>
      <c r="C527" s="1096"/>
      <c r="D527" s="291"/>
    </row>
    <row r="528" spans="1:4" ht="12.75">
      <c r="A528" s="17" t="s">
        <v>479</v>
      </c>
      <c r="B528" s="18">
        <v>300</v>
      </c>
      <c r="C528" s="1096"/>
      <c r="D528" s="291"/>
    </row>
    <row r="529" spans="1:4" ht="12.75">
      <c r="A529" s="17" t="s">
        <v>480</v>
      </c>
      <c r="B529" s="18">
        <v>300</v>
      </c>
      <c r="C529" s="1096"/>
      <c r="D529" s="291"/>
    </row>
    <row r="530" spans="1:4" ht="12.75">
      <c r="A530" s="17" t="s">
        <v>481</v>
      </c>
      <c r="B530" s="18">
        <v>300</v>
      </c>
      <c r="C530" s="1096"/>
      <c r="D530" s="291"/>
    </row>
    <row r="531" spans="1:4" ht="12.75">
      <c r="A531" s="17" t="s">
        <v>482</v>
      </c>
      <c r="B531" s="18">
        <v>300</v>
      </c>
      <c r="C531" s="1096"/>
      <c r="D531" s="291"/>
    </row>
    <row r="532" spans="1:4" ht="12.75">
      <c r="A532" s="17" t="s">
        <v>483</v>
      </c>
      <c r="B532" s="18">
        <v>300</v>
      </c>
      <c r="C532" s="1096"/>
      <c r="D532" s="291"/>
    </row>
    <row r="533" spans="1:4" ht="12.75">
      <c r="A533" s="17" t="s">
        <v>484</v>
      </c>
      <c r="B533" s="18">
        <v>300</v>
      </c>
      <c r="C533" s="1096"/>
      <c r="D533" s="291"/>
    </row>
    <row r="534" spans="1:4" ht="12.75">
      <c r="A534" s="17" t="s">
        <v>485</v>
      </c>
      <c r="B534" s="18">
        <v>300</v>
      </c>
      <c r="C534" s="1096"/>
      <c r="D534" s="291"/>
    </row>
    <row r="535" spans="1:4" ht="12.75">
      <c r="A535" s="17" t="s">
        <v>486</v>
      </c>
      <c r="B535" s="18">
        <v>300</v>
      </c>
      <c r="C535" s="1096"/>
      <c r="D535" s="291"/>
    </row>
    <row r="536" spans="1:4" ht="12.75">
      <c r="A536" s="17" t="s">
        <v>487</v>
      </c>
      <c r="B536" s="18">
        <v>300</v>
      </c>
      <c r="C536" s="1096"/>
      <c r="D536" s="291"/>
    </row>
    <row r="537" spans="1:4" ht="12.75">
      <c r="A537" s="17" t="s">
        <v>488</v>
      </c>
      <c r="B537" s="18">
        <v>300</v>
      </c>
      <c r="C537" s="1096"/>
      <c r="D537" s="291"/>
    </row>
    <row r="538" spans="1:4" ht="12.75">
      <c r="A538" s="17" t="s">
        <v>489</v>
      </c>
      <c r="B538" s="18">
        <v>300</v>
      </c>
      <c r="C538" s="1096"/>
      <c r="D538" s="291"/>
    </row>
    <row r="539" spans="1:4" ht="12.75">
      <c r="A539" s="17" t="s">
        <v>490</v>
      </c>
      <c r="B539" s="18">
        <v>300</v>
      </c>
      <c r="C539" s="1096"/>
      <c r="D539" s="291"/>
    </row>
    <row r="540" spans="1:4" ht="12.75">
      <c r="A540" s="17" t="s">
        <v>491</v>
      </c>
      <c r="B540" s="18">
        <v>300</v>
      </c>
      <c r="C540" s="1096"/>
      <c r="D540" s="291"/>
    </row>
    <row r="541" spans="1:4" ht="12.75">
      <c r="A541" s="17" t="s">
        <v>492</v>
      </c>
      <c r="B541" s="18">
        <v>300</v>
      </c>
      <c r="C541" s="1096"/>
      <c r="D541" s="291"/>
    </row>
    <row r="542" spans="1:4" ht="12.75">
      <c r="A542" s="17" t="s">
        <v>493</v>
      </c>
      <c r="B542" s="18">
        <v>300</v>
      </c>
      <c r="C542" s="1096"/>
      <c r="D542" s="291"/>
    </row>
    <row r="543" spans="1:4" ht="12.75">
      <c r="A543" s="17" t="s">
        <v>1418</v>
      </c>
      <c r="B543" s="18">
        <v>330</v>
      </c>
      <c r="C543" s="1096"/>
      <c r="D543" s="292"/>
    </row>
    <row r="544" spans="1:4" ht="12.75">
      <c r="A544" s="17" t="s">
        <v>1419</v>
      </c>
      <c r="B544" s="18">
        <v>330</v>
      </c>
      <c r="C544" s="1096"/>
      <c r="D544" s="292"/>
    </row>
    <row r="545" spans="1:4" ht="12.75">
      <c r="A545" s="17" t="s">
        <v>1420</v>
      </c>
      <c r="B545" s="18">
        <v>330</v>
      </c>
      <c r="C545" s="1096"/>
      <c r="D545" s="292"/>
    </row>
    <row r="546" spans="1:4" ht="12.75">
      <c r="A546" s="17" t="s">
        <v>1421</v>
      </c>
      <c r="B546" s="18">
        <v>330</v>
      </c>
      <c r="C546" s="1096"/>
      <c r="D546" s="292"/>
    </row>
    <row r="547" spans="1:4" ht="12.75">
      <c r="A547" s="17" t="s">
        <v>1422</v>
      </c>
      <c r="B547" s="18">
        <v>330</v>
      </c>
      <c r="C547" s="1096"/>
      <c r="D547" s="292"/>
    </row>
    <row r="548" spans="1:4" ht="12.75">
      <c r="A548" s="17" t="s">
        <v>1423</v>
      </c>
      <c r="B548" s="18">
        <v>330</v>
      </c>
      <c r="C548" s="1096"/>
      <c r="D548" s="292"/>
    </row>
    <row r="549" spans="1:4" ht="12.75">
      <c r="A549" s="17" t="s">
        <v>1424</v>
      </c>
      <c r="B549" s="18">
        <v>330</v>
      </c>
      <c r="C549" s="1096"/>
      <c r="D549" s="292"/>
    </row>
    <row r="550" spans="1:4" ht="12.75">
      <c r="A550" s="17" t="s">
        <v>1425</v>
      </c>
      <c r="B550" s="18">
        <v>330</v>
      </c>
      <c r="C550" s="1096"/>
      <c r="D550" s="292"/>
    </row>
    <row r="551" spans="1:4" ht="12.75">
      <c r="A551" s="17" t="s">
        <v>1426</v>
      </c>
      <c r="B551" s="18">
        <v>330</v>
      </c>
      <c r="C551" s="1096"/>
      <c r="D551" s="292"/>
    </row>
    <row r="552" spans="1:4" ht="12.75">
      <c r="A552" s="17" t="s">
        <v>1427</v>
      </c>
      <c r="B552" s="18">
        <v>330</v>
      </c>
      <c r="C552" s="1096"/>
      <c r="D552" s="292"/>
    </row>
    <row r="553" spans="1:4" ht="12.75">
      <c r="A553" s="17" t="s">
        <v>1428</v>
      </c>
      <c r="B553" s="18">
        <v>330</v>
      </c>
      <c r="C553" s="1096"/>
      <c r="D553" s="292"/>
    </row>
    <row r="554" spans="1:4" ht="12.75">
      <c r="A554" s="17" t="s">
        <v>1429</v>
      </c>
      <c r="B554" s="18">
        <v>330</v>
      </c>
      <c r="C554" s="1096"/>
      <c r="D554" s="292"/>
    </row>
    <row r="555" spans="1:4" ht="12.75">
      <c r="A555" s="17" t="s">
        <v>1430</v>
      </c>
      <c r="B555" s="18">
        <v>330</v>
      </c>
      <c r="C555" s="1096"/>
      <c r="D555" s="292"/>
    </row>
    <row r="556" spans="1:4" ht="12.75">
      <c r="A556" s="17" t="s">
        <v>1431</v>
      </c>
      <c r="B556" s="18">
        <v>330</v>
      </c>
      <c r="C556" s="1096"/>
      <c r="D556" s="292"/>
    </row>
    <row r="557" spans="1:4" ht="12.75">
      <c r="A557" s="17" t="s">
        <v>1432</v>
      </c>
      <c r="B557" s="18">
        <v>330</v>
      </c>
      <c r="C557" s="1096"/>
      <c r="D557" s="292"/>
    </row>
    <row r="558" spans="1:4" ht="12.75">
      <c r="A558" s="17" t="s">
        <v>1417</v>
      </c>
      <c r="B558" s="18">
        <v>330</v>
      </c>
      <c r="C558" s="1096"/>
      <c r="D558" s="292"/>
    </row>
    <row r="559" spans="1:4" ht="12.75">
      <c r="A559" s="17" t="s">
        <v>494</v>
      </c>
      <c r="B559" s="18">
        <v>210</v>
      </c>
      <c r="C559" s="1096"/>
      <c r="D559" s="291"/>
    </row>
    <row r="560" spans="1:4" ht="12.75">
      <c r="A560" s="17" t="s">
        <v>495</v>
      </c>
      <c r="B560" s="18">
        <v>210</v>
      </c>
      <c r="C560" s="1096"/>
      <c r="D560" s="291"/>
    </row>
    <row r="561" spans="1:4" ht="12.75">
      <c r="A561" s="17" t="s">
        <v>496</v>
      </c>
      <c r="B561" s="18">
        <v>210</v>
      </c>
      <c r="C561" s="1096"/>
      <c r="D561" s="291"/>
    </row>
    <row r="562" spans="1:4" ht="12.75">
      <c r="A562" s="17" t="s">
        <v>497</v>
      </c>
      <c r="B562" s="18">
        <v>210</v>
      </c>
      <c r="C562" s="1096"/>
      <c r="D562" s="291"/>
    </row>
    <row r="563" spans="1:4" ht="12.75">
      <c r="A563" s="17" t="s">
        <v>498</v>
      </c>
      <c r="B563" s="18">
        <v>210</v>
      </c>
      <c r="C563" s="1096"/>
      <c r="D563" s="291"/>
    </row>
    <row r="564" spans="1:4" ht="12.75">
      <c r="A564" s="17" t="s">
        <v>499</v>
      </c>
      <c r="B564" s="18">
        <v>210</v>
      </c>
      <c r="C564" s="1096"/>
      <c r="D564" s="291"/>
    </row>
    <row r="565" spans="1:4" ht="12.75">
      <c r="A565" s="17" t="s">
        <v>500</v>
      </c>
      <c r="B565" s="18">
        <v>210</v>
      </c>
      <c r="C565" s="1096"/>
      <c r="D565" s="291"/>
    </row>
    <row r="566" spans="1:4" ht="12.75">
      <c r="A566" s="17" t="s">
        <v>501</v>
      </c>
      <c r="B566" s="18">
        <v>210</v>
      </c>
      <c r="C566" s="1096"/>
      <c r="D566" s="291"/>
    </row>
    <row r="567" spans="1:4" ht="12.75">
      <c r="A567" s="17" t="s">
        <v>502</v>
      </c>
      <c r="B567" s="18">
        <v>210</v>
      </c>
      <c r="C567" s="1096"/>
      <c r="D567" s="291"/>
    </row>
    <row r="568" spans="1:4" ht="12.75">
      <c r="A568" s="17" t="s">
        <v>503</v>
      </c>
      <c r="B568" s="18">
        <v>210</v>
      </c>
      <c r="C568" s="1096"/>
      <c r="D568" s="291"/>
    </row>
    <row r="569" spans="1:4" ht="12.75">
      <c r="A569" s="17" t="s">
        <v>504</v>
      </c>
      <c r="B569" s="18">
        <v>210</v>
      </c>
      <c r="C569" s="1096"/>
      <c r="D569" s="291"/>
    </row>
    <row r="570" spans="1:4" ht="12.75">
      <c r="A570" s="17" t="s">
        <v>505</v>
      </c>
      <c r="B570" s="18">
        <v>210</v>
      </c>
      <c r="C570" s="1096"/>
      <c r="D570" s="291"/>
    </row>
    <row r="571" spans="1:4" ht="12.75">
      <c r="A571" s="17" t="s">
        <v>506</v>
      </c>
      <c r="B571" s="18">
        <v>210</v>
      </c>
      <c r="C571" s="1096"/>
      <c r="D571" s="291"/>
    </row>
    <row r="572" spans="1:4" ht="12.75">
      <c r="A572" s="17" t="s">
        <v>507</v>
      </c>
      <c r="B572" s="18">
        <v>210</v>
      </c>
      <c r="C572" s="1096"/>
      <c r="D572" s="291"/>
    </row>
    <row r="573" spans="1:4" ht="12.75">
      <c r="A573" s="17" t="s">
        <v>508</v>
      </c>
      <c r="B573" s="18">
        <v>210</v>
      </c>
      <c r="C573" s="1096"/>
      <c r="D573" s="291"/>
    </row>
    <row r="574" spans="1:4" ht="12.75">
      <c r="A574" s="17" t="s">
        <v>509</v>
      </c>
      <c r="B574" s="18">
        <v>210</v>
      </c>
      <c r="C574" s="1096"/>
      <c r="D574" s="291"/>
    </row>
    <row r="575" spans="1:4" ht="12.75">
      <c r="A575" s="17" t="s">
        <v>510</v>
      </c>
      <c r="B575" s="18">
        <v>240</v>
      </c>
      <c r="C575" s="1096"/>
      <c r="D575" s="291"/>
    </row>
    <row r="576" spans="1:4" ht="12.75">
      <c r="A576" s="17" t="s">
        <v>511</v>
      </c>
      <c r="B576" s="18">
        <v>240</v>
      </c>
      <c r="C576" s="1096"/>
      <c r="D576" s="291"/>
    </row>
    <row r="577" spans="1:4" ht="12.75">
      <c r="A577" s="17" t="s">
        <v>512</v>
      </c>
      <c r="B577" s="18">
        <v>240</v>
      </c>
      <c r="C577" s="1096"/>
      <c r="D577" s="291"/>
    </row>
    <row r="578" spans="1:4" ht="12.75">
      <c r="A578" s="17" t="s">
        <v>513</v>
      </c>
      <c r="B578" s="18">
        <v>240</v>
      </c>
      <c r="C578" s="1096"/>
      <c r="D578" s="291"/>
    </row>
    <row r="579" spans="1:4" ht="12.75">
      <c r="A579" s="17" t="s">
        <v>514</v>
      </c>
      <c r="B579" s="18">
        <v>240</v>
      </c>
      <c r="C579" s="1096"/>
      <c r="D579" s="291"/>
    </row>
    <row r="580" spans="1:4" ht="12.75">
      <c r="A580" s="17" t="s">
        <v>515</v>
      </c>
      <c r="B580" s="18">
        <v>240</v>
      </c>
      <c r="C580" s="1096"/>
      <c r="D580" s="291"/>
    </row>
    <row r="581" spans="1:4" ht="12.75">
      <c r="A581" s="17" t="s">
        <v>516</v>
      </c>
      <c r="B581" s="18">
        <v>240</v>
      </c>
      <c r="C581" s="1096"/>
      <c r="D581" s="291"/>
    </row>
    <row r="582" spans="1:4" ht="12.75">
      <c r="A582" s="17" t="s">
        <v>517</v>
      </c>
      <c r="B582" s="18">
        <v>240</v>
      </c>
      <c r="C582" s="1096"/>
      <c r="D582" s="291"/>
    </row>
    <row r="583" spans="1:4" ht="12.75">
      <c r="A583" s="17" t="s">
        <v>518</v>
      </c>
      <c r="B583" s="18">
        <v>240</v>
      </c>
      <c r="C583" s="1096"/>
      <c r="D583" s="291"/>
    </row>
    <row r="584" spans="1:4" ht="12.75">
      <c r="A584" s="17" t="s">
        <v>519</v>
      </c>
      <c r="B584" s="18">
        <v>240</v>
      </c>
      <c r="C584" s="1096"/>
      <c r="D584" s="291"/>
    </row>
    <row r="585" spans="1:4" ht="12.75">
      <c r="A585" s="17" t="s">
        <v>520</v>
      </c>
      <c r="B585" s="18">
        <v>240</v>
      </c>
      <c r="C585" s="1096"/>
      <c r="D585" s="291"/>
    </row>
    <row r="586" spans="1:4" ht="12.75">
      <c r="A586" s="17" t="s">
        <v>521</v>
      </c>
      <c r="B586" s="18">
        <v>240</v>
      </c>
      <c r="C586" s="1096"/>
      <c r="D586" s="291"/>
    </row>
    <row r="587" spans="1:4" ht="12.75">
      <c r="A587" s="17" t="s">
        <v>522</v>
      </c>
      <c r="B587" s="18">
        <v>240</v>
      </c>
      <c r="C587" s="1096"/>
      <c r="D587" s="291"/>
    </row>
    <row r="588" spans="1:4" ht="12.75">
      <c r="A588" s="17" t="s">
        <v>523</v>
      </c>
      <c r="B588" s="18">
        <v>240</v>
      </c>
      <c r="C588" s="1096"/>
      <c r="D588" s="291"/>
    </row>
    <row r="589" spans="1:4" ht="12.75">
      <c r="A589" s="17" t="s">
        <v>524</v>
      </c>
      <c r="B589" s="18">
        <v>240</v>
      </c>
      <c r="C589" s="1096"/>
      <c r="D589" s="291"/>
    </row>
    <row r="590" spans="1:4" ht="12.75">
      <c r="A590" s="17" t="s">
        <v>525</v>
      </c>
      <c r="B590" s="18">
        <v>240</v>
      </c>
      <c r="C590" s="1096"/>
      <c r="D590" s="291"/>
    </row>
    <row r="591" spans="1:4" ht="12.75">
      <c r="A591" s="17" t="s">
        <v>526</v>
      </c>
      <c r="B591" s="18">
        <v>270</v>
      </c>
      <c r="C591" s="1096"/>
      <c r="D591" s="291"/>
    </row>
    <row r="592" spans="1:4" ht="12.75">
      <c r="A592" s="17" t="s">
        <v>527</v>
      </c>
      <c r="B592" s="18">
        <v>270</v>
      </c>
      <c r="C592" s="1096"/>
      <c r="D592" s="291"/>
    </row>
    <row r="593" spans="1:4" ht="12.75">
      <c r="A593" s="17" t="s">
        <v>528</v>
      </c>
      <c r="B593" s="18">
        <v>270</v>
      </c>
      <c r="C593" s="1096"/>
      <c r="D593" s="291"/>
    </row>
    <row r="594" spans="1:4" ht="12.75">
      <c r="A594" s="17" t="s">
        <v>529</v>
      </c>
      <c r="B594" s="18">
        <v>270</v>
      </c>
      <c r="C594" s="1096"/>
      <c r="D594" s="291"/>
    </row>
    <row r="595" spans="1:4" ht="12.75">
      <c r="A595" s="17" t="s">
        <v>530</v>
      </c>
      <c r="B595" s="18">
        <v>270</v>
      </c>
      <c r="C595" s="1096"/>
      <c r="D595" s="291"/>
    </row>
    <row r="596" spans="1:4" ht="12.75">
      <c r="A596" s="17" t="s">
        <v>531</v>
      </c>
      <c r="B596" s="18">
        <v>270</v>
      </c>
      <c r="C596" s="1096"/>
      <c r="D596" s="291"/>
    </row>
    <row r="597" spans="1:4" ht="12.75">
      <c r="A597" s="17" t="s">
        <v>532</v>
      </c>
      <c r="B597" s="18">
        <v>270</v>
      </c>
      <c r="C597" s="1096"/>
      <c r="D597" s="291"/>
    </row>
    <row r="598" spans="1:4" ht="12.75">
      <c r="A598" s="17" t="s">
        <v>533</v>
      </c>
      <c r="B598" s="18">
        <v>270</v>
      </c>
      <c r="C598" s="1096"/>
      <c r="D598" s="291"/>
    </row>
    <row r="599" spans="1:4" ht="12.75">
      <c r="A599" s="17" t="s">
        <v>534</v>
      </c>
      <c r="B599" s="18">
        <v>270</v>
      </c>
      <c r="C599" s="1096"/>
      <c r="D599" s="291"/>
    </row>
    <row r="600" spans="1:4" ht="12.75">
      <c r="A600" s="17" t="s">
        <v>535</v>
      </c>
      <c r="B600" s="18">
        <v>270</v>
      </c>
      <c r="C600" s="1096"/>
      <c r="D600" s="291"/>
    </row>
    <row r="601" spans="1:4" ht="12.75">
      <c r="A601" s="17" t="s">
        <v>536</v>
      </c>
      <c r="B601" s="18">
        <v>270</v>
      </c>
      <c r="C601" s="1096"/>
      <c r="D601" s="291"/>
    </row>
    <row r="602" spans="1:4" ht="12.75">
      <c r="A602" s="17" t="s">
        <v>537</v>
      </c>
      <c r="B602" s="18">
        <v>270</v>
      </c>
      <c r="C602" s="1096"/>
      <c r="D602" s="291"/>
    </row>
    <row r="603" spans="1:4" ht="12.75">
      <c r="A603" s="17" t="s">
        <v>538</v>
      </c>
      <c r="B603" s="18">
        <v>270</v>
      </c>
      <c r="C603" s="1096"/>
      <c r="D603" s="291"/>
    </row>
    <row r="604" spans="1:4" ht="12.75">
      <c r="A604" s="17" t="s">
        <v>539</v>
      </c>
      <c r="B604" s="18">
        <v>270</v>
      </c>
      <c r="C604" s="1096"/>
      <c r="D604" s="291"/>
    </row>
    <row r="605" spans="1:4" ht="12.75">
      <c r="A605" s="17" t="s">
        <v>540</v>
      </c>
      <c r="B605" s="18">
        <v>270</v>
      </c>
      <c r="C605" s="1096"/>
      <c r="D605" s="291"/>
    </row>
    <row r="606" spans="1:4" ht="12.75">
      <c r="A606" s="17" t="s">
        <v>541</v>
      </c>
      <c r="B606" s="18">
        <v>270</v>
      </c>
      <c r="C606" s="1096"/>
      <c r="D606" s="291"/>
    </row>
    <row r="607" spans="1:4" ht="12.75">
      <c r="A607" s="17" t="s">
        <v>542</v>
      </c>
      <c r="B607" s="18">
        <v>300</v>
      </c>
      <c r="C607" s="1096"/>
      <c r="D607" s="291"/>
    </row>
    <row r="608" spans="1:4" ht="12.75">
      <c r="A608" s="17" t="s">
        <v>543</v>
      </c>
      <c r="B608" s="18">
        <v>300</v>
      </c>
      <c r="C608" s="1096"/>
      <c r="D608" s="291"/>
    </row>
    <row r="609" spans="1:4" ht="12.75">
      <c r="A609" s="17" t="s">
        <v>544</v>
      </c>
      <c r="B609" s="18">
        <v>300</v>
      </c>
      <c r="C609" s="1096"/>
      <c r="D609" s="291"/>
    </row>
    <row r="610" spans="1:4" ht="12.75">
      <c r="A610" s="17" t="s">
        <v>545</v>
      </c>
      <c r="B610" s="18">
        <v>300</v>
      </c>
      <c r="C610" s="1096"/>
      <c r="D610" s="291"/>
    </row>
    <row r="611" spans="1:4" ht="12.75">
      <c r="A611" s="17" t="s">
        <v>546</v>
      </c>
      <c r="B611" s="18">
        <v>300</v>
      </c>
      <c r="C611" s="1096"/>
      <c r="D611" s="291"/>
    </row>
    <row r="612" spans="1:4" ht="12.75">
      <c r="A612" s="17" t="s">
        <v>547</v>
      </c>
      <c r="B612" s="18">
        <v>300</v>
      </c>
      <c r="C612" s="1096"/>
      <c r="D612" s="291"/>
    </row>
    <row r="613" spans="1:4" ht="12.75">
      <c r="A613" s="17" t="s">
        <v>548</v>
      </c>
      <c r="B613" s="18">
        <v>300</v>
      </c>
      <c r="C613" s="1096"/>
      <c r="D613" s="291"/>
    </row>
    <row r="614" spans="1:4" ht="12.75">
      <c r="A614" s="17" t="s">
        <v>549</v>
      </c>
      <c r="B614" s="18">
        <v>300</v>
      </c>
      <c r="C614" s="1096"/>
      <c r="D614" s="291"/>
    </row>
    <row r="615" spans="1:4" ht="12.75">
      <c r="A615" s="17" t="s">
        <v>550</v>
      </c>
      <c r="B615" s="18">
        <v>300</v>
      </c>
      <c r="C615" s="1096"/>
      <c r="D615" s="291"/>
    </row>
    <row r="616" spans="1:4" ht="12.75">
      <c r="A616" s="17" t="s">
        <v>551</v>
      </c>
      <c r="B616" s="18">
        <v>300</v>
      </c>
      <c r="C616" s="1096"/>
      <c r="D616" s="291"/>
    </row>
    <row r="617" spans="1:4" ht="12.75">
      <c r="A617" s="17" t="s">
        <v>552</v>
      </c>
      <c r="B617" s="18">
        <v>300</v>
      </c>
      <c r="C617" s="1096"/>
      <c r="D617" s="291"/>
    </row>
    <row r="618" spans="1:4" ht="12.75">
      <c r="A618" s="17" t="s">
        <v>553</v>
      </c>
      <c r="B618" s="18">
        <v>300</v>
      </c>
      <c r="C618" s="1096"/>
      <c r="D618" s="291"/>
    </row>
    <row r="619" spans="1:4" ht="12.75">
      <c r="A619" s="17" t="s">
        <v>554</v>
      </c>
      <c r="B619" s="18">
        <v>300</v>
      </c>
      <c r="C619" s="1096"/>
      <c r="D619" s="291"/>
    </row>
    <row r="620" spans="1:4" ht="12.75">
      <c r="A620" s="17" t="s">
        <v>555</v>
      </c>
      <c r="B620" s="18">
        <v>300</v>
      </c>
      <c r="C620" s="1096"/>
      <c r="D620" s="291"/>
    </row>
    <row r="621" spans="1:4" ht="12.75">
      <c r="A621" s="17" t="s">
        <v>556</v>
      </c>
      <c r="B621" s="18">
        <v>300</v>
      </c>
      <c r="C621" s="1096"/>
      <c r="D621" s="291"/>
    </row>
    <row r="622" spans="1:4" ht="12.75">
      <c r="A622" s="17" t="s">
        <v>557</v>
      </c>
      <c r="B622" s="18">
        <v>300</v>
      </c>
      <c r="C622" s="1096"/>
      <c r="D622" s="291"/>
    </row>
    <row r="623" spans="1:4" ht="12.75">
      <c r="A623" s="17" t="s">
        <v>558</v>
      </c>
      <c r="B623" s="18">
        <v>300</v>
      </c>
      <c r="C623" s="1096"/>
      <c r="D623" s="291"/>
    </row>
    <row r="624" spans="1:4" ht="12.75">
      <c r="A624" s="17" t="s">
        <v>559</v>
      </c>
      <c r="B624" s="18">
        <v>300</v>
      </c>
      <c r="C624" s="1096"/>
      <c r="D624" s="291"/>
    </row>
    <row r="625" spans="1:4" ht="12.75">
      <c r="A625" s="17" t="s">
        <v>560</v>
      </c>
      <c r="B625" s="18">
        <v>300</v>
      </c>
      <c r="C625" s="1096"/>
      <c r="D625" s="291"/>
    </row>
    <row r="626" spans="1:4" ht="12.75">
      <c r="A626" s="17" t="s">
        <v>75</v>
      </c>
      <c r="B626" s="18">
        <v>300</v>
      </c>
      <c r="C626" s="1096"/>
      <c r="D626" s="291"/>
    </row>
    <row r="627" spans="1:4" ht="12.75">
      <c r="A627" s="17" t="s">
        <v>561</v>
      </c>
      <c r="B627" s="18">
        <v>300</v>
      </c>
      <c r="C627" s="1096"/>
      <c r="D627" s="291"/>
    </row>
    <row r="628" spans="1:4" ht="12.75">
      <c r="A628" s="17" t="s">
        <v>562</v>
      </c>
      <c r="B628" s="18">
        <v>300</v>
      </c>
      <c r="C628" s="1096"/>
      <c r="D628" s="291"/>
    </row>
    <row r="629" spans="1:4" ht="12.75">
      <c r="A629" s="17" t="s">
        <v>563</v>
      </c>
      <c r="B629" s="18">
        <v>300</v>
      </c>
      <c r="C629" s="1096"/>
      <c r="D629" s="291"/>
    </row>
    <row r="630" spans="1:4" ht="12.75">
      <c r="A630" s="17" t="s">
        <v>564</v>
      </c>
      <c r="B630" s="18">
        <v>300</v>
      </c>
      <c r="C630" s="1096"/>
      <c r="D630" s="291"/>
    </row>
    <row r="631" spans="1:4" ht="12.75">
      <c r="A631" s="17" t="s">
        <v>565</v>
      </c>
      <c r="B631" s="18">
        <v>300</v>
      </c>
      <c r="C631" s="1096"/>
      <c r="D631" s="291"/>
    </row>
    <row r="632" spans="1:4" ht="12.75">
      <c r="A632" s="17" t="s">
        <v>566</v>
      </c>
      <c r="B632" s="18">
        <v>300</v>
      </c>
      <c r="C632" s="1096"/>
      <c r="D632" s="291"/>
    </row>
    <row r="633" spans="1:4" ht="12.75">
      <c r="A633" s="17" t="s">
        <v>567</v>
      </c>
      <c r="B633" s="18">
        <v>300</v>
      </c>
      <c r="C633" s="1096"/>
      <c r="D633" s="291"/>
    </row>
    <row r="634" spans="1:4" ht="12.75">
      <c r="A634" s="17" t="s">
        <v>568</v>
      </c>
      <c r="B634" s="18">
        <v>300</v>
      </c>
      <c r="C634" s="1096"/>
      <c r="D634" s="291"/>
    </row>
    <row r="635" spans="1:4" ht="12.75">
      <c r="A635" s="17" t="s">
        <v>569</v>
      </c>
      <c r="B635" s="18">
        <v>300</v>
      </c>
      <c r="C635" s="1096"/>
      <c r="D635" s="291"/>
    </row>
    <row r="636" spans="1:4" ht="12.75">
      <c r="A636" s="17" t="s">
        <v>570</v>
      </c>
      <c r="B636" s="18">
        <v>300</v>
      </c>
      <c r="C636" s="1096"/>
      <c r="D636" s="291"/>
    </row>
    <row r="637" spans="1:4" ht="12.75">
      <c r="A637" s="17" t="s">
        <v>571</v>
      </c>
      <c r="B637" s="18">
        <v>300</v>
      </c>
      <c r="C637" s="1096"/>
      <c r="D637" s="291"/>
    </row>
    <row r="638" spans="1:4" ht="12.75">
      <c r="A638" s="17" t="s">
        <v>572</v>
      </c>
      <c r="B638" s="18">
        <v>300</v>
      </c>
      <c r="C638" s="1096"/>
      <c r="D638" s="291"/>
    </row>
    <row r="639" spans="1:4" ht="12.75">
      <c r="A639" s="17" t="s">
        <v>573</v>
      </c>
      <c r="B639" s="18">
        <v>320</v>
      </c>
      <c r="C639" s="1096"/>
      <c r="D639" s="291"/>
    </row>
    <row r="640" spans="1:4" ht="12.75">
      <c r="A640" s="17" t="s">
        <v>574</v>
      </c>
      <c r="B640" s="18">
        <v>320</v>
      </c>
      <c r="C640" s="1096"/>
      <c r="D640" s="291"/>
    </row>
    <row r="641" spans="1:4" ht="12.75">
      <c r="A641" s="17" t="s">
        <v>575</v>
      </c>
      <c r="B641" s="18">
        <v>320</v>
      </c>
      <c r="C641" s="1096"/>
      <c r="D641" s="291"/>
    </row>
    <row r="642" spans="1:4" ht="12.75">
      <c r="A642" s="17" t="s">
        <v>576</v>
      </c>
      <c r="B642" s="18">
        <v>320</v>
      </c>
      <c r="C642" s="1096"/>
      <c r="D642" s="291"/>
    </row>
    <row r="643" spans="1:4" ht="12.75">
      <c r="A643" s="17" t="s">
        <v>577</v>
      </c>
      <c r="B643" s="18">
        <v>320</v>
      </c>
      <c r="C643" s="1096"/>
      <c r="D643" s="291"/>
    </row>
    <row r="644" spans="1:4" ht="12.75">
      <c r="A644" s="17" t="s">
        <v>578</v>
      </c>
      <c r="B644" s="18">
        <v>320</v>
      </c>
      <c r="C644" s="1096"/>
      <c r="D644" s="291"/>
    </row>
    <row r="645" spans="1:4" ht="12.75">
      <c r="A645" s="17" t="s">
        <v>579</v>
      </c>
      <c r="B645" s="18">
        <v>320</v>
      </c>
      <c r="C645" s="1096"/>
      <c r="D645" s="291"/>
    </row>
    <row r="646" spans="1:4" ht="12.75">
      <c r="A646" s="17" t="s">
        <v>580</v>
      </c>
      <c r="B646" s="18">
        <v>320</v>
      </c>
      <c r="C646" s="1096"/>
      <c r="D646" s="291"/>
    </row>
    <row r="647" spans="1:4" ht="12.75">
      <c r="A647" s="17" t="s">
        <v>581</v>
      </c>
      <c r="B647" s="18">
        <v>320</v>
      </c>
      <c r="C647" s="1096"/>
      <c r="D647" s="291"/>
    </row>
    <row r="648" spans="1:4" ht="12.75">
      <c r="A648" s="17" t="s">
        <v>582</v>
      </c>
      <c r="B648" s="18">
        <v>320</v>
      </c>
      <c r="C648" s="1096"/>
      <c r="D648" s="291"/>
    </row>
    <row r="649" spans="1:4" ht="12.75">
      <c r="A649" s="17" t="s">
        <v>583</v>
      </c>
      <c r="B649" s="18">
        <v>320</v>
      </c>
      <c r="C649" s="1096"/>
      <c r="D649" s="291"/>
    </row>
    <row r="650" spans="1:4" ht="12.75">
      <c r="A650" s="17" t="s">
        <v>584</v>
      </c>
      <c r="B650" s="18">
        <v>320</v>
      </c>
      <c r="C650" s="1096"/>
      <c r="D650" s="291"/>
    </row>
    <row r="651" spans="1:4" ht="12.75">
      <c r="A651" s="17" t="s">
        <v>585</v>
      </c>
      <c r="B651" s="18">
        <v>320</v>
      </c>
      <c r="C651" s="1096"/>
      <c r="D651" s="291"/>
    </row>
    <row r="652" spans="1:4" ht="12.75">
      <c r="A652" s="17" t="s">
        <v>586</v>
      </c>
      <c r="B652" s="18">
        <v>320</v>
      </c>
      <c r="C652" s="1096"/>
      <c r="D652" s="291"/>
    </row>
    <row r="653" spans="1:4" ht="12.75">
      <c r="A653" s="17" t="s">
        <v>587</v>
      </c>
      <c r="B653" s="18">
        <v>320</v>
      </c>
      <c r="C653" s="1096"/>
      <c r="D653" s="291"/>
    </row>
    <row r="654" spans="1:4" ht="12.75">
      <c r="A654" s="17" t="s">
        <v>588</v>
      </c>
      <c r="B654" s="18">
        <v>320</v>
      </c>
      <c r="C654" s="1096"/>
      <c r="D654" s="291"/>
    </row>
    <row r="655" spans="1:4" ht="12.75">
      <c r="A655" s="17" t="s">
        <v>589</v>
      </c>
      <c r="B655" s="18">
        <v>350</v>
      </c>
      <c r="C655" s="1096"/>
      <c r="D655" s="291"/>
    </row>
    <row r="656" spans="1:4" ht="12.75">
      <c r="A656" s="17" t="s">
        <v>590</v>
      </c>
      <c r="B656" s="18">
        <v>350</v>
      </c>
      <c r="C656" s="1096"/>
      <c r="D656" s="291"/>
    </row>
    <row r="657" spans="1:4" ht="12.75">
      <c r="A657" s="17" t="s">
        <v>591</v>
      </c>
      <c r="B657" s="18">
        <v>350</v>
      </c>
      <c r="C657" s="1096"/>
      <c r="D657" s="291"/>
    </row>
    <row r="658" spans="1:4" ht="12.75">
      <c r="A658" s="17" t="s">
        <v>592</v>
      </c>
      <c r="B658" s="18">
        <v>350</v>
      </c>
      <c r="C658" s="1096"/>
      <c r="D658" s="291"/>
    </row>
    <row r="659" spans="1:4" ht="12.75">
      <c r="A659" s="17" t="s">
        <v>593</v>
      </c>
      <c r="B659" s="18">
        <v>350</v>
      </c>
      <c r="C659" s="1096"/>
      <c r="D659" s="291"/>
    </row>
    <row r="660" spans="1:4" ht="12.75">
      <c r="A660" s="17" t="s">
        <v>594</v>
      </c>
      <c r="B660" s="18">
        <v>350</v>
      </c>
      <c r="C660" s="1096"/>
      <c r="D660" s="291"/>
    </row>
    <row r="661" spans="1:4" ht="12.75">
      <c r="A661" s="17" t="s">
        <v>595</v>
      </c>
      <c r="B661" s="18">
        <v>350</v>
      </c>
      <c r="C661" s="1096"/>
      <c r="D661" s="291"/>
    </row>
    <row r="662" spans="1:4" ht="12.75">
      <c r="A662" s="17" t="s">
        <v>596</v>
      </c>
      <c r="B662" s="18">
        <v>350</v>
      </c>
      <c r="C662" s="1096"/>
      <c r="D662" s="291"/>
    </row>
    <row r="663" spans="1:4" ht="12.75">
      <c r="A663" s="17" t="s">
        <v>597</v>
      </c>
      <c r="B663" s="18">
        <v>350</v>
      </c>
      <c r="C663" s="1096"/>
      <c r="D663" s="291"/>
    </row>
    <row r="664" spans="1:4" ht="12.75">
      <c r="A664" s="17" t="s">
        <v>598</v>
      </c>
      <c r="B664" s="18">
        <v>350</v>
      </c>
      <c r="C664" s="1096"/>
      <c r="D664" s="291"/>
    </row>
    <row r="665" spans="1:4" ht="12.75">
      <c r="A665" s="17" t="s">
        <v>599</v>
      </c>
      <c r="B665" s="18">
        <v>350</v>
      </c>
      <c r="C665" s="1096"/>
      <c r="D665" s="291"/>
    </row>
    <row r="666" spans="1:4" ht="12.75">
      <c r="A666" s="17" t="s">
        <v>600</v>
      </c>
      <c r="B666" s="18">
        <v>350</v>
      </c>
      <c r="C666" s="1096"/>
      <c r="D666" s="291"/>
    </row>
    <row r="667" spans="1:4" ht="12.75">
      <c r="A667" s="17" t="s">
        <v>601</v>
      </c>
      <c r="B667" s="18">
        <v>350</v>
      </c>
      <c r="C667" s="1096"/>
      <c r="D667" s="291"/>
    </row>
    <row r="668" spans="1:4" ht="12.75">
      <c r="A668" s="17" t="s">
        <v>602</v>
      </c>
      <c r="B668" s="18">
        <v>350</v>
      </c>
      <c r="C668" s="1096"/>
      <c r="D668" s="291"/>
    </row>
    <row r="669" spans="1:4" ht="12.75">
      <c r="A669" s="17" t="s">
        <v>603</v>
      </c>
      <c r="B669" s="18">
        <v>350</v>
      </c>
      <c r="C669" s="1096"/>
      <c r="D669" s="291"/>
    </row>
    <row r="670" spans="1:4" ht="12.75">
      <c r="A670" s="17" t="s">
        <v>604</v>
      </c>
      <c r="B670" s="18">
        <v>350</v>
      </c>
      <c r="C670" s="1096"/>
      <c r="D670" s="291"/>
    </row>
    <row r="671" spans="1:4" ht="12.75">
      <c r="A671" s="17" t="s">
        <v>605</v>
      </c>
      <c r="B671" s="18">
        <v>380</v>
      </c>
      <c r="C671" s="1096"/>
      <c r="D671" s="291"/>
    </row>
    <row r="672" spans="1:4" ht="12.75">
      <c r="A672" s="17" t="s">
        <v>606</v>
      </c>
      <c r="B672" s="18">
        <v>380</v>
      </c>
      <c r="C672" s="1096"/>
      <c r="D672" s="291"/>
    </row>
    <row r="673" spans="1:4" ht="12.75">
      <c r="A673" s="17" t="s">
        <v>607</v>
      </c>
      <c r="B673" s="18">
        <v>380</v>
      </c>
      <c r="C673" s="1096"/>
      <c r="D673" s="291"/>
    </row>
    <row r="674" spans="1:4" ht="12.75">
      <c r="A674" s="17" t="s">
        <v>608</v>
      </c>
      <c r="B674" s="18">
        <v>380</v>
      </c>
      <c r="C674" s="1096"/>
      <c r="D674" s="291"/>
    </row>
    <row r="675" spans="1:4" ht="12.75">
      <c r="A675" s="17" t="s">
        <v>609</v>
      </c>
      <c r="B675" s="18">
        <v>380</v>
      </c>
      <c r="C675" s="1096"/>
      <c r="D675" s="291"/>
    </row>
    <row r="676" spans="1:4" ht="12.75">
      <c r="A676" s="17" t="s">
        <v>610</v>
      </c>
      <c r="B676" s="18">
        <v>380</v>
      </c>
      <c r="C676" s="1096"/>
      <c r="D676" s="291"/>
    </row>
    <row r="677" spans="1:4" ht="12.75">
      <c r="A677" s="17" t="s">
        <v>611</v>
      </c>
      <c r="B677" s="18">
        <v>380</v>
      </c>
      <c r="C677" s="1096"/>
      <c r="D677" s="291"/>
    </row>
    <row r="678" spans="1:4" ht="12.75">
      <c r="A678" s="17" t="s">
        <v>612</v>
      </c>
      <c r="B678" s="18">
        <v>380</v>
      </c>
      <c r="C678" s="1096"/>
      <c r="D678" s="291"/>
    </row>
    <row r="679" spans="1:4" ht="12.75">
      <c r="A679" s="17" t="s">
        <v>613</v>
      </c>
      <c r="B679" s="18">
        <v>380</v>
      </c>
      <c r="C679" s="1096"/>
      <c r="D679" s="291"/>
    </row>
    <row r="680" spans="1:4" ht="12.75">
      <c r="A680" s="17" t="s">
        <v>614</v>
      </c>
      <c r="B680" s="18">
        <v>380</v>
      </c>
      <c r="C680" s="1096"/>
      <c r="D680" s="291"/>
    </row>
    <row r="681" spans="1:4" ht="12.75">
      <c r="A681" s="17" t="s">
        <v>615</v>
      </c>
      <c r="B681" s="18">
        <v>380</v>
      </c>
      <c r="C681" s="1096"/>
      <c r="D681" s="291"/>
    </row>
    <row r="682" spans="1:4" ht="12.75">
      <c r="A682" s="17" t="s">
        <v>616</v>
      </c>
      <c r="B682" s="18">
        <v>380</v>
      </c>
      <c r="C682" s="1096"/>
      <c r="D682" s="291"/>
    </row>
    <row r="683" spans="1:4" ht="12.75">
      <c r="A683" s="17" t="s">
        <v>617</v>
      </c>
      <c r="B683" s="18">
        <v>380</v>
      </c>
      <c r="C683" s="1096"/>
      <c r="D683" s="291"/>
    </row>
    <row r="684" spans="1:4" ht="12.75">
      <c r="A684" s="17" t="s">
        <v>618</v>
      </c>
      <c r="B684" s="18">
        <v>380</v>
      </c>
      <c r="C684" s="1096"/>
      <c r="D684" s="291"/>
    </row>
    <row r="685" spans="1:4" ht="12.75">
      <c r="A685" s="17" t="s">
        <v>619</v>
      </c>
      <c r="B685" s="18">
        <v>380</v>
      </c>
      <c r="C685" s="1096"/>
      <c r="D685" s="291"/>
    </row>
    <row r="686" spans="1:4" ht="12.75">
      <c r="A686" s="17" t="s">
        <v>620</v>
      </c>
      <c r="B686" s="18">
        <v>380</v>
      </c>
      <c r="C686" s="1096"/>
      <c r="D686" s="291"/>
    </row>
    <row r="687" spans="1:4" ht="12.75">
      <c r="A687" s="17" t="s">
        <v>621</v>
      </c>
      <c r="B687" s="18">
        <v>430</v>
      </c>
      <c r="C687" s="1096"/>
      <c r="D687" s="291"/>
    </row>
    <row r="688" spans="1:4" ht="12.75">
      <c r="A688" s="17" t="s">
        <v>622</v>
      </c>
      <c r="B688" s="18">
        <v>430</v>
      </c>
      <c r="C688" s="1096"/>
      <c r="D688" s="291"/>
    </row>
    <row r="689" spans="1:4" ht="12.75">
      <c r="A689" s="17" t="s">
        <v>623</v>
      </c>
      <c r="B689" s="18">
        <v>430</v>
      </c>
      <c r="C689" s="1096"/>
      <c r="D689" s="291"/>
    </row>
    <row r="690" spans="1:4" ht="12.75">
      <c r="A690" s="17" t="s">
        <v>624</v>
      </c>
      <c r="B690" s="18">
        <v>430</v>
      </c>
      <c r="C690" s="1096"/>
      <c r="D690" s="291"/>
    </row>
    <row r="691" spans="1:4" ht="12.75">
      <c r="A691" s="17" t="s">
        <v>625</v>
      </c>
      <c r="B691" s="18">
        <v>430</v>
      </c>
      <c r="C691" s="1096"/>
      <c r="D691" s="291"/>
    </row>
    <row r="692" spans="1:4" ht="12.75">
      <c r="A692" s="17" t="s">
        <v>626</v>
      </c>
      <c r="B692" s="18">
        <v>430</v>
      </c>
      <c r="C692" s="1096"/>
      <c r="D692" s="291"/>
    </row>
    <row r="693" spans="1:4" ht="12.75">
      <c r="A693" s="17" t="s">
        <v>627</v>
      </c>
      <c r="B693" s="18">
        <v>430</v>
      </c>
      <c r="C693" s="1096"/>
      <c r="D693" s="291"/>
    </row>
    <row r="694" spans="1:4" ht="12.75">
      <c r="A694" s="17" t="s">
        <v>628</v>
      </c>
      <c r="B694" s="18">
        <v>430</v>
      </c>
      <c r="C694" s="1096"/>
      <c r="D694" s="291"/>
    </row>
    <row r="695" spans="1:4" ht="12.75">
      <c r="A695" s="17" t="s">
        <v>629</v>
      </c>
      <c r="B695" s="18">
        <v>430</v>
      </c>
      <c r="C695" s="1096"/>
      <c r="D695" s="291"/>
    </row>
    <row r="696" spans="1:4" ht="12.75">
      <c r="A696" s="17" t="s">
        <v>630</v>
      </c>
      <c r="B696" s="18">
        <v>430</v>
      </c>
      <c r="C696" s="1096"/>
      <c r="D696" s="291"/>
    </row>
    <row r="697" spans="1:4" ht="12.75">
      <c r="A697" s="17" t="s">
        <v>631</v>
      </c>
      <c r="B697" s="18">
        <v>430</v>
      </c>
      <c r="C697" s="1096"/>
      <c r="D697" s="291"/>
    </row>
    <row r="698" spans="1:4" ht="12.75">
      <c r="A698" s="17" t="s">
        <v>632</v>
      </c>
      <c r="B698" s="18">
        <v>430</v>
      </c>
      <c r="C698" s="1096"/>
      <c r="D698" s="291"/>
    </row>
    <row r="699" spans="1:4" ht="12.75">
      <c r="A699" s="17" t="s">
        <v>633</v>
      </c>
      <c r="B699" s="18">
        <v>430</v>
      </c>
      <c r="C699" s="1096"/>
      <c r="D699" s="291"/>
    </row>
    <row r="700" spans="1:4" ht="12.75">
      <c r="A700" s="17" t="s">
        <v>634</v>
      </c>
      <c r="B700" s="18">
        <v>430</v>
      </c>
      <c r="C700" s="1096"/>
      <c r="D700" s="291"/>
    </row>
    <row r="701" spans="1:4" ht="12.75">
      <c r="A701" s="17" t="s">
        <v>635</v>
      </c>
      <c r="B701" s="18">
        <v>430</v>
      </c>
      <c r="C701" s="1096"/>
      <c r="D701" s="291"/>
    </row>
    <row r="702" spans="1:4" ht="12.75">
      <c r="A702" s="17" t="s">
        <v>636</v>
      </c>
      <c r="B702" s="18">
        <v>430</v>
      </c>
      <c r="C702" s="1096"/>
      <c r="D702" s="291"/>
    </row>
    <row r="703" spans="1:4" ht="12.75">
      <c r="A703" s="17" t="s">
        <v>637</v>
      </c>
      <c r="B703" s="18">
        <v>470</v>
      </c>
      <c r="C703" s="1096"/>
      <c r="D703" s="291"/>
    </row>
    <row r="704" spans="1:4" ht="12.75">
      <c r="A704" s="17" t="s">
        <v>638</v>
      </c>
      <c r="B704" s="18">
        <v>470</v>
      </c>
      <c r="C704" s="1096"/>
      <c r="D704" s="291"/>
    </row>
    <row r="705" spans="1:4" ht="12.75">
      <c r="A705" s="17" t="s">
        <v>639</v>
      </c>
      <c r="B705" s="18">
        <v>470</v>
      </c>
      <c r="C705" s="1096"/>
      <c r="D705" s="291"/>
    </row>
    <row r="706" spans="1:4" ht="12.75">
      <c r="A706" s="17" t="s">
        <v>640</v>
      </c>
      <c r="B706" s="18">
        <v>470</v>
      </c>
      <c r="C706" s="1096"/>
      <c r="D706" s="291"/>
    </row>
    <row r="707" spans="1:4" ht="12.75">
      <c r="A707" s="17" t="s">
        <v>641</v>
      </c>
      <c r="B707" s="18">
        <v>470</v>
      </c>
      <c r="C707" s="1096"/>
      <c r="D707" s="291"/>
    </row>
    <row r="708" spans="1:4" ht="12.75">
      <c r="A708" s="17" t="s">
        <v>642</v>
      </c>
      <c r="B708" s="18">
        <v>470</v>
      </c>
      <c r="C708" s="1096"/>
      <c r="D708" s="291"/>
    </row>
    <row r="709" spans="1:4" ht="12.75">
      <c r="A709" s="17" t="s">
        <v>643</v>
      </c>
      <c r="B709" s="18">
        <v>470</v>
      </c>
      <c r="C709" s="1096"/>
      <c r="D709" s="291"/>
    </row>
    <row r="710" spans="1:4" ht="12.75">
      <c r="A710" s="17" t="s">
        <v>644</v>
      </c>
      <c r="B710" s="18">
        <v>470</v>
      </c>
      <c r="C710" s="1096"/>
      <c r="D710" s="291"/>
    </row>
    <row r="711" spans="1:4" ht="12.75">
      <c r="A711" s="17" t="s">
        <v>645</v>
      </c>
      <c r="B711" s="18">
        <v>470</v>
      </c>
      <c r="C711" s="1096"/>
      <c r="D711" s="291"/>
    </row>
    <row r="712" spans="1:4" ht="12.75">
      <c r="A712" s="17" t="s">
        <v>646</v>
      </c>
      <c r="B712" s="18">
        <v>470</v>
      </c>
      <c r="C712" s="1096"/>
      <c r="D712" s="291"/>
    </row>
    <row r="713" spans="1:4" ht="12.75">
      <c r="A713" s="17" t="s">
        <v>647</v>
      </c>
      <c r="B713" s="18">
        <v>470</v>
      </c>
      <c r="C713" s="1096"/>
      <c r="D713" s="291"/>
    </row>
    <row r="714" spans="1:4" ht="12.75">
      <c r="A714" s="17" t="s">
        <v>648</v>
      </c>
      <c r="B714" s="18">
        <v>470</v>
      </c>
      <c r="C714" s="1096"/>
      <c r="D714" s="291"/>
    </row>
    <row r="715" spans="1:4" ht="12.75">
      <c r="A715" s="17" t="s">
        <v>649</v>
      </c>
      <c r="B715" s="18">
        <v>470</v>
      </c>
      <c r="C715" s="1096"/>
      <c r="D715" s="291"/>
    </row>
    <row r="716" spans="1:4" ht="12.75">
      <c r="A716" s="17" t="s">
        <v>650</v>
      </c>
      <c r="B716" s="18">
        <v>470</v>
      </c>
      <c r="C716" s="1096"/>
      <c r="D716" s="291"/>
    </row>
    <row r="717" spans="1:4" ht="12.75">
      <c r="A717" s="17" t="s">
        <v>651</v>
      </c>
      <c r="B717" s="18">
        <v>470</v>
      </c>
      <c r="C717" s="1096"/>
      <c r="D717" s="291"/>
    </row>
    <row r="718" spans="1:4" ht="12.75">
      <c r="A718" s="17" t="s">
        <v>652</v>
      </c>
      <c r="B718" s="18">
        <v>470</v>
      </c>
      <c r="C718" s="1096"/>
      <c r="D718" s="291"/>
    </row>
    <row r="719" spans="1:4" ht="12.75">
      <c r="A719" s="17" t="s">
        <v>653</v>
      </c>
      <c r="B719" s="18">
        <v>520</v>
      </c>
      <c r="C719" s="1096"/>
      <c r="D719" s="291"/>
    </row>
    <row r="720" spans="1:4" ht="12.75">
      <c r="A720" s="17" t="s">
        <v>654</v>
      </c>
      <c r="B720" s="18">
        <v>520</v>
      </c>
      <c r="C720" s="1096"/>
      <c r="D720" s="291"/>
    </row>
    <row r="721" spans="1:4" ht="12.75">
      <c r="A721" s="17" t="s">
        <v>655</v>
      </c>
      <c r="B721" s="18">
        <v>520</v>
      </c>
      <c r="C721" s="1096"/>
      <c r="D721" s="291"/>
    </row>
    <row r="722" spans="1:4" ht="12.75">
      <c r="A722" s="17" t="s">
        <v>656</v>
      </c>
      <c r="B722" s="18">
        <v>520</v>
      </c>
      <c r="C722" s="1096"/>
      <c r="D722" s="291"/>
    </row>
    <row r="723" spans="1:4" ht="12.75">
      <c r="A723" s="17" t="s">
        <v>657</v>
      </c>
      <c r="B723" s="18">
        <v>520</v>
      </c>
      <c r="C723" s="1096"/>
      <c r="D723" s="291"/>
    </row>
    <row r="724" spans="1:4" ht="12.75">
      <c r="A724" s="17" t="s">
        <v>658</v>
      </c>
      <c r="B724" s="18">
        <v>520</v>
      </c>
      <c r="C724" s="1096"/>
      <c r="D724" s="291"/>
    </row>
    <row r="725" spans="1:4" ht="12.75">
      <c r="A725" s="17" t="s">
        <v>659</v>
      </c>
      <c r="B725" s="18">
        <v>520</v>
      </c>
      <c r="C725" s="1096"/>
      <c r="D725" s="291"/>
    </row>
    <row r="726" spans="1:4" ht="12.75">
      <c r="A726" s="17" t="s">
        <v>660</v>
      </c>
      <c r="B726" s="18">
        <v>520</v>
      </c>
      <c r="C726" s="1096"/>
      <c r="D726" s="291"/>
    </row>
    <row r="727" spans="1:4" ht="12.75">
      <c r="A727" s="17" t="s">
        <v>661</v>
      </c>
      <c r="B727" s="18">
        <v>520</v>
      </c>
      <c r="C727" s="1096"/>
      <c r="D727" s="291"/>
    </row>
    <row r="728" spans="1:4" ht="12.75">
      <c r="A728" s="17" t="s">
        <v>662</v>
      </c>
      <c r="B728" s="18">
        <v>520</v>
      </c>
      <c r="C728" s="1096"/>
      <c r="D728" s="291"/>
    </row>
    <row r="729" spans="1:4" ht="12.75">
      <c r="A729" s="17" t="s">
        <v>663</v>
      </c>
      <c r="B729" s="18">
        <v>520</v>
      </c>
      <c r="C729" s="1096"/>
      <c r="D729" s="291"/>
    </row>
    <row r="730" spans="1:4" ht="12.75">
      <c r="A730" s="17" t="s">
        <v>664</v>
      </c>
      <c r="B730" s="18">
        <v>520</v>
      </c>
      <c r="C730" s="1096"/>
      <c r="D730" s="291"/>
    </row>
    <row r="731" spans="1:4" ht="12.75">
      <c r="A731" s="17" t="s">
        <v>665</v>
      </c>
      <c r="B731" s="18">
        <v>520</v>
      </c>
      <c r="C731" s="1096"/>
      <c r="D731" s="291"/>
    </row>
    <row r="732" spans="1:4" ht="12.75">
      <c r="A732" s="17" t="s">
        <v>666</v>
      </c>
      <c r="B732" s="18">
        <v>520</v>
      </c>
      <c r="C732" s="1096"/>
      <c r="D732" s="291"/>
    </row>
    <row r="733" spans="1:4" ht="12.75">
      <c r="A733" s="17" t="s">
        <v>667</v>
      </c>
      <c r="B733" s="18">
        <v>520</v>
      </c>
      <c r="C733" s="1096"/>
      <c r="D733" s="291"/>
    </row>
    <row r="734" spans="1:4" ht="12.75">
      <c r="A734" s="17" t="s">
        <v>668</v>
      </c>
      <c r="B734" s="18">
        <v>520</v>
      </c>
      <c r="C734" s="1096"/>
      <c r="D734" s="291"/>
    </row>
    <row r="735" spans="1:4" ht="12.75">
      <c r="A735" s="17" t="s">
        <v>669</v>
      </c>
      <c r="B735" s="18">
        <v>580</v>
      </c>
      <c r="C735" s="1096"/>
      <c r="D735" s="291"/>
    </row>
    <row r="736" spans="1:4" ht="12.75">
      <c r="A736" s="17" t="s">
        <v>670</v>
      </c>
      <c r="B736" s="18">
        <v>580</v>
      </c>
      <c r="C736" s="1096"/>
      <c r="D736" s="291"/>
    </row>
    <row r="737" spans="1:4" ht="12.75">
      <c r="A737" s="17" t="s">
        <v>671</v>
      </c>
      <c r="B737" s="18">
        <v>580</v>
      </c>
      <c r="C737" s="1096"/>
      <c r="D737" s="291"/>
    </row>
    <row r="738" spans="1:4" ht="12.75">
      <c r="A738" s="17" t="s">
        <v>672</v>
      </c>
      <c r="B738" s="18">
        <v>580</v>
      </c>
      <c r="C738" s="1096"/>
      <c r="D738" s="291"/>
    </row>
    <row r="739" spans="1:4" ht="12.75">
      <c r="A739" s="17" t="s">
        <v>673</v>
      </c>
      <c r="B739" s="18">
        <v>580</v>
      </c>
      <c r="C739" s="1096"/>
      <c r="D739" s="291"/>
    </row>
    <row r="740" spans="1:4" ht="12.75">
      <c r="A740" s="17" t="s">
        <v>674</v>
      </c>
      <c r="B740" s="18">
        <v>580</v>
      </c>
      <c r="C740" s="1096"/>
      <c r="D740" s="291"/>
    </row>
    <row r="741" spans="1:4" ht="12.75">
      <c r="A741" s="17" t="s">
        <v>675</v>
      </c>
      <c r="B741" s="18">
        <v>580</v>
      </c>
      <c r="C741" s="1096"/>
      <c r="D741" s="291"/>
    </row>
    <row r="742" spans="1:4" ht="12.75">
      <c r="A742" s="17" t="s">
        <v>676</v>
      </c>
      <c r="B742" s="18">
        <v>580</v>
      </c>
      <c r="C742" s="1096"/>
      <c r="D742" s="291"/>
    </row>
    <row r="743" spans="1:4" ht="12.75">
      <c r="A743" s="17" t="s">
        <v>677</v>
      </c>
      <c r="B743" s="18">
        <v>580</v>
      </c>
      <c r="C743" s="1096"/>
      <c r="D743" s="291"/>
    </row>
    <row r="744" spans="1:4" ht="12.75">
      <c r="A744" s="17" t="s">
        <v>678</v>
      </c>
      <c r="B744" s="18">
        <v>580</v>
      </c>
      <c r="C744" s="1096"/>
      <c r="D744" s="291"/>
    </row>
    <row r="745" spans="1:4" ht="12.75">
      <c r="A745" s="17" t="s">
        <v>679</v>
      </c>
      <c r="B745" s="18">
        <v>580</v>
      </c>
      <c r="C745" s="1096"/>
      <c r="D745" s="291"/>
    </row>
    <row r="746" spans="1:4" ht="12.75">
      <c r="A746" s="17" t="s">
        <v>680</v>
      </c>
      <c r="B746" s="18">
        <v>580</v>
      </c>
      <c r="C746" s="1096"/>
      <c r="D746" s="291"/>
    </row>
    <row r="747" spans="1:4" ht="12.75">
      <c r="A747" s="17" t="s">
        <v>681</v>
      </c>
      <c r="B747" s="18">
        <v>580</v>
      </c>
      <c r="C747" s="1096"/>
      <c r="D747" s="291"/>
    </row>
    <row r="748" spans="1:4" ht="12.75">
      <c r="A748" s="17" t="s">
        <v>682</v>
      </c>
      <c r="B748" s="18">
        <v>580</v>
      </c>
      <c r="C748" s="1096"/>
      <c r="D748" s="291"/>
    </row>
    <row r="749" spans="1:4" ht="12.75">
      <c r="A749" s="17" t="s">
        <v>683</v>
      </c>
      <c r="B749" s="18">
        <v>580</v>
      </c>
      <c r="C749" s="1096"/>
      <c r="D749" s="291"/>
    </row>
    <row r="750" spans="1:4" ht="12.75">
      <c r="A750" s="17" t="s">
        <v>684</v>
      </c>
      <c r="B750" s="18">
        <v>580</v>
      </c>
      <c r="C750" s="1096"/>
      <c r="D750" s="291"/>
    </row>
    <row r="751" spans="1:4" ht="12.75">
      <c r="A751" s="17" t="s">
        <v>1270</v>
      </c>
      <c r="B751" s="18">
        <v>300</v>
      </c>
      <c r="C751" s="1096"/>
      <c r="D751" s="293"/>
    </row>
    <row r="752" spans="1:4" ht="12.75">
      <c r="A752" s="17" t="s">
        <v>1271</v>
      </c>
      <c r="B752" s="18">
        <v>300</v>
      </c>
      <c r="C752" s="1096"/>
      <c r="D752" s="293"/>
    </row>
    <row r="753" spans="1:4" ht="12.75">
      <c r="A753" s="17" t="s">
        <v>1272</v>
      </c>
      <c r="B753" s="18">
        <v>300</v>
      </c>
      <c r="C753" s="1096"/>
      <c r="D753" s="293"/>
    </row>
    <row r="754" spans="1:4" ht="12.75">
      <c r="A754" s="17" t="s">
        <v>1273</v>
      </c>
      <c r="B754" s="18">
        <v>300</v>
      </c>
      <c r="C754" s="1096"/>
      <c r="D754" s="293"/>
    </row>
    <row r="755" spans="1:4" ht="12.75">
      <c r="A755" s="17" t="s">
        <v>1274</v>
      </c>
      <c r="B755" s="18">
        <v>300</v>
      </c>
      <c r="C755" s="1096"/>
      <c r="D755" s="293"/>
    </row>
    <row r="756" spans="1:4" ht="12.75">
      <c r="A756" s="17" t="s">
        <v>1275</v>
      </c>
      <c r="B756" s="18">
        <v>300</v>
      </c>
      <c r="C756" s="1096"/>
      <c r="D756" s="293"/>
    </row>
    <row r="757" spans="1:4" ht="12.75">
      <c r="A757" s="17" t="s">
        <v>1276</v>
      </c>
      <c r="B757" s="18">
        <v>300</v>
      </c>
      <c r="C757" s="1096"/>
      <c r="D757" s="293"/>
    </row>
    <row r="758" spans="1:4" ht="12.75">
      <c r="A758" s="17" t="s">
        <v>1277</v>
      </c>
      <c r="B758" s="18">
        <v>300</v>
      </c>
      <c r="C758" s="1096"/>
      <c r="D758" s="293"/>
    </row>
    <row r="759" spans="1:4" ht="12.75">
      <c r="A759" s="17" t="s">
        <v>1278</v>
      </c>
      <c r="B759" s="18">
        <v>300</v>
      </c>
      <c r="C759" s="1096"/>
      <c r="D759" s="293"/>
    </row>
    <row r="760" spans="1:4" ht="12.75">
      <c r="A760" s="17" t="s">
        <v>1279</v>
      </c>
      <c r="B760" s="18">
        <v>300</v>
      </c>
      <c r="C760" s="1096"/>
      <c r="D760" s="293"/>
    </row>
    <row r="761" spans="1:4" ht="12.75">
      <c r="A761" s="17" t="s">
        <v>1280</v>
      </c>
      <c r="B761" s="18">
        <v>300</v>
      </c>
      <c r="C761" s="1096"/>
      <c r="D761" s="293"/>
    </row>
    <row r="762" spans="1:4" ht="12.75">
      <c r="A762" s="17" t="s">
        <v>1281</v>
      </c>
      <c r="B762" s="18">
        <v>300</v>
      </c>
      <c r="C762" s="1096"/>
      <c r="D762" s="293"/>
    </row>
    <row r="763" spans="1:4" ht="12.75">
      <c r="A763" s="17" t="s">
        <v>1282</v>
      </c>
      <c r="B763" s="18">
        <v>300</v>
      </c>
      <c r="C763" s="1096"/>
      <c r="D763" s="293"/>
    </row>
    <row r="764" spans="1:4" ht="12.75">
      <c r="A764" s="17" t="s">
        <v>1283</v>
      </c>
      <c r="B764" s="18">
        <v>300</v>
      </c>
      <c r="C764" s="1096"/>
      <c r="D764" s="293"/>
    </row>
    <row r="765" spans="1:4" ht="12.75">
      <c r="A765" s="17" t="s">
        <v>1284</v>
      </c>
      <c r="B765" s="18">
        <v>300</v>
      </c>
      <c r="C765" s="1096"/>
      <c r="D765" s="293"/>
    </row>
    <row r="766" spans="1:4" ht="12.75">
      <c r="A766" s="17" t="s">
        <v>1264</v>
      </c>
      <c r="B766" s="18">
        <v>300</v>
      </c>
      <c r="C766" s="1096"/>
      <c r="D766" s="293"/>
    </row>
    <row r="767" spans="1:4" ht="12.75">
      <c r="A767" s="17" t="s">
        <v>1285</v>
      </c>
      <c r="B767" s="18">
        <v>320</v>
      </c>
      <c r="C767" s="1096"/>
      <c r="D767" s="293"/>
    </row>
    <row r="768" spans="1:4" ht="12.75">
      <c r="A768" s="17" t="s">
        <v>1286</v>
      </c>
      <c r="B768" s="18">
        <v>320</v>
      </c>
      <c r="C768" s="1096"/>
      <c r="D768" s="293"/>
    </row>
    <row r="769" spans="1:4" ht="12.75">
      <c r="A769" s="17" t="s">
        <v>1287</v>
      </c>
      <c r="B769" s="18">
        <v>320</v>
      </c>
      <c r="C769" s="1096"/>
      <c r="D769" s="293"/>
    </row>
    <row r="770" spans="1:4" ht="12.75">
      <c r="A770" s="17" t="s">
        <v>1288</v>
      </c>
      <c r="B770" s="18">
        <v>320</v>
      </c>
      <c r="C770" s="1096"/>
      <c r="D770" s="293"/>
    </row>
    <row r="771" spans="1:4" ht="12.75">
      <c r="A771" s="17" t="s">
        <v>1289</v>
      </c>
      <c r="B771" s="18">
        <v>320</v>
      </c>
      <c r="C771" s="1096"/>
      <c r="D771" s="293"/>
    </row>
    <row r="772" spans="1:4" ht="12.75">
      <c r="A772" s="17" t="s">
        <v>1290</v>
      </c>
      <c r="B772" s="18">
        <v>320</v>
      </c>
      <c r="C772" s="1096"/>
      <c r="D772" s="293"/>
    </row>
    <row r="773" spans="1:4" ht="12.75">
      <c r="A773" s="17" t="s">
        <v>1291</v>
      </c>
      <c r="B773" s="18">
        <v>320</v>
      </c>
      <c r="C773" s="1096"/>
      <c r="D773" s="293"/>
    </row>
    <row r="774" spans="1:4" ht="12.75">
      <c r="A774" s="17" t="s">
        <v>1292</v>
      </c>
      <c r="B774" s="18">
        <v>320</v>
      </c>
      <c r="C774" s="1096"/>
      <c r="D774" s="293"/>
    </row>
    <row r="775" spans="1:4" ht="12.75">
      <c r="A775" s="17" t="s">
        <v>1293</v>
      </c>
      <c r="B775" s="18">
        <v>320</v>
      </c>
      <c r="C775" s="1096"/>
      <c r="D775" s="293"/>
    </row>
    <row r="776" spans="1:4" ht="12.75">
      <c r="A776" s="17" t="s">
        <v>1294</v>
      </c>
      <c r="B776" s="18">
        <v>320</v>
      </c>
      <c r="C776" s="1096"/>
      <c r="D776" s="293"/>
    </row>
    <row r="777" spans="1:4" ht="12.75">
      <c r="A777" s="17" t="s">
        <v>1295</v>
      </c>
      <c r="B777" s="18">
        <v>320</v>
      </c>
      <c r="C777" s="1096"/>
      <c r="D777" s="293"/>
    </row>
    <row r="778" spans="1:4" ht="12.75">
      <c r="A778" s="17" t="s">
        <v>1296</v>
      </c>
      <c r="B778" s="18">
        <v>320</v>
      </c>
      <c r="C778" s="1096"/>
      <c r="D778" s="293"/>
    </row>
    <row r="779" spans="1:4" ht="12.75">
      <c r="A779" s="17" t="s">
        <v>1297</v>
      </c>
      <c r="B779" s="18">
        <v>320</v>
      </c>
      <c r="C779" s="1096"/>
      <c r="D779" s="293"/>
    </row>
    <row r="780" spans="1:4" ht="12.75">
      <c r="A780" s="17" t="s">
        <v>1298</v>
      </c>
      <c r="B780" s="18">
        <v>320</v>
      </c>
      <c r="C780" s="1096"/>
      <c r="D780" s="293"/>
    </row>
    <row r="781" spans="1:4" ht="12.75">
      <c r="A781" s="17" t="s">
        <v>1299</v>
      </c>
      <c r="B781" s="18">
        <v>320</v>
      </c>
      <c r="C781" s="1096"/>
      <c r="D781" s="293"/>
    </row>
    <row r="782" spans="1:4" ht="12.75">
      <c r="A782" s="17" t="s">
        <v>1265</v>
      </c>
      <c r="B782" s="18">
        <v>320</v>
      </c>
      <c r="C782" s="1096"/>
      <c r="D782" s="293"/>
    </row>
    <row r="783" spans="1:4" ht="12.75">
      <c r="A783" s="17" t="s">
        <v>1300</v>
      </c>
      <c r="B783" s="18">
        <v>350</v>
      </c>
      <c r="C783" s="1096"/>
      <c r="D783" s="293"/>
    </row>
    <row r="784" spans="1:4" ht="12.75">
      <c r="A784" s="17" t="s">
        <v>1301</v>
      </c>
      <c r="B784" s="18">
        <v>350</v>
      </c>
      <c r="C784" s="1096"/>
      <c r="D784" s="293"/>
    </row>
    <row r="785" spans="1:4" ht="12.75">
      <c r="A785" s="17" t="s">
        <v>1302</v>
      </c>
      <c r="B785" s="18">
        <v>350</v>
      </c>
      <c r="C785" s="1096"/>
      <c r="D785" s="293"/>
    </row>
    <row r="786" spans="1:4" ht="12.75">
      <c r="A786" s="17" t="s">
        <v>1303</v>
      </c>
      <c r="B786" s="18">
        <v>350</v>
      </c>
      <c r="C786" s="1096"/>
      <c r="D786" s="293"/>
    </row>
    <row r="787" spans="1:4" ht="12.75">
      <c r="A787" s="17" t="s">
        <v>1304</v>
      </c>
      <c r="B787" s="18">
        <v>350</v>
      </c>
      <c r="C787" s="1096"/>
      <c r="D787" s="293"/>
    </row>
    <row r="788" spans="1:4" ht="12.75">
      <c r="A788" s="17" t="s">
        <v>1305</v>
      </c>
      <c r="B788" s="18">
        <v>350</v>
      </c>
      <c r="C788" s="1096"/>
      <c r="D788" s="293"/>
    </row>
    <row r="789" spans="1:4" ht="12.75">
      <c r="A789" s="17" t="s">
        <v>1306</v>
      </c>
      <c r="B789" s="18">
        <v>350</v>
      </c>
      <c r="C789" s="1096"/>
      <c r="D789" s="293"/>
    </row>
    <row r="790" spans="1:4" ht="12.75">
      <c r="A790" s="17" t="s">
        <v>1307</v>
      </c>
      <c r="B790" s="18">
        <v>350</v>
      </c>
      <c r="C790" s="1096"/>
      <c r="D790" s="293"/>
    </row>
    <row r="791" spans="1:4" ht="12.75">
      <c r="A791" s="17" t="s">
        <v>1308</v>
      </c>
      <c r="B791" s="18">
        <v>350</v>
      </c>
      <c r="C791" s="1096"/>
      <c r="D791" s="293"/>
    </row>
    <row r="792" spans="1:4" ht="12.75">
      <c r="A792" s="17" t="s">
        <v>1309</v>
      </c>
      <c r="B792" s="18">
        <v>350</v>
      </c>
      <c r="C792" s="1096"/>
      <c r="D792" s="293"/>
    </row>
    <row r="793" spans="1:4" ht="12.75">
      <c r="A793" s="17" t="s">
        <v>1310</v>
      </c>
      <c r="B793" s="18">
        <v>350</v>
      </c>
      <c r="C793" s="1096"/>
      <c r="D793" s="293"/>
    </row>
    <row r="794" spans="1:4" ht="12.75">
      <c r="A794" s="17" t="s">
        <v>1311</v>
      </c>
      <c r="B794" s="18">
        <v>350</v>
      </c>
      <c r="C794" s="1096"/>
      <c r="D794" s="293"/>
    </row>
    <row r="795" spans="1:4" ht="12.75">
      <c r="A795" s="17" t="s">
        <v>1312</v>
      </c>
      <c r="B795" s="18">
        <v>350</v>
      </c>
      <c r="C795" s="1096"/>
      <c r="D795" s="293"/>
    </row>
    <row r="796" spans="1:4" ht="12.75">
      <c r="A796" s="17" t="s">
        <v>1313</v>
      </c>
      <c r="B796" s="18">
        <v>350</v>
      </c>
      <c r="C796" s="1096"/>
      <c r="D796" s="293"/>
    </row>
    <row r="797" spans="1:4" ht="12.75">
      <c r="A797" s="17" t="s">
        <v>1314</v>
      </c>
      <c r="B797" s="18">
        <v>350</v>
      </c>
      <c r="C797" s="1096"/>
      <c r="D797" s="293"/>
    </row>
    <row r="798" spans="1:4" ht="12.75">
      <c r="A798" s="17" t="s">
        <v>1266</v>
      </c>
      <c r="B798" s="18">
        <v>350</v>
      </c>
      <c r="C798" s="1096"/>
      <c r="D798" s="293"/>
    </row>
    <row r="799" spans="1:4" ht="12.75">
      <c r="A799" s="17" t="s">
        <v>685</v>
      </c>
      <c r="B799" s="18">
        <v>380</v>
      </c>
      <c r="C799" s="1096"/>
      <c r="D799" s="291"/>
    </row>
    <row r="800" spans="1:4" ht="12.75">
      <c r="A800" s="17" t="s">
        <v>686</v>
      </c>
      <c r="B800" s="18">
        <v>380</v>
      </c>
      <c r="C800" s="1096"/>
      <c r="D800" s="291"/>
    </row>
    <row r="801" spans="1:4" ht="12.75">
      <c r="A801" s="17" t="s">
        <v>687</v>
      </c>
      <c r="B801" s="18">
        <v>380</v>
      </c>
      <c r="C801" s="1096"/>
      <c r="D801" s="291"/>
    </row>
    <row r="802" spans="1:4" ht="12.75">
      <c r="A802" s="17" t="s">
        <v>688</v>
      </c>
      <c r="B802" s="18">
        <v>380</v>
      </c>
      <c r="C802" s="1096"/>
      <c r="D802" s="291"/>
    </row>
    <row r="803" spans="1:4" ht="12.75">
      <c r="A803" s="17" t="s">
        <v>689</v>
      </c>
      <c r="B803" s="18">
        <v>380</v>
      </c>
      <c r="C803" s="1096"/>
      <c r="D803" s="291"/>
    </row>
    <row r="804" spans="1:4" ht="12.75">
      <c r="A804" s="17" t="s">
        <v>690</v>
      </c>
      <c r="B804" s="18">
        <v>380</v>
      </c>
      <c r="C804" s="1096"/>
      <c r="D804" s="291"/>
    </row>
    <row r="805" spans="1:4" ht="12.75">
      <c r="A805" s="17" t="s">
        <v>691</v>
      </c>
      <c r="B805" s="18">
        <v>380</v>
      </c>
      <c r="C805" s="1096"/>
      <c r="D805" s="291"/>
    </row>
    <row r="806" spans="1:4" ht="12.75">
      <c r="A806" s="17" t="s">
        <v>692</v>
      </c>
      <c r="B806" s="18">
        <v>380</v>
      </c>
      <c r="C806" s="1096"/>
      <c r="D806" s="291"/>
    </row>
    <row r="807" spans="1:4" ht="12.75">
      <c r="A807" s="17" t="s">
        <v>693</v>
      </c>
      <c r="B807" s="18">
        <v>380</v>
      </c>
      <c r="C807" s="1096"/>
      <c r="D807" s="291"/>
    </row>
    <row r="808" spans="1:4" ht="12.75">
      <c r="A808" s="17" t="s">
        <v>694</v>
      </c>
      <c r="B808" s="18">
        <v>380</v>
      </c>
      <c r="C808" s="1096"/>
      <c r="D808" s="291"/>
    </row>
    <row r="809" spans="1:4" ht="12.75">
      <c r="A809" s="17" t="s">
        <v>695</v>
      </c>
      <c r="B809" s="18">
        <v>380</v>
      </c>
      <c r="C809" s="1096"/>
      <c r="D809" s="291"/>
    </row>
    <row r="810" spans="1:4" ht="12.75">
      <c r="A810" s="17" t="s">
        <v>696</v>
      </c>
      <c r="B810" s="18">
        <v>380</v>
      </c>
      <c r="C810" s="1096"/>
      <c r="D810" s="291"/>
    </row>
    <row r="811" spans="1:4" ht="12.75">
      <c r="A811" s="17" t="s">
        <v>697</v>
      </c>
      <c r="B811" s="18">
        <v>380</v>
      </c>
      <c r="C811" s="1096"/>
      <c r="D811" s="291"/>
    </row>
    <row r="812" spans="1:4" ht="12.75">
      <c r="A812" s="17" t="s">
        <v>698</v>
      </c>
      <c r="B812" s="18">
        <v>380</v>
      </c>
      <c r="C812" s="1096"/>
      <c r="D812" s="291"/>
    </row>
    <row r="813" spans="1:4" ht="12.75">
      <c r="A813" s="17" t="s">
        <v>699</v>
      </c>
      <c r="B813" s="18">
        <v>380</v>
      </c>
      <c r="C813" s="1096"/>
      <c r="D813" s="291"/>
    </row>
    <row r="814" spans="1:4" ht="12.75">
      <c r="A814" s="17" t="s">
        <v>700</v>
      </c>
      <c r="B814" s="18">
        <v>380</v>
      </c>
      <c r="C814" s="1096"/>
      <c r="D814" s="291"/>
    </row>
    <row r="815" spans="1:4" ht="12.75">
      <c r="A815" s="17" t="s">
        <v>701</v>
      </c>
      <c r="B815" s="18">
        <v>440</v>
      </c>
      <c r="C815" s="1096"/>
      <c r="D815" s="291"/>
    </row>
    <row r="816" spans="1:4" ht="12.75">
      <c r="A816" s="17" t="s">
        <v>702</v>
      </c>
      <c r="B816" s="18">
        <v>440</v>
      </c>
      <c r="C816" s="1096"/>
      <c r="D816" s="291"/>
    </row>
    <row r="817" spans="1:4" ht="12.75">
      <c r="A817" s="17" t="s">
        <v>703</v>
      </c>
      <c r="B817" s="18">
        <v>440</v>
      </c>
      <c r="C817" s="1096"/>
      <c r="D817" s="291"/>
    </row>
    <row r="818" spans="1:4" ht="12.75">
      <c r="A818" s="17" t="s">
        <v>704</v>
      </c>
      <c r="B818" s="18">
        <v>440</v>
      </c>
      <c r="C818" s="1096"/>
      <c r="D818" s="291"/>
    </row>
    <row r="819" spans="1:4" ht="12.75">
      <c r="A819" s="17" t="s">
        <v>705</v>
      </c>
      <c r="B819" s="18">
        <v>440</v>
      </c>
      <c r="C819" s="1096"/>
      <c r="D819" s="291"/>
    </row>
    <row r="820" spans="1:4" ht="12.75">
      <c r="A820" s="17" t="s">
        <v>706</v>
      </c>
      <c r="B820" s="18">
        <v>440</v>
      </c>
      <c r="C820" s="1096"/>
      <c r="D820" s="291"/>
    </row>
    <row r="821" spans="1:4" ht="12.75">
      <c r="A821" s="17" t="s">
        <v>707</v>
      </c>
      <c r="B821" s="18">
        <v>440</v>
      </c>
      <c r="C821" s="1096"/>
      <c r="D821" s="291"/>
    </row>
    <row r="822" spans="1:4" ht="12.75">
      <c r="A822" s="17" t="s">
        <v>708</v>
      </c>
      <c r="B822" s="18">
        <v>440</v>
      </c>
      <c r="C822" s="1096"/>
      <c r="D822" s="291"/>
    </row>
    <row r="823" spans="1:4" ht="12.75">
      <c r="A823" s="17" t="s">
        <v>709</v>
      </c>
      <c r="B823" s="18">
        <v>440</v>
      </c>
      <c r="C823" s="1096"/>
      <c r="D823" s="291"/>
    </row>
    <row r="824" spans="1:4" ht="12.75">
      <c r="A824" s="17" t="s">
        <v>710</v>
      </c>
      <c r="B824" s="18">
        <v>440</v>
      </c>
      <c r="C824" s="1096"/>
      <c r="D824" s="291"/>
    </row>
    <row r="825" spans="1:4" ht="12.75">
      <c r="A825" s="17" t="s">
        <v>711</v>
      </c>
      <c r="B825" s="18">
        <v>440</v>
      </c>
      <c r="C825" s="1096"/>
      <c r="D825" s="291"/>
    </row>
    <row r="826" spans="1:4" ht="12.75">
      <c r="A826" s="17" t="s">
        <v>712</v>
      </c>
      <c r="B826" s="18">
        <v>440</v>
      </c>
      <c r="C826" s="1096"/>
      <c r="D826" s="291"/>
    </row>
    <row r="827" spans="1:4" ht="12.75">
      <c r="A827" s="17" t="s">
        <v>713</v>
      </c>
      <c r="B827" s="18">
        <v>440</v>
      </c>
      <c r="C827" s="1096"/>
      <c r="D827" s="291"/>
    </row>
    <row r="828" spans="1:4" ht="12.75">
      <c r="A828" s="17" t="s">
        <v>714</v>
      </c>
      <c r="B828" s="18">
        <v>440</v>
      </c>
      <c r="C828" s="1096"/>
      <c r="D828" s="291"/>
    </row>
    <row r="829" spans="1:4" ht="12.75">
      <c r="A829" s="17" t="s">
        <v>715</v>
      </c>
      <c r="B829" s="18">
        <v>440</v>
      </c>
      <c r="C829" s="1096"/>
      <c r="D829" s="291"/>
    </row>
    <row r="830" spans="1:4" ht="12.75">
      <c r="A830" s="17" t="s">
        <v>716</v>
      </c>
      <c r="B830" s="18">
        <v>440</v>
      </c>
      <c r="C830" s="1096"/>
      <c r="D830" s="291"/>
    </row>
    <row r="831" spans="1:4" ht="12.75">
      <c r="A831" s="17" t="s">
        <v>1315</v>
      </c>
      <c r="B831" s="18">
        <v>480</v>
      </c>
      <c r="C831" s="1096"/>
      <c r="D831" s="292"/>
    </row>
    <row r="832" spans="1:4" ht="12.75">
      <c r="A832" s="17" t="s">
        <v>1316</v>
      </c>
      <c r="B832" s="18">
        <v>480</v>
      </c>
      <c r="C832" s="1096"/>
      <c r="D832" s="292"/>
    </row>
    <row r="833" spans="1:4" ht="12.75">
      <c r="A833" s="17" t="s">
        <v>1317</v>
      </c>
      <c r="B833" s="18">
        <v>480</v>
      </c>
      <c r="C833" s="1096"/>
      <c r="D833" s="292"/>
    </row>
    <row r="834" spans="1:4" ht="12.75">
      <c r="A834" s="17" t="s">
        <v>1318</v>
      </c>
      <c r="B834" s="18">
        <v>480</v>
      </c>
      <c r="C834" s="1096"/>
      <c r="D834" s="292"/>
    </row>
    <row r="835" spans="1:4" ht="12.75">
      <c r="A835" s="17" t="s">
        <v>1319</v>
      </c>
      <c r="B835" s="18">
        <v>480</v>
      </c>
      <c r="C835" s="1096"/>
      <c r="D835" s="292"/>
    </row>
    <row r="836" spans="1:4" ht="12.75">
      <c r="A836" s="17" t="s">
        <v>1320</v>
      </c>
      <c r="B836" s="18">
        <v>480</v>
      </c>
      <c r="C836" s="1096"/>
      <c r="D836" s="292"/>
    </row>
    <row r="837" spans="1:4" ht="12.75">
      <c r="A837" s="17" t="s">
        <v>1321</v>
      </c>
      <c r="B837" s="18">
        <v>480</v>
      </c>
      <c r="C837" s="1096"/>
      <c r="D837" s="292"/>
    </row>
    <row r="838" spans="1:4" ht="12.75">
      <c r="A838" s="17" t="s">
        <v>1322</v>
      </c>
      <c r="B838" s="18">
        <v>480</v>
      </c>
      <c r="C838" s="1096"/>
      <c r="D838" s="292"/>
    </row>
    <row r="839" spans="1:4" ht="12.75">
      <c r="A839" s="17" t="s">
        <v>1323</v>
      </c>
      <c r="B839" s="18">
        <v>480</v>
      </c>
      <c r="C839" s="1096"/>
      <c r="D839" s="292"/>
    </row>
    <row r="840" spans="1:4" ht="12.75">
      <c r="A840" s="17" t="s">
        <v>1324</v>
      </c>
      <c r="B840" s="18">
        <v>480</v>
      </c>
      <c r="C840" s="1096"/>
      <c r="D840" s="292"/>
    </row>
    <row r="841" spans="1:4" ht="12.75">
      <c r="A841" s="17" t="s">
        <v>1325</v>
      </c>
      <c r="B841" s="18">
        <v>480</v>
      </c>
      <c r="C841" s="1096"/>
      <c r="D841" s="292"/>
    </row>
    <row r="842" spans="1:4" ht="12.75">
      <c r="A842" s="17" t="s">
        <v>1326</v>
      </c>
      <c r="B842" s="18">
        <v>480</v>
      </c>
      <c r="C842" s="1096"/>
      <c r="D842" s="292"/>
    </row>
    <row r="843" spans="1:4" ht="12.75">
      <c r="A843" s="17" t="s">
        <v>1327</v>
      </c>
      <c r="B843" s="18">
        <v>480</v>
      </c>
      <c r="C843" s="1096"/>
      <c r="D843" s="292"/>
    </row>
    <row r="844" spans="1:4" ht="12.75">
      <c r="A844" s="17" t="s">
        <v>1328</v>
      </c>
      <c r="B844" s="18">
        <v>480</v>
      </c>
      <c r="C844" s="1096"/>
      <c r="D844" s="292"/>
    </row>
    <row r="845" spans="1:4" ht="12.75">
      <c r="A845" s="17" t="s">
        <v>1329</v>
      </c>
      <c r="B845" s="18">
        <v>480</v>
      </c>
      <c r="C845" s="1096"/>
      <c r="D845" s="292"/>
    </row>
    <row r="846" spans="1:4" ht="12.75">
      <c r="A846" s="17" t="s">
        <v>1267</v>
      </c>
      <c r="B846" s="18">
        <v>480</v>
      </c>
      <c r="C846" s="1096"/>
      <c r="D846" s="292"/>
    </row>
    <row r="847" spans="1:4" ht="12.75">
      <c r="A847" s="17" t="s">
        <v>717</v>
      </c>
      <c r="B847" s="18">
        <v>520</v>
      </c>
      <c r="C847" s="1096"/>
      <c r="D847" s="291"/>
    </row>
    <row r="848" spans="1:4" ht="12.75">
      <c r="A848" s="17" t="s">
        <v>718</v>
      </c>
      <c r="B848" s="18">
        <v>520</v>
      </c>
      <c r="C848" s="1096"/>
      <c r="D848" s="291"/>
    </row>
    <row r="849" spans="1:4" ht="12.75">
      <c r="A849" s="17" t="s">
        <v>719</v>
      </c>
      <c r="B849" s="18">
        <v>520</v>
      </c>
      <c r="C849" s="1096"/>
      <c r="D849" s="291"/>
    </row>
    <row r="850" spans="1:4" ht="12.75">
      <c r="A850" s="17" t="s">
        <v>720</v>
      </c>
      <c r="B850" s="18">
        <v>520</v>
      </c>
      <c r="C850" s="1096"/>
      <c r="D850" s="291"/>
    </row>
    <row r="851" spans="1:4" ht="12.75">
      <c r="A851" s="17" t="s">
        <v>721</v>
      </c>
      <c r="B851" s="18">
        <v>520</v>
      </c>
      <c r="C851" s="1096"/>
      <c r="D851" s="291"/>
    </row>
    <row r="852" spans="1:4" ht="12.75">
      <c r="A852" s="17" t="s">
        <v>722</v>
      </c>
      <c r="B852" s="18">
        <v>520</v>
      </c>
      <c r="C852" s="1096"/>
      <c r="D852" s="291"/>
    </row>
    <row r="853" spans="1:4" ht="12.75">
      <c r="A853" s="17" t="s">
        <v>723</v>
      </c>
      <c r="B853" s="18">
        <v>520</v>
      </c>
      <c r="C853" s="1096"/>
      <c r="D853" s="291"/>
    </row>
    <row r="854" spans="1:4" ht="12.75">
      <c r="A854" s="17" t="s">
        <v>724</v>
      </c>
      <c r="B854" s="18">
        <v>520</v>
      </c>
      <c r="C854" s="1096"/>
      <c r="D854" s="291"/>
    </row>
    <row r="855" spans="1:4" ht="12.75">
      <c r="A855" s="17" t="s">
        <v>725</v>
      </c>
      <c r="B855" s="18">
        <v>520</v>
      </c>
      <c r="C855" s="1096"/>
      <c r="D855" s="291"/>
    </row>
    <row r="856" spans="1:4" ht="12.75">
      <c r="A856" s="17" t="s">
        <v>726</v>
      </c>
      <c r="B856" s="18">
        <v>520</v>
      </c>
      <c r="C856" s="1096"/>
      <c r="D856" s="291"/>
    </row>
    <row r="857" spans="1:4" ht="12.75">
      <c r="A857" s="17" t="s">
        <v>727</v>
      </c>
      <c r="B857" s="18">
        <v>520</v>
      </c>
      <c r="C857" s="1096"/>
      <c r="D857" s="291"/>
    </row>
    <row r="858" spans="1:4" ht="12.75">
      <c r="A858" s="17" t="s">
        <v>728</v>
      </c>
      <c r="B858" s="18">
        <v>520</v>
      </c>
      <c r="C858" s="1096"/>
      <c r="D858" s="291"/>
    </row>
    <row r="859" spans="1:4" ht="12.75">
      <c r="A859" s="17" t="s">
        <v>729</v>
      </c>
      <c r="B859" s="18">
        <v>520</v>
      </c>
      <c r="C859" s="1096"/>
      <c r="D859" s="291"/>
    </row>
    <row r="860" spans="1:4" ht="12.75">
      <c r="A860" s="17" t="s">
        <v>730</v>
      </c>
      <c r="B860" s="18">
        <v>520</v>
      </c>
      <c r="C860" s="1096"/>
      <c r="D860" s="291"/>
    </row>
    <row r="861" spans="1:4" ht="12.75">
      <c r="A861" s="17" t="s">
        <v>731</v>
      </c>
      <c r="B861" s="18">
        <v>520</v>
      </c>
      <c r="C861" s="1096"/>
      <c r="D861" s="291"/>
    </row>
    <row r="862" spans="1:4" ht="12.75">
      <c r="A862" s="17" t="s">
        <v>732</v>
      </c>
      <c r="B862" s="18">
        <v>520</v>
      </c>
      <c r="C862" s="1096"/>
      <c r="D862" s="291"/>
    </row>
    <row r="863" spans="1:4" ht="12.75">
      <c r="A863" s="17" t="s">
        <v>733</v>
      </c>
      <c r="B863" s="18">
        <v>560</v>
      </c>
      <c r="C863" s="1096"/>
      <c r="D863" s="291"/>
    </row>
    <row r="864" spans="1:4" ht="12.75">
      <c r="A864" s="17" t="s">
        <v>734</v>
      </c>
      <c r="B864" s="18">
        <v>560</v>
      </c>
      <c r="C864" s="1096"/>
      <c r="D864" s="291"/>
    </row>
    <row r="865" spans="1:4" ht="12.75">
      <c r="A865" s="17" t="s">
        <v>735</v>
      </c>
      <c r="B865" s="18">
        <v>560</v>
      </c>
      <c r="C865" s="1096"/>
      <c r="D865" s="291"/>
    </row>
    <row r="866" spans="1:4" ht="12.75">
      <c r="A866" s="17" t="s">
        <v>736</v>
      </c>
      <c r="B866" s="18">
        <v>560</v>
      </c>
      <c r="C866" s="1096"/>
      <c r="D866" s="291"/>
    </row>
    <row r="867" spans="1:4" ht="12.75">
      <c r="A867" s="17" t="s">
        <v>737</v>
      </c>
      <c r="B867" s="18">
        <v>560</v>
      </c>
      <c r="C867" s="1096"/>
      <c r="D867" s="291"/>
    </row>
    <row r="868" spans="1:4" ht="12.75">
      <c r="A868" s="17" t="s">
        <v>738</v>
      </c>
      <c r="B868" s="18">
        <v>560</v>
      </c>
      <c r="C868" s="1096"/>
      <c r="D868" s="291"/>
    </row>
    <row r="869" spans="1:4" ht="12.75">
      <c r="A869" s="17" t="s">
        <v>739</v>
      </c>
      <c r="B869" s="18">
        <v>560</v>
      </c>
      <c r="C869" s="1096"/>
      <c r="D869" s="291"/>
    </row>
    <row r="870" spans="1:4" ht="12.75">
      <c r="A870" s="17" t="s">
        <v>740</v>
      </c>
      <c r="B870" s="18">
        <v>560</v>
      </c>
      <c r="C870" s="1096"/>
      <c r="D870" s="291"/>
    </row>
    <row r="871" spans="1:4" ht="12.75">
      <c r="A871" s="17" t="s">
        <v>741</v>
      </c>
      <c r="B871" s="18">
        <v>560</v>
      </c>
      <c r="C871" s="1096"/>
      <c r="D871" s="291"/>
    </row>
    <row r="872" spans="1:4" ht="12.75">
      <c r="A872" s="17" t="s">
        <v>742</v>
      </c>
      <c r="B872" s="18">
        <v>560</v>
      </c>
      <c r="C872" s="1096"/>
      <c r="D872" s="291"/>
    </row>
    <row r="873" spans="1:4" ht="12.75">
      <c r="A873" s="17" t="s">
        <v>743</v>
      </c>
      <c r="B873" s="18">
        <v>560</v>
      </c>
      <c r="C873" s="1096"/>
      <c r="D873" s="291"/>
    </row>
    <row r="874" spans="1:4" ht="12.75">
      <c r="A874" s="17" t="s">
        <v>744</v>
      </c>
      <c r="B874" s="18">
        <v>560</v>
      </c>
      <c r="C874" s="1096"/>
      <c r="D874" s="291"/>
    </row>
    <row r="875" spans="1:4" ht="12.75">
      <c r="A875" s="17" t="s">
        <v>745</v>
      </c>
      <c r="B875" s="18">
        <v>560</v>
      </c>
      <c r="C875" s="1096"/>
      <c r="D875" s="291"/>
    </row>
    <row r="876" spans="1:4" ht="12.75">
      <c r="A876" s="17" t="s">
        <v>746</v>
      </c>
      <c r="B876" s="18">
        <v>560</v>
      </c>
      <c r="C876" s="1096"/>
      <c r="D876" s="291"/>
    </row>
    <row r="877" spans="1:4" ht="12.75">
      <c r="A877" s="17" t="s">
        <v>747</v>
      </c>
      <c r="B877" s="18">
        <v>560</v>
      </c>
      <c r="C877" s="1096"/>
      <c r="D877" s="291"/>
    </row>
    <row r="878" spans="1:4" ht="12.75">
      <c r="A878" s="17" t="s">
        <v>748</v>
      </c>
      <c r="B878" s="18">
        <v>560</v>
      </c>
      <c r="C878" s="1096"/>
      <c r="D878" s="291"/>
    </row>
    <row r="879" spans="1:4" ht="12.75">
      <c r="A879" s="17" t="s">
        <v>749</v>
      </c>
      <c r="B879" s="18">
        <v>620</v>
      </c>
      <c r="C879" s="1096"/>
      <c r="D879" s="291"/>
    </row>
    <row r="880" spans="1:4" ht="12.75">
      <c r="A880" s="17" t="s">
        <v>750</v>
      </c>
      <c r="B880" s="18">
        <v>620</v>
      </c>
      <c r="C880" s="1096"/>
      <c r="D880" s="291"/>
    </row>
    <row r="881" spans="1:4" ht="12.75">
      <c r="A881" s="17" t="s">
        <v>751</v>
      </c>
      <c r="B881" s="18">
        <v>620</v>
      </c>
      <c r="C881" s="1096"/>
      <c r="D881" s="291"/>
    </row>
    <row r="882" spans="1:4" ht="12.75">
      <c r="A882" s="17" t="s">
        <v>752</v>
      </c>
      <c r="B882" s="18">
        <v>620</v>
      </c>
      <c r="C882" s="1096"/>
      <c r="D882" s="291"/>
    </row>
    <row r="883" spans="1:4" ht="12.75">
      <c r="A883" s="17" t="s">
        <v>753</v>
      </c>
      <c r="B883" s="18">
        <v>620</v>
      </c>
      <c r="C883" s="1096"/>
      <c r="D883" s="291"/>
    </row>
    <row r="884" spans="1:4" ht="12.75">
      <c r="A884" s="17" t="s">
        <v>754</v>
      </c>
      <c r="B884" s="18">
        <v>620</v>
      </c>
      <c r="C884" s="1096"/>
      <c r="D884" s="291"/>
    </row>
    <row r="885" spans="1:4" ht="12.75">
      <c r="A885" s="17" t="s">
        <v>755</v>
      </c>
      <c r="B885" s="18">
        <v>620</v>
      </c>
      <c r="C885" s="1096"/>
      <c r="D885" s="291"/>
    </row>
    <row r="886" spans="1:4" ht="12.75">
      <c r="A886" s="17" t="s">
        <v>756</v>
      </c>
      <c r="B886" s="18">
        <v>620</v>
      </c>
      <c r="C886" s="1096"/>
      <c r="D886" s="291"/>
    </row>
    <row r="887" spans="1:4" ht="12.75">
      <c r="A887" s="17" t="s">
        <v>757</v>
      </c>
      <c r="B887" s="18">
        <v>620</v>
      </c>
      <c r="C887" s="1096"/>
      <c r="D887" s="291"/>
    </row>
    <row r="888" spans="1:4" ht="12.75">
      <c r="A888" s="17" t="s">
        <v>758</v>
      </c>
      <c r="B888" s="18">
        <v>620</v>
      </c>
      <c r="C888" s="1096"/>
      <c r="D888" s="291"/>
    </row>
    <row r="889" spans="1:4" ht="12.75">
      <c r="A889" s="17" t="s">
        <v>759</v>
      </c>
      <c r="B889" s="18">
        <v>620</v>
      </c>
      <c r="C889" s="1096"/>
      <c r="D889" s="291"/>
    </row>
    <row r="890" spans="1:4" ht="12.75">
      <c r="A890" s="17" t="s">
        <v>760</v>
      </c>
      <c r="B890" s="18">
        <v>620</v>
      </c>
      <c r="C890" s="1096"/>
      <c r="D890" s="291"/>
    </row>
    <row r="891" spans="1:4" ht="12.75">
      <c r="A891" s="17" t="s">
        <v>761</v>
      </c>
      <c r="B891" s="18">
        <v>620</v>
      </c>
      <c r="C891" s="1096"/>
      <c r="D891" s="291"/>
    </row>
    <row r="892" spans="1:4" ht="12.75">
      <c r="A892" s="17" t="s">
        <v>762</v>
      </c>
      <c r="B892" s="18">
        <v>620</v>
      </c>
      <c r="C892" s="1096"/>
      <c r="D892" s="291"/>
    </row>
    <row r="893" spans="1:4" ht="12.75">
      <c r="A893" s="17" t="s">
        <v>763</v>
      </c>
      <c r="B893" s="18">
        <v>620</v>
      </c>
      <c r="C893" s="1096"/>
      <c r="D893" s="291"/>
    </row>
    <row r="894" spans="1:4" ht="12.75">
      <c r="A894" s="17" t="s">
        <v>764</v>
      </c>
      <c r="B894" s="18">
        <v>620</v>
      </c>
      <c r="C894" s="1096"/>
      <c r="D894" s="291"/>
    </row>
    <row r="895" spans="1:4" ht="12.75">
      <c r="A895" s="17" t="s">
        <v>1330</v>
      </c>
      <c r="B895" s="18">
        <v>670</v>
      </c>
      <c r="C895" s="1096"/>
      <c r="D895" s="292"/>
    </row>
    <row r="896" spans="1:4" ht="12.75">
      <c r="A896" s="17" t="s">
        <v>1331</v>
      </c>
      <c r="B896" s="18">
        <v>670</v>
      </c>
      <c r="C896" s="1096"/>
      <c r="D896" s="292"/>
    </row>
    <row r="897" spans="1:4" ht="12.75">
      <c r="A897" s="17" t="s">
        <v>1332</v>
      </c>
      <c r="B897" s="18">
        <v>670</v>
      </c>
      <c r="C897" s="1096"/>
      <c r="D897" s="292"/>
    </row>
    <row r="898" spans="1:4" ht="12.75">
      <c r="A898" s="17" t="s">
        <v>1333</v>
      </c>
      <c r="B898" s="18">
        <v>670</v>
      </c>
      <c r="C898" s="1096"/>
      <c r="D898" s="292"/>
    </row>
    <row r="899" spans="1:4" ht="12.75">
      <c r="A899" s="17" t="s">
        <v>1334</v>
      </c>
      <c r="B899" s="18">
        <v>670</v>
      </c>
      <c r="C899" s="1096"/>
      <c r="D899" s="292"/>
    </row>
    <row r="900" spans="1:4" ht="12.75">
      <c r="A900" s="17" t="s">
        <v>1335</v>
      </c>
      <c r="B900" s="18">
        <v>670</v>
      </c>
      <c r="C900" s="1096"/>
      <c r="D900" s="292"/>
    </row>
    <row r="901" spans="1:4" ht="12.75">
      <c r="A901" s="17" t="s">
        <v>1336</v>
      </c>
      <c r="B901" s="18">
        <v>670</v>
      </c>
      <c r="C901" s="1096"/>
      <c r="D901" s="292"/>
    </row>
    <row r="902" spans="1:4" ht="12.75">
      <c r="A902" s="17" t="s">
        <v>1337</v>
      </c>
      <c r="B902" s="18">
        <v>670</v>
      </c>
      <c r="C902" s="1096"/>
      <c r="D902" s="292"/>
    </row>
    <row r="903" spans="1:4" ht="12.75">
      <c r="A903" s="17" t="s">
        <v>1338</v>
      </c>
      <c r="B903" s="18">
        <v>670</v>
      </c>
      <c r="C903" s="1096"/>
      <c r="D903" s="292"/>
    </row>
    <row r="904" spans="1:4" ht="12.75">
      <c r="A904" s="17" t="s">
        <v>1339</v>
      </c>
      <c r="B904" s="18">
        <v>670</v>
      </c>
      <c r="C904" s="1096"/>
      <c r="D904" s="292"/>
    </row>
    <row r="905" spans="1:4" ht="12.75">
      <c r="A905" s="17" t="s">
        <v>1340</v>
      </c>
      <c r="B905" s="18">
        <v>670</v>
      </c>
      <c r="C905" s="1096"/>
      <c r="D905" s="292"/>
    </row>
    <row r="906" spans="1:4" ht="12.75">
      <c r="A906" s="17" t="s">
        <v>1341</v>
      </c>
      <c r="B906" s="18">
        <v>670</v>
      </c>
      <c r="C906" s="1096"/>
      <c r="D906" s="292"/>
    </row>
    <row r="907" spans="1:4" ht="12.75">
      <c r="A907" s="17" t="s">
        <v>1342</v>
      </c>
      <c r="B907" s="18">
        <v>670</v>
      </c>
      <c r="C907" s="1096"/>
      <c r="D907" s="292"/>
    </row>
    <row r="908" spans="1:4" ht="12.75">
      <c r="A908" s="17" t="s">
        <v>1343</v>
      </c>
      <c r="B908" s="18">
        <v>670</v>
      </c>
      <c r="C908" s="1096"/>
      <c r="D908" s="292"/>
    </row>
    <row r="909" spans="1:4" ht="12.75">
      <c r="A909" s="17" t="s">
        <v>1344</v>
      </c>
      <c r="B909" s="18">
        <v>670</v>
      </c>
      <c r="C909" s="1096"/>
      <c r="D909" s="292"/>
    </row>
    <row r="910" spans="1:4" ht="12.75">
      <c r="A910" s="17" t="s">
        <v>1268</v>
      </c>
      <c r="B910" s="18">
        <v>670</v>
      </c>
      <c r="C910" s="1096"/>
      <c r="D910" s="292"/>
    </row>
    <row r="911" spans="1:4" ht="12.75">
      <c r="A911" s="17" t="s">
        <v>1345</v>
      </c>
      <c r="B911" s="18">
        <v>850</v>
      </c>
      <c r="C911" s="1096"/>
      <c r="D911" s="292"/>
    </row>
    <row r="912" spans="1:4" ht="12.75">
      <c r="A912" s="17" t="s">
        <v>1346</v>
      </c>
      <c r="B912" s="18">
        <v>850</v>
      </c>
      <c r="C912" s="1096"/>
      <c r="D912" s="292"/>
    </row>
    <row r="913" spans="1:4" ht="12.75">
      <c r="A913" s="17" t="s">
        <v>1347</v>
      </c>
      <c r="B913" s="18">
        <v>850</v>
      </c>
      <c r="C913" s="1096"/>
      <c r="D913" s="292"/>
    </row>
    <row r="914" spans="1:4" ht="12.75">
      <c r="A914" s="17" t="s">
        <v>1348</v>
      </c>
      <c r="B914" s="18">
        <v>850</v>
      </c>
      <c r="C914" s="1096"/>
      <c r="D914" s="292"/>
    </row>
    <row r="915" spans="1:4" ht="12.75">
      <c r="A915" s="17" t="s">
        <v>1349</v>
      </c>
      <c r="B915" s="18">
        <v>850</v>
      </c>
      <c r="C915" s="1096"/>
      <c r="D915" s="292"/>
    </row>
    <row r="916" spans="1:4" ht="12.75">
      <c r="A916" s="17" t="s">
        <v>1350</v>
      </c>
      <c r="B916" s="18">
        <v>850</v>
      </c>
      <c r="C916" s="1096"/>
      <c r="D916" s="292"/>
    </row>
    <row r="917" spans="1:4" ht="12.75">
      <c r="A917" s="17" t="s">
        <v>1351</v>
      </c>
      <c r="B917" s="18">
        <v>850</v>
      </c>
      <c r="C917" s="1096"/>
      <c r="D917" s="292"/>
    </row>
    <row r="918" spans="1:4" ht="12.75">
      <c r="A918" s="17" t="s">
        <v>1352</v>
      </c>
      <c r="B918" s="18">
        <v>850</v>
      </c>
      <c r="C918" s="1096"/>
      <c r="D918" s="292"/>
    </row>
    <row r="919" spans="1:4" ht="12.75">
      <c r="A919" s="17" t="s">
        <v>1353</v>
      </c>
      <c r="B919" s="18">
        <v>850</v>
      </c>
      <c r="C919" s="1096"/>
      <c r="D919" s="292"/>
    </row>
    <row r="920" spans="1:4" ht="12.75">
      <c r="A920" s="17" t="s">
        <v>1354</v>
      </c>
      <c r="B920" s="18">
        <v>850</v>
      </c>
      <c r="C920" s="1096"/>
      <c r="D920" s="292"/>
    </row>
    <row r="921" spans="1:4" ht="12.75">
      <c r="A921" s="17" t="s">
        <v>1355</v>
      </c>
      <c r="B921" s="18">
        <v>850</v>
      </c>
      <c r="C921" s="1096"/>
      <c r="D921" s="292"/>
    </row>
    <row r="922" spans="1:4" ht="12.75">
      <c r="A922" s="17" t="s">
        <v>1356</v>
      </c>
      <c r="B922" s="18">
        <v>850</v>
      </c>
      <c r="C922" s="1096"/>
      <c r="D922" s="292"/>
    </row>
    <row r="923" spans="1:4" ht="12.75">
      <c r="A923" s="17" t="s">
        <v>1357</v>
      </c>
      <c r="B923" s="18">
        <v>850</v>
      </c>
      <c r="C923" s="1096"/>
      <c r="D923" s="292"/>
    </row>
    <row r="924" spans="1:4" ht="12.75">
      <c r="A924" s="17" t="s">
        <v>1358</v>
      </c>
      <c r="B924" s="18">
        <v>850</v>
      </c>
      <c r="C924" s="1096"/>
      <c r="D924" s="292"/>
    </row>
    <row r="925" spans="1:4" ht="12.75">
      <c r="A925" s="17" t="s">
        <v>1359</v>
      </c>
      <c r="B925" s="18">
        <v>850</v>
      </c>
      <c r="C925" s="1096"/>
      <c r="D925" s="292"/>
    </row>
    <row r="926" spans="1:4" ht="12.75">
      <c r="A926" s="17" t="s">
        <v>1269</v>
      </c>
      <c r="B926" s="18">
        <v>850</v>
      </c>
      <c r="C926" s="1096"/>
      <c r="D926" s="292"/>
    </row>
    <row r="927" spans="1:4" ht="12.75">
      <c r="A927" s="17" t="s">
        <v>765</v>
      </c>
      <c r="B927" s="18">
        <v>380</v>
      </c>
      <c r="C927" s="1096"/>
      <c r="D927" s="291"/>
    </row>
    <row r="928" spans="1:4" ht="12.75">
      <c r="A928" s="17" t="s">
        <v>766</v>
      </c>
      <c r="B928" s="18">
        <v>380</v>
      </c>
      <c r="C928" s="1096"/>
      <c r="D928" s="291"/>
    </row>
    <row r="929" spans="1:4" ht="12.75">
      <c r="A929" s="17" t="s">
        <v>767</v>
      </c>
      <c r="B929" s="18">
        <v>380</v>
      </c>
      <c r="C929" s="1096"/>
      <c r="D929" s="291"/>
    </row>
    <row r="930" spans="1:4" ht="12.75">
      <c r="A930" s="17" t="s">
        <v>768</v>
      </c>
      <c r="B930" s="18">
        <v>380</v>
      </c>
      <c r="C930" s="1096"/>
      <c r="D930" s="291"/>
    </row>
    <row r="931" spans="1:4" ht="12.75">
      <c r="A931" s="17" t="s">
        <v>769</v>
      </c>
      <c r="B931" s="18">
        <v>380</v>
      </c>
      <c r="C931" s="1096"/>
      <c r="D931" s="291"/>
    </row>
    <row r="932" spans="1:4" ht="12.75">
      <c r="A932" s="17" t="s">
        <v>770</v>
      </c>
      <c r="B932" s="18">
        <v>380</v>
      </c>
      <c r="C932" s="1096"/>
      <c r="D932" s="291"/>
    </row>
    <row r="933" spans="1:4" ht="12.75">
      <c r="A933" s="17" t="s">
        <v>771</v>
      </c>
      <c r="B933" s="18">
        <v>380</v>
      </c>
      <c r="C933" s="1096"/>
      <c r="D933" s="291"/>
    </row>
    <row r="934" spans="1:4" ht="12.75">
      <c r="A934" s="17" t="s">
        <v>772</v>
      </c>
      <c r="B934" s="18">
        <v>380</v>
      </c>
      <c r="C934" s="1096"/>
      <c r="D934" s="291"/>
    </row>
    <row r="935" spans="1:4" ht="12.75">
      <c r="A935" s="17" t="s">
        <v>773</v>
      </c>
      <c r="B935" s="18">
        <v>380</v>
      </c>
      <c r="C935" s="1096"/>
      <c r="D935" s="291"/>
    </row>
    <row r="936" spans="1:4" ht="12.75">
      <c r="A936" s="17" t="s">
        <v>774</v>
      </c>
      <c r="B936" s="18">
        <v>380</v>
      </c>
      <c r="C936" s="1096"/>
      <c r="D936" s="291"/>
    </row>
    <row r="937" spans="1:4" ht="12.75">
      <c r="A937" s="17" t="s">
        <v>775</v>
      </c>
      <c r="B937" s="18">
        <v>380</v>
      </c>
      <c r="C937" s="1096"/>
      <c r="D937" s="291"/>
    </row>
    <row r="938" spans="1:4" ht="12.75">
      <c r="A938" s="17" t="s">
        <v>776</v>
      </c>
      <c r="B938" s="18">
        <v>380</v>
      </c>
      <c r="C938" s="1096"/>
      <c r="D938" s="291"/>
    </row>
    <row r="939" spans="1:4" ht="12.75">
      <c r="A939" s="17" t="s">
        <v>777</v>
      </c>
      <c r="B939" s="18">
        <v>380</v>
      </c>
      <c r="C939" s="1096"/>
      <c r="D939" s="291"/>
    </row>
    <row r="940" spans="1:4" ht="12.75">
      <c r="A940" s="17" t="s">
        <v>778</v>
      </c>
      <c r="B940" s="18">
        <v>380</v>
      </c>
      <c r="C940" s="1096"/>
      <c r="D940" s="291"/>
    </row>
    <row r="941" spans="1:4" ht="12.75">
      <c r="A941" s="17" t="s">
        <v>779</v>
      </c>
      <c r="B941" s="18">
        <v>380</v>
      </c>
      <c r="C941" s="1096"/>
      <c r="D941" s="291"/>
    </row>
    <row r="942" spans="1:4" ht="12.75">
      <c r="A942" s="17" t="s">
        <v>780</v>
      </c>
      <c r="B942" s="18">
        <v>380</v>
      </c>
      <c r="C942" s="1096"/>
      <c r="D942" s="291"/>
    </row>
    <row r="943" spans="1:4" ht="12.75">
      <c r="A943" s="17" t="s">
        <v>781</v>
      </c>
      <c r="B943" s="18">
        <v>440</v>
      </c>
      <c r="C943" s="1096"/>
      <c r="D943" s="291"/>
    </row>
    <row r="944" spans="1:4" ht="12.75">
      <c r="A944" s="17" t="s">
        <v>782</v>
      </c>
      <c r="B944" s="18">
        <v>440</v>
      </c>
      <c r="C944" s="1096"/>
      <c r="D944" s="291"/>
    </row>
    <row r="945" spans="1:4" ht="12.75">
      <c r="A945" s="17" t="s">
        <v>783</v>
      </c>
      <c r="B945" s="18">
        <v>440</v>
      </c>
      <c r="C945" s="1096"/>
      <c r="D945" s="291"/>
    </row>
    <row r="946" spans="1:4" ht="12.75">
      <c r="A946" s="17" t="s">
        <v>784</v>
      </c>
      <c r="B946" s="18">
        <v>440</v>
      </c>
      <c r="C946" s="1096"/>
      <c r="D946" s="291"/>
    </row>
    <row r="947" spans="1:4" ht="12.75">
      <c r="A947" s="17" t="s">
        <v>785</v>
      </c>
      <c r="B947" s="18">
        <v>440</v>
      </c>
      <c r="C947" s="1096"/>
      <c r="D947" s="291"/>
    </row>
    <row r="948" spans="1:4" ht="12.75">
      <c r="A948" s="17" t="s">
        <v>786</v>
      </c>
      <c r="B948" s="18">
        <v>440</v>
      </c>
      <c r="C948" s="1096"/>
      <c r="D948" s="291"/>
    </row>
    <row r="949" spans="1:4" ht="12.75">
      <c r="A949" s="17" t="s">
        <v>787</v>
      </c>
      <c r="B949" s="18">
        <v>440</v>
      </c>
      <c r="C949" s="1096"/>
      <c r="D949" s="291"/>
    </row>
    <row r="950" spans="1:4" ht="12.75">
      <c r="A950" s="17" t="s">
        <v>788</v>
      </c>
      <c r="B950" s="18">
        <v>440</v>
      </c>
      <c r="C950" s="1096"/>
      <c r="D950" s="291"/>
    </row>
    <row r="951" spans="1:4" ht="12.75">
      <c r="A951" s="17" t="s">
        <v>789</v>
      </c>
      <c r="B951" s="18">
        <v>440</v>
      </c>
      <c r="C951" s="1096"/>
      <c r="D951" s="291"/>
    </row>
    <row r="952" spans="1:4" ht="12.75">
      <c r="A952" s="17" t="s">
        <v>790</v>
      </c>
      <c r="B952" s="18">
        <v>440</v>
      </c>
      <c r="C952" s="1096"/>
      <c r="D952" s="291"/>
    </row>
    <row r="953" spans="1:4" ht="12.75">
      <c r="A953" s="17" t="s">
        <v>791</v>
      </c>
      <c r="B953" s="18">
        <v>440</v>
      </c>
      <c r="C953" s="1096"/>
      <c r="D953" s="291"/>
    </row>
    <row r="954" spans="1:4" ht="12.75">
      <c r="A954" s="17" t="s">
        <v>792</v>
      </c>
      <c r="B954" s="18">
        <v>440</v>
      </c>
      <c r="C954" s="1096"/>
      <c r="D954" s="291"/>
    </row>
    <row r="955" spans="1:4" ht="12.75">
      <c r="A955" s="17" t="s">
        <v>793</v>
      </c>
      <c r="B955" s="18">
        <v>440</v>
      </c>
      <c r="C955" s="1096"/>
      <c r="D955" s="291"/>
    </row>
    <row r="956" spans="1:4" ht="12.75">
      <c r="A956" s="17" t="s">
        <v>794</v>
      </c>
      <c r="B956" s="18">
        <v>440</v>
      </c>
      <c r="C956" s="1096"/>
      <c r="D956" s="291"/>
    </row>
    <row r="957" spans="1:4" ht="12.75">
      <c r="A957" s="17" t="s">
        <v>795</v>
      </c>
      <c r="B957" s="18">
        <v>440</v>
      </c>
      <c r="C957" s="1096"/>
      <c r="D957" s="291"/>
    </row>
    <row r="958" spans="1:4" ht="12.75">
      <c r="A958" s="17" t="s">
        <v>796</v>
      </c>
      <c r="B958" s="18">
        <v>440</v>
      </c>
      <c r="C958" s="1096"/>
      <c r="D958" s="291"/>
    </row>
    <row r="959" spans="1:4" ht="12.75">
      <c r="A959" s="17" t="s">
        <v>797</v>
      </c>
      <c r="B959" s="18">
        <v>520</v>
      </c>
      <c r="C959" s="1096"/>
      <c r="D959" s="291"/>
    </row>
    <row r="960" spans="1:4" ht="12.75">
      <c r="A960" s="17" t="s">
        <v>798</v>
      </c>
      <c r="B960" s="18">
        <v>520</v>
      </c>
      <c r="C960" s="1096"/>
      <c r="D960" s="291"/>
    </row>
    <row r="961" spans="1:4" ht="12.75">
      <c r="A961" s="17" t="s">
        <v>799</v>
      </c>
      <c r="B961" s="18">
        <v>520</v>
      </c>
      <c r="C961" s="1096"/>
      <c r="D961" s="291"/>
    </row>
    <row r="962" spans="1:4" ht="12.75">
      <c r="A962" s="17" t="s">
        <v>800</v>
      </c>
      <c r="B962" s="18">
        <v>520</v>
      </c>
      <c r="C962" s="1096"/>
      <c r="D962" s="291"/>
    </row>
    <row r="963" spans="1:4" ht="12.75">
      <c r="A963" s="17" t="s">
        <v>801</v>
      </c>
      <c r="B963" s="18">
        <v>520</v>
      </c>
      <c r="C963" s="1096"/>
      <c r="D963" s="291"/>
    </row>
    <row r="964" spans="1:4" ht="12.75">
      <c r="A964" s="17" t="s">
        <v>802</v>
      </c>
      <c r="B964" s="18">
        <v>520</v>
      </c>
      <c r="C964" s="1096"/>
      <c r="D964" s="291"/>
    </row>
    <row r="965" spans="1:4" ht="12.75">
      <c r="A965" s="17" t="s">
        <v>803</v>
      </c>
      <c r="B965" s="18">
        <v>520</v>
      </c>
      <c r="C965" s="1096"/>
      <c r="D965" s="291"/>
    </row>
    <row r="966" spans="1:4" ht="12.75">
      <c r="A966" s="17" t="s">
        <v>804</v>
      </c>
      <c r="B966" s="18">
        <v>520</v>
      </c>
      <c r="C966" s="1096"/>
      <c r="D966" s="291"/>
    </row>
    <row r="967" spans="1:4" ht="12.75">
      <c r="A967" s="17" t="s">
        <v>805</v>
      </c>
      <c r="B967" s="18">
        <v>520</v>
      </c>
      <c r="C967" s="1096"/>
      <c r="D967" s="291"/>
    </row>
    <row r="968" spans="1:4" ht="12.75">
      <c r="A968" s="17" t="s">
        <v>806</v>
      </c>
      <c r="B968" s="18">
        <v>520</v>
      </c>
      <c r="C968" s="1096"/>
      <c r="D968" s="291"/>
    </row>
    <row r="969" spans="1:4" ht="12.75">
      <c r="A969" s="17" t="s">
        <v>807</v>
      </c>
      <c r="B969" s="18">
        <v>520</v>
      </c>
      <c r="C969" s="1096"/>
      <c r="D969" s="291"/>
    </row>
    <row r="970" spans="1:4" ht="12.75">
      <c r="A970" s="17" t="s">
        <v>808</v>
      </c>
      <c r="B970" s="18">
        <v>520</v>
      </c>
      <c r="C970" s="1096"/>
      <c r="D970" s="291"/>
    </row>
    <row r="971" spans="1:4" ht="12.75">
      <c r="A971" s="17" t="s">
        <v>809</v>
      </c>
      <c r="B971" s="18">
        <v>520</v>
      </c>
      <c r="C971" s="1096"/>
      <c r="D971" s="291"/>
    </row>
    <row r="972" spans="1:4" ht="12.75">
      <c r="A972" s="17" t="s">
        <v>810</v>
      </c>
      <c r="B972" s="18">
        <v>520</v>
      </c>
      <c r="C972" s="1096"/>
      <c r="D972" s="291"/>
    </row>
    <row r="973" spans="1:4" ht="12.75">
      <c r="A973" s="17" t="s">
        <v>811</v>
      </c>
      <c r="B973" s="18">
        <v>520</v>
      </c>
      <c r="C973" s="1096"/>
      <c r="D973" s="291"/>
    </row>
    <row r="974" spans="1:4" ht="12.75">
      <c r="A974" s="17" t="s">
        <v>812</v>
      </c>
      <c r="B974" s="18">
        <v>520</v>
      </c>
      <c r="C974" s="1096"/>
      <c r="D974" s="291"/>
    </row>
    <row r="975" spans="1:4" ht="12.75">
      <c r="A975" s="17" t="s">
        <v>813</v>
      </c>
      <c r="B975" s="18">
        <v>560</v>
      </c>
      <c r="C975" s="1096"/>
      <c r="D975" s="291"/>
    </row>
    <row r="976" spans="1:4" ht="12.75">
      <c r="A976" s="17" t="s">
        <v>814</v>
      </c>
      <c r="B976" s="18">
        <v>560</v>
      </c>
      <c r="C976" s="1096"/>
      <c r="D976" s="291"/>
    </row>
    <row r="977" spans="1:4" ht="12.75">
      <c r="A977" s="17" t="s">
        <v>815</v>
      </c>
      <c r="B977" s="18">
        <v>560</v>
      </c>
      <c r="C977" s="1096"/>
      <c r="D977" s="291"/>
    </row>
    <row r="978" spans="1:4" ht="12.75">
      <c r="A978" s="17" t="s">
        <v>816</v>
      </c>
      <c r="B978" s="18">
        <v>560</v>
      </c>
      <c r="C978" s="1096"/>
      <c r="D978" s="291"/>
    </row>
    <row r="979" spans="1:4" ht="12.75">
      <c r="A979" s="17" t="s">
        <v>817</v>
      </c>
      <c r="B979" s="18">
        <v>560</v>
      </c>
      <c r="C979" s="1096"/>
      <c r="D979" s="291"/>
    </row>
    <row r="980" spans="1:4" ht="12.75">
      <c r="A980" s="17" t="s">
        <v>818</v>
      </c>
      <c r="B980" s="18">
        <v>560</v>
      </c>
      <c r="C980" s="1096"/>
      <c r="D980" s="291"/>
    </row>
    <row r="981" spans="1:4" ht="12.75">
      <c r="A981" s="17" t="s">
        <v>819</v>
      </c>
      <c r="B981" s="18">
        <v>560</v>
      </c>
      <c r="C981" s="1096"/>
      <c r="D981" s="291"/>
    </row>
    <row r="982" spans="1:4" ht="12.75">
      <c r="A982" s="17" t="s">
        <v>820</v>
      </c>
      <c r="B982" s="18">
        <v>560</v>
      </c>
      <c r="C982" s="1096"/>
      <c r="D982" s="291"/>
    </row>
    <row r="983" spans="1:4" ht="12.75">
      <c r="A983" s="17" t="s">
        <v>821</v>
      </c>
      <c r="B983" s="18">
        <v>560</v>
      </c>
      <c r="C983" s="1096"/>
      <c r="D983" s="291"/>
    </row>
    <row r="984" spans="1:4" ht="12.75">
      <c r="A984" s="17" t="s">
        <v>822</v>
      </c>
      <c r="B984" s="18">
        <v>560</v>
      </c>
      <c r="C984" s="1096"/>
      <c r="D984" s="291"/>
    </row>
    <row r="985" spans="1:4" ht="12.75">
      <c r="A985" s="17" t="s">
        <v>823</v>
      </c>
      <c r="B985" s="18">
        <v>560</v>
      </c>
      <c r="C985" s="1096"/>
      <c r="D985" s="291"/>
    </row>
    <row r="986" spans="1:4" ht="12.75">
      <c r="A986" s="17" t="s">
        <v>824</v>
      </c>
      <c r="B986" s="18">
        <v>560</v>
      </c>
      <c r="C986" s="1096"/>
      <c r="D986" s="291"/>
    </row>
    <row r="987" spans="1:4" ht="12.75">
      <c r="A987" s="17" t="s">
        <v>825</v>
      </c>
      <c r="B987" s="18">
        <v>560</v>
      </c>
      <c r="C987" s="1096"/>
      <c r="D987" s="291"/>
    </row>
    <row r="988" spans="1:4" ht="12.75">
      <c r="A988" s="17" t="s">
        <v>826</v>
      </c>
      <c r="B988" s="18">
        <v>560</v>
      </c>
      <c r="C988" s="1096"/>
      <c r="D988" s="291"/>
    </row>
    <row r="989" spans="1:4" ht="12.75">
      <c r="A989" s="17" t="s">
        <v>827</v>
      </c>
      <c r="B989" s="18">
        <v>560</v>
      </c>
      <c r="C989" s="1096"/>
      <c r="D989" s="291"/>
    </row>
    <row r="990" spans="1:4" ht="12.75">
      <c r="A990" s="17" t="s">
        <v>828</v>
      </c>
      <c r="B990" s="18">
        <v>560</v>
      </c>
      <c r="C990" s="1096"/>
      <c r="D990" s="291"/>
    </row>
    <row r="991" spans="1:4" ht="12.75">
      <c r="A991" s="17" t="s">
        <v>829</v>
      </c>
      <c r="B991" s="18">
        <v>620</v>
      </c>
      <c r="C991" s="1096"/>
      <c r="D991" s="291"/>
    </row>
    <row r="992" spans="1:4" ht="12.75">
      <c r="A992" s="17" t="s">
        <v>830</v>
      </c>
      <c r="B992" s="18">
        <v>620</v>
      </c>
      <c r="C992" s="1096"/>
      <c r="D992" s="291"/>
    </row>
    <row r="993" spans="1:4" ht="12.75">
      <c r="A993" s="17" t="s">
        <v>831</v>
      </c>
      <c r="B993" s="18">
        <v>620</v>
      </c>
      <c r="C993" s="1096"/>
      <c r="D993" s="291"/>
    </row>
    <row r="994" spans="1:4" ht="12.75">
      <c r="A994" s="17" t="s">
        <v>832</v>
      </c>
      <c r="B994" s="18">
        <v>620</v>
      </c>
      <c r="C994" s="1096"/>
      <c r="D994" s="291"/>
    </row>
    <row r="995" spans="1:4" ht="12.75">
      <c r="A995" s="17" t="s">
        <v>833</v>
      </c>
      <c r="B995" s="18">
        <v>620</v>
      </c>
      <c r="C995" s="1096"/>
      <c r="D995" s="291"/>
    </row>
    <row r="996" spans="1:4" ht="12.75">
      <c r="A996" s="17" t="s">
        <v>834</v>
      </c>
      <c r="B996" s="18">
        <v>620</v>
      </c>
      <c r="C996" s="1096"/>
      <c r="D996" s="291"/>
    </row>
    <row r="997" spans="1:4" ht="12.75">
      <c r="A997" s="17" t="s">
        <v>835</v>
      </c>
      <c r="B997" s="18">
        <v>620</v>
      </c>
      <c r="C997" s="1096"/>
      <c r="D997" s="291"/>
    </row>
    <row r="998" spans="1:4" ht="12.75">
      <c r="A998" s="17" t="s">
        <v>836</v>
      </c>
      <c r="B998" s="18">
        <v>620</v>
      </c>
      <c r="C998" s="1096"/>
      <c r="D998" s="291"/>
    </row>
    <row r="999" spans="1:4" ht="12.75">
      <c r="A999" s="17" t="s">
        <v>837</v>
      </c>
      <c r="B999" s="18">
        <v>620</v>
      </c>
      <c r="C999" s="1096"/>
      <c r="D999" s="291"/>
    </row>
    <row r="1000" spans="1:4" ht="12.75">
      <c r="A1000" s="17" t="s">
        <v>838</v>
      </c>
      <c r="B1000" s="18">
        <v>620</v>
      </c>
      <c r="C1000" s="1096"/>
      <c r="D1000" s="291"/>
    </row>
    <row r="1001" spans="1:4" ht="12.75">
      <c r="A1001" s="17" t="s">
        <v>839</v>
      </c>
      <c r="B1001" s="18">
        <v>620</v>
      </c>
      <c r="C1001" s="1096"/>
      <c r="D1001" s="291"/>
    </row>
    <row r="1002" spans="1:4" ht="12.75">
      <c r="A1002" s="17" t="s">
        <v>840</v>
      </c>
      <c r="B1002" s="18">
        <v>620</v>
      </c>
      <c r="C1002" s="1096"/>
      <c r="D1002" s="291"/>
    </row>
    <row r="1003" spans="1:4" ht="12.75">
      <c r="A1003" s="17" t="s">
        <v>841</v>
      </c>
      <c r="B1003" s="18">
        <v>620</v>
      </c>
      <c r="C1003" s="1096"/>
      <c r="D1003" s="291"/>
    </row>
    <row r="1004" spans="1:4" ht="12.75">
      <c r="A1004" s="17" t="s">
        <v>842</v>
      </c>
      <c r="B1004" s="18">
        <v>620</v>
      </c>
      <c r="C1004" s="1096"/>
      <c r="D1004" s="291"/>
    </row>
    <row r="1005" spans="1:4" ht="12.75">
      <c r="A1005" s="17" t="s">
        <v>843</v>
      </c>
      <c r="B1005" s="18">
        <v>620</v>
      </c>
      <c r="C1005" s="1096"/>
      <c r="D1005" s="291"/>
    </row>
    <row r="1006" spans="1:4" ht="12.75">
      <c r="A1006" s="17" t="s">
        <v>844</v>
      </c>
      <c r="B1006" s="18">
        <v>620</v>
      </c>
      <c r="C1006" s="1096"/>
      <c r="D1006" s="291"/>
    </row>
    <row r="1007" spans="1:4" ht="12.75">
      <c r="A1007" s="17" t="s">
        <v>845</v>
      </c>
      <c r="B1007" s="18">
        <v>680</v>
      </c>
      <c r="C1007" s="1096"/>
      <c r="D1007" s="291"/>
    </row>
    <row r="1008" spans="1:4" ht="12.75">
      <c r="A1008" s="17" t="s">
        <v>846</v>
      </c>
      <c r="B1008" s="18">
        <v>680</v>
      </c>
      <c r="C1008" s="1096"/>
      <c r="D1008" s="291"/>
    </row>
    <row r="1009" spans="1:4" ht="12.75">
      <c r="A1009" s="17" t="s">
        <v>847</v>
      </c>
      <c r="B1009" s="18">
        <v>680</v>
      </c>
      <c r="C1009" s="1096"/>
      <c r="D1009" s="291"/>
    </row>
    <row r="1010" spans="1:4" ht="12.75">
      <c r="A1010" s="17" t="s">
        <v>848</v>
      </c>
      <c r="B1010" s="18">
        <v>680</v>
      </c>
      <c r="C1010" s="1096"/>
      <c r="D1010" s="291"/>
    </row>
    <row r="1011" spans="1:4" ht="12.75">
      <c r="A1011" s="17" t="s">
        <v>849</v>
      </c>
      <c r="B1011" s="18">
        <v>680</v>
      </c>
      <c r="C1011" s="1096"/>
      <c r="D1011" s="291"/>
    </row>
    <row r="1012" spans="1:4" ht="12.75">
      <c r="A1012" s="17" t="s">
        <v>850</v>
      </c>
      <c r="B1012" s="18">
        <v>680</v>
      </c>
      <c r="C1012" s="1096"/>
      <c r="D1012" s="291"/>
    </row>
    <row r="1013" spans="1:4" ht="12.75">
      <c r="A1013" s="17" t="s">
        <v>851</v>
      </c>
      <c r="B1013" s="18">
        <v>680</v>
      </c>
      <c r="C1013" s="1096"/>
      <c r="D1013" s="291"/>
    </row>
    <row r="1014" spans="1:4" ht="12.75">
      <c r="A1014" s="17" t="s">
        <v>852</v>
      </c>
      <c r="B1014" s="18">
        <v>680</v>
      </c>
      <c r="C1014" s="1096"/>
      <c r="D1014" s="291"/>
    </row>
    <row r="1015" spans="1:4" ht="12.75">
      <c r="A1015" s="17" t="s">
        <v>853</v>
      </c>
      <c r="B1015" s="18">
        <v>680</v>
      </c>
      <c r="C1015" s="1096"/>
      <c r="D1015" s="291"/>
    </row>
    <row r="1016" spans="1:4" ht="12.75">
      <c r="A1016" s="17" t="s">
        <v>854</v>
      </c>
      <c r="B1016" s="18">
        <v>680</v>
      </c>
      <c r="C1016" s="1096"/>
      <c r="D1016" s="291"/>
    </row>
    <row r="1017" spans="1:4" ht="12.75">
      <c r="A1017" s="17" t="s">
        <v>855</v>
      </c>
      <c r="B1017" s="18">
        <v>680</v>
      </c>
      <c r="C1017" s="1096"/>
      <c r="D1017" s="291"/>
    </row>
    <row r="1018" spans="1:4" ht="12.75">
      <c r="A1018" s="17" t="s">
        <v>856</v>
      </c>
      <c r="B1018" s="18">
        <v>680</v>
      </c>
      <c r="C1018" s="1096"/>
      <c r="D1018" s="291"/>
    </row>
    <row r="1019" spans="1:4" ht="12.75">
      <c r="A1019" s="17" t="s">
        <v>857</v>
      </c>
      <c r="B1019" s="18">
        <v>680</v>
      </c>
      <c r="C1019" s="1096"/>
      <c r="D1019" s="291"/>
    </row>
    <row r="1020" spans="1:4" ht="12.75">
      <c r="A1020" s="17" t="s">
        <v>858</v>
      </c>
      <c r="B1020" s="18">
        <v>680</v>
      </c>
      <c r="C1020" s="1096"/>
      <c r="D1020" s="291"/>
    </row>
    <row r="1021" spans="1:4" ht="12.75">
      <c r="A1021" s="17" t="s">
        <v>859</v>
      </c>
      <c r="B1021" s="18">
        <v>680</v>
      </c>
      <c r="C1021" s="1096"/>
      <c r="D1021" s="291"/>
    </row>
    <row r="1022" spans="1:4" ht="12.75">
      <c r="A1022" s="17" t="s">
        <v>860</v>
      </c>
      <c r="B1022" s="18">
        <v>680</v>
      </c>
      <c r="C1022" s="1096"/>
      <c r="D1022" s="291"/>
    </row>
    <row r="1023" spans="1:4" ht="12.75">
      <c r="A1023" s="17" t="s">
        <v>861</v>
      </c>
      <c r="B1023" s="18">
        <v>850</v>
      </c>
      <c r="C1023" s="1096"/>
      <c r="D1023" s="291"/>
    </row>
    <row r="1024" spans="1:4" ht="12.75">
      <c r="A1024" s="17" t="s">
        <v>862</v>
      </c>
      <c r="B1024" s="18">
        <v>850</v>
      </c>
      <c r="C1024" s="1096"/>
      <c r="D1024" s="291"/>
    </row>
    <row r="1025" spans="1:4" ht="12.75">
      <c r="A1025" s="17" t="s">
        <v>863</v>
      </c>
      <c r="B1025" s="18">
        <v>850</v>
      </c>
      <c r="C1025" s="1096"/>
      <c r="D1025" s="291"/>
    </row>
    <row r="1026" spans="1:4" ht="12.75">
      <c r="A1026" s="17" t="s">
        <v>864</v>
      </c>
      <c r="B1026" s="18">
        <v>850</v>
      </c>
      <c r="C1026" s="1096"/>
      <c r="D1026" s="291"/>
    </row>
    <row r="1027" spans="1:4" ht="12.75">
      <c r="A1027" s="17" t="s">
        <v>865</v>
      </c>
      <c r="B1027" s="18">
        <v>850</v>
      </c>
      <c r="C1027" s="1096"/>
      <c r="D1027" s="291"/>
    </row>
    <row r="1028" spans="1:4" ht="12.75">
      <c r="A1028" s="17" t="s">
        <v>866</v>
      </c>
      <c r="B1028" s="18">
        <v>850</v>
      </c>
      <c r="C1028" s="1096"/>
      <c r="D1028" s="291"/>
    </row>
    <row r="1029" spans="1:4" ht="12.75">
      <c r="A1029" s="17" t="s">
        <v>867</v>
      </c>
      <c r="B1029" s="18">
        <v>850</v>
      </c>
      <c r="C1029" s="1096"/>
      <c r="D1029" s="291"/>
    </row>
    <row r="1030" spans="1:4" ht="12.75">
      <c r="A1030" s="17" t="s">
        <v>868</v>
      </c>
      <c r="B1030" s="18">
        <v>850</v>
      </c>
      <c r="C1030" s="1096"/>
      <c r="D1030" s="291"/>
    </row>
    <row r="1031" spans="1:4" ht="12.75">
      <c r="A1031" s="17" t="s">
        <v>869</v>
      </c>
      <c r="B1031" s="18">
        <v>850</v>
      </c>
      <c r="C1031" s="1096"/>
      <c r="D1031" s="291"/>
    </row>
    <row r="1032" spans="1:4" ht="12.75">
      <c r="A1032" s="17" t="s">
        <v>870</v>
      </c>
      <c r="B1032" s="18">
        <v>850</v>
      </c>
      <c r="C1032" s="1096"/>
      <c r="D1032" s="291"/>
    </row>
    <row r="1033" spans="1:4" ht="12.75">
      <c r="A1033" s="17" t="s">
        <v>871</v>
      </c>
      <c r="B1033" s="18">
        <v>850</v>
      </c>
      <c r="C1033" s="1096"/>
      <c r="D1033" s="291"/>
    </row>
    <row r="1034" spans="1:4" ht="12.75">
      <c r="A1034" s="17" t="s">
        <v>872</v>
      </c>
      <c r="B1034" s="18">
        <v>850</v>
      </c>
      <c r="C1034" s="1096"/>
      <c r="D1034" s="291"/>
    </row>
    <row r="1035" spans="1:4" ht="12.75">
      <c r="A1035" s="17" t="s">
        <v>873</v>
      </c>
      <c r="B1035" s="18">
        <v>850</v>
      </c>
      <c r="C1035" s="1096"/>
      <c r="D1035" s="291"/>
    </row>
    <row r="1036" spans="1:4" ht="12.75">
      <c r="A1036" s="17" t="s">
        <v>874</v>
      </c>
      <c r="B1036" s="18">
        <v>850</v>
      </c>
      <c r="C1036" s="1096"/>
      <c r="D1036" s="291"/>
    </row>
    <row r="1037" spans="1:4" ht="12.75">
      <c r="A1037" s="17" t="s">
        <v>875</v>
      </c>
      <c r="B1037" s="18">
        <v>850</v>
      </c>
      <c r="C1037" s="1096"/>
      <c r="D1037" s="291"/>
    </row>
    <row r="1038" spans="1:4" ht="13.5" thickBot="1">
      <c r="A1038" s="23" t="s">
        <v>876</v>
      </c>
      <c r="B1038" s="24">
        <v>850</v>
      </c>
      <c r="C1038" s="1097"/>
      <c r="D1038" s="291"/>
    </row>
    <row r="1039" spans="1:4" ht="12.75">
      <c r="A1039" s="21" t="s">
        <v>877</v>
      </c>
      <c r="B1039" s="22">
        <v>820</v>
      </c>
      <c r="C1039" s="1098" t="s">
        <v>878</v>
      </c>
      <c r="D1039" s="291"/>
    </row>
    <row r="1040" spans="1:4" ht="12.75">
      <c r="A1040" s="17" t="s">
        <v>879</v>
      </c>
      <c r="B1040" s="18">
        <v>820</v>
      </c>
      <c r="C1040" s="1099"/>
      <c r="D1040" s="291"/>
    </row>
    <row r="1041" spans="1:4" ht="12.75">
      <c r="A1041" s="17" t="s">
        <v>880</v>
      </c>
      <c r="B1041" s="18">
        <v>820</v>
      </c>
      <c r="C1041" s="1099"/>
      <c r="D1041" s="291"/>
    </row>
    <row r="1042" spans="1:4" ht="12.75">
      <c r="A1042" s="17" t="s">
        <v>881</v>
      </c>
      <c r="B1042" s="18">
        <v>820</v>
      </c>
      <c r="C1042" s="1099"/>
      <c r="D1042" s="291"/>
    </row>
    <row r="1043" spans="1:4" ht="12.75">
      <c r="A1043" s="17" t="s">
        <v>882</v>
      </c>
      <c r="B1043" s="18">
        <v>820</v>
      </c>
      <c r="C1043" s="1099"/>
      <c r="D1043" s="291"/>
    </row>
    <row r="1044" spans="1:4" ht="12.75">
      <c r="A1044" s="17" t="s">
        <v>883</v>
      </c>
      <c r="B1044" s="18">
        <v>820</v>
      </c>
      <c r="C1044" s="1099"/>
      <c r="D1044" s="291"/>
    </row>
    <row r="1045" spans="1:4" ht="12.75">
      <c r="A1045" s="17" t="s">
        <v>884</v>
      </c>
      <c r="B1045" s="18">
        <v>820</v>
      </c>
      <c r="C1045" s="1099"/>
      <c r="D1045" s="291"/>
    </row>
    <row r="1046" spans="1:4" ht="12.75">
      <c r="A1046" s="17" t="s">
        <v>885</v>
      </c>
      <c r="B1046" s="18">
        <v>820</v>
      </c>
      <c r="C1046" s="1099"/>
      <c r="D1046" s="291"/>
    </row>
    <row r="1047" spans="1:4" ht="12.75">
      <c r="A1047" s="17" t="s">
        <v>886</v>
      </c>
      <c r="B1047" s="18">
        <v>820</v>
      </c>
      <c r="C1047" s="1099"/>
      <c r="D1047" s="291"/>
    </row>
    <row r="1048" spans="1:4" ht="12.75">
      <c r="A1048" s="17" t="s">
        <v>887</v>
      </c>
      <c r="B1048" s="18">
        <v>820</v>
      </c>
      <c r="C1048" s="1099"/>
      <c r="D1048" s="291"/>
    </row>
    <row r="1049" spans="1:4" ht="12.75">
      <c r="A1049" s="17" t="s">
        <v>888</v>
      </c>
      <c r="B1049" s="18">
        <v>820</v>
      </c>
      <c r="C1049" s="1099"/>
      <c r="D1049" s="291"/>
    </row>
    <row r="1050" spans="1:4" ht="12.75">
      <c r="A1050" s="17" t="s">
        <v>889</v>
      </c>
      <c r="B1050" s="18">
        <v>820</v>
      </c>
      <c r="C1050" s="1099"/>
      <c r="D1050" s="291"/>
    </row>
    <row r="1051" spans="1:4" ht="12.75">
      <c r="A1051" s="17" t="s">
        <v>890</v>
      </c>
      <c r="B1051" s="18">
        <v>820</v>
      </c>
      <c r="C1051" s="1099"/>
      <c r="D1051" s="291"/>
    </row>
    <row r="1052" spans="1:4" ht="12.75">
      <c r="A1052" s="17" t="s">
        <v>891</v>
      </c>
      <c r="B1052" s="18">
        <v>820</v>
      </c>
      <c r="C1052" s="1099"/>
      <c r="D1052" s="291"/>
    </row>
    <row r="1053" spans="1:4" ht="12.75">
      <c r="A1053" s="17" t="s">
        <v>892</v>
      </c>
      <c r="B1053" s="18">
        <v>820</v>
      </c>
      <c r="C1053" s="1099"/>
      <c r="D1053" s="291"/>
    </row>
    <row r="1054" spans="1:4" ht="12.75">
      <c r="A1054" s="17" t="s">
        <v>893</v>
      </c>
      <c r="B1054" s="18">
        <v>820</v>
      </c>
      <c r="C1054" s="1099"/>
      <c r="D1054" s="291"/>
    </row>
    <row r="1055" spans="1:4" ht="12.75">
      <c r="A1055" s="17" t="s">
        <v>894</v>
      </c>
      <c r="B1055" s="18">
        <v>720</v>
      </c>
      <c r="C1055" s="1099"/>
      <c r="D1055" s="291"/>
    </row>
    <row r="1056" spans="1:4" ht="12.75">
      <c r="A1056" s="17" t="s">
        <v>895</v>
      </c>
      <c r="B1056" s="18">
        <v>720</v>
      </c>
      <c r="C1056" s="1099"/>
      <c r="D1056" s="291"/>
    </row>
    <row r="1057" spans="1:4" ht="12.75">
      <c r="A1057" s="17" t="s">
        <v>896</v>
      </c>
      <c r="B1057" s="18">
        <v>720</v>
      </c>
      <c r="C1057" s="1099"/>
      <c r="D1057" s="291"/>
    </row>
    <row r="1058" spans="1:4" ht="12.75">
      <c r="A1058" s="17" t="s">
        <v>897</v>
      </c>
      <c r="B1058" s="18">
        <v>720</v>
      </c>
      <c r="C1058" s="1099"/>
      <c r="D1058" s="291"/>
    </row>
    <row r="1059" spans="1:4" ht="12.75">
      <c r="A1059" s="17" t="s">
        <v>898</v>
      </c>
      <c r="B1059" s="18">
        <v>720</v>
      </c>
      <c r="C1059" s="1099"/>
      <c r="D1059" s="291"/>
    </row>
    <row r="1060" spans="1:4" ht="12.75">
      <c r="A1060" s="17" t="s">
        <v>899</v>
      </c>
      <c r="B1060" s="18">
        <v>720</v>
      </c>
      <c r="C1060" s="1099"/>
      <c r="D1060" s="291"/>
    </row>
    <row r="1061" spans="1:4" ht="12.75">
      <c r="A1061" s="17" t="s">
        <v>900</v>
      </c>
      <c r="B1061" s="18">
        <v>720</v>
      </c>
      <c r="C1061" s="1099"/>
      <c r="D1061" s="291"/>
    </row>
    <row r="1062" spans="1:4" ht="12.75">
      <c r="A1062" s="17" t="s">
        <v>901</v>
      </c>
      <c r="B1062" s="18">
        <v>720</v>
      </c>
      <c r="C1062" s="1099"/>
      <c r="D1062" s="291"/>
    </row>
    <row r="1063" spans="1:4" ht="12.75">
      <c r="A1063" s="17" t="s">
        <v>902</v>
      </c>
      <c r="B1063" s="18">
        <v>720</v>
      </c>
      <c r="C1063" s="1099"/>
      <c r="D1063" s="291"/>
    </row>
    <row r="1064" spans="1:4" ht="12.75">
      <c r="A1064" s="17" t="s">
        <v>903</v>
      </c>
      <c r="B1064" s="18">
        <v>720</v>
      </c>
      <c r="C1064" s="1099"/>
      <c r="D1064" s="291"/>
    </row>
    <row r="1065" spans="1:4" ht="12.75">
      <c r="A1065" s="17" t="s">
        <v>904</v>
      </c>
      <c r="B1065" s="18">
        <v>720</v>
      </c>
      <c r="C1065" s="1099"/>
      <c r="D1065" s="291"/>
    </row>
    <row r="1066" spans="1:4" ht="12.75">
      <c r="A1066" s="17" t="s">
        <v>905</v>
      </c>
      <c r="B1066" s="18">
        <v>720</v>
      </c>
      <c r="C1066" s="1099"/>
      <c r="D1066" s="291"/>
    </row>
    <row r="1067" spans="1:4" ht="12.75">
      <c r="A1067" s="17" t="s">
        <v>906</v>
      </c>
      <c r="B1067" s="18">
        <v>720</v>
      </c>
      <c r="C1067" s="1099"/>
      <c r="D1067" s="291"/>
    </row>
    <row r="1068" spans="1:4" ht="12.75">
      <c r="A1068" s="17" t="s">
        <v>907</v>
      </c>
      <c r="B1068" s="18">
        <v>720</v>
      </c>
      <c r="C1068" s="1099"/>
      <c r="D1068" s="291"/>
    </row>
    <row r="1069" spans="1:4" ht="12.75">
      <c r="A1069" s="17" t="s">
        <v>908</v>
      </c>
      <c r="B1069" s="18">
        <v>720</v>
      </c>
      <c r="C1069" s="1099"/>
      <c r="D1069" s="291"/>
    </row>
    <row r="1070" spans="1:4" ht="12.75">
      <c r="A1070" s="17" t="s">
        <v>909</v>
      </c>
      <c r="B1070" s="18">
        <v>720</v>
      </c>
      <c r="C1070" s="1099"/>
      <c r="D1070" s="291"/>
    </row>
    <row r="1071" spans="1:4" ht="12.75">
      <c r="A1071" s="17" t="s">
        <v>910</v>
      </c>
      <c r="B1071" s="18">
        <v>950</v>
      </c>
      <c r="C1071" s="1099"/>
      <c r="D1071" s="291"/>
    </row>
    <row r="1072" spans="1:4" ht="12.75">
      <c r="A1072" s="17" t="s">
        <v>911</v>
      </c>
      <c r="B1072" s="18">
        <v>950</v>
      </c>
      <c r="C1072" s="1099"/>
      <c r="D1072" s="291"/>
    </row>
    <row r="1073" spans="1:4" ht="12.75">
      <c r="A1073" s="17" t="s">
        <v>912</v>
      </c>
      <c r="B1073" s="18">
        <v>950</v>
      </c>
      <c r="C1073" s="1099"/>
      <c r="D1073" s="291"/>
    </row>
    <row r="1074" spans="1:4" ht="12.75">
      <c r="A1074" s="17" t="s">
        <v>913</v>
      </c>
      <c r="B1074" s="18">
        <v>950</v>
      </c>
      <c r="C1074" s="1099"/>
      <c r="D1074" s="291"/>
    </row>
    <row r="1075" spans="1:4" ht="12.75">
      <c r="A1075" s="17" t="s">
        <v>914</v>
      </c>
      <c r="B1075" s="18">
        <v>950</v>
      </c>
      <c r="C1075" s="1099"/>
      <c r="D1075" s="291"/>
    </row>
    <row r="1076" spans="1:4" ht="12.75">
      <c r="A1076" s="17" t="s">
        <v>915</v>
      </c>
      <c r="B1076" s="18">
        <v>950</v>
      </c>
      <c r="C1076" s="1099"/>
      <c r="D1076" s="291"/>
    </row>
    <row r="1077" spans="1:4" ht="12.75">
      <c r="A1077" s="17" t="s">
        <v>916</v>
      </c>
      <c r="B1077" s="18">
        <v>950</v>
      </c>
      <c r="C1077" s="1099"/>
      <c r="D1077" s="291"/>
    </row>
    <row r="1078" spans="1:4" ht="12.75">
      <c r="A1078" s="17" t="s">
        <v>917</v>
      </c>
      <c r="B1078" s="18">
        <v>950</v>
      </c>
      <c r="C1078" s="1099"/>
      <c r="D1078" s="291"/>
    </row>
    <row r="1079" spans="1:4" ht="12.75">
      <c r="A1079" s="17" t="s">
        <v>918</v>
      </c>
      <c r="B1079" s="18">
        <v>950</v>
      </c>
      <c r="C1079" s="1099"/>
      <c r="D1079" s="291"/>
    </row>
    <row r="1080" spans="1:4" ht="12.75">
      <c r="A1080" s="17" t="s">
        <v>919</v>
      </c>
      <c r="B1080" s="18">
        <v>950</v>
      </c>
      <c r="C1080" s="1099"/>
      <c r="D1080" s="291"/>
    </row>
    <row r="1081" spans="1:4" ht="12.75">
      <c r="A1081" s="17" t="s">
        <v>920</v>
      </c>
      <c r="B1081" s="18">
        <v>950</v>
      </c>
      <c r="C1081" s="1099"/>
      <c r="D1081" s="291"/>
    </row>
    <row r="1082" spans="1:4" ht="12.75">
      <c r="A1082" s="17" t="s">
        <v>921</v>
      </c>
      <c r="B1082" s="18">
        <v>950</v>
      </c>
      <c r="C1082" s="1099"/>
      <c r="D1082" s="291"/>
    </row>
    <row r="1083" spans="1:4" ht="12.75">
      <c r="A1083" s="17" t="s">
        <v>922</v>
      </c>
      <c r="B1083" s="18">
        <v>950</v>
      </c>
      <c r="C1083" s="1099"/>
      <c r="D1083" s="291"/>
    </row>
    <row r="1084" spans="1:4" ht="12.75">
      <c r="A1084" s="17" t="s">
        <v>923</v>
      </c>
      <c r="B1084" s="18">
        <v>950</v>
      </c>
      <c r="C1084" s="1099"/>
      <c r="D1084" s="291"/>
    </row>
    <row r="1085" spans="1:4" ht="12.75">
      <c r="A1085" s="17" t="s">
        <v>924</v>
      </c>
      <c r="B1085" s="18">
        <v>950</v>
      </c>
      <c r="C1085" s="1099"/>
      <c r="D1085" s="291"/>
    </row>
    <row r="1086" spans="1:4" ht="14.25" customHeight="1">
      <c r="A1086" s="17" t="s">
        <v>925</v>
      </c>
      <c r="B1086" s="18">
        <v>950</v>
      </c>
      <c r="C1086" s="1099"/>
      <c r="D1086" s="291"/>
    </row>
    <row r="1087" spans="1:4" ht="14.25" customHeight="1">
      <c r="A1087" s="17" t="s">
        <v>1535</v>
      </c>
      <c r="B1087" s="18">
        <v>1100</v>
      </c>
      <c r="C1087" s="1099"/>
      <c r="D1087" s="292"/>
    </row>
    <row r="1088" spans="1:4" ht="14.25" customHeight="1">
      <c r="A1088" s="17" t="s">
        <v>1536</v>
      </c>
      <c r="B1088" s="18">
        <v>1100</v>
      </c>
      <c r="C1088" s="1099"/>
      <c r="D1088" s="292"/>
    </row>
    <row r="1089" spans="1:4" ht="14.25" customHeight="1">
      <c r="A1089" s="17" t="s">
        <v>1537</v>
      </c>
      <c r="B1089" s="18">
        <v>1100</v>
      </c>
      <c r="C1089" s="1099"/>
      <c r="D1089" s="292"/>
    </row>
    <row r="1090" spans="1:4" ht="14.25" customHeight="1">
      <c r="A1090" s="17" t="s">
        <v>1538</v>
      </c>
      <c r="B1090" s="18">
        <v>1100</v>
      </c>
      <c r="C1090" s="1099"/>
      <c r="D1090" s="292"/>
    </row>
    <row r="1091" spans="1:4" ht="14.25" customHeight="1">
      <c r="A1091" s="17" t="s">
        <v>1539</v>
      </c>
      <c r="B1091" s="18">
        <v>1100</v>
      </c>
      <c r="C1091" s="1099"/>
      <c r="D1091" s="292"/>
    </row>
    <row r="1092" spans="1:4" ht="14.25" customHeight="1">
      <c r="A1092" s="17" t="s">
        <v>1540</v>
      </c>
      <c r="B1092" s="18">
        <v>1100</v>
      </c>
      <c r="C1092" s="1099"/>
      <c r="D1092" s="292"/>
    </row>
    <row r="1093" spans="1:4" ht="14.25" customHeight="1">
      <c r="A1093" s="17" t="s">
        <v>1541</v>
      </c>
      <c r="B1093" s="18">
        <v>1100</v>
      </c>
      <c r="C1093" s="1099"/>
      <c r="D1093" s="292"/>
    </row>
    <row r="1094" spans="1:4" ht="14.25" customHeight="1">
      <c r="A1094" s="17" t="s">
        <v>1542</v>
      </c>
      <c r="B1094" s="18">
        <v>1100</v>
      </c>
      <c r="C1094" s="1099"/>
      <c r="D1094" s="292"/>
    </row>
    <row r="1095" spans="1:4" ht="14.25" customHeight="1">
      <c r="A1095" s="17" t="s">
        <v>1543</v>
      </c>
      <c r="B1095" s="18">
        <v>1100</v>
      </c>
      <c r="C1095" s="1099"/>
      <c r="D1095" s="292"/>
    </row>
    <row r="1096" spans="1:4" ht="14.25" customHeight="1">
      <c r="A1096" s="17" t="s">
        <v>1544</v>
      </c>
      <c r="B1096" s="18">
        <v>1100</v>
      </c>
      <c r="C1096" s="1099"/>
      <c r="D1096" s="292"/>
    </row>
    <row r="1097" spans="1:4" ht="14.25" customHeight="1">
      <c r="A1097" s="17" t="s">
        <v>1545</v>
      </c>
      <c r="B1097" s="18">
        <v>1100</v>
      </c>
      <c r="C1097" s="1099"/>
      <c r="D1097" s="292"/>
    </row>
    <row r="1098" spans="1:4" ht="14.25" customHeight="1">
      <c r="A1098" s="17" t="s">
        <v>1546</v>
      </c>
      <c r="B1098" s="18">
        <v>1100</v>
      </c>
      <c r="C1098" s="1099"/>
      <c r="D1098" s="292"/>
    </row>
    <row r="1099" spans="1:4" ht="14.25" customHeight="1">
      <c r="A1099" s="17" t="s">
        <v>1547</v>
      </c>
      <c r="B1099" s="18">
        <v>1100</v>
      </c>
      <c r="C1099" s="1099"/>
      <c r="D1099" s="292"/>
    </row>
    <row r="1100" spans="1:4" ht="14.25" customHeight="1">
      <c r="A1100" s="17" t="s">
        <v>1548</v>
      </c>
      <c r="B1100" s="18">
        <v>1100</v>
      </c>
      <c r="C1100" s="1099"/>
      <c r="D1100" s="292"/>
    </row>
    <row r="1101" spans="1:4" ht="14.25" customHeight="1">
      <c r="A1101" s="17" t="s">
        <v>1549</v>
      </c>
      <c r="B1101" s="18">
        <v>1100</v>
      </c>
      <c r="C1101" s="1099"/>
      <c r="D1101" s="292"/>
    </row>
    <row r="1102" spans="1:4" ht="14.25" customHeight="1">
      <c r="A1102" s="17" t="s">
        <v>1439</v>
      </c>
      <c r="B1102" s="18">
        <v>1100</v>
      </c>
      <c r="C1102" s="1099"/>
      <c r="D1102" s="292"/>
    </row>
    <row r="1103" spans="1:4" ht="14.25" customHeight="1">
      <c r="A1103" s="17" t="s">
        <v>1550</v>
      </c>
      <c r="B1103" s="18">
        <v>900</v>
      </c>
      <c r="C1103" s="1099"/>
      <c r="D1103" s="292"/>
    </row>
    <row r="1104" spans="1:4" ht="14.25" customHeight="1">
      <c r="A1104" s="17" t="s">
        <v>1551</v>
      </c>
      <c r="B1104" s="18">
        <v>900</v>
      </c>
      <c r="C1104" s="1099"/>
      <c r="D1104" s="292"/>
    </row>
    <row r="1105" spans="1:4" ht="14.25" customHeight="1">
      <c r="A1105" s="17" t="s">
        <v>1552</v>
      </c>
      <c r="B1105" s="18">
        <v>900</v>
      </c>
      <c r="C1105" s="1099"/>
      <c r="D1105" s="292"/>
    </row>
    <row r="1106" spans="1:4" ht="14.25" customHeight="1">
      <c r="A1106" s="17" t="s">
        <v>1553</v>
      </c>
      <c r="B1106" s="18">
        <v>900</v>
      </c>
      <c r="C1106" s="1099"/>
      <c r="D1106" s="292"/>
    </row>
    <row r="1107" spans="1:4" ht="14.25" customHeight="1">
      <c r="A1107" s="17" t="s">
        <v>1554</v>
      </c>
      <c r="B1107" s="18">
        <v>900</v>
      </c>
      <c r="C1107" s="1099"/>
      <c r="D1107" s="292"/>
    </row>
    <row r="1108" spans="1:4" ht="14.25" customHeight="1">
      <c r="A1108" s="17" t="s">
        <v>1555</v>
      </c>
      <c r="B1108" s="18">
        <v>900</v>
      </c>
      <c r="C1108" s="1099"/>
      <c r="D1108" s="292"/>
    </row>
    <row r="1109" spans="1:4" ht="14.25" customHeight="1">
      <c r="A1109" s="17" t="s">
        <v>1556</v>
      </c>
      <c r="B1109" s="18">
        <v>900</v>
      </c>
      <c r="C1109" s="1099"/>
      <c r="D1109" s="292"/>
    </row>
    <row r="1110" spans="1:4" ht="14.25" customHeight="1">
      <c r="A1110" s="17" t="s">
        <v>1557</v>
      </c>
      <c r="B1110" s="18">
        <v>900</v>
      </c>
      <c r="C1110" s="1099"/>
      <c r="D1110" s="292"/>
    </row>
    <row r="1111" spans="1:4" ht="14.25" customHeight="1">
      <c r="A1111" s="17" t="s">
        <v>1558</v>
      </c>
      <c r="B1111" s="18">
        <v>900</v>
      </c>
      <c r="C1111" s="1099"/>
      <c r="D1111" s="292"/>
    </row>
    <row r="1112" spans="1:4" ht="14.25" customHeight="1">
      <c r="A1112" s="17" t="s">
        <v>1559</v>
      </c>
      <c r="B1112" s="18">
        <v>900</v>
      </c>
      <c r="C1112" s="1099"/>
      <c r="D1112" s="292"/>
    </row>
    <row r="1113" spans="1:4" ht="14.25" customHeight="1">
      <c r="A1113" s="17" t="s">
        <v>1560</v>
      </c>
      <c r="B1113" s="18">
        <v>900</v>
      </c>
      <c r="C1113" s="1099"/>
      <c r="D1113" s="292"/>
    </row>
    <row r="1114" spans="1:4" ht="14.25" customHeight="1">
      <c r="A1114" s="17" t="s">
        <v>1561</v>
      </c>
      <c r="B1114" s="18">
        <v>900</v>
      </c>
      <c r="C1114" s="1099"/>
      <c r="D1114" s="292"/>
    </row>
    <row r="1115" spans="1:4" ht="14.25" customHeight="1">
      <c r="A1115" s="17" t="s">
        <v>1562</v>
      </c>
      <c r="B1115" s="18">
        <v>900</v>
      </c>
      <c r="C1115" s="1099"/>
      <c r="D1115" s="292"/>
    </row>
    <row r="1116" spans="1:4" ht="14.25" customHeight="1">
      <c r="A1116" s="17" t="s">
        <v>1563</v>
      </c>
      <c r="B1116" s="18">
        <v>900</v>
      </c>
      <c r="C1116" s="1099"/>
      <c r="D1116" s="292"/>
    </row>
    <row r="1117" spans="1:4" ht="14.25" customHeight="1">
      <c r="A1117" s="17" t="s">
        <v>1564</v>
      </c>
      <c r="B1117" s="18">
        <v>900</v>
      </c>
      <c r="C1117" s="1099"/>
      <c r="D1117" s="292"/>
    </row>
    <row r="1118" spans="1:4" ht="14.25" customHeight="1">
      <c r="A1118" s="17" t="s">
        <v>1440</v>
      </c>
      <c r="B1118" s="18">
        <v>900</v>
      </c>
      <c r="C1118" s="1099"/>
      <c r="D1118" s="292"/>
    </row>
    <row r="1119" spans="1:4" ht="12.75">
      <c r="A1119" s="17" t="s">
        <v>926</v>
      </c>
      <c r="B1119" s="18">
        <v>520</v>
      </c>
      <c r="C1119" s="1099"/>
      <c r="D1119" s="291"/>
    </row>
    <row r="1120" spans="1:4" ht="12.75">
      <c r="A1120" s="17" t="s">
        <v>927</v>
      </c>
      <c r="B1120" s="18">
        <v>520</v>
      </c>
      <c r="C1120" s="1099"/>
      <c r="D1120" s="291"/>
    </row>
    <row r="1121" spans="1:4" ht="12.75">
      <c r="A1121" s="17" t="s">
        <v>928</v>
      </c>
      <c r="B1121" s="18">
        <v>520</v>
      </c>
      <c r="C1121" s="1099"/>
      <c r="D1121" s="291"/>
    </row>
    <row r="1122" spans="1:4" ht="12.75">
      <c r="A1122" s="17" t="s">
        <v>929</v>
      </c>
      <c r="B1122" s="18">
        <v>520</v>
      </c>
      <c r="C1122" s="1099"/>
      <c r="D1122" s="291"/>
    </row>
    <row r="1123" spans="1:4" ht="12.75">
      <c r="A1123" s="17" t="s">
        <v>930</v>
      </c>
      <c r="B1123" s="18">
        <v>520</v>
      </c>
      <c r="C1123" s="1099"/>
      <c r="D1123" s="291"/>
    </row>
    <row r="1124" spans="1:4" ht="12.75">
      <c r="A1124" s="17" t="s">
        <v>931</v>
      </c>
      <c r="B1124" s="18">
        <v>520</v>
      </c>
      <c r="C1124" s="1099"/>
      <c r="D1124" s="291"/>
    </row>
    <row r="1125" spans="1:4" ht="12.75">
      <c r="A1125" s="17" t="s">
        <v>932</v>
      </c>
      <c r="B1125" s="18">
        <v>520</v>
      </c>
      <c r="C1125" s="1099"/>
      <c r="D1125" s="291"/>
    </row>
    <row r="1126" spans="1:4" ht="12.75">
      <c r="A1126" s="17" t="s">
        <v>933</v>
      </c>
      <c r="B1126" s="18">
        <v>520</v>
      </c>
      <c r="C1126" s="1099"/>
      <c r="D1126" s="291"/>
    </row>
    <row r="1127" spans="1:4" ht="12.75">
      <c r="A1127" s="17" t="s">
        <v>934</v>
      </c>
      <c r="B1127" s="18">
        <v>520</v>
      </c>
      <c r="C1127" s="1099"/>
      <c r="D1127" s="291"/>
    </row>
    <row r="1128" spans="1:4" ht="12.75">
      <c r="A1128" s="17" t="s">
        <v>935</v>
      </c>
      <c r="B1128" s="18">
        <v>520</v>
      </c>
      <c r="C1128" s="1099"/>
      <c r="D1128" s="291"/>
    </row>
    <row r="1129" spans="1:4" ht="12.75">
      <c r="A1129" s="17" t="s">
        <v>936</v>
      </c>
      <c r="B1129" s="18">
        <v>520</v>
      </c>
      <c r="C1129" s="1099"/>
      <c r="D1129" s="291"/>
    </row>
    <row r="1130" spans="1:4" ht="12.75">
      <c r="A1130" s="17" t="s">
        <v>937</v>
      </c>
      <c r="B1130" s="18">
        <v>520</v>
      </c>
      <c r="C1130" s="1099"/>
      <c r="D1130" s="291"/>
    </row>
    <row r="1131" spans="1:4" ht="12.75">
      <c r="A1131" s="17" t="s">
        <v>938</v>
      </c>
      <c r="B1131" s="18">
        <v>520</v>
      </c>
      <c r="C1131" s="1099"/>
      <c r="D1131" s="291"/>
    </row>
    <row r="1132" spans="1:4" ht="12.75">
      <c r="A1132" s="17" t="s">
        <v>939</v>
      </c>
      <c r="B1132" s="18">
        <v>520</v>
      </c>
      <c r="C1132" s="1099"/>
      <c r="D1132" s="291"/>
    </row>
    <row r="1133" spans="1:4" ht="12.75">
      <c r="A1133" s="17" t="s">
        <v>940</v>
      </c>
      <c r="B1133" s="18">
        <v>520</v>
      </c>
      <c r="C1133" s="1099"/>
      <c r="D1133" s="291"/>
    </row>
    <row r="1134" spans="1:4" ht="12.75">
      <c r="A1134" s="17" t="s">
        <v>941</v>
      </c>
      <c r="B1134" s="18">
        <v>520</v>
      </c>
      <c r="C1134" s="1099"/>
      <c r="D1134" s="291"/>
    </row>
    <row r="1135" spans="1:4" ht="12.75">
      <c r="A1135" s="17" t="s">
        <v>942</v>
      </c>
      <c r="B1135" s="18">
        <v>570</v>
      </c>
      <c r="C1135" s="1099"/>
      <c r="D1135" s="291"/>
    </row>
    <row r="1136" spans="1:4" ht="12.75">
      <c r="A1136" s="17" t="s">
        <v>943</v>
      </c>
      <c r="B1136" s="18">
        <v>570</v>
      </c>
      <c r="C1136" s="1099"/>
      <c r="D1136" s="291"/>
    </row>
    <row r="1137" spans="1:4" ht="12.75">
      <c r="A1137" s="17" t="s">
        <v>944</v>
      </c>
      <c r="B1137" s="18">
        <v>570</v>
      </c>
      <c r="C1137" s="1099"/>
      <c r="D1137" s="291"/>
    </row>
    <row r="1138" spans="1:4" ht="12.75">
      <c r="A1138" s="17" t="s">
        <v>945</v>
      </c>
      <c r="B1138" s="18">
        <v>570</v>
      </c>
      <c r="C1138" s="1099"/>
      <c r="D1138" s="291"/>
    </row>
    <row r="1139" spans="1:4" ht="12.75">
      <c r="A1139" s="17" t="s">
        <v>946</v>
      </c>
      <c r="B1139" s="18">
        <v>570</v>
      </c>
      <c r="C1139" s="1099"/>
      <c r="D1139" s="291"/>
    </row>
    <row r="1140" spans="1:4" ht="12.75">
      <c r="A1140" s="17" t="s">
        <v>947</v>
      </c>
      <c r="B1140" s="18">
        <v>570</v>
      </c>
      <c r="C1140" s="1099"/>
      <c r="D1140" s="291"/>
    </row>
    <row r="1141" spans="1:4" ht="12.75">
      <c r="A1141" s="17" t="s">
        <v>948</v>
      </c>
      <c r="B1141" s="18">
        <v>570</v>
      </c>
      <c r="C1141" s="1099"/>
      <c r="D1141" s="291"/>
    </row>
    <row r="1142" spans="1:4" ht="12.75">
      <c r="A1142" s="17" t="s">
        <v>949</v>
      </c>
      <c r="B1142" s="18">
        <v>570</v>
      </c>
      <c r="C1142" s="1099"/>
      <c r="D1142" s="291"/>
    </row>
    <row r="1143" spans="1:4" ht="12.75">
      <c r="A1143" s="17" t="s">
        <v>950</v>
      </c>
      <c r="B1143" s="18">
        <v>570</v>
      </c>
      <c r="C1143" s="1099"/>
      <c r="D1143" s="291"/>
    </row>
    <row r="1144" spans="1:4" ht="12.75">
      <c r="A1144" s="17" t="s">
        <v>951</v>
      </c>
      <c r="B1144" s="18">
        <v>570</v>
      </c>
      <c r="C1144" s="1099"/>
      <c r="D1144" s="291"/>
    </row>
    <row r="1145" spans="1:4" ht="12.75">
      <c r="A1145" s="17" t="s">
        <v>952</v>
      </c>
      <c r="B1145" s="18">
        <v>570</v>
      </c>
      <c r="C1145" s="1099"/>
      <c r="D1145" s="291"/>
    </row>
    <row r="1146" spans="1:4" ht="12.75">
      <c r="A1146" s="17" t="s">
        <v>953</v>
      </c>
      <c r="B1146" s="18">
        <v>570</v>
      </c>
      <c r="C1146" s="1099"/>
      <c r="D1146" s="291"/>
    </row>
    <row r="1147" spans="1:4" ht="12.75">
      <c r="A1147" s="17" t="s">
        <v>954</v>
      </c>
      <c r="B1147" s="18">
        <v>570</v>
      </c>
      <c r="C1147" s="1099"/>
      <c r="D1147" s="291"/>
    </row>
    <row r="1148" spans="1:4" ht="12.75">
      <c r="A1148" s="17" t="s">
        <v>955</v>
      </c>
      <c r="B1148" s="18">
        <v>570</v>
      </c>
      <c r="C1148" s="1099"/>
      <c r="D1148" s="291"/>
    </row>
    <row r="1149" spans="1:4" ht="12.75">
      <c r="A1149" s="17" t="s">
        <v>956</v>
      </c>
      <c r="B1149" s="18">
        <v>570</v>
      </c>
      <c r="C1149" s="1099"/>
      <c r="D1149" s="291"/>
    </row>
    <row r="1150" spans="1:4" ht="12.75">
      <c r="A1150" s="17" t="s">
        <v>957</v>
      </c>
      <c r="B1150" s="18">
        <v>570</v>
      </c>
      <c r="C1150" s="1099"/>
      <c r="D1150" s="291"/>
    </row>
    <row r="1151" spans="1:4" ht="12.75">
      <c r="A1151" s="17" t="s">
        <v>1505</v>
      </c>
      <c r="B1151" s="18">
        <v>330</v>
      </c>
      <c r="C1151" s="1099"/>
      <c r="D1151" s="292"/>
    </row>
    <row r="1152" spans="1:4" ht="12.75">
      <c r="A1152" s="17" t="s">
        <v>1506</v>
      </c>
      <c r="B1152" s="18">
        <v>330</v>
      </c>
      <c r="C1152" s="1099"/>
      <c r="D1152" s="292"/>
    </row>
    <row r="1153" spans="1:4" ht="12.75">
      <c r="A1153" s="17" t="s">
        <v>1507</v>
      </c>
      <c r="B1153" s="18">
        <v>330</v>
      </c>
      <c r="C1153" s="1099"/>
      <c r="D1153" s="292"/>
    </row>
    <row r="1154" spans="1:4" ht="12.75">
      <c r="A1154" s="17" t="s">
        <v>1508</v>
      </c>
      <c r="B1154" s="18">
        <v>330</v>
      </c>
      <c r="C1154" s="1099"/>
      <c r="D1154" s="292"/>
    </row>
    <row r="1155" spans="1:4" ht="12.75">
      <c r="A1155" s="17" t="s">
        <v>1509</v>
      </c>
      <c r="B1155" s="18">
        <v>330</v>
      </c>
      <c r="C1155" s="1099"/>
      <c r="D1155" s="292"/>
    </row>
    <row r="1156" spans="1:4" ht="12.75">
      <c r="A1156" s="17" t="s">
        <v>1510</v>
      </c>
      <c r="B1156" s="18">
        <v>330</v>
      </c>
      <c r="C1156" s="1099"/>
      <c r="D1156" s="292"/>
    </row>
    <row r="1157" spans="1:4" ht="12.75">
      <c r="A1157" s="17" t="s">
        <v>1511</v>
      </c>
      <c r="B1157" s="18">
        <v>330</v>
      </c>
      <c r="C1157" s="1099"/>
      <c r="D1157" s="292"/>
    </row>
    <row r="1158" spans="1:4" ht="12.75">
      <c r="A1158" s="17" t="s">
        <v>1512</v>
      </c>
      <c r="B1158" s="18">
        <v>330</v>
      </c>
      <c r="C1158" s="1099"/>
      <c r="D1158" s="292"/>
    </row>
    <row r="1159" spans="1:4" ht="12.75">
      <c r="A1159" s="17" t="s">
        <v>1513</v>
      </c>
      <c r="B1159" s="18">
        <v>330</v>
      </c>
      <c r="C1159" s="1099"/>
      <c r="D1159" s="292"/>
    </row>
    <row r="1160" spans="1:4" ht="12.75">
      <c r="A1160" s="17" t="s">
        <v>1514</v>
      </c>
      <c r="B1160" s="18">
        <v>330</v>
      </c>
      <c r="C1160" s="1099"/>
      <c r="D1160" s="292"/>
    </row>
    <row r="1161" spans="1:4" ht="12.75">
      <c r="A1161" s="17" t="s">
        <v>1515</v>
      </c>
      <c r="B1161" s="18">
        <v>330</v>
      </c>
      <c r="C1161" s="1099"/>
      <c r="D1161" s="292"/>
    </row>
    <row r="1162" spans="1:4" ht="12.75">
      <c r="A1162" s="17" t="s">
        <v>1516</v>
      </c>
      <c r="B1162" s="18">
        <v>330</v>
      </c>
      <c r="C1162" s="1099"/>
      <c r="D1162" s="292"/>
    </row>
    <row r="1163" spans="1:4" ht="12.75">
      <c r="A1163" s="17" t="s">
        <v>1517</v>
      </c>
      <c r="B1163" s="18">
        <v>330</v>
      </c>
      <c r="C1163" s="1099"/>
      <c r="D1163" s="292"/>
    </row>
    <row r="1164" spans="1:4" ht="12.75">
      <c r="A1164" s="17" t="s">
        <v>1518</v>
      </c>
      <c r="B1164" s="18">
        <v>330</v>
      </c>
      <c r="C1164" s="1099"/>
      <c r="D1164" s="292"/>
    </row>
    <row r="1165" spans="1:4" ht="12.75">
      <c r="A1165" s="17" t="s">
        <v>1519</v>
      </c>
      <c r="B1165" s="18">
        <v>330</v>
      </c>
      <c r="C1165" s="1099"/>
      <c r="D1165" s="292"/>
    </row>
    <row r="1166" spans="1:4" ht="12.75">
      <c r="A1166" s="17" t="s">
        <v>1433</v>
      </c>
      <c r="B1166" s="18">
        <v>330</v>
      </c>
      <c r="C1166" s="1099"/>
      <c r="D1166" s="292"/>
    </row>
    <row r="1167" spans="1:4" ht="12.75">
      <c r="A1167" s="17" t="s">
        <v>958</v>
      </c>
      <c r="B1167" s="18">
        <v>380</v>
      </c>
      <c r="C1167" s="1099"/>
      <c r="D1167" s="291"/>
    </row>
    <row r="1168" spans="1:4" ht="12.75">
      <c r="A1168" s="17" t="s">
        <v>959</v>
      </c>
      <c r="B1168" s="18">
        <v>380</v>
      </c>
      <c r="C1168" s="1099"/>
      <c r="D1168" s="291"/>
    </row>
    <row r="1169" spans="1:4" ht="12.75">
      <c r="A1169" s="17" t="s">
        <v>960</v>
      </c>
      <c r="B1169" s="18">
        <v>380</v>
      </c>
      <c r="C1169" s="1099"/>
      <c r="D1169" s="291"/>
    </row>
    <row r="1170" spans="1:4" ht="12.75">
      <c r="A1170" s="17" t="s">
        <v>961</v>
      </c>
      <c r="B1170" s="18">
        <v>380</v>
      </c>
      <c r="C1170" s="1099"/>
      <c r="D1170" s="291"/>
    </row>
    <row r="1171" spans="1:4" ht="12.75">
      <c r="A1171" s="17" t="s">
        <v>962</v>
      </c>
      <c r="B1171" s="18">
        <v>380</v>
      </c>
      <c r="C1171" s="1099"/>
      <c r="D1171" s="291"/>
    </row>
    <row r="1172" spans="1:4" ht="12.75">
      <c r="A1172" s="17" t="s">
        <v>963</v>
      </c>
      <c r="B1172" s="18">
        <v>380</v>
      </c>
      <c r="C1172" s="1099"/>
      <c r="D1172" s="291"/>
    </row>
    <row r="1173" spans="1:4" ht="12.75">
      <c r="A1173" s="17" t="s">
        <v>964</v>
      </c>
      <c r="B1173" s="18">
        <v>380</v>
      </c>
      <c r="C1173" s="1099"/>
      <c r="D1173" s="291"/>
    </row>
    <row r="1174" spans="1:4" ht="12.75">
      <c r="A1174" s="17" t="s">
        <v>965</v>
      </c>
      <c r="B1174" s="18">
        <v>380</v>
      </c>
      <c r="C1174" s="1099"/>
      <c r="D1174" s="291"/>
    </row>
    <row r="1175" spans="1:4" ht="12.75">
      <c r="A1175" s="17" t="s">
        <v>966</v>
      </c>
      <c r="B1175" s="18">
        <v>380</v>
      </c>
      <c r="C1175" s="1099"/>
      <c r="D1175" s="291"/>
    </row>
    <row r="1176" spans="1:4" ht="12.75">
      <c r="A1176" s="17" t="s">
        <v>967</v>
      </c>
      <c r="B1176" s="18">
        <v>380</v>
      </c>
      <c r="C1176" s="1099"/>
      <c r="D1176" s="291"/>
    </row>
    <row r="1177" spans="1:4" ht="12.75">
      <c r="A1177" s="17" t="s">
        <v>968</v>
      </c>
      <c r="B1177" s="18">
        <v>380</v>
      </c>
      <c r="C1177" s="1099"/>
      <c r="D1177" s="291"/>
    </row>
    <row r="1178" spans="1:4" ht="12.75">
      <c r="A1178" s="17" t="s">
        <v>969</v>
      </c>
      <c r="B1178" s="18">
        <v>380</v>
      </c>
      <c r="C1178" s="1099"/>
      <c r="D1178" s="291"/>
    </row>
    <row r="1179" spans="1:4" ht="12.75">
      <c r="A1179" s="17" t="s">
        <v>970</v>
      </c>
      <c r="B1179" s="18">
        <v>380</v>
      </c>
      <c r="C1179" s="1099"/>
      <c r="D1179" s="291"/>
    </row>
    <row r="1180" spans="1:4" ht="12.75">
      <c r="A1180" s="17" t="s">
        <v>971</v>
      </c>
      <c r="B1180" s="18">
        <v>380</v>
      </c>
      <c r="C1180" s="1099"/>
      <c r="D1180" s="291"/>
    </row>
    <row r="1181" spans="1:4" ht="12.75">
      <c r="A1181" s="17" t="s">
        <v>972</v>
      </c>
      <c r="B1181" s="18">
        <v>380</v>
      </c>
      <c r="C1181" s="1099"/>
      <c r="D1181" s="291"/>
    </row>
    <row r="1182" spans="1:4" ht="12.75">
      <c r="A1182" s="17" t="s">
        <v>973</v>
      </c>
      <c r="B1182" s="18">
        <v>380</v>
      </c>
      <c r="C1182" s="1099"/>
      <c r="D1182" s="291"/>
    </row>
    <row r="1183" spans="1:4" ht="12.75">
      <c r="A1183" s="17" t="s">
        <v>974</v>
      </c>
      <c r="B1183" s="18">
        <v>430</v>
      </c>
      <c r="C1183" s="1099"/>
      <c r="D1183" s="291"/>
    </row>
    <row r="1184" spans="1:4" ht="12.75">
      <c r="A1184" s="17" t="s">
        <v>975</v>
      </c>
      <c r="B1184" s="18">
        <v>430</v>
      </c>
      <c r="C1184" s="1099"/>
      <c r="D1184" s="291"/>
    </row>
    <row r="1185" spans="1:4" ht="12.75">
      <c r="A1185" s="17" t="s">
        <v>976</v>
      </c>
      <c r="B1185" s="18">
        <v>430</v>
      </c>
      <c r="C1185" s="1099"/>
      <c r="D1185" s="291"/>
    </row>
    <row r="1186" spans="1:4" ht="12.75">
      <c r="A1186" s="17" t="s">
        <v>977</v>
      </c>
      <c r="B1186" s="18">
        <v>430</v>
      </c>
      <c r="C1186" s="1099"/>
      <c r="D1186" s="291"/>
    </row>
    <row r="1187" spans="1:4" ht="12.75">
      <c r="A1187" s="17" t="s">
        <v>978</v>
      </c>
      <c r="B1187" s="18">
        <v>430</v>
      </c>
      <c r="C1187" s="1099"/>
      <c r="D1187" s="291"/>
    </row>
    <row r="1188" spans="1:4" ht="12.75">
      <c r="A1188" s="17" t="s">
        <v>979</v>
      </c>
      <c r="B1188" s="18">
        <v>430</v>
      </c>
      <c r="C1188" s="1099"/>
      <c r="D1188" s="291"/>
    </row>
    <row r="1189" spans="1:4" ht="12.75">
      <c r="A1189" s="17" t="s">
        <v>980</v>
      </c>
      <c r="B1189" s="18">
        <v>430</v>
      </c>
      <c r="C1189" s="1099"/>
      <c r="D1189" s="291"/>
    </row>
    <row r="1190" spans="1:4" ht="12.75">
      <c r="A1190" s="17" t="s">
        <v>981</v>
      </c>
      <c r="B1190" s="18">
        <v>430</v>
      </c>
      <c r="C1190" s="1099"/>
      <c r="D1190" s="291"/>
    </row>
    <row r="1191" spans="1:4" ht="12.75">
      <c r="A1191" s="17" t="s">
        <v>982</v>
      </c>
      <c r="B1191" s="18">
        <v>430</v>
      </c>
      <c r="C1191" s="1099"/>
      <c r="D1191" s="291"/>
    </row>
    <row r="1192" spans="1:4" ht="12.75">
      <c r="A1192" s="17" t="s">
        <v>983</v>
      </c>
      <c r="B1192" s="18">
        <v>430</v>
      </c>
      <c r="C1192" s="1099"/>
      <c r="D1192" s="291"/>
    </row>
    <row r="1193" spans="1:4" ht="12.75">
      <c r="A1193" s="17" t="s">
        <v>984</v>
      </c>
      <c r="B1193" s="18">
        <v>430</v>
      </c>
      <c r="C1193" s="1099"/>
      <c r="D1193" s="291"/>
    </row>
    <row r="1194" spans="1:4" ht="12.75">
      <c r="A1194" s="17" t="s">
        <v>985</v>
      </c>
      <c r="B1194" s="18">
        <v>430</v>
      </c>
      <c r="C1194" s="1099"/>
      <c r="D1194" s="291"/>
    </row>
    <row r="1195" spans="1:4" ht="12.75">
      <c r="A1195" s="17" t="s">
        <v>986</v>
      </c>
      <c r="B1195" s="18">
        <v>430</v>
      </c>
      <c r="C1195" s="1099"/>
      <c r="D1195" s="291"/>
    </row>
    <row r="1196" spans="1:4" ht="12.75">
      <c r="A1196" s="17" t="s">
        <v>987</v>
      </c>
      <c r="B1196" s="18">
        <v>430</v>
      </c>
      <c r="C1196" s="1099"/>
      <c r="D1196" s="291"/>
    </row>
    <row r="1197" spans="1:4" ht="12.75">
      <c r="A1197" s="17" t="s">
        <v>988</v>
      </c>
      <c r="B1197" s="18">
        <v>430</v>
      </c>
      <c r="C1197" s="1099"/>
      <c r="D1197" s="291"/>
    </row>
    <row r="1198" spans="1:4" ht="12.75">
      <c r="A1198" s="17" t="s">
        <v>989</v>
      </c>
      <c r="B1198" s="18">
        <v>430</v>
      </c>
      <c r="C1198" s="1099"/>
      <c r="D1198" s="291"/>
    </row>
    <row r="1199" spans="1:4" ht="12.75">
      <c r="A1199" s="17" t="s">
        <v>990</v>
      </c>
      <c r="B1199" s="18">
        <v>550</v>
      </c>
      <c r="C1199" s="1099"/>
      <c r="D1199" s="291"/>
    </row>
    <row r="1200" spans="1:4" ht="12.75">
      <c r="A1200" s="17" t="s">
        <v>991</v>
      </c>
      <c r="B1200" s="18">
        <v>550</v>
      </c>
      <c r="C1200" s="1099"/>
      <c r="D1200" s="291"/>
    </row>
    <row r="1201" spans="1:4" ht="12.75">
      <c r="A1201" s="17" t="s">
        <v>992</v>
      </c>
      <c r="B1201" s="18">
        <v>550</v>
      </c>
      <c r="C1201" s="1099"/>
      <c r="D1201" s="291"/>
    </row>
    <row r="1202" spans="1:4" ht="12.75">
      <c r="A1202" s="17" t="s">
        <v>993</v>
      </c>
      <c r="B1202" s="18">
        <v>550</v>
      </c>
      <c r="C1202" s="1099"/>
      <c r="D1202" s="291"/>
    </row>
    <row r="1203" spans="1:4" ht="12.75">
      <c r="A1203" s="17" t="s">
        <v>994</v>
      </c>
      <c r="B1203" s="18">
        <v>550</v>
      </c>
      <c r="C1203" s="1099"/>
      <c r="D1203" s="291"/>
    </row>
    <row r="1204" spans="1:4" ht="12.75">
      <c r="A1204" s="17" t="s">
        <v>995</v>
      </c>
      <c r="B1204" s="18">
        <v>550</v>
      </c>
      <c r="C1204" s="1099"/>
      <c r="D1204" s="291"/>
    </row>
    <row r="1205" spans="1:4" ht="12.75">
      <c r="A1205" s="17" t="s">
        <v>996</v>
      </c>
      <c r="B1205" s="18">
        <v>550</v>
      </c>
      <c r="C1205" s="1099"/>
      <c r="D1205" s="291"/>
    </row>
    <row r="1206" spans="1:4" ht="12.75">
      <c r="A1206" s="17" t="s">
        <v>997</v>
      </c>
      <c r="B1206" s="18">
        <v>550</v>
      </c>
      <c r="C1206" s="1099"/>
      <c r="D1206" s="291"/>
    </row>
    <row r="1207" spans="1:4" ht="12.75">
      <c r="A1207" s="17" t="s">
        <v>998</v>
      </c>
      <c r="B1207" s="18">
        <v>550</v>
      </c>
      <c r="C1207" s="1099"/>
      <c r="D1207" s="291"/>
    </row>
    <row r="1208" spans="1:4" ht="12.75">
      <c r="A1208" s="17" t="s">
        <v>999</v>
      </c>
      <c r="B1208" s="18">
        <v>550</v>
      </c>
      <c r="C1208" s="1099"/>
      <c r="D1208" s="291"/>
    </row>
    <row r="1209" spans="1:4" ht="12.75">
      <c r="A1209" s="17" t="s">
        <v>1000</v>
      </c>
      <c r="B1209" s="18">
        <v>550</v>
      </c>
      <c r="C1209" s="1099"/>
      <c r="D1209" s="291"/>
    </row>
    <row r="1210" spans="1:4" ht="12.75">
      <c r="A1210" s="17" t="s">
        <v>1001</v>
      </c>
      <c r="B1210" s="18">
        <v>550</v>
      </c>
      <c r="C1210" s="1099"/>
      <c r="D1210" s="291"/>
    </row>
    <row r="1211" spans="1:4" ht="12.75">
      <c r="A1211" s="17" t="s">
        <v>1002</v>
      </c>
      <c r="B1211" s="18">
        <v>550</v>
      </c>
      <c r="C1211" s="1099"/>
      <c r="D1211" s="291"/>
    </row>
    <row r="1212" spans="1:4" ht="12.75">
      <c r="A1212" s="17" t="s">
        <v>1003</v>
      </c>
      <c r="B1212" s="18">
        <v>550</v>
      </c>
      <c r="C1212" s="1099"/>
      <c r="D1212" s="291"/>
    </row>
    <row r="1213" spans="1:4" ht="12.75">
      <c r="A1213" s="17" t="s">
        <v>1004</v>
      </c>
      <c r="B1213" s="18">
        <v>550</v>
      </c>
      <c r="C1213" s="1099"/>
      <c r="D1213" s="291"/>
    </row>
    <row r="1214" spans="1:4" ht="12.75">
      <c r="A1214" s="17" t="s">
        <v>1005</v>
      </c>
      <c r="B1214" s="18">
        <v>550</v>
      </c>
      <c r="C1214" s="1099"/>
      <c r="D1214" s="291"/>
    </row>
    <row r="1215" spans="1:4" ht="12.75">
      <c r="A1215" s="17" t="s">
        <v>1520</v>
      </c>
      <c r="B1215" s="18">
        <v>640</v>
      </c>
      <c r="C1215" s="1099"/>
      <c r="D1215" s="292"/>
    </row>
    <row r="1216" spans="1:4" ht="12.75">
      <c r="A1216" s="17" t="s">
        <v>1521</v>
      </c>
      <c r="B1216" s="18">
        <v>640</v>
      </c>
      <c r="C1216" s="1099"/>
      <c r="D1216" s="292"/>
    </row>
    <row r="1217" spans="1:4" ht="12.75">
      <c r="A1217" s="17" t="s">
        <v>1522</v>
      </c>
      <c r="B1217" s="18">
        <v>640</v>
      </c>
      <c r="C1217" s="1099"/>
      <c r="D1217" s="292"/>
    </row>
    <row r="1218" spans="1:4" ht="12.75">
      <c r="A1218" s="17" t="s">
        <v>1523</v>
      </c>
      <c r="B1218" s="18">
        <v>640</v>
      </c>
      <c r="C1218" s="1099"/>
      <c r="D1218" s="292"/>
    </row>
    <row r="1219" spans="1:4" ht="12.75">
      <c r="A1219" s="17" t="s">
        <v>1524</v>
      </c>
      <c r="B1219" s="18">
        <v>640</v>
      </c>
      <c r="C1219" s="1099"/>
      <c r="D1219" s="292"/>
    </row>
    <row r="1220" spans="1:4" ht="12.75">
      <c r="A1220" s="17" t="s">
        <v>1525</v>
      </c>
      <c r="B1220" s="18">
        <v>640</v>
      </c>
      <c r="C1220" s="1099"/>
      <c r="D1220" s="292"/>
    </row>
    <row r="1221" spans="1:4" ht="12.75">
      <c r="A1221" s="17" t="s">
        <v>1526</v>
      </c>
      <c r="B1221" s="18">
        <v>640</v>
      </c>
      <c r="C1221" s="1099"/>
      <c r="D1221" s="292"/>
    </row>
    <row r="1222" spans="1:4" ht="12.75">
      <c r="A1222" s="17" t="s">
        <v>1527</v>
      </c>
      <c r="B1222" s="18">
        <v>640</v>
      </c>
      <c r="C1222" s="1099"/>
      <c r="D1222" s="292"/>
    </row>
    <row r="1223" spans="1:4" ht="12.75">
      <c r="A1223" s="17" t="s">
        <v>1528</v>
      </c>
      <c r="B1223" s="18">
        <v>640</v>
      </c>
      <c r="C1223" s="1099"/>
      <c r="D1223" s="292"/>
    </row>
    <row r="1224" spans="1:4" ht="12.75">
      <c r="A1224" s="17" t="s">
        <v>1529</v>
      </c>
      <c r="B1224" s="18">
        <v>640</v>
      </c>
      <c r="C1224" s="1099"/>
      <c r="D1224" s="292"/>
    </row>
    <row r="1225" spans="1:4" ht="12.75">
      <c r="A1225" s="17" t="s">
        <v>1530</v>
      </c>
      <c r="B1225" s="18">
        <v>640</v>
      </c>
      <c r="C1225" s="1099"/>
      <c r="D1225" s="292"/>
    </row>
    <row r="1226" spans="1:4" ht="12.75">
      <c r="A1226" s="17" t="s">
        <v>1531</v>
      </c>
      <c r="B1226" s="18">
        <v>640</v>
      </c>
      <c r="C1226" s="1099"/>
      <c r="D1226" s="292"/>
    </row>
    <row r="1227" spans="1:4" ht="12.75">
      <c r="A1227" s="17" t="s">
        <v>1532</v>
      </c>
      <c r="B1227" s="18">
        <v>640</v>
      </c>
      <c r="C1227" s="1099"/>
      <c r="D1227" s="292"/>
    </row>
    <row r="1228" spans="1:4" ht="12.75">
      <c r="A1228" s="17" t="s">
        <v>1533</v>
      </c>
      <c r="B1228" s="18">
        <v>640</v>
      </c>
      <c r="C1228" s="1099"/>
      <c r="D1228" s="292"/>
    </row>
    <row r="1229" spans="1:4" ht="12.75">
      <c r="A1229" s="17" t="s">
        <v>1534</v>
      </c>
      <c r="B1229" s="18">
        <v>640</v>
      </c>
      <c r="C1229" s="1099"/>
      <c r="D1229" s="292"/>
    </row>
    <row r="1230" spans="1:4" ht="12.75">
      <c r="A1230" s="17" t="s">
        <v>1434</v>
      </c>
      <c r="B1230" s="18">
        <v>640</v>
      </c>
      <c r="C1230" s="1099"/>
      <c r="D1230" s="292"/>
    </row>
    <row r="1231" spans="1:4" ht="12.75">
      <c r="A1231" s="17" t="s">
        <v>1006</v>
      </c>
      <c r="B1231" s="18">
        <v>740</v>
      </c>
      <c r="C1231" s="1099"/>
      <c r="D1231" s="291"/>
    </row>
    <row r="1232" spans="1:4" ht="12.75">
      <c r="A1232" s="17" t="s">
        <v>1007</v>
      </c>
      <c r="B1232" s="18">
        <v>740</v>
      </c>
      <c r="C1232" s="1099"/>
      <c r="D1232" s="291"/>
    </row>
    <row r="1233" spans="1:4" ht="12.75">
      <c r="A1233" s="17" t="s">
        <v>1008</v>
      </c>
      <c r="B1233" s="18">
        <v>740</v>
      </c>
      <c r="C1233" s="1099"/>
      <c r="D1233" s="291"/>
    </row>
    <row r="1234" spans="1:4" ht="12.75">
      <c r="A1234" s="17" t="s">
        <v>1009</v>
      </c>
      <c r="B1234" s="18">
        <v>740</v>
      </c>
      <c r="C1234" s="1099"/>
      <c r="D1234" s="291"/>
    </row>
    <row r="1235" spans="1:4" ht="12.75">
      <c r="A1235" s="17" t="s">
        <v>1010</v>
      </c>
      <c r="B1235" s="18">
        <v>740</v>
      </c>
      <c r="C1235" s="1099"/>
      <c r="D1235" s="291"/>
    </row>
    <row r="1236" spans="1:4" ht="12.75">
      <c r="A1236" s="17" t="s">
        <v>1011</v>
      </c>
      <c r="B1236" s="18">
        <v>740</v>
      </c>
      <c r="C1236" s="1099"/>
      <c r="D1236" s="291"/>
    </row>
    <row r="1237" spans="1:4" ht="12.75">
      <c r="A1237" s="17" t="s">
        <v>1012</v>
      </c>
      <c r="B1237" s="18">
        <v>740</v>
      </c>
      <c r="C1237" s="1099"/>
      <c r="D1237" s="291"/>
    </row>
    <row r="1238" spans="1:4" ht="12.75">
      <c r="A1238" s="17" t="s">
        <v>1013</v>
      </c>
      <c r="B1238" s="18">
        <v>740</v>
      </c>
      <c r="C1238" s="1099"/>
      <c r="D1238" s="291"/>
    </row>
    <row r="1239" spans="1:4" ht="12.75">
      <c r="A1239" s="17" t="s">
        <v>1014</v>
      </c>
      <c r="B1239" s="18">
        <v>740</v>
      </c>
      <c r="C1239" s="1099"/>
      <c r="D1239" s="291"/>
    </row>
    <row r="1240" spans="1:4" ht="12.75">
      <c r="A1240" s="17" t="s">
        <v>1015</v>
      </c>
      <c r="B1240" s="18">
        <v>740</v>
      </c>
      <c r="C1240" s="1099"/>
      <c r="D1240" s="291"/>
    </row>
    <row r="1241" spans="1:4" ht="12.75">
      <c r="A1241" s="17" t="s">
        <v>1016</v>
      </c>
      <c r="B1241" s="18">
        <v>740</v>
      </c>
      <c r="C1241" s="1099"/>
      <c r="D1241" s="291"/>
    </row>
    <row r="1242" spans="1:4" ht="12.75">
      <c r="A1242" s="17" t="s">
        <v>1017</v>
      </c>
      <c r="B1242" s="18">
        <v>740</v>
      </c>
      <c r="C1242" s="1099"/>
      <c r="D1242" s="291"/>
    </row>
    <row r="1243" spans="1:4" ht="12.75">
      <c r="A1243" s="17" t="s">
        <v>1018</v>
      </c>
      <c r="B1243" s="18">
        <v>740</v>
      </c>
      <c r="C1243" s="1099"/>
      <c r="D1243" s="291"/>
    </row>
    <row r="1244" spans="1:4" ht="12.75">
      <c r="A1244" s="17" t="s">
        <v>1019</v>
      </c>
      <c r="B1244" s="18">
        <v>740</v>
      </c>
      <c r="C1244" s="1099"/>
      <c r="D1244" s="291"/>
    </row>
    <row r="1245" spans="1:4" ht="12.75">
      <c r="A1245" s="17" t="s">
        <v>1020</v>
      </c>
      <c r="B1245" s="18">
        <v>740</v>
      </c>
      <c r="C1245" s="1099"/>
      <c r="D1245" s="291"/>
    </row>
    <row r="1246" spans="1:4" ht="12.75">
      <c r="A1246" s="17" t="s">
        <v>1021</v>
      </c>
      <c r="B1246" s="18">
        <v>740</v>
      </c>
      <c r="C1246" s="1099"/>
      <c r="D1246" s="291"/>
    </row>
    <row r="1247" spans="1:4" ht="12.75">
      <c r="A1247" s="17" t="s">
        <v>1022</v>
      </c>
      <c r="B1247" s="18">
        <v>850</v>
      </c>
      <c r="C1247" s="1099"/>
      <c r="D1247" s="291"/>
    </row>
    <row r="1248" spans="1:4" ht="12.75">
      <c r="A1248" s="17" t="s">
        <v>1023</v>
      </c>
      <c r="B1248" s="18">
        <v>850</v>
      </c>
      <c r="C1248" s="1099"/>
      <c r="D1248" s="291"/>
    </row>
    <row r="1249" spans="1:4" ht="12.75">
      <c r="A1249" s="17" t="s">
        <v>1024</v>
      </c>
      <c r="B1249" s="18">
        <v>850</v>
      </c>
      <c r="C1249" s="1099"/>
      <c r="D1249" s="291"/>
    </row>
    <row r="1250" spans="1:4" ht="12.75">
      <c r="A1250" s="17" t="s">
        <v>1025</v>
      </c>
      <c r="B1250" s="18">
        <v>850</v>
      </c>
      <c r="C1250" s="1099"/>
      <c r="D1250" s="291"/>
    </row>
    <row r="1251" spans="1:4" ht="12.75">
      <c r="A1251" s="17" t="s">
        <v>1026</v>
      </c>
      <c r="B1251" s="18">
        <v>850</v>
      </c>
      <c r="C1251" s="1099"/>
      <c r="D1251" s="291"/>
    </row>
    <row r="1252" spans="1:4" ht="12.75">
      <c r="A1252" s="17" t="s">
        <v>1027</v>
      </c>
      <c r="B1252" s="18">
        <v>850</v>
      </c>
      <c r="C1252" s="1099"/>
      <c r="D1252" s="291"/>
    </row>
    <row r="1253" spans="1:4" ht="12.75">
      <c r="A1253" s="17" t="s">
        <v>1028</v>
      </c>
      <c r="B1253" s="18">
        <v>850</v>
      </c>
      <c r="C1253" s="1099"/>
      <c r="D1253" s="291"/>
    </row>
    <row r="1254" spans="1:4" ht="12.75">
      <c r="A1254" s="17" t="s">
        <v>1029</v>
      </c>
      <c r="B1254" s="18">
        <v>850</v>
      </c>
      <c r="C1254" s="1099"/>
      <c r="D1254" s="291"/>
    </row>
    <row r="1255" spans="1:4" ht="12.75">
      <c r="A1255" s="17" t="s">
        <v>1030</v>
      </c>
      <c r="B1255" s="18">
        <v>850</v>
      </c>
      <c r="C1255" s="1099"/>
      <c r="D1255" s="291"/>
    </row>
    <row r="1256" spans="1:4" ht="12.75">
      <c r="A1256" s="17" t="s">
        <v>1031</v>
      </c>
      <c r="B1256" s="18">
        <v>850</v>
      </c>
      <c r="C1256" s="1099"/>
      <c r="D1256" s="291"/>
    </row>
    <row r="1257" spans="1:4" ht="12.75">
      <c r="A1257" s="17" t="s">
        <v>1032</v>
      </c>
      <c r="B1257" s="18">
        <v>850</v>
      </c>
      <c r="C1257" s="1099"/>
      <c r="D1257" s="291"/>
    </row>
    <row r="1258" spans="1:4" ht="12.75">
      <c r="A1258" s="17" t="s">
        <v>1033</v>
      </c>
      <c r="B1258" s="18">
        <v>850</v>
      </c>
      <c r="C1258" s="1099"/>
      <c r="D1258" s="291"/>
    </row>
    <row r="1259" spans="1:4" ht="12.75">
      <c r="A1259" s="17" t="s">
        <v>1034</v>
      </c>
      <c r="B1259" s="18">
        <v>850</v>
      </c>
      <c r="C1259" s="1099"/>
      <c r="D1259" s="291"/>
    </row>
    <row r="1260" spans="1:4" ht="12.75">
      <c r="A1260" s="17" t="s">
        <v>1035</v>
      </c>
      <c r="B1260" s="18">
        <v>850</v>
      </c>
      <c r="C1260" s="1099"/>
      <c r="D1260" s="291"/>
    </row>
    <row r="1261" spans="1:4" ht="12.75">
      <c r="A1261" s="17" t="s">
        <v>1036</v>
      </c>
      <c r="B1261" s="18">
        <v>850</v>
      </c>
      <c r="C1261" s="1099"/>
      <c r="D1261" s="291"/>
    </row>
    <row r="1262" spans="1:4" ht="12.75">
      <c r="A1262" s="17" t="s">
        <v>1037</v>
      </c>
      <c r="B1262" s="18">
        <v>850</v>
      </c>
      <c r="C1262" s="1099"/>
      <c r="D1262" s="291"/>
    </row>
    <row r="1263" spans="1:4" ht="12.75">
      <c r="A1263" s="17" t="s">
        <v>1565</v>
      </c>
      <c r="B1263" s="18">
        <v>950</v>
      </c>
      <c r="C1263" s="1099"/>
      <c r="D1263" s="292"/>
    </row>
    <row r="1264" spans="1:4" ht="12.75">
      <c r="A1264" s="17" t="s">
        <v>1566</v>
      </c>
      <c r="B1264" s="18">
        <v>950</v>
      </c>
      <c r="C1264" s="1099"/>
      <c r="D1264" s="292"/>
    </row>
    <row r="1265" spans="1:4" ht="12.75">
      <c r="A1265" s="17" t="s">
        <v>1567</v>
      </c>
      <c r="B1265" s="18">
        <v>950</v>
      </c>
      <c r="C1265" s="1099"/>
      <c r="D1265" s="292"/>
    </row>
    <row r="1266" spans="1:4" ht="12.75">
      <c r="A1266" s="17" t="s">
        <v>1568</v>
      </c>
      <c r="B1266" s="18">
        <v>950</v>
      </c>
      <c r="C1266" s="1099"/>
      <c r="D1266" s="292"/>
    </row>
    <row r="1267" spans="1:4" ht="12.75">
      <c r="A1267" s="17" t="s">
        <v>1569</v>
      </c>
      <c r="B1267" s="18">
        <v>950</v>
      </c>
      <c r="C1267" s="1099"/>
      <c r="D1267" s="292"/>
    </row>
    <row r="1268" spans="1:4" ht="12.75">
      <c r="A1268" s="17" t="s">
        <v>1570</v>
      </c>
      <c r="B1268" s="18">
        <v>950</v>
      </c>
      <c r="C1268" s="1099"/>
      <c r="D1268" s="292"/>
    </row>
    <row r="1269" spans="1:4" ht="12.75">
      <c r="A1269" s="17" t="s">
        <v>1571</v>
      </c>
      <c r="B1269" s="18">
        <v>950</v>
      </c>
      <c r="C1269" s="1099"/>
      <c r="D1269" s="292"/>
    </row>
    <row r="1270" spans="1:4" ht="12.75">
      <c r="A1270" s="17" t="s">
        <v>1572</v>
      </c>
      <c r="B1270" s="18">
        <v>950</v>
      </c>
      <c r="C1270" s="1099"/>
      <c r="D1270" s="292"/>
    </row>
    <row r="1271" spans="1:4" ht="12.75">
      <c r="A1271" s="17" t="s">
        <v>1573</v>
      </c>
      <c r="B1271" s="18">
        <v>950</v>
      </c>
      <c r="C1271" s="1099"/>
      <c r="D1271" s="292"/>
    </row>
    <row r="1272" spans="1:4" ht="12.75">
      <c r="A1272" s="17" t="s">
        <v>1574</v>
      </c>
      <c r="B1272" s="18">
        <v>950</v>
      </c>
      <c r="C1272" s="1099"/>
      <c r="D1272" s="292"/>
    </row>
    <row r="1273" spans="1:4" ht="12.75">
      <c r="A1273" s="17" t="s">
        <v>1575</v>
      </c>
      <c r="B1273" s="18">
        <v>950</v>
      </c>
      <c r="C1273" s="1099"/>
      <c r="D1273" s="292"/>
    </row>
    <row r="1274" spans="1:4" ht="12.75">
      <c r="A1274" s="17" t="s">
        <v>1576</v>
      </c>
      <c r="B1274" s="18">
        <v>950</v>
      </c>
      <c r="C1274" s="1099"/>
      <c r="D1274" s="292"/>
    </row>
    <row r="1275" spans="1:4" ht="12.75">
      <c r="A1275" s="17" t="s">
        <v>1577</v>
      </c>
      <c r="B1275" s="18">
        <v>950</v>
      </c>
      <c r="C1275" s="1099"/>
      <c r="D1275" s="292"/>
    </row>
    <row r="1276" spans="1:4" ht="12.75">
      <c r="A1276" s="17" t="s">
        <v>1578</v>
      </c>
      <c r="B1276" s="18">
        <v>950</v>
      </c>
      <c r="C1276" s="1099"/>
      <c r="D1276" s="292"/>
    </row>
    <row r="1277" spans="1:4" ht="12.75">
      <c r="A1277" s="17" t="s">
        <v>1579</v>
      </c>
      <c r="B1277" s="18">
        <v>950</v>
      </c>
      <c r="C1277" s="1099"/>
      <c r="D1277" s="292"/>
    </row>
    <row r="1278" spans="1:4" ht="12.75">
      <c r="A1278" s="17" t="s">
        <v>1435</v>
      </c>
      <c r="B1278" s="18">
        <v>950</v>
      </c>
      <c r="C1278" s="1099"/>
      <c r="D1278" s="292"/>
    </row>
    <row r="1279" spans="1:4" ht="12.75">
      <c r="A1279" s="17" t="s">
        <v>1038</v>
      </c>
      <c r="B1279" s="18">
        <v>450</v>
      </c>
      <c r="C1279" s="1099"/>
      <c r="D1279" s="291"/>
    </row>
    <row r="1280" spans="1:4" ht="12.75">
      <c r="A1280" s="17" t="s">
        <v>1039</v>
      </c>
      <c r="B1280" s="18">
        <v>450</v>
      </c>
      <c r="C1280" s="1099"/>
      <c r="D1280" s="291"/>
    </row>
    <row r="1281" spans="1:4" ht="12.75">
      <c r="A1281" s="17" t="s">
        <v>1040</v>
      </c>
      <c r="B1281" s="18">
        <v>450</v>
      </c>
      <c r="C1281" s="1099"/>
      <c r="D1281" s="291"/>
    </row>
    <row r="1282" spans="1:4" ht="12.75">
      <c r="A1282" s="17" t="s">
        <v>1041</v>
      </c>
      <c r="B1282" s="18">
        <v>450</v>
      </c>
      <c r="C1282" s="1099"/>
      <c r="D1282" s="291"/>
    </row>
    <row r="1283" spans="1:4" ht="12.75">
      <c r="A1283" s="17" t="s">
        <v>1042</v>
      </c>
      <c r="B1283" s="18">
        <v>450</v>
      </c>
      <c r="C1283" s="1099"/>
      <c r="D1283" s="291"/>
    </row>
    <row r="1284" spans="1:4" ht="12.75">
      <c r="A1284" s="17" t="s">
        <v>1043</v>
      </c>
      <c r="B1284" s="18">
        <v>450</v>
      </c>
      <c r="C1284" s="1099"/>
      <c r="D1284" s="291"/>
    </row>
    <row r="1285" spans="1:4" ht="12.75">
      <c r="A1285" s="17" t="s">
        <v>1044</v>
      </c>
      <c r="B1285" s="18">
        <v>450</v>
      </c>
      <c r="C1285" s="1099"/>
      <c r="D1285" s="291"/>
    </row>
    <row r="1286" spans="1:4" ht="12.75">
      <c r="A1286" s="17" t="s">
        <v>1045</v>
      </c>
      <c r="B1286" s="18">
        <v>450</v>
      </c>
      <c r="C1286" s="1099"/>
      <c r="D1286" s="291"/>
    </row>
    <row r="1287" spans="1:4" ht="12.75">
      <c r="A1287" s="17" t="s">
        <v>1046</v>
      </c>
      <c r="B1287" s="18">
        <v>450</v>
      </c>
      <c r="C1287" s="1099"/>
      <c r="D1287" s="291"/>
    </row>
    <row r="1288" spans="1:4" ht="12.75">
      <c r="A1288" s="17" t="s">
        <v>1047</v>
      </c>
      <c r="B1288" s="18">
        <v>450</v>
      </c>
      <c r="C1288" s="1099"/>
      <c r="D1288" s="291"/>
    </row>
    <row r="1289" spans="1:4" ht="12.75">
      <c r="A1289" s="17" t="s">
        <v>1048</v>
      </c>
      <c r="B1289" s="18">
        <v>450</v>
      </c>
      <c r="C1289" s="1099"/>
      <c r="D1289" s="291"/>
    </row>
    <row r="1290" spans="1:4" ht="12.75">
      <c r="A1290" s="17" t="s">
        <v>1049</v>
      </c>
      <c r="B1290" s="18">
        <v>450</v>
      </c>
      <c r="C1290" s="1099"/>
      <c r="D1290" s="291"/>
    </row>
    <row r="1291" spans="1:4" ht="12.75">
      <c r="A1291" s="17" t="s">
        <v>1050</v>
      </c>
      <c r="B1291" s="18">
        <v>450</v>
      </c>
      <c r="C1291" s="1099"/>
      <c r="D1291" s="291"/>
    </row>
    <row r="1292" spans="1:4" ht="12.75">
      <c r="A1292" s="17" t="s">
        <v>1051</v>
      </c>
      <c r="B1292" s="18">
        <v>450</v>
      </c>
      <c r="C1292" s="1099"/>
      <c r="D1292" s="291"/>
    </row>
    <row r="1293" spans="1:4" ht="12.75">
      <c r="A1293" s="17" t="s">
        <v>1052</v>
      </c>
      <c r="B1293" s="18">
        <v>450</v>
      </c>
      <c r="C1293" s="1099"/>
      <c r="D1293" s="291"/>
    </row>
    <row r="1294" spans="1:4" ht="12.75">
      <c r="A1294" s="17" t="s">
        <v>1053</v>
      </c>
      <c r="B1294" s="18">
        <v>450</v>
      </c>
      <c r="C1294" s="1099"/>
      <c r="D1294" s="291"/>
    </row>
    <row r="1295" spans="1:4" ht="12.75">
      <c r="A1295" s="17" t="s">
        <v>1580</v>
      </c>
      <c r="B1295" s="18">
        <v>430</v>
      </c>
      <c r="C1295" s="1099"/>
      <c r="D1295" s="292"/>
    </row>
    <row r="1296" spans="1:4" ht="12.75">
      <c r="A1296" s="17" t="s">
        <v>1581</v>
      </c>
      <c r="B1296" s="18">
        <v>430</v>
      </c>
      <c r="C1296" s="1099"/>
      <c r="D1296" s="292"/>
    </row>
    <row r="1297" spans="1:4" ht="12.75">
      <c r="A1297" s="17" t="s">
        <v>1582</v>
      </c>
      <c r="B1297" s="18">
        <v>430</v>
      </c>
      <c r="C1297" s="1099"/>
      <c r="D1297" s="292"/>
    </row>
    <row r="1298" spans="1:4" ht="12.75">
      <c r="A1298" s="17" t="s">
        <v>1583</v>
      </c>
      <c r="B1298" s="18">
        <v>430</v>
      </c>
      <c r="C1298" s="1099"/>
      <c r="D1298" s="292"/>
    </row>
    <row r="1299" spans="1:4" ht="12.75">
      <c r="A1299" s="17" t="s">
        <v>1584</v>
      </c>
      <c r="B1299" s="18">
        <v>430</v>
      </c>
      <c r="C1299" s="1099"/>
      <c r="D1299" s="292"/>
    </row>
    <row r="1300" spans="1:4" ht="12.75">
      <c r="A1300" s="17" t="s">
        <v>1585</v>
      </c>
      <c r="B1300" s="18">
        <v>430</v>
      </c>
      <c r="C1300" s="1099"/>
      <c r="D1300" s="292"/>
    </row>
    <row r="1301" spans="1:4" ht="12.75">
      <c r="A1301" s="17" t="s">
        <v>1586</v>
      </c>
      <c r="B1301" s="18">
        <v>430</v>
      </c>
      <c r="C1301" s="1099"/>
      <c r="D1301" s="292"/>
    </row>
    <row r="1302" spans="1:4" ht="12.75">
      <c r="A1302" s="17" t="s">
        <v>1587</v>
      </c>
      <c r="B1302" s="18">
        <v>430</v>
      </c>
      <c r="C1302" s="1099"/>
      <c r="D1302" s="292"/>
    </row>
    <row r="1303" spans="1:4" ht="12.75">
      <c r="A1303" s="17" t="s">
        <v>1588</v>
      </c>
      <c r="B1303" s="18">
        <v>430</v>
      </c>
      <c r="C1303" s="1099"/>
      <c r="D1303" s="292"/>
    </row>
    <row r="1304" spans="1:4" ht="12.75">
      <c r="A1304" s="17" t="s">
        <v>1589</v>
      </c>
      <c r="B1304" s="18">
        <v>430</v>
      </c>
      <c r="C1304" s="1099"/>
      <c r="D1304" s="292"/>
    </row>
    <row r="1305" spans="1:4" ht="12.75">
      <c r="A1305" s="17" t="s">
        <v>1590</v>
      </c>
      <c r="B1305" s="18">
        <v>430</v>
      </c>
      <c r="C1305" s="1099"/>
      <c r="D1305" s="292"/>
    </row>
    <row r="1306" spans="1:4" ht="12.75">
      <c r="A1306" s="17" t="s">
        <v>1591</v>
      </c>
      <c r="B1306" s="18">
        <v>430</v>
      </c>
      <c r="C1306" s="1099"/>
      <c r="D1306" s="292"/>
    </row>
    <row r="1307" spans="1:4" ht="12.75">
      <c r="A1307" s="17" t="s">
        <v>1592</v>
      </c>
      <c r="B1307" s="18">
        <v>430</v>
      </c>
      <c r="C1307" s="1099"/>
      <c r="D1307" s="292"/>
    </row>
    <row r="1308" spans="1:4" ht="12.75">
      <c r="A1308" s="17" t="s">
        <v>1593</v>
      </c>
      <c r="B1308" s="18">
        <v>430</v>
      </c>
      <c r="C1308" s="1099"/>
      <c r="D1308" s="292"/>
    </row>
    <row r="1309" spans="1:4" ht="12.75">
      <c r="A1309" s="17" t="s">
        <v>1594</v>
      </c>
      <c r="B1309" s="18">
        <v>430</v>
      </c>
      <c r="C1309" s="1099"/>
      <c r="D1309" s="292"/>
    </row>
    <row r="1310" spans="1:4" ht="12.75">
      <c r="A1310" s="17" t="s">
        <v>1436</v>
      </c>
      <c r="B1310" s="18">
        <v>430</v>
      </c>
      <c r="C1310" s="1099"/>
      <c r="D1310" s="292"/>
    </row>
    <row r="1311" spans="1:4" ht="12.75">
      <c r="A1311" s="17" t="s">
        <v>1595</v>
      </c>
      <c r="B1311" s="18">
        <v>550</v>
      </c>
      <c r="C1311" s="1099"/>
      <c r="D1311" s="292"/>
    </row>
    <row r="1312" spans="1:4" ht="12.75">
      <c r="A1312" s="17" t="s">
        <v>1596</v>
      </c>
      <c r="B1312" s="18">
        <v>550</v>
      </c>
      <c r="C1312" s="1099"/>
      <c r="D1312" s="292"/>
    </row>
    <row r="1313" spans="1:4" ht="12.75">
      <c r="A1313" s="17" t="s">
        <v>1597</v>
      </c>
      <c r="B1313" s="18">
        <v>550</v>
      </c>
      <c r="C1313" s="1099"/>
      <c r="D1313" s="292"/>
    </row>
    <row r="1314" spans="1:4" ht="12.75">
      <c r="A1314" s="17" t="s">
        <v>1598</v>
      </c>
      <c r="B1314" s="18">
        <v>550</v>
      </c>
      <c r="C1314" s="1099"/>
      <c r="D1314" s="292"/>
    </row>
    <row r="1315" spans="1:4" ht="12.75">
      <c r="A1315" s="17" t="s">
        <v>1599</v>
      </c>
      <c r="B1315" s="18">
        <v>550</v>
      </c>
      <c r="C1315" s="1099"/>
      <c r="D1315" s="292"/>
    </row>
    <row r="1316" spans="1:4" ht="12.75">
      <c r="A1316" s="17" t="s">
        <v>1600</v>
      </c>
      <c r="B1316" s="18">
        <v>550</v>
      </c>
      <c r="C1316" s="1099"/>
      <c r="D1316" s="292"/>
    </row>
    <row r="1317" spans="1:4" ht="12.75">
      <c r="A1317" s="17" t="s">
        <v>1601</v>
      </c>
      <c r="B1317" s="18">
        <v>550</v>
      </c>
      <c r="C1317" s="1099"/>
      <c r="D1317" s="292"/>
    </row>
    <row r="1318" spans="1:4" ht="12.75">
      <c r="A1318" s="17" t="s">
        <v>1602</v>
      </c>
      <c r="B1318" s="18">
        <v>550</v>
      </c>
      <c r="C1318" s="1099"/>
      <c r="D1318" s="292"/>
    </row>
    <row r="1319" spans="1:4" ht="12.75">
      <c r="A1319" s="17" t="s">
        <v>1603</v>
      </c>
      <c r="B1319" s="18">
        <v>550</v>
      </c>
      <c r="C1319" s="1099"/>
      <c r="D1319" s="292"/>
    </row>
    <row r="1320" spans="1:4" ht="12.75">
      <c r="A1320" s="17" t="s">
        <v>1604</v>
      </c>
      <c r="B1320" s="18">
        <v>550</v>
      </c>
      <c r="C1320" s="1099"/>
      <c r="D1320" s="292"/>
    </row>
    <row r="1321" spans="1:4" ht="12.75">
      <c r="A1321" s="17" t="s">
        <v>1605</v>
      </c>
      <c r="B1321" s="18">
        <v>550</v>
      </c>
      <c r="C1321" s="1099"/>
      <c r="D1321" s="292"/>
    </row>
    <row r="1322" spans="1:4" ht="12.75">
      <c r="A1322" s="17" t="s">
        <v>1606</v>
      </c>
      <c r="B1322" s="18">
        <v>550</v>
      </c>
      <c r="C1322" s="1099"/>
      <c r="D1322" s="292"/>
    </row>
    <row r="1323" spans="1:4" ht="12.75">
      <c r="A1323" s="17" t="s">
        <v>1607</v>
      </c>
      <c r="B1323" s="18">
        <v>550</v>
      </c>
      <c r="C1323" s="1099"/>
      <c r="D1323" s="292"/>
    </row>
    <row r="1324" spans="1:4" ht="12.75">
      <c r="A1324" s="17" t="s">
        <v>1608</v>
      </c>
      <c r="B1324" s="18">
        <v>550</v>
      </c>
      <c r="C1324" s="1099"/>
      <c r="D1324" s="292"/>
    </row>
    <row r="1325" spans="1:4" ht="12.75">
      <c r="A1325" s="17" t="s">
        <v>1609</v>
      </c>
      <c r="B1325" s="18">
        <v>550</v>
      </c>
      <c r="C1325" s="1099"/>
      <c r="D1325" s="292"/>
    </row>
    <row r="1326" spans="1:4" ht="12.75">
      <c r="A1326" s="17" t="s">
        <v>1437</v>
      </c>
      <c r="B1326" s="18">
        <v>550</v>
      </c>
      <c r="C1326" s="1099"/>
      <c r="D1326" s="292"/>
    </row>
    <row r="1327" spans="1:4" ht="12.75">
      <c r="A1327" s="17" t="s">
        <v>1610</v>
      </c>
      <c r="B1327" s="18">
        <v>850</v>
      </c>
      <c r="C1327" s="1099"/>
      <c r="D1327" s="292"/>
    </row>
    <row r="1328" spans="1:4" ht="12.75">
      <c r="A1328" s="17" t="s">
        <v>1611</v>
      </c>
      <c r="B1328" s="18">
        <v>850</v>
      </c>
      <c r="C1328" s="1099"/>
      <c r="D1328" s="292"/>
    </row>
    <row r="1329" spans="1:4" ht="12.75">
      <c r="A1329" s="17" t="s">
        <v>1612</v>
      </c>
      <c r="B1329" s="18">
        <v>850</v>
      </c>
      <c r="C1329" s="1099"/>
      <c r="D1329" s="292"/>
    </row>
    <row r="1330" spans="1:4" ht="12.75">
      <c r="A1330" s="17" t="s">
        <v>1613</v>
      </c>
      <c r="B1330" s="18">
        <v>850</v>
      </c>
      <c r="C1330" s="1099"/>
      <c r="D1330" s="292"/>
    </row>
    <row r="1331" spans="1:4" ht="12.75">
      <c r="A1331" s="17" t="s">
        <v>1614</v>
      </c>
      <c r="B1331" s="18">
        <v>850</v>
      </c>
      <c r="C1331" s="1099"/>
      <c r="D1331" s="292"/>
    </row>
    <row r="1332" spans="1:4" ht="12.75">
      <c r="A1332" s="17" t="s">
        <v>1615</v>
      </c>
      <c r="B1332" s="18">
        <v>850</v>
      </c>
      <c r="C1332" s="1099"/>
      <c r="D1332" s="292"/>
    </row>
    <row r="1333" spans="1:4" ht="12.75">
      <c r="A1333" s="17" t="s">
        <v>1616</v>
      </c>
      <c r="B1333" s="18">
        <v>850</v>
      </c>
      <c r="C1333" s="1099"/>
      <c r="D1333" s="292"/>
    </row>
    <row r="1334" spans="1:4" ht="12.75">
      <c r="A1334" s="17" t="s">
        <v>1617</v>
      </c>
      <c r="B1334" s="18">
        <v>850</v>
      </c>
      <c r="C1334" s="1099"/>
      <c r="D1334" s="292"/>
    </row>
    <row r="1335" spans="1:4" ht="12.75">
      <c r="A1335" s="17" t="s">
        <v>1618</v>
      </c>
      <c r="B1335" s="18">
        <v>850</v>
      </c>
      <c r="C1335" s="1099"/>
      <c r="D1335" s="292"/>
    </row>
    <row r="1336" spans="1:4" ht="12.75">
      <c r="A1336" s="17" t="s">
        <v>1619</v>
      </c>
      <c r="B1336" s="18">
        <v>850</v>
      </c>
      <c r="C1336" s="1099"/>
      <c r="D1336" s="292"/>
    </row>
    <row r="1337" spans="1:4" ht="12.75">
      <c r="A1337" s="17" t="s">
        <v>1620</v>
      </c>
      <c r="B1337" s="18">
        <v>850</v>
      </c>
      <c r="C1337" s="1099"/>
      <c r="D1337" s="292"/>
    </row>
    <row r="1338" spans="1:4" ht="12.75">
      <c r="A1338" s="17" t="s">
        <v>1621</v>
      </c>
      <c r="B1338" s="18">
        <v>850</v>
      </c>
      <c r="C1338" s="1099"/>
      <c r="D1338" s="292"/>
    </row>
    <row r="1339" spans="1:4" ht="12.75">
      <c r="A1339" s="17" t="s">
        <v>1622</v>
      </c>
      <c r="B1339" s="18">
        <v>850</v>
      </c>
      <c r="C1339" s="1099"/>
      <c r="D1339" s="292"/>
    </row>
    <row r="1340" spans="1:4" ht="12.75">
      <c r="A1340" s="17" t="s">
        <v>1623</v>
      </c>
      <c r="B1340" s="18">
        <v>850</v>
      </c>
      <c r="C1340" s="1099"/>
      <c r="D1340" s="292"/>
    </row>
    <row r="1341" spans="1:4" ht="12.75">
      <c r="A1341" s="17" t="s">
        <v>1624</v>
      </c>
      <c r="B1341" s="18">
        <v>850</v>
      </c>
      <c r="C1341" s="1099"/>
      <c r="D1341" s="292"/>
    </row>
    <row r="1342" spans="1:4" ht="12.75">
      <c r="A1342" s="17" t="s">
        <v>1438</v>
      </c>
      <c r="B1342" s="18">
        <v>850</v>
      </c>
      <c r="C1342" s="1099"/>
      <c r="D1342" s="292"/>
    </row>
    <row r="1343" spans="1:4" ht="12.75">
      <c r="A1343" s="17" t="s">
        <v>1445</v>
      </c>
      <c r="B1343" s="18">
        <v>1120</v>
      </c>
      <c r="C1343" s="1099"/>
      <c r="D1343" s="292"/>
    </row>
    <row r="1344" spans="1:4" ht="12.75">
      <c r="A1344" s="17" t="s">
        <v>1446</v>
      </c>
      <c r="B1344" s="18">
        <v>1120</v>
      </c>
      <c r="C1344" s="1099"/>
      <c r="D1344" s="292"/>
    </row>
    <row r="1345" spans="1:4" ht="12.75">
      <c r="A1345" s="17" t="s">
        <v>1447</v>
      </c>
      <c r="B1345" s="18">
        <v>1120</v>
      </c>
      <c r="C1345" s="1099"/>
      <c r="D1345" s="292"/>
    </row>
    <row r="1346" spans="1:4" ht="12.75">
      <c r="A1346" s="17" t="s">
        <v>1448</v>
      </c>
      <c r="B1346" s="18">
        <v>1120</v>
      </c>
      <c r="C1346" s="1099"/>
      <c r="D1346" s="292"/>
    </row>
    <row r="1347" spans="1:4" ht="12.75">
      <c r="A1347" s="17" t="s">
        <v>1449</v>
      </c>
      <c r="B1347" s="18">
        <v>1120</v>
      </c>
      <c r="C1347" s="1099"/>
      <c r="D1347" s="292"/>
    </row>
    <row r="1348" spans="1:4" ht="12.75">
      <c r="A1348" s="17" t="s">
        <v>1450</v>
      </c>
      <c r="B1348" s="18">
        <v>1120</v>
      </c>
      <c r="C1348" s="1099"/>
      <c r="D1348" s="292"/>
    </row>
    <row r="1349" spans="1:4" ht="12.75">
      <c r="A1349" s="17" t="s">
        <v>1451</v>
      </c>
      <c r="B1349" s="18">
        <v>1120</v>
      </c>
      <c r="C1349" s="1099"/>
      <c r="D1349" s="292"/>
    </row>
    <row r="1350" spans="1:4" ht="12.75">
      <c r="A1350" s="17" t="s">
        <v>1452</v>
      </c>
      <c r="B1350" s="18">
        <v>1120</v>
      </c>
      <c r="C1350" s="1099"/>
      <c r="D1350" s="292"/>
    </row>
    <row r="1351" spans="1:4" ht="12.75">
      <c r="A1351" s="17" t="s">
        <v>1453</v>
      </c>
      <c r="B1351" s="18">
        <v>1120</v>
      </c>
      <c r="C1351" s="1099"/>
      <c r="D1351" s="292"/>
    </row>
    <row r="1352" spans="1:4" ht="12.75">
      <c r="A1352" s="17" t="s">
        <v>1454</v>
      </c>
      <c r="B1352" s="18">
        <v>1120</v>
      </c>
      <c r="C1352" s="1099"/>
      <c r="D1352" s="292"/>
    </row>
    <row r="1353" spans="1:4" ht="12.75">
      <c r="A1353" s="17" t="s">
        <v>1455</v>
      </c>
      <c r="B1353" s="18">
        <v>1120</v>
      </c>
      <c r="C1353" s="1099"/>
      <c r="D1353" s="292"/>
    </row>
    <row r="1354" spans="1:4" ht="12.75">
      <c r="A1354" s="17" t="s">
        <v>1456</v>
      </c>
      <c r="B1354" s="18">
        <v>1120</v>
      </c>
      <c r="C1354" s="1099"/>
      <c r="D1354" s="292"/>
    </row>
    <row r="1355" spans="1:4" ht="12.75">
      <c r="A1355" s="17" t="s">
        <v>1457</v>
      </c>
      <c r="B1355" s="18">
        <v>1120</v>
      </c>
      <c r="C1355" s="1099"/>
      <c r="D1355" s="292"/>
    </row>
    <row r="1356" spans="1:4" ht="12.75">
      <c r="A1356" s="17" t="s">
        <v>1458</v>
      </c>
      <c r="B1356" s="18">
        <v>1120</v>
      </c>
      <c r="C1356" s="1099"/>
      <c r="D1356" s="292"/>
    </row>
    <row r="1357" spans="1:4" ht="12.75">
      <c r="A1357" s="17" t="s">
        <v>1459</v>
      </c>
      <c r="B1357" s="18">
        <v>1120</v>
      </c>
      <c r="C1357" s="1099"/>
      <c r="D1357" s="292"/>
    </row>
    <row r="1358" spans="1:4" ht="12.75">
      <c r="A1358" s="17" t="s">
        <v>1441</v>
      </c>
      <c r="B1358" s="18">
        <v>1120</v>
      </c>
      <c r="C1358" s="1099"/>
      <c r="D1358" s="292"/>
    </row>
    <row r="1359" spans="1:4" ht="12.75">
      <c r="A1359" s="17" t="s">
        <v>1460</v>
      </c>
      <c r="B1359" s="18">
        <v>1330</v>
      </c>
      <c r="C1359" s="1099"/>
      <c r="D1359" s="292"/>
    </row>
    <row r="1360" spans="1:4" ht="12.75">
      <c r="A1360" s="17" t="s">
        <v>1461</v>
      </c>
      <c r="B1360" s="18">
        <v>1330</v>
      </c>
      <c r="C1360" s="1099"/>
      <c r="D1360" s="292"/>
    </row>
    <row r="1361" spans="1:4" ht="12.75">
      <c r="A1361" s="17" t="s">
        <v>1462</v>
      </c>
      <c r="B1361" s="18">
        <v>1330</v>
      </c>
      <c r="C1361" s="1099"/>
      <c r="D1361" s="292"/>
    </row>
    <row r="1362" spans="1:4" ht="12.75">
      <c r="A1362" s="17" t="s">
        <v>1463</v>
      </c>
      <c r="B1362" s="18">
        <v>1330</v>
      </c>
      <c r="C1362" s="1099"/>
      <c r="D1362" s="292"/>
    </row>
    <row r="1363" spans="1:4" ht="12.75">
      <c r="A1363" s="17" t="s">
        <v>1464</v>
      </c>
      <c r="B1363" s="18">
        <v>1330</v>
      </c>
      <c r="C1363" s="1099"/>
      <c r="D1363" s="292"/>
    </row>
    <row r="1364" spans="1:4" ht="12.75">
      <c r="A1364" s="17" t="s">
        <v>1465</v>
      </c>
      <c r="B1364" s="18">
        <v>1330</v>
      </c>
      <c r="C1364" s="1099"/>
      <c r="D1364" s="292"/>
    </row>
    <row r="1365" spans="1:4" ht="12.75">
      <c r="A1365" s="17" t="s">
        <v>1466</v>
      </c>
      <c r="B1365" s="18">
        <v>1330</v>
      </c>
      <c r="C1365" s="1099"/>
      <c r="D1365" s="292"/>
    </row>
    <row r="1366" spans="1:4" ht="12.75">
      <c r="A1366" s="17" t="s">
        <v>1467</v>
      </c>
      <c r="B1366" s="18">
        <v>1330</v>
      </c>
      <c r="C1366" s="1099"/>
      <c r="D1366" s="292"/>
    </row>
    <row r="1367" spans="1:4" ht="12.75">
      <c r="A1367" s="17" t="s">
        <v>1468</v>
      </c>
      <c r="B1367" s="18">
        <v>1330</v>
      </c>
      <c r="C1367" s="1099"/>
      <c r="D1367" s="292"/>
    </row>
    <row r="1368" spans="1:4" ht="12.75">
      <c r="A1368" s="17" t="s">
        <v>1469</v>
      </c>
      <c r="B1368" s="18">
        <v>1330</v>
      </c>
      <c r="C1368" s="1099"/>
      <c r="D1368" s="292"/>
    </row>
    <row r="1369" spans="1:4" ht="12.75">
      <c r="A1369" s="17" t="s">
        <v>1470</v>
      </c>
      <c r="B1369" s="18">
        <v>1330</v>
      </c>
      <c r="C1369" s="1099"/>
      <c r="D1369" s="292"/>
    </row>
    <row r="1370" spans="1:4" ht="12.75">
      <c r="A1370" s="17" t="s">
        <v>1471</v>
      </c>
      <c r="B1370" s="18">
        <v>1330</v>
      </c>
      <c r="C1370" s="1099"/>
      <c r="D1370" s="292"/>
    </row>
    <row r="1371" spans="1:4" ht="12.75">
      <c r="A1371" s="17" t="s">
        <v>1472</v>
      </c>
      <c r="B1371" s="18">
        <v>1330</v>
      </c>
      <c r="C1371" s="1099"/>
      <c r="D1371" s="292"/>
    </row>
    <row r="1372" spans="1:4" ht="12.75">
      <c r="A1372" s="17" t="s">
        <v>1473</v>
      </c>
      <c r="B1372" s="18">
        <v>1330</v>
      </c>
      <c r="C1372" s="1099"/>
      <c r="D1372" s="292"/>
    </row>
    <row r="1373" spans="1:4" ht="12.75">
      <c r="A1373" s="17" t="s">
        <v>1474</v>
      </c>
      <c r="B1373" s="18">
        <v>1330</v>
      </c>
      <c r="C1373" s="1099"/>
      <c r="D1373" s="292"/>
    </row>
    <row r="1374" spans="1:4" ht="12.75">
      <c r="A1374" s="17" t="s">
        <v>1442</v>
      </c>
      <c r="B1374" s="18">
        <v>1330</v>
      </c>
      <c r="C1374" s="1099"/>
      <c r="D1374" s="292"/>
    </row>
    <row r="1375" spans="1:4" ht="12.75">
      <c r="A1375" s="17" t="s">
        <v>1475</v>
      </c>
      <c r="B1375" s="18">
        <v>1520</v>
      </c>
      <c r="C1375" s="1099"/>
      <c r="D1375" s="292"/>
    </row>
    <row r="1376" spans="1:4" ht="12.75">
      <c r="A1376" s="17" t="s">
        <v>1476</v>
      </c>
      <c r="B1376" s="18">
        <v>1520</v>
      </c>
      <c r="C1376" s="1099"/>
      <c r="D1376" s="292"/>
    </row>
    <row r="1377" spans="1:4" ht="12.75">
      <c r="A1377" s="17" t="s">
        <v>1477</v>
      </c>
      <c r="B1377" s="18">
        <v>1520</v>
      </c>
      <c r="C1377" s="1099"/>
      <c r="D1377" s="292"/>
    </row>
    <row r="1378" spans="1:4" ht="12.75">
      <c r="A1378" s="17" t="s">
        <v>1478</v>
      </c>
      <c r="B1378" s="18">
        <v>1520</v>
      </c>
      <c r="C1378" s="1099"/>
      <c r="D1378" s="292"/>
    </row>
    <row r="1379" spans="1:4" ht="12.75">
      <c r="A1379" s="17" t="s">
        <v>1479</v>
      </c>
      <c r="B1379" s="18">
        <v>1520</v>
      </c>
      <c r="C1379" s="1099"/>
      <c r="D1379" s="292"/>
    </row>
    <row r="1380" spans="1:4" ht="12.75">
      <c r="A1380" s="17" t="s">
        <v>1480</v>
      </c>
      <c r="B1380" s="18">
        <v>1520</v>
      </c>
      <c r="C1380" s="1099"/>
      <c r="D1380" s="292"/>
    </row>
    <row r="1381" spans="1:4" ht="12.75">
      <c r="A1381" s="17" t="s">
        <v>1481</v>
      </c>
      <c r="B1381" s="18">
        <v>1520</v>
      </c>
      <c r="C1381" s="1099"/>
      <c r="D1381" s="292"/>
    </row>
    <row r="1382" spans="1:4" ht="12.75">
      <c r="A1382" s="17" t="s">
        <v>1482</v>
      </c>
      <c r="B1382" s="18">
        <v>1520</v>
      </c>
      <c r="C1382" s="1099"/>
      <c r="D1382" s="292"/>
    </row>
    <row r="1383" spans="1:4" ht="12.75">
      <c r="A1383" s="17" t="s">
        <v>1483</v>
      </c>
      <c r="B1383" s="18">
        <v>1520</v>
      </c>
      <c r="C1383" s="1099"/>
      <c r="D1383" s="292"/>
    </row>
    <row r="1384" spans="1:4" ht="12.75">
      <c r="A1384" s="17" t="s">
        <v>1484</v>
      </c>
      <c r="B1384" s="18">
        <v>1520</v>
      </c>
      <c r="C1384" s="1099"/>
      <c r="D1384" s="292"/>
    </row>
    <row r="1385" spans="1:4" ht="12.75">
      <c r="A1385" s="17" t="s">
        <v>1485</v>
      </c>
      <c r="B1385" s="18">
        <v>1520</v>
      </c>
      <c r="C1385" s="1099"/>
      <c r="D1385" s="292"/>
    </row>
    <row r="1386" spans="1:4" ht="12.75">
      <c r="A1386" s="17" t="s">
        <v>1486</v>
      </c>
      <c r="B1386" s="18">
        <v>1520</v>
      </c>
      <c r="C1386" s="1099"/>
      <c r="D1386" s="292"/>
    </row>
    <row r="1387" spans="1:4" ht="12.75">
      <c r="A1387" s="17" t="s">
        <v>1487</v>
      </c>
      <c r="B1387" s="18">
        <v>1520</v>
      </c>
      <c r="C1387" s="1099"/>
      <c r="D1387" s="292"/>
    </row>
    <row r="1388" spans="1:4" ht="12.75">
      <c r="A1388" s="17" t="s">
        <v>1488</v>
      </c>
      <c r="B1388" s="18">
        <v>1520</v>
      </c>
      <c r="C1388" s="1099"/>
      <c r="D1388" s="292"/>
    </row>
    <row r="1389" spans="1:4" ht="12.75">
      <c r="A1389" s="17" t="s">
        <v>1489</v>
      </c>
      <c r="B1389" s="18">
        <v>1520</v>
      </c>
      <c r="C1389" s="1099"/>
      <c r="D1389" s="292"/>
    </row>
    <row r="1390" spans="1:4" ht="12.75">
      <c r="A1390" s="17" t="s">
        <v>1443</v>
      </c>
      <c r="B1390" s="18">
        <v>1520</v>
      </c>
      <c r="C1390" s="1099"/>
      <c r="D1390" s="292"/>
    </row>
    <row r="1391" spans="1:4" ht="12.75">
      <c r="A1391" s="17" t="s">
        <v>1490</v>
      </c>
      <c r="B1391" s="18">
        <v>1700</v>
      </c>
      <c r="C1391" s="1099"/>
      <c r="D1391" s="292"/>
    </row>
    <row r="1392" spans="1:4" ht="12.75">
      <c r="A1392" s="17" t="s">
        <v>1491</v>
      </c>
      <c r="B1392" s="18">
        <v>1700</v>
      </c>
      <c r="C1392" s="1099"/>
      <c r="D1392" s="292"/>
    </row>
    <row r="1393" spans="1:4" ht="12.75">
      <c r="A1393" s="17" t="s">
        <v>1492</v>
      </c>
      <c r="B1393" s="18">
        <v>1700</v>
      </c>
      <c r="C1393" s="1099"/>
      <c r="D1393" s="292"/>
    </row>
    <row r="1394" spans="1:4" ht="12.75">
      <c r="A1394" s="17" t="s">
        <v>1493</v>
      </c>
      <c r="B1394" s="18">
        <v>1700</v>
      </c>
      <c r="C1394" s="1099"/>
      <c r="D1394" s="292"/>
    </row>
    <row r="1395" spans="1:4" ht="12.75">
      <c r="A1395" s="17" t="s">
        <v>1494</v>
      </c>
      <c r="B1395" s="18">
        <v>1700</v>
      </c>
      <c r="C1395" s="1099"/>
      <c r="D1395" s="292"/>
    </row>
    <row r="1396" spans="1:4" ht="12.75">
      <c r="A1396" s="17" t="s">
        <v>1495</v>
      </c>
      <c r="B1396" s="18">
        <v>1700</v>
      </c>
      <c r="C1396" s="1099"/>
      <c r="D1396" s="292"/>
    </row>
    <row r="1397" spans="1:4" ht="12.75">
      <c r="A1397" s="17" t="s">
        <v>1496</v>
      </c>
      <c r="B1397" s="18">
        <v>1700</v>
      </c>
      <c r="C1397" s="1099"/>
      <c r="D1397" s="292"/>
    </row>
    <row r="1398" spans="1:4" ht="12.75">
      <c r="A1398" s="17" t="s">
        <v>1497</v>
      </c>
      <c r="B1398" s="18">
        <v>1700</v>
      </c>
      <c r="C1398" s="1099"/>
      <c r="D1398" s="292"/>
    </row>
    <row r="1399" spans="1:4" ht="12.75">
      <c r="A1399" s="17" t="s">
        <v>1498</v>
      </c>
      <c r="B1399" s="18">
        <v>1700</v>
      </c>
      <c r="C1399" s="1099"/>
      <c r="D1399" s="292"/>
    </row>
    <row r="1400" spans="1:4" ht="12.75">
      <c r="A1400" s="17" t="s">
        <v>1499</v>
      </c>
      <c r="B1400" s="18">
        <v>1700</v>
      </c>
      <c r="C1400" s="1099"/>
      <c r="D1400" s="292"/>
    </row>
    <row r="1401" spans="1:4" ht="12.75">
      <c r="A1401" s="17" t="s">
        <v>1500</v>
      </c>
      <c r="B1401" s="18">
        <v>1700</v>
      </c>
      <c r="C1401" s="1099"/>
      <c r="D1401" s="292"/>
    </row>
    <row r="1402" spans="1:4" ht="12.75">
      <c r="A1402" s="17" t="s">
        <v>1501</v>
      </c>
      <c r="B1402" s="18">
        <v>1700</v>
      </c>
      <c r="C1402" s="1099"/>
      <c r="D1402" s="292"/>
    </row>
    <row r="1403" spans="1:4" ht="12.75">
      <c r="A1403" s="17" t="s">
        <v>1502</v>
      </c>
      <c r="B1403" s="18">
        <v>1700</v>
      </c>
      <c r="C1403" s="1099"/>
      <c r="D1403" s="292"/>
    </row>
    <row r="1404" spans="1:4" ht="12.75">
      <c r="A1404" s="17" t="s">
        <v>1503</v>
      </c>
      <c r="B1404" s="18">
        <v>1700</v>
      </c>
      <c r="C1404" s="1099"/>
      <c r="D1404" s="292"/>
    </row>
    <row r="1405" spans="1:4" ht="12.75">
      <c r="A1405" s="17" t="s">
        <v>1504</v>
      </c>
      <c r="B1405" s="18">
        <v>1700</v>
      </c>
      <c r="C1405" s="1099"/>
      <c r="D1405" s="292"/>
    </row>
    <row r="1406" spans="1:4" ht="12.75">
      <c r="A1406" s="17" t="s">
        <v>1444</v>
      </c>
      <c r="B1406" s="18">
        <v>1700</v>
      </c>
      <c r="C1406" s="1099"/>
      <c r="D1406" s="292"/>
    </row>
    <row r="1407" spans="1:4" ht="12.75">
      <c r="A1407" s="17" t="s">
        <v>1054</v>
      </c>
      <c r="B1407" s="18">
        <v>1150</v>
      </c>
      <c r="C1407" s="1099"/>
      <c r="D1407" s="291"/>
    </row>
    <row r="1408" spans="1:4" ht="12.75">
      <c r="A1408" s="17" t="s">
        <v>1055</v>
      </c>
      <c r="B1408" s="18">
        <v>1150</v>
      </c>
      <c r="C1408" s="1099"/>
      <c r="D1408" s="291"/>
    </row>
    <row r="1409" spans="1:4" ht="12.75">
      <c r="A1409" s="17" t="s">
        <v>1056</v>
      </c>
      <c r="B1409" s="18">
        <v>1150</v>
      </c>
      <c r="C1409" s="1099"/>
      <c r="D1409" s="291"/>
    </row>
    <row r="1410" spans="1:4" ht="12.75">
      <c r="A1410" s="17" t="s">
        <v>1057</v>
      </c>
      <c r="B1410" s="18">
        <v>1150</v>
      </c>
      <c r="C1410" s="1099"/>
      <c r="D1410" s="291"/>
    </row>
    <row r="1411" spans="1:4" ht="12.75">
      <c r="A1411" s="17" t="s">
        <v>1058</v>
      </c>
      <c r="B1411" s="18">
        <v>1150</v>
      </c>
      <c r="C1411" s="1099"/>
      <c r="D1411" s="291"/>
    </row>
    <row r="1412" spans="1:4" ht="12.75">
      <c r="A1412" s="17" t="s">
        <v>1059</v>
      </c>
      <c r="B1412" s="18">
        <v>1150</v>
      </c>
      <c r="C1412" s="1099"/>
      <c r="D1412" s="291"/>
    </row>
    <row r="1413" spans="1:4" ht="12.75">
      <c r="A1413" s="17" t="s">
        <v>1060</v>
      </c>
      <c r="B1413" s="18">
        <v>1150</v>
      </c>
      <c r="C1413" s="1099"/>
      <c r="D1413" s="291"/>
    </row>
    <row r="1414" spans="1:4" ht="12.75">
      <c r="A1414" s="17" t="s">
        <v>1061</v>
      </c>
      <c r="B1414" s="18">
        <v>1150</v>
      </c>
      <c r="C1414" s="1099"/>
      <c r="D1414" s="291"/>
    </row>
    <row r="1415" spans="1:4" ht="12.75">
      <c r="A1415" s="17" t="s">
        <v>1062</v>
      </c>
      <c r="B1415" s="18">
        <v>1150</v>
      </c>
      <c r="C1415" s="1099"/>
      <c r="D1415" s="291"/>
    </row>
    <row r="1416" spans="1:4" ht="12.75">
      <c r="A1416" s="17" t="s">
        <v>1063</v>
      </c>
      <c r="B1416" s="18">
        <v>1150</v>
      </c>
      <c r="C1416" s="1099"/>
      <c r="D1416" s="291"/>
    </row>
    <row r="1417" spans="1:4" ht="12.75">
      <c r="A1417" s="17" t="s">
        <v>1064</v>
      </c>
      <c r="B1417" s="18">
        <v>1150</v>
      </c>
      <c r="C1417" s="1099"/>
      <c r="D1417" s="291"/>
    </row>
    <row r="1418" spans="1:4" ht="12.75">
      <c r="A1418" s="17" t="s">
        <v>1065</v>
      </c>
      <c r="B1418" s="18">
        <v>1150</v>
      </c>
      <c r="C1418" s="1099"/>
      <c r="D1418" s="291"/>
    </row>
    <row r="1419" spans="1:4" ht="12.75">
      <c r="A1419" s="17" t="s">
        <v>1066</v>
      </c>
      <c r="B1419" s="18">
        <v>1150</v>
      </c>
      <c r="C1419" s="1099"/>
      <c r="D1419" s="291"/>
    </row>
    <row r="1420" spans="1:4" ht="12.75">
      <c r="A1420" s="17" t="s">
        <v>1067</v>
      </c>
      <c r="B1420" s="18">
        <v>1150</v>
      </c>
      <c r="C1420" s="1099"/>
      <c r="D1420" s="291"/>
    </row>
    <row r="1421" spans="1:4" ht="12.75">
      <c r="A1421" s="17" t="s">
        <v>1068</v>
      </c>
      <c r="B1421" s="18">
        <v>1150</v>
      </c>
      <c r="C1421" s="1099"/>
      <c r="D1421" s="291"/>
    </row>
    <row r="1422" spans="1:4" ht="12.75">
      <c r="A1422" s="17" t="s">
        <v>1069</v>
      </c>
      <c r="B1422" s="18">
        <v>1150</v>
      </c>
      <c r="C1422" s="1099"/>
      <c r="D1422" s="291"/>
    </row>
    <row r="1423" spans="1:4" ht="12.75">
      <c r="A1423" s="17" t="s">
        <v>1070</v>
      </c>
      <c r="B1423" s="18">
        <v>400</v>
      </c>
      <c r="C1423" s="1099"/>
      <c r="D1423" s="291"/>
    </row>
    <row r="1424" spans="1:4" ht="12.75">
      <c r="A1424" s="17" t="s">
        <v>1071</v>
      </c>
      <c r="B1424" s="18">
        <v>400</v>
      </c>
      <c r="C1424" s="1099"/>
      <c r="D1424" s="291"/>
    </row>
    <row r="1425" spans="1:4" ht="12.75">
      <c r="A1425" s="17" t="s">
        <v>1072</v>
      </c>
      <c r="B1425" s="18">
        <v>400</v>
      </c>
      <c r="C1425" s="1099"/>
      <c r="D1425" s="291"/>
    </row>
    <row r="1426" spans="1:4" ht="12.75">
      <c r="A1426" s="17" t="s">
        <v>1073</v>
      </c>
      <c r="B1426" s="18">
        <v>400</v>
      </c>
      <c r="C1426" s="1099"/>
      <c r="D1426" s="291"/>
    </row>
    <row r="1427" spans="1:4" ht="12.75">
      <c r="A1427" s="17" t="s">
        <v>1074</v>
      </c>
      <c r="B1427" s="18">
        <v>400</v>
      </c>
      <c r="C1427" s="1099"/>
      <c r="D1427" s="291"/>
    </row>
    <row r="1428" spans="1:4" ht="12.75">
      <c r="A1428" s="17" t="s">
        <v>1075</v>
      </c>
      <c r="B1428" s="18">
        <v>400</v>
      </c>
      <c r="C1428" s="1099"/>
      <c r="D1428" s="291"/>
    </row>
    <row r="1429" spans="1:4" ht="12.75">
      <c r="A1429" s="17" t="s">
        <v>1076</v>
      </c>
      <c r="B1429" s="18">
        <v>400</v>
      </c>
      <c r="C1429" s="1099"/>
      <c r="D1429" s="291"/>
    </row>
    <row r="1430" spans="1:4" ht="12.75">
      <c r="A1430" s="17" t="s">
        <v>1077</v>
      </c>
      <c r="B1430" s="18">
        <v>400</v>
      </c>
      <c r="C1430" s="1099"/>
      <c r="D1430" s="291"/>
    </row>
    <row r="1431" spans="1:4" ht="12.75">
      <c r="A1431" s="17" t="s">
        <v>1078</v>
      </c>
      <c r="B1431" s="18">
        <v>400</v>
      </c>
      <c r="C1431" s="1099"/>
      <c r="D1431" s="291"/>
    </row>
    <row r="1432" spans="1:4" ht="12.75">
      <c r="A1432" s="17" t="s">
        <v>1079</v>
      </c>
      <c r="B1432" s="18">
        <v>400</v>
      </c>
      <c r="C1432" s="1099"/>
      <c r="D1432" s="291"/>
    </row>
    <row r="1433" spans="1:4" ht="12.75">
      <c r="A1433" s="17" t="s">
        <v>1080</v>
      </c>
      <c r="B1433" s="18">
        <v>400</v>
      </c>
      <c r="C1433" s="1099"/>
      <c r="D1433" s="291"/>
    </row>
    <row r="1434" spans="1:4" ht="12.75">
      <c r="A1434" s="17" t="s">
        <v>1081</v>
      </c>
      <c r="B1434" s="18">
        <v>400</v>
      </c>
      <c r="C1434" s="1099"/>
      <c r="D1434" s="291"/>
    </row>
    <row r="1435" spans="1:4" ht="12.75">
      <c r="A1435" s="17" t="s">
        <v>1082</v>
      </c>
      <c r="B1435" s="18">
        <v>400</v>
      </c>
      <c r="C1435" s="1099"/>
      <c r="D1435" s="291"/>
    </row>
    <row r="1436" spans="1:4" ht="12.75">
      <c r="A1436" s="17" t="s">
        <v>1083</v>
      </c>
      <c r="B1436" s="18">
        <v>400</v>
      </c>
      <c r="C1436" s="1099"/>
      <c r="D1436" s="291"/>
    </row>
    <row r="1437" spans="1:4" ht="12.75">
      <c r="A1437" s="17" t="s">
        <v>1084</v>
      </c>
      <c r="B1437" s="18">
        <v>400</v>
      </c>
      <c r="C1437" s="1099"/>
      <c r="D1437" s="291"/>
    </row>
    <row r="1438" spans="1:4" ht="12.75">
      <c r="A1438" s="17" t="s">
        <v>1085</v>
      </c>
      <c r="B1438" s="18">
        <v>400</v>
      </c>
      <c r="C1438" s="1099"/>
      <c r="D1438" s="291"/>
    </row>
    <row r="1439" spans="1:4" ht="12.75">
      <c r="A1439" s="17" t="s">
        <v>1086</v>
      </c>
      <c r="B1439" s="18">
        <v>600</v>
      </c>
      <c r="C1439" s="1099"/>
      <c r="D1439" s="291"/>
    </row>
    <row r="1440" spans="1:4" ht="12.75">
      <c r="A1440" s="17" t="s">
        <v>1087</v>
      </c>
      <c r="B1440" s="18">
        <v>600</v>
      </c>
      <c r="C1440" s="1099"/>
      <c r="D1440" s="291"/>
    </row>
    <row r="1441" spans="1:4" ht="12.75">
      <c r="A1441" s="17" t="s">
        <v>1088</v>
      </c>
      <c r="B1441" s="18">
        <v>600</v>
      </c>
      <c r="C1441" s="1099"/>
      <c r="D1441" s="291"/>
    </row>
    <row r="1442" spans="1:4" ht="12.75">
      <c r="A1442" s="17" t="s">
        <v>1089</v>
      </c>
      <c r="B1442" s="18">
        <v>600</v>
      </c>
      <c r="C1442" s="1099"/>
      <c r="D1442" s="291"/>
    </row>
    <row r="1443" spans="1:4" ht="12.75">
      <c r="A1443" s="17" t="s">
        <v>1090</v>
      </c>
      <c r="B1443" s="18">
        <v>600</v>
      </c>
      <c r="C1443" s="1099"/>
      <c r="D1443" s="291"/>
    </row>
    <row r="1444" spans="1:4" ht="12.75">
      <c r="A1444" s="17" t="s">
        <v>1091</v>
      </c>
      <c r="B1444" s="18">
        <v>600</v>
      </c>
      <c r="C1444" s="1099"/>
      <c r="D1444" s="291"/>
    </row>
    <row r="1445" spans="1:4" ht="12.75">
      <c r="A1445" s="17" t="s">
        <v>1092</v>
      </c>
      <c r="B1445" s="18">
        <v>600</v>
      </c>
      <c r="C1445" s="1099"/>
      <c r="D1445" s="291"/>
    </row>
    <row r="1446" spans="1:4" ht="12.75">
      <c r="A1446" s="17" t="s">
        <v>1093</v>
      </c>
      <c r="B1446" s="18">
        <v>600</v>
      </c>
      <c r="C1446" s="1099"/>
      <c r="D1446" s="291"/>
    </row>
    <row r="1447" spans="1:4" ht="12.75">
      <c r="A1447" s="17" t="s">
        <v>1094</v>
      </c>
      <c r="B1447" s="18">
        <v>600</v>
      </c>
      <c r="C1447" s="1099"/>
      <c r="D1447" s="291"/>
    </row>
    <row r="1448" spans="1:4" ht="12.75">
      <c r="A1448" s="17" t="s">
        <v>1095</v>
      </c>
      <c r="B1448" s="18">
        <v>600</v>
      </c>
      <c r="C1448" s="1099"/>
      <c r="D1448" s="291"/>
    </row>
    <row r="1449" spans="1:4" ht="12.75">
      <c r="A1449" s="17" t="s">
        <v>1096</v>
      </c>
      <c r="B1449" s="18">
        <v>600</v>
      </c>
      <c r="C1449" s="1099"/>
      <c r="D1449" s="291"/>
    </row>
    <row r="1450" spans="1:4" ht="12.75">
      <c r="A1450" s="17" t="s">
        <v>1097</v>
      </c>
      <c r="B1450" s="18">
        <v>600</v>
      </c>
      <c r="C1450" s="1099"/>
      <c r="D1450" s="291"/>
    </row>
    <row r="1451" spans="1:4" ht="12.75">
      <c r="A1451" s="17" t="s">
        <v>1098</v>
      </c>
      <c r="B1451" s="18">
        <v>600</v>
      </c>
      <c r="C1451" s="1099"/>
      <c r="D1451" s="291"/>
    </row>
    <row r="1452" spans="1:4" ht="12.75">
      <c r="A1452" s="17" t="s">
        <v>1099</v>
      </c>
      <c r="B1452" s="18">
        <v>600</v>
      </c>
      <c r="C1452" s="1099"/>
      <c r="D1452" s="291"/>
    </row>
    <row r="1453" spans="1:4" ht="12.75">
      <c r="A1453" s="17" t="s">
        <v>1100</v>
      </c>
      <c r="B1453" s="18">
        <v>600</v>
      </c>
      <c r="C1453" s="1099"/>
      <c r="D1453" s="291"/>
    </row>
    <row r="1454" spans="1:4" ht="12.75">
      <c r="A1454" s="17" t="s">
        <v>1101</v>
      </c>
      <c r="B1454" s="18">
        <v>600</v>
      </c>
      <c r="C1454" s="1099"/>
      <c r="D1454" s="291"/>
    </row>
    <row r="1455" spans="1:4" ht="12.75">
      <c r="A1455" s="17" t="s">
        <v>1102</v>
      </c>
      <c r="B1455" s="18">
        <v>760</v>
      </c>
      <c r="C1455" s="1099"/>
      <c r="D1455" s="291"/>
    </row>
    <row r="1456" spans="1:4" ht="12.75">
      <c r="A1456" s="17" t="s">
        <v>1103</v>
      </c>
      <c r="B1456" s="18">
        <v>760</v>
      </c>
      <c r="C1456" s="1099"/>
      <c r="D1456" s="291"/>
    </row>
    <row r="1457" spans="1:4" ht="12.75">
      <c r="A1457" s="17" t="s">
        <v>1104</v>
      </c>
      <c r="B1457" s="18">
        <v>760</v>
      </c>
      <c r="C1457" s="1099"/>
      <c r="D1457" s="291"/>
    </row>
    <row r="1458" spans="1:4" ht="12.75">
      <c r="A1458" s="17" t="s">
        <v>1105</v>
      </c>
      <c r="B1458" s="18">
        <v>760</v>
      </c>
      <c r="C1458" s="1099"/>
      <c r="D1458" s="291"/>
    </row>
    <row r="1459" spans="1:4" ht="12.75">
      <c r="A1459" s="17" t="s">
        <v>1106</v>
      </c>
      <c r="B1459" s="18">
        <v>760</v>
      </c>
      <c r="C1459" s="1099"/>
      <c r="D1459" s="291"/>
    </row>
    <row r="1460" spans="1:4" ht="12.75">
      <c r="A1460" s="17" t="s">
        <v>1107</v>
      </c>
      <c r="B1460" s="18">
        <v>760</v>
      </c>
      <c r="C1460" s="1099"/>
      <c r="D1460" s="291"/>
    </row>
    <row r="1461" spans="1:4" ht="12.75">
      <c r="A1461" s="17" t="s">
        <v>1108</v>
      </c>
      <c r="B1461" s="18">
        <v>760</v>
      </c>
      <c r="C1461" s="1099"/>
      <c r="D1461" s="291"/>
    </row>
    <row r="1462" spans="1:4" ht="12.75">
      <c r="A1462" s="17" t="s">
        <v>1109</v>
      </c>
      <c r="B1462" s="18">
        <v>760</v>
      </c>
      <c r="C1462" s="1099"/>
      <c r="D1462" s="291"/>
    </row>
    <row r="1463" spans="1:4" ht="12.75">
      <c r="A1463" s="17" t="s">
        <v>1110</v>
      </c>
      <c r="B1463" s="18">
        <v>760</v>
      </c>
      <c r="C1463" s="1099"/>
      <c r="D1463" s="291"/>
    </row>
    <row r="1464" spans="1:4" ht="12.75">
      <c r="A1464" s="17" t="s">
        <v>1111</v>
      </c>
      <c r="B1464" s="18">
        <v>760</v>
      </c>
      <c r="C1464" s="1099"/>
      <c r="D1464" s="291"/>
    </row>
    <row r="1465" spans="1:4" ht="12.75">
      <c r="A1465" s="17" t="s">
        <v>1112</v>
      </c>
      <c r="B1465" s="18">
        <v>760</v>
      </c>
      <c r="C1465" s="1099"/>
      <c r="D1465" s="291"/>
    </row>
    <row r="1466" spans="1:4" ht="12.75">
      <c r="A1466" s="17" t="s">
        <v>1113</v>
      </c>
      <c r="B1466" s="18">
        <v>760</v>
      </c>
      <c r="C1466" s="1099"/>
      <c r="D1466" s="291"/>
    </row>
    <row r="1467" spans="1:4" ht="12.75">
      <c r="A1467" s="17" t="s">
        <v>1114</v>
      </c>
      <c r="B1467" s="18">
        <v>760</v>
      </c>
      <c r="C1467" s="1099"/>
      <c r="D1467" s="291"/>
    </row>
    <row r="1468" spans="1:4" ht="12.75">
      <c r="A1468" s="17" t="s">
        <v>1115</v>
      </c>
      <c r="B1468" s="18">
        <v>760</v>
      </c>
      <c r="C1468" s="1099"/>
      <c r="D1468" s="291"/>
    </row>
    <row r="1469" spans="1:4" ht="12.75">
      <c r="A1469" s="17" t="s">
        <v>1116</v>
      </c>
      <c r="B1469" s="18">
        <v>760</v>
      </c>
      <c r="C1469" s="1099"/>
      <c r="D1469" s="291"/>
    </row>
    <row r="1470" spans="1:4" ht="13.5" thickBot="1">
      <c r="A1470" s="23" t="s">
        <v>1117</v>
      </c>
      <c r="B1470" s="24">
        <v>760</v>
      </c>
      <c r="C1470" s="1100"/>
      <c r="D1470" s="291"/>
    </row>
    <row r="1471" spans="1:4" ht="12.75" customHeight="1">
      <c r="A1471" s="16" t="s">
        <v>1118</v>
      </c>
      <c r="B1471" s="18">
        <v>1250</v>
      </c>
      <c r="C1471" s="1101" t="s">
        <v>1119</v>
      </c>
      <c r="D1471" s="291"/>
    </row>
    <row r="1472" spans="1:4" ht="12.75">
      <c r="A1472" s="16" t="s">
        <v>74</v>
      </c>
      <c r="B1472" s="18">
        <v>1250</v>
      </c>
      <c r="C1472" s="1102"/>
      <c r="D1472" s="291"/>
    </row>
    <row r="1473" spans="1:4" ht="12.75">
      <c r="A1473" s="16" t="s">
        <v>1120</v>
      </c>
      <c r="B1473" s="18">
        <v>1250</v>
      </c>
      <c r="C1473" s="1102"/>
      <c r="D1473" s="291"/>
    </row>
    <row r="1474" spans="1:4" ht="12.75">
      <c r="A1474" s="16" t="s">
        <v>1121</v>
      </c>
      <c r="B1474" s="18">
        <v>1250</v>
      </c>
      <c r="C1474" s="1102"/>
      <c r="D1474" s="291"/>
    </row>
    <row r="1475" spans="1:4" ht="12.75">
      <c r="A1475" s="16" t="s">
        <v>1122</v>
      </c>
      <c r="B1475" s="18">
        <v>1250</v>
      </c>
      <c r="C1475" s="1102"/>
      <c r="D1475" s="291"/>
    </row>
    <row r="1476" spans="1:4" ht="12.75">
      <c r="A1476" s="16" t="s">
        <v>1123</v>
      </c>
      <c r="B1476" s="18">
        <v>1250</v>
      </c>
      <c r="C1476" s="1102"/>
      <c r="D1476" s="291"/>
    </row>
    <row r="1477" spans="1:4" ht="12.75">
      <c r="A1477" s="16" t="s">
        <v>1262</v>
      </c>
      <c r="B1477" s="18">
        <v>1550</v>
      </c>
      <c r="C1477" s="1102"/>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108" t="s">
        <v>1160</v>
      </c>
      <c r="C4" s="1108" t="s">
        <v>1131</v>
      </c>
      <c r="D4" s="38" t="str">
        <f>CONCATENATE(A4,$B$4,$C$4)</f>
        <v>ABBC5000SEW</v>
      </c>
      <c r="E4" s="38" t="s">
        <v>1157</v>
      </c>
      <c r="F4" s="38">
        <v>1500</v>
      </c>
      <c r="G4" s="38">
        <v>5000</v>
      </c>
      <c r="H4" s="37" t="s">
        <v>1159</v>
      </c>
    </row>
    <row r="5" spans="1:8" ht="15">
      <c r="A5" s="40" t="s">
        <v>1139</v>
      </c>
      <c r="B5" s="1109"/>
      <c r="C5" s="1109"/>
      <c r="D5" s="41" t="str">
        <f>CONCATENATE(A5,$B$4,$C$4)</f>
        <v>KUKAC5000SEW</v>
      </c>
      <c r="E5" s="41" t="s">
        <v>1157</v>
      </c>
      <c r="F5" s="41">
        <v>1500</v>
      </c>
      <c r="G5" s="41">
        <v>5000</v>
      </c>
      <c r="H5" s="40" t="s">
        <v>1158</v>
      </c>
    </row>
    <row r="6" spans="1:8" ht="15.75" thickBot="1">
      <c r="A6" s="39" t="s">
        <v>1137</v>
      </c>
      <c r="B6" s="1110"/>
      <c r="C6" s="1109"/>
      <c r="D6" s="42" t="str">
        <f>CONCATENATE(A6,$B$4,$C$4)</f>
        <v>FanucC5000SEW</v>
      </c>
      <c r="E6" s="42" t="s">
        <v>1157</v>
      </c>
      <c r="F6" s="42">
        <v>1500</v>
      </c>
      <c r="G6" s="43">
        <v>5000</v>
      </c>
      <c r="H6" s="39" t="s">
        <v>1156</v>
      </c>
    </row>
    <row r="7" spans="1:8" ht="15">
      <c r="A7" s="37" t="s">
        <v>1129</v>
      </c>
      <c r="B7" s="1108" t="s">
        <v>1133</v>
      </c>
      <c r="C7" s="1109"/>
      <c r="D7" s="38" t="str">
        <f>CONCATENATE(A7,$B$7,$C$4)</f>
        <v>ABBC8000SEW</v>
      </c>
      <c r="E7" s="38" t="s">
        <v>1149</v>
      </c>
      <c r="F7" s="38">
        <v>1500</v>
      </c>
      <c r="G7" s="38">
        <v>8000</v>
      </c>
      <c r="H7" s="37" t="s">
        <v>1155</v>
      </c>
    </row>
    <row r="8" spans="1:8" ht="15">
      <c r="A8" s="40" t="s">
        <v>1139</v>
      </c>
      <c r="B8" s="1109"/>
      <c r="C8" s="1109"/>
      <c r="D8" s="41" t="str">
        <f>CONCATENATE(A8,$B$7,$C$4)</f>
        <v>KUKAC8000SEW</v>
      </c>
      <c r="E8" s="41" t="s">
        <v>1149</v>
      </c>
      <c r="F8" s="41">
        <v>1500</v>
      </c>
      <c r="G8" s="41">
        <v>8000</v>
      </c>
      <c r="H8" s="40" t="s">
        <v>1154</v>
      </c>
    </row>
    <row r="9" spans="1:8" ht="15.75" thickBot="1">
      <c r="A9" s="39" t="s">
        <v>1137</v>
      </c>
      <c r="B9" s="1110"/>
      <c r="C9" s="1109"/>
      <c r="D9" s="42" t="str">
        <f>CONCATENATE(A9,$B$7,$C$4)</f>
        <v>FanucC8000SEW</v>
      </c>
      <c r="E9" s="42" t="s">
        <v>1149</v>
      </c>
      <c r="F9" s="42">
        <v>1500</v>
      </c>
      <c r="G9" s="42">
        <v>8000</v>
      </c>
      <c r="H9" s="39" t="s">
        <v>1153</v>
      </c>
    </row>
    <row r="10" spans="1:8" ht="15">
      <c r="A10" s="37" t="s">
        <v>1129</v>
      </c>
      <c r="B10" s="1108" t="s">
        <v>1152</v>
      </c>
      <c r="C10" s="1109"/>
      <c r="D10" s="38" t="str">
        <f>CONCATENATE(A10,$B$10,$C$4)</f>
        <v>ABBC8000 TunnelSEW</v>
      </c>
      <c r="E10" s="38" t="s">
        <v>1149</v>
      </c>
      <c r="F10" s="38">
        <v>1500</v>
      </c>
      <c r="G10" s="38">
        <v>8000</v>
      </c>
      <c r="H10" s="37" t="s">
        <v>1151</v>
      </c>
    </row>
    <row r="11" spans="1:8" ht="15">
      <c r="A11" s="40" t="s">
        <v>1139</v>
      </c>
      <c r="B11" s="1109"/>
      <c r="C11" s="1109"/>
      <c r="D11" s="41" t="str">
        <f>CONCATENATE(A11,$B$10,$C$4)</f>
        <v>KUKAC8000 TunnelSEW</v>
      </c>
      <c r="E11" s="41" t="s">
        <v>1149</v>
      </c>
      <c r="F11" s="41">
        <v>1500</v>
      </c>
      <c r="G11" s="41">
        <v>8000</v>
      </c>
      <c r="H11" s="40" t="s">
        <v>1150</v>
      </c>
    </row>
    <row r="12" spans="1:8" ht="15.75" thickBot="1">
      <c r="A12" s="39" t="s">
        <v>1137</v>
      </c>
      <c r="B12" s="1110"/>
      <c r="C12" s="1109"/>
      <c r="D12" s="42" t="str">
        <f>CONCATENATE(A12,$B$10,$C$4)</f>
        <v>FanucC8000 TunnelSEW</v>
      </c>
      <c r="E12" s="42" t="s">
        <v>1149</v>
      </c>
      <c r="F12" s="42">
        <v>1500</v>
      </c>
      <c r="G12" s="42">
        <v>8000</v>
      </c>
      <c r="H12" s="39" t="s">
        <v>1148</v>
      </c>
    </row>
    <row r="13" spans="1:8" ht="15">
      <c r="A13" s="37" t="s">
        <v>1129</v>
      </c>
      <c r="B13" s="1108" t="s">
        <v>1147</v>
      </c>
      <c r="C13" s="1109"/>
      <c r="D13" s="38" t="str">
        <f>CONCATENATE(A13,$B$13,$C$4)</f>
        <v>ABBX100SEW</v>
      </c>
      <c r="E13" s="38" t="s">
        <v>1144</v>
      </c>
      <c r="F13" s="38">
        <v>2000</v>
      </c>
      <c r="G13" s="38">
        <v>12000</v>
      </c>
      <c r="H13" s="37" t="s">
        <v>1146</v>
      </c>
    </row>
    <row r="14" spans="1:8" ht="15">
      <c r="A14" s="40" t="s">
        <v>1139</v>
      </c>
      <c r="B14" s="1109"/>
      <c r="C14" s="1109"/>
      <c r="D14" s="41" t="str">
        <f>CONCATENATE(A14,$B$13,$C$4)</f>
        <v>KUKAX100SEW</v>
      </c>
      <c r="E14" s="41" t="s">
        <v>1144</v>
      </c>
      <c r="F14" s="41">
        <v>2000</v>
      </c>
      <c r="G14" s="41">
        <v>12000</v>
      </c>
      <c r="H14" s="40" t="s">
        <v>1145</v>
      </c>
    </row>
    <row r="15" spans="1:8" ht="15.75" thickBot="1">
      <c r="A15" s="39" t="s">
        <v>1137</v>
      </c>
      <c r="B15" s="1110"/>
      <c r="C15" s="1109"/>
      <c r="D15" s="36" t="str">
        <f>CONCATENATE(A15,$B$13,$C$4)</f>
        <v>FanucX100SEW</v>
      </c>
      <c r="E15" s="36" t="s">
        <v>1144</v>
      </c>
      <c r="F15" s="36">
        <v>2000</v>
      </c>
      <c r="G15" s="36">
        <v>12000</v>
      </c>
      <c r="H15" s="35" t="s">
        <v>1143</v>
      </c>
    </row>
    <row r="16" spans="1:8" ht="15.75" thickBot="1">
      <c r="A16" s="39" t="s">
        <v>1129</v>
      </c>
      <c r="B16" s="1108" t="s">
        <v>1142</v>
      </c>
      <c r="C16" s="1109"/>
      <c r="D16" s="39" t="str">
        <f>CONCATENATE(A16,$B$16,$C$4)</f>
        <v>ABBX120SEW</v>
      </c>
      <c r="E16" s="39" t="s">
        <v>1141</v>
      </c>
      <c r="F16" s="39">
        <v>2500</v>
      </c>
      <c r="G16" s="39">
        <v>19500</v>
      </c>
      <c r="H16" s="39" t="s">
        <v>1140</v>
      </c>
    </row>
    <row r="17" spans="1:8" ht="15">
      <c r="A17" s="37" t="s">
        <v>1139</v>
      </c>
      <c r="B17" s="1109"/>
      <c r="C17" s="1109"/>
      <c r="D17" s="38" t="str">
        <f>CONCATENATE(A17,$B$16,$C$4)</f>
        <v>KUKAX120SEW</v>
      </c>
      <c r="E17" s="38" t="s">
        <v>1136</v>
      </c>
      <c r="F17" s="38">
        <v>2500</v>
      </c>
      <c r="G17" s="38">
        <v>19500</v>
      </c>
      <c r="H17" s="37" t="s">
        <v>1138</v>
      </c>
    </row>
    <row r="18" spans="1:8" ht="15.75" thickBot="1">
      <c r="A18" s="35" t="s">
        <v>1137</v>
      </c>
      <c r="B18" s="1110"/>
      <c r="C18" s="111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Blatt_1_1250R01</vt:lpstr>
      <vt:lpstr>Punktplan LTVL_1_1250R01</vt:lpstr>
      <vt:lpstr>Materialliste</vt:lpstr>
      <vt:lpstr>Motordaten</vt:lpstr>
      <vt:lpstr>'Blatt 0'!Area_de_impressao</vt:lpstr>
      <vt:lpstr>Blatt_1_1250R01!Area_de_impressao</vt:lpstr>
      <vt:lpstr>'Punktplan LTVL_1_1250R01'!Area_de_impressao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Pedro Hideki Maki Mayeves</cp:lastModifiedBy>
  <cp:lastPrinted>2020-02-24T10:00:13Z</cp:lastPrinted>
  <dcterms:created xsi:type="dcterms:W3CDTF">1998-02-24T17:42:36Z</dcterms:created>
  <dcterms:modified xsi:type="dcterms:W3CDTF">2023-06-14T15:57:16Z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