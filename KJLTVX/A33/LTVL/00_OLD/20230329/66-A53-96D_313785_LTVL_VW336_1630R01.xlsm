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embeddings/oleObject1.bin" ContentType="application/vnd.openxmlformats-officedocument.oleObject"/>
  <Override PartName="/xl/comments2.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6130" codeName="{3D1A710C-6663-3D7B-7F91-EC182F24A4BC}"/>
  <workbookPr codeName="DieseArbeitsmappe"/>
  <mc:AlternateContent xmlns:mc="http://schemas.openxmlformats.org/markup-compatibility/2006">
    <mc:Choice Requires="x15">
      <x15ac:absPath xmlns:x15ac="http://schemas.microsoft.com/office/spreadsheetml/2010/11/ac" url="P:\AEROSPACE\COMMESSAS\296_VW_MX_UNDERBODY_TAYRON\000_CLIENTE - VW\14.2.10_Plano de Pontos-A33\LTVL\"/>
    </mc:Choice>
  </mc:AlternateContent>
  <xr:revisionPtr revIDLastSave="0" documentId="13_ncr:1_{958481F0-E125-406D-A6C3-5779702EA9CC}" xr6:coauthVersionLast="47" xr6:coauthVersionMax="47" xr10:uidLastSave="{00000000-0000-0000-0000-000000000000}"/>
  <bookViews>
    <workbookView xWindow="28680" yWindow="-120" windowWidth="29040" windowHeight="15840" tabRatio="659" xr2:uid="{00000000-000D-0000-FFFF-FFFF00000000}"/>
  </bookViews>
  <sheets>
    <sheet name="Blatt 0" sheetId="1" r:id="rId1"/>
    <sheet name="Punktplan LTVL_4_1630" sheetId="51" r:id="rId2"/>
    <sheet name="Materialliste" sheetId="21" r:id="rId3"/>
    <sheet name="Motordaten" sheetId="25" r:id="rId4"/>
  </sheets>
  <definedNames>
    <definedName name="_xlnm._FilterDatabase" localSheetId="1" hidden="1">'Punktplan LTVL_4_1630'!$M$19:$M$24</definedName>
    <definedName name="_xlnm.Print_Area" localSheetId="0">'Blatt 0'!$A$1:$AK$60</definedName>
    <definedName name="_xlnm.Print_Area" localSheetId="1">'Punktplan LTVL_4_1630'!$A$3:$AX$44</definedName>
  </definedNames>
  <calcPr calcId="191029"/>
</workbook>
</file>

<file path=xl/calcChain.xml><?xml version="1.0" encoding="utf-8"?>
<calcChain xmlns="http://schemas.openxmlformats.org/spreadsheetml/2006/main">
  <c r="X30" i="51" l="1"/>
  <c r="X29" i="51"/>
  <c r="X28" i="51"/>
  <c r="X27" i="51"/>
  <c r="X26" i="51"/>
  <c r="X25" i="51"/>
  <c r="X24" i="51"/>
  <c r="X23" i="51"/>
  <c r="X22" i="51"/>
  <c r="U30" i="51"/>
  <c r="R30" i="51"/>
  <c r="X43" i="51" l="1"/>
  <c r="R43" i="51"/>
  <c r="M43" i="51"/>
  <c r="AC42" i="51"/>
  <c r="X41" i="51"/>
  <c r="R41" i="51"/>
  <c r="M41" i="51"/>
  <c r="AF40" i="51"/>
  <c r="AE40" i="51"/>
  <c r="X39" i="51"/>
  <c r="R39" i="51"/>
  <c r="AJ38" i="51"/>
  <c r="AE38" i="51"/>
  <c r="AA38" i="51"/>
  <c r="X38" i="51"/>
  <c r="T38" i="51"/>
  <c r="R38" i="51"/>
  <c r="P38" i="51"/>
  <c r="M38" i="51"/>
  <c r="I38" i="51"/>
  <c r="F38" i="51"/>
  <c r="C38" i="51"/>
  <c r="R37" i="51"/>
  <c r="P37" i="51"/>
  <c r="M37" i="51"/>
  <c r="L37" i="51"/>
  <c r="I37" i="51"/>
  <c r="H37" i="51"/>
  <c r="F37" i="51"/>
  <c r="C37" i="51"/>
  <c r="AE36" i="51"/>
  <c r="P36" i="51"/>
  <c r="M36" i="51"/>
  <c r="I36" i="51"/>
  <c r="F36" i="51"/>
  <c r="AO35" i="51"/>
  <c r="AA35" i="51"/>
  <c r="X35" i="51"/>
  <c r="T35" i="51"/>
  <c r="P35" i="51"/>
  <c r="M35" i="51"/>
  <c r="I35" i="51"/>
  <c r="F35" i="51"/>
  <c r="C35" i="51"/>
  <c r="CG34" i="51"/>
  <c r="CC34" i="51"/>
  <c r="BT34" i="51"/>
  <c r="BS34" i="51"/>
  <c r="BO34" i="51"/>
  <c r="BR34" i="51" s="1"/>
  <c r="BM34" i="51"/>
  <c r="BL34" i="51"/>
  <c r="BK34" i="51"/>
  <c r="BJ34" i="51" s="1"/>
  <c r="BI34" i="51"/>
  <c r="BF34" i="51"/>
  <c r="BE34" i="51"/>
  <c r="BD34" i="51"/>
  <c r="BU34" i="51"/>
  <c r="BV34" i="51" s="1"/>
  <c r="BS33" i="51"/>
  <c r="BT33" i="51" s="1"/>
  <c r="BM33" i="51"/>
  <c r="BL33" i="51"/>
  <c r="BK33" i="51"/>
  <c r="BI33" i="51"/>
  <c r="BF33" i="51"/>
  <c r="BE33" i="51"/>
  <c r="BD33" i="51"/>
  <c r="BS32" i="51"/>
  <c r="BT32" i="51" s="1"/>
  <c r="BM32" i="51"/>
  <c r="BL32" i="51"/>
  <c r="BK32" i="51"/>
  <c r="BJ32" i="51" s="1"/>
  <c r="BI32" i="51"/>
  <c r="BF32" i="51"/>
  <c r="BE32" i="51"/>
  <c r="BD32" i="51"/>
  <c r="BS29" i="51"/>
  <c r="BT29" i="51" s="1"/>
  <c r="BM29" i="51"/>
  <c r="BL29" i="51"/>
  <c r="BK29" i="51"/>
  <c r="BI29" i="51"/>
  <c r="BF29" i="51"/>
  <c r="BE29" i="51"/>
  <c r="U29" i="51" s="1"/>
  <c r="BD29" i="51"/>
  <c r="R29" i="51" s="1"/>
  <c r="BS28" i="51"/>
  <c r="BT28" i="51" s="1"/>
  <c r="BM28" i="51"/>
  <c r="BL28" i="51"/>
  <c r="BK28" i="51"/>
  <c r="BI28" i="51"/>
  <c r="BF28" i="51"/>
  <c r="BE28" i="51"/>
  <c r="U28" i="51" s="1"/>
  <c r="BD28" i="51"/>
  <c r="R28" i="51" s="1"/>
  <c r="BS27" i="51"/>
  <c r="BT27" i="51" s="1"/>
  <c r="BM27" i="51"/>
  <c r="BL27" i="51"/>
  <c r="BK27" i="51"/>
  <c r="BI27" i="51"/>
  <c r="BF27" i="51"/>
  <c r="BE27" i="51"/>
  <c r="U27" i="51" s="1"/>
  <c r="BD27" i="51"/>
  <c r="R27" i="51" s="1"/>
  <c r="BS26" i="51"/>
  <c r="BT26" i="51" s="1"/>
  <c r="BM26" i="51"/>
  <c r="BL26" i="51"/>
  <c r="BK26" i="51"/>
  <c r="BI26" i="51"/>
  <c r="BF26" i="51"/>
  <c r="BE26" i="51"/>
  <c r="U26" i="51" s="1"/>
  <c r="BD26" i="51"/>
  <c r="R26" i="51" s="1"/>
  <c r="BS25" i="51"/>
  <c r="BT25" i="51" s="1"/>
  <c r="BM25" i="51"/>
  <c r="BL25" i="51"/>
  <c r="BK25" i="51"/>
  <c r="BI25" i="51"/>
  <c r="BF25" i="51"/>
  <c r="BE25" i="51"/>
  <c r="U25" i="51" s="1"/>
  <c r="BD25" i="51"/>
  <c r="R25" i="51" s="1"/>
  <c r="BS24" i="51"/>
  <c r="BT24" i="51" s="1"/>
  <c r="BM24" i="51"/>
  <c r="BL24" i="51"/>
  <c r="BK24" i="51"/>
  <c r="BI24" i="51"/>
  <c r="BF24" i="51"/>
  <c r="BE24" i="51"/>
  <c r="U24" i="51" s="1"/>
  <c r="BD24" i="51"/>
  <c r="R24" i="51" s="1"/>
  <c r="BS23" i="51"/>
  <c r="BT23" i="51" s="1"/>
  <c r="BM23" i="51"/>
  <c r="BL23" i="51"/>
  <c r="BK23" i="51"/>
  <c r="BI23" i="51"/>
  <c r="BF23" i="51"/>
  <c r="BE23" i="51"/>
  <c r="U23" i="51" s="1"/>
  <c r="BD23" i="51"/>
  <c r="R23" i="51" s="1"/>
  <c r="BS22" i="51"/>
  <c r="BT22" i="51" s="1"/>
  <c r="BM22" i="51"/>
  <c r="BL22" i="51"/>
  <c r="BK22" i="51"/>
  <c r="BI22" i="51"/>
  <c r="BF22" i="51"/>
  <c r="BE22" i="51"/>
  <c r="U22" i="51" s="1"/>
  <c r="BD22" i="51"/>
  <c r="R22" i="51" s="1"/>
  <c r="BS21" i="51"/>
  <c r="BT21" i="51" s="1"/>
  <c r="BM21" i="51"/>
  <c r="BL21" i="51"/>
  <c r="BK21" i="51"/>
  <c r="BJ21" i="51"/>
  <c r="Z21" i="51" s="1"/>
  <c r="BI21" i="51"/>
  <c r="BF21" i="51"/>
  <c r="X21" i="51" s="1"/>
  <c r="BE21" i="51"/>
  <c r="U21" i="51" s="1"/>
  <c r="BD21" i="51"/>
  <c r="R21" i="51" s="1"/>
  <c r="AL21" i="51"/>
  <c r="AK21" i="51"/>
  <c r="AJ21" i="51"/>
  <c r="AI21" i="51"/>
  <c r="AG21" i="51"/>
  <c r="AF21" i="51"/>
  <c r="BS20" i="51"/>
  <c r="BT20" i="51" s="1"/>
  <c r="BM20" i="51"/>
  <c r="BL20" i="51"/>
  <c r="BK20" i="51"/>
  <c r="BI20" i="51"/>
  <c r="BF20" i="51"/>
  <c r="X20" i="51" s="1"/>
  <c r="BE20" i="51"/>
  <c r="U20" i="51" s="1"/>
  <c r="BD20" i="51"/>
  <c r="R20" i="51" s="1"/>
  <c r="AL20" i="51"/>
  <c r="AK20" i="51"/>
  <c r="AJ20" i="51"/>
  <c r="AI20" i="51"/>
  <c r="AG20" i="51"/>
  <c r="AF20" i="51"/>
  <c r="BS19" i="51"/>
  <c r="BT19" i="51" s="1"/>
  <c r="BM19" i="51"/>
  <c r="BL19" i="51"/>
  <c r="BK19" i="51"/>
  <c r="BI19" i="51"/>
  <c r="BF19" i="51"/>
  <c r="X19" i="51" s="1"/>
  <c r="BE19" i="51"/>
  <c r="U19" i="51" s="1"/>
  <c r="BD19" i="51"/>
  <c r="R19" i="51" s="1"/>
  <c r="AL19" i="51"/>
  <c r="AK19" i="51"/>
  <c r="AJ19" i="51"/>
  <c r="AI19" i="51"/>
  <c r="AG19" i="51"/>
  <c r="AF19" i="51"/>
  <c r="W18" i="51"/>
  <c r="T18" i="51"/>
  <c r="Q18" i="51"/>
  <c r="AL10" i="51"/>
  <c r="AK10" i="51"/>
  <c r="AJ10" i="51"/>
  <c r="AI10" i="51"/>
  <c r="AH10" i="51"/>
  <c r="AG10" i="51"/>
  <c r="AF10" i="51"/>
  <c r="AE10" i="51"/>
  <c r="AD10" i="51"/>
  <c r="AC10" i="51"/>
  <c r="AB10" i="51"/>
  <c r="AA10" i="51"/>
  <c r="Z10" i="51"/>
  <c r="Y10" i="51"/>
  <c r="X10" i="51"/>
  <c r="W10" i="51"/>
  <c r="U10" i="51"/>
  <c r="T10" i="51"/>
  <c r="R10" i="51"/>
  <c r="Q10" i="51"/>
  <c r="M10" i="51"/>
  <c r="AO9" i="51"/>
  <c r="AM9" i="51"/>
  <c r="AH9" i="51"/>
  <c r="AF9" i="51"/>
  <c r="AC9" i="51"/>
  <c r="Z9" i="51"/>
  <c r="P9" i="51"/>
  <c r="M9" i="51"/>
  <c r="J9" i="51"/>
  <c r="I9" i="51"/>
  <c r="H9" i="51"/>
  <c r="G9" i="51"/>
  <c r="F9" i="51"/>
  <c r="E9" i="51"/>
  <c r="D9" i="51"/>
  <c r="C9" i="51"/>
  <c r="F8" i="51"/>
  <c r="AK6" i="51"/>
  <c r="AH6" i="51"/>
  <c r="H6" i="51"/>
  <c r="AH4" i="51"/>
  <c r="M4" i="51"/>
  <c r="C4" i="51"/>
  <c r="F3" i="51"/>
  <c r="BJ19" i="51" l="1"/>
  <c r="BJ22" i="51"/>
  <c r="BJ27" i="51"/>
  <c r="BJ20" i="51"/>
  <c r="Z20" i="51" s="1"/>
  <c r="BJ25" i="51"/>
  <c r="BJ24" i="51"/>
  <c r="BJ29" i="51"/>
  <c r="BJ28" i="51"/>
  <c r="BJ33" i="51"/>
  <c r="Z19" i="51"/>
  <c r="BJ26" i="51"/>
  <c r="BJ23" i="51"/>
  <c r="BU25" i="51"/>
  <c r="BV25" i="51" s="1"/>
  <c r="BO25" i="51"/>
  <c r="BU32" i="51"/>
  <c r="BV32" i="51" s="1"/>
  <c r="BO32" i="51"/>
  <c r="BO33" i="51"/>
  <c r="BU33" i="51"/>
  <c r="BV33" i="51" s="1"/>
  <c r="BU21" i="51"/>
  <c r="BV21" i="51" s="1"/>
  <c r="AA21" i="51"/>
  <c r="AB21" i="51" s="1"/>
  <c r="BO21" i="51"/>
  <c r="BO23" i="51"/>
  <c r="BO28" i="51"/>
  <c r="BU28" i="51"/>
  <c r="BV28" i="51" s="1"/>
  <c r="AA20" i="51"/>
  <c r="BO20" i="51"/>
  <c r="BU20" i="51"/>
  <c r="BV20" i="51" s="1"/>
  <c r="BU27" i="51"/>
  <c r="BV27" i="51" s="1"/>
  <c r="BO27" i="51"/>
  <c r="BO29" i="51"/>
  <c r="BU19" i="51"/>
  <c r="BV19" i="51" s="1"/>
  <c r="AA19" i="51"/>
  <c r="BO19" i="51"/>
  <c r="BU22" i="51"/>
  <c r="BV22" i="51" s="1"/>
  <c r="BO22" i="51"/>
  <c r="BU26" i="51"/>
  <c r="BV26" i="51" s="1"/>
  <c r="BU24" i="51"/>
  <c r="BV24" i="51" s="1"/>
  <c r="BO26" i="51"/>
  <c r="BU29" i="51"/>
  <c r="BV29" i="51" s="1"/>
  <c r="BU23" i="51"/>
  <c r="BV23" i="51" s="1"/>
  <c r="BO24" i="51"/>
  <c r="BP34" i="51"/>
  <c r="BQ34" i="51"/>
  <c r="AB20" i="51" l="1"/>
  <c r="CC20" i="51" s="1"/>
  <c r="AH20" i="51" s="1"/>
  <c r="AB19" i="51"/>
  <c r="CC29" i="51"/>
  <c r="CC27" i="51"/>
  <c r="CC26" i="51"/>
  <c r="BP33" i="51"/>
  <c r="BR33" i="51"/>
  <c r="BQ33" i="51"/>
  <c r="CG33" i="51" s="1"/>
  <c r="CC28" i="51"/>
  <c r="BP32" i="51"/>
  <c r="BR32" i="51"/>
  <c r="BQ32" i="51"/>
  <c r="CG32" i="51" s="1"/>
  <c r="CC33" i="51"/>
  <c r="CC21" i="51"/>
  <c r="AH21" i="51" s="1"/>
  <c r="BR26" i="51"/>
  <c r="BQ26" i="51"/>
  <c r="CG26" i="51" s="1"/>
  <c r="BP26" i="51"/>
  <c r="CC25" i="51"/>
  <c r="BQ19" i="51"/>
  <c r="AE35" i="51"/>
  <c r="BP19" i="51"/>
  <c r="AD19" i="51" s="1"/>
  <c r="BR19" i="51"/>
  <c r="AC19" i="51" s="1"/>
  <c r="BR24" i="51"/>
  <c r="BP24" i="51"/>
  <c r="BQ24" i="51"/>
  <c r="CG24" i="51" s="1"/>
  <c r="CC32" i="51"/>
  <c r="CC24" i="51"/>
  <c r="BP28" i="51"/>
  <c r="BR28" i="51"/>
  <c r="BQ28" i="51"/>
  <c r="CG28" i="51" s="1"/>
  <c r="BP21" i="51"/>
  <c r="AD21" i="51" s="1"/>
  <c r="BR21" i="51"/>
  <c r="AC21" i="51" s="1"/>
  <c r="BQ21" i="51"/>
  <c r="AE21" i="51" s="1"/>
  <c r="CG21" i="51" s="1"/>
  <c r="CC22" i="51"/>
  <c r="BR23" i="51"/>
  <c r="BQ23" i="51"/>
  <c r="CG23" i="51" s="1"/>
  <c r="BP23" i="51"/>
  <c r="BR25" i="51"/>
  <c r="BQ25" i="51"/>
  <c r="CG25" i="51" s="1"/>
  <c r="BP25" i="51"/>
  <c r="CC23" i="51"/>
  <c r="BP22" i="51"/>
  <c r="BR22" i="51"/>
  <c r="BQ22" i="51"/>
  <c r="CG22" i="51" s="1"/>
  <c r="BR29" i="51"/>
  <c r="BQ29" i="51"/>
  <c r="CG29" i="51" s="1"/>
  <c r="BP29" i="51"/>
  <c r="BR20" i="51"/>
  <c r="AC20" i="51" s="1"/>
  <c r="BQ20" i="51"/>
  <c r="BP20" i="51"/>
  <c r="AD20" i="51" s="1"/>
  <c r="BR27" i="51"/>
  <c r="BP27" i="51"/>
  <c r="BQ27" i="51"/>
  <c r="CG27" i="51" s="1"/>
  <c r="AE20" i="51" l="1"/>
  <c r="CG20" i="51" s="1"/>
  <c r="H35" i="51"/>
  <c r="O35" i="51" s="1"/>
  <c r="R35" i="51" s="1"/>
  <c r="AE19" i="51"/>
  <c r="CG19" i="51" s="1"/>
  <c r="CC19" i="51"/>
  <c r="AH19" i="51" s="1"/>
  <c r="X37" i="51" s="1" a="1"/>
  <c r="X37" i="51" s="1"/>
  <c r="H36" i="51"/>
  <c r="O36" i="51" s="1"/>
  <c r="R36" i="51" s="1"/>
  <c r="O37" i="51" l="1"/>
  <c r="BD41" i="51" s="1"/>
  <c r="T37" i="51" s="1"/>
  <c r="BD37" i="51"/>
  <c r="O38" i="51"/>
  <c r="BD40" i="51" s="1"/>
  <c r="T36" i="51" s="1"/>
  <c r="BD38" i="51"/>
  <c r="AD37" i="51"/>
  <c r="AC37" i="51"/>
  <c r="AB37" i="51"/>
  <c r="AA37" i="51"/>
  <c r="AK4" i="51"/>
  <c r="O55" i="1" l="1"/>
  <c r="M39" i="51" l="1"/>
  <c r="D4" i="25"/>
  <c r="D5" i="25"/>
  <c r="D6" i="25"/>
  <c r="D7" i="25"/>
  <c r="D8" i="25"/>
  <c r="D9" i="25"/>
  <c r="D10" i="25"/>
  <c r="D11" i="25"/>
  <c r="D12" i="25"/>
  <c r="D13" i="25"/>
  <c r="D14" i="25"/>
  <c r="D15" i="25"/>
  <c r="D16" i="25"/>
  <c r="D17" i="25"/>
  <c r="D18" i="2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Noack, Thomas (PMT/F2)</author>
  </authors>
  <commentList>
    <comment ref="O59" authorId="0" shapeId="0" xr:uid="{00000000-0006-0000-0000-000001000000}">
      <text>
        <r>
          <rPr>
            <b/>
            <sz val="9"/>
            <color indexed="81"/>
            <rFont val="Tahoma"/>
            <family val="2"/>
          </rPr>
          <t>alle Modelle für den der Plan gilt eintragen
enter all models for which the plan applies
Example: VW380, VW382</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Noack, Thomas (PPD-F/B)</author>
    <author>Noack, Thomas (PMT/F2)</author>
    <author>DS</author>
  </authors>
  <commentList>
    <comment ref="P4" authorId="0" shapeId="0" xr:uid="{35372DFF-7F7C-4DB4-8E1B-C600CF8B1A73}">
      <text>
        <r>
          <rPr>
            <b/>
            <sz val="12"/>
            <color indexed="81"/>
            <rFont val="Segoe UI"/>
            <family val="2"/>
          </rPr>
          <t>Datum Bauteilzeichnung 
(K-Stand)</t>
        </r>
        <r>
          <rPr>
            <sz val="12"/>
            <color indexed="81"/>
            <rFont val="Segoe UI"/>
            <family val="2"/>
          </rPr>
          <t xml:space="preserve">
</t>
        </r>
        <r>
          <rPr>
            <b/>
            <sz val="12"/>
            <color indexed="81"/>
            <rFont val="Segoe UI"/>
            <family val="2"/>
          </rPr>
          <t>date of technical drawing
(K-version)</t>
        </r>
      </text>
    </comment>
    <comment ref="M6" authorId="1" shapeId="0" xr:uid="{1367847A-5B1F-4ABC-8212-2D51DC6BC3E1}">
      <text>
        <r>
          <rPr>
            <b/>
            <sz val="12"/>
            <color indexed="81"/>
            <rFont val="Tahoma"/>
            <family val="2"/>
          </rPr>
          <t>alle Modelle für den der Plan gilt eintragen
enter all models for which the plan applies
Example: VW380, VW382</t>
        </r>
      </text>
    </comment>
    <comment ref="T6" authorId="1" shapeId="0" xr:uid="{0F0AB2FB-748B-4F70-8E4C-90BA84E72CE5}">
      <text>
        <r>
          <rPr>
            <b/>
            <sz val="14"/>
            <color indexed="81"/>
            <rFont val="Tahoma"/>
            <family val="2"/>
          </rPr>
          <t>Gewerk und der Bauteilname eintragen
enter the craft and part name
Example: Seitenteil / SVHL</t>
        </r>
      </text>
    </comment>
    <comment ref="E35" authorId="2" shapeId="0" xr:uid="{A272B239-B672-4301-B810-03279BD72910}">
      <text>
        <r>
          <rPr>
            <sz val="20"/>
            <color indexed="81"/>
            <rFont val="Tahoma"/>
            <family val="2"/>
          </rPr>
          <t>Zylinderdurchmesser auswählen!
Enter Cylinder Diameter!</t>
        </r>
      </text>
    </comment>
    <comment ref="L35" authorId="2" shapeId="0" xr:uid="{B81F0A13-A5F4-4F3D-9B7B-8398445E7867}">
      <text>
        <r>
          <rPr>
            <sz val="20"/>
            <color indexed="81"/>
            <rFont val="Tahoma"/>
            <family val="2"/>
          </rPr>
          <t xml:space="preserve">Abstand Drehpunkt - Schweißkappe eintragen!
Enter Distance from Point of Motion to Elektrode Cap!
----------------------------
Ausfüllen für X-Zangen!
To fill only for X-Guns! </t>
        </r>
      </text>
    </comment>
    <comment ref="L36" authorId="2" shapeId="0" xr:uid="{4C8C630B-19DF-42FE-94E8-8A7B2FB0A020}">
      <text>
        <r>
          <rPr>
            <sz val="20"/>
            <color indexed="81"/>
            <rFont val="Tahoma"/>
            <family val="2"/>
          </rPr>
          <t xml:space="preserve">Abstand Drehpunkt - Zylinder (bzw. Servomotor) eintragen!
Enter Distance from Point of Motion to Cylinder (Servomotor)!
---------------------------------------------------------------------------------
Ausfüllen für X-Zangen!
To fill only for X-Guns! </t>
        </r>
      </text>
    </comment>
    <comment ref="AN36" authorId="1" shapeId="0" xr:uid="{4248B022-7F25-44F9-BA9A-B0F835EE2AFA}">
      <text>
        <r>
          <rPr>
            <b/>
            <sz val="18"/>
            <color indexed="81"/>
            <rFont val="Tahoma"/>
            <family val="2"/>
          </rPr>
          <t xml:space="preserve">Sonderfreigabe
</t>
        </r>
        <r>
          <rPr>
            <sz val="18"/>
            <color indexed="81"/>
            <rFont val="Tahoma"/>
            <family val="2"/>
          </rPr>
          <t>Name des Genehmigers und Datum eintragen</t>
        </r>
        <r>
          <rPr>
            <b/>
            <sz val="18"/>
            <color indexed="81"/>
            <rFont val="Tahoma"/>
            <family val="2"/>
          </rPr>
          <t xml:space="preserve">
special concession
</t>
        </r>
        <r>
          <rPr>
            <sz val="18"/>
            <color indexed="81"/>
            <rFont val="Tahoma"/>
            <family val="2"/>
          </rPr>
          <t xml:space="preserve">enter name of approver and date </t>
        </r>
      </text>
    </comment>
    <comment ref="AO36" authorId="1" shapeId="0" xr:uid="{5119A6C5-84B6-4B1A-ADE5-9967902AE259}">
      <text>
        <r>
          <rPr>
            <b/>
            <sz val="12"/>
            <color indexed="81"/>
            <rFont val="Tahoma"/>
            <family val="2"/>
          </rPr>
          <t>Gleiche Schweißpunkte in mehreren Varianten/Indizes können in einer Spalte zusammengefasst werden. Bei Unterscheidungen zwischen den Varianten/Indizes sind diese in einer extra Spalte zu vermerken. Die Angaben sind aus der technischen Zeichnung zu nehmen und in der Legende für jeden Index aufzuführen.
The same welding spots in different types/indices can be consolidated in one collumn.
At differences bettween the types/indices they must be written in a separate column. This Information must be taken from the drawing an written into the legend for every index.
BEISPIEL / EXAMPLE:
.A ... PHEV/4M
.B ... PHEV/ND
.C ... PHEV/RL
.D … PHEV/LL</t>
        </r>
      </text>
    </comment>
  </commentList>
</comments>
</file>

<file path=xl/sharedStrings.xml><?xml version="1.0" encoding="utf-8"?>
<sst xmlns="http://schemas.openxmlformats.org/spreadsheetml/2006/main" count="1900" uniqueCount="1680">
  <si>
    <t>Benennung:</t>
  </si>
  <si>
    <t>Station:</t>
  </si>
  <si>
    <t>Entworfen:</t>
  </si>
  <si>
    <t>Zeichng.Anz.:</t>
  </si>
  <si>
    <t>Bl.Nr.</t>
  </si>
  <si>
    <t>Anschl.</t>
  </si>
  <si>
    <t>Typ:</t>
  </si>
  <si>
    <t>Gezeichnet:</t>
  </si>
  <si>
    <t>Datum:</t>
  </si>
  <si>
    <t>Firma:</t>
  </si>
  <si>
    <t>Gesehen:</t>
  </si>
  <si>
    <t>Zeichnungs-Nr.:</t>
  </si>
  <si>
    <t>AFO:</t>
  </si>
  <si>
    <t>K.-Gruppe</t>
  </si>
  <si>
    <t>designation:</t>
  </si>
  <si>
    <t>o.s.o.</t>
  </si>
  <si>
    <t>type:</t>
  </si>
  <si>
    <t>station:</t>
  </si>
  <si>
    <t>c.-group</t>
  </si>
  <si>
    <t>designed:</t>
  </si>
  <si>
    <t>0</t>
  </si>
  <si>
    <t>1</t>
  </si>
  <si>
    <t>date:</t>
  </si>
  <si>
    <t>firm:</t>
  </si>
  <si>
    <t>Änderungsblatt</t>
  </si>
  <si>
    <t>Nr:.</t>
  </si>
  <si>
    <t>Name</t>
  </si>
  <si>
    <t>Datum</t>
  </si>
  <si>
    <t>Blatt</t>
  </si>
  <si>
    <t>Abschnitt</t>
  </si>
  <si>
    <t>Bemerkungen</t>
  </si>
  <si>
    <t>Punktplan</t>
  </si>
  <si>
    <t>A-Plan</t>
  </si>
  <si>
    <t>NL X</t>
  </si>
  <si>
    <t>NL Y</t>
  </si>
  <si>
    <t>NL Z</t>
  </si>
  <si>
    <t>Schweißzeit</t>
  </si>
  <si>
    <t>KVA</t>
  </si>
  <si>
    <t>[mm]</t>
  </si>
  <si>
    <t>Zeichnungs-Anzahl:</t>
  </si>
  <si>
    <t>Blatt-Nr.:</t>
  </si>
  <si>
    <t>number of drawing:</t>
  </si>
  <si>
    <t>sheets no.:</t>
  </si>
  <si>
    <t>con. petal.</t>
  </si>
  <si>
    <t>draw:</t>
  </si>
  <si>
    <t>spotwelding plan</t>
  </si>
  <si>
    <t>saw:</t>
  </si>
  <si>
    <t>AFO</t>
  </si>
  <si>
    <t>Station</t>
  </si>
  <si>
    <t>station</t>
  </si>
  <si>
    <t>type</t>
  </si>
  <si>
    <t>C-group</t>
  </si>
  <si>
    <t>designed</t>
  </si>
  <si>
    <t>draw</t>
  </si>
  <si>
    <t>saw</t>
  </si>
  <si>
    <t>sheets no.</t>
  </si>
  <si>
    <t>designation</t>
  </si>
  <si>
    <t>date</t>
  </si>
  <si>
    <t>drawing number</t>
  </si>
  <si>
    <t>t1</t>
  </si>
  <si>
    <t>t2</t>
  </si>
  <si>
    <t>t3</t>
  </si>
  <si>
    <t>[N/mm²]</t>
  </si>
  <si>
    <t>Kraftreduzierung</t>
  </si>
  <si>
    <t>Dünnblech</t>
  </si>
  <si>
    <t>Zuschlag</t>
  </si>
  <si>
    <t>Abfrage</t>
  </si>
  <si>
    <t>Abfrage höchstfest</t>
  </si>
  <si>
    <t>in einer Lage</t>
  </si>
  <si>
    <t>Abschlag</t>
  </si>
  <si>
    <t>plus 300ms</t>
  </si>
  <si>
    <t>Schweistrom</t>
  </si>
  <si>
    <t>minus 15%</t>
  </si>
  <si>
    <t>höchstfest</t>
  </si>
  <si>
    <t>TL 4225-AS60/60</t>
  </si>
  <si>
    <t>CR210LA-GI40/40</t>
  </si>
  <si>
    <t>CR1IF-AS30/30</t>
  </si>
  <si>
    <t>Weiche Stähle</t>
  </si>
  <si>
    <t>CR1IF-AS45/45</t>
  </si>
  <si>
    <t>CR1IF-AS60/60</t>
  </si>
  <si>
    <t>CR1IF-EG12/12</t>
  </si>
  <si>
    <t>CR1IF-EG29/29</t>
  </si>
  <si>
    <t>CR1IF-EG47/47</t>
  </si>
  <si>
    <t>CR1IF-GA40/40</t>
  </si>
  <si>
    <t>CR1IF-GA50/50</t>
  </si>
  <si>
    <t>CR1IF-GI40/40</t>
  </si>
  <si>
    <t>CR1IF-GI50/50</t>
  </si>
  <si>
    <t>CR1IF-GI60/60</t>
  </si>
  <si>
    <t>CR1IF-GI70/70</t>
  </si>
  <si>
    <t>CR1IF-UC</t>
  </si>
  <si>
    <t>CR1IF-ZM30/30</t>
  </si>
  <si>
    <t>CR1IF-ZM40/40</t>
  </si>
  <si>
    <t>CR1IF-ZM50/50</t>
  </si>
  <si>
    <t>CR1Non-IF-AS30/30</t>
  </si>
  <si>
    <t>CR1Non-IF-AS45/45</t>
  </si>
  <si>
    <t>CR1Non-IF-AS60/60</t>
  </si>
  <si>
    <t>CR1Non-IF-EG12/12</t>
  </si>
  <si>
    <t>CR1Non-IF-EG29/29</t>
  </si>
  <si>
    <t>CR1Non-IF-EG47/47</t>
  </si>
  <si>
    <t>CR1Non-IF-GA40/40</t>
  </si>
  <si>
    <t>CR1Non-IF-GA50/50</t>
  </si>
  <si>
    <t>CR1Non-IF-GI40/40</t>
  </si>
  <si>
    <t>CR1Non-IF-GI50/50</t>
  </si>
  <si>
    <t>CR1Non-IF-GI60/60</t>
  </si>
  <si>
    <t>CR1Non-IF-GI70/70</t>
  </si>
  <si>
    <t>CR1Non-IF-UC</t>
  </si>
  <si>
    <t>CR1Non-IF-ZM30/30</t>
  </si>
  <si>
    <t>CR1Non-IF-ZM40/40</t>
  </si>
  <si>
    <t>CR1Non-IF-ZM50/50</t>
  </si>
  <si>
    <t>CR1-AS30/30</t>
  </si>
  <si>
    <t>CR1-AS45/45</t>
  </si>
  <si>
    <t>CR1-AS60/60</t>
  </si>
  <si>
    <t>CR1-EG12/12</t>
  </si>
  <si>
    <t>CR1-EG29/29</t>
  </si>
  <si>
    <t>CR1-EG47/47</t>
  </si>
  <si>
    <t>CR1-GA40/40</t>
  </si>
  <si>
    <t>CR1-GA50/50</t>
  </si>
  <si>
    <t>CR1-GI40/40</t>
  </si>
  <si>
    <t>CR1-GI50/50</t>
  </si>
  <si>
    <t>CR1-GI60/60</t>
  </si>
  <si>
    <t>CR1-GI70/70</t>
  </si>
  <si>
    <t>CR1-UC</t>
  </si>
  <si>
    <t>CR1-ZM30/30</t>
  </si>
  <si>
    <t>CR1-ZM40/40</t>
  </si>
  <si>
    <t>CR1-ZM50/50</t>
  </si>
  <si>
    <t>CR2IF-AS30/30</t>
  </si>
  <si>
    <t>CR2IF-AS45/45</t>
  </si>
  <si>
    <t>CR2IF-AS60/60</t>
  </si>
  <si>
    <t>CR2IF-EG12/12</t>
  </si>
  <si>
    <t>CR2IF-EG29/29</t>
  </si>
  <si>
    <t>CR2IF-EG47/47</t>
  </si>
  <si>
    <t>CR2IF-GA40/40</t>
  </si>
  <si>
    <t>CR2IF-GA50/50</t>
  </si>
  <si>
    <t>CR2IF-GI40/40</t>
  </si>
  <si>
    <t>CR2IF-GI50/50</t>
  </si>
  <si>
    <t>CR2IF-GI60/60</t>
  </si>
  <si>
    <t>CR2IF-GI70/70</t>
  </si>
  <si>
    <t>CR2IF-UC</t>
  </si>
  <si>
    <t>CR2IF-ZM30/30</t>
  </si>
  <si>
    <t>CR2IF-ZM40/40</t>
  </si>
  <si>
    <t>CR2IF-ZM50/50</t>
  </si>
  <si>
    <t>CR2Non-IF-AS30/30</t>
  </si>
  <si>
    <t>CR2Non-IF-AS45/45</t>
  </si>
  <si>
    <t>CR2Non-IF-AS60/60</t>
  </si>
  <si>
    <t>CR2Non-IF-EG12/12</t>
  </si>
  <si>
    <t>CR2Non-IF-EG29/29</t>
  </si>
  <si>
    <t>CR2Non-IF-EG47/47</t>
  </si>
  <si>
    <t>CR2Non-IF-GA40/40</t>
  </si>
  <si>
    <t>CR2Non-IF-GA50/50</t>
  </si>
  <si>
    <t>CR2Non-IF-GI40/40</t>
  </si>
  <si>
    <t>CR2Non-IF-GI50/50</t>
  </si>
  <si>
    <t>CR2Non-IF-GI60/60</t>
  </si>
  <si>
    <t>CR2Non-IF-GI70/70</t>
  </si>
  <si>
    <t>CR2Non-IF-UC</t>
  </si>
  <si>
    <t>CR2Non-IF-ZM30/30</t>
  </si>
  <si>
    <t>CR2Non-IF-ZM40/40</t>
  </si>
  <si>
    <t>CR2Non-IF-ZM50/50</t>
  </si>
  <si>
    <t>CR2-AS30/30</t>
  </si>
  <si>
    <t>CR2-AS45/45</t>
  </si>
  <si>
    <t>CR2-AS60/60</t>
  </si>
  <si>
    <t>CR2-EG12/12</t>
  </si>
  <si>
    <t>CR2-EG29/29</t>
  </si>
  <si>
    <t>CR2-EG47/47</t>
  </si>
  <si>
    <t>CR2-GA40/40</t>
  </si>
  <si>
    <t>CR2-GA50/50</t>
  </si>
  <si>
    <t>CR2-GI40/40</t>
  </si>
  <si>
    <t>CR2-GI50/50</t>
  </si>
  <si>
    <t>CR2-GI60/60</t>
  </si>
  <si>
    <t>CR2-GI70/70</t>
  </si>
  <si>
    <t>CR2-UC</t>
  </si>
  <si>
    <t>CR2-ZM30/30</t>
  </si>
  <si>
    <t>CR2-ZM40/40</t>
  </si>
  <si>
    <t>CR2-ZM50/50</t>
  </si>
  <si>
    <t>CR3IF-AS30/30</t>
  </si>
  <si>
    <t>CR3IF-AS45/45</t>
  </si>
  <si>
    <t>CR3IF-AS60/60</t>
  </si>
  <si>
    <t>CR3IF-EG12/12</t>
  </si>
  <si>
    <t>CR3IF-EG29/29</t>
  </si>
  <si>
    <t>CR3IF-EG47/47</t>
  </si>
  <si>
    <t>CR3IF-GA40/40</t>
  </si>
  <si>
    <t>CR3IF-GA50/50</t>
  </si>
  <si>
    <t>CR3IF-GI40/40</t>
  </si>
  <si>
    <t>CR3IF-GI50/50</t>
  </si>
  <si>
    <t>CR3IF-GI60/60</t>
  </si>
  <si>
    <t>CR3IF-GI70/70</t>
  </si>
  <si>
    <t>CR3IF-UC</t>
  </si>
  <si>
    <t>CR3IF-ZM30/30</t>
  </si>
  <si>
    <t>CR3IF-ZM40/40</t>
  </si>
  <si>
    <t>CR3IF-ZM50/50</t>
  </si>
  <si>
    <t>CR3Non-IF-AS30/30</t>
  </si>
  <si>
    <t>CR3Non-IF-AS45/45</t>
  </si>
  <si>
    <t>CR3Non-IF-AS60/60</t>
  </si>
  <si>
    <t>CR3Non-IF-EG12/12</t>
  </si>
  <si>
    <t>CR3Non-IF-EG29/29</t>
  </si>
  <si>
    <t>CR3Non-IF-EG47/47</t>
  </si>
  <si>
    <t>CR3Non-IF-GA40/40</t>
  </si>
  <si>
    <t>CR3Non-IF-GA50/50</t>
  </si>
  <si>
    <t>CR3Non-IF-GI40/40</t>
  </si>
  <si>
    <t>CR3Non-IF-GI50/50</t>
  </si>
  <si>
    <t>CR3Non-IF-GI60/60</t>
  </si>
  <si>
    <t>CR3Non-IF-GI70/70</t>
  </si>
  <si>
    <t>CR3Non-IF-UC</t>
  </si>
  <si>
    <t>CR3Non-IF-ZM30/30</t>
  </si>
  <si>
    <t>CR3Non-IF-ZM40/40</t>
  </si>
  <si>
    <t>CR3Non-IF-ZM50/50</t>
  </si>
  <si>
    <t>CR3-AS30/30</t>
  </si>
  <si>
    <t>CR3-AS45/45</t>
  </si>
  <si>
    <t>CR3-AS60/60</t>
  </si>
  <si>
    <t>CR3-EG12/12</t>
  </si>
  <si>
    <t>CR3-EG29/29</t>
  </si>
  <si>
    <t>CR3-EG47/47</t>
  </si>
  <si>
    <t>CR3-GA40/40</t>
  </si>
  <si>
    <t>CR3-GA50/50</t>
  </si>
  <si>
    <t>CR3-GI40/40</t>
  </si>
  <si>
    <t>CR3-GI50/50</t>
  </si>
  <si>
    <t>CR3-GI60/60</t>
  </si>
  <si>
    <t>CR3-GI70/70</t>
  </si>
  <si>
    <t>CR3-UC</t>
  </si>
  <si>
    <t>CR3-ZM30/30</t>
  </si>
  <si>
    <t>CR3-ZM40/40</t>
  </si>
  <si>
    <t>CR3-ZM50/50</t>
  </si>
  <si>
    <t>CR4IF-AS30/30</t>
  </si>
  <si>
    <t>CR4IF-AS45/45</t>
  </si>
  <si>
    <t>CR4IF-AS60/60</t>
  </si>
  <si>
    <t>CR4IF-EG12/12</t>
  </si>
  <si>
    <t>CR4IF-EG29/29</t>
  </si>
  <si>
    <t>CR4IF-EG47/47</t>
  </si>
  <si>
    <t>CR4IF-GA40/40</t>
  </si>
  <si>
    <t>CR4IF-GA50/50</t>
  </si>
  <si>
    <t>CR4IF-GI40/40</t>
  </si>
  <si>
    <t>CR4IF-GI50/50</t>
  </si>
  <si>
    <t>CR4IF-GI60/60</t>
  </si>
  <si>
    <t>CR4IF-GI70/70</t>
  </si>
  <si>
    <t>CR4IF-UC</t>
  </si>
  <si>
    <t>CR4IF-ZM30/30</t>
  </si>
  <si>
    <t>CR4IF-ZM40/40</t>
  </si>
  <si>
    <t>CR4IF-ZM50/50</t>
  </si>
  <si>
    <t>CR4Non-IF-AS30/30</t>
  </si>
  <si>
    <t>CR4Non-IF-AS45/45</t>
  </si>
  <si>
    <t>CR4Non-IF-AS60/60</t>
  </si>
  <si>
    <t>CR4Non-IF-EG12/12</t>
  </si>
  <si>
    <t>CR4Non-IF-EG29/29</t>
  </si>
  <si>
    <t>CR4Non-IF-EG47/47</t>
  </si>
  <si>
    <t>CR4Non-IF-GA40/40</t>
  </si>
  <si>
    <t>CR4Non-IF-GA50/50</t>
  </si>
  <si>
    <t>CR4Non-IF-GI40/40</t>
  </si>
  <si>
    <t>CR4Non-IF-GI50/50</t>
  </si>
  <si>
    <t>CR4Non-IF-GI60/60</t>
  </si>
  <si>
    <t>CR4Non-IF-GI70/70</t>
  </si>
  <si>
    <t>CR4Non-IF-UC</t>
  </si>
  <si>
    <t>CR4Non-IF-ZM30/30</t>
  </si>
  <si>
    <t>CR4Non-IF-ZM40/40</t>
  </si>
  <si>
    <t>CR4Non-IF-ZM50/50</t>
  </si>
  <si>
    <t>CR4-AS30/30</t>
  </si>
  <si>
    <t>CR4-AS45/45</t>
  </si>
  <si>
    <t>CR4-AS60/60</t>
  </si>
  <si>
    <t>CR4-EG12/12</t>
  </si>
  <si>
    <t>CR4-EG29/29</t>
  </si>
  <si>
    <t>CR4-EG47/47</t>
  </si>
  <si>
    <t>CR4-GA40/40</t>
  </si>
  <si>
    <t>CR4-GA50/50</t>
  </si>
  <si>
    <t>CR4-GI40/40</t>
  </si>
  <si>
    <t>CR4-GI50/50</t>
  </si>
  <si>
    <t>CR4-GI60/60</t>
  </si>
  <si>
    <t>CR4-GI70/70</t>
  </si>
  <si>
    <t>CR4-UC</t>
  </si>
  <si>
    <t>CR4-ZM30/30</t>
  </si>
  <si>
    <t>CR4-ZM40/40</t>
  </si>
  <si>
    <t>CR4-ZM50/50</t>
  </si>
  <si>
    <t>CR5IF-AS30/30</t>
  </si>
  <si>
    <t>CR5IF-AS45/45</t>
  </si>
  <si>
    <t>CR5IF-AS60/60</t>
  </si>
  <si>
    <t>CR5IF-EG12/12</t>
  </si>
  <si>
    <t>CR5IF-EG29/29</t>
  </si>
  <si>
    <t>CR5IF-EG47/47</t>
  </si>
  <si>
    <t>CR5IF-GA40/40</t>
  </si>
  <si>
    <t>CR5IF-GA50/50</t>
  </si>
  <si>
    <t>CR5IF-GI40/40</t>
  </si>
  <si>
    <t>CR5IF-GI50/50</t>
  </si>
  <si>
    <t>CR5IF-GI60/60</t>
  </si>
  <si>
    <t>CR5IF-GI70/70</t>
  </si>
  <si>
    <t>CR5IF-UC</t>
  </si>
  <si>
    <t>CR5IF-ZM30/30</t>
  </si>
  <si>
    <t>CR5IF-ZM40/40</t>
  </si>
  <si>
    <t>CR5IF-ZM50/50</t>
  </si>
  <si>
    <t>CR5Non-IF-AS30/30</t>
  </si>
  <si>
    <t>CR5Non-IF-AS45/45</t>
  </si>
  <si>
    <t>CR5Non-IF-AS60/60</t>
  </si>
  <si>
    <t>CR5Non-IF-EG12/12</t>
  </si>
  <si>
    <t>CR5Non-IF-EG29/29</t>
  </si>
  <si>
    <t>CR5Non-IF-EG47/47</t>
  </si>
  <si>
    <t>CR5Non-IF-GA40/40</t>
  </si>
  <si>
    <t>CR5Non-IF-GA50/50</t>
  </si>
  <si>
    <t>CR5Non-IF-GI40/40</t>
  </si>
  <si>
    <t>CR5Non-IF-GI50/50</t>
  </si>
  <si>
    <t>CR5Non-IF-GI60/60</t>
  </si>
  <si>
    <t>CR5Non-IF-GI70/70</t>
  </si>
  <si>
    <t>CR5Non-IF-UC</t>
  </si>
  <si>
    <t>CR5Non-IF-ZM30/30</t>
  </si>
  <si>
    <t>CR5Non-IF-ZM40/40</t>
  </si>
  <si>
    <t>CR5Non-IF-ZM50/50</t>
  </si>
  <si>
    <t>CR5-AS30/30</t>
  </si>
  <si>
    <t>CR5-AS45/45</t>
  </si>
  <si>
    <t>CR5-AS60/60</t>
  </si>
  <si>
    <t>CR5-EG12/12</t>
  </si>
  <si>
    <t>CR5-EG29/29</t>
  </si>
  <si>
    <t>CR5-EG47/47</t>
  </si>
  <si>
    <t>CR5-GA40/40</t>
  </si>
  <si>
    <t>CR5-GA50/50</t>
  </si>
  <si>
    <t>CR5-GI40/40</t>
  </si>
  <si>
    <t>CR5-GI50/50</t>
  </si>
  <si>
    <t>CR5-GI60/60</t>
  </si>
  <si>
    <t>CR5-GI70/70</t>
  </si>
  <si>
    <t>CR5-UC</t>
  </si>
  <si>
    <t>CR5-ZM30/30</t>
  </si>
  <si>
    <t>CR5-ZM40/40</t>
  </si>
  <si>
    <t>CR5-ZM50/50</t>
  </si>
  <si>
    <t>CR6IF-AS30/30</t>
  </si>
  <si>
    <t>CR6IF-AS45/45</t>
  </si>
  <si>
    <t>CR6IF-AS60/60</t>
  </si>
  <si>
    <t>CR6IF-EG12/12</t>
  </si>
  <si>
    <t>CR6IF-EG29/29</t>
  </si>
  <si>
    <t>CR6IF-EG47/47</t>
  </si>
  <si>
    <t>CR6IF-GA40/40</t>
  </si>
  <si>
    <t>CR6IF-GA50/50</t>
  </si>
  <si>
    <t>CR6IF-GI40/40</t>
  </si>
  <si>
    <t>CR6IF-GI50/50</t>
  </si>
  <si>
    <t>CR6IF-GI60/60</t>
  </si>
  <si>
    <t>CR6IF-GI70/70</t>
  </si>
  <si>
    <t>CR6IF-UC</t>
  </si>
  <si>
    <t>CR6IF-ZM30/30</t>
  </si>
  <si>
    <t>CR6IF-ZM40/40</t>
  </si>
  <si>
    <t>CR6IF-ZM50/50</t>
  </si>
  <si>
    <t>CR6Non-IF-AS30/30</t>
  </si>
  <si>
    <t>CR6Non-IF-AS45/45</t>
  </si>
  <si>
    <t>CR6Non-IF-AS60/60</t>
  </si>
  <si>
    <t>CR6Non-IF-EG12/12</t>
  </si>
  <si>
    <t>CR6Non-IF-EG29/29</t>
  </si>
  <si>
    <t>CR6Non-IF-EG47/47</t>
  </si>
  <si>
    <t>CR6Non-IF-GA40/40</t>
  </si>
  <si>
    <t>CR6Non-IF-GA50/50</t>
  </si>
  <si>
    <t>CR6Non-IF-GI40/40</t>
  </si>
  <si>
    <t>CR6Non-IF-GI50/50</t>
  </si>
  <si>
    <t>CR6Non-IF-GI60/60</t>
  </si>
  <si>
    <t>CR6Non-IF-GI70/70</t>
  </si>
  <si>
    <t>CR6Non-IF-UC</t>
  </si>
  <si>
    <t>CR6Non-IF-ZM30/30</t>
  </si>
  <si>
    <t>CR6Non-IF-ZM40/40</t>
  </si>
  <si>
    <t>CR6Non-IF-ZM50/50</t>
  </si>
  <si>
    <t>CR6-AS30/30</t>
  </si>
  <si>
    <t>CR6-AS45/45</t>
  </si>
  <si>
    <t>CR6-AS60/60</t>
  </si>
  <si>
    <t>CR6-EG12/12</t>
  </si>
  <si>
    <t>CR6-EG29/29</t>
  </si>
  <si>
    <t>CR6-EG47/47</t>
  </si>
  <si>
    <t>CR6-GA40/40</t>
  </si>
  <si>
    <t>CR6-GA50/50</t>
  </si>
  <si>
    <t>CR6-GI40/40</t>
  </si>
  <si>
    <t>CR6-GI50/50</t>
  </si>
  <si>
    <t>CR6-GI60/60</t>
  </si>
  <si>
    <t>CR6-GI70/70</t>
  </si>
  <si>
    <t>CR6-UC</t>
  </si>
  <si>
    <t>CR6-ZM30/30</t>
  </si>
  <si>
    <t>CR6-ZM40/40</t>
  </si>
  <si>
    <t>CR6-ZM50/50</t>
  </si>
  <si>
    <t>HR2IF-AS30/30</t>
  </si>
  <si>
    <t>HR2IF-AS45/45</t>
  </si>
  <si>
    <t>HR2IF-AS60/60</t>
  </si>
  <si>
    <t>HR2IF-EG12/12</t>
  </si>
  <si>
    <t>HR2IF-EG29/29</t>
  </si>
  <si>
    <t>HR2IF-EG47/47</t>
  </si>
  <si>
    <t>HR2IF-GA40/40</t>
  </si>
  <si>
    <t>HR2IF-GA50/50</t>
  </si>
  <si>
    <t>HR2IF-GI40/40</t>
  </si>
  <si>
    <t>HR2IF-GI50/50</t>
  </si>
  <si>
    <t>HR2IF-GI60/60</t>
  </si>
  <si>
    <t>HR2IF-GI70/70</t>
  </si>
  <si>
    <t>HR2IF-UC</t>
  </si>
  <si>
    <t>HR2IF-ZM30/30</t>
  </si>
  <si>
    <t>HR2IF-ZM40/40</t>
  </si>
  <si>
    <t>HR2IF-ZM50/50</t>
  </si>
  <si>
    <t>HR2Non-IF-AS30/30</t>
  </si>
  <si>
    <t>HR2Non-IF-AS45/45</t>
  </si>
  <si>
    <t>HR2Non-IF-AS60/60</t>
  </si>
  <si>
    <t>HR2Non-IF-EG12/12</t>
  </si>
  <si>
    <t>HR2Non-IF-EG29/29</t>
  </si>
  <si>
    <t>HR2Non-IF-EG47/47</t>
  </si>
  <si>
    <t>HR2Non-IF-GA40/40</t>
  </si>
  <si>
    <t>HR2Non-IF-GA50/50</t>
  </si>
  <si>
    <t>HR2Non-IF-GI40/40</t>
  </si>
  <si>
    <t>HR2Non-IF-GI50/50</t>
  </si>
  <si>
    <t>HR2Non-IF-GI60/60</t>
  </si>
  <si>
    <t>HR2Non-IF-GI70/70</t>
  </si>
  <si>
    <t>HR2Non-IF-UC</t>
  </si>
  <si>
    <t>HR2Non-IF-ZM30/30</t>
  </si>
  <si>
    <t>HR2Non-IF-ZM40/40</t>
  </si>
  <si>
    <t>HR2Non-IF-ZM50/50</t>
  </si>
  <si>
    <t>HR2-AS30/30</t>
  </si>
  <si>
    <t>HR2-AS45/45</t>
  </si>
  <si>
    <t>HR2-AS60/60</t>
  </si>
  <si>
    <t>HR2-EG12/12</t>
  </si>
  <si>
    <t>HR2-EG29/29</t>
  </si>
  <si>
    <t>HR2-EG47/47</t>
  </si>
  <si>
    <t>HR2-GA40/40</t>
  </si>
  <si>
    <t>HR2-GA50/50</t>
  </si>
  <si>
    <t>HR2-GI40/40</t>
  </si>
  <si>
    <t>HR2-GI50/50</t>
  </si>
  <si>
    <t>HR2-GI60/60</t>
  </si>
  <si>
    <t>HR2-GI70/70</t>
  </si>
  <si>
    <t>HR2-UC</t>
  </si>
  <si>
    <t>HR2-ZM30/30</t>
  </si>
  <si>
    <t>HR2-ZM40/40</t>
  </si>
  <si>
    <t>HR2-ZM50/50</t>
  </si>
  <si>
    <t>CR210P-EG12/12</t>
  </si>
  <si>
    <t>Hochfeste Stähle</t>
  </si>
  <si>
    <t>CR210P-EG29/29</t>
  </si>
  <si>
    <t>CR210P-EG47/47</t>
  </si>
  <si>
    <t>CR210P-GI40/40</t>
  </si>
  <si>
    <t>CR210P-GI50/50</t>
  </si>
  <si>
    <t>CR210P-GI60/60</t>
  </si>
  <si>
    <t>CR210P-GI70/70</t>
  </si>
  <si>
    <t>CR210P-GA40/40</t>
  </si>
  <si>
    <t>CR210P-GA50/50</t>
  </si>
  <si>
    <t>CR210P-AS30/30</t>
  </si>
  <si>
    <t>CR210P-AS45/45</t>
  </si>
  <si>
    <t>CR210P-AS60/60</t>
  </si>
  <si>
    <t>CR210P-ZM30/30</t>
  </si>
  <si>
    <t>CR210P-ZM40/40</t>
  </si>
  <si>
    <t>CR210P-ZM50/50</t>
  </si>
  <si>
    <t>CR210P-UC</t>
  </si>
  <si>
    <t>CR240P-EG12/12</t>
  </si>
  <si>
    <t>CR240P-EG29/29</t>
  </si>
  <si>
    <t>CR240P-EG47/47</t>
  </si>
  <si>
    <t>CR240P-GI40/40</t>
  </si>
  <si>
    <t>CR240P-GI50/50</t>
  </si>
  <si>
    <t>CR240P-GI60/60</t>
  </si>
  <si>
    <t>CR240P-GI70/70</t>
  </si>
  <si>
    <t>CR240P-GA40/40</t>
  </si>
  <si>
    <t>CR240P-GA50/50</t>
  </si>
  <si>
    <t>CR240P-AS30/30</t>
  </si>
  <si>
    <t>CR240P-AS45/45</t>
  </si>
  <si>
    <t>CR240P-AS60/60</t>
  </si>
  <si>
    <t>CR240P-ZM30/30</t>
  </si>
  <si>
    <t>CR240P-ZM40/40</t>
  </si>
  <si>
    <t>CR240P-ZM50/50</t>
  </si>
  <si>
    <t>CR240P-UC</t>
  </si>
  <si>
    <t>CR180BH-EG12/12</t>
  </si>
  <si>
    <t>CR180BH-EG29/29</t>
  </si>
  <si>
    <t>CR180BH-EG47/47</t>
  </si>
  <si>
    <t>CR180BH-GI40/40</t>
  </si>
  <si>
    <t>CR180BH-GI50/50</t>
  </si>
  <si>
    <t>CR180BH-GI60/60</t>
  </si>
  <si>
    <t>CR180BH-GI70/70</t>
  </si>
  <si>
    <t>CR180BH-GA40/40</t>
  </si>
  <si>
    <t>CR180BH-GA50/50</t>
  </si>
  <si>
    <t>CR180BH-AS30/30</t>
  </si>
  <si>
    <t>CR180BH-AS45/45</t>
  </si>
  <si>
    <t>CR180BH-AS60/60</t>
  </si>
  <si>
    <t>CR180BH-ZM30/30</t>
  </si>
  <si>
    <t>CR180BH-ZM40/40</t>
  </si>
  <si>
    <t>CR180BH-ZM50/50</t>
  </si>
  <si>
    <t>CR180BH-UC</t>
  </si>
  <si>
    <t>CR210BH-EG12/12</t>
  </si>
  <si>
    <t>CR210BH-EG29/29</t>
  </si>
  <si>
    <t>CR210BH-EG47/47</t>
  </si>
  <si>
    <t>CR210BH-GI40/40</t>
  </si>
  <si>
    <t>CR210BH-GI50/50</t>
  </si>
  <si>
    <t>CR210BH-GI60/60</t>
  </si>
  <si>
    <t>CR210BH-GI70/70</t>
  </si>
  <si>
    <t>CR210BH-GA40/40</t>
  </si>
  <si>
    <t>CR210BH-GA50/50</t>
  </si>
  <si>
    <t>CR210BH-AS30/30</t>
  </si>
  <si>
    <t>CR210BH-AS45/45</t>
  </si>
  <si>
    <t>CR210BH-AS60/60</t>
  </si>
  <si>
    <t>CR210BH-ZM30/30</t>
  </si>
  <si>
    <t>CR210BH-ZM40/40</t>
  </si>
  <si>
    <t>CR210BH-ZM50/50</t>
  </si>
  <si>
    <t>CR210BH-UC</t>
  </si>
  <si>
    <t>CR240BH-EG12/12</t>
  </si>
  <si>
    <t>CR240BH-EG29/29</t>
  </si>
  <si>
    <t>CR240BH-EG47/47</t>
  </si>
  <si>
    <t>CR240BH-GI40/40</t>
  </si>
  <si>
    <t>CR240BH-GI50/50</t>
  </si>
  <si>
    <t>CR240BH-GI60/60</t>
  </si>
  <si>
    <t>CR240BH-GI70/70</t>
  </si>
  <si>
    <t>CR240BH-GA40/40</t>
  </si>
  <si>
    <t>CR240BH-GA50/50</t>
  </si>
  <si>
    <t>CR240BH-AS30/30</t>
  </si>
  <si>
    <t>CR240BH-AS45/45</t>
  </si>
  <si>
    <t>CR240BH-AS60/60</t>
  </si>
  <si>
    <t>CR240BH-ZM30/30</t>
  </si>
  <si>
    <t>CR240BH-ZM40/40</t>
  </si>
  <si>
    <t>CR240BH-ZM50/50</t>
  </si>
  <si>
    <t>CR240BH-UC</t>
  </si>
  <si>
    <t>CR160IF-EG12/12</t>
  </si>
  <si>
    <t>CR160IF-EG29/29</t>
  </si>
  <si>
    <t>CR160IF-EG47/47</t>
  </si>
  <si>
    <t>CR160IF-GI40/40</t>
  </si>
  <si>
    <t>CR160IF-GI50/50</t>
  </si>
  <si>
    <t>CR160IF-GI60/60</t>
  </si>
  <si>
    <t>CR160IF-GI70/70</t>
  </si>
  <si>
    <t>CR160IF-GA40/40</t>
  </si>
  <si>
    <t>CR160IF-GA50/50</t>
  </si>
  <si>
    <t>CR160IF-AS30/30</t>
  </si>
  <si>
    <t>CR160IF-AS45/45</t>
  </si>
  <si>
    <t>CR160IF-AS60/60</t>
  </si>
  <si>
    <t>CR160IF-ZM30/30</t>
  </si>
  <si>
    <t>CR160IF-ZM40/40</t>
  </si>
  <si>
    <t>CR160IF-ZM50/50</t>
  </si>
  <si>
    <t>CR160IF-UC</t>
  </si>
  <si>
    <t>CR180IF-EG12/12</t>
  </si>
  <si>
    <t>CR180IF-EG29/29</t>
  </si>
  <si>
    <t>CR180IF-EG47/47</t>
  </si>
  <si>
    <t>CR180IF-GI40/40</t>
  </si>
  <si>
    <t>CR180IF-GI50/50</t>
  </si>
  <si>
    <t>CR180IF-GI60/60</t>
  </si>
  <si>
    <t>CR180IF-GI70/70</t>
  </si>
  <si>
    <t>CR180IF-GA40/40</t>
  </si>
  <si>
    <t>CR180IF-GA50/50</t>
  </si>
  <si>
    <t>CR180IF-AS30/30</t>
  </si>
  <si>
    <t>CR180IF-AS45/45</t>
  </si>
  <si>
    <t>CR180IF-AS60/60</t>
  </si>
  <si>
    <t>CR180IF-ZM30/30</t>
  </si>
  <si>
    <t>CR180IF-ZM40/40</t>
  </si>
  <si>
    <t>CR180IF-ZM50/50</t>
  </si>
  <si>
    <t>CR180IF-UC</t>
  </si>
  <si>
    <t>CR210IF-EG12/12</t>
  </si>
  <si>
    <t>CR210IF-EG29/29</t>
  </si>
  <si>
    <t>CR210IF-EG47/47</t>
  </si>
  <si>
    <t>CR210IF-GI40/40</t>
  </si>
  <si>
    <t>CR210IF-GI50/50</t>
  </si>
  <si>
    <t>CR210IF-GI60/60</t>
  </si>
  <si>
    <t>CR210IF-GI70/70</t>
  </si>
  <si>
    <t>CR210IF-GA40/40</t>
  </si>
  <si>
    <t>CR210IF-GA50/50</t>
  </si>
  <si>
    <t>CR210IF-AS30/30</t>
  </si>
  <si>
    <t>CR210IF-AS45/45</t>
  </si>
  <si>
    <t>CR210IF-AS60/60</t>
  </si>
  <si>
    <t>CR210IF-ZM30/30</t>
  </si>
  <si>
    <t>CR210IF-ZM40/40</t>
  </si>
  <si>
    <t>CR210IF-ZM50/50</t>
  </si>
  <si>
    <t>CR210IF-UC</t>
  </si>
  <si>
    <t>CR240IF-EG12/12</t>
  </si>
  <si>
    <t>CR240IF-EG29/29</t>
  </si>
  <si>
    <t>CR240IF-EG47/47</t>
  </si>
  <si>
    <t>CR240IF-GI40/40</t>
  </si>
  <si>
    <t>CR240IF-GI50/50</t>
  </si>
  <si>
    <t>CR240IF-GI60/60</t>
  </si>
  <si>
    <t>CR240IF-GI70/70</t>
  </si>
  <si>
    <t>CR240IF-GA40/40</t>
  </si>
  <si>
    <t>CR240IF-GA50/50</t>
  </si>
  <si>
    <t>CR240IF-AS30/30</t>
  </si>
  <si>
    <t>CR240IF-AS45/45</t>
  </si>
  <si>
    <t>CR240IF-AS60/60</t>
  </si>
  <si>
    <t>CR240IF-ZM30/30</t>
  </si>
  <si>
    <t>CR240IF-ZM40/40</t>
  </si>
  <si>
    <t>CR240IF-ZM50/50</t>
  </si>
  <si>
    <t>CR240IF-UC</t>
  </si>
  <si>
    <t>CR210LA-EG12/12</t>
  </si>
  <si>
    <t>CR210LA-EG29/29</t>
  </si>
  <si>
    <t>CR210LA-EG47/47</t>
  </si>
  <si>
    <t>CR210LA-GI50/50</t>
  </si>
  <si>
    <t>CR210LA-GI60/60</t>
  </si>
  <si>
    <t>CR210LA-GI70/70</t>
  </si>
  <si>
    <t>CR210LA-GA40/40</t>
  </si>
  <si>
    <t>CR210LA-GA50/50</t>
  </si>
  <si>
    <t>CR210LA-AS30/30</t>
  </si>
  <si>
    <t>CR210LA-AS45/45</t>
  </si>
  <si>
    <t>CR210LA-AS60/60</t>
  </si>
  <si>
    <t>CR210LA-ZM30/30</t>
  </si>
  <si>
    <t>CR210LA-ZM40/40</t>
  </si>
  <si>
    <t>CR210LA-ZM50/50</t>
  </si>
  <si>
    <t>CR210LA-UC</t>
  </si>
  <si>
    <t>CR240LA-EG12/12</t>
  </si>
  <si>
    <t>CR240LA-EG29/29</t>
  </si>
  <si>
    <t>CR240LA-EG47/47</t>
  </si>
  <si>
    <t>CR240LA-GI40/40</t>
  </si>
  <si>
    <t>CR240LA-GI50/50</t>
  </si>
  <si>
    <t>CR240LA-GI60/60</t>
  </si>
  <si>
    <t>CR240LA-GI70/70</t>
  </si>
  <si>
    <t>CR240LA-GA40/40</t>
  </si>
  <si>
    <t>CR240LA-GA50/50</t>
  </si>
  <si>
    <t>CR240LA-AS30/30</t>
  </si>
  <si>
    <t>CR240LA-AS45/45</t>
  </si>
  <si>
    <t>CR240LA-AS60/60</t>
  </si>
  <si>
    <t>CR240LA-ZM30/30</t>
  </si>
  <si>
    <t>CR240LA-ZM40/40</t>
  </si>
  <si>
    <t>CR240LA-ZM50/50</t>
  </si>
  <si>
    <t>CR240LA-UC</t>
  </si>
  <si>
    <t>CR270LA-EG12/12</t>
  </si>
  <si>
    <t>CR270LA-EG29/29</t>
  </si>
  <si>
    <t>CR270LA-EG47/47</t>
  </si>
  <si>
    <t>CR270LA-GI40/40</t>
  </si>
  <si>
    <t>CR270LA-GI50/50</t>
  </si>
  <si>
    <t>CR270LA-GI60/60</t>
  </si>
  <si>
    <t>CR270LA-GI70/70</t>
  </si>
  <si>
    <t>CR270LA-GA40/40</t>
  </si>
  <si>
    <t>CR270LA-GA50/50</t>
  </si>
  <si>
    <t>CR270LA-AS30/30</t>
  </si>
  <si>
    <t>CR270LA-AS45/45</t>
  </si>
  <si>
    <t>CR270LA-AS60/60</t>
  </si>
  <si>
    <t>CR270LA-ZM30/30</t>
  </si>
  <si>
    <t>CR270LA-ZM40/40</t>
  </si>
  <si>
    <t>CR270LA-ZM50/50</t>
  </si>
  <si>
    <t>CR270LA-UC</t>
  </si>
  <si>
    <t>CR300LA-EG12/12</t>
  </si>
  <si>
    <t>CR300LA-EG29/29</t>
  </si>
  <si>
    <t>CR300LA-EG47/47</t>
  </si>
  <si>
    <t>CR300LA-GI40/40</t>
  </si>
  <si>
    <t>CR300LA-GI50/50</t>
  </si>
  <si>
    <t>CR300LA-GI60/60</t>
  </si>
  <si>
    <t>CR300LA-GI70/70</t>
  </si>
  <si>
    <t>CR300LA-GA40/40</t>
  </si>
  <si>
    <t>CR300LA-GA50/50</t>
  </si>
  <si>
    <t>CR300LA-AS30/30</t>
  </si>
  <si>
    <t>CR300LA-AS45/45</t>
  </si>
  <si>
    <t>CR300LA-AS60/60</t>
  </si>
  <si>
    <t>CR300LA-ZM30/30</t>
  </si>
  <si>
    <t>CR300LA-ZM40/40</t>
  </si>
  <si>
    <t>CR300LA-ZM50/50</t>
  </si>
  <si>
    <t>CR300LA-UC</t>
  </si>
  <si>
    <t>CR340LA-EG12/12</t>
  </si>
  <si>
    <t>CR340LA-EG29/29</t>
  </si>
  <si>
    <t>CR340LA-EG47/47</t>
  </si>
  <si>
    <t>CR340LA-GI40/40</t>
  </si>
  <si>
    <t>CR340LA-GI50/50</t>
  </si>
  <si>
    <t>CR340LA-GI60/60</t>
  </si>
  <si>
    <t>CR340LA-GI70/70</t>
  </si>
  <si>
    <t>CR340LA-GA40/40</t>
  </si>
  <si>
    <t>CR340LA-GA50/50</t>
  </si>
  <si>
    <t>CR340LA-AS30/30</t>
  </si>
  <si>
    <t>CR340LA-AS45/45</t>
  </si>
  <si>
    <t>CR340LA-AS60/60</t>
  </si>
  <si>
    <t>CR340LA-ZM30/30</t>
  </si>
  <si>
    <t>CR340LA-ZM40/40</t>
  </si>
  <si>
    <t>CR340LA-ZM50/50</t>
  </si>
  <si>
    <t>CR340LA-UC</t>
  </si>
  <si>
    <t>CR380LA-EG12/12</t>
  </si>
  <si>
    <t>CR380LA-EG29/29</t>
  </si>
  <si>
    <t>CR380LA-EG47/47</t>
  </si>
  <si>
    <t>CR380LA-GI40/40</t>
  </si>
  <si>
    <t>CR380LA-GI50/50</t>
  </si>
  <si>
    <t>CR380LA-GI60/60</t>
  </si>
  <si>
    <t>CR380LA-GI70/70</t>
  </si>
  <si>
    <t>CR380LA-GA40/40</t>
  </si>
  <si>
    <t>CR380LA-GA50/50</t>
  </si>
  <si>
    <t>CR380LA-AS30/30</t>
  </si>
  <si>
    <t>CR380LA-AS45/45</t>
  </si>
  <si>
    <t>CR380LA-AS60/60</t>
  </si>
  <si>
    <t>CR380LA-ZM30/30</t>
  </si>
  <si>
    <t>CR380LA-ZM40/40</t>
  </si>
  <si>
    <t>CR380LA-ZM50/50</t>
  </si>
  <si>
    <t>CR380LA-UC</t>
  </si>
  <si>
    <t>CR420LA-EG12/12</t>
  </si>
  <si>
    <t>CR420LA-EG29/29</t>
  </si>
  <si>
    <t>CR420LA-EG47/47</t>
  </si>
  <si>
    <t>CR420LA-GI40/40</t>
  </si>
  <si>
    <t>CR420LA-GI50/50</t>
  </si>
  <si>
    <t>CR420LA-GI60/60</t>
  </si>
  <si>
    <t>CR420LA-GI70/70</t>
  </si>
  <si>
    <t>CR420LA-GA40/40</t>
  </si>
  <si>
    <t>CR420LA-GA50/50</t>
  </si>
  <si>
    <t>CR420LA-AS30/30</t>
  </si>
  <si>
    <t>CR420LA-AS45/45</t>
  </si>
  <si>
    <t>CR420LA-AS60/60</t>
  </si>
  <si>
    <t>CR420LA-ZM30/30</t>
  </si>
  <si>
    <t>CR420LA-ZM40/40</t>
  </si>
  <si>
    <t>CR420LA-ZM50/50</t>
  </si>
  <si>
    <t>CR420LA-UC</t>
  </si>
  <si>
    <t>CR460LA-EG12/12</t>
  </si>
  <si>
    <t>CR460LA-EG29/29</t>
  </si>
  <si>
    <t>CR460LA-EG47/47</t>
  </si>
  <si>
    <t>CR460LA-GI40/40</t>
  </si>
  <si>
    <t>CR460LA-GI50/50</t>
  </si>
  <si>
    <t>CR460LA-GI60/60</t>
  </si>
  <si>
    <t>CR460LA-GI70/70</t>
  </si>
  <si>
    <t>CR460LA-GA40/40</t>
  </si>
  <si>
    <t>CR460LA-GA50/50</t>
  </si>
  <si>
    <t>CR460LA-AS30/30</t>
  </si>
  <si>
    <t>CR460LA-AS45/45</t>
  </si>
  <si>
    <t>CR460LA-AS60/60</t>
  </si>
  <si>
    <t>CR460LA-ZM30/30</t>
  </si>
  <si>
    <t>CR460LA-ZM40/40</t>
  </si>
  <si>
    <t>CR460LA-ZM50/50</t>
  </si>
  <si>
    <t>CR460LA-UC</t>
  </si>
  <si>
    <t>HR300LA-EG12/12</t>
  </si>
  <si>
    <t>HR300LA-EG29/29</t>
  </si>
  <si>
    <t>HR300LA-EG47/47</t>
  </si>
  <si>
    <t>HR300LA-GI40/40</t>
  </si>
  <si>
    <t>HR300LA-GI50/50</t>
  </si>
  <si>
    <t>HR300LA-GI60/60</t>
  </si>
  <si>
    <t>HR300LA-GI70/70</t>
  </si>
  <si>
    <t>HR300LA-GA40/40</t>
  </si>
  <si>
    <t>HR300LA-GA50/50</t>
  </si>
  <si>
    <t>HR300LA-AS30/30</t>
  </si>
  <si>
    <t>HR300LA-AS45/45</t>
  </si>
  <si>
    <t>HR300LA-AS60/60</t>
  </si>
  <si>
    <t>HR300LA-ZM30/30</t>
  </si>
  <si>
    <t>HR300LA-ZM40/40</t>
  </si>
  <si>
    <t>HR300LA-ZM50/50</t>
  </si>
  <si>
    <t>HR300LA-UC</t>
  </si>
  <si>
    <t>HR340LA-EG12/12</t>
  </si>
  <si>
    <t>HR340LA-EG29/29</t>
  </si>
  <si>
    <t>HR340LA-EG47/47</t>
  </si>
  <si>
    <t>HR340LA-GI40/40</t>
  </si>
  <si>
    <t>HR340LA-GI50/50</t>
  </si>
  <si>
    <t>HR340LA-GI60/60</t>
  </si>
  <si>
    <t>HR340LA-GI70/70</t>
  </si>
  <si>
    <t>HR340LA-GA40/40</t>
  </si>
  <si>
    <t>HR340LA-GA50/50</t>
  </si>
  <si>
    <t>HR340LA-AS30/30</t>
  </si>
  <si>
    <t>HR340LA-AS45/45</t>
  </si>
  <si>
    <t>HR340LA-AS60/60</t>
  </si>
  <si>
    <t>HR340LA-ZM30/30</t>
  </si>
  <si>
    <t>HR340LA-ZM40/40</t>
  </si>
  <si>
    <t>HR340LA-ZM50/50</t>
  </si>
  <si>
    <t>HR340LA-UC</t>
  </si>
  <si>
    <t>HR420LA-EG12/12</t>
  </si>
  <si>
    <t>HR420LA-EG29/29</t>
  </si>
  <si>
    <t>HR420LA-EG47/47</t>
  </si>
  <si>
    <t>HR420LA-GI40/40</t>
  </si>
  <si>
    <t>HR420LA-GI50/50</t>
  </si>
  <si>
    <t>HR420LA-GI60/60</t>
  </si>
  <si>
    <t>HR420LA-GI70/70</t>
  </si>
  <si>
    <t>HR420LA-GA40/40</t>
  </si>
  <si>
    <t>HR420LA-GA50/50</t>
  </si>
  <si>
    <t>HR420LA-AS30/30</t>
  </si>
  <si>
    <t>HR420LA-AS45/45</t>
  </si>
  <si>
    <t>HR420LA-AS60/60</t>
  </si>
  <si>
    <t>HR420LA-ZM30/30</t>
  </si>
  <si>
    <t>HR420LA-ZM40/40</t>
  </si>
  <si>
    <t>HR420LA-ZM50/50</t>
  </si>
  <si>
    <t>HR420LA-UC</t>
  </si>
  <si>
    <t>HR460LA-EG12/12</t>
  </si>
  <si>
    <t>HR460LA-EG29/29</t>
  </si>
  <si>
    <t>HR460LA-EG47/47</t>
  </si>
  <si>
    <t>HR460LA-GI40/40</t>
  </si>
  <si>
    <t>HR460LA-GI50/50</t>
  </si>
  <si>
    <t>HR460LA-GI60/60</t>
  </si>
  <si>
    <t>HR460LA-GI70/70</t>
  </si>
  <si>
    <t>HR460LA-GA40/40</t>
  </si>
  <si>
    <t>HR460LA-GA50/50</t>
  </si>
  <si>
    <t>HR460LA-AS30/30</t>
  </si>
  <si>
    <t>HR460LA-AS45/45</t>
  </si>
  <si>
    <t>HR460LA-AS60/60</t>
  </si>
  <si>
    <t>HR460LA-ZM30/30</t>
  </si>
  <si>
    <t>HR460LA-ZM40/40</t>
  </si>
  <si>
    <t>HR460LA-ZM50/50</t>
  </si>
  <si>
    <t>HR460LA-UC</t>
  </si>
  <si>
    <t>HR500LA-EG12/12</t>
  </si>
  <si>
    <t>HR500LA-EG29/29</t>
  </si>
  <si>
    <t>HR500LA-EG47/47</t>
  </si>
  <si>
    <t>HR500LA-GI40/40</t>
  </si>
  <si>
    <t>HR500LA-GI50/50</t>
  </si>
  <si>
    <t>HR500LA-GI60/60</t>
  </si>
  <si>
    <t>HR500LA-GI70/70</t>
  </si>
  <si>
    <t>HR500LA-GA40/40</t>
  </si>
  <si>
    <t>HR500LA-GA50/50</t>
  </si>
  <si>
    <t>HR500LA-AS30/30</t>
  </si>
  <si>
    <t>HR500LA-AS45/45</t>
  </si>
  <si>
    <t>HR500LA-AS60/60</t>
  </si>
  <si>
    <t>HR500LA-ZM30/30</t>
  </si>
  <si>
    <t>HR500LA-ZM40/40</t>
  </si>
  <si>
    <t>HR500LA-ZM50/50</t>
  </si>
  <si>
    <t>HR500LA-UC</t>
  </si>
  <si>
    <t>HR300MC-EG12/12</t>
  </si>
  <si>
    <t>HR300MC-EG29/29</t>
  </si>
  <si>
    <t>HR300MC-EG47/47</t>
  </si>
  <si>
    <t>HR300MC-GI40/40</t>
  </si>
  <si>
    <t>HR300MC-GI50/50</t>
  </si>
  <si>
    <t>HR300MC-GI60/60</t>
  </si>
  <si>
    <t>HR300MC-GI70/70</t>
  </si>
  <si>
    <t>HR300MC-GA40/40</t>
  </si>
  <si>
    <t>HR300MC-GA50/50</t>
  </si>
  <si>
    <t>HR300MC-AS30/30</t>
  </si>
  <si>
    <t>HR300MC-AS45/45</t>
  </si>
  <si>
    <t>HR300MC-AS60/60</t>
  </si>
  <si>
    <t>HR300MC-ZM30/30</t>
  </si>
  <si>
    <t>HR300MC-ZM40/40</t>
  </si>
  <si>
    <t>HR300MC-ZM50/50</t>
  </si>
  <si>
    <t>HR300MC-UC</t>
  </si>
  <si>
    <t>HR340MC-EG12/12</t>
  </si>
  <si>
    <t>HR340MC-EG29/29</t>
  </si>
  <si>
    <t>HR340MC-EG47/47</t>
  </si>
  <si>
    <t>HR340MC-GI40/40</t>
  </si>
  <si>
    <t>HR340MC-GI50/50</t>
  </si>
  <si>
    <t>HR340MC-GI60/60</t>
  </si>
  <si>
    <t>HR340MC-GI70/70</t>
  </si>
  <si>
    <t>HR340MC-GA40/40</t>
  </si>
  <si>
    <t>HR340MC-GA50/50</t>
  </si>
  <si>
    <t>HR340MC-AS30/30</t>
  </si>
  <si>
    <t>HR340MC-AS45/45</t>
  </si>
  <si>
    <t>HR340MC-AS60/60</t>
  </si>
  <si>
    <t>HR340MC-ZM30/30</t>
  </si>
  <si>
    <t>HR340MC-ZM40/40</t>
  </si>
  <si>
    <t>HR340MC-ZM50/50</t>
  </si>
  <si>
    <t>HR340MC-UC</t>
  </si>
  <si>
    <t>HR420MC-EG12/12</t>
  </si>
  <si>
    <t>HR420MC-EG29/29</t>
  </si>
  <si>
    <t>HR420MC-EG47/47</t>
  </si>
  <si>
    <t>HR420MC-GI40/40</t>
  </si>
  <si>
    <t>HR420MC-GI50/50</t>
  </si>
  <si>
    <t>HR420MC-GI60/60</t>
  </si>
  <si>
    <t>HR420MC-GI70/70</t>
  </si>
  <si>
    <t>HR420MC-GA40/40</t>
  </si>
  <si>
    <t>HR420MC-GA50/50</t>
  </si>
  <si>
    <t>HR420MC-AS30/30</t>
  </si>
  <si>
    <t>HR420MC-AS45/45</t>
  </si>
  <si>
    <t>HR420MC-AS60/60</t>
  </si>
  <si>
    <t>HR420MC-ZM30/30</t>
  </si>
  <si>
    <t>HR420MC-ZM40/40</t>
  </si>
  <si>
    <t>HR420MC-ZM50/50</t>
  </si>
  <si>
    <t>HR420MC-UC</t>
  </si>
  <si>
    <t>HR460MC-EG12/12</t>
  </si>
  <si>
    <t>HR460MC-EG29/29</t>
  </si>
  <si>
    <t>HR460MC-EG47/47</t>
  </si>
  <si>
    <t>HR460MC-GI40/40</t>
  </si>
  <si>
    <t>HR460MC-GI50/50</t>
  </si>
  <si>
    <t>HR460MC-GI60/60</t>
  </si>
  <si>
    <t>HR460MC-GI70/70</t>
  </si>
  <si>
    <t>HR460MC-GA40/40</t>
  </si>
  <si>
    <t>HR460MC-GA50/50</t>
  </si>
  <si>
    <t>HR460MC-AS30/30</t>
  </si>
  <si>
    <t>HR460MC-AS45/45</t>
  </si>
  <si>
    <t>HR460MC-AS60/60</t>
  </si>
  <si>
    <t>HR460MC-ZM30/30</t>
  </si>
  <si>
    <t>HR460MC-ZM40/40</t>
  </si>
  <si>
    <t>HR460MC-ZM50/50</t>
  </si>
  <si>
    <t>HR460MC-UC</t>
  </si>
  <si>
    <t>HR500MC-EG12/12</t>
  </si>
  <si>
    <t>HR500MC-EG29/29</t>
  </si>
  <si>
    <t>HR500MC-EG47/47</t>
  </si>
  <si>
    <t>HR500MC-GI40/40</t>
  </si>
  <si>
    <t>HR500MC-GI50/50</t>
  </si>
  <si>
    <t>HR500MC-GI60/60</t>
  </si>
  <si>
    <t>HR500MC-GI70/70</t>
  </si>
  <si>
    <t>HR500MC-GA40/40</t>
  </si>
  <si>
    <t>HR500MC-GA50/50</t>
  </si>
  <si>
    <t>HR500MC-AS30/30</t>
  </si>
  <si>
    <t>HR500MC-AS45/45</t>
  </si>
  <si>
    <t>HR500MC-AS60/60</t>
  </si>
  <si>
    <t>HR500MC-ZM30/30</t>
  </si>
  <si>
    <t>HR500MC-ZM40/40</t>
  </si>
  <si>
    <t>HR500MC-ZM50/50</t>
  </si>
  <si>
    <t>HR500MC-UC</t>
  </si>
  <si>
    <t>HR550MC-EG12/12</t>
  </si>
  <si>
    <t>HR550MC-EG29/29</t>
  </si>
  <si>
    <t>HR550MC-EG47/47</t>
  </si>
  <si>
    <t>HR550MC-GI40/40</t>
  </si>
  <si>
    <t>HR550MC-GI50/50</t>
  </si>
  <si>
    <t>HR550MC-GI60/60</t>
  </si>
  <si>
    <t>HR550MC-GI70/70</t>
  </si>
  <si>
    <t>HR550MC-GA40/40</t>
  </si>
  <si>
    <t>HR550MC-GA50/50</t>
  </si>
  <si>
    <t>HR550MC-AS30/30</t>
  </si>
  <si>
    <t>HR550MC-AS45/45</t>
  </si>
  <si>
    <t>HR550MC-AS60/60</t>
  </si>
  <si>
    <t>HR550MC-ZM30/30</t>
  </si>
  <si>
    <t>HR550MC-ZM40/40</t>
  </si>
  <si>
    <t>HR550MC-ZM50/50</t>
  </si>
  <si>
    <t>HR550MC-UC</t>
  </si>
  <si>
    <t>HR700MC-EG12/12</t>
  </si>
  <si>
    <t>HR700MC-EG29/29</t>
  </si>
  <si>
    <t>HR700MC-EG47/47</t>
  </si>
  <si>
    <t>HR700MC-GI40/40</t>
  </si>
  <si>
    <t>HR700MC-GI50/50</t>
  </si>
  <si>
    <t>HR700MC-GI60/60</t>
  </si>
  <si>
    <t>HR700MC-GI70/70</t>
  </si>
  <si>
    <t>HR700MC-GA40/40</t>
  </si>
  <si>
    <t>HR700MC-GA50/50</t>
  </si>
  <si>
    <t>HR700MC-AS30/30</t>
  </si>
  <si>
    <t>HR700MC-AS45/45</t>
  </si>
  <si>
    <t>HR700MC-AS60/60</t>
  </si>
  <si>
    <t>HR700MC-ZM30/30</t>
  </si>
  <si>
    <t>HR700MC-ZM40/40</t>
  </si>
  <si>
    <t>HR700MC-ZM50/50</t>
  </si>
  <si>
    <t>HR700MC-UC</t>
  </si>
  <si>
    <t>HR660Y760T-CP-EG12/12</t>
  </si>
  <si>
    <t xml:space="preserve">Mehrphasenstähle </t>
  </si>
  <si>
    <t>HR660Y760T-CP-EG29/29</t>
  </si>
  <si>
    <t>HR660Y760T-CP-EG47/47</t>
  </si>
  <si>
    <t>HR660Y760T-CP-GI40/40</t>
  </si>
  <si>
    <t>HR660Y760T-CP-GI50/50</t>
  </si>
  <si>
    <t>HR660Y760T-CP-GI60/60</t>
  </si>
  <si>
    <t>HR660Y760T-CP-GI70/70</t>
  </si>
  <si>
    <t>HR660Y760T-CP-GA40/40</t>
  </si>
  <si>
    <t>HR660Y760T-CP-GA50/50</t>
  </si>
  <si>
    <t>HR660Y760T-CP-AS30/30</t>
  </si>
  <si>
    <t>HR660Y760T-CP-AS45/45</t>
  </si>
  <si>
    <t>HR660Y760T-CP-AS60/60</t>
  </si>
  <si>
    <t>HR660Y760T-CP-ZM30/30</t>
  </si>
  <si>
    <t>HR660Y760T-CP-ZM40/40</t>
  </si>
  <si>
    <t>HR660Y760T-CP-ZM50/50</t>
  </si>
  <si>
    <t>HR660Y760T-CP-UC</t>
  </si>
  <si>
    <t>CR570Y780T-CP-EG12/12</t>
  </si>
  <si>
    <t>CR570Y780T-CP-EG29/29</t>
  </si>
  <si>
    <t>CR570Y780T-CP-EG47/47</t>
  </si>
  <si>
    <t>CR570Y780T-CP-GI40/40</t>
  </si>
  <si>
    <t>CR570Y780T-CP-GI50/50</t>
  </si>
  <si>
    <t>CR570Y780T-CP-GI60/60</t>
  </si>
  <si>
    <t>CR570Y780T-CP-GI70/70</t>
  </si>
  <si>
    <t>CR570Y780T-CP-GA40/40</t>
  </si>
  <si>
    <t>CR570Y780T-CP-GA50/50</t>
  </si>
  <si>
    <t>CR570Y780T-CP-AS30/30</t>
  </si>
  <si>
    <t>CR570Y780T-CP-AS45/45</t>
  </si>
  <si>
    <t>CR570Y780T-CP-AS60/60</t>
  </si>
  <si>
    <t>CR570Y780T-CP-ZM30/30</t>
  </si>
  <si>
    <t>CR570Y780T-CP-ZM40/40</t>
  </si>
  <si>
    <t>CR570Y780T-CP-ZM50/50</t>
  </si>
  <si>
    <t>CR570Y780T-CP-UC</t>
  </si>
  <si>
    <t>CR780Y980T-CP-EG12/12</t>
  </si>
  <si>
    <t>CR780Y980T-CP-EG29/29</t>
  </si>
  <si>
    <t>CR780Y980T-CP-EG47/47</t>
  </si>
  <si>
    <t>CR780Y980T-CP-GI40/40</t>
  </si>
  <si>
    <t>CR780Y980T-CP-GI50/50</t>
  </si>
  <si>
    <t>CR780Y980T-CP-GI60/60</t>
  </si>
  <si>
    <t>CR780Y980T-CP-GI70/70</t>
  </si>
  <si>
    <t>CR780Y980T-CP-GA40/40</t>
  </si>
  <si>
    <t>CR780Y980T-CP-GA50/50</t>
  </si>
  <si>
    <t>CR780Y980T-CP-AS30/30</t>
  </si>
  <si>
    <t>CR780Y980T-CP-AS45/45</t>
  </si>
  <si>
    <t>CR780Y980T-CP-AS60/60</t>
  </si>
  <si>
    <t>CR780Y980T-CP-ZM30/30</t>
  </si>
  <si>
    <t>CR780Y980T-CP-ZM40/40</t>
  </si>
  <si>
    <t>CR780Y980T-CP-ZM50/50</t>
  </si>
  <si>
    <t>CR780Y980T-CP-UC</t>
  </si>
  <si>
    <t>CR400Y690T-TR-EG12/12</t>
  </si>
  <si>
    <t>CR400Y690T-TR-EG29/29</t>
  </si>
  <si>
    <t>CR400Y690T-TR-EG47/47</t>
  </si>
  <si>
    <t>CR400Y690T-TR-GI40/40</t>
  </si>
  <si>
    <t>CR400Y690T-TR-GI50/50</t>
  </si>
  <si>
    <t>CR400Y690T-TR-GI60/60</t>
  </si>
  <si>
    <t>CR400Y690T-TR-GI70/70</t>
  </si>
  <si>
    <t>CR400Y690T-TR-GA40/40</t>
  </si>
  <si>
    <t>CR400Y690T-TR-GA50/50</t>
  </si>
  <si>
    <t>CR400Y690T-TR-AS30/30</t>
  </si>
  <si>
    <t>CR400Y690T-TR-AS45/45</t>
  </si>
  <si>
    <t>CR400Y690T-TR-AS60/60</t>
  </si>
  <si>
    <t>CR400Y690T-TR-ZM30/30</t>
  </si>
  <si>
    <t>CR400Y690T-TR-ZM40/40</t>
  </si>
  <si>
    <t>CR400Y690T-TR-ZM50/50</t>
  </si>
  <si>
    <t>CR400Y690T-TR-UC</t>
  </si>
  <si>
    <t>CR450Y780T-TR-EG12/12</t>
  </si>
  <si>
    <t>CR450Y780T-TR-EG29/29</t>
  </si>
  <si>
    <t>CR450Y780T-TR-EG47/47</t>
  </si>
  <si>
    <t>CR450Y780T-TR-GI40/40</t>
  </si>
  <si>
    <t>CR450Y780T-TR-GI50/50</t>
  </si>
  <si>
    <t>CR450Y780T-TR-GI60/60</t>
  </si>
  <si>
    <t>CR450Y780T-TR-GI70/70</t>
  </si>
  <si>
    <t>CR450Y780T-TR-GA40/40</t>
  </si>
  <si>
    <t>CR450Y780T-TR-GA50/50</t>
  </si>
  <si>
    <t>CR450Y780T-TR-AS30/30</t>
  </si>
  <si>
    <t>CR450Y780T-TR-AS45/45</t>
  </si>
  <si>
    <t>CR450Y780T-TR-AS60/60</t>
  </si>
  <si>
    <t>CR450Y780T-TR-ZM30/30</t>
  </si>
  <si>
    <t>CR450Y780T-TR-ZM40/40</t>
  </si>
  <si>
    <t>CR450Y780T-TR-ZM50/50</t>
  </si>
  <si>
    <t>CR450Y780T-TR-UC</t>
  </si>
  <si>
    <t>CR290Y490T-DP-EG12/12</t>
  </si>
  <si>
    <t>CR290Y490T-DP-EG29/29</t>
  </si>
  <si>
    <t>CR290Y490T-DP-EG47/47</t>
  </si>
  <si>
    <t>CR290Y490T-DP-GI40/40</t>
  </si>
  <si>
    <t>CR290Y490T-DP-GI50/50</t>
  </si>
  <si>
    <t>CR290Y490T-DP-GI60/60</t>
  </si>
  <si>
    <t>CR290Y490T-DP-GI70/70</t>
  </si>
  <si>
    <t>CR290Y490T-DP-GA40/40</t>
  </si>
  <si>
    <t>CR290Y490T-DP-GA50/50</t>
  </si>
  <si>
    <t>CR290Y490T-DP-AS30/30</t>
  </si>
  <si>
    <t>CR290Y490T-DP-AS45/45</t>
  </si>
  <si>
    <t>CR290Y490T-DP-AS60/60</t>
  </si>
  <si>
    <t>CR290Y490T-DP-ZM30/30</t>
  </si>
  <si>
    <t>CR290Y490T-DP-ZM40/40</t>
  </si>
  <si>
    <t>CR290Y490T-DP-ZM50/50</t>
  </si>
  <si>
    <t>CR290Y490T-DP-UC</t>
  </si>
  <si>
    <t>CR330Y590T-DP-EG12/12</t>
  </si>
  <si>
    <t>CR330Y590T-DP-EG29/29</t>
  </si>
  <si>
    <t>CR330Y590T-DP-EG47/47</t>
  </si>
  <si>
    <t>CR330Y590T-DP-GI40/40</t>
  </si>
  <si>
    <t>CR330Y590T-DP-GI50/50</t>
  </si>
  <si>
    <t>CR330Y590T-DP-GI60/60</t>
  </si>
  <si>
    <t>CR330Y590T-DP-GI70/70</t>
  </si>
  <si>
    <t>CR330Y590T-DP-GA40/40</t>
  </si>
  <si>
    <t>CR330Y590T-DP-GA50/50</t>
  </si>
  <si>
    <t>CR330Y590T-DP-AS30/30</t>
  </si>
  <si>
    <t>CR330Y590T-DP-AS45/45</t>
  </si>
  <si>
    <t>CR330Y590T-DP-AS60/60</t>
  </si>
  <si>
    <t>CR330Y590T-DP-ZM30/30</t>
  </si>
  <si>
    <t>CR330Y590T-DP-ZM40/40</t>
  </si>
  <si>
    <t>CR330Y590T-DP-ZM50/50</t>
  </si>
  <si>
    <t>CR330Y590T-DP-UC</t>
  </si>
  <si>
    <t>CR440Y780T-DP-EG12/12</t>
  </si>
  <si>
    <t>CR440Y780T-DP-EG29/29</t>
  </si>
  <si>
    <t>CR440Y780T-DP-EG47/47</t>
  </si>
  <si>
    <t>CR440Y780T-DP-GI40/40</t>
  </si>
  <si>
    <t>CR440Y780T-DP-GI50/50</t>
  </si>
  <si>
    <t>CR440Y780T-DP-GI60/60</t>
  </si>
  <si>
    <t>CR440Y780T-DP-GI70/70</t>
  </si>
  <si>
    <t>CR440Y780T-DP-GA40/40</t>
  </si>
  <si>
    <t>CR440Y780T-DP-GA50/50</t>
  </si>
  <si>
    <t>CR440Y780T-DP-AS30/30</t>
  </si>
  <si>
    <t>CR440Y780T-DP-AS45/45</t>
  </si>
  <si>
    <t>CR440Y780T-DP-AS60/60</t>
  </si>
  <si>
    <t>CR440Y780T-DP-ZM30/30</t>
  </si>
  <si>
    <t>CR440Y780T-DP-ZM40/40</t>
  </si>
  <si>
    <t>CR440Y780T-DP-ZM50/50</t>
  </si>
  <si>
    <t>CR440Y780T-DP-UC</t>
  </si>
  <si>
    <t>CR590Y980T-DP-EG12/12</t>
  </si>
  <si>
    <t>CR590Y980T-DP-EG29/29</t>
  </si>
  <si>
    <t>CR590Y980T-DP-EG47/47</t>
  </si>
  <si>
    <t>CR590Y980T-DP-GI40/40</t>
  </si>
  <si>
    <t>CR590Y980T-DP-GI50/50</t>
  </si>
  <si>
    <t>CR590Y980T-DP-GI60/60</t>
  </si>
  <si>
    <t>CR590Y980T-DP-GI70/70</t>
  </si>
  <si>
    <t>CR590Y980T-DP-GA40/40</t>
  </si>
  <si>
    <t>CR590Y980T-DP-GA50/50</t>
  </si>
  <si>
    <t>CR590Y980T-DP-AS30/30</t>
  </si>
  <si>
    <t>CR590Y980T-DP-AS45/45</t>
  </si>
  <si>
    <t>CR590Y980T-DP-AS60/60</t>
  </si>
  <si>
    <t>CR590Y980T-DP-ZM30/30</t>
  </si>
  <si>
    <t>CR590Y980T-DP-ZM40/40</t>
  </si>
  <si>
    <t>CR590Y980T-DP-ZM50/50</t>
  </si>
  <si>
    <t>CR590Y980T-DP-UC</t>
  </si>
  <si>
    <t>CR700Y980T-DP-EG12/12</t>
  </si>
  <si>
    <t>CR700Y980T-DP-EG29/29</t>
  </si>
  <si>
    <t>CR700Y980T-DP-EG47/47</t>
  </si>
  <si>
    <t>CR700Y980T-DP-GI40/40</t>
  </si>
  <si>
    <t>CR700Y980T-DP-GI50/50</t>
  </si>
  <si>
    <t>CR700Y980T-DP-GI60/60</t>
  </si>
  <si>
    <t>CR700Y980T-DP-GI70/70</t>
  </si>
  <si>
    <t>CR700Y980T-DP-GA40/40</t>
  </si>
  <si>
    <t>CR700Y980T-DP-GA50/50</t>
  </si>
  <si>
    <t>CR700Y980T-DP-AS30/30</t>
  </si>
  <si>
    <t>CR700Y980T-DP-AS45/45</t>
  </si>
  <si>
    <t>CR700Y980T-DP-AS60/60</t>
  </si>
  <si>
    <t>CR700Y980T-DP-ZM30/30</t>
  </si>
  <si>
    <t>CR700Y980T-DP-ZM40/40</t>
  </si>
  <si>
    <t>CR700Y980T-DP-ZM50/50</t>
  </si>
  <si>
    <t>CR700Y980T-DP-UC</t>
  </si>
  <si>
    <t>HR330Y580T-DP-EG12/12</t>
  </si>
  <si>
    <t>HR330Y580T-DP-EG29/29</t>
  </si>
  <si>
    <t>HR330Y580T-DP-EG47/47</t>
  </si>
  <si>
    <t>HR330Y580T-DP-GI40/40</t>
  </si>
  <si>
    <t>HR330Y580T-DP-GI50/50</t>
  </si>
  <si>
    <t>HR330Y580T-DP-GI60/60</t>
  </si>
  <si>
    <t>HR330Y580T-DP-GI70/70</t>
  </si>
  <si>
    <t>HR330Y580T-DP-GA40/40</t>
  </si>
  <si>
    <t>HR330Y580T-DP-GA50/50</t>
  </si>
  <si>
    <t>HR330Y580T-DP-AS30/30</t>
  </si>
  <si>
    <t>HR330Y580T-DP-AS45/45</t>
  </si>
  <si>
    <t>HR330Y580T-DP-AS60/60</t>
  </si>
  <si>
    <t>HR330Y580T-DP-ZM30/30</t>
  </si>
  <si>
    <t>HR330Y580T-DP-ZM40/40</t>
  </si>
  <si>
    <t>HR330Y580T-DP-ZM50/50</t>
  </si>
  <si>
    <t>HR330Y580T-DP-UC</t>
  </si>
  <si>
    <t>HR900Y1180T-MS-EG12/12</t>
  </si>
  <si>
    <t>HR900Y1180T-MS-EG29/29</t>
  </si>
  <si>
    <t>HR900Y1180T-MS-EG47/47</t>
  </si>
  <si>
    <t>HR900Y1180T-MS-GI40/40</t>
  </si>
  <si>
    <t>HR900Y1180T-MS-GI50/50</t>
  </si>
  <si>
    <t>HR900Y1180T-MS-GI60/60</t>
  </si>
  <si>
    <t>HR900Y1180T-MS-GI70/70</t>
  </si>
  <si>
    <t>HR900Y1180T-MS-GA40/40</t>
  </si>
  <si>
    <t>HR900Y1180T-MS-GA50/50</t>
  </si>
  <si>
    <t>HR900Y1180T-MS-AS30/30</t>
  </si>
  <si>
    <t>HR900Y1180T-MS-AS45/45</t>
  </si>
  <si>
    <t>HR900Y1180T-MS-AS60/60</t>
  </si>
  <si>
    <t>HR900Y1180T-MS-ZM30/30</t>
  </si>
  <si>
    <t>HR900Y1180T-MS-ZM40/40</t>
  </si>
  <si>
    <t>HR900Y1180T-MS-ZM50/50</t>
  </si>
  <si>
    <t>HR900Y1180T-MS-UC</t>
  </si>
  <si>
    <t>HR300Y450T-FB-EG12/12</t>
  </si>
  <si>
    <t>HR300Y450T-FB-EG29/29</t>
  </si>
  <si>
    <t>HR300Y450T-FB-EG47/47</t>
  </si>
  <si>
    <t>HR300Y450T-FB-GI40/40</t>
  </si>
  <si>
    <t>HR300Y450T-FB-GI50/50</t>
  </si>
  <si>
    <t>HR300Y450T-FB-GI60/60</t>
  </si>
  <si>
    <t>HR300Y450T-FB-GI70/70</t>
  </si>
  <si>
    <t>HR300Y450T-FB-GA40/40</t>
  </si>
  <si>
    <t>HR300Y450T-FB-GA50/50</t>
  </si>
  <si>
    <t>HR300Y450T-FB-AS30/30</t>
  </si>
  <si>
    <t>HR300Y450T-FB-AS45/45</t>
  </si>
  <si>
    <t>HR300Y450T-FB-AS60/60</t>
  </si>
  <si>
    <t>HR300Y450T-FB-ZM30/30</t>
  </si>
  <si>
    <t>HR300Y450T-FB-ZM40/40</t>
  </si>
  <si>
    <t>HR300Y450T-FB-ZM50/50</t>
  </si>
  <si>
    <t>HR300Y450T-FB-UC</t>
  </si>
  <si>
    <t>HR440Y580T-FB-EG12/12</t>
  </si>
  <si>
    <t>HR440Y580T-FB-EG29/29</t>
  </si>
  <si>
    <t>HR440Y580T-FB-EG47/47</t>
  </si>
  <si>
    <t>HR440Y580T-FB-GI40/40</t>
  </si>
  <si>
    <t>HR440Y580T-FB-GI50/50</t>
  </si>
  <si>
    <t>HR440Y580T-FB-GI60/60</t>
  </si>
  <si>
    <t>HR440Y580T-FB-GI70/70</t>
  </si>
  <si>
    <t>HR440Y580T-FB-GA40/40</t>
  </si>
  <si>
    <t>HR440Y580T-FB-GA50/50</t>
  </si>
  <si>
    <t>HR440Y580T-FB-AS30/30</t>
  </si>
  <si>
    <t>HR440Y580T-FB-AS45/45</t>
  </si>
  <si>
    <t>HR440Y580T-FB-AS60/60</t>
  </si>
  <si>
    <t>HR440Y580T-FB-ZM30/30</t>
  </si>
  <si>
    <t>HR440Y580T-FB-ZM40/40</t>
  </si>
  <si>
    <t>HR440Y580T-FB-ZM50/50</t>
  </si>
  <si>
    <t>HR440Y580T-FB-UC</t>
  </si>
  <si>
    <t>HR600Y780T-FB-EG12/12</t>
  </si>
  <si>
    <t>HR600Y780T-FB-EG29/29</t>
  </si>
  <si>
    <t>HR600Y780T-FB-EG47/47</t>
  </si>
  <si>
    <t>HR600Y780T-FB-GI40/40</t>
  </si>
  <si>
    <t>HR600Y780T-FB-GI50/50</t>
  </si>
  <si>
    <t>HR600Y780T-FB-GI60/60</t>
  </si>
  <si>
    <t>HR600Y780T-FB-GI70/70</t>
  </si>
  <si>
    <t>HR600Y780T-FB-GA40/40</t>
  </si>
  <si>
    <t>HR600Y780T-FB-GA50/50</t>
  </si>
  <si>
    <t>HR600Y780T-FB-AS30/30</t>
  </si>
  <si>
    <t>HR600Y780T-FB-AS45/45</t>
  </si>
  <si>
    <t>HR600Y780T-FB-AS60/60</t>
  </si>
  <si>
    <t>HR600Y780T-FB-ZM30/30</t>
  </si>
  <si>
    <t>HR600Y780T-FB-ZM40/40</t>
  </si>
  <si>
    <t>HR600Y780T-FB-ZM50/50</t>
  </si>
  <si>
    <t>HR600Y780T-FB-UC</t>
  </si>
  <si>
    <t>TL 4225-AS30/30</t>
  </si>
  <si>
    <t>Pressharte Stähle</t>
  </si>
  <si>
    <t>TL 4225-GI60/60</t>
  </si>
  <si>
    <t>TL 4225-GI85/85</t>
  </si>
  <si>
    <t>TL 4225-CR</t>
  </si>
  <si>
    <t>TL 4225-HR</t>
  </si>
  <si>
    <t>Materialbezeichnung nach VW50065 + TL 4225</t>
  </si>
  <si>
    <t>Kürzen Wst 1</t>
  </si>
  <si>
    <t>Kürzen Wst 2</t>
  </si>
  <si>
    <t>Kürzen Wst 3</t>
  </si>
  <si>
    <t xml:space="preserve"> [mm]</t>
  </si>
  <si>
    <t>ABB</t>
  </si>
  <si>
    <t>Roboterhersteller</t>
  </si>
  <si>
    <t>SEW</t>
  </si>
  <si>
    <t>Motorhersteller</t>
  </si>
  <si>
    <t>C8000</t>
  </si>
  <si>
    <t>Zangengrundkörper</t>
  </si>
  <si>
    <t>Fanuc X120 / Doppel V1.0</t>
  </si>
  <si>
    <t>CMP71L</t>
  </si>
  <si>
    <t>Fanuc</t>
  </si>
  <si>
    <t>KUKA X120 Doppel V1.0</t>
  </si>
  <si>
    <t>KUKA</t>
  </si>
  <si>
    <t>ABB X120 V1.0</t>
  </si>
  <si>
    <t>CMP71M</t>
  </si>
  <si>
    <t>X120</t>
  </si>
  <si>
    <t>Fanuc X100 V1.0</t>
  </si>
  <si>
    <t>CMP63L</t>
  </si>
  <si>
    <t>KUKA X100 V1.0</t>
  </si>
  <si>
    <t>ABB X100 V1.0</t>
  </si>
  <si>
    <t>X100</t>
  </si>
  <si>
    <t>Fanuc C8000 Tunnel V1.0</t>
  </si>
  <si>
    <t>CMP63M</t>
  </si>
  <si>
    <t>KUKA C8000 Tunnel V1.0</t>
  </si>
  <si>
    <t>ABB C8000 Tunnel V1.0</t>
  </si>
  <si>
    <t>C8000 Tunnel</t>
  </si>
  <si>
    <t>Fanuc C8000 V1.0</t>
  </si>
  <si>
    <t>KUKA C8000 V1.0</t>
  </si>
  <si>
    <t>ABB C8000 V1.0</t>
  </si>
  <si>
    <t>Fanuc C5000 V1.0</t>
  </si>
  <si>
    <t>CMP63S</t>
  </si>
  <si>
    <t>KUKA C5000 V1.0</t>
  </si>
  <si>
    <t>ABB C5000 V1.0</t>
  </si>
  <si>
    <t>C5000</t>
  </si>
  <si>
    <t>SEW-Bestellbezeichnungen</t>
  </si>
  <si>
    <t>Max. Kraft [N]</t>
  </si>
  <si>
    <t>Min. Kraft [N]</t>
  </si>
  <si>
    <t>SEW-Motortyp</t>
  </si>
  <si>
    <t>eindeutige Zuordnung</t>
  </si>
  <si>
    <t>Sprache/Language</t>
  </si>
  <si>
    <t>DE</t>
  </si>
  <si>
    <t>ENG</t>
  </si>
  <si>
    <t>Sprache</t>
  </si>
  <si>
    <t>AF1</t>
  </si>
  <si>
    <t>AF2/3</t>
  </si>
  <si>
    <t>R1</t>
  </si>
  <si>
    <t>R2/3</t>
  </si>
  <si>
    <t>Zangentyp</t>
  </si>
  <si>
    <t>Zangentyp                Gun Type</t>
  </si>
  <si>
    <t>Roboterschweißzange / 
Robot Welding Gun</t>
  </si>
  <si>
    <t>Servopneumatische Schweißzange / 
Servopneumatic Welding Gun</t>
  </si>
  <si>
    <t>SPZ</t>
  </si>
  <si>
    <t>RZ</t>
  </si>
  <si>
    <t>-</t>
  </si>
  <si>
    <t>Ergebnis SPZ</t>
  </si>
  <si>
    <t>Ergebnis RZ</t>
  </si>
  <si>
    <t>CR3-EG29</t>
  </si>
  <si>
    <t>CR3-EG12</t>
  </si>
  <si>
    <t>CR1IF-EG12</t>
  </si>
  <si>
    <t>CR1IF-EG29</t>
  </si>
  <si>
    <t>CR1IF-EG47</t>
  </si>
  <si>
    <t>CR1Non-IF-EG12</t>
  </si>
  <si>
    <t>CR1Non-IF-EG29</t>
  </si>
  <si>
    <t>CR1Non-IF-EG47</t>
  </si>
  <si>
    <t>CR1-EG12</t>
  </si>
  <si>
    <t>CR1-EG29</t>
  </si>
  <si>
    <t>CR1-EG47</t>
  </si>
  <si>
    <t>CR2IF-EG12</t>
  </si>
  <si>
    <t>CR2IF-EG29</t>
  </si>
  <si>
    <t>CR2IF-EG47</t>
  </si>
  <si>
    <t>CR2Non-IF-EG12</t>
  </si>
  <si>
    <t>CR2Non-IF-EG29</t>
  </si>
  <si>
    <t>CR2Non-IF-EG47</t>
  </si>
  <si>
    <t>CR2-EG12</t>
  </si>
  <si>
    <t>CR2-EG29</t>
  </si>
  <si>
    <t>CR2-EG47</t>
  </si>
  <si>
    <t>CR3IF-EG12</t>
  </si>
  <si>
    <t>CR3IF-EG29</t>
  </si>
  <si>
    <t>CR3IF-EG47</t>
  </si>
  <si>
    <t>CR3Non-IF-EG12</t>
  </si>
  <si>
    <t>CR3Non-IF-EG29</t>
  </si>
  <si>
    <t>CR3Non-IF-EG47</t>
  </si>
  <si>
    <t>CR3-EG47</t>
  </si>
  <si>
    <t>CR4IF-EG12</t>
  </si>
  <si>
    <t>CR4IF-EG29</t>
  </si>
  <si>
    <t>CR4IF-EG47</t>
  </si>
  <si>
    <t>CR4Non-IF-EG12</t>
  </si>
  <si>
    <t>CR4Non-IF-EG29</t>
  </si>
  <si>
    <t>CR4Non-IF-EG47</t>
  </si>
  <si>
    <t>CR4-EG12</t>
  </si>
  <si>
    <t>CR4-EG29</t>
  </si>
  <si>
    <t>CR4-EG47</t>
  </si>
  <si>
    <t>CR4-GA40</t>
  </si>
  <si>
    <t>CR5IF-EG12</t>
  </si>
  <si>
    <t>CR5IF-EG29</t>
  </si>
  <si>
    <t>CR5IF-EG47</t>
  </si>
  <si>
    <t>CR5Non-IF-EG12</t>
  </si>
  <si>
    <t>CR5Non-IF-EG29</t>
  </si>
  <si>
    <t>CR5Non-IF-EG47</t>
  </si>
  <si>
    <t>CR5-EG12</t>
  </si>
  <si>
    <t>CR5-EG29</t>
  </si>
  <si>
    <t>CR5-EG47</t>
  </si>
  <si>
    <t>CR6IF-EG12</t>
  </si>
  <si>
    <t>CR6IF-EG29</t>
  </si>
  <si>
    <t>CR6IF-EG47</t>
  </si>
  <si>
    <t>CR6Non-IF-EG12</t>
  </si>
  <si>
    <t>CR6Non-IF-EG29</t>
  </si>
  <si>
    <t>CR6Non-IF-EG47</t>
  </si>
  <si>
    <t>CR6-EG12</t>
  </si>
  <si>
    <t>CR6-EG29</t>
  </si>
  <si>
    <t>CR6-EG47</t>
  </si>
  <si>
    <t>HR2IF-EG12</t>
  </si>
  <si>
    <t>HR2IF-EG29</t>
  </si>
  <si>
    <t>HR2IF-EG47</t>
  </si>
  <si>
    <t>HR2Non-IF-EG12</t>
  </si>
  <si>
    <t>HR2Non-IF-EG29</t>
  </si>
  <si>
    <t>HR2Non-IF-EG47</t>
  </si>
  <si>
    <t>HR2-EG12</t>
  </si>
  <si>
    <t>HR2-EG29</t>
  </si>
  <si>
    <t>HR2-EG47</t>
  </si>
  <si>
    <t>Thomas.Noack@Volkswagen.de</t>
  </si>
  <si>
    <t>Erstelller Vorlage:</t>
  </si>
  <si>
    <t>I/[kA]</t>
  </si>
  <si>
    <t>t/[ms]</t>
  </si>
  <si>
    <r>
      <t>F</t>
    </r>
    <r>
      <rPr>
        <b/>
        <sz val="18"/>
        <rFont val="Arial"/>
        <family val="2"/>
      </rPr>
      <t>/[kN]</t>
    </r>
  </si>
  <si>
    <r>
      <t>F</t>
    </r>
    <r>
      <rPr>
        <b/>
        <sz val="18"/>
        <color indexed="23"/>
        <rFont val="Arial"/>
        <family val="2"/>
      </rPr>
      <t>/[kN]</t>
    </r>
  </si>
  <si>
    <t>Thomas Noack(PMT-F/T)</t>
  </si>
  <si>
    <t>Bitte auf aktualisierte Version im KVS prüfen! /   Please check for updated version in KVS!</t>
  </si>
  <si>
    <t>11-A33-59D 351164/1</t>
  </si>
  <si>
    <t>Sonderfreigabe</t>
  </si>
  <si>
    <t>Ja</t>
  </si>
  <si>
    <t>Nein</t>
  </si>
  <si>
    <t>Zeichnungs-Nr.: drawing no.:</t>
  </si>
  <si>
    <t>Elektroden bei  Auslegung nach 6770</t>
  </si>
  <si>
    <t>Elektroden bei Sonderfreigabe</t>
  </si>
  <si>
    <t>MBW-K 1900-UC</t>
  </si>
  <si>
    <t>no. of drawings</t>
  </si>
  <si>
    <t>HR210LA-UC</t>
  </si>
  <si>
    <t>HR240LA-UC</t>
  </si>
  <si>
    <t>HR270LA-UC</t>
  </si>
  <si>
    <t>HR380LA-UC</t>
  </si>
  <si>
    <t>HR550LA-UC</t>
  </si>
  <si>
    <t>HR700LA-UC</t>
  </si>
  <si>
    <t>HR210LA-EG12/12</t>
  </si>
  <si>
    <t>HR210LA-EG29/29</t>
  </si>
  <si>
    <t>HR210LA-EG47/47</t>
  </si>
  <si>
    <t>HR210LA-GI40/40</t>
  </si>
  <si>
    <t>HR210LA-GI50/50</t>
  </si>
  <si>
    <t>HR210LA-GI60/60</t>
  </si>
  <si>
    <t>HR210LA-GI70/70</t>
  </si>
  <si>
    <t>HR210LA-GA40/40</t>
  </si>
  <si>
    <t>HR210LA-GA50/50</t>
  </si>
  <si>
    <t>HR210LA-AS30/30</t>
  </si>
  <si>
    <t>HR210LA-AS45/45</t>
  </si>
  <si>
    <t>HR210LA-AS60/60</t>
  </si>
  <si>
    <t>HR210LA-ZM30/30</t>
  </si>
  <si>
    <t>HR210LA-ZM40/40</t>
  </si>
  <si>
    <t>HR210LA-ZM50/50</t>
  </si>
  <si>
    <t>HR240LA-EG12/12</t>
  </si>
  <si>
    <t>HR240LA-EG29/29</t>
  </si>
  <si>
    <t>HR240LA-EG47/47</t>
  </si>
  <si>
    <t>HR240LA-GI40/40</t>
  </si>
  <si>
    <t>HR240LA-GI50/50</t>
  </si>
  <si>
    <t>HR240LA-GI60/60</t>
  </si>
  <si>
    <t>HR240LA-GI70/70</t>
  </si>
  <si>
    <t>HR240LA-GA40/40</t>
  </si>
  <si>
    <t>HR240LA-GA50/50</t>
  </si>
  <si>
    <t>HR240LA-AS30/30</t>
  </si>
  <si>
    <t>HR240LA-AS45/45</t>
  </si>
  <si>
    <t>HR240LA-AS60/60</t>
  </si>
  <si>
    <t>HR240LA-ZM30/30</t>
  </si>
  <si>
    <t>HR240LA-ZM40/40</t>
  </si>
  <si>
    <t>HR240LA-ZM50/50</t>
  </si>
  <si>
    <t>HR270LA-EG12/12</t>
  </si>
  <si>
    <t>HR270LA-EG29/29</t>
  </si>
  <si>
    <t>HR270LA-EG47/47</t>
  </si>
  <si>
    <t>HR270LA-GI40/40</t>
  </si>
  <si>
    <t>HR270LA-GI50/50</t>
  </si>
  <si>
    <t>HR270LA-GI60/60</t>
  </si>
  <si>
    <t>HR270LA-GI70/70</t>
  </si>
  <si>
    <t>HR270LA-GA40/40</t>
  </si>
  <si>
    <t>HR270LA-GA50/50</t>
  </si>
  <si>
    <t>HR270LA-AS30/30</t>
  </si>
  <si>
    <t>HR270LA-AS45/45</t>
  </si>
  <si>
    <t>HR270LA-AS60/60</t>
  </si>
  <si>
    <t>HR270LA-ZM30/30</t>
  </si>
  <si>
    <t>HR270LA-ZM40/40</t>
  </si>
  <si>
    <t>HR270LA-ZM50/50</t>
  </si>
  <si>
    <t>HR380LA-EG12/12</t>
  </si>
  <si>
    <t>HR380LA-EG29/29</t>
  </si>
  <si>
    <t>HR380LA-EG47/47</t>
  </si>
  <si>
    <t>HR380LA-GI40/40</t>
  </si>
  <si>
    <t>HR380LA-GI50/50</t>
  </si>
  <si>
    <t>HR380LA-GI60/60</t>
  </si>
  <si>
    <t>HR380LA-GI70/70</t>
  </si>
  <si>
    <t>HR380LA-GA40/40</t>
  </si>
  <si>
    <t>HR380LA-GA50/50</t>
  </si>
  <si>
    <t>HR380LA-AS30/30</t>
  </si>
  <si>
    <t>HR380LA-AS45/45</t>
  </si>
  <si>
    <t>HR380LA-AS60/60</t>
  </si>
  <si>
    <t>HR380LA-ZM30/30</t>
  </si>
  <si>
    <t>HR380LA-ZM40/40</t>
  </si>
  <si>
    <t>HR380LA-ZM50/50</t>
  </si>
  <si>
    <t>HR550LA-EG12/12</t>
  </si>
  <si>
    <t>HR550LA-EG29/29</t>
  </si>
  <si>
    <t>HR550LA-EG47/47</t>
  </si>
  <si>
    <t>HR550LA-GI40/40</t>
  </si>
  <si>
    <t>HR550LA-GI50/50</t>
  </si>
  <si>
    <t>HR550LA-GI60/60</t>
  </si>
  <si>
    <t>HR550LA-GI70/70</t>
  </si>
  <si>
    <t>HR550LA-GA40/40</t>
  </si>
  <si>
    <t>HR550LA-GA50/50</t>
  </si>
  <si>
    <t>HR550LA-AS30/30</t>
  </si>
  <si>
    <t>HR550LA-AS45/45</t>
  </si>
  <si>
    <t>HR550LA-AS60/60</t>
  </si>
  <si>
    <t>HR550LA-ZM30/30</t>
  </si>
  <si>
    <t>HR550LA-ZM40/40</t>
  </si>
  <si>
    <t>HR550LA-ZM50/50</t>
  </si>
  <si>
    <t>HR700LA-EG12/12</t>
  </si>
  <si>
    <t>HR700LA-EG29/29</t>
  </si>
  <si>
    <t>HR700LA-EG47/47</t>
  </si>
  <si>
    <t>HR700LA-GI40/40</t>
  </si>
  <si>
    <t>HR700LA-GI50/50</t>
  </si>
  <si>
    <t>HR700LA-GI60/60</t>
  </si>
  <si>
    <t>HR700LA-GI70/70</t>
  </si>
  <si>
    <t>HR700LA-GA40/40</t>
  </si>
  <si>
    <t>HR700LA-GA50/50</t>
  </si>
  <si>
    <t>HR700LA-AS30/30</t>
  </si>
  <si>
    <t>HR700LA-AS45/45</t>
  </si>
  <si>
    <t>HR700LA-AS60/60</t>
  </si>
  <si>
    <t>HR700LA-ZM30/30</t>
  </si>
  <si>
    <t>HR700LA-ZM40/40</t>
  </si>
  <si>
    <t>HR700LA-ZM50/50</t>
  </si>
  <si>
    <t>HR0-UC</t>
  </si>
  <si>
    <t>HR0IF-AS30/30</t>
  </si>
  <si>
    <t>HR0IF-AS45/45</t>
  </si>
  <si>
    <t>HR0IF-AS60/60</t>
  </si>
  <si>
    <t>HR0IF-EG12/12</t>
  </si>
  <si>
    <t>HR0IF-EG12</t>
  </si>
  <si>
    <t>HR0IF-EG29/29</t>
  </si>
  <si>
    <t>HR0IF-EG29</t>
  </si>
  <si>
    <t>HR0IF-EG47/47</t>
  </si>
  <si>
    <t>HR0IF-EG47</t>
  </si>
  <si>
    <t>HR0IF-GA40/40</t>
  </si>
  <si>
    <t>HR0IF-GA50/50</t>
  </si>
  <si>
    <t>HR0IF-GI40/40</t>
  </si>
  <si>
    <t>HR0IF-GI50/50</t>
  </si>
  <si>
    <t>HR0IF-GI60/60</t>
  </si>
  <si>
    <t>HR0IF-GI70/70</t>
  </si>
  <si>
    <t>HR0IF-UC</t>
  </si>
  <si>
    <t>HR0IF-ZM30/30</t>
  </si>
  <si>
    <t>HR0IF-ZM40/40</t>
  </si>
  <si>
    <t>HR0IF-ZM50/50</t>
  </si>
  <si>
    <t>HR0Non-IF-AS30/30</t>
  </si>
  <si>
    <t>HR0Non-IF-AS45/45</t>
  </si>
  <si>
    <t>HR0Non-IF-AS60/60</t>
  </si>
  <si>
    <t>HR0Non-IF-EG12/12</t>
  </si>
  <si>
    <t>HR0Non-IF-EG12</t>
  </si>
  <si>
    <t>HR0Non-IF-EG29/29</t>
  </si>
  <si>
    <t>HR0Non-IF-EG29</t>
  </si>
  <si>
    <t>HR0Non-IF-EG47/47</t>
  </si>
  <si>
    <t>HR0Non-IF-EG47</t>
  </si>
  <si>
    <t>HR0Non-IF-GA40/40</t>
  </si>
  <si>
    <t>HR0Non-IF-GA50/50</t>
  </si>
  <si>
    <t>HR0Non-IF-GI40/40</t>
  </si>
  <si>
    <t>HR0Non-IF-GI50/50</t>
  </si>
  <si>
    <t>HR0Non-IF-GI60/60</t>
  </si>
  <si>
    <t>HR0Non-IF-GI70/70</t>
  </si>
  <si>
    <t>HR0Non-IF-UC</t>
  </si>
  <si>
    <t>HR0Non-IF-ZM30/30</t>
  </si>
  <si>
    <t>HR0Non-IF-ZM40/40</t>
  </si>
  <si>
    <t>HR0Non-IF-ZM50/50</t>
  </si>
  <si>
    <t>HR0-AS30/30</t>
  </si>
  <si>
    <t>HR0-AS45/45</t>
  </si>
  <si>
    <t>HR0-AS60/60</t>
  </si>
  <si>
    <t>HR0-EG12/12</t>
  </si>
  <si>
    <t>HR0-EG12</t>
  </si>
  <si>
    <t>HR0-EG29/29</t>
  </si>
  <si>
    <t>HR0-EG29</t>
  </si>
  <si>
    <t>HR0-EG47/47</t>
  </si>
  <si>
    <t>HR0-EG47</t>
  </si>
  <si>
    <t>HR0-GA40/40</t>
  </si>
  <si>
    <t>HR0-GA50/50</t>
  </si>
  <si>
    <t>HR0-GI40/40</t>
  </si>
  <si>
    <t>HR0-GI50/50</t>
  </si>
  <si>
    <t>HR0-GI60/60</t>
  </si>
  <si>
    <t>HR0-GI70/70</t>
  </si>
  <si>
    <t>HR0-ZM30/30</t>
  </si>
  <si>
    <t>HR0-ZM40/40</t>
  </si>
  <si>
    <t>HR0-ZM50/50</t>
  </si>
  <si>
    <t>CR270BH-UC</t>
  </si>
  <si>
    <t>CR270BH-EG12/12</t>
  </si>
  <si>
    <t>CR270BH-EG29/29</t>
  </si>
  <si>
    <t>CR270BH-EG47/47</t>
  </si>
  <si>
    <t>CR270BH-GI40/40</t>
  </si>
  <si>
    <t>CR270BH-GI50/50</t>
  </si>
  <si>
    <t>CR270BH-GI60/60</t>
  </si>
  <si>
    <t>CR270BH-GI70/70</t>
  </si>
  <si>
    <t>CR270BH-GA40/40</t>
  </si>
  <si>
    <t>CR270BH-GA50/50</t>
  </si>
  <si>
    <t>CR270BH-AS30/30</t>
  </si>
  <si>
    <t>CR270BH-AS45/45</t>
  </si>
  <si>
    <t>CR270BH-AS60/60</t>
  </si>
  <si>
    <t>CR270BH-ZM30/30</t>
  </si>
  <si>
    <t>CR270BH-ZM40/40</t>
  </si>
  <si>
    <t>CR270BH-ZM50/50</t>
  </si>
  <si>
    <t>CR250Y440T-DP-UC</t>
  </si>
  <si>
    <t>CR490Y780T-DP-UC</t>
  </si>
  <si>
    <t>CR780Y1180T-DP-UC</t>
  </si>
  <si>
    <t>CR330Y590T-DH-UC</t>
  </si>
  <si>
    <t>CR440Y780T-DH-UC</t>
  </si>
  <si>
    <t>CR700Y980T-DH-UC</t>
  </si>
  <si>
    <t>CR900Y1180T-CP-UC</t>
  </si>
  <si>
    <t>HR700Y950T-CP-UC</t>
  </si>
  <si>
    <t>CR860Y1100T-MS-UC</t>
  </si>
  <si>
    <t>CR1030Y1300T-MS-UC</t>
  </si>
  <si>
    <t>CR1220Y1500T-MS-UC</t>
  </si>
  <si>
    <t>CR1350Y1700T-MS-UC</t>
  </si>
  <si>
    <t>CR860Y1100T-MS-EG12/12</t>
  </si>
  <si>
    <t>CR860Y1100T-MS-EG29/29</t>
  </si>
  <si>
    <t>CR860Y1100T-MS-EG47/47</t>
  </si>
  <si>
    <t>CR860Y1100T-MS-GI40/40</t>
  </si>
  <si>
    <t>CR860Y1100T-MS-GI50/50</t>
  </si>
  <si>
    <t>CR860Y1100T-MS-GI60/60</t>
  </si>
  <si>
    <t>CR860Y1100T-MS-GI70/70</t>
  </si>
  <si>
    <t>CR860Y1100T-MS-GA40/40</t>
  </si>
  <si>
    <t>CR860Y1100T-MS-GA50/50</t>
  </si>
  <si>
    <t>CR860Y1100T-MS-AS30/30</t>
  </si>
  <si>
    <t>CR860Y1100T-MS-AS45/45</t>
  </si>
  <si>
    <t>CR860Y1100T-MS-AS60/60</t>
  </si>
  <si>
    <t>CR860Y1100T-MS-ZM30/30</t>
  </si>
  <si>
    <t>CR860Y1100T-MS-ZM40/40</t>
  </si>
  <si>
    <t>CR860Y1100T-MS-ZM50/50</t>
  </si>
  <si>
    <t>CR1030Y1300T-MS-EG12/12</t>
  </si>
  <si>
    <t>CR1030Y1300T-MS-EG29/29</t>
  </si>
  <si>
    <t>CR1030Y1300T-MS-EG47/47</t>
  </si>
  <si>
    <t>CR1030Y1300T-MS-GI40/40</t>
  </si>
  <si>
    <t>CR1030Y1300T-MS-GI50/50</t>
  </si>
  <si>
    <t>CR1030Y1300T-MS-GI60/60</t>
  </si>
  <si>
    <t>CR1030Y1300T-MS-GI70/70</t>
  </si>
  <si>
    <t>CR1030Y1300T-MS-GA40/40</t>
  </si>
  <si>
    <t>CR1030Y1300T-MS-GA50/50</t>
  </si>
  <si>
    <t>CR1030Y1300T-MS-AS30/30</t>
  </si>
  <si>
    <t>CR1030Y1300T-MS-AS45/45</t>
  </si>
  <si>
    <t>CR1030Y1300T-MS-AS60/60</t>
  </si>
  <si>
    <t>CR1030Y1300T-MS-ZM30/30</t>
  </si>
  <si>
    <t>CR1030Y1300T-MS-ZM40/40</t>
  </si>
  <si>
    <t>CR1030Y1300T-MS-ZM50/50</t>
  </si>
  <si>
    <t>CR1220Y1500T-MS-EG12/12</t>
  </si>
  <si>
    <t>CR1220Y1500T-MS-EG29/29</t>
  </si>
  <si>
    <t>CR1220Y1500T-MS-EG47/47</t>
  </si>
  <si>
    <t>CR1220Y1500T-MS-GI40/40</t>
  </si>
  <si>
    <t>CR1220Y1500T-MS-GI50/50</t>
  </si>
  <si>
    <t>CR1220Y1500T-MS-GI60/60</t>
  </si>
  <si>
    <t>CR1220Y1500T-MS-GI70/70</t>
  </si>
  <si>
    <t>CR1220Y1500T-MS-GA40/40</t>
  </si>
  <si>
    <t>CR1220Y1500T-MS-GA50/50</t>
  </si>
  <si>
    <t>CR1220Y1500T-MS-AS30/30</t>
  </si>
  <si>
    <t>CR1220Y1500T-MS-AS45/45</t>
  </si>
  <si>
    <t>CR1220Y1500T-MS-AS60/60</t>
  </si>
  <si>
    <t>CR1220Y1500T-MS-ZM30/30</t>
  </si>
  <si>
    <t>CR1220Y1500T-MS-ZM40/40</t>
  </si>
  <si>
    <t>CR1220Y1500T-MS-ZM50/50</t>
  </si>
  <si>
    <t>CR1350Y1700T-MS-EG12/12</t>
  </si>
  <si>
    <t>CR1350Y1700T-MS-EG29/29</t>
  </si>
  <si>
    <t>CR1350Y1700T-MS-EG47/47</t>
  </si>
  <si>
    <t>CR1350Y1700T-MS-GI40/40</t>
  </si>
  <si>
    <t>CR1350Y1700T-MS-GI50/50</t>
  </si>
  <si>
    <t>CR1350Y1700T-MS-GI60/60</t>
  </si>
  <si>
    <t>CR1350Y1700T-MS-GI70/70</t>
  </si>
  <si>
    <t>CR1350Y1700T-MS-GA40/40</t>
  </si>
  <si>
    <t>CR1350Y1700T-MS-GA50/50</t>
  </si>
  <si>
    <t>CR1350Y1700T-MS-AS30/30</t>
  </si>
  <si>
    <t>CR1350Y1700T-MS-AS45/45</t>
  </si>
  <si>
    <t>CR1350Y1700T-MS-AS60/60</t>
  </si>
  <si>
    <t>CR1350Y1700T-MS-ZM30/30</t>
  </si>
  <si>
    <t>CR1350Y1700T-MS-ZM40/40</t>
  </si>
  <si>
    <t>CR1350Y1700T-MS-ZM50/50</t>
  </si>
  <si>
    <t>CR250Y440T-DP-EG12/12</t>
  </si>
  <si>
    <t>CR250Y440T-DP-EG29/29</t>
  </si>
  <si>
    <t>CR250Y440T-DP-EG47/47</t>
  </si>
  <si>
    <t>CR250Y440T-DP-GI40/40</t>
  </si>
  <si>
    <t>CR250Y440T-DP-GI50/50</t>
  </si>
  <si>
    <t>CR250Y440T-DP-GI60/60</t>
  </si>
  <si>
    <t>CR250Y440T-DP-GI70/70</t>
  </si>
  <si>
    <t>CR250Y440T-DP-GA40/40</t>
  </si>
  <si>
    <t>CR250Y440T-DP-GA50/50</t>
  </si>
  <si>
    <t>CR250Y440T-DP-AS30/30</t>
  </si>
  <si>
    <t>CR250Y440T-DP-AS45/45</t>
  </si>
  <si>
    <t>CR250Y440T-DP-AS60/60</t>
  </si>
  <si>
    <t>CR250Y440T-DP-ZM30/30</t>
  </si>
  <si>
    <t>CR250Y440T-DP-ZM40/40</t>
  </si>
  <si>
    <t>CR250Y440T-DP-ZM50/50</t>
  </si>
  <si>
    <t>CR490Y780T-DP-EG12/12</t>
  </si>
  <si>
    <t>CR490Y780T-DP-EG29/29</t>
  </si>
  <si>
    <t>CR490Y780T-DP-EG47/47</t>
  </si>
  <si>
    <t>CR490Y780T-DP-GI40/40</t>
  </si>
  <si>
    <t>CR490Y780T-DP-GI50/50</t>
  </si>
  <si>
    <t>CR490Y780T-DP-GI60/60</t>
  </si>
  <si>
    <t>CR490Y780T-DP-GI70/70</t>
  </si>
  <si>
    <t>CR490Y780T-DP-GA40/40</t>
  </si>
  <si>
    <t>CR490Y780T-DP-GA50/50</t>
  </si>
  <si>
    <t>CR490Y780T-DP-AS30/30</t>
  </si>
  <si>
    <t>CR490Y780T-DP-AS45/45</t>
  </si>
  <si>
    <t>CR490Y780T-DP-AS60/60</t>
  </si>
  <si>
    <t>CR490Y780T-DP-ZM30/30</t>
  </si>
  <si>
    <t>CR490Y780T-DP-ZM40/40</t>
  </si>
  <si>
    <t>CR490Y780T-DP-ZM50/50</t>
  </si>
  <si>
    <t>CR900Y1180T-CP-EG12/12</t>
  </si>
  <si>
    <t>CR900Y1180T-CP-EG29/29</t>
  </si>
  <si>
    <t>CR900Y1180T-CP-EG47/47</t>
  </si>
  <si>
    <t>CR900Y1180T-CP-GI40/40</t>
  </si>
  <si>
    <t>CR900Y1180T-CP-GI50/50</t>
  </si>
  <si>
    <t>CR900Y1180T-CP-GI60/60</t>
  </si>
  <si>
    <t>CR900Y1180T-CP-GI70/70</t>
  </si>
  <si>
    <t>CR900Y1180T-CP-GA40/40</t>
  </si>
  <si>
    <t>CR900Y1180T-CP-GA50/50</t>
  </si>
  <si>
    <t>CR900Y1180T-CP-AS30/30</t>
  </si>
  <si>
    <t>CR900Y1180T-CP-AS45/45</t>
  </si>
  <si>
    <t>CR900Y1180T-CP-AS60/60</t>
  </si>
  <si>
    <t>CR900Y1180T-CP-ZM30/30</t>
  </si>
  <si>
    <t>CR900Y1180T-CP-ZM40/40</t>
  </si>
  <si>
    <t>CR900Y1180T-CP-ZM50/50</t>
  </si>
  <si>
    <t>HR700Y950T-CP-EG12/12</t>
  </si>
  <si>
    <t>HR700Y950T-CP-EG29/29</t>
  </si>
  <si>
    <t>HR700Y950T-CP-EG47/47</t>
  </si>
  <si>
    <t>HR700Y950T-CP-GI40/40</t>
  </si>
  <si>
    <t>HR700Y950T-CP-GI50/50</t>
  </si>
  <si>
    <t>HR700Y950T-CP-GI60/60</t>
  </si>
  <si>
    <t>HR700Y950T-CP-GI70/70</t>
  </si>
  <si>
    <t>HR700Y950T-CP-GA40/40</t>
  </si>
  <si>
    <t>HR700Y950T-CP-GA50/50</t>
  </si>
  <si>
    <t>HR700Y950T-CP-AS30/30</t>
  </si>
  <si>
    <t>HR700Y950T-CP-AS45/45</t>
  </si>
  <si>
    <t>HR700Y950T-CP-AS60/60</t>
  </si>
  <si>
    <t>HR700Y950T-CP-ZM30/30</t>
  </si>
  <si>
    <t>HR700Y950T-CP-ZM40/40</t>
  </si>
  <si>
    <t>HR700Y950T-CP-ZM50/50</t>
  </si>
  <si>
    <t>CR780Y1180T-DP-EG12/12</t>
  </si>
  <si>
    <t>CR780Y1180T-DP-EG29/29</t>
  </si>
  <si>
    <t>CR780Y1180T-DP-EG47/47</t>
  </si>
  <si>
    <t>CR780Y1180T-DP-GI40/40</t>
  </si>
  <si>
    <t>CR780Y1180T-DP-GI50/50</t>
  </si>
  <si>
    <t>CR780Y1180T-DP-GI60/60</t>
  </si>
  <si>
    <t>CR780Y1180T-DP-GI70/70</t>
  </si>
  <si>
    <t>CR780Y1180T-DP-GA40/40</t>
  </si>
  <si>
    <t>CR780Y1180T-DP-GA50/50</t>
  </si>
  <si>
    <t>CR780Y1180T-DP-AS30/30</t>
  </si>
  <si>
    <t>CR780Y1180T-DP-AS45/45</t>
  </si>
  <si>
    <t>CR780Y1180T-DP-AS60/60</t>
  </si>
  <si>
    <t>CR780Y1180T-DP-ZM30/30</t>
  </si>
  <si>
    <t>CR780Y1180T-DP-ZM40/40</t>
  </si>
  <si>
    <t>CR780Y1180T-DP-ZM50/50</t>
  </si>
  <si>
    <t>CR330Y590T-DH-EG12/12</t>
  </si>
  <si>
    <t>CR330Y590T-DH-EG29/29</t>
  </si>
  <si>
    <t>CR330Y590T-DH-EG47/47</t>
  </si>
  <si>
    <t>CR330Y590T-DH-GI40/40</t>
  </si>
  <si>
    <t>CR330Y590T-DH-GI50/50</t>
  </si>
  <si>
    <t>CR330Y590T-DH-GI60/60</t>
  </si>
  <si>
    <t>CR330Y590T-DH-GI70/70</t>
  </si>
  <si>
    <t>CR330Y590T-DH-GA40/40</t>
  </si>
  <si>
    <t>CR330Y590T-DH-GA50/50</t>
  </si>
  <si>
    <t>CR330Y590T-DH-AS30/30</t>
  </si>
  <si>
    <t>CR330Y590T-DH-AS45/45</t>
  </si>
  <si>
    <t>CR330Y590T-DH-AS60/60</t>
  </si>
  <si>
    <t>CR330Y590T-DH-ZM30/30</t>
  </si>
  <si>
    <t>CR330Y590T-DH-ZM40/40</t>
  </si>
  <si>
    <t>CR330Y590T-DH-ZM50/50</t>
  </si>
  <si>
    <t>CR440Y780T-DH-EG12/12</t>
  </si>
  <si>
    <t>CR440Y780T-DH-EG29/29</t>
  </si>
  <si>
    <t>CR440Y780T-DH-EG47/47</t>
  </si>
  <si>
    <t>CR440Y780T-DH-GI40/40</t>
  </si>
  <si>
    <t>CR440Y780T-DH-GI50/50</t>
  </si>
  <si>
    <t>CR440Y780T-DH-GI60/60</t>
  </si>
  <si>
    <t>CR440Y780T-DH-GI70/70</t>
  </si>
  <si>
    <t>CR440Y780T-DH-GA40/40</t>
  </si>
  <si>
    <t>CR440Y780T-DH-GA50/50</t>
  </si>
  <si>
    <t>CR440Y780T-DH-AS30/30</t>
  </si>
  <si>
    <t>CR440Y780T-DH-AS45/45</t>
  </si>
  <si>
    <t>CR440Y780T-DH-AS60/60</t>
  </si>
  <si>
    <t>CR440Y780T-DH-ZM30/30</t>
  </si>
  <si>
    <t>CR440Y780T-DH-ZM40/40</t>
  </si>
  <si>
    <t>CR440Y780T-DH-ZM50/50</t>
  </si>
  <si>
    <t>CR700Y980T-DH-EG12/12</t>
  </si>
  <si>
    <t>CR700Y980T-DH-EG29/29</t>
  </si>
  <si>
    <t>CR700Y980T-DH-EG47/47</t>
  </si>
  <si>
    <t>CR700Y980T-DH-GI40/40</t>
  </si>
  <si>
    <t>CR700Y980T-DH-GI50/50</t>
  </si>
  <si>
    <t>CR700Y980T-DH-GI60/60</t>
  </si>
  <si>
    <t>CR700Y980T-DH-GI70/70</t>
  </si>
  <si>
    <t>CR700Y980T-DH-GA40/40</t>
  </si>
  <si>
    <t>CR700Y980T-DH-GA50/50</t>
  </si>
  <si>
    <t>CR700Y980T-DH-AS30/30</t>
  </si>
  <si>
    <t>CR700Y980T-DH-AS45/45</t>
  </si>
  <si>
    <t>CR700Y980T-DH-AS60/60</t>
  </si>
  <si>
    <t>CR700Y980T-DH-ZM30/30</t>
  </si>
  <si>
    <t>CR700Y980T-DH-ZM40/40</t>
  </si>
  <si>
    <t>CR700Y980T-DH-ZM50/50</t>
  </si>
  <si>
    <t>Hinzugefügt 06/2019</t>
  </si>
  <si>
    <r>
      <t>R</t>
    </r>
    <r>
      <rPr>
        <b/>
        <vertAlign val="subscript"/>
        <sz val="12"/>
        <rFont val="Arial"/>
        <family val="2"/>
      </rPr>
      <t>e</t>
    </r>
    <r>
      <rPr>
        <b/>
        <sz val="12"/>
        <rFont val="Arial"/>
        <family val="2"/>
      </rPr>
      <t xml:space="preserve"> (R</t>
    </r>
    <r>
      <rPr>
        <b/>
        <vertAlign val="subscript"/>
        <sz val="12"/>
        <rFont val="Arial"/>
        <family val="2"/>
      </rPr>
      <t>P0,2</t>
    </r>
    <r>
      <rPr>
        <b/>
        <sz val="12"/>
        <rFont val="Arial"/>
        <family val="2"/>
      </rPr>
      <t>)</t>
    </r>
  </si>
  <si>
    <t>Abfrage TL 4225 außen?</t>
  </si>
  <si>
    <t>oder 22 Mn B5 (AS) außen?</t>
  </si>
  <si>
    <t>Typ 4</t>
  </si>
  <si>
    <t>Typ 5</t>
  </si>
  <si>
    <t>Typ 6</t>
  </si>
  <si>
    <t>Typ 7</t>
  </si>
  <si>
    <t>Typ 8</t>
  </si>
  <si>
    <t>Typ 9</t>
  </si>
  <si>
    <t>Typ 10</t>
  </si>
  <si>
    <t>&lt;=Sonderwerkstoffe 
(hier Bezeichnung und Werte eintragen!)</t>
  </si>
  <si>
    <t>Version 10</t>
  </si>
  <si>
    <t>Version 10 Bugfix 1 (10.1)</t>
  </si>
  <si>
    <t>Versionsinfo:</t>
  </si>
  <si>
    <t>Machholz</t>
  </si>
  <si>
    <t>alle</t>
  </si>
  <si>
    <t>Neuerstellung</t>
  </si>
  <si>
    <t>Dengler</t>
  </si>
  <si>
    <t>4</t>
  </si>
  <si>
    <t>N</t>
  </si>
  <si>
    <t>11A.800.701./.A</t>
  </si>
  <si>
    <t>11A.800.701</t>
  </si>
  <si>
    <t>11A.800.701.A</t>
  </si>
  <si>
    <t>701 … ND
701.A…PGD</t>
  </si>
  <si>
    <t>Aufbau ND/PGD</t>
  </si>
  <si>
    <t>Pohl</t>
  </si>
  <si>
    <t>Sallame</t>
  </si>
  <si>
    <t>X</t>
  </si>
  <si>
    <t>5</t>
  </si>
  <si>
    <r>
      <t>Verschoben 
(</t>
    </r>
    <r>
      <rPr>
        <b/>
        <sz val="14"/>
        <rFont val="Arial"/>
        <family val="2"/>
      </rPr>
      <t>Äko VZF2621</t>
    </r>
    <r>
      <rPr>
        <sz val="14"/>
        <rFont val="Arial"/>
        <family val="2"/>
      </rPr>
      <t>)</t>
    </r>
  </si>
  <si>
    <t>VW336</t>
  </si>
  <si>
    <t>66-A53-96D 313785</t>
  </si>
  <si>
    <t>VW336 Aufbau ND/PGD Chattanooga</t>
  </si>
  <si>
    <t/>
  </si>
  <si>
    <t>39D 1978-2</t>
  </si>
  <si>
    <t>5WF.803.209</t>
  </si>
  <si>
    <t>5QS.804.455</t>
  </si>
  <si>
    <t>Verschoben 
(Äko VZF2621)</t>
  </si>
  <si>
    <t>66-59D367395</t>
  </si>
  <si>
    <t>KJLTVL411630R01</t>
  </si>
  <si>
    <t>KJLTVL411630</t>
  </si>
  <si>
    <t>5qa803091_p0007_g0210002900_L</t>
  </si>
  <si>
    <t>5qa803091_p0007_g0210003000_L</t>
  </si>
  <si>
    <t>5qa803091_p0007_g0210003100_L</t>
  </si>
  <si>
    <t>5qa803091_p0007_g0210004100_L</t>
  </si>
  <si>
    <t>5qa803091_p0007_g0210004500_L</t>
  </si>
  <si>
    <t>5qa803091_p0007_g0210005000_L</t>
  </si>
  <si>
    <t>5qa803091_p0007_g0210003600_L</t>
  </si>
  <si>
    <t>5qa803091_p0007_g0210003500_L</t>
  </si>
  <si>
    <t>5qa803091_p0007_g0210003400_L</t>
  </si>
  <si>
    <t>5qa803091_p0007_g0210003800_L</t>
  </si>
  <si>
    <t>5qa803091_p0007_g0210004700_L</t>
  </si>
  <si>
    <t>5qa803091_p0007_g0210004600_L</t>
  </si>
  <si>
    <t>GME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</si>
</sst>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8">
    <numFmt numFmtId="41" formatCode="_-* #,##0_-;\-* #,##0_-;_-* &quot;-&quot;_-;_-@_-"/>
    <numFmt numFmtId="43" formatCode="_-* #,##0.00_-;\-* #,##0.00_-;_-* &quot;-&quot;??_-;_-@_-"/>
    <numFmt numFmtId="164" formatCode="_-* #,##0.00\ &quot;€&quot;_-;\-* #,##0.00\ &quot;€&quot;_-;_-* &quot;-&quot;??\ &quot;€&quot;_-;_-@_-"/>
    <numFmt numFmtId="165" formatCode="_-* #,##0.00\ _D_M_-;\-* #,##0.00\ _D_M_-;_-* &quot;-&quot;??\ _D_M_-;_-@_-"/>
    <numFmt numFmtId="166" formatCode="\X\X\X\X000"/>
    <numFmt numFmtId="167" formatCode="0.0"/>
    <numFmt numFmtId="168" formatCode="\Æ\ 0"/>
    <numFmt numFmtId="169" formatCode="&quot;$&quot;* #,##0_);[Red]&quot;$&quot;* \(#,##0\)"/>
    <numFmt numFmtId="170" formatCode="&quot;$&quot;* #,##0.00_);[Red]&quot;$&quot;* \(#,##0.00\)"/>
    <numFmt numFmtId="171" formatCode="0_)%;\(0\)%"/>
    <numFmt numFmtId="172" formatCode="0.0\ %;\(0.0\)%"/>
    <numFmt numFmtId="173" formatCode="#,##0\ ;[Red]\(&quot;$&quot;#,##0\)"/>
    <numFmt numFmtId="174" formatCode="&quot;$&quot;#,##0;&quot;$&quot;\(#,##0\)"/>
    <numFmt numFmtId="175" formatCode="0.0000000000"/>
    <numFmt numFmtId="176" formatCode="#,##0_);[Red]\ \(#,##0\)"/>
    <numFmt numFmtId="177" formatCode="#,##0.0\ ;\(#,##0.0\)"/>
    <numFmt numFmtId="178" formatCode="&quot;$&quot;* ##0.0\ ;&quot;$&quot;* \(##0.0\);&quot;$&quot;* &quot;N/A &quot;"/>
    <numFmt numFmtId="179" formatCode="\$* ##0.0\ ;\$* \(##0.0\);\$* &quot;N/A &quot;"/>
    <numFmt numFmtId="180" formatCode="\$#,##0;&quot;$(&quot;#,##0\)"/>
    <numFmt numFmtId="181" formatCode="\$\ #,##0.00_);[Red]\$\(#,##0.00\);\$\ \ \ \-\ \ "/>
    <numFmt numFmtId="182" formatCode="&quot;$ &quot;#,##0.00_);[Red]&quot;$(&quot;#,##0.00\);&quot;$   -  &quot;"/>
    <numFmt numFmtId="183" formatCode=";;;"/>
    <numFmt numFmtId="184" formatCode="mmmm\ d\,\ yyyy"/>
    <numFmt numFmtId="185" formatCode="&quot;US$&quot;#,##0.00_);\(&quot;US$&quot;#,##0.00\)"/>
    <numFmt numFmtId="186" formatCode="&quot;US$&quot;#,##0.00_);&quot;(US$&quot;#,##0.00\)"/>
    <numFmt numFmtId="187" formatCode="mmmm\ d&quot;, &quot;yyyy"/>
    <numFmt numFmtId="188" formatCode="."/>
    <numFmt numFmtId="189" formatCode="\."/>
    <numFmt numFmtId="190" formatCode="_(&quot;$&quot;* #,##0.0;_(&quot;$&quot;* \(#,##0.0\);_(&quot;$&quot;* &quot;0.0&quot;;_(@\)"/>
    <numFmt numFmtId="191" formatCode="#,##0&quot;£&quot;_);\(#,##0&quot;£&quot;\)"/>
    <numFmt numFmtId="192" formatCode="#,##0\ &quot;F&quot;;\-#,##0\ &quot;F&quot;"/>
    <numFmt numFmtId="193" formatCode="&quot;$&quot;#.##0_);\(&quot;$&quot;#.##0\)"/>
    <numFmt numFmtId="194" formatCode="\$#,##0.00;[Red]\-\$#,##0.00"/>
    <numFmt numFmtId="195" formatCode="0.0000%"/>
    <numFmt numFmtId="196" formatCode="0#\-##\-##"/>
    <numFmt numFmtId="197" formatCode="&quot;$&quot;#,##0"/>
    <numFmt numFmtId="198" formatCode="&quot;$&quot;#,##0.0_);[Red]\(&quot;$&quot;#,##0.0\)"/>
    <numFmt numFmtId="199" formatCode="#,##0;\(#,##0\)"/>
    <numFmt numFmtId="200" formatCode="#,##0.000_);\(#,##0.000\)"/>
    <numFmt numFmtId="201" formatCode="#,##0.0_);\(#,##0.0\)"/>
    <numFmt numFmtId="202" formatCode="&quot;$&quot;* #,##0_);&quot;$&quot;* \(#,##0\)"/>
    <numFmt numFmtId="203" formatCode="_(* #,##0.0000_);_(* \(#,##0.0000\);_(* &quot;-&quot;??_);_(@_)"/>
    <numFmt numFmtId="204" formatCode="_-* #,##0\ _E_U_R_-;\-* #,##0\ _E_U_R_-;_-* &quot;-&quot;\ _E_U_R_-;_-@_-"/>
    <numFmt numFmtId="205" formatCode="_-* #,##0.00\ _E_U_R_-;\-* #,##0.00\ _E_U_R_-;_-* &quot;-&quot;??\ _E_U_R_-;_-@_-"/>
    <numFmt numFmtId="206" formatCode="_-* #,##0\ &quot;F&quot;_-;\-* #,##0\ &quot;F&quot;_-;_-* &quot;-&quot;\ &quot;F&quot;_-;_-@_-"/>
    <numFmt numFmtId="207" formatCode="_-[$€-2]\ * #,##0.00_-;\-[$€-2]\ * #,##0.00_-;_-[$€-2]\ * &quot;-&quot;??_-"/>
    <numFmt numFmtId="208" formatCode="_-* #,##0.00\ [$€-1]_-;\-* #,##0.00\ [$€-1]_-;_-* &quot;-&quot;??\ [$€-1]_-"/>
    <numFmt numFmtId="209" formatCode="_-[$€-2]\ * #,##0.00_-;\-[$€-2]\ * #,##0.00_-;_-[$€-2]\ * \-??_-"/>
    <numFmt numFmtId="210" formatCode="_-[$€]* #,##0.00_-;\-[$€]* #,##0.00_-;_-[$€]* &quot;-&quot;??_-;_-@_-"/>
    <numFmt numFmtId="211" formatCode="_(&quot;$&quot;* #,##0;_(&quot;$&quot;* \(#,##0\);_(&quot;$&quot;* &quot;0&quot;;_(@\)"/>
    <numFmt numFmtId="212" formatCode="&quot;R&quot;#,##0;[Red]\-&quot;R&quot;#,##0"/>
    <numFmt numFmtId="213" formatCode="&quot;R&quot;#,##0.00;[Red]\-&quot;R&quot;#,##0.00"/>
    <numFmt numFmtId="214" formatCode="#,##0.00000;\(#,##0.00000\)"/>
    <numFmt numFmtId="215" formatCode="0.0%;\ \(0.0%\)"/>
    <numFmt numFmtId="216" formatCode="_(&quot;$&quot;* #,##0_);_(&quot;$&quot;* \(#,##0\);_(&quot;$&quot;* &quot;-&quot;_);_(@_)"/>
    <numFmt numFmtId="217" formatCode="_(&quot;$&quot;* #,##0.00_);_(&quot;$&quot;* \(#,##0.00\);_(&quot;$&quot;* &quot;-&quot;??_);_(@_)"/>
    <numFmt numFmtId="218" formatCode="&quot;£&quot;#,##0.00"/>
    <numFmt numFmtId="219" formatCode="0.00_)"/>
    <numFmt numFmtId="220" formatCode="_(* #,##0.0;_(* \(#,##0.0\);_(* &quot;0.0&quot;;_(@_)"/>
    <numFmt numFmtId="221" formatCode="#,##0.00\ &quot;F&quot;;[Red]\-#,##0.00\ &quot;F&quot;"/>
    <numFmt numFmtId="222" formatCode="0.00000%"/>
    <numFmt numFmtId="223" formatCode="&quot;$&quot;#,\);\(&quot;$&quot;#,##0\)"/>
    <numFmt numFmtId="224" formatCode="#,##0.00&quot; F&quot;;[Red]\-#,##0.00&quot; F&quot;"/>
    <numFmt numFmtId="225" formatCode="_-* #,##0\ _F_-;\-* #,##0\ _F_-;_-* &quot;-&quot;\ _F_-;_-@_-"/>
    <numFmt numFmtId="226" formatCode=";;*__)"/>
    <numFmt numFmtId="227" formatCode="_-* #,##0.00\ &quot;€&quot;_-;\-* #,##0.00\ &quot;€&quot;_-;_-* &quot;-&quot;&quot;?&quot;&quot;?&quot;\ &quot;€&quot;_-;_-@_-"/>
    <numFmt numFmtId="228" formatCode="_-&quot;öS&quot;\ * #,##0.00_-;\-&quot;öS&quot;\ * #,##0.00_-;_-&quot;öS&quot;\ * &quot;-&quot;??_-;_-@_-"/>
    <numFmt numFmtId="229" formatCode="0.00000"/>
  </numFmts>
  <fonts count="221">
    <font>
      <sz val="10"/>
      <name val="Arial"/>
    </font>
    <font>
      <sz val="11"/>
      <color theme="1"/>
      <name val="Calibri"/>
      <family val="2"/>
      <scheme val="minor"/>
    </font>
    <font>
      <b/>
      <sz val="10"/>
      <name val="Arial"/>
      <family val="2"/>
    </font>
    <font>
      <sz val="10"/>
      <name val="Arial"/>
      <family val="2"/>
    </font>
    <font>
      <b/>
      <sz val="12"/>
      <name val="Arial"/>
      <family val="2"/>
    </font>
    <font>
      <sz val="12"/>
      <color indexed="8"/>
      <name val="Arial"/>
      <family val="2"/>
    </font>
    <font>
      <sz val="12"/>
      <name val="Arial"/>
      <family val="2"/>
    </font>
    <font>
      <b/>
      <sz val="14"/>
      <name val="Arial"/>
      <family val="2"/>
    </font>
    <font>
      <sz val="11"/>
      <name val="Arial"/>
      <family val="2"/>
    </font>
    <font>
      <sz val="8"/>
      <name val="Arial"/>
      <family val="2"/>
    </font>
    <font>
      <b/>
      <sz val="18"/>
      <name val="Arial"/>
      <family val="2"/>
    </font>
    <font>
      <sz val="14"/>
      <name val="Arial"/>
      <family val="2"/>
    </font>
    <font>
      <b/>
      <sz val="20"/>
      <name val="Arial"/>
      <family val="2"/>
    </font>
    <font>
      <sz val="10"/>
      <color indexed="8"/>
      <name val="Arial"/>
      <family val="2"/>
    </font>
    <font>
      <b/>
      <sz val="10"/>
      <name val="Arial"/>
      <family val="2"/>
    </font>
    <font>
      <b/>
      <sz val="16"/>
      <name val="Arial"/>
      <family val="2"/>
    </font>
    <font>
      <sz val="10"/>
      <name val="Univers"/>
      <family val="2"/>
    </font>
    <font>
      <sz val="8"/>
      <color indexed="0"/>
      <name val="MS Sans Serif"/>
      <family val="2"/>
    </font>
    <font>
      <b/>
      <sz val="24"/>
      <name val="Arial"/>
      <family val="2"/>
    </font>
    <font>
      <sz val="24"/>
      <name val="Univers"/>
      <family val="2"/>
    </font>
    <font>
      <sz val="24"/>
      <name val="Arial"/>
      <family val="2"/>
    </font>
    <font>
      <sz val="18"/>
      <name val="Arial"/>
      <family val="2"/>
    </font>
    <font>
      <b/>
      <sz val="11"/>
      <name val="Arial"/>
      <family val="2"/>
    </font>
    <font>
      <b/>
      <sz val="18"/>
      <name val="Univers"/>
      <family val="2"/>
    </font>
    <font>
      <sz val="14"/>
      <color indexed="8"/>
      <name val="Arial"/>
      <family val="2"/>
    </font>
    <font>
      <b/>
      <sz val="14"/>
      <color indexed="8"/>
      <name val="BMWTypeRegular"/>
      <family val="2"/>
    </font>
    <font>
      <sz val="16"/>
      <name val="Arial"/>
      <family val="2"/>
    </font>
    <font>
      <sz val="20"/>
      <name val="Arial"/>
      <family val="2"/>
    </font>
    <font>
      <sz val="8"/>
      <color indexed="0"/>
      <name val="MS Sans Serif"/>
      <family val="2"/>
    </font>
    <font>
      <sz val="10"/>
      <color indexed="62"/>
      <name val="Arial"/>
      <family val="2"/>
    </font>
    <font>
      <b/>
      <sz val="28"/>
      <name val="Arial"/>
      <family val="2"/>
    </font>
    <font>
      <b/>
      <sz val="16"/>
      <name val="SymbolPS"/>
      <family val="1"/>
      <charset val="2"/>
    </font>
    <font>
      <sz val="9.5"/>
      <name val="Calibri"/>
      <family val="2"/>
      <scheme val="minor"/>
    </font>
    <font>
      <sz val="14"/>
      <color theme="0" tint="-0.499984740745262"/>
      <name val="Arial"/>
      <family val="2"/>
    </font>
    <font>
      <sz val="10"/>
      <color rgb="FFFF0000"/>
      <name val="Arial"/>
      <family val="2"/>
    </font>
    <font>
      <b/>
      <sz val="10"/>
      <color rgb="FFFF0000"/>
      <name val="Arial"/>
      <family val="2"/>
    </font>
    <font>
      <b/>
      <sz val="18"/>
      <color theme="0" tint="-0.499984740745262"/>
      <name val="Arial"/>
      <family val="2"/>
    </font>
    <font>
      <sz val="11"/>
      <name val="Calibri"/>
      <family val="2"/>
    </font>
    <font>
      <sz val="20"/>
      <color indexed="81"/>
      <name val="Tahoma"/>
      <family val="2"/>
    </font>
    <font>
      <sz val="14"/>
      <name val="Univers"/>
      <family val="2"/>
    </font>
    <font>
      <sz val="14"/>
      <color indexed="0"/>
      <name val="Arial"/>
      <family val="2"/>
    </font>
    <font>
      <sz val="22"/>
      <name val="Arial"/>
      <family val="2"/>
    </font>
    <font>
      <u/>
      <sz val="10"/>
      <color theme="10"/>
      <name val="Arial"/>
      <family val="2"/>
    </font>
    <font>
      <u/>
      <sz val="20"/>
      <color theme="10"/>
      <name val="Arial"/>
      <family val="2"/>
    </font>
    <font>
      <u/>
      <sz val="16"/>
      <color theme="10"/>
      <name val="Arial"/>
      <family val="2"/>
    </font>
    <font>
      <b/>
      <sz val="16"/>
      <name val="BMWTypeRegular"/>
      <family val="2"/>
    </font>
    <font>
      <b/>
      <sz val="16"/>
      <color indexed="8"/>
      <name val="BMWTypeRegular"/>
      <family val="2"/>
    </font>
    <font>
      <sz val="16"/>
      <name val="SymbolPS"/>
      <family val="1"/>
      <charset val="2"/>
    </font>
    <font>
      <b/>
      <sz val="20"/>
      <name val="Univers"/>
      <family val="2"/>
    </font>
    <font>
      <b/>
      <sz val="18"/>
      <color indexed="23"/>
      <name val="Arial"/>
      <family val="2"/>
    </font>
    <font>
      <b/>
      <sz val="22"/>
      <name val="Arial"/>
      <family val="2"/>
    </font>
    <font>
      <b/>
      <sz val="18"/>
      <name val="BMWTypeRegular"/>
      <family val="2"/>
    </font>
    <font>
      <b/>
      <sz val="18"/>
      <color indexed="81"/>
      <name val="Tahoma"/>
      <family val="2"/>
    </font>
    <font>
      <sz val="18"/>
      <color indexed="81"/>
      <name val="Tahoma"/>
      <family val="2"/>
    </font>
    <font>
      <b/>
      <sz val="36"/>
      <name val="Arial"/>
      <family val="2"/>
    </font>
    <font>
      <b/>
      <sz val="26"/>
      <name val="Arial"/>
      <family val="2"/>
    </font>
    <font>
      <b/>
      <vertAlign val="subscript"/>
      <sz val="12"/>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Univers"/>
      <family val="2"/>
    </font>
    <font>
      <b/>
      <sz val="8"/>
      <color indexed="0"/>
      <name val="MS Sans Serif"/>
      <family val="2"/>
    </font>
    <font>
      <u/>
      <sz val="10"/>
      <color indexed="12"/>
      <name val="Arial"/>
      <family val="2"/>
    </font>
    <font>
      <sz val="10"/>
      <color indexed="10"/>
      <name val="Arial"/>
      <family val="2"/>
    </font>
    <font>
      <sz val="11"/>
      <color indexed="8"/>
      <name val="Calibri"/>
      <family val="2"/>
      <charset val="238"/>
    </font>
    <font>
      <sz val="11"/>
      <color indexed="9"/>
      <name val="Calibri"/>
      <family val="2"/>
    </font>
    <font>
      <sz val="11"/>
      <color indexed="9"/>
      <name val="Calibri"/>
      <family val="2"/>
      <charset val="238"/>
    </font>
    <font>
      <sz val="11"/>
      <color indexed="20"/>
      <name val="Calibri"/>
      <family val="2"/>
      <charset val="238"/>
    </font>
    <font>
      <b/>
      <sz val="11"/>
      <color indexed="9"/>
      <name val="Calibri"/>
      <family val="2"/>
      <charset val="238"/>
    </font>
    <font>
      <sz val="11"/>
      <color indexed="17"/>
      <name val="Calibri"/>
      <family val="2"/>
      <charset val="238"/>
    </font>
    <font>
      <sz val="11"/>
      <color indexed="17"/>
      <name val="Calibri"/>
      <family val="2"/>
    </font>
    <font>
      <b/>
      <sz val="15"/>
      <color indexed="56"/>
      <name val="Calibri"/>
      <family val="2"/>
      <charset val="238"/>
    </font>
    <font>
      <b/>
      <sz val="13"/>
      <color indexed="56"/>
      <name val="Calibri"/>
      <family val="2"/>
      <charset val="238"/>
    </font>
    <font>
      <b/>
      <sz val="11"/>
      <color indexed="56"/>
      <name val="Calibri"/>
      <family val="2"/>
      <charset val="238"/>
    </font>
    <font>
      <sz val="11"/>
      <color indexed="52"/>
      <name val="Calibri"/>
      <family val="2"/>
      <charset val="238"/>
    </font>
    <font>
      <sz val="11"/>
      <color indexed="20"/>
      <name val="Calibri"/>
      <family val="2"/>
    </font>
    <font>
      <b/>
      <sz val="18"/>
      <color indexed="56"/>
      <name val="Cambria"/>
      <family val="2"/>
      <charset val="238"/>
    </font>
    <font>
      <b/>
      <sz val="18"/>
      <color indexed="56"/>
      <name val="Cambria"/>
      <family val="2"/>
    </font>
    <font>
      <b/>
      <sz val="15"/>
      <color indexed="56"/>
      <name val="Calibri"/>
      <family val="2"/>
    </font>
    <font>
      <b/>
      <sz val="13"/>
      <color indexed="56"/>
      <name val="Calibri"/>
      <family val="2"/>
    </font>
    <font>
      <b/>
      <sz val="11"/>
      <color indexed="56"/>
      <name val="Calibri"/>
      <family val="2"/>
    </font>
    <font>
      <sz val="11"/>
      <color indexed="52"/>
      <name val="Calibri"/>
      <family val="2"/>
    </font>
    <font>
      <b/>
      <sz val="11"/>
      <color indexed="9"/>
      <name val="Calibri"/>
      <family val="2"/>
    </font>
    <font>
      <sz val="11"/>
      <color indexed="8"/>
      <name val="Calibri"/>
      <family val="2"/>
    </font>
    <font>
      <b/>
      <sz val="10"/>
      <color indexed="8"/>
      <name val="Arial"/>
      <family val="2"/>
    </font>
    <font>
      <b/>
      <sz val="11"/>
      <color indexed="63"/>
      <name val="Calibri"/>
      <family val="2"/>
    </font>
    <font>
      <b/>
      <sz val="11"/>
      <color indexed="52"/>
      <name val="Calibri"/>
      <family val="2"/>
    </font>
    <font>
      <sz val="11"/>
      <color indexed="62"/>
      <name val="Calibri"/>
      <family val="2"/>
    </font>
    <font>
      <b/>
      <sz val="11"/>
      <color indexed="8"/>
      <name val="Calibri"/>
      <family val="2"/>
    </font>
    <font>
      <i/>
      <sz val="11"/>
      <color indexed="23"/>
      <name val="Calibri"/>
      <family val="2"/>
    </font>
    <font>
      <sz val="11"/>
      <color indexed="60"/>
      <name val="Calibri"/>
      <family val="2"/>
    </font>
    <font>
      <sz val="11"/>
      <color indexed="10"/>
      <name val="Calibri"/>
      <family val="2"/>
    </font>
    <font>
      <sz val="11"/>
      <color indexed="8"/>
      <name val="Calibri"/>
      <family val="2"/>
      <charset val="204"/>
    </font>
    <font>
      <sz val="11"/>
      <color indexed="9"/>
      <name val="Calibri"/>
      <family val="2"/>
      <charset val="204"/>
    </font>
    <font>
      <sz val="11"/>
      <color indexed="62"/>
      <name val="Calibri"/>
      <family val="2"/>
      <charset val="204"/>
    </font>
    <font>
      <b/>
      <sz val="11"/>
      <color indexed="63"/>
      <name val="Calibri"/>
      <family val="2"/>
      <charset val="204"/>
    </font>
    <font>
      <b/>
      <sz val="11"/>
      <color indexed="52"/>
      <name val="Calibri"/>
      <family val="2"/>
      <charset val="204"/>
    </font>
    <font>
      <b/>
      <sz val="15"/>
      <color indexed="56"/>
      <name val="Calibri"/>
      <family val="2"/>
      <charset val="204"/>
    </font>
    <font>
      <b/>
      <sz val="13"/>
      <color indexed="56"/>
      <name val="Calibri"/>
      <family val="2"/>
      <charset val="204"/>
    </font>
    <font>
      <b/>
      <sz val="11"/>
      <color indexed="56"/>
      <name val="Calibri"/>
      <family val="2"/>
      <charset val="204"/>
    </font>
    <font>
      <b/>
      <sz val="11"/>
      <color indexed="8"/>
      <name val="Calibri"/>
      <family val="2"/>
      <charset val="204"/>
    </font>
    <font>
      <b/>
      <sz val="11"/>
      <color indexed="9"/>
      <name val="Calibri"/>
      <family val="2"/>
      <charset val="204"/>
    </font>
    <font>
      <b/>
      <sz val="18"/>
      <color indexed="56"/>
      <name val="Cambria"/>
      <family val="2"/>
      <charset val="204"/>
    </font>
    <font>
      <sz val="11"/>
      <color indexed="60"/>
      <name val="Calibri"/>
      <family val="2"/>
      <charset val="204"/>
    </font>
    <font>
      <sz val="11"/>
      <color indexed="20"/>
      <name val="Calibri"/>
      <family val="2"/>
      <charset val="204"/>
    </font>
    <font>
      <i/>
      <sz val="11"/>
      <color indexed="23"/>
      <name val="Calibri"/>
      <family val="2"/>
      <charset val="204"/>
    </font>
    <font>
      <sz val="11"/>
      <color indexed="52"/>
      <name val="Calibri"/>
      <family val="2"/>
      <charset val="204"/>
    </font>
    <font>
      <sz val="11"/>
      <color indexed="10"/>
      <name val="Calibri"/>
      <family val="2"/>
      <charset val="204"/>
    </font>
    <font>
      <sz val="11"/>
      <color indexed="17"/>
      <name val="Calibri"/>
      <family val="2"/>
      <charset val="204"/>
    </font>
    <font>
      <sz val="10"/>
      <name val="Arial"/>
      <family val="2"/>
      <charset val="238"/>
    </font>
    <font>
      <u/>
      <sz val="7.5"/>
      <color indexed="12"/>
      <name val="Arial"/>
      <family val="2"/>
    </font>
    <font>
      <sz val="10"/>
      <color indexed="9"/>
      <name val="Arial"/>
      <family val="2"/>
    </font>
    <font>
      <b/>
      <sz val="10"/>
      <color indexed="63"/>
      <name val="Arial"/>
      <family val="2"/>
    </font>
    <font>
      <b/>
      <sz val="10"/>
      <color indexed="52"/>
      <name val="Arial"/>
      <family val="2"/>
    </font>
    <font>
      <i/>
      <sz val="10"/>
      <color indexed="23"/>
      <name val="Arial"/>
      <family val="2"/>
    </font>
    <font>
      <sz val="11"/>
      <color theme="1"/>
      <name val="Calibri"/>
      <family val="2"/>
      <charset val="238"/>
      <scheme val="minor"/>
    </font>
    <font>
      <sz val="11"/>
      <color theme="0"/>
      <name val="Calibri"/>
      <family val="2"/>
      <charset val="238"/>
      <scheme val="minor"/>
    </font>
    <font>
      <sz val="11"/>
      <color rgb="FF9C0006"/>
      <name val="Calibri"/>
      <family val="2"/>
      <charset val="238"/>
      <scheme val="minor"/>
    </font>
    <font>
      <b/>
      <sz val="11"/>
      <color rgb="FFFA7D00"/>
      <name val="Calibri"/>
      <family val="2"/>
      <charset val="238"/>
      <scheme val="minor"/>
    </font>
    <font>
      <b/>
      <sz val="11"/>
      <color theme="0"/>
      <name val="Calibri"/>
      <family val="2"/>
      <charset val="238"/>
      <scheme val="minor"/>
    </font>
    <font>
      <i/>
      <sz val="11"/>
      <color rgb="FF7F7F7F"/>
      <name val="Calibri"/>
      <family val="2"/>
      <charset val="238"/>
      <scheme val="minor"/>
    </font>
    <font>
      <sz val="11"/>
      <color rgb="FF006100"/>
      <name val="Calibri"/>
      <family val="2"/>
      <charset val="238"/>
      <scheme val="minor"/>
    </font>
    <font>
      <b/>
      <sz val="15"/>
      <color theme="3"/>
      <name val="Calibri"/>
      <family val="2"/>
      <charset val="238"/>
      <scheme val="minor"/>
    </font>
    <font>
      <b/>
      <sz val="13"/>
      <color theme="3"/>
      <name val="Calibri"/>
      <family val="2"/>
      <charset val="238"/>
      <scheme val="minor"/>
    </font>
    <font>
      <b/>
      <sz val="11"/>
      <color theme="3"/>
      <name val="Calibri"/>
      <family val="2"/>
      <charset val="238"/>
      <scheme val="minor"/>
    </font>
    <font>
      <sz val="11"/>
      <color rgb="FF3F3F76"/>
      <name val="Calibri"/>
      <family val="2"/>
      <charset val="238"/>
      <scheme val="minor"/>
    </font>
    <font>
      <sz val="11"/>
      <color rgb="FFFA7D00"/>
      <name val="Calibri"/>
      <family val="2"/>
      <charset val="238"/>
      <scheme val="minor"/>
    </font>
    <font>
      <sz val="11"/>
      <color rgb="FF9C6500"/>
      <name val="Calibri"/>
      <family val="2"/>
      <charset val="238"/>
      <scheme val="minor"/>
    </font>
    <font>
      <b/>
      <sz val="11"/>
      <color rgb="FF3F3F3F"/>
      <name val="Calibri"/>
      <family val="2"/>
      <charset val="238"/>
      <scheme val="minor"/>
    </font>
    <font>
      <sz val="12"/>
      <color theme="1"/>
      <name val="Calibri"/>
      <family val="2"/>
      <scheme val="minor"/>
    </font>
    <font>
      <b/>
      <sz val="18"/>
      <color theme="3"/>
      <name val="Cambria"/>
      <family val="2"/>
      <charset val="238"/>
      <scheme val="major"/>
    </font>
    <font>
      <b/>
      <sz val="11"/>
      <color theme="1"/>
      <name val="Calibri"/>
      <family val="2"/>
      <charset val="238"/>
      <scheme val="minor"/>
    </font>
    <font>
      <sz val="11"/>
      <color rgb="FFFF0000"/>
      <name val="Calibri"/>
      <family val="2"/>
      <charset val="238"/>
      <scheme val="minor"/>
    </font>
    <font>
      <sz val="8.5"/>
      <name val="LinePrinter"/>
    </font>
    <font>
      <sz val="10"/>
      <name val="MS Sans Serif"/>
      <family val="2"/>
    </font>
    <font>
      <sz val="10"/>
      <color theme="1"/>
      <name val="Arial"/>
      <family val="2"/>
    </font>
    <font>
      <sz val="10"/>
      <color theme="0"/>
      <name val="Arial"/>
      <family val="2"/>
    </font>
    <font>
      <sz val="12"/>
      <name val="Helv"/>
    </font>
    <font>
      <sz val="8"/>
      <name val="Times New Roman"/>
      <family val="1"/>
    </font>
    <font>
      <b/>
      <sz val="10"/>
      <color rgb="FF3F3F3F"/>
      <name val="Arial"/>
      <family val="2"/>
    </font>
    <font>
      <b/>
      <sz val="11"/>
      <color indexed="10"/>
      <name val="Calibri"/>
      <family val="2"/>
    </font>
    <font>
      <b/>
      <sz val="10"/>
      <color rgb="FFFA7D00"/>
      <name val="Arial"/>
      <family val="2"/>
    </font>
    <font>
      <sz val="10"/>
      <name val="Courier"/>
      <family val="3"/>
    </font>
    <font>
      <b/>
      <sz val="10"/>
      <name val="Helv"/>
    </font>
    <font>
      <sz val="10"/>
      <name val="MS Serif"/>
      <family val="1"/>
    </font>
    <font>
      <sz val="10"/>
      <name val="Times New Roman"/>
      <family val="1"/>
    </font>
    <font>
      <sz val="8"/>
      <color indexed="19"/>
      <name val="Tahoma"/>
      <family val="2"/>
    </font>
    <font>
      <sz val="10"/>
      <color rgb="FF3F3F76"/>
      <name val="Arial"/>
      <family val="2"/>
    </font>
    <font>
      <b/>
      <sz val="11"/>
      <color indexed="62"/>
      <name val="Calibri"/>
      <family val="2"/>
    </font>
    <font>
      <sz val="10"/>
      <color indexed="16"/>
      <name val="MS Serif"/>
      <family val="1"/>
    </font>
    <font>
      <b/>
      <sz val="10"/>
      <color theme="1"/>
      <name val="Arial"/>
      <family val="2"/>
    </font>
    <font>
      <i/>
      <sz val="10"/>
      <color rgb="FF7F7F7F"/>
      <name val="Arial"/>
      <family val="2"/>
    </font>
    <font>
      <i/>
      <sz val="8"/>
      <color indexed="11"/>
      <name val="Tahoma"/>
      <family val="2"/>
    </font>
    <font>
      <i/>
      <sz val="8"/>
      <color indexed="12"/>
      <name val="Tahoma"/>
      <family val="2"/>
    </font>
    <font>
      <sz val="11"/>
      <name val="‚l‚r ‚oƒSƒVƒbƒN"/>
      <charset val="128"/>
    </font>
    <font>
      <sz val="10"/>
      <color indexed="17"/>
      <name val="Arial"/>
      <family val="2"/>
    </font>
    <font>
      <sz val="10"/>
      <color rgb="FF006100"/>
      <name val="Arial"/>
      <family val="2"/>
    </font>
    <font>
      <b/>
      <sz val="12"/>
      <name val="Helv"/>
    </font>
    <font>
      <b/>
      <sz val="15"/>
      <color indexed="62"/>
      <name val="Calibri"/>
      <family val="2"/>
    </font>
    <font>
      <b/>
      <sz val="13"/>
      <color indexed="62"/>
      <name val="Calibri"/>
      <family val="2"/>
    </font>
    <font>
      <b/>
      <sz val="8"/>
      <name val="MS Sans Serif"/>
      <family val="2"/>
    </font>
    <font>
      <u/>
      <sz val="11"/>
      <color theme="10"/>
      <name val="Calibri"/>
      <family val="2"/>
      <scheme val="minor"/>
    </font>
    <font>
      <sz val="8"/>
      <color indexed="8"/>
      <name val="Tahoma"/>
      <family val="2"/>
    </font>
    <font>
      <sz val="10"/>
      <name val="Helv"/>
    </font>
    <font>
      <sz val="12"/>
      <color indexed="9"/>
      <name val="Helv"/>
    </font>
    <font>
      <sz val="11"/>
      <name val="µ¸¿ò"/>
      <charset val="129"/>
    </font>
    <font>
      <b/>
      <sz val="11"/>
      <name val="Helv"/>
    </font>
    <font>
      <sz val="11"/>
      <color indexed="19"/>
      <name val="Calibri"/>
      <family val="2"/>
    </font>
    <font>
      <sz val="10"/>
      <color rgb="FF9C6500"/>
      <name val="Arial"/>
      <family val="2"/>
    </font>
    <font>
      <sz val="7"/>
      <name val="Small Fonts"/>
      <family val="2"/>
    </font>
    <font>
      <b/>
      <i/>
      <sz val="16"/>
      <name val="Helv"/>
    </font>
    <font>
      <sz val="10"/>
      <name val="Opel Sans"/>
    </font>
    <font>
      <sz val="11"/>
      <name val="‚l‚r –¾’©"/>
      <charset val="128"/>
    </font>
    <font>
      <i/>
      <sz val="8"/>
      <color indexed="23"/>
      <name val="Tahoma"/>
      <family val="2"/>
    </font>
    <font>
      <sz val="8"/>
      <name val="Tahoma"/>
      <family val="2"/>
    </font>
    <font>
      <b/>
      <sz val="10"/>
      <name val="MS Sans Serif"/>
      <family val="2"/>
    </font>
    <font>
      <sz val="10"/>
      <name val="Tahoma"/>
      <family val="2"/>
    </font>
    <font>
      <sz val="8"/>
      <color indexed="8"/>
      <name val="Times New Roman"/>
      <family val="1"/>
    </font>
    <font>
      <b/>
      <sz val="8"/>
      <color indexed="8"/>
      <name val="Times New Roman"/>
      <family val="1"/>
    </font>
    <font>
      <sz val="12"/>
      <color indexed="8"/>
      <name val="Times New Roman"/>
      <family val="1"/>
    </font>
    <font>
      <sz val="10"/>
      <color indexed="20"/>
      <name val="Arial"/>
      <family val="2"/>
    </font>
    <font>
      <sz val="10"/>
      <color rgb="FF9C0006"/>
      <name val="Arial"/>
      <family val="2"/>
    </font>
    <font>
      <b/>
      <sz val="8.25"/>
      <name val="Helv"/>
    </font>
    <font>
      <sz val="11"/>
      <color theme="1"/>
      <name val="Arial"/>
      <family val="2"/>
    </font>
    <font>
      <sz val="10"/>
      <color theme="1"/>
      <name val="NewsGoth for Porsche Com"/>
      <family val="2"/>
    </font>
    <font>
      <b/>
      <sz val="18"/>
      <color indexed="62"/>
      <name val="Cambria"/>
      <family val="2"/>
    </font>
    <font>
      <b/>
      <sz val="15"/>
      <color indexed="56"/>
      <name val="Arial"/>
      <family val="2"/>
    </font>
    <font>
      <b/>
      <sz val="15"/>
      <color theme="3"/>
      <name val="Arial"/>
      <family val="2"/>
    </font>
    <font>
      <b/>
      <sz val="13"/>
      <color indexed="56"/>
      <name val="Arial"/>
      <family val="2"/>
    </font>
    <font>
      <b/>
      <sz val="13"/>
      <color theme="3"/>
      <name val="Arial"/>
      <family val="2"/>
    </font>
    <font>
      <b/>
      <sz val="11"/>
      <color indexed="56"/>
      <name val="Arial"/>
      <family val="2"/>
    </font>
    <font>
      <b/>
      <sz val="11"/>
      <color theme="3"/>
      <name val="Arial"/>
      <family val="2"/>
    </font>
    <font>
      <sz val="8"/>
      <color indexed="18"/>
      <name val="Tahoma"/>
      <family val="2"/>
    </font>
    <font>
      <sz val="10"/>
      <color indexed="52"/>
      <name val="Arial"/>
      <family val="2"/>
    </font>
    <font>
      <sz val="10"/>
      <color rgb="FFFA7D00"/>
      <name val="Arial"/>
      <family val="2"/>
    </font>
    <font>
      <sz val="8"/>
      <color indexed="20"/>
      <name val="Tahoma"/>
      <family val="2"/>
    </font>
    <font>
      <i/>
      <sz val="8"/>
      <color indexed="8"/>
      <name val="Tahoma"/>
      <family val="2"/>
    </font>
    <font>
      <sz val="10"/>
      <name val="Wingdings"/>
      <charset val="2"/>
    </font>
    <font>
      <b/>
      <sz val="10"/>
      <color indexed="9"/>
      <name val="Arial"/>
      <family val="2"/>
    </font>
    <font>
      <b/>
      <sz val="10"/>
      <color theme="0"/>
      <name val="Arial"/>
      <family val="2"/>
    </font>
    <font>
      <sz val="9"/>
      <name val="ＭＳ ゴシック"/>
      <family val="3"/>
      <charset val="128"/>
    </font>
    <font>
      <sz val="11"/>
      <color indexed="8"/>
      <name val="Calibri"/>
      <family val="2"/>
      <scheme val="minor"/>
    </font>
    <font>
      <b/>
      <sz val="9"/>
      <color indexed="81"/>
      <name val="Tahoma"/>
      <family val="2"/>
    </font>
    <font>
      <b/>
      <sz val="12"/>
      <color indexed="81"/>
      <name val="Tahoma"/>
      <family val="2"/>
    </font>
    <font>
      <b/>
      <sz val="14"/>
      <color indexed="81"/>
      <name val="Tahoma"/>
      <family val="2"/>
    </font>
    <font>
      <sz val="26"/>
      <name val="Arial"/>
      <family val="2"/>
    </font>
    <font>
      <b/>
      <sz val="12"/>
      <color indexed="81"/>
      <name val="Segoe UI"/>
      <family val="2"/>
    </font>
    <font>
      <sz val="12"/>
      <color indexed="81"/>
      <name val="Segoe UI"/>
      <family val="2"/>
    </font>
  </fonts>
  <fills count="78">
    <fill>
      <patternFill patternType="none"/>
    </fill>
    <fill>
      <patternFill patternType="gray125"/>
    </fill>
    <fill>
      <patternFill patternType="solid">
        <fgColor indexed="65"/>
        <bgColor indexed="64"/>
      </patternFill>
    </fill>
    <fill>
      <patternFill patternType="solid">
        <fgColor indexed="9"/>
        <bgColor indexed="64"/>
      </patternFill>
    </fill>
    <fill>
      <patternFill patternType="solid">
        <fgColor indexed="44"/>
        <bgColor indexed="64"/>
      </patternFill>
    </fill>
    <fill>
      <patternFill patternType="solid">
        <fgColor rgb="FFFF0000"/>
        <bgColor indexed="64"/>
      </patternFill>
    </fill>
    <fill>
      <patternFill patternType="solid">
        <fgColor theme="0"/>
        <bgColor indexed="64"/>
      </patternFill>
    </fill>
    <fill>
      <patternFill patternType="solid">
        <fgColor theme="0" tint="-0.14999847407452621"/>
        <bgColor indexed="64"/>
      </patternFill>
    </fill>
    <fill>
      <patternFill patternType="solid">
        <fgColor theme="5" tint="-0.249977111117893"/>
        <bgColor indexed="64"/>
      </patternFill>
    </fill>
    <fill>
      <patternFill patternType="solid">
        <fgColor theme="5" tint="-0.499984740745262"/>
        <bgColor indexed="64"/>
      </patternFill>
    </fill>
    <fill>
      <patternFill patternType="solid">
        <fgColor rgb="FF7030A0"/>
        <bgColor indexed="64"/>
      </patternFill>
    </fill>
    <fill>
      <patternFill patternType="solid">
        <fgColor theme="4"/>
        <bgColor indexed="64"/>
      </patternFill>
    </fill>
    <fill>
      <patternFill patternType="solid">
        <fgColor rgb="FF00FF00"/>
        <bgColor indexed="64"/>
      </patternFill>
    </fill>
    <fill>
      <patternFill patternType="solid">
        <fgColor theme="0" tint="-4.9989318521683403E-2"/>
        <bgColor indexed="64"/>
      </patternFill>
    </fill>
    <fill>
      <patternFill patternType="solid">
        <fgColor rgb="FFFFFF0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22"/>
        <bgColor indexed="64"/>
      </patternFill>
    </fill>
    <fill>
      <patternFill patternType="solid">
        <fgColor indexed="9"/>
      </patternFill>
    </fill>
    <fill>
      <patternFill patternType="solid">
        <fgColor indexed="56"/>
      </patternFill>
    </fill>
    <fill>
      <patternFill patternType="solid">
        <fgColor indexed="54"/>
      </patternFill>
    </fill>
    <fill>
      <patternFill patternType="solid">
        <fgColor indexed="15"/>
      </patternFill>
    </fill>
    <fill>
      <patternFill patternType="solid">
        <fgColor indexed="12"/>
      </patternFill>
    </fill>
    <fill>
      <patternFill patternType="mediumGray">
        <fgColor indexed="22"/>
      </patternFill>
    </fill>
    <fill>
      <patternFill patternType="darkGray">
        <fgColor indexed="15"/>
      </patternFill>
    </fill>
    <fill>
      <patternFill patternType="solid">
        <fgColor indexed="22"/>
        <bgColor indexed="25"/>
      </patternFill>
    </fill>
    <fill>
      <patternFill patternType="solid">
        <fgColor indexed="22"/>
        <bgColor indexed="9"/>
      </patternFill>
    </fill>
  </fills>
  <borders count="108">
    <border>
      <left/>
      <right/>
      <top/>
      <bottom/>
      <diagonal/>
    </border>
    <border>
      <left/>
      <right/>
      <top style="thin">
        <color indexed="64"/>
      </top>
      <bottom/>
      <diagonal/>
    </border>
    <border>
      <left/>
      <right/>
      <top/>
      <bottom style="thin">
        <color indexed="64"/>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style="thin">
        <color indexed="64"/>
      </left>
      <right style="thin">
        <color indexed="64"/>
      </right>
      <top/>
      <bottom/>
      <diagonal/>
    </border>
    <border>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style="medium">
        <color indexed="64"/>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right/>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thin">
        <color indexed="64"/>
      </bottom>
      <diagonal/>
    </border>
    <border>
      <left/>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thin">
        <color indexed="64"/>
      </left>
      <right/>
      <top style="medium">
        <color indexed="64"/>
      </top>
      <bottom style="thin">
        <color indexed="64"/>
      </bottom>
      <diagonal/>
    </border>
    <border>
      <left style="medium">
        <color indexed="64"/>
      </left>
      <right/>
      <top/>
      <bottom style="thin">
        <color indexed="64"/>
      </bottom>
      <diagonal/>
    </border>
    <border>
      <left style="medium">
        <color indexed="64"/>
      </left>
      <right/>
      <top style="thin">
        <color indexed="64"/>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top style="medium">
        <color indexed="64"/>
      </top>
      <bottom/>
      <diagonal/>
    </border>
    <border>
      <left style="thin">
        <color indexed="64"/>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style="medium">
        <color indexed="64"/>
      </top>
      <bottom/>
      <diagonal/>
    </border>
    <border>
      <left style="medium">
        <color indexed="64"/>
      </left>
      <right style="medium">
        <color indexed="64"/>
      </right>
      <top style="medium">
        <color indexed="64"/>
      </top>
      <bottom style="thin">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top style="thin">
        <color indexed="64"/>
      </top>
      <bottom/>
      <diagonal/>
    </border>
    <border>
      <left style="thin">
        <color indexed="64"/>
      </left>
      <right/>
      <top/>
      <bottom style="medium">
        <color indexed="64"/>
      </bottom>
      <diagonal/>
    </border>
    <border>
      <left style="thin">
        <color indexed="64"/>
      </left>
      <right style="thin">
        <color indexed="64"/>
      </right>
      <top style="medium">
        <color indexed="64"/>
      </top>
      <bottom/>
      <diagonal/>
    </border>
    <border>
      <left style="medium">
        <color indexed="64"/>
      </left>
      <right style="medium">
        <color indexed="64"/>
      </right>
      <top style="thin">
        <color indexed="64"/>
      </top>
      <bottom style="thin">
        <color indexed="64"/>
      </bottom>
      <diagonal/>
    </border>
    <border>
      <left/>
      <right style="thin">
        <color indexed="64"/>
      </right>
      <top style="medium">
        <color indexed="64"/>
      </top>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3"/>
      </left>
      <right style="thin">
        <color indexed="63"/>
      </right>
      <top style="thin">
        <color indexed="63"/>
      </top>
      <bottom style="thin">
        <color indexed="63"/>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style="thin">
        <color indexed="62"/>
      </top>
      <bottom style="double">
        <color indexed="62"/>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bottom style="double">
        <color indexed="10"/>
      </bottom>
      <diagonal/>
    </border>
    <border>
      <left/>
      <right/>
      <top style="thin">
        <color indexed="56"/>
      </top>
      <bottom style="double">
        <color indexed="56"/>
      </bottom>
      <diagonal/>
    </border>
    <border>
      <left/>
      <right/>
      <top/>
      <bottom style="double">
        <color indexed="64"/>
      </bottom>
      <diagonal/>
    </border>
    <border>
      <left/>
      <right/>
      <top/>
      <bottom style="thick">
        <color indexed="49"/>
      </bottom>
      <diagonal/>
    </border>
    <border>
      <left/>
      <right/>
      <top/>
      <bottom style="thick">
        <color indexed="56"/>
      </bottom>
      <diagonal/>
    </border>
    <border>
      <left/>
      <right/>
      <top/>
      <bottom style="thick">
        <color indexed="27"/>
      </bottom>
      <diagonal/>
    </border>
    <border>
      <left/>
      <right/>
      <top/>
      <bottom style="medium">
        <color indexed="49"/>
      </bottom>
      <diagonal/>
    </border>
    <border>
      <left/>
      <right/>
      <top/>
      <bottom style="medium">
        <color indexed="27"/>
      </bottom>
      <diagonal/>
    </border>
    <border>
      <left style="thin">
        <color indexed="8"/>
      </left>
      <right style="thin">
        <color indexed="8"/>
      </right>
      <top/>
      <bottom style="thin">
        <color indexed="8"/>
      </bottom>
      <diagonal/>
    </border>
    <border>
      <left style="thin">
        <color indexed="8"/>
      </left>
      <right style="thin">
        <color indexed="8"/>
      </right>
      <top style="thin">
        <color indexed="8"/>
      </top>
      <bottom style="double">
        <color indexed="8"/>
      </bottom>
      <diagonal/>
    </border>
    <border>
      <left/>
      <right/>
      <top style="thin">
        <color indexed="49"/>
      </top>
      <bottom style="double">
        <color indexed="49"/>
      </bottom>
      <diagonal/>
    </border>
    <border>
      <left style="hair">
        <color indexed="23"/>
      </left>
      <right style="hair">
        <color indexed="23"/>
      </right>
      <top style="hair">
        <color indexed="23"/>
      </top>
      <bottom style="hair">
        <color indexed="23"/>
      </bottom>
      <diagonal/>
    </border>
  </borders>
  <cellStyleXfs count="33511">
    <xf numFmtId="0" fontId="0" fillId="0" borderId="0"/>
    <xf numFmtId="0" fontId="17" fillId="0" borderId="0" applyNumberFormat="0" applyFont="0" applyFill="0" applyBorder="0" applyAlignment="0" applyProtection="0">
      <alignment horizontal="left" vertical="top" wrapText="1"/>
      <protection locked="0"/>
    </xf>
    <xf numFmtId="165" fontId="3" fillId="0" borderId="0" applyFont="0" applyFill="0" applyBorder="0" applyAlignment="0" applyProtection="0"/>
    <xf numFmtId="0" fontId="17" fillId="0" borderId="0" applyNumberFormat="0" applyFont="0" applyFill="0" applyBorder="0" applyAlignment="0" applyProtection="0">
      <alignment horizontal="left" vertical="top" wrapText="1"/>
      <protection locked="0"/>
    </xf>
    <xf numFmtId="164" fontId="3" fillId="0" borderId="0" applyFont="0" applyFill="0" applyBorder="0" applyAlignment="0" applyProtection="0"/>
    <xf numFmtId="0" fontId="17" fillId="0" borderId="0" applyNumberFormat="0" applyFont="0" applyFill="0" applyBorder="0" applyProtection="0">
      <alignment horizontal="center" vertical="center" wrapText="1"/>
      <protection locked="0"/>
    </xf>
    <xf numFmtId="0" fontId="17" fillId="2" borderId="0" applyNumberFormat="0" applyFont="0" applyBorder="0" applyAlignment="0" applyProtection="0">
      <alignment horizontal="left" vertical="top" wrapText="1"/>
      <protection locked="0"/>
    </xf>
    <xf numFmtId="0" fontId="17" fillId="2" borderId="0" applyNumberFormat="0" applyFont="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28" fillId="0" borderId="0" applyNumberFormat="0" applyFont="0" applyFill="0" applyBorder="0" applyAlignment="0" applyProtection="0">
      <alignment horizontal="left" vertical="top" wrapText="1"/>
      <protection locked="0"/>
    </xf>
    <xf numFmtId="0" fontId="16" fillId="0" borderId="0"/>
    <xf numFmtId="0" fontId="32" fillId="0" borderId="0"/>
    <xf numFmtId="0" fontId="3" fillId="0" borderId="0"/>
    <xf numFmtId="0" fontId="3" fillId="0" borderId="0"/>
    <xf numFmtId="0" fontId="16" fillId="0" borderId="0"/>
    <xf numFmtId="0" fontId="16" fillId="0" borderId="0"/>
    <xf numFmtId="0" fontId="16" fillId="0" borderId="0"/>
    <xf numFmtId="0" fontId="16" fillId="0" borderId="0"/>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42" fillId="0" borderId="0" applyNumberFormat="0" applyFill="0" applyBorder="0" applyAlignment="0" applyProtection="0"/>
    <xf numFmtId="0" fontId="63" fillId="17" borderId="0" applyNumberFormat="0" applyBorder="0" applyAlignment="0" applyProtection="0"/>
    <xf numFmtId="0" fontId="73" fillId="0" borderId="0"/>
    <xf numFmtId="0" fontId="74" fillId="0" borderId="0" applyNumberFormat="0" applyFill="0" applyBorder="0" applyAlignment="0" applyProtection="0">
      <alignment horizontal="left" vertical="top" wrapText="1"/>
      <protection locked="0"/>
    </xf>
    <xf numFmtId="0" fontId="3"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23" borderId="0" applyNumberFormat="0" applyBorder="0" applyAlignment="0" applyProtection="0"/>
    <xf numFmtId="0" fontId="1" fillId="23" borderId="0" applyNumberFormat="0" applyBorder="0" applyAlignment="0" applyProtection="0"/>
    <xf numFmtId="0" fontId="96" fillId="46"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96" fillId="46" borderId="0" applyNumberFormat="0" applyBorder="0" applyAlignment="0" applyProtection="0"/>
    <xf numFmtId="0" fontId="96" fillId="46"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96" fillId="4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96" fillId="47" borderId="0" applyNumberFormat="0" applyBorder="0" applyAlignment="0" applyProtection="0"/>
    <xf numFmtId="0" fontId="96" fillId="4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96" fillId="48"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96" fillId="48" borderId="0" applyNumberFormat="0" applyBorder="0" applyAlignment="0" applyProtection="0"/>
    <xf numFmtId="0" fontId="96" fillId="48"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96" fillId="49"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96" fillId="49" borderId="0" applyNumberFormat="0" applyBorder="0" applyAlignment="0" applyProtection="0"/>
    <xf numFmtId="0" fontId="96" fillId="49"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96" fillId="50"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51"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1" fillId="43" borderId="0" applyNumberFormat="0" applyBorder="0" applyAlignment="0" applyProtection="0"/>
    <xf numFmtId="0" fontId="128" fillId="46" borderId="0" applyNumberFormat="0" applyBorder="0" applyAlignment="0" applyProtection="0"/>
    <xf numFmtId="0" fontId="128" fillId="46" borderId="0" applyNumberFormat="0" applyBorder="0" applyAlignment="0" applyProtection="0"/>
    <xf numFmtId="0" fontId="96" fillId="46" borderId="0" applyNumberFormat="0" applyBorder="0" applyAlignment="0" applyProtection="0"/>
    <xf numFmtId="0" fontId="77" fillId="46" borderId="0" applyNumberFormat="0" applyBorder="0" applyAlignment="0" applyProtection="0"/>
    <xf numFmtId="0" fontId="128" fillId="23" borderId="0" applyNumberFormat="0" applyBorder="0" applyAlignment="0" applyProtection="0"/>
    <xf numFmtId="0" fontId="128" fillId="47" borderId="0" applyNumberFormat="0" applyBorder="0" applyAlignment="0" applyProtection="0"/>
    <xf numFmtId="0" fontId="128" fillId="47" borderId="0" applyNumberFormat="0" applyBorder="0" applyAlignment="0" applyProtection="0"/>
    <xf numFmtId="0" fontId="96" fillId="47" borderId="0" applyNumberFormat="0" applyBorder="0" applyAlignment="0" applyProtection="0"/>
    <xf numFmtId="0" fontId="77" fillId="47" borderId="0" applyNumberFormat="0" applyBorder="0" applyAlignment="0" applyProtection="0"/>
    <xf numFmtId="0" fontId="128" fillId="27" borderId="0" applyNumberFormat="0" applyBorder="0" applyAlignment="0" applyProtection="0"/>
    <xf numFmtId="0" fontId="128" fillId="48" borderId="0" applyNumberFormat="0" applyBorder="0" applyAlignment="0" applyProtection="0"/>
    <xf numFmtId="0" fontId="128" fillId="48" borderId="0" applyNumberFormat="0" applyBorder="0" applyAlignment="0" applyProtection="0"/>
    <xf numFmtId="0" fontId="96" fillId="48" borderId="0" applyNumberFormat="0" applyBorder="0" applyAlignment="0" applyProtection="0"/>
    <xf numFmtId="0" fontId="77" fillId="48" borderId="0" applyNumberFormat="0" applyBorder="0" applyAlignment="0" applyProtection="0"/>
    <xf numFmtId="0" fontId="128" fillId="31" borderId="0" applyNumberFormat="0" applyBorder="0" applyAlignment="0" applyProtection="0"/>
    <xf numFmtId="0" fontId="128" fillId="49" borderId="0" applyNumberFormat="0" applyBorder="0" applyAlignment="0" applyProtection="0"/>
    <xf numFmtId="0" fontId="128" fillId="49" borderId="0" applyNumberFormat="0" applyBorder="0" applyAlignment="0" applyProtection="0"/>
    <xf numFmtId="0" fontId="96" fillId="49" borderId="0" applyNumberFormat="0" applyBorder="0" applyAlignment="0" applyProtection="0"/>
    <xf numFmtId="0" fontId="77" fillId="49" borderId="0" applyNumberFormat="0" applyBorder="0" applyAlignment="0" applyProtection="0"/>
    <xf numFmtId="0" fontId="128" fillId="35" borderId="0" applyNumberFormat="0" applyBorder="0" applyAlignment="0" applyProtection="0"/>
    <xf numFmtId="0" fontId="128" fillId="39" borderId="0" applyNumberFormat="0" applyBorder="0" applyAlignment="0" applyProtection="0"/>
    <xf numFmtId="0" fontId="128" fillId="39" borderId="0" applyNumberFormat="0" applyBorder="0" applyAlignment="0" applyProtection="0"/>
    <xf numFmtId="0" fontId="96" fillId="50" borderId="0" applyNumberFormat="0" applyBorder="0" applyAlignment="0" applyProtection="0"/>
    <xf numFmtId="0" fontId="128" fillId="43" borderId="0" applyNumberFormat="0" applyBorder="0" applyAlignment="0" applyProtection="0"/>
    <xf numFmtId="0" fontId="128" fillId="43" borderId="0" applyNumberFormat="0" applyBorder="0" applyAlignment="0" applyProtection="0"/>
    <xf numFmtId="0" fontId="96" fillId="51" borderId="0" applyNumberFormat="0" applyBorder="0" applyAlignment="0" applyProtection="0"/>
    <xf numFmtId="0" fontId="96" fillId="46" borderId="0" applyNumberFormat="0" applyBorder="0" applyAlignment="0" applyProtection="0"/>
    <xf numFmtId="0" fontId="96" fillId="46" borderId="0" applyNumberFormat="0" applyBorder="0" applyAlignment="0" applyProtection="0"/>
    <xf numFmtId="0" fontId="13" fillId="46" borderId="0" applyNumberFormat="0" applyBorder="0" applyAlignment="0" applyProtection="0"/>
    <xf numFmtId="0" fontId="13" fillId="46" borderId="0" applyNumberFormat="0" applyBorder="0" applyAlignment="0" applyProtection="0"/>
    <xf numFmtId="0" fontId="96" fillId="47" borderId="0" applyNumberFormat="0" applyBorder="0" applyAlignment="0" applyProtection="0"/>
    <xf numFmtId="0" fontId="96" fillId="47" borderId="0" applyNumberFormat="0" applyBorder="0" applyAlignment="0" applyProtection="0"/>
    <xf numFmtId="0" fontId="13" fillId="47" borderId="0" applyNumberFormat="0" applyBorder="0" applyAlignment="0" applyProtection="0"/>
    <xf numFmtId="0" fontId="13" fillId="47" borderId="0" applyNumberFormat="0" applyBorder="0" applyAlignment="0" applyProtection="0"/>
    <xf numFmtId="0" fontId="96" fillId="48" borderId="0" applyNumberFormat="0" applyBorder="0" applyAlignment="0" applyProtection="0"/>
    <xf numFmtId="0" fontId="96" fillId="48" borderId="0" applyNumberFormat="0" applyBorder="0" applyAlignment="0" applyProtection="0"/>
    <xf numFmtId="0" fontId="13" fillId="48" borderId="0" applyNumberFormat="0" applyBorder="0" applyAlignment="0" applyProtection="0"/>
    <xf numFmtId="0" fontId="13" fillId="48" borderId="0" applyNumberFormat="0" applyBorder="0" applyAlignment="0" applyProtection="0"/>
    <xf numFmtId="0" fontId="96" fillId="49" borderId="0" applyNumberFormat="0" applyBorder="0" applyAlignment="0" applyProtection="0"/>
    <xf numFmtId="0" fontId="96" fillId="49" borderId="0" applyNumberFormat="0" applyBorder="0" applyAlignment="0" applyProtection="0"/>
    <xf numFmtId="0" fontId="13" fillId="49" borderId="0" applyNumberFormat="0" applyBorder="0" applyAlignment="0" applyProtection="0"/>
    <xf numFmtId="0" fontId="13" fillId="49"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13" fillId="50" borderId="0" applyNumberFormat="0" applyBorder="0" applyAlignment="0" applyProtection="0"/>
    <xf numFmtId="0" fontId="13" fillId="50"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13" fillId="51" borderId="0" applyNumberFormat="0" applyBorder="0" applyAlignment="0" applyProtection="0"/>
    <xf numFmtId="0" fontId="13" fillId="51" borderId="0" applyNumberFormat="0" applyBorder="0" applyAlignment="0" applyProtection="0"/>
    <xf numFmtId="0" fontId="105" fillId="46" borderId="0" applyNumberFormat="0" applyBorder="0" applyAlignment="0" applyProtection="0"/>
    <xf numFmtId="0" fontId="105" fillId="47" borderId="0" applyNumberFormat="0" applyBorder="0" applyAlignment="0" applyProtection="0"/>
    <xf numFmtId="0" fontId="105" fillId="48" borderId="0" applyNumberFormat="0" applyBorder="0" applyAlignment="0" applyProtection="0"/>
    <xf numFmtId="0" fontId="105" fillId="49" borderId="0" applyNumberFormat="0" applyBorder="0" applyAlignment="0" applyProtection="0"/>
    <xf numFmtId="0" fontId="105" fillId="50" borderId="0" applyNumberFormat="0" applyBorder="0" applyAlignment="0" applyProtection="0"/>
    <xf numFmtId="0" fontId="105" fillId="51"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96" fillId="52"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96" fillId="53"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96" fillId="53" borderId="0" applyNumberFormat="0" applyBorder="0" applyAlignment="0" applyProtection="0"/>
    <xf numFmtId="0" fontId="96" fillId="53"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96" fillId="54"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96" fillId="54" borderId="0" applyNumberFormat="0" applyBorder="0" applyAlignment="0" applyProtection="0"/>
    <xf numFmtId="0" fontId="96" fillId="54"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96" fillId="49"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96" fillId="49" borderId="0" applyNumberFormat="0" applyBorder="0" applyAlignment="0" applyProtection="0"/>
    <xf numFmtId="0" fontId="96" fillId="49"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96" fillId="52"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55"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55" borderId="0" applyNumberFormat="0" applyBorder="0" applyAlignment="0" applyProtection="0"/>
    <xf numFmtId="0" fontId="96" fillId="55" borderId="0" applyNumberFormat="0" applyBorder="0" applyAlignment="0" applyProtection="0"/>
    <xf numFmtId="0" fontId="1" fillId="44" borderId="0" applyNumberFormat="0" applyBorder="0" applyAlignment="0" applyProtection="0"/>
    <xf numFmtId="0" fontId="128" fillId="24" borderId="0" applyNumberFormat="0" applyBorder="0" applyAlignment="0" applyProtection="0"/>
    <xf numFmtId="0" fontId="128" fillId="24" borderId="0" applyNumberFormat="0" applyBorder="0" applyAlignment="0" applyProtection="0"/>
    <xf numFmtId="0" fontId="96" fillId="52" borderId="0" applyNumberFormat="0" applyBorder="0" applyAlignment="0" applyProtection="0"/>
    <xf numFmtId="0" fontId="128" fillId="28" borderId="0" applyNumberFormat="0" applyBorder="0" applyAlignment="0" applyProtection="0"/>
    <xf numFmtId="0" fontId="128" fillId="28" borderId="0" applyNumberFormat="0" applyBorder="0" applyAlignment="0" applyProtection="0"/>
    <xf numFmtId="0" fontId="96" fillId="53" borderId="0" applyNumberFormat="0" applyBorder="0" applyAlignment="0" applyProtection="0"/>
    <xf numFmtId="0" fontId="128" fillId="54" borderId="0" applyNumberFormat="0" applyBorder="0" applyAlignment="0" applyProtection="0"/>
    <xf numFmtId="0" fontId="128" fillId="54" borderId="0" applyNumberFormat="0" applyBorder="0" applyAlignment="0" applyProtection="0"/>
    <xf numFmtId="0" fontId="96" fillId="54" borderId="0" applyNumberFormat="0" applyBorder="0" applyAlignment="0" applyProtection="0"/>
    <xf numFmtId="0" fontId="77" fillId="54" borderId="0" applyNumberFormat="0" applyBorder="0" applyAlignment="0" applyProtection="0"/>
    <xf numFmtId="0" fontId="128" fillId="32" borderId="0" applyNumberFormat="0" applyBorder="0" applyAlignment="0" applyProtection="0"/>
    <xf numFmtId="0" fontId="128" fillId="36" borderId="0" applyNumberFormat="0" applyBorder="0" applyAlignment="0" applyProtection="0"/>
    <xf numFmtId="0" fontId="128" fillId="36" borderId="0" applyNumberFormat="0" applyBorder="0" applyAlignment="0" applyProtection="0"/>
    <xf numFmtId="0" fontId="96" fillId="49" borderId="0" applyNumberFormat="0" applyBorder="0" applyAlignment="0" applyProtection="0"/>
    <xf numFmtId="0" fontId="128" fillId="40" borderId="0" applyNumberFormat="0" applyBorder="0" applyAlignment="0" applyProtection="0"/>
    <xf numFmtId="0" fontId="128" fillId="40" borderId="0" applyNumberFormat="0" applyBorder="0" applyAlignment="0" applyProtection="0"/>
    <xf numFmtId="0" fontId="96" fillId="52" borderId="0" applyNumberFormat="0" applyBorder="0" applyAlignment="0" applyProtection="0"/>
    <xf numFmtId="0" fontId="128" fillId="44" borderId="0" applyNumberFormat="0" applyBorder="0" applyAlignment="0" applyProtection="0"/>
    <xf numFmtId="0" fontId="128" fillId="44" borderId="0" applyNumberFormat="0" applyBorder="0" applyAlignment="0" applyProtection="0"/>
    <xf numFmtId="0" fontId="96" fillId="55"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13" fillId="52" borderId="0" applyNumberFormat="0" applyBorder="0" applyAlignment="0" applyProtection="0"/>
    <xf numFmtId="0" fontId="13" fillId="52" borderId="0" applyNumberFormat="0" applyBorder="0" applyAlignment="0" applyProtection="0"/>
    <xf numFmtId="0" fontId="96" fillId="53" borderId="0" applyNumberFormat="0" applyBorder="0" applyAlignment="0" applyProtection="0"/>
    <xf numFmtId="0" fontId="96" fillId="53" borderId="0" applyNumberFormat="0" applyBorder="0" applyAlignment="0" applyProtection="0"/>
    <xf numFmtId="0" fontId="13" fillId="53" borderId="0" applyNumberFormat="0" applyBorder="0" applyAlignment="0" applyProtection="0"/>
    <xf numFmtId="0" fontId="13" fillId="53" borderId="0" applyNumberFormat="0" applyBorder="0" applyAlignment="0" applyProtection="0"/>
    <xf numFmtId="0" fontId="96" fillId="54" borderId="0" applyNumberFormat="0" applyBorder="0" applyAlignment="0" applyProtection="0"/>
    <xf numFmtId="0" fontId="96" fillId="54" borderId="0" applyNumberFormat="0" applyBorder="0" applyAlignment="0" applyProtection="0"/>
    <xf numFmtId="0" fontId="13" fillId="54" borderId="0" applyNumberFormat="0" applyBorder="0" applyAlignment="0" applyProtection="0"/>
    <xf numFmtId="0" fontId="13" fillId="54" borderId="0" applyNumberFormat="0" applyBorder="0" applyAlignment="0" applyProtection="0"/>
    <xf numFmtId="0" fontId="96" fillId="49" borderId="0" applyNumberFormat="0" applyBorder="0" applyAlignment="0" applyProtection="0"/>
    <xf numFmtId="0" fontId="96" fillId="49" borderId="0" applyNumberFormat="0" applyBorder="0" applyAlignment="0" applyProtection="0"/>
    <xf numFmtId="0" fontId="13" fillId="49" borderId="0" applyNumberFormat="0" applyBorder="0" applyAlignment="0" applyProtection="0"/>
    <xf numFmtId="0" fontId="13" fillId="49"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13" fillId="52" borderId="0" applyNumberFormat="0" applyBorder="0" applyAlignment="0" applyProtection="0"/>
    <xf numFmtId="0" fontId="13" fillId="52" borderId="0" applyNumberFormat="0" applyBorder="0" applyAlignment="0" applyProtection="0"/>
    <xf numFmtId="0" fontId="96" fillId="55" borderId="0" applyNumberFormat="0" applyBorder="0" applyAlignment="0" applyProtection="0"/>
    <xf numFmtId="0" fontId="96" fillId="55" borderId="0" applyNumberFormat="0" applyBorder="0" applyAlignment="0" applyProtection="0"/>
    <xf numFmtId="0" fontId="13" fillId="55" borderId="0" applyNumberFormat="0" applyBorder="0" applyAlignment="0" applyProtection="0"/>
    <xf numFmtId="0" fontId="13" fillId="55" borderId="0" applyNumberFormat="0" applyBorder="0" applyAlignment="0" applyProtection="0"/>
    <xf numFmtId="0" fontId="105" fillId="52" borderId="0" applyNumberFormat="0" applyBorder="0" applyAlignment="0" applyProtection="0"/>
    <xf numFmtId="0" fontId="105" fillId="53" borderId="0" applyNumberFormat="0" applyBorder="0" applyAlignment="0" applyProtection="0"/>
    <xf numFmtId="0" fontId="105" fillId="54" borderId="0" applyNumberFormat="0" applyBorder="0" applyAlignment="0" applyProtection="0"/>
    <xf numFmtId="0" fontId="105" fillId="49" borderId="0" applyNumberFormat="0" applyBorder="0" applyAlignment="0" applyProtection="0"/>
    <xf numFmtId="0" fontId="105" fillId="52" borderId="0" applyNumberFormat="0" applyBorder="0" applyAlignment="0" applyProtection="0"/>
    <xf numFmtId="0" fontId="105" fillId="55" borderId="0" applyNumberFormat="0" applyBorder="0" applyAlignment="0" applyProtection="0"/>
    <xf numFmtId="0" fontId="72" fillId="25" borderId="0" applyNumberFormat="0" applyBorder="0" applyAlignment="0" applyProtection="0"/>
    <xf numFmtId="0" fontId="72" fillId="25" borderId="0" applyNumberFormat="0" applyBorder="0" applyAlignment="0" applyProtection="0"/>
    <xf numFmtId="0" fontId="78" fillId="56" borderId="0" applyNumberFormat="0" applyBorder="0" applyAlignment="0" applyProtection="0"/>
    <xf numFmtId="0" fontId="78" fillId="56" borderId="0" applyNumberFormat="0" applyBorder="0" applyAlignment="0" applyProtection="0"/>
    <xf numFmtId="0" fontId="78" fillId="56" borderId="0" applyNumberFormat="0" applyBorder="0" applyAlignment="0" applyProtection="0"/>
    <xf numFmtId="0" fontId="72" fillId="25" borderId="0" applyNumberFormat="0" applyBorder="0" applyAlignment="0" applyProtection="0"/>
    <xf numFmtId="0" fontId="72" fillId="29" borderId="0" applyNumberFormat="0" applyBorder="0" applyAlignment="0" applyProtection="0"/>
    <xf numFmtId="0" fontId="72" fillId="29" borderId="0" applyNumberFormat="0" applyBorder="0" applyAlignment="0" applyProtection="0"/>
    <xf numFmtId="0" fontId="78" fillId="53" borderId="0" applyNumberFormat="0" applyBorder="0" applyAlignment="0" applyProtection="0"/>
    <xf numFmtId="0" fontId="78" fillId="53" borderId="0" applyNumberFormat="0" applyBorder="0" applyAlignment="0" applyProtection="0"/>
    <xf numFmtId="0" fontId="78" fillId="53" borderId="0" applyNumberFormat="0" applyBorder="0" applyAlignment="0" applyProtection="0"/>
    <xf numFmtId="0" fontId="72" fillId="29" borderId="0" applyNumberFormat="0" applyBorder="0" applyAlignment="0" applyProtection="0"/>
    <xf numFmtId="0" fontId="72" fillId="33" borderId="0" applyNumberFormat="0" applyBorder="0" applyAlignment="0" applyProtection="0"/>
    <xf numFmtId="0" fontId="72" fillId="33" borderId="0" applyNumberFormat="0" applyBorder="0" applyAlignment="0" applyProtection="0"/>
    <xf numFmtId="0" fontId="78" fillId="54" borderId="0" applyNumberFormat="0" applyBorder="0" applyAlignment="0" applyProtection="0"/>
    <xf numFmtId="0" fontId="78" fillId="54" borderId="0" applyNumberFormat="0" applyBorder="0" applyAlignment="0" applyProtection="0"/>
    <xf numFmtId="0" fontId="78" fillId="54" borderId="0" applyNumberFormat="0" applyBorder="0" applyAlignment="0" applyProtection="0"/>
    <xf numFmtId="0" fontId="72" fillId="33" borderId="0" applyNumberFormat="0" applyBorder="0" applyAlignment="0" applyProtection="0"/>
    <xf numFmtId="0" fontId="72" fillId="37" borderId="0" applyNumberFormat="0" applyBorder="0" applyAlignment="0" applyProtection="0"/>
    <xf numFmtId="0" fontId="72" fillId="37" borderId="0" applyNumberFormat="0" applyBorder="0" applyAlignment="0" applyProtection="0"/>
    <xf numFmtId="0" fontId="78" fillId="57" borderId="0" applyNumberFormat="0" applyBorder="0" applyAlignment="0" applyProtection="0"/>
    <xf numFmtId="0" fontId="78" fillId="57" borderId="0" applyNumberFormat="0" applyBorder="0" applyAlignment="0" applyProtection="0"/>
    <xf numFmtId="0" fontId="78" fillId="57" borderId="0" applyNumberFormat="0" applyBorder="0" applyAlignment="0" applyProtection="0"/>
    <xf numFmtId="0" fontId="72" fillId="37" borderId="0" applyNumberFormat="0" applyBorder="0" applyAlignment="0" applyProtection="0"/>
    <xf numFmtId="0" fontId="72" fillId="41" borderId="0" applyNumberFormat="0" applyBorder="0" applyAlignment="0" applyProtection="0"/>
    <xf numFmtId="0" fontId="72" fillId="41"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72" fillId="41" borderId="0" applyNumberFormat="0" applyBorder="0" applyAlignment="0" applyProtection="0"/>
    <xf numFmtId="0" fontId="72" fillId="45" borderId="0" applyNumberFormat="0" applyBorder="0" applyAlignment="0" applyProtection="0"/>
    <xf numFmtId="0" fontId="72" fillId="45" borderId="0" applyNumberFormat="0" applyBorder="0" applyAlignment="0" applyProtection="0"/>
    <xf numFmtId="0" fontId="78" fillId="59" borderId="0" applyNumberFormat="0" applyBorder="0" applyAlignment="0" applyProtection="0"/>
    <xf numFmtId="0" fontId="78" fillId="59" borderId="0" applyNumberFormat="0" applyBorder="0" applyAlignment="0" applyProtection="0"/>
    <xf numFmtId="0" fontId="78" fillId="59" borderId="0" applyNumberFormat="0" applyBorder="0" applyAlignment="0" applyProtection="0"/>
    <xf numFmtId="0" fontId="72" fillId="45" borderId="0" applyNumberFormat="0" applyBorder="0" applyAlignment="0" applyProtection="0"/>
    <xf numFmtId="0" fontId="129" fillId="25" borderId="0" applyNumberFormat="0" applyBorder="0" applyAlignment="0" applyProtection="0"/>
    <xf numFmtId="0" fontId="129" fillId="29" borderId="0" applyNumberFormat="0" applyBorder="0" applyAlignment="0" applyProtection="0"/>
    <xf numFmtId="0" fontId="129" fillId="54" borderId="0" applyNumberFormat="0" applyBorder="0" applyAlignment="0" applyProtection="0"/>
    <xf numFmtId="0" fontId="79" fillId="54" borderId="0" applyNumberFormat="0" applyBorder="0" applyAlignment="0" applyProtection="0"/>
    <xf numFmtId="0" fontId="129" fillId="33" borderId="0" applyNumberFormat="0" applyBorder="0" applyAlignment="0" applyProtection="0"/>
    <xf numFmtId="0" fontId="129" fillId="57" borderId="0" applyNumberFormat="0" applyBorder="0" applyAlignment="0" applyProtection="0"/>
    <xf numFmtId="0" fontId="79" fillId="57" borderId="0" applyNumberFormat="0" applyBorder="0" applyAlignment="0" applyProtection="0"/>
    <xf numFmtId="0" fontId="129" fillId="37" borderId="0" applyNumberFormat="0" applyBorder="0" applyAlignment="0" applyProtection="0"/>
    <xf numFmtId="0" fontId="129" fillId="41" borderId="0" applyNumberFormat="0" applyBorder="0" applyAlignment="0" applyProtection="0"/>
    <xf numFmtId="0" fontId="129" fillId="59" borderId="0" applyNumberFormat="0" applyBorder="0" applyAlignment="0" applyProtection="0"/>
    <xf numFmtId="0" fontId="79" fillId="59" borderId="0" applyNumberFormat="0" applyBorder="0" applyAlignment="0" applyProtection="0"/>
    <xf numFmtId="0" fontId="129" fillId="45" borderId="0" applyNumberFormat="0" applyBorder="0" applyAlignment="0" applyProtection="0"/>
    <xf numFmtId="0" fontId="78" fillId="56" borderId="0" applyNumberFormat="0" applyBorder="0" applyAlignment="0" applyProtection="0"/>
    <xf numFmtId="0" fontId="78" fillId="56" borderId="0" applyNumberFormat="0" applyBorder="0" applyAlignment="0" applyProtection="0"/>
    <xf numFmtId="0" fontId="124" fillId="56" borderId="0" applyNumberFormat="0" applyBorder="0" applyAlignment="0" applyProtection="0"/>
    <xf numFmtId="0" fontId="124" fillId="56" borderId="0" applyNumberFormat="0" applyBorder="0" applyAlignment="0" applyProtection="0"/>
    <xf numFmtId="0" fontId="78" fillId="53" borderId="0" applyNumberFormat="0" applyBorder="0" applyAlignment="0" applyProtection="0"/>
    <xf numFmtId="0" fontId="78" fillId="53" borderId="0" applyNumberFormat="0" applyBorder="0" applyAlignment="0" applyProtection="0"/>
    <xf numFmtId="0" fontId="124" fillId="53" borderId="0" applyNumberFormat="0" applyBorder="0" applyAlignment="0" applyProtection="0"/>
    <xf numFmtId="0" fontId="124" fillId="53" borderId="0" applyNumberFormat="0" applyBorder="0" applyAlignment="0" applyProtection="0"/>
    <xf numFmtId="0" fontId="78" fillId="54" borderId="0" applyNumberFormat="0" applyBorder="0" applyAlignment="0" applyProtection="0"/>
    <xf numFmtId="0" fontId="78" fillId="54" borderId="0" applyNumberFormat="0" applyBorder="0" applyAlignment="0" applyProtection="0"/>
    <xf numFmtId="0" fontId="124" fillId="54" borderId="0" applyNumberFormat="0" applyBorder="0" applyAlignment="0" applyProtection="0"/>
    <xf numFmtId="0" fontId="124" fillId="54" borderId="0" applyNumberFormat="0" applyBorder="0" applyAlignment="0" applyProtection="0"/>
    <xf numFmtId="0" fontId="78" fillId="57" borderId="0" applyNumberFormat="0" applyBorder="0" applyAlignment="0" applyProtection="0"/>
    <xf numFmtId="0" fontId="78" fillId="57" borderId="0" applyNumberFormat="0" applyBorder="0" applyAlignment="0" applyProtection="0"/>
    <xf numFmtId="0" fontId="124" fillId="57" borderId="0" applyNumberFormat="0" applyBorder="0" applyAlignment="0" applyProtection="0"/>
    <xf numFmtId="0" fontId="124" fillId="57"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124" fillId="58" borderId="0" applyNumberFormat="0" applyBorder="0" applyAlignment="0" applyProtection="0"/>
    <xf numFmtId="0" fontId="124" fillId="58" borderId="0" applyNumberFormat="0" applyBorder="0" applyAlignment="0" applyProtection="0"/>
    <xf numFmtId="0" fontId="78" fillId="59" borderId="0" applyNumberFormat="0" applyBorder="0" applyAlignment="0" applyProtection="0"/>
    <xf numFmtId="0" fontId="78" fillId="59" borderId="0" applyNumberFormat="0" applyBorder="0" applyAlignment="0" applyProtection="0"/>
    <xf numFmtId="0" fontId="124" fillId="59" borderId="0" applyNumberFormat="0" applyBorder="0" applyAlignment="0" applyProtection="0"/>
    <xf numFmtId="0" fontId="124" fillId="59" borderId="0" applyNumberFormat="0" applyBorder="0" applyAlignment="0" applyProtection="0"/>
    <xf numFmtId="0" fontId="106" fillId="56" borderId="0" applyNumberFormat="0" applyBorder="0" applyAlignment="0" applyProtection="0"/>
    <xf numFmtId="0" fontId="106" fillId="53" borderId="0" applyNumberFormat="0" applyBorder="0" applyAlignment="0" applyProtection="0"/>
    <xf numFmtId="0" fontId="106" fillId="54" borderId="0" applyNumberFormat="0" applyBorder="0" applyAlignment="0" applyProtection="0"/>
    <xf numFmtId="0" fontId="106" fillId="57" borderId="0" applyNumberFormat="0" applyBorder="0" applyAlignment="0" applyProtection="0"/>
    <xf numFmtId="0" fontId="106" fillId="58" borderId="0" applyNumberFormat="0" applyBorder="0" applyAlignment="0" applyProtection="0"/>
    <xf numFmtId="0" fontId="106" fillId="59" borderId="0" applyNumberFormat="0" applyBorder="0" applyAlignment="0" applyProtection="0"/>
    <xf numFmtId="0" fontId="129" fillId="22" borderId="0" applyNumberFormat="0" applyBorder="0" applyAlignment="0" applyProtection="0"/>
    <xf numFmtId="0" fontId="79" fillId="60" borderId="0" applyNumberFormat="0" applyBorder="0" applyAlignment="0" applyProtection="0"/>
    <xf numFmtId="0" fontId="72" fillId="22" borderId="0" applyNumberFormat="0" applyBorder="0" applyAlignment="0" applyProtection="0"/>
    <xf numFmtId="0" fontId="78" fillId="60" borderId="0" applyNumberFormat="0" applyBorder="0" applyAlignment="0" applyProtection="0"/>
    <xf numFmtId="0" fontId="129" fillId="26" borderId="0" applyNumberFormat="0" applyBorder="0" applyAlignment="0" applyProtection="0"/>
    <xf numFmtId="0" fontId="79" fillId="61" borderId="0" applyNumberFormat="0" applyBorder="0" applyAlignment="0" applyProtection="0"/>
    <xf numFmtId="0" fontId="72" fillId="26" borderId="0" applyNumberFormat="0" applyBorder="0" applyAlignment="0" applyProtection="0"/>
    <xf numFmtId="0" fontId="78" fillId="61" borderId="0" applyNumberFormat="0" applyBorder="0" applyAlignment="0" applyProtection="0"/>
    <xf numFmtId="0" fontId="129" fillId="30" borderId="0" applyNumberFormat="0" applyBorder="0" applyAlignment="0" applyProtection="0"/>
    <xf numFmtId="0" fontId="79" fillId="62" borderId="0" applyNumberFormat="0" applyBorder="0" applyAlignment="0" applyProtection="0"/>
    <xf numFmtId="0" fontId="72" fillId="30" borderId="0" applyNumberFormat="0" applyBorder="0" applyAlignment="0" applyProtection="0"/>
    <xf numFmtId="0" fontId="78" fillId="62" borderId="0" applyNumberFormat="0" applyBorder="0" applyAlignment="0" applyProtection="0"/>
    <xf numFmtId="0" fontId="129" fillId="34" borderId="0" applyNumberFormat="0" applyBorder="0" applyAlignment="0" applyProtection="0"/>
    <xf numFmtId="0" fontId="79" fillId="57" borderId="0" applyNumberFormat="0" applyBorder="0" applyAlignment="0" applyProtection="0"/>
    <xf numFmtId="0" fontId="72" fillId="34" borderId="0" applyNumberFormat="0" applyBorder="0" applyAlignment="0" applyProtection="0"/>
    <xf numFmtId="0" fontId="78" fillId="57" borderId="0" applyNumberFormat="0" applyBorder="0" applyAlignment="0" applyProtection="0"/>
    <xf numFmtId="0" fontId="129" fillId="38" borderId="0" applyNumberFormat="0" applyBorder="0" applyAlignment="0" applyProtection="0"/>
    <xf numFmtId="0" fontId="79" fillId="58" borderId="0" applyNumberFormat="0" applyBorder="0" applyAlignment="0" applyProtection="0"/>
    <xf numFmtId="0" fontId="72" fillId="38" borderId="0" applyNumberFormat="0" applyBorder="0" applyAlignment="0" applyProtection="0"/>
    <xf numFmtId="0" fontId="78" fillId="58" borderId="0" applyNumberFormat="0" applyBorder="0" applyAlignment="0" applyProtection="0"/>
    <xf numFmtId="0" fontId="129" fillId="42" borderId="0" applyNumberFormat="0" applyBorder="0" applyAlignment="0" applyProtection="0"/>
    <xf numFmtId="0" fontId="79" fillId="63" borderId="0" applyNumberFormat="0" applyBorder="0" applyAlignment="0" applyProtection="0"/>
    <xf numFmtId="0" fontId="72" fillId="42" borderId="0" applyNumberFormat="0" applyBorder="0" applyAlignment="0" applyProtection="0"/>
    <xf numFmtId="0" fontId="78" fillId="63" borderId="0" applyNumberFormat="0" applyBorder="0" applyAlignment="0" applyProtection="0"/>
    <xf numFmtId="0" fontId="72" fillId="22" borderId="0" applyNumberFormat="0" applyBorder="0" applyAlignment="0" applyProtection="0"/>
    <xf numFmtId="0" fontId="78" fillId="60" borderId="0" applyNumberFormat="0" applyBorder="0" applyAlignment="0" applyProtection="0"/>
    <xf numFmtId="0" fontId="78" fillId="60" borderId="0" applyNumberFormat="0" applyBorder="0" applyAlignment="0" applyProtection="0"/>
    <xf numFmtId="0" fontId="72" fillId="22" borderId="0" applyNumberFormat="0" applyBorder="0" applyAlignment="0" applyProtection="0"/>
    <xf numFmtId="0" fontId="72" fillId="26" borderId="0" applyNumberFormat="0" applyBorder="0" applyAlignment="0" applyProtection="0"/>
    <xf numFmtId="0" fontId="78" fillId="61" borderId="0" applyNumberFormat="0" applyBorder="0" applyAlignment="0" applyProtection="0"/>
    <xf numFmtId="0" fontId="78" fillId="61" borderId="0" applyNumberFormat="0" applyBorder="0" applyAlignment="0" applyProtection="0"/>
    <xf numFmtId="0" fontId="72" fillId="26" borderId="0" applyNumberFormat="0" applyBorder="0" applyAlignment="0" applyProtection="0"/>
    <xf numFmtId="0" fontId="72" fillId="30" borderId="0" applyNumberFormat="0" applyBorder="0" applyAlignment="0" applyProtection="0"/>
    <xf numFmtId="0" fontId="78" fillId="62" borderId="0" applyNumberFormat="0" applyBorder="0" applyAlignment="0" applyProtection="0"/>
    <xf numFmtId="0" fontId="78" fillId="62" borderId="0" applyNumberFormat="0" applyBorder="0" applyAlignment="0" applyProtection="0"/>
    <xf numFmtId="0" fontId="72" fillId="30" borderId="0" applyNumberFormat="0" applyBorder="0" applyAlignment="0" applyProtection="0"/>
    <xf numFmtId="0" fontId="72" fillId="34" borderId="0" applyNumberFormat="0" applyBorder="0" applyAlignment="0" applyProtection="0"/>
    <xf numFmtId="0" fontId="78" fillId="57" borderId="0" applyNumberFormat="0" applyBorder="0" applyAlignment="0" applyProtection="0"/>
    <xf numFmtId="0" fontId="78" fillId="57" borderId="0" applyNumberFormat="0" applyBorder="0" applyAlignment="0" applyProtection="0"/>
    <xf numFmtId="0" fontId="72" fillId="34" borderId="0" applyNumberFormat="0" applyBorder="0" applyAlignment="0" applyProtection="0"/>
    <xf numFmtId="0" fontId="72" fillId="38"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72" fillId="38" borderId="0" applyNumberFormat="0" applyBorder="0" applyAlignment="0" applyProtection="0"/>
    <xf numFmtId="0" fontId="72" fillId="42" borderId="0" applyNumberFormat="0" applyBorder="0" applyAlignment="0" applyProtection="0"/>
    <xf numFmtId="0" fontId="78" fillId="63" borderId="0" applyNumberFormat="0" applyBorder="0" applyAlignment="0" applyProtection="0"/>
    <xf numFmtId="0" fontId="78" fillId="63" borderId="0" applyNumberFormat="0" applyBorder="0" applyAlignment="0" applyProtection="0"/>
    <xf numFmtId="0" fontId="72" fillId="42" borderId="0" applyNumberFormat="0" applyBorder="0" applyAlignment="0" applyProtection="0"/>
    <xf numFmtId="0" fontId="65" fillId="19" borderId="82" applyNumberFormat="0" applyAlignment="0" applyProtection="0"/>
    <xf numFmtId="0" fontId="65" fillId="19" borderId="82" applyNumberFormat="0" applyAlignment="0" applyProtection="0"/>
    <xf numFmtId="0" fontId="125" fillId="64" borderId="87" applyNumberFormat="0" applyAlignment="0" applyProtection="0"/>
    <xf numFmtId="0" fontId="98" fillId="64" borderId="87" applyNumberFormat="0" applyAlignment="0" applyProtection="0"/>
    <xf numFmtId="0" fontId="65" fillId="19" borderId="82" applyNumberFormat="0" applyAlignment="0" applyProtection="0"/>
    <xf numFmtId="0" fontId="130" fillId="16" borderId="0" applyNumberFormat="0" applyBorder="0" applyAlignment="0" applyProtection="0"/>
    <xf numFmtId="0" fontId="80" fillId="47" borderId="0" applyNumberFormat="0" applyBorder="0" applyAlignment="0" applyProtection="0"/>
    <xf numFmtId="0" fontId="62" fillId="16" borderId="0" applyNumberFormat="0" applyBorder="0" applyAlignment="0" applyProtection="0"/>
    <xf numFmtId="0" fontId="88" fillId="47" borderId="0" applyNumberFormat="0" applyBorder="0" applyAlignment="0" applyProtection="0"/>
    <xf numFmtId="0" fontId="66" fillId="19" borderId="81" applyNumberFormat="0" applyAlignment="0" applyProtection="0"/>
    <xf numFmtId="0" fontId="66" fillId="19" borderId="81" applyNumberFormat="0" applyAlignment="0" applyProtection="0"/>
    <xf numFmtId="0" fontId="126" fillId="64" borderId="88" applyNumberFormat="0" applyAlignment="0" applyProtection="0"/>
    <xf numFmtId="0" fontId="99" fillId="64" borderId="88" applyNumberFormat="0" applyAlignment="0" applyProtection="0"/>
    <xf numFmtId="0" fontId="66" fillId="19" borderId="81" applyNumberFormat="0" applyAlignment="0" applyProtection="0"/>
    <xf numFmtId="0" fontId="131" fillId="19" borderId="81" applyNumberFormat="0" applyAlignment="0" applyProtection="0"/>
    <xf numFmtId="0" fontId="132" fillId="20" borderId="84" applyNumberFormat="0" applyAlignment="0" applyProtection="0"/>
    <xf numFmtId="0" fontId="81" fillId="65" borderId="89" applyNumberFormat="0" applyAlignment="0" applyProtection="0"/>
    <xf numFmtId="0" fontId="68" fillId="20" borderId="84" applyNumberFormat="0" applyAlignment="0" applyProtection="0"/>
    <xf numFmtId="0" fontId="95" fillId="65" borderId="89" applyNumberFormat="0" applyAlignment="0" applyProtection="0"/>
    <xf numFmtId="0" fontId="64" fillId="18" borderId="81" applyNumberFormat="0" applyAlignment="0" applyProtection="0"/>
    <xf numFmtId="0" fontId="64" fillId="18" borderId="81" applyNumberFormat="0" applyAlignment="0" applyProtection="0"/>
    <xf numFmtId="0" fontId="29" fillId="51" borderId="88" applyNumberFormat="0" applyAlignment="0" applyProtection="0"/>
    <xf numFmtId="0" fontId="100" fillId="51" borderId="88" applyNumberFormat="0" applyAlignment="0" applyProtection="0"/>
    <xf numFmtId="0" fontId="64" fillId="18" borderId="81" applyNumberFormat="0" applyAlignment="0" applyProtection="0"/>
    <xf numFmtId="0" fontId="71" fillId="0" borderId="86" applyNumberFormat="0" applyFill="0" applyAlignment="0" applyProtection="0"/>
    <xf numFmtId="0" fontId="71" fillId="0" borderId="86" applyNumberFormat="0" applyFill="0" applyAlignment="0" applyProtection="0"/>
    <xf numFmtId="0" fontId="97" fillId="0" borderId="90" applyNumberFormat="0" applyFill="0" applyAlignment="0" applyProtection="0"/>
    <xf numFmtId="0" fontId="101" fillId="0" borderId="90" applyNumberFormat="0" applyFill="0" applyAlignment="0" applyProtection="0"/>
    <xf numFmtId="0" fontId="71" fillId="0" borderId="86" applyNumberFormat="0" applyFill="0" applyAlignment="0" applyProtection="0"/>
    <xf numFmtId="0" fontId="70" fillId="0" borderId="0" applyNumberFormat="0" applyFill="0" applyBorder="0" applyAlignment="0" applyProtection="0"/>
    <xf numFmtId="0" fontId="70" fillId="0" borderId="0" applyNumberFormat="0" applyFill="0" applyBorder="0" applyAlignment="0" applyProtection="0"/>
    <xf numFmtId="0" fontId="127" fillId="0" borderId="0" applyNumberFormat="0" applyFill="0" applyBorder="0" applyAlignment="0" applyProtection="0"/>
    <xf numFmtId="0" fontId="102" fillId="0" borderId="0" applyNumberFormat="0" applyFill="0" applyBorder="0" applyAlignment="0" applyProtection="0"/>
    <xf numFmtId="0" fontId="70" fillId="0" borderId="0" applyNumberForma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0" fontId="133" fillId="0" borderId="0" applyNumberFormat="0" applyFill="0" applyBorder="0" applyAlignment="0" applyProtection="0"/>
    <xf numFmtId="0" fontId="134" fillId="15" borderId="0" applyNumberFormat="0" applyBorder="0" applyAlignment="0" applyProtection="0"/>
    <xf numFmtId="0" fontId="82" fillId="48" borderId="0" applyNumberFormat="0" applyBorder="0" applyAlignment="0" applyProtection="0"/>
    <xf numFmtId="0" fontId="61" fillId="15" borderId="0" applyNumberFormat="0" applyBorder="0" applyAlignment="0" applyProtection="0"/>
    <xf numFmtId="0" fontId="83" fillId="48" borderId="0" applyNumberFormat="0" applyBorder="0" applyAlignment="0" applyProtection="0"/>
    <xf numFmtId="0" fontId="61" fillId="15" borderId="0" applyNumberFormat="0" applyBorder="0" applyAlignment="0" applyProtection="0"/>
    <xf numFmtId="0" fontId="83" fillId="48" borderId="0" applyNumberFormat="0" applyBorder="0" applyAlignment="0" applyProtection="0"/>
    <xf numFmtId="0" fontId="83" fillId="48" borderId="0" applyNumberFormat="0" applyBorder="0" applyAlignment="0" applyProtection="0"/>
    <xf numFmtId="0" fontId="61" fillId="15" borderId="0" applyNumberFormat="0" applyBorder="0" applyAlignment="0" applyProtection="0"/>
    <xf numFmtId="0" fontId="135" fillId="0" borderId="78" applyNumberFormat="0" applyFill="0" applyAlignment="0" applyProtection="0"/>
    <xf numFmtId="0" fontId="84" fillId="0" borderId="91" applyNumberFormat="0" applyFill="0" applyAlignment="0" applyProtection="0"/>
    <xf numFmtId="0" fontId="58" fillId="0" borderId="78" applyNumberFormat="0" applyFill="0" applyAlignment="0" applyProtection="0"/>
    <xf numFmtId="0" fontId="91" fillId="0" borderId="91" applyNumberFormat="0" applyFill="0" applyAlignment="0" applyProtection="0"/>
    <xf numFmtId="0" fontId="136" fillId="0" borderId="79" applyNumberFormat="0" applyFill="0" applyAlignment="0" applyProtection="0"/>
    <xf numFmtId="0" fontId="85" fillId="0" borderId="92" applyNumberFormat="0" applyFill="0" applyAlignment="0" applyProtection="0"/>
    <xf numFmtId="0" fontId="59" fillId="0" borderId="79" applyNumberFormat="0" applyFill="0" applyAlignment="0" applyProtection="0"/>
    <xf numFmtId="0" fontId="92" fillId="0" borderId="92" applyNumberFormat="0" applyFill="0" applyAlignment="0" applyProtection="0"/>
    <xf numFmtId="0" fontId="137" fillId="0" borderId="80" applyNumberFormat="0" applyFill="0" applyAlignment="0" applyProtection="0"/>
    <xf numFmtId="0" fontId="86" fillId="0" borderId="93" applyNumberFormat="0" applyFill="0" applyAlignment="0" applyProtection="0"/>
    <xf numFmtId="0" fontId="60" fillId="0" borderId="80" applyNumberFormat="0" applyFill="0" applyAlignment="0" applyProtection="0"/>
    <xf numFmtId="0" fontId="93" fillId="0" borderId="93" applyNumberFormat="0" applyFill="0" applyAlignment="0" applyProtection="0"/>
    <xf numFmtId="0" fontId="137" fillId="0" borderId="0" applyNumberFormat="0" applyFill="0" applyBorder="0" applyAlignment="0" applyProtection="0"/>
    <xf numFmtId="0" fontId="86" fillId="0" borderId="0" applyNumberFormat="0" applyFill="0" applyBorder="0" applyAlignment="0" applyProtection="0"/>
    <xf numFmtId="0" fontId="60" fillId="0" borderId="0" applyNumberFormat="0" applyFill="0" applyBorder="0" applyAlignment="0" applyProtection="0"/>
    <xf numFmtId="0" fontId="93" fillId="0" borderId="0" applyNumberFormat="0" applyFill="0" applyBorder="0" applyAlignment="0" applyProtection="0"/>
    <xf numFmtId="0" fontId="123" fillId="0" borderId="0" applyNumberFormat="0" applyFill="0" applyBorder="0" applyAlignment="0" applyProtection="0">
      <alignment vertical="top"/>
      <protection locked="0"/>
    </xf>
    <xf numFmtId="0" fontId="138" fillId="18" borderId="81" applyNumberFormat="0" applyAlignment="0" applyProtection="0"/>
    <xf numFmtId="165" fontId="3" fillId="0" borderId="0" applyFont="0" applyFill="0" applyBorder="0" applyAlignment="0" applyProtection="0"/>
    <xf numFmtId="165" fontId="3" fillId="0" borderId="0" applyFont="0" applyFill="0" applyBorder="0" applyAlignment="0" applyProtection="0"/>
    <xf numFmtId="0" fontId="139" fillId="0" borderId="83" applyNumberFormat="0" applyFill="0" applyAlignment="0" applyProtection="0"/>
    <xf numFmtId="0" fontId="87" fillId="0" borderId="94" applyNumberFormat="0" applyFill="0" applyAlignment="0" applyProtection="0"/>
    <xf numFmtId="0" fontId="67" fillId="0" borderId="83" applyNumberFormat="0" applyFill="0" applyAlignment="0" applyProtection="0"/>
    <xf numFmtId="0" fontId="94" fillId="0" borderId="94" applyNumberFormat="0" applyFill="0" applyAlignment="0" applyProtection="0"/>
    <xf numFmtId="0" fontId="140" fillId="17" borderId="0" applyNumberFormat="0" applyBorder="0" applyAlignment="0" applyProtection="0"/>
    <xf numFmtId="0" fontId="140" fillId="17" borderId="0" applyNumberFormat="0" applyBorder="0" applyAlignment="0" applyProtection="0"/>
    <xf numFmtId="0" fontId="103" fillId="66" borderId="0" applyNumberFormat="0" applyBorder="0" applyAlignment="0" applyProtection="0"/>
    <xf numFmtId="0" fontId="63" fillId="17" borderId="0" applyNumberFormat="0" applyBorder="0" applyAlignment="0" applyProtection="0"/>
    <xf numFmtId="0" fontId="3" fillId="0" borderId="0"/>
    <xf numFmtId="0" fontId="128" fillId="0" borderId="0"/>
    <xf numFmtId="0" fontId="3" fillId="0" borderId="0"/>
    <xf numFmtId="0" fontId="3" fillId="0" borderId="0"/>
    <xf numFmtId="0" fontId="3" fillId="0" borderId="0"/>
    <xf numFmtId="0" fontId="77" fillId="67" borderId="95" applyNumberFormat="0" applyFont="0" applyAlignment="0" applyProtection="0"/>
    <xf numFmtId="0" fontId="77" fillId="21" borderId="85" applyNumberFormat="0" applyFont="0" applyAlignment="0" applyProtection="0"/>
    <xf numFmtId="0" fontId="77" fillId="67" borderId="9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67" borderId="95" applyNumberFormat="0" applyFont="0" applyAlignment="0" applyProtection="0"/>
    <xf numFmtId="0" fontId="96"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141" fillId="19" borderId="82" applyNumberFormat="0" applyAlignment="0" applyProtection="0"/>
    <xf numFmtId="0" fontId="62" fillId="16" borderId="0" applyNumberFormat="0" applyBorder="0" applyAlignment="0" applyProtection="0"/>
    <xf numFmtId="0" fontId="88" fillId="47" borderId="0" applyNumberFormat="0" applyBorder="0" applyAlignment="0" applyProtection="0"/>
    <xf numFmtId="0" fontId="88" fillId="47" borderId="0" applyNumberFormat="0" applyBorder="0" applyAlignment="0" applyProtection="0"/>
    <xf numFmtId="0" fontId="62" fillId="16" borderId="0" applyNumberFormat="0" applyBorder="0" applyAlignment="0" applyProtection="0"/>
    <xf numFmtId="0" fontId="17" fillId="0" borderId="0" applyBorder="0" applyProtection="0">
      <alignment horizontal="left" vertical="top" wrapText="1"/>
      <protection locked="0"/>
    </xf>
    <xf numFmtId="0" fontId="3"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3" fillId="0" borderId="0"/>
    <xf numFmtId="0" fontId="1" fillId="0" borderId="0"/>
    <xf numFmtId="0" fontId="142" fillId="0" borderId="0"/>
    <xf numFmtId="0" fontId="3" fillId="0" borderId="0"/>
    <xf numFmtId="0" fontId="1" fillId="0" borderId="0"/>
    <xf numFmtId="0" fontId="1" fillId="0" borderId="0"/>
    <xf numFmtId="0" fontId="1" fillId="0" borderId="0"/>
    <xf numFmtId="0" fontId="142" fillId="0" borderId="0"/>
    <xf numFmtId="0" fontId="17" fillId="0" borderId="0" applyBorder="0" applyProtection="0">
      <alignment horizontal="left" vertical="top" wrapText="1"/>
      <protection locked="0"/>
    </xf>
    <xf numFmtId="0" fontId="17" fillId="0" borderId="0" applyBorder="0" applyProtection="0">
      <alignment horizontal="left" vertical="top" wrapText="1"/>
      <protection locked="0"/>
    </xf>
    <xf numFmtId="0" fontId="3" fillId="0" borderId="0"/>
    <xf numFmtId="0" fontId="3" fillId="0" borderId="0"/>
    <xf numFmtId="0" fontId="17" fillId="0" borderId="0" applyBorder="0" applyProtection="0">
      <alignment horizontal="left" vertical="top" wrapText="1"/>
      <protection locked="0"/>
    </xf>
    <xf numFmtId="0" fontId="3" fillId="0" borderId="0"/>
    <xf numFmtId="0" fontId="3" fillId="0" borderId="0"/>
    <xf numFmtId="0" fontId="3" fillId="0" borderId="0"/>
    <xf numFmtId="0" fontId="3" fillId="0" borderId="0"/>
    <xf numFmtId="0" fontId="3" fillId="0" borderId="0"/>
    <xf numFmtId="0" fontId="73" fillId="0" borderId="0"/>
    <xf numFmtId="0" fontId="73" fillId="0" borderId="0"/>
    <xf numFmtId="0" fontId="3" fillId="0" borderId="0"/>
    <xf numFmtId="0" fontId="3" fillId="0" borderId="0"/>
    <xf numFmtId="0" fontId="73" fillId="0" borderId="0"/>
    <xf numFmtId="0" fontId="73" fillId="0" borderId="0"/>
    <xf numFmtId="0" fontId="73" fillId="0" borderId="0"/>
    <xf numFmtId="0" fontId="73" fillId="0" borderId="0"/>
    <xf numFmtId="0" fontId="17" fillId="0" borderId="0" applyBorder="0" applyProtection="0">
      <alignment horizontal="left" vertical="top" wrapText="1"/>
      <protection locked="0"/>
    </xf>
    <xf numFmtId="0" fontId="17" fillId="0" borderId="0" applyBorder="0" applyProtection="0">
      <alignment horizontal="left" vertical="top" wrapText="1"/>
      <protection locked="0"/>
    </xf>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3"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22" fillId="0" borderId="0"/>
    <xf numFmtId="0" fontId="122"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3" fillId="0" borderId="0" applyNumberFormat="0" applyFill="0" applyBorder="0" applyAlignment="0" applyProtection="0"/>
    <xf numFmtId="0" fontId="89" fillId="0" borderId="0" applyNumberFormat="0" applyFill="0" applyBorder="0" applyAlignment="0" applyProtection="0"/>
    <xf numFmtId="0" fontId="57" fillId="0" borderId="0" applyNumberFormat="0" applyFill="0" applyBorder="0" applyAlignment="0" applyProtection="0"/>
    <xf numFmtId="0" fontId="90" fillId="0" borderId="0" applyNumberFormat="0" applyFill="0" applyBorder="0" applyAlignment="0" applyProtection="0"/>
    <xf numFmtId="0" fontId="144" fillId="0" borderId="86" applyNumberFormat="0" applyFill="0" applyAlignment="0" applyProtection="0"/>
    <xf numFmtId="0" fontId="57" fillId="0" borderId="0" applyNumberFormat="0" applyFill="0" applyBorder="0" applyAlignment="0" applyProtection="0"/>
    <xf numFmtId="0" fontId="58" fillId="0" borderId="78" applyNumberFormat="0" applyFill="0" applyAlignment="0" applyProtection="0"/>
    <xf numFmtId="0" fontId="91" fillId="0" borderId="91" applyNumberFormat="0" applyFill="0" applyAlignment="0" applyProtection="0"/>
    <xf numFmtId="0" fontId="91" fillId="0" borderId="91" applyNumberFormat="0" applyFill="0" applyAlignment="0" applyProtection="0"/>
    <xf numFmtId="0" fontId="58" fillId="0" borderId="78" applyNumberFormat="0" applyFill="0" applyAlignment="0" applyProtection="0"/>
    <xf numFmtId="0" fontId="59" fillId="0" borderId="79" applyNumberFormat="0" applyFill="0" applyAlignment="0" applyProtection="0"/>
    <xf numFmtId="0" fontId="92" fillId="0" borderId="92" applyNumberFormat="0" applyFill="0" applyAlignment="0" applyProtection="0"/>
    <xf numFmtId="0" fontId="92" fillId="0" borderId="92" applyNumberFormat="0" applyFill="0" applyAlignment="0" applyProtection="0"/>
    <xf numFmtId="0" fontId="59" fillId="0" borderId="79" applyNumberFormat="0" applyFill="0" applyAlignment="0" applyProtection="0"/>
    <xf numFmtId="0" fontId="60" fillId="0" borderId="80" applyNumberFormat="0" applyFill="0" applyAlignment="0" applyProtection="0"/>
    <xf numFmtId="0" fontId="93" fillId="0" borderId="93" applyNumberFormat="0" applyFill="0" applyAlignment="0" applyProtection="0"/>
    <xf numFmtId="0" fontId="93" fillId="0" borderId="93" applyNumberFormat="0" applyFill="0" applyAlignment="0" applyProtection="0"/>
    <xf numFmtId="0" fontId="60" fillId="0" borderId="80" applyNumberFormat="0" applyFill="0" applyAlignment="0" applyProtection="0"/>
    <xf numFmtId="0" fontId="60"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60"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57" fillId="0" borderId="0" applyNumberFormat="0" applyFill="0" applyBorder="0" applyAlignment="0" applyProtection="0"/>
    <xf numFmtId="0" fontId="67" fillId="0" borderId="83" applyNumberFormat="0" applyFill="0" applyAlignment="0" applyProtection="0"/>
    <xf numFmtId="0" fontId="94" fillId="0" borderId="94" applyNumberFormat="0" applyFill="0" applyAlignment="0" applyProtection="0"/>
    <xf numFmtId="0" fontId="94" fillId="0" borderId="94" applyNumberFormat="0" applyFill="0" applyAlignment="0" applyProtection="0"/>
    <xf numFmtId="0" fontId="67" fillId="0" borderId="83" applyNumberFormat="0" applyFill="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76" fillId="0" borderId="0" applyNumberFormat="0" applyFill="0" applyBorder="0" applyAlignment="0" applyProtection="0"/>
    <xf numFmtId="0" fontId="104" fillId="0" borderId="0" applyNumberFormat="0" applyFill="0" applyBorder="0" applyAlignment="0" applyProtection="0"/>
    <xf numFmtId="0" fontId="69" fillId="0" borderId="0" applyNumberFormat="0" applyFill="0" applyBorder="0" applyAlignment="0" applyProtection="0"/>
    <xf numFmtId="0" fontId="145" fillId="0" borderId="0" applyNumberFormat="0" applyFill="0" applyBorder="0" applyAlignment="0" applyProtection="0"/>
    <xf numFmtId="0" fontId="68" fillId="20" borderId="84" applyNumberFormat="0" applyAlignment="0" applyProtection="0"/>
    <xf numFmtId="0" fontId="95" fillId="65" borderId="89" applyNumberFormat="0" applyAlignment="0" applyProtection="0"/>
    <xf numFmtId="0" fontId="95" fillId="65" borderId="89" applyNumberFormat="0" applyAlignment="0" applyProtection="0"/>
    <xf numFmtId="0" fontId="68" fillId="20" borderId="84" applyNumberFormat="0" applyAlignment="0" applyProtection="0"/>
    <xf numFmtId="0" fontId="106" fillId="60" borderId="0" applyNumberFormat="0" applyBorder="0" applyAlignment="0" applyProtection="0"/>
    <xf numFmtId="0" fontId="106" fillId="61" borderId="0" applyNumberFormat="0" applyBorder="0" applyAlignment="0" applyProtection="0"/>
    <xf numFmtId="0" fontId="106" fillId="62" borderId="0" applyNumberFormat="0" applyBorder="0" applyAlignment="0" applyProtection="0"/>
    <xf numFmtId="0" fontId="106" fillId="57" borderId="0" applyNumberFormat="0" applyBorder="0" applyAlignment="0" applyProtection="0"/>
    <xf numFmtId="0" fontId="106" fillId="58" borderId="0" applyNumberFormat="0" applyBorder="0" applyAlignment="0" applyProtection="0"/>
    <xf numFmtId="0" fontId="106" fillId="63" borderId="0" applyNumberFormat="0" applyBorder="0" applyAlignment="0" applyProtection="0"/>
    <xf numFmtId="0" fontId="107" fillId="51" borderId="88" applyNumberFormat="0" applyAlignment="0" applyProtection="0"/>
    <xf numFmtId="0" fontId="108" fillId="64" borderId="87" applyNumberFormat="0" applyAlignment="0" applyProtection="0"/>
    <xf numFmtId="0" fontId="109" fillId="64" borderId="88" applyNumberFormat="0" applyAlignment="0" applyProtection="0"/>
    <xf numFmtId="0" fontId="110" fillId="0" borderId="91" applyNumberFormat="0" applyFill="0" applyAlignment="0" applyProtection="0"/>
    <xf numFmtId="0" fontId="111" fillId="0" borderId="92" applyNumberFormat="0" applyFill="0" applyAlignment="0" applyProtection="0"/>
    <xf numFmtId="0" fontId="112" fillId="0" borderId="93" applyNumberFormat="0" applyFill="0" applyAlignment="0" applyProtection="0"/>
    <xf numFmtId="0" fontId="112" fillId="0" borderId="0" applyNumberFormat="0" applyFill="0" applyBorder="0" applyAlignment="0" applyProtection="0"/>
    <xf numFmtId="0" fontId="113" fillId="0" borderId="90" applyNumberFormat="0" applyFill="0" applyAlignment="0" applyProtection="0"/>
    <xf numFmtId="0" fontId="114" fillId="65" borderId="89" applyNumberFormat="0" applyAlignment="0" applyProtection="0"/>
    <xf numFmtId="0" fontId="115" fillId="0" borderId="0" applyNumberFormat="0" applyFill="0" applyBorder="0" applyAlignment="0" applyProtection="0"/>
    <xf numFmtId="0" fontId="116" fillId="66" borderId="0" applyNumberFormat="0" applyBorder="0" applyAlignment="0" applyProtection="0"/>
    <xf numFmtId="0" fontId="117" fillId="47" borderId="0" applyNumberFormat="0" applyBorder="0" applyAlignment="0" applyProtection="0"/>
    <xf numFmtId="0" fontId="118" fillId="0" borderId="0" applyNumberFormat="0" applyFill="0" applyBorder="0" applyAlignment="0" applyProtection="0"/>
    <xf numFmtId="0" fontId="3" fillId="67" borderId="95" applyNumberFormat="0" applyFont="0" applyAlignment="0" applyProtection="0"/>
    <xf numFmtId="0" fontId="3" fillId="67" borderId="95" applyNumberFormat="0" applyFont="0" applyAlignment="0" applyProtection="0"/>
    <xf numFmtId="0" fontId="119" fillId="0" borderId="94" applyNumberFormat="0" applyFill="0" applyAlignment="0" applyProtection="0"/>
    <xf numFmtId="0" fontId="120" fillId="0" borderId="0" applyNumberFormat="0" applyFill="0" applyBorder="0" applyAlignment="0" applyProtection="0"/>
    <xf numFmtId="0" fontId="121" fillId="48" borderId="0" applyNumberFormat="0" applyBorder="0" applyAlignment="0" applyProtection="0"/>
    <xf numFmtId="0" fontId="1" fillId="0" borderId="0"/>
    <xf numFmtId="169" fontId="146"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170" fontId="146" fillId="0" borderId="0" applyFont="0" applyFill="0" applyBorder="0" applyAlignment="0" applyProtection="0"/>
    <xf numFmtId="0" fontId="3" fillId="0" borderId="0" applyFont="0" applyFill="0" applyBorder="0" applyAlignment="0" applyProtection="0"/>
    <xf numFmtId="171" fontId="146" fillId="0" borderId="0" applyFont="0" applyFill="0" applyBorder="0" applyAlignment="0" applyProtection="0"/>
    <xf numFmtId="172" fontId="146" fillId="0" borderId="0" applyFont="0" applyFill="0" applyBorder="0" applyAlignment="0" applyProtection="0"/>
    <xf numFmtId="0" fontId="3" fillId="0" borderId="0" applyFont="0" applyFill="0" applyBorder="0" applyAlignment="0" applyProtection="0"/>
    <xf numFmtId="173" fontId="147" fillId="0" borderId="0" applyFont="0" applyFill="0" applyBorder="0" applyAlignment="0" applyProtection="0"/>
    <xf numFmtId="174" fontId="147" fillId="0" borderId="0" applyFont="0" applyFill="0" applyBorder="0" applyAlignment="0" applyProtection="0"/>
    <xf numFmtId="0" fontId="3" fillId="0" borderId="0"/>
    <xf numFmtId="0" fontId="3" fillId="0" borderId="0"/>
    <xf numFmtId="0" fontId="3" fillId="0" borderId="0"/>
    <xf numFmtId="175" fontId="3" fillId="0" borderId="0" applyFont="0" applyFill="0" applyBorder="0" applyAlignment="0" applyProtection="0"/>
    <xf numFmtId="176" fontId="146"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40" fontId="146" fillId="0" borderId="0" applyFont="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176" fontId="146" fillId="0" borderId="0" applyFont="0" applyFill="0" applyBorder="0" applyAlignment="0" applyProtection="0"/>
    <xf numFmtId="38" fontId="3" fillId="0" borderId="0" applyFill="0" applyBorder="0" applyAlignment="0" applyProtection="0"/>
    <xf numFmtId="38" fontId="3" fillId="0" borderId="0" applyFill="0" applyBorder="0" applyAlignment="0" applyProtection="0"/>
    <xf numFmtId="176" fontId="146" fillId="0" borderId="0" applyFont="0" applyFill="0" applyBorder="0" applyAlignment="0" applyProtection="0"/>
    <xf numFmtId="38" fontId="3" fillId="0" borderId="0" applyFill="0" applyBorder="0" applyAlignment="0" applyProtection="0"/>
    <xf numFmtId="38" fontId="3" fillId="0" borderId="0" applyFill="0" applyBorder="0" applyAlignment="0" applyProtection="0"/>
    <xf numFmtId="176" fontId="146" fillId="0" borderId="0" applyFont="0" applyFill="0" applyBorder="0" applyAlignment="0" applyProtection="0"/>
    <xf numFmtId="38" fontId="3" fillId="0" borderId="0" applyFill="0" applyBorder="0" applyAlignment="0" applyProtection="0"/>
    <xf numFmtId="38" fontId="3" fillId="0" borderId="0" applyFill="0" applyBorder="0" applyAlignment="0" applyProtection="0"/>
    <xf numFmtId="177" fontId="3" fillId="0" borderId="0" applyFont="0" applyFill="0" applyBorder="0" applyAlignment="0" applyProtection="0"/>
    <xf numFmtId="177" fontId="3" fillId="0" borderId="0" applyFill="0" applyBorder="0" applyAlignment="0" applyProtection="0"/>
    <xf numFmtId="177" fontId="3" fillId="0" borderId="0" applyFill="0" applyBorder="0" applyAlignment="0" applyProtection="0"/>
    <xf numFmtId="178" fontId="3" fillId="0" borderId="0" applyFont="0" applyFill="0" applyBorder="0" applyAlignment="0" applyProtection="0"/>
    <xf numFmtId="179" fontId="3" fillId="0" borderId="0" applyFill="0" applyBorder="0" applyAlignment="0" applyProtection="0"/>
    <xf numFmtId="179" fontId="3" fillId="0" borderId="0" applyFill="0" applyBorder="0" applyAlignment="0" applyProtection="0"/>
    <xf numFmtId="174" fontId="3" fillId="0" borderId="0" applyFont="0" applyFill="0" applyBorder="0" applyAlignment="0" applyProtection="0"/>
    <xf numFmtId="180" fontId="3" fillId="0" borderId="0" applyFill="0" applyBorder="0" applyAlignment="0" applyProtection="0"/>
    <xf numFmtId="180" fontId="3" fillId="0" borderId="0" applyFill="0" applyBorder="0" applyAlignment="0" applyProtection="0"/>
    <xf numFmtId="181" fontId="3" fillId="0" borderId="0" applyFont="0" applyFill="0" applyBorder="0" applyAlignment="0" applyProtection="0"/>
    <xf numFmtId="182" fontId="3" fillId="0" borderId="0" applyFill="0" applyBorder="0" applyAlignment="0" applyProtection="0"/>
    <xf numFmtId="182" fontId="3" fillId="0" borderId="0" applyFill="0" applyBorder="0" applyAlignment="0" applyProtection="0"/>
    <xf numFmtId="175" fontId="3" fillId="0" borderId="0" applyFont="0" applyFill="0" applyBorder="0" applyAlignment="0" applyProtection="0"/>
    <xf numFmtId="175" fontId="3" fillId="0" borderId="0" applyFill="0" applyBorder="0" applyAlignment="0" applyProtection="0"/>
    <xf numFmtId="175" fontId="3" fillId="0" borderId="0" applyFill="0" applyBorder="0" applyAlignment="0" applyProtection="0"/>
    <xf numFmtId="175" fontId="3" fillId="0" borderId="0" applyFont="0" applyFill="0" applyBorder="0" applyAlignment="0" applyProtection="0"/>
    <xf numFmtId="175" fontId="3" fillId="0" borderId="0" applyFill="0" applyBorder="0" applyAlignment="0" applyProtection="0"/>
    <xf numFmtId="175" fontId="3" fillId="0" borderId="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175" fontId="3" fillId="0" borderId="0" applyFont="0" applyFill="0" applyBorder="0" applyAlignment="0" applyProtection="0"/>
    <xf numFmtId="175" fontId="3" fillId="0" borderId="0" applyFill="0" applyBorder="0" applyAlignment="0" applyProtection="0"/>
    <xf numFmtId="175" fontId="3" fillId="0" borderId="0" applyFill="0" applyBorder="0" applyAlignment="0" applyProtection="0"/>
    <xf numFmtId="177" fontId="3" fillId="0" borderId="0" applyFont="0" applyFill="0" applyBorder="0" applyAlignment="0" applyProtection="0"/>
    <xf numFmtId="177" fontId="3" fillId="0" borderId="0" applyFill="0" applyBorder="0" applyAlignment="0" applyProtection="0"/>
    <xf numFmtId="177" fontId="3" fillId="0" borderId="0" applyFill="0" applyBorder="0" applyAlignment="0" applyProtection="0"/>
    <xf numFmtId="178" fontId="3" fillId="0" borderId="0" applyFont="0" applyFill="0" applyBorder="0" applyAlignment="0" applyProtection="0"/>
    <xf numFmtId="179" fontId="3" fillId="0" borderId="0" applyFill="0" applyBorder="0" applyAlignment="0" applyProtection="0"/>
    <xf numFmtId="179" fontId="3" fillId="0" borderId="0" applyFill="0" applyBorder="0" applyAlignment="0" applyProtection="0"/>
    <xf numFmtId="175" fontId="3" fillId="0" borderId="0" applyFill="0" applyBorder="0" applyAlignment="0" applyProtection="0"/>
    <xf numFmtId="175" fontId="3" fillId="0" borderId="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ill="0" applyBorder="0" applyAlignment="0" applyProtection="0"/>
    <xf numFmtId="178" fontId="3" fillId="0" borderId="0" applyFont="0" applyFill="0" applyBorder="0" applyAlignment="0" applyProtection="0"/>
    <xf numFmtId="179" fontId="3" fillId="0" borderId="0" applyFill="0" applyBorder="0" applyAlignment="0" applyProtection="0"/>
    <xf numFmtId="179" fontId="3" fillId="0" borderId="0" applyFill="0" applyBorder="0" applyAlignment="0" applyProtection="0"/>
    <xf numFmtId="177" fontId="3" fillId="0" borderId="0" applyFont="0" applyFill="0" applyBorder="0" applyAlignment="0" applyProtection="0"/>
    <xf numFmtId="177" fontId="3" fillId="0" borderId="0" applyFill="0" applyBorder="0" applyAlignment="0" applyProtection="0"/>
    <xf numFmtId="177" fontId="3" fillId="0" borderId="0" applyFill="0" applyBorder="0" applyAlignment="0" applyProtection="0"/>
    <xf numFmtId="0" fontId="3" fillId="0" borderId="18">
      <alignment horizontal="right"/>
    </xf>
    <xf numFmtId="0" fontId="3" fillId="0" borderId="18">
      <alignment horizontal="right"/>
    </xf>
    <xf numFmtId="183" fontId="3" fillId="0" borderId="0">
      <alignment horizontal="right"/>
    </xf>
    <xf numFmtId="183" fontId="3" fillId="0" borderId="0">
      <alignment horizontal="right"/>
    </xf>
    <xf numFmtId="184" fontId="3" fillId="0" borderId="0">
      <alignment horizontal="right"/>
    </xf>
    <xf numFmtId="185" fontId="3" fillId="0" borderId="0">
      <alignment horizontal="right"/>
    </xf>
    <xf numFmtId="186" fontId="3" fillId="0" borderId="0">
      <alignment horizontal="right"/>
    </xf>
    <xf numFmtId="186" fontId="3" fillId="0" borderId="0">
      <alignment horizontal="right"/>
    </xf>
    <xf numFmtId="185" fontId="3" fillId="0" borderId="0">
      <alignment horizontal="right"/>
    </xf>
    <xf numFmtId="186" fontId="3" fillId="0" borderId="0">
      <alignment horizontal="right"/>
    </xf>
    <xf numFmtId="186" fontId="3" fillId="0" borderId="0">
      <alignment horizontal="right"/>
    </xf>
    <xf numFmtId="187" fontId="3" fillId="0" borderId="0">
      <alignment horizontal="right"/>
    </xf>
    <xf numFmtId="187" fontId="3" fillId="0" borderId="0">
      <alignment horizontal="right"/>
    </xf>
    <xf numFmtId="188" fontId="3" fillId="0" borderId="0">
      <alignment horizontal="right"/>
    </xf>
    <xf numFmtId="189" fontId="3" fillId="0" borderId="0">
      <alignment horizontal="right"/>
    </xf>
    <xf numFmtId="189" fontId="3" fillId="0" borderId="0">
      <alignment horizontal="right"/>
    </xf>
    <xf numFmtId="188" fontId="3" fillId="0" borderId="0">
      <alignment horizontal="right"/>
    </xf>
    <xf numFmtId="189" fontId="3" fillId="0" borderId="0">
      <alignment horizontal="right"/>
    </xf>
    <xf numFmtId="189" fontId="3" fillId="0" borderId="0">
      <alignment horizontal="right"/>
    </xf>
    <xf numFmtId="183" fontId="3" fillId="0" borderId="0">
      <alignment horizontal="right"/>
    </xf>
    <xf numFmtId="183" fontId="3" fillId="0" borderId="0">
      <alignment horizontal="right"/>
    </xf>
    <xf numFmtId="188" fontId="3" fillId="0" borderId="0">
      <alignment horizontal="right"/>
    </xf>
    <xf numFmtId="189" fontId="3" fillId="0" borderId="0">
      <alignment horizontal="right"/>
    </xf>
    <xf numFmtId="189" fontId="3" fillId="0" borderId="0">
      <alignment horizontal="right"/>
    </xf>
    <xf numFmtId="188" fontId="3" fillId="0" borderId="0">
      <alignment horizontal="right"/>
    </xf>
    <xf numFmtId="189" fontId="3" fillId="0" borderId="0">
      <alignment horizontal="right"/>
    </xf>
    <xf numFmtId="189" fontId="3" fillId="0" borderId="0">
      <alignment horizontal="right"/>
    </xf>
    <xf numFmtId="183" fontId="3" fillId="0" borderId="0">
      <alignment horizontal="right"/>
    </xf>
    <xf numFmtId="183" fontId="3" fillId="0" borderId="0">
      <alignment horizontal="right"/>
    </xf>
    <xf numFmtId="184" fontId="3" fillId="0" borderId="0">
      <alignment horizontal="right"/>
    </xf>
    <xf numFmtId="185" fontId="3" fillId="0" borderId="0">
      <alignment horizontal="right"/>
    </xf>
    <xf numFmtId="186" fontId="3" fillId="0" borderId="0">
      <alignment horizontal="right"/>
    </xf>
    <xf numFmtId="186" fontId="3" fillId="0" borderId="0">
      <alignment horizontal="right"/>
    </xf>
    <xf numFmtId="185" fontId="3" fillId="0" borderId="0">
      <alignment horizontal="right"/>
    </xf>
    <xf numFmtId="186" fontId="3" fillId="0" borderId="0">
      <alignment horizontal="right"/>
    </xf>
    <xf numFmtId="186" fontId="3" fillId="0" borderId="0">
      <alignment horizontal="right"/>
    </xf>
    <xf numFmtId="187" fontId="3" fillId="0" borderId="0">
      <alignment horizontal="right"/>
    </xf>
    <xf numFmtId="187" fontId="3" fillId="0" borderId="0">
      <alignment horizontal="right"/>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96" fillId="46" borderId="0" applyNumberFormat="0" applyBorder="0" applyAlignment="0" applyProtection="0"/>
    <xf numFmtId="0" fontId="148" fillId="23" borderId="0" applyNumberFormat="0" applyBorder="0" applyAlignment="0" applyProtection="0"/>
    <xf numFmtId="0" fontId="96" fillId="52"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96" fillId="52"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96" fillId="47" borderId="0" applyNumberFormat="0" applyBorder="0" applyAlignment="0" applyProtection="0"/>
    <xf numFmtId="0" fontId="148" fillId="27" borderId="0" applyNumberFormat="0" applyBorder="0" applyAlignment="0" applyProtection="0"/>
    <xf numFmtId="0" fontId="96" fillId="5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96" fillId="53"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96" fillId="48" borderId="0" applyNumberFormat="0" applyBorder="0" applyAlignment="0" applyProtection="0"/>
    <xf numFmtId="0" fontId="148" fillId="31" borderId="0" applyNumberFormat="0" applyBorder="0" applyAlignment="0" applyProtection="0"/>
    <xf numFmtId="0" fontId="96" fillId="6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96" fillId="67"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96" fillId="49" borderId="0" applyNumberFormat="0" applyBorder="0" applyAlignment="0" applyProtection="0"/>
    <xf numFmtId="0" fontId="148" fillId="35" borderId="0" applyNumberFormat="0" applyBorder="0" applyAlignment="0" applyProtection="0"/>
    <xf numFmtId="0" fontId="96" fillId="5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96" fillId="51"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96" fillId="50" borderId="0" applyNumberFormat="0" applyBorder="0" applyAlignment="0" applyProtection="0"/>
    <xf numFmtId="0" fontId="148" fillId="39" borderId="0" applyNumberFormat="0" applyBorder="0" applyAlignment="0" applyProtection="0"/>
    <xf numFmtId="0" fontId="96" fillId="50"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51" borderId="0" applyNumberFormat="0" applyBorder="0" applyAlignment="0" applyProtection="0"/>
    <xf numFmtId="0" fontId="148" fillId="43" borderId="0" applyNumberFormat="0" applyBorder="0" applyAlignment="0" applyProtection="0"/>
    <xf numFmtId="0" fontId="96" fillId="67"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67"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46" borderId="0" applyNumberFormat="0" applyBorder="0" applyAlignment="0" applyProtection="0"/>
    <xf numFmtId="0" fontId="96" fillId="47" borderId="0" applyNumberFormat="0" applyBorder="0" applyAlignment="0" applyProtection="0"/>
    <xf numFmtId="0" fontId="96" fillId="48" borderId="0" applyNumberFormat="0" applyBorder="0" applyAlignment="0" applyProtection="0"/>
    <xf numFmtId="0" fontId="96" fillId="49" borderId="0" applyNumberFormat="0" applyBorder="0" applyAlignment="0" applyProtection="0"/>
    <xf numFmtId="0" fontId="96" fillId="50" borderId="0" applyNumberFormat="0" applyBorder="0" applyAlignment="0" applyProtection="0"/>
    <xf numFmtId="0" fontId="96" fillId="51" borderId="0" applyNumberFormat="0" applyBorder="0" applyAlignment="0" applyProtection="0"/>
    <xf numFmtId="0" fontId="96" fillId="67" borderId="0" applyNumberFormat="0" applyBorder="0" applyAlignment="0" applyProtection="0"/>
    <xf numFmtId="0" fontId="96" fillId="69" borderId="0" applyNumberFormat="0" applyBorder="0" applyAlignment="0" applyProtection="0"/>
    <xf numFmtId="0" fontId="96" fillId="69" borderId="0" applyNumberFormat="0" applyBorder="0" applyAlignment="0" applyProtection="0"/>
    <xf numFmtId="0" fontId="96" fillId="52"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96" fillId="53" borderId="0" applyNumberFormat="0" applyBorder="0" applyAlignment="0" applyProtection="0"/>
    <xf numFmtId="0" fontId="96" fillId="67" borderId="0" applyNumberFormat="0" applyBorder="0" applyAlignment="0" applyProtection="0"/>
    <xf numFmtId="0" fontId="96" fillId="67" borderId="0" applyNumberFormat="0" applyBorder="0" applyAlignment="0" applyProtection="0"/>
    <xf numFmtId="0" fontId="96" fillId="69" borderId="0" applyNumberFormat="0" applyBorder="0" applyAlignment="0" applyProtection="0"/>
    <xf numFmtId="0" fontId="96" fillId="69" borderId="0" applyNumberFormat="0" applyBorder="0" applyAlignment="0" applyProtection="0"/>
    <xf numFmtId="0" fontId="96" fillId="51"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96" fillId="67"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96" fillId="52" borderId="0" applyNumberFormat="0" applyBorder="0" applyAlignment="0" applyProtection="0"/>
    <xf numFmtId="0" fontId="148" fillId="24" borderId="0" applyNumberFormat="0" applyBorder="0" applyAlignment="0" applyProtection="0"/>
    <xf numFmtId="0" fontId="96" fillId="50"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96" fillId="50"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96" fillId="53" borderId="0" applyNumberFormat="0" applyBorder="0" applyAlignment="0" applyProtection="0"/>
    <xf numFmtId="0" fontId="148" fillId="28" borderId="0" applyNumberFormat="0" applyBorder="0" applyAlignment="0" applyProtection="0"/>
    <xf numFmtId="0" fontId="96" fillId="53"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96" fillId="54" borderId="0" applyNumberFormat="0" applyBorder="0" applyAlignment="0" applyProtection="0"/>
    <xf numFmtId="0" fontId="148" fillId="32" borderId="0" applyNumberFormat="0" applyBorder="0" applyAlignment="0" applyProtection="0"/>
    <xf numFmtId="0" fontId="96" fillId="66"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96" fillId="6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96" fillId="49" borderId="0" applyNumberFormat="0" applyBorder="0" applyAlignment="0" applyProtection="0"/>
    <xf numFmtId="0" fontId="148" fillId="36" borderId="0" applyNumberFormat="0" applyBorder="0" applyAlignment="0" applyProtection="0"/>
    <xf numFmtId="0" fontId="96" fillId="47"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96" fillId="47"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96" fillId="52" borderId="0" applyNumberFormat="0" applyBorder="0" applyAlignment="0" applyProtection="0"/>
    <xf numFmtId="0" fontId="148" fillId="40" borderId="0" applyNumberFormat="0" applyBorder="0" applyAlignment="0" applyProtection="0"/>
    <xf numFmtId="0" fontId="96" fillId="5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96" fillId="5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55" borderId="0" applyNumberFormat="0" applyBorder="0" applyAlignment="0" applyProtection="0"/>
    <xf numFmtId="0" fontId="148" fillId="44" borderId="0" applyNumberFormat="0" applyBorder="0" applyAlignment="0" applyProtection="0"/>
    <xf numFmtId="0" fontId="96" fillId="67"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67"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52"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96" fillId="53" borderId="0" applyNumberFormat="0" applyBorder="0" applyAlignment="0" applyProtection="0"/>
    <xf numFmtId="0" fontId="96" fillId="54" borderId="0" applyNumberFormat="0" applyBorder="0" applyAlignment="0" applyProtection="0"/>
    <xf numFmtId="0" fontId="96" fillId="49" borderId="0" applyNumberFormat="0" applyBorder="0" applyAlignment="0" applyProtection="0"/>
    <xf numFmtId="0" fontId="96" fillId="47" borderId="0" applyNumberFormat="0" applyBorder="0" applyAlignment="0" applyProtection="0"/>
    <xf numFmtId="0" fontId="96" fillId="47" borderId="0" applyNumberFormat="0" applyBorder="0" applyAlignment="0" applyProtection="0"/>
    <xf numFmtId="0" fontId="96" fillId="52"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96" fillId="55" borderId="0" applyNumberFormat="0" applyBorder="0" applyAlignment="0" applyProtection="0"/>
    <xf numFmtId="0" fontId="96" fillId="67" borderId="0" applyNumberFormat="0" applyBorder="0" applyAlignment="0" applyProtection="0"/>
    <xf numFmtId="0" fontId="96" fillId="67" borderId="0" applyNumberFormat="0" applyBorder="0" applyAlignment="0" applyProtection="0"/>
    <xf numFmtId="0" fontId="96" fillId="64" borderId="0" applyNumberFormat="0" applyBorder="0" applyAlignment="0" applyProtection="0"/>
    <xf numFmtId="0" fontId="96" fillId="64" borderId="0" applyNumberFormat="0" applyBorder="0" applyAlignment="0" applyProtection="0"/>
    <xf numFmtId="0" fontId="96" fillId="50" borderId="0" applyNumberFormat="0" applyBorder="0" applyAlignment="0" applyProtection="0"/>
    <xf numFmtId="0" fontId="96" fillId="53" borderId="0" applyNumberFormat="0" applyBorder="0" applyAlignment="0" applyProtection="0"/>
    <xf numFmtId="0" fontId="96" fillId="53" borderId="0" applyNumberFormat="0" applyBorder="0" applyAlignment="0" applyProtection="0"/>
    <xf numFmtId="0" fontId="96" fillId="66" borderId="0" applyNumberFormat="0" applyBorder="0" applyAlignment="0" applyProtection="0"/>
    <xf numFmtId="0" fontId="96" fillId="66" borderId="0" applyNumberFormat="0" applyBorder="0" applyAlignment="0" applyProtection="0"/>
    <xf numFmtId="0" fontId="96" fillId="64" borderId="0" applyNumberFormat="0" applyBorder="0" applyAlignment="0" applyProtection="0"/>
    <xf numFmtId="0" fontId="96" fillId="64" borderId="0" applyNumberFormat="0" applyBorder="0" applyAlignment="0" applyProtection="0"/>
    <xf numFmtId="0" fontId="96" fillId="47"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96" fillId="50"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96" fillId="67" borderId="0" applyNumberFormat="0" applyBorder="0" applyAlignment="0" applyProtection="0"/>
    <xf numFmtId="0" fontId="78" fillId="56" borderId="0" applyNumberFormat="0" applyBorder="0" applyAlignment="0" applyProtection="0"/>
    <xf numFmtId="0" fontId="149" fillId="25" borderId="0" applyNumberFormat="0" applyBorder="0" applyAlignment="0" applyProtection="0"/>
    <xf numFmtId="0" fontId="78" fillId="50" borderId="0" applyNumberFormat="0" applyBorder="0" applyAlignment="0" applyProtection="0"/>
    <xf numFmtId="0" fontId="72" fillId="25" borderId="0" applyNumberFormat="0" applyBorder="0" applyAlignment="0" applyProtection="0"/>
    <xf numFmtId="0" fontId="78" fillId="50" borderId="0" applyNumberFormat="0" applyBorder="0" applyAlignment="0" applyProtection="0"/>
    <xf numFmtId="0" fontId="78" fillId="53" borderId="0" applyNumberFormat="0" applyBorder="0" applyAlignment="0" applyProtection="0"/>
    <xf numFmtId="0" fontId="149" fillId="29" borderId="0" applyNumberFormat="0" applyBorder="0" applyAlignment="0" applyProtection="0"/>
    <xf numFmtId="0" fontId="78" fillId="63" borderId="0" applyNumberFormat="0" applyBorder="0" applyAlignment="0" applyProtection="0"/>
    <xf numFmtId="0" fontId="72" fillId="29" borderId="0" applyNumberFormat="0" applyBorder="0" applyAlignment="0" applyProtection="0"/>
    <xf numFmtId="0" fontId="78" fillId="63" borderId="0" applyNumberFormat="0" applyBorder="0" applyAlignment="0" applyProtection="0"/>
    <xf numFmtId="0" fontId="72" fillId="33" borderId="0" applyNumberFormat="0" applyBorder="0" applyAlignment="0" applyProtection="0"/>
    <xf numFmtId="0" fontId="78" fillId="54" borderId="0" applyNumberFormat="0" applyBorder="0" applyAlignment="0" applyProtection="0"/>
    <xf numFmtId="0" fontId="149" fillId="33" borderId="0" applyNumberFormat="0" applyBorder="0" applyAlignment="0" applyProtection="0"/>
    <xf numFmtId="0" fontId="78" fillId="55" borderId="0" applyNumberFormat="0" applyBorder="0" applyAlignment="0" applyProtection="0"/>
    <xf numFmtId="0" fontId="72" fillId="33" borderId="0" applyNumberFormat="0" applyBorder="0" applyAlignment="0" applyProtection="0"/>
    <xf numFmtId="0" fontId="78" fillId="55" borderId="0" applyNumberFormat="0" applyBorder="0" applyAlignment="0" applyProtection="0"/>
    <xf numFmtId="0" fontId="72" fillId="37" borderId="0" applyNumberFormat="0" applyBorder="0" applyAlignment="0" applyProtection="0"/>
    <xf numFmtId="0" fontId="78" fillId="57" borderId="0" applyNumberFormat="0" applyBorder="0" applyAlignment="0" applyProtection="0"/>
    <xf numFmtId="0" fontId="149" fillId="37" borderId="0" applyNumberFormat="0" applyBorder="0" applyAlignment="0" applyProtection="0"/>
    <xf numFmtId="0" fontId="78" fillId="47" borderId="0" applyNumberFormat="0" applyBorder="0" applyAlignment="0" applyProtection="0"/>
    <xf numFmtId="0" fontId="72" fillId="37" borderId="0" applyNumberFormat="0" applyBorder="0" applyAlignment="0" applyProtection="0"/>
    <xf numFmtId="0" fontId="78" fillId="47" borderId="0" applyNumberFormat="0" applyBorder="0" applyAlignment="0" applyProtection="0"/>
    <xf numFmtId="0" fontId="78" fillId="58" borderId="0" applyNumberFormat="0" applyBorder="0" applyAlignment="0" applyProtection="0"/>
    <xf numFmtId="0" fontId="149" fillId="41" borderId="0" applyNumberFormat="0" applyBorder="0" applyAlignment="0" applyProtection="0"/>
    <xf numFmtId="0" fontId="78" fillId="50" borderId="0" applyNumberFormat="0" applyBorder="0" applyAlignment="0" applyProtection="0"/>
    <xf numFmtId="0" fontId="72" fillId="41" borderId="0" applyNumberFormat="0" applyBorder="0" applyAlignment="0" applyProtection="0"/>
    <xf numFmtId="0" fontId="78" fillId="50" borderId="0" applyNumberFormat="0" applyBorder="0" applyAlignment="0" applyProtection="0"/>
    <xf numFmtId="0" fontId="72" fillId="45" borderId="0" applyNumberFormat="0" applyBorder="0" applyAlignment="0" applyProtection="0"/>
    <xf numFmtId="0" fontId="78" fillId="59" borderId="0" applyNumberFormat="0" applyBorder="0" applyAlignment="0" applyProtection="0"/>
    <xf numFmtId="0" fontId="149" fillId="45" borderId="0" applyNumberFormat="0" applyBorder="0" applyAlignment="0" applyProtection="0"/>
    <xf numFmtId="0" fontId="78" fillId="53" borderId="0" applyNumberFormat="0" applyBorder="0" applyAlignment="0" applyProtection="0"/>
    <xf numFmtId="0" fontId="72" fillId="45" borderId="0" applyNumberFormat="0" applyBorder="0" applyAlignment="0" applyProtection="0"/>
    <xf numFmtId="0" fontId="78" fillId="53" borderId="0" applyNumberFormat="0" applyBorder="0" applyAlignment="0" applyProtection="0"/>
    <xf numFmtId="0" fontId="78" fillId="56" borderId="0" applyNumberFormat="0" applyBorder="0" applyAlignment="0" applyProtection="0"/>
    <xf numFmtId="0" fontId="78" fillId="58" borderId="0" applyNumberFormat="0" applyBorder="0" applyAlignment="0" applyProtection="0"/>
    <xf numFmtId="0" fontId="78" fillId="50" borderId="0" applyNumberFormat="0" applyBorder="0" applyAlignment="0" applyProtection="0"/>
    <xf numFmtId="0" fontId="78" fillId="50" borderId="0" applyNumberFormat="0" applyBorder="0" applyAlignment="0" applyProtection="0"/>
    <xf numFmtId="0" fontId="78" fillId="50" borderId="0" applyNumberFormat="0" applyBorder="0" applyAlignment="0" applyProtection="0"/>
    <xf numFmtId="0" fontId="78" fillId="53" borderId="0" applyNumberFormat="0" applyBorder="0" applyAlignment="0" applyProtection="0"/>
    <xf numFmtId="0" fontId="78" fillId="53" borderId="0" applyNumberFormat="0" applyBorder="0" applyAlignment="0" applyProtection="0"/>
    <xf numFmtId="0" fontId="78" fillId="63" borderId="0" applyNumberFormat="0" applyBorder="0" applyAlignment="0" applyProtection="0"/>
    <xf numFmtId="0" fontId="78" fillId="63" borderId="0" applyNumberFormat="0" applyBorder="0" applyAlignment="0" applyProtection="0"/>
    <xf numFmtId="0" fontId="78" fillId="63" borderId="0" applyNumberFormat="0" applyBorder="0" applyAlignment="0" applyProtection="0"/>
    <xf numFmtId="0" fontId="78" fillId="54" borderId="0" applyNumberFormat="0" applyBorder="0" applyAlignment="0" applyProtection="0"/>
    <xf numFmtId="0" fontId="78" fillId="66" borderId="0" applyNumberFormat="0" applyBorder="0" applyAlignment="0" applyProtection="0"/>
    <xf numFmtId="0" fontId="78" fillId="55" borderId="0" applyNumberFormat="0" applyBorder="0" applyAlignment="0" applyProtection="0"/>
    <xf numFmtId="0" fontId="78" fillId="57" borderId="0" applyNumberFormat="0" applyBorder="0" applyAlignment="0" applyProtection="0"/>
    <xf numFmtId="0" fontId="78" fillId="64" borderId="0" applyNumberFormat="0" applyBorder="0" applyAlignment="0" applyProtection="0"/>
    <xf numFmtId="0" fontId="78" fillId="47"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78" fillId="50" borderId="0" applyNumberFormat="0" applyBorder="0" applyAlignment="0" applyProtection="0"/>
    <xf numFmtId="0" fontId="78" fillId="50" borderId="0" applyNumberFormat="0" applyBorder="0" applyAlignment="0" applyProtection="0"/>
    <xf numFmtId="0" fontId="78" fillId="50" borderId="0" applyNumberFormat="0" applyBorder="0" applyAlignment="0" applyProtection="0"/>
    <xf numFmtId="0" fontId="78" fillId="59" borderId="0" applyNumberFormat="0" applyBorder="0" applyAlignment="0" applyProtection="0"/>
    <xf numFmtId="0" fontId="78" fillId="58" borderId="0" applyNumberFormat="0" applyBorder="0" applyAlignment="0" applyProtection="0"/>
    <xf numFmtId="0" fontId="78" fillId="50" borderId="0" applyNumberFormat="0" applyBorder="0" applyAlignment="0" applyProtection="0"/>
    <xf numFmtId="0" fontId="78" fillId="53" borderId="0" applyNumberFormat="0" applyBorder="0" applyAlignment="0" applyProtection="0"/>
    <xf numFmtId="0" fontId="78" fillId="63" borderId="0" applyNumberFormat="0" applyBorder="0" applyAlignment="0" applyProtection="0"/>
    <xf numFmtId="0" fontId="78" fillId="66" borderId="0" applyNumberFormat="0" applyBorder="0" applyAlignment="0" applyProtection="0"/>
    <xf numFmtId="0" fontId="78" fillId="55" borderId="0" applyNumberFormat="0" applyBorder="0" applyAlignment="0" applyProtection="0"/>
    <xf numFmtId="0" fontId="78" fillId="64" borderId="0" applyNumberFormat="0" applyBorder="0" applyAlignment="0" applyProtection="0"/>
    <xf numFmtId="0" fontId="78" fillId="47" borderId="0" applyNumberFormat="0" applyBorder="0" applyAlignment="0" applyProtection="0"/>
    <xf numFmtId="0" fontId="78" fillId="58" borderId="0" applyNumberFormat="0" applyBorder="0" applyAlignment="0" applyProtection="0"/>
    <xf numFmtId="0" fontId="78" fillId="50" borderId="0" applyNumberFormat="0" applyBorder="0" applyAlignment="0" applyProtection="0"/>
    <xf numFmtId="0" fontId="78" fillId="51" borderId="0" applyNumberFormat="0" applyBorder="0" applyAlignment="0" applyProtection="0"/>
    <xf numFmtId="0" fontId="78" fillId="53" borderId="0" applyNumberFormat="0" applyBorder="0" applyAlignment="0" applyProtection="0"/>
    <xf numFmtId="0" fontId="150" fillId="0" borderId="2" applyBorder="0"/>
    <xf numFmtId="0" fontId="78" fillId="58" borderId="0" applyNumberFormat="0" applyBorder="0" applyAlignment="0" applyProtection="0"/>
    <xf numFmtId="0" fontId="78" fillId="70" borderId="0" applyNumberFormat="0" applyBorder="0" applyAlignment="0" applyProtection="0"/>
    <xf numFmtId="0" fontId="78" fillId="70" borderId="0" applyNumberFormat="0" applyBorder="0" applyAlignment="0" applyProtection="0"/>
    <xf numFmtId="0" fontId="78" fillId="61" borderId="0" applyNumberFormat="0" applyBorder="0" applyAlignment="0" applyProtection="0"/>
    <xf numFmtId="0" fontId="78" fillId="63" borderId="0" applyNumberFormat="0" applyBorder="0" applyAlignment="0" applyProtection="0"/>
    <xf numFmtId="0" fontId="78" fillId="63" borderId="0" applyNumberFormat="0" applyBorder="0" applyAlignment="0" applyProtection="0"/>
    <xf numFmtId="0" fontId="78" fillId="62" borderId="0" applyNumberFormat="0" applyBorder="0" applyAlignment="0" applyProtection="0"/>
    <xf numFmtId="0" fontId="78" fillId="55" borderId="0" applyNumberFormat="0" applyBorder="0" applyAlignment="0" applyProtection="0"/>
    <xf numFmtId="0" fontId="78" fillId="55" borderId="0" applyNumberFormat="0" applyBorder="0" applyAlignment="0" applyProtection="0"/>
    <xf numFmtId="0" fontId="78" fillId="71" borderId="0" applyNumberFormat="0" applyBorder="0" applyAlignment="0" applyProtection="0"/>
    <xf numFmtId="0" fontId="78" fillId="71" borderId="0" applyNumberFormat="0" applyBorder="0" applyAlignment="0" applyProtection="0"/>
    <xf numFmtId="0" fontId="78" fillId="63" borderId="0" applyNumberFormat="0" applyBorder="0" applyAlignment="0" applyProtection="0"/>
    <xf numFmtId="0" fontId="78" fillId="61" borderId="0" applyNumberFormat="0" applyBorder="0" applyAlignment="0" applyProtection="0"/>
    <xf numFmtId="0" fontId="78" fillId="61" borderId="0" applyNumberFormat="0" applyBorder="0" applyAlignment="0" applyProtection="0"/>
    <xf numFmtId="0" fontId="78" fillId="70" borderId="0" applyNumberFormat="0" applyBorder="0" applyAlignment="0" applyProtection="0"/>
    <xf numFmtId="0" fontId="78" fillId="60" borderId="0" applyNumberFormat="0" applyBorder="0" applyAlignment="0" applyProtection="0"/>
    <xf numFmtId="0" fontId="78" fillId="70" borderId="0" applyNumberFormat="0" applyBorder="0" applyAlignment="0" applyProtection="0"/>
    <xf numFmtId="0" fontId="124" fillId="60" borderId="0" applyNumberFormat="0" applyBorder="0" applyAlignment="0" applyProtection="0"/>
    <xf numFmtId="0" fontId="72" fillId="22" borderId="0" applyNumberFormat="0" applyBorder="0" applyAlignment="0" applyProtection="0"/>
    <xf numFmtId="0" fontId="78" fillId="70" borderId="0" applyNumberFormat="0" applyBorder="0" applyAlignment="0" applyProtection="0"/>
    <xf numFmtId="0" fontId="149" fillId="22" borderId="0" applyNumberFormat="0" applyBorder="0" applyAlignment="0" applyProtection="0"/>
    <xf numFmtId="0" fontId="78" fillId="70" borderId="0" applyNumberFormat="0" applyBorder="0" applyAlignment="0" applyProtection="0"/>
    <xf numFmtId="0" fontId="72" fillId="22" borderId="0" applyNumberFormat="0" applyBorder="0" applyAlignment="0" applyProtection="0"/>
    <xf numFmtId="0" fontId="72" fillId="22" borderId="0" applyNumberFormat="0" applyBorder="0" applyAlignment="0" applyProtection="0"/>
    <xf numFmtId="0" fontId="78" fillId="63" borderId="0" applyNumberFormat="0" applyBorder="0" applyAlignment="0" applyProtection="0"/>
    <xf numFmtId="0" fontId="78" fillId="61" borderId="0" applyNumberFormat="0" applyBorder="0" applyAlignment="0" applyProtection="0"/>
    <xf numFmtId="0" fontId="78" fillId="63" borderId="0" applyNumberFormat="0" applyBorder="0" applyAlignment="0" applyProtection="0"/>
    <xf numFmtId="0" fontId="124" fillId="61" borderId="0" applyNumberFormat="0" applyBorder="0" applyAlignment="0" applyProtection="0"/>
    <xf numFmtId="0" fontId="72" fillId="26" borderId="0" applyNumberFormat="0" applyBorder="0" applyAlignment="0" applyProtection="0"/>
    <xf numFmtId="0" fontId="78" fillId="63" borderId="0" applyNumberFormat="0" applyBorder="0" applyAlignment="0" applyProtection="0"/>
    <xf numFmtId="0" fontId="149" fillId="26" borderId="0" applyNumberFormat="0" applyBorder="0" applyAlignment="0" applyProtection="0"/>
    <xf numFmtId="0" fontId="78" fillId="63" borderId="0" applyNumberFormat="0" applyBorder="0" applyAlignment="0" applyProtection="0"/>
    <xf numFmtId="0" fontId="72" fillId="26" borderId="0" applyNumberFormat="0" applyBorder="0" applyAlignment="0" applyProtection="0"/>
    <xf numFmtId="0" fontId="72" fillId="26" borderId="0" applyNumberFormat="0" applyBorder="0" applyAlignment="0" applyProtection="0"/>
    <xf numFmtId="0" fontId="78" fillId="55" borderId="0" applyNumberFormat="0" applyBorder="0" applyAlignment="0" applyProtection="0"/>
    <xf numFmtId="0" fontId="78" fillId="62" borderId="0" applyNumberFormat="0" applyBorder="0" applyAlignment="0" applyProtection="0"/>
    <xf numFmtId="0" fontId="78" fillId="55" borderId="0" applyNumberFormat="0" applyBorder="0" applyAlignment="0" applyProtection="0"/>
    <xf numFmtId="0" fontId="124" fillId="62" borderId="0" applyNumberFormat="0" applyBorder="0" applyAlignment="0" applyProtection="0"/>
    <xf numFmtId="0" fontId="72" fillId="30" borderId="0" applyNumberFormat="0" applyBorder="0" applyAlignment="0" applyProtection="0"/>
    <xf numFmtId="0" fontId="78" fillId="55" borderId="0" applyNumberFormat="0" applyBorder="0" applyAlignment="0" applyProtection="0"/>
    <xf numFmtId="0" fontId="149" fillId="30" borderId="0" applyNumberFormat="0" applyBorder="0" applyAlignment="0" applyProtection="0"/>
    <xf numFmtId="0" fontId="78" fillId="55" borderId="0" applyNumberFormat="0" applyBorder="0" applyAlignment="0" applyProtection="0"/>
    <xf numFmtId="0" fontId="72" fillId="30" borderId="0" applyNumberFormat="0" applyBorder="0" applyAlignment="0" applyProtection="0"/>
    <xf numFmtId="0" fontId="72" fillId="30" borderId="0" applyNumberFormat="0" applyBorder="0" applyAlignment="0" applyProtection="0"/>
    <xf numFmtId="0" fontId="78" fillId="71" borderId="0" applyNumberFormat="0" applyBorder="0" applyAlignment="0" applyProtection="0"/>
    <xf numFmtId="0" fontId="78" fillId="57" borderId="0" applyNumberFormat="0" applyBorder="0" applyAlignment="0" applyProtection="0"/>
    <xf numFmtId="0" fontId="78" fillId="71" borderId="0" applyNumberFormat="0" applyBorder="0" applyAlignment="0" applyProtection="0"/>
    <xf numFmtId="0" fontId="124" fillId="57" borderId="0" applyNumberFormat="0" applyBorder="0" applyAlignment="0" applyProtection="0"/>
    <xf numFmtId="0" fontId="72" fillId="34" borderId="0" applyNumberFormat="0" applyBorder="0" applyAlignment="0" applyProtection="0"/>
    <xf numFmtId="0" fontId="78" fillId="71" borderId="0" applyNumberFormat="0" applyBorder="0" applyAlignment="0" applyProtection="0"/>
    <xf numFmtId="0" fontId="149" fillId="34" borderId="0" applyNumberFormat="0" applyBorder="0" applyAlignment="0" applyProtection="0"/>
    <xf numFmtId="0" fontId="78" fillId="71" borderId="0" applyNumberFormat="0" applyBorder="0" applyAlignment="0" applyProtection="0"/>
    <xf numFmtId="0" fontId="72" fillId="34" borderId="0" applyNumberFormat="0" applyBorder="0" applyAlignment="0" applyProtection="0"/>
    <xf numFmtId="0" fontId="72" fillId="34" borderId="0" applyNumberFormat="0" applyBorder="0" applyAlignment="0" applyProtection="0"/>
    <xf numFmtId="0" fontId="124" fillId="58" borderId="0" applyNumberFormat="0" applyBorder="0" applyAlignment="0" applyProtection="0"/>
    <xf numFmtId="0" fontId="72" fillId="38" borderId="0" applyNumberFormat="0" applyBorder="0" applyAlignment="0" applyProtection="0"/>
    <xf numFmtId="0" fontId="149" fillId="38" borderId="0" applyNumberFormat="0" applyBorder="0" applyAlignment="0" applyProtection="0"/>
    <xf numFmtId="0" fontId="78" fillId="58" borderId="0" applyNumberFormat="0" applyBorder="0" applyAlignment="0" applyProtection="0"/>
    <xf numFmtId="0" fontId="72" fillId="38" borderId="0" applyNumberFormat="0" applyBorder="0" applyAlignment="0" applyProtection="0"/>
    <xf numFmtId="0" fontId="72" fillId="38" borderId="0" applyNumberFormat="0" applyBorder="0" applyAlignment="0" applyProtection="0"/>
    <xf numFmtId="0" fontId="78" fillId="61" borderId="0" applyNumberFormat="0" applyBorder="0" applyAlignment="0" applyProtection="0"/>
    <xf numFmtId="0" fontId="78" fillId="63" borderId="0" applyNumberFormat="0" applyBorder="0" applyAlignment="0" applyProtection="0"/>
    <xf numFmtId="0" fontId="78" fillId="61" borderId="0" applyNumberFormat="0" applyBorder="0" applyAlignment="0" applyProtection="0"/>
    <xf numFmtId="0" fontId="124" fillId="63" borderId="0" applyNumberFormat="0" applyBorder="0" applyAlignment="0" applyProtection="0"/>
    <xf numFmtId="0" fontId="72" fillId="42" borderId="0" applyNumberFormat="0" applyBorder="0" applyAlignment="0" applyProtection="0"/>
    <xf numFmtId="0" fontId="78" fillId="61" borderId="0" applyNumberFormat="0" applyBorder="0" applyAlignment="0" applyProtection="0"/>
    <xf numFmtId="0" fontId="149" fillId="42" borderId="0" applyNumberFormat="0" applyBorder="0" applyAlignment="0" applyProtection="0"/>
    <xf numFmtId="0" fontId="78" fillId="61" borderId="0" applyNumberFormat="0" applyBorder="0" applyAlignment="0" applyProtection="0"/>
    <xf numFmtId="0" fontId="72" fillId="42" borderId="0" applyNumberFormat="0" applyBorder="0" applyAlignment="0" applyProtection="0"/>
    <xf numFmtId="0" fontId="72" fillId="42" borderId="0" applyNumberFormat="0" applyBorder="0" applyAlignment="0" applyProtection="0"/>
    <xf numFmtId="0" fontId="151" fillId="0" borderId="0">
      <alignment horizontal="center" wrapText="1"/>
      <protection locked="0"/>
    </xf>
    <xf numFmtId="0" fontId="151" fillId="0" borderId="0">
      <alignment horizontal="center" wrapText="1"/>
      <protection locked="0"/>
    </xf>
    <xf numFmtId="0" fontId="151" fillId="0" borderId="0">
      <alignment horizontal="center" wrapText="1"/>
      <protection locked="0"/>
    </xf>
    <xf numFmtId="0" fontId="98" fillId="69" borderId="87" applyNumberFormat="0" applyAlignment="0" applyProtection="0"/>
    <xf numFmtId="0" fontId="125" fillId="64" borderId="87" applyNumberFormat="0" applyAlignment="0" applyProtection="0"/>
    <xf numFmtId="0" fontId="65" fillId="19" borderId="82" applyNumberFormat="0" applyAlignment="0" applyProtection="0"/>
    <xf numFmtId="0" fontId="98" fillId="69" borderId="87" applyNumberFormat="0" applyAlignment="0" applyProtection="0"/>
    <xf numFmtId="0" fontId="98" fillId="69" borderId="87" applyNumberFormat="0" applyAlignment="0" applyProtection="0"/>
    <xf numFmtId="0" fontId="152" fillId="19" borderId="82" applyNumberFormat="0" applyAlignment="0" applyProtection="0"/>
    <xf numFmtId="0" fontId="98" fillId="69" borderId="87" applyNumberFormat="0" applyAlignment="0" applyProtection="0"/>
    <xf numFmtId="0" fontId="65" fillId="19" borderId="82" applyNumberFormat="0" applyAlignment="0" applyProtection="0"/>
    <xf numFmtId="0" fontId="88" fillId="47" borderId="0" applyNumberFormat="0" applyBorder="0" applyAlignment="0" applyProtection="0"/>
    <xf numFmtId="0" fontId="88" fillId="49" borderId="0" applyNumberFormat="0" applyBorder="0" applyAlignment="0" applyProtection="0"/>
    <xf numFmtId="0" fontId="88" fillId="49" borderId="0" applyNumberFormat="0" applyBorder="0" applyAlignment="0" applyProtection="0"/>
    <xf numFmtId="0" fontId="153" fillId="69" borderId="88" applyNumberFormat="0" applyAlignment="0" applyProtection="0"/>
    <xf numFmtId="0" fontId="126" fillId="64" borderId="88" applyNumberFormat="0" applyAlignment="0" applyProtection="0"/>
    <xf numFmtId="0" fontId="66" fillId="19" borderId="81" applyNumberFormat="0" applyAlignment="0" applyProtection="0"/>
    <xf numFmtId="0" fontId="153" fillId="69" borderId="88" applyNumberFormat="0" applyAlignment="0" applyProtection="0"/>
    <xf numFmtId="0" fontId="153" fillId="69" borderId="88" applyNumberFormat="0" applyAlignment="0" applyProtection="0"/>
    <xf numFmtId="0" fontId="154" fillId="19" borderId="81" applyNumberFormat="0" applyAlignment="0" applyProtection="0"/>
    <xf numFmtId="0" fontId="153" fillId="69" borderId="88" applyNumberFormat="0" applyAlignment="0" applyProtection="0"/>
    <xf numFmtId="0" fontId="66" fillId="19" borderId="81" applyNumberFormat="0" applyAlignment="0" applyProtection="0"/>
    <xf numFmtId="190" fontId="3" fillId="0" borderId="1" applyBorder="0"/>
    <xf numFmtId="190" fontId="3" fillId="0" borderId="66" applyBorder="0">
      <alignment horizontal="right"/>
    </xf>
    <xf numFmtId="190" fontId="3" fillId="0" borderId="66" applyBorder="0">
      <alignment horizontal="right"/>
    </xf>
    <xf numFmtId="0" fontId="83" fillId="48" borderId="0" applyNumberFormat="0" applyBorder="0" applyAlignment="0" applyProtection="0"/>
    <xf numFmtId="0" fontId="83" fillId="50" borderId="0" applyNumberFormat="0" applyBorder="0" applyAlignment="0" applyProtection="0"/>
    <xf numFmtId="191" fontId="3" fillId="0" borderId="0" applyFill="0" applyBorder="0" applyAlignment="0"/>
    <xf numFmtId="191" fontId="3" fillId="0" borderId="0" applyFill="0" applyBorder="0" applyAlignment="0"/>
    <xf numFmtId="191" fontId="3" fillId="0" borderId="0" applyFill="0" applyBorder="0" applyAlignment="0"/>
    <xf numFmtId="192" fontId="155" fillId="0" borderId="0" applyFill="0" applyBorder="0" applyAlignment="0"/>
    <xf numFmtId="0" fontId="99" fillId="64" borderId="88" applyNumberFormat="0" applyAlignment="0" applyProtection="0"/>
    <xf numFmtId="0" fontId="99" fillId="69" borderId="88" applyNumberFormat="0" applyAlignment="0" applyProtection="0"/>
    <xf numFmtId="0" fontId="153" fillId="69" borderId="88" applyNumberFormat="0" applyAlignment="0" applyProtection="0"/>
    <xf numFmtId="0" fontId="99" fillId="69" borderId="88" applyNumberFormat="0" applyAlignment="0" applyProtection="0"/>
    <xf numFmtId="0" fontId="153" fillId="69" borderId="88" applyNumberFormat="0" applyAlignment="0" applyProtection="0"/>
    <xf numFmtId="0" fontId="153" fillId="69" borderId="88" applyNumberFormat="0" applyAlignment="0" applyProtection="0"/>
    <xf numFmtId="0" fontId="99" fillId="69" borderId="88" applyNumberFormat="0" applyAlignment="0" applyProtection="0"/>
    <xf numFmtId="0" fontId="153" fillId="69" borderId="88" applyNumberFormat="0" applyAlignment="0" applyProtection="0"/>
    <xf numFmtId="0" fontId="156" fillId="0" borderId="0"/>
    <xf numFmtId="0" fontId="95" fillId="65" borderId="89" applyNumberFormat="0" applyAlignment="0" applyProtection="0"/>
    <xf numFmtId="0" fontId="94" fillId="0" borderId="94" applyNumberFormat="0" applyFill="0" applyAlignment="0" applyProtection="0"/>
    <xf numFmtId="0" fontId="104" fillId="0" borderId="96" applyNumberFormat="0" applyFill="0" applyAlignment="0" applyProtection="0"/>
    <xf numFmtId="193" fontId="3" fillId="0" borderId="0" applyFont="0" applyFill="0" applyBorder="0" applyAlignment="0" applyProtection="0"/>
    <xf numFmtId="43" fontId="3" fillId="0" borderId="0" applyFont="0" applyFill="0" applyBorder="0" applyAlignment="0" applyProtection="0"/>
    <xf numFmtId="43" fontId="122" fillId="0" borderId="0" applyFont="0" applyFill="0" applyBorder="0" applyAlignment="0" applyProtection="0"/>
    <xf numFmtId="43" fontId="122" fillId="0" borderId="0" applyFont="0" applyFill="0" applyBorder="0" applyAlignment="0" applyProtection="0"/>
    <xf numFmtId="37" fontId="3" fillId="0" borderId="0" applyFont="0" applyFill="0" applyBorder="0" applyAlignment="0" applyProtection="0">
      <alignment horizontal="right"/>
    </xf>
    <xf numFmtId="37" fontId="3" fillId="0" borderId="0" applyFont="0" applyFill="0" applyBorder="0" applyAlignment="0" applyProtection="0">
      <alignment horizontal="right"/>
    </xf>
    <xf numFmtId="37" fontId="3" fillId="0" borderId="0" applyFont="0" applyFill="0" applyBorder="0" applyAlignment="0" applyProtection="0">
      <alignment horizontal="right"/>
    </xf>
    <xf numFmtId="40" fontId="147" fillId="0" borderId="0" applyFont="0" applyFill="0" applyBorder="0" applyAlignment="0" applyProtection="0"/>
    <xf numFmtId="40" fontId="147" fillId="0" borderId="0" applyFont="0" applyFill="0" applyBorder="0" applyAlignment="0" applyProtection="0"/>
    <xf numFmtId="40" fontId="147" fillId="0" borderId="0" applyFont="0" applyFill="0" applyBorder="0" applyAlignment="0" applyProtection="0"/>
    <xf numFmtId="0" fontId="157" fillId="0" borderId="0" applyNumberFormat="0" applyAlignment="0">
      <alignment horizontal="left"/>
    </xf>
    <xf numFmtId="0" fontId="157" fillId="0" borderId="0" applyNumberFormat="0" applyAlignment="0">
      <alignment horizontal="left"/>
    </xf>
    <xf numFmtId="0" fontId="157" fillId="0" borderId="0" applyNumberFormat="0" applyAlignment="0">
      <alignment horizontal="left"/>
    </xf>
    <xf numFmtId="0" fontId="155" fillId="0" borderId="0" applyNumberFormat="0" applyAlignment="0"/>
    <xf numFmtId="0" fontId="155" fillId="0" borderId="0" applyNumberFormat="0" applyAlignment="0"/>
    <xf numFmtId="0" fontId="155" fillId="0" borderId="0" applyNumberFormat="0" applyAlignment="0"/>
    <xf numFmtId="194" fontId="158" fillId="0" borderId="0">
      <alignment horizontal="center"/>
    </xf>
    <xf numFmtId="194" fontId="158" fillId="0" borderId="0">
      <alignment horizontal="center"/>
    </xf>
    <xf numFmtId="194" fontId="158" fillId="0" borderId="0">
      <alignment horizontal="center"/>
    </xf>
    <xf numFmtId="192" fontId="155" fillId="0" borderId="0" applyFont="0" applyFill="0" applyBorder="0" applyAlignment="0" applyProtection="0"/>
    <xf numFmtId="195" fontId="3" fillId="0" borderId="0" applyFont="0" applyFill="0" applyBorder="0" applyAlignment="0" applyProtection="0"/>
    <xf numFmtId="196" fontId="3" fillId="0" borderId="0" applyFont="0" applyFill="0" applyBorder="0" applyAlignment="0" applyProtection="0"/>
    <xf numFmtId="196" fontId="3" fillId="0" borderId="0" applyFont="0" applyFill="0" applyBorder="0" applyAlignment="0" applyProtection="0"/>
    <xf numFmtId="196" fontId="3" fillId="0" borderId="0" applyFont="0" applyFill="0" applyBorder="0" applyAlignment="0" applyProtection="0"/>
    <xf numFmtId="197" fontId="3" fillId="68" borderId="0" applyFont="0" applyBorder="0"/>
    <xf numFmtId="184" fontId="147" fillId="0" borderId="0" applyFont="0" applyFill="0" applyBorder="0" applyProtection="0">
      <alignment horizontal="centerContinuous"/>
    </xf>
    <xf numFmtId="184" fontId="147" fillId="0" borderId="0" applyFont="0" applyFill="0" applyBorder="0" applyProtection="0">
      <alignment horizontal="centerContinuous"/>
    </xf>
    <xf numFmtId="184" fontId="147" fillId="0" borderId="0" applyFont="0" applyFill="0" applyBorder="0" applyProtection="0">
      <alignment horizontal="centerContinuous"/>
    </xf>
    <xf numFmtId="14" fontId="13" fillId="0" borderId="0" applyFill="0" applyBorder="0" applyAlignment="0"/>
    <xf numFmtId="198" fontId="147" fillId="0" borderId="0" applyFont="0" applyFill="0" applyBorder="0" applyProtection="0">
      <alignment horizontal="centerContinuous"/>
    </xf>
    <xf numFmtId="199" fontId="147" fillId="0" borderId="0" applyFont="0" applyFill="0" applyBorder="0" applyAlignment="0" applyProtection="0"/>
    <xf numFmtId="200" fontId="3" fillId="0" borderId="0" applyFont="0" applyFill="0" applyBorder="0" applyAlignment="0" applyProtection="0"/>
    <xf numFmtId="201" fontId="3" fillId="0" borderId="0" applyFont="0" applyFill="0" applyBorder="0" applyAlignment="0" applyProtection="0"/>
    <xf numFmtId="202" fontId="147" fillId="0" borderId="0"/>
    <xf numFmtId="203" fontId="3" fillId="0" borderId="0" applyFont="0" applyFill="0" applyBorder="0" applyAlignment="0" applyProtection="0"/>
    <xf numFmtId="204" fontId="3" fillId="0" borderId="0" applyFont="0" applyFill="0" applyBorder="0" applyAlignment="0" applyProtection="0"/>
    <xf numFmtId="205" fontId="3" fillId="0" borderId="0" applyFont="0" applyFill="0" applyBorder="0" applyAlignment="0" applyProtection="0"/>
    <xf numFmtId="0" fontId="159" fillId="0" borderId="0" applyNumberFormat="0" applyFill="0" applyBorder="0" applyProtection="0">
      <alignment horizontal="left"/>
    </xf>
    <xf numFmtId="0" fontId="100" fillId="66" borderId="88" applyNumberFormat="0" applyAlignment="0" applyProtection="0"/>
    <xf numFmtId="0" fontId="29" fillId="51" borderId="88" applyNumberFormat="0" applyAlignment="0" applyProtection="0"/>
    <xf numFmtId="0" fontId="64" fillId="18" borderId="81" applyNumberFormat="0" applyAlignment="0" applyProtection="0"/>
    <xf numFmtId="0" fontId="100" fillId="66" borderId="88" applyNumberFormat="0" applyAlignment="0" applyProtection="0"/>
    <xf numFmtId="0" fontId="100" fillId="66" borderId="88" applyNumberFormat="0" applyAlignment="0" applyProtection="0"/>
    <xf numFmtId="0" fontId="160" fillId="18" borderId="81" applyNumberFormat="0" applyAlignment="0" applyProtection="0"/>
    <xf numFmtId="0" fontId="100" fillId="66" borderId="88" applyNumberFormat="0" applyAlignment="0" applyProtection="0"/>
    <xf numFmtId="0" fontId="64" fillId="18" borderId="81" applyNumberFormat="0" applyAlignment="0" applyProtection="0"/>
    <xf numFmtId="0" fontId="161" fillId="0" borderId="0" applyNumberFormat="0" applyFill="0" applyBorder="0" applyAlignment="0" applyProtection="0"/>
    <xf numFmtId="0" fontId="78" fillId="58" borderId="0" applyNumberFormat="0" applyBorder="0" applyAlignment="0" applyProtection="0"/>
    <xf numFmtId="0" fontId="78" fillId="70" borderId="0" applyNumberFormat="0" applyBorder="0" applyAlignment="0" applyProtection="0"/>
    <xf numFmtId="0" fontId="78" fillId="61" borderId="0" applyNumberFormat="0" applyBorder="0" applyAlignment="0" applyProtection="0"/>
    <xf numFmtId="0" fontId="78" fillId="63" borderId="0" applyNumberFormat="0" applyBorder="0" applyAlignment="0" applyProtection="0"/>
    <xf numFmtId="0" fontId="78" fillId="62" borderId="0" applyNumberFormat="0" applyBorder="0" applyAlignment="0" applyProtection="0"/>
    <xf numFmtId="0" fontId="78" fillId="55" borderId="0" applyNumberFormat="0" applyBorder="0" applyAlignment="0" applyProtection="0"/>
    <xf numFmtId="0" fontId="78" fillId="71" borderId="0" applyNumberFormat="0" applyBorder="0" applyAlignment="0" applyProtection="0"/>
    <xf numFmtId="0" fontId="78" fillId="58" borderId="0" applyNumberFormat="0" applyBorder="0" applyAlignment="0" applyProtection="0"/>
    <xf numFmtId="0" fontId="78" fillId="63" borderId="0" applyNumberFormat="0" applyBorder="0" applyAlignment="0" applyProtection="0"/>
    <xf numFmtId="0" fontId="78" fillId="61" borderId="0" applyNumberFormat="0" applyBorder="0" applyAlignment="0" applyProtection="0"/>
    <xf numFmtId="193" fontId="3" fillId="0" borderId="0" applyFill="0" applyBorder="0" applyAlignment="0"/>
    <xf numFmtId="192" fontId="155" fillId="0" borderId="0" applyFill="0" applyBorder="0" applyAlignment="0"/>
    <xf numFmtId="193" fontId="3" fillId="0" borderId="0" applyFill="0" applyBorder="0" applyAlignment="0"/>
    <xf numFmtId="206" fontId="155" fillId="0" borderId="0" applyFill="0" applyBorder="0" applyAlignment="0"/>
    <xf numFmtId="192" fontId="155" fillId="0" borderId="0" applyFill="0" applyBorder="0" applyAlignment="0"/>
    <xf numFmtId="0" fontId="162" fillId="0" borderId="0" applyNumberFormat="0" applyAlignment="0">
      <alignment horizontal="left"/>
    </xf>
    <xf numFmtId="0" fontId="162" fillId="0" borderId="0" applyNumberFormat="0" applyAlignment="0">
      <alignment horizontal="left"/>
    </xf>
    <xf numFmtId="0" fontId="162" fillId="0" borderId="0" applyNumberFormat="0" applyAlignment="0">
      <alignment horizontal="left"/>
    </xf>
    <xf numFmtId="0" fontId="100" fillId="51" borderId="88" applyNumberFormat="0" applyAlignment="0" applyProtection="0"/>
    <xf numFmtId="0" fontId="100" fillId="66" borderId="88" applyNumberFormat="0" applyAlignment="0" applyProtection="0"/>
    <xf numFmtId="0" fontId="101" fillId="0" borderId="97" applyNumberFormat="0" applyFill="0" applyAlignment="0" applyProtection="0"/>
    <xf numFmtId="0" fontId="97" fillId="0" borderId="90" applyNumberFormat="0" applyFill="0" applyAlignment="0" applyProtection="0"/>
    <xf numFmtId="0" fontId="71" fillId="0" borderId="86" applyNumberFormat="0" applyFill="0" applyAlignment="0" applyProtection="0"/>
    <xf numFmtId="0" fontId="101" fillId="0" borderId="97" applyNumberFormat="0" applyFill="0" applyAlignment="0" applyProtection="0"/>
    <xf numFmtId="0" fontId="101" fillId="0" borderId="97" applyNumberFormat="0" applyFill="0" applyAlignment="0" applyProtection="0"/>
    <xf numFmtId="0" fontId="163" fillId="0" borderId="86" applyNumberFormat="0" applyFill="0" applyAlignment="0" applyProtection="0"/>
    <xf numFmtId="0" fontId="101" fillId="0" borderId="97" applyNumberFormat="0" applyFill="0" applyAlignment="0" applyProtection="0"/>
    <xf numFmtId="0" fontId="71" fillId="0" borderId="86" applyNumberFormat="0" applyFill="0" applyAlignment="0" applyProtection="0"/>
    <xf numFmtId="0" fontId="70" fillId="0" borderId="0" applyNumberFormat="0" applyFill="0" applyBorder="0" applyAlignment="0" applyProtection="0"/>
    <xf numFmtId="0" fontId="102" fillId="0" borderId="0" applyNumberFormat="0" applyFill="0" applyBorder="0" applyAlignment="0" applyProtection="0"/>
    <xf numFmtId="0" fontId="164" fillId="0" borderId="0" applyNumberFormat="0" applyFill="0" applyBorder="0" applyAlignment="0" applyProtection="0"/>
    <xf numFmtId="0" fontId="102" fillId="0" borderId="0" applyNumberFormat="0" applyFill="0" applyBorder="0" applyAlignment="0" applyProtection="0"/>
    <xf numFmtId="0" fontId="70" fillId="0" borderId="0" applyNumberForma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65" fillId="0" borderId="0" applyNumberFormat="0" applyFill="0" applyBorder="0" applyProtection="0">
      <alignment horizontal="right"/>
    </xf>
    <xf numFmtId="207" fontId="3" fillId="0" borderId="0" applyFont="0" applyFill="0" applyBorder="0" applyAlignment="0" applyProtection="0"/>
    <xf numFmtId="208" fontId="3" fillId="0" borderId="0" applyFont="0" applyFill="0" applyBorder="0" applyAlignment="0" applyProtection="0"/>
    <xf numFmtId="208" fontId="3" fillId="0" borderId="0" applyFont="0" applyFill="0" applyBorder="0" applyAlignment="0" applyProtection="0"/>
    <xf numFmtId="208" fontId="3" fillId="0" borderId="0" applyFont="0" applyFill="0" applyBorder="0" applyAlignment="0" applyProtection="0"/>
    <xf numFmtId="208" fontId="3" fillId="0" borderId="0" applyFont="0" applyFill="0" applyBorder="0" applyAlignment="0" applyProtection="0"/>
    <xf numFmtId="208" fontId="3" fillId="0" borderId="0" applyFont="0" applyFill="0" applyBorder="0" applyAlignment="0" applyProtection="0"/>
    <xf numFmtId="209" fontId="3" fillId="0" borderId="0" applyFill="0" applyBorder="0" applyAlignment="0" applyProtection="0"/>
    <xf numFmtId="210" fontId="3" fillId="0" borderId="0" applyFont="0" applyFill="0" applyBorder="0" applyAlignment="0" applyProtection="0"/>
    <xf numFmtId="209" fontId="3" fillId="0" borderId="0" applyFill="0" applyBorder="0" applyAlignment="0" applyProtection="0"/>
    <xf numFmtId="208" fontId="3" fillId="0" borderId="0" applyFont="0" applyFill="0" applyBorder="0" applyAlignment="0" applyProtection="0"/>
    <xf numFmtId="209" fontId="3" fillId="0" borderId="0" applyFill="0" applyBorder="0" applyAlignment="0" applyProtection="0"/>
    <xf numFmtId="0" fontId="102" fillId="0" borderId="0" applyNumberFormat="0" applyFill="0" applyBorder="0" applyAlignment="0" applyProtection="0"/>
    <xf numFmtId="0" fontId="3" fillId="0" borderId="7" applyFont="0" applyBorder="0" applyAlignment="0"/>
    <xf numFmtId="0" fontId="3" fillId="0" borderId="7" applyFont="0" applyBorder="0" applyAlignment="0"/>
    <xf numFmtId="0" fontId="166" fillId="0" borderId="0" applyNumberFormat="0" applyFill="0" applyBorder="0" applyProtection="0">
      <alignment horizontal="right"/>
    </xf>
    <xf numFmtId="9" fontId="167" fillId="0" borderId="0" applyFont="0" applyFill="0" applyBorder="0" applyAlignment="0" applyProtection="0"/>
    <xf numFmtId="0" fontId="83" fillId="48" borderId="0" applyNumberFormat="0" applyBorder="0" applyAlignment="0" applyProtection="0"/>
    <xf numFmtId="0" fontId="83" fillId="50" borderId="0" applyNumberFormat="0" applyBorder="0" applyAlignment="0" applyProtection="0"/>
    <xf numFmtId="0" fontId="83" fillId="50" borderId="0" applyNumberFormat="0" applyBorder="0" applyAlignment="0" applyProtection="0"/>
    <xf numFmtId="211" fontId="13" fillId="0" borderId="98"/>
    <xf numFmtId="38" fontId="9" fillId="3" borderId="0" applyNumberFormat="0" applyBorder="0" applyAlignment="0" applyProtection="0"/>
    <xf numFmtId="38" fontId="9" fillId="3" borderId="0" applyNumberFormat="0" applyBorder="0" applyAlignment="0" applyProtection="0"/>
    <xf numFmtId="38" fontId="9" fillId="3" borderId="0" applyNumberFormat="0" applyBorder="0" applyAlignment="0" applyProtection="0"/>
    <xf numFmtId="0" fontId="83" fillId="50" borderId="0" applyNumberFormat="0" applyBorder="0" applyAlignment="0" applyProtection="0"/>
    <xf numFmtId="0" fontId="83" fillId="48" borderId="0" applyNumberFormat="0" applyBorder="0" applyAlignment="0" applyProtection="0"/>
    <xf numFmtId="0" fontId="83" fillId="50" borderId="0" applyNumberFormat="0" applyBorder="0" applyAlignment="0" applyProtection="0"/>
    <xf numFmtId="0" fontId="168" fillId="48" borderId="0" applyNumberFormat="0" applyBorder="0" applyAlignment="0" applyProtection="0"/>
    <xf numFmtId="0" fontId="169" fillId="15" borderId="0" applyNumberFormat="0" applyBorder="0" applyAlignment="0" applyProtection="0"/>
    <xf numFmtId="0" fontId="61" fillId="15" borderId="0" applyNumberFormat="0" applyBorder="0" applyAlignment="0" applyProtection="0"/>
    <xf numFmtId="0" fontId="83" fillId="50" borderId="0" applyNumberFormat="0" applyBorder="0" applyAlignment="0" applyProtection="0"/>
    <xf numFmtId="0" fontId="83" fillId="48" borderId="0" applyNumberFormat="0" applyBorder="0" applyAlignment="0" applyProtection="0"/>
    <xf numFmtId="0" fontId="61" fillId="15" borderId="0" applyNumberFormat="0" applyBorder="0" applyAlignment="0" applyProtection="0"/>
    <xf numFmtId="0" fontId="83" fillId="50" borderId="0" applyNumberFormat="0" applyBorder="0" applyAlignment="0" applyProtection="0"/>
    <xf numFmtId="0" fontId="61" fillId="15" borderId="0" applyNumberFormat="0" applyBorder="0" applyAlignment="0" applyProtection="0"/>
    <xf numFmtId="0" fontId="170" fillId="0" borderId="0">
      <alignment horizontal="left"/>
    </xf>
    <xf numFmtId="0" fontId="4" fillId="0" borderId="66" applyNumberFormat="0" applyAlignment="0" applyProtection="0">
      <alignment horizontal="left" vertical="center"/>
    </xf>
    <xf numFmtId="0" fontId="4" fillId="0" borderId="6">
      <alignment horizontal="left" vertical="center"/>
    </xf>
    <xf numFmtId="0" fontId="171" fillId="0" borderId="99" applyNumberFormat="0" applyFill="0" applyAlignment="0" applyProtection="0"/>
    <xf numFmtId="0" fontId="171" fillId="0" borderId="100" applyNumberFormat="0" applyFill="0" applyAlignment="0" applyProtection="0"/>
    <xf numFmtId="0" fontId="171" fillId="0" borderId="100" applyNumberFormat="0" applyFill="0" applyAlignment="0" applyProtection="0"/>
    <xf numFmtId="0" fontId="172" fillId="0" borderId="92" applyNumberFormat="0" applyFill="0" applyAlignment="0" applyProtection="0"/>
    <xf numFmtId="0" fontId="172" fillId="0" borderId="101" applyNumberFormat="0" applyFill="0" applyAlignment="0" applyProtection="0"/>
    <xf numFmtId="0" fontId="172" fillId="0" borderId="101" applyNumberFormat="0" applyFill="0" applyAlignment="0" applyProtection="0"/>
    <xf numFmtId="0" fontId="161" fillId="0" borderId="102" applyNumberFormat="0" applyFill="0" applyAlignment="0" applyProtection="0"/>
    <xf numFmtId="0" fontId="161" fillId="0" borderId="103" applyNumberFormat="0" applyFill="0" applyAlignment="0" applyProtection="0"/>
    <xf numFmtId="0" fontId="161" fillId="0" borderId="103" applyNumberFormat="0" applyFill="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73" fillId="0" borderId="36">
      <alignment horizontal="center"/>
    </xf>
    <xf numFmtId="0" fontId="173" fillId="0" borderId="36">
      <alignment horizontal="center"/>
    </xf>
    <xf numFmtId="0" fontId="173" fillId="0" borderId="36">
      <alignment horizontal="center"/>
    </xf>
    <xf numFmtId="0" fontId="173" fillId="0" borderId="0">
      <alignment horizontal="center"/>
    </xf>
    <xf numFmtId="0" fontId="173" fillId="0" borderId="0">
      <alignment horizontal="center"/>
    </xf>
    <xf numFmtId="0" fontId="173" fillId="0" borderId="0">
      <alignment horizontal="center"/>
    </xf>
    <xf numFmtId="0" fontId="123"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42" fillId="0" borderId="0" applyNumberFormat="0" applyFill="0" applyBorder="0" applyAlignment="0" applyProtection="0"/>
    <xf numFmtId="0" fontId="174" fillId="0" borderId="0" applyNumberFormat="0" applyFill="0" applyBorder="0" applyAlignment="0" applyProtection="0"/>
    <xf numFmtId="0" fontId="88" fillId="47" borderId="0" applyNumberFormat="0" applyBorder="0" applyAlignment="0" applyProtection="0"/>
    <xf numFmtId="0" fontId="88" fillId="49" borderId="0" applyNumberFormat="0" applyBorder="0" applyAlignment="0" applyProtection="0"/>
    <xf numFmtId="0" fontId="100" fillId="51" borderId="88" applyNumberFormat="0" applyAlignment="0" applyProtection="0"/>
    <xf numFmtId="10" fontId="9" fillId="3" borderId="18" applyNumberFormat="0" applyBorder="0" applyAlignment="0" applyProtection="0"/>
    <xf numFmtId="10" fontId="9" fillId="3" borderId="18" applyNumberFormat="0" applyBorder="0" applyAlignment="0" applyProtection="0"/>
    <xf numFmtId="10" fontId="9" fillId="3" borderId="18" applyNumberFormat="0" applyBorder="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201" fontId="150" fillId="72" borderId="0"/>
    <xf numFmtId="0" fontId="175" fillId="0" borderId="0" applyNumberFormat="0" applyFill="0" applyBorder="0" applyProtection="0">
      <alignment horizontal="left"/>
    </xf>
    <xf numFmtId="0" fontId="176" fillId="0" borderId="0" applyNumberFormat="0" applyFont="0" applyBorder="0" applyAlignment="0"/>
    <xf numFmtId="0" fontId="3" fillId="0" borderId="0" applyNumberFormat="0" applyBorder="0" applyAlignment="0"/>
    <xf numFmtId="0" fontId="3" fillId="0" borderId="0" applyNumberFormat="0" applyBorder="0" applyAlignment="0"/>
    <xf numFmtId="0" fontId="3" fillId="0" borderId="0" applyNumberFormat="0" applyBorder="0" applyAlignment="0"/>
    <xf numFmtId="0" fontId="3" fillId="0" borderId="0" applyNumberFormat="0" applyBorder="0" applyAlignment="0"/>
    <xf numFmtId="0" fontId="3" fillId="0" borderId="0" applyNumberFormat="0" applyBorder="0" applyAlignment="0"/>
    <xf numFmtId="43" fontId="3" fillId="0" borderId="0" applyFill="0" applyBorder="0" applyAlignment="0" applyProtection="0"/>
    <xf numFmtId="43" fontId="3" fillId="0" borderId="0" applyFill="0" applyBorder="0" applyAlignment="0" applyProtection="0"/>
    <xf numFmtId="43" fontId="3" fillId="0" borderId="0" applyFill="0" applyBorder="0" applyAlignment="0" applyProtection="0"/>
    <xf numFmtId="43" fontId="3" fillId="0" borderId="0" applyFont="0" applyFill="0" applyBorder="0" applyAlignment="0" applyProtection="0"/>
    <xf numFmtId="193" fontId="3" fillId="0" borderId="0" applyFill="0" applyBorder="0" applyAlignment="0"/>
    <xf numFmtId="192" fontId="155" fillId="0" borderId="0" applyFill="0" applyBorder="0" applyAlignment="0"/>
    <xf numFmtId="193" fontId="3" fillId="0" borderId="0" applyFill="0" applyBorder="0" applyAlignment="0"/>
    <xf numFmtId="206" fontId="155" fillId="0" borderId="0" applyFill="0" applyBorder="0" applyAlignment="0"/>
    <xf numFmtId="192" fontId="155" fillId="0" borderId="0" applyFill="0" applyBorder="0" applyAlignment="0"/>
    <xf numFmtId="0" fontId="94" fillId="0" borderId="94" applyNumberFormat="0" applyFill="0" applyAlignment="0" applyProtection="0"/>
    <xf numFmtId="0" fontId="104" fillId="0" borderId="96" applyNumberFormat="0" applyFill="0" applyAlignment="0" applyProtection="0"/>
    <xf numFmtId="0" fontId="104" fillId="0" borderId="96" applyNumberFormat="0" applyFill="0" applyAlignment="0" applyProtection="0"/>
    <xf numFmtId="201" fontId="177" fillId="73" borderId="0"/>
    <xf numFmtId="41" fontId="178" fillId="0" borderId="0" applyFont="0" applyFill="0" applyBorder="0" applyAlignment="0" applyProtection="0"/>
    <xf numFmtId="43" fontId="178" fillId="0" borderId="0" applyFont="0" applyFill="0" applyBorder="0" applyAlignment="0" applyProtection="0"/>
    <xf numFmtId="212" fontId="3" fillId="0" borderId="0" applyFont="0" applyFill="0" applyBorder="0" applyAlignment="0" applyProtection="0"/>
    <xf numFmtId="213" fontId="3" fillId="0" borderId="0" applyFont="0" applyFill="0" applyBorder="0" applyAlignment="0" applyProtection="0"/>
    <xf numFmtId="0" fontId="179" fillId="0" borderId="36"/>
    <xf numFmtId="214" fontId="3" fillId="0" borderId="0" applyFont="0" applyFill="0" applyBorder="0" applyAlignment="0" applyProtection="0"/>
    <xf numFmtId="215" fontId="3" fillId="0" borderId="0" applyFont="0" applyFill="0" applyBorder="0" applyAlignment="0" applyProtection="0"/>
    <xf numFmtId="216" fontId="3" fillId="0" borderId="0" applyFont="0" applyFill="0" applyBorder="0" applyAlignment="0" applyProtection="0"/>
    <xf numFmtId="217" fontId="3" fillId="0" borderId="0" applyFont="0" applyFill="0" applyBorder="0" applyAlignment="0" applyProtection="0"/>
    <xf numFmtId="0" fontId="180" fillId="66" borderId="0" applyNumberFormat="0" applyBorder="0" applyAlignment="0" applyProtection="0"/>
    <xf numFmtId="0" fontId="63" fillId="17" borderId="0" applyNumberFormat="0" applyBorder="0" applyAlignment="0" applyProtection="0"/>
    <xf numFmtId="0" fontId="180" fillId="66" borderId="0" applyNumberFormat="0" applyBorder="0" applyAlignment="0" applyProtection="0"/>
    <xf numFmtId="0" fontId="103" fillId="66" borderId="0" applyNumberFormat="0" applyBorder="0" applyAlignment="0" applyProtection="0"/>
    <xf numFmtId="0" fontId="180" fillId="66" borderId="0" applyNumberFormat="0" applyBorder="0" applyAlignment="0" applyProtection="0"/>
    <xf numFmtId="0" fontId="181" fillId="17" borderId="0" applyNumberFormat="0" applyBorder="0" applyAlignment="0" applyProtection="0"/>
    <xf numFmtId="0" fontId="181" fillId="17" borderId="0" applyNumberFormat="0" applyBorder="0" applyAlignment="0" applyProtection="0"/>
    <xf numFmtId="0" fontId="63" fillId="17" borderId="0" applyNumberFormat="0" applyBorder="0" applyAlignment="0" applyProtection="0"/>
    <xf numFmtId="0" fontId="63" fillId="17" borderId="0" applyNumberFormat="0" applyBorder="0" applyAlignment="0" applyProtection="0"/>
    <xf numFmtId="0" fontId="63" fillId="17" borderId="0" applyNumberFormat="0" applyBorder="0" applyAlignment="0" applyProtection="0"/>
    <xf numFmtId="37" fontId="182" fillId="0" borderId="0"/>
    <xf numFmtId="218" fontId="3" fillId="0" borderId="0"/>
    <xf numFmtId="219" fontId="18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1" fillId="0" borderId="0"/>
    <xf numFmtId="0" fontId="1" fillId="0" borderId="0"/>
    <xf numFmtId="0" fontId="148" fillId="0" borderId="0"/>
    <xf numFmtId="0" fontId="1" fillId="0" borderId="0"/>
    <xf numFmtId="0" fontId="1" fillId="0" borderId="0"/>
    <xf numFmtId="0" fontId="3" fillId="0" borderId="0"/>
    <xf numFmtId="0" fontId="1" fillId="0" borderId="0"/>
    <xf numFmtId="0" fontId="1" fillId="0" borderId="0"/>
    <xf numFmtId="0" fontId="148" fillId="0" borderId="0"/>
    <xf numFmtId="0" fontId="1" fillId="0" borderId="0"/>
    <xf numFmtId="0" fontId="148" fillId="0" borderId="0"/>
    <xf numFmtId="0" fontId="3" fillId="0" borderId="0"/>
    <xf numFmtId="0" fontId="122"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3" fillId="0" borderId="0"/>
    <xf numFmtId="0" fontId="148" fillId="0" borderId="0"/>
    <xf numFmtId="0" fontId="3" fillId="0" borderId="0"/>
    <xf numFmtId="0" fontId="148" fillId="0" borderId="0"/>
    <xf numFmtId="0" fontId="122" fillId="0" borderId="0"/>
    <xf numFmtId="0" fontId="1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8" fillId="0" borderId="0"/>
    <xf numFmtId="0" fontId="3" fillId="0" borderId="0"/>
    <xf numFmtId="0" fontId="148" fillId="0" borderId="0"/>
    <xf numFmtId="0" fontId="96" fillId="0" borderId="0"/>
    <xf numFmtId="0" fontId="1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8" fillId="0" borderId="0"/>
    <xf numFmtId="0" fontId="3" fillId="0" borderId="0"/>
    <xf numFmtId="0" fontId="148" fillId="0" borderId="0"/>
    <xf numFmtId="0" fontId="1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220" fontId="13" fillId="0" borderId="0" applyBorder="0"/>
    <xf numFmtId="0" fontId="3" fillId="0" borderId="0" applyNumberFormat="0" applyFill="0" applyBorder="0" applyAlignment="0" applyProtection="0"/>
    <xf numFmtId="0" fontId="3" fillId="0" borderId="0"/>
    <xf numFmtId="0" fontId="3" fillId="0" borderId="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1" fillId="21" borderId="85" applyNumberFormat="0" applyFont="0" applyAlignment="0" applyProtection="0"/>
    <xf numFmtId="0" fontId="1" fillId="21" borderId="85" applyNumberFormat="0" applyFont="0" applyAlignment="0" applyProtection="0"/>
    <xf numFmtId="0" fontId="1" fillId="21" borderId="85" applyNumberFormat="0" applyFont="0" applyAlignment="0" applyProtection="0"/>
    <xf numFmtId="0" fontId="184" fillId="67" borderId="9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13" fillId="21" borderId="85" applyNumberFormat="0" applyFont="0" applyAlignment="0" applyProtection="0"/>
    <xf numFmtId="0" fontId="13" fillId="21" borderId="8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148" fillId="21" borderId="85" applyNumberFormat="0" applyFont="0" applyAlignment="0" applyProtection="0"/>
    <xf numFmtId="0" fontId="148" fillId="21" borderId="8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40" fontId="185" fillId="0" borderId="0" applyFont="0" applyFill="0" applyBorder="0" applyAlignment="0" applyProtection="0"/>
    <xf numFmtId="38" fontId="185" fillId="0" borderId="0" applyFont="0" applyFill="0" applyBorder="0" applyAlignment="0" applyProtection="0"/>
    <xf numFmtId="0" fontId="159" fillId="0" borderId="0" applyNumberFormat="0" applyFill="0" applyBorder="0" applyProtection="0">
      <alignment horizontal="left"/>
    </xf>
    <xf numFmtId="0" fontId="98" fillId="64" borderId="87" applyNumberFormat="0" applyAlignment="0" applyProtection="0"/>
    <xf numFmtId="0" fontId="98" fillId="69" borderId="87" applyNumberFormat="0" applyAlignment="0" applyProtection="0"/>
    <xf numFmtId="0" fontId="98" fillId="69" borderId="87" applyNumberFormat="0" applyAlignment="0" applyProtection="0"/>
    <xf numFmtId="14" fontId="151" fillId="0" borderId="0">
      <alignment horizontal="center" wrapText="1"/>
      <protection locked="0"/>
    </xf>
    <xf numFmtId="14" fontId="151" fillId="0" borderId="0">
      <alignment horizontal="center" wrapText="1"/>
      <protection locked="0"/>
    </xf>
    <xf numFmtId="14" fontId="151" fillId="0" borderId="0">
      <alignment horizontal="center" wrapText="1"/>
      <protection locked="0"/>
    </xf>
    <xf numFmtId="221" fontId="155" fillId="0" borderId="0" applyFont="0" applyFill="0" applyBorder="0" applyAlignment="0" applyProtection="0"/>
    <xf numFmtId="222" fontId="3" fillId="0" borderId="0" applyFont="0" applyFill="0" applyBorder="0" applyAlignment="0" applyProtection="0"/>
    <xf numFmtId="10" fontId="3" fillId="0" borderId="0" applyFont="0" applyFill="0" applyBorder="0" applyAlignment="0" applyProtection="0"/>
    <xf numFmtId="10" fontId="3" fillId="0" borderId="0" applyFont="0" applyFill="0" applyBorder="0" applyAlignment="0" applyProtection="0"/>
    <xf numFmtId="10" fontId="3" fillId="0" borderId="0" applyFont="0" applyFill="0" applyBorder="0" applyAlignment="0" applyProtection="0"/>
    <xf numFmtId="9" fontId="122" fillId="0" borderId="0" applyFont="0" applyFill="0" applyBorder="0" applyAlignment="0" applyProtection="0"/>
    <xf numFmtId="9" fontId="147" fillId="0" borderId="0" applyFont="0" applyFill="0" applyBorder="0" applyAlignment="0" applyProtection="0"/>
    <xf numFmtId="9" fontId="147" fillId="0" borderId="0" applyFont="0" applyFill="0" applyBorder="0" applyAlignment="0" applyProtection="0"/>
    <xf numFmtId="9" fontId="147" fillId="0" borderId="0" applyFont="0" applyFill="0" applyBorder="0" applyAlignment="0" applyProtection="0"/>
    <xf numFmtId="10" fontId="147" fillId="0" borderId="0" applyFont="0" applyFill="0" applyBorder="0" applyAlignment="0" applyProtection="0"/>
    <xf numFmtId="10" fontId="147" fillId="0" borderId="0" applyFont="0" applyFill="0" applyBorder="0" applyAlignment="0" applyProtection="0"/>
    <xf numFmtId="10" fontId="147" fillId="0" borderId="0" applyFont="0" applyFill="0" applyBorder="0" applyAlignment="0" applyProtection="0"/>
    <xf numFmtId="0" fontId="182" fillId="1" borderId="7" applyFill="0" applyBorder="0" applyAlignment="0" applyProtection="0"/>
    <xf numFmtId="223" fontId="3" fillId="0" borderId="0" applyFont="0" applyFill="0" applyBorder="0" applyAlignment="0" applyProtection="0"/>
    <xf numFmtId="0" fontId="186" fillId="0" borderId="0" applyNumberFormat="0" applyFill="0" applyBorder="0" applyProtection="0">
      <alignment horizontal="right"/>
    </xf>
    <xf numFmtId="193" fontId="3" fillId="0" borderId="0" applyFill="0" applyBorder="0" applyAlignment="0"/>
    <xf numFmtId="192" fontId="155" fillId="0" borderId="0" applyFill="0" applyBorder="0" applyAlignment="0"/>
    <xf numFmtId="193" fontId="3" fillId="0" borderId="0" applyFill="0" applyBorder="0" applyAlignment="0"/>
    <xf numFmtId="206" fontId="155" fillId="0" borderId="0" applyFill="0" applyBorder="0" applyAlignment="0"/>
    <xf numFmtId="192" fontId="155" fillId="0" borderId="0" applyFill="0" applyBorder="0" applyAlignment="0"/>
    <xf numFmtId="4" fontId="187" fillId="0" borderId="0" applyFont="0" applyFill="0" applyBorder="0" applyProtection="0">
      <alignment horizontal="right"/>
    </xf>
    <xf numFmtId="9" fontId="3" fillId="0" borderId="0" applyFill="0" applyBorder="0" applyAlignment="0" applyProtection="0"/>
    <xf numFmtId="9" fontId="3" fillId="0" borderId="0" applyFill="0" applyBorder="0" applyAlignment="0" applyProtection="0"/>
    <xf numFmtId="9" fontId="3" fillId="0" borderId="0" applyFont="0" applyFill="0" applyBorder="0" applyAlignment="0" applyProtection="0"/>
    <xf numFmtId="9" fontId="96" fillId="0" borderId="0" applyFont="0" applyFill="0" applyBorder="0" applyAlignment="0" applyProtection="0"/>
    <xf numFmtId="9" fontId="3" fillId="0" borderId="0" applyFont="0" applyFill="0" applyBorder="0" applyAlignment="0" applyProtection="0"/>
    <xf numFmtId="9" fontId="1" fillId="0" borderId="0" applyFont="0" applyFill="0" applyBorder="0" applyAlignment="0" applyProtection="0"/>
    <xf numFmtId="9" fontId="3" fillId="0" borderId="0" applyFont="0" applyFill="0" applyBorder="0" applyAlignment="0" applyProtection="0"/>
    <xf numFmtId="9" fontId="96" fillId="0" borderId="0" applyFont="0" applyFill="0" applyBorder="0" applyAlignment="0" applyProtection="0"/>
    <xf numFmtId="9" fontId="1" fillId="0" borderId="0" applyFont="0" applyFill="0" applyBorder="0" applyAlignment="0" applyProtection="0"/>
    <xf numFmtId="9" fontId="3" fillId="0" borderId="0" applyFill="0" applyBorder="0" applyAlignment="0" applyProtection="0"/>
    <xf numFmtId="9" fontId="3" fillId="0" borderId="0" applyFont="0" applyFill="0" applyBorder="0" applyAlignment="0" applyProtection="0"/>
    <xf numFmtId="9" fontId="3" fillId="0" borderId="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ill="0" applyBorder="0" applyAlignment="0" applyProtection="0"/>
    <xf numFmtId="9" fontId="3" fillId="0" borderId="0" applyFill="0" applyBorder="0" applyAlignment="0" applyProtection="0"/>
    <xf numFmtId="9" fontId="3" fillId="0" borderId="0" applyFill="0" applyBorder="0" applyAlignment="0" applyProtection="0"/>
    <xf numFmtId="0" fontId="147" fillId="0" borderId="0" applyNumberFormat="0" applyFont="0" applyFill="0" applyBorder="0" applyAlignment="0" applyProtection="0">
      <alignment horizontal="left"/>
    </xf>
    <xf numFmtId="15" fontId="147" fillId="0" borderId="0" applyFont="0" applyFill="0" applyBorder="0" applyAlignment="0" applyProtection="0"/>
    <xf numFmtId="4" fontId="147" fillId="0" borderId="0" applyFont="0" applyFill="0" applyBorder="0" applyAlignment="0" applyProtection="0"/>
    <xf numFmtId="0" fontId="188" fillId="0" borderId="36">
      <alignment horizontal="center"/>
    </xf>
    <xf numFmtId="3" fontId="147" fillId="0" borderId="0" applyFont="0" applyFill="0" applyBorder="0" applyAlignment="0" applyProtection="0"/>
    <xf numFmtId="0" fontId="147" fillId="74" borderId="0" applyNumberFormat="0" applyFont="0" applyBorder="0" applyAlignment="0" applyProtection="0"/>
    <xf numFmtId="37" fontId="147" fillId="0" borderId="0"/>
    <xf numFmtId="0" fontId="189" fillId="0" borderId="0" applyNumberFormat="0" applyFill="0" applyBorder="0" applyAlignment="0" applyProtection="0"/>
    <xf numFmtId="0" fontId="190" fillId="0" borderId="104" applyAlignment="0">
      <alignment vertical="center" wrapText="1"/>
    </xf>
    <xf numFmtId="0" fontId="191" fillId="0" borderId="105">
      <alignment horizontal="center" vertical="center" wrapText="1"/>
    </xf>
    <xf numFmtId="0" fontId="191" fillId="0" borderId="104">
      <alignment horizontal="center" vertical="center" wrapText="1"/>
    </xf>
    <xf numFmtId="0" fontId="192" fillId="0" borderId="0"/>
    <xf numFmtId="0" fontId="98" fillId="69" borderId="87" applyNumberFormat="0" applyAlignment="0" applyProtection="0"/>
    <xf numFmtId="0" fontId="88" fillId="49" borderId="0" applyNumberFormat="0" applyBorder="0" applyAlignment="0" applyProtection="0"/>
    <xf numFmtId="0" fontId="88" fillId="47" borderId="0" applyNumberFormat="0" applyBorder="0" applyAlignment="0" applyProtection="0"/>
    <xf numFmtId="0" fontId="88" fillId="49" borderId="0" applyNumberFormat="0" applyBorder="0" applyAlignment="0" applyProtection="0"/>
    <xf numFmtId="0" fontId="193" fillId="47" borderId="0" applyNumberFormat="0" applyBorder="0" applyAlignment="0" applyProtection="0"/>
    <xf numFmtId="0" fontId="194" fillId="16" borderId="0" applyNumberFormat="0" applyBorder="0" applyAlignment="0" applyProtection="0"/>
    <xf numFmtId="0" fontId="62" fillId="16" borderId="0" applyNumberFormat="0" applyBorder="0" applyAlignment="0" applyProtection="0"/>
    <xf numFmtId="0" fontId="88" fillId="49" borderId="0" applyNumberFormat="0" applyBorder="0" applyAlignment="0" applyProtection="0"/>
    <xf numFmtId="0" fontId="88" fillId="47" borderId="0" applyNumberFormat="0" applyBorder="0" applyAlignment="0" applyProtection="0"/>
    <xf numFmtId="0" fontId="62" fillId="16" borderId="0" applyNumberFormat="0" applyBorder="0" applyAlignment="0" applyProtection="0"/>
    <xf numFmtId="0" fontId="88" fillId="49" borderId="0" applyNumberFormat="0" applyBorder="0" applyAlignment="0" applyProtection="0"/>
    <xf numFmtId="0" fontId="62" fillId="16" borderId="0" applyNumberFormat="0" applyBorder="0" applyAlignment="0" applyProtection="0"/>
    <xf numFmtId="0" fontId="195" fillId="75" borderId="98"/>
    <xf numFmtId="0" fontId="3" fillId="0" borderId="0"/>
    <xf numFmtId="224" fontId="147" fillId="0" borderId="0">
      <alignment horizontal="center"/>
    </xf>
    <xf numFmtId="224" fontId="147" fillId="0" borderId="0">
      <alignment horizont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8" fillId="0" borderId="0"/>
    <xf numFmtId="0" fontId="3" fillId="0" borderId="0"/>
    <xf numFmtId="0" fontId="122" fillId="0" borderId="0"/>
    <xf numFmtId="0" fontId="3" fillId="0" borderId="0"/>
    <xf numFmtId="0" fontId="1" fillId="0" borderId="0"/>
    <xf numFmtId="0" fontId="1"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1" fillId="0" borderId="0"/>
    <xf numFmtId="0" fontId="3" fillId="0" borderId="0"/>
    <xf numFmtId="0" fontId="1" fillId="0" borderId="0"/>
    <xf numFmtId="0" fontId="3" fillId="0" borderId="0"/>
    <xf numFmtId="0" fontId="1" fillId="0" borderId="0"/>
    <xf numFmtId="0" fontId="3" fillId="0" borderId="0"/>
    <xf numFmtId="0" fontId="1" fillId="0" borderId="0"/>
    <xf numFmtId="0" fontId="1" fillId="0" borderId="0"/>
    <xf numFmtId="0" fontId="1" fillId="0" borderId="0"/>
    <xf numFmtId="0" fontId="96" fillId="0" borderId="0"/>
    <xf numFmtId="0" fontId="3" fillId="0" borderId="0"/>
    <xf numFmtId="0" fontId="96"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196"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9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97" fillId="0" borderId="0"/>
    <xf numFmtId="0" fontId="3" fillId="0" borderId="0"/>
    <xf numFmtId="0" fontId="1" fillId="0" borderId="0"/>
    <xf numFmtId="0" fontId="3" fillId="0" borderId="0"/>
    <xf numFmtId="0" fontId="1"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148"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79" fillId="0" borderId="0"/>
    <xf numFmtId="49" fontId="13" fillId="0" borderId="0" applyFill="0" applyBorder="0" applyAlignment="0"/>
    <xf numFmtId="225" fontId="155" fillId="0" borderId="0" applyFill="0" applyBorder="0" applyAlignment="0"/>
    <xf numFmtId="225" fontId="3" fillId="0" borderId="0" applyFill="0" applyBorder="0" applyAlignment="0"/>
    <xf numFmtId="0" fontId="104" fillId="0" borderId="0" applyNumberFormat="0" applyFill="0" applyBorder="0" applyAlignment="0" applyProtection="0"/>
    <xf numFmtId="0" fontId="102" fillId="0" borderId="0" applyNumberFormat="0" applyFill="0" applyBorder="0" applyAlignment="0" applyProtection="0"/>
    <xf numFmtId="0" fontId="90" fillId="0" borderId="0" applyNumberFormat="0" applyFill="0" applyBorder="0" applyAlignment="0" applyProtection="0"/>
    <xf numFmtId="0" fontId="198" fillId="0" borderId="0" applyNumberFormat="0" applyFill="0" applyBorder="0" applyAlignment="0" applyProtection="0"/>
    <xf numFmtId="0" fontId="57" fillId="0" borderId="0" applyNumberFormat="0" applyFill="0" applyBorder="0" applyAlignment="0" applyProtection="0"/>
    <xf numFmtId="0" fontId="198" fillId="0" borderId="0" applyNumberFormat="0" applyFill="0" applyBorder="0" applyAlignment="0" applyProtection="0"/>
    <xf numFmtId="0" fontId="198" fillId="0" borderId="0" applyNumberFormat="0" applyFill="0" applyBorder="0" applyAlignment="0" applyProtection="0"/>
    <xf numFmtId="0" fontId="171" fillId="0" borderId="99" applyNumberFormat="0" applyFill="0" applyAlignment="0" applyProtection="0"/>
    <xf numFmtId="0" fontId="171" fillId="0" borderId="100" applyNumberFormat="0" applyFill="0" applyAlignment="0" applyProtection="0"/>
    <xf numFmtId="0" fontId="172" fillId="0" borderId="92" applyNumberFormat="0" applyFill="0" applyAlignment="0" applyProtection="0"/>
    <xf numFmtId="0" fontId="172" fillId="0" borderId="101" applyNumberFormat="0" applyFill="0" applyAlignment="0" applyProtection="0"/>
    <xf numFmtId="0" fontId="161" fillId="0" borderId="102" applyNumberFormat="0" applyFill="0" applyAlignment="0" applyProtection="0"/>
    <xf numFmtId="0" fontId="161" fillId="0" borderId="103" applyNumberFormat="0" applyFill="0" applyAlignment="0" applyProtection="0"/>
    <xf numFmtId="190" fontId="3" fillId="0" borderId="0" applyBorder="0"/>
    <xf numFmtId="0" fontId="101" fillId="0" borderId="106" applyNumberFormat="0" applyFill="0" applyAlignment="0" applyProtection="0"/>
    <xf numFmtId="0" fontId="101" fillId="0" borderId="106" applyNumberFormat="0" applyFill="0" applyAlignment="0" applyProtection="0"/>
    <xf numFmtId="0" fontId="101" fillId="0" borderId="97" applyNumberFormat="0" applyFill="0" applyAlignment="0" applyProtection="0"/>
    <xf numFmtId="0" fontId="101" fillId="0" borderId="97" applyNumberFormat="0" applyFill="0" applyAlignment="0" applyProtection="0"/>
    <xf numFmtId="0" fontId="101" fillId="0" borderId="97" applyNumberFormat="0" applyFill="0" applyAlignment="0" applyProtection="0"/>
    <xf numFmtId="0" fontId="171" fillId="0" borderId="100" applyNumberFormat="0" applyFill="0" applyAlignment="0" applyProtection="0"/>
    <xf numFmtId="0" fontId="91" fillId="0" borderId="91" applyNumberFormat="0" applyFill="0" applyAlignment="0" applyProtection="0"/>
    <xf numFmtId="0" fontId="171" fillId="0" borderId="100" applyNumberFormat="0" applyFill="0" applyAlignment="0" applyProtection="0"/>
    <xf numFmtId="0" fontId="199" fillId="0" borderId="91" applyNumberFormat="0" applyFill="0" applyAlignment="0" applyProtection="0"/>
    <xf numFmtId="0" fontId="200" fillId="0" borderId="78" applyNumberFormat="0" applyFill="0" applyAlignment="0" applyProtection="0"/>
    <xf numFmtId="0" fontId="58" fillId="0" borderId="78" applyNumberFormat="0" applyFill="0" applyAlignment="0" applyProtection="0"/>
    <xf numFmtId="0" fontId="171" fillId="0" borderId="100" applyNumberFormat="0" applyFill="0" applyAlignment="0" applyProtection="0"/>
    <xf numFmtId="0" fontId="91" fillId="0" borderId="91" applyNumberFormat="0" applyFill="0" applyAlignment="0" applyProtection="0"/>
    <xf numFmtId="0" fontId="58" fillId="0" borderId="78" applyNumberFormat="0" applyFill="0" applyAlignment="0" applyProtection="0"/>
    <xf numFmtId="0" fontId="171" fillId="0" borderId="100" applyNumberFormat="0" applyFill="0" applyAlignment="0" applyProtection="0"/>
    <xf numFmtId="0" fontId="58" fillId="0" borderId="78" applyNumberFormat="0" applyFill="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172" fillId="0" borderId="101" applyNumberFormat="0" applyFill="0" applyAlignment="0" applyProtection="0"/>
    <xf numFmtId="0" fontId="92" fillId="0" borderId="92" applyNumberFormat="0" applyFill="0" applyAlignment="0" applyProtection="0"/>
    <xf numFmtId="0" fontId="172" fillId="0" borderId="101" applyNumberFormat="0" applyFill="0" applyAlignment="0" applyProtection="0"/>
    <xf numFmtId="0" fontId="201" fillId="0" borderId="92" applyNumberFormat="0" applyFill="0" applyAlignment="0" applyProtection="0"/>
    <xf numFmtId="0" fontId="202" fillId="0" borderId="79" applyNumberFormat="0" applyFill="0" applyAlignment="0" applyProtection="0"/>
    <xf numFmtId="0" fontId="59" fillId="0" borderId="79" applyNumberFormat="0" applyFill="0" applyAlignment="0" applyProtection="0"/>
    <xf numFmtId="0" fontId="172" fillId="0" borderId="101" applyNumberFormat="0" applyFill="0" applyAlignment="0" applyProtection="0"/>
    <xf numFmtId="0" fontId="92" fillId="0" borderId="92" applyNumberFormat="0" applyFill="0" applyAlignment="0" applyProtection="0"/>
    <xf numFmtId="0" fontId="59" fillId="0" borderId="79" applyNumberFormat="0" applyFill="0" applyAlignment="0" applyProtection="0"/>
    <xf numFmtId="0" fontId="172" fillId="0" borderId="101" applyNumberFormat="0" applyFill="0" applyAlignment="0" applyProtection="0"/>
    <xf numFmtId="0" fontId="59" fillId="0" borderId="79" applyNumberFormat="0" applyFill="0" applyAlignment="0" applyProtection="0"/>
    <xf numFmtId="0" fontId="161" fillId="0" borderId="103" applyNumberFormat="0" applyFill="0" applyAlignment="0" applyProtection="0"/>
    <xf numFmtId="0" fontId="93" fillId="0" borderId="93" applyNumberFormat="0" applyFill="0" applyAlignment="0" applyProtection="0"/>
    <xf numFmtId="0" fontId="161" fillId="0" borderId="103" applyNumberFormat="0" applyFill="0" applyAlignment="0" applyProtection="0"/>
    <xf numFmtId="0" fontId="203" fillId="0" borderId="93" applyNumberFormat="0" applyFill="0" applyAlignment="0" applyProtection="0"/>
    <xf numFmtId="0" fontId="204" fillId="0" borderId="80" applyNumberFormat="0" applyFill="0" applyAlignment="0" applyProtection="0"/>
    <xf numFmtId="0" fontId="60" fillId="0" borderId="80" applyNumberFormat="0" applyFill="0" applyAlignment="0" applyProtection="0"/>
    <xf numFmtId="0" fontId="161" fillId="0" borderId="103" applyNumberFormat="0" applyFill="0" applyAlignment="0" applyProtection="0"/>
    <xf numFmtId="0" fontId="93" fillId="0" borderId="93" applyNumberFormat="0" applyFill="0" applyAlignment="0" applyProtection="0"/>
    <xf numFmtId="0" fontId="60" fillId="0" borderId="80" applyNumberFormat="0" applyFill="0" applyAlignment="0" applyProtection="0"/>
    <xf numFmtId="0" fontId="161" fillId="0" borderId="103" applyNumberFormat="0" applyFill="0" applyAlignment="0" applyProtection="0"/>
    <xf numFmtId="0" fontId="60" fillId="0" borderId="80" applyNumberFormat="0" applyFill="0" applyAlignment="0" applyProtection="0"/>
    <xf numFmtId="0" fontId="161" fillId="0" borderId="0" applyNumberFormat="0" applyFill="0" applyBorder="0" applyAlignment="0" applyProtection="0"/>
    <xf numFmtId="0" fontId="93" fillId="0" borderId="0" applyNumberFormat="0" applyFill="0" applyBorder="0" applyAlignment="0" applyProtection="0"/>
    <xf numFmtId="0" fontId="161" fillId="0" borderId="0" applyNumberFormat="0" applyFill="0" applyBorder="0" applyAlignment="0" applyProtection="0"/>
    <xf numFmtId="0" fontId="203" fillId="0" borderId="0" applyNumberFormat="0" applyFill="0" applyBorder="0" applyAlignment="0" applyProtection="0"/>
    <xf numFmtId="0" fontId="204" fillId="0" borderId="0" applyNumberFormat="0" applyFill="0" applyBorder="0" applyAlignment="0" applyProtection="0"/>
    <xf numFmtId="0" fontId="60" fillId="0" borderId="0" applyNumberFormat="0" applyFill="0" applyBorder="0" applyAlignment="0" applyProtection="0"/>
    <xf numFmtId="0" fontId="161" fillId="0" borderId="0" applyNumberFormat="0" applyFill="0" applyBorder="0" applyAlignment="0" applyProtection="0"/>
    <xf numFmtId="0" fontId="93" fillId="0" borderId="0" applyNumberFormat="0" applyFill="0" applyBorder="0" applyAlignment="0" applyProtection="0"/>
    <xf numFmtId="0" fontId="60" fillId="0" borderId="0" applyNumberFormat="0" applyFill="0" applyBorder="0" applyAlignment="0" applyProtection="0"/>
    <xf numFmtId="0" fontId="161" fillId="0" borderId="0" applyNumberFormat="0" applyFill="0" applyBorder="0" applyAlignment="0" applyProtection="0"/>
    <xf numFmtId="0" fontId="60" fillId="0" borderId="0" applyNumberFormat="0" applyFill="0" applyBorder="0" applyAlignment="0" applyProtection="0"/>
    <xf numFmtId="0" fontId="198" fillId="0" borderId="0" applyNumberFormat="0" applyFill="0" applyBorder="0" applyAlignment="0" applyProtection="0"/>
    <xf numFmtId="0" fontId="90" fillId="0" borderId="0" applyNumberFormat="0" applyFill="0" applyBorder="0" applyAlignment="0" applyProtection="0"/>
    <xf numFmtId="0" fontId="198" fillId="0" borderId="0" applyNumberFormat="0" applyFill="0" applyBorder="0" applyAlignment="0" applyProtection="0"/>
    <xf numFmtId="0" fontId="57" fillId="0" borderId="0" applyNumberFormat="0" applyFill="0" applyBorder="0" applyAlignment="0" applyProtection="0"/>
    <xf numFmtId="0" fontId="198" fillId="0" borderId="0" applyNumberFormat="0" applyFill="0" applyBorder="0" applyAlignment="0" applyProtection="0"/>
    <xf numFmtId="0" fontId="57" fillId="0" borderId="0" applyNumberFormat="0" applyFill="0" applyBorder="0" applyAlignment="0" applyProtection="0"/>
    <xf numFmtId="0" fontId="198"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226" fontId="9" fillId="0" borderId="0" applyFont="0" applyFill="0" applyBorder="0" applyAlignment="0" applyProtection="0"/>
    <xf numFmtId="226" fontId="9" fillId="0" borderId="0" applyFont="0" applyFill="0" applyBorder="0" applyAlignment="0" applyProtection="0"/>
    <xf numFmtId="226" fontId="9" fillId="0" borderId="0" applyFont="0" applyFill="0" applyBorder="0" applyAlignment="0" applyProtection="0"/>
    <xf numFmtId="0" fontId="205" fillId="0" borderId="0" applyNumberFormat="0" applyFill="0" applyBorder="0" applyAlignment="0" applyProtection="0"/>
    <xf numFmtId="0" fontId="104" fillId="0" borderId="96" applyNumberFormat="0" applyFill="0" applyAlignment="0" applyProtection="0"/>
    <xf numFmtId="0" fontId="94" fillId="0" borderId="94" applyNumberFormat="0" applyFill="0" applyAlignment="0" applyProtection="0"/>
    <xf numFmtId="0" fontId="104" fillId="0" borderId="96" applyNumberFormat="0" applyFill="0" applyAlignment="0" applyProtection="0"/>
    <xf numFmtId="0" fontId="206" fillId="0" borderId="94" applyNumberFormat="0" applyFill="0" applyAlignment="0" applyProtection="0"/>
    <xf numFmtId="0" fontId="207" fillId="0" borderId="83" applyNumberFormat="0" applyFill="0" applyAlignment="0" applyProtection="0"/>
    <xf numFmtId="0" fontId="67" fillId="0" borderId="83" applyNumberFormat="0" applyFill="0" applyAlignment="0" applyProtection="0"/>
    <xf numFmtId="0" fontId="104" fillId="0" borderId="96" applyNumberFormat="0" applyFill="0" applyAlignment="0" applyProtection="0"/>
    <xf numFmtId="0" fontId="94" fillId="0" borderId="94" applyNumberFormat="0" applyFill="0" applyAlignment="0" applyProtection="0"/>
    <xf numFmtId="0" fontId="67" fillId="0" borderId="83" applyNumberFormat="0" applyFill="0" applyAlignment="0" applyProtection="0"/>
    <xf numFmtId="0" fontId="104" fillId="0" borderId="96" applyNumberFormat="0" applyFill="0" applyAlignment="0" applyProtection="0"/>
    <xf numFmtId="0" fontId="67" fillId="0" borderId="83" applyNumberFormat="0" applyFill="0" applyAlignment="0" applyProtection="0"/>
    <xf numFmtId="0" fontId="208" fillId="76" borderId="107" applyNumberFormat="0" applyAlignment="0" applyProtection="0"/>
    <xf numFmtId="0" fontId="209" fillId="0" borderId="0" applyNumberFormat="0" applyFill="0" applyBorder="0" applyProtection="0">
      <alignment horizontal="right"/>
    </xf>
    <xf numFmtId="217" fontId="96" fillId="0" borderId="0" applyFont="0" applyFill="0" applyBorder="0" applyAlignment="0" applyProtection="0"/>
    <xf numFmtId="217" fontId="96" fillId="0" borderId="0" applyFont="0" applyFill="0" applyBorder="0" applyAlignment="0" applyProtection="0"/>
    <xf numFmtId="164"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21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217" fontId="1" fillId="0" borderId="0" applyFont="0" applyFill="0" applyBorder="0" applyAlignment="0" applyProtection="0"/>
    <xf numFmtId="164" fontId="1" fillId="0" borderId="0" applyFont="0" applyFill="0" applyBorder="0" applyAlignment="0" applyProtection="0"/>
    <xf numFmtId="228" fontId="3"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3" fillId="0" borderId="0" applyFont="0" applyFill="0" applyBorder="0" applyAlignment="0" applyProtection="0"/>
    <xf numFmtId="164" fontId="1" fillId="0" borderId="0" applyFont="0" applyFill="0" applyBorder="0" applyAlignment="0" applyProtection="0"/>
    <xf numFmtId="216" fontId="3" fillId="0" borderId="0" applyFont="0" applyFill="0" applyBorder="0" applyAlignment="0" applyProtection="0"/>
    <xf numFmtId="217" fontId="3" fillId="0" borderId="0" applyFont="0" applyFill="0" applyBorder="0" applyAlignment="0" applyProtection="0"/>
    <xf numFmtId="0" fontId="34" fillId="0" borderId="0" applyNumberFormat="0" applyFill="0" applyBorder="0" applyAlignment="0" applyProtection="0"/>
    <xf numFmtId="0" fontId="69"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69"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2" fillId="0" borderId="0">
      <alignment horizontal="left"/>
    </xf>
    <xf numFmtId="0" fontId="210" fillId="0" borderId="0"/>
    <xf numFmtId="0" fontId="211" fillId="65" borderId="89" applyNumberFormat="0" applyAlignment="0" applyProtection="0"/>
    <xf numFmtId="0" fontId="212" fillId="20" borderId="84" applyNumberFormat="0" applyAlignment="0" applyProtection="0"/>
    <xf numFmtId="0" fontId="68" fillId="20" borderId="84" applyNumberFormat="0" applyAlignment="0" applyProtection="0"/>
    <xf numFmtId="0" fontId="95" fillId="65" borderId="89" applyNumberFormat="0" applyAlignment="0" applyProtection="0"/>
    <xf numFmtId="0" fontId="68" fillId="20" borderId="84" applyNumberFormat="0" applyAlignment="0" applyProtection="0"/>
    <xf numFmtId="0" fontId="95" fillId="65" borderId="89" applyNumberFormat="0" applyAlignment="0" applyProtection="0"/>
    <xf numFmtId="0" fontId="68" fillId="20" borderId="84" applyNumberFormat="0" applyAlignment="0" applyProtection="0"/>
    <xf numFmtId="0" fontId="3" fillId="0" borderId="0"/>
    <xf numFmtId="0" fontId="21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3" fillId="46" borderId="0" applyNumberFormat="0" applyBorder="0" applyAlignment="0" applyProtection="0"/>
    <xf numFmtId="0" fontId="13" fillId="47" borderId="0" applyNumberFormat="0" applyBorder="0" applyAlignment="0" applyProtection="0"/>
    <xf numFmtId="0" fontId="13" fillId="48" borderId="0" applyNumberFormat="0" applyBorder="0" applyAlignment="0" applyProtection="0"/>
    <xf numFmtId="0" fontId="13" fillId="49" borderId="0" applyNumberFormat="0" applyBorder="0" applyAlignment="0" applyProtection="0"/>
    <xf numFmtId="0" fontId="13" fillId="50" borderId="0" applyNumberFormat="0" applyBorder="0" applyAlignment="0" applyProtection="0"/>
    <xf numFmtId="0" fontId="13" fillId="51" borderId="0" applyNumberFormat="0" applyBorder="0" applyAlignment="0" applyProtection="0"/>
    <xf numFmtId="0" fontId="96" fillId="46" borderId="0" applyNumberFormat="0" applyBorder="0" applyAlignment="0" applyProtection="0"/>
    <xf numFmtId="0" fontId="96" fillId="47" borderId="0" applyNumberFormat="0" applyBorder="0" applyAlignment="0" applyProtection="0"/>
    <xf numFmtId="0" fontId="96" fillId="48" borderId="0" applyNumberFormat="0" applyBorder="0" applyAlignment="0" applyProtection="0"/>
    <xf numFmtId="0" fontId="96" fillId="49" borderId="0" applyNumberFormat="0" applyBorder="0" applyAlignment="0" applyProtection="0"/>
    <xf numFmtId="0" fontId="96" fillId="50" borderId="0" applyNumberFormat="0" applyBorder="0" applyAlignment="0" applyProtection="0"/>
    <xf numFmtId="0" fontId="96" fillId="51" borderId="0" applyNumberFormat="0" applyBorder="0" applyAlignment="0" applyProtection="0"/>
    <xf numFmtId="0" fontId="13" fillId="52" borderId="0" applyNumberFormat="0" applyBorder="0" applyAlignment="0" applyProtection="0"/>
    <xf numFmtId="0" fontId="13" fillId="53" borderId="0" applyNumberFormat="0" applyBorder="0" applyAlignment="0" applyProtection="0"/>
    <xf numFmtId="0" fontId="13" fillId="54" borderId="0" applyNumberFormat="0" applyBorder="0" applyAlignment="0" applyProtection="0"/>
    <xf numFmtId="0" fontId="13" fillId="49" borderId="0" applyNumberFormat="0" applyBorder="0" applyAlignment="0" applyProtection="0"/>
    <xf numFmtId="0" fontId="13" fillId="52" borderId="0" applyNumberFormat="0" applyBorder="0" applyAlignment="0" applyProtection="0"/>
    <xf numFmtId="0" fontId="13" fillId="55" borderId="0" applyNumberFormat="0" applyBorder="0" applyAlignment="0" applyProtection="0"/>
    <xf numFmtId="0" fontId="96" fillId="52" borderId="0" applyNumberFormat="0" applyBorder="0" applyAlignment="0" applyProtection="0"/>
    <xf numFmtId="0" fontId="96" fillId="53" borderId="0" applyNumberFormat="0" applyBorder="0" applyAlignment="0" applyProtection="0"/>
    <xf numFmtId="0" fontId="96" fillId="54" borderId="0" applyNumberFormat="0" applyBorder="0" applyAlignment="0" applyProtection="0"/>
    <xf numFmtId="0" fontId="96" fillId="49" borderId="0" applyNumberFormat="0" applyBorder="0" applyAlignment="0" applyProtection="0"/>
    <xf numFmtId="0" fontId="96" fillId="52" borderId="0" applyNumberFormat="0" applyBorder="0" applyAlignment="0" applyProtection="0"/>
    <xf numFmtId="0" fontId="96" fillId="55" borderId="0" applyNumberFormat="0" applyBorder="0" applyAlignment="0" applyProtection="0"/>
    <xf numFmtId="0" fontId="124" fillId="56" borderId="0" applyNumberFormat="0" applyBorder="0" applyAlignment="0" applyProtection="0"/>
    <xf numFmtId="0" fontId="78" fillId="56" borderId="0" applyNumberFormat="0" applyBorder="0" applyAlignment="0" applyProtection="0"/>
    <xf numFmtId="0" fontId="124" fillId="53" borderId="0" applyNumberFormat="0" applyBorder="0" applyAlignment="0" applyProtection="0"/>
    <xf numFmtId="0" fontId="124" fillId="54" borderId="0" applyNumberFormat="0" applyBorder="0" applyAlignment="0" applyProtection="0"/>
    <xf numFmtId="0" fontId="78" fillId="54" borderId="0" applyNumberFormat="0" applyBorder="0" applyAlignment="0" applyProtection="0"/>
    <xf numFmtId="0" fontId="124" fillId="57" borderId="0" applyNumberFormat="0" applyBorder="0" applyAlignment="0" applyProtection="0"/>
    <xf numFmtId="0" fontId="78" fillId="57" borderId="0" applyNumberFormat="0" applyBorder="0" applyAlignment="0" applyProtection="0"/>
    <xf numFmtId="0" fontId="124" fillId="58" borderId="0" applyNumberFormat="0" applyBorder="0" applyAlignment="0" applyProtection="0"/>
    <xf numFmtId="0" fontId="124" fillId="59" borderId="0" applyNumberFormat="0" applyBorder="0" applyAlignment="0" applyProtection="0"/>
    <xf numFmtId="0" fontId="78" fillId="59" borderId="0" applyNumberFormat="0" applyBorder="0" applyAlignment="0" applyProtection="0"/>
    <xf numFmtId="0" fontId="78" fillId="56" borderId="0" applyNumberFormat="0" applyBorder="0" applyAlignment="0" applyProtection="0"/>
    <xf numFmtId="0" fontId="78" fillId="53" borderId="0" applyNumberFormat="0" applyBorder="0" applyAlignment="0" applyProtection="0"/>
    <xf numFmtId="0" fontId="78" fillId="54" borderId="0" applyNumberFormat="0" applyBorder="0" applyAlignment="0" applyProtection="0"/>
    <xf numFmtId="0" fontId="78" fillId="57" borderId="0" applyNumberFormat="0" applyBorder="0" applyAlignment="0" applyProtection="0"/>
    <xf numFmtId="0" fontId="78" fillId="58" borderId="0" applyNumberFormat="0" applyBorder="0" applyAlignment="0" applyProtection="0"/>
    <xf numFmtId="0" fontId="78" fillId="59" borderId="0" applyNumberFormat="0" applyBorder="0" applyAlignment="0" applyProtection="0"/>
    <xf numFmtId="0" fontId="124" fillId="60" borderId="0" applyNumberFormat="0" applyBorder="0" applyAlignment="0" applyProtection="0"/>
    <xf numFmtId="0" fontId="124" fillId="61" borderId="0" applyNumberFormat="0" applyBorder="0" applyAlignment="0" applyProtection="0"/>
    <xf numFmtId="0" fontId="124" fillId="62" borderId="0" applyNumberFormat="0" applyBorder="0" applyAlignment="0" applyProtection="0"/>
    <xf numFmtId="0" fontId="124" fillId="57" borderId="0" applyNumberFormat="0" applyBorder="0" applyAlignment="0" applyProtection="0"/>
    <xf numFmtId="0" fontId="124" fillId="58" borderId="0" applyNumberFormat="0" applyBorder="0" applyAlignment="0" applyProtection="0"/>
    <xf numFmtId="0" fontId="124" fillId="63" borderId="0" applyNumberFormat="0" applyBorder="0" applyAlignment="0" applyProtection="0"/>
    <xf numFmtId="0" fontId="193" fillId="47" borderId="0" applyNumberFormat="0" applyBorder="0" applyAlignment="0" applyProtection="0"/>
    <xf numFmtId="0" fontId="211" fillId="65" borderId="89" applyNumberFormat="0" applyAlignment="0" applyProtection="0"/>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77" borderId="0" applyNumberFormat="0" applyFont="0" applyBorder="0" applyAlignment="0" applyProtection="0">
      <alignment horizontal="left" vertical="top" wrapText="1"/>
      <protection locked="0"/>
    </xf>
    <xf numFmtId="0" fontId="168" fillId="48" borderId="0" applyNumberFormat="0" applyBorder="0" applyAlignment="0" applyProtection="0"/>
    <xf numFmtId="0" fontId="199" fillId="0" borderId="91" applyNumberFormat="0" applyFill="0" applyAlignment="0" applyProtection="0"/>
    <xf numFmtId="0" fontId="201" fillId="0" borderId="92" applyNumberFormat="0" applyFill="0" applyAlignment="0" applyProtection="0"/>
    <xf numFmtId="0" fontId="203" fillId="0" borderId="93" applyNumberFormat="0" applyFill="0" applyAlignment="0" applyProtection="0"/>
    <xf numFmtId="0" fontId="203" fillId="0" borderId="0" applyNumberFormat="0" applyFill="0" applyBorder="0" applyAlignment="0" applyProtection="0"/>
    <xf numFmtId="0" fontId="17" fillId="0" borderId="0" applyNumberFormat="0" applyFont="0" applyFill="0" applyBorder="0" applyProtection="0">
      <alignment horizontal="center" vertical="center" wrapText="1"/>
      <protection locked="0"/>
    </xf>
    <xf numFmtId="0" fontId="17" fillId="0" borderId="0" applyNumberFormat="0" applyFont="0" applyFill="0" applyBorder="0" applyProtection="0">
      <alignment horizontal="center" vertical="center" wrapText="1"/>
      <protection locked="0"/>
    </xf>
    <xf numFmtId="0" fontId="206" fillId="0" borderId="94" applyNumberFormat="0" applyFill="0" applyAlignment="0" applyProtection="0"/>
    <xf numFmtId="0" fontId="103" fillId="66" borderId="0" applyNumberFormat="0" applyBorder="0" applyAlignment="0" applyProtection="0"/>
    <xf numFmtId="0" fontId="103" fillId="66" borderId="0" applyNumberFormat="0" applyBorder="0" applyAlignment="0" applyProtection="0"/>
    <xf numFmtId="0" fontId="17" fillId="2" borderId="0" applyNumberFormat="0" applyFont="0" applyBorder="0" applyAlignment="0" applyProtection="0">
      <alignment horizontal="left" vertical="top" wrapText="1"/>
      <protection locked="0"/>
    </xf>
    <xf numFmtId="0" fontId="17" fillId="2" borderId="0" applyNumberFormat="0" applyFont="0" applyBorder="0" applyAlignment="0" applyProtection="0">
      <alignment horizontal="left" vertical="top" wrapText="1"/>
      <protection locked="0"/>
    </xf>
    <xf numFmtId="0" fontId="17" fillId="2" borderId="0" applyNumberFormat="0" applyFont="0" applyBorder="0" applyAlignment="0" applyProtection="0">
      <alignment horizontal="left" vertical="top" wrapText="1"/>
      <protection locked="0"/>
    </xf>
    <xf numFmtId="0" fontId="17" fillId="2" borderId="0" applyNumberFormat="0" applyFont="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77" borderId="0" applyNumberFormat="0" applyFont="0" applyBorder="0" applyAlignment="0" applyProtection="0">
      <alignment horizontal="left" vertical="top" wrapText="1"/>
      <protection locked="0"/>
    </xf>
    <xf numFmtId="0" fontId="3" fillId="0" borderId="0"/>
    <xf numFmtId="0" fontId="1" fillId="0" borderId="0"/>
    <xf numFmtId="0" fontId="1" fillId="0" borderId="0"/>
    <xf numFmtId="0" fontId="1" fillId="0" borderId="0"/>
    <xf numFmtId="0" fontId="1" fillId="0" borderId="0"/>
    <xf numFmtId="0" fontId="17" fillId="0" borderId="0" applyBorder="0" applyProtection="0">
      <alignment horizontal="left" vertical="top" wrapText="1"/>
      <protection locked="0"/>
    </xf>
    <xf numFmtId="0" fontId="17" fillId="0" borderId="0" applyBorder="0" applyProtection="0">
      <alignment horizontal="left" vertical="top" wrapText="1"/>
      <protection locked="0"/>
    </xf>
    <xf numFmtId="0" fontId="3" fillId="0" borderId="0"/>
    <xf numFmtId="0" fontId="3" fillId="0" borderId="0"/>
    <xf numFmtId="0" fontId="73" fillId="0" borderId="0"/>
    <xf numFmtId="0" fontId="3" fillId="0" borderId="0"/>
    <xf numFmtId="0" fontId="1" fillId="0" borderId="0"/>
    <xf numFmtId="0" fontId="1" fillId="0" borderId="0"/>
    <xf numFmtId="0" fontId="1" fillId="0" borderId="0"/>
    <xf numFmtId="0" fontId="1" fillId="0" borderId="0"/>
    <xf numFmtId="0" fontId="73" fillId="0" borderId="0"/>
    <xf numFmtId="0" fontId="73" fillId="0" borderId="0"/>
    <xf numFmtId="0" fontId="1" fillId="0" borderId="0"/>
    <xf numFmtId="0" fontId="1" fillId="0" borderId="0"/>
    <xf numFmtId="0" fontId="73" fillId="0" borderId="0"/>
    <xf numFmtId="0" fontId="3" fillId="0" borderId="0"/>
    <xf numFmtId="0" fontId="1" fillId="0" borderId="0"/>
    <xf numFmtId="0" fontId="21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1" fillId="0" borderId="0"/>
    <xf numFmtId="0" fontId="9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164" fontId="3" fillId="0" borderId="0" applyFont="0" applyFill="0" applyBorder="0" applyAlignment="0" applyProtection="0"/>
    <xf numFmtId="164" fontId="3" fillId="0" borderId="0" applyFont="0" applyFill="0" applyBorder="0" applyAlignment="0" applyProtection="0"/>
    <xf numFmtId="0" fontId="1" fillId="0" borderId="0"/>
    <xf numFmtId="0" fontId="3" fillId="0" borderId="0"/>
    <xf numFmtId="0" fontId="3" fillId="0" borderId="0"/>
  </cellStyleXfs>
  <cellXfs count="965">
    <xf numFmtId="0" fontId="0" fillId="0" borderId="0" xfId="0"/>
    <xf numFmtId="49" fontId="0" fillId="0" borderId="0" xfId="0" applyNumberFormat="1"/>
    <xf numFmtId="0" fontId="0" fillId="0" borderId="0" xfId="0" applyAlignment="1">
      <alignment horizontal="center"/>
    </xf>
    <xf numFmtId="0" fontId="3" fillId="0" borderId="0" xfId="0" applyFont="1" applyAlignment="1" applyProtection="1">
      <alignment vertical="center"/>
      <protection locked="0"/>
    </xf>
    <xf numFmtId="0" fontId="16" fillId="3" borderId="0" xfId="18" applyFill="1" applyProtection="1">
      <protection locked="0"/>
    </xf>
    <xf numFmtId="0" fontId="16" fillId="3" borderId="0" xfId="18" applyFill="1" applyAlignment="1" applyProtection="1">
      <alignment vertical="center"/>
      <protection locked="0"/>
    </xf>
    <xf numFmtId="0" fontId="3" fillId="3" borderId="0" xfId="18" applyFont="1" applyFill="1" applyAlignment="1" applyProtection="1">
      <alignment horizontal="center" vertical="center"/>
      <protection locked="0"/>
    </xf>
    <xf numFmtId="0" fontId="3" fillId="3" borderId="0" xfId="18" applyFont="1" applyFill="1" applyAlignment="1" applyProtection="1">
      <alignment vertical="center"/>
      <protection hidden="1"/>
    </xf>
    <xf numFmtId="9" fontId="16" fillId="3" borderId="18" xfId="18" applyNumberFormat="1" applyFill="1" applyBorder="1" applyAlignment="1" applyProtection="1">
      <alignment horizontal="center" vertical="center"/>
      <protection locked="0"/>
    </xf>
    <xf numFmtId="0" fontId="16" fillId="3" borderId="18" xfId="18" applyFill="1" applyBorder="1" applyAlignment="1" applyProtection="1">
      <alignment vertical="center"/>
      <protection locked="0"/>
    </xf>
    <xf numFmtId="2" fontId="16" fillId="3" borderId="0" xfId="18" applyNumberFormat="1" applyFill="1" applyAlignment="1">
      <alignment vertical="center"/>
    </xf>
    <xf numFmtId="0" fontId="16" fillId="3" borderId="0" xfId="18" applyFill="1" applyAlignment="1">
      <alignment vertical="center"/>
    </xf>
    <xf numFmtId="167" fontId="16" fillId="3" borderId="0" xfId="18" applyNumberFormat="1" applyFill="1" applyAlignment="1" applyProtection="1">
      <alignment horizontal="center" vertical="center"/>
      <protection locked="0"/>
    </xf>
    <xf numFmtId="2" fontId="16" fillId="3" borderId="36" xfId="18" applyNumberFormat="1" applyFill="1" applyBorder="1" applyAlignment="1">
      <alignment vertical="center"/>
    </xf>
    <xf numFmtId="0" fontId="16" fillId="3" borderId="36" xfId="18" applyFill="1" applyBorder="1" applyAlignment="1">
      <alignment vertical="center"/>
    </xf>
    <xf numFmtId="167" fontId="16" fillId="3" borderId="36" xfId="18" applyNumberFormat="1" applyFill="1" applyBorder="1" applyAlignment="1" applyProtection="1">
      <alignment horizontal="center" vertical="center"/>
      <protection locked="0"/>
    </xf>
    <xf numFmtId="0" fontId="3" fillId="7" borderId="41" xfId="13" applyFill="1" applyBorder="1" applyAlignment="1">
      <alignment horizontal="center" vertical="center"/>
    </xf>
    <xf numFmtId="0" fontId="3" fillId="7" borderId="59" xfId="13" applyFill="1" applyBorder="1" applyAlignment="1">
      <alignment horizontal="center" vertical="center"/>
    </xf>
    <xf numFmtId="0" fontId="14" fillId="7" borderId="2" xfId="13" applyFont="1" applyFill="1" applyBorder="1" applyAlignment="1">
      <alignment horizontal="center" vertical="center"/>
    </xf>
    <xf numFmtId="0" fontId="4" fillId="4" borderId="60" xfId="14" applyFont="1" applyFill="1" applyBorder="1" applyAlignment="1">
      <alignment horizontal="left"/>
    </xf>
    <xf numFmtId="0" fontId="4" fillId="4" borderId="54" xfId="14" applyFont="1" applyFill="1" applyBorder="1" applyAlignment="1">
      <alignment horizontal="center"/>
    </xf>
    <xf numFmtId="0" fontId="3" fillId="7" borderId="61" xfId="13" applyFill="1" applyBorder="1" applyAlignment="1">
      <alignment horizontal="center" vertical="center"/>
    </xf>
    <xf numFmtId="0" fontId="14" fillId="7" borderId="49" xfId="13" applyFont="1" applyFill="1" applyBorder="1" applyAlignment="1">
      <alignment horizontal="center" vertical="center"/>
    </xf>
    <xf numFmtId="0" fontId="3" fillId="7" borderId="57" xfId="13" applyFill="1" applyBorder="1" applyAlignment="1">
      <alignment horizontal="center" vertical="center"/>
    </xf>
    <xf numFmtId="0" fontId="14" fillId="7" borderId="36" xfId="13" applyFont="1" applyFill="1" applyBorder="1" applyAlignment="1">
      <alignment horizontal="center" vertical="center"/>
    </xf>
    <xf numFmtId="0" fontId="27" fillId="0" borderId="0" xfId="14" applyFont="1"/>
    <xf numFmtId="0" fontId="27" fillId="0" borderId="0" xfId="0" applyFont="1"/>
    <xf numFmtId="0" fontId="34" fillId="7" borderId="61" xfId="13" applyFont="1" applyFill="1" applyBorder="1" applyAlignment="1" applyProtection="1">
      <alignment horizontal="center" vertical="center"/>
      <protection locked="0"/>
    </xf>
    <xf numFmtId="0" fontId="35" fillId="7" borderId="49" xfId="13" applyFont="1" applyFill="1" applyBorder="1" applyAlignment="1" applyProtection="1">
      <alignment horizontal="center" vertical="center"/>
      <protection locked="0"/>
    </xf>
    <xf numFmtId="0" fontId="34" fillId="7" borderId="59" xfId="13" applyFont="1" applyFill="1" applyBorder="1" applyAlignment="1" applyProtection="1">
      <alignment horizontal="center" vertical="center"/>
      <protection locked="0"/>
    </xf>
    <xf numFmtId="0" fontId="35" fillId="7" borderId="2" xfId="13" applyFont="1" applyFill="1" applyBorder="1" applyAlignment="1" applyProtection="1">
      <alignment horizontal="center" vertical="center"/>
      <protection locked="0"/>
    </xf>
    <xf numFmtId="0" fontId="20" fillId="3" borderId="0" xfId="18" applyFont="1" applyFill="1" applyAlignment="1" applyProtection="1">
      <alignment vertical="center"/>
      <protection locked="0"/>
    </xf>
    <xf numFmtId="0" fontId="18" fillId="3" borderId="0" xfId="15" applyFont="1" applyFill="1" applyAlignment="1" applyProtection="1">
      <alignment horizontal="center" vertical="center"/>
      <protection locked="0"/>
    </xf>
    <xf numFmtId="0" fontId="18" fillId="3" borderId="0" xfId="18" applyFont="1" applyFill="1" applyAlignment="1">
      <alignment horizontal="center" vertical="center"/>
    </xf>
    <xf numFmtId="167" fontId="6" fillId="3" borderId="18" xfId="18" applyNumberFormat="1" applyFont="1" applyFill="1" applyBorder="1" applyAlignment="1" applyProtection="1">
      <alignment vertical="center"/>
      <protection locked="0"/>
    </xf>
    <xf numFmtId="0" fontId="37" fillId="0" borderId="51" xfId="0" applyFont="1" applyBorder="1" applyAlignment="1">
      <alignment horizontal="center" vertical="center" wrapText="1"/>
    </xf>
    <xf numFmtId="0" fontId="37" fillId="0" borderId="35" xfId="0" applyFont="1" applyBorder="1" applyAlignment="1">
      <alignment horizontal="center" vertical="center" wrapText="1"/>
    </xf>
    <xf numFmtId="0" fontId="37" fillId="0" borderId="50" xfId="0" applyFont="1" applyBorder="1" applyAlignment="1">
      <alignment horizontal="center" vertical="center" wrapText="1"/>
    </xf>
    <xf numFmtId="0" fontId="37" fillId="0" borderId="61" xfId="0" applyFont="1" applyBorder="1" applyAlignment="1">
      <alignment horizontal="center" vertical="center" wrapText="1"/>
    </xf>
    <xf numFmtId="0" fontId="37" fillId="0" borderId="56" xfId="0" applyFont="1" applyBorder="1" applyAlignment="1">
      <alignment horizontal="center" vertical="center" wrapText="1"/>
    </xf>
    <xf numFmtId="0" fontId="37" fillId="0" borderId="29" xfId="0" applyFont="1" applyBorder="1" applyAlignment="1">
      <alignment horizontal="center" vertical="center" wrapText="1"/>
    </xf>
    <xf numFmtId="0" fontId="37" fillId="0" borderId="73" xfId="0" applyFont="1" applyBorder="1" applyAlignment="1">
      <alignment horizontal="center" vertical="center" wrapText="1"/>
    </xf>
    <xf numFmtId="0" fontId="37" fillId="0" borderId="23" xfId="0" applyFont="1" applyBorder="1" applyAlignment="1">
      <alignment horizontal="center" vertical="center" wrapText="1"/>
    </xf>
    <xf numFmtId="0" fontId="37" fillId="0" borderId="57" xfId="0" applyFont="1" applyBorder="1" applyAlignment="1">
      <alignment horizontal="center" vertical="center" wrapText="1"/>
    </xf>
    <xf numFmtId="0" fontId="37" fillId="0" borderId="67" xfId="0" applyFont="1" applyBorder="1" applyAlignment="1">
      <alignment horizontal="center" vertical="center" wrapText="1"/>
    </xf>
    <xf numFmtId="0" fontId="37" fillId="0" borderId="52" xfId="0" applyFont="1" applyBorder="1" applyAlignment="1">
      <alignment horizontal="center" vertical="center" wrapText="1"/>
    </xf>
    <xf numFmtId="0" fontId="22" fillId="3" borderId="0" xfId="15" applyFont="1" applyFill="1" applyAlignment="1" applyProtection="1">
      <alignment vertical="center" wrapText="1"/>
      <protection locked="0"/>
    </xf>
    <xf numFmtId="0" fontId="3" fillId="3" borderId="0" xfId="18" applyFont="1" applyFill="1" applyAlignment="1" applyProtection="1">
      <alignment vertical="center"/>
      <protection locked="0"/>
    </xf>
    <xf numFmtId="49" fontId="30" fillId="3" borderId="0" xfId="18" applyNumberFormat="1" applyFont="1" applyFill="1" applyAlignment="1" applyProtection="1">
      <alignment vertical="center"/>
      <protection locked="0"/>
    </xf>
    <xf numFmtId="0" fontId="25" fillId="3" borderId="0" xfId="18" applyFont="1" applyFill="1" applyProtection="1">
      <protection hidden="1"/>
    </xf>
    <xf numFmtId="0" fontId="37" fillId="0" borderId="14" xfId="0" applyFont="1" applyBorder="1" applyAlignment="1">
      <alignment horizontal="center" vertical="center" wrapText="1"/>
    </xf>
    <xf numFmtId="0" fontId="37" fillId="0" borderId="32" xfId="0" applyFont="1" applyBorder="1" applyAlignment="1">
      <alignment horizontal="center" vertical="center" wrapText="1"/>
    </xf>
    <xf numFmtId="0" fontId="18" fillId="3" borderId="27" xfId="18" applyFont="1" applyFill="1" applyBorder="1" applyAlignment="1">
      <alignment horizontal="center" vertical="center"/>
    </xf>
    <xf numFmtId="0" fontId="18" fillId="3" borderId="27" xfId="15" applyFont="1" applyFill="1" applyBorder="1" applyAlignment="1" applyProtection="1">
      <alignment horizontal="center" vertical="center"/>
      <protection locked="0"/>
    </xf>
    <xf numFmtId="168" fontId="31" fillId="6" borderId="20" xfId="18" applyNumberFormat="1" applyFont="1" applyFill="1" applyBorder="1" applyAlignment="1" applyProtection="1">
      <alignment horizontal="center" vertical="center"/>
      <protection locked="0"/>
    </xf>
    <xf numFmtId="0" fontId="15" fillId="6" borderId="21" xfId="18" applyFont="1" applyFill="1" applyBorder="1" applyAlignment="1" applyProtection="1">
      <alignment horizontal="center" vertical="center"/>
      <protection locked="0"/>
    </xf>
    <xf numFmtId="168" fontId="31" fillId="6" borderId="25" xfId="18" applyNumberFormat="1" applyFont="1" applyFill="1" applyBorder="1" applyAlignment="1" applyProtection="1">
      <alignment horizontal="center" vertical="center"/>
      <protection locked="0"/>
    </xf>
    <xf numFmtId="0" fontId="15" fillId="6" borderId="31" xfId="18" applyFont="1" applyFill="1" applyBorder="1" applyAlignment="1" applyProtection="1">
      <alignment horizontal="center" vertical="center"/>
      <protection locked="0"/>
    </xf>
    <xf numFmtId="0" fontId="16" fillId="3" borderId="0" xfId="18" applyFill="1"/>
    <xf numFmtId="0" fontId="3" fillId="3" borderId="0" xfId="18" applyFont="1" applyFill="1" applyAlignment="1">
      <alignment vertical="center"/>
    </xf>
    <xf numFmtId="0" fontId="3" fillId="3" borderId="0" xfId="18" applyFont="1" applyFill="1" applyAlignment="1">
      <alignment horizontal="center" vertical="center"/>
    </xf>
    <xf numFmtId="0" fontId="41" fillId="3" borderId="13" xfId="18" applyFont="1" applyFill="1" applyBorder="1" applyAlignment="1" applyProtection="1">
      <alignment vertical="center"/>
      <protection locked="0"/>
    </xf>
    <xf numFmtId="168" fontId="47" fillId="12" borderId="25" xfId="18" applyNumberFormat="1" applyFont="1" applyFill="1" applyBorder="1" applyAlignment="1" applyProtection="1">
      <alignment horizontal="center" vertical="center" wrapText="1" shrinkToFit="1"/>
      <protection hidden="1"/>
    </xf>
    <xf numFmtId="168" fontId="47" fillId="12" borderId="21" xfId="18" applyNumberFormat="1" applyFont="1" applyFill="1" applyBorder="1" applyAlignment="1" applyProtection="1">
      <alignment horizontal="center" vertical="center" wrapText="1" shrinkToFit="1"/>
      <protection hidden="1"/>
    </xf>
    <xf numFmtId="3" fontId="27" fillId="6" borderId="38" xfId="18" applyNumberFormat="1" applyFont="1" applyFill="1" applyBorder="1" applyAlignment="1" applyProtection="1">
      <alignment horizontal="center" vertical="center" wrapText="1" shrinkToFit="1"/>
      <protection locked="0"/>
    </xf>
    <xf numFmtId="3" fontId="27" fillId="6" borderId="22" xfId="18" applyNumberFormat="1" applyFont="1" applyFill="1" applyBorder="1" applyAlignment="1" applyProtection="1">
      <alignment horizontal="center" vertical="center" wrapText="1" shrinkToFit="1"/>
      <protection locked="0"/>
    </xf>
    <xf numFmtId="3" fontId="48" fillId="0" borderId="76" xfId="18" applyNumberFormat="1" applyFont="1" applyBorder="1" applyAlignment="1" applyProtection="1">
      <alignment horizontal="center" vertical="center" wrapText="1" shrinkToFit="1"/>
      <protection locked="0" hidden="1"/>
    </xf>
    <xf numFmtId="2" fontId="10" fillId="13" borderId="39" xfId="18" applyNumberFormat="1" applyFont="1" applyFill="1" applyBorder="1" applyAlignment="1" applyProtection="1">
      <alignment horizontal="center" vertical="center"/>
      <protection hidden="1"/>
    </xf>
    <xf numFmtId="167" fontId="21" fillId="13" borderId="20" xfId="18" quotePrefix="1" applyNumberFormat="1" applyFont="1" applyFill="1" applyBorder="1" applyAlignment="1" applyProtection="1">
      <alignment horizontal="center" vertical="center"/>
      <protection hidden="1"/>
    </xf>
    <xf numFmtId="0" fontId="21" fillId="13" borderId="25" xfId="18" quotePrefix="1" applyFont="1" applyFill="1" applyBorder="1" applyAlignment="1" applyProtection="1">
      <alignment horizontal="center" vertical="center"/>
      <protection hidden="1"/>
    </xf>
    <xf numFmtId="0" fontId="21" fillId="13" borderId="31" xfId="18" applyFont="1" applyFill="1" applyBorder="1" applyAlignment="1" applyProtection="1">
      <alignment horizontal="center" vertical="center"/>
      <protection hidden="1"/>
    </xf>
    <xf numFmtId="0" fontId="21" fillId="13" borderId="20" xfId="18" applyFont="1" applyFill="1" applyBorder="1" applyAlignment="1" applyProtection="1">
      <alignment horizontal="center" vertical="center"/>
      <protection hidden="1"/>
    </xf>
    <xf numFmtId="0" fontId="21" fillId="13" borderId="21" xfId="18" applyFont="1" applyFill="1" applyBorder="1" applyAlignment="1" applyProtection="1">
      <alignment horizontal="center" vertical="center"/>
      <protection hidden="1"/>
    </xf>
    <xf numFmtId="0" fontId="21" fillId="13" borderId="40" xfId="18" applyFont="1" applyFill="1" applyBorder="1" applyAlignment="1" applyProtection="1">
      <alignment horizontal="center" vertical="center"/>
      <protection hidden="1"/>
    </xf>
    <xf numFmtId="167" fontId="10" fillId="13" borderId="20" xfId="18" applyNumberFormat="1" applyFont="1" applyFill="1" applyBorder="1" applyAlignment="1" applyProtection="1">
      <alignment horizontal="center" vertical="center"/>
      <protection hidden="1"/>
    </xf>
    <xf numFmtId="2" fontId="49" fillId="13" borderId="42" xfId="18" applyNumberFormat="1" applyFont="1" applyFill="1" applyBorder="1" applyAlignment="1" applyProtection="1">
      <alignment horizontal="center" vertical="center"/>
      <protection hidden="1"/>
    </xf>
    <xf numFmtId="2" fontId="36" fillId="13" borderId="4" xfId="18" applyNumberFormat="1" applyFont="1" applyFill="1" applyBorder="1" applyAlignment="1" applyProtection="1">
      <alignment horizontal="center" vertical="center"/>
      <protection hidden="1"/>
    </xf>
    <xf numFmtId="2" fontId="36" fillId="13" borderId="16" xfId="18" applyNumberFormat="1" applyFont="1" applyFill="1" applyBorder="1" applyAlignment="1" applyProtection="1">
      <alignment horizontal="center" vertical="center"/>
      <protection hidden="1"/>
    </xf>
    <xf numFmtId="0" fontId="10" fillId="13" borderId="20" xfId="18" applyFont="1" applyFill="1" applyBorder="1" applyAlignment="1" applyProtection="1">
      <alignment horizontal="center" vertical="center"/>
      <protection hidden="1"/>
    </xf>
    <xf numFmtId="2" fontId="10" fillId="13" borderId="56" xfId="18" applyNumberFormat="1" applyFont="1" applyFill="1" applyBorder="1" applyAlignment="1" applyProtection="1">
      <alignment horizontal="center" vertical="center"/>
      <protection hidden="1"/>
    </xf>
    <xf numFmtId="2" fontId="10" fillId="13" borderId="40" xfId="18" applyNumberFormat="1" applyFont="1" applyFill="1" applyBorder="1" applyAlignment="1" applyProtection="1">
      <alignment horizontal="center" vertical="center"/>
      <protection hidden="1"/>
    </xf>
    <xf numFmtId="2" fontId="10" fillId="13" borderId="26" xfId="18" applyNumberFormat="1" applyFont="1" applyFill="1" applyBorder="1" applyAlignment="1" applyProtection="1">
      <alignment horizontal="center" vertical="center"/>
      <protection hidden="1"/>
    </xf>
    <xf numFmtId="2" fontId="10" fillId="13" borderId="43" xfId="18" applyNumberFormat="1" applyFont="1" applyFill="1" applyBorder="1" applyAlignment="1" applyProtection="1">
      <alignment horizontal="center" vertical="center"/>
      <protection hidden="1"/>
    </xf>
    <xf numFmtId="167" fontId="15" fillId="13" borderId="40" xfId="18" applyNumberFormat="1" applyFont="1" applyFill="1" applyBorder="1" applyAlignment="1" applyProtection="1">
      <alignment horizontal="center" vertical="center" wrapText="1" shrinkToFit="1"/>
      <protection hidden="1"/>
    </xf>
    <xf numFmtId="2" fontId="7" fillId="13" borderId="31" xfId="18" applyNumberFormat="1" applyFont="1" applyFill="1" applyBorder="1" applyAlignment="1" applyProtection="1">
      <alignment horizontal="center" vertical="center"/>
      <protection hidden="1"/>
    </xf>
    <xf numFmtId="0" fontId="18" fillId="3" borderId="18" xfId="18" applyFont="1" applyFill="1" applyBorder="1" applyAlignment="1">
      <alignment horizontal="center" vertical="center"/>
    </xf>
    <xf numFmtId="0" fontId="22" fillId="3" borderId="27" xfId="15" quotePrefix="1" applyFont="1" applyFill="1" applyBorder="1" applyAlignment="1" applyProtection="1">
      <alignment vertical="center" wrapText="1"/>
      <protection locked="0"/>
    </xf>
    <xf numFmtId="0" fontId="18" fillId="3" borderId="28" xfId="18" applyFont="1" applyFill="1" applyBorder="1" applyAlignment="1">
      <alignment horizontal="center" vertical="center"/>
    </xf>
    <xf numFmtId="0" fontId="3" fillId="3" borderId="2" xfId="18" applyFont="1" applyFill="1" applyBorder="1" applyAlignment="1" applyProtection="1">
      <alignment vertical="center"/>
      <protection locked="0"/>
    </xf>
    <xf numFmtId="0" fontId="18" fillId="3" borderId="28" xfId="18" applyFont="1" applyFill="1" applyBorder="1" applyAlignment="1">
      <alignment vertical="center"/>
    </xf>
    <xf numFmtId="0" fontId="3" fillId="3" borderId="18" xfId="18" applyFont="1" applyFill="1" applyBorder="1" applyAlignment="1" applyProtection="1">
      <alignment vertical="center"/>
      <protection locked="0"/>
    </xf>
    <xf numFmtId="2" fontId="10" fillId="13" borderId="20" xfId="18" applyNumberFormat="1" applyFont="1" applyFill="1" applyBorder="1" applyAlignment="1" applyProtection="1">
      <alignment horizontal="center" vertical="center"/>
      <protection hidden="1"/>
    </xf>
    <xf numFmtId="2" fontId="10" fillId="13" borderId="21" xfId="18" applyNumberFormat="1" applyFont="1" applyFill="1" applyBorder="1" applyAlignment="1" applyProtection="1">
      <alignment horizontal="center" vertical="center"/>
      <protection hidden="1"/>
    </xf>
    <xf numFmtId="2" fontId="26" fillId="0" borderId="18" xfId="2" applyNumberFormat="1" applyFont="1" applyFill="1" applyBorder="1" applyAlignment="1" applyProtection="1">
      <alignment horizontal="center" vertical="center" wrapText="1"/>
      <protection locked="0"/>
    </xf>
    <xf numFmtId="2" fontId="26" fillId="0" borderId="19" xfId="2" applyNumberFormat="1" applyFont="1" applyFill="1" applyBorder="1" applyAlignment="1" applyProtection="1">
      <alignment horizontal="center" vertical="center" wrapText="1"/>
      <protection locked="0"/>
    </xf>
    <xf numFmtId="2" fontId="24" fillId="0" borderId="58" xfId="9" applyNumberFormat="1" applyFont="1" applyFill="1" applyBorder="1" applyAlignment="1" applyProtection="1">
      <alignment horizontal="center" vertical="center" shrinkToFit="1"/>
      <protection locked="0"/>
    </xf>
    <xf numFmtId="2" fontId="40" fillId="0" borderId="17" xfId="2" applyNumberFormat="1" applyFont="1" applyFill="1" applyBorder="1" applyAlignment="1" applyProtection="1">
      <alignment horizontal="center" vertical="center" shrinkToFit="1"/>
      <protection locked="0"/>
    </xf>
    <xf numFmtId="2" fontId="40" fillId="0" borderId="38" xfId="2" applyNumberFormat="1" applyFont="1" applyFill="1" applyBorder="1" applyAlignment="1" applyProtection="1">
      <alignment horizontal="center" vertical="center" shrinkToFit="1"/>
      <protection locked="0"/>
    </xf>
    <xf numFmtId="2" fontId="26" fillId="0" borderId="17" xfId="2" applyNumberFormat="1" applyFont="1" applyFill="1" applyBorder="1" applyAlignment="1" applyProtection="1">
      <alignment horizontal="center" vertical="center" wrapText="1"/>
      <protection locked="0"/>
    </xf>
    <xf numFmtId="2" fontId="26" fillId="0" borderId="58" xfId="2" applyNumberFormat="1" applyFont="1" applyFill="1" applyBorder="1" applyAlignment="1" applyProtection="1">
      <alignment horizontal="center" vertical="center" wrapText="1"/>
      <protection locked="0"/>
    </xf>
    <xf numFmtId="2" fontId="40" fillId="0" borderId="22" xfId="2" applyNumberFormat="1" applyFont="1" applyFill="1" applyBorder="1" applyAlignment="1" applyProtection="1">
      <alignment horizontal="center" vertical="center" wrapText="1" shrinkToFit="1"/>
      <protection locked="0"/>
    </xf>
    <xf numFmtId="2" fontId="40" fillId="0" borderId="18" xfId="2" applyNumberFormat="1" applyFont="1" applyFill="1" applyBorder="1" applyAlignment="1" applyProtection="1">
      <alignment horizontal="center" vertical="center" wrapText="1" shrinkToFit="1"/>
      <protection locked="0"/>
    </xf>
    <xf numFmtId="2" fontId="24" fillId="0" borderId="19" xfId="9" applyNumberFormat="1" applyFont="1" applyFill="1" applyBorder="1" applyAlignment="1" applyProtection="1">
      <alignment horizontal="center" vertical="center" wrapText="1" shrinkToFit="1"/>
      <protection locked="0"/>
    </xf>
    <xf numFmtId="0" fontId="26" fillId="12" borderId="21" xfId="18" applyFont="1" applyFill="1" applyBorder="1" applyAlignment="1" applyProtection="1">
      <alignment horizontal="center" vertical="center" wrapText="1" shrinkToFit="1"/>
      <protection hidden="1"/>
    </xf>
    <xf numFmtId="0" fontId="26" fillId="12" borderId="40" xfId="18" applyFont="1" applyFill="1" applyBorder="1" applyAlignment="1" applyProtection="1">
      <alignment horizontal="center" vertical="center" wrapText="1" shrinkToFit="1"/>
      <protection hidden="1"/>
    </xf>
    <xf numFmtId="0" fontId="11" fillId="13" borderId="19" xfId="18" applyFont="1" applyFill="1" applyBorder="1" applyAlignment="1" applyProtection="1">
      <alignment horizontal="center" vertical="center"/>
      <protection hidden="1"/>
    </xf>
    <xf numFmtId="0" fontId="11" fillId="13" borderId="18" xfId="18" applyFont="1" applyFill="1" applyBorder="1" applyAlignment="1" applyProtection="1">
      <alignment horizontal="center" vertical="center"/>
      <protection hidden="1"/>
    </xf>
    <xf numFmtId="0" fontId="11" fillId="13" borderId="22" xfId="18" applyFont="1" applyFill="1" applyBorder="1" applyAlignment="1" applyProtection="1">
      <alignment horizontal="center" vertical="center"/>
      <protection hidden="1"/>
    </xf>
    <xf numFmtId="0" fontId="26" fillId="13" borderId="11" xfId="18" applyFont="1" applyFill="1" applyBorder="1" applyAlignment="1" applyProtection="1">
      <alignment horizontal="center" vertical="center" wrapText="1" shrinkToFit="1"/>
      <protection hidden="1"/>
    </xf>
    <xf numFmtId="0" fontId="26" fillId="13" borderId="18" xfId="18" applyFont="1" applyFill="1" applyBorder="1" applyAlignment="1" applyProtection="1">
      <alignment horizontal="center" vertical="center" wrapText="1" shrinkToFit="1"/>
      <protection hidden="1"/>
    </xf>
    <xf numFmtId="0" fontId="26" fillId="13" borderId="27" xfId="18" applyFont="1" applyFill="1" applyBorder="1" applyAlignment="1" applyProtection="1">
      <alignment horizontal="center" vertical="center" wrapText="1" shrinkToFit="1"/>
      <protection hidden="1"/>
    </xf>
    <xf numFmtId="49" fontId="3" fillId="13" borderId="15" xfId="18" applyNumberFormat="1" applyFont="1" applyFill="1" applyBorder="1" applyAlignment="1" applyProtection="1">
      <alignment horizontal="center" vertical="center"/>
      <protection hidden="1"/>
    </xf>
    <xf numFmtId="49" fontId="3" fillId="13" borderId="23" xfId="18" applyNumberFormat="1" applyFont="1" applyFill="1" applyBorder="1" applyAlignment="1" applyProtection="1">
      <alignment horizontal="center" vertical="center"/>
      <protection hidden="1"/>
    </xf>
    <xf numFmtId="14" fontId="3" fillId="13" borderId="15" xfId="18" applyNumberFormat="1" applyFont="1" applyFill="1" applyBorder="1" applyAlignment="1" applyProtection="1">
      <alignment horizontal="center" vertical="center"/>
      <protection hidden="1"/>
    </xf>
    <xf numFmtId="0" fontId="3" fillId="13" borderId="23" xfId="18" applyFont="1" applyFill="1" applyBorder="1" applyAlignment="1" applyProtection="1">
      <alignment horizontal="center" vertical="center"/>
      <protection hidden="1"/>
    </xf>
    <xf numFmtId="49" fontId="6" fillId="13" borderId="23" xfId="18" applyNumberFormat="1" applyFont="1" applyFill="1" applyBorder="1" applyAlignment="1" applyProtection="1">
      <alignment vertical="center"/>
      <protection hidden="1"/>
    </xf>
    <xf numFmtId="14" fontId="3" fillId="13" borderId="23" xfId="18" applyNumberFormat="1" applyFont="1" applyFill="1" applyBorder="1" applyAlignment="1" applyProtection="1">
      <alignment horizontal="center" vertical="center"/>
      <protection hidden="1"/>
    </xf>
    <xf numFmtId="4" fontId="27" fillId="13" borderId="31" xfId="18" applyNumberFormat="1" applyFont="1" applyFill="1" applyBorder="1" applyAlignment="1" applyProtection="1">
      <alignment horizontal="center" vertical="center" wrapText="1" shrinkToFit="1"/>
      <protection hidden="1"/>
    </xf>
    <xf numFmtId="3" fontId="27" fillId="13" borderId="54" xfId="18" applyNumberFormat="1" applyFont="1" applyFill="1" applyBorder="1" applyAlignment="1" applyProtection="1">
      <alignment horizontal="center" vertical="center" wrapText="1" shrinkToFit="1"/>
      <protection hidden="1"/>
    </xf>
    <xf numFmtId="3" fontId="27" fillId="13" borderId="22" xfId="18" applyNumberFormat="1" applyFont="1" applyFill="1" applyBorder="1" applyAlignment="1" applyProtection="1">
      <alignment horizontal="center" vertical="center" wrapText="1" shrinkToFit="1"/>
      <protection hidden="1"/>
    </xf>
    <xf numFmtId="49" fontId="11" fillId="13" borderId="5" xfId="18" applyNumberFormat="1" applyFont="1" applyFill="1" applyBorder="1" applyAlignment="1" applyProtection="1">
      <alignment horizontal="left" vertical="center"/>
      <protection hidden="1"/>
    </xf>
    <xf numFmtId="49" fontId="11" fillId="13" borderId="11" xfId="18" applyNumberFormat="1" applyFont="1" applyFill="1" applyBorder="1" applyAlignment="1" applyProtection="1">
      <alignment horizontal="left" vertical="center"/>
      <protection hidden="1"/>
    </xf>
    <xf numFmtId="0" fontId="11" fillId="13" borderId="11" xfId="18" applyFont="1" applyFill="1" applyBorder="1" applyAlignment="1" applyProtection="1">
      <alignment horizontal="left" vertical="center"/>
      <protection hidden="1"/>
    </xf>
    <xf numFmtId="0" fontId="11" fillId="13" borderId="25" xfId="18" applyFont="1" applyFill="1" applyBorder="1" applyAlignment="1" applyProtection="1">
      <alignment horizontal="left" vertical="center"/>
      <protection hidden="1"/>
    </xf>
    <xf numFmtId="0" fontId="3" fillId="13" borderId="12" xfId="18" applyFont="1" applyFill="1" applyBorder="1" applyAlignment="1" applyProtection="1">
      <alignment vertical="center"/>
      <protection hidden="1"/>
    </xf>
    <xf numFmtId="0" fontId="3" fillId="13" borderId="13" xfId="18" applyFont="1" applyFill="1" applyBorder="1" applyAlignment="1">
      <alignment vertical="center"/>
    </xf>
    <xf numFmtId="0" fontId="3" fillId="13" borderId="0" xfId="18" applyFont="1" applyFill="1" applyAlignment="1" applyProtection="1">
      <alignment horizontal="center" vertical="center"/>
      <protection hidden="1"/>
    </xf>
    <xf numFmtId="0" fontId="16" fillId="13" borderId="16" xfId="18" applyFill="1" applyBorder="1" applyAlignment="1" applyProtection="1">
      <alignment vertical="center"/>
      <protection hidden="1"/>
    </xf>
    <xf numFmtId="0" fontId="3" fillId="13" borderId="15" xfId="18" applyFont="1" applyFill="1" applyBorder="1" applyAlignment="1" applyProtection="1">
      <alignment vertical="center"/>
      <protection hidden="1"/>
    </xf>
    <xf numFmtId="0" fontId="7" fillId="13" borderId="0" xfId="18" applyFont="1" applyFill="1" applyAlignment="1" applyProtection="1">
      <alignment horizontal="center" vertical="center"/>
      <protection hidden="1"/>
    </xf>
    <xf numFmtId="0" fontId="7" fillId="13" borderId="15" xfId="18" applyFont="1" applyFill="1" applyBorder="1" applyAlignment="1" applyProtection="1">
      <alignment horizontal="right" vertical="center"/>
      <protection hidden="1"/>
    </xf>
    <xf numFmtId="49" fontId="11" fillId="13" borderId="14" xfId="18" applyNumberFormat="1" applyFont="1" applyFill="1" applyBorder="1" applyAlignment="1" applyProtection="1">
      <alignment vertical="justify"/>
      <protection hidden="1"/>
    </xf>
    <xf numFmtId="49" fontId="11" fillId="13" borderId="15" xfId="18" applyNumberFormat="1" applyFont="1" applyFill="1" applyBorder="1" applyAlignment="1" applyProtection="1">
      <alignment vertical="justify"/>
      <protection hidden="1"/>
    </xf>
    <xf numFmtId="49" fontId="11" fillId="13" borderId="16" xfId="18" applyNumberFormat="1" applyFont="1" applyFill="1" applyBorder="1" applyAlignment="1" applyProtection="1">
      <alignment vertical="justify"/>
      <protection hidden="1"/>
    </xf>
    <xf numFmtId="49" fontId="11" fillId="13" borderId="55" xfId="18" applyNumberFormat="1" applyFont="1" applyFill="1" applyBorder="1" applyAlignment="1" applyProtection="1">
      <alignment vertical="justify"/>
      <protection hidden="1"/>
    </xf>
    <xf numFmtId="49" fontId="11" fillId="13" borderId="56" xfId="18" applyNumberFormat="1" applyFont="1" applyFill="1" applyBorder="1" applyAlignment="1" applyProtection="1">
      <alignment vertical="justify"/>
      <protection hidden="1"/>
    </xf>
    <xf numFmtId="0" fontId="27" fillId="13" borderId="63" xfId="18" applyFont="1" applyFill="1" applyBorder="1" applyAlignment="1" applyProtection="1">
      <alignment horizontal="center" vertical="center" wrapText="1" shrinkToFit="1"/>
      <protection hidden="1"/>
    </xf>
    <xf numFmtId="0" fontId="12" fillId="0" borderId="62" xfId="15" applyFont="1" applyBorder="1" applyAlignment="1" applyProtection="1">
      <alignment horizontal="center" vertical="center" wrapText="1"/>
      <protection locked="0"/>
    </xf>
    <xf numFmtId="0" fontId="15" fillId="13" borderId="62" xfId="15" applyFont="1" applyFill="1" applyBorder="1" applyAlignment="1" applyProtection="1">
      <alignment horizontal="center" vertical="center" wrapText="1"/>
      <protection hidden="1"/>
    </xf>
    <xf numFmtId="49" fontId="30" fillId="13" borderId="0" xfId="18" applyNumberFormat="1" applyFont="1" applyFill="1" applyAlignment="1" applyProtection="1">
      <alignment vertical="center"/>
      <protection hidden="1"/>
    </xf>
    <xf numFmtId="49" fontId="30" fillId="13" borderId="16" xfId="18" applyNumberFormat="1" applyFont="1" applyFill="1" applyBorder="1" applyAlignment="1" applyProtection="1">
      <alignment vertical="center"/>
      <protection hidden="1"/>
    </xf>
    <xf numFmtId="0" fontId="3" fillId="13" borderId="13" xfId="18" applyFont="1" applyFill="1" applyBorder="1" applyAlignment="1" applyProtection="1">
      <alignment horizontal="center" vertical="center"/>
      <protection hidden="1"/>
    </xf>
    <xf numFmtId="0" fontId="0" fillId="0" borderId="1" xfId="0" applyBorder="1"/>
    <xf numFmtId="0" fontId="0" fillId="0" borderId="1" xfId="0" applyBorder="1" applyAlignment="1">
      <alignment horizontal="center"/>
    </xf>
    <xf numFmtId="0" fontId="0" fillId="0" borderId="2" xfId="0" applyBorder="1"/>
    <xf numFmtId="49" fontId="6" fillId="0" borderId="0" xfId="0" applyNumberFormat="1" applyFont="1" applyAlignment="1">
      <alignment horizontal="center"/>
    </xf>
    <xf numFmtId="49" fontId="3" fillId="0" borderId="0" xfId="0" applyNumberFormat="1" applyFont="1" applyAlignment="1">
      <alignment horizontal="center"/>
    </xf>
    <xf numFmtId="0" fontId="8" fillId="0" borderId="0" xfId="0" applyFont="1" applyAlignment="1">
      <alignment horizontal="center" wrapText="1"/>
    </xf>
    <xf numFmtId="0" fontId="0" fillId="0" borderId="3" xfId="0" applyBorder="1"/>
    <xf numFmtId="0" fontId="0" fillId="0" borderId="4" xfId="0" applyBorder="1"/>
    <xf numFmtId="0" fontId="0" fillId="0" borderId="5" xfId="0" applyBorder="1"/>
    <xf numFmtId="0" fontId="6" fillId="0" borderId="1" xfId="0" applyFont="1" applyBorder="1"/>
    <xf numFmtId="0" fontId="9" fillId="0" borderId="1" xfId="0" applyFont="1" applyBorder="1"/>
    <xf numFmtId="0" fontId="6" fillId="0" borderId="6" xfId="0" applyFont="1" applyBorder="1" applyAlignment="1">
      <alignment horizontal="left"/>
    </xf>
    <xf numFmtId="0" fontId="3" fillId="0" borderId="2" xfId="0" applyFont="1" applyBorder="1" applyAlignment="1">
      <alignment horizontal="left"/>
    </xf>
    <xf numFmtId="0" fontId="6" fillId="0" borderId="0" xfId="0" applyFont="1" applyAlignment="1">
      <alignment horizontal="center"/>
    </xf>
    <xf numFmtId="0" fontId="3" fillId="0" borderId="2" xfId="0" applyFont="1" applyBorder="1"/>
    <xf numFmtId="0" fontId="0" fillId="0" borderId="2" xfId="0" applyBorder="1" applyAlignment="1">
      <alignment horizontal="center"/>
    </xf>
    <xf numFmtId="0" fontId="5" fillId="0" borderId="0" xfId="0" applyFont="1" applyAlignment="1">
      <alignment horizontal="left"/>
    </xf>
    <xf numFmtId="49" fontId="6" fillId="0" borderId="0" xfId="0" applyNumberFormat="1" applyFont="1" applyAlignment="1">
      <alignment horizontal="center" wrapText="1"/>
    </xf>
    <xf numFmtId="0" fontId="6" fillId="0" borderId="0" xfId="0" applyFont="1" applyAlignment="1">
      <alignment horizontal="center" vertical="center"/>
    </xf>
    <xf numFmtId="2" fontId="5" fillId="0" borderId="0" xfId="0" applyNumberFormat="1" applyFont="1" applyAlignment="1">
      <alignment horizontal="center"/>
    </xf>
    <xf numFmtId="0" fontId="5" fillId="0" borderId="0" xfId="0" applyFont="1" applyAlignment="1">
      <alignment horizontal="center"/>
    </xf>
    <xf numFmtId="0" fontId="8" fillId="0" borderId="0" xfId="0" applyFont="1" applyAlignment="1">
      <alignment horizontal="center"/>
    </xf>
    <xf numFmtId="2" fontId="6" fillId="0" borderId="0" xfId="0" applyNumberFormat="1" applyFont="1" applyAlignment="1">
      <alignment horizontal="center"/>
    </xf>
    <xf numFmtId="0" fontId="6" fillId="0" borderId="0" xfId="0" applyFont="1" applyAlignment="1" applyProtection="1">
      <alignment horizontal="center"/>
      <protection hidden="1"/>
    </xf>
    <xf numFmtId="0" fontId="4" fillId="0" borderId="0" xfId="0" applyFont="1" applyAlignment="1">
      <alignment horizontal="center"/>
    </xf>
    <xf numFmtId="2" fontId="4" fillId="0" borderId="0" xfId="0" applyNumberFormat="1" applyFont="1" applyAlignment="1">
      <alignment horizontal="center"/>
    </xf>
    <xf numFmtId="49" fontId="0" fillId="0" borderId="1" xfId="0" applyNumberFormat="1" applyBorder="1"/>
    <xf numFmtId="49" fontId="7" fillId="0" borderId="0" xfId="0" quotePrefix="1" applyNumberFormat="1" applyFont="1" applyAlignment="1">
      <alignment horizontal="center" vertical="top"/>
    </xf>
    <xf numFmtId="0" fontId="0" fillId="0" borderId="7" xfId="0" applyBorder="1" applyAlignment="1">
      <alignment horizontal="center"/>
    </xf>
    <xf numFmtId="0" fontId="0" fillId="0" borderId="8" xfId="0" applyBorder="1" applyAlignment="1">
      <alignment horizontal="center"/>
    </xf>
    <xf numFmtId="0" fontId="10" fillId="0" borderId="2" xfId="0" applyFont="1" applyBorder="1" applyAlignment="1">
      <alignment horizontal="centerContinuous" vertical="center"/>
    </xf>
    <xf numFmtId="0" fontId="10" fillId="0" borderId="5" xfId="0" applyFont="1" applyBorder="1" applyAlignment="1">
      <alignment horizontal="centerContinuous" vertical="center"/>
    </xf>
    <xf numFmtId="0" fontId="8" fillId="0" borderId="1" xfId="0" applyFont="1" applyBorder="1" applyAlignment="1">
      <alignment horizontal="left"/>
    </xf>
    <xf numFmtId="0" fontId="10" fillId="0" borderId="9" xfId="0" applyFont="1" applyBorder="1" applyAlignment="1">
      <alignment horizontal="centerContinuous" vertical="center"/>
    </xf>
    <xf numFmtId="0" fontId="8" fillId="0" borderId="3" xfId="0" applyFont="1" applyBorder="1" applyAlignment="1">
      <alignment horizontal="center"/>
    </xf>
    <xf numFmtId="0" fontId="3" fillId="0" borderId="1" xfId="0" applyFont="1" applyBorder="1" applyAlignment="1">
      <alignment horizontal="left" vertical="center"/>
    </xf>
    <xf numFmtId="0" fontId="3" fillId="0" borderId="3" xfId="0" applyFont="1" applyBorder="1" applyAlignment="1">
      <alignment horizontal="left" vertical="center"/>
    </xf>
    <xf numFmtId="0" fontId="3" fillId="0" borderId="4" xfId="0" applyFont="1" applyBorder="1" applyAlignment="1">
      <alignment horizontal="left" vertical="center"/>
    </xf>
    <xf numFmtId="49" fontId="0" fillId="0" borderId="4" xfId="0" applyNumberFormat="1" applyBorder="1" applyAlignment="1">
      <alignment horizontal="left" vertical="center"/>
    </xf>
    <xf numFmtId="0" fontId="8" fillId="0" borderId="8" xfId="0" applyFont="1" applyBorder="1"/>
    <xf numFmtId="0" fontId="8" fillId="0" borderId="0" xfId="0" applyFont="1"/>
    <xf numFmtId="16" fontId="8" fillId="0" borderId="4" xfId="0" applyNumberFormat="1" applyFont="1" applyBorder="1" applyAlignment="1">
      <alignment horizontal="center"/>
    </xf>
    <xf numFmtId="0" fontId="9" fillId="0" borderId="0" xfId="0" applyFont="1" applyAlignment="1">
      <alignment horizontal="center"/>
    </xf>
    <xf numFmtId="0" fontId="0" fillId="0" borderId="8" xfId="0" applyBorder="1"/>
    <xf numFmtId="0" fontId="14" fillId="0" borderId="7" xfId="0" applyFont="1" applyBorder="1" applyAlignment="1">
      <alignment horizontal="center" vertical="center"/>
    </xf>
    <xf numFmtId="0" fontId="0" fillId="0" borderId="1" xfId="0" applyBorder="1" applyAlignment="1">
      <alignment vertical="center"/>
    </xf>
    <xf numFmtId="0" fontId="14" fillId="0" borderId="1" xfId="0" applyFont="1" applyBorder="1" applyAlignment="1">
      <alignment horizontal="center" vertical="center"/>
    </xf>
    <xf numFmtId="0" fontId="14" fillId="0" borderId="18" xfId="0" applyFont="1" applyBorder="1" applyAlignment="1">
      <alignment vertical="center"/>
    </xf>
    <xf numFmtId="0" fontId="0" fillId="0" borderId="26" xfId="0" applyBorder="1" applyAlignment="1">
      <alignment vertical="center"/>
    </xf>
    <xf numFmtId="0" fontId="3" fillId="0" borderId="4" xfId="0" applyFont="1" applyBorder="1" applyAlignment="1">
      <alignment horizontal="centerContinuous"/>
    </xf>
    <xf numFmtId="0" fontId="7" fillId="0" borderId="4" xfId="0" applyFont="1" applyBorder="1" applyAlignment="1">
      <alignment horizontal="right" vertical="top"/>
    </xf>
    <xf numFmtId="0" fontId="8" fillId="0" borderId="4" xfId="0" applyFont="1" applyBorder="1" applyAlignment="1">
      <alignment horizontal="center"/>
    </xf>
    <xf numFmtId="0" fontId="8" fillId="0" borderId="10" xfId="0" applyFont="1" applyBorder="1" applyAlignment="1">
      <alignment horizontal="center"/>
    </xf>
    <xf numFmtId="0" fontId="10" fillId="0" borderId="8" xfId="0" applyFont="1" applyBorder="1" applyAlignment="1">
      <alignment horizontal="center" vertical="center"/>
    </xf>
    <xf numFmtId="0" fontId="10" fillId="0" borderId="0" xfId="0" applyFont="1" applyAlignment="1">
      <alignment horizontal="center" vertical="center"/>
    </xf>
    <xf numFmtId="0" fontId="10" fillId="0" borderId="4" xfId="0" applyFont="1" applyBorder="1" applyAlignment="1">
      <alignment horizontal="center" vertical="center"/>
    </xf>
    <xf numFmtId="0" fontId="10" fillId="0" borderId="2" xfId="0" applyFont="1" applyBorder="1" applyAlignment="1">
      <alignment horizontal="center" vertical="center"/>
    </xf>
    <xf numFmtId="0" fontId="10" fillId="0" borderId="5" xfId="0" applyFont="1" applyBorder="1" applyAlignment="1">
      <alignment horizontal="center" vertical="center"/>
    </xf>
    <xf numFmtId="0" fontId="3" fillId="0" borderId="1" xfId="0" quotePrefix="1" applyFont="1" applyBorder="1" applyAlignment="1" applyProtection="1">
      <alignment horizontal="left" vertical="center"/>
      <protection locked="0"/>
    </xf>
    <xf numFmtId="0" fontId="3" fillId="0" borderId="26" xfId="0" applyFont="1" applyBorder="1" applyAlignment="1" applyProtection="1">
      <alignment vertical="center"/>
      <protection locked="0"/>
    </xf>
    <xf numFmtId="0" fontId="3" fillId="0" borderId="1" xfId="0" applyFont="1" applyBorder="1" applyAlignment="1" applyProtection="1">
      <alignment vertical="center"/>
      <protection locked="0"/>
    </xf>
    <xf numFmtId="49" fontId="0" fillId="0" borderId="6" xfId="0" applyNumberFormat="1" applyBorder="1" applyAlignment="1" applyProtection="1">
      <alignment horizontal="center" vertical="center"/>
      <protection locked="0"/>
    </xf>
    <xf numFmtId="0" fontId="4" fillId="0" borderId="18" xfId="0" applyFont="1" applyBorder="1" applyAlignment="1" applyProtection="1">
      <alignment horizontal="centerContinuous" vertical="center"/>
      <protection locked="0"/>
    </xf>
    <xf numFmtId="0" fontId="0" fillId="0" borderId="6" xfId="0" applyBorder="1" applyAlignment="1" applyProtection="1">
      <alignment horizontal="centerContinuous" vertical="center"/>
      <protection locked="0"/>
    </xf>
    <xf numFmtId="0" fontId="0" fillId="0" borderId="18" xfId="0" applyBorder="1" applyAlignment="1" applyProtection="1">
      <alignment horizontal="centerContinuous" vertical="center"/>
      <protection locked="0"/>
    </xf>
    <xf numFmtId="166" fontId="0" fillId="0" borderId="7" xfId="0" applyNumberFormat="1" applyBorder="1" applyAlignment="1" applyProtection="1">
      <alignment horizontal="center" vertical="center"/>
      <protection locked="0"/>
    </xf>
    <xf numFmtId="49" fontId="0" fillId="0" borderId="1" xfId="0" applyNumberFormat="1" applyBorder="1" applyAlignment="1" applyProtection="1">
      <alignment horizontal="center" vertical="center"/>
      <protection locked="0"/>
    </xf>
    <xf numFmtId="0" fontId="4" fillId="0" borderId="26" xfId="0" applyFont="1" applyBorder="1" applyAlignment="1" applyProtection="1">
      <alignment horizontal="centerContinuous" vertical="center"/>
      <protection locked="0"/>
    </xf>
    <xf numFmtId="0" fontId="0" fillId="0" borderId="1" xfId="0" applyBorder="1" applyAlignment="1" applyProtection="1">
      <alignment horizontal="centerContinuous" vertical="center"/>
      <protection locked="0"/>
    </xf>
    <xf numFmtId="0" fontId="0" fillId="0" borderId="26" xfId="0" applyBorder="1" applyAlignment="1" applyProtection="1">
      <alignment horizontal="centerContinuous" vertical="center"/>
      <protection locked="0"/>
    </xf>
    <xf numFmtId="166" fontId="0" fillId="0" borderId="18" xfId="0" applyNumberFormat="1" applyBorder="1" applyAlignment="1" applyProtection="1">
      <alignment horizontal="center" vertical="center"/>
      <protection locked="0"/>
    </xf>
    <xf numFmtId="49" fontId="0" fillId="0" borderId="18" xfId="0" applyNumberFormat="1" applyBorder="1" applyAlignment="1" applyProtection="1">
      <alignment horizontal="center" vertical="center"/>
      <protection locked="0"/>
    </xf>
    <xf numFmtId="166" fontId="0" fillId="0" borderId="8" xfId="0" applyNumberFormat="1" applyBorder="1" applyAlignment="1" applyProtection="1">
      <alignment horizontal="center" vertical="center"/>
      <protection locked="0"/>
    </xf>
    <xf numFmtId="49" fontId="0" fillId="0" borderId="0" xfId="0" applyNumberFormat="1" applyAlignment="1" applyProtection="1">
      <alignment horizontal="center" vertical="center"/>
      <protection locked="0"/>
    </xf>
    <xf numFmtId="0" fontId="4" fillId="0" borderId="10" xfId="0" applyFont="1" applyBorder="1" applyAlignment="1" applyProtection="1">
      <alignment horizontal="centerContinuous" vertical="center"/>
      <protection locked="0"/>
    </xf>
    <xf numFmtId="0" fontId="0" fillId="0" borderId="0" xfId="0" applyAlignment="1" applyProtection="1">
      <alignment horizontal="centerContinuous" vertical="center"/>
      <protection locked="0"/>
    </xf>
    <xf numFmtId="0" fontId="0" fillId="0" borderId="10" xfId="0" applyBorder="1" applyAlignment="1" applyProtection="1">
      <alignment horizontal="centerContinuous" vertical="center"/>
      <protection locked="0"/>
    </xf>
    <xf numFmtId="166" fontId="0" fillId="0" borderId="27" xfId="0" applyNumberFormat="1" applyBorder="1" applyAlignment="1" applyProtection="1">
      <alignment horizontal="center" vertical="center"/>
      <protection locked="0"/>
    </xf>
    <xf numFmtId="0" fontId="6" fillId="0" borderId="10" xfId="0" applyFont="1" applyBorder="1" applyAlignment="1" applyProtection="1">
      <alignment horizontal="center" vertical="center"/>
      <protection locked="0"/>
    </xf>
    <xf numFmtId="0" fontId="3" fillId="0" borderId="27" xfId="0" applyFont="1" applyBorder="1" applyAlignment="1" applyProtection="1">
      <alignment horizontal="center" vertical="center"/>
      <protection locked="0"/>
    </xf>
    <xf numFmtId="0" fontId="5" fillId="0" borderId="6" xfId="0" applyFont="1" applyBorder="1" applyAlignment="1" applyProtection="1">
      <alignment horizontal="center" vertical="center"/>
      <protection locked="0"/>
    </xf>
    <xf numFmtId="167" fontId="3" fillId="0" borderId="18" xfId="0" applyNumberFormat="1" applyFont="1" applyBorder="1" applyAlignment="1" applyProtection="1">
      <alignment horizontal="center" vertical="center"/>
      <protection locked="0"/>
    </xf>
    <xf numFmtId="167" fontId="3" fillId="0" borderId="6" xfId="0" applyNumberFormat="1" applyFont="1" applyBorder="1" applyAlignment="1" applyProtection="1">
      <alignment horizontal="center" vertical="center"/>
      <protection locked="0"/>
    </xf>
    <xf numFmtId="0" fontId="3" fillId="0" borderId="8" xfId="0" applyFont="1" applyBorder="1" applyAlignment="1" applyProtection="1">
      <alignment horizontal="center" vertical="center"/>
      <protection locked="0"/>
    </xf>
    <xf numFmtId="0" fontId="5" fillId="0" borderId="0" xfId="0" applyFont="1" applyAlignment="1" applyProtection="1">
      <alignment horizontal="center" vertical="center"/>
      <protection locked="0"/>
    </xf>
    <xf numFmtId="1" fontId="3" fillId="0" borderId="10" xfId="0" applyNumberFormat="1" applyFont="1" applyBorder="1" applyAlignment="1" applyProtection="1">
      <alignment horizontal="center" vertical="center"/>
      <protection locked="0"/>
    </xf>
    <xf numFmtId="167" fontId="3" fillId="0" borderId="0" xfId="0" applyNumberFormat="1" applyFont="1" applyAlignment="1" applyProtection="1">
      <alignment horizontal="center" vertical="center"/>
      <protection locked="0"/>
    </xf>
    <xf numFmtId="167" fontId="3" fillId="0" borderId="10" xfId="0" applyNumberFormat="1" applyFont="1" applyBorder="1" applyAlignment="1" applyProtection="1">
      <alignment horizontal="center" vertical="center"/>
      <protection locked="0"/>
    </xf>
    <xf numFmtId="0" fontId="13" fillId="0" borderId="0" xfId="0" applyFont="1" applyAlignment="1" applyProtection="1">
      <alignment horizontal="center" vertical="center"/>
      <protection locked="0"/>
    </xf>
    <xf numFmtId="0" fontId="3" fillId="0" borderId="18" xfId="0" applyFont="1" applyBorder="1" applyAlignment="1" applyProtection="1">
      <alignment horizontal="center" vertical="center"/>
      <protection locked="0"/>
    </xf>
    <xf numFmtId="0" fontId="3" fillId="0" borderId="10" xfId="0" applyFont="1" applyBorder="1" applyAlignment="1" applyProtection="1">
      <alignment horizontal="center" vertical="center"/>
      <protection locked="0"/>
    </xf>
    <xf numFmtId="0" fontId="6" fillId="0" borderId="27" xfId="0" applyFont="1" applyBorder="1" applyAlignment="1" applyProtection="1">
      <alignment horizontal="center" vertical="center"/>
      <protection locked="0"/>
    </xf>
    <xf numFmtId="167" fontId="5" fillId="0" borderId="18" xfId="0" applyNumberFormat="1" applyFont="1" applyBorder="1" applyAlignment="1" applyProtection="1">
      <alignment horizontal="center" vertical="center"/>
      <protection locked="0"/>
    </xf>
    <xf numFmtId="167" fontId="5" fillId="0" borderId="6" xfId="0" applyNumberFormat="1" applyFont="1" applyBorder="1" applyAlignment="1" applyProtection="1">
      <alignment vertical="center"/>
      <protection locked="0"/>
    </xf>
    <xf numFmtId="0" fontId="6" fillId="0" borderId="8" xfId="0" applyFont="1" applyBorder="1" applyAlignment="1" applyProtection="1">
      <alignment horizontal="center" vertical="center"/>
      <protection locked="0"/>
    </xf>
    <xf numFmtId="167" fontId="5" fillId="0" borderId="10" xfId="0" applyNumberFormat="1" applyFont="1" applyBorder="1" applyAlignment="1" applyProtection="1">
      <alignment horizontal="center" vertical="center"/>
      <protection locked="0"/>
    </xf>
    <xf numFmtId="0" fontId="3" fillId="0" borderId="6" xfId="0" quotePrefix="1" applyFont="1" applyBorder="1" applyAlignment="1" applyProtection="1">
      <alignment horizontal="center" vertical="center"/>
      <protection locked="0"/>
    </xf>
    <xf numFmtId="0" fontId="3" fillId="0" borderId="0" xfId="0" quotePrefix="1" applyFont="1" applyAlignment="1" applyProtection="1">
      <alignment horizontal="center" vertical="center"/>
      <protection locked="0"/>
    </xf>
    <xf numFmtId="0" fontId="13" fillId="0" borderId="18" xfId="0" applyFont="1" applyBorder="1" applyAlignment="1" applyProtection="1">
      <alignment horizontal="center" vertical="center"/>
      <protection locked="0"/>
    </xf>
    <xf numFmtId="0" fontId="5" fillId="0" borderId="18" xfId="0" applyFont="1" applyBorder="1" applyAlignment="1" applyProtection="1">
      <alignment horizontal="center" vertical="center"/>
      <protection locked="0"/>
    </xf>
    <xf numFmtId="0" fontId="5" fillId="0" borderId="8" xfId="0" applyFont="1" applyBorder="1" applyAlignment="1" applyProtection="1">
      <alignment horizontal="center" vertical="center"/>
      <protection locked="0"/>
    </xf>
    <xf numFmtId="0" fontId="5" fillId="0" borderId="10" xfId="0" applyFont="1" applyBorder="1" applyAlignment="1" applyProtection="1">
      <alignment horizontal="center" vertical="center"/>
      <protection locked="0"/>
    </xf>
    <xf numFmtId="0" fontId="5" fillId="0" borderId="27" xfId="0" applyFont="1" applyBorder="1" applyAlignment="1" applyProtection="1">
      <alignment horizontal="center" vertical="center"/>
      <protection locked="0"/>
    </xf>
    <xf numFmtId="0" fontId="5" fillId="0" borderId="7" xfId="0" applyFont="1" applyBorder="1" applyAlignment="1" applyProtection="1">
      <alignment horizontal="center" vertical="center"/>
      <protection locked="0"/>
    </xf>
    <xf numFmtId="0" fontId="5" fillId="0" borderId="1" xfId="0" applyFont="1" applyBorder="1" applyAlignment="1" applyProtection="1">
      <alignment horizontal="center" vertical="center"/>
      <protection locked="0"/>
    </xf>
    <xf numFmtId="0" fontId="5" fillId="0" borderId="26" xfId="0" applyFont="1" applyBorder="1" applyAlignment="1" applyProtection="1">
      <alignment horizontal="center" vertical="center"/>
      <protection locked="0"/>
    </xf>
    <xf numFmtId="0" fontId="6" fillId="0" borderId="18" xfId="0" applyFont="1" applyBorder="1"/>
    <xf numFmtId="0" fontId="3" fillId="0" borderId="7" xfId="0" applyFont="1" applyBorder="1" applyAlignment="1" applyProtection="1">
      <alignment horizontal="center" vertical="center"/>
      <protection locked="0"/>
    </xf>
    <xf numFmtId="0" fontId="0" fillId="0" borderId="7" xfId="0" applyBorder="1" applyAlignment="1">
      <alignment horizontal="center" vertical="center"/>
    </xf>
    <xf numFmtId="0" fontId="16" fillId="3" borderId="18" xfId="18" applyFill="1" applyBorder="1" applyAlignment="1" applyProtection="1">
      <alignment horizontal="center" vertical="center"/>
      <protection locked="0"/>
    </xf>
    <xf numFmtId="1" fontId="27" fillId="6" borderId="67" xfId="18" applyNumberFormat="1" applyFont="1" applyFill="1" applyBorder="1" applyAlignment="1" applyProtection="1">
      <alignment horizontal="center" vertical="center" shrinkToFit="1"/>
      <protection locked="0"/>
    </xf>
    <xf numFmtId="0" fontId="6" fillId="0" borderId="0" xfId="0" applyFont="1" applyAlignment="1" applyProtection="1">
      <alignment horizontal="center" vertical="center"/>
      <protection locked="0"/>
    </xf>
    <xf numFmtId="0" fontId="43" fillId="3" borderId="0" xfId="22" applyFont="1" applyFill="1" applyBorder="1" applyAlignment="1" applyProtection="1">
      <alignment vertical="center"/>
      <protection locked="0"/>
    </xf>
    <xf numFmtId="0" fontId="16" fillId="13" borderId="13" xfId="18" applyFill="1" applyBorder="1"/>
    <xf numFmtId="0" fontId="16" fillId="13" borderId="14" xfId="18" applyFill="1" applyBorder="1" applyAlignment="1" applyProtection="1">
      <alignment vertical="center"/>
      <protection hidden="1"/>
    </xf>
    <xf numFmtId="0" fontId="27" fillId="13" borderId="30" xfId="18" applyFont="1" applyFill="1" applyBorder="1" applyAlignment="1" applyProtection="1">
      <alignment horizontal="center" vertical="center" wrapText="1" shrinkToFit="1"/>
      <protection hidden="1"/>
    </xf>
    <xf numFmtId="1" fontId="27" fillId="13" borderId="63" xfId="18" applyNumberFormat="1" applyFont="1" applyFill="1" applyBorder="1" applyAlignment="1" applyProtection="1">
      <alignment horizontal="center" vertical="center" wrapText="1" shrinkToFit="1"/>
      <protection hidden="1"/>
    </xf>
    <xf numFmtId="167" fontId="11" fillId="3" borderId="0" xfId="18" applyNumberFormat="1" applyFont="1" applyFill="1" applyAlignment="1" applyProtection="1">
      <alignment horizontal="center" vertical="center" wrapText="1" shrinkToFit="1"/>
      <protection locked="0"/>
    </xf>
    <xf numFmtId="167" fontId="11" fillId="3" borderId="18" xfId="18" applyNumberFormat="1" applyFont="1" applyFill="1" applyBorder="1" applyAlignment="1" applyProtection="1">
      <alignment horizontal="center" vertical="center" wrapText="1" shrinkToFit="1"/>
      <protection locked="0"/>
    </xf>
    <xf numFmtId="167" fontId="11" fillId="3" borderId="22" xfId="18" applyNumberFormat="1" applyFont="1" applyFill="1" applyBorder="1" applyAlignment="1" applyProtection="1">
      <alignment horizontal="center" vertical="center" wrapText="1" shrinkToFit="1"/>
      <protection locked="0"/>
    </xf>
    <xf numFmtId="167" fontId="11" fillId="3" borderId="21" xfId="18" applyNumberFormat="1" applyFont="1" applyFill="1" applyBorder="1" applyAlignment="1" applyProtection="1">
      <alignment horizontal="center" vertical="center" wrapText="1" shrinkToFit="1"/>
      <protection locked="0"/>
    </xf>
    <xf numFmtId="167" fontId="11" fillId="3" borderId="31" xfId="18" applyNumberFormat="1" applyFont="1" applyFill="1" applyBorder="1" applyAlignment="1" applyProtection="1">
      <alignment horizontal="center" vertical="center" wrapText="1" shrinkToFit="1"/>
      <protection locked="0"/>
    </xf>
    <xf numFmtId="167" fontId="11" fillId="3" borderId="28" xfId="18" applyNumberFormat="1" applyFont="1" applyFill="1" applyBorder="1" applyAlignment="1" applyProtection="1">
      <alignment horizontal="center" vertical="center" wrapText="1" shrinkToFit="1"/>
      <protection locked="0"/>
    </xf>
    <xf numFmtId="167" fontId="11" fillId="3" borderId="30" xfId="18" applyNumberFormat="1" applyFont="1" applyFill="1" applyBorder="1" applyAlignment="1" applyProtection="1">
      <alignment horizontal="center" vertical="center" wrapText="1" shrinkToFit="1"/>
      <protection locked="0"/>
    </xf>
    <xf numFmtId="0" fontId="3" fillId="7" borderId="73" xfId="13" applyFill="1" applyBorder="1" applyAlignment="1">
      <alignment horizontal="center" vertical="center"/>
    </xf>
    <xf numFmtId="0" fontId="21" fillId="0" borderId="0" xfId="14" applyFont="1" applyAlignment="1">
      <alignment vertical="center" wrapText="1"/>
    </xf>
    <xf numFmtId="2" fontId="8" fillId="0" borderId="18" xfId="2" applyNumberFormat="1" applyFont="1" applyFill="1" applyBorder="1" applyAlignment="1" applyProtection="1">
      <alignment horizontal="center" vertical="center" wrapText="1"/>
      <protection locked="0"/>
    </xf>
    <xf numFmtId="0" fontId="0" fillId="0" borderId="18" xfId="0" applyBorder="1"/>
    <xf numFmtId="0" fontId="0" fillId="14" borderId="18" xfId="0" applyFill="1" applyBorder="1"/>
    <xf numFmtId="0" fontId="3" fillId="14" borderId="18" xfId="0" applyFont="1" applyFill="1" applyBorder="1"/>
    <xf numFmtId="1" fontId="27" fillId="13" borderId="38" xfId="18" applyNumberFormat="1" applyFont="1" applyFill="1" applyBorder="1" applyAlignment="1" applyProtection="1">
      <alignment horizontal="center" vertical="center" shrinkToFit="1"/>
      <protection hidden="1"/>
    </xf>
    <xf numFmtId="0" fontId="3" fillId="13" borderId="0" xfId="18" applyFont="1" applyFill="1" applyAlignment="1" applyProtection="1">
      <alignment vertical="center"/>
      <protection hidden="1"/>
    </xf>
    <xf numFmtId="0" fontId="27" fillId="0" borderId="18" xfId="18" applyFont="1" applyBorder="1" applyAlignment="1" applyProtection="1">
      <alignment horizontal="center" vertical="center" shrinkToFit="1"/>
      <protection hidden="1"/>
    </xf>
    <xf numFmtId="0" fontId="10" fillId="13" borderId="61" xfId="18" applyFont="1" applyFill="1" applyBorder="1" applyAlignment="1" applyProtection="1">
      <alignment vertical="center"/>
      <protection hidden="1"/>
    </xf>
    <xf numFmtId="167" fontId="10" fillId="13" borderId="35" xfId="18" applyNumberFormat="1" applyFont="1" applyFill="1" applyBorder="1" applyAlignment="1" applyProtection="1">
      <alignment horizontal="center" vertical="center"/>
      <protection hidden="1"/>
    </xf>
    <xf numFmtId="0" fontId="43" fillId="3" borderId="13" xfId="22" applyFont="1" applyFill="1" applyBorder="1" applyAlignment="1" applyProtection="1">
      <alignment vertical="center"/>
      <protection locked="0"/>
    </xf>
    <xf numFmtId="0" fontId="27" fillId="3" borderId="13" xfId="22" applyFont="1" applyFill="1" applyBorder="1" applyAlignment="1" applyProtection="1">
      <alignment vertical="center"/>
      <protection locked="0"/>
    </xf>
    <xf numFmtId="49" fontId="3" fillId="0" borderId="1" xfId="0" applyNumberFormat="1" applyFont="1" applyBorder="1" applyAlignment="1" applyProtection="1">
      <alignment horizontal="center" vertical="center"/>
      <protection locked="0"/>
    </xf>
    <xf numFmtId="49" fontId="3" fillId="0" borderId="1" xfId="0" quotePrefix="1" applyNumberFormat="1" applyFont="1" applyBorder="1" applyAlignment="1" applyProtection="1">
      <alignment horizontal="center" vertical="center"/>
      <protection locked="0"/>
    </xf>
    <xf numFmtId="49" fontId="0" fillId="0" borderId="1" xfId="0" quotePrefix="1" applyNumberFormat="1" applyBorder="1" applyAlignment="1" applyProtection="1">
      <alignment horizontal="center" vertical="center"/>
      <protection locked="0"/>
    </xf>
    <xf numFmtId="49" fontId="0" fillId="0" borderId="18" xfId="0" quotePrefix="1" applyNumberFormat="1" applyBorder="1" applyAlignment="1" applyProtection="1">
      <alignment horizontal="center" vertical="center"/>
      <protection locked="0"/>
    </xf>
    <xf numFmtId="49" fontId="13" fillId="0" borderId="0" xfId="0" quotePrefix="1" applyNumberFormat="1" applyFont="1" applyAlignment="1" applyProtection="1">
      <alignment horizontal="center" vertical="center"/>
      <protection locked="0"/>
    </xf>
    <xf numFmtId="49" fontId="13" fillId="0" borderId="6" xfId="0" applyNumberFormat="1" applyFont="1" applyBorder="1" applyAlignment="1" applyProtection="1">
      <alignment horizontal="center" vertical="center"/>
      <protection locked="0"/>
    </xf>
    <xf numFmtId="49" fontId="13" fillId="0" borderId="0" xfId="0" applyNumberFormat="1" applyFont="1" applyAlignment="1" applyProtection="1">
      <alignment horizontal="center" vertical="center"/>
      <protection locked="0"/>
    </xf>
    <xf numFmtId="49" fontId="5" fillId="0" borderId="6" xfId="0" applyNumberFormat="1" applyFont="1" applyBorder="1" applyAlignment="1" applyProtection="1">
      <alignment horizontal="center" vertical="center"/>
      <protection locked="0"/>
    </xf>
    <xf numFmtId="49" fontId="5" fillId="0" borderId="0" xfId="0" applyNumberFormat="1" applyFont="1" applyAlignment="1" applyProtection="1">
      <alignment horizontal="center" vertical="center"/>
      <protection locked="0"/>
    </xf>
    <xf numFmtId="49" fontId="5" fillId="0" borderId="1" xfId="0" applyNumberFormat="1" applyFont="1" applyBorder="1" applyAlignment="1" applyProtection="1">
      <alignment horizontal="center" vertical="center"/>
      <protection locked="0"/>
    </xf>
    <xf numFmtId="49" fontId="3" fillId="0" borderId="6" xfId="0" applyNumberFormat="1" applyFont="1" applyBorder="1" applyAlignment="1" applyProtection="1">
      <alignment horizontal="center" vertical="center"/>
      <protection locked="0"/>
    </xf>
    <xf numFmtId="0" fontId="3" fillId="0" borderId="7" xfId="0" applyFont="1" applyBorder="1" applyAlignment="1" applyProtection="1">
      <alignment horizontal="left" vertical="center"/>
      <protection locked="0"/>
    </xf>
    <xf numFmtId="0" fontId="3" fillId="0" borderId="1" xfId="0" applyFont="1" applyBorder="1" applyAlignment="1" applyProtection="1">
      <alignment horizontal="left" vertical="center"/>
      <protection locked="0"/>
    </xf>
    <xf numFmtId="0" fontId="3" fillId="0" borderId="3" xfId="0" applyFont="1" applyBorder="1" applyAlignment="1" applyProtection="1">
      <alignment horizontal="left" vertical="center"/>
      <protection locked="0"/>
    </xf>
    <xf numFmtId="0" fontId="0" fillId="0" borderId="6" xfId="0" applyBorder="1" applyAlignment="1" applyProtection="1">
      <alignment horizontal="center" vertical="center"/>
      <protection locked="0"/>
    </xf>
    <xf numFmtId="0" fontId="0" fillId="0" borderId="11" xfId="0" applyBorder="1" applyAlignment="1" applyProtection="1">
      <alignment horizontal="center" vertical="center"/>
      <protection locked="0"/>
    </xf>
    <xf numFmtId="0" fontId="0" fillId="0" borderId="4" xfId="0" applyBorder="1" applyAlignment="1" applyProtection="1">
      <alignment horizontal="center" vertical="center"/>
      <protection locked="0"/>
    </xf>
    <xf numFmtId="0" fontId="0" fillId="0" borderId="18" xfId="0" applyBorder="1" applyAlignment="1" applyProtection="1">
      <alignment horizontal="center" vertical="center"/>
      <protection locked="0"/>
    </xf>
    <xf numFmtId="0" fontId="0" fillId="0" borderId="8" xfId="0" applyBorder="1" applyAlignment="1" applyProtection="1">
      <alignment horizontal="center" vertical="center"/>
      <protection locked="0"/>
    </xf>
    <xf numFmtId="0" fontId="0" fillId="0" borderId="0" xfId="0" applyAlignment="1" applyProtection="1">
      <alignment horizontal="center" vertical="center"/>
      <protection locked="0"/>
    </xf>
    <xf numFmtId="0" fontId="0" fillId="0" borderId="27" xfId="0" applyBorder="1" applyAlignment="1" applyProtection="1">
      <alignment horizontal="center" vertical="center"/>
      <protection locked="0"/>
    </xf>
    <xf numFmtId="0" fontId="4" fillId="0" borderId="10" xfId="0" applyFont="1" applyBorder="1" applyAlignment="1" applyProtection="1">
      <alignment horizontal="center" vertical="center"/>
      <protection locked="0"/>
    </xf>
    <xf numFmtId="0" fontId="0" fillId="0" borderId="10" xfId="0" applyBorder="1" applyAlignment="1" applyProtection="1">
      <alignment horizontal="center" vertical="center"/>
      <protection locked="0"/>
    </xf>
    <xf numFmtId="0" fontId="4" fillId="0" borderId="18" xfId="0" applyFont="1" applyBorder="1" applyAlignment="1" applyProtection="1">
      <alignment horizontal="center" vertical="center"/>
      <protection locked="0"/>
    </xf>
    <xf numFmtId="2" fontId="26" fillId="0" borderId="38" xfId="2" quotePrefix="1" applyNumberFormat="1" applyFont="1" applyFill="1" applyBorder="1" applyAlignment="1" applyProtection="1">
      <alignment horizontal="center" vertical="center" wrapText="1"/>
      <protection locked="0"/>
    </xf>
    <xf numFmtId="2" fontId="26" fillId="0" borderId="22" xfId="2" quotePrefix="1" applyNumberFormat="1" applyFont="1" applyFill="1" applyBorder="1" applyAlignment="1" applyProtection="1">
      <alignment horizontal="center" vertical="center" wrapText="1"/>
      <protection locked="0"/>
    </xf>
    <xf numFmtId="1" fontId="27" fillId="13" borderId="56" xfId="18" applyNumberFormat="1" applyFont="1" applyFill="1" applyBorder="1" applyAlignment="1" applyProtection="1">
      <alignment horizontal="center" vertical="center" shrinkToFit="1"/>
      <protection hidden="1"/>
    </xf>
    <xf numFmtId="2" fontId="24" fillId="0" borderId="37" xfId="9" applyNumberFormat="1" applyFont="1" applyFill="1" applyBorder="1" applyAlignment="1" applyProtection="1">
      <alignment horizontal="center" vertical="center" shrinkToFit="1"/>
      <protection locked="0"/>
    </xf>
    <xf numFmtId="2" fontId="40" fillId="0" borderId="28" xfId="2" applyNumberFormat="1" applyFont="1" applyFill="1" applyBorder="1" applyAlignment="1" applyProtection="1">
      <alignment horizontal="center" vertical="center" shrinkToFit="1"/>
      <protection locked="0"/>
    </xf>
    <xf numFmtId="2" fontId="40" fillId="0" borderId="30" xfId="2" applyNumberFormat="1" applyFont="1" applyFill="1" applyBorder="1" applyAlignment="1" applyProtection="1">
      <alignment horizontal="center" vertical="center" shrinkToFit="1"/>
      <protection locked="0"/>
    </xf>
    <xf numFmtId="2" fontId="26" fillId="0" borderId="37" xfId="2" applyNumberFormat="1" applyFont="1" applyFill="1" applyBorder="1" applyAlignment="1" applyProtection="1">
      <alignment horizontal="center" vertical="center" wrapText="1"/>
      <protection locked="0"/>
    </xf>
    <xf numFmtId="2" fontId="26" fillId="0" borderId="28" xfId="2" applyNumberFormat="1" applyFont="1" applyFill="1" applyBorder="1" applyAlignment="1" applyProtection="1">
      <alignment horizontal="center" vertical="center" wrapText="1"/>
      <protection locked="0"/>
    </xf>
    <xf numFmtId="2" fontId="26" fillId="0" borderId="30" xfId="2" quotePrefix="1" applyNumberFormat="1" applyFont="1" applyFill="1" applyBorder="1" applyAlignment="1" applyProtection="1">
      <alignment horizontal="center" vertical="center" wrapText="1"/>
      <protection locked="0"/>
    </xf>
    <xf numFmtId="2" fontId="26" fillId="6" borderId="19" xfId="2" applyNumberFormat="1" applyFont="1" applyFill="1" applyBorder="1" applyAlignment="1" applyProtection="1">
      <alignment horizontal="center" vertical="center" wrapText="1"/>
      <protection locked="0"/>
    </xf>
    <xf numFmtId="2" fontId="21" fillId="6" borderId="58" xfId="2" applyNumberFormat="1" applyFont="1" applyFill="1" applyBorder="1" applyAlignment="1" applyProtection="1">
      <alignment horizontal="center" vertical="center" shrinkToFit="1"/>
      <protection locked="0"/>
    </xf>
    <xf numFmtId="2" fontId="21" fillId="6" borderId="37" xfId="2" applyNumberFormat="1" applyFont="1" applyFill="1" applyBorder="1" applyAlignment="1" applyProtection="1">
      <alignment horizontal="center" vertical="center" shrinkToFit="1"/>
      <protection locked="0"/>
    </xf>
    <xf numFmtId="0" fontId="21" fillId="6" borderId="58" xfId="0" applyFont="1" applyFill="1" applyBorder="1" applyAlignment="1" applyProtection="1">
      <alignment horizontal="center" vertical="center" wrapText="1"/>
      <protection locked="0"/>
    </xf>
    <xf numFmtId="0" fontId="21" fillId="6" borderId="5" xfId="0" applyFont="1" applyFill="1" applyBorder="1" applyAlignment="1" applyProtection="1">
      <alignment horizontal="center" vertical="center" wrapText="1"/>
      <protection locked="0"/>
    </xf>
    <xf numFmtId="1" fontId="21" fillId="6" borderId="28" xfId="18" applyNumberFormat="1" applyFont="1" applyFill="1" applyBorder="1" applyAlignment="1" applyProtection="1">
      <alignment horizontal="center" vertical="center" wrapText="1" shrinkToFit="1"/>
      <protection locked="0"/>
    </xf>
    <xf numFmtId="0" fontId="26" fillId="6" borderId="28" xfId="18" applyFont="1" applyFill="1" applyBorder="1" applyAlignment="1" applyProtection="1">
      <alignment horizontal="center" vertical="center" wrapText="1" shrinkToFit="1"/>
      <protection locked="0"/>
    </xf>
    <xf numFmtId="0" fontId="21" fillId="6" borderId="28" xfId="18" applyFont="1" applyFill="1" applyBorder="1" applyAlignment="1" applyProtection="1">
      <alignment horizontal="center" vertical="center" shrinkToFit="1"/>
      <protection locked="0"/>
    </xf>
    <xf numFmtId="0" fontId="21" fillId="6" borderId="30" xfId="16" applyFont="1" applyFill="1" applyBorder="1" applyAlignment="1" applyProtection="1">
      <alignment horizontal="center" vertical="center" wrapText="1"/>
      <protection locked="0"/>
    </xf>
    <xf numFmtId="1" fontId="21" fillId="6" borderId="2" xfId="17" applyNumberFormat="1" applyFont="1" applyFill="1" applyBorder="1" applyAlignment="1" applyProtection="1">
      <alignment horizontal="center" vertical="center" shrinkToFit="1"/>
      <protection locked="0"/>
    </xf>
    <xf numFmtId="2" fontId="24" fillId="6" borderId="37" xfId="9" applyNumberFormat="1" applyFont="1" applyFill="1" applyBorder="1" applyAlignment="1" applyProtection="1">
      <alignment horizontal="center" vertical="center" shrinkToFit="1"/>
      <protection locked="0"/>
    </xf>
    <xf numFmtId="2" fontId="40" fillId="6" borderId="28" xfId="2" applyNumberFormat="1" applyFont="1" applyFill="1" applyBorder="1" applyAlignment="1" applyProtection="1">
      <alignment horizontal="center" vertical="center" shrinkToFit="1"/>
      <protection locked="0"/>
    </xf>
    <xf numFmtId="2" fontId="40" fillId="6" borderId="30" xfId="2" applyNumberFormat="1" applyFont="1" applyFill="1" applyBorder="1" applyAlignment="1" applyProtection="1">
      <alignment horizontal="center" vertical="center" shrinkToFit="1"/>
      <protection locked="0"/>
    </xf>
    <xf numFmtId="2" fontId="26" fillId="6" borderId="37" xfId="2" applyNumberFormat="1" applyFont="1" applyFill="1" applyBorder="1" applyAlignment="1" applyProtection="1">
      <alignment horizontal="center" vertical="center" wrapText="1"/>
      <protection locked="0"/>
    </xf>
    <xf numFmtId="2" fontId="26" fillId="6" borderId="28" xfId="2" applyNumberFormat="1" applyFont="1" applyFill="1" applyBorder="1" applyAlignment="1" applyProtection="1">
      <alignment horizontal="center" vertical="center" wrapText="1"/>
      <protection locked="0"/>
    </xf>
    <xf numFmtId="2" fontId="26" fillId="6" borderId="30" xfId="2" quotePrefix="1" applyNumberFormat="1" applyFont="1" applyFill="1" applyBorder="1" applyAlignment="1" applyProtection="1">
      <alignment horizontal="center" vertical="center" wrapText="1"/>
      <protection locked="0"/>
    </xf>
    <xf numFmtId="0" fontId="26" fillId="6" borderId="38" xfId="16" applyFont="1" applyFill="1" applyBorder="1" applyAlignment="1" applyProtection="1">
      <alignment horizontal="center" vertical="center" wrapText="1" shrinkToFit="1"/>
      <protection locked="0"/>
    </xf>
    <xf numFmtId="1" fontId="21" fillId="6" borderId="61" xfId="2" applyNumberFormat="1" applyFont="1" applyFill="1" applyBorder="1" applyAlignment="1" applyProtection="1">
      <alignment horizontal="center" vertical="center" wrapText="1"/>
      <protection hidden="1"/>
    </xf>
    <xf numFmtId="0" fontId="26" fillId="6" borderId="30" xfId="16" applyFont="1" applyFill="1" applyBorder="1" applyAlignment="1" applyProtection="1">
      <alignment horizontal="center" vertical="center" wrapText="1" shrinkToFit="1"/>
      <protection locked="0"/>
    </xf>
    <xf numFmtId="1" fontId="21" fillId="6" borderId="41" xfId="2" applyNumberFormat="1" applyFont="1" applyFill="1" applyBorder="1" applyAlignment="1" applyProtection="1">
      <alignment horizontal="center" vertical="center" wrapText="1"/>
      <protection hidden="1"/>
    </xf>
    <xf numFmtId="1" fontId="21" fillId="6" borderId="61" xfId="2" applyNumberFormat="1" applyFont="1" applyFill="1" applyBorder="1" applyAlignment="1" applyProtection="1">
      <alignment horizontal="center" vertical="center" wrapText="1"/>
      <protection locked="0"/>
    </xf>
    <xf numFmtId="167" fontId="33" fillId="6" borderId="58" xfId="18" applyNumberFormat="1" applyFont="1" applyFill="1" applyBorder="1" applyAlignment="1" applyProtection="1">
      <alignment horizontal="center" vertical="center"/>
      <protection hidden="1"/>
    </xf>
    <xf numFmtId="2" fontId="33" fillId="6" borderId="17" xfId="18" applyNumberFormat="1" applyFont="1" applyFill="1" applyBorder="1" applyAlignment="1" applyProtection="1">
      <alignment horizontal="center" vertical="center"/>
      <protection hidden="1"/>
    </xf>
    <xf numFmtId="167" fontId="33" fillId="6" borderId="38" xfId="18" applyNumberFormat="1" applyFont="1" applyFill="1" applyBorder="1" applyAlignment="1" applyProtection="1">
      <alignment horizontal="center" vertical="center" shrinkToFit="1"/>
      <protection hidden="1"/>
    </xf>
    <xf numFmtId="167" fontId="24" fillId="6" borderId="33" xfId="18" applyNumberFormat="1" applyFont="1" applyFill="1" applyBorder="1" applyAlignment="1" applyProtection="1">
      <alignment horizontal="center" vertical="center"/>
      <protection hidden="1"/>
    </xf>
    <xf numFmtId="1" fontId="24" fillId="6" borderId="28" xfId="18" applyNumberFormat="1" applyFont="1" applyFill="1" applyBorder="1" applyAlignment="1" applyProtection="1">
      <alignment horizontal="center" vertical="center"/>
      <protection hidden="1"/>
    </xf>
    <xf numFmtId="167" fontId="24" fillId="6" borderId="38" xfId="18" applyNumberFormat="1" applyFont="1" applyFill="1" applyBorder="1" applyAlignment="1" applyProtection="1">
      <alignment horizontal="center" vertical="center" shrinkToFit="1"/>
      <protection hidden="1"/>
    </xf>
    <xf numFmtId="167" fontId="11" fillId="6" borderId="33" xfId="18" applyNumberFormat="1" applyFont="1" applyFill="1" applyBorder="1" applyAlignment="1" applyProtection="1">
      <alignment horizontal="center" vertical="center"/>
      <protection hidden="1"/>
    </xf>
    <xf numFmtId="167" fontId="11" fillId="6" borderId="45" xfId="18" applyNumberFormat="1" applyFont="1" applyFill="1" applyBorder="1" applyAlignment="1" applyProtection="1">
      <alignment horizontal="center" vertical="center"/>
      <protection hidden="1"/>
    </xf>
    <xf numFmtId="167" fontId="11" fillId="6" borderId="37" xfId="18" applyNumberFormat="1" applyFont="1" applyFill="1" applyBorder="1" applyAlignment="1" applyProtection="1">
      <alignment horizontal="center" vertical="center" shrinkToFit="1"/>
      <protection hidden="1"/>
    </xf>
    <xf numFmtId="1" fontId="24" fillId="6" borderId="17" xfId="18" applyNumberFormat="1" applyFont="1" applyFill="1" applyBorder="1" applyAlignment="1" applyProtection="1">
      <alignment horizontal="center" vertical="center" wrapText="1"/>
      <protection hidden="1"/>
    </xf>
    <xf numFmtId="1" fontId="24" fillId="6" borderId="38" xfId="18" applyNumberFormat="1" applyFont="1" applyFill="1" applyBorder="1" applyAlignment="1" applyProtection="1">
      <alignment horizontal="center" vertical="center" wrapText="1"/>
      <protection hidden="1"/>
    </xf>
    <xf numFmtId="167" fontId="11" fillId="6" borderId="48" xfId="18" applyNumberFormat="1" applyFont="1" applyFill="1" applyBorder="1" applyAlignment="1" applyProtection="1">
      <alignment horizontal="center" vertical="center" wrapText="1" shrinkToFit="1"/>
      <protection locked="0"/>
    </xf>
    <xf numFmtId="167" fontId="11" fillId="6" borderId="50" xfId="18" applyNumberFormat="1" applyFont="1" applyFill="1" applyBorder="1" applyAlignment="1" applyProtection="1">
      <alignment horizontal="center" vertical="center" wrapText="1" shrinkToFit="1"/>
      <protection locked="0"/>
    </xf>
    <xf numFmtId="167" fontId="11" fillId="6" borderId="37" xfId="18" applyNumberFormat="1" applyFont="1" applyFill="1" applyBorder="1" applyAlignment="1" applyProtection="1">
      <alignment horizontal="center" vertical="center" wrapText="1" shrinkToFit="1"/>
      <protection locked="0"/>
    </xf>
    <xf numFmtId="167" fontId="11" fillId="6" borderId="28" xfId="18" applyNumberFormat="1" applyFont="1" applyFill="1" applyBorder="1" applyAlignment="1" applyProtection="1">
      <alignment horizontal="center" vertical="center" wrapText="1" shrinkToFit="1"/>
      <protection locked="0"/>
    </xf>
    <xf numFmtId="0" fontId="21" fillId="6" borderId="19" xfId="0" applyFont="1" applyFill="1" applyBorder="1" applyAlignment="1" applyProtection="1">
      <alignment horizontal="center" vertical="center" wrapText="1"/>
      <protection locked="0"/>
    </xf>
    <xf numFmtId="0" fontId="21" fillId="6" borderId="11" xfId="0" applyFont="1" applyFill="1" applyBorder="1" applyAlignment="1" applyProtection="1">
      <alignment horizontal="center" vertical="center" wrapText="1"/>
      <protection locked="0"/>
    </xf>
    <xf numFmtId="2" fontId="24" fillId="6" borderId="19" xfId="9" applyNumberFormat="1" applyFont="1" applyFill="1" applyBorder="1" applyAlignment="1" applyProtection="1">
      <alignment horizontal="center" vertical="center" wrapText="1" shrinkToFit="1"/>
      <protection locked="0"/>
    </xf>
    <xf numFmtId="2" fontId="40" fillId="6" borderId="18" xfId="2" applyNumberFormat="1" applyFont="1" applyFill="1" applyBorder="1" applyAlignment="1" applyProtection="1">
      <alignment horizontal="center" vertical="center" wrapText="1" shrinkToFit="1"/>
      <protection locked="0"/>
    </xf>
    <xf numFmtId="2" fontId="40" fillId="6" borderId="22" xfId="2" applyNumberFormat="1" applyFont="1" applyFill="1" applyBorder="1" applyAlignment="1" applyProtection="1">
      <alignment horizontal="center" vertical="center" wrapText="1" shrinkToFit="1"/>
      <protection locked="0"/>
    </xf>
    <xf numFmtId="2" fontId="26" fillId="6" borderId="18" xfId="2" applyNumberFormat="1" applyFont="1" applyFill="1" applyBorder="1" applyAlignment="1" applyProtection="1">
      <alignment horizontal="center" vertical="center" wrapText="1"/>
      <protection locked="0"/>
    </xf>
    <xf numFmtId="2" fontId="26" fillId="6" borderId="22" xfId="2" quotePrefix="1" applyNumberFormat="1" applyFont="1" applyFill="1" applyBorder="1" applyAlignment="1" applyProtection="1">
      <alignment horizontal="center" vertical="center" wrapText="1"/>
      <protection locked="0"/>
    </xf>
    <xf numFmtId="1" fontId="21" fillId="6" borderId="30" xfId="2" applyNumberFormat="1" applyFont="1" applyFill="1" applyBorder="1" applyAlignment="1" applyProtection="1">
      <alignment horizontal="center" vertical="center" wrapText="1"/>
      <protection hidden="1"/>
    </xf>
    <xf numFmtId="1" fontId="21" fillId="6" borderId="59" xfId="2" applyNumberFormat="1" applyFont="1" applyFill="1" applyBorder="1" applyAlignment="1" applyProtection="1">
      <alignment horizontal="center" vertical="center" wrapText="1"/>
      <protection locked="0"/>
    </xf>
    <xf numFmtId="167" fontId="33" fillId="6" borderId="19" xfId="18" applyNumberFormat="1" applyFont="1" applyFill="1" applyBorder="1" applyAlignment="1" applyProtection="1">
      <alignment horizontal="center" vertical="center"/>
      <protection hidden="1"/>
    </xf>
    <xf numFmtId="2" fontId="33" fillId="6" borderId="18" xfId="18" applyNumberFormat="1" applyFont="1" applyFill="1" applyBorder="1" applyAlignment="1" applyProtection="1">
      <alignment horizontal="center" vertical="center"/>
      <protection hidden="1"/>
    </xf>
    <xf numFmtId="167" fontId="33" fillId="6" borderId="22" xfId="18" applyNumberFormat="1" applyFont="1" applyFill="1" applyBorder="1" applyAlignment="1" applyProtection="1">
      <alignment horizontal="center" vertical="center" shrinkToFit="1"/>
      <protection hidden="1"/>
    </xf>
    <xf numFmtId="167" fontId="24" fillId="6" borderId="5" xfId="18" applyNumberFormat="1" applyFont="1" applyFill="1" applyBorder="1" applyAlignment="1" applyProtection="1">
      <alignment horizontal="center" vertical="center"/>
      <protection hidden="1"/>
    </xf>
    <xf numFmtId="167" fontId="24" fillId="6" borderId="30" xfId="18" applyNumberFormat="1" applyFont="1" applyFill="1" applyBorder="1" applyAlignment="1" applyProtection="1">
      <alignment horizontal="center" vertical="center" shrinkToFit="1"/>
      <protection hidden="1"/>
    </xf>
    <xf numFmtId="167" fontId="11" fillId="6" borderId="11" xfId="18" applyNumberFormat="1" applyFont="1" applyFill="1" applyBorder="1" applyAlignment="1" applyProtection="1">
      <alignment horizontal="center" vertical="center"/>
      <protection hidden="1"/>
    </xf>
    <xf numFmtId="167" fontId="11" fillId="6" borderId="27" xfId="18" applyNumberFormat="1" applyFont="1" applyFill="1" applyBorder="1" applyAlignment="1" applyProtection="1">
      <alignment horizontal="center" vertical="center"/>
      <protection hidden="1"/>
    </xf>
    <xf numFmtId="1" fontId="24" fillId="6" borderId="28" xfId="18" applyNumberFormat="1" applyFont="1" applyFill="1" applyBorder="1" applyAlignment="1" applyProtection="1">
      <alignment horizontal="center" vertical="center" wrapText="1"/>
      <protection hidden="1"/>
    </xf>
    <xf numFmtId="1" fontId="24" fillId="6" borderId="30" xfId="18" applyNumberFormat="1" applyFont="1" applyFill="1" applyBorder="1" applyAlignment="1" applyProtection="1">
      <alignment horizontal="center" vertical="center" wrapText="1"/>
      <protection hidden="1"/>
    </xf>
    <xf numFmtId="167" fontId="11" fillId="6" borderId="47" xfId="18" applyNumberFormat="1" applyFont="1" applyFill="1" applyBorder="1" applyAlignment="1" applyProtection="1">
      <alignment horizontal="center" vertical="center" wrapText="1" shrinkToFit="1"/>
      <protection locked="0"/>
    </xf>
    <xf numFmtId="167" fontId="11" fillId="6" borderId="29" xfId="18" applyNumberFormat="1" applyFont="1" applyFill="1" applyBorder="1" applyAlignment="1" applyProtection="1">
      <alignment horizontal="center" vertical="center" wrapText="1" shrinkToFit="1"/>
      <protection locked="0"/>
    </xf>
    <xf numFmtId="167" fontId="11" fillId="6" borderId="19" xfId="18" applyNumberFormat="1" applyFont="1" applyFill="1" applyBorder="1" applyAlignment="1" applyProtection="1">
      <alignment horizontal="center" vertical="center" wrapText="1" shrinkToFit="1"/>
      <protection locked="0"/>
    </xf>
    <xf numFmtId="167" fontId="11" fillId="6" borderId="18" xfId="18" applyNumberFormat="1" applyFont="1" applyFill="1" applyBorder="1" applyAlignment="1" applyProtection="1">
      <alignment horizontal="center" vertical="center" wrapText="1" shrinkToFit="1"/>
      <protection locked="0"/>
    </xf>
    <xf numFmtId="1" fontId="21" fillId="6" borderId="29" xfId="2" applyNumberFormat="1" applyFont="1" applyFill="1" applyBorder="1" applyAlignment="1" applyProtection="1">
      <alignment horizontal="center" vertical="center" wrapText="1"/>
      <protection hidden="1"/>
    </xf>
    <xf numFmtId="0" fontId="21" fillId="6" borderId="62" xfId="18" applyFont="1" applyFill="1" applyBorder="1" applyAlignment="1" applyProtection="1">
      <alignment horizontal="center" vertical="center" shrinkToFit="1"/>
      <protection locked="0"/>
    </xf>
    <xf numFmtId="1" fontId="21" fillId="6" borderId="39" xfId="17" applyNumberFormat="1" applyFont="1" applyFill="1" applyBorder="1" applyAlignment="1" applyProtection="1">
      <alignment horizontal="center" vertical="center" shrinkToFit="1"/>
      <protection locked="0"/>
    </xf>
    <xf numFmtId="2" fontId="26" fillId="6" borderId="31" xfId="2" applyNumberFormat="1" applyFont="1" applyFill="1" applyBorder="1" applyAlignment="1" applyProtection="1">
      <alignment horizontal="center" vertical="center" wrapText="1"/>
      <protection locked="0"/>
    </xf>
    <xf numFmtId="2" fontId="21" fillId="6" borderId="77" xfId="2" applyNumberFormat="1" applyFont="1" applyFill="1" applyBorder="1" applyAlignment="1" applyProtection="1">
      <alignment horizontal="center" vertical="center" shrinkToFit="1"/>
      <protection locked="0"/>
    </xf>
    <xf numFmtId="0" fontId="26" fillId="6" borderId="22" xfId="16" applyFont="1" applyFill="1" applyBorder="1" applyAlignment="1" applyProtection="1">
      <alignment horizontal="center" vertical="center" wrapText="1" shrinkToFit="1"/>
      <protection locked="0"/>
    </xf>
    <xf numFmtId="1" fontId="21" fillId="6" borderId="51" xfId="2" applyNumberFormat="1" applyFont="1" applyFill="1" applyBorder="1" applyAlignment="1" applyProtection="1">
      <alignment horizontal="center" vertical="center" wrapText="1"/>
      <protection hidden="1"/>
    </xf>
    <xf numFmtId="1" fontId="21" fillId="6" borderId="57" xfId="2" applyNumberFormat="1" applyFont="1" applyFill="1" applyBorder="1" applyAlignment="1" applyProtection="1">
      <alignment horizontal="center" vertical="center" wrapText="1"/>
      <protection locked="0"/>
    </xf>
    <xf numFmtId="167" fontId="33" fillId="6" borderId="20" xfId="18" applyNumberFormat="1" applyFont="1" applyFill="1" applyBorder="1" applyAlignment="1" applyProtection="1">
      <alignment horizontal="center" vertical="center"/>
      <protection hidden="1"/>
    </xf>
    <xf numFmtId="2" fontId="33" fillId="6" borderId="21" xfId="18" applyNumberFormat="1" applyFont="1" applyFill="1" applyBorder="1" applyAlignment="1" applyProtection="1">
      <alignment horizontal="center" vertical="center"/>
      <protection hidden="1"/>
    </xf>
    <xf numFmtId="167" fontId="33" fillId="6" borderId="31" xfId="18" applyNumberFormat="1" applyFont="1" applyFill="1" applyBorder="1" applyAlignment="1" applyProtection="1">
      <alignment horizontal="center" vertical="center" shrinkToFit="1"/>
      <protection hidden="1"/>
    </xf>
    <xf numFmtId="167" fontId="24" fillId="6" borderId="20" xfId="18" applyNumberFormat="1" applyFont="1" applyFill="1" applyBorder="1" applyAlignment="1" applyProtection="1">
      <alignment horizontal="center" vertical="center"/>
      <protection hidden="1"/>
    </xf>
    <xf numFmtId="1" fontId="24" fillId="6" borderId="21" xfId="18" applyNumberFormat="1" applyFont="1" applyFill="1" applyBorder="1" applyAlignment="1" applyProtection="1">
      <alignment horizontal="center" vertical="center"/>
      <protection hidden="1"/>
    </xf>
    <xf numFmtId="167" fontId="24" fillId="6" borderId="63" xfId="18" applyNumberFormat="1" applyFont="1" applyFill="1" applyBorder="1" applyAlignment="1" applyProtection="1">
      <alignment horizontal="center" vertical="center" shrinkToFit="1"/>
      <protection hidden="1"/>
    </xf>
    <xf numFmtId="167" fontId="11" fillId="6" borderId="25" xfId="18" applyNumberFormat="1" applyFont="1" applyFill="1" applyBorder="1" applyAlignment="1" applyProtection="1">
      <alignment horizontal="center" vertical="center"/>
      <protection hidden="1"/>
    </xf>
    <xf numFmtId="167" fontId="11" fillId="6" borderId="40" xfId="18" applyNumberFormat="1" applyFont="1" applyFill="1" applyBorder="1" applyAlignment="1" applyProtection="1">
      <alignment horizontal="center" vertical="center"/>
      <protection hidden="1"/>
    </xf>
    <xf numFmtId="1" fontId="24" fillId="6" borderId="62" xfId="18" applyNumberFormat="1" applyFont="1" applyFill="1" applyBorder="1" applyAlignment="1" applyProtection="1">
      <alignment horizontal="center" vertical="center" wrapText="1"/>
      <protection hidden="1"/>
    </xf>
    <xf numFmtId="1" fontId="24" fillId="6" borderId="63" xfId="18" applyNumberFormat="1" applyFont="1" applyFill="1" applyBorder="1" applyAlignment="1" applyProtection="1">
      <alignment horizontal="center" vertical="center" wrapText="1"/>
      <protection hidden="1"/>
    </xf>
    <xf numFmtId="167" fontId="11" fillId="6" borderId="20" xfId="18" applyNumberFormat="1" applyFont="1" applyFill="1" applyBorder="1" applyAlignment="1" applyProtection="1">
      <alignment horizontal="center" vertical="center" wrapText="1" shrinkToFit="1"/>
      <protection locked="0"/>
    </xf>
    <xf numFmtId="167" fontId="11" fillId="6" borderId="21" xfId="18" applyNumberFormat="1" applyFont="1" applyFill="1" applyBorder="1" applyAlignment="1" applyProtection="1">
      <alignment horizontal="center" vertical="center" wrapText="1" shrinkToFit="1"/>
      <protection locked="0"/>
    </xf>
    <xf numFmtId="14" fontId="0" fillId="0" borderId="18" xfId="0" applyNumberFormat="1" applyBorder="1" applyAlignment="1" applyProtection="1">
      <alignment horizontal="center" vertical="center"/>
      <protection locked="0"/>
    </xf>
    <xf numFmtId="49" fontId="6" fillId="0" borderId="27" xfId="0" applyNumberFormat="1" applyFont="1" applyBorder="1" applyAlignment="1" applyProtection="1">
      <alignment horizontal="center" vertical="center" wrapText="1"/>
      <protection locked="0"/>
    </xf>
    <xf numFmtId="49" fontId="6" fillId="0" borderId="6" xfId="0" applyNumberFormat="1" applyFont="1" applyBorder="1" applyAlignment="1" applyProtection="1">
      <alignment horizontal="center" vertical="center" wrapText="1"/>
      <protection locked="0"/>
    </xf>
    <xf numFmtId="49" fontId="6" fillId="0" borderId="11" xfId="0" applyNumberFormat="1" applyFont="1" applyBorder="1" applyAlignment="1" applyProtection="1">
      <alignment horizontal="center" vertical="center" wrapText="1"/>
      <protection locked="0"/>
    </xf>
    <xf numFmtId="0" fontId="13" fillId="0" borderId="27" xfId="0" applyFont="1" applyBorder="1" applyAlignment="1" applyProtection="1">
      <alignment horizontal="center" vertical="center"/>
      <protection locked="0"/>
    </xf>
    <xf numFmtId="0" fontId="13" fillId="0" borderId="6" xfId="0" applyFont="1" applyBorder="1" applyAlignment="1" applyProtection="1">
      <alignment horizontal="center" vertical="center"/>
      <protection locked="0"/>
    </xf>
    <xf numFmtId="0" fontId="13" fillId="0" borderId="11" xfId="0" applyFont="1" applyBorder="1" applyAlignment="1" applyProtection="1">
      <alignment horizontal="center" vertical="center"/>
      <protection locked="0"/>
    </xf>
    <xf numFmtId="0" fontId="5" fillId="0" borderId="8" xfId="0" applyFont="1" applyBorder="1" applyAlignment="1" applyProtection="1">
      <alignment horizontal="center" vertical="center"/>
      <protection locked="0"/>
    </xf>
    <xf numFmtId="0" fontId="5" fillId="0" borderId="0" xfId="0" applyFont="1" applyAlignment="1" applyProtection="1">
      <alignment horizontal="center" vertical="center"/>
      <protection locked="0"/>
    </xf>
    <xf numFmtId="0" fontId="5" fillId="0" borderId="4" xfId="0" applyFont="1" applyBorder="1" applyAlignment="1" applyProtection="1">
      <alignment horizontal="center" vertical="center"/>
      <protection locked="0"/>
    </xf>
    <xf numFmtId="0" fontId="6" fillId="0" borderId="18" xfId="0" applyFont="1" applyBorder="1" applyAlignment="1">
      <alignment horizontal="left"/>
    </xf>
    <xf numFmtId="49" fontId="6" fillId="0" borderId="8" xfId="0" applyNumberFormat="1" applyFont="1" applyBorder="1" applyAlignment="1" applyProtection="1">
      <alignment horizontal="center" vertical="center" wrapText="1"/>
      <protection locked="0"/>
    </xf>
    <xf numFmtId="49" fontId="6" fillId="0" borderId="0" xfId="0" applyNumberFormat="1" applyFont="1" applyAlignment="1" applyProtection="1">
      <alignment horizontal="center" vertical="center" wrapText="1"/>
      <protection locked="0"/>
    </xf>
    <xf numFmtId="49" fontId="6" fillId="0" borderId="4" xfId="0" applyNumberFormat="1" applyFont="1" applyBorder="1" applyAlignment="1" applyProtection="1">
      <alignment horizontal="center" vertical="center" wrapText="1"/>
      <protection locked="0"/>
    </xf>
    <xf numFmtId="49" fontId="3" fillId="0" borderId="27" xfId="0" applyNumberFormat="1" applyFont="1" applyBorder="1" applyAlignment="1" applyProtection="1">
      <alignment horizontal="center" vertical="center"/>
      <protection locked="0"/>
    </xf>
    <xf numFmtId="49" fontId="3" fillId="0" borderId="6" xfId="0" applyNumberFormat="1" applyFont="1" applyBorder="1" applyAlignment="1" applyProtection="1">
      <alignment horizontal="center" vertical="center"/>
      <protection locked="0"/>
    </xf>
    <xf numFmtId="49" fontId="3" fillId="0" borderId="11" xfId="0" applyNumberFormat="1" applyFont="1" applyBorder="1" applyAlignment="1" applyProtection="1">
      <alignment horizontal="center" vertical="center"/>
      <protection locked="0"/>
    </xf>
    <xf numFmtId="0" fontId="3" fillId="0" borderId="27" xfId="0" applyFont="1" applyBorder="1" applyAlignment="1" applyProtection="1">
      <alignment horizontal="left" vertical="center"/>
      <protection locked="0"/>
    </xf>
    <xf numFmtId="0" fontId="3" fillId="0" borderId="6" xfId="0" applyFont="1" applyBorder="1" applyAlignment="1" applyProtection="1">
      <alignment horizontal="left" vertical="center"/>
      <protection locked="0"/>
    </xf>
    <xf numFmtId="0" fontId="3" fillId="0" borderId="11" xfId="0" applyFont="1" applyBorder="1" applyAlignment="1" applyProtection="1">
      <alignment horizontal="left" vertical="center"/>
      <protection locked="0"/>
    </xf>
    <xf numFmtId="0" fontId="3" fillId="0" borderId="7" xfId="0" applyFont="1" applyBorder="1" applyAlignment="1" applyProtection="1">
      <alignment horizontal="left" vertical="center"/>
      <protection locked="0"/>
    </xf>
    <xf numFmtId="0" fontId="3" fillId="0" borderId="1" xfId="0" applyFont="1" applyBorder="1" applyAlignment="1" applyProtection="1">
      <alignment horizontal="left" vertical="center"/>
      <protection locked="0"/>
    </xf>
    <xf numFmtId="0" fontId="3" fillId="0" borderId="3" xfId="0" applyFont="1" applyBorder="1" applyAlignment="1" applyProtection="1">
      <alignment horizontal="left" vertical="center"/>
      <protection locked="0"/>
    </xf>
    <xf numFmtId="0" fontId="12" fillId="0" borderId="0" xfId="0" applyFont="1" applyAlignment="1" applyProtection="1">
      <alignment horizontal="center" vertical="center" shrinkToFit="1"/>
      <protection locked="0"/>
    </xf>
    <xf numFmtId="0" fontId="12" fillId="0" borderId="4" xfId="0" applyFont="1" applyBorder="1" applyAlignment="1" applyProtection="1">
      <alignment horizontal="center" vertical="center" shrinkToFit="1"/>
      <protection locked="0"/>
    </xf>
    <xf numFmtId="0" fontId="3" fillId="0" borderId="18" xfId="0" applyFont="1" applyBorder="1" applyAlignment="1">
      <alignment horizontal="center"/>
    </xf>
    <xf numFmtId="0" fontId="11" fillId="0" borderId="7" xfId="0" applyFont="1" applyBorder="1" applyAlignment="1" applyProtection="1">
      <alignment horizontal="center" vertical="center"/>
      <protection locked="0"/>
    </xf>
    <xf numFmtId="0" fontId="11" fillId="0" borderId="1" xfId="0" applyFont="1" applyBorder="1" applyAlignment="1" applyProtection="1">
      <alignment horizontal="center" vertical="center"/>
      <protection locked="0"/>
    </xf>
    <xf numFmtId="0" fontId="11" fillId="0" borderId="3" xfId="0" applyFont="1" applyBorder="1" applyAlignment="1" applyProtection="1">
      <alignment horizontal="center" vertical="center"/>
      <protection locked="0"/>
    </xf>
    <xf numFmtId="0" fontId="11" fillId="0" borderId="9" xfId="0" applyFont="1" applyBorder="1" applyAlignment="1" applyProtection="1">
      <alignment horizontal="center" vertical="center"/>
      <protection locked="0"/>
    </xf>
    <xf numFmtId="0" fontId="11" fillId="0" borderId="2" xfId="0" applyFont="1" applyBorder="1" applyAlignment="1" applyProtection="1">
      <alignment horizontal="center" vertical="center"/>
      <protection locked="0"/>
    </xf>
    <xf numFmtId="0" fontId="11" fillId="0" borderId="5" xfId="0" applyFont="1" applyBorder="1" applyAlignment="1" applyProtection="1">
      <alignment horizontal="center" vertical="center"/>
      <protection locked="0"/>
    </xf>
    <xf numFmtId="0" fontId="11" fillId="0" borderId="26" xfId="0" applyFont="1" applyBorder="1" applyAlignment="1" applyProtection="1">
      <alignment horizontal="center" vertical="center"/>
      <protection locked="0"/>
    </xf>
    <xf numFmtId="0" fontId="11" fillId="0" borderId="28" xfId="0" applyFont="1" applyBorder="1" applyAlignment="1" applyProtection="1">
      <alignment horizontal="center" vertical="center"/>
      <protection locked="0"/>
    </xf>
    <xf numFmtId="0" fontId="7" fillId="0" borderId="27" xfId="0" applyFont="1" applyBorder="1" applyAlignment="1" applyProtection="1">
      <alignment horizontal="center" vertical="center"/>
      <protection locked="0"/>
    </xf>
    <xf numFmtId="0" fontId="0" fillId="0" borderId="6" xfId="0" applyBorder="1"/>
    <xf numFmtId="0" fontId="0" fillId="0" borderId="11" xfId="0" applyBorder="1"/>
    <xf numFmtId="49" fontId="7" fillId="0" borderId="0" xfId="0" applyNumberFormat="1" applyFont="1" applyAlignment="1">
      <alignment horizontal="center"/>
    </xf>
    <xf numFmtId="49" fontId="0" fillId="0" borderId="0" xfId="0" applyNumberFormat="1" applyAlignment="1">
      <alignment horizontal="center"/>
    </xf>
    <xf numFmtId="0" fontId="13" fillId="0" borderId="8" xfId="0" applyFont="1" applyBorder="1" applyAlignment="1" applyProtection="1">
      <alignment horizontal="center" vertical="center"/>
      <protection locked="0"/>
    </xf>
    <xf numFmtId="0" fontId="13" fillId="0" borderId="0" xfId="0" applyFont="1" applyAlignment="1" applyProtection="1">
      <alignment horizontal="center" vertical="center"/>
      <protection locked="0"/>
    </xf>
    <xf numFmtId="0" fontId="13" fillId="0" borderId="4" xfId="0" applyFont="1" applyBorder="1" applyAlignment="1" applyProtection="1">
      <alignment horizontal="center" vertical="center"/>
      <protection locked="0"/>
    </xf>
    <xf numFmtId="0" fontId="10" fillId="0" borderId="8" xfId="0" applyFont="1" applyBorder="1" applyAlignment="1">
      <alignment horizontal="center" vertical="center"/>
    </xf>
    <xf numFmtId="0" fontId="10" fillId="0" borderId="0" xfId="0" applyFont="1" applyAlignment="1">
      <alignment horizontal="center" vertical="center"/>
    </xf>
    <xf numFmtId="0" fontId="10" fillId="0" borderId="4" xfId="0" applyFont="1" applyBorder="1" applyAlignment="1">
      <alignment horizontal="center" vertical="center"/>
    </xf>
    <xf numFmtId="14" fontId="0" fillId="0" borderId="27" xfId="0" applyNumberFormat="1" applyBorder="1" applyAlignment="1" applyProtection="1">
      <alignment horizontal="center" vertical="center"/>
      <protection locked="0"/>
    </xf>
    <xf numFmtId="0" fontId="0" fillId="0" borderId="6" xfId="0" applyBorder="1" applyAlignment="1" applyProtection="1">
      <alignment horizontal="center" vertical="center"/>
      <protection locked="0"/>
    </xf>
    <xf numFmtId="0" fontId="0" fillId="0" borderId="11" xfId="0" applyBorder="1" applyAlignment="1" applyProtection="1">
      <alignment horizontal="center" vertical="center"/>
      <protection locked="0"/>
    </xf>
    <xf numFmtId="0" fontId="0" fillId="0" borderId="7" xfId="0" applyBorder="1" applyAlignment="1">
      <alignment horizontal="center"/>
    </xf>
    <xf numFmtId="0" fontId="0" fillId="0" borderId="1" xfId="0" applyBorder="1" applyAlignment="1">
      <alignment horizontal="center"/>
    </xf>
    <xf numFmtId="0" fontId="0" fillId="0" borderId="3" xfId="0" applyBorder="1" applyAlignment="1">
      <alignment horizontal="center"/>
    </xf>
    <xf numFmtId="0" fontId="0" fillId="0" borderId="8" xfId="0" applyBorder="1" applyAlignment="1">
      <alignment horizontal="center"/>
    </xf>
    <xf numFmtId="0" fontId="0" fillId="0" borderId="0" xfId="0" applyAlignment="1">
      <alignment horizontal="center"/>
    </xf>
    <xf numFmtId="0" fontId="0" fillId="0" borderId="4" xfId="0" applyBorder="1" applyAlignment="1">
      <alignment horizontal="center"/>
    </xf>
    <xf numFmtId="0" fontId="0" fillId="0" borderId="9" xfId="0" applyBorder="1" applyAlignment="1">
      <alignment horizontal="center"/>
    </xf>
    <xf numFmtId="0" fontId="0" fillId="0" borderId="2" xfId="0" applyBorder="1" applyAlignment="1">
      <alignment horizontal="center"/>
    </xf>
    <xf numFmtId="0" fontId="0" fillId="0" borderId="5" xfId="0" applyBorder="1" applyAlignment="1">
      <alignment horizontal="center"/>
    </xf>
    <xf numFmtId="49" fontId="11" fillId="0" borderId="10" xfId="0" applyNumberFormat="1" applyFont="1" applyBorder="1" applyAlignment="1" applyProtection="1">
      <alignment horizontal="center" vertical="center"/>
      <protection locked="0"/>
    </xf>
    <xf numFmtId="49" fontId="11" fillId="0" borderId="28" xfId="0" applyNumberFormat="1" applyFont="1" applyBorder="1" applyAlignment="1" applyProtection="1">
      <alignment horizontal="center" vertical="center"/>
      <protection locked="0"/>
    </xf>
    <xf numFmtId="0" fontId="5" fillId="0" borderId="27" xfId="0" applyFont="1" applyBorder="1" applyAlignment="1" applyProtection="1">
      <alignment horizontal="center" vertical="center"/>
      <protection locked="0"/>
    </xf>
    <xf numFmtId="0" fontId="5" fillId="0" borderId="6" xfId="0" applyFont="1" applyBorder="1" applyAlignment="1" applyProtection="1">
      <alignment horizontal="center" vertical="center"/>
      <protection locked="0"/>
    </xf>
    <xf numFmtId="0" fontId="5" fillId="0" borderId="11" xfId="0" applyFont="1" applyBorder="1" applyAlignment="1" applyProtection="1">
      <alignment horizontal="center" vertical="center"/>
      <protection locked="0"/>
    </xf>
    <xf numFmtId="14" fontId="11" fillId="0" borderId="7" xfId="0" applyNumberFormat="1" applyFont="1" applyBorder="1" applyAlignment="1" applyProtection="1">
      <alignment horizontal="center" vertical="center"/>
      <protection locked="0"/>
    </xf>
    <xf numFmtId="14" fontId="11" fillId="0" borderId="3" xfId="0" applyNumberFormat="1" applyFont="1" applyBorder="1" applyAlignment="1" applyProtection="1">
      <alignment horizontal="center" vertical="center"/>
      <protection locked="0"/>
    </xf>
    <xf numFmtId="14" fontId="11" fillId="0" borderId="9" xfId="0" applyNumberFormat="1" applyFont="1" applyBorder="1" applyAlignment="1" applyProtection="1">
      <alignment horizontal="center" vertical="center"/>
      <protection locked="0"/>
    </xf>
    <xf numFmtId="14" fontId="11" fillId="0" borderId="5" xfId="0" applyNumberFormat="1" applyFont="1" applyBorder="1" applyAlignment="1" applyProtection="1">
      <alignment horizontal="center" vertical="center"/>
      <protection locked="0"/>
    </xf>
    <xf numFmtId="0" fontId="6" fillId="0" borderId="18" xfId="0" applyFont="1" applyBorder="1" applyAlignment="1">
      <alignment horizontal="center"/>
    </xf>
    <xf numFmtId="1" fontId="21" fillId="0" borderId="7" xfId="0" applyNumberFormat="1" applyFont="1" applyBorder="1" applyAlignment="1" applyProtection="1">
      <alignment horizontal="center" vertical="center" shrinkToFit="1"/>
      <protection hidden="1"/>
    </xf>
    <xf numFmtId="1" fontId="21" fillId="0" borderId="1" xfId="0" applyNumberFormat="1" applyFont="1" applyBorder="1" applyAlignment="1" applyProtection="1">
      <alignment horizontal="center" vertical="center" shrinkToFit="1"/>
      <protection hidden="1"/>
    </xf>
    <xf numFmtId="1" fontId="21" fillId="0" borderId="3" xfId="0" applyNumberFormat="1" applyFont="1" applyBorder="1" applyAlignment="1" applyProtection="1">
      <alignment horizontal="center" vertical="center" shrinkToFit="1"/>
      <protection hidden="1"/>
    </xf>
    <xf numFmtId="1" fontId="21" fillId="0" borderId="9" xfId="0" applyNumberFormat="1" applyFont="1" applyBorder="1" applyAlignment="1" applyProtection="1">
      <alignment horizontal="center" vertical="center" shrinkToFit="1"/>
      <protection hidden="1"/>
    </xf>
    <xf numFmtId="1" fontId="21" fillId="0" borderId="2" xfId="0" applyNumberFormat="1" applyFont="1" applyBorder="1" applyAlignment="1" applyProtection="1">
      <alignment horizontal="center" vertical="center" shrinkToFit="1"/>
      <protection hidden="1"/>
    </xf>
    <xf numFmtId="1" fontId="21" fillId="0" borderId="5" xfId="0" applyNumberFormat="1" applyFont="1" applyBorder="1" applyAlignment="1" applyProtection="1">
      <alignment horizontal="center" vertical="center" shrinkToFit="1"/>
      <protection hidden="1"/>
    </xf>
    <xf numFmtId="0" fontId="3" fillId="0" borderId="26" xfId="0" applyFont="1" applyBorder="1" applyAlignment="1">
      <alignment horizontal="center" vertical="top"/>
    </xf>
    <xf numFmtId="0" fontId="3" fillId="0" borderId="10" xfId="0" applyFont="1" applyBorder="1" applyAlignment="1">
      <alignment horizontal="center" vertical="top"/>
    </xf>
    <xf numFmtId="0" fontId="3" fillId="0" borderId="28" xfId="0" applyFont="1" applyBorder="1" applyAlignment="1">
      <alignment horizontal="center" vertical="top"/>
    </xf>
    <xf numFmtId="0" fontId="3" fillId="0" borderId="26" xfId="0" applyFont="1" applyBorder="1" applyAlignment="1" applyProtection="1">
      <alignment horizontal="center" vertical="center"/>
      <protection locked="0"/>
    </xf>
    <xf numFmtId="0" fontId="3" fillId="0" borderId="10" xfId="0" applyFont="1" applyBorder="1" applyAlignment="1" applyProtection="1">
      <alignment horizontal="center" vertical="center"/>
      <protection locked="0"/>
    </xf>
    <xf numFmtId="0" fontId="3" fillId="0" borderId="28" xfId="0" applyFont="1" applyBorder="1" applyAlignment="1" applyProtection="1">
      <alignment horizontal="center" vertical="center"/>
      <protection locked="0"/>
    </xf>
    <xf numFmtId="14" fontId="3" fillId="0" borderId="7" xfId="0" applyNumberFormat="1" applyFont="1" applyBorder="1" applyAlignment="1" applyProtection="1">
      <alignment horizontal="center" vertical="center"/>
      <protection locked="0"/>
    </xf>
    <xf numFmtId="0" fontId="3" fillId="0" borderId="1" xfId="0" applyFont="1" applyBorder="1" applyAlignment="1" applyProtection="1">
      <alignment horizontal="center" vertical="center"/>
      <protection locked="0"/>
    </xf>
    <xf numFmtId="0" fontId="3" fillId="0" borderId="3" xfId="0" applyFont="1" applyBorder="1" applyAlignment="1" applyProtection="1">
      <alignment horizontal="center" vertical="center"/>
      <protection locked="0"/>
    </xf>
    <xf numFmtId="14" fontId="3" fillId="0" borderId="27" xfId="0" applyNumberFormat="1" applyFont="1" applyBorder="1" applyAlignment="1" applyProtection="1">
      <alignment horizontal="center" vertical="center"/>
      <protection locked="0"/>
    </xf>
    <xf numFmtId="0" fontId="3" fillId="0" borderId="6" xfId="0" applyFont="1" applyBorder="1" applyAlignment="1" applyProtection="1">
      <alignment horizontal="center" vertical="center"/>
      <protection locked="0"/>
    </xf>
    <xf numFmtId="0" fontId="3" fillId="0" borderId="11" xfId="0" applyFont="1" applyBorder="1" applyAlignment="1" applyProtection="1">
      <alignment horizontal="center" vertical="center"/>
      <protection locked="0"/>
    </xf>
    <xf numFmtId="14" fontId="0" fillId="0" borderId="7" xfId="0" applyNumberFormat="1" applyBorder="1" applyAlignment="1" applyProtection="1">
      <alignment horizontal="center" vertical="center"/>
      <protection locked="0"/>
    </xf>
    <xf numFmtId="0" fontId="0" fillId="0" borderId="1" xfId="0" applyBorder="1" applyAlignment="1" applyProtection="1">
      <alignment horizontal="center" vertical="center"/>
      <protection locked="0"/>
    </xf>
    <xf numFmtId="0" fontId="0" fillId="0" borderId="3" xfId="0" applyBorder="1" applyAlignment="1" applyProtection="1">
      <alignment horizontal="center" vertical="center"/>
      <protection locked="0"/>
    </xf>
    <xf numFmtId="0" fontId="0" fillId="0" borderId="18" xfId="0" applyBorder="1" applyAlignment="1" applyProtection="1">
      <alignment horizontal="center" vertical="center"/>
      <protection locked="0"/>
    </xf>
    <xf numFmtId="14" fontId="13" fillId="0" borderId="27" xfId="0" applyNumberFormat="1" applyFont="1" applyBorder="1" applyAlignment="1" applyProtection="1">
      <alignment horizontal="center" vertical="center"/>
      <protection locked="0"/>
    </xf>
    <xf numFmtId="14" fontId="0" fillId="0" borderId="8" xfId="0" applyNumberFormat="1" applyBorder="1" applyAlignment="1" applyProtection="1">
      <alignment horizontal="center" vertical="center"/>
      <protection locked="0"/>
    </xf>
    <xf numFmtId="0" fontId="0" fillId="0" borderId="0" xfId="0" applyAlignment="1" applyProtection="1">
      <alignment horizontal="center" vertical="center"/>
      <protection locked="0"/>
    </xf>
    <xf numFmtId="0" fontId="0" fillId="0" borderId="4" xfId="0" applyBorder="1" applyAlignment="1" applyProtection="1">
      <alignment horizontal="center" vertical="center"/>
      <protection locked="0"/>
    </xf>
    <xf numFmtId="14" fontId="0" fillId="0" borderId="9" xfId="0" applyNumberFormat="1" applyBorder="1" applyAlignment="1" applyProtection="1">
      <alignment horizontal="center" vertical="center"/>
      <protection locked="0"/>
    </xf>
    <xf numFmtId="0" fontId="0" fillId="0" borderId="2" xfId="0" applyBorder="1" applyAlignment="1" applyProtection="1">
      <alignment horizontal="center" vertical="center"/>
      <protection locked="0"/>
    </xf>
    <xf numFmtId="0" fontId="0" fillId="0" borderId="5" xfId="0" applyBorder="1" applyAlignment="1" applyProtection="1">
      <alignment horizontal="center" vertical="center"/>
      <protection locked="0"/>
    </xf>
    <xf numFmtId="0" fontId="6" fillId="0" borderId="26" xfId="0" applyFont="1" applyBorder="1" applyAlignment="1">
      <alignment horizontal="center" textRotation="90" wrapText="1"/>
    </xf>
    <xf numFmtId="0" fontId="6" fillId="0" borderId="10" xfId="0" applyFont="1" applyBorder="1" applyAlignment="1">
      <alignment horizontal="center" textRotation="90" wrapText="1"/>
    </xf>
    <xf numFmtId="0" fontId="6" fillId="0" borderId="28" xfId="0" applyFont="1" applyBorder="1" applyAlignment="1">
      <alignment horizontal="center" textRotation="90" wrapText="1"/>
    </xf>
    <xf numFmtId="0" fontId="3" fillId="0" borderId="27" xfId="0" applyFont="1" applyBorder="1" applyAlignment="1" applyProtection="1">
      <alignment horizontal="center" vertical="center"/>
      <protection locked="0"/>
    </xf>
    <xf numFmtId="0" fontId="3" fillId="0" borderId="8" xfId="0" applyFont="1" applyBorder="1" applyAlignment="1" applyProtection="1">
      <alignment horizontal="left" vertical="center"/>
      <protection locked="0"/>
    </xf>
    <xf numFmtId="0" fontId="3" fillId="0" borderId="0" xfId="0" applyFont="1" applyAlignment="1" applyProtection="1">
      <alignment horizontal="left" vertical="center"/>
      <protection locked="0"/>
    </xf>
    <xf numFmtId="0" fontId="3" fillId="0" borderId="4" xfId="0" applyFont="1" applyBorder="1" applyAlignment="1" applyProtection="1">
      <alignment horizontal="left" vertical="center"/>
      <protection locked="0"/>
    </xf>
    <xf numFmtId="0" fontId="3" fillId="0" borderId="18" xfId="0" applyFont="1" applyBorder="1" applyAlignment="1" applyProtection="1">
      <alignment horizontal="left" vertical="center"/>
      <protection locked="0"/>
    </xf>
    <xf numFmtId="0" fontId="14" fillId="0" borderId="27" xfId="0" applyFont="1" applyBorder="1" applyAlignment="1">
      <alignment horizontal="left" vertical="center"/>
    </xf>
    <xf numFmtId="0" fontId="14" fillId="0" borderId="6" xfId="0" applyFont="1" applyBorder="1" applyAlignment="1">
      <alignment horizontal="left" vertical="center"/>
    </xf>
    <xf numFmtId="0" fontId="14" fillId="0" borderId="11" xfId="0" applyFont="1" applyBorder="1" applyAlignment="1">
      <alignment horizontal="left" vertical="center"/>
    </xf>
    <xf numFmtId="0" fontId="14" fillId="0" borderId="27" xfId="0" applyFont="1" applyBorder="1" applyAlignment="1">
      <alignment horizontal="center" vertical="center"/>
    </xf>
    <xf numFmtId="0" fontId="14" fillId="0" borderId="6" xfId="0" applyFont="1" applyBorder="1" applyAlignment="1">
      <alignment horizontal="center" vertical="center"/>
    </xf>
    <xf numFmtId="0" fontId="14" fillId="0" borderId="11" xfId="0" applyFont="1" applyBorder="1" applyAlignment="1">
      <alignment horizontal="center" vertical="center"/>
    </xf>
    <xf numFmtId="0" fontId="3" fillId="0" borderId="7" xfId="0" applyFont="1" applyBorder="1" applyAlignment="1" applyProtection="1">
      <alignment horizontal="left" vertical="center" wrapText="1"/>
      <protection locked="0"/>
    </xf>
    <xf numFmtId="0" fontId="3" fillId="0" borderId="18" xfId="0" applyFont="1" applyBorder="1" applyAlignment="1" applyProtection="1">
      <alignment horizontal="left" vertical="center" wrapText="1"/>
      <protection locked="0"/>
    </xf>
    <xf numFmtId="49" fontId="3" fillId="0" borderId="27" xfId="0" applyNumberFormat="1" applyFont="1" applyBorder="1" applyAlignment="1" applyProtection="1">
      <alignment horizontal="left" vertical="center"/>
      <protection locked="0"/>
    </xf>
    <xf numFmtId="49" fontId="3" fillId="0" borderId="6" xfId="0" applyNumberFormat="1" applyFont="1" applyBorder="1" applyAlignment="1" applyProtection="1">
      <alignment horizontal="left" vertical="center"/>
      <protection locked="0"/>
    </xf>
    <xf numFmtId="49" fontId="3" fillId="0" borderId="11" xfId="0" applyNumberFormat="1" applyFont="1" applyBorder="1" applyAlignment="1" applyProtection="1">
      <alignment horizontal="left" vertical="center"/>
      <protection locked="0"/>
    </xf>
    <xf numFmtId="0" fontId="27" fillId="3" borderId="13" xfId="22" applyFont="1" applyFill="1" applyBorder="1" applyAlignment="1" applyProtection="1">
      <alignment horizontal="right" vertical="center"/>
      <protection locked="0"/>
    </xf>
    <xf numFmtId="0" fontId="11" fillId="3" borderId="0" xfId="18" applyFont="1" applyFill="1" applyAlignment="1" applyProtection="1">
      <alignment horizontal="center" vertical="center"/>
      <protection locked="0"/>
    </xf>
    <xf numFmtId="0" fontId="39" fillId="3" borderId="0" xfId="18" applyFont="1" applyFill="1" applyAlignment="1" applyProtection="1">
      <alignment horizontal="center" vertical="center"/>
      <protection locked="0"/>
    </xf>
    <xf numFmtId="0" fontId="44" fillId="3" borderId="0" xfId="22" applyFont="1" applyFill="1" applyBorder="1" applyAlignment="1" applyProtection="1">
      <alignment horizontal="center" vertical="center"/>
      <protection locked="0"/>
    </xf>
    <xf numFmtId="0" fontId="44" fillId="3" borderId="13" xfId="22" applyFont="1" applyFill="1" applyBorder="1" applyAlignment="1" applyProtection="1">
      <alignment horizontal="center" vertical="center"/>
      <protection locked="0"/>
    </xf>
    <xf numFmtId="49" fontId="26" fillId="3" borderId="23" xfId="18" applyNumberFormat="1" applyFont="1" applyFill="1" applyBorder="1" applyAlignment="1" applyProtection="1">
      <alignment horizontal="center" vertical="center" wrapText="1"/>
      <protection locked="0"/>
    </xf>
    <xf numFmtId="49" fontId="26" fillId="3" borderId="57" xfId="18" applyNumberFormat="1" applyFont="1" applyFill="1" applyBorder="1" applyAlignment="1" applyProtection="1">
      <alignment horizontal="center" vertical="center" wrapText="1"/>
      <protection locked="0"/>
    </xf>
    <xf numFmtId="0" fontId="55" fillId="13" borderId="15" xfId="18" applyFont="1" applyFill="1" applyBorder="1" applyAlignment="1" applyProtection="1">
      <alignment horizontal="center" vertical="center"/>
      <protection hidden="1"/>
    </xf>
    <xf numFmtId="0" fontId="55" fillId="13" borderId="0" xfId="18" applyFont="1" applyFill="1" applyAlignment="1" applyProtection="1">
      <alignment horizontal="center" vertical="center"/>
      <protection hidden="1"/>
    </xf>
    <xf numFmtId="0" fontId="55" fillId="13" borderId="16" xfId="18" applyFont="1" applyFill="1" applyBorder="1" applyAlignment="1" applyProtection="1">
      <alignment horizontal="center" vertical="center"/>
      <protection hidden="1"/>
    </xf>
    <xf numFmtId="0" fontId="55" fillId="13" borderId="55" xfId="18" applyFont="1" applyFill="1" applyBorder="1" applyAlignment="1" applyProtection="1">
      <alignment horizontal="center" vertical="center"/>
      <protection hidden="1"/>
    </xf>
    <xf numFmtId="0" fontId="55" fillId="13" borderId="36" xfId="18" applyFont="1" applyFill="1" applyBorder="1" applyAlignment="1" applyProtection="1">
      <alignment horizontal="center" vertical="center"/>
      <protection hidden="1"/>
    </xf>
    <xf numFmtId="0" fontId="55" fillId="13" borderId="56" xfId="18" applyFont="1" applyFill="1" applyBorder="1" applyAlignment="1" applyProtection="1">
      <alignment horizontal="center" vertical="center"/>
      <protection hidden="1"/>
    </xf>
    <xf numFmtId="0" fontId="39" fillId="13" borderId="11" xfId="18" applyFont="1" applyFill="1" applyBorder="1" applyAlignment="1" applyProtection="1">
      <alignment horizontal="left" vertical="center"/>
      <protection hidden="1"/>
    </xf>
    <xf numFmtId="0" fontId="39" fillId="13" borderId="18" xfId="18" applyFont="1" applyFill="1" applyBorder="1" applyAlignment="1" applyProtection="1">
      <alignment horizontal="left" vertical="center"/>
      <protection hidden="1"/>
    </xf>
    <xf numFmtId="0" fontId="50" fillId="13" borderId="7" xfId="18" applyFont="1" applyFill="1" applyBorder="1" applyAlignment="1" applyProtection="1">
      <alignment horizontal="center" vertical="center" shrinkToFit="1"/>
      <protection hidden="1"/>
    </xf>
    <xf numFmtId="0" fontId="50" fillId="13" borderId="44" xfId="18" applyFont="1" applyFill="1" applyBorder="1" applyAlignment="1" applyProtection="1">
      <alignment horizontal="center" vertical="center" shrinkToFit="1"/>
      <protection hidden="1"/>
    </xf>
    <xf numFmtId="0" fontId="50" fillId="13" borderId="71" xfId="18" applyFont="1" applyFill="1" applyBorder="1" applyAlignment="1" applyProtection="1">
      <alignment horizontal="center" vertical="center" shrinkToFit="1"/>
      <protection hidden="1"/>
    </xf>
    <xf numFmtId="0" fontId="50" fillId="13" borderId="56" xfId="18" applyFont="1" applyFill="1" applyBorder="1" applyAlignment="1" applyProtection="1">
      <alignment horizontal="center" vertical="center" shrinkToFit="1"/>
      <protection hidden="1"/>
    </xf>
    <xf numFmtId="0" fontId="11" fillId="13" borderId="19" xfId="18" applyFont="1" applyFill="1" applyBorder="1" applyAlignment="1" applyProtection="1">
      <alignment horizontal="left" vertical="center"/>
      <protection hidden="1"/>
    </xf>
    <xf numFmtId="0" fontId="11" fillId="13" borderId="18" xfId="18" applyFont="1" applyFill="1" applyBorder="1" applyAlignment="1" applyProtection="1">
      <alignment horizontal="left" vertical="center"/>
      <protection hidden="1"/>
    </xf>
    <xf numFmtId="0" fontId="41" fillId="13" borderId="7" xfId="17" applyFont="1" applyFill="1" applyBorder="1" applyAlignment="1" applyProtection="1">
      <alignment horizontal="center" vertical="center" shrinkToFit="1"/>
      <protection hidden="1"/>
    </xf>
    <xf numFmtId="0" fontId="41" fillId="13" borderId="1" xfId="17" applyFont="1" applyFill="1" applyBorder="1" applyAlignment="1" applyProtection="1">
      <alignment horizontal="center" vertical="center" shrinkToFit="1"/>
      <protection hidden="1"/>
    </xf>
    <xf numFmtId="0" fontId="41" fillId="13" borderId="44" xfId="17" applyFont="1" applyFill="1" applyBorder="1" applyAlignment="1" applyProtection="1">
      <alignment horizontal="center" vertical="center" shrinkToFit="1"/>
      <protection hidden="1"/>
    </xf>
    <xf numFmtId="0" fontId="41" fillId="13" borderId="9" xfId="17" applyFont="1" applyFill="1" applyBorder="1" applyAlignment="1" applyProtection="1">
      <alignment horizontal="center" vertical="center" shrinkToFit="1"/>
      <protection hidden="1"/>
    </xf>
    <xf numFmtId="0" fontId="41" fillId="13" borderId="2" xfId="17" applyFont="1" applyFill="1" applyBorder="1" applyAlignment="1" applyProtection="1">
      <alignment horizontal="center" vertical="center" shrinkToFit="1"/>
      <protection hidden="1"/>
    </xf>
    <xf numFmtId="0" fontId="41" fillId="13" borderId="41" xfId="17" applyFont="1" applyFill="1" applyBorder="1" applyAlignment="1" applyProtection="1">
      <alignment horizontal="center" vertical="center" shrinkToFit="1"/>
      <protection hidden="1"/>
    </xf>
    <xf numFmtId="0" fontId="41" fillId="13" borderId="8" xfId="18" applyFont="1" applyFill="1" applyBorder="1" applyAlignment="1" applyProtection="1">
      <alignment horizontal="center" vertical="center" shrinkToFit="1"/>
      <protection hidden="1"/>
    </xf>
    <xf numFmtId="0" fontId="41" fillId="13" borderId="0" xfId="18" applyFont="1" applyFill="1" applyAlignment="1" applyProtection="1">
      <alignment horizontal="center" vertical="center" shrinkToFit="1"/>
      <protection hidden="1"/>
    </xf>
    <xf numFmtId="0" fontId="41" fillId="13" borderId="16" xfId="18" applyFont="1" applyFill="1" applyBorder="1" applyAlignment="1" applyProtection="1">
      <alignment horizontal="center" vertical="center" shrinkToFit="1"/>
      <protection hidden="1"/>
    </xf>
    <xf numFmtId="0" fontId="41" fillId="13" borderId="9" xfId="18" applyFont="1" applyFill="1" applyBorder="1" applyAlignment="1" applyProtection="1">
      <alignment horizontal="center" vertical="center" shrinkToFit="1"/>
      <protection hidden="1"/>
    </xf>
    <xf numFmtId="0" fontId="41" fillId="13" borderId="2" xfId="18" applyFont="1" applyFill="1" applyBorder="1" applyAlignment="1" applyProtection="1">
      <alignment horizontal="center" vertical="center" shrinkToFit="1"/>
      <protection hidden="1"/>
    </xf>
    <xf numFmtId="0" fontId="41" fillId="13" borderId="41" xfId="18" applyFont="1" applyFill="1" applyBorder="1" applyAlignment="1" applyProtection="1">
      <alignment horizontal="center" vertical="center" shrinkToFit="1"/>
      <protection hidden="1"/>
    </xf>
    <xf numFmtId="0" fontId="39" fillId="13" borderId="25" xfId="18" applyFont="1" applyFill="1" applyBorder="1" applyAlignment="1" applyProtection="1">
      <alignment horizontal="left" vertical="center"/>
      <protection hidden="1"/>
    </xf>
    <xf numFmtId="0" fontId="39" fillId="13" borderId="21" xfId="18" applyFont="1" applyFill="1" applyBorder="1" applyAlignment="1" applyProtection="1">
      <alignment horizontal="left" vertical="center"/>
      <protection hidden="1"/>
    </xf>
    <xf numFmtId="0" fontId="11" fillId="13" borderId="20" xfId="18" applyFont="1" applyFill="1" applyBorder="1" applyAlignment="1" applyProtection="1">
      <alignment horizontal="left" vertical="center"/>
      <protection hidden="1"/>
    </xf>
    <xf numFmtId="0" fontId="11" fillId="13" borderId="21" xfId="18" applyFont="1" applyFill="1" applyBorder="1" applyAlignment="1" applyProtection="1">
      <alignment horizontal="left" vertical="center"/>
      <protection hidden="1"/>
    </xf>
    <xf numFmtId="14" fontId="41" fillId="13" borderId="7" xfId="18" applyNumberFormat="1" applyFont="1" applyFill="1" applyBorder="1" applyAlignment="1" applyProtection="1">
      <alignment horizontal="center" vertical="center" shrinkToFit="1"/>
      <protection hidden="1"/>
    </xf>
    <xf numFmtId="14" fontId="41" fillId="13" borderId="1" xfId="18" applyNumberFormat="1" applyFont="1" applyFill="1" applyBorder="1" applyAlignment="1" applyProtection="1">
      <alignment horizontal="center" vertical="center" shrinkToFit="1"/>
      <protection hidden="1"/>
    </xf>
    <xf numFmtId="14" fontId="41" fillId="13" borderId="44" xfId="18" applyNumberFormat="1" applyFont="1" applyFill="1" applyBorder="1" applyAlignment="1" applyProtection="1">
      <alignment horizontal="center" vertical="center" shrinkToFit="1"/>
      <protection hidden="1"/>
    </xf>
    <xf numFmtId="14" fontId="41" fillId="13" borderId="9" xfId="18" applyNumberFormat="1" applyFont="1" applyFill="1" applyBorder="1" applyAlignment="1" applyProtection="1">
      <alignment horizontal="center" vertical="center" shrinkToFit="1"/>
      <protection hidden="1"/>
    </xf>
    <xf numFmtId="14" fontId="41" fillId="13" borderId="2" xfId="18" applyNumberFormat="1" applyFont="1" applyFill="1" applyBorder="1" applyAlignment="1" applyProtection="1">
      <alignment horizontal="center" vertical="center" shrinkToFit="1"/>
      <protection hidden="1"/>
    </xf>
    <xf numFmtId="14" fontId="41" fillId="13" borderId="41" xfId="18" applyNumberFormat="1" applyFont="1" applyFill="1" applyBorder="1" applyAlignment="1" applyProtection="1">
      <alignment horizontal="center" vertical="center" shrinkToFit="1"/>
      <protection hidden="1"/>
    </xf>
    <xf numFmtId="0" fontId="50" fillId="13" borderId="8" xfId="18" applyFont="1" applyFill="1" applyBorder="1" applyAlignment="1" applyProtection="1">
      <alignment horizontal="center" vertical="center" shrinkToFit="1"/>
      <protection hidden="1"/>
    </xf>
    <xf numFmtId="0" fontId="50" fillId="13" borderId="16" xfId="18" applyFont="1" applyFill="1" applyBorder="1" applyAlignment="1" applyProtection="1">
      <alignment horizontal="center" vertical="center" shrinkToFit="1"/>
      <protection hidden="1"/>
    </xf>
    <xf numFmtId="0" fontId="50" fillId="13" borderId="9" xfId="18" applyFont="1" applyFill="1" applyBorder="1" applyAlignment="1" applyProtection="1">
      <alignment horizontal="center" vertical="center" shrinkToFit="1"/>
      <protection hidden="1"/>
    </xf>
    <xf numFmtId="0" fontId="50" fillId="13" borderId="41" xfId="18" applyFont="1" applyFill="1" applyBorder="1" applyAlignment="1" applyProtection="1">
      <alignment horizontal="center" vertical="center" shrinkToFit="1"/>
      <protection hidden="1"/>
    </xf>
    <xf numFmtId="49" fontId="11" fillId="13" borderId="32" xfId="18" applyNumberFormat="1" applyFont="1" applyFill="1" applyBorder="1" applyAlignment="1" applyProtection="1">
      <alignment horizontal="left" vertical="justify"/>
      <protection hidden="1"/>
    </xf>
    <xf numFmtId="49" fontId="11" fillId="13" borderId="23" xfId="18" applyNumberFormat="1" applyFont="1" applyFill="1" applyBorder="1" applyAlignment="1" applyProtection="1">
      <alignment horizontal="left" vertical="justify"/>
      <protection hidden="1"/>
    </xf>
    <xf numFmtId="49" fontId="11" fillId="13" borderId="59" xfId="18" applyNumberFormat="1" applyFont="1" applyFill="1" applyBorder="1" applyAlignment="1" applyProtection="1">
      <alignment horizontal="left" vertical="justify"/>
      <protection hidden="1"/>
    </xf>
    <xf numFmtId="0" fontId="11" fillId="13" borderId="37" xfId="18" applyFont="1" applyFill="1" applyBorder="1" applyAlignment="1" applyProtection="1">
      <alignment horizontal="left" vertical="center"/>
      <protection hidden="1"/>
    </xf>
    <xf numFmtId="0" fontId="11" fillId="13" borderId="28" xfId="18" applyFont="1" applyFill="1" applyBorder="1" applyAlignment="1" applyProtection="1">
      <alignment horizontal="left" vertical="center"/>
      <protection hidden="1"/>
    </xf>
    <xf numFmtId="1" fontId="27" fillId="13" borderId="65" xfId="18" applyNumberFormat="1" applyFont="1" applyFill="1" applyBorder="1" applyAlignment="1" applyProtection="1">
      <alignment horizontal="center" vertical="center" shrinkToFit="1"/>
      <protection hidden="1"/>
    </xf>
    <xf numFmtId="1" fontId="27" fillId="13" borderId="66" xfId="18" applyNumberFormat="1" applyFont="1" applyFill="1" applyBorder="1" applyAlignment="1" applyProtection="1">
      <alignment horizontal="center" vertical="center" shrinkToFit="1"/>
      <protection hidden="1"/>
    </xf>
    <xf numFmtId="1" fontId="27" fillId="13" borderId="67" xfId="18" applyNumberFormat="1" applyFont="1" applyFill="1" applyBorder="1" applyAlignment="1" applyProtection="1">
      <alignment horizontal="center" vertical="center" shrinkToFit="1"/>
      <protection hidden="1"/>
    </xf>
    <xf numFmtId="0" fontId="21" fillId="13" borderId="20" xfId="18" applyFont="1" applyFill="1" applyBorder="1" applyAlignment="1" applyProtection="1">
      <alignment horizontal="center" vertical="center" wrapText="1" shrinkToFit="1"/>
      <protection hidden="1"/>
    </xf>
    <xf numFmtId="0" fontId="21" fillId="13" borderId="21" xfId="18" applyFont="1" applyFill="1" applyBorder="1" applyAlignment="1" applyProtection="1">
      <alignment horizontal="center" vertical="center" wrapText="1" shrinkToFit="1"/>
      <protection hidden="1"/>
    </xf>
    <xf numFmtId="0" fontId="21" fillId="0" borderId="40" xfId="18" applyFont="1" applyBorder="1" applyAlignment="1" applyProtection="1">
      <alignment horizontal="center" vertical="center" wrapText="1" shrinkToFit="1"/>
      <protection locked="0" hidden="1"/>
    </xf>
    <xf numFmtId="0" fontId="21" fillId="0" borderId="39" xfId="18" applyFont="1" applyBorder="1" applyAlignment="1" applyProtection="1">
      <alignment horizontal="center" vertical="center" wrapText="1" shrinkToFit="1"/>
      <protection locked="0" hidden="1"/>
    </xf>
    <xf numFmtId="0" fontId="21" fillId="0" borderId="25" xfId="18" applyFont="1" applyBorder="1" applyAlignment="1" applyProtection="1">
      <alignment horizontal="center" vertical="center" wrapText="1" shrinkToFit="1"/>
      <protection locked="0" hidden="1"/>
    </xf>
    <xf numFmtId="0" fontId="25" fillId="3" borderId="27" xfId="18" applyFont="1" applyFill="1" applyBorder="1" applyAlignment="1" applyProtection="1">
      <alignment horizontal="center"/>
      <protection hidden="1"/>
    </xf>
    <xf numFmtId="0" fontId="25" fillId="3" borderId="11" xfId="18" applyFont="1" applyFill="1" applyBorder="1" applyAlignment="1" applyProtection="1">
      <alignment horizontal="center"/>
      <protection hidden="1"/>
    </xf>
    <xf numFmtId="0" fontId="39" fillId="13" borderId="70" xfId="18" applyFont="1" applyFill="1" applyBorder="1" applyAlignment="1" applyProtection="1">
      <alignment horizontal="left" vertical="center"/>
      <protection hidden="1"/>
    </xf>
    <xf numFmtId="0" fontId="39" fillId="13" borderId="1" xfId="18" applyFont="1" applyFill="1" applyBorder="1" applyAlignment="1" applyProtection="1">
      <alignment horizontal="left" vertical="center"/>
      <protection hidden="1"/>
    </xf>
    <xf numFmtId="0" fontId="39" fillId="13" borderId="44" xfId="18" applyFont="1" applyFill="1" applyBorder="1" applyAlignment="1" applyProtection="1">
      <alignment horizontal="left" vertical="center"/>
      <protection hidden="1"/>
    </xf>
    <xf numFmtId="0" fontId="39" fillId="13" borderId="24" xfId="18" applyFont="1" applyFill="1" applyBorder="1" applyAlignment="1" applyProtection="1">
      <alignment horizontal="left" vertical="top"/>
      <protection hidden="1"/>
    </xf>
    <xf numFmtId="0" fontId="39" fillId="13" borderId="23" xfId="18" applyFont="1" applyFill="1" applyBorder="1" applyAlignment="1" applyProtection="1">
      <alignment horizontal="left" vertical="top"/>
      <protection hidden="1"/>
    </xf>
    <xf numFmtId="0" fontId="39" fillId="13" borderId="57" xfId="18" applyFont="1" applyFill="1" applyBorder="1" applyAlignment="1" applyProtection="1">
      <alignment horizontal="left" vertical="top"/>
      <protection hidden="1"/>
    </xf>
    <xf numFmtId="0" fontId="39" fillId="13" borderId="19" xfId="18" applyFont="1" applyFill="1" applyBorder="1" applyAlignment="1" applyProtection="1">
      <alignment horizontal="left" vertical="center"/>
      <protection hidden="1"/>
    </xf>
    <xf numFmtId="49" fontId="11" fillId="13" borderId="15" xfId="18" applyNumberFormat="1" applyFont="1" applyFill="1" applyBorder="1" applyAlignment="1" applyProtection="1">
      <alignment horizontal="center" vertical="justify"/>
      <protection hidden="1"/>
    </xf>
    <xf numFmtId="49" fontId="11" fillId="13" borderId="16" xfId="18" applyNumberFormat="1" applyFont="1" applyFill="1" applyBorder="1" applyAlignment="1" applyProtection="1">
      <alignment horizontal="center" vertical="justify"/>
      <protection hidden="1"/>
    </xf>
    <xf numFmtId="0" fontId="54" fillId="13" borderId="15" xfId="18" applyFont="1" applyFill="1" applyBorder="1" applyAlignment="1" applyProtection="1">
      <alignment horizontal="center" vertical="center" shrinkToFit="1"/>
      <protection hidden="1"/>
    </xf>
    <xf numFmtId="0" fontId="54" fillId="13" borderId="0" xfId="18" applyFont="1" applyFill="1" applyAlignment="1" applyProtection="1">
      <alignment horizontal="center" vertical="center" shrinkToFit="1"/>
      <protection hidden="1"/>
    </xf>
    <xf numFmtId="0" fontId="54" fillId="13" borderId="16" xfId="18" applyFont="1" applyFill="1" applyBorder="1" applyAlignment="1" applyProtection="1">
      <alignment horizontal="center" vertical="center" shrinkToFit="1"/>
      <protection hidden="1"/>
    </xf>
    <xf numFmtId="0" fontId="54" fillId="13" borderId="55" xfId="18" applyFont="1" applyFill="1" applyBorder="1" applyAlignment="1" applyProtection="1">
      <alignment horizontal="center" vertical="center" shrinkToFit="1"/>
      <protection hidden="1"/>
    </xf>
    <xf numFmtId="0" fontId="54" fillId="13" borderId="36" xfId="18" applyFont="1" applyFill="1" applyBorder="1" applyAlignment="1" applyProtection="1">
      <alignment horizontal="center" vertical="center" shrinkToFit="1"/>
      <protection hidden="1"/>
    </xf>
    <xf numFmtId="0" fontId="54" fillId="13" borderId="56" xfId="18" applyFont="1" applyFill="1" applyBorder="1" applyAlignment="1" applyProtection="1">
      <alignment horizontal="center" vertical="center" shrinkToFit="1"/>
      <protection hidden="1"/>
    </xf>
    <xf numFmtId="49" fontId="26" fillId="3" borderId="23" xfId="18" applyNumberFormat="1" applyFont="1" applyFill="1" applyBorder="1" applyAlignment="1" applyProtection="1">
      <alignment horizontal="center" vertical="center"/>
      <protection locked="0"/>
    </xf>
    <xf numFmtId="49" fontId="26" fillId="3" borderId="57" xfId="18" applyNumberFormat="1" applyFont="1" applyFill="1" applyBorder="1" applyAlignment="1" applyProtection="1">
      <alignment horizontal="center" vertical="center"/>
      <protection locked="0"/>
    </xf>
    <xf numFmtId="0" fontId="41" fillId="13" borderId="8" xfId="17" applyFont="1" applyFill="1" applyBorder="1" applyAlignment="1" applyProtection="1">
      <alignment horizontal="center" vertical="center" shrinkToFit="1"/>
      <protection hidden="1"/>
    </xf>
    <xf numFmtId="0" fontId="41" fillId="13" borderId="0" xfId="17" applyFont="1" applyFill="1" applyAlignment="1" applyProtection="1">
      <alignment horizontal="center" vertical="center" shrinkToFit="1"/>
      <protection hidden="1"/>
    </xf>
    <xf numFmtId="0" fontId="41" fillId="13" borderId="16" xfId="17" applyFont="1" applyFill="1" applyBorder="1" applyAlignment="1" applyProtection="1">
      <alignment horizontal="center" vertical="center" shrinkToFit="1"/>
      <protection hidden="1"/>
    </xf>
    <xf numFmtId="0" fontId="41" fillId="13" borderId="53" xfId="18" applyFont="1" applyFill="1" applyBorder="1" applyAlignment="1" applyProtection="1">
      <alignment horizontal="center" vertical="center" shrinkToFit="1"/>
      <protection hidden="1"/>
    </xf>
    <xf numFmtId="0" fontId="41" fillId="13" borderId="13" xfId="18" applyFont="1" applyFill="1" applyBorder="1" applyAlignment="1" applyProtection="1">
      <alignment horizontal="center" vertical="center" shrinkToFit="1"/>
      <protection hidden="1"/>
    </xf>
    <xf numFmtId="0" fontId="41" fillId="13" borderId="14" xfId="18" applyFont="1" applyFill="1" applyBorder="1" applyAlignment="1" applyProtection="1">
      <alignment horizontal="center" vertical="center" shrinkToFit="1"/>
      <protection hidden="1"/>
    </xf>
    <xf numFmtId="0" fontId="39" fillId="3" borderId="27" xfId="18" applyFont="1" applyFill="1" applyBorder="1" applyAlignment="1" applyProtection="1">
      <alignment horizontal="center" vertical="center"/>
      <protection locked="0"/>
    </xf>
    <xf numFmtId="0" fontId="39" fillId="3" borderId="11" xfId="18" applyFont="1" applyFill="1" applyBorder="1" applyAlignment="1" applyProtection="1">
      <alignment horizontal="center" vertical="center"/>
      <protection locked="0"/>
    </xf>
    <xf numFmtId="49" fontId="55" fillId="13" borderId="15" xfId="18" applyNumberFormat="1" applyFont="1" applyFill="1" applyBorder="1" applyAlignment="1" applyProtection="1">
      <alignment horizontal="center" vertical="center"/>
      <protection hidden="1"/>
    </xf>
    <xf numFmtId="49" fontId="55" fillId="13" borderId="0" xfId="18" applyNumberFormat="1" applyFont="1" applyFill="1" applyAlignment="1" applyProtection="1">
      <alignment horizontal="center" vertical="center"/>
      <protection hidden="1"/>
    </xf>
    <xf numFmtId="49" fontId="55" fillId="13" borderId="16" xfId="18" applyNumberFormat="1" applyFont="1" applyFill="1" applyBorder="1" applyAlignment="1" applyProtection="1">
      <alignment horizontal="center" vertical="center"/>
      <protection hidden="1"/>
    </xf>
    <xf numFmtId="49" fontId="55" fillId="13" borderId="46" xfId="18" applyNumberFormat="1" applyFont="1" applyFill="1" applyBorder="1" applyAlignment="1" applyProtection="1">
      <alignment horizontal="center" vertical="center"/>
      <protection hidden="1"/>
    </xf>
    <xf numFmtId="49" fontId="55" fillId="13" borderId="2" xfId="18" applyNumberFormat="1" applyFont="1" applyFill="1" applyBorder="1" applyAlignment="1" applyProtection="1">
      <alignment horizontal="center" vertical="center"/>
      <protection hidden="1"/>
    </xf>
    <xf numFmtId="49" fontId="55" fillId="13" borderId="41" xfId="18" applyNumberFormat="1" applyFont="1" applyFill="1" applyBorder="1" applyAlignment="1" applyProtection="1">
      <alignment horizontal="center" vertical="center"/>
      <protection hidden="1"/>
    </xf>
    <xf numFmtId="167" fontId="27" fillId="12" borderId="39" xfId="18" applyNumberFormat="1" applyFont="1" applyFill="1" applyBorder="1" applyAlignment="1" applyProtection="1">
      <alignment horizontal="center" vertical="center" wrapText="1" shrinkToFit="1"/>
      <protection hidden="1"/>
    </xf>
    <xf numFmtId="167" fontId="27" fillId="12" borderId="51" xfId="18" applyNumberFormat="1" applyFont="1" applyFill="1" applyBorder="1" applyAlignment="1" applyProtection="1">
      <alignment horizontal="center" vertical="center" wrapText="1" shrinkToFit="1"/>
      <protection hidden="1"/>
    </xf>
    <xf numFmtId="1" fontId="27" fillId="13" borderId="65" xfId="18" applyNumberFormat="1" applyFont="1" applyFill="1" applyBorder="1" applyAlignment="1">
      <alignment horizontal="right" vertical="center" wrapText="1" shrinkToFit="1"/>
    </xf>
    <xf numFmtId="1" fontId="27" fillId="13" borderId="75" xfId="18" applyNumberFormat="1" applyFont="1" applyFill="1" applyBorder="1" applyAlignment="1">
      <alignment horizontal="right" vertical="center" wrapText="1" shrinkToFit="1"/>
    </xf>
    <xf numFmtId="1" fontId="27" fillId="13" borderId="65" xfId="18" applyNumberFormat="1" applyFont="1" applyFill="1" applyBorder="1" applyAlignment="1">
      <alignment horizontal="center" vertical="center" wrapText="1" shrinkToFit="1"/>
    </xf>
    <xf numFmtId="1" fontId="27" fillId="13" borderId="66" xfId="18" applyNumberFormat="1" applyFont="1" applyFill="1" applyBorder="1" applyAlignment="1">
      <alignment horizontal="center" vertical="center" wrapText="1" shrinkToFit="1"/>
    </xf>
    <xf numFmtId="1" fontId="27" fillId="13" borderId="75" xfId="18" applyNumberFormat="1" applyFont="1" applyFill="1" applyBorder="1" applyAlignment="1">
      <alignment horizontal="center" vertical="center" wrapText="1" shrinkToFit="1"/>
    </xf>
    <xf numFmtId="1" fontId="27" fillId="13" borderId="55" xfId="18" applyNumberFormat="1" applyFont="1" applyFill="1" applyBorder="1" applyAlignment="1">
      <alignment horizontal="right" vertical="center" wrapText="1" shrinkToFit="1"/>
    </xf>
    <xf numFmtId="1" fontId="27" fillId="13" borderId="64" xfId="18" applyNumberFormat="1" applyFont="1" applyFill="1" applyBorder="1" applyAlignment="1">
      <alignment horizontal="right" vertical="center" wrapText="1" shrinkToFit="1"/>
    </xf>
    <xf numFmtId="1" fontId="27" fillId="13" borderId="36" xfId="18" applyNumberFormat="1" applyFont="1" applyFill="1" applyBorder="1" applyAlignment="1" applyProtection="1">
      <alignment horizontal="center" vertical="center" shrinkToFit="1"/>
      <protection hidden="1"/>
    </xf>
    <xf numFmtId="1" fontId="27" fillId="13" borderId="56" xfId="18" applyNumberFormat="1" applyFont="1" applyFill="1" applyBorder="1" applyAlignment="1" applyProtection="1">
      <alignment horizontal="center" vertical="center" shrinkToFit="1"/>
      <protection hidden="1"/>
    </xf>
    <xf numFmtId="0" fontId="27" fillId="13" borderId="65" xfId="18" applyFont="1" applyFill="1" applyBorder="1" applyAlignment="1" applyProtection="1">
      <alignment horizontal="right" vertical="center" wrapText="1" shrinkToFit="1"/>
      <protection hidden="1"/>
    </xf>
    <xf numFmtId="0" fontId="27" fillId="13" borderId="66" xfId="18" applyFont="1" applyFill="1" applyBorder="1" applyAlignment="1" applyProtection="1">
      <alignment horizontal="right" vertical="center" wrapText="1" shrinkToFit="1"/>
      <protection hidden="1"/>
    </xf>
    <xf numFmtId="0" fontId="27" fillId="13" borderId="75" xfId="18" applyFont="1" applyFill="1" applyBorder="1" applyAlignment="1" applyProtection="1">
      <alignment horizontal="right" vertical="center" wrapText="1" shrinkToFit="1"/>
      <protection hidden="1"/>
    </xf>
    <xf numFmtId="0" fontId="50" fillId="3" borderId="54" xfId="18" applyFont="1" applyFill="1" applyBorder="1" applyAlignment="1" applyProtection="1">
      <alignment horizontal="center" vertical="center" wrapText="1"/>
      <protection locked="0"/>
    </xf>
    <xf numFmtId="0" fontId="50" fillId="3" borderId="30" xfId="18" applyFont="1" applyFill="1" applyBorder="1" applyAlignment="1" applyProtection="1">
      <alignment horizontal="center" vertical="center" wrapText="1"/>
      <protection locked="0"/>
    </xf>
    <xf numFmtId="0" fontId="218" fillId="3" borderId="70" xfId="18" applyFont="1" applyFill="1" applyBorder="1" applyAlignment="1" applyProtection="1">
      <alignment horizontal="center" vertical="center" wrapText="1"/>
      <protection locked="0"/>
    </xf>
    <xf numFmtId="0" fontId="218" fillId="3" borderId="1" xfId="18" applyFont="1" applyFill="1" applyBorder="1" applyAlignment="1" applyProtection="1">
      <alignment horizontal="center" vertical="center" wrapText="1"/>
      <protection locked="0"/>
    </xf>
    <xf numFmtId="0" fontId="218" fillId="3" borderId="44" xfId="18" applyFont="1" applyFill="1" applyBorder="1" applyAlignment="1" applyProtection="1">
      <alignment horizontal="center" vertical="center" wrapText="1"/>
      <protection locked="0"/>
    </xf>
    <xf numFmtId="0" fontId="218" fillId="3" borderId="15" xfId="18" applyFont="1" applyFill="1" applyBorder="1" applyAlignment="1" applyProtection="1">
      <alignment horizontal="center" vertical="center" wrapText="1"/>
      <protection locked="0"/>
    </xf>
    <xf numFmtId="0" fontId="218" fillId="3" borderId="0" xfId="18" applyFont="1" applyFill="1" applyAlignment="1" applyProtection="1">
      <alignment horizontal="center" vertical="center" wrapText="1"/>
      <protection locked="0"/>
    </xf>
    <xf numFmtId="0" fontId="218" fillId="3" borderId="16" xfId="18" applyFont="1" applyFill="1" applyBorder="1" applyAlignment="1" applyProtection="1">
      <alignment horizontal="center" vertical="center" wrapText="1"/>
      <protection locked="0"/>
    </xf>
    <xf numFmtId="0" fontId="218" fillId="3" borderId="55" xfId="18" applyFont="1" applyFill="1" applyBorder="1" applyAlignment="1" applyProtection="1">
      <alignment horizontal="center" vertical="center" wrapText="1"/>
      <protection locked="0"/>
    </xf>
    <xf numFmtId="0" fontId="218" fillId="3" borderId="36" xfId="18" applyFont="1" applyFill="1" applyBorder="1" applyAlignment="1" applyProtection="1">
      <alignment horizontal="center" vertical="center" wrapText="1"/>
      <protection locked="0"/>
    </xf>
    <xf numFmtId="0" fontId="218" fillId="3" borderId="56" xfId="18" applyFont="1" applyFill="1" applyBorder="1" applyAlignment="1" applyProtection="1">
      <alignment horizontal="center" vertical="center" wrapText="1"/>
      <protection locked="0"/>
    </xf>
    <xf numFmtId="0" fontId="27" fillId="13" borderId="15" xfId="18" applyFont="1" applyFill="1" applyBorder="1" applyAlignment="1" applyProtection="1">
      <alignment horizontal="right" vertical="center" wrapText="1" shrinkToFit="1"/>
      <protection hidden="1"/>
    </xf>
    <xf numFmtId="0" fontId="27" fillId="13" borderId="4" xfId="18" applyFont="1" applyFill="1" applyBorder="1" applyAlignment="1" applyProtection="1">
      <alignment horizontal="right" vertical="center" wrapText="1" shrinkToFit="1"/>
      <protection hidden="1"/>
    </xf>
    <xf numFmtId="0" fontId="27" fillId="13" borderId="34" xfId="18" applyFont="1" applyFill="1" applyBorder="1" applyAlignment="1" applyProtection="1">
      <alignment horizontal="right" vertical="center" wrapText="1" shrinkToFit="1"/>
      <protection hidden="1"/>
    </xf>
    <xf numFmtId="0" fontId="27" fillId="13" borderId="39" xfId="18" applyFont="1" applyFill="1" applyBorder="1" applyAlignment="1" applyProtection="1">
      <alignment horizontal="right" vertical="center" wrapText="1" shrinkToFit="1"/>
      <protection hidden="1"/>
    </xf>
    <xf numFmtId="0" fontId="27" fillId="13" borderId="25" xfId="18" applyFont="1" applyFill="1" applyBorder="1" applyAlignment="1" applyProtection="1">
      <alignment horizontal="right" vertical="center" wrapText="1" shrinkToFit="1"/>
      <protection hidden="1"/>
    </xf>
    <xf numFmtId="1" fontId="27" fillId="13" borderId="48" xfId="18" applyNumberFormat="1" applyFont="1" applyFill="1" applyBorder="1" applyAlignment="1">
      <alignment horizontal="right" vertical="center" wrapText="1" shrinkToFit="1"/>
    </xf>
    <xf numFmtId="1" fontId="27" fillId="13" borderId="33" xfId="18" applyNumberFormat="1" applyFont="1" applyFill="1" applyBorder="1" applyAlignment="1">
      <alignment horizontal="right" vertical="center" wrapText="1" shrinkToFit="1"/>
    </xf>
    <xf numFmtId="1" fontId="27" fillId="13" borderId="45" xfId="18" applyNumberFormat="1" applyFont="1" applyFill="1" applyBorder="1" applyAlignment="1" applyProtection="1">
      <alignment horizontal="center" vertical="center" shrinkToFit="1"/>
      <protection hidden="1"/>
    </xf>
    <xf numFmtId="1" fontId="27" fillId="13" borderId="50" xfId="18" applyNumberFormat="1" applyFont="1" applyFill="1" applyBorder="1" applyAlignment="1" applyProtection="1">
      <alignment horizontal="center" vertical="center" shrinkToFit="1"/>
      <protection hidden="1"/>
    </xf>
    <xf numFmtId="0" fontId="46" fillId="3" borderId="55" xfId="18" applyFont="1" applyFill="1" applyBorder="1" applyAlignment="1" applyProtection="1">
      <alignment horizontal="center" vertical="center" wrapText="1" shrinkToFit="1"/>
      <protection hidden="1"/>
    </xf>
    <xf numFmtId="0" fontId="46" fillId="3" borderId="36" xfId="18" applyFont="1" applyFill="1" applyBorder="1" applyAlignment="1" applyProtection="1">
      <alignment horizontal="center" vertical="center" wrapText="1" shrinkToFit="1"/>
      <protection hidden="1"/>
    </xf>
    <xf numFmtId="0" fontId="46" fillId="3" borderId="56" xfId="18" applyFont="1" applyFill="1" applyBorder="1" applyAlignment="1" applyProtection="1">
      <alignment horizontal="center" vertical="center" wrapText="1" shrinkToFit="1"/>
      <protection hidden="1"/>
    </xf>
    <xf numFmtId="0" fontId="3" fillId="3" borderId="15" xfId="18" applyFont="1" applyFill="1" applyBorder="1" applyAlignment="1" applyProtection="1">
      <alignment horizontal="center" vertical="center"/>
      <protection hidden="1"/>
    </xf>
    <xf numFmtId="0" fontId="3" fillId="3" borderId="0" xfId="18" applyFont="1" applyFill="1" applyAlignment="1" applyProtection="1">
      <alignment horizontal="center" vertical="center"/>
      <protection hidden="1"/>
    </xf>
    <xf numFmtId="0" fontId="3" fillId="3" borderId="55" xfId="18" applyFont="1" applyFill="1" applyBorder="1" applyAlignment="1" applyProtection="1">
      <alignment horizontal="center" vertical="center"/>
      <protection hidden="1"/>
    </xf>
    <xf numFmtId="0" fontId="3" fillId="3" borderId="36" xfId="18" applyFont="1" applyFill="1" applyBorder="1" applyAlignment="1" applyProtection="1">
      <alignment horizontal="center" vertical="center"/>
      <protection hidden="1"/>
    </xf>
    <xf numFmtId="49" fontId="11" fillId="13" borderId="15" xfId="18" applyNumberFormat="1" applyFont="1" applyFill="1" applyBorder="1" applyAlignment="1" applyProtection="1">
      <alignment horizontal="left" vertical="center"/>
      <protection hidden="1"/>
    </xf>
    <xf numFmtId="49" fontId="11" fillId="13" borderId="0" xfId="18" applyNumberFormat="1" applyFont="1" applyFill="1" applyAlignment="1" applyProtection="1">
      <alignment horizontal="left" vertical="center"/>
      <protection hidden="1"/>
    </xf>
    <xf numFmtId="49" fontId="11" fillId="13" borderId="16" xfId="18" applyNumberFormat="1" applyFont="1" applyFill="1" applyBorder="1" applyAlignment="1" applyProtection="1">
      <alignment horizontal="left" vertical="center"/>
      <protection hidden="1"/>
    </xf>
    <xf numFmtId="0" fontId="39" fillId="13" borderId="5" xfId="18" applyFont="1" applyFill="1" applyBorder="1" applyAlignment="1" applyProtection="1">
      <alignment horizontal="left" vertical="center"/>
      <protection hidden="1"/>
    </xf>
    <xf numFmtId="0" fontId="39" fillId="13" borderId="28" xfId="18" applyFont="1" applyFill="1" applyBorder="1" applyAlignment="1" applyProtection="1">
      <alignment horizontal="left" vertical="center"/>
      <protection hidden="1"/>
    </xf>
    <xf numFmtId="0" fontId="12" fillId="13" borderId="48" xfId="18" applyFont="1" applyFill="1" applyBorder="1" applyAlignment="1" applyProtection="1">
      <alignment horizontal="center" vertical="center"/>
      <protection hidden="1"/>
    </xf>
    <xf numFmtId="0" fontId="12" fillId="13" borderId="49" xfId="18" applyFont="1" applyFill="1" applyBorder="1" applyAlignment="1" applyProtection="1">
      <alignment horizontal="center" vertical="center"/>
      <protection hidden="1"/>
    </xf>
    <xf numFmtId="0" fontId="12" fillId="13" borderId="50" xfId="18" applyFont="1" applyFill="1" applyBorder="1" applyAlignment="1" applyProtection="1">
      <alignment horizontal="center" vertical="center"/>
      <protection hidden="1"/>
    </xf>
    <xf numFmtId="0" fontId="27" fillId="13" borderId="47" xfId="18" applyFont="1" applyFill="1" applyBorder="1" applyAlignment="1" applyProtection="1">
      <alignment horizontal="right" vertical="center" wrapText="1" shrinkToFit="1"/>
      <protection hidden="1"/>
    </xf>
    <xf numFmtId="0" fontId="27" fillId="13" borderId="11" xfId="18" applyFont="1" applyFill="1" applyBorder="1" applyAlignment="1" applyProtection="1">
      <alignment horizontal="right" vertical="center" wrapText="1" shrinkToFit="1"/>
      <protection hidden="1"/>
    </xf>
    <xf numFmtId="0" fontId="27" fillId="13" borderId="6" xfId="18" applyFont="1" applyFill="1" applyBorder="1" applyAlignment="1" applyProtection="1">
      <alignment horizontal="right" vertical="center" wrapText="1" shrinkToFit="1"/>
      <protection hidden="1"/>
    </xf>
    <xf numFmtId="167" fontId="27" fillId="13" borderId="71" xfId="18" applyNumberFormat="1" applyFont="1" applyFill="1" applyBorder="1" applyAlignment="1" applyProtection="1">
      <alignment horizontal="center" vertical="center" wrapText="1" shrinkToFit="1"/>
      <protection hidden="1"/>
    </xf>
    <xf numFmtId="167" fontId="27" fillId="13" borderId="56" xfId="18" applyNumberFormat="1" applyFont="1" applyFill="1" applyBorder="1" applyAlignment="1" applyProtection="1">
      <alignment horizontal="center" vertical="center" wrapText="1" shrinkToFit="1"/>
      <protection hidden="1"/>
    </xf>
    <xf numFmtId="0" fontId="51" fillId="0" borderId="15" xfId="18" applyFont="1" applyBorder="1" applyAlignment="1" applyProtection="1">
      <alignment horizontal="center" vertical="center" wrapText="1" shrinkToFit="1"/>
      <protection hidden="1"/>
    </xf>
    <xf numFmtId="0" fontId="51" fillId="0" borderId="0" xfId="18" applyFont="1" applyAlignment="1" applyProtection="1">
      <alignment horizontal="center" vertical="center" wrapText="1" shrinkToFit="1"/>
      <protection hidden="1"/>
    </xf>
    <xf numFmtId="0" fontId="51" fillId="0" borderId="16" xfId="18" applyFont="1" applyBorder="1" applyAlignment="1" applyProtection="1">
      <alignment horizontal="center" vertical="center" wrapText="1" shrinkToFit="1"/>
      <protection hidden="1"/>
    </xf>
    <xf numFmtId="0" fontId="50" fillId="13" borderId="58" xfId="18" applyFont="1" applyFill="1" applyBorder="1" applyAlignment="1" applyProtection="1">
      <alignment horizontal="right" vertical="center" wrapText="1"/>
      <protection hidden="1"/>
    </xf>
    <xf numFmtId="0" fontId="50" fillId="13" borderId="17" xfId="18" applyFont="1" applyFill="1" applyBorder="1" applyAlignment="1" applyProtection="1">
      <alignment horizontal="right" vertical="center" wrapText="1"/>
      <protection hidden="1"/>
    </xf>
    <xf numFmtId="0" fontId="50" fillId="13" borderId="19" xfId="18" applyFont="1" applyFill="1" applyBorder="1" applyAlignment="1" applyProtection="1">
      <alignment horizontal="right" vertical="center" wrapText="1"/>
      <protection hidden="1"/>
    </xf>
    <xf numFmtId="0" fontId="50" fillId="13" borderId="18" xfId="18" applyFont="1" applyFill="1" applyBorder="1" applyAlignment="1" applyProtection="1">
      <alignment horizontal="right" vertical="center" wrapText="1"/>
      <protection hidden="1"/>
    </xf>
    <xf numFmtId="14" fontId="21" fillId="13" borderId="21" xfId="18" applyNumberFormat="1" applyFont="1" applyFill="1" applyBorder="1" applyAlignment="1" applyProtection="1">
      <alignment horizontal="center" vertical="center" wrapText="1" shrinkToFit="1"/>
      <protection hidden="1"/>
    </xf>
    <xf numFmtId="14" fontId="21" fillId="0" borderId="21" xfId="18" applyNumberFormat="1" applyFont="1" applyBorder="1" applyAlignment="1" applyProtection="1">
      <alignment horizontal="center" vertical="center" wrapText="1" shrinkToFit="1"/>
      <protection locked="0" hidden="1"/>
    </xf>
    <xf numFmtId="0" fontId="21" fillId="0" borderId="21" xfId="18" applyFont="1" applyBorder="1" applyAlignment="1" applyProtection="1">
      <alignment horizontal="center" vertical="center" wrapText="1" shrinkToFit="1"/>
      <protection locked="0" hidden="1"/>
    </xf>
    <xf numFmtId="0" fontId="21" fillId="0" borderId="31" xfId="18" applyFont="1" applyBorder="1" applyAlignment="1" applyProtection="1">
      <alignment horizontal="center" vertical="center" wrapText="1" shrinkToFit="1"/>
      <protection locked="0" hidden="1"/>
    </xf>
    <xf numFmtId="167" fontId="11" fillId="6" borderId="34" xfId="18" applyNumberFormat="1" applyFont="1" applyFill="1" applyBorder="1" applyAlignment="1" applyProtection="1">
      <alignment horizontal="center" vertical="center" wrapText="1" shrinkToFit="1"/>
      <protection locked="0"/>
    </xf>
    <xf numFmtId="167" fontId="11" fillId="6" borderId="51" xfId="18" applyNumberFormat="1" applyFont="1" applyFill="1" applyBorder="1" applyAlignment="1" applyProtection="1">
      <alignment horizontal="center" vertical="center" wrapText="1" shrinkToFit="1"/>
      <protection locked="0"/>
    </xf>
    <xf numFmtId="0" fontId="27" fillId="13" borderId="12" xfId="18" applyFont="1" applyFill="1" applyBorder="1" applyAlignment="1" applyProtection="1">
      <alignment horizontal="right" vertical="center" wrapText="1" shrinkToFit="1"/>
      <protection hidden="1"/>
    </xf>
    <xf numFmtId="0" fontId="27" fillId="13" borderId="74" xfId="18" applyFont="1" applyFill="1" applyBorder="1" applyAlignment="1" applyProtection="1">
      <alignment horizontal="right" vertical="center" wrapText="1" shrinkToFit="1"/>
      <protection hidden="1"/>
    </xf>
    <xf numFmtId="0" fontId="27" fillId="13" borderId="46" xfId="18" applyFont="1" applyFill="1" applyBorder="1" applyAlignment="1" applyProtection="1">
      <alignment horizontal="right" vertical="center" wrapText="1" shrinkToFit="1"/>
      <protection hidden="1"/>
    </xf>
    <xf numFmtId="0" fontId="27" fillId="13" borderId="5" xfId="18" applyFont="1" applyFill="1" applyBorder="1" applyAlignment="1" applyProtection="1">
      <alignment horizontal="right" vertical="center" wrapText="1" shrinkToFit="1"/>
      <protection hidden="1"/>
    </xf>
    <xf numFmtId="1" fontId="27" fillId="6" borderId="54" xfId="18" applyNumberFormat="1" applyFont="1" applyFill="1" applyBorder="1" applyAlignment="1" applyProtection="1">
      <alignment horizontal="center" vertical="center" wrapText="1" shrinkToFit="1"/>
      <protection locked="0"/>
    </xf>
    <xf numFmtId="1" fontId="27" fillId="6" borderId="30" xfId="18" applyNumberFormat="1" applyFont="1" applyFill="1" applyBorder="1" applyAlignment="1" applyProtection="1">
      <alignment horizontal="center" vertical="center" wrapText="1" shrinkToFit="1"/>
      <protection locked="0"/>
    </xf>
    <xf numFmtId="0" fontId="27" fillId="13" borderId="48" xfId="18" applyFont="1" applyFill="1" applyBorder="1" applyAlignment="1" applyProtection="1">
      <alignment horizontal="right" vertical="center" wrapText="1" shrinkToFit="1"/>
      <protection hidden="1"/>
    </xf>
    <xf numFmtId="0" fontId="27" fillId="13" borderId="33" xfId="18" applyFont="1" applyFill="1" applyBorder="1" applyAlignment="1" applyProtection="1">
      <alignment horizontal="right" vertical="center" wrapText="1" shrinkToFit="1"/>
      <protection hidden="1"/>
    </xf>
    <xf numFmtId="0" fontId="27" fillId="13" borderId="49" xfId="18" applyFont="1" applyFill="1" applyBorder="1" applyAlignment="1" applyProtection="1">
      <alignment horizontal="right" vertical="center" wrapText="1" shrinkToFit="1"/>
      <protection hidden="1"/>
    </xf>
    <xf numFmtId="167" fontId="27" fillId="13" borderId="45" xfId="18" applyNumberFormat="1" applyFont="1" applyFill="1" applyBorder="1" applyAlignment="1" applyProtection="1">
      <alignment horizontal="center" vertical="center" wrapText="1" shrinkToFit="1"/>
      <protection hidden="1"/>
    </xf>
    <xf numFmtId="167" fontId="27" fillId="13" borderId="50" xfId="18" applyNumberFormat="1" applyFont="1" applyFill="1" applyBorder="1" applyAlignment="1" applyProtection="1">
      <alignment horizontal="center" vertical="center" wrapText="1" shrinkToFit="1"/>
      <protection hidden="1"/>
    </xf>
    <xf numFmtId="0" fontId="45" fillId="13" borderId="48" xfId="18" applyFont="1" applyFill="1" applyBorder="1" applyAlignment="1" applyProtection="1">
      <alignment horizontal="center" vertical="center" wrapText="1" shrinkToFit="1"/>
      <protection hidden="1"/>
    </xf>
    <xf numFmtId="0" fontId="45" fillId="13" borderId="49" xfId="18" applyFont="1" applyFill="1" applyBorder="1" applyAlignment="1" applyProtection="1">
      <alignment horizontal="center" vertical="center" wrapText="1" shrinkToFit="1"/>
      <protection hidden="1"/>
    </xf>
    <xf numFmtId="0" fontId="45" fillId="13" borderId="50" xfId="18" applyFont="1" applyFill="1" applyBorder="1" applyAlignment="1" applyProtection="1">
      <alignment horizontal="center" vertical="center" wrapText="1" shrinkToFit="1"/>
      <protection hidden="1"/>
    </xf>
    <xf numFmtId="167" fontId="10" fillId="13" borderId="0" xfId="18" applyNumberFormat="1" applyFont="1" applyFill="1" applyAlignment="1" applyProtection="1">
      <alignment horizontal="center" vertical="center" wrapText="1" shrinkToFit="1"/>
      <protection hidden="1"/>
    </xf>
    <xf numFmtId="167" fontId="10" fillId="13" borderId="13" xfId="18" applyNumberFormat="1" applyFont="1" applyFill="1" applyBorder="1" applyAlignment="1" applyProtection="1">
      <alignment horizontal="center" vertical="center" wrapText="1" shrinkToFit="1"/>
      <protection hidden="1"/>
    </xf>
    <xf numFmtId="167" fontId="10" fillId="13" borderId="16" xfId="18" applyNumberFormat="1" applyFont="1" applyFill="1" applyBorder="1" applyAlignment="1" applyProtection="1">
      <alignment horizontal="center" vertical="center" wrapText="1" shrinkToFit="1"/>
      <protection hidden="1"/>
    </xf>
    <xf numFmtId="167" fontId="10" fillId="13" borderId="2" xfId="18" applyNumberFormat="1" applyFont="1" applyFill="1" applyBorder="1" applyAlignment="1" applyProtection="1">
      <alignment horizontal="center" vertical="center" wrapText="1" shrinkToFit="1"/>
      <protection hidden="1"/>
    </xf>
    <xf numFmtId="167" fontId="10" fillId="13" borderId="41" xfId="18" applyNumberFormat="1" applyFont="1" applyFill="1" applyBorder="1" applyAlignment="1" applyProtection="1">
      <alignment horizontal="center" vertical="center" wrapText="1" shrinkToFit="1"/>
      <protection hidden="1"/>
    </xf>
    <xf numFmtId="167" fontId="12" fillId="13" borderId="46" xfId="18" applyNumberFormat="1" applyFont="1" applyFill="1" applyBorder="1" applyAlignment="1" applyProtection="1">
      <alignment horizontal="center" vertical="center" wrapText="1" shrinkToFit="1"/>
      <protection hidden="1"/>
    </xf>
    <xf numFmtId="167" fontId="12" fillId="13" borderId="2" xfId="18" applyNumberFormat="1" applyFont="1" applyFill="1" applyBorder="1" applyAlignment="1" applyProtection="1">
      <alignment horizontal="center" vertical="center" wrapText="1" shrinkToFit="1"/>
      <protection hidden="1"/>
    </xf>
    <xf numFmtId="167" fontId="12" fillId="13" borderId="49" xfId="18" applyNumberFormat="1" applyFont="1" applyFill="1" applyBorder="1" applyAlignment="1" applyProtection="1">
      <alignment horizontal="center" vertical="center" wrapText="1" shrinkToFit="1"/>
      <protection hidden="1"/>
    </xf>
    <xf numFmtId="0" fontId="41" fillId="13" borderId="65" xfId="18" applyFont="1" applyFill="1" applyBorder="1" applyAlignment="1" applyProtection="1">
      <alignment horizontal="center" vertical="center" wrapText="1" shrinkToFit="1"/>
      <protection hidden="1"/>
    </xf>
    <xf numFmtId="0" fontId="41" fillId="13" borderId="66" xfId="18" applyFont="1" applyFill="1" applyBorder="1" applyAlignment="1" applyProtection="1">
      <alignment horizontal="center" vertical="center" wrapText="1" shrinkToFit="1"/>
      <protection hidden="1"/>
    </xf>
    <xf numFmtId="0" fontId="41" fillId="13" borderId="67" xfId="18" applyFont="1" applyFill="1" applyBorder="1" applyAlignment="1" applyProtection="1">
      <alignment horizontal="center" vertical="center" wrapText="1" shrinkToFit="1"/>
      <protection hidden="1"/>
    </xf>
    <xf numFmtId="0" fontId="10" fillId="3" borderId="26" xfId="18" applyFont="1" applyFill="1" applyBorder="1" applyAlignment="1" applyProtection="1">
      <alignment horizontal="center" vertical="center" textRotation="90"/>
      <protection hidden="1"/>
    </xf>
    <xf numFmtId="0" fontId="10" fillId="3" borderId="10" xfId="18" applyFont="1" applyFill="1" applyBorder="1" applyAlignment="1" applyProtection="1">
      <alignment horizontal="center" vertical="center" textRotation="90"/>
      <protection hidden="1"/>
    </xf>
    <xf numFmtId="0" fontId="10" fillId="3" borderId="28" xfId="18" applyFont="1" applyFill="1" applyBorder="1" applyAlignment="1" applyProtection="1">
      <alignment horizontal="center" vertical="center" textRotation="90"/>
      <protection hidden="1"/>
    </xf>
    <xf numFmtId="0" fontId="10" fillId="0" borderId="26" xfId="18" applyFont="1" applyBorder="1" applyAlignment="1" applyProtection="1">
      <alignment horizontal="center" vertical="center" textRotation="90" wrapText="1"/>
      <protection locked="0"/>
    </xf>
    <xf numFmtId="0" fontId="10" fillId="0" borderId="10" xfId="18" applyFont="1" applyBorder="1" applyAlignment="1" applyProtection="1">
      <alignment horizontal="center" vertical="center" textRotation="90" wrapText="1"/>
      <protection locked="0"/>
    </xf>
    <xf numFmtId="0" fontId="10" fillId="0" borderId="62" xfId="18" applyFont="1" applyBorder="1" applyAlignment="1" applyProtection="1">
      <alignment horizontal="center" vertical="center" textRotation="90" wrapText="1"/>
      <protection locked="0"/>
    </xf>
    <xf numFmtId="0" fontId="36" fillId="13" borderId="43" xfId="18" applyFont="1" applyFill="1" applyBorder="1" applyAlignment="1" applyProtection="1">
      <alignment horizontal="center" vertical="center" textRotation="90" wrapText="1"/>
      <protection hidden="1"/>
    </xf>
    <xf numFmtId="0" fontId="36" fillId="13" borderId="69" xfId="18" applyFont="1" applyFill="1" applyBorder="1" applyAlignment="1" applyProtection="1">
      <alignment horizontal="center" vertical="center" textRotation="90" wrapText="1"/>
      <protection hidden="1"/>
    </xf>
    <xf numFmtId="0" fontId="36" fillId="13" borderId="30" xfId="18" applyFont="1" applyFill="1" applyBorder="1" applyAlignment="1" applyProtection="1">
      <alignment horizontal="center" vertical="center" textRotation="90" wrapText="1"/>
      <protection hidden="1"/>
    </xf>
    <xf numFmtId="2" fontId="10" fillId="13" borderId="42" xfId="18" applyNumberFormat="1" applyFont="1" applyFill="1" applyBorder="1" applyAlignment="1" applyProtection="1">
      <alignment horizontal="center" vertical="center" textRotation="90" wrapText="1"/>
      <protection hidden="1"/>
    </xf>
    <xf numFmtId="2" fontId="10" fillId="13" borderId="68" xfId="18" applyNumberFormat="1" applyFont="1" applyFill="1" applyBorder="1" applyAlignment="1" applyProtection="1">
      <alignment horizontal="center" vertical="center" textRotation="90" wrapText="1"/>
      <protection hidden="1"/>
    </xf>
    <xf numFmtId="2" fontId="10" fillId="13" borderId="37" xfId="18" applyNumberFormat="1" applyFont="1" applyFill="1" applyBorder="1" applyAlignment="1" applyProtection="1">
      <alignment horizontal="center" vertical="center" textRotation="90" wrapText="1"/>
      <protection hidden="1"/>
    </xf>
    <xf numFmtId="2" fontId="10" fillId="13" borderId="26" xfId="18" applyNumberFormat="1" applyFont="1" applyFill="1" applyBorder="1" applyAlignment="1" applyProtection="1">
      <alignment horizontal="center" vertical="center" textRotation="90" wrapText="1"/>
      <protection hidden="1"/>
    </xf>
    <xf numFmtId="2" fontId="10" fillId="13" borderId="10" xfId="18" applyNumberFormat="1" applyFont="1" applyFill="1" applyBorder="1" applyAlignment="1" applyProtection="1">
      <alignment horizontal="center" vertical="center" textRotation="90" wrapText="1"/>
      <protection hidden="1"/>
    </xf>
    <xf numFmtId="2" fontId="10" fillId="13" borderId="28" xfId="18" applyNumberFormat="1" applyFont="1" applyFill="1" applyBorder="1" applyAlignment="1" applyProtection="1">
      <alignment horizontal="center" vertical="center" textRotation="90" wrapText="1"/>
      <protection hidden="1"/>
    </xf>
    <xf numFmtId="0" fontId="10" fillId="13" borderId="43" xfId="18" applyFont="1" applyFill="1" applyBorder="1" applyAlignment="1" applyProtection="1">
      <alignment horizontal="center" vertical="center" textRotation="90" wrapText="1"/>
      <protection hidden="1"/>
    </xf>
    <xf numFmtId="0" fontId="10" fillId="13" borderId="69" xfId="18" applyFont="1" applyFill="1" applyBorder="1" applyAlignment="1" applyProtection="1">
      <alignment horizontal="center" vertical="center" textRotation="90" wrapText="1"/>
      <protection hidden="1"/>
    </xf>
    <xf numFmtId="0" fontId="10" fillId="13" borderId="30" xfId="18" applyFont="1" applyFill="1" applyBorder="1" applyAlignment="1" applyProtection="1">
      <alignment horizontal="center" vertical="center" textRotation="90" wrapText="1"/>
      <protection hidden="1"/>
    </xf>
    <xf numFmtId="0" fontId="10" fillId="13" borderId="42" xfId="18" applyFont="1" applyFill="1" applyBorder="1" applyAlignment="1" applyProtection="1">
      <alignment horizontal="center" vertical="center" textRotation="90" wrapText="1"/>
      <protection hidden="1"/>
    </xf>
    <xf numFmtId="0" fontId="10" fillId="13" borderId="68" xfId="18" applyFont="1" applyFill="1" applyBorder="1" applyAlignment="1" applyProtection="1">
      <alignment horizontal="center" vertical="center" textRotation="90" wrapText="1"/>
      <protection hidden="1"/>
    </xf>
    <xf numFmtId="0" fontId="10" fillId="13" borderId="37" xfId="18" applyFont="1" applyFill="1" applyBorder="1" applyAlignment="1" applyProtection="1">
      <alignment horizontal="center" vertical="center" textRotation="90" wrapText="1"/>
      <protection hidden="1"/>
    </xf>
    <xf numFmtId="0" fontId="10" fillId="0" borderId="43" xfId="18" applyFont="1" applyBorder="1" applyAlignment="1" applyProtection="1">
      <alignment horizontal="center" vertical="center" textRotation="90" wrapText="1"/>
      <protection locked="0"/>
    </xf>
    <xf numFmtId="0" fontId="10" fillId="0" borderId="69" xfId="18" applyFont="1" applyBorder="1" applyAlignment="1" applyProtection="1">
      <alignment horizontal="center" vertical="center" textRotation="90" wrapText="1"/>
      <protection locked="0"/>
    </xf>
    <xf numFmtId="0" fontId="10" fillId="0" borderId="63" xfId="18" applyFont="1" applyBorder="1" applyAlignment="1" applyProtection="1">
      <alignment horizontal="center" vertical="center" textRotation="90" wrapText="1"/>
      <protection locked="0"/>
    </xf>
    <xf numFmtId="0" fontId="15" fillId="13" borderId="46" xfId="18" applyFont="1" applyFill="1" applyBorder="1" applyAlignment="1" applyProtection="1">
      <alignment horizontal="center" vertical="center"/>
      <protection hidden="1"/>
    </xf>
    <xf numFmtId="0" fontId="15" fillId="13" borderId="41" xfId="18" applyFont="1" applyFill="1" applyBorder="1" applyAlignment="1" applyProtection="1">
      <alignment horizontal="center" vertical="center"/>
      <protection hidden="1"/>
    </xf>
    <xf numFmtId="0" fontId="10" fillId="13" borderId="46" xfId="18" applyFont="1" applyFill="1" applyBorder="1" applyAlignment="1" applyProtection="1">
      <alignment horizontal="center" vertical="center" wrapText="1"/>
      <protection hidden="1"/>
    </xf>
    <xf numFmtId="0" fontId="10" fillId="13" borderId="2" xfId="18" applyFont="1" applyFill="1" applyBorder="1" applyAlignment="1" applyProtection="1">
      <alignment horizontal="center" vertical="center" wrapText="1"/>
      <protection hidden="1"/>
    </xf>
    <xf numFmtId="0" fontId="10" fillId="13" borderId="49" xfId="18" applyFont="1" applyFill="1" applyBorder="1" applyAlignment="1" applyProtection="1">
      <alignment horizontal="center" vertical="center" wrapText="1"/>
      <protection hidden="1"/>
    </xf>
    <xf numFmtId="0" fontId="10" fillId="13" borderId="50" xfId="18" applyFont="1" applyFill="1" applyBorder="1" applyAlignment="1" applyProtection="1">
      <alignment horizontal="center" vertical="center" wrapText="1"/>
      <protection hidden="1"/>
    </xf>
    <xf numFmtId="0" fontId="10" fillId="13" borderId="12" xfId="18" applyFont="1" applyFill="1" applyBorder="1" applyAlignment="1" applyProtection="1">
      <alignment horizontal="center" vertical="center" wrapText="1"/>
      <protection hidden="1"/>
    </xf>
    <xf numFmtId="0" fontId="10" fillId="13" borderId="14" xfId="18" applyFont="1" applyFill="1" applyBorder="1" applyAlignment="1" applyProtection="1">
      <alignment horizontal="center" vertical="center" wrapText="1"/>
      <protection hidden="1"/>
    </xf>
    <xf numFmtId="0" fontId="10" fillId="13" borderId="15" xfId="18" applyFont="1" applyFill="1" applyBorder="1" applyAlignment="1" applyProtection="1">
      <alignment horizontal="center" vertical="center" wrapText="1"/>
      <protection hidden="1"/>
    </xf>
    <xf numFmtId="0" fontId="10" fillId="13" borderId="16" xfId="18" applyFont="1" applyFill="1" applyBorder="1" applyAlignment="1" applyProtection="1">
      <alignment horizontal="center" vertical="center" wrapText="1"/>
      <protection hidden="1"/>
    </xf>
    <xf numFmtId="0" fontId="10" fillId="13" borderId="55" xfId="18" applyFont="1" applyFill="1" applyBorder="1" applyAlignment="1" applyProtection="1">
      <alignment horizontal="center" vertical="center" wrapText="1"/>
      <protection hidden="1"/>
    </xf>
    <xf numFmtId="0" fontId="10" fillId="13" borderId="56" xfId="18" applyFont="1" applyFill="1" applyBorder="1" applyAlignment="1" applyProtection="1">
      <alignment horizontal="center" vertical="center" wrapText="1"/>
      <protection hidden="1"/>
    </xf>
    <xf numFmtId="2" fontId="15" fillId="13" borderId="26" xfId="18" applyNumberFormat="1" applyFont="1" applyFill="1" applyBorder="1" applyAlignment="1" applyProtection="1">
      <alignment horizontal="center" vertical="center" textRotation="90" wrapText="1"/>
      <protection hidden="1"/>
    </xf>
    <xf numFmtId="2" fontId="15" fillId="13" borderId="10" xfId="18" applyNumberFormat="1" applyFont="1" applyFill="1" applyBorder="1" applyAlignment="1" applyProtection="1">
      <alignment horizontal="center" vertical="center" textRotation="90" wrapText="1"/>
      <protection hidden="1"/>
    </xf>
    <xf numFmtId="2" fontId="15" fillId="13" borderId="28" xfId="18" applyNumberFormat="1" applyFont="1" applyFill="1" applyBorder="1" applyAlignment="1" applyProtection="1">
      <alignment horizontal="center" vertical="center" textRotation="90" wrapText="1"/>
      <protection hidden="1"/>
    </xf>
    <xf numFmtId="2" fontId="10" fillId="13" borderId="43" xfId="18" applyNumberFormat="1" applyFont="1" applyFill="1" applyBorder="1" applyAlignment="1" applyProtection="1">
      <alignment horizontal="center" vertical="center" textRotation="90" wrapText="1"/>
      <protection hidden="1"/>
    </xf>
    <xf numFmtId="2" fontId="10" fillId="13" borderId="69" xfId="18" applyNumberFormat="1" applyFont="1" applyFill="1" applyBorder="1" applyAlignment="1" applyProtection="1">
      <alignment horizontal="center" vertical="center" textRotation="90" wrapText="1"/>
      <protection hidden="1"/>
    </xf>
    <xf numFmtId="2" fontId="10" fillId="13" borderId="30" xfId="18" applyNumberFormat="1" applyFont="1" applyFill="1" applyBorder="1" applyAlignment="1" applyProtection="1">
      <alignment horizontal="center" vertical="center" textRotation="90" wrapText="1"/>
      <protection hidden="1"/>
    </xf>
    <xf numFmtId="0" fontId="54" fillId="3" borderId="12" xfId="18" applyFont="1" applyFill="1" applyBorder="1" applyAlignment="1" applyProtection="1">
      <alignment horizontal="center" vertical="center"/>
      <protection locked="0"/>
    </xf>
    <xf numFmtId="0" fontId="54" fillId="3" borderId="13" xfId="18" applyFont="1" applyFill="1" applyBorder="1" applyAlignment="1" applyProtection="1">
      <alignment horizontal="center" vertical="center"/>
      <protection locked="0"/>
    </xf>
    <xf numFmtId="0" fontId="54" fillId="3" borderId="14" xfId="18" applyFont="1" applyFill="1" applyBorder="1" applyAlignment="1" applyProtection="1">
      <alignment horizontal="center" vertical="center"/>
      <protection locked="0"/>
    </xf>
    <xf numFmtId="0" fontId="54" fillId="3" borderId="15" xfId="18" applyFont="1" applyFill="1" applyBorder="1" applyAlignment="1" applyProtection="1">
      <alignment horizontal="center" vertical="center"/>
      <protection locked="0"/>
    </xf>
    <xf numFmtId="0" fontId="54" fillId="3" borderId="0" xfId="18" applyFont="1" applyFill="1" applyAlignment="1" applyProtection="1">
      <alignment horizontal="center" vertical="center"/>
      <protection locked="0"/>
    </xf>
    <xf numFmtId="0" fontId="54" fillId="3" borderId="16" xfId="18" applyFont="1" applyFill="1" applyBorder="1" applyAlignment="1" applyProtection="1">
      <alignment horizontal="center" vertical="center"/>
      <protection locked="0"/>
    </xf>
    <xf numFmtId="0" fontId="54" fillId="3" borderId="55" xfId="18" applyFont="1" applyFill="1" applyBorder="1" applyAlignment="1" applyProtection="1">
      <alignment horizontal="center" vertical="center"/>
      <protection locked="0"/>
    </xf>
    <xf numFmtId="0" fontId="54" fillId="3" borderId="36" xfId="18" applyFont="1" applyFill="1" applyBorder="1" applyAlignment="1" applyProtection="1">
      <alignment horizontal="center" vertical="center"/>
      <protection locked="0"/>
    </xf>
    <xf numFmtId="0" fontId="54" fillId="3" borderId="56" xfId="18" applyFont="1" applyFill="1" applyBorder="1" applyAlignment="1" applyProtection="1">
      <alignment horizontal="center" vertical="center"/>
      <protection locked="0"/>
    </xf>
    <xf numFmtId="0" fontId="10" fillId="13" borderId="48" xfId="18" applyFont="1" applyFill="1" applyBorder="1" applyAlignment="1" applyProtection="1">
      <alignment horizontal="center" vertical="center" wrapText="1"/>
      <protection hidden="1"/>
    </xf>
    <xf numFmtId="1" fontId="10" fillId="13" borderId="42" xfId="18" applyNumberFormat="1" applyFont="1" applyFill="1" applyBorder="1" applyAlignment="1" applyProtection="1">
      <alignment horizontal="center" vertical="center" textRotation="90"/>
      <protection hidden="1"/>
    </xf>
    <xf numFmtId="0" fontId="23" fillId="13" borderId="68" xfId="18" applyFont="1" applyFill="1" applyBorder="1" applyAlignment="1" applyProtection="1">
      <alignment horizontal="center" vertical="center" textRotation="90"/>
      <protection hidden="1"/>
    </xf>
    <xf numFmtId="0" fontId="23" fillId="13" borderId="37" xfId="18" applyFont="1" applyFill="1" applyBorder="1" applyAlignment="1" applyProtection="1">
      <alignment horizontal="center" vertical="center" textRotation="90"/>
      <protection hidden="1"/>
    </xf>
    <xf numFmtId="1" fontId="10" fillId="13" borderId="26" xfId="18" applyNumberFormat="1" applyFont="1" applyFill="1" applyBorder="1" applyAlignment="1" applyProtection="1">
      <alignment horizontal="center" vertical="center" textRotation="90"/>
      <protection hidden="1"/>
    </xf>
    <xf numFmtId="0" fontId="23" fillId="13" borderId="10" xfId="18" applyFont="1" applyFill="1" applyBorder="1" applyAlignment="1" applyProtection="1">
      <alignment horizontal="center" vertical="center" textRotation="90"/>
      <protection hidden="1"/>
    </xf>
    <xf numFmtId="0" fontId="23" fillId="13" borderId="28" xfId="18" applyFont="1" applyFill="1" applyBorder="1" applyAlignment="1" applyProtection="1">
      <alignment horizontal="center" vertical="center" textRotation="90"/>
      <protection hidden="1"/>
    </xf>
    <xf numFmtId="1" fontId="10" fillId="13" borderId="43" xfId="18" applyNumberFormat="1" applyFont="1" applyFill="1" applyBorder="1" applyAlignment="1" applyProtection="1">
      <alignment horizontal="center" vertical="center" textRotation="90"/>
      <protection hidden="1"/>
    </xf>
    <xf numFmtId="0" fontId="23" fillId="13" borderId="69" xfId="18" applyFont="1" applyFill="1" applyBorder="1" applyAlignment="1" applyProtection="1">
      <alignment horizontal="center" vertical="center" textRotation="90"/>
      <protection hidden="1"/>
    </xf>
    <xf numFmtId="0" fontId="23" fillId="13" borderId="30" xfId="18" applyFont="1" applyFill="1" applyBorder="1" applyAlignment="1" applyProtection="1">
      <alignment horizontal="center" vertical="center" textRotation="90"/>
      <protection hidden="1"/>
    </xf>
    <xf numFmtId="0" fontId="10" fillId="13" borderId="70" xfId="18" applyFont="1" applyFill="1" applyBorder="1" applyAlignment="1" applyProtection="1">
      <alignment horizontal="center" vertical="center"/>
      <protection hidden="1"/>
    </xf>
    <xf numFmtId="0" fontId="23" fillId="13" borderId="1" xfId="18" applyFont="1" applyFill="1" applyBorder="1" applyAlignment="1" applyProtection="1">
      <alignment vertical="center"/>
      <protection hidden="1"/>
    </xf>
    <xf numFmtId="0" fontId="23" fillId="13" borderId="15" xfId="18" applyFont="1" applyFill="1" applyBorder="1" applyAlignment="1" applyProtection="1">
      <alignment vertical="center"/>
      <protection hidden="1"/>
    </xf>
    <xf numFmtId="0" fontId="23" fillId="13" borderId="0" xfId="18" applyFont="1" applyFill="1" applyAlignment="1" applyProtection="1">
      <alignment vertical="center"/>
      <protection hidden="1"/>
    </xf>
    <xf numFmtId="0" fontId="23" fillId="13" borderId="46" xfId="18" applyFont="1" applyFill="1" applyBorder="1" applyAlignment="1" applyProtection="1">
      <alignment vertical="center"/>
      <protection hidden="1"/>
    </xf>
    <xf numFmtId="0" fontId="23" fillId="13" borderId="2" xfId="18" applyFont="1" applyFill="1" applyBorder="1" applyAlignment="1" applyProtection="1">
      <alignment vertical="center"/>
      <protection hidden="1"/>
    </xf>
    <xf numFmtId="0" fontId="10" fillId="13" borderId="37" xfId="18" applyFont="1" applyFill="1" applyBorder="1" applyAlignment="1" applyProtection="1">
      <alignment horizontal="center" vertical="center" textRotation="90"/>
      <protection hidden="1"/>
    </xf>
    <xf numFmtId="0" fontId="21" fillId="13" borderId="19" xfId="18" applyFont="1" applyFill="1" applyBorder="1" applyAlignment="1" applyProtection="1">
      <alignment horizontal="center" vertical="center" textRotation="90"/>
      <protection hidden="1"/>
    </xf>
    <xf numFmtId="0" fontId="10" fillId="13" borderId="10" xfId="18" applyFont="1" applyFill="1" applyBorder="1" applyAlignment="1" applyProtection="1">
      <alignment horizontal="center" vertical="center" textRotation="90"/>
      <protection hidden="1"/>
    </xf>
    <xf numFmtId="0" fontId="10" fillId="13" borderId="28" xfId="18" applyFont="1" applyFill="1" applyBorder="1" applyAlignment="1" applyProtection="1">
      <alignment horizontal="center" vertical="center" textRotation="90"/>
      <protection hidden="1"/>
    </xf>
    <xf numFmtId="1" fontId="10" fillId="13" borderId="0" xfId="18" applyNumberFormat="1" applyFont="1" applyFill="1" applyAlignment="1" applyProtection="1">
      <alignment horizontal="center" vertical="center" textRotation="90"/>
      <protection hidden="1"/>
    </xf>
    <xf numFmtId="0" fontId="23" fillId="13" borderId="0" xfId="18" applyFont="1" applyFill="1" applyAlignment="1" applyProtection="1">
      <alignment horizontal="center" vertical="center" textRotation="90"/>
      <protection hidden="1"/>
    </xf>
    <xf numFmtId="0" fontId="23" fillId="13" borderId="2" xfId="18" applyFont="1" applyFill="1" applyBorder="1" applyAlignment="1" applyProtection="1">
      <alignment horizontal="center" vertical="center" textRotation="90"/>
      <protection hidden="1"/>
    </xf>
    <xf numFmtId="0" fontId="10" fillId="13" borderId="46" xfId="18" applyFont="1" applyFill="1" applyBorder="1" applyAlignment="1" applyProtection="1">
      <alignment horizontal="center" vertical="center"/>
      <protection hidden="1"/>
    </xf>
    <xf numFmtId="0" fontId="10" fillId="13" borderId="2" xfId="18" applyFont="1" applyFill="1" applyBorder="1" applyAlignment="1" applyProtection="1">
      <alignment horizontal="center" vertical="center"/>
      <protection hidden="1"/>
    </xf>
    <xf numFmtId="0" fontId="10" fillId="13" borderId="41" xfId="18" applyFont="1" applyFill="1" applyBorder="1" applyAlignment="1" applyProtection="1">
      <alignment horizontal="center" vertical="center"/>
      <protection hidden="1"/>
    </xf>
    <xf numFmtId="0" fontId="23" fillId="13" borderId="2" xfId="18" applyFont="1" applyFill="1" applyBorder="1" applyAlignment="1" applyProtection="1">
      <alignment horizontal="center" vertical="center"/>
      <protection hidden="1"/>
    </xf>
    <xf numFmtId="0" fontId="10" fillId="13" borderId="48" xfId="18" applyFont="1" applyFill="1" applyBorder="1" applyAlignment="1" applyProtection="1">
      <alignment horizontal="center" vertical="center"/>
      <protection hidden="1"/>
    </xf>
    <xf numFmtId="0" fontId="10" fillId="13" borderId="49" xfId="18" applyFont="1" applyFill="1" applyBorder="1" applyAlignment="1" applyProtection="1">
      <alignment horizontal="center" vertical="center"/>
      <protection hidden="1"/>
    </xf>
    <xf numFmtId="0" fontId="10" fillId="13" borderId="50" xfId="18" applyFont="1" applyFill="1" applyBorder="1" applyAlignment="1" applyProtection="1">
      <alignment horizontal="center" vertical="center"/>
      <protection hidden="1"/>
    </xf>
    <xf numFmtId="0" fontId="36" fillId="13" borderId="46" xfId="18" applyFont="1" applyFill="1" applyBorder="1" applyAlignment="1" applyProtection="1">
      <alignment horizontal="center" vertical="center"/>
      <protection hidden="1"/>
    </xf>
    <xf numFmtId="0" fontId="36" fillId="13" borderId="2" xfId="18" applyFont="1" applyFill="1" applyBorder="1" applyAlignment="1" applyProtection="1">
      <alignment horizontal="center" vertical="center"/>
      <protection hidden="1"/>
    </xf>
    <xf numFmtId="0" fontId="36" fillId="13" borderId="41" xfId="18" applyFont="1" applyFill="1" applyBorder="1" applyAlignment="1" applyProtection="1">
      <alignment horizontal="center" vertical="center"/>
      <protection hidden="1"/>
    </xf>
    <xf numFmtId="0" fontId="10" fillId="13" borderId="69" xfId="18" applyFont="1" applyFill="1" applyBorder="1" applyAlignment="1" applyProtection="1">
      <alignment horizontal="center" vertical="center" textRotation="90"/>
      <protection hidden="1"/>
    </xf>
    <xf numFmtId="0" fontId="10" fillId="13" borderId="30" xfId="18" applyFont="1" applyFill="1" applyBorder="1" applyAlignment="1" applyProtection="1">
      <alignment horizontal="center" vertical="center" textRotation="90"/>
      <protection hidden="1"/>
    </xf>
    <xf numFmtId="2" fontId="10" fillId="13" borderId="68" xfId="18" quotePrefix="1" applyNumberFormat="1" applyFont="1" applyFill="1" applyBorder="1" applyAlignment="1" applyProtection="1">
      <alignment horizontal="center" vertical="center" textRotation="90" wrapText="1"/>
      <protection hidden="1"/>
    </xf>
    <xf numFmtId="2" fontId="10" fillId="13" borderId="37" xfId="18" quotePrefix="1" applyNumberFormat="1" applyFont="1" applyFill="1" applyBorder="1" applyAlignment="1" applyProtection="1">
      <alignment horizontal="center" vertical="center" textRotation="90" wrapText="1"/>
      <protection hidden="1"/>
    </xf>
    <xf numFmtId="0" fontId="10" fillId="13" borderId="23" xfId="18" applyFont="1" applyFill="1" applyBorder="1" applyAlignment="1" applyProtection="1">
      <alignment horizontal="center" vertical="center" textRotation="90"/>
      <protection hidden="1"/>
    </xf>
    <xf numFmtId="0" fontId="10" fillId="13" borderId="59" xfId="18" applyFont="1" applyFill="1" applyBorder="1" applyAlignment="1" applyProtection="1">
      <alignment horizontal="center" vertical="center" textRotation="90"/>
      <protection hidden="1"/>
    </xf>
    <xf numFmtId="0" fontId="36" fillId="13" borderId="42" xfId="18" applyFont="1" applyFill="1" applyBorder="1" applyAlignment="1" applyProtection="1">
      <alignment horizontal="center" vertical="center" textRotation="90" wrapText="1"/>
      <protection hidden="1"/>
    </xf>
    <xf numFmtId="0" fontId="36" fillId="13" borderId="68" xfId="18" applyFont="1" applyFill="1" applyBorder="1" applyAlignment="1" applyProtection="1">
      <alignment horizontal="center" vertical="center" textRotation="90" wrapText="1"/>
      <protection hidden="1"/>
    </xf>
    <xf numFmtId="0" fontId="36" fillId="13" borderId="37" xfId="18" applyFont="1" applyFill="1" applyBorder="1" applyAlignment="1" applyProtection="1">
      <alignment horizontal="center" vertical="center" textRotation="90" wrapText="1"/>
      <protection hidden="1"/>
    </xf>
    <xf numFmtId="0" fontId="49" fillId="13" borderId="26" xfId="18" applyFont="1" applyFill="1" applyBorder="1" applyAlignment="1" applyProtection="1">
      <alignment horizontal="center" vertical="center" textRotation="90" wrapText="1"/>
      <protection hidden="1"/>
    </xf>
    <xf numFmtId="0" fontId="36" fillId="13" borderId="10" xfId="18" applyFont="1" applyFill="1" applyBorder="1" applyAlignment="1" applyProtection="1">
      <alignment horizontal="center" vertical="center" textRotation="90" wrapText="1"/>
      <protection hidden="1"/>
    </xf>
    <xf numFmtId="0" fontId="36" fillId="13" borderId="28" xfId="18" applyFont="1" applyFill="1" applyBorder="1" applyAlignment="1" applyProtection="1">
      <alignment horizontal="center" vertical="center" textRotation="90" wrapText="1"/>
      <protection hidden="1"/>
    </xf>
    <xf numFmtId="0" fontId="10" fillId="13" borderId="72" xfId="15" applyFont="1" applyFill="1" applyBorder="1" applyAlignment="1" applyProtection="1">
      <alignment horizontal="center" vertical="center" wrapText="1"/>
      <protection hidden="1"/>
    </xf>
    <xf numFmtId="0" fontId="10" fillId="13" borderId="28" xfId="15" applyFont="1" applyFill="1" applyBorder="1" applyAlignment="1" applyProtection="1">
      <alignment horizontal="center" vertical="center" wrapText="1"/>
      <protection hidden="1"/>
    </xf>
    <xf numFmtId="0" fontId="10" fillId="13" borderId="58" xfId="18" applyFont="1" applyFill="1" applyBorder="1" applyAlignment="1" applyProtection="1">
      <alignment horizontal="center" vertical="center" textRotation="90" wrapText="1"/>
      <protection hidden="1"/>
    </xf>
    <xf numFmtId="0" fontId="10" fillId="13" borderId="19" xfId="18" applyFont="1" applyFill="1" applyBorder="1" applyAlignment="1" applyProtection="1">
      <alignment horizontal="center" vertical="center" textRotation="90" wrapText="1"/>
      <protection hidden="1"/>
    </xf>
    <xf numFmtId="0" fontId="10" fillId="13" borderId="20" xfId="18" applyFont="1" applyFill="1" applyBorder="1" applyAlignment="1" applyProtection="1">
      <alignment horizontal="center" vertical="center" textRotation="90" wrapText="1"/>
      <protection hidden="1"/>
    </xf>
    <xf numFmtId="0" fontId="10" fillId="13" borderId="72" xfId="18" applyFont="1" applyFill="1" applyBorder="1" applyAlignment="1" applyProtection="1">
      <alignment horizontal="center" vertical="center" textRotation="90" wrapText="1"/>
      <protection hidden="1"/>
    </xf>
    <xf numFmtId="0" fontId="10" fillId="13" borderId="10" xfId="18" applyFont="1" applyFill="1" applyBorder="1" applyAlignment="1" applyProtection="1">
      <alignment horizontal="center" vertical="center" textRotation="90" wrapText="1"/>
      <protection hidden="1"/>
    </xf>
    <xf numFmtId="0" fontId="10" fillId="13" borderId="62" xfId="18" applyFont="1" applyFill="1" applyBorder="1" applyAlignment="1" applyProtection="1">
      <alignment horizontal="center" vertical="center" textRotation="90" wrapText="1"/>
      <protection hidden="1"/>
    </xf>
    <xf numFmtId="0" fontId="10" fillId="13" borderId="17" xfId="18" applyFont="1" applyFill="1" applyBorder="1" applyAlignment="1" applyProtection="1">
      <alignment horizontal="center" vertical="center" textRotation="90" wrapText="1"/>
      <protection hidden="1"/>
    </xf>
    <xf numFmtId="0" fontId="10" fillId="13" borderId="18" xfId="18" applyFont="1" applyFill="1" applyBorder="1" applyAlignment="1" applyProtection="1">
      <alignment horizontal="center" vertical="center" textRotation="90" wrapText="1"/>
      <protection hidden="1"/>
    </xf>
    <xf numFmtId="0" fontId="10" fillId="13" borderId="21" xfId="18" applyFont="1" applyFill="1" applyBorder="1" applyAlignment="1" applyProtection="1">
      <alignment horizontal="center" vertical="center" textRotation="90" wrapText="1"/>
      <protection hidden="1"/>
    </xf>
    <xf numFmtId="0" fontId="10" fillId="13" borderId="38" xfId="18" applyFont="1" applyFill="1" applyBorder="1" applyAlignment="1" applyProtection="1">
      <alignment horizontal="center" vertical="center" textRotation="90" wrapText="1"/>
      <protection hidden="1"/>
    </xf>
    <xf numFmtId="0" fontId="10" fillId="13" borderId="22" xfId="18" applyFont="1" applyFill="1" applyBorder="1" applyAlignment="1" applyProtection="1">
      <alignment horizontal="center" vertical="center" textRotation="90" wrapText="1"/>
      <protection hidden="1"/>
    </xf>
    <xf numFmtId="0" fontId="10" fillId="13" borderId="31" xfId="18" applyFont="1" applyFill="1" applyBorder="1" applyAlignment="1" applyProtection="1">
      <alignment horizontal="center" vertical="center" textRotation="90" wrapText="1"/>
      <protection hidden="1"/>
    </xf>
    <xf numFmtId="0" fontId="7" fillId="0" borderId="72" xfId="15" applyFont="1" applyBorder="1" applyAlignment="1" applyProtection="1">
      <alignment horizontal="center" vertical="center" wrapText="1"/>
      <protection locked="0"/>
    </xf>
    <xf numFmtId="0" fontId="7" fillId="0" borderId="28" xfId="15" applyFont="1" applyBorder="1" applyAlignment="1" applyProtection="1">
      <alignment horizontal="center" vertical="center" wrapText="1"/>
      <protection locked="0"/>
    </xf>
    <xf numFmtId="0" fontId="10" fillId="13" borderId="53" xfId="15" applyFont="1" applyFill="1" applyBorder="1" applyAlignment="1" applyProtection="1">
      <alignment horizontal="center" vertical="center" wrapText="1"/>
      <protection hidden="1"/>
    </xf>
    <xf numFmtId="0" fontId="10" fillId="13" borderId="13" xfId="15" applyFont="1" applyFill="1" applyBorder="1" applyAlignment="1" applyProtection="1">
      <alignment horizontal="center" vertical="center" wrapText="1"/>
      <protection hidden="1"/>
    </xf>
    <xf numFmtId="0" fontId="10" fillId="13" borderId="14" xfId="15" applyFont="1" applyFill="1" applyBorder="1" applyAlignment="1" applyProtection="1">
      <alignment horizontal="center" vertical="center" wrapText="1"/>
      <protection hidden="1"/>
    </xf>
    <xf numFmtId="0" fontId="10" fillId="13" borderId="9" xfId="15" applyFont="1" applyFill="1" applyBorder="1" applyAlignment="1" applyProtection="1">
      <alignment horizontal="center" vertical="center" wrapText="1"/>
      <protection hidden="1"/>
    </xf>
    <xf numFmtId="0" fontId="10" fillId="13" borderId="2" xfId="15" applyFont="1" applyFill="1" applyBorder="1" applyAlignment="1" applyProtection="1">
      <alignment horizontal="center" vertical="center" wrapText="1"/>
      <protection hidden="1"/>
    </xf>
    <xf numFmtId="0" fontId="10" fillId="13" borderId="41" xfId="15" applyFont="1" applyFill="1" applyBorder="1" applyAlignment="1" applyProtection="1">
      <alignment horizontal="center" vertical="center" wrapText="1"/>
      <protection hidden="1"/>
    </xf>
    <xf numFmtId="0" fontId="21" fillId="3" borderId="0" xfId="18" applyFont="1" applyFill="1" applyAlignment="1" applyProtection="1">
      <alignment horizontal="center" vertical="center"/>
      <protection locked="0"/>
    </xf>
    <xf numFmtId="0" fontId="21" fillId="3" borderId="2" xfId="18" applyFont="1" applyFill="1" applyBorder="1" applyAlignment="1" applyProtection="1">
      <alignment horizontal="center" vertical="center"/>
      <protection locked="0"/>
    </xf>
    <xf numFmtId="0" fontId="3" fillId="3" borderId="26" xfId="18" applyFont="1" applyFill="1" applyBorder="1" applyAlignment="1" applyProtection="1">
      <alignment horizontal="center" textRotation="90" wrapText="1"/>
      <protection hidden="1"/>
    </xf>
    <xf numFmtId="0" fontId="3" fillId="3" borderId="10" xfId="18" applyFont="1" applyFill="1" applyBorder="1" applyAlignment="1" applyProtection="1">
      <alignment horizontal="center" textRotation="90" wrapText="1"/>
      <protection hidden="1"/>
    </xf>
    <xf numFmtId="0" fontId="3" fillId="3" borderId="28" xfId="18" applyFont="1" applyFill="1" applyBorder="1" applyAlignment="1" applyProtection="1">
      <alignment horizontal="center" textRotation="90" wrapText="1"/>
      <protection hidden="1"/>
    </xf>
    <xf numFmtId="0" fontId="18" fillId="13" borderId="65" xfId="18" applyFont="1" applyFill="1" applyBorder="1" applyAlignment="1" applyProtection="1">
      <alignment horizontal="center" vertical="center"/>
      <protection hidden="1"/>
    </xf>
    <xf numFmtId="0" fontId="19" fillId="13" borderId="66" xfId="18" applyFont="1" applyFill="1" applyBorder="1" applyAlignment="1" applyProtection="1">
      <alignment horizontal="center" vertical="center"/>
      <protection hidden="1"/>
    </xf>
    <xf numFmtId="0" fontId="19" fillId="13" borderId="67" xfId="18" applyFont="1" applyFill="1" applyBorder="1" applyAlignment="1" applyProtection="1">
      <alignment horizontal="center" vertical="center"/>
      <protection hidden="1"/>
    </xf>
    <xf numFmtId="0" fontId="18" fillId="13" borderId="66" xfId="18" applyFont="1" applyFill="1" applyBorder="1" applyAlignment="1" applyProtection="1">
      <alignment horizontal="center" vertical="center"/>
      <protection hidden="1"/>
    </xf>
    <xf numFmtId="0" fontId="19" fillId="13" borderId="66" xfId="18" applyFont="1" applyFill="1" applyBorder="1" applyAlignment="1" applyProtection="1">
      <alignment horizontal="center"/>
      <protection hidden="1"/>
    </xf>
    <xf numFmtId="0" fontId="19" fillId="13" borderId="67" xfId="18" applyFont="1" applyFill="1" applyBorder="1" applyAlignment="1" applyProtection="1">
      <alignment horizontal="center"/>
      <protection hidden="1"/>
    </xf>
    <xf numFmtId="0" fontId="18" fillId="13" borderId="65" xfId="18" applyFont="1" applyFill="1" applyBorder="1" applyAlignment="1">
      <alignment horizontal="center" vertical="center"/>
    </xf>
    <xf numFmtId="0" fontId="18" fillId="13" borderId="66" xfId="18" applyFont="1" applyFill="1" applyBorder="1" applyAlignment="1">
      <alignment horizontal="center" vertical="center"/>
    </xf>
    <xf numFmtId="0" fontId="10" fillId="13" borderId="65" xfId="18" applyFont="1" applyFill="1" applyBorder="1" applyAlignment="1" applyProtection="1">
      <alignment horizontal="center" vertical="center"/>
      <protection hidden="1"/>
    </xf>
    <xf numFmtId="0" fontId="10" fillId="13" borderId="66" xfId="18" applyFont="1" applyFill="1" applyBorder="1" applyAlignment="1" applyProtection="1">
      <alignment horizontal="center" vertical="center"/>
      <protection hidden="1"/>
    </xf>
    <xf numFmtId="0" fontId="10" fillId="13" borderId="67" xfId="18" applyFont="1" applyFill="1" applyBorder="1" applyAlignment="1" applyProtection="1">
      <alignment horizontal="center" vertical="center"/>
      <protection hidden="1"/>
    </xf>
    <xf numFmtId="0" fontId="54" fillId="3" borderId="13" xfId="15" applyFont="1" applyFill="1" applyBorder="1" applyAlignment="1" applyProtection="1">
      <alignment horizontal="center" vertical="center"/>
      <protection locked="0"/>
    </xf>
    <xf numFmtId="0" fontId="54" fillId="3" borderId="14" xfId="15" applyFont="1" applyFill="1" applyBorder="1" applyAlignment="1" applyProtection="1">
      <alignment horizontal="center" vertical="center"/>
      <protection locked="0"/>
    </xf>
    <xf numFmtId="0" fontId="54" fillId="3" borderId="0" xfId="15" applyFont="1" applyFill="1" applyAlignment="1" applyProtection="1">
      <alignment horizontal="center" vertical="center"/>
      <protection locked="0"/>
    </xf>
    <xf numFmtId="0" fontId="54" fillId="3" borderId="16" xfId="15" applyFont="1" applyFill="1" applyBorder="1" applyAlignment="1" applyProtection="1">
      <alignment horizontal="center" vertical="center"/>
      <protection locked="0"/>
    </xf>
    <xf numFmtId="0" fontId="54" fillId="3" borderId="36" xfId="15" applyFont="1" applyFill="1" applyBorder="1" applyAlignment="1" applyProtection="1">
      <alignment horizontal="center" vertical="center"/>
      <protection locked="0"/>
    </xf>
    <xf numFmtId="0" fontId="54" fillId="3" borderId="56" xfId="15" applyFont="1" applyFill="1" applyBorder="1" applyAlignment="1" applyProtection="1">
      <alignment horizontal="center" vertical="center"/>
      <protection locked="0"/>
    </xf>
    <xf numFmtId="0" fontId="10" fillId="13" borderId="13" xfId="18" applyFont="1" applyFill="1" applyBorder="1" applyAlignment="1" applyProtection="1">
      <alignment horizontal="center" vertical="center"/>
      <protection hidden="1"/>
    </xf>
    <xf numFmtId="0" fontId="10" fillId="13" borderId="14" xfId="18" applyFont="1" applyFill="1" applyBorder="1" applyAlignment="1" applyProtection="1">
      <alignment horizontal="center" vertical="center"/>
      <protection hidden="1"/>
    </xf>
    <xf numFmtId="0" fontId="15" fillId="13" borderId="48" xfId="18" applyFont="1" applyFill="1" applyBorder="1" applyAlignment="1" applyProtection="1">
      <alignment horizontal="center" vertical="center" shrinkToFit="1"/>
      <protection hidden="1"/>
    </xf>
    <xf numFmtId="0" fontId="15" fillId="13" borderId="49" xfId="18" applyFont="1" applyFill="1" applyBorder="1" applyAlignment="1" applyProtection="1">
      <alignment horizontal="center" vertical="center" shrinkToFit="1"/>
      <protection hidden="1"/>
    </xf>
    <xf numFmtId="0" fontId="15" fillId="13" borderId="50" xfId="18" applyFont="1" applyFill="1" applyBorder="1" applyAlignment="1" applyProtection="1">
      <alignment horizontal="center" vertical="center" shrinkToFit="1"/>
      <protection hidden="1"/>
    </xf>
    <xf numFmtId="0" fontId="10" fillId="13" borderId="71" xfId="15" applyFont="1" applyFill="1" applyBorder="1" applyAlignment="1" applyProtection="1">
      <alignment horizontal="center" vertical="center" wrapText="1"/>
      <protection hidden="1"/>
    </xf>
    <xf numFmtId="0" fontId="10" fillId="13" borderId="36" xfId="15" applyFont="1" applyFill="1" applyBorder="1" applyAlignment="1" applyProtection="1">
      <alignment horizontal="center" vertical="center" wrapText="1"/>
      <protection hidden="1"/>
    </xf>
    <xf numFmtId="0" fontId="10" fillId="13" borderId="56" xfId="15" applyFont="1" applyFill="1" applyBorder="1" applyAlignment="1" applyProtection="1">
      <alignment horizontal="center" vertical="center" wrapText="1"/>
      <protection hidden="1"/>
    </xf>
    <xf numFmtId="0" fontId="15" fillId="6" borderId="55" xfId="18" applyFont="1" applyFill="1" applyBorder="1" applyAlignment="1" applyProtection="1">
      <alignment horizontal="center" vertical="center"/>
      <protection locked="0"/>
    </xf>
    <xf numFmtId="0" fontId="15" fillId="6" borderId="36" xfId="18" applyFont="1" applyFill="1" applyBorder="1" applyAlignment="1" applyProtection="1">
      <alignment horizontal="center" vertical="center"/>
      <protection locked="0"/>
    </xf>
    <xf numFmtId="0" fontId="15" fillId="6" borderId="56" xfId="18" applyFont="1" applyFill="1" applyBorder="1" applyAlignment="1" applyProtection="1">
      <alignment horizontal="center" vertical="center"/>
      <protection locked="0"/>
    </xf>
    <xf numFmtId="0" fontId="10" fillId="0" borderId="15" xfId="18" applyFont="1" applyBorder="1" applyAlignment="1" applyProtection="1">
      <alignment horizontal="center" vertical="center"/>
      <protection hidden="1"/>
    </xf>
    <xf numFmtId="0" fontId="10" fillId="0" borderId="0" xfId="18" applyFont="1" applyAlignment="1" applyProtection="1">
      <alignment horizontal="center" vertical="center"/>
      <protection hidden="1"/>
    </xf>
    <xf numFmtId="0" fontId="10" fillId="0" borderId="55" xfId="18" applyFont="1" applyBorder="1" applyAlignment="1" applyProtection="1">
      <alignment horizontal="center" vertical="center"/>
      <protection hidden="1"/>
    </xf>
    <xf numFmtId="0" fontId="10" fillId="0" borderId="36" xfId="18" applyFont="1" applyBorder="1" applyAlignment="1" applyProtection="1">
      <alignment horizontal="center" vertical="center"/>
      <protection hidden="1"/>
    </xf>
    <xf numFmtId="0" fontId="18" fillId="13" borderId="12" xfId="18" applyFont="1" applyFill="1" applyBorder="1" applyAlignment="1" applyProtection="1">
      <alignment horizontal="center" vertical="center"/>
      <protection hidden="1"/>
    </xf>
    <xf numFmtId="0" fontId="18" fillId="13" borderId="13" xfId="18" applyFont="1" applyFill="1" applyBorder="1" applyAlignment="1" applyProtection="1">
      <alignment horizontal="center" vertical="center"/>
      <protection hidden="1"/>
    </xf>
    <xf numFmtId="0" fontId="18" fillId="13" borderId="14" xfId="18" applyFont="1" applyFill="1" applyBorder="1" applyAlignment="1" applyProtection="1">
      <alignment horizontal="center" vertical="center"/>
      <protection hidden="1"/>
    </xf>
    <xf numFmtId="0" fontId="18" fillId="13" borderId="55" xfId="18" applyFont="1" applyFill="1" applyBorder="1" applyAlignment="1" applyProtection="1">
      <alignment horizontal="center" vertical="center"/>
      <protection hidden="1"/>
    </xf>
    <xf numFmtId="0" fontId="18" fillId="13" borderId="36" xfId="18" applyFont="1" applyFill="1" applyBorder="1" applyAlignment="1" applyProtection="1">
      <alignment horizontal="center" vertical="center"/>
      <protection hidden="1"/>
    </xf>
    <xf numFmtId="0" fontId="18" fillId="13" borderId="56" xfId="18" applyFont="1" applyFill="1" applyBorder="1" applyAlignment="1" applyProtection="1">
      <alignment horizontal="center" vertical="center"/>
      <protection hidden="1"/>
    </xf>
    <xf numFmtId="0" fontId="20" fillId="13" borderId="12" xfId="18" applyFont="1" applyFill="1" applyBorder="1" applyAlignment="1" applyProtection="1">
      <alignment horizontal="center" vertical="center"/>
      <protection hidden="1"/>
    </xf>
    <xf numFmtId="0" fontId="20" fillId="13" borderId="13" xfId="18" applyFont="1" applyFill="1" applyBorder="1" applyAlignment="1" applyProtection="1">
      <alignment horizontal="center" vertical="center"/>
      <protection hidden="1"/>
    </xf>
    <xf numFmtId="0" fontId="20" fillId="13" borderId="74" xfId="18" applyFont="1" applyFill="1" applyBorder="1" applyAlignment="1" applyProtection="1">
      <alignment horizontal="center" vertical="center"/>
      <protection hidden="1"/>
    </xf>
    <xf numFmtId="0" fontId="20" fillId="13" borderId="55" xfId="18" applyFont="1" applyFill="1" applyBorder="1" applyAlignment="1" applyProtection="1">
      <alignment horizontal="center" vertical="center"/>
      <protection hidden="1"/>
    </xf>
    <xf numFmtId="0" fontId="20" fillId="13" borderId="36" xfId="18" applyFont="1" applyFill="1" applyBorder="1" applyAlignment="1" applyProtection="1">
      <alignment horizontal="center" vertical="center"/>
      <protection hidden="1"/>
    </xf>
    <xf numFmtId="0" fontId="20" fillId="13" borderId="64" xfId="18" applyFont="1" applyFill="1" applyBorder="1" applyAlignment="1" applyProtection="1">
      <alignment horizontal="center" vertical="center"/>
      <protection hidden="1"/>
    </xf>
    <xf numFmtId="14" fontId="20" fillId="3" borderId="13" xfId="15" applyNumberFormat="1" applyFont="1" applyFill="1" applyBorder="1" applyAlignment="1" applyProtection="1">
      <alignment horizontal="center" vertical="center"/>
      <protection locked="0"/>
    </xf>
    <xf numFmtId="0" fontId="20" fillId="3" borderId="13" xfId="15" applyFont="1" applyFill="1" applyBorder="1" applyAlignment="1" applyProtection="1">
      <alignment horizontal="center" vertical="center"/>
      <protection locked="0"/>
    </xf>
    <xf numFmtId="0" fontId="20" fillId="3" borderId="14" xfId="15" applyFont="1" applyFill="1" applyBorder="1" applyAlignment="1" applyProtection="1">
      <alignment horizontal="center" vertical="center"/>
      <protection locked="0"/>
    </xf>
    <xf numFmtId="0" fontId="20" fillId="3" borderId="36" xfId="15" applyFont="1" applyFill="1" applyBorder="1" applyAlignment="1" applyProtection="1">
      <alignment horizontal="center" vertical="center"/>
      <protection locked="0"/>
    </xf>
    <xf numFmtId="0" fontId="20" fillId="3" borderId="56" xfId="15" applyFont="1" applyFill="1" applyBorder="1" applyAlignment="1" applyProtection="1">
      <alignment horizontal="center" vertical="center"/>
      <protection locked="0"/>
    </xf>
    <xf numFmtId="0" fontId="54" fillId="0" borderId="12" xfId="15" applyFont="1" applyBorder="1" applyAlignment="1" applyProtection="1">
      <alignment horizontal="center" vertical="center" wrapText="1" shrinkToFit="1"/>
      <protection locked="0"/>
    </xf>
    <xf numFmtId="0" fontId="54" fillId="0" borderId="13" xfId="15" applyFont="1" applyBorder="1" applyAlignment="1" applyProtection="1">
      <alignment horizontal="center" vertical="center" wrapText="1" shrinkToFit="1"/>
      <protection locked="0"/>
    </xf>
    <xf numFmtId="0" fontId="54" fillId="0" borderId="14" xfId="15" applyFont="1" applyBorder="1" applyAlignment="1" applyProtection="1">
      <alignment horizontal="center" vertical="center" wrapText="1" shrinkToFit="1"/>
      <protection locked="0"/>
    </xf>
    <xf numFmtId="0" fontId="54" fillId="0" borderId="55" xfId="15" applyFont="1" applyBorder="1" applyAlignment="1" applyProtection="1">
      <alignment horizontal="center" vertical="center" wrapText="1" shrinkToFit="1"/>
      <protection locked="0"/>
    </xf>
    <xf numFmtId="0" fontId="54" fillId="0" borderId="36" xfId="15" applyFont="1" applyBorder="1" applyAlignment="1" applyProtection="1">
      <alignment horizontal="center" vertical="center" wrapText="1" shrinkToFit="1"/>
      <protection locked="0"/>
    </xf>
    <xf numFmtId="0" fontId="54" fillId="0" borderId="56" xfId="15" applyFont="1" applyBorder="1" applyAlignment="1" applyProtection="1">
      <alignment horizontal="center" vertical="center" wrapText="1" shrinkToFit="1"/>
      <protection locked="0"/>
    </xf>
    <xf numFmtId="0" fontId="20" fillId="13" borderId="12" xfId="18" applyFont="1" applyFill="1" applyBorder="1" applyAlignment="1" applyProtection="1">
      <alignment horizontal="center" vertical="center" shrinkToFit="1"/>
      <protection hidden="1"/>
    </xf>
    <xf numFmtId="0" fontId="20" fillId="13" borderId="13" xfId="18" applyFont="1" applyFill="1" applyBorder="1" applyAlignment="1" applyProtection="1">
      <alignment horizontal="center" vertical="center" shrinkToFit="1"/>
      <protection hidden="1"/>
    </xf>
    <xf numFmtId="0" fontId="20" fillId="13" borderId="14" xfId="18" applyFont="1" applyFill="1" applyBorder="1" applyAlignment="1" applyProtection="1">
      <alignment horizontal="center" vertical="center" shrinkToFit="1"/>
      <protection hidden="1"/>
    </xf>
    <xf numFmtId="0" fontId="20" fillId="13" borderId="55" xfId="18" applyFont="1" applyFill="1" applyBorder="1" applyAlignment="1" applyProtection="1">
      <alignment horizontal="center" vertical="center" shrinkToFit="1"/>
      <protection hidden="1"/>
    </xf>
    <xf numFmtId="0" fontId="20" fillId="13" borderId="36" xfId="18" applyFont="1" applyFill="1" applyBorder="1" applyAlignment="1" applyProtection="1">
      <alignment horizontal="center" vertical="center" shrinkToFit="1"/>
      <protection hidden="1"/>
    </xf>
    <xf numFmtId="0" fontId="20" fillId="13" borderId="56" xfId="18" applyFont="1" applyFill="1" applyBorder="1" applyAlignment="1" applyProtection="1">
      <alignment horizontal="center" vertical="center" shrinkToFit="1"/>
      <protection hidden="1"/>
    </xf>
    <xf numFmtId="167" fontId="20" fillId="13" borderId="13" xfId="18" applyNumberFormat="1" applyFont="1" applyFill="1" applyBorder="1" applyAlignment="1" applyProtection="1">
      <alignment horizontal="center" vertical="center"/>
      <protection hidden="1"/>
    </xf>
    <xf numFmtId="167" fontId="20" fillId="13" borderId="14" xfId="18" applyNumberFormat="1" applyFont="1" applyFill="1" applyBorder="1" applyAlignment="1" applyProtection="1">
      <alignment horizontal="center" vertical="center"/>
      <protection hidden="1"/>
    </xf>
    <xf numFmtId="167" fontId="20" fillId="13" borderId="36" xfId="18" applyNumberFormat="1" applyFont="1" applyFill="1" applyBorder="1" applyAlignment="1" applyProtection="1">
      <alignment horizontal="center" vertical="center"/>
      <protection hidden="1"/>
    </xf>
    <xf numFmtId="167" fontId="20" fillId="13" borderId="56" xfId="18" applyNumberFormat="1" applyFont="1" applyFill="1" applyBorder="1" applyAlignment="1" applyProtection="1">
      <alignment horizontal="center" vertical="center"/>
      <protection hidden="1"/>
    </xf>
    <xf numFmtId="0" fontId="18" fillId="13" borderId="58" xfId="15" applyFont="1" applyFill="1" applyBorder="1" applyAlignment="1" applyProtection="1">
      <alignment horizontal="center" vertical="center"/>
      <protection hidden="1"/>
    </xf>
    <xf numFmtId="0" fontId="18" fillId="13" borderId="17" xfId="15" applyFont="1" applyFill="1" applyBorder="1" applyAlignment="1" applyProtection="1">
      <alignment horizontal="center" vertical="center"/>
      <protection hidden="1"/>
    </xf>
    <xf numFmtId="0" fontId="18" fillId="13" borderId="19" xfId="15" applyFont="1" applyFill="1" applyBorder="1" applyAlignment="1" applyProtection="1">
      <alignment horizontal="center" vertical="center"/>
      <protection hidden="1"/>
    </xf>
    <xf numFmtId="0" fontId="18" fillId="13" borderId="18" xfId="15" applyFont="1" applyFill="1" applyBorder="1" applyAlignment="1" applyProtection="1">
      <alignment horizontal="center" vertical="center"/>
      <protection hidden="1"/>
    </xf>
    <xf numFmtId="0" fontId="18" fillId="13" borderId="42" xfId="15" applyFont="1" applyFill="1" applyBorder="1" applyAlignment="1" applyProtection="1">
      <alignment horizontal="center" vertical="center"/>
      <protection hidden="1"/>
    </xf>
    <xf numFmtId="0" fontId="18" fillId="13" borderId="26" xfId="15" applyFont="1" applyFill="1" applyBorder="1" applyAlignment="1" applyProtection="1">
      <alignment horizontal="center" vertical="center"/>
      <protection hidden="1"/>
    </xf>
    <xf numFmtId="0" fontId="7" fillId="0" borderId="17" xfId="15" applyFont="1" applyBorder="1" applyAlignment="1" applyProtection="1">
      <alignment horizontal="center" vertical="center"/>
      <protection locked="0"/>
    </xf>
    <xf numFmtId="0" fontId="7" fillId="0" borderId="18" xfId="15" applyFont="1" applyBorder="1" applyAlignment="1" applyProtection="1">
      <alignment horizontal="center" vertical="center"/>
      <protection locked="0"/>
    </xf>
    <xf numFmtId="0" fontId="7" fillId="0" borderId="26" xfId="15" applyFont="1" applyBorder="1" applyAlignment="1" applyProtection="1">
      <alignment horizontal="center" vertical="center"/>
      <protection locked="0"/>
    </xf>
    <xf numFmtId="0" fontId="3" fillId="0" borderId="26" xfId="0" applyFont="1" applyBorder="1" applyAlignment="1">
      <alignment horizontal="center" vertical="center" wrapText="1"/>
    </xf>
    <xf numFmtId="0" fontId="3" fillId="0" borderId="10" xfId="0" applyFont="1" applyBorder="1" applyAlignment="1">
      <alignment horizontal="center" vertical="center" wrapText="1"/>
    </xf>
    <xf numFmtId="0" fontId="3" fillId="0" borderId="28" xfId="0" applyFont="1" applyBorder="1" applyAlignment="1">
      <alignment horizontal="center" vertical="center" wrapText="1"/>
    </xf>
    <xf numFmtId="0" fontId="27" fillId="8" borderId="13" xfId="13" applyFont="1" applyFill="1" applyBorder="1" applyAlignment="1">
      <alignment horizontal="center" vertical="center" textRotation="90"/>
    </xf>
    <xf numFmtId="0" fontId="27" fillId="8" borderId="0" xfId="13" applyFont="1" applyFill="1" applyAlignment="1">
      <alignment horizontal="center" vertical="center" textRotation="90"/>
    </xf>
    <xf numFmtId="0" fontId="27" fillId="8" borderId="36" xfId="13" applyFont="1" applyFill="1" applyBorder="1" applyAlignment="1">
      <alignment horizontal="center" vertical="center" textRotation="90"/>
    </xf>
    <xf numFmtId="0" fontId="27" fillId="9" borderId="13" xfId="13" applyFont="1" applyFill="1" applyBorder="1" applyAlignment="1">
      <alignment horizontal="center" vertical="center" textRotation="90"/>
    </xf>
    <xf numFmtId="0" fontId="27" fillId="9" borderId="0" xfId="13" applyFont="1" applyFill="1" applyAlignment="1">
      <alignment horizontal="center" vertical="center" textRotation="90"/>
    </xf>
    <xf numFmtId="0" fontId="27" fillId="9" borderId="36" xfId="13" applyFont="1" applyFill="1" applyBorder="1" applyAlignment="1">
      <alignment horizontal="center" vertical="center" textRotation="90"/>
    </xf>
    <xf numFmtId="0" fontId="6" fillId="10" borderId="13" xfId="13" applyFont="1" applyFill="1" applyBorder="1" applyAlignment="1">
      <alignment horizontal="center" vertical="center" wrapText="1"/>
    </xf>
    <xf numFmtId="0" fontId="6" fillId="10" borderId="0" xfId="13" applyFont="1" applyFill="1" applyAlignment="1">
      <alignment horizontal="center" vertical="center" wrapText="1"/>
    </xf>
    <xf numFmtId="0" fontId="27" fillId="11" borderId="13" xfId="14" applyFont="1" applyFill="1" applyBorder="1" applyAlignment="1">
      <alignment horizontal="center" vertical="center" textRotation="90"/>
    </xf>
    <xf numFmtId="0" fontId="27" fillId="11" borderId="0" xfId="14" applyFont="1" applyFill="1" applyAlignment="1">
      <alignment horizontal="center" vertical="center" textRotation="90"/>
    </xf>
    <xf numFmtId="0" fontId="27" fillId="11" borderId="36" xfId="14" applyFont="1" applyFill="1" applyBorder="1" applyAlignment="1">
      <alignment horizontal="center" vertical="center" textRotation="90"/>
    </xf>
    <xf numFmtId="0" fontId="11" fillId="5" borderId="0" xfId="14" applyFont="1" applyFill="1" applyAlignment="1">
      <alignment horizontal="center" vertical="center" wrapText="1"/>
    </xf>
    <xf numFmtId="0" fontId="11" fillId="5" borderId="36" xfId="14" applyFont="1" applyFill="1" applyBorder="1" applyAlignment="1">
      <alignment horizontal="center" vertical="center" wrapText="1"/>
    </xf>
    <xf numFmtId="0" fontId="37" fillId="0" borderId="32" xfId="0" applyFont="1" applyBorder="1" applyAlignment="1">
      <alignment horizontal="center" vertical="center" wrapText="1"/>
    </xf>
    <xf numFmtId="0" fontId="37" fillId="0" borderId="23" xfId="0" applyFont="1" applyBorder="1" applyAlignment="1">
      <alignment horizontal="center" vertical="center" wrapText="1"/>
    </xf>
    <xf numFmtId="0" fontId="37" fillId="0" borderId="57" xfId="0" applyFont="1" applyBorder="1" applyAlignment="1">
      <alignment horizontal="center" vertical="center" wrapText="1"/>
    </xf>
    <xf numFmtId="0" fontId="21" fillId="0" borderId="58" xfId="0" quotePrefix="1" applyFont="1" applyFill="1" applyBorder="1" applyAlignment="1" applyProtection="1">
      <alignment horizontal="center" vertical="center" wrapText="1"/>
      <protection locked="0"/>
    </xf>
    <xf numFmtId="0" fontId="21" fillId="0" borderId="33" xfId="0" applyFont="1" applyFill="1" applyBorder="1" applyAlignment="1" applyProtection="1">
      <alignment horizontal="center" vertical="center" wrapText="1"/>
      <protection locked="0"/>
    </xf>
    <xf numFmtId="1" fontId="21" fillId="0" borderId="17" xfId="18" applyNumberFormat="1" applyFont="1" applyFill="1" applyBorder="1" applyAlignment="1" applyProtection="1">
      <alignment horizontal="center" vertical="center" wrapText="1" shrinkToFit="1"/>
      <protection locked="0"/>
    </xf>
    <xf numFmtId="0" fontId="26" fillId="0" borderId="17" xfId="18" applyFont="1" applyFill="1" applyBorder="1" applyAlignment="1" applyProtection="1">
      <alignment horizontal="center" vertical="center" wrapText="1" shrinkToFit="1"/>
      <protection locked="0"/>
    </xf>
    <xf numFmtId="0" fontId="21" fillId="0" borderId="17" xfId="18" applyFont="1" applyFill="1" applyBorder="1" applyAlignment="1" applyProtection="1">
      <alignment horizontal="center" vertical="center" shrinkToFit="1"/>
      <protection locked="0"/>
    </xf>
    <xf numFmtId="0" fontId="21" fillId="0" borderId="38" xfId="16" applyFont="1" applyFill="1" applyBorder="1" applyAlignment="1" applyProtection="1">
      <alignment horizontal="center" vertical="center" wrapText="1"/>
      <protection locked="0"/>
    </xf>
    <xf numFmtId="1" fontId="21" fillId="0" borderId="49" xfId="17" applyNumberFormat="1" applyFont="1" applyFill="1" applyBorder="1" applyAlignment="1" applyProtection="1">
      <alignment horizontal="center" vertical="center" shrinkToFit="1"/>
      <protection locked="0"/>
    </xf>
    <xf numFmtId="2" fontId="21" fillId="0" borderId="58" xfId="2" applyNumberFormat="1" applyFont="1" applyFill="1" applyBorder="1" applyAlignment="1" applyProtection="1">
      <alignment horizontal="center" vertical="center" shrinkToFit="1"/>
      <protection locked="0"/>
    </xf>
    <xf numFmtId="0" fontId="26" fillId="0" borderId="38" xfId="16" quotePrefix="1" applyFont="1" applyFill="1" applyBorder="1" applyAlignment="1" applyProtection="1">
      <alignment horizontal="center" vertical="center" wrapText="1" shrinkToFit="1"/>
      <protection locked="0"/>
    </xf>
    <xf numFmtId="1" fontId="21" fillId="0" borderId="61" xfId="2" applyNumberFormat="1" applyFont="1" applyFill="1" applyBorder="1" applyAlignment="1" applyProtection="1">
      <alignment horizontal="center" vertical="center" wrapText="1"/>
      <protection hidden="1"/>
    </xf>
    <xf numFmtId="0" fontId="26" fillId="0" borderId="38" xfId="16" applyFont="1" applyFill="1" applyBorder="1" applyAlignment="1" applyProtection="1">
      <alignment horizontal="center" vertical="center" wrapText="1" shrinkToFit="1"/>
      <protection locked="0"/>
    </xf>
    <xf numFmtId="1" fontId="21" fillId="0" borderId="50" xfId="2" applyNumberFormat="1" applyFont="1" applyFill="1" applyBorder="1" applyAlignment="1" applyProtection="1">
      <alignment horizontal="center" vertical="center" wrapText="1"/>
      <protection hidden="1"/>
    </xf>
    <xf numFmtId="1" fontId="21" fillId="0" borderId="61" xfId="2" applyNumberFormat="1" applyFont="1" applyFill="1" applyBorder="1" applyAlignment="1" applyProtection="1">
      <alignment horizontal="center" vertical="center" wrapText="1"/>
      <protection locked="0"/>
    </xf>
    <xf numFmtId="167" fontId="33" fillId="0" borderId="58" xfId="18" applyNumberFormat="1" applyFont="1" applyFill="1" applyBorder="1" applyAlignment="1" applyProtection="1">
      <alignment horizontal="center" vertical="center"/>
      <protection hidden="1"/>
    </xf>
    <xf numFmtId="2" fontId="33" fillId="0" borderId="17" xfId="18" applyNumberFormat="1" applyFont="1" applyFill="1" applyBorder="1" applyAlignment="1" applyProtection="1">
      <alignment horizontal="center" vertical="center"/>
      <protection hidden="1"/>
    </xf>
    <xf numFmtId="167" fontId="33" fillId="0" borderId="38" xfId="18" applyNumberFormat="1" applyFont="1" applyFill="1" applyBorder="1" applyAlignment="1" applyProtection="1">
      <alignment horizontal="center" vertical="center" shrinkToFit="1"/>
      <protection hidden="1"/>
    </xf>
    <xf numFmtId="167" fontId="24" fillId="0" borderId="33" xfId="18" applyNumberFormat="1" applyFont="1" applyFill="1" applyBorder="1" applyAlignment="1" applyProtection="1">
      <alignment horizontal="center" vertical="center"/>
      <protection hidden="1"/>
    </xf>
    <xf numFmtId="1" fontId="24" fillId="0" borderId="28" xfId="18" applyNumberFormat="1" applyFont="1" applyFill="1" applyBorder="1" applyAlignment="1" applyProtection="1">
      <alignment horizontal="center" vertical="center"/>
      <protection hidden="1"/>
    </xf>
    <xf numFmtId="167" fontId="24" fillId="0" borderId="38" xfId="18" applyNumberFormat="1" applyFont="1" applyFill="1" applyBorder="1" applyAlignment="1" applyProtection="1">
      <alignment horizontal="center" vertical="center" shrinkToFit="1"/>
      <protection hidden="1"/>
    </xf>
    <xf numFmtId="167" fontId="11" fillId="0" borderId="33" xfId="18" applyNumberFormat="1" applyFont="1" applyFill="1" applyBorder="1" applyAlignment="1" applyProtection="1">
      <alignment horizontal="center" vertical="center"/>
      <protection hidden="1"/>
    </xf>
    <xf numFmtId="167" fontId="11" fillId="0" borderId="45" xfId="18" applyNumberFormat="1" applyFont="1" applyFill="1" applyBorder="1" applyAlignment="1" applyProtection="1">
      <alignment horizontal="center" vertical="center"/>
      <protection hidden="1"/>
    </xf>
    <xf numFmtId="167" fontId="11" fillId="0" borderId="37" xfId="18" applyNumberFormat="1" applyFont="1" applyFill="1" applyBorder="1" applyAlignment="1" applyProtection="1">
      <alignment horizontal="center" vertical="center" shrinkToFit="1"/>
      <protection hidden="1"/>
    </xf>
    <xf numFmtId="1" fontId="24" fillId="0" borderId="17" xfId="18" applyNumberFormat="1" applyFont="1" applyFill="1" applyBorder="1" applyAlignment="1" applyProtection="1">
      <alignment horizontal="center" vertical="center" wrapText="1"/>
      <protection hidden="1"/>
    </xf>
    <xf numFmtId="1" fontId="24" fillId="0" borderId="38" xfId="18" applyNumberFormat="1" applyFont="1" applyFill="1" applyBorder="1" applyAlignment="1" applyProtection="1">
      <alignment horizontal="center" vertical="center" wrapText="1"/>
      <protection hidden="1"/>
    </xf>
    <xf numFmtId="167" fontId="11" fillId="0" borderId="48" xfId="18" applyNumberFormat="1" applyFont="1" applyFill="1" applyBorder="1" applyAlignment="1" applyProtection="1">
      <alignment horizontal="center" vertical="center" wrapText="1" shrinkToFit="1"/>
      <protection locked="0"/>
    </xf>
    <xf numFmtId="167" fontId="11" fillId="0" borderId="50" xfId="18" applyNumberFormat="1" applyFont="1" applyFill="1" applyBorder="1" applyAlignment="1" applyProtection="1">
      <alignment horizontal="center" vertical="center" wrapText="1" shrinkToFit="1"/>
      <protection locked="0"/>
    </xf>
    <xf numFmtId="167" fontId="11" fillId="0" borderId="37" xfId="18" applyNumberFormat="1" applyFont="1" applyFill="1" applyBorder="1" applyAlignment="1" applyProtection="1">
      <alignment horizontal="center" vertical="center" wrapText="1" shrinkToFit="1"/>
      <protection locked="0"/>
    </xf>
    <xf numFmtId="167" fontId="11" fillId="0" borderId="28" xfId="18" applyNumberFormat="1" applyFont="1" applyFill="1" applyBorder="1" applyAlignment="1" applyProtection="1">
      <alignment horizontal="center" vertical="center" wrapText="1" shrinkToFit="1"/>
      <protection locked="0"/>
    </xf>
    <xf numFmtId="0" fontId="21" fillId="0" borderId="19" xfId="0" applyFont="1" applyFill="1" applyBorder="1" applyAlignment="1" applyProtection="1">
      <alignment horizontal="center" vertical="center" wrapText="1"/>
      <protection locked="0"/>
    </xf>
    <xf numFmtId="0" fontId="21" fillId="0" borderId="11" xfId="0" applyFont="1" applyFill="1" applyBorder="1" applyAlignment="1" applyProtection="1">
      <alignment horizontal="center" vertical="center" wrapText="1"/>
      <protection locked="0"/>
    </xf>
    <xf numFmtId="1" fontId="21" fillId="0" borderId="28" xfId="18" applyNumberFormat="1" applyFont="1" applyFill="1" applyBorder="1" applyAlignment="1" applyProtection="1">
      <alignment horizontal="center" vertical="center" wrapText="1" shrinkToFit="1"/>
      <protection locked="0"/>
    </xf>
    <xf numFmtId="0" fontId="26" fillId="0" borderId="28" xfId="18" applyFont="1" applyFill="1" applyBorder="1" applyAlignment="1" applyProtection="1">
      <alignment horizontal="center" vertical="center" wrapText="1" shrinkToFit="1"/>
      <protection locked="0"/>
    </xf>
    <xf numFmtId="0" fontId="21" fillId="0" borderId="28" xfId="18" applyFont="1" applyFill="1" applyBorder="1" applyAlignment="1" applyProtection="1">
      <alignment horizontal="center" vertical="center" shrinkToFit="1"/>
      <protection locked="0"/>
    </xf>
    <xf numFmtId="0" fontId="21" fillId="0" borderId="30" xfId="16" applyFont="1" applyFill="1" applyBorder="1" applyAlignment="1" applyProtection="1">
      <alignment horizontal="center" vertical="center" wrapText="1"/>
      <protection locked="0"/>
    </xf>
    <xf numFmtId="1" fontId="21" fillId="0" borderId="2" xfId="17" applyNumberFormat="1" applyFont="1" applyFill="1" applyBorder="1" applyAlignment="1" applyProtection="1">
      <alignment horizontal="center" vertical="center" shrinkToFit="1"/>
      <protection locked="0"/>
    </xf>
    <xf numFmtId="2" fontId="21" fillId="0" borderId="37" xfId="2" applyNumberFormat="1" applyFont="1" applyFill="1" applyBorder="1" applyAlignment="1" applyProtection="1">
      <alignment horizontal="center" vertical="center" shrinkToFit="1"/>
      <protection locked="0"/>
    </xf>
    <xf numFmtId="0" fontId="26" fillId="0" borderId="30" xfId="16" quotePrefix="1" applyFont="1" applyFill="1" applyBorder="1" applyAlignment="1" applyProtection="1">
      <alignment horizontal="center" vertical="center" wrapText="1" shrinkToFit="1"/>
      <protection locked="0"/>
    </xf>
    <xf numFmtId="1" fontId="21" fillId="0" borderId="30" xfId="2" applyNumberFormat="1" applyFont="1" applyFill="1" applyBorder="1" applyAlignment="1" applyProtection="1">
      <alignment horizontal="center" vertical="center" wrapText="1"/>
      <protection hidden="1"/>
    </xf>
    <xf numFmtId="1" fontId="21" fillId="0" borderId="41" xfId="2" applyNumberFormat="1" applyFont="1" applyFill="1" applyBorder="1" applyAlignment="1" applyProtection="1">
      <alignment horizontal="center" vertical="center" wrapText="1"/>
      <protection hidden="1"/>
    </xf>
    <xf numFmtId="0" fontId="26" fillId="0" borderId="30" xfId="16" applyFont="1" applyFill="1" applyBorder="1" applyAlignment="1" applyProtection="1">
      <alignment horizontal="center" vertical="center" wrapText="1" shrinkToFit="1"/>
      <protection locked="0"/>
    </xf>
    <xf numFmtId="1" fontId="21" fillId="0" borderId="59" xfId="2" applyNumberFormat="1" applyFont="1" applyFill="1" applyBorder="1" applyAlignment="1" applyProtection="1">
      <alignment horizontal="center" vertical="center" wrapText="1"/>
      <protection locked="0"/>
    </xf>
    <xf numFmtId="167" fontId="33" fillId="0" borderId="19" xfId="18" applyNumberFormat="1" applyFont="1" applyFill="1" applyBorder="1" applyAlignment="1" applyProtection="1">
      <alignment horizontal="center" vertical="center"/>
      <protection hidden="1"/>
    </xf>
    <xf numFmtId="2" fontId="33" fillId="0" borderId="18" xfId="18" applyNumberFormat="1" applyFont="1" applyFill="1" applyBorder="1" applyAlignment="1" applyProtection="1">
      <alignment horizontal="center" vertical="center"/>
      <protection hidden="1"/>
    </xf>
    <xf numFmtId="167" fontId="33" fillId="0" borderId="22" xfId="18" applyNumberFormat="1" applyFont="1" applyFill="1" applyBorder="1" applyAlignment="1" applyProtection="1">
      <alignment horizontal="center" vertical="center" shrinkToFit="1"/>
      <protection hidden="1"/>
    </xf>
    <xf numFmtId="167" fontId="24" fillId="0" borderId="5" xfId="18" applyNumberFormat="1" applyFont="1" applyFill="1" applyBorder="1" applyAlignment="1" applyProtection="1">
      <alignment horizontal="center" vertical="center"/>
      <protection hidden="1"/>
    </xf>
    <xf numFmtId="167" fontId="24" fillId="0" borderId="30" xfId="18" applyNumberFormat="1" applyFont="1" applyFill="1" applyBorder="1" applyAlignment="1" applyProtection="1">
      <alignment horizontal="center" vertical="center" shrinkToFit="1"/>
      <protection hidden="1"/>
    </xf>
    <xf numFmtId="167" fontId="11" fillId="0" borderId="11" xfId="18" applyNumberFormat="1" applyFont="1" applyFill="1" applyBorder="1" applyAlignment="1" applyProtection="1">
      <alignment horizontal="center" vertical="center"/>
      <protection hidden="1"/>
    </xf>
    <xf numFmtId="167" fontId="11" fillId="0" borderId="27" xfId="18" applyNumberFormat="1" applyFont="1" applyFill="1" applyBorder="1" applyAlignment="1" applyProtection="1">
      <alignment horizontal="center" vertical="center"/>
      <protection hidden="1"/>
    </xf>
    <xf numFmtId="1" fontId="24" fillId="0" borderId="28" xfId="18" applyNumberFormat="1" applyFont="1" applyFill="1" applyBorder="1" applyAlignment="1" applyProtection="1">
      <alignment horizontal="center" vertical="center" wrapText="1"/>
      <protection hidden="1"/>
    </xf>
    <xf numFmtId="1" fontId="24" fillId="0" borderId="30" xfId="18" applyNumberFormat="1" applyFont="1" applyFill="1" applyBorder="1" applyAlignment="1" applyProtection="1">
      <alignment horizontal="center" vertical="center" wrapText="1"/>
      <protection hidden="1"/>
    </xf>
    <xf numFmtId="167" fontId="11" fillId="0" borderId="47" xfId="18" applyNumberFormat="1" applyFont="1" applyFill="1" applyBorder="1" applyAlignment="1" applyProtection="1">
      <alignment horizontal="center" vertical="center" wrapText="1" shrinkToFit="1"/>
      <protection locked="0"/>
    </xf>
    <xf numFmtId="167" fontId="11" fillId="0" borderId="29" xfId="18" applyNumberFormat="1" applyFont="1" applyFill="1" applyBorder="1" applyAlignment="1" applyProtection="1">
      <alignment horizontal="center" vertical="center" wrapText="1" shrinkToFit="1"/>
      <protection locked="0"/>
    </xf>
    <xf numFmtId="167" fontId="11" fillId="0" borderId="19" xfId="18" applyNumberFormat="1" applyFont="1" applyFill="1" applyBorder="1" applyAlignment="1" applyProtection="1">
      <alignment horizontal="center" vertical="center" wrapText="1" shrinkToFit="1"/>
      <protection locked="0"/>
    </xf>
    <xf numFmtId="167" fontId="11" fillId="0" borderId="18" xfId="18" applyNumberFormat="1" applyFont="1" applyFill="1" applyBorder="1" applyAlignment="1" applyProtection="1">
      <alignment horizontal="center" vertical="center" wrapText="1" shrinkToFit="1"/>
      <protection locked="0"/>
    </xf>
    <xf numFmtId="1" fontId="21" fillId="0" borderId="29" xfId="2" applyNumberFormat="1" applyFont="1" applyFill="1" applyBorder="1" applyAlignment="1" applyProtection="1">
      <alignment horizontal="center" vertical="center" wrapText="1"/>
      <protection hidden="1"/>
    </xf>
    <xf numFmtId="2" fontId="26" fillId="0" borderId="58" xfId="2" quotePrefix="1" applyNumberFormat="1" applyFont="1" applyFill="1" applyBorder="1" applyAlignment="1" applyProtection="1">
      <alignment horizontal="center" vertical="center" wrapText="1"/>
      <protection locked="0"/>
    </xf>
    <xf numFmtId="2" fontId="26" fillId="0" borderId="19" xfId="2" quotePrefix="1" applyNumberFormat="1" applyFont="1" applyFill="1" applyBorder="1" applyAlignment="1" applyProtection="1">
      <alignment horizontal="center" vertical="center" wrapText="1"/>
      <protection locked="0"/>
    </xf>
    <xf numFmtId="0" fontId="21" fillId="0" borderId="5" xfId="0" applyFont="1" applyFill="1" applyBorder="1" applyAlignment="1" applyProtection="1">
      <alignment horizontal="center" vertical="center" wrapText="1"/>
      <protection locked="0"/>
    </xf>
    <xf numFmtId="229" fontId="21" fillId="0" borderId="19" xfId="0" applyNumberFormat="1" applyFont="1" applyFill="1" applyBorder="1" applyAlignment="1" applyProtection="1">
      <alignment horizontal="center" vertical="center" wrapText="1"/>
      <protection locked="0"/>
    </xf>
  </cellXfs>
  <cellStyles count="33511">
    <cellStyle name="$0" xfId="790" xr:uid="{00000000-0005-0000-0000-000000000000}"/>
    <cellStyle name="$0.0" xfId="791" xr:uid="{00000000-0005-0000-0000-000001000000}"/>
    <cellStyle name="$0.0 2" xfId="792" xr:uid="{00000000-0005-0000-0000-000002000000}"/>
    <cellStyle name="$0.0 2 2" xfId="793" xr:uid="{00000000-0005-0000-0000-000003000000}"/>
    <cellStyle name="$0.00" xfId="794" xr:uid="{00000000-0005-0000-0000-000004000000}"/>
    <cellStyle name="$0_!!!GO" xfId="795" xr:uid="{00000000-0005-0000-0000-000005000000}"/>
    <cellStyle name="%0" xfId="796" xr:uid="{00000000-0005-0000-0000-000006000000}"/>
    <cellStyle name="%0.0" xfId="797" xr:uid="{00000000-0005-0000-0000-000007000000}"/>
    <cellStyle name="%0_02-All-In-Cy-Facer 1f #2" xfId="798" xr:uid="{00000000-0005-0000-0000-000008000000}"/>
    <cellStyle name="’Ê‰Ý [0.00]_!!!GO" xfId="799" xr:uid="{00000000-0005-0000-0000-000009000000}"/>
    <cellStyle name="’Ê‰Ý_!!!GO" xfId="800" xr:uid="{00000000-0005-0000-0000-00000A000000}"/>
    <cellStyle name="•W?_!!!GO" xfId="801" xr:uid="{00000000-0005-0000-0000-00000B000000}"/>
    <cellStyle name="•W€_!!!GO" xfId="802" xr:uid="{00000000-0005-0000-0000-00000C000000}"/>
    <cellStyle name="W_MazdaChunkBinning" xfId="803" xr:uid="{00000000-0005-0000-0000-00000D000000}"/>
    <cellStyle name="0" xfId="804" xr:uid="{00000000-0005-0000-0000-00000E000000}"/>
    <cellStyle name="0 2" xfId="805" xr:uid="{00000000-0005-0000-0000-00000F000000}"/>
    <cellStyle name="0,0_x000d__x000a_NA_x000d__x000a_" xfId="31" xr:uid="{00000000-0005-0000-0000-000010000000}"/>
    <cellStyle name="0,0_x000d__x000a_NA_x000d__x000a_ 2" xfId="32" xr:uid="{00000000-0005-0000-0000-000011000000}"/>
    <cellStyle name="0,0_x000d__x000a_NA_x000d__x000a_ 2 2" xfId="33" xr:uid="{00000000-0005-0000-0000-000012000000}"/>
    <cellStyle name="0,0_x000d__x000a_NA_x000d__x000a_ 2 2 2" xfId="34" xr:uid="{00000000-0005-0000-0000-000013000000}"/>
    <cellStyle name="0,0_x000d__x000a_NA_x000d__x000a_ 2 2 2 2" xfId="35" xr:uid="{00000000-0005-0000-0000-000014000000}"/>
    <cellStyle name="0,0_x000d__x000a_NA_x000d__x000a_ 2 2 3" xfId="36" xr:uid="{00000000-0005-0000-0000-000015000000}"/>
    <cellStyle name="0,0_x000d__x000a_NA_x000d__x000a_ 2 3" xfId="37" xr:uid="{00000000-0005-0000-0000-000016000000}"/>
    <cellStyle name="0,0_x000d__x000a_NA_x000d__x000a_ 2 3 2" xfId="38" xr:uid="{00000000-0005-0000-0000-000017000000}"/>
    <cellStyle name="0,0_x000d__x000a_NA_x000d__x000a_ 2 4" xfId="39" xr:uid="{00000000-0005-0000-0000-000018000000}"/>
    <cellStyle name="0,0_x000d__x000a_NA_x000d__x000a_ 3" xfId="40" xr:uid="{00000000-0005-0000-0000-000019000000}"/>
    <cellStyle name="0,0_x000d__x000a_NA_x000d__x000a_ 3 2" xfId="41" xr:uid="{00000000-0005-0000-0000-00001A000000}"/>
    <cellStyle name="0,0_x000d__x000a_NA_x000d__x000a_ 3 2 2" xfId="42" xr:uid="{00000000-0005-0000-0000-00001B000000}"/>
    <cellStyle name="0,0_x000d__x000a_NA_x000d__x000a_ 3 2 2 2" xfId="43" xr:uid="{00000000-0005-0000-0000-00001C000000}"/>
    <cellStyle name="0,0_x000d__x000a_NA_x000d__x000a_ 3 2 3" xfId="44" xr:uid="{00000000-0005-0000-0000-00001D000000}"/>
    <cellStyle name="0,0_x000d__x000a_NA_x000d__x000a_ 3 3" xfId="45" xr:uid="{00000000-0005-0000-0000-00001E000000}"/>
    <cellStyle name="0,0_x000d__x000a_NA_x000d__x000a_ 3 3 2" xfId="46" xr:uid="{00000000-0005-0000-0000-00001F000000}"/>
    <cellStyle name="0,0_x000d__x000a_NA_x000d__x000a_ 3 4" xfId="47" xr:uid="{00000000-0005-0000-0000-000020000000}"/>
    <cellStyle name="0,0_x000d__x000a_NA_x000d__x000a_ 4" xfId="48" xr:uid="{00000000-0005-0000-0000-000021000000}"/>
    <cellStyle name="0,0_x000d__x000a_NA_x000d__x000a_ 4 2" xfId="49" xr:uid="{00000000-0005-0000-0000-000022000000}"/>
    <cellStyle name="0,0_x000d__x000a_NA_x000d__x000a_ 4 2 2" xfId="50" xr:uid="{00000000-0005-0000-0000-000023000000}"/>
    <cellStyle name="0,0_x000d__x000a_NA_x000d__x000a_ 4 3" xfId="51" xr:uid="{00000000-0005-0000-0000-000024000000}"/>
    <cellStyle name="0,0_x000d__x000a_NA_x000d__x000a_ 5" xfId="52" xr:uid="{00000000-0005-0000-0000-000025000000}"/>
    <cellStyle name="0.0" xfId="806" xr:uid="{00000000-0005-0000-0000-000026000000}"/>
    <cellStyle name="0.0 2" xfId="807" xr:uid="{00000000-0005-0000-0000-000027000000}"/>
    <cellStyle name="0.0 2 2" xfId="808" xr:uid="{00000000-0005-0000-0000-000028000000}"/>
    <cellStyle name="0.00" xfId="809" xr:uid="{00000000-0005-0000-0000-000029000000}"/>
    <cellStyle name="0_!!!GO" xfId="810" xr:uid="{00000000-0005-0000-0000-00002A000000}"/>
    <cellStyle name="0_!!!GO 2" xfId="811" xr:uid="{00000000-0005-0000-0000-00002B000000}"/>
    <cellStyle name="0_!!!GO 2 2" xfId="812" xr:uid="{00000000-0005-0000-0000-00002C000000}"/>
    <cellStyle name="0_!!!GO_Program Specification Valencia C520 Part I    22 02 2011" xfId="813" xr:uid="{00000000-0005-0000-0000-00002D000000}"/>
    <cellStyle name="0_!!!GO_Program Specification Valencia C520 Part I    22 02 2011 2" xfId="814" xr:uid="{00000000-0005-0000-0000-00002E000000}"/>
    <cellStyle name="0_02-All-In-Cy-Facer 1f #2" xfId="815" xr:uid="{00000000-0005-0000-0000-00002F000000}"/>
    <cellStyle name="0_02-All-In-Cy-Facer 1f #2_Program Specification Valencia C520 Part I    22 02 2011" xfId="816" xr:uid="{00000000-0005-0000-0000-000030000000}"/>
    <cellStyle name="0_02-All-In-Cy-Facer 1f #2_Program Specification Valencia C520 Part I    22 02 2011 2" xfId="817" xr:uid="{00000000-0005-0000-0000-000031000000}"/>
    <cellStyle name="0_2.3L DISI vs. 2.0L DISI TC v3" xfId="818" xr:uid="{00000000-0005-0000-0000-000032000000}"/>
    <cellStyle name="0_2.3L DISI vs. 2.0L DISI TC v3_Program Specification Valencia C520 Part I    22 02 2011" xfId="819" xr:uid="{00000000-0005-0000-0000-000033000000}"/>
    <cellStyle name="0_2.3L DISI vs. 2.0L DISI TC v3_Program Specification Valencia C520 Part I    22 02 2011 2" xfId="820" xr:uid="{00000000-0005-0000-0000-000034000000}"/>
    <cellStyle name="0_2.3L DISI vs. 2.0L DISI TC v5" xfId="821" xr:uid="{00000000-0005-0000-0000-000035000000}"/>
    <cellStyle name="0_2.3L DISI vs. 2.0L DISI TC v5_Program Specification Valencia C520 Part I    22 02 2011" xfId="822" xr:uid="{00000000-0005-0000-0000-000036000000}"/>
    <cellStyle name="0_2.3L DISI vs. 2.0L DISI TC v5_Program Specification Valencia C520 Part I    22 02 2011 2" xfId="823" xr:uid="{00000000-0005-0000-0000-000037000000}"/>
    <cellStyle name="0_2001A PCB Facer 300701" xfId="824" xr:uid="{00000000-0005-0000-0000-000038000000}"/>
    <cellStyle name="0_2001A PCB Facer 300701_Program Specification Valencia C520 Part I    22 02 2011" xfId="825" xr:uid="{00000000-0005-0000-0000-000039000000}"/>
    <cellStyle name="0_2001A PCB Facer 300701_Program Specification Valencia C520 Part I    22 02 2011 2" xfId="826" xr:uid="{00000000-0005-0000-0000-00003A000000}"/>
    <cellStyle name="0_2001A PCB Facer EXTERNAL 010801" xfId="827" xr:uid="{00000000-0005-0000-0000-00003B000000}"/>
    <cellStyle name="0_2001A PCB Facer EXTERNAL 010801_Program Specification Valencia C520 Part I    22 02 2011" xfId="828" xr:uid="{00000000-0005-0000-0000-00003C000000}"/>
    <cellStyle name="0_2001A PCB Facer EXTERNAL 010801_Program Specification Valencia C520 Part I    22 02 2011 2" xfId="829" xr:uid="{00000000-0005-0000-0000-00003D000000}"/>
    <cellStyle name="0_2001PCPa10_TS" xfId="830" xr:uid="{00000000-0005-0000-0000-00003E000000}"/>
    <cellStyle name="0_2001PCPa10_TS_Program Specification Valencia C520 Part I    22 02 2011" xfId="831" xr:uid="{00000000-0005-0000-0000-00003F000000}"/>
    <cellStyle name="0_2001PCPa10_TS_Program Specification Valencia C520 Part I    22 02 2011 2" xfId="832" xr:uid="{00000000-0005-0000-0000-000040000000}"/>
    <cellStyle name="0_21F" xfId="833" xr:uid="{00000000-0005-0000-0000-000041000000}"/>
    <cellStyle name="0_21F_Program Specification Valencia C520 Part I    22 02 2011" xfId="834" xr:uid="{00000000-0005-0000-0000-000042000000}"/>
    <cellStyle name="0_21F_Program Specification Valencia C520 Part I    22 02 2011 2" xfId="835" xr:uid="{00000000-0005-0000-0000-000043000000}"/>
    <cellStyle name="0_commodity_190701" xfId="836" xr:uid="{00000000-0005-0000-0000-000044000000}"/>
    <cellStyle name="0_commodity_190701_Program Specification Valencia C520 Part I    22 02 2011" xfId="837" xr:uid="{00000000-0005-0000-0000-000045000000}"/>
    <cellStyle name="0_commodity_190701_Program Specification Valencia C520 Part I    22 02 2011 2" xfId="838" xr:uid="{00000000-0005-0000-0000-000046000000}"/>
    <cellStyle name="0_DEF_FACT (2)" xfId="839" xr:uid="{00000000-0005-0000-0000-000047000000}"/>
    <cellStyle name="0_DEF_FACT (2)_Program Specification Valencia C520 Part I    22 02 2011" xfId="840" xr:uid="{00000000-0005-0000-0000-000048000000}"/>
    <cellStyle name="0_DEF_FACT (2)_Program Specification Valencia C520 Part I    22 02 2011 2" xfId="841" xr:uid="{00000000-0005-0000-0000-000049000000}"/>
    <cellStyle name="0_DieselStV for MT Review Mar 14" xfId="842" xr:uid="{00000000-0005-0000-0000-00004A000000}"/>
    <cellStyle name="0_DieselStV for MT Review Mar 14_Program Specification Valencia C520 Part I    22 02 2011" xfId="843" xr:uid="{00000000-0005-0000-0000-00004B000000}"/>
    <cellStyle name="0_DieselStV for MT Review Mar 14_Program Specification Valencia C520 Part I    22 02 2011 2" xfId="844" xr:uid="{00000000-0005-0000-0000-00004C000000}"/>
    <cellStyle name="0_EOC Paper 230701_final_4" xfId="845" xr:uid="{00000000-0005-0000-0000-00004D000000}"/>
    <cellStyle name="0_EOC Paper 230701_final_4_Program Specification Valencia C520 Part I    22 02 2011" xfId="846" xr:uid="{00000000-0005-0000-0000-00004E000000}"/>
    <cellStyle name="0_EOC Paper 230701_final_4_Program Specification Valencia C520 Part I    22 02 2011 2" xfId="847" xr:uid="{00000000-0005-0000-0000-00004F000000}"/>
    <cellStyle name="0_EOC Paper 230701_final_41" xfId="848" xr:uid="{00000000-0005-0000-0000-000050000000}"/>
    <cellStyle name="0_EOC Paper 230701_final_41_Program Specification Valencia C520 Part I    22 02 2011" xfId="849" xr:uid="{00000000-0005-0000-0000-000051000000}"/>
    <cellStyle name="0_EOC Paper 230701_final_41_Program Specification Valencia C520 Part I    22 02 2011 2" xfId="850" xr:uid="{00000000-0005-0000-0000-000052000000}"/>
    <cellStyle name="0_Exhaust" xfId="851" xr:uid="{00000000-0005-0000-0000-000053000000}"/>
    <cellStyle name="0_Exhaust 2" xfId="852" xr:uid="{00000000-0005-0000-0000-000054000000}"/>
    <cellStyle name="0_Exhaust 2 2" xfId="853" xr:uid="{00000000-0005-0000-0000-000055000000}"/>
    <cellStyle name="0_I6 in CD3xx_v6" xfId="854" xr:uid="{00000000-0005-0000-0000-000056000000}"/>
    <cellStyle name="0_I6 in CD3xx_v6_Program Specification Valencia C520 Part I    22 02 2011" xfId="855" xr:uid="{00000000-0005-0000-0000-000057000000}"/>
    <cellStyle name="0_I6 in CD3xx_v6_Program Specification Valencia C520 Part I    22 02 2011 2" xfId="856" xr:uid="{00000000-0005-0000-0000-000058000000}"/>
    <cellStyle name="0_June Freeze Status launch Index" xfId="857" xr:uid="{00000000-0005-0000-0000-000059000000}"/>
    <cellStyle name="0_June Freeze Status launch Index_Program Specification Valencia C520 Part I    22 02 2011" xfId="858" xr:uid="{00000000-0005-0000-0000-00005A000000}"/>
    <cellStyle name="0_June Freeze Status launch Index_Program Specification Valencia C520 Part I    22 02 2011 2" xfId="859" xr:uid="{00000000-0005-0000-0000-00005B000000}"/>
    <cellStyle name="0_P2f" xfId="860" xr:uid="{00000000-0005-0000-0000-00005C000000}"/>
    <cellStyle name="0_P2f_Program Specification Valencia C520 Part I    22 02 2011" xfId="861" xr:uid="{00000000-0005-0000-0000-00005D000000}"/>
    <cellStyle name="0_P2f_Program Specification Valencia C520 Part I    22 02 2011 2" xfId="862" xr:uid="{00000000-0005-0000-0000-00005E000000}"/>
    <cellStyle name="0_Program Specification Valencia C520 Part I    22 02 2011" xfId="863" xr:uid="{00000000-0005-0000-0000-00005F000000}"/>
    <cellStyle name="0_Program Specification Valencia C520 Part I    22 02 2011 2" xfId="864" xr:uid="{00000000-0005-0000-0000-000060000000}"/>
    <cellStyle name="0_Stage V Ph 1 Dsl Tracking Charts" xfId="865" xr:uid="{00000000-0005-0000-0000-000061000000}"/>
    <cellStyle name="0_Stage V Ph 1 Dsl Tracking Charts v2" xfId="866" xr:uid="{00000000-0005-0000-0000-000062000000}"/>
    <cellStyle name="0_Stage V Ph 1 Dsl Tracking Charts v2_Program Specification Valencia C520 Part I    22 02 2011" xfId="867" xr:uid="{00000000-0005-0000-0000-000063000000}"/>
    <cellStyle name="0_Stage V Ph 1 Dsl Tracking Charts v2_Program Specification Valencia C520 Part I    22 02 2011 2" xfId="868" xr:uid="{00000000-0005-0000-0000-000064000000}"/>
    <cellStyle name="0_Stage V Ph 1 Dsl Tracking Charts_Program Specification Valencia C520 Part I    22 02 2011" xfId="869" xr:uid="{00000000-0005-0000-0000-000065000000}"/>
    <cellStyle name="0_Stage V Ph 1 Dsl Tracking Charts_Program Specification Valencia C520 Part I    22 02 2011 2" xfId="870" xr:uid="{00000000-0005-0000-0000-000066000000}"/>
    <cellStyle name="0_Sub B  B Car Cycle Plan Facer" xfId="871" xr:uid="{00000000-0005-0000-0000-000067000000}"/>
    <cellStyle name="0_Sub B  B Car Cycle Plan Facer_Program Specification Valencia C520 Part I    22 02 2011" xfId="872" xr:uid="{00000000-0005-0000-0000-000068000000}"/>
    <cellStyle name="0_Sub B  B Car Cycle Plan Facer_Program Specification Valencia C520 Part I    22 02 2011 2" xfId="873" xr:uid="{00000000-0005-0000-0000-000069000000}"/>
    <cellStyle name="0_WLI Cycle Plan Graph A" xfId="874" xr:uid="{00000000-0005-0000-0000-00006A000000}"/>
    <cellStyle name="0_WLI Cycle Plan Graph A_Program Specification Valencia C520 Part I    22 02 2011" xfId="875" xr:uid="{00000000-0005-0000-0000-00006B000000}"/>
    <cellStyle name="0_WLI Cycle Plan Graph A_Program Specification Valencia C520 Part I    22 02 2011 2" xfId="876" xr:uid="{00000000-0005-0000-0000-00006C000000}"/>
    <cellStyle name="020" xfId="877" xr:uid="{00000000-0005-0000-0000-00006D000000}"/>
    <cellStyle name="020 2" xfId="878" xr:uid="{00000000-0005-0000-0000-00006E000000}"/>
    <cellStyle name="1" xfId="879" xr:uid="{00000000-0005-0000-0000-00006F000000}"/>
    <cellStyle name="1_1" xfId="880" xr:uid="{00000000-0005-0000-0000-000070000000}"/>
    <cellStyle name="1_1_1" xfId="881" xr:uid="{00000000-0005-0000-0000-000071000000}"/>
    <cellStyle name="1_1_1_D&amp;A" xfId="882" xr:uid="{00000000-0005-0000-0000-000072000000}"/>
    <cellStyle name="1_1_1_D&amp;A_Program Specification Valencia C520 Part I    22 02 2011" xfId="883" xr:uid="{00000000-0005-0000-0000-000073000000}"/>
    <cellStyle name="1_1_1_D&amp;A_Program Specification Valencia C520 Part I    22 02 2011 2" xfId="884" xr:uid="{00000000-0005-0000-0000-000074000000}"/>
    <cellStyle name="1_1_1_Master_StatusCharts_39adj" xfId="885" xr:uid="{00000000-0005-0000-0000-000075000000}"/>
    <cellStyle name="1_1_1_Master_StatusCharts_39adj_Program Specification Valencia C520 Part I    22 02 2011" xfId="886" xr:uid="{00000000-0005-0000-0000-000076000000}"/>
    <cellStyle name="1_1_1_Master_StatusCharts_39adj_Program Specification Valencia C520 Part I    22 02 2011 2" xfId="887" xr:uid="{00000000-0005-0000-0000-000077000000}"/>
    <cellStyle name="1_1_1_Program Specification Valencia C520 Part I    22 02 2011" xfId="888" xr:uid="{00000000-0005-0000-0000-000078000000}"/>
    <cellStyle name="1_1_1_Program Specification Valencia C520 Part I    22 02 2011 2" xfId="889" xr:uid="{00000000-0005-0000-0000-000079000000}"/>
    <cellStyle name="1_1_D&amp;A" xfId="890" xr:uid="{00000000-0005-0000-0000-00007A000000}"/>
    <cellStyle name="1_1_D&amp;A_Program Specification Valencia C520 Part I    22 02 2011" xfId="891" xr:uid="{00000000-0005-0000-0000-00007B000000}"/>
    <cellStyle name="1_1_D&amp;A_Program Specification Valencia C520 Part I    22 02 2011 2" xfId="892" xr:uid="{00000000-0005-0000-0000-00007C000000}"/>
    <cellStyle name="1_1_Master_StatusCharts_39adj" xfId="893" xr:uid="{00000000-0005-0000-0000-00007D000000}"/>
    <cellStyle name="1_1_Master_StatusCharts_39adj_Program Specification Valencia C520 Part I    22 02 2011" xfId="894" xr:uid="{00000000-0005-0000-0000-00007E000000}"/>
    <cellStyle name="1_1_Master_StatusCharts_39adj_Program Specification Valencia C520 Part I    22 02 2011 2" xfId="895" xr:uid="{00000000-0005-0000-0000-00007F000000}"/>
    <cellStyle name="1_1_Program Specification Valencia C520 Part I    22 02 2011" xfId="896" xr:uid="{00000000-0005-0000-0000-000080000000}"/>
    <cellStyle name="1_1_Program Specification Valencia C520 Part I    22 02 2011 2" xfId="897" xr:uid="{00000000-0005-0000-0000-000081000000}"/>
    <cellStyle name="1_D&amp;A" xfId="898" xr:uid="{00000000-0005-0000-0000-000082000000}"/>
    <cellStyle name="1_D&amp;A_Program Specification Valencia C520 Part I    22 02 2011" xfId="899" xr:uid="{00000000-0005-0000-0000-000083000000}"/>
    <cellStyle name="1_D&amp;A_Program Specification Valencia C520 Part I    22 02 2011 2" xfId="900" xr:uid="{00000000-0005-0000-0000-000084000000}"/>
    <cellStyle name="1_Master_StatusCharts_39adj" xfId="901" xr:uid="{00000000-0005-0000-0000-000085000000}"/>
    <cellStyle name="1_Master_StatusCharts_39adj_Program Specification Valencia C520 Part I    22 02 2011" xfId="902" xr:uid="{00000000-0005-0000-0000-000086000000}"/>
    <cellStyle name="1_Master_StatusCharts_39adj_Program Specification Valencia C520 Part I    22 02 2011 2" xfId="903" xr:uid="{00000000-0005-0000-0000-000087000000}"/>
    <cellStyle name="1_Program Specification Valencia C520 Part I    22 02 2011" xfId="904" xr:uid="{00000000-0005-0000-0000-000088000000}"/>
    <cellStyle name="1_Program Specification Valencia C520 Part I    22 02 2011 2" xfId="905" xr:uid="{00000000-0005-0000-0000-000089000000}"/>
    <cellStyle name="1_Summary L" xfId="906" xr:uid="{00000000-0005-0000-0000-00008A000000}"/>
    <cellStyle name="1_Summary L_D&amp;A" xfId="907" xr:uid="{00000000-0005-0000-0000-00008B000000}"/>
    <cellStyle name="1_Summary L_D&amp;A_Program Specification Valencia C520 Part I    22 02 2011" xfId="908" xr:uid="{00000000-0005-0000-0000-00008C000000}"/>
    <cellStyle name="1_Summary L_D&amp;A_Program Specification Valencia C520 Part I    22 02 2011 2" xfId="909" xr:uid="{00000000-0005-0000-0000-00008D000000}"/>
    <cellStyle name="1_Summary L_Master_StatusCharts_39adj" xfId="910" xr:uid="{00000000-0005-0000-0000-00008E000000}"/>
    <cellStyle name="1_Summary L_Master_StatusCharts_39adj_Program Specification Valencia C520 Part I    22 02 2011" xfId="911" xr:uid="{00000000-0005-0000-0000-00008F000000}"/>
    <cellStyle name="1_Summary L_Master_StatusCharts_39adj_Program Specification Valencia C520 Part I    22 02 2011 2" xfId="912" xr:uid="{00000000-0005-0000-0000-000090000000}"/>
    <cellStyle name="1_Summary L_Program Specification Valencia C520 Part I    22 02 2011" xfId="913" xr:uid="{00000000-0005-0000-0000-000091000000}"/>
    <cellStyle name="1_Summary L_Program Specification Valencia C520 Part I    22 02 2011 2" xfId="914" xr:uid="{00000000-0005-0000-0000-000092000000}"/>
    <cellStyle name="2" xfId="915" xr:uid="{00000000-0005-0000-0000-000093000000}"/>
    <cellStyle name="2 2" xfId="916" xr:uid="{00000000-0005-0000-0000-000094000000}"/>
    <cellStyle name="2 2 2" xfId="917" xr:uid="{00000000-0005-0000-0000-000095000000}"/>
    <cellStyle name="2 3" xfId="918" xr:uid="{00000000-0005-0000-0000-000096000000}"/>
    <cellStyle name="2 4" xfId="919" xr:uid="{00000000-0005-0000-0000-000097000000}"/>
    <cellStyle name="2 5" xfId="920" xr:uid="{00000000-0005-0000-0000-000098000000}"/>
    <cellStyle name="2 6" xfId="921" xr:uid="{00000000-0005-0000-0000-000099000000}"/>
    <cellStyle name="2_070315_R0_xxxxKalk_OPEL_Nachträge" xfId="922" xr:uid="{00000000-0005-0000-0000-00009A000000}"/>
    <cellStyle name="2_070315_R0_xxxxKalk_OPEL_Nachträge 2" xfId="923" xr:uid="{00000000-0005-0000-0000-00009B000000}"/>
    <cellStyle name="2_070315_R0_xxxxKalk_OPEL_Nachträge 2 2" xfId="924" xr:uid="{00000000-0005-0000-0000-00009C000000}"/>
    <cellStyle name="2_070315_R0_xxxxKalk_OPEL_Nachträge_FiatKomponenten" xfId="925" xr:uid="{00000000-0005-0000-0000-00009D000000}"/>
    <cellStyle name="2_071025_R1_7572_ZK_Analysen_Mengenger_C344_Zielkosten" xfId="926" xr:uid="{00000000-0005-0000-0000-00009E000000}"/>
    <cellStyle name="2_071025_R1_7572_ZK_Analysen_Mengenger_C344_Zielkosten 2" xfId="927" xr:uid="{00000000-0005-0000-0000-00009F000000}"/>
    <cellStyle name="2_071025_R1_7572_ZK_Analysen_Mengenger_C344_Zielkosten 2 2" xfId="928" xr:uid="{00000000-0005-0000-0000-0000A0000000}"/>
    <cellStyle name="2_071025_R1_7572_ZK_Analysen_Mengenger_C344_Zielkosten_FiatKomponenten" xfId="929" xr:uid="{00000000-0005-0000-0000-0000A1000000}"/>
    <cellStyle name="2_FiatKomponenten" xfId="930" xr:uid="{00000000-0005-0000-0000-0000A2000000}"/>
    <cellStyle name="2_FordB2eZielkosten_Grundauftrag1" xfId="931" xr:uid="{00000000-0005-0000-0000-0000A3000000}"/>
    <cellStyle name="2_FordB2eZielkosten_Grundauftrag1 2" xfId="932" xr:uid="{00000000-0005-0000-0000-0000A4000000}"/>
    <cellStyle name="2_FordB2eZielkosten_Grundauftrag1 2 2" xfId="933" xr:uid="{00000000-0005-0000-0000-0000A5000000}"/>
    <cellStyle name="2_FordB2eZielkosten_Grundauftrag1_FiatKomponenten" xfId="934" xr:uid="{00000000-0005-0000-0000-0000A6000000}"/>
    <cellStyle name="20 % - Akzent1 2" xfId="53" xr:uid="{00000000-0005-0000-0000-0000A7000000}"/>
    <cellStyle name="20 % - Akzent1 2 2" xfId="54" xr:uid="{00000000-0005-0000-0000-0000A8000000}"/>
    <cellStyle name="20 % - Akzent1 2 2 2" xfId="55" xr:uid="{00000000-0005-0000-0000-0000A9000000}"/>
    <cellStyle name="20 % - Akzent1 2 2 3" xfId="33048" xr:uid="{00000000-0005-0000-0000-0000AA000000}"/>
    <cellStyle name="20 % - Akzent1 2 2 4" xfId="33123" xr:uid="{00000000-0005-0000-0000-0000AB000000}"/>
    <cellStyle name="20 % - Akzent1 2 2 5" xfId="33198" xr:uid="{00000000-0005-0000-0000-0000AC000000}"/>
    <cellStyle name="20 % - Akzent1 2 2 6" xfId="33273" xr:uid="{00000000-0005-0000-0000-0000AD000000}"/>
    <cellStyle name="20 % - Akzent1 2 3" xfId="56" xr:uid="{00000000-0005-0000-0000-0000AE000000}"/>
    <cellStyle name="20 % - Akzent1 2 3 2" xfId="935" xr:uid="{00000000-0005-0000-0000-0000AF000000}"/>
    <cellStyle name="20 % - Akzent1 2 3 3" xfId="33049" xr:uid="{00000000-0005-0000-0000-0000B0000000}"/>
    <cellStyle name="20 % - Akzent1 2 3 4" xfId="33124" xr:uid="{00000000-0005-0000-0000-0000B1000000}"/>
    <cellStyle name="20 % - Akzent1 2 3 5" xfId="33199" xr:uid="{00000000-0005-0000-0000-0000B2000000}"/>
    <cellStyle name="20 % - Akzent1 2 3 6" xfId="33274" xr:uid="{00000000-0005-0000-0000-0000B3000000}"/>
    <cellStyle name="20 % - Akzent1 2 4" xfId="57" xr:uid="{00000000-0005-0000-0000-0000B4000000}"/>
    <cellStyle name="20 % - Akzent1 2 4 2" xfId="33050" xr:uid="{00000000-0005-0000-0000-0000B5000000}"/>
    <cellStyle name="20 % - Akzent1 2 4 3" xfId="33125" xr:uid="{00000000-0005-0000-0000-0000B6000000}"/>
    <cellStyle name="20 % - Akzent1 2 4 4" xfId="33200" xr:uid="{00000000-0005-0000-0000-0000B7000000}"/>
    <cellStyle name="20 % - Akzent1 2 4 5" xfId="33275" xr:uid="{00000000-0005-0000-0000-0000B8000000}"/>
    <cellStyle name="20 % - Akzent1 2 5" xfId="58" xr:uid="{00000000-0005-0000-0000-0000B9000000}"/>
    <cellStyle name="20 % - Akzent1 2 6" xfId="33047" xr:uid="{00000000-0005-0000-0000-0000BA000000}"/>
    <cellStyle name="20 % - Akzent1 2 7" xfId="33122" xr:uid="{00000000-0005-0000-0000-0000BB000000}"/>
    <cellStyle name="20 % - Akzent1 2 8" xfId="33197" xr:uid="{00000000-0005-0000-0000-0000BC000000}"/>
    <cellStyle name="20 % - Akzent1 2 9" xfId="33272" xr:uid="{00000000-0005-0000-0000-0000BD000000}"/>
    <cellStyle name="20 % - Akzent1 3" xfId="59" xr:uid="{00000000-0005-0000-0000-0000BE000000}"/>
    <cellStyle name="20 % - Akzent1 3 2" xfId="60" xr:uid="{00000000-0005-0000-0000-0000BF000000}"/>
    <cellStyle name="20 % - Akzent1 3 2 10" xfId="936" xr:uid="{00000000-0005-0000-0000-0000C0000000}"/>
    <cellStyle name="20 % - Akzent1 3 2 11" xfId="937" xr:uid="{00000000-0005-0000-0000-0000C1000000}"/>
    <cellStyle name="20 % - Akzent1 3 2 12" xfId="33051" xr:uid="{00000000-0005-0000-0000-0000C2000000}"/>
    <cellStyle name="20 % - Akzent1 3 2 13" xfId="33126" xr:uid="{00000000-0005-0000-0000-0000C3000000}"/>
    <cellStyle name="20 % - Akzent1 3 2 14" xfId="33201" xr:uid="{00000000-0005-0000-0000-0000C4000000}"/>
    <cellStyle name="20 % - Akzent1 3 2 15" xfId="33276" xr:uid="{00000000-0005-0000-0000-0000C5000000}"/>
    <cellStyle name="20 % - Akzent1 3 2 2" xfId="938" xr:uid="{00000000-0005-0000-0000-0000C6000000}"/>
    <cellStyle name="20 % - Akzent1 3 2 2 10" xfId="939" xr:uid="{00000000-0005-0000-0000-0000C7000000}"/>
    <cellStyle name="20 % - Akzent1 3 2 2 2" xfId="940" xr:uid="{00000000-0005-0000-0000-0000C8000000}"/>
    <cellStyle name="20 % - Akzent1 3 2 2 2 2" xfId="941" xr:uid="{00000000-0005-0000-0000-0000C9000000}"/>
    <cellStyle name="20 % - Akzent1 3 2 2 2 2 2" xfId="942" xr:uid="{00000000-0005-0000-0000-0000CA000000}"/>
    <cellStyle name="20 % - Akzent1 3 2 2 2 2 2 2" xfId="943" xr:uid="{00000000-0005-0000-0000-0000CB000000}"/>
    <cellStyle name="20 % - Akzent1 3 2 2 2 2 2 2 2" xfId="944" xr:uid="{00000000-0005-0000-0000-0000CC000000}"/>
    <cellStyle name="20 % - Akzent1 3 2 2 2 2 2 2 3" xfId="945" xr:uid="{00000000-0005-0000-0000-0000CD000000}"/>
    <cellStyle name="20 % - Akzent1 3 2 2 2 2 2 3" xfId="946" xr:uid="{00000000-0005-0000-0000-0000CE000000}"/>
    <cellStyle name="20 % - Akzent1 3 2 2 2 2 2 3 2" xfId="947" xr:uid="{00000000-0005-0000-0000-0000CF000000}"/>
    <cellStyle name="20 % - Akzent1 3 2 2 2 2 2 3 3" xfId="948" xr:uid="{00000000-0005-0000-0000-0000D0000000}"/>
    <cellStyle name="20 % - Akzent1 3 2 2 2 2 2 4" xfId="949" xr:uid="{00000000-0005-0000-0000-0000D1000000}"/>
    <cellStyle name="20 % - Akzent1 3 2 2 2 2 2 4 2" xfId="950" xr:uid="{00000000-0005-0000-0000-0000D2000000}"/>
    <cellStyle name="20 % - Akzent1 3 2 2 2 2 2 5" xfId="951" xr:uid="{00000000-0005-0000-0000-0000D3000000}"/>
    <cellStyle name="20 % - Akzent1 3 2 2 2 2 2 6" xfId="952" xr:uid="{00000000-0005-0000-0000-0000D4000000}"/>
    <cellStyle name="20 % - Akzent1 3 2 2 2 2 3" xfId="953" xr:uid="{00000000-0005-0000-0000-0000D5000000}"/>
    <cellStyle name="20 % - Akzent1 3 2 2 2 2 3 2" xfId="954" xr:uid="{00000000-0005-0000-0000-0000D6000000}"/>
    <cellStyle name="20 % - Akzent1 3 2 2 2 2 3 3" xfId="955" xr:uid="{00000000-0005-0000-0000-0000D7000000}"/>
    <cellStyle name="20 % - Akzent1 3 2 2 2 2 4" xfId="956" xr:uid="{00000000-0005-0000-0000-0000D8000000}"/>
    <cellStyle name="20 % - Akzent1 3 2 2 2 2 4 2" xfId="957" xr:uid="{00000000-0005-0000-0000-0000D9000000}"/>
    <cellStyle name="20 % - Akzent1 3 2 2 2 2 4 3" xfId="958" xr:uid="{00000000-0005-0000-0000-0000DA000000}"/>
    <cellStyle name="20 % - Akzent1 3 2 2 2 2 5" xfId="959" xr:uid="{00000000-0005-0000-0000-0000DB000000}"/>
    <cellStyle name="20 % - Akzent1 3 2 2 2 2 5 2" xfId="960" xr:uid="{00000000-0005-0000-0000-0000DC000000}"/>
    <cellStyle name="20 % - Akzent1 3 2 2 2 2 6" xfId="961" xr:uid="{00000000-0005-0000-0000-0000DD000000}"/>
    <cellStyle name="20 % - Akzent1 3 2 2 2 2 7" xfId="962" xr:uid="{00000000-0005-0000-0000-0000DE000000}"/>
    <cellStyle name="20 % - Akzent1 3 2 2 2 3" xfId="963" xr:uid="{00000000-0005-0000-0000-0000DF000000}"/>
    <cellStyle name="20 % - Akzent1 3 2 2 2 3 2" xfId="964" xr:uid="{00000000-0005-0000-0000-0000E0000000}"/>
    <cellStyle name="20 % - Akzent1 3 2 2 2 3 2 2" xfId="965" xr:uid="{00000000-0005-0000-0000-0000E1000000}"/>
    <cellStyle name="20 % - Akzent1 3 2 2 2 3 2 3" xfId="966" xr:uid="{00000000-0005-0000-0000-0000E2000000}"/>
    <cellStyle name="20 % - Akzent1 3 2 2 2 3 3" xfId="967" xr:uid="{00000000-0005-0000-0000-0000E3000000}"/>
    <cellStyle name="20 % - Akzent1 3 2 2 2 3 3 2" xfId="968" xr:uid="{00000000-0005-0000-0000-0000E4000000}"/>
    <cellStyle name="20 % - Akzent1 3 2 2 2 3 3 3" xfId="969" xr:uid="{00000000-0005-0000-0000-0000E5000000}"/>
    <cellStyle name="20 % - Akzent1 3 2 2 2 3 4" xfId="970" xr:uid="{00000000-0005-0000-0000-0000E6000000}"/>
    <cellStyle name="20 % - Akzent1 3 2 2 2 3 4 2" xfId="971" xr:uid="{00000000-0005-0000-0000-0000E7000000}"/>
    <cellStyle name="20 % - Akzent1 3 2 2 2 3 5" xfId="972" xr:uid="{00000000-0005-0000-0000-0000E8000000}"/>
    <cellStyle name="20 % - Akzent1 3 2 2 2 3 6" xfId="973" xr:uid="{00000000-0005-0000-0000-0000E9000000}"/>
    <cellStyle name="20 % - Akzent1 3 2 2 2 4" xfId="974" xr:uid="{00000000-0005-0000-0000-0000EA000000}"/>
    <cellStyle name="20 % - Akzent1 3 2 2 2 4 2" xfId="975" xr:uid="{00000000-0005-0000-0000-0000EB000000}"/>
    <cellStyle name="20 % - Akzent1 3 2 2 2 4 3" xfId="976" xr:uid="{00000000-0005-0000-0000-0000EC000000}"/>
    <cellStyle name="20 % - Akzent1 3 2 2 2 5" xfId="977" xr:uid="{00000000-0005-0000-0000-0000ED000000}"/>
    <cellStyle name="20 % - Akzent1 3 2 2 2 5 2" xfId="978" xr:uid="{00000000-0005-0000-0000-0000EE000000}"/>
    <cellStyle name="20 % - Akzent1 3 2 2 2 5 3" xfId="979" xr:uid="{00000000-0005-0000-0000-0000EF000000}"/>
    <cellStyle name="20 % - Akzent1 3 2 2 2 6" xfId="980" xr:uid="{00000000-0005-0000-0000-0000F0000000}"/>
    <cellStyle name="20 % - Akzent1 3 2 2 2 6 2" xfId="981" xr:uid="{00000000-0005-0000-0000-0000F1000000}"/>
    <cellStyle name="20 % - Akzent1 3 2 2 2 7" xfId="982" xr:uid="{00000000-0005-0000-0000-0000F2000000}"/>
    <cellStyle name="20 % - Akzent1 3 2 2 2 8" xfId="983" xr:uid="{00000000-0005-0000-0000-0000F3000000}"/>
    <cellStyle name="20 % - Akzent1 3 2 2 3" xfId="984" xr:uid="{00000000-0005-0000-0000-0000F4000000}"/>
    <cellStyle name="20 % - Akzent1 3 2 2 3 2" xfId="985" xr:uid="{00000000-0005-0000-0000-0000F5000000}"/>
    <cellStyle name="20 % - Akzent1 3 2 2 3 2 2" xfId="986" xr:uid="{00000000-0005-0000-0000-0000F6000000}"/>
    <cellStyle name="20 % - Akzent1 3 2 2 3 2 2 2" xfId="987" xr:uid="{00000000-0005-0000-0000-0000F7000000}"/>
    <cellStyle name="20 % - Akzent1 3 2 2 3 2 2 2 2" xfId="988" xr:uid="{00000000-0005-0000-0000-0000F8000000}"/>
    <cellStyle name="20 % - Akzent1 3 2 2 3 2 2 2 3" xfId="989" xr:uid="{00000000-0005-0000-0000-0000F9000000}"/>
    <cellStyle name="20 % - Akzent1 3 2 2 3 2 2 3" xfId="990" xr:uid="{00000000-0005-0000-0000-0000FA000000}"/>
    <cellStyle name="20 % - Akzent1 3 2 2 3 2 2 3 2" xfId="991" xr:uid="{00000000-0005-0000-0000-0000FB000000}"/>
    <cellStyle name="20 % - Akzent1 3 2 2 3 2 2 3 3" xfId="992" xr:uid="{00000000-0005-0000-0000-0000FC000000}"/>
    <cellStyle name="20 % - Akzent1 3 2 2 3 2 2 4" xfId="993" xr:uid="{00000000-0005-0000-0000-0000FD000000}"/>
    <cellStyle name="20 % - Akzent1 3 2 2 3 2 2 4 2" xfId="994" xr:uid="{00000000-0005-0000-0000-0000FE000000}"/>
    <cellStyle name="20 % - Akzent1 3 2 2 3 2 2 5" xfId="995" xr:uid="{00000000-0005-0000-0000-0000FF000000}"/>
    <cellStyle name="20 % - Akzent1 3 2 2 3 2 2 6" xfId="996" xr:uid="{00000000-0005-0000-0000-000000010000}"/>
    <cellStyle name="20 % - Akzent1 3 2 2 3 2 3" xfId="997" xr:uid="{00000000-0005-0000-0000-000001010000}"/>
    <cellStyle name="20 % - Akzent1 3 2 2 3 2 3 2" xfId="998" xr:uid="{00000000-0005-0000-0000-000002010000}"/>
    <cellStyle name="20 % - Akzent1 3 2 2 3 2 3 3" xfId="999" xr:uid="{00000000-0005-0000-0000-000003010000}"/>
    <cellStyle name="20 % - Akzent1 3 2 2 3 2 4" xfId="1000" xr:uid="{00000000-0005-0000-0000-000004010000}"/>
    <cellStyle name="20 % - Akzent1 3 2 2 3 2 4 2" xfId="1001" xr:uid="{00000000-0005-0000-0000-000005010000}"/>
    <cellStyle name="20 % - Akzent1 3 2 2 3 2 4 3" xfId="1002" xr:uid="{00000000-0005-0000-0000-000006010000}"/>
    <cellStyle name="20 % - Akzent1 3 2 2 3 2 5" xfId="1003" xr:uid="{00000000-0005-0000-0000-000007010000}"/>
    <cellStyle name="20 % - Akzent1 3 2 2 3 2 5 2" xfId="1004" xr:uid="{00000000-0005-0000-0000-000008010000}"/>
    <cellStyle name="20 % - Akzent1 3 2 2 3 2 6" xfId="1005" xr:uid="{00000000-0005-0000-0000-000009010000}"/>
    <cellStyle name="20 % - Akzent1 3 2 2 3 2 7" xfId="1006" xr:uid="{00000000-0005-0000-0000-00000A010000}"/>
    <cellStyle name="20 % - Akzent1 3 2 2 3 3" xfId="1007" xr:uid="{00000000-0005-0000-0000-00000B010000}"/>
    <cellStyle name="20 % - Akzent1 3 2 2 3 3 2" xfId="1008" xr:uid="{00000000-0005-0000-0000-00000C010000}"/>
    <cellStyle name="20 % - Akzent1 3 2 2 3 3 2 2" xfId="1009" xr:uid="{00000000-0005-0000-0000-00000D010000}"/>
    <cellStyle name="20 % - Akzent1 3 2 2 3 3 2 3" xfId="1010" xr:uid="{00000000-0005-0000-0000-00000E010000}"/>
    <cellStyle name="20 % - Akzent1 3 2 2 3 3 3" xfId="1011" xr:uid="{00000000-0005-0000-0000-00000F010000}"/>
    <cellStyle name="20 % - Akzent1 3 2 2 3 3 3 2" xfId="1012" xr:uid="{00000000-0005-0000-0000-000010010000}"/>
    <cellStyle name="20 % - Akzent1 3 2 2 3 3 3 3" xfId="1013" xr:uid="{00000000-0005-0000-0000-000011010000}"/>
    <cellStyle name="20 % - Akzent1 3 2 2 3 3 4" xfId="1014" xr:uid="{00000000-0005-0000-0000-000012010000}"/>
    <cellStyle name="20 % - Akzent1 3 2 2 3 3 4 2" xfId="1015" xr:uid="{00000000-0005-0000-0000-000013010000}"/>
    <cellStyle name="20 % - Akzent1 3 2 2 3 3 5" xfId="1016" xr:uid="{00000000-0005-0000-0000-000014010000}"/>
    <cellStyle name="20 % - Akzent1 3 2 2 3 3 6" xfId="1017" xr:uid="{00000000-0005-0000-0000-000015010000}"/>
    <cellStyle name="20 % - Akzent1 3 2 2 3 4" xfId="1018" xr:uid="{00000000-0005-0000-0000-000016010000}"/>
    <cellStyle name="20 % - Akzent1 3 2 2 3 4 2" xfId="1019" xr:uid="{00000000-0005-0000-0000-000017010000}"/>
    <cellStyle name="20 % - Akzent1 3 2 2 3 4 3" xfId="1020" xr:uid="{00000000-0005-0000-0000-000018010000}"/>
    <cellStyle name="20 % - Akzent1 3 2 2 3 5" xfId="1021" xr:uid="{00000000-0005-0000-0000-000019010000}"/>
    <cellStyle name="20 % - Akzent1 3 2 2 3 5 2" xfId="1022" xr:uid="{00000000-0005-0000-0000-00001A010000}"/>
    <cellStyle name="20 % - Akzent1 3 2 2 3 5 3" xfId="1023" xr:uid="{00000000-0005-0000-0000-00001B010000}"/>
    <cellStyle name="20 % - Akzent1 3 2 2 3 6" xfId="1024" xr:uid="{00000000-0005-0000-0000-00001C010000}"/>
    <cellStyle name="20 % - Akzent1 3 2 2 3 6 2" xfId="1025" xr:uid="{00000000-0005-0000-0000-00001D010000}"/>
    <cellStyle name="20 % - Akzent1 3 2 2 3 7" xfId="1026" xr:uid="{00000000-0005-0000-0000-00001E010000}"/>
    <cellStyle name="20 % - Akzent1 3 2 2 3 8" xfId="1027" xr:uid="{00000000-0005-0000-0000-00001F010000}"/>
    <cellStyle name="20 % - Akzent1 3 2 2 4" xfId="1028" xr:uid="{00000000-0005-0000-0000-000020010000}"/>
    <cellStyle name="20 % - Akzent1 3 2 2 4 2" xfId="1029" xr:uid="{00000000-0005-0000-0000-000021010000}"/>
    <cellStyle name="20 % - Akzent1 3 2 2 4 2 2" xfId="1030" xr:uid="{00000000-0005-0000-0000-000022010000}"/>
    <cellStyle name="20 % - Akzent1 3 2 2 4 2 2 2" xfId="1031" xr:uid="{00000000-0005-0000-0000-000023010000}"/>
    <cellStyle name="20 % - Akzent1 3 2 2 4 2 2 3" xfId="1032" xr:uid="{00000000-0005-0000-0000-000024010000}"/>
    <cellStyle name="20 % - Akzent1 3 2 2 4 2 3" xfId="1033" xr:uid="{00000000-0005-0000-0000-000025010000}"/>
    <cellStyle name="20 % - Akzent1 3 2 2 4 2 3 2" xfId="1034" xr:uid="{00000000-0005-0000-0000-000026010000}"/>
    <cellStyle name="20 % - Akzent1 3 2 2 4 2 3 3" xfId="1035" xr:uid="{00000000-0005-0000-0000-000027010000}"/>
    <cellStyle name="20 % - Akzent1 3 2 2 4 2 4" xfId="1036" xr:uid="{00000000-0005-0000-0000-000028010000}"/>
    <cellStyle name="20 % - Akzent1 3 2 2 4 2 4 2" xfId="1037" xr:uid="{00000000-0005-0000-0000-000029010000}"/>
    <cellStyle name="20 % - Akzent1 3 2 2 4 2 5" xfId="1038" xr:uid="{00000000-0005-0000-0000-00002A010000}"/>
    <cellStyle name="20 % - Akzent1 3 2 2 4 2 6" xfId="1039" xr:uid="{00000000-0005-0000-0000-00002B010000}"/>
    <cellStyle name="20 % - Akzent1 3 2 2 4 3" xfId="1040" xr:uid="{00000000-0005-0000-0000-00002C010000}"/>
    <cellStyle name="20 % - Akzent1 3 2 2 4 3 2" xfId="1041" xr:uid="{00000000-0005-0000-0000-00002D010000}"/>
    <cellStyle name="20 % - Akzent1 3 2 2 4 3 3" xfId="1042" xr:uid="{00000000-0005-0000-0000-00002E010000}"/>
    <cellStyle name="20 % - Akzent1 3 2 2 4 4" xfId="1043" xr:uid="{00000000-0005-0000-0000-00002F010000}"/>
    <cellStyle name="20 % - Akzent1 3 2 2 4 4 2" xfId="1044" xr:uid="{00000000-0005-0000-0000-000030010000}"/>
    <cellStyle name="20 % - Akzent1 3 2 2 4 4 3" xfId="1045" xr:uid="{00000000-0005-0000-0000-000031010000}"/>
    <cellStyle name="20 % - Akzent1 3 2 2 4 5" xfId="1046" xr:uid="{00000000-0005-0000-0000-000032010000}"/>
    <cellStyle name="20 % - Akzent1 3 2 2 4 5 2" xfId="1047" xr:uid="{00000000-0005-0000-0000-000033010000}"/>
    <cellStyle name="20 % - Akzent1 3 2 2 4 6" xfId="1048" xr:uid="{00000000-0005-0000-0000-000034010000}"/>
    <cellStyle name="20 % - Akzent1 3 2 2 4 7" xfId="1049" xr:uid="{00000000-0005-0000-0000-000035010000}"/>
    <cellStyle name="20 % - Akzent1 3 2 2 5" xfId="1050" xr:uid="{00000000-0005-0000-0000-000036010000}"/>
    <cellStyle name="20 % - Akzent1 3 2 2 5 2" xfId="1051" xr:uid="{00000000-0005-0000-0000-000037010000}"/>
    <cellStyle name="20 % - Akzent1 3 2 2 5 2 2" xfId="1052" xr:uid="{00000000-0005-0000-0000-000038010000}"/>
    <cellStyle name="20 % - Akzent1 3 2 2 5 2 3" xfId="1053" xr:uid="{00000000-0005-0000-0000-000039010000}"/>
    <cellStyle name="20 % - Akzent1 3 2 2 5 3" xfId="1054" xr:uid="{00000000-0005-0000-0000-00003A010000}"/>
    <cellStyle name="20 % - Akzent1 3 2 2 5 3 2" xfId="1055" xr:uid="{00000000-0005-0000-0000-00003B010000}"/>
    <cellStyle name="20 % - Akzent1 3 2 2 5 3 3" xfId="1056" xr:uid="{00000000-0005-0000-0000-00003C010000}"/>
    <cellStyle name="20 % - Akzent1 3 2 2 5 4" xfId="1057" xr:uid="{00000000-0005-0000-0000-00003D010000}"/>
    <cellStyle name="20 % - Akzent1 3 2 2 5 4 2" xfId="1058" xr:uid="{00000000-0005-0000-0000-00003E010000}"/>
    <cellStyle name="20 % - Akzent1 3 2 2 5 5" xfId="1059" xr:uid="{00000000-0005-0000-0000-00003F010000}"/>
    <cellStyle name="20 % - Akzent1 3 2 2 5 6" xfId="1060" xr:uid="{00000000-0005-0000-0000-000040010000}"/>
    <cellStyle name="20 % - Akzent1 3 2 2 6" xfId="1061" xr:uid="{00000000-0005-0000-0000-000041010000}"/>
    <cellStyle name="20 % - Akzent1 3 2 2 6 2" xfId="1062" xr:uid="{00000000-0005-0000-0000-000042010000}"/>
    <cellStyle name="20 % - Akzent1 3 2 2 6 3" xfId="1063" xr:uid="{00000000-0005-0000-0000-000043010000}"/>
    <cellStyle name="20 % - Akzent1 3 2 2 7" xfId="1064" xr:uid="{00000000-0005-0000-0000-000044010000}"/>
    <cellStyle name="20 % - Akzent1 3 2 2 7 2" xfId="1065" xr:uid="{00000000-0005-0000-0000-000045010000}"/>
    <cellStyle name="20 % - Akzent1 3 2 2 7 3" xfId="1066" xr:uid="{00000000-0005-0000-0000-000046010000}"/>
    <cellStyle name="20 % - Akzent1 3 2 2 8" xfId="1067" xr:uid="{00000000-0005-0000-0000-000047010000}"/>
    <cellStyle name="20 % - Akzent1 3 2 2 8 2" xfId="1068" xr:uid="{00000000-0005-0000-0000-000048010000}"/>
    <cellStyle name="20 % - Akzent1 3 2 2 9" xfId="1069" xr:uid="{00000000-0005-0000-0000-000049010000}"/>
    <cellStyle name="20 % - Akzent1 3 2 3" xfId="1070" xr:uid="{00000000-0005-0000-0000-00004A010000}"/>
    <cellStyle name="20 % - Akzent1 3 2 3 2" xfId="1071" xr:uid="{00000000-0005-0000-0000-00004B010000}"/>
    <cellStyle name="20 % - Akzent1 3 2 3 2 2" xfId="1072" xr:uid="{00000000-0005-0000-0000-00004C010000}"/>
    <cellStyle name="20 % - Akzent1 3 2 3 2 2 2" xfId="1073" xr:uid="{00000000-0005-0000-0000-00004D010000}"/>
    <cellStyle name="20 % - Akzent1 3 2 3 2 2 2 2" xfId="1074" xr:uid="{00000000-0005-0000-0000-00004E010000}"/>
    <cellStyle name="20 % - Akzent1 3 2 3 2 2 2 3" xfId="1075" xr:uid="{00000000-0005-0000-0000-00004F010000}"/>
    <cellStyle name="20 % - Akzent1 3 2 3 2 2 3" xfId="1076" xr:uid="{00000000-0005-0000-0000-000050010000}"/>
    <cellStyle name="20 % - Akzent1 3 2 3 2 2 3 2" xfId="1077" xr:uid="{00000000-0005-0000-0000-000051010000}"/>
    <cellStyle name="20 % - Akzent1 3 2 3 2 2 3 3" xfId="1078" xr:uid="{00000000-0005-0000-0000-000052010000}"/>
    <cellStyle name="20 % - Akzent1 3 2 3 2 2 4" xfId="1079" xr:uid="{00000000-0005-0000-0000-000053010000}"/>
    <cellStyle name="20 % - Akzent1 3 2 3 2 2 4 2" xfId="1080" xr:uid="{00000000-0005-0000-0000-000054010000}"/>
    <cellStyle name="20 % - Akzent1 3 2 3 2 2 5" xfId="1081" xr:uid="{00000000-0005-0000-0000-000055010000}"/>
    <cellStyle name="20 % - Akzent1 3 2 3 2 2 6" xfId="1082" xr:uid="{00000000-0005-0000-0000-000056010000}"/>
    <cellStyle name="20 % - Akzent1 3 2 3 2 3" xfId="1083" xr:uid="{00000000-0005-0000-0000-000057010000}"/>
    <cellStyle name="20 % - Akzent1 3 2 3 2 3 2" xfId="1084" xr:uid="{00000000-0005-0000-0000-000058010000}"/>
    <cellStyle name="20 % - Akzent1 3 2 3 2 3 3" xfId="1085" xr:uid="{00000000-0005-0000-0000-000059010000}"/>
    <cellStyle name="20 % - Akzent1 3 2 3 2 4" xfId="1086" xr:uid="{00000000-0005-0000-0000-00005A010000}"/>
    <cellStyle name="20 % - Akzent1 3 2 3 2 4 2" xfId="1087" xr:uid="{00000000-0005-0000-0000-00005B010000}"/>
    <cellStyle name="20 % - Akzent1 3 2 3 2 4 3" xfId="1088" xr:uid="{00000000-0005-0000-0000-00005C010000}"/>
    <cellStyle name="20 % - Akzent1 3 2 3 2 5" xfId="1089" xr:uid="{00000000-0005-0000-0000-00005D010000}"/>
    <cellStyle name="20 % - Akzent1 3 2 3 2 5 2" xfId="1090" xr:uid="{00000000-0005-0000-0000-00005E010000}"/>
    <cellStyle name="20 % - Akzent1 3 2 3 2 6" xfId="1091" xr:uid="{00000000-0005-0000-0000-00005F010000}"/>
    <cellStyle name="20 % - Akzent1 3 2 3 2 7" xfId="1092" xr:uid="{00000000-0005-0000-0000-000060010000}"/>
    <cellStyle name="20 % - Akzent1 3 2 3 3" xfId="1093" xr:uid="{00000000-0005-0000-0000-000061010000}"/>
    <cellStyle name="20 % - Akzent1 3 2 3 3 2" xfId="1094" xr:uid="{00000000-0005-0000-0000-000062010000}"/>
    <cellStyle name="20 % - Akzent1 3 2 3 3 2 2" xfId="1095" xr:uid="{00000000-0005-0000-0000-000063010000}"/>
    <cellStyle name="20 % - Akzent1 3 2 3 3 2 3" xfId="1096" xr:uid="{00000000-0005-0000-0000-000064010000}"/>
    <cellStyle name="20 % - Akzent1 3 2 3 3 3" xfId="1097" xr:uid="{00000000-0005-0000-0000-000065010000}"/>
    <cellStyle name="20 % - Akzent1 3 2 3 3 3 2" xfId="1098" xr:uid="{00000000-0005-0000-0000-000066010000}"/>
    <cellStyle name="20 % - Akzent1 3 2 3 3 3 3" xfId="1099" xr:uid="{00000000-0005-0000-0000-000067010000}"/>
    <cellStyle name="20 % - Akzent1 3 2 3 3 4" xfId="1100" xr:uid="{00000000-0005-0000-0000-000068010000}"/>
    <cellStyle name="20 % - Akzent1 3 2 3 3 4 2" xfId="1101" xr:uid="{00000000-0005-0000-0000-000069010000}"/>
    <cellStyle name="20 % - Akzent1 3 2 3 3 5" xfId="1102" xr:uid="{00000000-0005-0000-0000-00006A010000}"/>
    <cellStyle name="20 % - Akzent1 3 2 3 3 6" xfId="1103" xr:uid="{00000000-0005-0000-0000-00006B010000}"/>
    <cellStyle name="20 % - Akzent1 3 2 3 4" xfId="1104" xr:uid="{00000000-0005-0000-0000-00006C010000}"/>
    <cellStyle name="20 % - Akzent1 3 2 3 4 2" xfId="1105" xr:uid="{00000000-0005-0000-0000-00006D010000}"/>
    <cellStyle name="20 % - Akzent1 3 2 3 4 3" xfId="1106" xr:uid="{00000000-0005-0000-0000-00006E010000}"/>
    <cellStyle name="20 % - Akzent1 3 2 3 5" xfId="1107" xr:uid="{00000000-0005-0000-0000-00006F010000}"/>
    <cellStyle name="20 % - Akzent1 3 2 3 5 2" xfId="1108" xr:uid="{00000000-0005-0000-0000-000070010000}"/>
    <cellStyle name="20 % - Akzent1 3 2 3 5 3" xfId="1109" xr:uid="{00000000-0005-0000-0000-000071010000}"/>
    <cellStyle name="20 % - Akzent1 3 2 3 6" xfId="1110" xr:uid="{00000000-0005-0000-0000-000072010000}"/>
    <cellStyle name="20 % - Akzent1 3 2 3 6 2" xfId="1111" xr:uid="{00000000-0005-0000-0000-000073010000}"/>
    <cellStyle name="20 % - Akzent1 3 2 3 7" xfId="1112" xr:uid="{00000000-0005-0000-0000-000074010000}"/>
    <cellStyle name="20 % - Akzent1 3 2 3 8" xfId="1113" xr:uid="{00000000-0005-0000-0000-000075010000}"/>
    <cellStyle name="20 % - Akzent1 3 2 4" xfId="1114" xr:uid="{00000000-0005-0000-0000-000076010000}"/>
    <cellStyle name="20 % - Akzent1 3 2 4 2" xfId="1115" xr:uid="{00000000-0005-0000-0000-000077010000}"/>
    <cellStyle name="20 % - Akzent1 3 2 4 2 2" xfId="1116" xr:uid="{00000000-0005-0000-0000-000078010000}"/>
    <cellStyle name="20 % - Akzent1 3 2 4 2 2 2" xfId="1117" xr:uid="{00000000-0005-0000-0000-000079010000}"/>
    <cellStyle name="20 % - Akzent1 3 2 4 2 2 2 2" xfId="1118" xr:uid="{00000000-0005-0000-0000-00007A010000}"/>
    <cellStyle name="20 % - Akzent1 3 2 4 2 2 2 3" xfId="1119" xr:uid="{00000000-0005-0000-0000-00007B010000}"/>
    <cellStyle name="20 % - Akzent1 3 2 4 2 2 3" xfId="1120" xr:uid="{00000000-0005-0000-0000-00007C010000}"/>
    <cellStyle name="20 % - Akzent1 3 2 4 2 2 3 2" xfId="1121" xr:uid="{00000000-0005-0000-0000-00007D010000}"/>
    <cellStyle name="20 % - Akzent1 3 2 4 2 2 3 3" xfId="1122" xr:uid="{00000000-0005-0000-0000-00007E010000}"/>
    <cellStyle name="20 % - Akzent1 3 2 4 2 2 4" xfId="1123" xr:uid="{00000000-0005-0000-0000-00007F010000}"/>
    <cellStyle name="20 % - Akzent1 3 2 4 2 2 4 2" xfId="1124" xr:uid="{00000000-0005-0000-0000-000080010000}"/>
    <cellStyle name="20 % - Akzent1 3 2 4 2 2 5" xfId="1125" xr:uid="{00000000-0005-0000-0000-000081010000}"/>
    <cellStyle name="20 % - Akzent1 3 2 4 2 2 6" xfId="1126" xr:uid="{00000000-0005-0000-0000-000082010000}"/>
    <cellStyle name="20 % - Akzent1 3 2 4 2 3" xfId="1127" xr:uid="{00000000-0005-0000-0000-000083010000}"/>
    <cellStyle name="20 % - Akzent1 3 2 4 2 3 2" xfId="1128" xr:uid="{00000000-0005-0000-0000-000084010000}"/>
    <cellStyle name="20 % - Akzent1 3 2 4 2 3 3" xfId="1129" xr:uid="{00000000-0005-0000-0000-000085010000}"/>
    <cellStyle name="20 % - Akzent1 3 2 4 2 4" xfId="1130" xr:uid="{00000000-0005-0000-0000-000086010000}"/>
    <cellStyle name="20 % - Akzent1 3 2 4 2 4 2" xfId="1131" xr:uid="{00000000-0005-0000-0000-000087010000}"/>
    <cellStyle name="20 % - Akzent1 3 2 4 2 4 3" xfId="1132" xr:uid="{00000000-0005-0000-0000-000088010000}"/>
    <cellStyle name="20 % - Akzent1 3 2 4 2 5" xfId="1133" xr:uid="{00000000-0005-0000-0000-000089010000}"/>
    <cellStyle name="20 % - Akzent1 3 2 4 2 5 2" xfId="1134" xr:uid="{00000000-0005-0000-0000-00008A010000}"/>
    <cellStyle name="20 % - Akzent1 3 2 4 2 6" xfId="1135" xr:uid="{00000000-0005-0000-0000-00008B010000}"/>
    <cellStyle name="20 % - Akzent1 3 2 4 2 7" xfId="1136" xr:uid="{00000000-0005-0000-0000-00008C010000}"/>
    <cellStyle name="20 % - Akzent1 3 2 4 3" xfId="1137" xr:uid="{00000000-0005-0000-0000-00008D010000}"/>
    <cellStyle name="20 % - Akzent1 3 2 4 3 2" xfId="1138" xr:uid="{00000000-0005-0000-0000-00008E010000}"/>
    <cellStyle name="20 % - Akzent1 3 2 4 3 2 2" xfId="1139" xr:uid="{00000000-0005-0000-0000-00008F010000}"/>
    <cellStyle name="20 % - Akzent1 3 2 4 3 2 3" xfId="1140" xr:uid="{00000000-0005-0000-0000-000090010000}"/>
    <cellStyle name="20 % - Akzent1 3 2 4 3 3" xfId="1141" xr:uid="{00000000-0005-0000-0000-000091010000}"/>
    <cellStyle name="20 % - Akzent1 3 2 4 3 3 2" xfId="1142" xr:uid="{00000000-0005-0000-0000-000092010000}"/>
    <cellStyle name="20 % - Akzent1 3 2 4 3 3 3" xfId="1143" xr:uid="{00000000-0005-0000-0000-000093010000}"/>
    <cellStyle name="20 % - Akzent1 3 2 4 3 4" xfId="1144" xr:uid="{00000000-0005-0000-0000-000094010000}"/>
    <cellStyle name="20 % - Akzent1 3 2 4 3 4 2" xfId="1145" xr:uid="{00000000-0005-0000-0000-000095010000}"/>
    <cellStyle name="20 % - Akzent1 3 2 4 3 5" xfId="1146" xr:uid="{00000000-0005-0000-0000-000096010000}"/>
    <cellStyle name="20 % - Akzent1 3 2 4 3 6" xfId="1147" xr:uid="{00000000-0005-0000-0000-000097010000}"/>
    <cellStyle name="20 % - Akzent1 3 2 4 4" xfId="1148" xr:uid="{00000000-0005-0000-0000-000098010000}"/>
    <cellStyle name="20 % - Akzent1 3 2 4 4 2" xfId="1149" xr:uid="{00000000-0005-0000-0000-000099010000}"/>
    <cellStyle name="20 % - Akzent1 3 2 4 4 3" xfId="1150" xr:uid="{00000000-0005-0000-0000-00009A010000}"/>
    <cellStyle name="20 % - Akzent1 3 2 4 5" xfId="1151" xr:uid="{00000000-0005-0000-0000-00009B010000}"/>
    <cellStyle name="20 % - Akzent1 3 2 4 5 2" xfId="1152" xr:uid="{00000000-0005-0000-0000-00009C010000}"/>
    <cellStyle name="20 % - Akzent1 3 2 4 5 3" xfId="1153" xr:uid="{00000000-0005-0000-0000-00009D010000}"/>
    <cellStyle name="20 % - Akzent1 3 2 4 6" xfId="1154" xr:uid="{00000000-0005-0000-0000-00009E010000}"/>
    <cellStyle name="20 % - Akzent1 3 2 4 6 2" xfId="1155" xr:uid="{00000000-0005-0000-0000-00009F010000}"/>
    <cellStyle name="20 % - Akzent1 3 2 4 7" xfId="1156" xr:uid="{00000000-0005-0000-0000-0000A0010000}"/>
    <cellStyle name="20 % - Akzent1 3 2 4 8" xfId="1157" xr:uid="{00000000-0005-0000-0000-0000A1010000}"/>
    <cellStyle name="20 % - Akzent1 3 2 5" xfId="1158" xr:uid="{00000000-0005-0000-0000-0000A2010000}"/>
    <cellStyle name="20 % - Akzent1 3 2 5 2" xfId="1159" xr:uid="{00000000-0005-0000-0000-0000A3010000}"/>
    <cellStyle name="20 % - Akzent1 3 2 5 2 2" xfId="1160" xr:uid="{00000000-0005-0000-0000-0000A4010000}"/>
    <cellStyle name="20 % - Akzent1 3 2 5 2 2 2" xfId="1161" xr:uid="{00000000-0005-0000-0000-0000A5010000}"/>
    <cellStyle name="20 % - Akzent1 3 2 5 2 2 3" xfId="1162" xr:uid="{00000000-0005-0000-0000-0000A6010000}"/>
    <cellStyle name="20 % - Akzent1 3 2 5 2 3" xfId="1163" xr:uid="{00000000-0005-0000-0000-0000A7010000}"/>
    <cellStyle name="20 % - Akzent1 3 2 5 2 3 2" xfId="1164" xr:uid="{00000000-0005-0000-0000-0000A8010000}"/>
    <cellStyle name="20 % - Akzent1 3 2 5 2 3 3" xfId="1165" xr:uid="{00000000-0005-0000-0000-0000A9010000}"/>
    <cellStyle name="20 % - Akzent1 3 2 5 2 4" xfId="1166" xr:uid="{00000000-0005-0000-0000-0000AA010000}"/>
    <cellStyle name="20 % - Akzent1 3 2 5 2 4 2" xfId="1167" xr:uid="{00000000-0005-0000-0000-0000AB010000}"/>
    <cellStyle name="20 % - Akzent1 3 2 5 2 5" xfId="1168" xr:uid="{00000000-0005-0000-0000-0000AC010000}"/>
    <cellStyle name="20 % - Akzent1 3 2 5 2 6" xfId="1169" xr:uid="{00000000-0005-0000-0000-0000AD010000}"/>
    <cellStyle name="20 % - Akzent1 3 2 5 3" xfId="1170" xr:uid="{00000000-0005-0000-0000-0000AE010000}"/>
    <cellStyle name="20 % - Akzent1 3 2 5 3 2" xfId="1171" xr:uid="{00000000-0005-0000-0000-0000AF010000}"/>
    <cellStyle name="20 % - Akzent1 3 2 5 3 3" xfId="1172" xr:uid="{00000000-0005-0000-0000-0000B0010000}"/>
    <cellStyle name="20 % - Akzent1 3 2 5 4" xfId="1173" xr:uid="{00000000-0005-0000-0000-0000B1010000}"/>
    <cellStyle name="20 % - Akzent1 3 2 5 4 2" xfId="1174" xr:uid="{00000000-0005-0000-0000-0000B2010000}"/>
    <cellStyle name="20 % - Akzent1 3 2 5 4 3" xfId="1175" xr:uid="{00000000-0005-0000-0000-0000B3010000}"/>
    <cellStyle name="20 % - Akzent1 3 2 5 5" xfId="1176" xr:uid="{00000000-0005-0000-0000-0000B4010000}"/>
    <cellStyle name="20 % - Akzent1 3 2 5 5 2" xfId="1177" xr:uid="{00000000-0005-0000-0000-0000B5010000}"/>
    <cellStyle name="20 % - Akzent1 3 2 5 6" xfId="1178" xr:uid="{00000000-0005-0000-0000-0000B6010000}"/>
    <cellStyle name="20 % - Akzent1 3 2 5 7" xfId="1179" xr:uid="{00000000-0005-0000-0000-0000B7010000}"/>
    <cellStyle name="20 % - Akzent1 3 2 6" xfId="1180" xr:uid="{00000000-0005-0000-0000-0000B8010000}"/>
    <cellStyle name="20 % - Akzent1 3 2 6 2" xfId="1181" xr:uid="{00000000-0005-0000-0000-0000B9010000}"/>
    <cellStyle name="20 % - Akzent1 3 2 6 2 2" xfId="1182" xr:uid="{00000000-0005-0000-0000-0000BA010000}"/>
    <cellStyle name="20 % - Akzent1 3 2 6 2 3" xfId="1183" xr:uid="{00000000-0005-0000-0000-0000BB010000}"/>
    <cellStyle name="20 % - Akzent1 3 2 6 3" xfId="1184" xr:uid="{00000000-0005-0000-0000-0000BC010000}"/>
    <cellStyle name="20 % - Akzent1 3 2 6 3 2" xfId="1185" xr:uid="{00000000-0005-0000-0000-0000BD010000}"/>
    <cellStyle name="20 % - Akzent1 3 2 6 3 3" xfId="1186" xr:uid="{00000000-0005-0000-0000-0000BE010000}"/>
    <cellStyle name="20 % - Akzent1 3 2 6 4" xfId="1187" xr:uid="{00000000-0005-0000-0000-0000BF010000}"/>
    <cellStyle name="20 % - Akzent1 3 2 6 4 2" xfId="1188" xr:uid="{00000000-0005-0000-0000-0000C0010000}"/>
    <cellStyle name="20 % - Akzent1 3 2 6 5" xfId="1189" xr:uid="{00000000-0005-0000-0000-0000C1010000}"/>
    <cellStyle name="20 % - Akzent1 3 2 6 6" xfId="1190" xr:uid="{00000000-0005-0000-0000-0000C2010000}"/>
    <cellStyle name="20 % - Akzent1 3 2 7" xfId="1191" xr:uid="{00000000-0005-0000-0000-0000C3010000}"/>
    <cellStyle name="20 % - Akzent1 3 2 7 2" xfId="1192" xr:uid="{00000000-0005-0000-0000-0000C4010000}"/>
    <cellStyle name="20 % - Akzent1 3 2 7 3" xfId="1193" xr:uid="{00000000-0005-0000-0000-0000C5010000}"/>
    <cellStyle name="20 % - Akzent1 3 2 8" xfId="1194" xr:uid="{00000000-0005-0000-0000-0000C6010000}"/>
    <cellStyle name="20 % - Akzent1 3 2 8 2" xfId="1195" xr:uid="{00000000-0005-0000-0000-0000C7010000}"/>
    <cellStyle name="20 % - Akzent1 3 2 8 3" xfId="1196" xr:uid="{00000000-0005-0000-0000-0000C8010000}"/>
    <cellStyle name="20 % - Akzent1 3 2 9" xfId="1197" xr:uid="{00000000-0005-0000-0000-0000C9010000}"/>
    <cellStyle name="20 % - Akzent1 3 2 9 2" xfId="1198" xr:uid="{00000000-0005-0000-0000-0000CA010000}"/>
    <cellStyle name="20 % - Akzent1 4" xfId="1199" xr:uid="{00000000-0005-0000-0000-0000CB010000}"/>
    <cellStyle name="20 % - Akzent1 4 2" xfId="1200" xr:uid="{00000000-0005-0000-0000-0000CC010000}"/>
    <cellStyle name="20 % - Akzent1 5" xfId="1201" xr:uid="{00000000-0005-0000-0000-0000CD010000}"/>
    <cellStyle name="20 % - Akzent1 5 2" xfId="1202" xr:uid="{00000000-0005-0000-0000-0000CE010000}"/>
    <cellStyle name="20 % - Akzent1 5 2 10" xfId="1203" xr:uid="{00000000-0005-0000-0000-0000CF010000}"/>
    <cellStyle name="20 % - Akzent1 5 2 11" xfId="1204" xr:uid="{00000000-0005-0000-0000-0000D0010000}"/>
    <cellStyle name="20 % - Akzent1 5 2 2" xfId="1205" xr:uid="{00000000-0005-0000-0000-0000D1010000}"/>
    <cellStyle name="20 % - Akzent1 5 2 2 10" xfId="1206" xr:uid="{00000000-0005-0000-0000-0000D2010000}"/>
    <cellStyle name="20 % - Akzent1 5 2 2 2" xfId="1207" xr:uid="{00000000-0005-0000-0000-0000D3010000}"/>
    <cellStyle name="20 % - Akzent1 5 2 2 2 2" xfId="1208" xr:uid="{00000000-0005-0000-0000-0000D4010000}"/>
    <cellStyle name="20 % - Akzent1 5 2 2 2 2 2" xfId="1209" xr:uid="{00000000-0005-0000-0000-0000D5010000}"/>
    <cellStyle name="20 % - Akzent1 5 2 2 2 2 2 2" xfId="1210" xr:uid="{00000000-0005-0000-0000-0000D6010000}"/>
    <cellStyle name="20 % - Akzent1 5 2 2 2 2 2 2 2" xfId="1211" xr:uid="{00000000-0005-0000-0000-0000D7010000}"/>
    <cellStyle name="20 % - Akzent1 5 2 2 2 2 2 2 3" xfId="1212" xr:uid="{00000000-0005-0000-0000-0000D8010000}"/>
    <cellStyle name="20 % - Akzent1 5 2 2 2 2 2 3" xfId="1213" xr:uid="{00000000-0005-0000-0000-0000D9010000}"/>
    <cellStyle name="20 % - Akzent1 5 2 2 2 2 2 3 2" xfId="1214" xr:uid="{00000000-0005-0000-0000-0000DA010000}"/>
    <cellStyle name="20 % - Akzent1 5 2 2 2 2 2 3 3" xfId="1215" xr:uid="{00000000-0005-0000-0000-0000DB010000}"/>
    <cellStyle name="20 % - Akzent1 5 2 2 2 2 2 4" xfId="1216" xr:uid="{00000000-0005-0000-0000-0000DC010000}"/>
    <cellStyle name="20 % - Akzent1 5 2 2 2 2 2 4 2" xfId="1217" xr:uid="{00000000-0005-0000-0000-0000DD010000}"/>
    <cellStyle name="20 % - Akzent1 5 2 2 2 2 2 5" xfId="1218" xr:uid="{00000000-0005-0000-0000-0000DE010000}"/>
    <cellStyle name="20 % - Akzent1 5 2 2 2 2 2 6" xfId="1219" xr:uid="{00000000-0005-0000-0000-0000DF010000}"/>
    <cellStyle name="20 % - Akzent1 5 2 2 2 2 3" xfId="1220" xr:uid="{00000000-0005-0000-0000-0000E0010000}"/>
    <cellStyle name="20 % - Akzent1 5 2 2 2 2 3 2" xfId="1221" xr:uid="{00000000-0005-0000-0000-0000E1010000}"/>
    <cellStyle name="20 % - Akzent1 5 2 2 2 2 3 3" xfId="1222" xr:uid="{00000000-0005-0000-0000-0000E2010000}"/>
    <cellStyle name="20 % - Akzent1 5 2 2 2 2 4" xfId="1223" xr:uid="{00000000-0005-0000-0000-0000E3010000}"/>
    <cellStyle name="20 % - Akzent1 5 2 2 2 2 4 2" xfId="1224" xr:uid="{00000000-0005-0000-0000-0000E4010000}"/>
    <cellStyle name="20 % - Akzent1 5 2 2 2 2 4 3" xfId="1225" xr:uid="{00000000-0005-0000-0000-0000E5010000}"/>
    <cellStyle name="20 % - Akzent1 5 2 2 2 2 5" xfId="1226" xr:uid="{00000000-0005-0000-0000-0000E6010000}"/>
    <cellStyle name="20 % - Akzent1 5 2 2 2 2 5 2" xfId="1227" xr:uid="{00000000-0005-0000-0000-0000E7010000}"/>
    <cellStyle name="20 % - Akzent1 5 2 2 2 2 6" xfId="1228" xr:uid="{00000000-0005-0000-0000-0000E8010000}"/>
    <cellStyle name="20 % - Akzent1 5 2 2 2 2 7" xfId="1229" xr:uid="{00000000-0005-0000-0000-0000E9010000}"/>
    <cellStyle name="20 % - Akzent1 5 2 2 2 3" xfId="1230" xr:uid="{00000000-0005-0000-0000-0000EA010000}"/>
    <cellStyle name="20 % - Akzent1 5 2 2 2 3 2" xfId="1231" xr:uid="{00000000-0005-0000-0000-0000EB010000}"/>
    <cellStyle name="20 % - Akzent1 5 2 2 2 3 2 2" xfId="1232" xr:uid="{00000000-0005-0000-0000-0000EC010000}"/>
    <cellStyle name="20 % - Akzent1 5 2 2 2 3 2 3" xfId="1233" xr:uid="{00000000-0005-0000-0000-0000ED010000}"/>
    <cellStyle name="20 % - Akzent1 5 2 2 2 3 3" xfId="1234" xr:uid="{00000000-0005-0000-0000-0000EE010000}"/>
    <cellStyle name="20 % - Akzent1 5 2 2 2 3 3 2" xfId="1235" xr:uid="{00000000-0005-0000-0000-0000EF010000}"/>
    <cellStyle name="20 % - Akzent1 5 2 2 2 3 3 3" xfId="1236" xr:uid="{00000000-0005-0000-0000-0000F0010000}"/>
    <cellStyle name="20 % - Akzent1 5 2 2 2 3 4" xfId="1237" xr:uid="{00000000-0005-0000-0000-0000F1010000}"/>
    <cellStyle name="20 % - Akzent1 5 2 2 2 3 4 2" xfId="1238" xr:uid="{00000000-0005-0000-0000-0000F2010000}"/>
    <cellStyle name="20 % - Akzent1 5 2 2 2 3 5" xfId="1239" xr:uid="{00000000-0005-0000-0000-0000F3010000}"/>
    <cellStyle name="20 % - Akzent1 5 2 2 2 3 6" xfId="1240" xr:uid="{00000000-0005-0000-0000-0000F4010000}"/>
    <cellStyle name="20 % - Akzent1 5 2 2 2 4" xfId="1241" xr:uid="{00000000-0005-0000-0000-0000F5010000}"/>
    <cellStyle name="20 % - Akzent1 5 2 2 2 4 2" xfId="1242" xr:uid="{00000000-0005-0000-0000-0000F6010000}"/>
    <cellStyle name="20 % - Akzent1 5 2 2 2 4 3" xfId="1243" xr:uid="{00000000-0005-0000-0000-0000F7010000}"/>
    <cellStyle name="20 % - Akzent1 5 2 2 2 5" xfId="1244" xr:uid="{00000000-0005-0000-0000-0000F8010000}"/>
    <cellStyle name="20 % - Akzent1 5 2 2 2 5 2" xfId="1245" xr:uid="{00000000-0005-0000-0000-0000F9010000}"/>
    <cellStyle name="20 % - Akzent1 5 2 2 2 5 3" xfId="1246" xr:uid="{00000000-0005-0000-0000-0000FA010000}"/>
    <cellStyle name="20 % - Akzent1 5 2 2 2 6" xfId="1247" xr:uid="{00000000-0005-0000-0000-0000FB010000}"/>
    <cellStyle name="20 % - Akzent1 5 2 2 2 6 2" xfId="1248" xr:uid="{00000000-0005-0000-0000-0000FC010000}"/>
    <cellStyle name="20 % - Akzent1 5 2 2 2 7" xfId="1249" xr:uid="{00000000-0005-0000-0000-0000FD010000}"/>
    <cellStyle name="20 % - Akzent1 5 2 2 2 8" xfId="1250" xr:uid="{00000000-0005-0000-0000-0000FE010000}"/>
    <cellStyle name="20 % - Akzent1 5 2 2 3" xfId="1251" xr:uid="{00000000-0005-0000-0000-0000FF010000}"/>
    <cellStyle name="20 % - Akzent1 5 2 2 3 2" xfId="1252" xr:uid="{00000000-0005-0000-0000-000000020000}"/>
    <cellStyle name="20 % - Akzent1 5 2 2 3 2 2" xfId="1253" xr:uid="{00000000-0005-0000-0000-000001020000}"/>
    <cellStyle name="20 % - Akzent1 5 2 2 3 2 2 2" xfId="1254" xr:uid="{00000000-0005-0000-0000-000002020000}"/>
    <cellStyle name="20 % - Akzent1 5 2 2 3 2 2 2 2" xfId="1255" xr:uid="{00000000-0005-0000-0000-000003020000}"/>
    <cellStyle name="20 % - Akzent1 5 2 2 3 2 2 2 3" xfId="1256" xr:uid="{00000000-0005-0000-0000-000004020000}"/>
    <cellStyle name="20 % - Akzent1 5 2 2 3 2 2 3" xfId="1257" xr:uid="{00000000-0005-0000-0000-000005020000}"/>
    <cellStyle name="20 % - Akzent1 5 2 2 3 2 2 3 2" xfId="1258" xr:uid="{00000000-0005-0000-0000-000006020000}"/>
    <cellStyle name="20 % - Akzent1 5 2 2 3 2 2 3 3" xfId="1259" xr:uid="{00000000-0005-0000-0000-000007020000}"/>
    <cellStyle name="20 % - Akzent1 5 2 2 3 2 2 4" xfId="1260" xr:uid="{00000000-0005-0000-0000-000008020000}"/>
    <cellStyle name="20 % - Akzent1 5 2 2 3 2 2 4 2" xfId="1261" xr:uid="{00000000-0005-0000-0000-000009020000}"/>
    <cellStyle name="20 % - Akzent1 5 2 2 3 2 2 5" xfId="1262" xr:uid="{00000000-0005-0000-0000-00000A020000}"/>
    <cellStyle name="20 % - Akzent1 5 2 2 3 2 2 6" xfId="1263" xr:uid="{00000000-0005-0000-0000-00000B020000}"/>
    <cellStyle name="20 % - Akzent1 5 2 2 3 2 3" xfId="1264" xr:uid="{00000000-0005-0000-0000-00000C020000}"/>
    <cellStyle name="20 % - Akzent1 5 2 2 3 2 3 2" xfId="1265" xr:uid="{00000000-0005-0000-0000-00000D020000}"/>
    <cellStyle name="20 % - Akzent1 5 2 2 3 2 3 3" xfId="1266" xr:uid="{00000000-0005-0000-0000-00000E020000}"/>
    <cellStyle name="20 % - Akzent1 5 2 2 3 2 4" xfId="1267" xr:uid="{00000000-0005-0000-0000-00000F020000}"/>
    <cellStyle name="20 % - Akzent1 5 2 2 3 2 4 2" xfId="1268" xr:uid="{00000000-0005-0000-0000-000010020000}"/>
    <cellStyle name="20 % - Akzent1 5 2 2 3 2 4 3" xfId="1269" xr:uid="{00000000-0005-0000-0000-000011020000}"/>
    <cellStyle name="20 % - Akzent1 5 2 2 3 2 5" xfId="1270" xr:uid="{00000000-0005-0000-0000-000012020000}"/>
    <cellStyle name="20 % - Akzent1 5 2 2 3 2 5 2" xfId="1271" xr:uid="{00000000-0005-0000-0000-000013020000}"/>
    <cellStyle name="20 % - Akzent1 5 2 2 3 2 6" xfId="1272" xr:uid="{00000000-0005-0000-0000-000014020000}"/>
    <cellStyle name="20 % - Akzent1 5 2 2 3 2 7" xfId="1273" xr:uid="{00000000-0005-0000-0000-000015020000}"/>
    <cellStyle name="20 % - Akzent1 5 2 2 3 3" xfId="1274" xr:uid="{00000000-0005-0000-0000-000016020000}"/>
    <cellStyle name="20 % - Akzent1 5 2 2 3 3 2" xfId="1275" xr:uid="{00000000-0005-0000-0000-000017020000}"/>
    <cellStyle name="20 % - Akzent1 5 2 2 3 3 2 2" xfId="1276" xr:uid="{00000000-0005-0000-0000-000018020000}"/>
    <cellStyle name="20 % - Akzent1 5 2 2 3 3 2 3" xfId="1277" xr:uid="{00000000-0005-0000-0000-000019020000}"/>
    <cellStyle name="20 % - Akzent1 5 2 2 3 3 3" xfId="1278" xr:uid="{00000000-0005-0000-0000-00001A020000}"/>
    <cellStyle name="20 % - Akzent1 5 2 2 3 3 3 2" xfId="1279" xr:uid="{00000000-0005-0000-0000-00001B020000}"/>
    <cellStyle name="20 % - Akzent1 5 2 2 3 3 3 3" xfId="1280" xr:uid="{00000000-0005-0000-0000-00001C020000}"/>
    <cellStyle name="20 % - Akzent1 5 2 2 3 3 4" xfId="1281" xr:uid="{00000000-0005-0000-0000-00001D020000}"/>
    <cellStyle name="20 % - Akzent1 5 2 2 3 3 4 2" xfId="1282" xr:uid="{00000000-0005-0000-0000-00001E020000}"/>
    <cellStyle name="20 % - Akzent1 5 2 2 3 3 5" xfId="1283" xr:uid="{00000000-0005-0000-0000-00001F020000}"/>
    <cellStyle name="20 % - Akzent1 5 2 2 3 3 6" xfId="1284" xr:uid="{00000000-0005-0000-0000-000020020000}"/>
    <cellStyle name="20 % - Akzent1 5 2 2 3 4" xfId="1285" xr:uid="{00000000-0005-0000-0000-000021020000}"/>
    <cellStyle name="20 % - Akzent1 5 2 2 3 4 2" xfId="1286" xr:uid="{00000000-0005-0000-0000-000022020000}"/>
    <cellStyle name="20 % - Akzent1 5 2 2 3 4 3" xfId="1287" xr:uid="{00000000-0005-0000-0000-000023020000}"/>
    <cellStyle name="20 % - Akzent1 5 2 2 3 5" xfId="1288" xr:uid="{00000000-0005-0000-0000-000024020000}"/>
    <cellStyle name="20 % - Akzent1 5 2 2 3 5 2" xfId="1289" xr:uid="{00000000-0005-0000-0000-000025020000}"/>
    <cellStyle name="20 % - Akzent1 5 2 2 3 5 3" xfId="1290" xr:uid="{00000000-0005-0000-0000-000026020000}"/>
    <cellStyle name="20 % - Akzent1 5 2 2 3 6" xfId="1291" xr:uid="{00000000-0005-0000-0000-000027020000}"/>
    <cellStyle name="20 % - Akzent1 5 2 2 3 6 2" xfId="1292" xr:uid="{00000000-0005-0000-0000-000028020000}"/>
    <cellStyle name="20 % - Akzent1 5 2 2 3 7" xfId="1293" xr:uid="{00000000-0005-0000-0000-000029020000}"/>
    <cellStyle name="20 % - Akzent1 5 2 2 3 8" xfId="1294" xr:uid="{00000000-0005-0000-0000-00002A020000}"/>
    <cellStyle name="20 % - Akzent1 5 2 2 4" xfId="1295" xr:uid="{00000000-0005-0000-0000-00002B020000}"/>
    <cellStyle name="20 % - Akzent1 5 2 2 4 2" xfId="1296" xr:uid="{00000000-0005-0000-0000-00002C020000}"/>
    <cellStyle name="20 % - Akzent1 5 2 2 4 2 2" xfId="1297" xr:uid="{00000000-0005-0000-0000-00002D020000}"/>
    <cellStyle name="20 % - Akzent1 5 2 2 4 2 2 2" xfId="1298" xr:uid="{00000000-0005-0000-0000-00002E020000}"/>
    <cellStyle name="20 % - Akzent1 5 2 2 4 2 2 3" xfId="1299" xr:uid="{00000000-0005-0000-0000-00002F020000}"/>
    <cellStyle name="20 % - Akzent1 5 2 2 4 2 3" xfId="1300" xr:uid="{00000000-0005-0000-0000-000030020000}"/>
    <cellStyle name="20 % - Akzent1 5 2 2 4 2 3 2" xfId="1301" xr:uid="{00000000-0005-0000-0000-000031020000}"/>
    <cellStyle name="20 % - Akzent1 5 2 2 4 2 3 3" xfId="1302" xr:uid="{00000000-0005-0000-0000-000032020000}"/>
    <cellStyle name="20 % - Akzent1 5 2 2 4 2 4" xfId="1303" xr:uid="{00000000-0005-0000-0000-000033020000}"/>
    <cellStyle name="20 % - Akzent1 5 2 2 4 2 4 2" xfId="1304" xr:uid="{00000000-0005-0000-0000-000034020000}"/>
    <cellStyle name="20 % - Akzent1 5 2 2 4 2 5" xfId="1305" xr:uid="{00000000-0005-0000-0000-000035020000}"/>
    <cellStyle name="20 % - Akzent1 5 2 2 4 2 6" xfId="1306" xr:uid="{00000000-0005-0000-0000-000036020000}"/>
    <cellStyle name="20 % - Akzent1 5 2 2 4 3" xfId="1307" xr:uid="{00000000-0005-0000-0000-000037020000}"/>
    <cellStyle name="20 % - Akzent1 5 2 2 4 3 2" xfId="1308" xr:uid="{00000000-0005-0000-0000-000038020000}"/>
    <cellStyle name="20 % - Akzent1 5 2 2 4 3 3" xfId="1309" xr:uid="{00000000-0005-0000-0000-000039020000}"/>
    <cellStyle name="20 % - Akzent1 5 2 2 4 4" xfId="1310" xr:uid="{00000000-0005-0000-0000-00003A020000}"/>
    <cellStyle name="20 % - Akzent1 5 2 2 4 4 2" xfId="1311" xr:uid="{00000000-0005-0000-0000-00003B020000}"/>
    <cellStyle name="20 % - Akzent1 5 2 2 4 4 3" xfId="1312" xr:uid="{00000000-0005-0000-0000-00003C020000}"/>
    <cellStyle name="20 % - Akzent1 5 2 2 4 5" xfId="1313" xr:uid="{00000000-0005-0000-0000-00003D020000}"/>
    <cellStyle name="20 % - Akzent1 5 2 2 4 5 2" xfId="1314" xr:uid="{00000000-0005-0000-0000-00003E020000}"/>
    <cellStyle name="20 % - Akzent1 5 2 2 4 6" xfId="1315" xr:uid="{00000000-0005-0000-0000-00003F020000}"/>
    <cellStyle name="20 % - Akzent1 5 2 2 4 7" xfId="1316" xr:uid="{00000000-0005-0000-0000-000040020000}"/>
    <cellStyle name="20 % - Akzent1 5 2 2 5" xfId="1317" xr:uid="{00000000-0005-0000-0000-000041020000}"/>
    <cellStyle name="20 % - Akzent1 5 2 2 5 2" xfId="1318" xr:uid="{00000000-0005-0000-0000-000042020000}"/>
    <cellStyle name="20 % - Akzent1 5 2 2 5 2 2" xfId="1319" xr:uid="{00000000-0005-0000-0000-000043020000}"/>
    <cellStyle name="20 % - Akzent1 5 2 2 5 2 3" xfId="1320" xr:uid="{00000000-0005-0000-0000-000044020000}"/>
    <cellStyle name="20 % - Akzent1 5 2 2 5 3" xfId="1321" xr:uid="{00000000-0005-0000-0000-000045020000}"/>
    <cellStyle name="20 % - Akzent1 5 2 2 5 3 2" xfId="1322" xr:uid="{00000000-0005-0000-0000-000046020000}"/>
    <cellStyle name="20 % - Akzent1 5 2 2 5 3 3" xfId="1323" xr:uid="{00000000-0005-0000-0000-000047020000}"/>
    <cellStyle name="20 % - Akzent1 5 2 2 5 4" xfId="1324" xr:uid="{00000000-0005-0000-0000-000048020000}"/>
    <cellStyle name="20 % - Akzent1 5 2 2 5 4 2" xfId="1325" xr:uid="{00000000-0005-0000-0000-000049020000}"/>
    <cellStyle name="20 % - Akzent1 5 2 2 5 5" xfId="1326" xr:uid="{00000000-0005-0000-0000-00004A020000}"/>
    <cellStyle name="20 % - Akzent1 5 2 2 5 6" xfId="1327" xr:uid="{00000000-0005-0000-0000-00004B020000}"/>
    <cellStyle name="20 % - Akzent1 5 2 2 6" xfId="1328" xr:uid="{00000000-0005-0000-0000-00004C020000}"/>
    <cellStyle name="20 % - Akzent1 5 2 2 6 2" xfId="1329" xr:uid="{00000000-0005-0000-0000-00004D020000}"/>
    <cellStyle name="20 % - Akzent1 5 2 2 6 3" xfId="1330" xr:uid="{00000000-0005-0000-0000-00004E020000}"/>
    <cellStyle name="20 % - Akzent1 5 2 2 7" xfId="1331" xr:uid="{00000000-0005-0000-0000-00004F020000}"/>
    <cellStyle name="20 % - Akzent1 5 2 2 7 2" xfId="1332" xr:uid="{00000000-0005-0000-0000-000050020000}"/>
    <cellStyle name="20 % - Akzent1 5 2 2 7 3" xfId="1333" xr:uid="{00000000-0005-0000-0000-000051020000}"/>
    <cellStyle name="20 % - Akzent1 5 2 2 8" xfId="1334" xr:uid="{00000000-0005-0000-0000-000052020000}"/>
    <cellStyle name="20 % - Akzent1 5 2 2 8 2" xfId="1335" xr:uid="{00000000-0005-0000-0000-000053020000}"/>
    <cellStyle name="20 % - Akzent1 5 2 2 9" xfId="1336" xr:uid="{00000000-0005-0000-0000-000054020000}"/>
    <cellStyle name="20 % - Akzent1 5 2 3" xfId="1337" xr:uid="{00000000-0005-0000-0000-000055020000}"/>
    <cellStyle name="20 % - Akzent1 5 2 3 2" xfId="1338" xr:uid="{00000000-0005-0000-0000-000056020000}"/>
    <cellStyle name="20 % - Akzent1 5 2 3 2 2" xfId="1339" xr:uid="{00000000-0005-0000-0000-000057020000}"/>
    <cellStyle name="20 % - Akzent1 5 2 3 2 2 2" xfId="1340" xr:uid="{00000000-0005-0000-0000-000058020000}"/>
    <cellStyle name="20 % - Akzent1 5 2 3 2 2 2 2" xfId="1341" xr:uid="{00000000-0005-0000-0000-000059020000}"/>
    <cellStyle name="20 % - Akzent1 5 2 3 2 2 2 3" xfId="1342" xr:uid="{00000000-0005-0000-0000-00005A020000}"/>
    <cellStyle name="20 % - Akzent1 5 2 3 2 2 3" xfId="1343" xr:uid="{00000000-0005-0000-0000-00005B020000}"/>
    <cellStyle name="20 % - Akzent1 5 2 3 2 2 3 2" xfId="1344" xr:uid="{00000000-0005-0000-0000-00005C020000}"/>
    <cellStyle name="20 % - Akzent1 5 2 3 2 2 3 3" xfId="1345" xr:uid="{00000000-0005-0000-0000-00005D020000}"/>
    <cellStyle name="20 % - Akzent1 5 2 3 2 2 4" xfId="1346" xr:uid="{00000000-0005-0000-0000-00005E020000}"/>
    <cellStyle name="20 % - Akzent1 5 2 3 2 2 4 2" xfId="1347" xr:uid="{00000000-0005-0000-0000-00005F020000}"/>
    <cellStyle name="20 % - Akzent1 5 2 3 2 2 5" xfId="1348" xr:uid="{00000000-0005-0000-0000-000060020000}"/>
    <cellStyle name="20 % - Akzent1 5 2 3 2 2 6" xfId="1349" xr:uid="{00000000-0005-0000-0000-000061020000}"/>
    <cellStyle name="20 % - Akzent1 5 2 3 2 3" xfId="1350" xr:uid="{00000000-0005-0000-0000-000062020000}"/>
    <cellStyle name="20 % - Akzent1 5 2 3 2 3 2" xfId="1351" xr:uid="{00000000-0005-0000-0000-000063020000}"/>
    <cellStyle name="20 % - Akzent1 5 2 3 2 3 3" xfId="1352" xr:uid="{00000000-0005-0000-0000-000064020000}"/>
    <cellStyle name="20 % - Akzent1 5 2 3 2 4" xfId="1353" xr:uid="{00000000-0005-0000-0000-000065020000}"/>
    <cellStyle name="20 % - Akzent1 5 2 3 2 4 2" xfId="1354" xr:uid="{00000000-0005-0000-0000-000066020000}"/>
    <cellStyle name="20 % - Akzent1 5 2 3 2 4 3" xfId="1355" xr:uid="{00000000-0005-0000-0000-000067020000}"/>
    <cellStyle name="20 % - Akzent1 5 2 3 2 5" xfId="1356" xr:uid="{00000000-0005-0000-0000-000068020000}"/>
    <cellStyle name="20 % - Akzent1 5 2 3 2 5 2" xfId="1357" xr:uid="{00000000-0005-0000-0000-000069020000}"/>
    <cellStyle name="20 % - Akzent1 5 2 3 2 6" xfId="1358" xr:uid="{00000000-0005-0000-0000-00006A020000}"/>
    <cellStyle name="20 % - Akzent1 5 2 3 2 7" xfId="1359" xr:uid="{00000000-0005-0000-0000-00006B020000}"/>
    <cellStyle name="20 % - Akzent1 5 2 3 3" xfId="1360" xr:uid="{00000000-0005-0000-0000-00006C020000}"/>
    <cellStyle name="20 % - Akzent1 5 2 3 3 2" xfId="1361" xr:uid="{00000000-0005-0000-0000-00006D020000}"/>
    <cellStyle name="20 % - Akzent1 5 2 3 3 2 2" xfId="1362" xr:uid="{00000000-0005-0000-0000-00006E020000}"/>
    <cellStyle name="20 % - Akzent1 5 2 3 3 2 3" xfId="1363" xr:uid="{00000000-0005-0000-0000-00006F020000}"/>
    <cellStyle name="20 % - Akzent1 5 2 3 3 3" xfId="1364" xr:uid="{00000000-0005-0000-0000-000070020000}"/>
    <cellStyle name="20 % - Akzent1 5 2 3 3 3 2" xfId="1365" xr:uid="{00000000-0005-0000-0000-000071020000}"/>
    <cellStyle name="20 % - Akzent1 5 2 3 3 3 3" xfId="1366" xr:uid="{00000000-0005-0000-0000-000072020000}"/>
    <cellStyle name="20 % - Akzent1 5 2 3 3 4" xfId="1367" xr:uid="{00000000-0005-0000-0000-000073020000}"/>
    <cellStyle name="20 % - Akzent1 5 2 3 3 4 2" xfId="1368" xr:uid="{00000000-0005-0000-0000-000074020000}"/>
    <cellStyle name="20 % - Akzent1 5 2 3 3 5" xfId="1369" xr:uid="{00000000-0005-0000-0000-000075020000}"/>
    <cellStyle name="20 % - Akzent1 5 2 3 3 6" xfId="1370" xr:uid="{00000000-0005-0000-0000-000076020000}"/>
    <cellStyle name="20 % - Akzent1 5 2 3 4" xfId="1371" xr:uid="{00000000-0005-0000-0000-000077020000}"/>
    <cellStyle name="20 % - Akzent1 5 2 3 4 2" xfId="1372" xr:uid="{00000000-0005-0000-0000-000078020000}"/>
    <cellStyle name="20 % - Akzent1 5 2 3 4 3" xfId="1373" xr:uid="{00000000-0005-0000-0000-000079020000}"/>
    <cellStyle name="20 % - Akzent1 5 2 3 5" xfId="1374" xr:uid="{00000000-0005-0000-0000-00007A020000}"/>
    <cellStyle name="20 % - Akzent1 5 2 3 5 2" xfId="1375" xr:uid="{00000000-0005-0000-0000-00007B020000}"/>
    <cellStyle name="20 % - Akzent1 5 2 3 5 3" xfId="1376" xr:uid="{00000000-0005-0000-0000-00007C020000}"/>
    <cellStyle name="20 % - Akzent1 5 2 3 6" xfId="1377" xr:uid="{00000000-0005-0000-0000-00007D020000}"/>
    <cellStyle name="20 % - Akzent1 5 2 3 6 2" xfId="1378" xr:uid="{00000000-0005-0000-0000-00007E020000}"/>
    <cellStyle name="20 % - Akzent1 5 2 3 7" xfId="1379" xr:uid="{00000000-0005-0000-0000-00007F020000}"/>
    <cellStyle name="20 % - Akzent1 5 2 3 8" xfId="1380" xr:uid="{00000000-0005-0000-0000-000080020000}"/>
    <cellStyle name="20 % - Akzent1 5 2 4" xfId="1381" xr:uid="{00000000-0005-0000-0000-000081020000}"/>
    <cellStyle name="20 % - Akzent1 5 2 4 2" xfId="1382" xr:uid="{00000000-0005-0000-0000-000082020000}"/>
    <cellStyle name="20 % - Akzent1 5 2 4 2 2" xfId="1383" xr:uid="{00000000-0005-0000-0000-000083020000}"/>
    <cellStyle name="20 % - Akzent1 5 2 4 2 2 2" xfId="1384" xr:uid="{00000000-0005-0000-0000-000084020000}"/>
    <cellStyle name="20 % - Akzent1 5 2 4 2 2 2 2" xfId="1385" xr:uid="{00000000-0005-0000-0000-000085020000}"/>
    <cellStyle name="20 % - Akzent1 5 2 4 2 2 2 3" xfId="1386" xr:uid="{00000000-0005-0000-0000-000086020000}"/>
    <cellStyle name="20 % - Akzent1 5 2 4 2 2 3" xfId="1387" xr:uid="{00000000-0005-0000-0000-000087020000}"/>
    <cellStyle name="20 % - Akzent1 5 2 4 2 2 3 2" xfId="1388" xr:uid="{00000000-0005-0000-0000-000088020000}"/>
    <cellStyle name="20 % - Akzent1 5 2 4 2 2 3 3" xfId="1389" xr:uid="{00000000-0005-0000-0000-000089020000}"/>
    <cellStyle name="20 % - Akzent1 5 2 4 2 2 4" xfId="1390" xr:uid="{00000000-0005-0000-0000-00008A020000}"/>
    <cellStyle name="20 % - Akzent1 5 2 4 2 2 4 2" xfId="1391" xr:uid="{00000000-0005-0000-0000-00008B020000}"/>
    <cellStyle name="20 % - Akzent1 5 2 4 2 2 5" xfId="1392" xr:uid="{00000000-0005-0000-0000-00008C020000}"/>
    <cellStyle name="20 % - Akzent1 5 2 4 2 2 6" xfId="1393" xr:uid="{00000000-0005-0000-0000-00008D020000}"/>
    <cellStyle name="20 % - Akzent1 5 2 4 2 3" xfId="1394" xr:uid="{00000000-0005-0000-0000-00008E020000}"/>
    <cellStyle name="20 % - Akzent1 5 2 4 2 3 2" xfId="1395" xr:uid="{00000000-0005-0000-0000-00008F020000}"/>
    <cellStyle name="20 % - Akzent1 5 2 4 2 3 3" xfId="1396" xr:uid="{00000000-0005-0000-0000-000090020000}"/>
    <cellStyle name="20 % - Akzent1 5 2 4 2 4" xfId="1397" xr:uid="{00000000-0005-0000-0000-000091020000}"/>
    <cellStyle name="20 % - Akzent1 5 2 4 2 4 2" xfId="1398" xr:uid="{00000000-0005-0000-0000-000092020000}"/>
    <cellStyle name="20 % - Akzent1 5 2 4 2 4 3" xfId="1399" xr:uid="{00000000-0005-0000-0000-000093020000}"/>
    <cellStyle name="20 % - Akzent1 5 2 4 2 5" xfId="1400" xr:uid="{00000000-0005-0000-0000-000094020000}"/>
    <cellStyle name="20 % - Akzent1 5 2 4 2 5 2" xfId="1401" xr:uid="{00000000-0005-0000-0000-000095020000}"/>
    <cellStyle name="20 % - Akzent1 5 2 4 2 6" xfId="1402" xr:uid="{00000000-0005-0000-0000-000096020000}"/>
    <cellStyle name="20 % - Akzent1 5 2 4 2 7" xfId="1403" xr:uid="{00000000-0005-0000-0000-000097020000}"/>
    <cellStyle name="20 % - Akzent1 5 2 4 3" xfId="1404" xr:uid="{00000000-0005-0000-0000-000098020000}"/>
    <cellStyle name="20 % - Akzent1 5 2 4 3 2" xfId="1405" xr:uid="{00000000-0005-0000-0000-000099020000}"/>
    <cellStyle name="20 % - Akzent1 5 2 4 3 2 2" xfId="1406" xr:uid="{00000000-0005-0000-0000-00009A020000}"/>
    <cellStyle name="20 % - Akzent1 5 2 4 3 2 3" xfId="1407" xr:uid="{00000000-0005-0000-0000-00009B020000}"/>
    <cellStyle name="20 % - Akzent1 5 2 4 3 3" xfId="1408" xr:uid="{00000000-0005-0000-0000-00009C020000}"/>
    <cellStyle name="20 % - Akzent1 5 2 4 3 3 2" xfId="1409" xr:uid="{00000000-0005-0000-0000-00009D020000}"/>
    <cellStyle name="20 % - Akzent1 5 2 4 3 3 3" xfId="1410" xr:uid="{00000000-0005-0000-0000-00009E020000}"/>
    <cellStyle name="20 % - Akzent1 5 2 4 3 4" xfId="1411" xr:uid="{00000000-0005-0000-0000-00009F020000}"/>
    <cellStyle name="20 % - Akzent1 5 2 4 3 4 2" xfId="1412" xr:uid="{00000000-0005-0000-0000-0000A0020000}"/>
    <cellStyle name="20 % - Akzent1 5 2 4 3 5" xfId="1413" xr:uid="{00000000-0005-0000-0000-0000A1020000}"/>
    <cellStyle name="20 % - Akzent1 5 2 4 3 6" xfId="1414" xr:uid="{00000000-0005-0000-0000-0000A2020000}"/>
    <cellStyle name="20 % - Akzent1 5 2 4 4" xfId="1415" xr:uid="{00000000-0005-0000-0000-0000A3020000}"/>
    <cellStyle name="20 % - Akzent1 5 2 4 4 2" xfId="1416" xr:uid="{00000000-0005-0000-0000-0000A4020000}"/>
    <cellStyle name="20 % - Akzent1 5 2 4 4 3" xfId="1417" xr:uid="{00000000-0005-0000-0000-0000A5020000}"/>
    <cellStyle name="20 % - Akzent1 5 2 4 5" xfId="1418" xr:uid="{00000000-0005-0000-0000-0000A6020000}"/>
    <cellStyle name="20 % - Akzent1 5 2 4 5 2" xfId="1419" xr:uid="{00000000-0005-0000-0000-0000A7020000}"/>
    <cellStyle name="20 % - Akzent1 5 2 4 5 3" xfId="1420" xr:uid="{00000000-0005-0000-0000-0000A8020000}"/>
    <cellStyle name="20 % - Akzent1 5 2 4 6" xfId="1421" xr:uid="{00000000-0005-0000-0000-0000A9020000}"/>
    <cellStyle name="20 % - Akzent1 5 2 4 6 2" xfId="1422" xr:uid="{00000000-0005-0000-0000-0000AA020000}"/>
    <cellStyle name="20 % - Akzent1 5 2 4 7" xfId="1423" xr:uid="{00000000-0005-0000-0000-0000AB020000}"/>
    <cellStyle name="20 % - Akzent1 5 2 4 8" xfId="1424" xr:uid="{00000000-0005-0000-0000-0000AC020000}"/>
    <cellStyle name="20 % - Akzent1 5 2 5" xfId="1425" xr:uid="{00000000-0005-0000-0000-0000AD020000}"/>
    <cellStyle name="20 % - Akzent1 5 2 5 2" xfId="1426" xr:uid="{00000000-0005-0000-0000-0000AE020000}"/>
    <cellStyle name="20 % - Akzent1 5 2 5 2 2" xfId="1427" xr:uid="{00000000-0005-0000-0000-0000AF020000}"/>
    <cellStyle name="20 % - Akzent1 5 2 5 2 2 2" xfId="1428" xr:uid="{00000000-0005-0000-0000-0000B0020000}"/>
    <cellStyle name="20 % - Akzent1 5 2 5 2 2 3" xfId="1429" xr:uid="{00000000-0005-0000-0000-0000B1020000}"/>
    <cellStyle name="20 % - Akzent1 5 2 5 2 3" xfId="1430" xr:uid="{00000000-0005-0000-0000-0000B2020000}"/>
    <cellStyle name="20 % - Akzent1 5 2 5 2 3 2" xfId="1431" xr:uid="{00000000-0005-0000-0000-0000B3020000}"/>
    <cellStyle name="20 % - Akzent1 5 2 5 2 3 3" xfId="1432" xr:uid="{00000000-0005-0000-0000-0000B4020000}"/>
    <cellStyle name="20 % - Akzent1 5 2 5 2 4" xfId="1433" xr:uid="{00000000-0005-0000-0000-0000B5020000}"/>
    <cellStyle name="20 % - Akzent1 5 2 5 2 4 2" xfId="1434" xr:uid="{00000000-0005-0000-0000-0000B6020000}"/>
    <cellStyle name="20 % - Akzent1 5 2 5 2 5" xfId="1435" xr:uid="{00000000-0005-0000-0000-0000B7020000}"/>
    <cellStyle name="20 % - Akzent1 5 2 5 2 6" xfId="1436" xr:uid="{00000000-0005-0000-0000-0000B8020000}"/>
    <cellStyle name="20 % - Akzent1 5 2 5 3" xfId="1437" xr:uid="{00000000-0005-0000-0000-0000B9020000}"/>
    <cellStyle name="20 % - Akzent1 5 2 5 3 2" xfId="1438" xr:uid="{00000000-0005-0000-0000-0000BA020000}"/>
    <cellStyle name="20 % - Akzent1 5 2 5 3 3" xfId="1439" xr:uid="{00000000-0005-0000-0000-0000BB020000}"/>
    <cellStyle name="20 % - Akzent1 5 2 5 4" xfId="1440" xr:uid="{00000000-0005-0000-0000-0000BC020000}"/>
    <cellStyle name="20 % - Akzent1 5 2 5 4 2" xfId="1441" xr:uid="{00000000-0005-0000-0000-0000BD020000}"/>
    <cellStyle name="20 % - Akzent1 5 2 5 4 3" xfId="1442" xr:uid="{00000000-0005-0000-0000-0000BE020000}"/>
    <cellStyle name="20 % - Akzent1 5 2 5 5" xfId="1443" xr:uid="{00000000-0005-0000-0000-0000BF020000}"/>
    <cellStyle name="20 % - Akzent1 5 2 5 5 2" xfId="1444" xr:uid="{00000000-0005-0000-0000-0000C0020000}"/>
    <cellStyle name="20 % - Akzent1 5 2 5 6" xfId="1445" xr:uid="{00000000-0005-0000-0000-0000C1020000}"/>
    <cellStyle name="20 % - Akzent1 5 2 5 7" xfId="1446" xr:uid="{00000000-0005-0000-0000-0000C2020000}"/>
    <cellStyle name="20 % - Akzent1 5 2 6" xfId="1447" xr:uid="{00000000-0005-0000-0000-0000C3020000}"/>
    <cellStyle name="20 % - Akzent1 5 2 6 2" xfId="1448" xr:uid="{00000000-0005-0000-0000-0000C4020000}"/>
    <cellStyle name="20 % - Akzent1 5 2 6 2 2" xfId="1449" xr:uid="{00000000-0005-0000-0000-0000C5020000}"/>
    <cellStyle name="20 % - Akzent1 5 2 6 2 3" xfId="1450" xr:uid="{00000000-0005-0000-0000-0000C6020000}"/>
    <cellStyle name="20 % - Akzent1 5 2 6 3" xfId="1451" xr:uid="{00000000-0005-0000-0000-0000C7020000}"/>
    <cellStyle name="20 % - Akzent1 5 2 6 3 2" xfId="1452" xr:uid="{00000000-0005-0000-0000-0000C8020000}"/>
    <cellStyle name="20 % - Akzent1 5 2 6 3 3" xfId="1453" xr:uid="{00000000-0005-0000-0000-0000C9020000}"/>
    <cellStyle name="20 % - Akzent1 5 2 6 4" xfId="1454" xr:uid="{00000000-0005-0000-0000-0000CA020000}"/>
    <cellStyle name="20 % - Akzent1 5 2 6 4 2" xfId="1455" xr:uid="{00000000-0005-0000-0000-0000CB020000}"/>
    <cellStyle name="20 % - Akzent1 5 2 6 5" xfId="1456" xr:uid="{00000000-0005-0000-0000-0000CC020000}"/>
    <cellStyle name="20 % - Akzent1 5 2 6 6" xfId="1457" xr:uid="{00000000-0005-0000-0000-0000CD020000}"/>
    <cellStyle name="20 % - Akzent1 5 2 7" xfId="1458" xr:uid="{00000000-0005-0000-0000-0000CE020000}"/>
    <cellStyle name="20 % - Akzent1 5 2 7 2" xfId="1459" xr:uid="{00000000-0005-0000-0000-0000CF020000}"/>
    <cellStyle name="20 % - Akzent1 5 2 7 3" xfId="1460" xr:uid="{00000000-0005-0000-0000-0000D0020000}"/>
    <cellStyle name="20 % - Akzent1 5 2 8" xfId="1461" xr:uid="{00000000-0005-0000-0000-0000D1020000}"/>
    <cellStyle name="20 % - Akzent1 5 2 8 2" xfId="1462" xr:uid="{00000000-0005-0000-0000-0000D2020000}"/>
    <cellStyle name="20 % - Akzent1 5 2 8 3" xfId="1463" xr:uid="{00000000-0005-0000-0000-0000D3020000}"/>
    <cellStyle name="20 % - Akzent1 5 2 9" xfId="1464" xr:uid="{00000000-0005-0000-0000-0000D4020000}"/>
    <cellStyle name="20 % - Akzent1 5 2 9 2" xfId="1465" xr:uid="{00000000-0005-0000-0000-0000D5020000}"/>
    <cellStyle name="20 % - Akzent1 6" xfId="1466" xr:uid="{00000000-0005-0000-0000-0000D6020000}"/>
    <cellStyle name="20 % - Akzent2 2" xfId="61" xr:uid="{00000000-0005-0000-0000-0000D7020000}"/>
    <cellStyle name="20 % - Akzent2 2 2" xfId="62" xr:uid="{00000000-0005-0000-0000-0000D8020000}"/>
    <cellStyle name="20 % - Akzent2 2 2 2" xfId="63" xr:uid="{00000000-0005-0000-0000-0000D9020000}"/>
    <cellStyle name="20 % - Akzent2 2 2 2 2" xfId="33351" xr:uid="{00000000-0005-0000-0000-0000DA020000}"/>
    <cellStyle name="20 % - Akzent2 2 2 2 3" xfId="33350" xr:uid="{00000000-0005-0000-0000-0000DB020000}"/>
    <cellStyle name="20 % - Akzent2 2 2 3" xfId="33053" xr:uid="{00000000-0005-0000-0000-0000DC020000}"/>
    <cellStyle name="20 % - Akzent2 2 2 3 2" xfId="33352" xr:uid="{00000000-0005-0000-0000-0000DD020000}"/>
    <cellStyle name="20 % - Akzent2 2 2 4" xfId="33128" xr:uid="{00000000-0005-0000-0000-0000DE020000}"/>
    <cellStyle name="20 % - Akzent2 2 2 5" xfId="33203" xr:uid="{00000000-0005-0000-0000-0000DF020000}"/>
    <cellStyle name="20 % - Akzent2 2 2 6" xfId="33278" xr:uid="{00000000-0005-0000-0000-0000E0020000}"/>
    <cellStyle name="20 % - Akzent2 2 2 7" xfId="33349" xr:uid="{00000000-0005-0000-0000-0000E1020000}"/>
    <cellStyle name="20 % - Akzent2 2 3" xfId="64" xr:uid="{00000000-0005-0000-0000-0000E2020000}"/>
    <cellStyle name="20 % - Akzent2 2 3 2" xfId="1467" xr:uid="{00000000-0005-0000-0000-0000E3020000}"/>
    <cellStyle name="20 % - Akzent2 2 3 3" xfId="33054" xr:uid="{00000000-0005-0000-0000-0000E4020000}"/>
    <cellStyle name="20 % - Akzent2 2 3 4" xfId="33129" xr:uid="{00000000-0005-0000-0000-0000E5020000}"/>
    <cellStyle name="20 % - Akzent2 2 3 5" xfId="33204" xr:uid="{00000000-0005-0000-0000-0000E6020000}"/>
    <cellStyle name="20 % - Akzent2 2 3 6" xfId="33279" xr:uid="{00000000-0005-0000-0000-0000E7020000}"/>
    <cellStyle name="20 % - Akzent2 2 4" xfId="65" xr:uid="{00000000-0005-0000-0000-0000E8020000}"/>
    <cellStyle name="20 % - Akzent2 2 4 2" xfId="33055" xr:uid="{00000000-0005-0000-0000-0000E9020000}"/>
    <cellStyle name="20 % - Akzent2 2 4 3" xfId="33130" xr:uid="{00000000-0005-0000-0000-0000EA020000}"/>
    <cellStyle name="20 % - Akzent2 2 4 4" xfId="33205" xr:uid="{00000000-0005-0000-0000-0000EB020000}"/>
    <cellStyle name="20 % - Akzent2 2 4 5" xfId="33280" xr:uid="{00000000-0005-0000-0000-0000EC020000}"/>
    <cellStyle name="20 % - Akzent2 2 5" xfId="66" xr:uid="{00000000-0005-0000-0000-0000ED020000}"/>
    <cellStyle name="20 % - Akzent2 2 6" xfId="33052" xr:uid="{00000000-0005-0000-0000-0000EE020000}"/>
    <cellStyle name="20 % - Akzent2 2 7" xfId="33127" xr:uid="{00000000-0005-0000-0000-0000EF020000}"/>
    <cellStyle name="20 % - Akzent2 2 8" xfId="33202" xr:uid="{00000000-0005-0000-0000-0000F0020000}"/>
    <cellStyle name="20 % - Akzent2 2 9" xfId="33277" xr:uid="{00000000-0005-0000-0000-0000F1020000}"/>
    <cellStyle name="20 % - Akzent2 3" xfId="67" xr:uid="{00000000-0005-0000-0000-0000F2020000}"/>
    <cellStyle name="20 % - Akzent2 3 2" xfId="68" xr:uid="{00000000-0005-0000-0000-0000F3020000}"/>
    <cellStyle name="20 % - Akzent2 3 2 10" xfId="1468" xr:uid="{00000000-0005-0000-0000-0000F4020000}"/>
    <cellStyle name="20 % - Akzent2 3 2 11" xfId="1469" xr:uid="{00000000-0005-0000-0000-0000F5020000}"/>
    <cellStyle name="20 % - Akzent2 3 2 12" xfId="33056" xr:uid="{00000000-0005-0000-0000-0000F6020000}"/>
    <cellStyle name="20 % - Akzent2 3 2 13" xfId="33131" xr:uid="{00000000-0005-0000-0000-0000F7020000}"/>
    <cellStyle name="20 % - Akzent2 3 2 14" xfId="33206" xr:uid="{00000000-0005-0000-0000-0000F8020000}"/>
    <cellStyle name="20 % - Akzent2 3 2 15" xfId="33281" xr:uid="{00000000-0005-0000-0000-0000F9020000}"/>
    <cellStyle name="20 % - Akzent2 3 2 2" xfId="1470" xr:uid="{00000000-0005-0000-0000-0000FA020000}"/>
    <cellStyle name="20 % - Akzent2 3 2 2 10" xfId="1471" xr:uid="{00000000-0005-0000-0000-0000FB020000}"/>
    <cellStyle name="20 % - Akzent2 3 2 2 2" xfId="1472" xr:uid="{00000000-0005-0000-0000-0000FC020000}"/>
    <cellStyle name="20 % - Akzent2 3 2 2 2 2" xfId="1473" xr:uid="{00000000-0005-0000-0000-0000FD020000}"/>
    <cellStyle name="20 % - Akzent2 3 2 2 2 2 2" xfId="1474" xr:uid="{00000000-0005-0000-0000-0000FE020000}"/>
    <cellStyle name="20 % - Akzent2 3 2 2 2 2 2 2" xfId="1475" xr:uid="{00000000-0005-0000-0000-0000FF020000}"/>
    <cellStyle name="20 % - Akzent2 3 2 2 2 2 2 2 2" xfId="1476" xr:uid="{00000000-0005-0000-0000-000000030000}"/>
    <cellStyle name="20 % - Akzent2 3 2 2 2 2 2 2 3" xfId="1477" xr:uid="{00000000-0005-0000-0000-000001030000}"/>
    <cellStyle name="20 % - Akzent2 3 2 2 2 2 2 3" xfId="1478" xr:uid="{00000000-0005-0000-0000-000002030000}"/>
    <cellStyle name="20 % - Akzent2 3 2 2 2 2 2 3 2" xfId="1479" xr:uid="{00000000-0005-0000-0000-000003030000}"/>
    <cellStyle name="20 % - Akzent2 3 2 2 2 2 2 3 3" xfId="1480" xr:uid="{00000000-0005-0000-0000-000004030000}"/>
    <cellStyle name="20 % - Akzent2 3 2 2 2 2 2 4" xfId="1481" xr:uid="{00000000-0005-0000-0000-000005030000}"/>
    <cellStyle name="20 % - Akzent2 3 2 2 2 2 2 4 2" xfId="1482" xr:uid="{00000000-0005-0000-0000-000006030000}"/>
    <cellStyle name="20 % - Akzent2 3 2 2 2 2 2 5" xfId="1483" xr:uid="{00000000-0005-0000-0000-000007030000}"/>
    <cellStyle name="20 % - Akzent2 3 2 2 2 2 2 6" xfId="1484" xr:uid="{00000000-0005-0000-0000-000008030000}"/>
    <cellStyle name="20 % - Akzent2 3 2 2 2 2 3" xfId="1485" xr:uid="{00000000-0005-0000-0000-000009030000}"/>
    <cellStyle name="20 % - Akzent2 3 2 2 2 2 3 2" xfId="1486" xr:uid="{00000000-0005-0000-0000-00000A030000}"/>
    <cellStyle name="20 % - Akzent2 3 2 2 2 2 3 3" xfId="1487" xr:uid="{00000000-0005-0000-0000-00000B030000}"/>
    <cellStyle name="20 % - Akzent2 3 2 2 2 2 4" xfId="1488" xr:uid="{00000000-0005-0000-0000-00000C030000}"/>
    <cellStyle name="20 % - Akzent2 3 2 2 2 2 4 2" xfId="1489" xr:uid="{00000000-0005-0000-0000-00000D030000}"/>
    <cellStyle name="20 % - Akzent2 3 2 2 2 2 4 3" xfId="1490" xr:uid="{00000000-0005-0000-0000-00000E030000}"/>
    <cellStyle name="20 % - Akzent2 3 2 2 2 2 5" xfId="1491" xr:uid="{00000000-0005-0000-0000-00000F030000}"/>
    <cellStyle name="20 % - Akzent2 3 2 2 2 2 5 2" xfId="1492" xr:uid="{00000000-0005-0000-0000-000010030000}"/>
    <cellStyle name="20 % - Akzent2 3 2 2 2 2 6" xfId="1493" xr:uid="{00000000-0005-0000-0000-000011030000}"/>
    <cellStyle name="20 % - Akzent2 3 2 2 2 2 7" xfId="1494" xr:uid="{00000000-0005-0000-0000-000012030000}"/>
    <cellStyle name="20 % - Akzent2 3 2 2 2 3" xfId="1495" xr:uid="{00000000-0005-0000-0000-000013030000}"/>
    <cellStyle name="20 % - Akzent2 3 2 2 2 3 2" xfId="1496" xr:uid="{00000000-0005-0000-0000-000014030000}"/>
    <cellStyle name="20 % - Akzent2 3 2 2 2 3 2 2" xfId="1497" xr:uid="{00000000-0005-0000-0000-000015030000}"/>
    <cellStyle name="20 % - Akzent2 3 2 2 2 3 2 3" xfId="1498" xr:uid="{00000000-0005-0000-0000-000016030000}"/>
    <cellStyle name="20 % - Akzent2 3 2 2 2 3 3" xfId="1499" xr:uid="{00000000-0005-0000-0000-000017030000}"/>
    <cellStyle name="20 % - Akzent2 3 2 2 2 3 3 2" xfId="1500" xr:uid="{00000000-0005-0000-0000-000018030000}"/>
    <cellStyle name="20 % - Akzent2 3 2 2 2 3 3 3" xfId="1501" xr:uid="{00000000-0005-0000-0000-000019030000}"/>
    <cellStyle name="20 % - Akzent2 3 2 2 2 3 4" xfId="1502" xr:uid="{00000000-0005-0000-0000-00001A030000}"/>
    <cellStyle name="20 % - Akzent2 3 2 2 2 3 4 2" xfId="1503" xr:uid="{00000000-0005-0000-0000-00001B030000}"/>
    <cellStyle name="20 % - Akzent2 3 2 2 2 3 5" xfId="1504" xr:uid="{00000000-0005-0000-0000-00001C030000}"/>
    <cellStyle name="20 % - Akzent2 3 2 2 2 3 6" xfId="1505" xr:uid="{00000000-0005-0000-0000-00001D030000}"/>
    <cellStyle name="20 % - Akzent2 3 2 2 2 4" xfId="1506" xr:uid="{00000000-0005-0000-0000-00001E030000}"/>
    <cellStyle name="20 % - Akzent2 3 2 2 2 4 2" xfId="1507" xr:uid="{00000000-0005-0000-0000-00001F030000}"/>
    <cellStyle name="20 % - Akzent2 3 2 2 2 4 3" xfId="1508" xr:uid="{00000000-0005-0000-0000-000020030000}"/>
    <cellStyle name="20 % - Akzent2 3 2 2 2 5" xfId="1509" xr:uid="{00000000-0005-0000-0000-000021030000}"/>
    <cellStyle name="20 % - Akzent2 3 2 2 2 5 2" xfId="1510" xr:uid="{00000000-0005-0000-0000-000022030000}"/>
    <cellStyle name="20 % - Akzent2 3 2 2 2 5 3" xfId="1511" xr:uid="{00000000-0005-0000-0000-000023030000}"/>
    <cellStyle name="20 % - Akzent2 3 2 2 2 6" xfId="1512" xr:uid="{00000000-0005-0000-0000-000024030000}"/>
    <cellStyle name="20 % - Akzent2 3 2 2 2 6 2" xfId="1513" xr:uid="{00000000-0005-0000-0000-000025030000}"/>
    <cellStyle name="20 % - Akzent2 3 2 2 2 7" xfId="1514" xr:uid="{00000000-0005-0000-0000-000026030000}"/>
    <cellStyle name="20 % - Akzent2 3 2 2 2 8" xfId="1515" xr:uid="{00000000-0005-0000-0000-000027030000}"/>
    <cellStyle name="20 % - Akzent2 3 2 2 3" xfId="1516" xr:uid="{00000000-0005-0000-0000-000028030000}"/>
    <cellStyle name="20 % - Akzent2 3 2 2 3 2" xfId="1517" xr:uid="{00000000-0005-0000-0000-000029030000}"/>
    <cellStyle name="20 % - Akzent2 3 2 2 3 2 2" xfId="1518" xr:uid="{00000000-0005-0000-0000-00002A030000}"/>
    <cellStyle name="20 % - Akzent2 3 2 2 3 2 2 2" xfId="1519" xr:uid="{00000000-0005-0000-0000-00002B030000}"/>
    <cellStyle name="20 % - Akzent2 3 2 2 3 2 2 2 2" xfId="1520" xr:uid="{00000000-0005-0000-0000-00002C030000}"/>
    <cellStyle name="20 % - Akzent2 3 2 2 3 2 2 2 3" xfId="1521" xr:uid="{00000000-0005-0000-0000-00002D030000}"/>
    <cellStyle name="20 % - Akzent2 3 2 2 3 2 2 3" xfId="1522" xr:uid="{00000000-0005-0000-0000-00002E030000}"/>
    <cellStyle name="20 % - Akzent2 3 2 2 3 2 2 3 2" xfId="1523" xr:uid="{00000000-0005-0000-0000-00002F030000}"/>
    <cellStyle name="20 % - Akzent2 3 2 2 3 2 2 3 3" xfId="1524" xr:uid="{00000000-0005-0000-0000-000030030000}"/>
    <cellStyle name="20 % - Akzent2 3 2 2 3 2 2 4" xfId="1525" xr:uid="{00000000-0005-0000-0000-000031030000}"/>
    <cellStyle name="20 % - Akzent2 3 2 2 3 2 2 4 2" xfId="1526" xr:uid="{00000000-0005-0000-0000-000032030000}"/>
    <cellStyle name="20 % - Akzent2 3 2 2 3 2 2 5" xfId="1527" xr:uid="{00000000-0005-0000-0000-000033030000}"/>
    <cellStyle name="20 % - Akzent2 3 2 2 3 2 2 6" xfId="1528" xr:uid="{00000000-0005-0000-0000-000034030000}"/>
    <cellStyle name="20 % - Akzent2 3 2 2 3 2 3" xfId="1529" xr:uid="{00000000-0005-0000-0000-000035030000}"/>
    <cellStyle name="20 % - Akzent2 3 2 2 3 2 3 2" xfId="1530" xr:uid="{00000000-0005-0000-0000-000036030000}"/>
    <cellStyle name="20 % - Akzent2 3 2 2 3 2 3 3" xfId="1531" xr:uid="{00000000-0005-0000-0000-000037030000}"/>
    <cellStyle name="20 % - Akzent2 3 2 2 3 2 4" xfId="1532" xr:uid="{00000000-0005-0000-0000-000038030000}"/>
    <cellStyle name="20 % - Akzent2 3 2 2 3 2 4 2" xfId="1533" xr:uid="{00000000-0005-0000-0000-000039030000}"/>
    <cellStyle name="20 % - Akzent2 3 2 2 3 2 4 3" xfId="1534" xr:uid="{00000000-0005-0000-0000-00003A030000}"/>
    <cellStyle name="20 % - Akzent2 3 2 2 3 2 5" xfId="1535" xr:uid="{00000000-0005-0000-0000-00003B030000}"/>
    <cellStyle name="20 % - Akzent2 3 2 2 3 2 5 2" xfId="1536" xr:uid="{00000000-0005-0000-0000-00003C030000}"/>
    <cellStyle name="20 % - Akzent2 3 2 2 3 2 6" xfId="1537" xr:uid="{00000000-0005-0000-0000-00003D030000}"/>
    <cellStyle name="20 % - Akzent2 3 2 2 3 2 7" xfId="1538" xr:uid="{00000000-0005-0000-0000-00003E030000}"/>
    <cellStyle name="20 % - Akzent2 3 2 2 3 3" xfId="1539" xr:uid="{00000000-0005-0000-0000-00003F030000}"/>
    <cellStyle name="20 % - Akzent2 3 2 2 3 3 2" xfId="1540" xr:uid="{00000000-0005-0000-0000-000040030000}"/>
    <cellStyle name="20 % - Akzent2 3 2 2 3 3 2 2" xfId="1541" xr:uid="{00000000-0005-0000-0000-000041030000}"/>
    <cellStyle name="20 % - Akzent2 3 2 2 3 3 2 3" xfId="1542" xr:uid="{00000000-0005-0000-0000-000042030000}"/>
    <cellStyle name="20 % - Akzent2 3 2 2 3 3 3" xfId="1543" xr:uid="{00000000-0005-0000-0000-000043030000}"/>
    <cellStyle name="20 % - Akzent2 3 2 2 3 3 3 2" xfId="1544" xr:uid="{00000000-0005-0000-0000-000044030000}"/>
    <cellStyle name="20 % - Akzent2 3 2 2 3 3 3 3" xfId="1545" xr:uid="{00000000-0005-0000-0000-000045030000}"/>
    <cellStyle name="20 % - Akzent2 3 2 2 3 3 4" xfId="1546" xr:uid="{00000000-0005-0000-0000-000046030000}"/>
    <cellStyle name="20 % - Akzent2 3 2 2 3 3 4 2" xfId="1547" xr:uid="{00000000-0005-0000-0000-000047030000}"/>
    <cellStyle name="20 % - Akzent2 3 2 2 3 3 5" xfId="1548" xr:uid="{00000000-0005-0000-0000-000048030000}"/>
    <cellStyle name="20 % - Akzent2 3 2 2 3 3 6" xfId="1549" xr:uid="{00000000-0005-0000-0000-000049030000}"/>
    <cellStyle name="20 % - Akzent2 3 2 2 3 4" xfId="1550" xr:uid="{00000000-0005-0000-0000-00004A030000}"/>
    <cellStyle name="20 % - Akzent2 3 2 2 3 4 2" xfId="1551" xr:uid="{00000000-0005-0000-0000-00004B030000}"/>
    <cellStyle name="20 % - Akzent2 3 2 2 3 4 3" xfId="1552" xr:uid="{00000000-0005-0000-0000-00004C030000}"/>
    <cellStyle name="20 % - Akzent2 3 2 2 3 5" xfId="1553" xr:uid="{00000000-0005-0000-0000-00004D030000}"/>
    <cellStyle name="20 % - Akzent2 3 2 2 3 5 2" xfId="1554" xr:uid="{00000000-0005-0000-0000-00004E030000}"/>
    <cellStyle name="20 % - Akzent2 3 2 2 3 5 3" xfId="1555" xr:uid="{00000000-0005-0000-0000-00004F030000}"/>
    <cellStyle name="20 % - Akzent2 3 2 2 3 6" xfId="1556" xr:uid="{00000000-0005-0000-0000-000050030000}"/>
    <cellStyle name="20 % - Akzent2 3 2 2 3 6 2" xfId="1557" xr:uid="{00000000-0005-0000-0000-000051030000}"/>
    <cellStyle name="20 % - Akzent2 3 2 2 3 7" xfId="1558" xr:uid="{00000000-0005-0000-0000-000052030000}"/>
    <cellStyle name="20 % - Akzent2 3 2 2 3 8" xfId="1559" xr:uid="{00000000-0005-0000-0000-000053030000}"/>
    <cellStyle name="20 % - Akzent2 3 2 2 4" xfId="1560" xr:uid="{00000000-0005-0000-0000-000054030000}"/>
    <cellStyle name="20 % - Akzent2 3 2 2 4 2" xfId="1561" xr:uid="{00000000-0005-0000-0000-000055030000}"/>
    <cellStyle name="20 % - Akzent2 3 2 2 4 2 2" xfId="1562" xr:uid="{00000000-0005-0000-0000-000056030000}"/>
    <cellStyle name="20 % - Akzent2 3 2 2 4 2 2 2" xfId="1563" xr:uid="{00000000-0005-0000-0000-000057030000}"/>
    <cellStyle name="20 % - Akzent2 3 2 2 4 2 2 3" xfId="1564" xr:uid="{00000000-0005-0000-0000-000058030000}"/>
    <cellStyle name="20 % - Akzent2 3 2 2 4 2 3" xfId="1565" xr:uid="{00000000-0005-0000-0000-000059030000}"/>
    <cellStyle name="20 % - Akzent2 3 2 2 4 2 3 2" xfId="1566" xr:uid="{00000000-0005-0000-0000-00005A030000}"/>
    <cellStyle name="20 % - Akzent2 3 2 2 4 2 3 3" xfId="1567" xr:uid="{00000000-0005-0000-0000-00005B030000}"/>
    <cellStyle name="20 % - Akzent2 3 2 2 4 2 4" xfId="1568" xr:uid="{00000000-0005-0000-0000-00005C030000}"/>
    <cellStyle name="20 % - Akzent2 3 2 2 4 2 4 2" xfId="1569" xr:uid="{00000000-0005-0000-0000-00005D030000}"/>
    <cellStyle name="20 % - Akzent2 3 2 2 4 2 5" xfId="1570" xr:uid="{00000000-0005-0000-0000-00005E030000}"/>
    <cellStyle name="20 % - Akzent2 3 2 2 4 2 6" xfId="1571" xr:uid="{00000000-0005-0000-0000-00005F030000}"/>
    <cellStyle name="20 % - Akzent2 3 2 2 4 3" xfId="1572" xr:uid="{00000000-0005-0000-0000-000060030000}"/>
    <cellStyle name="20 % - Akzent2 3 2 2 4 3 2" xfId="1573" xr:uid="{00000000-0005-0000-0000-000061030000}"/>
    <cellStyle name="20 % - Akzent2 3 2 2 4 3 3" xfId="1574" xr:uid="{00000000-0005-0000-0000-000062030000}"/>
    <cellStyle name="20 % - Akzent2 3 2 2 4 4" xfId="1575" xr:uid="{00000000-0005-0000-0000-000063030000}"/>
    <cellStyle name="20 % - Akzent2 3 2 2 4 4 2" xfId="1576" xr:uid="{00000000-0005-0000-0000-000064030000}"/>
    <cellStyle name="20 % - Akzent2 3 2 2 4 4 3" xfId="1577" xr:uid="{00000000-0005-0000-0000-000065030000}"/>
    <cellStyle name="20 % - Akzent2 3 2 2 4 5" xfId="1578" xr:uid="{00000000-0005-0000-0000-000066030000}"/>
    <cellStyle name="20 % - Akzent2 3 2 2 4 5 2" xfId="1579" xr:uid="{00000000-0005-0000-0000-000067030000}"/>
    <cellStyle name="20 % - Akzent2 3 2 2 4 6" xfId="1580" xr:uid="{00000000-0005-0000-0000-000068030000}"/>
    <cellStyle name="20 % - Akzent2 3 2 2 4 7" xfId="1581" xr:uid="{00000000-0005-0000-0000-000069030000}"/>
    <cellStyle name="20 % - Akzent2 3 2 2 5" xfId="1582" xr:uid="{00000000-0005-0000-0000-00006A030000}"/>
    <cellStyle name="20 % - Akzent2 3 2 2 5 2" xfId="1583" xr:uid="{00000000-0005-0000-0000-00006B030000}"/>
    <cellStyle name="20 % - Akzent2 3 2 2 5 2 2" xfId="1584" xr:uid="{00000000-0005-0000-0000-00006C030000}"/>
    <cellStyle name="20 % - Akzent2 3 2 2 5 2 3" xfId="1585" xr:uid="{00000000-0005-0000-0000-00006D030000}"/>
    <cellStyle name="20 % - Akzent2 3 2 2 5 3" xfId="1586" xr:uid="{00000000-0005-0000-0000-00006E030000}"/>
    <cellStyle name="20 % - Akzent2 3 2 2 5 3 2" xfId="1587" xr:uid="{00000000-0005-0000-0000-00006F030000}"/>
    <cellStyle name="20 % - Akzent2 3 2 2 5 3 3" xfId="1588" xr:uid="{00000000-0005-0000-0000-000070030000}"/>
    <cellStyle name="20 % - Akzent2 3 2 2 5 4" xfId="1589" xr:uid="{00000000-0005-0000-0000-000071030000}"/>
    <cellStyle name="20 % - Akzent2 3 2 2 5 4 2" xfId="1590" xr:uid="{00000000-0005-0000-0000-000072030000}"/>
    <cellStyle name="20 % - Akzent2 3 2 2 5 5" xfId="1591" xr:uid="{00000000-0005-0000-0000-000073030000}"/>
    <cellStyle name="20 % - Akzent2 3 2 2 5 6" xfId="1592" xr:uid="{00000000-0005-0000-0000-000074030000}"/>
    <cellStyle name="20 % - Akzent2 3 2 2 6" xfId="1593" xr:uid="{00000000-0005-0000-0000-000075030000}"/>
    <cellStyle name="20 % - Akzent2 3 2 2 6 2" xfId="1594" xr:uid="{00000000-0005-0000-0000-000076030000}"/>
    <cellStyle name="20 % - Akzent2 3 2 2 6 3" xfId="1595" xr:uid="{00000000-0005-0000-0000-000077030000}"/>
    <cellStyle name="20 % - Akzent2 3 2 2 7" xfId="1596" xr:uid="{00000000-0005-0000-0000-000078030000}"/>
    <cellStyle name="20 % - Akzent2 3 2 2 7 2" xfId="1597" xr:uid="{00000000-0005-0000-0000-000079030000}"/>
    <cellStyle name="20 % - Akzent2 3 2 2 7 3" xfId="1598" xr:uid="{00000000-0005-0000-0000-00007A030000}"/>
    <cellStyle name="20 % - Akzent2 3 2 2 8" xfId="1599" xr:uid="{00000000-0005-0000-0000-00007B030000}"/>
    <cellStyle name="20 % - Akzent2 3 2 2 8 2" xfId="1600" xr:uid="{00000000-0005-0000-0000-00007C030000}"/>
    <cellStyle name="20 % - Akzent2 3 2 2 9" xfId="1601" xr:uid="{00000000-0005-0000-0000-00007D030000}"/>
    <cellStyle name="20 % - Akzent2 3 2 3" xfId="1602" xr:uid="{00000000-0005-0000-0000-00007E030000}"/>
    <cellStyle name="20 % - Akzent2 3 2 3 2" xfId="1603" xr:uid="{00000000-0005-0000-0000-00007F030000}"/>
    <cellStyle name="20 % - Akzent2 3 2 3 2 2" xfId="1604" xr:uid="{00000000-0005-0000-0000-000080030000}"/>
    <cellStyle name="20 % - Akzent2 3 2 3 2 2 2" xfId="1605" xr:uid="{00000000-0005-0000-0000-000081030000}"/>
    <cellStyle name="20 % - Akzent2 3 2 3 2 2 2 2" xfId="1606" xr:uid="{00000000-0005-0000-0000-000082030000}"/>
    <cellStyle name="20 % - Akzent2 3 2 3 2 2 2 3" xfId="1607" xr:uid="{00000000-0005-0000-0000-000083030000}"/>
    <cellStyle name="20 % - Akzent2 3 2 3 2 2 3" xfId="1608" xr:uid="{00000000-0005-0000-0000-000084030000}"/>
    <cellStyle name="20 % - Akzent2 3 2 3 2 2 3 2" xfId="1609" xr:uid="{00000000-0005-0000-0000-000085030000}"/>
    <cellStyle name="20 % - Akzent2 3 2 3 2 2 3 3" xfId="1610" xr:uid="{00000000-0005-0000-0000-000086030000}"/>
    <cellStyle name="20 % - Akzent2 3 2 3 2 2 4" xfId="1611" xr:uid="{00000000-0005-0000-0000-000087030000}"/>
    <cellStyle name="20 % - Akzent2 3 2 3 2 2 4 2" xfId="1612" xr:uid="{00000000-0005-0000-0000-000088030000}"/>
    <cellStyle name="20 % - Akzent2 3 2 3 2 2 5" xfId="1613" xr:uid="{00000000-0005-0000-0000-000089030000}"/>
    <cellStyle name="20 % - Akzent2 3 2 3 2 2 6" xfId="1614" xr:uid="{00000000-0005-0000-0000-00008A030000}"/>
    <cellStyle name="20 % - Akzent2 3 2 3 2 3" xfId="1615" xr:uid="{00000000-0005-0000-0000-00008B030000}"/>
    <cellStyle name="20 % - Akzent2 3 2 3 2 3 2" xfId="1616" xr:uid="{00000000-0005-0000-0000-00008C030000}"/>
    <cellStyle name="20 % - Akzent2 3 2 3 2 3 3" xfId="1617" xr:uid="{00000000-0005-0000-0000-00008D030000}"/>
    <cellStyle name="20 % - Akzent2 3 2 3 2 4" xfId="1618" xr:uid="{00000000-0005-0000-0000-00008E030000}"/>
    <cellStyle name="20 % - Akzent2 3 2 3 2 4 2" xfId="1619" xr:uid="{00000000-0005-0000-0000-00008F030000}"/>
    <cellStyle name="20 % - Akzent2 3 2 3 2 4 3" xfId="1620" xr:uid="{00000000-0005-0000-0000-000090030000}"/>
    <cellStyle name="20 % - Akzent2 3 2 3 2 5" xfId="1621" xr:uid="{00000000-0005-0000-0000-000091030000}"/>
    <cellStyle name="20 % - Akzent2 3 2 3 2 5 2" xfId="1622" xr:uid="{00000000-0005-0000-0000-000092030000}"/>
    <cellStyle name="20 % - Akzent2 3 2 3 2 6" xfId="1623" xr:uid="{00000000-0005-0000-0000-000093030000}"/>
    <cellStyle name="20 % - Akzent2 3 2 3 2 7" xfId="1624" xr:uid="{00000000-0005-0000-0000-000094030000}"/>
    <cellStyle name="20 % - Akzent2 3 2 3 3" xfId="1625" xr:uid="{00000000-0005-0000-0000-000095030000}"/>
    <cellStyle name="20 % - Akzent2 3 2 3 3 2" xfId="1626" xr:uid="{00000000-0005-0000-0000-000096030000}"/>
    <cellStyle name="20 % - Akzent2 3 2 3 3 2 2" xfId="1627" xr:uid="{00000000-0005-0000-0000-000097030000}"/>
    <cellStyle name="20 % - Akzent2 3 2 3 3 2 3" xfId="1628" xr:uid="{00000000-0005-0000-0000-000098030000}"/>
    <cellStyle name="20 % - Akzent2 3 2 3 3 3" xfId="1629" xr:uid="{00000000-0005-0000-0000-000099030000}"/>
    <cellStyle name="20 % - Akzent2 3 2 3 3 3 2" xfId="1630" xr:uid="{00000000-0005-0000-0000-00009A030000}"/>
    <cellStyle name="20 % - Akzent2 3 2 3 3 3 3" xfId="1631" xr:uid="{00000000-0005-0000-0000-00009B030000}"/>
    <cellStyle name="20 % - Akzent2 3 2 3 3 4" xfId="1632" xr:uid="{00000000-0005-0000-0000-00009C030000}"/>
    <cellStyle name="20 % - Akzent2 3 2 3 3 4 2" xfId="1633" xr:uid="{00000000-0005-0000-0000-00009D030000}"/>
    <cellStyle name="20 % - Akzent2 3 2 3 3 5" xfId="1634" xr:uid="{00000000-0005-0000-0000-00009E030000}"/>
    <cellStyle name="20 % - Akzent2 3 2 3 3 6" xfId="1635" xr:uid="{00000000-0005-0000-0000-00009F030000}"/>
    <cellStyle name="20 % - Akzent2 3 2 3 4" xfId="1636" xr:uid="{00000000-0005-0000-0000-0000A0030000}"/>
    <cellStyle name="20 % - Akzent2 3 2 3 4 2" xfId="1637" xr:uid="{00000000-0005-0000-0000-0000A1030000}"/>
    <cellStyle name="20 % - Akzent2 3 2 3 4 3" xfId="1638" xr:uid="{00000000-0005-0000-0000-0000A2030000}"/>
    <cellStyle name="20 % - Akzent2 3 2 3 5" xfId="1639" xr:uid="{00000000-0005-0000-0000-0000A3030000}"/>
    <cellStyle name="20 % - Akzent2 3 2 3 5 2" xfId="1640" xr:uid="{00000000-0005-0000-0000-0000A4030000}"/>
    <cellStyle name="20 % - Akzent2 3 2 3 5 3" xfId="1641" xr:uid="{00000000-0005-0000-0000-0000A5030000}"/>
    <cellStyle name="20 % - Akzent2 3 2 3 6" xfId="1642" xr:uid="{00000000-0005-0000-0000-0000A6030000}"/>
    <cellStyle name="20 % - Akzent2 3 2 3 6 2" xfId="1643" xr:uid="{00000000-0005-0000-0000-0000A7030000}"/>
    <cellStyle name="20 % - Akzent2 3 2 3 7" xfId="1644" xr:uid="{00000000-0005-0000-0000-0000A8030000}"/>
    <cellStyle name="20 % - Akzent2 3 2 3 8" xfId="1645" xr:uid="{00000000-0005-0000-0000-0000A9030000}"/>
    <cellStyle name="20 % - Akzent2 3 2 4" xfId="1646" xr:uid="{00000000-0005-0000-0000-0000AA030000}"/>
    <cellStyle name="20 % - Akzent2 3 2 4 2" xfId="1647" xr:uid="{00000000-0005-0000-0000-0000AB030000}"/>
    <cellStyle name="20 % - Akzent2 3 2 4 2 2" xfId="1648" xr:uid="{00000000-0005-0000-0000-0000AC030000}"/>
    <cellStyle name="20 % - Akzent2 3 2 4 2 2 2" xfId="1649" xr:uid="{00000000-0005-0000-0000-0000AD030000}"/>
    <cellStyle name="20 % - Akzent2 3 2 4 2 2 2 2" xfId="1650" xr:uid="{00000000-0005-0000-0000-0000AE030000}"/>
    <cellStyle name="20 % - Akzent2 3 2 4 2 2 2 3" xfId="1651" xr:uid="{00000000-0005-0000-0000-0000AF030000}"/>
    <cellStyle name="20 % - Akzent2 3 2 4 2 2 3" xfId="1652" xr:uid="{00000000-0005-0000-0000-0000B0030000}"/>
    <cellStyle name="20 % - Akzent2 3 2 4 2 2 3 2" xfId="1653" xr:uid="{00000000-0005-0000-0000-0000B1030000}"/>
    <cellStyle name="20 % - Akzent2 3 2 4 2 2 3 3" xfId="1654" xr:uid="{00000000-0005-0000-0000-0000B2030000}"/>
    <cellStyle name="20 % - Akzent2 3 2 4 2 2 4" xfId="1655" xr:uid="{00000000-0005-0000-0000-0000B3030000}"/>
    <cellStyle name="20 % - Akzent2 3 2 4 2 2 4 2" xfId="1656" xr:uid="{00000000-0005-0000-0000-0000B4030000}"/>
    <cellStyle name="20 % - Akzent2 3 2 4 2 2 5" xfId="1657" xr:uid="{00000000-0005-0000-0000-0000B5030000}"/>
    <cellStyle name="20 % - Akzent2 3 2 4 2 2 6" xfId="1658" xr:uid="{00000000-0005-0000-0000-0000B6030000}"/>
    <cellStyle name="20 % - Akzent2 3 2 4 2 3" xfId="1659" xr:uid="{00000000-0005-0000-0000-0000B7030000}"/>
    <cellStyle name="20 % - Akzent2 3 2 4 2 3 2" xfId="1660" xr:uid="{00000000-0005-0000-0000-0000B8030000}"/>
    <cellStyle name="20 % - Akzent2 3 2 4 2 3 3" xfId="1661" xr:uid="{00000000-0005-0000-0000-0000B9030000}"/>
    <cellStyle name="20 % - Akzent2 3 2 4 2 4" xfId="1662" xr:uid="{00000000-0005-0000-0000-0000BA030000}"/>
    <cellStyle name="20 % - Akzent2 3 2 4 2 4 2" xfId="1663" xr:uid="{00000000-0005-0000-0000-0000BB030000}"/>
    <cellStyle name="20 % - Akzent2 3 2 4 2 4 3" xfId="1664" xr:uid="{00000000-0005-0000-0000-0000BC030000}"/>
    <cellStyle name="20 % - Akzent2 3 2 4 2 5" xfId="1665" xr:uid="{00000000-0005-0000-0000-0000BD030000}"/>
    <cellStyle name="20 % - Akzent2 3 2 4 2 5 2" xfId="1666" xr:uid="{00000000-0005-0000-0000-0000BE030000}"/>
    <cellStyle name="20 % - Akzent2 3 2 4 2 6" xfId="1667" xr:uid="{00000000-0005-0000-0000-0000BF030000}"/>
    <cellStyle name="20 % - Akzent2 3 2 4 2 7" xfId="1668" xr:uid="{00000000-0005-0000-0000-0000C0030000}"/>
    <cellStyle name="20 % - Akzent2 3 2 4 3" xfId="1669" xr:uid="{00000000-0005-0000-0000-0000C1030000}"/>
    <cellStyle name="20 % - Akzent2 3 2 4 3 2" xfId="1670" xr:uid="{00000000-0005-0000-0000-0000C2030000}"/>
    <cellStyle name="20 % - Akzent2 3 2 4 3 2 2" xfId="1671" xr:uid="{00000000-0005-0000-0000-0000C3030000}"/>
    <cellStyle name="20 % - Akzent2 3 2 4 3 2 3" xfId="1672" xr:uid="{00000000-0005-0000-0000-0000C4030000}"/>
    <cellStyle name="20 % - Akzent2 3 2 4 3 3" xfId="1673" xr:uid="{00000000-0005-0000-0000-0000C5030000}"/>
    <cellStyle name="20 % - Akzent2 3 2 4 3 3 2" xfId="1674" xr:uid="{00000000-0005-0000-0000-0000C6030000}"/>
    <cellStyle name="20 % - Akzent2 3 2 4 3 3 3" xfId="1675" xr:uid="{00000000-0005-0000-0000-0000C7030000}"/>
    <cellStyle name="20 % - Akzent2 3 2 4 3 4" xfId="1676" xr:uid="{00000000-0005-0000-0000-0000C8030000}"/>
    <cellStyle name="20 % - Akzent2 3 2 4 3 4 2" xfId="1677" xr:uid="{00000000-0005-0000-0000-0000C9030000}"/>
    <cellStyle name="20 % - Akzent2 3 2 4 3 5" xfId="1678" xr:uid="{00000000-0005-0000-0000-0000CA030000}"/>
    <cellStyle name="20 % - Akzent2 3 2 4 3 6" xfId="1679" xr:uid="{00000000-0005-0000-0000-0000CB030000}"/>
    <cellStyle name="20 % - Akzent2 3 2 4 4" xfId="1680" xr:uid="{00000000-0005-0000-0000-0000CC030000}"/>
    <cellStyle name="20 % - Akzent2 3 2 4 4 2" xfId="1681" xr:uid="{00000000-0005-0000-0000-0000CD030000}"/>
    <cellStyle name="20 % - Akzent2 3 2 4 4 3" xfId="1682" xr:uid="{00000000-0005-0000-0000-0000CE030000}"/>
    <cellStyle name="20 % - Akzent2 3 2 4 5" xfId="1683" xr:uid="{00000000-0005-0000-0000-0000CF030000}"/>
    <cellStyle name="20 % - Akzent2 3 2 4 5 2" xfId="1684" xr:uid="{00000000-0005-0000-0000-0000D0030000}"/>
    <cellStyle name="20 % - Akzent2 3 2 4 5 3" xfId="1685" xr:uid="{00000000-0005-0000-0000-0000D1030000}"/>
    <cellStyle name="20 % - Akzent2 3 2 4 6" xfId="1686" xr:uid="{00000000-0005-0000-0000-0000D2030000}"/>
    <cellStyle name="20 % - Akzent2 3 2 4 6 2" xfId="1687" xr:uid="{00000000-0005-0000-0000-0000D3030000}"/>
    <cellStyle name="20 % - Akzent2 3 2 4 7" xfId="1688" xr:uid="{00000000-0005-0000-0000-0000D4030000}"/>
    <cellStyle name="20 % - Akzent2 3 2 4 8" xfId="1689" xr:uid="{00000000-0005-0000-0000-0000D5030000}"/>
    <cellStyle name="20 % - Akzent2 3 2 5" xfId="1690" xr:uid="{00000000-0005-0000-0000-0000D6030000}"/>
    <cellStyle name="20 % - Akzent2 3 2 5 2" xfId="1691" xr:uid="{00000000-0005-0000-0000-0000D7030000}"/>
    <cellStyle name="20 % - Akzent2 3 2 5 2 2" xfId="1692" xr:uid="{00000000-0005-0000-0000-0000D8030000}"/>
    <cellStyle name="20 % - Akzent2 3 2 5 2 2 2" xfId="1693" xr:uid="{00000000-0005-0000-0000-0000D9030000}"/>
    <cellStyle name="20 % - Akzent2 3 2 5 2 2 3" xfId="1694" xr:uid="{00000000-0005-0000-0000-0000DA030000}"/>
    <cellStyle name="20 % - Akzent2 3 2 5 2 3" xfId="1695" xr:uid="{00000000-0005-0000-0000-0000DB030000}"/>
    <cellStyle name="20 % - Akzent2 3 2 5 2 3 2" xfId="1696" xr:uid="{00000000-0005-0000-0000-0000DC030000}"/>
    <cellStyle name="20 % - Akzent2 3 2 5 2 3 3" xfId="1697" xr:uid="{00000000-0005-0000-0000-0000DD030000}"/>
    <cellStyle name="20 % - Akzent2 3 2 5 2 4" xfId="1698" xr:uid="{00000000-0005-0000-0000-0000DE030000}"/>
    <cellStyle name="20 % - Akzent2 3 2 5 2 4 2" xfId="1699" xr:uid="{00000000-0005-0000-0000-0000DF030000}"/>
    <cellStyle name="20 % - Akzent2 3 2 5 2 5" xfId="1700" xr:uid="{00000000-0005-0000-0000-0000E0030000}"/>
    <cellStyle name="20 % - Akzent2 3 2 5 2 6" xfId="1701" xr:uid="{00000000-0005-0000-0000-0000E1030000}"/>
    <cellStyle name="20 % - Akzent2 3 2 5 3" xfId="1702" xr:uid="{00000000-0005-0000-0000-0000E2030000}"/>
    <cellStyle name="20 % - Akzent2 3 2 5 3 2" xfId="1703" xr:uid="{00000000-0005-0000-0000-0000E3030000}"/>
    <cellStyle name="20 % - Akzent2 3 2 5 3 3" xfId="1704" xr:uid="{00000000-0005-0000-0000-0000E4030000}"/>
    <cellStyle name="20 % - Akzent2 3 2 5 4" xfId="1705" xr:uid="{00000000-0005-0000-0000-0000E5030000}"/>
    <cellStyle name="20 % - Akzent2 3 2 5 4 2" xfId="1706" xr:uid="{00000000-0005-0000-0000-0000E6030000}"/>
    <cellStyle name="20 % - Akzent2 3 2 5 4 3" xfId="1707" xr:uid="{00000000-0005-0000-0000-0000E7030000}"/>
    <cellStyle name="20 % - Akzent2 3 2 5 5" xfId="1708" xr:uid="{00000000-0005-0000-0000-0000E8030000}"/>
    <cellStyle name="20 % - Akzent2 3 2 5 5 2" xfId="1709" xr:uid="{00000000-0005-0000-0000-0000E9030000}"/>
    <cellStyle name="20 % - Akzent2 3 2 5 6" xfId="1710" xr:uid="{00000000-0005-0000-0000-0000EA030000}"/>
    <cellStyle name="20 % - Akzent2 3 2 5 7" xfId="1711" xr:uid="{00000000-0005-0000-0000-0000EB030000}"/>
    <cellStyle name="20 % - Akzent2 3 2 6" xfId="1712" xr:uid="{00000000-0005-0000-0000-0000EC030000}"/>
    <cellStyle name="20 % - Akzent2 3 2 6 2" xfId="1713" xr:uid="{00000000-0005-0000-0000-0000ED030000}"/>
    <cellStyle name="20 % - Akzent2 3 2 6 2 2" xfId="1714" xr:uid="{00000000-0005-0000-0000-0000EE030000}"/>
    <cellStyle name="20 % - Akzent2 3 2 6 2 3" xfId="1715" xr:uid="{00000000-0005-0000-0000-0000EF030000}"/>
    <cellStyle name="20 % - Akzent2 3 2 6 3" xfId="1716" xr:uid="{00000000-0005-0000-0000-0000F0030000}"/>
    <cellStyle name="20 % - Akzent2 3 2 6 3 2" xfId="1717" xr:uid="{00000000-0005-0000-0000-0000F1030000}"/>
    <cellStyle name="20 % - Akzent2 3 2 6 3 3" xfId="1718" xr:uid="{00000000-0005-0000-0000-0000F2030000}"/>
    <cellStyle name="20 % - Akzent2 3 2 6 4" xfId="1719" xr:uid="{00000000-0005-0000-0000-0000F3030000}"/>
    <cellStyle name="20 % - Akzent2 3 2 6 4 2" xfId="1720" xr:uid="{00000000-0005-0000-0000-0000F4030000}"/>
    <cellStyle name="20 % - Akzent2 3 2 6 5" xfId="1721" xr:uid="{00000000-0005-0000-0000-0000F5030000}"/>
    <cellStyle name="20 % - Akzent2 3 2 6 6" xfId="1722" xr:uid="{00000000-0005-0000-0000-0000F6030000}"/>
    <cellStyle name="20 % - Akzent2 3 2 7" xfId="1723" xr:uid="{00000000-0005-0000-0000-0000F7030000}"/>
    <cellStyle name="20 % - Akzent2 3 2 7 2" xfId="1724" xr:uid="{00000000-0005-0000-0000-0000F8030000}"/>
    <cellStyle name="20 % - Akzent2 3 2 7 3" xfId="1725" xr:uid="{00000000-0005-0000-0000-0000F9030000}"/>
    <cellStyle name="20 % - Akzent2 3 2 8" xfId="1726" xr:uid="{00000000-0005-0000-0000-0000FA030000}"/>
    <cellStyle name="20 % - Akzent2 3 2 8 2" xfId="1727" xr:uid="{00000000-0005-0000-0000-0000FB030000}"/>
    <cellStyle name="20 % - Akzent2 3 2 8 3" xfId="1728" xr:uid="{00000000-0005-0000-0000-0000FC030000}"/>
    <cellStyle name="20 % - Akzent2 3 2 9" xfId="1729" xr:uid="{00000000-0005-0000-0000-0000FD030000}"/>
    <cellStyle name="20 % - Akzent2 3 2 9 2" xfId="1730" xr:uid="{00000000-0005-0000-0000-0000FE030000}"/>
    <cellStyle name="20 % - Akzent2 4" xfId="1731" xr:uid="{00000000-0005-0000-0000-0000FF030000}"/>
    <cellStyle name="20 % - Akzent2 4 2" xfId="1732" xr:uid="{00000000-0005-0000-0000-000000040000}"/>
    <cellStyle name="20 % - Akzent2 5" xfId="1733" xr:uid="{00000000-0005-0000-0000-000001040000}"/>
    <cellStyle name="20 % - Akzent2 5 2" xfId="1734" xr:uid="{00000000-0005-0000-0000-000002040000}"/>
    <cellStyle name="20 % - Akzent2 5 2 10" xfId="1735" xr:uid="{00000000-0005-0000-0000-000003040000}"/>
    <cellStyle name="20 % - Akzent2 5 2 11" xfId="1736" xr:uid="{00000000-0005-0000-0000-000004040000}"/>
    <cellStyle name="20 % - Akzent2 5 2 2" xfId="1737" xr:uid="{00000000-0005-0000-0000-000005040000}"/>
    <cellStyle name="20 % - Akzent2 5 2 2 10" xfId="1738" xr:uid="{00000000-0005-0000-0000-000006040000}"/>
    <cellStyle name="20 % - Akzent2 5 2 2 2" xfId="1739" xr:uid="{00000000-0005-0000-0000-000007040000}"/>
    <cellStyle name="20 % - Akzent2 5 2 2 2 2" xfId="1740" xr:uid="{00000000-0005-0000-0000-000008040000}"/>
    <cellStyle name="20 % - Akzent2 5 2 2 2 2 2" xfId="1741" xr:uid="{00000000-0005-0000-0000-000009040000}"/>
    <cellStyle name="20 % - Akzent2 5 2 2 2 2 2 2" xfId="1742" xr:uid="{00000000-0005-0000-0000-00000A040000}"/>
    <cellStyle name="20 % - Akzent2 5 2 2 2 2 2 2 2" xfId="1743" xr:uid="{00000000-0005-0000-0000-00000B040000}"/>
    <cellStyle name="20 % - Akzent2 5 2 2 2 2 2 2 3" xfId="1744" xr:uid="{00000000-0005-0000-0000-00000C040000}"/>
    <cellStyle name="20 % - Akzent2 5 2 2 2 2 2 3" xfId="1745" xr:uid="{00000000-0005-0000-0000-00000D040000}"/>
    <cellStyle name="20 % - Akzent2 5 2 2 2 2 2 3 2" xfId="1746" xr:uid="{00000000-0005-0000-0000-00000E040000}"/>
    <cellStyle name="20 % - Akzent2 5 2 2 2 2 2 3 3" xfId="1747" xr:uid="{00000000-0005-0000-0000-00000F040000}"/>
    <cellStyle name="20 % - Akzent2 5 2 2 2 2 2 4" xfId="1748" xr:uid="{00000000-0005-0000-0000-000010040000}"/>
    <cellStyle name="20 % - Akzent2 5 2 2 2 2 2 4 2" xfId="1749" xr:uid="{00000000-0005-0000-0000-000011040000}"/>
    <cellStyle name="20 % - Akzent2 5 2 2 2 2 2 5" xfId="1750" xr:uid="{00000000-0005-0000-0000-000012040000}"/>
    <cellStyle name="20 % - Akzent2 5 2 2 2 2 2 6" xfId="1751" xr:uid="{00000000-0005-0000-0000-000013040000}"/>
    <cellStyle name="20 % - Akzent2 5 2 2 2 2 3" xfId="1752" xr:uid="{00000000-0005-0000-0000-000014040000}"/>
    <cellStyle name="20 % - Akzent2 5 2 2 2 2 3 2" xfId="1753" xr:uid="{00000000-0005-0000-0000-000015040000}"/>
    <cellStyle name="20 % - Akzent2 5 2 2 2 2 3 3" xfId="1754" xr:uid="{00000000-0005-0000-0000-000016040000}"/>
    <cellStyle name="20 % - Akzent2 5 2 2 2 2 4" xfId="1755" xr:uid="{00000000-0005-0000-0000-000017040000}"/>
    <cellStyle name="20 % - Akzent2 5 2 2 2 2 4 2" xfId="1756" xr:uid="{00000000-0005-0000-0000-000018040000}"/>
    <cellStyle name="20 % - Akzent2 5 2 2 2 2 4 3" xfId="1757" xr:uid="{00000000-0005-0000-0000-000019040000}"/>
    <cellStyle name="20 % - Akzent2 5 2 2 2 2 5" xfId="1758" xr:uid="{00000000-0005-0000-0000-00001A040000}"/>
    <cellStyle name="20 % - Akzent2 5 2 2 2 2 5 2" xfId="1759" xr:uid="{00000000-0005-0000-0000-00001B040000}"/>
    <cellStyle name="20 % - Akzent2 5 2 2 2 2 6" xfId="1760" xr:uid="{00000000-0005-0000-0000-00001C040000}"/>
    <cellStyle name="20 % - Akzent2 5 2 2 2 2 7" xfId="1761" xr:uid="{00000000-0005-0000-0000-00001D040000}"/>
    <cellStyle name="20 % - Akzent2 5 2 2 2 3" xfId="1762" xr:uid="{00000000-0005-0000-0000-00001E040000}"/>
    <cellStyle name="20 % - Akzent2 5 2 2 2 3 2" xfId="1763" xr:uid="{00000000-0005-0000-0000-00001F040000}"/>
    <cellStyle name="20 % - Akzent2 5 2 2 2 3 2 2" xfId="1764" xr:uid="{00000000-0005-0000-0000-000020040000}"/>
    <cellStyle name="20 % - Akzent2 5 2 2 2 3 2 3" xfId="1765" xr:uid="{00000000-0005-0000-0000-000021040000}"/>
    <cellStyle name="20 % - Akzent2 5 2 2 2 3 3" xfId="1766" xr:uid="{00000000-0005-0000-0000-000022040000}"/>
    <cellStyle name="20 % - Akzent2 5 2 2 2 3 3 2" xfId="1767" xr:uid="{00000000-0005-0000-0000-000023040000}"/>
    <cellStyle name="20 % - Akzent2 5 2 2 2 3 3 3" xfId="1768" xr:uid="{00000000-0005-0000-0000-000024040000}"/>
    <cellStyle name="20 % - Akzent2 5 2 2 2 3 4" xfId="1769" xr:uid="{00000000-0005-0000-0000-000025040000}"/>
    <cellStyle name="20 % - Akzent2 5 2 2 2 3 4 2" xfId="1770" xr:uid="{00000000-0005-0000-0000-000026040000}"/>
    <cellStyle name="20 % - Akzent2 5 2 2 2 3 5" xfId="1771" xr:uid="{00000000-0005-0000-0000-000027040000}"/>
    <cellStyle name="20 % - Akzent2 5 2 2 2 3 6" xfId="1772" xr:uid="{00000000-0005-0000-0000-000028040000}"/>
    <cellStyle name="20 % - Akzent2 5 2 2 2 4" xfId="1773" xr:uid="{00000000-0005-0000-0000-000029040000}"/>
    <cellStyle name="20 % - Akzent2 5 2 2 2 4 2" xfId="1774" xr:uid="{00000000-0005-0000-0000-00002A040000}"/>
    <cellStyle name="20 % - Akzent2 5 2 2 2 4 3" xfId="1775" xr:uid="{00000000-0005-0000-0000-00002B040000}"/>
    <cellStyle name="20 % - Akzent2 5 2 2 2 5" xfId="1776" xr:uid="{00000000-0005-0000-0000-00002C040000}"/>
    <cellStyle name="20 % - Akzent2 5 2 2 2 5 2" xfId="1777" xr:uid="{00000000-0005-0000-0000-00002D040000}"/>
    <cellStyle name="20 % - Akzent2 5 2 2 2 5 3" xfId="1778" xr:uid="{00000000-0005-0000-0000-00002E040000}"/>
    <cellStyle name="20 % - Akzent2 5 2 2 2 6" xfId="1779" xr:uid="{00000000-0005-0000-0000-00002F040000}"/>
    <cellStyle name="20 % - Akzent2 5 2 2 2 6 2" xfId="1780" xr:uid="{00000000-0005-0000-0000-000030040000}"/>
    <cellStyle name="20 % - Akzent2 5 2 2 2 7" xfId="1781" xr:uid="{00000000-0005-0000-0000-000031040000}"/>
    <cellStyle name="20 % - Akzent2 5 2 2 2 8" xfId="1782" xr:uid="{00000000-0005-0000-0000-000032040000}"/>
    <cellStyle name="20 % - Akzent2 5 2 2 3" xfId="1783" xr:uid="{00000000-0005-0000-0000-000033040000}"/>
    <cellStyle name="20 % - Akzent2 5 2 2 3 2" xfId="1784" xr:uid="{00000000-0005-0000-0000-000034040000}"/>
    <cellStyle name="20 % - Akzent2 5 2 2 3 2 2" xfId="1785" xr:uid="{00000000-0005-0000-0000-000035040000}"/>
    <cellStyle name="20 % - Akzent2 5 2 2 3 2 2 2" xfId="1786" xr:uid="{00000000-0005-0000-0000-000036040000}"/>
    <cellStyle name="20 % - Akzent2 5 2 2 3 2 2 2 2" xfId="1787" xr:uid="{00000000-0005-0000-0000-000037040000}"/>
    <cellStyle name="20 % - Akzent2 5 2 2 3 2 2 2 3" xfId="1788" xr:uid="{00000000-0005-0000-0000-000038040000}"/>
    <cellStyle name="20 % - Akzent2 5 2 2 3 2 2 3" xfId="1789" xr:uid="{00000000-0005-0000-0000-000039040000}"/>
    <cellStyle name="20 % - Akzent2 5 2 2 3 2 2 3 2" xfId="1790" xr:uid="{00000000-0005-0000-0000-00003A040000}"/>
    <cellStyle name="20 % - Akzent2 5 2 2 3 2 2 3 3" xfId="1791" xr:uid="{00000000-0005-0000-0000-00003B040000}"/>
    <cellStyle name="20 % - Akzent2 5 2 2 3 2 2 4" xfId="1792" xr:uid="{00000000-0005-0000-0000-00003C040000}"/>
    <cellStyle name="20 % - Akzent2 5 2 2 3 2 2 4 2" xfId="1793" xr:uid="{00000000-0005-0000-0000-00003D040000}"/>
    <cellStyle name="20 % - Akzent2 5 2 2 3 2 2 5" xfId="1794" xr:uid="{00000000-0005-0000-0000-00003E040000}"/>
    <cellStyle name="20 % - Akzent2 5 2 2 3 2 2 6" xfId="1795" xr:uid="{00000000-0005-0000-0000-00003F040000}"/>
    <cellStyle name="20 % - Akzent2 5 2 2 3 2 3" xfId="1796" xr:uid="{00000000-0005-0000-0000-000040040000}"/>
    <cellStyle name="20 % - Akzent2 5 2 2 3 2 3 2" xfId="1797" xr:uid="{00000000-0005-0000-0000-000041040000}"/>
    <cellStyle name="20 % - Akzent2 5 2 2 3 2 3 3" xfId="1798" xr:uid="{00000000-0005-0000-0000-000042040000}"/>
    <cellStyle name="20 % - Akzent2 5 2 2 3 2 4" xfId="1799" xr:uid="{00000000-0005-0000-0000-000043040000}"/>
    <cellStyle name="20 % - Akzent2 5 2 2 3 2 4 2" xfId="1800" xr:uid="{00000000-0005-0000-0000-000044040000}"/>
    <cellStyle name="20 % - Akzent2 5 2 2 3 2 4 3" xfId="1801" xr:uid="{00000000-0005-0000-0000-000045040000}"/>
    <cellStyle name="20 % - Akzent2 5 2 2 3 2 5" xfId="1802" xr:uid="{00000000-0005-0000-0000-000046040000}"/>
    <cellStyle name="20 % - Akzent2 5 2 2 3 2 5 2" xfId="1803" xr:uid="{00000000-0005-0000-0000-000047040000}"/>
    <cellStyle name="20 % - Akzent2 5 2 2 3 2 6" xfId="1804" xr:uid="{00000000-0005-0000-0000-000048040000}"/>
    <cellStyle name="20 % - Akzent2 5 2 2 3 2 7" xfId="1805" xr:uid="{00000000-0005-0000-0000-000049040000}"/>
    <cellStyle name="20 % - Akzent2 5 2 2 3 3" xfId="1806" xr:uid="{00000000-0005-0000-0000-00004A040000}"/>
    <cellStyle name="20 % - Akzent2 5 2 2 3 3 2" xfId="1807" xr:uid="{00000000-0005-0000-0000-00004B040000}"/>
    <cellStyle name="20 % - Akzent2 5 2 2 3 3 2 2" xfId="1808" xr:uid="{00000000-0005-0000-0000-00004C040000}"/>
    <cellStyle name="20 % - Akzent2 5 2 2 3 3 2 3" xfId="1809" xr:uid="{00000000-0005-0000-0000-00004D040000}"/>
    <cellStyle name="20 % - Akzent2 5 2 2 3 3 3" xfId="1810" xr:uid="{00000000-0005-0000-0000-00004E040000}"/>
    <cellStyle name="20 % - Akzent2 5 2 2 3 3 3 2" xfId="1811" xr:uid="{00000000-0005-0000-0000-00004F040000}"/>
    <cellStyle name="20 % - Akzent2 5 2 2 3 3 3 3" xfId="1812" xr:uid="{00000000-0005-0000-0000-000050040000}"/>
    <cellStyle name="20 % - Akzent2 5 2 2 3 3 4" xfId="1813" xr:uid="{00000000-0005-0000-0000-000051040000}"/>
    <cellStyle name="20 % - Akzent2 5 2 2 3 3 4 2" xfId="1814" xr:uid="{00000000-0005-0000-0000-000052040000}"/>
    <cellStyle name="20 % - Akzent2 5 2 2 3 3 5" xfId="1815" xr:uid="{00000000-0005-0000-0000-000053040000}"/>
    <cellStyle name="20 % - Akzent2 5 2 2 3 3 6" xfId="1816" xr:uid="{00000000-0005-0000-0000-000054040000}"/>
    <cellStyle name="20 % - Akzent2 5 2 2 3 4" xfId="1817" xr:uid="{00000000-0005-0000-0000-000055040000}"/>
    <cellStyle name="20 % - Akzent2 5 2 2 3 4 2" xfId="1818" xr:uid="{00000000-0005-0000-0000-000056040000}"/>
    <cellStyle name="20 % - Akzent2 5 2 2 3 4 3" xfId="1819" xr:uid="{00000000-0005-0000-0000-000057040000}"/>
    <cellStyle name="20 % - Akzent2 5 2 2 3 5" xfId="1820" xr:uid="{00000000-0005-0000-0000-000058040000}"/>
    <cellStyle name="20 % - Akzent2 5 2 2 3 5 2" xfId="1821" xr:uid="{00000000-0005-0000-0000-000059040000}"/>
    <cellStyle name="20 % - Akzent2 5 2 2 3 5 3" xfId="1822" xr:uid="{00000000-0005-0000-0000-00005A040000}"/>
    <cellStyle name="20 % - Akzent2 5 2 2 3 6" xfId="1823" xr:uid="{00000000-0005-0000-0000-00005B040000}"/>
    <cellStyle name="20 % - Akzent2 5 2 2 3 6 2" xfId="1824" xr:uid="{00000000-0005-0000-0000-00005C040000}"/>
    <cellStyle name="20 % - Akzent2 5 2 2 3 7" xfId="1825" xr:uid="{00000000-0005-0000-0000-00005D040000}"/>
    <cellStyle name="20 % - Akzent2 5 2 2 3 8" xfId="1826" xr:uid="{00000000-0005-0000-0000-00005E040000}"/>
    <cellStyle name="20 % - Akzent2 5 2 2 4" xfId="1827" xr:uid="{00000000-0005-0000-0000-00005F040000}"/>
    <cellStyle name="20 % - Akzent2 5 2 2 4 2" xfId="1828" xr:uid="{00000000-0005-0000-0000-000060040000}"/>
    <cellStyle name="20 % - Akzent2 5 2 2 4 2 2" xfId="1829" xr:uid="{00000000-0005-0000-0000-000061040000}"/>
    <cellStyle name="20 % - Akzent2 5 2 2 4 2 2 2" xfId="1830" xr:uid="{00000000-0005-0000-0000-000062040000}"/>
    <cellStyle name="20 % - Akzent2 5 2 2 4 2 2 3" xfId="1831" xr:uid="{00000000-0005-0000-0000-000063040000}"/>
    <cellStyle name="20 % - Akzent2 5 2 2 4 2 3" xfId="1832" xr:uid="{00000000-0005-0000-0000-000064040000}"/>
    <cellStyle name="20 % - Akzent2 5 2 2 4 2 3 2" xfId="1833" xr:uid="{00000000-0005-0000-0000-000065040000}"/>
    <cellStyle name="20 % - Akzent2 5 2 2 4 2 3 3" xfId="1834" xr:uid="{00000000-0005-0000-0000-000066040000}"/>
    <cellStyle name="20 % - Akzent2 5 2 2 4 2 4" xfId="1835" xr:uid="{00000000-0005-0000-0000-000067040000}"/>
    <cellStyle name="20 % - Akzent2 5 2 2 4 2 4 2" xfId="1836" xr:uid="{00000000-0005-0000-0000-000068040000}"/>
    <cellStyle name="20 % - Akzent2 5 2 2 4 2 5" xfId="1837" xr:uid="{00000000-0005-0000-0000-000069040000}"/>
    <cellStyle name="20 % - Akzent2 5 2 2 4 2 6" xfId="1838" xr:uid="{00000000-0005-0000-0000-00006A040000}"/>
    <cellStyle name="20 % - Akzent2 5 2 2 4 3" xfId="1839" xr:uid="{00000000-0005-0000-0000-00006B040000}"/>
    <cellStyle name="20 % - Akzent2 5 2 2 4 3 2" xfId="1840" xr:uid="{00000000-0005-0000-0000-00006C040000}"/>
    <cellStyle name="20 % - Akzent2 5 2 2 4 3 3" xfId="1841" xr:uid="{00000000-0005-0000-0000-00006D040000}"/>
    <cellStyle name="20 % - Akzent2 5 2 2 4 4" xfId="1842" xr:uid="{00000000-0005-0000-0000-00006E040000}"/>
    <cellStyle name="20 % - Akzent2 5 2 2 4 4 2" xfId="1843" xr:uid="{00000000-0005-0000-0000-00006F040000}"/>
    <cellStyle name="20 % - Akzent2 5 2 2 4 4 3" xfId="1844" xr:uid="{00000000-0005-0000-0000-000070040000}"/>
    <cellStyle name="20 % - Akzent2 5 2 2 4 5" xfId="1845" xr:uid="{00000000-0005-0000-0000-000071040000}"/>
    <cellStyle name="20 % - Akzent2 5 2 2 4 5 2" xfId="1846" xr:uid="{00000000-0005-0000-0000-000072040000}"/>
    <cellStyle name="20 % - Akzent2 5 2 2 4 6" xfId="1847" xr:uid="{00000000-0005-0000-0000-000073040000}"/>
    <cellStyle name="20 % - Akzent2 5 2 2 4 7" xfId="1848" xr:uid="{00000000-0005-0000-0000-000074040000}"/>
    <cellStyle name="20 % - Akzent2 5 2 2 5" xfId="1849" xr:uid="{00000000-0005-0000-0000-000075040000}"/>
    <cellStyle name="20 % - Akzent2 5 2 2 5 2" xfId="1850" xr:uid="{00000000-0005-0000-0000-000076040000}"/>
    <cellStyle name="20 % - Akzent2 5 2 2 5 2 2" xfId="1851" xr:uid="{00000000-0005-0000-0000-000077040000}"/>
    <cellStyle name="20 % - Akzent2 5 2 2 5 2 3" xfId="1852" xr:uid="{00000000-0005-0000-0000-000078040000}"/>
    <cellStyle name="20 % - Akzent2 5 2 2 5 3" xfId="1853" xr:uid="{00000000-0005-0000-0000-000079040000}"/>
    <cellStyle name="20 % - Akzent2 5 2 2 5 3 2" xfId="1854" xr:uid="{00000000-0005-0000-0000-00007A040000}"/>
    <cellStyle name="20 % - Akzent2 5 2 2 5 3 3" xfId="1855" xr:uid="{00000000-0005-0000-0000-00007B040000}"/>
    <cellStyle name="20 % - Akzent2 5 2 2 5 4" xfId="1856" xr:uid="{00000000-0005-0000-0000-00007C040000}"/>
    <cellStyle name="20 % - Akzent2 5 2 2 5 4 2" xfId="1857" xr:uid="{00000000-0005-0000-0000-00007D040000}"/>
    <cellStyle name="20 % - Akzent2 5 2 2 5 5" xfId="1858" xr:uid="{00000000-0005-0000-0000-00007E040000}"/>
    <cellStyle name="20 % - Akzent2 5 2 2 5 6" xfId="1859" xr:uid="{00000000-0005-0000-0000-00007F040000}"/>
    <cellStyle name="20 % - Akzent2 5 2 2 6" xfId="1860" xr:uid="{00000000-0005-0000-0000-000080040000}"/>
    <cellStyle name="20 % - Akzent2 5 2 2 6 2" xfId="1861" xr:uid="{00000000-0005-0000-0000-000081040000}"/>
    <cellStyle name="20 % - Akzent2 5 2 2 6 3" xfId="1862" xr:uid="{00000000-0005-0000-0000-000082040000}"/>
    <cellStyle name="20 % - Akzent2 5 2 2 7" xfId="1863" xr:uid="{00000000-0005-0000-0000-000083040000}"/>
    <cellStyle name="20 % - Akzent2 5 2 2 7 2" xfId="1864" xr:uid="{00000000-0005-0000-0000-000084040000}"/>
    <cellStyle name="20 % - Akzent2 5 2 2 7 3" xfId="1865" xr:uid="{00000000-0005-0000-0000-000085040000}"/>
    <cellStyle name="20 % - Akzent2 5 2 2 8" xfId="1866" xr:uid="{00000000-0005-0000-0000-000086040000}"/>
    <cellStyle name="20 % - Akzent2 5 2 2 8 2" xfId="1867" xr:uid="{00000000-0005-0000-0000-000087040000}"/>
    <cellStyle name="20 % - Akzent2 5 2 2 9" xfId="1868" xr:uid="{00000000-0005-0000-0000-000088040000}"/>
    <cellStyle name="20 % - Akzent2 5 2 3" xfId="1869" xr:uid="{00000000-0005-0000-0000-000089040000}"/>
    <cellStyle name="20 % - Akzent2 5 2 3 2" xfId="1870" xr:uid="{00000000-0005-0000-0000-00008A040000}"/>
    <cellStyle name="20 % - Akzent2 5 2 3 2 2" xfId="1871" xr:uid="{00000000-0005-0000-0000-00008B040000}"/>
    <cellStyle name="20 % - Akzent2 5 2 3 2 2 2" xfId="1872" xr:uid="{00000000-0005-0000-0000-00008C040000}"/>
    <cellStyle name="20 % - Akzent2 5 2 3 2 2 2 2" xfId="1873" xr:uid="{00000000-0005-0000-0000-00008D040000}"/>
    <cellStyle name="20 % - Akzent2 5 2 3 2 2 2 3" xfId="1874" xr:uid="{00000000-0005-0000-0000-00008E040000}"/>
    <cellStyle name="20 % - Akzent2 5 2 3 2 2 3" xfId="1875" xr:uid="{00000000-0005-0000-0000-00008F040000}"/>
    <cellStyle name="20 % - Akzent2 5 2 3 2 2 3 2" xfId="1876" xr:uid="{00000000-0005-0000-0000-000090040000}"/>
    <cellStyle name="20 % - Akzent2 5 2 3 2 2 3 3" xfId="1877" xr:uid="{00000000-0005-0000-0000-000091040000}"/>
    <cellStyle name="20 % - Akzent2 5 2 3 2 2 4" xfId="1878" xr:uid="{00000000-0005-0000-0000-000092040000}"/>
    <cellStyle name="20 % - Akzent2 5 2 3 2 2 4 2" xfId="1879" xr:uid="{00000000-0005-0000-0000-000093040000}"/>
    <cellStyle name="20 % - Akzent2 5 2 3 2 2 5" xfId="1880" xr:uid="{00000000-0005-0000-0000-000094040000}"/>
    <cellStyle name="20 % - Akzent2 5 2 3 2 2 6" xfId="1881" xr:uid="{00000000-0005-0000-0000-000095040000}"/>
    <cellStyle name="20 % - Akzent2 5 2 3 2 3" xfId="1882" xr:uid="{00000000-0005-0000-0000-000096040000}"/>
    <cellStyle name="20 % - Akzent2 5 2 3 2 3 2" xfId="1883" xr:uid="{00000000-0005-0000-0000-000097040000}"/>
    <cellStyle name="20 % - Akzent2 5 2 3 2 3 3" xfId="1884" xr:uid="{00000000-0005-0000-0000-000098040000}"/>
    <cellStyle name="20 % - Akzent2 5 2 3 2 4" xfId="1885" xr:uid="{00000000-0005-0000-0000-000099040000}"/>
    <cellStyle name="20 % - Akzent2 5 2 3 2 4 2" xfId="1886" xr:uid="{00000000-0005-0000-0000-00009A040000}"/>
    <cellStyle name="20 % - Akzent2 5 2 3 2 4 3" xfId="1887" xr:uid="{00000000-0005-0000-0000-00009B040000}"/>
    <cellStyle name="20 % - Akzent2 5 2 3 2 5" xfId="1888" xr:uid="{00000000-0005-0000-0000-00009C040000}"/>
    <cellStyle name="20 % - Akzent2 5 2 3 2 5 2" xfId="1889" xr:uid="{00000000-0005-0000-0000-00009D040000}"/>
    <cellStyle name="20 % - Akzent2 5 2 3 2 6" xfId="1890" xr:uid="{00000000-0005-0000-0000-00009E040000}"/>
    <cellStyle name="20 % - Akzent2 5 2 3 2 7" xfId="1891" xr:uid="{00000000-0005-0000-0000-00009F040000}"/>
    <cellStyle name="20 % - Akzent2 5 2 3 3" xfId="1892" xr:uid="{00000000-0005-0000-0000-0000A0040000}"/>
    <cellStyle name="20 % - Akzent2 5 2 3 3 2" xfId="1893" xr:uid="{00000000-0005-0000-0000-0000A1040000}"/>
    <cellStyle name="20 % - Akzent2 5 2 3 3 2 2" xfId="1894" xr:uid="{00000000-0005-0000-0000-0000A2040000}"/>
    <cellStyle name="20 % - Akzent2 5 2 3 3 2 3" xfId="1895" xr:uid="{00000000-0005-0000-0000-0000A3040000}"/>
    <cellStyle name="20 % - Akzent2 5 2 3 3 3" xfId="1896" xr:uid="{00000000-0005-0000-0000-0000A4040000}"/>
    <cellStyle name="20 % - Akzent2 5 2 3 3 3 2" xfId="1897" xr:uid="{00000000-0005-0000-0000-0000A5040000}"/>
    <cellStyle name="20 % - Akzent2 5 2 3 3 3 3" xfId="1898" xr:uid="{00000000-0005-0000-0000-0000A6040000}"/>
    <cellStyle name="20 % - Akzent2 5 2 3 3 4" xfId="1899" xr:uid="{00000000-0005-0000-0000-0000A7040000}"/>
    <cellStyle name="20 % - Akzent2 5 2 3 3 4 2" xfId="1900" xr:uid="{00000000-0005-0000-0000-0000A8040000}"/>
    <cellStyle name="20 % - Akzent2 5 2 3 3 5" xfId="1901" xr:uid="{00000000-0005-0000-0000-0000A9040000}"/>
    <cellStyle name="20 % - Akzent2 5 2 3 3 6" xfId="1902" xr:uid="{00000000-0005-0000-0000-0000AA040000}"/>
    <cellStyle name="20 % - Akzent2 5 2 3 4" xfId="1903" xr:uid="{00000000-0005-0000-0000-0000AB040000}"/>
    <cellStyle name="20 % - Akzent2 5 2 3 4 2" xfId="1904" xr:uid="{00000000-0005-0000-0000-0000AC040000}"/>
    <cellStyle name="20 % - Akzent2 5 2 3 4 3" xfId="1905" xr:uid="{00000000-0005-0000-0000-0000AD040000}"/>
    <cellStyle name="20 % - Akzent2 5 2 3 5" xfId="1906" xr:uid="{00000000-0005-0000-0000-0000AE040000}"/>
    <cellStyle name="20 % - Akzent2 5 2 3 5 2" xfId="1907" xr:uid="{00000000-0005-0000-0000-0000AF040000}"/>
    <cellStyle name="20 % - Akzent2 5 2 3 5 3" xfId="1908" xr:uid="{00000000-0005-0000-0000-0000B0040000}"/>
    <cellStyle name="20 % - Akzent2 5 2 3 6" xfId="1909" xr:uid="{00000000-0005-0000-0000-0000B1040000}"/>
    <cellStyle name="20 % - Akzent2 5 2 3 6 2" xfId="1910" xr:uid="{00000000-0005-0000-0000-0000B2040000}"/>
    <cellStyle name="20 % - Akzent2 5 2 3 7" xfId="1911" xr:uid="{00000000-0005-0000-0000-0000B3040000}"/>
    <cellStyle name="20 % - Akzent2 5 2 3 8" xfId="1912" xr:uid="{00000000-0005-0000-0000-0000B4040000}"/>
    <cellStyle name="20 % - Akzent2 5 2 4" xfId="1913" xr:uid="{00000000-0005-0000-0000-0000B5040000}"/>
    <cellStyle name="20 % - Akzent2 5 2 4 2" xfId="1914" xr:uid="{00000000-0005-0000-0000-0000B6040000}"/>
    <cellStyle name="20 % - Akzent2 5 2 4 2 2" xfId="1915" xr:uid="{00000000-0005-0000-0000-0000B7040000}"/>
    <cellStyle name="20 % - Akzent2 5 2 4 2 2 2" xfId="1916" xr:uid="{00000000-0005-0000-0000-0000B8040000}"/>
    <cellStyle name="20 % - Akzent2 5 2 4 2 2 2 2" xfId="1917" xr:uid="{00000000-0005-0000-0000-0000B9040000}"/>
    <cellStyle name="20 % - Akzent2 5 2 4 2 2 2 3" xfId="1918" xr:uid="{00000000-0005-0000-0000-0000BA040000}"/>
    <cellStyle name="20 % - Akzent2 5 2 4 2 2 3" xfId="1919" xr:uid="{00000000-0005-0000-0000-0000BB040000}"/>
    <cellStyle name="20 % - Akzent2 5 2 4 2 2 3 2" xfId="1920" xr:uid="{00000000-0005-0000-0000-0000BC040000}"/>
    <cellStyle name="20 % - Akzent2 5 2 4 2 2 3 3" xfId="1921" xr:uid="{00000000-0005-0000-0000-0000BD040000}"/>
    <cellStyle name="20 % - Akzent2 5 2 4 2 2 4" xfId="1922" xr:uid="{00000000-0005-0000-0000-0000BE040000}"/>
    <cellStyle name="20 % - Akzent2 5 2 4 2 2 4 2" xfId="1923" xr:uid="{00000000-0005-0000-0000-0000BF040000}"/>
    <cellStyle name="20 % - Akzent2 5 2 4 2 2 5" xfId="1924" xr:uid="{00000000-0005-0000-0000-0000C0040000}"/>
    <cellStyle name="20 % - Akzent2 5 2 4 2 2 6" xfId="1925" xr:uid="{00000000-0005-0000-0000-0000C1040000}"/>
    <cellStyle name="20 % - Akzent2 5 2 4 2 3" xfId="1926" xr:uid="{00000000-0005-0000-0000-0000C2040000}"/>
    <cellStyle name="20 % - Akzent2 5 2 4 2 3 2" xfId="1927" xr:uid="{00000000-0005-0000-0000-0000C3040000}"/>
    <cellStyle name="20 % - Akzent2 5 2 4 2 3 3" xfId="1928" xr:uid="{00000000-0005-0000-0000-0000C4040000}"/>
    <cellStyle name="20 % - Akzent2 5 2 4 2 4" xfId="1929" xr:uid="{00000000-0005-0000-0000-0000C5040000}"/>
    <cellStyle name="20 % - Akzent2 5 2 4 2 4 2" xfId="1930" xr:uid="{00000000-0005-0000-0000-0000C6040000}"/>
    <cellStyle name="20 % - Akzent2 5 2 4 2 4 3" xfId="1931" xr:uid="{00000000-0005-0000-0000-0000C7040000}"/>
    <cellStyle name="20 % - Akzent2 5 2 4 2 5" xfId="1932" xr:uid="{00000000-0005-0000-0000-0000C8040000}"/>
    <cellStyle name="20 % - Akzent2 5 2 4 2 5 2" xfId="1933" xr:uid="{00000000-0005-0000-0000-0000C9040000}"/>
    <cellStyle name="20 % - Akzent2 5 2 4 2 6" xfId="1934" xr:uid="{00000000-0005-0000-0000-0000CA040000}"/>
    <cellStyle name="20 % - Akzent2 5 2 4 2 7" xfId="1935" xr:uid="{00000000-0005-0000-0000-0000CB040000}"/>
    <cellStyle name="20 % - Akzent2 5 2 4 3" xfId="1936" xr:uid="{00000000-0005-0000-0000-0000CC040000}"/>
    <cellStyle name="20 % - Akzent2 5 2 4 3 2" xfId="1937" xr:uid="{00000000-0005-0000-0000-0000CD040000}"/>
    <cellStyle name="20 % - Akzent2 5 2 4 3 2 2" xfId="1938" xr:uid="{00000000-0005-0000-0000-0000CE040000}"/>
    <cellStyle name="20 % - Akzent2 5 2 4 3 2 3" xfId="1939" xr:uid="{00000000-0005-0000-0000-0000CF040000}"/>
    <cellStyle name="20 % - Akzent2 5 2 4 3 3" xfId="1940" xr:uid="{00000000-0005-0000-0000-0000D0040000}"/>
    <cellStyle name="20 % - Akzent2 5 2 4 3 3 2" xfId="1941" xr:uid="{00000000-0005-0000-0000-0000D1040000}"/>
    <cellStyle name="20 % - Akzent2 5 2 4 3 3 3" xfId="1942" xr:uid="{00000000-0005-0000-0000-0000D2040000}"/>
    <cellStyle name="20 % - Akzent2 5 2 4 3 4" xfId="1943" xr:uid="{00000000-0005-0000-0000-0000D3040000}"/>
    <cellStyle name="20 % - Akzent2 5 2 4 3 4 2" xfId="1944" xr:uid="{00000000-0005-0000-0000-0000D4040000}"/>
    <cellStyle name="20 % - Akzent2 5 2 4 3 5" xfId="1945" xr:uid="{00000000-0005-0000-0000-0000D5040000}"/>
    <cellStyle name="20 % - Akzent2 5 2 4 3 6" xfId="1946" xr:uid="{00000000-0005-0000-0000-0000D6040000}"/>
    <cellStyle name="20 % - Akzent2 5 2 4 4" xfId="1947" xr:uid="{00000000-0005-0000-0000-0000D7040000}"/>
    <cellStyle name="20 % - Akzent2 5 2 4 4 2" xfId="1948" xr:uid="{00000000-0005-0000-0000-0000D8040000}"/>
    <cellStyle name="20 % - Akzent2 5 2 4 4 3" xfId="1949" xr:uid="{00000000-0005-0000-0000-0000D9040000}"/>
    <cellStyle name="20 % - Akzent2 5 2 4 5" xfId="1950" xr:uid="{00000000-0005-0000-0000-0000DA040000}"/>
    <cellStyle name="20 % - Akzent2 5 2 4 5 2" xfId="1951" xr:uid="{00000000-0005-0000-0000-0000DB040000}"/>
    <cellStyle name="20 % - Akzent2 5 2 4 5 3" xfId="1952" xr:uid="{00000000-0005-0000-0000-0000DC040000}"/>
    <cellStyle name="20 % - Akzent2 5 2 4 6" xfId="1953" xr:uid="{00000000-0005-0000-0000-0000DD040000}"/>
    <cellStyle name="20 % - Akzent2 5 2 4 6 2" xfId="1954" xr:uid="{00000000-0005-0000-0000-0000DE040000}"/>
    <cellStyle name="20 % - Akzent2 5 2 4 7" xfId="1955" xr:uid="{00000000-0005-0000-0000-0000DF040000}"/>
    <cellStyle name="20 % - Akzent2 5 2 4 8" xfId="1956" xr:uid="{00000000-0005-0000-0000-0000E0040000}"/>
    <cellStyle name="20 % - Akzent2 5 2 5" xfId="1957" xr:uid="{00000000-0005-0000-0000-0000E1040000}"/>
    <cellStyle name="20 % - Akzent2 5 2 5 2" xfId="1958" xr:uid="{00000000-0005-0000-0000-0000E2040000}"/>
    <cellStyle name="20 % - Akzent2 5 2 5 2 2" xfId="1959" xr:uid="{00000000-0005-0000-0000-0000E3040000}"/>
    <cellStyle name="20 % - Akzent2 5 2 5 2 2 2" xfId="1960" xr:uid="{00000000-0005-0000-0000-0000E4040000}"/>
    <cellStyle name="20 % - Akzent2 5 2 5 2 2 3" xfId="1961" xr:uid="{00000000-0005-0000-0000-0000E5040000}"/>
    <cellStyle name="20 % - Akzent2 5 2 5 2 3" xfId="1962" xr:uid="{00000000-0005-0000-0000-0000E6040000}"/>
    <cellStyle name="20 % - Akzent2 5 2 5 2 3 2" xfId="1963" xr:uid="{00000000-0005-0000-0000-0000E7040000}"/>
    <cellStyle name="20 % - Akzent2 5 2 5 2 3 3" xfId="1964" xr:uid="{00000000-0005-0000-0000-0000E8040000}"/>
    <cellStyle name="20 % - Akzent2 5 2 5 2 4" xfId="1965" xr:uid="{00000000-0005-0000-0000-0000E9040000}"/>
    <cellStyle name="20 % - Akzent2 5 2 5 2 4 2" xfId="1966" xr:uid="{00000000-0005-0000-0000-0000EA040000}"/>
    <cellStyle name="20 % - Akzent2 5 2 5 2 5" xfId="1967" xr:uid="{00000000-0005-0000-0000-0000EB040000}"/>
    <cellStyle name="20 % - Akzent2 5 2 5 2 6" xfId="1968" xr:uid="{00000000-0005-0000-0000-0000EC040000}"/>
    <cellStyle name="20 % - Akzent2 5 2 5 3" xfId="1969" xr:uid="{00000000-0005-0000-0000-0000ED040000}"/>
    <cellStyle name="20 % - Akzent2 5 2 5 3 2" xfId="1970" xr:uid="{00000000-0005-0000-0000-0000EE040000}"/>
    <cellStyle name="20 % - Akzent2 5 2 5 3 3" xfId="1971" xr:uid="{00000000-0005-0000-0000-0000EF040000}"/>
    <cellStyle name="20 % - Akzent2 5 2 5 4" xfId="1972" xr:uid="{00000000-0005-0000-0000-0000F0040000}"/>
    <cellStyle name="20 % - Akzent2 5 2 5 4 2" xfId="1973" xr:uid="{00000000-0005-0000-0000-0000F1040000}"/>
    <cellStyle name="20 % - Akzent2 5 2 5 4 3" xfId="1974" xr:uid="{00000000-0005-0000-0000-0000F2040000}"/>
    <cellStyle name="20 % - Akzent2 5 2 5 5" xfId="1975" xr:uid="{00000000-0005-0000-0000-0000F3040000}"/>
    <cellStyle name="20 % - Akzent2 5 2 5 5 2" xfId="1976" xr:uid="{00000000-0005-0000-0000-0000F4040000}"/>
    <cellStyle name="20 % - Akzent2 5 2 5 6" xfId="1977" xr:uid="{00000000-0005-0000-0000-0000F5040000}"/>
    <cellStyle name="20 % - Akzent2 5 2 5 7" xfId="1978" xr:uid="{00000000-0005-0000-0000-0000F6040000}"/>
    <cellStyle name="20 % - Akzent2 5 2 6" xfId="1979" xr:uid="{00000000-0005-0000-0000-0000F7040000}"/>
    <cellStyle name="20 % - Akzent2 5 2 6 2" xfId="1980" xr:uid="{00000000-0005-0000-0000-0000F8040000}"/>
    <cellStyle name="20 % - Akzent2 5 2 6 2 2" xfId="1981" xr:uid="{00000000-0005-0000-0000-0000F9040000}"/>
    <cellStyle name="20 % - Akzent2 5 2 6 2 3" xfId="1982" xr:uid="{00000000-0005-0000-0000-0000FA040000}"/>
    <cellStyle name="20 % - Akzent2 5 2 6 3" xfId="1983" xr:uid="{00000000-0005-0000-0000-0000FB040000}"/>
    <cellStyle name="20 % - Akzent2 5 2 6 3 2" xfId="1984" xr:uid="{00000000-0005-0000-0000-0000FC040000}"/>
    <cellStyle name="20 % - Akzent2 5 2 6 3 3" xfId="1985" xr:uid="{00000000-0005-0000-0000-0000FD040000}"/>
    <cellStyle name="20 % - Akzent2 5 2 6 4" xfId="1986" xr:uid="{00000000-0005-0000-0000-0000FE040000}"/>
    <cellStyle name="20 % - Akzent2 5 2 6 4 2" xfId="1987" xr:uid="{00000000-0005-0000-0000-0000FF040000}"/>
    <cellStyle name="20 % - Akzent2 5 2 6 5" xfId="1988" xr:uid="{00000000-0005-0000-0000-000000050000}"/>
    <cellStyle name="20 % - Akzent2 5 2 6 6" xfId="1989" xr:uid="{00000000-0005-0000-0000-000001050000}"/>
    <cellStyle name="20 % - Akzent2 5 2 7" xfId="1990" xr:uid="{00000000-0005-0000-0000-000002050000}"/>
    <cellStyle name="20 % - Akzent2 5 2 7 2" xfId="1991" xr:uid="{00000000-0005-0000-0000-000003050000}"/>
    <cellStyle name="20 % - Akzent2 5 2 7 3" xfId="1992" xr:uid="{00000000-0005-0000-0000-000004050000}"/>
    <cellStyle name="20 % - Akzent2 5 2 8" xfId="1993" xr:uid="{00000000-0005-0000-0000-000005050000}"/>
    <cellStyle name="20 % - Akzent2 5 2 8 2" xfId="1994" xr:uid="{00000000-0005-0000-0000-000006050000}"/>
    <cellStyle name="20 % - Akzent2 5 2 8 3" xfId="1995" xr:uid="{00000000-0005-0000-0000-000007050000}"/>
    <cellStyle name="20 % - Akzent2 5 2 9" xfId="1996" xr:uid="{00000000-0005-0000-0000-000008050000}"/>
    <cellStyle name="20 % - Akzent2 5 2 9 2" xfId="1997" xr:uid="{00000000-0005-0000-0000-000009050000}"/>
    <cellStyle name="20 % - Akzent2 6" xfId="1998" xr:uid="{00000000-0005-0000-0000-00000A050000}"/>
    <cellStyle name="20 % - Akzent3 2" xfId="69" xr:uid="{00000000-0005-0000-0000-00000B050000}"/>
    <cellStyle name="20 % - Akzent3 2 2" xfId="70" xr:uid="{00000000-0005-0000-0000-00000C050000}"/>
    <cellStyle name="20 % - Akzent3 2 2 2" xfId="71" xr:uid="{00000000-0005-0000-0000-00000D050000}"/>
    <cellStyle name="20 % - Akzent3 2 2 3" xfId="33058" xr:uid="{00000000-0005-0000-0000-00000E050000}"/>
    <cellStyle name="20 % - Akzent3 2 2 4" xfId="33133" xr:uid="{00000000-0005-0000-0000-00000F050000}"/>
    <cellStyle name="20 % - Akzent3 2 2 5" xfId="33208" xr:uid="{00000000-0005-0000-0000-000010050000}"/>
    <cellStyle name="20 % - Akzent3 2 2 6" xfId="33283" xr:uid="{00000000-0005-0000-0000-000011050000}"/>
    <cellStyle name="20 % - Akzent3 2 3" xfId="72" xr:uid="{00000000-0005-0000-0000-000012050000}"/>
    <cellStyle name="20 % - Akzent3 2 3 2" xfId="1999" xr:uid="{00000000-0005-0000-0000-000013050000}"/>
    <cellStyle name="20 % - Akzent3 2 3 3" xfId="33059" xr:uid="{00000000-0005-0000-0000-000014050000}"/>
    <cellStyle name="20 % - Akzent3 2 3 4" xfId="33134" xr:uid="{00000000-0005-0000-0000-000015050000}"/>
    <cellStyle name="20 % - Akzent3 2 3 5" xfId="33209" xr:uid="{00000000-0005-0000-0000-000016050000}"/>
    <cellStyle name="20 % - Akzent3 2 3 6" xfId="33284" xr:uid="{00000000-0005-0000-0000-000017050000}"/>
    <cellStyle name="20 % - Akzent3 2 4" xfId="73" xr:uid="{00000000-0005-0000-0000-000018050000}"/>
    <cellStyle name="20 % - Akzent3 2 4 2" xfId="33060" xr:uid="{00000000-0005-0000-0000-000019050000}"/>
    <cellStyle name="20 % - Akzent3 2 4 3" xfId="33135" xr:uid="{00000000-0005-0000-0000-00001A050000}"/>
    <cellStyle name="20 % - Akzent3 2 4 4" xfId="33210" xr:uid="{00000000-0005-0000-0000-00001B050000}"/>
    <cellStyle name="20 % - Akzent3 2 4 5" xfId="33285" xr:uid="{00000000-0005-0000-0000-00001C050000}"/>
    <cellStyle name="20 % - Akzent3 2 5" xfId="74" xr:uid="{00000000-0005-0000-0000-00001D050000}"/>
    <cellStyle name="20 % - Akzent3 2 6" xfId="33057" xr:uid="{00000000-0005-0000-0000-00001E050000}"/>
    <cellStyle name="20 % - Akzent3 2 7" xfId="33132" xr:uid="{00000000-0005-0000-0000-00001F050000}"/>
    <cellStyle name="20 % - Akzent3 2 8" xfId="33207" xr:uid="{00000000-0005-0000-0000-000020050000}"/>
    <cellStyle name="20 % - Akzent3 2 9" xfId="33282" xr:uid="{00000000-0005-0000-0000-000021050000}"/>
    <cellStyle name="20 % - Akzent3 3" xfId="75" xr:uid="{00000000-0005-0000-0000-000022050000}"/>
    <cellStyle name="20 % - Akzent3 3 2" xfId="76" xr:uid="{00000000-0005-0000-0000-000023050000}"/>
    <cellStyle name="20 % - Akzent3 3 2 10" xfId="2000" xr:uid="{00000000-0005-0000-0000-000024050000}"/>
    <cellStyle name="20 % - Akzent3 3 2 11" xfId="2001" xr:uid="{00000000-0005-0000-0000-000025050000}"/>
    <cellStyle name="20 % - Akzent3 3 2 12" xfId="33061" xr:uid="{00000000-0005-0000-0000-000026050000}"/>
    <cellStyle name="20 % - Akzent3 3 2 13" xfId="33136" xr:uid="{00000000-0005-0000-0000-000027050000}"/>
    <cellStyle name="20 % - Akzent3 3 2 14" xfId="33211" xr:uid="{00000000-0005-0000-0000-000028050000}"/>
    <cellStyle name="20 % - Akzent3 3 2 15" xfId="33286" xr:uid="{00000000-0005-0000-0000-000029050000}"/>
    <cellStyle name="20 % - Akzent3 3 2 2" xfId="2002" xr:uid="{00000000-0005-0000-0000-00002A050000}"/>
    <cellStyle name="20 % - Akzent3 3 2 2 10" xfId="2003" xr:uid="{00000000-0005-0000-0000-00002B050000}"/>
    <cellStyle name="20 % - Akzent3 3 2 2 2" xfId="2004" xr:uid="{00000000-0005-0000-0000-00002C050000}"/>
    <cellStyle name="20 % - Akzent3 3 2 2 2 2" xfId="2005" xr:uid="{00000000-0005-0000-0000-00002D050000}"/>
    <cellStyle name="20 % - Akzent3 3 2 2 2 2 2" xfId="2006" xr:uid="{00000000-0005-0000-0000-00002E050000}"/>
    <cellStyle name="20 % - Akzent3 3 2 2 2 2 2 2" xfId="2007" xr:uid="{00000000-0005-0000-0000-00002F050000}"/>
    <cellStyle name="20 % - Akzent3 3 2 2 2 2 2 2 2" xfId="2008" xr:uid="{00000000-0005-0000-0000-000030050000}"/>
    <cellStyle name="20 % - Akzent3 3 2 2 2 2 2 2 3" xfId="2009" xr:uid="{00000000-0005-0000-0000-000031050000}"/>
    <cellStyle name="20 % - Akzent3 3 2 2 2 2 2 3" xfId="2010" xr:uid="{00000000-0005-0000-0000-000032050000}"/>
    <cellStyle name="20 % - Akzent3 3 2 2 2 2 2 3 2" xfId="2011" xr:uid="{00000000-0005-0000-0000-000033050000}"/>
    <cellStyle name="20 % - Akzent3 3 2 2 2 2 2 3 3" xfId="2012" xr:uid="{00000000-0005-0000-0000-000034050000}"/>
    <cellStyle name="20 % - Akzent3 3 2 2 2 2 2 4" xfId="2013" xr:uid="{00000000-0005-0000-0000-000035050000}"/>
    <cellStyle name="20 % - Akzent3 3 2 2 2 2 2 4 2" xfId="2014" xr:uid="{00000000-0005-0000-0000-000036050000}"/>
    <cellStyle name="20 % - Akzent3 3 2 2 2 2 2 5" xfId="2015" xr:uid="{00000000-0005-0000-0000-000037050000}"/>
    <cellStyle name="20 % - Akzent3 3 2 2 2 2 2 6" xfId="2016" xr:uid="{00000000-0005-0000-0000-000038050000}"/>
    <cellStyle name="20 % - Akzent3 3 2 2 2 2 3" xfId="2017" xr:uid="{00000000-0005-0000-0000-000039050000}"/>
    <cellStyle name="20 % - Akzent3 3 2 2 2 2 3 2" xfId="2018" xr:uid="{00000000-0005-0000-0000-00003A050000}"/>
    <cellStyle name="20 % - Akzent3 3 2 2 2 2 3 3" xfId="2019" xr:uid="{00000000-0005-0000-0000-00003B050000}"/>
    <cellStyle name="20 % - Akzent3 3 2 2 2 2 4" xfId="2020" xr:uid="{00000000-0005-0000-0000-00003C050000}"/>
    <cellStyle name="20 % - Akzent3 3 2 2 2 2 4 2" xfId="2021" xr:uid="{00000000-0005-0000-0000-00003D050000}"/>
    <cellStyle name="20 % - Akzent3 3 2 2 2 2 4 3" xfId="2022" xr:uid="{00000000-0005-0000-0000-00003E050000}"/>
    <cellStyle name="20 % - Akzent3 3 2 2 2 2 5" xfId="2023" xr:uid="{00000000-0005-0000-0000-00003F050000}"/>
    <cellStyle name="20 % - Akzent3 3 2 2 2 2 5 2" xfId="2024" xr:uid="{00000000-0005-0000-0000-000040050000}"/>
    <cellStyle name="20 % - Akzent3 3 2 2 2 2 6" xfId="2025" xr:uid="{00000000-0005-0000-0000-000041050000}"/>
    <cellStyle name="20 % - Akzent3 3 2 2 2 2 7" xfId="2026" xr:uid="{00000000-0005-0000-0000-000042050000}"/>
    <cellStyle name="20 % - Akzent3 3 2 2 2 3" xfId="2027" xr:uid="{00000000-0005-0000-0000-000043050000}"/>
    <cellStyle name="20 % - Akzent3 3 2 2 2 3 2" xfId="2028" xr:uid="{00000000-0005-0000-0000-000044050000}"/>
    <cellStyle name="20 % - Akzent3 3 2 2 2 3 2 2" xfId="2029" xr:uid="{00000000-0005-0000-0000-000045050000}"/>
    <cellStyle name="20 % - Akzent3 3 2 2 2 3 2 3" xfId="2030" xr:uid="{00000000-0005-0000-0000-000046050000}"/>
    <cellStyle name="20 % - Akzent3 3 2 2 2 3 3" xfId="2031" xr:uid="{00000000-0005-0000-0000-000047050000}"/>
    <cellStyle name="20 % - Akzent3 3 2 2 2 3 3 2" xfId="2032" xr:uid="{00000000-0005-0000-0000-000048050000}"/>
    <cellStyle name="20 % - Akzent3 3 2 2 2 3 3 3" xfId="2033" xr:uid="{00000000-0005-0000-0000-000049050000}"/>
    <cellStyle name="20 % - Akzent3 3 2 2 2 3 4" xfId="2034" xr:uid="{00000000-0005-0000-0000-00004A050000}"/>
    <cellStyle name="20 % - Akzent3 3 2 2 2 3 4 2" xfId="2035" xr:uid="{00000000-0005-0000-0000-00004B050000}"/>
    <cellStyle name="20 % - Akzent3 3 2 2 2 3 5" xfId="2036" xr:uid="{00000000-0005-0000-0000-00004C050000}"/>
    <cellStyle name="20 % - Akzent3 3 2 2 2 3 6" xfId="2037" xr:uid="{00000000-0005-0000-0000-00004D050000}"/>
    <cellStyle name="20 % - Akzent3 3 2 2 2 4" xfId="2038" xr:uid="{00000000-0005-0000-0000-00004E050000}"/>
    <cellStyle name="20 % - Akzent3 3 2 2 2 4 2" xfId="2039" xr:uid="{00000000-0005-0000-0000-00004F050000}"/>
    <cellStyle name="20 % - Akzent3 3 2 2 2 4 3" xfId="2040" xr:uid="{00000000-0005-0000-0000-000050050000}"/>
    <cellStyle name="20 % - Akzent3 3 2 2 2 5" xfId="2041" xr:uid="{00000000-0005-0000-0000-000051050000}"/>
    <cellStyle name="20 % - Akzent3 3 2 2 2 5 2" xfId="2042" xr:uid="{00000000-0005-0000-0000-000052050000}"/>
    <cellStyle name="20 % - Akzent3 3 2 2 2 5 3" xfId="2043" xr:uid="{00000000-0005-0000-0000-000053050000}"/>
    <cellStyle name="20 % - Akzent3 3 2 2 2 6" xfId="2044" xr:uid="{00000000-0005-0000-0000-000054050000}"/>
    <cellStyle name="20 % - Akzent3 3 2 2 2 6 2" xfId="2045" xr:uid="{00000000-0005-0000-0000-000055050000}"/>
    <cellStyle name="20 % - Akzent3 3 2 2 2 7" xfId="2046" xr:uid="{00000000-0005-0000-0000-000056050000}"/>
    <cellStyle name="20 % - Akzent3 3 2 2 2 8" xfId="2047" xr:uid="{00000000-0005-0000-0000-000057050000}"/>
    <cellStyle name="20 % - Akzent3 3 2 2 3" xfId="2048" xr:uid="{00000000-0005-0000-0000-000058050000}"/>
    <cellStyle name="20 % - Akzent3 3 2 2 3 2" xfId="2049" xr:uid="{00000000-0005-0000-0000-000059050000}"/>
    <cellStyle name="20 % - Akzent3 3 2 2 3 2 2" xfId="2050" xr:uid="{00000000-0005-0000-0000-00005A050000}"/>
    <cellStyle name="20 % - Akzent3 3 2 2 3 2 2 2" xfId="2051" xr:uid="{00000000-0005-0000-0000-00005B050000}"/>
    <cellStyle name="20 % - Akzent3 3 2 2 3 2 2 2 2" xfId="2052" xr:uid="{00000000-0005-0000-0000-00005C050000}"/>
    <cellStyle name="20 % - Akzent3 3 2 2 3 2 2 2 3" xfId="2053" xr:uid="{00000000-0005-0000-0000-00005D050000}"/>
    <cellStyle name="20 % - Akzent3 3 2 2 3 2 2 3" xfId="2054" xr:uid="{00000000-0005-0000-0000-00005E050000}"/>
    <cellStyle name="20 % - Akzent3 3 2 2 3 2 2 3 2" xfId="2055" xr:uid="{00000000-0005-0000-0000-00005F050000}"/>
    <cellStyle name="20 % - Akzent3 3 2 2 3 2 2 3 3" xfId="2056" xr:uid="{00000000-0005-0000-0000-000060050000}"/>
    <cellStyle name="20 % - Akzent3 3 2 2 3 2 2 4" xfId="2057" xr:uid="{00000000-0005-0000-0000-000061050000}"/>
    <cellStyle name="20 % - Akzent3 3 2 2 3 2 2 4 2" xfId="2058" xr:uid="{00000000-0005-0000-0000-000062050000}"/>
    <cellStyle name="20 % - Akzent3 3 2 2 3 2 2 5" xfId="2059" xr:uid="{00000000-0005-0000-0000-000063050000}"/>
    <cellStyle name="20 % - Akzent3 3 2 2 3 2 2 6" xfId="2060" xr:uid="{00000000-0005-0000-0000-000064050000}"/>
    <cellStyle name="20 % - Akzent3 3 2 2 3 2 3" xfId="2061" xr:uid="{00000000-0005-0000-0000-000065050000}"/>
    <cellStyle name="20 % - Akzent3 3 2 2 3 2 3 2" xfId="2062" xr:uid="{00000000-0005-0000-0000-000066050000}"/>
    <cellStyle name="20 % - Akzent3 3 2 2 3 2 3 3" xfId="2063" xr:uid="{00000000-0005-0000-0000-000067050000}"/>
    <cellStyle name="20 % - Akzent3 3 2 2 3 2 4" xfId="2064" xr:uid="{00000000-0005-0000-0000-000068050000}"/>
    <cellStyle name="20 % - Akzent3 3 2 2 3 2 4 2" xfId="2065" xr:uid="{00000000-0005-0000-0000-000069050000}"/>
    <cellStyle name="20 % - Akzent3 3 2 2 3 2 4 3" xfId="2066" xr:uid="{00000000-0005-0000-0000-00006A050000}"/>
    <cellStyle name="20 % - Akzent3 3 2 2 3 2 5" xfId="2067" xr:uid="{00000000-0005-0000-0000-00006B050000}"/>
    <cellStyle name="20 % - Akzent3 3 2 2 3 2 5 2" xfId="2068" xr:uid="{00000000-0005-0000-0000-00006C050000}"/>
    <cellStyle name="20 % - Akzent3 3 2 2 3 2 6" xfId="2069" xr:uid="{00000000-0005-0000-0000-00006D050000}"/>
    <cellStyle name="20 % - Akzent3 3 2 2 3 2 7" xfId="2070" xr:uid="{00000000-0005-0000-0000-00006E050000}"/>
    <cellStyle name="20 % - Akzent3 3 2 2 3 3" xfId="2071" xr:uid="{00000000-0005-0000-0000-00006F050000}"/>
    <cellStyle name="20 % - Akzent3 3 2 2 3 3 2" xfId="2072" xr:uid="{00000000-0005-0000-0000-000070050000}"/>
    <cellStyle name="20 % - Akzent3 3 2 2 3 3 2 2" xfId="2073" xr:uid="{00000000-0005-0000-0000-000071050000}"/>
    <cellStyle name="20 % - Akzent3 3 2 2 3 3 2 3" xfId="2074" xr:uid="{00000000-0005-0000-0000-000072050000}"/>
    <cellStyle name="20 % - Akzent3 3 2 2 3 3 3" xfId="2075" xr:uid="{00000000-0005-0000-0000-000073050000}"/>
    <cellStyle name="20 % - Akzent3 3 2 2 3 3 3 2" xfId="2076" xr:uid="{00000000-0005-0000-0000-000074050000}"/>
    <cellStyle name="20 % - Akzent3 3 2 2 3 3 3 3" xfId="2077" xr:uid="{00000000-0005-0000-0000-000075050000}"/>
    <cellStyle name="20 % - Akzent3 3 2 2 3 3 4" xfId="2078" xr:uid="{00000000-0005-0000-0000-000076050000}"/>
    <cellStyle name="20 % - Akzent3 3 2 2 3 3 4 2" xfId="2079" xr:uid="{00000000-0005-0000-0000-000077050000}"/>
    <cellStyle name="20 % - Akzent3 3 2 2 3 3 5" xfId="2080" xr:uid="{00000000-0005-0000-0000-000078050000}"/>
    <cellStyle name="20 % - Akzent3 3 2 2 3 3 6" xfId="2081" xr:uid="{00000000-0005-0000-0000-000079050000}"/>
    <cellStyle name="20 % - Akzent3 3 2 2 3 4" xfId="2082" xr:uid="{00000000-0005-0000-0000-00007A050000}"/>
    <cellStyle name="20 % - Akzent3 3 2 2 3 4 2" xfId="2083" xr:uid="{00000000-0005-0000-0000-00007B050000}"/>
    <cellStyle name="20 % - Akzent3 3 2 2 3 4 3" xfId="2084" xr:uid="{00000000-0005-0000-0000-00007C050000}"/>
    <cellStyle name="20 % - Akzent3 3 2 2 3 5" xfId="2085" xr:uid="{00000000-0005-0000-0000-00007D050000}"/>
    <cellStyle name="20 % - Akzent3 3 2 2 3 5 2" xfId="2086" xr:uid="{00000000-0005-0000-0000-00007E050000}"/>
    <cellStyle name="20 % - Akzent3 3 2 2 3 5 3" xfId="2087" xr:uid="{00000000-0005-0000-0000-00007F050000}"/>
    <cellStyle name="20 % - Akzent3 3 2 2 3 6" xfId="2088" xr:uid="{00000000-0005-0000-0000-000080050000}"/>
    <cellStyle name="20 % - Akzent3 3 2 2 3 6 2" xfId="2089" xr:uid="{00000000-0005-0000-0000-000081050000}"/>
    <cellStyle name="20 % - Akzent3 3 2 2 3 7" xfId="2090" xr:uid="{00000000-0005-0000-0000-000082050000}"/>
    <cellStyle name="20 % - Akzent3 3 2 2 3 8" xfId="2091" xr:uid="{00000000-0005-0000-0000-000083050000}"/>
    <cellStyle name="20 % - Akzent3 3 2 2 4" xfId="2092" xr:uid="{00000000-0005-0000-0000-000084050000}"/>
    <cellStyle name="20 % - Akzent3 3 2 2 4 2" xfId="2093" xr:uid="{00000000-0005-0000-0000-000085050000}"/>
    <cellStyle name="20 % - Akzent3 3 2 2 4 2 2" xfId="2094" xr:uid="{00000000-0005-0000-0000-000086050000}"/>
    <cellStyle name="20 % - Akzent3 3 2 2 4 2 2 2" xfId="2095" xr:uid="{00000000-0005-0000-0000-000087050000}"/>
    <cellStyle name="20 % - Akzent3 3 2 2 4 2 2 3" xfId="2096" xr:uid="{00000000-0005-0000-0000-000088050000}"/>
    <cellStyle name="20 % - Akzent3 3 2 2 4 2 3" xfId="2097" xr:uid="{00000000-0005-0000-0000-000089050000}"/>
    <cellStyle name="20 % - Akzent3 3 2 2 4 2 3 2" xfId="2098" xr:uid="{00000000-0005-0000-0000-00008A050000}"/>
    <cellStyle name="20 % - Akzent3 3 2 2 4 2 3 3" xfId="2099" xr:uid="{00000000-0005-0000-0000-00008B050000}"/>
    <cellStyle name="20 % - Akzent3 3 2 2 4 2 4" xfId="2100" xr:uid="{00000000-0005-0000-0000-00008C050000}"/>
    <cellStyle name="20 % - Akzent3 3 2 2 4 2 4 2" xfId="2101" xr:uid="{00000000-0005-0000-0000-00008D050000}"/>
    <cellStyle name="20 % - Akzent3 3 2 2 4 2 5" xfId="2102" xr:uid="{00000000-0005-0000-0000-00008E050000}"/>
    <cellStyle name="20 % - Akzent3 3 2 2 4 2 6" xfId="2103" xr:uid="{00000000-0005-0000-0000-00008F050000}"/>
    <cellStyle name="20 % - Akzent3 3 2 2 4 3" xfId="2104" xr:uid="{00000000-0005-0000-0000-000090050000}"/>
    <cellStyle name="20 % - Akzent3 3 2 2 4 3 2" xfId="2105" xr:uid="{00000000-0005-0000-0000-000091050000}"/>
    <cellStyle name="20 % - Akzent3 3 2 2 4 3 3" xfId="2106" xr:uid="{00000000-0005-0000-0000-000092050000}"/>
    <cellStyle name="20 % - Akzent3 3 2 2 4 4" xfId="2107" xr:uid="{00000000-0005-0000-0000-000093050000}"/>
    <cellStyle name="20 % - Akzent3 3 2 2 4 4 2" xfId="2108" xr:uid="{00000000-0005-0000-0000-000094050000}"/>
    <cellStyle name="20 % - Akzent3 3 2 2 4 4 3" xfId="2109" xr:uid="{00000000-0005-0000-0000-000095050000}"/>
    <cellStyle name="20 % - Akzent3 3 2 2 4 5" xfId="2110" xr:uid="{00000000-0005-0000-0000-000096050000}"/>
    <cellStyle name="20 % - Akzent3 3 2 2 4 5 2" xfId="2111" xr:uid="{00000000-0005-0000-0000-000097050000}"/>
    <cellStyle name="20 % - Akzent3 3 2 2 4 6" xfId="2112" xr:uid="{00000000-0005-0000-0000-000098050000}"/>
    <cellStyle name="20 % - Akzent3 3 2 2 4 7" xfId="2113" xr:uid="{00000000-0005-0000-0000-000099050000}"/>
    <cellStyle name="20 % - Akzent3 3 2 2 5" xfId="2114" xr:uid="{00000000-0005-0000-0000-00009A050000}"/>
    <cellStyle name="20 % - Akzent3 3 2 2 5 2" xfId="2115" xr:uid="{00000000-0005-0000-0000-00009B050000}"/>
    <cellStyle name="20 % - Akzent3 3 2 2 5 2 2" xfId="2116" xr:uid="{00000000-0005-0000-0000-00009C050000}"/>
    <cellStyle name="20 % - Akzent3 3 2 2 5 2 3" xfId="2117" xr:uid="{00000000-0005-0000-0000-00009D050000}"/>
    <cellStyle name="20 % - Akzent3 3 2 2 5 3" xfId="2118" xr:uid="{00000000-0005-0000-0000-00009E050000}"/>
    <cellStyle name="20 % - Akzent3 3 2 2 5 3 2" xfId="2119" xr:uid="{00000000-0005-0000-0000-00009F050000}"/>
    <cellStyle name="20 % - Akzent3 3 2 2 5 3 3" xfId="2120" xr:uid="{00000000-0005-0000-0000-0000A0050000}"/>
    <cellStyle name="20 % - Akzent3 3 2 2 5 4" xfId="2121" xr:uid="{00000000-0005-0000-0000-0000A1050000}"/>
    <cellStyle name="20 % - Akzent3 3 2 2 5 4 2" xfId="2122" xr:uid="{00000000-0005-0000-0000-0000A2050000}"/>
    <cellStyle name="20 % - Akzent3 3 2 2 5 5" xfId="2123" xr:uid="{00000000-0005-0000-0000-0000A3050000}"/>
    <cellStyle name="20 % - Akzent3 3 2 2 5 6" xfId="2124" xr:uid="{00000000-0005-0000-0000-0000A4050000}"/>
    <cellStyle name="20 % - Akzent3 3 2 2 6" xfId="2125" xr:uid="{00000000-0005-0000-0000-0000A5050000}"/>
    <cellStyle name="20 % - Akzent3 3 2 2 6 2" xfId="2126" xr:uid="{00000000-0005-0000-0000-0000A6050000}"/>
    <cellStyle name="20 % - Akzent3 3 2 2 6 3" xfId="2127" xr:uid="{00000000-0005-0000-0000-0000A7050000}"/>
    <cellStyle name="20 % - Akzent3 3 2 2 7" xfId="2128" xr:uid="{00000000-0005-0000-0000-0000A8050000}"/>
    <cellStyle name="20 % - Akzent3 3 2 2 7 2" xfId="2129" xr:uid="{00000000-0005-0000-0000-0000A9050000}"/>
    <cellStyle name="20 % - Akzent3 3 2 2 7 3" xfId="2130" xr:uid="{00000000-0005-0000-0000-0000AA050000}"/>
    <cellStyle name="20 % - Akzent3 3 2 2 8" xfId="2131" xr:uid="{00000000-0005-0000-0000-0000AB050000}"/>
    <cellStyle name="20 % - Akzent3 3 2 2 8 2" xfId="2132" xr:uid="{00000000-0005-0000-0000-0000AC050000}"/>
    <cellStyle name="20 % - Akzent3 3 2 2 9" xfId="2133" xr:uid="{00000000-0005-0000-0000-0000AD050000}"/>
    <cellStyle name="20 % - Akzent3 3 2 3" xfId="2134" xr:uid="{00000000-0005-0000-0000-0000AE050000}"/>
    <cellStyle name="20 % - Akzent3 3 2 3 2" xfId="2135" xr:uid="{00000000-0005-0000-0000-0000AF050000}"/>
    <cellStyle name="20 % - Akzent3 3 2 3 2 2" xfId="2136" xr:uid="{00000000-0005-0000-0000-0000B0050000}"/>
    <cellStyle name="20 % - Akzent3 3 2 3 2 2 2" xfId="2137" xr:uid="{00000000-0005-0000-0000-0000B1050000}"/>
    <cellStyle name="20 % - Akzent3 3 2 3 2 2 2 2" xfId="2138" xr:uid="{00000000-0005-0000-0000-0000B2050000}"/>
    <cellStyle name="20 % - Akzent3 3 2 3 2 2 2 3" xfId="2139" xr:uid="{00000000-0005-0000-0000-0000B3050000}"/>
    <cellStyle name="20 % - Akzent3 3 2 3 2 2 3" xfId="2140" xr:uid="{00000000-0005-0000-0000-0000B4050000}"/>
    <cellStyle name="20 % - Akzent3 3 2 3 2 2 3 2" xfId="2141" xr:uid="{00000000-0005-0000-0000-0000B5050000}"/>
    <cellStyle name="20 % - Akzent3 3 2 3 2 2 3 3" xfId="2142" xr:uid="{00000000-0005-0000-0000-0000B6050000}"/>
    <cellStyle name="20 % - Akzent3 3 2 3 2 2 4" xfId="2143" xr:uid="{00000000-0005-0000-0000-0000B7050000}"/>
    <cellStyle name="20 % - Akzent3 3 2 3 2 2 4 2" xfId="2144" xr:uid="{00000000-0005-0000-0000-0000B8050000}"/>
    <cellStyle name="20 % - Akzent3 3 2 3 2 2 5" xfId="2145" xr:uid="{00000000-0005-0000-0000-0000B9050000}"/>
    <cellStyle name="20 % - Akzent3 3 2 3 2 2 6" xfId="2146" xr:uid="{00000000-0005-0000-0000-0000BA050000}"/>
    <cellStyle name="20 % - Akzent3 3 2 3 2 3" xfId="2147" xr:uid="{00000000-0005-0000-0000-0000BB050000}"/>
    <cellStyle name="20 % - Akzent3 3 2 3 2 3 2" xfId="2148" xr:uid="{00000000-0005-0000-0000-0000BC050000}"/>
    <cellStyle name="20 % - Akzent3 3 2 3 2 3 3" xfId="2149" xr:uid="{00000000-0005-0000-0000-0000BD050000}"/>
    <cellStyle name="20 % - Akzent3 3 2 3 2 4" xfId="2150" xr:uid="{00000000-0005-0000-0000-0000BE050000}"/>
    <cellStyle name="20 % - Akzent3 3 2 3 2 4 2" xfId="2151" xr:uid="{00000000-0005-0000-0000-0000BF050000}"/>
    <cellStyle name="20 % - Akzent3 3 2 3 2 4 3" xfId="2152" xr:uid="{00000000-0005-0000-0000-0000C0050000}"/>
    <cellStyle name="20 % - Akzent3 3 2 3 2 5" xfId="2153" xr:uid="{00000000-0005-0000-0000-0000C1050000}"/>
    <cellStyle name="20 % - Akzent3 3 2 3 2 5 2" xfId="2154" xr:uid="{00000000-0005-0000-0000-0000C2050000}"/>
    <cellStyle name="20 % - Akzent3 3 2 3 2 6" xfId="2155" xr:uid="{00000000-0005-0000-0000-0000C3050000}"/>
    <cellStyle name="20 % - Akzent3 3 2 3 2 7" xfId="2156" xr:uid="{00000000-0005-0000-0000-0000C4050000}"/>
    <cellStyle name="20 % - Akzent3 3 2 3 3" xfId="2157" xr:uid="{00000000-0005-0000-0000-0000C5050000}"/>
    <cellStyle name="20 % - Akzent3 3 2 3 3 2" xfId="2158" xr:uid="{00000000-0005-0000-0000-0000C6050000}"/>
    <cellStyle name="20 % - Akzent3 3 2 3 3 2 2" xfId="2159" xr:uid="{00000000-0005-0000-0000-0000C7050000}"/>
    <cellStyle name="20 % - Akzent3 3 2 3 3 2 3" xfId="2160" xr:uid="{00000000-0005-0000-0000-0000C8050000}"/>
    <cellStyle name="20 % - Akzent3 3 2 3 3 3" xfId="2161" xr:uid="{00000000-0005-0000-0000-0000C9050000}"/>
    <cellStyle name="20 % - Akzent3 3 2 3 3 3 2" xfId="2162" xr:uid="{00000000-0005-0000-0000-0000CA050000}"/>
    <cellStyle name="20 % - Akzent3 3 2 3 3 3 3" xfId="2163" xr:uid="{00000000-0005-0000-0000-0000CB050000}"/>
    <cellStyle name="20 % - Akzent3 3 2 3 3 4" xfId="2164" xr:uid="{00000000-0005-0000-0000-0000CC050000}"/>
    <cellStyle name="20 % - Akzent3 3 2 3 3 4 2" xfId="2165" xr:uid="{00000000-0005-0000-0000-0000CD050000}"/>
    <cellStyle name="20 % - Akzent3 3 2 3 3 5" xfId="2166" xr:uid="{00000000-0005-0000-0000-0000CE050000}"/>
    <cellStyle name="20 % - Akzent3 3 2 3 3 6" xfId="2167" xr:uid="{00000000-0005-0000-0000-0000CF050000}"/>
    <cellStyle name="20 % - Akzent3 3 2 3 4" xfId="2168" xr:uid="{00000000-0005-0000-0000-0000D0050000}"/>
    <cellStyle name="20 % - Akzent3 3 2 3 4 2" xfId="2169" xr:uid="{00000000-0005-0000-0000-0000D1050000}"/>
    <cellStyle name="20 % - Akzent3 3 2 3 4 3" xfId="2170" xr:uid="{00000000-0005-0000-0000-0000D2050000}"/>
    <cellStyle name="20 % - Akzent3 3 2 3 5" xfId="2171" xr:uid="{00000000-0005-0000-0000-0000D3050000}"/>
    <cellStyle name="20 % - Akzent3 3 2 3 5 2" xfId="2172" xr:uid="{00000000-0005-0000-0000-0000D4050000}"/>
    <cellStyle name="20 % - Akzent3 3 2 3 5 3" xfId="2173" xr:uid="{00000000-0005-0000-0000-0000D5050000}"/>
    <cellStyle name="20 % - Akzent3 3 2 3 6" xfId="2174" xr:uid="{00000000-0005-0000-0000-0000D6050000}"/>
    <cellStyle name="20 % - Akzent3 3 2 3 6 2" xfId="2175" xr:uid="{00000000-0005-0000-0000-0000D7050000}"/>
    <cellStyle name="20 % - Akzent3 3 2 3 7" xfId="2176" xr:uid="{00000000-0005-0000-0000-0000D8050000}"/>
    <cellStyle name="20 % - Akzent3 3 2 3 8" xfId="2177" xr:uid="{00000000-0005-0000-0000-0000D9050000}"/>
    <cellStyle name="20 % - Akzent3 3 2 4" xfId="2178" xr:uid="{00000000-0005-0000-0000-0000DA050000}"/>
    <cellStyle name="20 % - Akzent3 3 2 4 2" xfId="2179" xr:uid="{00000000-0005-0000-0000-0000DB050000}"/>
    <cellStyle name="20 % - Akzent3 3 2 4 2 2" xfId="2180" xr:uid="{00000000-0005-0000-0000-0000DC050000}"/>
    <cellStyle name="20 % - Akzent3 3 2 4 2 2 2" xfId="2181" xr:uid="{00000000-0005-0000-0000-0000DD050000}"/>
    <cellStyle name="20 % - Akzent3 3 2 4 2 2 2 2" xfId="2182" xr:uid="{00000000-0005-0000-0000-0000DE050000}"/>
    <cellStyle name="20 % - Akzent3 3 2 4 2 2 2 3" xfId="2183" xr:uid="{00000000-0005-0000-0000-0000DF050000}"/>
    <cellStyle name="20 % - Akzent3 3 2 4 2 2 3" xfId="2184" xr:uid="{00000000-0005-0000-0000-0000E0050000}"/>
    <cellStyle name="20 % - Akzent3 3 2 4 2 2 3 2" xfId="2185" xr:uid="{00000000-0005-0000-0000-0000E1050000}"/>
    <cellStyle name="20 % - Akzent3 3 2 4 2 2 3 3" xfId="2186" xr:uid="{00000000-0005-0000-0000-0000E2050000}"/>
    <cellStyle name="20 % - Akzent3 3 2 4 2 2 4" xfId="2187" xr:uid="{00000000-0005-0000-0000-0000E3050000}"/>
    <cellStyle name="20 % - Akzent3 3 2 4 2 2 4 2" xfId="2188" xr:uid="{00000000-0005-0000-0000-0000E4050000}"/>
    <cellStyle name="20 % - Akzent3 3 2 4 2 2 5" xfId="2189" xr:uid="{00000000-0005-0000-0000-0000E5050000}"/>
    <cellStyle name="20 % - Akzent3 3 2 4 2 2 6" xfId="2190" xr:uid="{00000000-0005-0000-0000-0000E6050000}"/>
    <cellStyle name="20 % - Akzent3 3 2 4 2 3" xfId="2191" xr:uid="{00000000-0005-0000-0000-0000E7050000}"/>
    <cellStyle name="20 % - Akzent3 3 2 4 2 3 2" xfId="2192" xr:uid="{00000000-0005-0000-0000-0000E8050000}"/>
    <cellStyle name="20 % - Akzent3 3 2 4 2 3 3" xfId="2193" xr:uid="{00000000-0005-0000-0000-0000E9050000}"/>
    <cellStyle name="20 % - Akzent3 3 2 4 2 4" xfId="2194" xr:uid="{00000000-0005-0000-0000-0000EA050000}"/>
    <cellStyle name="20 % - Akzent3 3 2 4 2 4 2" xfId="2195" xr:uid="{00000000-0005-0000-0000-0000EB050000}"/>
    <cellStyle name="20 % - Akzent3 3 2 4 2 4 3" xfId="2196" xr:uid="{00000000-0005-0000-0000-0000EC050000}"/>
    <cellStyle name="20 % - Akzent3 3 2 4 2 5" xfId="2197" xr:uid="{00000000-0005-0000-0000-0000ED050000}"/>
    <cellStyle name="20 % - Akzent3 3 2 4 2 5 2" xfId="2198" xr:uid="{00000000-0005-0000-0000-0000EE050000}"/>
    <cellStyle name="20 % - Akzent3 3 2 4 2 6" xfId="2199" xr:uid="{00000000-0005-0000-0000-0000EF050000}"/>
    <cellStyle name="20 % - Akzent3 3 2 4 2 7" xfId="2200" xr:uid="{00000000-0005-0000-0000-0000F0050000}"/>
    <cellStyle name="20 % - Akzent3 3 2 4 3" xfId="2201" xr:uid="{00000000-0005-0000-0000-0000F1050000}"/>
    <cellStyle name="20 % - Akzent3 3 2 4 3 2" xfId="2202" xr:uid="{00000000-0005-0000-0000-0000F2050000}"/>
    <cellStyle name="20 % - Akzent3 3 2 4 3 2 2" xfId="2203" xr:uid="{00000000-0005-0000-0000-0000F3050000}"/>
    <cellStyle name="20 % - Akzent3 3 2 4 3 2 3" xfId="2204" xr:uid="{00000000-0005-0000-0000-0000F4050000}"/>
    <cellStyle name="20 % - Akzent3 3 2 4 3 3" xfId="2205" xr:uid="{00000000-0005-0000-0000-0000F5050000}"/>
    <cellStyle name="20 % - Akzent3 3 2 4 3 3 2" xfId="2206" xr:uid="{00000000-0005-0000-0000-0000F6050000}"/>
    <cellStyle name="20 % - Akzent3 3 2 4 3 3 3" xfId="2207" xr:uid="{00000000-0005-0000-0000-0000F7050000}"/>
    <cellStyle name="20 % - Akzent3 3 2 4 3 4" xfId="2208" xr:uid="{00000000-0005-0000-0000-0000F8050000}"/>
    <cellStyle name="20 % - Akzent3 3 2 4 3 4 2" xfId="2209" xr:uid="{00000000-0005-0000-0000-0000F9050000}"/>
    <cellStyle name="20 % - Akzent3 3 2 4 3 5" xfId="2210" xr:uid="{00000000-0005-0000-0000-0000FA050000}"/>
    <cellStyle name="20 % - Akzent3 3 2 4 3 6" xfId="2211" xr:uid="{00000000-0005-0000-0000-0000FB050000}"/>
    <cellStyle name="20 % - Akzent3 3 2 4 4" xfId="2212" xr:uid="{00000000-0005-0000-0000-0000FC050000}"/>
    <cellStyle name="20 % - Akzent3 3 2 4 4 2" xfId="2213" xr:uid="{00000000-0005-0000-0000-0000FD050000}"/>
    <cellStyle name="20 % - Akzent3 3 2 4 4 3" xfId="2214" xr:uid="{00000000-0005-0000-0000-0000FE050000}"/>
    <cellStyle name="20 % - Akzent3 3 2 4 5" xfId="2215" xr:uid="{00000000-0005-0000-0000-0000FF050000}"/>
    <cellStyle name="20 % - Akzent3 3 2 4 5 2" xfId="2216" xr:uid="{00000000-0005-0000-0000-000000060000}"/>
    <cellStyle name="20 % - Akzent3 3 2 4 5 3" xfId="2217" xr:uid="{00000000-0005-0000-0000-000001060000}"/>
    <cellStyle name="20 % - Akzent3 3 2 4 6" xfId="2218" xr:uid="{00000000-0005-0000-0000-000002060000}"/>
    <cellStyle name="20 % - Akzent3 3 2 4 6 2" xfId="2219" xr:uid="{00000000-0005-0000-0000-000003060000}"/>
    <cellStyle name="20 % - Akzent3 3 2 4 7" xfId="2220" xr:uid="{00000000-0005-0000-0000-000004060000}"/>
    <cellStyle name="20 % - Akzent3 3 2 4 8" xfId="2221" xr:uid="{00000000-0005-0000-0000-000005060000}"/>
    <cellStyle name="20 % - Akzent3 3 2 5" xfId="2222" xr:uid="{00000000-0005-0000-0000-000006060000}"/>
    <cellStyle name="20 % - Akzent3 3 2 5 2" xfId="2223" xr:uid="{00000000-0005-0000-0000-000007060000}"/>
    <cellStyle name="20 % - Akzent3 3 2 5 2 2" xfId="2224" xr:uid="{00000000-0005-0000-0000-000008060000}"/>
    <cellStyle name="20 % - Akzent3 3 2 5 2 2 2" xfId="2225" xr:uid="{00000000-0005-0000-0000-000009060000}"/>
    <cellStyle name="20 % - Akzent3 3 2 5 2 2 3" xfId="2226" xr:uid="{00000000-0005-0000-0000-00000A060000}"/>
    <cellStyle name="20 % - Akzent3 3 2 5 2 3" xfId="2227" xr:uid="{00000000-0005-0000-0000-00000B060000}"/>
    <cellStyle name="20 % - Akzent3 3 2 5 2 3 2" xfId="2228" xr:uid="{00000000-0005-0000-0000-00000C060000}"/>
    <cellStyle name="20 % - Akzent3 3 2 5 2 3 3" xfId="2229" xr:uid="{00000000-0005-0000-0000-00000D060000}"/>
    <cellStyle name="20 % - Akzent3 3 2 5 2 4" xfId="2230" xr:uid="{00000000-0005-0000-0000-00000E060000}"/>
    <cellStyle name="20 % - Akzent3 3 2 5 2 4 2" xfId="2231" xr:uid="{00000000-0005-0000-0000-00000F060000}"/>
    <cellStyle name="20 % - Akzent3 3 2 5 2 5" xfId="2232" xr:uid="{00000000-0005-0000-0000-000010060000}"/>
    <cellStyle name="20 % - Akzent3 3 2 5 2 6" xfId="2233" xr:uid="{00000000-0005-0000-0000-000011060000}"/>
    <cellStyle name="20 % - Akzent3 3 2 5 3" xfId="2234" xr:uid="{00000000-0005-0000-0000-000012060000}"/>
    <cellStyle name="20 % - Akzent3 3 2 5 3 2" xfId="2235" xr:uid="{00000000-0005-0000-0000-000013060000}"/>
    <cellStyle name="20 % - Akzent3 3 2 5 3 3" xfId="2236" xr:uid="{00000000-0005-0000-0000-000014060000}"/>
    <cellStyle name="20 % - Akzent3 3 2 5 4" xfId="2237" xr:uid="{00000000-0005-0000-0000-000015060000}"/>
    <cellStyle name="20 % - Akzent3 3 2 5 4 2" xfId="2238" xr:uid="{00000000-0005-0000-0000-000016060000}"/>
    <cellStyle name="20 % - Akzent3 3 2 5 4 3" xfId="2239" xr:uid="{00000000-0005-0000-0000-000017060000}"/>
    <cellStyle name="20 % - Akzent3 3 2 5 5" xfId="2240" xr:uid="{00000000-0005-0000-0000-000018060000}"/>
    <cellStyle name="20 % - Akzent3 3 2 5 5 2" xfId="2241" xr:uid="{00000000-0005-0000-0000-000019060000}"/>
    <cellStyle name="20 % - Akzent3 3 2 5 6" xfId="2242" xr:uid="{00000000-0005-0000-0000-00001A060000}"/>
    <cellStyle name="20 % - Akzent3 3 2 5 7" xfId="2243" xr:uid="{00000000-0005-0000-0000-00001B060000}"/>
    <cellStyle name="20 % - Akzent3 3 2 6" xfId="2244" xr:uid="{00000000-0005-0000-0000-00001C060000}"/>
    <cellStyle name="20 % - Akzent3 3 2 6 2" xfId="2245" xr:uid="{00000000-0005-0000-0000-00001D060000}"/>
    <cellStyle name="20 % - Akzent3 3 2 6 2 2" xfId="2246" xr:uid="{00000000-0005-0000-0000-00001E060000}"/>
    <cellStyle name="20 % - Akzent3 3 2 6 2 3" xfId="2247" xr:uid="{00000000-0005-0000-0000-00001F060000}"/>
    <cellStyle name="20 % - Akzent3 3 2 6 3" xfId="2248" xr:uid="{00000000-0005-0000-0000-000020060000}"/>
    <cellStyle name="20 % - Akzent3 3 2 6 3 2" xfId="2249" xr:uid="{00000000-0005-0000-0000-000021060000}"/>
    <cellStyle name="20 % - Akzent3 3 2 6 3 3" xfId="2250" xr:uid="{00000000-0005-0000-0000-000022060000}"/>
    <cellStyle name="20 % - Akzent3 3 2 6 4" xfId="2251" xr:uid="{00000000-0005-0000-0000-000023060000}"/>
    <cellStyle name="20 % - Akzent3 3 2 6 4 2" xfId="2252" xr:uid="{00000000-0005-0000-0000-000024060000}"/>
    <cellStyle name="20 % - Akzent3 3 2 6 5" xfId="2253" xr:uid="{00000000-0005-0000-0000-000025060000}"/>
    <cellStyle name="20 % - Akzent3 3 2 6 6" xfId="2254" xr:uid="{00000000-0005-0000-0000-000026060000}"/>
    <cellStyle name="20 % - Akzent3 3 2 7" xfId="2255" xr:uid="{00000000-0005-0000-0000-000027060000}"/>
    <cellStyle name="20 % - Akzent3 3 2 7 2" xfId="2256" xr:uid="{00000000-0005-0000-0000-000028060000}"/>
    <cellStyle name="20 % - Akzent3 3 2 7 3" xfId="2257" xr:uid="{00000000-0005-0000-0000-000029060000}"/>
    <cellStyle name="20 % - Akzent3 3 2 8" xfId="2258" xr:uid="{00000000-0005-0000-0000-00002A060000}"/>
    <cellStyle name="20 % - Akzent3 3 2 8 2" xfId="2259" xr:uid="{00000000-0005-0000-0000-00002B060000}"/>
    <cellStyle name="20 % - Akzent3 3 2 8 3" xfId="2260" xr:uid="{00000000-0005-0000-0000-00002C060000}"/>
    <cellStyle name="20 % - Akzent3 3 2 9" xfId="2261" xr:uid="{00000000-0005-0000-0000-00002D060000}"/>
    <cellStyle name="20 % - Akzent3 3 2 9 2" xfId="2262" xr:uid="{00000000-0005-0000-0000-00002E060000}"/>
    <cellStyle name="20 % - Akzent3 4" xfId="2263" xr:uid="{00000000-0005-0000-0000-00002F060000}"/>
    <cellStyle name="20 % - Akzent3 4 2" xfId="2264" xr:uid="{00000000-0005-0000-0000-000030060000}"/>
    <cellStyle name="20 % - Akzent3 5" xfId="2265" xr:uid="{00000000-0005-0000-0000-000031060000}"/>
    <cellStyle name="20 % - Akzent3 5 2" xfId="2266" xr:uid="{00000000-0005-0000-0000-000032060000}"/>
    <cellStyle name="20 % - Akzent3 5 2 10" xfId="2267" xr:uid="{00000000-0005-0000-0000-000033060000}"/>
    <cellStyle name="20 % - Akzent3 5 2 11" xfId="2268" xr:uid="{00000000-0005-0000-0000-000034060000}"/>
    <cellStyle name="20 % - Akzent3 5 2 2" xfId="2269" xr:uid="{00000000-0005-0000-0000-000035060000}"/>
    <cellStyle name="20 % - Akzent3 5 2 2 10" xfId="2270" xr:uid="{00000000-0005-0000-0000-000036060000}"/>
    <cellStyle name="20 % - Akzent3 5 2 2 2" xfId="2271" xr:uid="{00000000-0005-0000-0000-000037060000}"/>
    <cellStyle name="20 % - Akzent3 5 2 2 2 2" xfId="2272" xr:uid="{00000000-0005-0000-0000-000038060000}"/>
    <cellStyle name="20 % - Akzent3 5 2 2 2 2 2" xfId="2273" xr:uid="{00000000-0005-0000-0000-000039060000}"/>
    <cellStyle name="20 % - Akzent3 5 2 2 2 2 2 2" xfId="2274" xr:uid="{00000000-0005-0000-0000-00003A060000}"/>
    <cellStyle name="20 % - Akzent3 5 2 2 2 2 2 2 2" xfId="2275" xr:uid="{00000000-0005-0000-0000-00003B060000}"/>
    <cellStyle name="20 % - Akzent3 5 2 2 2 2 2 2 3" xfId="2276" xr:uid="{00000000-0005-0000-0000-00003C060000}"/>
    <cellStyle name="20 % - Akzent3 5 2 2 2 2 2 3" xfId="2277" xr:uid="{00000000-0005-0000-0000-00003D060000}"/>
    <cellStyle name="20 % - Akzent3 5 2 2 2 2 2 3 2" xfId="2278" xr:uid="{00000000-0005-0000-0000-00003E060000}"/>
    <cellStyle name="20 % - Akzent3 5 2 2 2 2 2 3 3" xfId="2279" xr:uid="{00000000-0005-0000-0000-00003F060000}"/>
    <cellStyle name="20 % - Akzent3 5 2 2 2 2 2 4" xfId="2280" xr:uid="{00000000-0005-0000-0000-000040060000}"/>
    <cellStyle name="20 % - Akzent3 5 2 2 2 2 2 4 2" xfId="2281" xr:uid="{00000000-0005-0000-0000-000041060000}"/>
    <cellStyle name="20 % - Akzent3 5 2 2 2 2 2 5" xfId="2282" xr:uid="{00000000-0005-0000-0000-000042060000}"/>
    <cellStyle name="20 % - Akzent3 5 2 2 2 2 2 6" xfId="2283" xr:uid="{00000000-0005-0000-0000-000043060000}"/>
    <cellStyle name="20 % - Akzent3 5 2 2 2 2 3" xfId="2284" xr:uid="{00000000-0005-0000-0000-000044060000}"/>
    <cellStyle name="20 % - Akzent3 5 2 2 2 2 3 2" xfId="2285" xr:uid="{00000000-0005-0000-0000-000045060000}"/>
    <cellStyle name="20 % - Akzent3 5 2 2 2 2 3 3" xfId="2286" xr:uid="{00000000-0005-0000-0000-000046060000}"/>
    <cellStyle name="20 % - Akzent3 5 2 2 2 2 4" xfId="2287" xr:uid="{00000000-0005-0000-0000-000047060000}"/>
    <cellStyle name="20 % - Akzent3 5 2 2 2 2 4 2" xfId="2288" xr:uid="{00000000-0005-0000-0000-000048060000}"/>
    <cellStyle name="20 % - Akzent3 5 2 2 2 2 4 3" xfId="2289" xr:uid="{00000000-0005-0000-0000-000049060000}"/>
    <cellStyle name="20 % - Akzent3 5 2 2 2 2 5" xfId="2290" xr:uid="{00000000-0005-0000-0000-00004A060000}"/>
    <cellStyle name="20 % - Akzent3 5 2 2 2 2 5 2" xfId="2291" xr:uid="{00000000-0005-0000-0000-00004B060000}"/>
    <cellStyle name="20 % - Akzent3 5 2 2 2 2 6" xfId="2292" xr:uid="{00000000-0005-0000-0000-00004C060000}"/>
    <cellStyle name="20 % - Akzent3 5 2 2 2 2 7" xfId="2293" xr:uid="{00000000-0005-0000-0000-00004D060000}"/>
    <cellStyle name="20 % - Akzent3 5 2 2 2 3" xfId="2294" xr:uid="{00000000-0005-0000-0000-00004E060000}"/>
    <cellStyle name="20 % - Akzent3 5 2 2 2 3 2" xfId="2295" xr:uid="{00000000-0005-0000-0000-00004F060000}"/>
    <cellStyle name="20 % - Akzent3 5 2 2 2 3 2 2" xfId="2296" xr:uid="{00000000-0005-0000-0000-000050060000}"/>
    <cellStyle name="20 % - Akzent3 5 2 2 2 3 2 3" xfId="2297" xr:uid="{00000000-0005-0000-0000-000051060000}"/>
    <cellStyle name="20 % - Akzent3 5 2 2 2 3 3" xfId="2298" xr:uid="{00000000-0005-0000-0000-000052060000}"/>
    <cellStyle name="20 % - Akzent3 5 2 2 2 3 3 2" xfId="2299" xr:uid="{00000000-0005-0000-0000-000053060000}"/>
    <cellStyle name="20 % - Akzent3 5 2 2 2 3 3 3" xfId="2300" xr:uid="{00000000-0005-0000-0000-000054060000}"/>
    <cellStyle name="20 % - Akzent3 5 2 2 2 3 4" xfId="2301" xr:uid="{00000000-0005-0000-0000-000055060000}"/>
    <cellStyle name="20 % - Akzent3 5 2 2 2 3 4 2" xfId="2302" xr:uid="{00000000-0005-0000-0000-000056060000}"/>
    <cellStyle name="20 % - Akzent3 5 2 2 2 3 5" xfId="2303" xr:uid="{00000000-0005-0000-0000-000057060000}"/>
    <cellStyle name="20 % - Akzent3 5 2 2 2 3 6" xfId="2304" xr:uid="{00000000-0005-0000-0000-000058060000}"/>
    <cellStyle name="20 % - Akzent3 5 2 2 2 4" xfId="2305" xr:uid="{00000000-0005-0000-0000-000059060000}"/>
    <cellStyle name="20 % - Akzent3 5 2 2 2 4 2" xfId="2306" xr:uid="{00000000-0005-0000-0000-00005A060000}"/>
    <cellStyle name="20 % - Akzent3 5 2 2 2 4 3" xfId="2307" xr:uid="{00000000-0005-0000-0000-00005B060000}"/>
    <cellStyle name="20 % - Akzent3 5 2 2 2 5" xfId="2308" xr:uid="{00000000-0005-0000-0000-00005C060000}"/>
    <cellStyle name="20 % - Akzent3 5 2 2 2 5 2" xfId="2309" xr:uid="{00000000-0005-0000-0000-00005D060000}"/>
    <cellStyle name="20 % - Akzent3 5 2 2 2 5 3" xfId="2310" xr:uid="{00000000-0005-0000-0000-00005E060000}"/>
    <cellStyle name="20 % - Akzent3 5 2 2 2 6" xfId="2311" xr:uid="{00000000-0005-0000-0000-00005F060000}"/>
    <cellStyle name="20 % - Akzent3 5 2 2 2 6 2" xfId="2312" xr:uid="{00000000-0005-0000-0000-000060060000}"/>
    <cellStyle name="20 % - Akzent3 5 2 2 2 7" xfId="2313" xr:uid="{00000000-0005-0000-0000-000061060000}"/>
    <cellStyle name="20 % - Akzent3 5 2 2 2 8" xfId="2314" xr:uid="{00000000-0005-0000-0000-000062060000}"/>
    <cellStyle name="20 % - Akzent3 5 2 2 3" xfId="2315" xr:uid="{00000000-0005-0000-0000-000063060000}"/>
    <cellStyle name="20 % - Akzent3 5 2 2 3 2" xfId="2316" xr:uid="{00000000-0005-0000-0000-000064060000}"/>
    <cellStyle name="20 % - Akzent3 5 2 2 3 2 2" xfId="2317" xr:uid="{00000000-0005-0000-0000-000065060000}"/>
    <cellStyle name="20 % - Akzent3 5 2 2 3 2 2 2" xfId="2318" xr:uid="{00000000-0005-0000-0000-000066060000}"/>
    <cellStyle name="20 % - Akzent3 5 2 2 3 2 2 2 2" xfId="2319" xr:uid="{00000000-0005-0000-0000-000067060000}"/>
    <cellStyle name="20 % - Akzent3 5 2 2 3 2 2 2 3" xfId="2320" xr:uid="{00000000-0005-0000-0000-000068060000}"/>
    <cellStyle name="20 % - Akzent3 5 2 2 3 2 2 3" xfId="2321" xr:uid="{00000000-0005-0000-0000-000069060000}"/>
    <cellStyle name="20 % - Akzent3 5 2 2 3 2 2 3 2" xfId="2322" xr:uid="{00000000-0005-0000-0000-00006A060000}"/>
    <cellStyle name="20 % - Akzent3 5 2 2 3 2 2 3 3" xfId="2323" xr:uid="{00000000-0005-0000-0000-00006B060000}"/>
    <cellStyle name="20 % - Akzent3 5 2 2 3 2 2 4" xfId="2324" xr:uid="{00000000-0005-0000-0000-00006C060000}"/>
    <cellStyle name="20 % - Akzent3 5 2 2 3 2 2 4 2" xfId="2325" xr:uid="{00000000-0005-0000-0000-00006D060000}"/>
    <cellStyle name="20 % - Akzent3 5 2 2 3 2 2 5" xfId="2326" xr:uid="{00000000-0005-0000-0000-00006E060000}"/>
    <cellStyle name="20 % - Akzent3 5 2 2 3 2 2 6" xfId="2327" xr:uid="{00000000-0005-0000-0000-00006F060000}"/>
    <cellStyle name="20 % - Akzent3 5 2 2 3 2 3" xfId="2328" xr:uid="{00000000-0005-0000-0000-000070060000}"/>
    <cellStyle name="20 % - Akzent3 5 2 2 3 2 3 2" xfId="2329" xr:uid="{00000000-0005-0000-0000-000071060000}"/>
    <cellStyle name="20 % - Akzent3 5 2 2 3 2 3 3" xfId="2330" xr:uid="{00000000-0005-0000-0000-000072060000}"/>
    <cellStyle name="20 % - Akzent3 5 2 2 3 2 4" xfId="2331" xr:uid="{00000000-0005-0000-0000-000073060000}"/>
    <cellStyle name="20 % - Akzent3 5 2 2 3 2 4 2" xfId="2332" xr:uid="{00000000-0005-0000-0000-000074060000}"/>
    <cellStyle name="20 % - Akzent3 5 2 2 3 2 4 3" xfId="2333" xr:uid="{00000000-0005-0000-0000-000075060000}"/>
    <cellStyle name="20 % - Akzent3 5 2 2 3 2 5" xfId="2334" xr:uid="{00000000-0005-0000-0000-000076060000}"/>
    <cellStyle name="20 % - Akzent3 5 2 2 3 2 5 2" xfId="2335" xr:uid="{00000000-0005-0000-0000-000077060000}"/>
    <cellStyle name="20 % - Akzent3 5 2 2 3 2 6" xfId="2336" xr:uid="{00000000-0005-0000-0000-000078060000}"/>
    <cellStyle name="20 % - Akzent3 5 2 2 3 2 7" xfId="2337" xr:uid="{00000000-0005-0000-0000-000079060000}"/>
    <cellStyle name="20 % - Akzent3 5 2 2 3 3" xfId="2338" xr:uid="{00000000-0005-0000-0000-00007A060000}"/>
    <cellStyle name="20 % - Akzent3 5 2 2 3 3 2" xfId="2339" xr:uid="{00000000-0005-0000-0000-00007B060000}"/>
    <cellStyle name="20 % - Akzent3 5 2 2 3 3 2 2" xfId="2340" xr:uid="{00000000-0005-0000-0000-00007C060000}"/>
    <cellStyle name="20 % - Akzent3 5 2 2 3 3 2 3" xfId="2341" xr:uid="{00000000-0005-0000-0000-00007D060000}"/>
    <cellStyle name="20 % - Akzent3 5 2 2 3 3 3" xfId="2342" xr:uid="{00000000-0005-0000-0000-00007E060000}"/>
    <cellStyle name="20 % - Akzent3 5 2 2 3 3 3 2" xfId="2343" xr:uid="{00000000-0005-0000-0000-00007F060000}"/>
    <cellStyle name="20 % - Akzent3 5 2 2 3 3 3 3" xfId="2344" xr:uid="{00000000-0005-0000-0000-000080060000}"/>
    <cellStyle name="20 % - Akzent3 5 2 2 3 3 4" xfId="2345" xr:uid="{00000000-0005-0000-0000-000081060000}"/>
    <cellStyle name="20 % - Akzent3 5 2 2 3 3 4 2" xfId="2346" xr:uid="{00000000-0005-0000-0000-000082060000}"/>
    <cellStyle name="20 % - Akzent3 5 2 2 3 3 5" xfId="2347" xr:uid="{00000000-0005-0000-0000-000083060000}"/>
    <cellStyle name="20 % - Akzent3 5 2 2 3 3 6" xfId="2348" xr:uid="{00000000-0005-0000-0000-000084060000}"/>
    <cellStyle name="20 % - Akzent3 5 2 2 3 4" xfId="2349" xr:uid="{00000000-0005-0000-0000-000085060000}"/>
    <cellStyle name="20 % - Akzent3 5 2 2 3 4 2" xfId="2350" xr:uid="{00000000-0005-0000-0000-000086060000}"/>
    <cellStyle name="20 % - Akzent3 5 2 2 3 4 3" xfId="2351" xr:uid="{00000000-0005-0000-0000-000087060000}"/>
    <cellStyle name="20 % - Akzent3 5 2 2 3 5" xfId="2352" xr:uid="{00000000-0005-0000-0000-000088060000}"/>
    <cellStyle name="20 % - Akzent3 5 2 2 3 5 2" xfId="2353" xr:uid="{00000000-0005-0000-0000-000089060000}"/>
    <cellStyle name="20 % - Akzent3 5 2 2 3 5 3" xfId="2354" xr:uid="{00000000-0005-0000-0000-00008A060000}"/>
    <cellStyle name="20 % - Akzent3 5 2 2 3 6" xfId="2355" xr:uid="{00000000-0005-0000-0000-00008B060000}"/>
    <cellStyle name="20 % - Akzent3 5 2 2 3 6 2" xfId="2356" xr:uid="{00000000-0005-0000-0000-00008C060000}"/>
    <cellStyle name="20 % - Akzent3 5 2 2 3 7" xfId="2357" xr:uid="{00000000-0005-0000-0000-00008D060000}"/>
    <cellStyle name="20 % - Akzent3 5 2 2 3 8" xfId="2358" xr:uid="{00000000-0005-0000-0000-00008E060000}"/>
    <cellStyle name="20 % - Akzent3 5 2 2 4" xfId="2359" xr:uid="{00000000-0005-0000-0000-00008F060000}"/>
    <cellStyle name="20 % - Akzent3 5 2 2 4 2" xfId="2360" xr:uid="{00000000-0005-0000-0000-000090060000}"/>
    <cellStyle name="20 % - Akzent3 5 2 2 4 2 2" xfId="2361" xr:uid="{00000000-0005-0000-0000-000091060000}"/>
    <cellStyle name="20 % - Akzent3 5 2 2 4 2 2 2" xfId="2362" xr:uid="{00000000-0005-0000-0000-000092060000}"/>
    <cellStyle name="20 % - Akzent3 5 2 2 4 2 2 3" xfId="2363" xr:uid="{00000000-0005-0000-0000-000093060000}"/>
    <cellStyle name="20 % - Akzent3 5 2 2 4 2 3" xfId="2364" xr:uid="{00000000-0005-0000-0000-000094060000}"/>
    <cellStyle name="20 % - Akzent3 5 2 2 4 2 3 2" xfId="2365" xr:uid="{00000000-0005-0000-0000-000095060000}"/>
    <cellStyle name="20 % - Akzent3 5 2 2 4 2 3 3" xfId="2366" xr:uid="{00000000-0005-0000-0000-000096060000}"/>
    <cellStyle name="20 % - Akzent3 5 2 2 4 2 4" xfId="2367" xr:uid="{00000000-0005-0000-0000-000097060000}"/>
    <cellStyle name="20 % - Akzent3 5 2 2 4 2 4 2" xfId="2368" xr:uid="{00000000-0005-0000-0000-000098060000}"/>
    <cellStyle name="20 % - Akzent3 5 2 2 4 2 5" xfId="2369" xr:uid="{00000000-0005-0000-0000-000099060000}"/>
    <cellStyle name="20 % - Akzent3 5 2 2 4 2 6" xfId="2370" xr:uid="{00000000-0005-0000-0000-00009A060000}"/>
    <cellStyle name="20 % - Akzent3 5 2 2 4 3" xfId="2371" xr:uid="{00000000-0005-0000-0000-00009B060000}"/>
    <cellStyle name="20 % - Akzent3 5 2 2 4 3 2" xfId="2372" xr:uid="{00000000-0005-0000-0000-00009C060000}"/>
    <cellStyle name="20 % - Akzent3 5 2 2 4 3 3" xfId="2373" xr:uid="{00000000-0005-0000-0000-00009D060000}"/>
    <cellStyle name="20 % - Akzent3 5 2 2 4 4" xfId="2374" xr:uid="{00000000-0005-0000-0000-00009E060000}"/>
    <cellStyle name="20 % - Akzent3 5 2 2 4 4 2" xfId="2375" xr:uid="{00000000-0005-0000-0000-00009F060000}"/>
    <cellStyle name="20 % - Akzent3 5 2 2 4 4 3" xfId="2376" xr:uid="{00000000-0005-0000-0000-0000A0060000}"/>
    <cellStyle name="20 % - Akzent3 5 2 2 4 5" xfId="2377" xr:uid="{00000000-0005-0000-0000-0000A1060000}"/>
    <cellStyle name="20 % - Akzent3 5 2 2 4 5 2" xfId="2378" xr:uid="{00000000-0005-0000-0000-0000A2060000}"/>
    <cellStyle name="20 % - Akzent3 5 2 2 4 6" xfId="2379" xr:uid="{00000000-0005-0000-0000-0000A3060000}"/>
    <cellStyle name="20 % - Akzent3 5 2 2 4 7" xfId="2380" xr:uid="{00000000-0005-0000-0000-0000A4060000}"/>
    <cellStyle name="20 % - Akzent3 5 2 2 5" xfId="2381" xr:uid="{00000000-0005-0000-0000-0000A5060000}"/>
    <cellStyle name="20 % - Akzent3 5 2 2 5 2" xfId="2382" xr:uid="{00000000-0005-0000-0000-0000A6060000}"/>
    <cellStyle name="20 % - Akzent3 5 2 2 5 2 2" xfId="2383" xr:uid="{00000000-0005-0000-0000-0000A7060000}"/>
    <cellStyle name="20 % - Akzent3 5 2 2 5 2 3" xfId="2384" xr:uid="{00000000-0005-0000-0000-0000A8060000}"/>
    <cellStyle name="20 % - Akzent3 5 2 2 5 3" xfId="2385" xr:uid="{00000000-0005-0000-0000-0000A9060000}"/>
    <cellStyle name="20 % - Akzent3 5 2 2 5 3 2" xfId="2386" xr:uid="{00000000-0005-0000-0000-0000AA060000}"/>
    <cellStyle name="20 % - Akzent3 5 2 2 5 3 3" xfId="2387" xr:uid="{00000000-0005-0000-0000-0000AB060000}"/>
    <cellStyle name="20 % - Akzent3 5 2 2 5 4" xfId="2388" xr:uid="{00000000-0005-0000-0000-0000AC060000}"/>
    <cellStyle name="20 % - Akzent3 5 2 2 5 4 2" xfId="2389" xr:uid="{00000000-0005-0000-0000-0000AD060000}"/>
    <cellStyle name="20 % - Akzent3 5 2 2 5 5" xfId="2390" xr:uid="{00000000-0005-0000-0000-0000AE060000}"/>
    <cellStyle name="20 % - Akzent3 5 2 2 5 6" xfId="2391" xr:uid="{00000000-0005-0000-0000-0000AF060000}"/>
    <cellStyle name="20 % - Akzent3 5 2 2 6" xfId="2392" xr:uid="{00000000-0005-0000-0000-0000B0060000}"/>
    <cellStyle name="20 % - Akzent3 5 2 2 6 2" xfId="2393" xr:uid="{00000000-0005-0000-0000-0000B1060000}"/>
    <cellStyle name="20 % - Akzent3 5 2 2 6 3" xfId="2394" xr:uid="{00000000-0005-0000-0000-0000B2060000}"/>
    <cellStyle name="20 % - Akzent3 5 2 2 7" xfId="2395" xr:uid="{00000000-0005-0000-0000-0000B3060000}"/>
    <cellStyle name="20 % - Akzent3 5 2 2 7 2" xfId="2396" xr:uid="{00000000-0005-0000-0000-0000B4060000}"/>
    <cellStyle name="20 % - Akzent3 5 2 2 7 3" xfId="2397" xr:uid="{00000000-0005-0000-0000-0000B5060000}"/>
    <cellStyle name="20 % - Akzent3 5 2 2 8" xfId="2398" xr:uid="{00000000-0005-0000-0000-0000B6060000}"/>
    <cellStyle name="20 % - Akzent3 5 2 2 8 2" xfId="2399" xr:uid="{00000000-0005-0000-0000-0000B7060000}"/>
    <cellStyle name="20 % - Akzent3 5 2 2 9" xfId="2400" xr:uid="{00000000-0005-0000-0000-0000B8060000}"/>
    <cellStyle name="20 % - Akzent3 5 2 3" xfId="2401" xr:uid="{00000000-0005-0000-0000-0000B9060000}"/>
    <cellStyle name="20 % - Akzent3 5 2 3 2" xfId="2402" xr:uid="{00000000-0005-0000-0000-0000BA060000}"/>
    <cellStyle name="20 % - Akzent3 5 2 3 2 2" xfId="2403" xr:uid="{00000000-0005-0000-0000-0000BB060000}"/>
    <cellStyle name="20 % - Akzent3 5 2 3 2 2 2" xfId="2404" xr:uid="{00000000-0005-0000-0000-0000BC060000}"/>
    <cellStyle name="20 % - Akzent3 5 2 3 2 2 2 2" xfId="2405" xr:uid="{00000000-0005-0000-0000-0000BD060000}"/>
    <cellStyle name="20 % - Akzent3 5 2 3 2 2 2 3" xfId="2406" xr:uid="{00000000-0005-0000-0000-0000BE060000}"/>
    <cellStyle name="20 % - Akzent3 5 2 3 2 2 3" xfId="2407" xr:uid="{00000000-0005-0000-0000-0000BF060000}"/>
    <cellStyle name="20 % - Akzent3 5 2 3 2 2 3 2" xfId="2408" xr:uid="{00000000-0005-0000-0000-0000C0060000}"/>
    <cellStyle name="20 % - Akzent3 5 2 3 2 2 3 3" xfId="2409" xr:uid="{00000000-0005-0000-0000-0000C1060000}"/>
    <cellStyle name="20 % - Akzent3 5 2 3 2 2 4" xfId="2410" xr:uid="{00000000-0005-0000-0000-0000C2060000}"/>
    <cellStyle name="20 % - Akzent3 5 2 3 2 2 4 2" xfId="2411" xr:uid="{00000000-0005-0000-0000-0000C3060000}"/>
    <cellStyle name="20 % - Akzent3 5 2 3 2 2 5" xfId="2412" xr:uid="{00000000-0005-0000-0000-0000C4060000}"/>
    <cellStyle name="20 % - Akzent3 5 2 3 2 2 6" xfId="2413" xr:uid="{00000000-0005-0000-0000-0000C5060000}"/>
    <cellStyle name="20 % - Akzent3 5 2 3 2 3" xfId="2414" xr:uid="{00000000-0005-0000-0000-0000C6060000}"/>
    <cellStyle name="20 % - Akzent3 5 2 3 2 3 2" xfId="2415" xr:uid="{00000000-0005-0000-0000-0000C7060000}"/>
    <cellStyle name="20 % - Akzent3 5 2 3 2 3 3" xfId="2416" xr:uid="{00000000-0005-0000-0000-0000C8060000}"/>
    <cellStyle name="20 % - Akzent3 5 2 3 2 4" xfId="2417" xr:uid="{00000000-0005-0000-0000-0000C9060000}"/>
    <cellStyle name="20 % - Akzent3 5 2 3 2 4 2" xfId="2418" xr:uid="{00000000-0005-0000-0000-0000CA060000}"/>
    <cellStyle name="20 % - Akzent3 5 2 3 2 4 3" xfId="2419" xr:uid="{00000000-0005-0000-0000-0000CB060000}"/>
    <cellStyle name="20 % - Akzent3 5 2 3 2 5" xfId="2420" xr:uid="{00000000-0005-0000-0000-0000CC060000}"/>
    <cellStyle name="20 % - Akzent3 5 2 3 2 5 2" xfId="2421" xr:uid="{00000000-0005-0000-0000-0000CD060000}"/>
    <cellStyle name="20 % - Akzent3 5 2 3 2 6" xfId="2422" xr:uid="{00000000-0005-0000-0000-0000CE060000}"/>
    <cellStyle name="20 % - Akzent3 5 2 3 2 7" xfId="2423" xr:uid="{00000000-0005-0000-0000-0000CF060000}"/>
    <cellStyle name="20 % - Akzent3 5 2 3 3" xfId="2424" xr:uid="{00000000-0005-0000-0000-0000D0060000}"/>
    <cellStyle name="20 % - Akzent3 5 2 3 3 2" xfId="2425" xr:uid="{00000000-0005-0000-0000-0000D1060000}"/>
    <cellStyle name="20 % - Akzent3 5 2 3 3 2 2" xfId="2426" xr:uid="{00000000-0005-0000-0000-0000D2060000}"/>
    <cellStyle name="20 % - Akzent3 5 2 3 3 2 3" xfId="2427" xr:uid="{00000000-0005-0000-0000-0000D3060000}"/>
    <cellStyle name="20 % - Akzent3 5 2 3 3 3" xfId="2428" xr:uid="{00000000-0005-0000-0000-0000D4060000}"/>
    <cellStyle name="20 % - Akzent3 5 2 3 3 3 2" xfId="2429" xr:uid="{00000000-0005-0000-0000-0000D5060000}"/>
    <cellStyle name="20 % - Akzent3 5 2 3 3 3 3" xfId="2430" xr:uid="{00000000-0005-0000-0000-0000D6060000}"/>
    <cellStyle name="20 % - Akzent3 5 2 3 3 4" xfId="2431" xr:uid="{00000000-0005-0000-0000-0000D7060000}"/>
    <cellStyle name="20 % - Akzent3 5 2 3 3 4 2" xfId="2432" xr:uid="{00000000-0005-0000-0000-0000D8060000}"/>
    <cellStyle name="20 % - Akzent3 5 2 3 3 5" xfId="2433" xr:uid="{00000000-0005-0000-0000-0000D9060000}"/>
    <cellStyle name="20 % - Akzent3 5 2 3 3 6" xfId="2434" xr:uid="{00000000-0005-0000-0000-0000DA060000}"/>
    <cellStyle name="20 % - Akzent3 5 2 3 4" xfId="2435" xr:uid="{00000000-0005-0000-0000-0000DB060000}"/>
    <cellStyle name="20 % - Akzent3 5 2 3 4 2" xfId="2436" xr:uid="{00000000-0005-0000-0000-0000DC060000}"/>
    <cellStyle name="20 % - Akzent3 5 2 3 4 3" xfId="2437" xr:uid="{00000000-0005-0000-0000-0000DD060000}"/>
    <cellStyle name="20 % - Akzent3 5 2 3 5" xfId="2438" xr:uid="{00000000-0005-0000-0000-0000DE060000}"/>
    <cellStyle name="20 % - Akzent3 5 2 3 5 2" xfId="2439" xr:uid="{00000000-0005-0000-0000-0000DF060000}"/>
    <cellStyle name="20 % - Akzent3 5 2 3 5 3" xfId="2440" xr:uid="{00000000-0005-0000-0000-0000E0060000}"/>
    <cellStyle name="20 % - Akzent3 5 2 3 6" xfId="2441" xr:uid="{00000000-0005-0000-0000-0000E1060000}"/>
    <cellStyle name="20 % - Akzent3 5 2 3 6 2" xfId="2442" xr:uid="{00000000-0005-0000-0000-0000E2060000}"/>
    <cellStyle name="20 % - Akzent3 5 2 3 7" xfId="2443" xr:uid="{00000000-0005-0000-0000-0000E3060000}"/>
    <cellStyle name="20 % - Akzent3 5 2 3 8" xfId="2444" xr:uid="{00000000-0005-0000-0000-0000E4060000}"/>
    <cellStyle name="20 % - Akzent3 5 2 4" xfId="2445" xr:uid="{00000000-0005-0000-0000-0000E5060000}"/>
    <cellStyle name="20 % - Akzent3 5 2 4 2" xfId="2446" xr:uid="{00000000-0005-0000-0000-0000E6060000}"/>
    <cellStyle name="20 % - Akzent3 5 2 4 2 2" xfId="2447" xr:uid="{00000000-0005-0000-0000-0000E7060000}"/>
    <cellStyle name="20 % - Akzent3 5 2 4 2 2 2" xfId="2448" xr:uid="{00000000-0005-0000-0000-0000E8060000}"/>
    <cellStyle name="20 % - Akzent3 5 2 4 2 2 2 2" xfId="2449" xr:uid="{00000000-0005-0000-0000-0000E9060000}"/>
    <cellStyle name="20 % - Akzent3 5 2 4 2 2 2 3" xfId="2450" xr:uid="{00000000-0005-0000-0000-0000EA060000}"/>
    <cellStyle name="20 % - Akzent3 5 2 4 2 2 3" xfId="2451" xr:uid="{00000000-0005-0000-0000-0000EB060000}"/>
    <cellStyle name="20 % - Akzent3 5 2 4 2 2 3 2" xfId="2452" xr:uid="{00000000-0005-0000-0000-0000EC060000}"/>
    <cellStyle name="20 % - Akzent3 5 2 4 2 2 3 3" xfId="2453" xr:uid="{00000000-0005-0000-0000-0000ED060000}"/>
    <cellStyle name="20 % - Akzent3 5 2 4 2 2 4" xfId="2454" xr:uid="{00000000-0005-0000-0000-0000EE060000}"/>
    <cellStyle name="20 % - Akzent3 5 2 4 2 2 4 2" xfId="2455" xr:uid="{00000000-0005-0000-0000-0000EF060000}"/>
    <cellStyle name="20 % - Akzent3 5 2 4 2 2 5" xfId="2456" xr:uid="{00000000-0005-0000-0000-0000F0060000}"/>
    <cellStyle name="20 % - Akzent3 5 2 4 2 2 6" xfId="2457" xr:uid="{00000000-0005-0000-0000-0000F1060000}"/>
    <cellStyle name="20 % - Akzent3 5 2 4 2 3" xfId="2458" xr:uid="{00000000-0005-0000-0000-0000F2060000}"/>
    <cellStyle name="20 % - Akzent3 5 2 4 2 3 2" xfId="2459" xr:uid="{00000000-0005-0000-0000-0000F3060000}"/>
    <cellStyle name="20 % - Akzent3 5 2 4 2 3 3" xfId="2460" xr:uid="{00000000-0005-0000-0000-0000F4060000}"/>
    <cellStyle name="20 % - Akzent3 5 2 4 2 4" xfId="2461" xr:uid="{00000000-0005-0000-0000-0000F5060000}"/>
    <cellStyle name="20 % - Akzent3 5 2 4 2 4 2" xfId="2462" xr:uid="{00000000-0005-0000-0000-0000F6060000}"/>
    <cellStyle name="20 % - Akzent3 5 2 4 2 4 3" xfId="2463" xr:uid="{00000000-0005-0000-0000-0000F7060000}"/>
    <cellStyle name="20 % - Akzent3 5 2 4 2 5" xfId="2464" xr:uid="{00000000-0005-0000-0000-0000F8060000}"/>
    <cellStyle name="20 % - Akzent3 5 2 4 2 5 2" xfId="2465" xr:uid="{00000000-0005-0000-0000-0000F9060000}"/>
    <cellStyle name="20 % - Akzent3 5 2 4 2 6" xfId="2466" xr:uid="{00000000-0005-0000-0000-0000FA060000}"/>
    <cellStyle name="20 % - Akzent3 5 2 4 2 7" xfId="2467" xr:uid="{00000000-0005-0000-0000-0000FB060000}"/>
    <cellStyle name="20 % - Akzent3 5 2 4 3" xfId="2468" xr:uid="{00000000-0005-0000-0000-0000FC060000}"/>
    <cellStyle name="20 % - Akzent3 5 2 4 3 2" xfId="2469" xr:uid="{00000000-0005-0000-0000-0000FD060000}"/>
    <cellStyle name="20 % - Akzent3 5 2 4 3 2 2" xfId="2470" xr:uid="{00000000-0005-0000-0000-0000FE060000}"/>
    <cellStyle name="20 % - Akzent3 5 2 4 3 2 3" xfId="2471" xr:uid="{00000000-0005-0000-0000-0000FF060000}"/>
    <cellStyle name="20 % - Akzent3 5 2 4 3 3" xfId="2472" xr:uid="{00000000-0005-0000-0000-000000070000}"/>
    <cellStyle name="20 % - Akzent3 5 2 4 3 3 2" xfId="2473" xr:uid="{00000000-0005-0000-0000-000001070000}"/>
    <cellStyle name="20 % - Akzent3 5 2 4 3 3 3" xfId="2474" xr:uid="{00000000-0005-0000-0000-000002070000}"/>
    <cellStyle name="20 % - Akzent3 5 2 4 3 4" xfId="2475" xr:uid="{00000000-0005-0000-0000-000003070000}"/>
    <cellStyle name="20 % - Akzent3 5 2 4 3 4 2" xfId="2476" xr:uid="{00000000-0005-0000-0000-000004070000}"/>
    <cellStyle name="20 % - Akzent3 5 2 4 3 5" xfId="2477" xr:uid="{00000000-0005-0000-0000-000005070000}"/>
    <cellStyle name="20 % - Akzent3 5 2 4 3 6" xfId="2478" xr:uid="{00000000-0005-0000-0000-000006070000}"/>
    <cellStyle name="20 % - Akzent3 5 2 4 4" xfId="2479" xr:uid="{00000000-0005-0000-0000-000007070000}"/>
    <cellStyle name="20 % - Akzent3 5 2 4 4 2" xfId="2480" xr:uid="{00000000-0005-0000-0000-000008070000}"/>
    <cellStyle name="20 % - Akzent3 5 2 4 4 3" xfId="2481" xr:uid="{00000000-0005-0000-0000-000009070000}"/>
    <cellStyle name="20 % - Akzent3 5 2 4 5" xfId="2482" xr:uid="{00000000-0005-0000-0000-00000A070000}"/>
    <cellStyle name="20 % - Akzent3 5 2 4 5 2" xfId="2483" xr:uid="{00000000-0005-0000-0000-00000B070000}"/>
    <cellStyle name="20 % - Akzent3 5 2 4 5 3" xfId="2484" xr:uid="{00000000-0005-0000-0000-00000C070000}"/>
    <cellStyle name="20 % - Akzent3 5 2 4 6" xfId="2485" xr:uid="{00000000-0005-0000-0000-00000D070000}"/>
    <cellStyle name="20 % - Akzent3 5 2 4 6 2" xfId="2486" xr:uid="{00000000-0005-0000-0000-00000E070000}"/>
    <cellStyle name="20 % - Akzent3 5 2 4 7" xfId="2487" xr:uid="{00000000-0005-0000-0000-00000F070000}"/>
    <cellStyle name="20 % - Akzent3 5 2 4 8" xfId="2488" xr:uid="{00000000-0005-0000-0000-000010070000}"/>
    <cellStyle name="20 % - Akzent3 5 2 5" xfId="2489" xr:uid="{00000000-0005-0000-0000-000011070000}"/>
    <cellStyle name="20 % - Akzent3 5 2 5 2" xfId="2490" xr:uid="{00000000-0005-0000-0000-000012070000}"/>
    <cellStyle name="20 % - Akzent3 5 2 5 2 2" xfId="2491" xr:uid="{00000000-0005-0000-0000-000013070000}"/>
    <cellStyle name="20 % - Akzent3 5 2 5 2 2 2" xfId="2492" xr:uid="{00000000-0005-0000-0000-000014070000}"/>
    <cellStyle name="20 % - Akzent3 5 2 5 2 2 3" xfId="2493" xr:uid="{00000000-0005-0000-0000-000015070000}"/>
    <cellStyle name="20 % - Akzent3 5 2 5 2 3" xfId="2494" xr:uid="{00000000-0005-0000-0000-000016070000}"/>
    <cellStyle name="20 % - Akzent3 5 2 5 2 3 2" xfId="2495" xr:uid="{00000000-0005-0000-0000-000017070000}"/>
    <cellStyle name="20 % - Akzent3 5 2 5 2 3 3" xfId="2496" xr:uid="{00000000-0005-0000-0000-000018070000}"/>
    <cellStyle name="20 % - Akzent3 5 2 5 2 4" xfId="2497" xr:uid="{00000000-0005-0000-0000-000019070000}"/>
    <cellStyle name="20 % - Akzent3 5 2 5 2 4 2" xfId="2498" xr:uid="{00000000-0005-0000-0000-00001A070000}"/>
    <cellStyle name="20 % - Akzent3 5 2 5 2 5" xfId="2499" xr:uid="{00000000-0005-0000-0000-00001B070000}"/>
    <cellStyle name="20 % - Akzent3 5 2 5 2 6" xfId="2500" xr:uid="{00000000-0005-0000-0000-00001C070000}"/>
    <cellStyle name="20 % - Akzent3 5 2 5 3" xfId="2501" xr:uid="{00000000-0005-0000-0000-00001D070000}"/>
    <cellStyle name="20 % - Akzent3 5 2 5 3 2" xfId="2502" xr:uid="{00000000-0005-0000-0000-00001E070000}"/>
    <cellStyle name="20 % - Akzent3 5 2 5 3 3" xfId="2503" xr:uid="{00000000-0005-0000-0000-00001F070000}"/>
    <cellStyle name="20 % - Akzent3 5 2 5 4" xfId="2504" xr:uid="{00000000-0005-0000-0000-000020070000}"/>
    <cellStyle name="20 % - Akzent3 5 2 5 4 2" xfId="2505" xr:uid="{00000000-0005-0000-0000-000021070000}"/>
    <cellStyle name="20 % - Akzent3 5 2 5 4 3" xfId="2506" xr:uid="{00000000-0005-0000-0000-000022070000}"/>
    <cellStyle name="20 % - Akzent3 5 2 5 5" xfId="2507" xr:uid="{00000000-0005-0000-0000-000023070000}"/>
    <cellStyle name="20 % - Akzent3 5 2 5 5 2" xfId="2508" xr:uid="{00000000-0005-0000-0000-000024070000}"/>
    <cellStyle name="20 % - Akzent3 5 2 5 6" xfId="2509" xr:uid="{00000000-0005-0000-0000-000025070000}"/>
    <cellStyle name="20 % - Akzent3 5 2 5 7" xfId="2510" xr:uid="{00000000-0005-0000-0000-000026070000}"/>
    <cellStyle name="20 % - Akzent3 5 2 6" xfId="2511" xr:uid="{00000000-0005-0000-0000-000027070000}"/>
    <cellStyle name="20 % - Akzent3 5 2 6 2" xfId="2512" xr:uid="{00000000-0005-0000-0000-000028070000}"/>
    <cellStyle name="20 % - Akzent3 5 2 6 2 2" xfId="2513" xr:uid="{00000000-0005-0000-0000-000029070000}"/>
    <cellStyle name="20 % - Akzent3 5 2 6 2 3" xfId="2514" xr:uid="{00000000-0005-0000-0000-00002A070000}"/>
    <cellStyle name="20 % - Akzent3 5 2 6 3" xfId="2515" xr:uid="{00000000-0005-0000-0000-00002B070000}"/>
    <cellStyle name="20 % - Akzent3 5 2 6 3 2" xfId="2516" xr:uid="{00000000-0005-0000-0000-00002C070000}"/>
    <cellStyle name="20 % - Akzent3 5 2 6 3 3" xfId="2517" xr:uid="{00000000-0005-0000-0000-00002D070000}"/>
    <cellStyle name="20 % - Akzent3 5 2 6 4" xfId="2518" xr:uid="{00000000-0005-0000-0000-00002E070000}"/>
    <cellStyle name="20 % - Akzent3 5 2 6 4 2" xfId="2519" xr:uid="{00000000-0005-0000-0000-00002F070000}"/>
    <cellStyle name="20 % - Akzent3 5 2 6 5" xfId="2520" xr:uid="{00000000-0005-0000-0000-000030070000}"/>
    <cellStyle name="20 % - Akzent3 5 2 6 6" xfId="2521" xr:uid="{00000000-0005-0000-0000-000031070000}"/>
    <cellStyle name="20 % - Akzent3 5 2 7" xfId="2522" xr:uid="{00000000-0005-0000-0000-000032070000}"/>
    <cellStyle name="20 % - Akzent3 5 2 7 2" xfId="2523" xr:uid="{00000000-0005-0000-0000-000033070000}"/>
    <cellStyle name="20 % - Akzent3 5 2 7 3" xfId="2524" xr:uid="{00000000-0005-0000-0000-000034070000}"/>
    <cellStyle name="20 % - Akzent3 5 2 8" xfId="2525" xr:uid="{00000000-0005-0000-0000-000035070000}"/>
    <cellStyle name="20 % - Akzent3 5 2 8 2" xfId="2526" xr:uid="{00000000-0005-0000-0000-000036070000}"/>
    <cellStyle name="20 % - Akzent3 5 2 8 3" xfId="2527" xr:uid="{00000000-0005-0000-0000-000037070000}"/>
    <cellStyle name="20 % - Akzent3 5 2 9" xfId="2528" xr:uid="{00000000-0005-0000-0000-000038070000}"/>
    <cellStyle name="20 % - Akzent3 5 2 9 2" xfId="2529" xr:uid="{00000000-0005-0000-0000-000039070000}"/>
    <cellStyle name="20 % - Akzent3 6" xfId="2530" xr:uid="{00000000-0005-0000-0000-00003A070000}"/>
    <cellStyle name="20 % - Akzent4 2" xfId="77" xr:uid="{00000000-0005-0000-0000-00003B070000}"/>
    <cellStyle name="20 % - Akzent4 2 2" xfId="78" xr:uid="{00000000-0005-0000-0000-00003C070000}"/>
    <cellStyle name="20 % - Akzent4 2 2 2" xfId="79" xr:uid="{00000000-0005-0000-0000-00003D070000}"/>
    <cellStyle name="20 % - Akzent4 2 2 3" xfId="33063" xr:uid="{00000000-0005-0000-0000-00003E070000}"/>
    <cellStyle name="20 % - Akzent4 2 2 4" xfId="33138" xr:uid="{00000000-0005-0000-0000-00003F070000}"/>
    <cellStyle name="20 % - Akzent4 2 2 5" xfId="33213" xr:uid="{00000000-0005-0000-0000-000040070000}"/>
    <cellStyle name="20 % - Akzent4 2 2 6" xfId="33288" xr:uid="{00000000-0005-0000-0000-000041070000}"/>
    <cellStyle name="20 % - Akzent4 2 3" xfId="80" xr:uid="{00000000-0005-0000-0000-000042070000}"/>
    <cellStyle name="20 % - Akzent4 2 3 2" xfId="2531" xr:uid="{00000000-0005-0000-0000-000043070000}"/>
    <cellStyle name="20 % - Akzent4 2 3 3" xfId="33064" xr:uid="{00000000-0005-0000-0000-000044070000}"/>
    <cellStyle name="20 % - Akzent4 2 3 4" xfId="33139" xr:uid="{00000000-0005-0000-0000-000045070000}"/>
    <cellStyle name="20 % - Akzent4 2 3 5" xfId="33214" xr:uid="{00000000-0005-0000-0000-000046070000}"/>
    <cellStyle name="20 % - Akzent4 2 3 6" xfId="33289" xr:uid="{00000000-0005-0000-0000-000047070000}"/>
    <cellStyle name="20 % - Akzent4 2 4" xfId="81" xr:uid="{00000000-0005-0000-0000-000048070000}"/>
    <cellStyle name="20 % - Akzent4 2 4 2" xfId="33065" xr:uid="{00000000-0005-0000-0000-000049070000}"/>
    <cellStyle name="20 % - Akzent4 2 4 3" xfId="33140" xr:uid="{00000000-0005-0000-0000-00004A070000}"/>
    <cellStyle name="20 % - Akzent4 2 4 4" xfId="33215" xr:uid="{00000000-0005-0000-0000-00004B070000}"/>
    <cellStyle name="20 % - Akzent4 2 4 5" xfId="33290" xr:uid="{00000000-0005-0000-0000-00004C070000}"/>
    <cellStyle name="20 % - Akzent4 2 5" xfId="82" xr:uid="{00000000-0005-0000-0000-00004D070000}"/>
    <cellStyle name="20 % - Akzent4 2 6" xfId="33062" xr:uid="{00000000-0005-0000-0000-00004E070000}"/>
    <cellStyle name="20 % - Akzent4 2 7" xfId="33137" xr:uid="{00000000-0005-0000-0000-00004F070000}"/>
    <cellStyle name="20 % - Akzent4 2 8" xfId="33212" xr:uid="{00000000-0005-0000-0000-000050070000}"/>
    <cellStyle name="20 % - Akzent4 2 9" xfId="33287" xr:uid="{00000000-0005-0000-0000-000051070000}"/>
    <cellStyle name="20 % - Akzent4 3" xfId="83" xr:uid="{00000000-0005-0000-0000-000052070000}"/>
    <cellStyle name="20 % - Akzent4 3 2" xfId="84" xr:uid="{00000000-0005-0000-0000-000053070000}"/>
    <cellStyle name="20 % - Akzent4 3 2 10" xfId="2532" xr:uid="{00000000-0005-0000-0000-000054070000}"/>
    <cellStyle name="20 % - Akzent4 3 2 11" xfId="2533" xr:uid="{00000000-0005-0000-0000-000055070000}"/>
    <cellStyle name="20 % - Akzent4 3 2 12" xfId="33066" xr:uid="{00000000-0005-0000-0000-000056070000}"/>
    <cellStyle name="20 % - Akzent4 3 2 13" xfId="33141" xr:uid="{00000000-0005-0000-0000-000057070000}"/>
    <cellStyle name="20 % - Akzent4 3 2 14" xfId="33216" xr:uid="{00000000-0005-0000-0000-000058070000}"/>
    <cellStyle name="20 % - Akzent4 3 2 15" xfId="33291" xr:uid="{00000000-0005-0000-0000-000059070000}"/>
    <cellStyle name="20 % - Akzent4 3 2 2" xfId="2534" xr:uid="{00000000-0005-0000-0000-00005A070000}"/>
    <cellStyle name="20 % - Akzent4 3 2 2 10" xfId="2535" xr:uid="{00000000-0005-0000-0000-00005B070000}"/>
    <cellStyle name="20 % - Akzent4 3 2 2 2" xfId="2536" xr:uid="{00000000-0005-0000-0000-00005C070000}"/>
    <cellStyle name="20 % - Akzent4 3 2 2 2 2" xfId="2537" xr:uid="{00000000-0005-0000-0000-00005D070000}"/>
    <cellStyle name="20 % - Akzent4 3 2 2 2 2 2" xfId="2538" xr:uid="{00000000-0005-0000-0000-00005E070000}"/>
    <cellStyle name="20 % - Akzent4 3 2 2 2 2 2 2" xfId="2539" xr:uid="{00000000-0005-0000-0000-00005F070000}"/>
    <cellStyle name="20 % - Akzent4 3 2 2 2 2 2 2 2" xfId="2540" xr:uid="{00000000-0005-0000-0000-000060070000}"/>
    <cellStyle name="20 % - Akzent4 3 2 2 2 2 2 2 3" xfId="2541" xr:uid="{00000000-0005-0000-0000-000061070000}"/>
    <cellStyle name="20 % - Akzent4 3 2 2 2 2 2 3" xfId="2542" xr:uid="{00000000-0005-0000-0000-000062070000}"/>
    <cellStyle name="20 % - Akzent4 3 2 2 2 2 2 3 2" xfId="2543" xr:uid="{00000000-0005-0000-0000-000063070000}"/>
    <cellStyle name="20 % - Akzent4 3 2 2 2 2 2 3 3" xfId="2544" xr:uid="{00000000-0005-0000-0000-000064070000}"/>
    <cellStyle name="20 % - Akzent4 3 2 2 2 2 2 4" xfId="2545" xr:uid="{00000000-0005-0000-0000-000065070000}"/>
    <cellStyle name="20 % - Akzent4 3 2 2 2 2 2 4 2" xfId="2546" xr:uid="{00000000-0005-0000-0000-000066070000}"/>
    <cellStyle name="20 % - Akzent4 3 2 2 2 2 2 5" xfId="2547" xr:uid="{00000000-0005-0000-0000-000067070000}"/>
    <cellStyle name="20 % - Akzent4 3 2 2 2 2 2 6" xfId="2548" xr:uid="{00000000-0005-0000-0000-000068070000}"/>
    <cellStyle name="20 % - Akzent4 3 2 2 2 2 3" xfId="2549" xr:uid="{00000000-0005-0000-0000-000069070000}"/>
    <cellStyle name="20 % - Akzent4 3 2 2 2 2 3 2" xfId="2550" xr:uid="{00000000-0005-0000-0000-00006A070000}"/>
    <cellStyle name="20 % - Akzent4 3 2 2 2 2 3 3" xfId="2551" xr:uid="{00000000-0005-0000-0000-00006B070000}"/>
    <cellStyle name="20 % - Akzent4 3 2 2 2 2 4" xfId="2552" xr:uid="{00000000-0005-0000-0000-00006C070000}"/>
    <cellStyle name="20 % - Akzent4 3 2 2 2 2 4 2" xfId="2553" xr:uid="{00000000-0005-0000-0000-00006D070000}"/>
    <cellStyle name="20 % - Akzent4 3 2 2 2 2 4 3" xfId="2554" xr:uid="{00000000-0005-0000-0000-00006E070000}"/>
    <cellStyle name="20 % - Akzent4 3 2 2 2 2 5" xfId="2555" xr:uid="{00000000-0005-0000-0000-00006F070000}"/>
    <cellStyle name="20 % - Akzent4 3 2 2 2 2 5 2" xfId="2556" xr:uid="{00000000-0005-0000-0000-000070070000}"/>
    <cellStyle name="20 % - Akzent4 3 2 2 2 2 6" xfId="2557" xr:uid="{00000000-0005-0000-0000-000071070000}"/>
    <cellStyle name="20 % - Akzent4 3 2 2 2 2 7" xfId="2558" xr:uid="{00000000-0005-0000-0000-000072070000}"/>
    <cellStyle name="20 % - Akzent4 3 2 2 2 3" xfId="2559" xr:uid="{00000000-0005-0000-0000-000073070000}"/>
    <cellStyle name="20 % - Akzent4 3 2 2 2 3 2" xfId="2560" xr:uid="{00000000-0005-0000-0000-000074070000}"/>
    <cellStyle name="20 % - Akzent4 3 2 2 2 3 2 2" xfId="2561" xr:uid="{00000000-0005-0000-0000-000075070000}"/>
    <cellStyle name="20 % - Akzent4 3 2 2 2 3 2 3" xfId="2562" xr:uid="{00000000-0005-0000-0000-000076070000}"/>
    <cellStyle name="20 % - Akzent4 3 2 2 2 3 3" xfId="2563" xr:uid="{00000000-0005-0000-0000-000077070000}"/>
    <cellStyle name="20 % - Akzent4 3 2 2 2 3 3 2" xfId="2564" xr:uid="{00000000-0005-0000-0000-000078070000}"/>
    <cellStyle name="20 % - Akzent4 3 2 2 2 3 3 3" xfId="2565" xr:uid="{00000000-0005-0000-0000-000079070000}"/>
    <cellStyle name="20 % - Akzent4 3 2 2 2 3 4" xfId="2566" xr:uid="{00000000-0005-0000-0000-00007A070000}"/>
    <cellStyle name="20 % - Akzent4 3 2 2 2 3 4 2" xfId="2567" xr:uid="{00000000-0005-0000-0000-00007B070000}"/>
    <cellStyle name="20 % - Akzent4 3 2 2 2 3 5" xfId="2568" xr:uid="{00000000-0005-0000-0000-00007C070000}"/>
    <cellStyle name="20 % - Akzent4 3 2 2 2 3 6" xfId="2569" xr:uid="{00000000-0005-0000-0000-00007D070000}"/>
    <cellStyle name="20 % - Akzent4 3 2 2 2 4" xfId="2570" xr:uid="{00000000-0005-0000-0000-00007E070000}"/>
    <cellStyle name="20 % - Akzent4 3 2 2 2 4 2" xfId="2571" xr:uid="{00000000-0005-0000-0000-00007F070000}"/>
    <cellStyle name="20 % - Akzent4 3 2 2 2 4 3" xfId="2572" xr:uid="{00000000-0005-0000-0000-000080070000}"/>
    <cellStyle name="20 % - Akzent4 3 2 2 2 5" xfId="2573" xr:uid="{00000000-0005-0000-0000-000081070000}"/>
    <cellStyle name="20 % - Akzent4 3 2 2 2 5 2" xfId="2574" xr:uid="{00000000-0005-0000-0000-000082070000}"/>
    <cellStyle name="20 % - Akzent4 3 2 2 2 5 3" xfId="2575" xr:uid="{00000000-0005-0000-0000-000083070000}"/>
    <cellStyle name="20 % - Akzent4 3 2 2 2 6" xfId="2576" xr:uid="{00000000-0005-0000-0000-000084070000}"/>
    <cellStyle name="20 % - Akzent4 3 2 2 2 6 2" xfId="2577" xr:uid="{00000000-0005-0000-0000-000085070000}"/>
    <cellStyle name="20 % - Akzent4 3 2 2 2 7" xfId="2578" xr:uid="{00000000-0005-0000-0000-000086070000}"/>
    <cellStyle name="20 % - Akzent4 3 2 2 2 8" xfId="2579" xr:uid="{00000000-0005-0000-0000-000087070000}"/>
    <cellStyle name="20 % - Akzent4 3 2 2 3" xfId="2580" xr:uid="{00000000-0005-0000-0000-000088070000}"/>
    <cellStyle name="20 % - Akzent4 3 2 2 3 2" xfId="2581" xr:uid="{00000000-0005-0000-0000-000089070000}"/>
    <cellStyle name="20 % - Akzent4 3 2 2 3 2 2" xfId="2582" xr:uid="{00000000-0005-0000-0000-00008A070000}"/>
    <cellStyle name="20 % - Akzent4 3 2 2 3 2 2 2" xfId="2583" xr:uid="{00000000-0005-0000-0000-00008B070000}"/>
    <cellStyle name="20 % - Akzent4 3 2 2 3 2 2 2 2" xfId="2584" xr:uid="{00000000-0005-0000-0000-00008C070000}"/>
    <cellStyle name="20 % - Akzent4 3 2 2 3 2 2 2 3" xfId="2585" xr:uid="{00000000-0005-0000-0000-00008D070000}"/>
    <cellStyle name="20 % - Akzent4 3 2 2 3 2 2 3" xfId="2586" xr:uid="{00000000-0005-0000-0000-00008E070000}"/>
    <cellStyle name="20 % - Akzent4 3 2 2 3 2 2 3 2" xfId="2587" xr:uid="{00000000-0005-0000-0000-00008F070000}"/>
    <cellStyle name="20 % - Akzent4 3 2 2 3 2 2 3 3" xfId="2588" xr:uid="{00000000-0005-0000-0000-000090070000}"/>
    <cellStyle name="20 % - Akzent4 3 2 2 3 2 2 4" xfId="2589" xr:uid="{00000000-0005-0000-0000-000091070000}"/>
    <cellStyle name="20 % - Akzent4 3 2 2 3 2 2 4 2" xfId="2590" xr:uid="{00000000-0005-0000-0000-000092070000}"/>
    <cellStyle name="20 % - Akzent4 3 2 2 3 2 2 5" xfId="2591" xr:uid="{00000000-0005-0000-0000-000093070000}"/>
    <cellStyle name="20 % - Akzent4 3 2 2 3 2 2 6" xfId="2592" xr:uid="{00000000-0005-0000-0000-000094070000}"/>
    <cellStyle name="20 % - Akzent4 3 2 2 3 2 3" xfId="2593" xr:uid="{00000000-0005-0000-0000-000095070000}"/>
    <cellStyle name="20 % - Akzent4 3 2 2 3 2 3 2" xfId="2594" xr:uid="{00000000-0005-0000-0000-000096070000}"/>
    <cellStyle name="20 % - Akzent4 3 2 2 3 2 3 3" xfId="2595" xr:uid="{00000000-0005-0000-0000-000097070000}"/>
    <cellStyle name="20 % - Akzent4 3 2 2 3 2 4" xfId="2596" xr:uid="{00000000-0005-0000-0000-000098070000}"/>
    <cellStyle name="20 % - Akzent4 3 2 2 3 2 4 2" xfId="2597" xr:uid="{00000000-0005-0000-0000-000099070000}"/>
    <cellStyle name="20 % - Akzent4 3 2 2 3 2 4 3" xfId="2598" xr:uid="{00000000-0005-0000-0000-00009A070000}"/>
    <cellStyle name="20 % - Akzent4 3 2 2 3 2 5" xfId="2599" xr:uid="{00000000-0005-0000-0000-00009B070000}"/>
    <cellStyle name="20 % - Akzent4 3 2 2 3 2 5 2" xfId="2600" xr:uid="{00000000-0005-0000-0000-00009C070000}"/>
    <cellStyle name="20 % - Akzent4 3 2 2 3 2 6" xfId="2601" xr:uid="{00000000-0005-0000-0000-00009D070000}"/>
    <cellStyle name="20 % - Akzent4 3 2 2 3 2 7" xfId="2602" xr:uid="{00000000-0005-0000-0000-00009E070000}"/>
    <cellStyle name="20 % - Akzent4 3 2 2 3 3" xfId="2603" xr:uid="{00000000-0005-0000-0000-00009F070000}"/>
    <cellStyle name="20 % - Akzent4 3 2 2 3 3 2" xfId="2604" xr:uid="{00000000-0005-0000-0000-0000A0070000}"/>
    <cellStyle name="20 % - Akzent4 3 2 2 3 3 2 2" xfId="2605" xr:uid="{00000000-0005-0000-0000-0000A1070000}"/>
    <cellStyle name="20 % - Akzent4 3 2 2 3 3 2 3" xfId="2606" xr:uid="{00000000-0005-0000-0000-0000A2070000}"/>
    <cellStyle name="20 % - Akzent4 3 2 2 3 3 3" xfId="2607" xr:uid="{00000000-0005-0000-0000-0000A3070000}"/>
    <cellStyle name="20 % - Akzent4 3 2 2 3 3 3 2" xfId="2608" xr:uid="{00000000-0005-0000-0000-0000A4070000}"/>
    <cellStyle name="20 % - Akzent4 3 2 2 3 3 3 3" xfId="2609" xr:uid="{00000000-0005-0000-0000-0000A5070000}"/>
    <cellStyle name="20 % - Akzent4 3 2 2 3 3 4" xfId="2610" xr:uid="{00000000-0005-0000-0000-0000A6070000}"/>
    <cellStyle name="20 % - Akzent4 3 2 2 3 3 4 2" xfId="2611" xr:uid="{00000000-0005-0000-0000-0000A7070000}"/>
    <cellStyle name="20 % - Akzent4 3 2 2 3 3 5" xfId="2612" xr:uid="{00000000-0005-0000-0000-0000A8070000}"/>
    <cellStyle name="20 % - Akzent4 3 2 2 3 3 6" xfId="2613" xr:uid="{00000000-0005-0000-0000-0000A9070000}"/>
    <cellStyle name="20 % - Akzent4 3 2 2 3 4" xfId="2614" xr:uid="{00000000-0005-0000-0000-0000AA070000}"/>
    <cellStyle name="20 % - Akzent4 3 2 2 3 4 2" xfId="2615" xr:uid="{00000000-0005-0000-0000-0000AB070000}"/>
    <cellStyle name="20 % - Akzent4 3 2 2 3 4 3" xfId="2616" xr:uid="{00000000-0005-0000-0000-0000AC070000}"/>
    <cellStyle name="20 % - Akzent4 3 2 2 3 5" xfId="2617" xr:uid="{00000000-0005-0000-0000-0000AD070000}"/>
    <cellStyle name="20 % - Akzent4 3 2 2 3 5 2" xfId="2618" xr:uid="{00000000-0005-0000-0000-0000AE070000}"/>
    <cellStyle name="20 % - Akzent4 3 2 2 3 5 3" xfId="2619" xr:uid="{00000000-0005-0000-0000-0000AF070000}"/>
    <cellStyle name="20 % - Akzent4 3 2 2 3 6" xfId="2620" xr:uid="{00000000-0005-0000-0000-0000B0070000}"/>
    <cellStyle name="20 % - Akzent4 3 2 2 3 6 2" xfId="2621" xr:uid="{00000000-0005-0000-0000-0000B1070000}"/>
    <cellStyle name="20 % - Akzent4 3 2 2 3 7" xfId="2622" xr:uid="{00000000-0005-0000-0000-0000B2070000}"/>
    <cellStyle name="20 % - Akzent4 3 2 2 3 8" xfId="2623" xr:uid="{00000000-0005-0000-0000-0000B3070000}"/>
    <cellStyle name="20 % - Akzent4 3 2 2 4" xfId="2624" xr:uid="{00000000-0005-0000-0000-0000B4070000}"/>
    <cellStyle name="20 % - Akzent4 3 2 2 4 2" xfId="2625" xr:uid="{00000000-0005-0000-0000-0000B5070000}"/>
    <cellStyle name="20 % - Akzent4 3 2 2 4 2 2" xfId="2626" xr:uid="{00000000-0005-0000-0000-0000B6070000}"/>
    <cellStyle name="20 % - Akzent4 3 2 2 4 2 2 2" xfId="2627" xr:uid="{00000000-0005-0000-0000-0000B7070000}"/>
    <cellStyle name="20 % - Akzent4 3 2 2 4 2 2 3" xfId="2628" xr:uid="{00000000-0005-0000-0000-0000B8070000}"/>
    <cellStyle name="20 % - Akzent4 3 2 2 4 2 3" xfId="2629" xr:uid="{00000000-0005-0000-0000-0000B9070000}"/>
    <cellStyle name="20 % - Akzent4 3 2 2 4 2 3 2" xfId="2630" xr:uid="{00000000-0005-0000-0000-0000BA070000}"/>
    <cellStyle name="20 % - Akzent4 3 2 2 4 2 3 3" xfId="2631" xr:uid="{00000000-0005-0000-0000-0000BB070000}"/>
    <cellStyle name="20 % - Akzent4 3 2 2 4 2 4" xfId="2632" xr:uid="{00000000-0005-0000-0000-0000BC070000}"/>
    <cellStyle name="20 % - Akzent4 3 2 2 4 2 4 2" xfId="2633" xr:uid="{00000000-0005-0000-0000-0000BD070000}"/>
    <cellStyle name="20 % - Akzent4 3 2 2 4 2 5" xfId="2634" xr:uid="{00000000-0005-0000-0000-0000BE070000}"/>
    <cellStyle name="20 % - Akzent4 3 2 2 4 2 6" xfId="2635" xr:uid="{00000000-0005-0000-0000-0000BF070000}"/>
    <cellStyle name="20 % - Akzent4 3 2 2 4 3" xfId="2636" xr:uid="{00000000-0005-0000-0000-0000C0070000}"/>
    <cellStyle name="20 % - Akzent4 3 2 2 4 3 2" xfId="2637" xr:uid="{00000000-0005-0000-0000-0000C1070000}"/>
    <cellStyle name="20 % - Akzent4 3 2 2 4 3 3" xfId="2638" xr:uid="{00000000-0005-0000-0000-0000C2070000}"/>
    <cellStyle name="20 % - Akzent4 3 2 2 4 4" xfId="2639" xr:uid="{00000000-0005-0000-0000-0000C3070000}"/>
    <cellStyle name="20 % - Akzent4 3 2 2 4 4 2" xfId="2640" xr:uid="{00000000-0005-0000-0000-0000C4070000}"/>
    <cellStyle name="20 % - Akzent4 3 2 2 4 4 3" xfId="2641" xr:uid="{00000000-0005-0000-0000-0000C5070000}"/>
    <cellStyle name="20 % - Akzent4 3 2 2 4 5" xfId="2642" xr:uid="{00000000-0005-0000-0000-0000C6070000}"/>
    <cellStyle name="20 % - Akzent4 3 2 2 4 5 2" xfId="2643" xr:uid="{00000000-0005-0000-0000-0000C7070000}"/>
    <cellStyle name="20 % - Akzent4 3 2 2 4 6" xfId="2644" xr:uid="{00000000-0005-0000-0000-0000C8070000}"/>
    <cellStyle name="20 % - Akzent4 3 2 2 4 7" xfId="2645" xr:uid="{00000000-0005-0000-0000-0000C9070000}"/>
    <cellStyle name="20 % - Akzent4 3 2 2 5" xfId="2646" xr:uid="{00000000-0005-0000-0000-0000CA070000}"/>
    <cellStyle name="20 % - Akzent4 3 2 2 5 2" xfId="2647" xr:uid="{00000000-0005-0000-0000-0000CB070000}"/>
    <cellStyle name="20 % - Akzent4 3 2 2 5 2 2" xfId="2648" xr:uid="{00000000-0005-0000-0000-0000CC070000}"/>
    <cellStyle name="20 % - Akzent4 3 2 2 5 2 3" xfId="2649" xr:uid="{00000000-0005-0000-0000-0000CD070000}"/>
    <cellStyle name="20 % - Akzent4 3 2 2 5 3" xfId="2650" xr:uid="{00000000-0005-0000-0000-0000CE070000}"/>
    <cellStyle name="20 % - Akzent4 3 2 2 5 3 2" xfId="2651" xr:uid="{00000000-0005-0000-0000-0000CF070000}"/>
    <cellStyle name="20 % - Akzent4 3 2 2 5 3 3" xfId="2652" xr:uid="{00000000-0005-0000-0000-0000D0070000}"/>
    <cellStyle name="20 % - Akzent4 3 2 2 5 4" xfId="2653" xr:uid="{00000000-0005-0000-0000-0000D1070000}"/>
    <cellStyle name="20 % - Akzent4 3 2 2 5 4 2" xfId="2654" xr:uid="{00000000-0005-0000-0000-0000D2070000}"/>
    <cellStyle name="20 % - Akzent4 3 2 2 5 5" xfId="2655" xr:uid="{00000000-0005-0000-0000-0000D3070000}"/>
    <cellStyle name="20 % - Akzent4 3 2 2 5 6" xfId="2656" xr:uid="{00000000-0005-0000-0000-0000D4070000}"/>
    <cellStyle name="20 % - Akzent4 3 2 2 6" xfId="2657" xr:uid="{00000000-0005-0000-0000-0000D5070000}"/>
    <cellStyle name="20 % - Akzent4 3 2 2 6 2" xfId="2658" xr:uid="{00000000-0005-0000-0000-0000D6070000}"/>
    <cellStyle name="20 % - Akzent4 3 2 2 6 3" xfId="2659" xr:uid="{00000000-0005-0000-0000-0000D7070000}"/>
    <cellStyle name="20 % - Akzent4 3 2 2 7" xfId="2660" xr:uid="{00000000-0005-0000-0000-0000D8070000}"/>
    <cellStyle name="20 % - Akzent4 3 2 2 7 2" xfId="2661" xr:uid="{00000000-0005-0000-0000-0000D9070000}"/>
    <cellStyle name="20 % - Akzent4 3 2 2 7 3" xfId="2662" xr:uid="{00000000-0005-0000-0000-0000DA070000}"/>
    <cellStyle name="20 % - Akzent4 3 2 2 8" xfId="2663" xr:uid="{00000000-0005-0000-0000-0000DB070000}"/>
    <cellStyle name="20 % - Akzent4 3 2 2 8 2" xfId="2664" xr:uid="{00000000-0005-0000-0000-0000DC070000}"/>
    <cellStyle name="20 % - Akzent4 3 2 2 9" xfId="2665" xr:uid="{00000000-0005-0000-0000-0000DD070000}"/>
    <cellStyle name="20 % - Akzent4 3 2 3" xfId="2666" xr:uid="{00000000-0005-0000-0000-0000DE070000}"/>
    <cellStyle name="20 % - Akzent4 3 2 3 2" xfId="2667" xr:uid="{00000000-0005-0000-0000-0000DF070000}"/>
    <cellStyle name="20 % - Akzent4 3 2 3 2 2" xfId="2668" xr:uid="{00000000-0005-0000-0000-0000E0070000}"/>
    <cellStyle name="20 % - Akzent4 3 2 3 2 2 2" xfId="2669" xr:uid="{00000000-0005-0000-0000-0000E1070000}"/>
    <cellStyle name="20 % - Akzent4 3 2 3 2 2 2 2" xfId="2670" xr:uid="{00000000-0005-0000-0000-0000E2070000}"/>
    <cellStyle name="20 % - Akzent4 3 2 3 2 2 2 3" xfId="2671" xr:uid="{00000000-0005-0000-0000-0000E3070000}"/>
    <cellStyle name="20 % - Akzent4 3 2 3 2 2 3" xfId="2672" xr:uid="{00000000-0005-0000-0000-0000E4070000}"/>
    <cellStyle name="20 % - Akzent4 3 2 3 2 2 3 2" xfId="2673" xr:uid="{00000000-0005-0000-0000-0000E5070000}"/>
    <cellStyle name="20 % - Akzent4 3 2 3 2 2 3 3" xfId="2674" xr:uid="{00000000-0005-0000-0000-0000E6070000}"/>
    <cellStyle name="20 % - Akzent4 3 2 3 2 2 4" xfId="2675" xr:uid="{00000000-0005-0000-0000-0000E7070000}"/>
    <cellStyle name="20 % - Akzent4 3 2 3 2 2 4 2" xfId="2676" xr:uid="{00000000-0005-0000-0000-0000E8070000}"/>
    <cellStyle name="20 % - Akzent4 3 2 3 2 2 5" xfId="2677" xr:uid="{00000000-0005-0000-0000-0000E9070000}"/>
    <cellStyle name="20 % - Akzent4 3 2 3 2 2 6" xfId="2678" xr:uid="{00000000-0005-0000-0000-0000EA070000}"/>
    <cellStyle name="20 % - Akzent4 3 2 3 2 3" xfId="2679" xr:uid="{00000000-0005-0000-0000-0000EB070000}"/>
    <cellStyle name="20 % - Akzent4 3 2 3 2 3 2" xfId="2680" xr:uid="{00000000-0005-0000-0000-0000EC070000}"/>
    <cellStyle name="20 % - Akzent4 3 2 3 2 3 3" xfId="2681" xr:uid="{00000000-0005-0000-0000-0000ED070000}"/>
    <cellStyle name="20 % - Akzent4 3 2 3 2 4" xfId="2682" xr:uid="{00000000-0005-0000-0000-0000EE070000}"/>
    <cellStyle name="20 % - Akzent4 3 2 3 2 4 2" xfId="2683" xr:uid="{00000000-0005-0000-0000-0000EF070000}"/>
    <cellStyle name="20 % - Akzent4 3 2 3 2 4 3" xfId="2684" xr:uid="{00000000-0005-0000-0000-0000F0070000}"/>
    <cellStyle name="20 % - Akzent4 3 2 3 2 5" xfId="2685" xr:uid="{00000000-0005-0000-0000-0000F1070000}"/>
    <cellStyle name="20 % - Akzent4 3 2 3 2 5 2" xfId="2686" xr:uid="{00000000-0005-0000-0000-0000F2070000}"/>
    <cellStyle name="20 % - Akzent4 3 2 3 2 6" xfId="2687" xr:uid="{00000000-0005-0000-0000-0000F3070000}"/>
    <cellStyle name="20 % - Akzent4 3 2 3 2 7" xfId="2688" xr:uid="{00000000-0005-0000-0000-0000F4070000}"/>
    <cellStyle name="20 % - Akzent4 3 2 3 3" xfId="2689" xr:uid="{00000000-0005-0000-0000-0000F5070000}"/>
    <cellStyle name="20 % - Akzent4 3 2 3 3 2" xfId="2690" xr:uid="{00000000-0005-0000-0000-0000F6070000}"/>
    <cellStyle name="20 % - Akzent4 3 2 3 3 2 2" xfId="2691" xr:uid="{00000000-0005-0000-0000-0000F7070000}"/>
    <cellStyle name="20 % - Akzent4 3 2 3 3 2 3" xfId="2692" xr:uid="{00000000-0005-0000-0000-0000F8070000}"/>
    <cellStyle name="20 % - Akzent4 3 2 3 3 3" xfId="2693" xr:uid="{00000000-0005-0000-0000-0000F9070000}"/>
    <cellStyle name="20 % - Akzent4 3 2 3 3 3 2" xfId="2694" xr:uid="{00000000-0005-0000-0000-0000FA070000}"/>
    <cellStyle name="20 % - Akzent4 3 2 3 3 3 3" xfId="2695" xr:uid="{00000000-0005-0000-0000-0000FB070000}"/>
    <cellStyle name="20 % - Akzent4 3 2 3 3 4" xfId="2696" xr:uid="{00000000-0005-0000-0000-0000FC070000}"/>
    <cellStyle name="20 % - Akzent4 3 2 3 3 4 2" xfId="2697" xr:uid="{00000000-0005-0000-0000-0000FD070000}"/>
    <cellStyle name="20 % - Akzent4 3 2 3 3 5" xfId="2698" xr:uid="{00000000-0005-0000-0000-0000FE070000}"/>
    <cellStyle name="20 % - Akzent4 3 2 3 3 6" xfId="2699" xr:uid="{00000000-0005-0000-0000-0000FF070000}"/>
    <cellStyle name="20 % - Akzent4 3 2 3 4" xfId="2700" xr:uid="{00000000-0005-0000-0000-000000080000}"/>
    <cellStyle name="20 % - Akzent4 3 2 3 4 2" xfId="2701" xr:uid="{00000000-0005-0000-0000-000001080000}"/>
    <cellStyle name="20 % - Akzent4 3 2 3 4 3" xfId="2702" xr:uid="{00000000-0005-0000-0000-000002080000}"/>
    <cellStyle name="20 % - Akzent4 3 2 3 5" xfId="2703" xr:uid="{00000000-0005-0000-0000-000003080000}"/>
    <cellStyle name="20 % - Akzent4 3 2 3 5 2" xfId="2704" xr:uid="{00000000-0005-0000-0000-000004080000}"/>
    <cellStyle name="20 % - Akzent4 3 2 3 5 3" xfId="2705" xr:uid="{00000000-0005-0000-0000-000005080000}"/>
    <cellStyle name="20 % - Akzent4 3 2 3 6" xfId="2706" xr:uid="{00000000-0005-0000-0000-000006080000}"/>
    <cellStyle name="20 % - Akzent4 3 2 3 6 2" xfId="2707" xr:uid="{00000000-0005-0000-0000-000007080000}"/>
    <cellStyle name="20 % - Akzent4 3 2 3 7" xfId="2708" xr:uid="{00000000-0005-0000-0000-000008080000}"/>
    <cellStyle name="20 % - Akzent4 3 2 3 8" xfId="2709" xr:uid="{00000000-0005-0000-0000-000009080000}"/>
    <cellStyle name="20 % - Akzent4 3 2 4" xfId="2710" xr:uid="{00000000-0005-0000-0000-00000A080000}"/>
    <cellStyle name="20 % - Akzent4 3 2 4 2" xfId="2711" xr:uid="{00000000-0005-0000-0000-00000B080000}"/>
    <cellStyle name="20 % - Akzent4 3 2 4 2 2" xfId="2712" xr:uid="{00000000-0005-0000-0000-00000C080000}"/>
    <cellStyle name="20 % - Akzent4 3 2 4 2 2 2" xfId="2713" xr:uid="{00000000-0005-0000-0000-00000D080000}"/>
    <cellStyle name="20 % - Akzent4 3 2 4 2 2 2 2" xfId="2714" xr:uid="{00000000-0005-0000-0000-00000E080000}"/>
    <cellStyle name="20 % - Akzent4 3 2 4 2 2 2 3" xfId="2715" xr:uid="{00000000-0005-0000-0000-00000F080000}"/>
    <cellStyle name="20 % - Akzent4 3 2 4 2 2 3" xfId="2716" xr:uid="{00000000-0005-0000-0000-000010080000}"/>
    <cellStyle name="20 % - Akzent4 3 2 4 2 2 3 2" xfId="2717" xr:uid="{00000000-0005-0000-0000-000011080000}"/>
    <cellStyle name="20 % - Akzent4 3 2 4 2 2 3 3" xfId="2718" xr:uid="{00000000-0005-0000-0000-000012080000}"/>
    <cellStyle name="20 % - Akzent4 3 2 4 2 2 4" xfId="2719" xr:uid="{00000000-0005-0000-0000-000013080000}"/>
    <cellStyle name="20 % - Akzent4 3 2 4 2 2 4 2" xfId="2720" xr:uid="{00000000-0005-0000-0000-000014080000}"/>
    <cellStyle name="20 % - Akzent4 3 2 4 2 2 5" xfId="2721" xr:uid="{00000000-0005-0000-0000-000015080000}"/>
    <cellStyle name="20 % - Akzent4 3 2 4 2 2 6" xfId="2722" xr:uid="{00000000-0005-0000-0000-000016080000}"/>
    <cellStyle name="20 % - Akzent4 3 2 4 2 3" xfId="2723" xr:uid="{00000000-0005-0000-0000-000017080000}"/>
    <cellStyle name="20 % - Akzent4 3 2 4 2 3 2" xfId="2724" xr:uid="{00000000-0005-0000-0000-000018080000}"/>
    <cellStyle name="20 % - Akzent4 3 2 4 2 3 3" xfId="2725" xr:uid="{00000000-0005-0000-0000-000019080000}"/>
    <cellStyle name="20 % - Akzent4 3 2 4 2 4" xfId="2726" xr:uid="{00000000-0005-0000-0000-00001A080000}"/>
    <cellStyle name="20 % - Akzent4 3 2 4 2 4 2" xfId="2727" xr:uid="{00000000-0005-0000-0000-00001B080000}"/>
    <cellStyle name="20 % - Akzent4 3 2 4 2 4 3" xfId="2728" xr:uid="{00000000-0005-0000-0000-00001C080000}"/>
    <cellStyle name="20 % - Akzent4 3 2 4 2 5" xfId="2729" xr:uid="{00000000-0005-0000-0000-00001D080000}"/>
    <cellStyle name="20 % - Akzent4 3 2 4 2 5 2" xfId="2730" xr:uid="{00000000-0005-0000-0000-00001E080000}"/>
    <cellStyle name="20 % - Akzent4 3 2 4 2 6" xfId="2731" xr:uid="{00000000-0005-0000-0000-00001F080000}"/>
    <cellStyle name="20 % - Akzent4 3 2 4 2 7" xfId="2732" xr:uid="{00000000-0005-0000-0000-000020080000}"/>
    <cellStyle name="20 % - Akzent4 3 2 4 3" xfId="2733" xr:uid="{00000000-0005-0000-0000-000021080000}"/>
    <cellStyle name="20 % - Akzent4 3 2 4 3 2" xfId="2734" xr:uid="{00000000-0005-0000-0000-000022080000}"/>
    <cellStyle name="20 % - Akzent4 3 2 4 3 2 2" xfId="2735" xr:uid="{00000000-0005-0000-0000-000023080000}"/>
    <cellStyle name="20 % - Akzent4 3 2 4 3 2 3" xfId="2736" xr:uid="{00000000-0005-0000-0000-000024080000}"/>
    <cellStyle name="20 % - Akzent4 3 2 4 3 3" xfId="2737" xr:uid="{00000000-0005-0000-0000-000025080000}"/>
    <cellStyle name="20 % - Akzent4 3 2 4 3 3 2" xfId="2738" xr:uid="{00000000-0005-0000-0000-000026080000}"/>
    <cellStyle name="20 % - Akzent4 3 2 4 3 3 3" xfId="2739" xr:uid="{00000000-0005-0000-0000-000027080000}"/>
    <cellStyle name="20 % - Akzent4 3 2 4 3 4" xfId="2740" xr:uid="{00000000-0005-0000-0000-000028080000}"/>
    <cellStyle name="20 % - Akzent4 3 2 4 3 4 2" xfId="2741" xr:uid="{00000000-0005-0000-0000-000029080000}"/>
    <cellStyle name="20 % - Akzent4 3 2 4 3 5" xfId="2742" xr:uid="{00000000-0005-0000-0000-00002A080000}"/>
    <cellStyle name="20 % - Akzent4 3 2 4 3 6" xfId="2743" xr:uid="{00000000-0005-0000-0000-00002B080000}"/>
    <cellStyle name="20 % - Akzent4 3 2 4 4" xfId="2744" xr:uid="{00000000-0005-0000-0000-00002C080000}"/>
    <cellStyle name="20 % - Akzent4 3 2 4 4 2" xfId="2745" xr:uid="{00000000-0005-0000-0000-00002D080000}"/>
    <cellStyle name="20 % - Akzent4 3 2 4 4 3" xfId="2746" xr:uid="{00000000-0005-0000-0000-00002E080000}"/>
    <cellStyle name="20 % - Akzent4 3 2 4 5" xfId="2747" xr:uid="{00000000-0005-0000-0000-00002F080000}"/>
    <cellStyle name="20 % - Akzent4 3 2 4 5 2" xfId="2748" xr:uid="{00000000-0005-0000-0000-000030080000}"/>
    <cellStyle name="20 % - Akzent4 3 2 4 5 3" xfId="2749" xr:uid="{00000000-0005-0000-0000-000031080000}"/>
    <cellStyle name="20 % - Akzent4 3 2 4 6" xfId="2750" xr:uid="{00000000-0005-0000-0000-000032080000}"/>
    <cellStyle name="20 % - Akzent4 3 2 4 6 2" xfId="2751" xr:uid="{00000000-0005-0000-0000-000033080000}"/>
    <cellStyle name="20 % - Akzent4 3 2 4 7" xfId="2752" xr:uid="{00000000-0005-0000-0000-000034080000}"/>
    <cellStyle name="20 % - Akzent4 3 2 4 8" xfId="2753" xr:uid="{00000000-0005-0000-0000-000035080000}"/>
    <cellStyle name="20 % - Akzent4 3 2 5" xfId="2754" xr:uid="{00000000-0005-0000-0000-000036080000}"/>
    <cellStyle name="20 % - Akzent4 3 2 5 2" xfId="2755" xr:uid="{00000000-0005-0000-0000-000037080000}"/>
    <cellStyle name="20 % - Akzent4 3 2 5 2 2" xfId="2756" xr:uid="{00000000-0005-0000-0000-000038080000}"/>
    <cellStyle name="20 % - Akzent4 3 2 5 2 2 2" xfId="2757" xr:uid="{00000000-0005-0000-0000-000039080000}"/>
    <cellStyle name="20 % - Akzent4 3 2 5 2 2 3" xfId="2758" xr:uid="{00000000-0005-0000-0000-00003A080000}"/>
    <cellStyle name="20 % - Akzent4 3 2 5 2 3" xfId="2759" xr:uid="{00000000-0005-0000-0000-00003B080000}"/>
    <cellStyle name="20 % - Akzent4 3 2 5 2 3 2" xfId="2760" xr:uid="{00000000-0005-0000-0000-00003C080000}"/>
    <cellStyle name="20 % - Akzent4 3 2 5 2 3 3" xfId="2761" xr:uid="{00000000-0005-0000-0000-00003D080000}"/>
    <cellStyle name="20 % - Akzent4 3 2 5 2 4" xfId="2762" xr:uid="{00000000-0005-0000-0000-00003E080000}"/>
    <cellStyle name="20 % - Akzent4 3 2 5 2 4 2" xfId="2763" xr:uid="{00000000-0005-0000-0000-00003F080000}"/>
    <cellStyle name="20 % - Akzent4 3 2 5 2 5" xfId="2764" xr:uid="{00000000-0005-0000-0000-000040080000}"/>
    <cellStyle name="20 % - Akzent4 3 2 5 2 6" xfId="2765" xr:uid="{00000000-0005-0000-0000-000041080000}"/>
    <cellStyle name="20 % - Akzent4 3 2 5 3" xfId="2766" xr:uid="{00000000-0005-0000-0000-000042080000}"/>
    <cellStyle name="20 % - Akzent4 3 2 5 3 2" xfId="2767" xr:uid="{00000000-0005-0000-0000-000043080000}"/>
    <cellStyle name="20 % - Akzent4 3 2 5 3 3" xfId="2768" xr:uid="{00000000-0005-0000-0000-000044080000}"/>
    <cellStyle name="20 % - Akzent4 3 2 5 4" xfId="2769" xr:uid="{00000000-0005-0000-0000-000045080000}"/>
    <cellStyle name="20 % - Akzent4 3 2 5 4 2" xfId="2770" xr:uid="{00000000-0005-0000-0000-000046080000}"/>
    <cellStyle name="20 % - Akzent4 3 2 5 4 3" xfId="2771" xr:uid="{00000000-0005-0000-0000-000047080000}"/>
    <cellStyle name="20 % - Akzent4 3 2 5 5" xfId="2772" xr:uid="{00000000-0005-0000-0000-000048080000}"/>
    <cellStyle name="20 % - Akzent4 3 2 5 5 2" xfId="2773" xr:uid="{00000000-0005-0000-0000-000049080000}"/>
    <cellStyle name="20 % - Akzent4 3 2 5 6" xfId="2774" xr:uid="{00000000-0005-0000-0000-00004A080000}"/>
    <cellStyle name="20 % - Akzent4 3 2 5 7" xfId="2775" xr:uid="{00000000-0005-0000-0000-00004B080000}"/>
    <cellStyle name="20 % - Akzent4 3 2 6" xfId="2776" xr:uid="{00000000-0005-0000-0000-00004C080000}"/>
    <cellStyle name="20 % - Akzent4 3 2 6 2" xfId="2777" xr:uid="{00000000-0005-0000-0000-00004D080000}"/>
    <cellStyle name="20 % - Akzent4 3 2 6 2 2" xfId="2778" xr:uid="{00000000-0005-0000-0000-00004E080000}"/>
    <cellStyle name="20 % - Akzent4 3 2 6 2 3" xfId="2779" xr:uid="{00000000-0005-0000-0000-00004F080000}"/>
    <cellStyle name="20 % - Akzent4 3 2 6 3" xfId="2780" xr:uid="{00000000-0005-0000-0000-000050080000}"/>
    <cellStyle name="20 % - Akzent4 3 2 6 3 2" xfId="2781" xr:uid="{00000000-0005-0000-0000-000051080000}"/>
    <cellStyle name="20 % - Akzent4 3 2 6 3 3" xfId="2782" xr:uid="{00000000-0005-0000-0000-000052080000}"/>
    <cellStyle name="20 % - Akzent4 3 2 6 4" xfId="2783" xr:uid="{00000000-0005-0000-0000-000053080000}"/>
    <cellStyle name="20 % - Akzent4 3 2 6 4 2" xfId="2784" xr:uid="{00000000-0005-0000-0000-000054080000}"/>
    <cellStyle name="20 % - Akzent4 3 2 6 5" xfId="2785" xr:uid="{00000000-0005-0000-0000-000055080000}"/>
    <cellStyle name="20 % - Akzent4 3 2 6 6" xfId="2786" xr:uid="{00000000-0005-0000-0000-000056080000}"/>
    <cellStyle name="20 % - Akzent4 3 2 7" xfId="2787" xr:uid="{00000000-0005-0000-0000-000057080000}"/>
    <cellStyle name="20 % - Akzent4 3 2 7 2" xfId="2788" xr:uid="{00000000-0005-0000-0000-000058080000}"/>
    <cellStyle name="20 % - Akzent4 3 2 7 3" xfId="2789" xr:uid="{00000000-0005-0000-0000-000059080000}"/>
    <cellStyle name="20 % - Akzent4 3 2 8" xfId="2790" xr:uid="{00000000-0005-0000-0000-00005A080000}"/>
    <cellStyle name="20 % - Akzent4 3 2 8 2" xfId="2791" xr:uid="{00000000-0005-0000-0000-00005B080000}"/>
    <cellStyle name="20 % - Akzent4 3 2 8 3" xfId="2792" xr:uid="{00000000-0005-0000-0000-00005C080000}"/>
    <cellStyle name="20 % - Akzent4 3 2 9" xfId="2793" xr:uid="{00000000-0005-0000-0000-00005D080000}"/>
    <cellStyle name="20 % - Akzent4 3 2 9 2" xfId="2794" xr:uid="{00000000-0005-0000-0000-00005E080000}"/>
    <cellStyle name="20 % - Akzent4 4" xfId="2795" xr:uid="{00000000-0005-0000-0000-00005F080000}"/>
    <cellStyle name="20 % - Akzent4 4 2" xfId="2796" xr:uid="{00000000-0005-0000-0000-000060080000}"/>
    <cellStyle name="20 % - Akzent4 5" xfId="2797" xr:uid="{00000000-0005-0000-0000-000061080000}"/>
    <cellStyle name="20 % - Akzent4 5 2" xfId="2798" xr:uid="{00000000-0005-0000-0000-000062080000}"/>
    <cellStyle name="20 % - Akzent4 5 2 10" xfId="2799" xr:uid="{00000000-0005-0000-0000-000063080000}"/>
    <cellStyle name="20 % - Akzent4 5 2 11" xfId="2800" xr:uid="{00000000-0005-0000-0000-000064080000}"/>
    <cellStyle name="20 % - Akzent4 5 2 2" xfId="2801" xr:uid="{00000000-0005-0000-0000-000065080000}"/>
    <cellStyle name="20 % - Akzent4 5 2 2 10" xfId="2802" xr:uid="{00000000-0005-0000-0000-000066080000}"/>
    <cellStyle name="20 % - Akzent4 5 2 2 2" xfId="2803" xr:uid="{00000000-0005-0000-0000-000067080000}"/>
    <cellStyle name="20 % - Akzent4 5 2 2 2 2" xfId="2804" xr:uid="{00000000-0005-0000-0000-000068080000}"/>
    <cellStyle name="20 % - Akzent4 5 2 2 2 2 2" xfId="2805" xr:uid="{00000000-0005-0000-0000-000069080000}"/>
    <cellStyle name="20 % - Akzent4 5 2 2 2 2 2 2" xfId="2806" xr:uid="{00000000-0005-0000-0000-00006A080000}"/>
    <cellStyle name="20 % - Akzent4 5 2 2 2 2 2 2 2" xfId="2807" xr:uid="{00000000-0005-0000-0000-00006B080000}"/>
    <cellStyle name="20 % - Akzent4 5 2 2 2 2 2 2 3" xfId="2808" xr:uid="{00000000-0005-0000-0000-00006C080000}"/>
    <cellStyle name="20 % - Akzent4 5 2 2 2 2 2 3" xfId="2809" xr:uid="{00000000-0005-0000-0000-00006D080000}"/>
    <cellStyle name="20 % - Akzent4 5 2 2 2 2 2 3 2" xfId="2810" xr:uid="{00000000-0005-0000-0000-00006E080000}"/>
    <cellStyle name="20 % - Akzent4 5 2 2 2 2 2 3 3" xfId="2811" xr:uid="{00000000-0005-0000-0000-00006F080000}"/>
    <cellStyle name="20 % - Akzent4 5 2 2 2 2 2 4" xfId="2812" xr:uid="{00000000-0005-0000-0000-000070080000}"/>
    <cellStyle name="20 % - Akzent4 5 2 2 2 2 2 4 2" xfId="2813" xr:uid="{00000000-0005-0000-0000-000071080000}"/>
    <cellStyle name="20 % - Akzent4 5 2 2 2 2 2 5" xfId="2814" xr:uid="{00000000-0005-0000-0000-000072080000}"/>
    <cellStyle name="20 % - Akzent4 5 2 2 2 2 2 6" xfId="2815" xr:uid="{00000000-0005-0000-0000-000073080000}"/>
    <cellStyle name="20 % - Akzent4 5 2 2 2 2 3" xfId="2816" xr:uid="{00000000-0005-0000-0000-000074080000}"/>
    <cellStyle name="20 % - Akzent4 5 2 2 2 2 3 2" xfId="2817" xr:uid="{00000000-0005-0000-0000-000075080000}"/>
    <cellStyle name="20 % - Akzent4 5 2 2 2 2 3 3" xfId="2818" xr:uid="{00000000-0005-0000-0000-000076080000}"/>
    <cellStyle name="20 % - Akzent4 5 2 2 2 2 4" xfId="2819" xr:uid="{00000000-0005-0000-0000-000077080000}"/>
    <cellStyle name="20 % - Akzent4 5 2 2 2 2 4 2" xfId="2820" xr:uid="{00000000-0005-0000-0000-000078080000}"/>
    <cellStyle name="20 % - Akzent4 5 2 2 2 2 4 3" xfId="2821" xr:uid="{00000000-0005-0000-0000-000079080000}"/>
    <cellStyle name="20 % - Akzent4 5 2 2 2 2 5" xfId="2822" xr:uid="{00000000-0005-0000-0000-00007A080000}"/>
    <cellStyle name="20 % - Akzent4 5 2 2 2 2 5 2" xfId="2823" xr:uid="{00000000-0005-0000-0000-00007B080000}"/>
    <cellStyle name="20 % - Akzent4 5 2 2 2 2 6" xfId="2824" xr:uid="{00000000-0005-0000-0000-00007C080000}"/>
    <cellStyle name="20 % - Akzent4 5 2 2 2 2 7" xfId="2825" xr:uid="{00000000-0005-0000-0000-00007D080000}"/>
    <cellStyle name="20 % - Akzent4 5 2 2 2 3" xfId="2826" xr:uid="{00000000-0005-0000-0000-00007E080000}"/>
    <cellStyle name="20 % - Akzent4 5 2 2 2 3 2" xfId="2827" xr:uid="{00000000-0005-0000-0000-00007F080000}"/>
    <cellStyle name="20 % - Akzent4 5 2 2 2 3 2 2" xfId="2828" xr:uid="{00000000-0005-0000-0000-000080080000}"/>
    <cellStyle name="20 % - Akzent4 5 2 2 2 3 2 3" xfId="2829" xr:uid="{00000000-0005-0000-0000-000081080000}"/>
    <cellStyle name="20 % - Akzent4 5 2 2 2 3 3" xfId="2830" xr:uid="{00000000-0005-0000-0000-000082080000}"/>
    <cellStyle name="20 % - Akzent4 5 2 2 2 3 3 2" xfId="2831" xr:uid="{00000000-0005-0000-0000-000083080000}"/>
    <cellStyle name="20 % - Akzent4 5 2 2 2 3 3 3" xfId="2832" xr:uid="{00000000-0005-0000-0000-000084080000}"/>
    <cellStyle name="20 % - Akzent4 5 2 2 2 3 4" xfId="2833" xr:uid="{00000000-0005-0000-0000-000085080000}"/>
    <cellStyle name="20 % - Akzent4 5 2 2 2 3 4 2" xfId="2834" xr:uid="{00000000-0005-0000-0000-000086080000}"/>
    <cellStyle name="20 % - Akzent4 5 2 2 2 3 5" xfId="2835" xr:uid="{00000000-0005-0000-0000-000087080000}"/>
    <cellStyle name="20 % - Akzent4 5 2 2 2 3 6" xfId="2836" xr:uid="{00000000-0005-0000-0000-000088080000}"/>
    <cellStyle name="20 % - Akzent4 5 2 2 2 4" xfId="2837" xr:uid="{00000000-0005-0000-0000-000089080000}"/>
    <cellStyle name="20 % - Akzent4 5 2 2 2 4 2" xfId="2838" xr:uid="{00000000-0005-0000-0000-00008A080000}"/>
    <cellStyle name="20 % - Akzent4 5 2 2 2 4 3" xfId="2839" xr:uid="{00000000-0005-0000-0000-00008B080000}"/>
    <cellStyle name="20 % - Akzent4 5 2 2 2 5" xfId="2840" xr:uid="{00000000-0005-0000-0000-00008C080000}"/>
    <cellStyle name="20 % - Akzent4 5 2 2 2 5 2" xfId="2841" xr:uid="{00000000-0005-0000-0000-00008D080000}"/>
    <cellStyle name="20 % - Akzent4 5 2 2 2 5 3" xfId="2842" xr:uid="{00000000-0005-0000-0000-00008E080000}"/>
    <cellStyle name="20 % - Akzent4 5 2 2 2 6" xfId="2843" xr:uid="{00000000-0005-0000-0000-00008F080000}"/>
    <cellStyle name="20 % - Akzent4 5 2 2 2 6 2" xfId="2844" xr:uid="{00000000-0005-0000-0000-000090080000}"/>
    <cellStyle name="20 % - Akzent4 5 2 2 2 7" xfId="2845" xr:uid="{00000000-0005-0000-0000-000091080000}"/>
    <cellStyle name="20 % - Akzent4 5 2 2 2 8" xfId="2846" xr:uid="{00000000-0005-0000-0000-000092080000}"/>
    <cellStyle name="20 % - Akzent4 5 2 2 3" xfId="2847" xr:uid="{00000000-0005-0000-0000-000093080000}"/>
    <cellStyle name="20 % - Akzent4 5 2 2 3 2" xfId="2848" xr:uid="{00000000-0005-0000-0000-000094080000}"/>
    <cellStyle name="20 % - Akzent4 5 2 2 3 2 2" xfId="2849" xr:uid="{00000000-0005-0000-0000-000095080000}"/>
    <cellStyle name="20 % - Akzent4 5 2 2 3 2 2 2" xfId="2850" xr:uid="{00000000-0005-0000-0000-000096080000}"/>
    <cellStyle name="20 % - Akzent4 5 2 2 3 2 2 2 2" xfId="2851" xr:uid="{00000000-0005-0000-0000-000097080000}"/>
    <cellStyle name="20 % - Akzent4 5 2 2 3 2 2 2 3" xfId="2852" xr:uid="{00000000-0005-0000-0000-000098080000}"/>
    <cellStyle name="20 % - Akzent4 5 2 2 3 2 2 3" xfId="2853" xr:uid="{00000000-0005-0000-0000-000099080000}"/>
    <cellStyle name="20 % - Akzent4 5 2 2 3 2 2 3 2" xfId="2854" xr:uid="{00000000-0005-0000-0000-00009A080000}"/>
    <cellStyle name="20 % - Akzent4 5 2 2 3 2 2 3 3" xfId="2855" xr:uid="{00000000-0005-0000-0000-00009B080000}"/>
    <cellStyle name="20 % - Akzent4 5 2 2 3 2 2 4" xfId="2856" xr:uid="{00000000-0005-0000-0000-00009C080000}"/>
    <cellStyle name="20 % - Akzent4 5 2 2 3 2 2 4 2" xfId="2857" xr:uid="{00000000-0005-0000-0000-00009D080000}"/>
    <cellStyle name="20 % - Akzent4 5 2 2 3 2 2 5" xfId="2858" xr:uid="{00000000-0005-0000-0000-00009E080000}"/>
    <cellStyle name="20 % - Akzent4 5 2 2 3 2 2 6" xfId="2859" xr:uid="{00000000-0005-0000-0000-00009F080000}"/>
    <cellStyle name="20 % - Akzent4 5 2 2 3 2 3" xfId="2860" xr:uid="{00000000-0005-0000-0000-0000A0080000}"/>
    <cellStyle name="20 % - Akzent4 5 2 2 3 2 3 2" xfId="2861" xr:uid="{00000000-0005-0000-0000-0000A1080000}"/>
    <cellStyle name="20 % - Akzent4 5 2 2 3 2 3 3" xfId="2862" xr:uid="{00000000-0005-0000-0000-0000A2080000}"/>
    <cellStyle name="20 % - Akzent4 5 2 2 3 2 4" xfId="2863" xr:uid="{00000000-0005-0000-0000-0000A3080000}"/>
    <cellStyle name="20 % - Akzent4 5 2 2 3 2 4 2" xfId="2864" xr:uid="{00000000-0005-0000-0000-0000A4080000}"/>
    <cellStyle name="20 % - Akzent4 5 2 2 3 2 4 3" xfId="2865" xr:uid="{00000000-0005-0000-0000-0000A5080000}"/>
    <cellStyle name="20 % - Akzent4 5 2 2 3 2 5" xfId="2866" xr:uid="{00000000-0005-0000-0000-0000A6080000}"/>
    <cellStyle name="20 % - Akzent4 5 2 2 3 2 5 2" xfId="2867" xr:uid="{00000000-0005-0000-0000-0000A7080000}"/>
    <cellStyle name="20 % - Akzent4 5 2 2 3 2 6" xfId="2868" xr:uid="{00000000-0005-0000-0000-0000A8080000}"/>
    <cellStyle name="20 % - Akzent4 5 2 2 3 2 7" xfId="2869" xr:uid="{00000000-0005-0000-0000-0000A9080000}"/>
    <cellStyle name="20 % - Akzent4 5 2 2 3 3" xfId="2870" xr:uid="{00000000-0005-0000-0000-0000AA080000}"/>
    <cellStyle name="20 % - Akzent4 5 2 2 3 3 2" xfId="2871" xr:uid="{00000000-0005-0000-0000-0000AB080000}"/>
    <cellStyle name="20 % - Akzent4 5 2 2 3 3 2 2" xfId="2872" xr:uid="{00000000-0005-0000-0000-0000AC080000}"/>
    <cellStyle name="20 % - Akzent4 5 2 2 3 3 2 3" xfId="2873" xr:uid="{00000000-0005-0000-0000-0000AD080000}"/>
    <cellStyle name="20 % - Akzent4 5 2 2 3 3 3" xfId="2874" xr:uid="{00000000-0005-0000-0000-0000AE080000}"/>
    <cellStyle name="20 % - Akzent4 5 2 2 3 3 3 2" xfId="2875" xr:uid="{00000000-0005-0000-0000-0000AF080000}"/>
    <cellStyle name="20 % - Akzent4 5 2 2 3 3 3 3" xfId="2876" xr:uid="{00000000-0005-0000-0000-0000B0080000}"/>
    <cellStyle name="20 % - Akzent4 5 2 2 3 3 4" xfId="2877" xr:uid="{00000000-0005-0000-0000-0000B1080000}"/>
    <cellStyle name="20 % - Akzent4 5 2 2 3 3 4 2" xfId="2878" xr:uid="{00000000-0005-0000-0000-0000B2080000}"/>
    <cellStyle name="20 % - Akzent4 5 2 2 3 3 5" xfId="2879" xr:uid="{00000000-0005-0000-0000-0000B3080000}"/>
    <cellStyle name="20 % - Akzent4 5 2 2 3 3 6" xfId="2880" xr:uid="{00000000-0005-0000-0000-0000B4080000}"/>
    <cellStyle name="20 % - Akzent4 5 2 2 3 4" xfId="2881" xr:uid="{00000000-0005-0000-0000-0000B5080000}"/>
    <cellStyle name="20 % - Akzent4 5 2 2 3 4 2" xfId="2882" xr:uid="{00000000-0005-0000-0000-0000B6080000}"/>
    <cellStyle name="20 % - Akzent4 5 2 2 3 4 3" xfId="2883" xr:uid="{00000000-0005-0000-0000-0000B7080000}"/>
    <cellStyle name="20 % - Akzent4 5 2 2 3 5" xfId="2884" xr:uid="{00000000-0005-0000-0000-0000B8080000}"/>
    <cellStyle name="20 % - Akzent4 5 2 2 3 5 2" xfId="2885" xr:uid="{00000000-0005-0000-0000-0000B9080000}"/>
    <cellStyle name="20 % - Akzent4 5 2 2 3 5 3" xfId="2886" xr:uid="{00000000-0005-0000-0000-0000BA080000}"/>
    <cellStyle name="20 % - Akzent4 5 2 2 3 6" xfId="2887" xr:uid="{00000000-0005-0000-0000-0000BB080000}"/>
    <cellStyle name="20 % - Akzent4 5 2 2 3 6 2" xfId="2888" xr:uid="{00000000-0005-0000-0000-0000BC080000}"/>
    <cellStyle name="20 % - Akzent4 5 2 2 3 7" xfId="2889" xr:uid="{00000000-0005-0000-0000-0000BD080000}"/>
    <cellStyle name="20 % - Akzent4 5 2 2 3 8" xfId="2890" xr:uid="{00000000-0005-0000-0000-0000BE080000}"/>
    <cellStyle name="20 % - Akzent4 5 2 2 4" xfId="2891" xr:uid="{00000000-0005-0000-0000-0000BF080000}"/>
    <cellStyle name="20 % - Akzent4 5 2 2 4 2" xfId="2892" xr:uid="{00000000-0005-0000-0000-0000C0080000}"/>
    <cellStyle name="20 % - Akzent4 5 2 2 4 2 2" xfId="2893" xr:uid="{00000000-0005-0000-0000-0000C1080000}"/>
    <cellStyle name="20 % - Akzent4 5 2 2 4 2 2 2" xfId="2894" xr:uid="{00000000-0005-0000-0000-0000C2080000}"/>
    <cellStyle name="20 % - Akzent4 5 2 2 4 2 2 3" xfId="2895" xr:uid="{00000000-0005-0000-0000-0000C3080000}"/>
    <cellStyle name="20 % - Akzent4 5 2 2 4 2 3" xfId="2896" xr:uid="{00000000-0005-0000-0000-0000C4080000}"/>
    <cellStyle name="20 % - Akzent4 5 2 2 4 2 3 2" xfId="2897" xr:uid="{00000000-0005-0000-0000-0000C5080000}"/>
    <cellStyle name="20 % - Akzent4 5 2 2 4 2 3 3" xfId="2898" xr:uid="{00000000-0005-0000-0000-0000C6080000}"/>
    <cellStyle name="20 % - Akzent4 5 2 2 4 2 4" xfId="2899" xr:uid="{00000000-0005-0000-0000-0000C7080000}"/>
    <cellStyle name="20 % - Akzent4 5 2 2 4 2 4 2" xfId="2900" xr:uid="{00000000-0005-0000-0000-0000C8080000}"/>
    <cellStyle name="20 % - Akzent4 5 2 2 4 2 5" xfId="2901" xr:uid="{00000000-0005-0000-0000-0000C9080000}"/>
    <cellStyle name="20 % - Akzent4 5 2 2 4 2 6" xfId="2902" xr:uid="{00000000-0005-0000-0000-0000CA080000}"/>
    <cellStyle name="20 % - Akzent4 5 2 2 4 3" xfId="2903" xr:uid="{00000000-0005-0000-0000-0000CB080000}"/>
    <cellStyle name="20 % - Akzent4 5 2 2 4 3 2" xfId="2904" xr:uid="{00000000-0005-0000-0000-0000CC080000}"/>
    <cellStyle name="20 % - Akzent4 5 2 2 4 3 3" xfId="2905" xr:uid="{00000000-0005-0000-0000-0000CD080000}"/>
    <cellStyle name="20 % - Akzent4 5 2 2 4 4" xfId="2906" xr:uid="{00000000-0005-0000-0000-0000CE080000}"/>
    <cellStyle name="20 % - Akzent4 5 2 2 4 4 2" xfId="2907" xr:uid="{00000000-0005-0000-0000-0000CF080000}"/>
    <cellStyle name="20 % - Akzent4 5 2 2 4 4 3" xfId="2908" xr:uid="{00000000-0005-0000-0000-0000D0080000}"/>
    <cellStyle name="20 % - Akzent4 5 2 2 4 5" xfId="2909" xr:uid="{00000000-0005-0000-0000-0000D1080000}"/>
    <cellStyle name="20 % - Akzent4 5 2 2 4 5 2" xfId="2910" xr:uid="{00000000-0005-0000-0000-0000D2080000}"/>
    <cellStyle name="20 % - Akzent4 5 2 2 4 6" xfId="2911" xr:uid="{00000000-0005-0000-0000-0000D3080000}"/>
    <cellStyle name="20 % - Akzent4 5 2 2 4 7" xfId="2912" xr:uid="{00000000-0005-0000-0000-0000D4080000}"/>
    <cellStyle name="20 % - Akzent4 5 2 2 5" xfId="2913" xr:uid="{00000000-0005-0000-0000-0000D5080000}"/>
    <cellStyle name="20 % - Akzent4 5 2 2 5 2" xfId="2914" xr:uid="{00000000-0005-0000-0000-0000D6080000}"/>
    <cellStyle name="20 % - Akzent4 5 2 2 5 2 2" xfId="2915" xr:uid="{00000000-0005-0000-0000-0000D7080000}"/>
    <cellStyle name="20 % - Akzent4 5 2 2 5 2 3" xfId="2916" xr:uid="{00000000-0005-0000-0000-0000D8080000}"/>
    <cellStyle name="20 % - Akzent4 5 2 2 5 3" xfId="2917" xr:uid="{00000000-0005-0000-0000-0000D9080000}"/>
    <cellStyle name="20 % - Akzent4 5 2 2 5 3 2" xfId="2918" xr:uid="{00000000-0005-0000-0000-0000DA080000}"/>
    <cellStyle name="20 % - Akzent4 5 2 2 5 3 3" xfId="2919" xr:uid="{00000000-0005-0000-0000-0000DB080000}"/>
    <cellStyle name="20 % - Akzent4 5 2 2 5 4" xfId="2920" xr:uid="{00000000-0005-0000-0000-0000DC080000}"/>
    <cellStyle name="20 % - Akzent4 5 2 2 5 4 2" xfId="2921" xr:uid="{00000000-0005-0000-0000-0000DD080000}"/>
    <cellStyle name="20 % - Akzent4 5 2 2 5 5" xfId="2922" xr:uid="{00000000-0005-0000-0000-0000DE080000}"/>
    <cellStyle name="20 % - Akzent4 5 2 2 5 6" xfId="2923" xr:uid="{00000000-0005-0000-0000-0000DF080000}"/>
    <cellStyle name="20 % - Akzent4 5 2 2 6" xfId="2924" xr:uid="{00000000-0005-0000-0000-0000E0080000}"/>
    <cellStyle name="20 % - Akzent4 5 2 2 6 2" xfId="2925" xr:uid="{00000000-0005-0000-0000-0000E1080000}"/>
    <cellStyle name="20 % - Akzent4 5 2 2 6 3" xfId="2926" xr:uid="{00000000-0005-0000-0000-0000E2080000}"/>
    <cellStyle name="20 % - Akzent4 5 2 2 7" xfId="2927" xr:uid="{00000000-0005-0000-0000-0000E3080000}"/>
    <cellStyle name="20 % - Akzent4 5 2 2 7 2" xfId="2928" xr:uid="{00000000-0005-0000-0000-0000E4080000}"/>
    <cellStyle name="20 % - Akzent4 5 2 2 7 3" xfId="2929" xr:uid="{00000000-0005-0000-0000-0000E5080000}"/>
    <cellStyle name="20 % - Akzent4 5 2 2 8" xfId="2930" xr:uid="{00000000-0005-0000-0000-0000E6080000}"/>
    <cellStyle name="20 % - Akzent4 5 2 2 8 2" xfId="2931" xr:uid="{00000000-0005-0000-0000-0000E7080000}"/>
    <cellStyle name="20 % - Akzent4 5 2 2 9" xfId="2932" xr:uid="{00000000-0005-0000-0000-0000E8080000}"/>
    <cellStyle name="20 % - Akzent4 5 2 3" xfId="2933" xr:uid="{00000000-0005-0000-0000-0000E9080000}"/>
    <cellStyle name="20 % - Akzent4 5 2 3 2" xfId="2934" xr:uid="{00000000-0005-0000-0000-0000EA080000}"/>
    <cellStyle name="20 % - Akzent4 5 2 3 2 2" xfId="2935" xr:uid="{00000000-0005-0000-0000-0000EB080000}"/>
    <cellStyle name="20 % - Akzent4 5 2 3 2 2 2" xfId="2936" xr:uid="{00000000-0005-0000-0000-0000EC080000}"/>
    <cellStyle name="20 % - Akzent4 5 2 3 2 2 2 2" xfId="2937" xr:uid="{00000000-0005-0000-0000-0000ED080000}"/>
    <cellStyle name="20 % - Akzent4 5 2 3 2 2 2 3" xfId="2938" xr:uid="{00000000-0005-0000-0000-0000EE080000}"/>
    <cellStyle name="20 % - Akzent4 5 2 3 2 2 3" xfId="2939" xr:uid="{00000000-0005-0000-0000-0000EF080000}"/>
    <cellStyle name="20 % - Akzent4 5 2 3 2 2 3 2" xfId="2940" xr:uid="{00000000-0005-0000-0000-0000F0080000}"/>
    <cellStyle name="20 % - Akzent4 5 2 3 2 2 3 3" xfId="2941" xr:uid="{00000000-0005-0000-0000-0000F1080000}"/>
    <cellStyle name="20 % - Akzent4 5 2 3 2 2 4" xfId="2942" xr:uid="{00000000-0005-0000-0000-0000F2080000}"/>
    <cellStyle name="20 % - Akzent4 5 2 3 2 2 4 2" xfId="2943" xr:uid="{00000000-0005-0000-0000-0000F3080000}"/>
    <cellStyle name="20 % - Akzent4 5 2 3 2 2 5" xfId="2944" xr:uid="{00000000-0005-0000-0000-0000F4080000}"/>
    <cellStyle name="20 % - Akzent4 5 2 3 2 2 6" xfId="2945" xr:uid="{00000000-0005-0000-0000-0000F5080000}"/>
    <cellStyle name="20 % - Akzent4 5 2 3 2 3" xfId="2946" xr:uid="{00000000-0005-0000-0000-0000F6080000}"/>
    <cellStyle name="20 % - Akzent4 5 2 3 2 3 2" xfId="2947" xr:uid="{00000000-0005-0000-0000-0000F7080000}"/>
    <cellStyle name="20 % - Akzent4 5 2 3 2 3 3" xfId="2948" xr:uid="{00000000-0005-0000-0000-0000F8080000}"/>
    <cellStyle name="20 % - Akzent4 5 2 3 2 4" xfId="2949" xr:uid="{00000000-0005-0000-0000-0000F9080000}"/>
    <cellStyle name="20 % - Akzent4 5 2 3 2 4 2" xfId="2950" xr:uid="{00000000-0005-0000-0000-0000FA080000}"/>
    <cellStyle name="20 % - Akzent4 5 2 3 2 4 3" xfId="2951" xr:uid="{00000000-0005-0000-0000-0000FB080000}"/>
    <cellStyle name="20 % - Akzent4 5 2 3 2 5" xfId="2952" xr:uid="{00000000-0005-0000-0000-0000FC080000}"/>
    <cellStyle name="20 % - Akzent4 5 2 3 2 5 2" xfId="2953" xr:uid="{00000000-0005-0000-0000-0000FD080000}"/>
    <cellStyle name="20 % - Akzent4 5 2 3 2 6" xfId="2954" xr:uid="{00000000-0005-0000-0000-0000FE080000}"/>
    <cellStyle name="20 % - Akzent4 5 2 3 2 7" xfId="2955" xr:uid="{00000000-0005-0000-0000-0000FF080000}"/>
    <cellStyle name="20 % - Akzent4 5 2 3 3" xfId="2956" xr:uid="{00000000-0005-0000-0000-000000090000}"/>
    <cellStyle name="20 % - Akzent4 5 2 3 3 2" xfId="2957" xr:uid="{00000000-0005-0000-0000-000001090000}"/>
    <cellStyle name="20 % - Akzent4 5 2 3 3 2 2" xfId="2958" xr:uid="{00000000-0005-0000-0000-000002090000}"/>
    <cellStyle name="20 % - Akzent4 5 2 3 3 2 3" xfId="2959" xr:uid="{00000000-0005-0000-0000-000003090000}"/>
    <cellStyle name="20 % - Akzent4 5 2 3 3 3" xfId="2960" xr:uid="{00000000-0005-0000-0000-000004090000}"/>
    <cellStyle name="20 % - Akzent4 5 2 3 3 3 2" xfId="2961" xr:uid="{00000000-0005-0000-0000-000005090000}"/>
    <cellStyle name="20 % - Akzent4 5 2 3 3 3 3" xfId="2962" xr:uid="{00000000-0005-0000-0000-000006090000}"/>
    <cellStyle name="20 % - Akzent4 5 2 3 3 4" xfId="2963" xr:uid="{00000000-0005-0000-0000-000007090000}"/>
    <cellStyle name="20 % - Akzent4 5 2 3 3 4 2" xfId="2964" xr:uid="{00000000-0005-0000-0000-000008090000}"/>
    <cellStyle name="20 % - Akzent4 5 2 3 3 5" xfId="2965" xr:uid="{00000000-0005-0000-0000-000009090000}"/>
    <cellStyle name="20 % - Akzent4 5 2 3 3 6" xfId="2966" xr:uid="{00000000-0005-0000-0000-00000A090000}"/>
    <cellStyle name="20 % - Akzent4 5 2 3 4" xfId="2967" xr:uid="{00000000-0005-0000-0000-00000B090000}"/>
    <cellStyle name="20 % - Akzent4 5 2 3 4 2" xfId="2968" xr:uid="{00000000-0005-0000-0000-00000C090000}"/>
    <cellStyle name="20 % - Akzent4 5 2 3 4 3" xfId="2969" xr:uid="{00000000-0005-0000-0000-00000D090000}"/>
    <cellStyle name="20 % - Akzent4 5 2 3 5" xfId="2970" xr:uid="{00000000-0005-0000-0000-00000E090000}"/>
    <cellStyle name="20 % - Akzent4 5 2 3 5 2" xfId="2971" xr:uid="{00000000-0005-0000-0000-00000F090000}"/>
    <cellStyle name="20 % - Akzent4 5 2 3 5 3" xfId="2972" xr:uid="{00000000-0005-0000-0000-000010090000}"/>
    <cellStyle name="20 % - Akzent4 5 2 3 6" xfId="2973" xr:uid="{00000000-0005-0000-0000-000011090000}"/>
    <cellStyle name="20 % - Akzent4 5 2 3 6 2" xfId="2974" xr:uid="{00000000-0005-0000-0000-000012090000}"/>
    <cellStyle name="20 % - Akzent4 5 2 3 7" xfId="2975" xr:uid="{00000000-0005-0000-0000-000013090000}"/>
    <cellStyle name="20 % - Akzent4 5 2 3 8" xfId="2976" xr:uid="{00000000-0005-0000-0000-000014090000}"/>
    <cellStyle name="20 % - Akzent4 5 2 4" xfId="2977" xr:uid="{00000000-0005-0000-0000-000015090000}"/>
    <cellStyle name="20 % - Akzent4 5 2 4 2" xfId="2978" xr:uid="{00000000-0005-0000-0000-000016090000}"/>
    <cellStyle name="20 % - Akzent4 5 2 4 2 2" xfId="2979" xr:uid="{00000000-0005-0000-0000-000017090000}"/>
    <cellStyle name="20 % - Akzent4 5 2 4 2 2 2" xfId="2980" xr:uid="{00000000-0005-0000-0000-000018090000}"/>
    <cellStyle name="20 % - Akzent4 5 2 4 2 2 2 2" xfId="2981" xr:uid="{00000000-0005-0000-0000-000019090000}"/>
    <cellStyle name="20 % - Akzent4 5 2 4 2 2 2 3" xfId="2982" xr:uid="{00000000-0005-0000-0000-00001A090000}"/>
    <cellStyle name="20 % - Akzent4 5 2 4 2 2 3" xfId="2983" xr:uid="{00000000-0005-0000-0000-00001B090000}"/>
    <cellStyle name="20 % - Akzent4 5 2 4 2 2 3 2" xfId="2984" xr:uid="{00000000-0005-0000-0000-00001C090000}"/>
    <cellStyle name="20 % - Akzent4 5 2 4 2 2 3 3" xfId="2985" xr:uid="{00000000-0005-0000-0000-00001D090000}"/>
    <cellStyle name="20 % - Akzent4 5 2 4 2 2 4" xfId="2986" xr:uid="{00000000-0005-0000-0000-00001E090000}"/>
    <cellStyle name="20 % - Akzent4 5 2 4 2 2 4 2" xfId="2987" xr:uid="{00000000-0005-0000-0000-00001F090000}"/>
    <cellStyle name="20 % - Akzent4 5 2 4 2 2 5" xfId="2988" xr:uid="{00000000-0005-0000-0000-000020090000}"/>
    <cellStyle name="20 % - Akzent4 5 2 4 2 2 6" xfId="2989" xr:uid="{00000000-0005-0000-0000-000021090000}"/>
    <cellStyle name="20 % - Akzent4 5 2 4 2 3" xfId="2990" xr:uid="{00000000-0005-0000-0000-000022090000}"/>
    <cellStyle name="20 % - Akzent4 5 2 4 2 3 2" xfId="2991" xr:uid="{00000000-0005-0000-0000-000023090000}"/>
    <cellStyle name="20 % - Akzent4 5 2 4 2 3 3" xfId="2992" xr:uid="{00000000-0005-0000-0000-000024090000}"/>
    <cellStyle name="20 % - Akzent4 5 2 4 2 4" xfId="2993" xr:uid="{00000000-0005-0000-0000-000025090000}"/>
    <cellStyle name="20 % - Akzent4 5 2 4 2 4 2" xfId="2994" xr:uid="{00000000-0005-0000-0000-000026090000}"/>
    <cellStyle name="20 % - Akzent4 5 2 4 2 4 3" xfId="2995" xr:uid="{00000000-0005-0000-0000-000027090000}"/>
    <cellStyle name="20 % - Akzent4 5 2 4 2 5" xfId="2996" xr:uid="{00000000-0005-0000-0000-000028090000}"/>
    <cellStyle name="20 % - Akzent4 5 2 4 2 5 2" xfId="2997" xr:uid="{00000000-0005-0000-0000-000029090000}"/>
    <cellStyle name="20 % - Akzent4 5 2 4 2 6" xfId="2998" xr:uid="{00000000-0005-0000-0000-00002A090000}"/>
    <cellStyle name="20 % - Akzent4 5 2 4 2 7" xfId="2999" xr:uid="{00000000-0005-0000-0000-00002B090000}"/>
    <cellStyle name="20 % - Akzent4 5 2 4 3" xfId="3000" xr:uid="{00000000-0005-0000-0000-00002C090000}"/>
    <cellStyle name="20 % - Akzent4 5 2 4 3 2" xfId="3001" xr:uid="{00000000-0005-0000-0000-00002D090000}"/>
    <cellStyle name="20 % - Akzent4 5 2 4 3 2 2" xfId="3002" xr:uid="{00000000-0005-0000-0000-00002E090000}"/>
    <cellStyle name="20 % - Akzent4 5 2 4 3 2 3" xfId="3003" xr:uid="{00000000-0005-0000-0000-00002F090000}"/>
    <cellStyle name="20 % - Akzent4 5 2 4 3 3" xfId="3004" xr:uid="{00000000-0005-0000-0000-000030090000}"/>
    <cellStyle name="20 % - Akzent4 5 2 4 3 3 2" xfId="3005" xr:uid="{00000000-0005-0000-0000-000031090000}"/>
    <cellStyle name="20 % - Akzent4 5 2 4 3 3 3" xfId="3006" xr:uid="{00000000-0005-0000-0000-000032090000}"/>
    <cellStyle name="20 % - Akzent4 5 2 4 3 4" xfId="3007" xr:uid="{00000000-0005-0000-0000-000033090000}"/>
    <cellStyle name="20 % - Akzent4 5 2 4 3 4 2" xfId="3008" xr:uid="{00000000-0005-0000-0000-000034090000}"/>
    <cellStyle name="20 % - Akzent4 5 2 4 3 5" xfId="3009" xr:uid="{00000000-0005-0000-0000-000035090000}"/>
    <cellStyle name="20 % - Akzent4 5 2 4 3 6" xfId="3010" xr:uid="{00000000-0005-0000-0000-000036090000}"/>
    <cellStyle name="20 % - Akzent4 5 2 4 4" xfId="3011" xr:uid="{00000000-0005-0000-0000-000037090000}"/>
    <cellStyle name="20 % - Akzent4 5 2 4 4 2" xfId="3012" xr:uid="{00000000-0005-0000-0000-000038090000}"/>
    <cellStyle name="20 % - Akzent4 5 2 4 4 3" xfId="3013" xr:uid="{00000000-0005-0000-0000-000039090000}"/>
    <cellStyle name="20 % - Akzent4 5 2 4 5" xfId="3014" xr:uid="{00000000-0005-0000-0000-00003A090000}"/>
    <cellStyle name="20 % - Akzent4 5 2 4 5 2" xfId="3015" xr:uid="{00000000-0005-0000-0000-00003B090000}"/>
    <cellStyle name="20 % - Akzent4 5 2 4 5 3" xfId="3016" xr:uid="{00000000-0005-0000-0000-00003C090000}"/>
    <cellStyle name="20 % - Akzent4 5 2 4 6" xfId="3017" xr:uid="{00000000-0005-0000-0000-00003D090000}"/>
    <cellStyle name="20 % - Akzent4 5 2 4 6 2" xfId="3018" xr:uid="{00000000-0005-0000-0000-00003E090000}"/>
    <cellStyle name="20 % - Akzent4 5 2 4 7" xfId="3019" xr:uid="{00000000-0005-0000-0000-00003F090000}"/>
    <cellStyle name="20 % - Akzent4 5 2 4 8" xfId="3020" xr:uid="{00000000-0005-0000-0000-000040090000}"/>
    <cellStyle name="20 % - Akzent4 5 2 5" xfId="3021" xr:uid="{00000000-0005-0000-0000-000041090000}"/>
    <cellStyle name="20 % - Akzent4 5 2 5 2" xfId="3022" xr:uid="{00000000-0005-0000-0000-000042090000}"/>
    <cellStyle name="20 % - Akzent4 5 2 5 2 2" xfId="3023" xr:uid="{00000000-0005-0000-0000-000043090000}"/>
    <cellStyle name="20 % - Akzent4 5 2 5 2 2 2" xfId="3024" xr:uid="{00000000-0005-0000-0000-000044090000}"/>
    <cellStyle name="20 % - Akzent4 5 2 5 2 2 3" xfId="3025" xr:uid="{00000000-0005-0000-0000-000045090000}"/>
    <cellStyle name="20 % - Akzent4 5 2 5 2 3" xfId="3026" xr:uid="{00000000-0005-0000-0000-000046090000}"/>
    <cellStyle name="20 % - Akzent4 5 2 5 2 3 2" xfId="3027" xr:uid="{00000000-0005-0000-0000-000047090000}"/>
    <cellStyle name="20 % - Akzent4 5 2 5 2 3 3" xfId="3028" xr:uid="{00000000-0005-0000-0000-000048090000}"/>
    <cellStyle name="20 % - Akzent4 5 2 5 2 4" xfId="3029" xr:uid="{00000000-0005-0000-0000-000049090000}"/>
    <cellStyle name="20 % - Akzent4 5 2 5 2 4 2" xfId="3030" xr:uid="{00000000-0005-0000-0000-00004A090000}"/>
    <cellStyle name="20 % - Akzent4 5 2 5 2 5" xfId="3031" xr:uid="{00000000-0005-0000-0000-00004B090000}"/>
    <cellStyle name="20 % - Akzent4 5 2 5 2 6" xfId="3032" xr:uid="{00000000-0005-0000-0000-00004C090000}"/>
    <cellStyle name="20 % - Akzent4 5 2 5 3" xfId="3033" xr:uid="{00000000-0005-0000-0000-00004D090000}"/>
    <cellStyle name="20 % - Akzent4 5 2 5 3 2" xfId="3034" xr:uid="{00000000-0005-0000-0000-00004E090000}"/>
    <cellStyle name="20 % - Akzent4 5 2 5 3 3" xfId="3035" xr:uid="{00000000-0005-0000-0000-00004F090000}"/>
    <cellStyle name="20 % - Akzent4 5 2 5 4" xfId="3036" xr:uid="{00000000-0005-0000-0000-000050090000}"/>
    <cellStyle name="20 % - Akzent4 5 2 5 4 2" xfId="3037" xr:uid="{00000000-0005-0000-0000-000051090000}"/>
    <cellStyle name="20 % - Akzent4 5 2 5 4 3" xfId="3038" xr:uid="{00000000-0005-0000-0000-000052090000}"/>
    <cellStyle name="20 % - Akzent4 5 2 5 5" xfId="3039" xr:uid="{00000000-0005-0000-0000-000053090000}"/>
    <cellStyle name="20 % - Akzent4 5 2 5 5 2" xfId="3040" xr:uid="{00000000-0005-0000-0000-000054090000}"/>
    <cellStyle name="20 % - Akzent4 5 2 5 6" xfId="3041" xr:uid="{00000000-0005-0000-0000-000055090000}"/>
    <cellStyle name="20 % - Akzent4 5 2 5 7" xfId="3042" xr:uid="{00000000-0005-0000-0000-000056090000}"/>
    <cellStyle name="20 % - Akzent4 5 2 6" xfId="3043" xr:uid="{00000000-0005-0000-0000-000057090000}"/>
    <cellStyle name="20 % - Akzent4 5 2 6 2" xfId="3044" xr:uid="{00000000-0005-0000-0000-000058090000}"/>
    <cellStyle name="20 % - Akzent4 5 2 6 2 2" xfId="3045" xr:uid="{00000000-0005-0000-0000-000059090000}"/>
    <cellStyle name="20 % - Akzent4 5 2 6 2 3" xfId="3046" xr:uid="{00000000-0005-0000-0000-00005A090000}"/>
    <cellStyle name="20 % - Akzent4 5 2 6 3" xfId="3047" xr:uid="{00000000-0005-0000-0000-00005B090000}"/>
    <cellStyle name="20 % - Akzent4 5 2 6 3 2" xfId="3048" xr:uid="{00000000-0005-0000-0000-00005C090000}"/>
    <cellStyle name="20 % - Akzent4 5 2 6 3 3" xfId="3049" xr:uid="{00000000-0005-0000-0000-00005D090000}"/>
    <cellStyle name="20 % - Akzent4 5 2 6 4" xfId="3050" xr:uid="{00000000-0005-0000-0000-00005E090000}"/>
    <cellStyle name="20 % - Akzent4 5 2 6 4 2" xfId="3051" xr:uid="{00000000-0005-0000-0000-00005F090000}"/>
    <cellStyle name="20 % - Akzent4 5 2 6 5" xfId="3052" xr:uid="{00000000-0005-0000-0000-000060090000}"/>
    <cellStyle name="20 % - Akzent4 5 2 6 6" xfId="3053" xr:uid="{00000000-0005-0000-0000-000061090000}"/>
    <cellStyle name="20 % - Akzent4 5 2 7" xfId="3054" xr:uid="{00000000-0005-0000-0000-000062090000}"/>
    <cellStyle name="20 % - Akzent4 5 2 7 2" xfId="3055" xr:uid="{00000000-0005-0000-0000-000063090000}"/>
    <cellStyle name="20 % - Akzent4 5 2 7 3" xfId="3056" xr:uid="{00000000-0005-0000-0000-000064090000}"/>
    <cellStyle name="20 % - Akzent4 5 2 8" xfId="3057" xr:uid="{00000000-0005-0000-0000-000065090000}"/>
    <cellStyle name="20 % - Akzent4 5 2 8 2" xfId="3058" xr:uid="{00000000-0005-0000-0000-000066090000}"/>
    <cellStyle name="20 % - Akzent4 5 2 8 3" xfId="3059" xr:uid="{00000000-0005-0000-0000-000067090000}"/>
    <cellStyle name="20 % - Akzent4 5 2 9" xfId="3060" xr:uid="{00000000-0005-0000-0000-000068090000}"/>
    <cellStyle name="20 % - Akzent4 5 2 9 2" xfId="3061" xr:uid="{00000000-0005-0000-0000-000069090000}"/>
    <cellStyle name="20 % - Akzent4 6" xfId="3062" xr:uid="{00000000-0005-0000-0000-00006A090000}"/>
    <cellStyle name="20 % - Akzent5 2" xfId="85" xr:uid="{00000000-0005-0000-0000-00006B090000}"/>
    <cellStyle name="20 % - Akzent5 2 2" xfId="86" xr:uid="{00000000-0005-0000-0000-00006C090000}"/>
    <cellStyle name="20 % - Akzent5 2 2 2" xfId="87" xr:uid="{00000000-0005-0000-0000-00006D090000}"/>
    <cellStyle name="20 % - Akzent5 2 2 3" xfId="33068" xr:uid="{00000000-0005-0000-0000-00006E090000}"/>
    <cellStyle name="20 % - Akzent5 2 2 4" xfId="33143" xr:uid="{00000000-0005-0000-0000-00006F090000}"/>
    <cellStyle name="20 % - Akzent5 2 2 5" xfId="33218" xr:uid="{00000000-0005-0000-0000-000070090000}"/>
    <cellStyle name="20 % - Akzent5 2 2 6" xfId="33293" xr:uid="{00000000-0005-0000-0000-000071090000}"/>
    <cellStyle name="20 % - Akzent5 2 3" xfId="88" xr:uid="{00000000-0005-0000-0000-000072090000}"/>
    <cellStyle name="20 % - Akzent5 2 3 2" xfId="33069" xr:uid="{00000000-0005-0000-0000-000073090000}"/>
    <cellStyle name="20 % - Akzent5 2 3 3" xfId="33144" xr:uid="{00000000-0005-0000-0000-000074090000}"/>
    <cellStyle name="20 % - Akzent5 2 3 4" xfId="33219" xr:uid="{00000000-0005-0000-0000-000075090000}"/>
    <cellStyle name="20 % - Akzent5 2 3 5" xfId="33294" xr:uid="{00000000-0005-0000-0000-000076090000}"/>
    <cellStyle name="20 % - Akzent5 2 4" xfId="89" xr:uid="{00000000-0005-0000-0000-000077090000}"/>
    <cellStyle name="20 % - Akzent5 2 4 2" xfId="33070" xr:uid="{00000000-0005-0000-0000-000078090000}"/>
    <cellStyle name="20 % - Akzent5 2 4 3" xfId="33145" xr:uid="{00000000-0005-0000-0000-000079090000}"/>
    <cellStyle name="20 % - Akzent5 2 4 4" xfId="33220" xr:uid="{00000000-0005-0000-0000-00007A090000}"/>
    <cellStyle name="20 % - Akzent5 2 4 5" xfId="33295" xr:uid="{00000000-0005-0000-0000-00007B090000}"/>
    <cellStyle name="20 % - Akzent5 2 5" xfId="90" xr:uid="{00000000-0005-0000-0000-00007C090000}"/>
    <cellStyle name="20 % - Akzent5 2 6" xfId="33067" xr:uid="{00000000-0005-0000-0000-00007D090000}"/>
    <cellStyle name="20 % - Akzent5 2 7" xfId="33142" xr:uid="{00000000-0005-0000-0000-00007E090000}"/>
    <cellStyle name="20 % - Akzent5 2 8" xfId="33217" xr:uid="{00000000-0005-0000-0000-00007F090000}"/>
    <cellStyle name="20 % - Akzent5 2 9" xfId="33292" xr:uid="{00000000-0005-0000-0000-000080090000}"/>
    <cellStyle name="20 % - Akzent5 3" xfId="91" xr:uid="{00000000-0005-0000-0000-000081090000}"/>
    <cellStyle name="20 % - Akzent5 3 2" xfId="92" xr:uid="{00000000-0005-0000-0000-000082090000}"/>
    <cellStyle name="20 % - Akzent5 3 2 10" xfId="3063" xr:uid="{00000000-0005-0000-0000-000083090000}"/>
    <cellStyle name="20 % - Akzent5 3 2 11" xfId="3064" xr:uid="{00000000-0005-0000-0000-000084090000}"/>
    <cellStyle name="20 % - Akzent5 3 2 12" xfId="33071" xr:uid="{00000000-0005-0000-0000-000085090000}"/>
    <cellStyle name="20 % - Akzent5 3 2 13" xfId="33146" xr:uid="{00000000-0005-0000-0000-000086090000}"/>
    <cellStyle name="20 % - Akzent5 3 2 14" xfId="33221" xr:uid="{00000000-0005-0000-0000-000087090000}"/>
    <cellStyle name="20 % - Akzent5 3 2 15" xfId="33296" xr:uid="{00000000-0005-0000-0000-000088090000}"/>
    <cellStyle name="20 % - Akzent5 3 2 2" xfId="3065" xr:uid="{00000000-0005-0000-0000-000089090000}"/>
    <cellStyle name="20 % - Akzent5 3 2 2 10" xfId="3066" xr:uid="{00000000-0005-0000-0000-00008A090000}"/>
    <cellStyle name="20 % - Akzent5 3 2 2 2" xfId="3067" xr:uid="{00000000-0005-0000-0000-00008B090000}"/>
    <cellStyle name="20 % - Akzent5 3 2 2 2 2" xfId="3068" xr:uid="{00000000-0005-0000-0000-00008C090000}"/>
    <cellStyle name="20 % - Akzent5 3 2 2 2 2 2" xfId="3069" xr:uid="{00000000-0005-0000-0000-00008D090000}"/>
    <cellStyle name="20 % - Akzent5 3 2 2 2 2 2 2" xfId="3070" xr:uid="{00000000-0005-0000-0000-00008E090000}"/>
    <cellStyle name="20 % - Akzent5 3 2 2 2 2 2 2 2" xfId="3071" xr:uid="{00000000-0005-0000-0000-00008F090000}"/>
    <cellStyle name="20 % - Akzent5 3 2 2 2 2 2 2 3" xfId="3072" xr:uid="{00000000-0005-0000-0000-000090090000}"/>
    <cellStyle name="20 % - Akzent5 3 2 2 2 2 2 3" xfId="3073" xr:uid="{00000000-0005-0000-0000-000091090000}"/>
    <cellStyle name="20 % - Akzent5 3 2 2 2 2 2 3 2" xfId="3074" xr:uid="{00000000-0005-0000-0000-000092090000}"/>
    <cellStyle name="20 % - Akzent5 3 2 2 2 2 2 3 3" xfId="3075" xr:uid="{00000000-0005-0000-0000-000093090000}"/>
    <cellStyle name="20 % - Akzent5 3 2 2 2 2 2 4" xfId="3076" xr:uid="{00000000-0005-0000-0000-000094090000}"/>
    <cellStyle name="20 % - Akzent5 3 2 2 2 2 2 4 2" xfId="3077" xr:uid="{00000000-0005-0000-0000-000095090000}"/>
    <cellStyle name="20 % - Akzent5 3 2 2 2 2 2 5" xfId="3078" xr:uid="{00000000-0005-0000-0000-000096090000}"/>
    <cellStyle name="20 % - Akzent5 3 2 2 2 2 2 6" xfId="3079" xr:uid="{00000000-0005-0000-0000-000097090000}"/>
    <cellStyle name="20 % - Akzent5 3 2 2 2 2 3" xfId="3080" xr:uid="{00000000-0005-0000-0000-000098090000}"/>
    <cellStyle name="20 % - Akzent5 3 2 2 2 2 3 2" xfId="3081" xr:uid="{00000000-0005-0000-0000-000099090000}"/>
    <cellStyle name="20 % - Akzent5 3 2 2 2 2 3 3" xfId="3082" xr:uid="{00000000-0005-0000-0000-00009A090000}"/>
    <cellStyle name="20 % - Akzent5 3 2 2 2 2 4" xfId="3083" xr:uid="{00000000-0005-0000-0000-00009B090000}"/>
    <cellStyle name="20 % - Akzent5 3 2 2 2 2 4 2" xfId="3084" xr:uid="{00000000-0005-0000-0000-00009C090000}"/>
    <cellStyle name="20 % - Akzent5 3 2 2 2 2 4 3" xfId="3085" xr:uid="{00000000-0005-0000-0000-00009D090000}"/>
    <cellStyle name="20 % - Akzent5 3 2 2 2 2 5" xfId="3086" xr:uid="{00000000-0005-0000-0000-00009E090000}"/>
    <cellStyle name="20 % - Akzent5 3 2 2 2 2 5 2" xfId="3087" xr:uid="{00000000-0005-0000-0000-00009F090000}"/>
    <cellStyle name="20 % - Akzent5 3 2 2 2 2 6" xfId="3088" xr:uid="{00000000-0005-0000-0000-0000A0090000}"/>
    <cellStyle name="20 % - Akzent5 3 2 2 2 2 7" xfId="3089" xr:uid="{00000000-0005-0000-0000-0000A1090000}"/>
    <cellStyle name="20 % - Akzent5 3 2 2 2 3" xfId="3090" xr:uid="{00000000-0005-0000-0000-0000A2090000}"/>
    <cellStyle name="20 % - Akzent5 3 2 2 2 3 2" xfId="3091" xr:uid="{00000000-0005-0000-0000-0000A3090000}"/>
    <cellStyle name="20 % - Akzent5 3 2 2 2 3 2 2" xfId="3092" xr:uid="{00000000-0005-0000-0000-0000A4090000}"/>
    <cellStyle name="20 % - Akzent5 3 2 2 2 3 2 3" xfId="3093" xr:uid="{00000000-0005-0000-0000-0000A5090000}"/>
    <cellStyle name="20 % - Akzent5 3 2 2 2 3 3" xfId="3094" xr:uid="{00000000-0005-0000-0000-0000A6090000}"/>
    <cellStyle name="20 % - Akzent5 3 2 2 2 3 3 2" xfId="3095" xr:uid="{00000000-0005-0000-0000-0000A7090000}"/>
    <cellStyle name="20 % - Akzent5 3 2 2 2 3 3 3" xfId="3096" xr:uid="{00000000-0005-0000-0000-0000A8090000}"/>
    <cellStyle name="20 % - Akzent5 3 2 2 2 3 4" xfId="3097" xr:uid="{00000000-0005-0000-0000-0000A9090000}"/>
    <cellStyle name="20 % - Akzent5 3 2 2 2 3 4 2" xfId="3098" xr:uid="{00000000-0005-0000-0000-0000AA090000}"/>
    <cellStyle name="20 % - Akzent5 3 2 2 2 3 5" xfId="3099" xr:uid="{00000000-0005-0000-0000-0000AB090000}"/>
    <cellStyle name="20 % - Akzent5 3 2 2 2 3 6" xfId="3100" xr:uid="{00000000-0005-0000-0000-0000AC090000}"/>
    <cellStyle name="20 % - Akzent5 3 2 2 2 4" xfId="3101" xr:uid="{00000000-0005-0000-0000-0000AD090000}"/>
    <cellStyle name="20 % - Akzent5 3 2 2 2 4 2" xfId="3102" xr:uid="{00000000-0005-0000-0000-0000AE090000}"/>
    <cellStyle name="20 % - Akzent5 3 2 2 2 4 3" xfId="3103" xr:uid="{00000000-0005-0000-0000-0000AF090000}"/>
    <cellStyle name="20 % - Akzent5 3 2 2 2 5" xfId="3104" xr:uid="{00000000-0005-0000-0000-0000B0090000}"/>
    <cellStyle name="20 % - Akzent5 3 2 2 2 5 2" xfId="3105" xr:uid="{00000000-0005-0000-0000-0000B1090000}"/>
    <cellStyle name="20 % - Akzent5 3 2 2 2 5 3" xfId="3106" xr:uid="{00000000-0005-0000-0000-0000B2090000}"/>
    <cellStyle name="20 % - Akzent5 3 2 2 2 6" xfId="3107" xr:uid="{00000000-0005-0000-0000-0000B3090000}"/>
    <cellStyle name="20 % - Akzent5 3 2 2 2 6 2" xfId="3108" xr:uid="{00000000-0005-0000-0000-0000B4090000}"/>
    <cellStyle name="20 % - Akzent5 3 2 2 2 7" xfId="3109" xr:uid="{00000000-0005-0000-0000-0000B5090000}"/>
    <cellStyle name="20 % - Akzent5 3 2 2 2 8" xfId="3110" xr:uid="{00000000-0005-0000-0000-0000B6090000}"/>
    <cellStyle name="20 % - Akzent5 3 2 2 3" xfId="3111" xr:uid="{00000000-0005-0000-0000-0000B7090000}"/>
    <cellStyle name="20 % - Akzent5 3 2 2 3 2" xfId="3112" xr:uid="{00000000-0005-0000-0000-0000B8090000}"/>
    <cellStyle name="20 % - Akzent5 3 2 2 3 2 2" xfId="3113" xr:uid="{00000000-0005-0000-0000-0000B9090000}"/>
    <cellStyle name="20 % - Akzent5 3 2 2 3 2 2 2" xfId="3114" xr:uid="{00000000-0005-0000-0000-0000BA090000}"/>
    <cellStyle name="20 % - Akzent5 3 2 2 3 2 2 2 2" xfId="3115" xr:uid="{00000000-0005-0000-0000-0000BB090000}"/>
    <cellStyle name="20 % - Akzent5 3 2 2 3 2 2 2 3" xfId="3116" xr:uid="{00000000-0005-0000-0000-0000BC090000}"/>
    <cellStyle name="20 % - Akzent5 3 2 2 3 2 2 3" xfId="3117" xr:uid="{00000000-0005-0000-0000-0000BD090000}"/>
    <cellStyle name="20 % - Akzent5 3 2 2 3 2 2 3 2" xfId="3118" xr:uid="{00000000-0005-0000-0000-0000BE090000}"/>
    <cellStyle name="20 % - Akzent5 3 2 2 3 2 2 3 3" xfId="3119" xr:uid="{00000000-0005-0000-0000-0000BF090000}"/>
    <cellStyle name="20 % - Akzent5 3 2 2 3 2 2 4" xfId="3120" xr:uid="{00000000-0005-0000-0000-0000C0090000}"/>
    <cellStyle name="20 % - Akzent5 3 2 2 3 2 2 4 2" xfId="3121" xr:uid="{00000000-0005-0000-0000-0000C1090000}"/>
    <cellStyle name="20 % - Akzent5 3 2 2 3 2 2 5" xfId="3122" xr:uid="{00000000-0005-0000-0000-0000C2090000}"/>
    <cellStyle name="20 % - Akzent5 3 2 2 3 2 2 6" xfId="3123" xr:uid="{00000000-0005-0000-0000-0000C3090000}"/>
    <cellStyle name="20 % - Akzent5 3 2 2 3 2 3" xfId="3124" xr:uid="{00000000-0005-0000-0000-0000C4090000}"/>
    <cellStyle name="20 % - Akzent5 3 2 2 3 2 3 2" xfId="3125" xr:uid="{00000000-0005-0000-0000-0000C5090000}"/>
    <cellStyle name="20 % - Akzent5 3 2 2 3 2 3 3" xfId="3126" xr:uid="{00000000-0005-0000-0000-0000C6090000}"/>
    <cellStyle name="20 % - Akzent5 3 2 2 3 2 4" xfId="3127" xr:uid="{00000000-0005-0000-0000-0000C7090000}"/>
    <cellStyle name="20 % - Akzent5 3 2 2 3 2 4 2" xfId="3128" xr:uid="{00000000-0005-0000-0000-0000C8090000}"/>
    <cellStyle name="20 % - Akzent5 3 2 2 3 2 4 3" xfId="3129" xr:uid="{00000000-0005-0000-0000-0000C9090000}"/>
    <cellStyle name="20 % - Akzent5 3 2 2 3 2 5" xfId="3130" xr:uid="{00000000-0005-0000-0000-0000CA090000}"/>
    <cellStyle name="20 % - Akzent5 3 2 2 3 2 5 2" xfId="3131" xr:uid="{00000000-0005-0000-0000-0000CB090000}"/>
    <cellStyle name="20 % - Akzent5 3 2 2 3 2 6" xfId="3132" xr:uid="{00000000-0005-0000-0000-0000CC090000}"/>
    <cellStyle name="20 % - Akzent5 3 2 2 3 2 7" xfId="3133" xr:uid="{00000000-0005-0000-0000-0000CD090000}"/>
    <cellStyle name="20 % - Akzent5 3 2 2 3 3" xfId="3134" xr:uid="{00000000-0005-0000-0000-0000CE090000}"/>
    <cellStyle name="20 % - Akzent5 3 2 2 3 3 2" xfId="3135" xr:uid="{00000000-0005-0000-0000-0000CF090000}"/>
    <cellStyle name="20 % - Akzent5 3 2 2 3 3 2 2" xfId="3136" xr:uid="{00000000-0005-0000-0000-0000D0090000}"/>
    <cellStyle name="20 % - Akzent5 3 2 2 3 3 2 3" xfId="3137" xr:uid="{00000000-0005-0000-0000-0000D1090000}"/>
    <cellStyle name="20 % - Akzent5 3 2 2 3 3 3" xfId="3138" xr:uid="{00000000-0005-0000-0000-0000D2090000}"/>
    <cellStyle name="20 % - Akzent5 3 2 2 3 3 3 2" xfId="3139" xr:uid="{00000000-0005-0000-0000-0000D3090000}"/>
    <cellStyle name="20 % - Akzent5 3 2 2 3 3 3 3" xfId="3140" xr:uid="{00000000-0005-0000-0000-0000D4090000}"/>
    <cellStyle name="20 % - Akzent5 3 2 2 3 3 4" xfId="3141" xr:uid="{00000000-0005-0000-0000-0000D5090000}"/>
    <cellStyle name="20 % - Akzent5 3 2 2 3 3 4 2" xfId="3142" xr:uid="{00000000-0005-0000-0000-0000D6090000}"/>
    <cellStyle name="20 % - Akzent5 3 2 2 3 3 5" xfId="3143" xr:uid="{00000000-0005-0000-0000-0000D7090000}"/>
    <cellStyle name="20 % - Akzent5 3 2 2 3 3 6" xfId="3144" xr:uid="{00000000-0005-0000-0000-0000D8090000}"/>
    <cellStyle name="20 % - Akzent5 3 2 2 3 4" xfId="3145" xr:uid="{00000000-0005-0000-0000-0000D9090000}"/>
    <cellStyle name="20 % - Akzent5 3 2 2 3 4 2" xfId="3146" xr:uid="{00000000-0005-0000-0000-0000DA090000}"/>
    <cellStyle name="20 % - Akzent5 3 2 2 3 4 3" xfId="3147" xr:uid="{00000000-0005-0000-0000-0000DB090000}"/>
    <cellStyle name="20 % - Akzent5 3 2 2 3 5" xfId="3148" xr:uid="{00000000-0005-0000-0000-0000DC090000}"/>
    <cellStyle name="20 % - Akzent5 3 2 2 3 5 2" xfId="3149" xr:uid="{00000000-0005-0000-0000-0000DD090000}"/>
    <cellStyle name="20 % - Akzent5 3 2 2 3 5 3" xfId="3150" xr:uid="{00000000-0005-0000-0000-0000DE090000}"/>
    <cellStyle name="20 % - Akzent5 3 2 2 3 6" xfId="3151" xr:uid="{00000000-0005-0000-0000-0000DF090000}"/>
    <cellStyle name="20 % - Akzent5 3 2 2 3 6 2" xfId="3152" xr:uid="{00000000-0005-0000-0000-0000E0090000}"/>
    <cellStyle name="20 % - Akzent5 3 2 2 3 7" xfId="3153" xr:uid="{00000000-0005-0000-0000-0000E1090000}"/>
    <cellStyle name="20 % - Akzent5 3 2 2 3 8" xfId="3154" xr:uid="{00000000-0005-0000-0000-0000E2090000}"/>
    <cellStyle name="20 % - Akzent5 3 2 2 4" xfId="3155" xr:uid="{00000000-0005-0000-0000-0000E3090000}"/>
    <cellStyle name="20 % - Akzent5 3 2 2 4 2" xfId="3156" xr:uid="{00000000-0005-0000-0000-0000E4090000}"/>
    <cellStyle name="20 % - Akzent5 3 2 2 4 2 2" xfId="3157" xr:uid="{00000000-0005-0000-0000-0000E5090000}"/>
    <cellStyle name="20 % - Akzent5 3 2 2 4 2 2 2" xfId="3158" xr:uid="{00000000-0005-0000-0000-0000E6090000}"/>
    <cellStyle name="20 % - Akzent5 3 2 2 4 2 2 3" xfId="3159" xr:uid="{00000000-0005-0000-0000-0000E7090000}"/>
    <cellStyle name="20 % - Akzent5 3 2 2 4 2 3" xfId="3160" xr:uid="{00000000-0005-0000-0000-0000E8090000}"/>
    <cellStyle name="20 % - Akzent5 3 2 2 4 2 3 2" xfId="3161" xr:uid="{00000000-0005-0000-0000-0000E9090000}"/>
    <cellStyle name="20 % - Akzent5 3 2 2 4 2 3 3" xfId="3162" xr:uid="{00000000-0005-0000-0000-0000EA090000}"/>
    <cellStyle name="20 % - Akzent5 3 2 2 4 2 4" xfId="3163" xr:uid="{00000000-0005-0000-0000-0000EB090000}"/>
    <cellStyle name="20 % - Akzent5 3 2 2 4 2 4 2" xfId="3164" xr:uid="{00000000-0005-0000-0000-0000EC090000}"/>
    <cellStyle name="20 % - Akzent5 3 2 2 4 2 5" xfId="3165" xr:uid="{00000000-0005-0000-0000-0000ED090000}"/>
    <cellStyle name="20 % - Akzent5 3 2 2 4 2 6" xfId="3166" xr:uid="{00000000-0005-0000-0000-0000EE090000}"/>
    <cellStyle name="20 % - Akzent5 3 2 2 4 3" xfId="3167" xr:uid="{00000000-0005-0000-0000-0000EF090000}"/>
    <cellStyle name="20 % - Akzent5 3 2 2 4 3 2" xfId="3168" xr:uid="{00000000-0005-0000-0000-0000F0090000}"/>
    <cellStyle name="20 % - Akzent5 3 2 2 4 3 3" xfId="3169" xr:uid="{00000000-0005-0000-0000-0000F1090000}"/>
    <cellStyle name="20 % - Akzent5 3 2 2 4 4" xfId="3170" xr:uid="{00000000-0005-0000-0000-0000F2090000}"/>
    <cellStyle name="20 % - Akzent5 3 2 2 4 4 2" xfId="3171" xr:uid="{00000000-0005-0000-0000-0000F3090000}"/>
    <cellStyle name="20 % - Akzent5 3 2 2 4 4 3" xfId="3172" xr:uid="{00000000-0005-0000-0000-0000F4090000}"/>
    <cellStyle name="20 % - Akzent5 3 2 2 4 5" xfId="3173" xr:uid="{00000000-0005-0000-0000-0000F5090000}"/>
    <cellStyle name="20 % - Akzent5 3 2 2 4 5 2" xfId="3174" xr:uid="{00000000-0005-0000-0000-0000F6090000}"/>
    <cellStyle name="20 % - Akzent5 3 2 2 4 6" xfId="3175" xr:uid="{00000000-0005-0000-0000-0000F7090000}"/>
    <cellStyle name="20 % - Akzent5 3 2 2 4 7" xfId="3176" xr:uid="{00000000-0005-0000-0000-0000F8090000}"/>
    <cellStyle name="20 % - Akzent5 3 2 2 5" xfId="3177" xr:uid="{00000000-0005-0000-0000-0000F9090000}"/>
    <cellStyle name="20 % - Akzent5 3 2 2 5 2" xfId="3178" xr:uid="{00000000-0005-0000-0000-0000FA090000}"/>
    <cellStyle name="20 % - Akzent5 3 2 2 5 2 2" xfId="3179" xr:uid="{00000000-0005-0000-0000-0000FB090000}"/>
    <cellStyle name="20 % - Akzent5 3 2 2 5 2 3" xfId="3180" xr:uid="{00000000-0005-0000-0000-0000FC090000}"/>
    <cellStyle name="20 % - Akzent5 3 2 2 5 3" xfId="3181" xr:uid="{00000000-0005-0000-0000-0000FD090000}"/>
    <cellStyle name="20 % - Akzent5 3 2 2 5 3 2" xfId="3182" xr:uid="{00000000-0005-0000-0000-0000FE090000}"/>
    <cellStyle name="20 % - Akzent5 3 2 2 5 3 3" xfId="3183" xr:uid="{00000000-0005-0000-0000-0000FF090000}"/>
    <cellStyle name="20 % - Akzent5 3 2 2 5 4" xfId="3184" xr:uid="{00000000-0005-0000-0000-0000000A0000}"/>
    <cellStyle name="20 % - Akzent5 3 2 2 5 4 2" xfId="3185" xr:uid="{00000000-0005-0000-0000-0000010A0000}"/>
    <cellStyle name="20 % - Akzent5 3 2 2 5 5" xfId="3186" xr:uid="{00000000-0005-0000-0000-0000020A0000}"/>
    <cellStyle name="20 % - Akzent5 3 2 2 5 6" xfId="3187" xr:uid="{00000000-0005-0000-0000-0000030A0000}"/>
    <cellStyle name="20 % - Akzent5 3 2 2 6" xfId="3188" xr:uid="{00000000-0005-0000-0000-0000040A0000}"/>
    <cellStyle name="20 % - Akzent5 3 2 2 6 2" xfId="3189" xr:uid="{00000000-0005-0000-0000-0000050A0000}"/>
    <cellStyle name="20 % - Akzent5 3 2 2 6 3" xfId="3190" xr:uid="{00000000-0005-0000-0000-0000060A0000}"/>
    <cellStyle name="20 % - Akzent5 3 2 2 7" xfId="3191" xr:uid="{00000000-0005-0000-0000-0000070A0000}"/>
    <cellStyle name="20 % - Akzent5 3 2 2 7 2" xfId="3192" xr:uid="{00000000-0005-0000-0000-0000080A0000}"/>
    <cellStyle name="20 % - Akzent5 3 2 2 7 3" xfId="3193" xr:uid="{00000000-0005-0000-0000-0000090A0000}"/>
    <cellStyle name="20 % - Akzent5 3 2 2 8" xfId="3194" xr:uid="{00000000-0005-0000-0000-00000A0A0000}"/>
    <cellStyle name="20 % - Akzent5 3 2 2 8 2" xfId="3195" xr:uid="{00000000-0005-0000-0000-00000B0A0000}"/>
    <cellStyle name="20 % - Akzent5 3 2 2 9" xfId="3196" xr:uid="{00000000-0005-0000-0000-00000C0A0000}"/>
    <cellStyle name="20 % - Akzent5 3 2 3" xfId="3197" xr:uid="{00000000-0005-0000-0000-00000D0A0000}"/>
    <cellStyle name="20 % - Akzent5 3 2 3 2" xfId="3198" xr:uid="{00000000-0005-0000-0000-00000E0A0000}"/>
    <cellStyle name="20 % - Akzent5 3 2 3 2 2" xfId="3199" xr:uid="{00000000-0005-0000-0000-00000F0A0000}"/>
    <cellStyle name="20 % - Akzent5 3 2 3 2 2 2" xfId="3200" xr:uid="{00000000-0005-0000-0000-0000100A0000}"/>
    <cellStyle name="20 % - Akzent5 3 2 3 2 2 2 2" xfId="3201" xr:uid="{00000000-0005-0000-0000-0000110A0000}"/>
    <cellStyle name="20 % - Akzent5 3 2 3 2 2 2 3" xfId="3202" xr:uid="{00000000-0005-0000-0000-0000120A0000}"/>
    <cellStyle name="20 % - Akzent5 3 2 3 2 2 3" xfId="3203" xr:uid="{00000000-0005-0000-0000-0000130A0000}"/>
    <cellStyle name="20 % - Akzent5 3 2 3 2 2 3 2" xfId="3204" xr:uid="{00000000-0005-0000-0000-0000140A0000}"/>
    <cellStyle name="20 % - Akzent5 3 2 3 2 2 3 3" xfId="3205" xr:uid="{00000000-0005-0000-0000-0000150A0000}"/>
    <cellStyle name="20 % - Akzent5 3 2 3 2 2 4" xfId="3206" xr:uid="{00000000-0005-0000-0000-0000160A0000}"/>
    <cellStyle name="20 % - Akzent5 3 2 3 2 2 4 2" xfId="3207" xr:uid="{00000000-0005-0000-0000-0000170A0000}"/>
    <cellStyle name="20 % - Akzent5 3 2 3 2 2 5" xfId="3208" xr:uid="{00000000-0005-0000-0000-0000180A0000}"/>
    <cellStyle name="20 % - Akzent5 3 2 3 2 2 6" xfId="3209" xr:uid="{00000000-0005-0000-0000-0000190A0000}"/>
    <cellStyle name="20 % - Akzent5 3 2 3 2 3" xfId="3210" xr:uid="{00000000-0005-0000-0000-00001A0A0000}"/>
    <cellStyle name="20 % - Akzent5 3 2 3 2 3 2" xfId="3211" xr:uid="{00000000-0005-0000-0000-00001B0A0000}"/>
    <cellStyle name="20 % - Akzent5 3 2 3 2 3 3" xfId="3212" xr:uid="{00000000-0005-0000-0000-00001C0A0000}"/>
    <cellStyle name="20 % - Akzent5 3 2 3 2 4" xfId="3213" xr:uid="{00000000-0005-0000-0000-00001D0A0000}"/>
    <cellStyle name="20 % - Akzent5 3 2 3 2 4 2" xfId="3214" xr:uid="{00000000-0005-0000-0000-00001E0A0000}"/>
    <cellStyle name="20 % - Akzent5 3 2 3 2 4 3" xfId="3215" xr:uid="{00000000-0005-0000-0000-00001F0A0000}"/>
    <cellStyle name="20 % - Akzent5 3 2 3 2 5" xfId="3216" xr:uid="{00000000-0005-0000-0000-0000200A0000}"/>
    <cellStyle name="20 % - Akzent5 3 2 3 2 5 2" xfId="3217" xr:uid="{00000000-0005-0000-0000-0000210A0000}"/>
    <cellStyle name="20 % - Akzent5 3 2 3 2 6" xfId="3218" xr:uid="{00000000-0005-0000-0000-0000220A0000}"/>
    <cellStyle name="20 % - Akzent5 3 2 3 2 7" xfId="3219" xr:uid="{00000000-0005-0000-0000-0000230A0000}"/>
    <cellStyle name="20 % - Akzent5 3 2 3 3" xfId="3220" xr:uid="{00000000-0005-0000-0000-0000240A0000}"/>
    <cellStyle name="20 % - Akzent5 3 2 3 3 2" xfId="3221" xr:uid="{00000000-0005-0000-0000-0000250A0000}"/>
    <cellStyle name="20 % - Akzent5 3 2 3 3 2 2" xfId="3222" xr:uid="{00000000-0005-0000-0000-0000260A0000}"/>
    <cellStyle name="20 % - Akzent5 3 2 3 3 2 3" xfId="3223" xr:uid="{00000000-0005-0000-0000-0000270A0000}"/>
    <cellStyle name="20 % - Akzent5 3 2 3 3 3" xfId="3224" xr:uid="{00000000-0005-0000-0000-0000280A0000}"/>
    <cellStyle name="20 % - Akzent5 3 2 3 3 3 2" xfId="3225" xr:uid="{00000000-0005-0000-0000-0000290A0000}"/>
    <cellStyle name="20 % - Akzent5 3 2 3 3 3 3" xfId="3226" xr:uid="{00000000-0005-0000-0000-00002A0A0000}"/>
    <cellStyle name="20 % - Akzent5 3 2 3 3 4" xfId="3227" xr:uid="{00000000-0005-0000-0000-00002B0A0000}"/>
    <cellStyle name="20 % - Akzent5 3 2 3 3 4 2" xfId="3228" xr:uid="{00000000-0005-0000-0000-00002C0A0000}"/>
    <cellStyle name="20 % - Akzent5 3 2 3 3 5" xfId="3229" xr:uid="{00000000-0005-0000-0000-00002D0A0000}"/>
    <cellStyle name="20 % - Akzent5 3 2 3 3 6" xfId="3230" xr:uid="{00000000-0005-0000-0000-00002E0A0000}"/>
    <cellStyle name="20 % - Akzent5 3 2 3 4" xfId="3231" xr:uid="{00000000-0005-0000-0000-00002F0A0000}"/>
    <cellStyle name="20 % - Akzent5 3 2 3 4 2" xfId="3232" xr:uid="{00000000-0005-0000-0000-0000300A0000}"/>
    <cellStyle name="20 % - Akzent5 3 2 3 4 3" xfId="3233" xr:uid="{00000000-0005-0000-0000-0000310A0000}"/>
    <cellStyle name="20 % - Akzent5 3 2 3 5" xfId="3234" xr:uid="{00000000-0005-0000-0000-0000320A0000}"/>
    <cellStyle name="20 % - Akzent5 3 2 3 5 2" xfId="3235" xr:uid="{00000000-0005-0000-0000-0000330A0000}"/>
    <cellStyle name="20 % - Akzent5 3 2 3 5 3" xfId="3236" xr:uid="{00000000-0005-0000-0000-0000340A0000}"/>
    <cellStyle name="20 % - Akzent5 3 2 3 6" xfId="3237" xr:uid="{00000000-0005-0000-0000-0000350A0000}"/>
    <cellStyle name="20 % - Akzent5 3 2 3 6 2" xfId="3238" xr:uid="{00000000-0005-0000-0000-0000360A0000}"/>
    <cellStyle name="20 % - Akzent5 3 2 3 7" xfId="3239" xr:uid="{00000000-0005-0000-0000-0000370A0000}"/>
    <cellStyle name="20 % - Akzent5 3 2 3 8" xfId="3240" xr:uid="{00000000-0005-0000-0000-0000380A0000}"/>
    <cellStyle name="20 % - Akzent5 3 2 4" xfId="3241" xr:uid="{00000000-0005-0000-0000-0000390A0000}"/>
    <cellStyle name="20 % - Akzent5 3 2 4 2" xfId="3242" xr:uid="{00000000-0005-0000-0000-00003A0A0000}"/>
    <cellStyle name="20 % - Akzent5 3 2 4 2 2" xfId="3243" xr:uid="{00000000-0005-0000-0000-00003B0A0000}"/>
    <cellStyle name="20 % - Akzent5 3 2 4 2 2 2" xfId="3244" xr:uid="{00000000-0005-0000-0000-00003C0A0000}"/>
    <cellStyle name="20 % - Akzent5 3 2 4 2 2 2 2" xfId="3245" xr:uid="{00000000-0005-0000-0000-00003D0A0000}"/>
    <cellStyle name="20 % - Akzent5 3 2 4 2 2 2 3" xfId="3246" xr:uid="{00000000-0005-0000-0000-00003E0A0000}"/>
    <cellStyle name="20 % - Akzent5 3 2 4 2 2 3" xfId="3247" xr:uid="{00000000-0005-0000-0000-00003F0A0000}"/>
    <cellStyle name="20 % - Akzent5 3 2 4 2 2 3 2" xfId="3248" xr:uid="{00000000-0005-0000-0000-0000400A0000}"/>
    <cellStyle name="20 % - Akzent5 3 2 4 2 2 3 3" xfId="3249" xr:uid="{00000000-0005-0000-0000-0000410A0000}"/>
    <cellStyle name="20 % - Akzent5 3 2 4 2 2 4" xfId="3250" xr:uid="{00000000-0005-0000-0000-0000420A0000}"/>
    <cellStyle name="20 % - Akzent5 3 2 4 2 2 4 2" xfId="3251" xr:uid="{00000000-0005-0000-0000-0000430A0000}"/>
    <cellStyle name="20 % - Akzent5 3 2 4 2 2 5" xfId="3252" xr:uid="{00000000-0005-0000-0000-0000440A0000}"/>
    <cellStyle name="20 % - Akzent5 3 2 4 2 2 6" xfId="3253" xr:uid="{00000000-0005-0000-0000-0000450A0000}"/>
    <cellStyle name="20 % - Akzent5 3 2 4 2 3" xfId="3254" xr:uid="{00000000-0005-0000-0000-0000460A0000}"/>
    <cellStyle name="20 % - Akzent5 3 2 4 2 3 2" xfId="3255" xr:uid="{00000000-0005-0000-0000-0000470A0000}"/>
    <cellStyle name="20 % - Akzent5 3 2 4 2 3 3" xfId="3256" xr:uid="{00000000-0005-0000-0000-0000480A0000}"/>
    <cellStyle name="20 % - Akzent5 3 2 4 2 4" xfId="3257" xr:uid="{00000000-0005-0000-0000-0000490A0000}"/>
    <cellStyle name="20 % - Akzent5 3 2 4 2 4 2" xfId="3258" xr:uid="{00000000-0005-0000-0000-00004A0A0000}"/>
    <cellStyle name="20 % - Akzent5 3 2 4 2 4 3" xfId="3259" xr:uid="{00000000-0005-0000-0000-00004B0A0000}"/>
    <cellStyle name="20 % - Akzent5 3 2 4 2 5" xfId="3260" xr:uid="{00000000-0005-0000-0000-00004C0A0000}"/>
    <cellStyle name="20 % - Akzent5 3 2 4 2 5 2" xfId="3261" xr:uid="{00000000-0005-0000-0000-00004D0A0000}"/>
    <cellStyle name="20 % - Akzent5 3 2 4 2 6" xfId="3262" xr:uid="{00000000-0005-0000-0000-00004E0A0000}"/>
    <cellStyle name="20 % - Akzent5 3 2 4 2 7" xfId="3263" xr:uid="{00000000-0005-0000-0000-00004F0A0000}"/>
    <cellStyle name="20 % - Akzent5 3 2 4 3" xfId="3264" xr:uid="{00000000-0005-0000-0000-0000500A0000}"/>
    <cellStyle name="20 % - Akzent5 3 2 4 3 2" xfId="3265" xr:uid="{00000000-0005-0000-0000-0000510A0000}"/>
    <cellStyle name="20 % - Akzent5 3 2 4 3 2 2" xfId="3266" xr:uid="{00000000-0005-0000-0000-0000520A0000}"/>
    <cellStyle name="20 % - Akzent5 3 2 4 3 2 3" xfId="3267" xr:uid="{00000000-0005-0000-0000-0000530A0000}"/>
    <cellStyle name="20 % - Akzent5 3 2 4 3 3" xfId="3268" xr:uid="{00000000-0005-0000-0000-0000540A0000}"/>
    <cellStyle name="20 % - Akzent5 3 2 4 3 3 2" xfId="3269" xr:uid="{00000000-0005-0000-0000-0000550A0000}"/>
    <cellStyle name="20 % - Akzent5 3 2 4 3 3 3" xfId="3270" xr:uid="{00000000-0005-0000-0000-0000560A0000}"/>
    <cellStyle name="20 % - Akzent5 3 2 4 3 4" xfId="3271" xr:uid="{00000000-0005-0000-0000-0000570A0000}"/>
    <cellStyle name="20 % - Akzent5 3 2 4 3 4 2" xfId="3272" xr:uid="{00000000-0005-0000-0000-0000580A0000}"/>
    <cellStyle name="20 % - Akzent5 3 2 4 3 5" xfId="3273" xr:uid="{00000000-0005-0000-0000-0000590A0000}"/>
    <cellStyle name="20 % - Akzent5 3 2 4 3 6" xfId="3274" xr:uid="{00000000-0005-0000-0000-00005A0A0000}"/>
    <cellStyle name="20 % - Akzent5 3 2 4 4" xfId="3275" xr:uid="{00000000-0005-0000-0000-00005B0A0000}"/>
    <cellStyle name="20 % - Akzent5 3 2 4 4 2" xfId="3276" xr:uid="{00000000-0005-0000-0000-00005C0A0000}"/>
    <cellStyle name="20 % - Akzent5 3 2 4 4 3" xfId="3277" xr:uid="{00000000-0005-0000-0000-00005D0A0000}"/>
    <cellStyle name="20 % - Akzent5 3 2 4 5" xfId="3278" xr:uid="{00000000-0005-0000-0000-00005E0A0000}"/>
    <cellStyle name="20 % - Akzent5 3 2 4 5 2" xfId="3279" xr:uid="{00000000-0005-0000-0000-00005F0A0000}"/>
    <cellStyle name="20 % - Akzent5 3 2 4 5 3" xfId="3280" xr:uid="{00000000-0005-0000-0000-0000600A0000}"/>
    <cellStyle name="20 % - Akzent5 3 2 4 6" xfId="3281" xr:uid="{00000000-0005-0000-0000-0000610A0000}"/>
    <cellStyle name="20 % - Akzent5 3 2 4 6 2" xfId="3282" xr:uid="{00000000-0005-0000-0000-0000620A0000}"/>
    <cellStyle name="20 % - Akzent5 3 2 4 7" xfId="3283" xr:uid="{00000000-0005-0000-0000-0000630A0000}"/>
    <cellStyle name="20 % - Akzent5 3 2 4 8" xfId="3284" xr:uid="{00000000-0005-0000-0000-0000640A0000}"/>
    <cellStyle name="20 % - Akzent5 3 2 5" xfId="3285" xr:uid="{00000000-0005-0000-0000-0000650A0000}"/>
    <cellStyle name="20 % - Akzent5 3 2 5 2" xfId="3286" xr:uid="{00000000-0005-0000-0000-0000660A0000}"/>
    <cellStyle name="20 % - Akzent5 3 2 5 2 2" xfId="3287" xr:uid="{00000000-0005-0000-0000-0000670A0000}"/>
    <cellStyle name="20 % - Akzent5 3 2 5 2 2 2" xfId="3288" xr:uid="{00000000-0005-0000-0000-0000680A0000}"/>
    <cellStyle name="20 % - Akzent5 3 2 5 2 2 3" xfId="3289" xr:uid="{00000000-0005-0000-0000-0000690A0000}"/>
    <cellStyle name="20 % - Akzent5 3 2 5 2 3" xfId="3290" xr:uid="{00000000-0005-0000-0000-00006A0A0000}"/>
    <cellStyle name="20 % - Akzent5 3 2 5 2 3 2" xfId="3291" xr:uid="{00000000-0005-0000-0000-00006B0A0000}"/>
    <cellStyle name="20 % - Akzent5 3 2 5 2 3 3" xfId="3292" xr:uid="{00000000-0005-0000-0000-00006C0A0000}"/>
    <cellStyle name="20 % - Akzent5 3 2 5 2 4" xfId="3293" xr:uid="{00000000-0005-0000-0000-00006D0A0000}"/>
    <cellStyle name="20 % - Akzent5 3 2 5 2 4 2" xfId="3294" xr:uid="{00000000-0005-0000-0000-00006E0A0000}"/>
    <cellStyle name="20 % - Akzent5 3 2 5 2 5" xfId="3295" xr:uid="{00000000-0005-0000-0000-00006F0A0000}"/>
    <cellStyle name="20 % - Akzent5 3 2 5 2 6" xfId="3296" xr:uid="{00000000-0005-0000-0000-0000700A0000}"/>
    <cellStyle name="20 % - Akzent5 3 2 5 3" xfId="3297" xr:uid="{00000000-0005-0000-0000-0000710A0000}"/>
    <cellStyle name="20 % - Akzent5 3 2 5 3 2" xfId="3298" xr:uid="{00000000-0005-0000-0000-0000720A0000}"/>
    <cellStyle name="20 % - Akzent5 3 2 5 3 3" xfId="3299" xr:uid="{00000000-0005-0000-0000-0000730A0000}"/>
    <cellStyle name="20 % - Akzent5 3 2 5 4" xfId="3300" xr:uid="{00000000-0005-0000-0000-0000740A0000}"/>
    <cellStyle name="20 % - Akzent5 3 2 5 4 2" xfId="3301" xr:uid="{00000000-0005-0000-0000-0000750A0000}"/>
    <cellStyle name="20 % - Akzent5 3 2 5 4 3" xfId="3302" xr:uid="{00000000-0005-0000-0000-0000760A0000}"/>
    <cellStyle name="20 % - Akzent5 3 2 5 5" xfId="3303" xr:uid="{00000000-0005-0000-0000-0000770A0000}"/>
    <cellStyle name="20 % - Akzent5 3 2 5 5 2" xfId="3304" xr:uid="{00000000-0005-0000-0000-0000780A0000}"/>
    <cellStyle name="20 % - Akzent5 3 2 5 6" xfId="3305" xr:uid="{00000000-0005-0000-0000-0000790A0000}"/>
    <cellStyle name="20 % - Akzent5 3 2 5 7" xfId="3306" xr:uid="{00000000-0005-0000-0000-00007A0A0000}"/>
    <cellStyle name="20 % - Akzent5 3 2 6" xfId="3307" xr:uid="{00000000-0005-0000-0000-00007B0A0000}"/>
    <cellStyle name="20 % - Akzent5 3 2 6 2" xfId="3308" xr:uid="{00000000-0005-0000-0000-00007C0A0000}"/>
    <cellStyle name="20 % - Akzent5 3 2 6 2 2" xfId="3309" xr:uid="{00000000-0005-0000-0000-00007D0A0000}"/>
    <cellStyle name="20 % - Akzent5 3 2 6 2 3" xfId="3310" xr:uid="{00000000-0005-0000-0000-00007E0A0000}"/>
    <cellStyle name="20 % - Akzent5 3 2 6 3" xfId="3311" xr:uid="{00000000-0005-0000-0000-00007F0A0000}"/>
    <cellStyle name="20 % - Akzent5 3 2 6 3 2" xfId="3312" xr:uid="{00000000-0005-0000-0000-0000800A0000}"/>
    <cellStyle name="20 % - Akzent5 3 2 6 3 3" xfId="3313" xr:uid="{00000000-0005-0000-0000-0000810A0000}"/>
    <cellStyle name="20 % - Akzent5 3 2 6 4" xfId="3314" xr:uid="{00000000-0005-0000-0000-0000820A0000}"/>
    <cellStyle name="20 % - Akzent5 3 2 6 4 2" xfId="3315" xr:uid="{00000000-0005-0000-0000-0000830A0000}"/>
    <cellStyle name="20 % - Akzent5 3 2 6 5" xfId="3316" xr:uid="{00000000-0005-0000-0000-0000840A0000}"/>
    <cellStyle name="20 % - Akzent5 3 2 6 6" xfId="3317" xr:uid="{00000000-0005-0000-0000-0000850A0000}"/>
    <cellStyle name="20 % - Akzent5 3 2 7" xfId="3318" xr:uid="{00000000-0005-0000-0000-0000860A0000}"/>
    <cellStyle name="20 % - Akzent5 3 2 7 2" xfId="3319" xr:uid="{00000000-0005-0000-0000-0000870A0000}"/>
    <cellStyle name="20 % - Akzent5 3 2 7 3" xfId="3320" xr:uid="{00000000-0005-0000-0000-0000880A0000}"/>
    <cellStyle name="20 % - Akzent5 3 2 8" xfId="3321" xr:uid="{00000000-0005-0000-0000-0000890A0000}"/>
    <cellStyle name="20 % - Akzent5 3 2 8 2" xfId="3322" xr:uid="{00000000-0005-0000-0000-00008A0A0000}"/>
    <cellStyle name="20 % - Akzent5 3 2 8 3" xfId="3323" xr:uid="{00000000-0005-0000-0000-00008B0A0000}"/>
    <cellStyle name="20 % - Akzent5 3 2 9" xfId="3324" xr:uid="{00000000-0005-0000-0000-00008C0A0000}"/>
    <cellStyle name="20 % - Akzent5 3 2 9 2" xfId="3325" xr:uid="{00000000-0005-0000-0000-00008D0A0000}"/>
    <cellStyle name="20 % - Akzent5 4" xfId="3326" xr:uid="{00000000-0005-0000-0000-00008E0A0000}"/>
    <cellStyle name="20 % - Akzent5 4 2" xfId="3327" xr:uid="{00000000-0005-0000-0000-00008F0A0000}"/>
    <cellStyle name="20 % - Akzent5 5" xfId="3328" xr:uid="{00000000-0005-0000-0000-0000900A0000}"/>
    <cellStyle name="20 % - Akzent5 5 2" xfId="3329" xr:uid="{00000000-0005-0000-0000-0000910A0000}"/>
    <cellStyle name="20 % - Akzent5 5 2 10" xfId="3330" xr:uid="{00000000-0005-0000-0000-0000920A0000}"/>
    <cellStyle name="20 % - Akzent5 5 2 11" xfId="3331" xr:uid="{00000000-0005-0000-0000-0000930A0000}"/>
    <cellStyle name="20 % - Akzent5 5 2 2" xfId="3332" xr:uid="{00000000-0005-0000-0000-0000940A0000}"/>
    <cellStyle name="20 % - Akzent5 5 2 2 10" xfId="3333" xr:uid="{00000000-0005-0000-0000-0000950A0000}"/>
    <cellStyle name="20 % - Akzent5 5 2 2 2" xfId="3334" xr:uid="{00000000-0005-0000-0000-0000960A0000}"/>
    <cellStyle name="20 % - Akzent5 5 2 2 2 2" xfId="3335" xr:uid="{00000000-0005-0000-0000-0000970A0000}"/>
    <cellStyle name="20 % - Akzent5 5 2 2 2 2 2" xfId="3336" xr:uid="{00000000-0005-0000-0000-0000980A0000}"/>
    <cellStyle name="20 % - Akzent5 5 2 2 2 2 2 2" xfId="3337" xr:uid="{00000000-0005-0000-0000-0000990A0000}"/>
    <cellStyle name="20 % - Akzent5 5 2 2 2 2 2 2 2" xfId="3338" xr:uid="{00000000-0005-0000-0000-00009A0A0000}"/>
    <cellStyle name="20 % - Akzent5 5 2 2 2 2 2 2 3" xfId="3339" xr:uid="{00000000-0005-0000-0000-00009B0A0000}"/>
    <cellStyle name="20 % - Akzent5 5 2 2 2 2 2 3" xfId="3340" xr:uid="{00000000-0005-0000-0000-00009C0A0000}"/>
    <cellStyle name="20 % - Akzent5 5 2 2 2 2 2 3 2" xfId="3341" xr:uid="{00000000-0005-0000-0000-00009D0A0000}"/>
    <cellStyle name="20 % - Akzent5 5 2 2 2 2 2 3 3" xfId="3342" xr:uid="{00000000-0005-0000-0000-00009E0A0000}"/>
    <cellStyle name="20 % - Akzent5 5 2 2 2 2 2 4" xfId="3343" xr:uid="{00000000-0005-0000-0000-00009F0A0000}"/>
    <cellStyle name="20 % - Akzent5 5 2 2 2 2 2 4 2" xfId="3344" xr:uid="{00000000-0005-0000-0000-0000A00A0000}"/>
    <cellStyle name="20 % - Akzent5 5 2 2 2 2 2 5" xfId="3345" xr:uid="{00000000-0005-0000-0000-0000A10A0000}"/>
    <cellStyle name="20 % - Akzent5 5 2 2 2 2 2 6" xfId="3346" xr:uid="{00000000-0005-0000-0000-0000A20A0000}"/>
    <cellStyle name="20 % - Akzent5 5 2 2 2 2 3" xfId="3347" xr:uid="{00000000-0005-0000-0000-0000A30A0000}"/>
    <cellStyle name="20 % - Akzent5 5 2 2 2 2 3 2" xfId="3348" xr:uid="{00000000-0005-0000-0000-0000A40A0000}"/>
    <cellStyle name="20 % - Akzent5 5 2 2 2 2 3 3" xfId="3349" xr:uid="{00000000-0005-0000-0000-0000A50A0000}"/>
    <cellStyle name="20 % - Akzent5 5 2 2 2 2 4" xfId="3350" xr:uid="{00000000-0005-0000-0000-0000A60A0000}"/>
    <cellStyle name="20 % - Akzent5 5 2 2 2 2 4 2" xfId="3351" xr:uid="{00000000-0005-0000-0000-0000A70A0000}"/>
    <cellStyle name="20 % - Akzent5 5 2 2 2 2 4 3" xfId="3352" xr:uid="{00000000-0005-0000-0000-0000A80A0000}"/>
    <cellStyle name="20 % - Akzent5 5 2 2 2 2 5" xfId="3353" xr:uid="{00000000-0005-0000-0000-0000A90A0000}"/>
    <cellStyle name="20 % - Akzent5 5 2 2 2 2 5 2" xfId="3354" xr:uid="{00000000-0005-0000-0000-0000AA0A0000}"/>
    <cellStyle name="20 % - Akzent5 5 2 2 2 2 6" xfId="3355" xr:uid="{00000000-0005-0000-0000-0000AB0A0000}"/>
    <cellStyle name="20 % - Akzent5 5 2 2 2 2 7" xfId="3356" xr:uid="{00000000-0005-0000-0000-0000AC0A0000}"/>
    <cellStyle name="20 % - Akzent5 5 2 2 2 3" xfId="3357" xr:uid="{00000000-0005-0000-0000-0000AD0A0000}"/>
    <cellStyle name="20 % - Akzent5 5 2 2 2 3 2" xfId="3358" xr:uid="{00000000-0005-0000-0000-0000AE0A0000}"/>
    <cellStyle name="20 % - Akzent5 5 2 2 2 3 2 2" xfId="3359" xr:uid="{00000000-0005-0000-0000-0000AF0A0000}"/>
    <cellStyle name="20 % - Akzent5 5 2 2 2 3 2 3" xfId="3360" xr:uid="{00000000-0005-0000-0000-0000B00A0000}"/>
    <cellStyle name="20 % - Akzent5 5 2 2 2 3 3" xfId="3361" xr:uid="{00000000-0005-0000-0000-0000B10A0000}"/>
    <cellStyle name="20 % - Akzent5 5 2 2 2 3 3 2" xfId="3362" xr:uid="{00000000-0005-0000-0000-0000B20A0000}"/>
    <cellStyle name="20 % - Akzent5 5 2 2 2 3 3 3" xfId="3363" xr:uid="{00000000-0005-0000-0000-0000B30A0000}"/>
    <cellStyle name="20 % - Akzent5 5 2 2 2 3 4" xfId="3364" xr:uid="{00000000-0005-0000-0000-0000B40A0000}"/>
    <cellStyle name="20 % - Akzent5 5 2 2 2 3 4 2" xfId="3365" xr:uid="{00000000-0005-0000-0000-0000B50A0000}"/>
    <cellStyle name="20 % - Akzent5 5 2 2 2 3 5" xfId="3366" xr:uid="{00000000-0005-0000-0000-0000B60A0000}"/>
    <cellStyle name="20 % - Akzent5 5 2 2 2 3 6" xfId="3367" xr:uid="{00000000-0005-0000-0000-0000B70A0000}"/>
    <cellStyle name="20 % - Akzent5 5 2 2 2 4" xfId="3368" xr:uid="{00000000-0005-0000-0000-0000B80A0000}"/>
    <cellStyle name="20 % - Akzent5 5 2 2 2 4 2" xfId="3369" xr:uid="{00000000-0005-0000-0000-0000B90A0000}"/>
    <cellStyle name="20 % - Akzent5 5 2 2 2 4 3" xfId="3370" xr:uid="{00000000-0005-0000-0000-0000BA0A0000}"/>
    <cellStyle name="20 % - Akzent5 5 2 2 2 5" xfId="3371" xr:uid="{00000000-0005-0000-0000-0000BB0A0000}"/>
    <cellStyle name="20 % - Akzent5 5 2 2 2 5 2" xfId="3372" xr:uid="{00000000-0005-0000-0000-0000BC0A0000}"/>
    <cellStyle name="20 % - Akzent5 5 2 2 2 5 3" xfId="3373" xr:uid="{00000000-0005-0000-0000-0000BD0A0000}"/>
    <cellStyle name="20 % - Akzent5 5 2 2 2 6" xfId="3374" xr:uid="{00000000-0005-0000-0000-0000BE0A0000}"/>
    <cellStyle name="20 % - Akzent5 5 2 2 2 6 2" xfId="3375" xr:uid="{00000000-0005-0000-0000-0000BF0A0000}"/>
    <cellStyle name="20 % - Akzent5 5 2 2 2 7" xfId="3376" xr:uid="{00000000-0005-0000-0000-0000C00A0000}"/>
    <cellStyle name="20 % - Akzent5 5 2 2 2 8" xfId="3377" xr:uid="{00000000-0005-0000-0000-0000C10A0000}"/>
    <cellStyle name="20 % - Akzent5 5 2 2 3" xfId="3378" xr:uid="{00000000-0005-0000-0000-0000C20A0000}"/>
    <cellStyle name="20 % - Akzent5 5 2 2 3 2" xfId="3379" xr:uid="{00000000-0005-0000-0000-0000C30A0000}"/>
    <cellStyle name="20 % - Akzent5 5 2 2 3 2 2" xfId="3380" xr:uid="{00000000-0005-0000-0000-0000C40A0000}"/>
    <cellStyle name="20 % - Akzent5 5 2 2 3 2 2 2" xfId="3381" xr:uid="{00000000-0005-0000-0000-0000C50A0000}"/>
    <cellStyle name="20 % - Akzent5 5 2 2 3 2 2 2 2" xfId="3382" xr:uid="{00000000-0005-0000-0000-0000C60A0000}"/>
    <cellStyle name="20 % - Akzent5 5 2 2 3 2 2 2 3" xfId="3383" xr:uid="{00000000-0005-0000-0000-0000C70A0000}"/>
    <cellStyle name="20 % - Akzent5 5 2 2 3 2 2 3" xfId="3384" xr:uid="{00000000-0005-0000-0000-0000C80A0000}"/>
    <cellStyle name="20 % - Akzent5 5 2 2 3 2 2 3 2" xfId="3385" xr:uid="{00000000-0005-0000-0000-0000C90A0000}"/>
    <cellStyle name="20 % - Akzent5 5 2 2 3 2 2 3 3" xfId="3386" xr:uid="{00000000-0005-0000-0000-0000CA0A0000}"/>
    <cellStyle name="20 % - Akzent5 5 2 2 3 2 2 4" xfId="3387" xr:uid="{00000000-0005-0000-0000-0000CB0A0000}"/>
    <cellStyle name="20 % - Akzent5 5 2 2 3 2 2 4 2" xfId="3388" xr:uid="{00000000-0005-0000-0000-0000CC0A0000}"/>
    <cellStyle name="20 % - Akzent5 5 2 2 3 2 2 5" xfId="3389" xr:uid="{00000000-0005-0000-0000-0000CD0A0000}"/>
    <cellStyle name="20 % - Akzent5 5 2 2 3 2 2 6" xfId="3390" xr:uid="{00000000-0005-0000-0000-0000CE0A0000}"/>
    <cellStyle name="20 % - Akzent5 5 2 2 3 2 3" xfId="3391" xr:uid="{00000000-0005-0000-0000-0000CF0A0000}"/>
    <cellStyle name="20 % - Akzent5 5 2 2 3 2 3 2" xfId="3392" xr:uid="{00000000-0005-0000-0000-0000D00A0000}"/>
    <cellStyle name="20 % - Akzent5 5 2 2 3 2 3 3" xfId="3393" xr:uid="{00000000-0005-0000-0000-0000D10A0000}"/>
    <cellStyle name="20 % - Akzent5 5 2 2 3 2 4" xfId="3394" xr:uid="{00000000-0005-0000-0000-0000D20A0000}"/>
    <cellStyle name="20 % - Akzent5 5 2 2 3 2 4 2" xfId="3395" xr:uid="{00000000-0005-0000-0000-0000D30A0000}"/>
    <cellStyle name="20 % - Akzent5 5 2 2 3 2 4 3" xfId="3396" xr:uid="{00000000-0005-0000-0000-0000D40A0000}"/>
    <cellStyle name="20 % - Akzent5 5 2 2 3 2 5" xfId="3397" xr:uid="{00000000-0005-0000-0000-0000D50A0000}"/>
    <cellStyle name="20 % - Akzent5 5 2 2 3 2 5 2" xfId="3398" xr:uid="{00000000-0005-0000-0000-0000D60A0000}"/>
    <cellStyle name="20 % - Akzent5 5 2 2 3 2 6" xfId="3399" xr:uid="{00000000-0005-0000-0000-0000D70A0000}"/>
    <cellStyle name="20 % - Akzent5 5 2 2 3 2 7" xfId="3400" xr:uid="{00000000-0005-0000-0000-0000D80A0000}"/>
    <cellStyle name="20 % - Akzent5 5 2 2 3 3" xfId="3401" xr:uid="{00000000-0005-0000-0000-0000D90A0000}"/>
    <cellStyle name="20 % - Akzent5 5 2 2 3 3 2" xfId="3402" xr:uid="{00000000-0005-0000-0000-0000DA0A0000}"/>
    <cellStyle name="20 % - Akzent5 5 2 2 3 3 2 2" xfId="3403" xr:uid="{00000000-0005-0000-0000-0000DB0A0000}"/>
    <cellStyle name="20 % - Akzent5 5 2 2 3 3 2 3" xfId="3404" xr:uid="{00000000-0005-0000-0000-0000DC0A0000}"/>
    <cellStyle name="20 % - Akzent5 5 2 2 3 3 3" xfId="3405" xr:uid="{00000000-0005-0000-0000-0000DD0A0000}"/>
    <cellStyle name="20 % - Akzent5 5 2 2 3 3 3 2" xfId="3406" xr:uid="{00000000-0005-0000-0000-0000DE0A0000}"/>
    <cellStyle name="20 % - Akzent5 5 2 2 3 3 3 3" xfId="3407" xr:uid="{00000000-0005-0000-0000-0000DF0A0000}"/>
    <cellStyle name="20 % - Akzent5 5 2 2 3 3 4" xfId="3408" xr:uid="{00000000-0005-0000-0000-0000E00A0000}"/>
    <cellStyle name="20 % - Akzent5 5 2 2 3 3 4 2" xfId="3409" xr:uid="{00000000-0005-0000-0000-0000E10A0000}"/>
    <cellStyle name="20 % - Akzent5 5 2 2 3 3 5" xfId="3410" xr:uid="{00000000-0005-0000-0000-0000E20A0000}"/>
    <cellStyle name="20 % - Akzent5 5 2 2 3 3 6" xfId="3411" xr:uid="{00000000-0005-0000-0000-0000E30A0000}"/>
    <cellStyle name="20 % - Akzent5 5 2 2 3 4" xfId="3412" xr:uid="{00000000-0005-0000-0000-0000E40A0000}"/>
    <cellStyle name="20 % - Akzent5 5 2 2 3 4 2" xfId="3413" xr:uid="{00000000-0005-0000-0000-0000E50A0000}"/>
    <cellStyle name="20 % - Akzent5 5 2 2 3 4 3" xfId="3414" xr:uid="{00000000-0005-0000-0000-0000E60A0000}"/>
    <cellStyle name="20 % - Akzent5 5 2 2 3 5" xfId="3415" xr:uid="{00000000-0005-0000-0000-0000E70A0000}"/>
    <cellStyle name="20 % - Akzent5 5 2 2 3 5 2" xfId="3416" xr:uid="{00000000-0005-0000-0000-0000E80A0000}"/>
    <cellStyle name="20 % - Akzent5 5 2 2 3 5 3" xfId="3417" xr:uid="{00000000-0005-0000-0000-0000E90A0000}"/>
    <cellStyle name="20 % - Akzent5 5 2 2 3 6" xfId="3418" xr:uid="{00000000-0005-0000-0000-0000EA0A0000}"/>
    <cellStyle name="20 % - Akzent5 5 2 2 3 6 2" xfId="3419" xr:uid="{00000000-0005-0000-0000-0000EB0A0000}"/>
    <cellStyle name="20 % - Akzent5 5 2 2 3 7" xfId="3420" xr:uid="{00000000-0005-0000-0000-0000EC0A0000}"/>
    <cellStyle name="20 % - Akzent5 5 2 2 3 8" xfId="3421" xr:uid="{00000000-0005-0000-0000-0000ED0A0000}"/>
    <cellStyle name="20 % - Akzent5 5 2 2 4" xfId="3422" xr:uid="{00000000-0005-0000-0000-0000EE0A0000}"/>
    <cellStyle name="20 % - Akzent5 5 2 2 4 2" xfId="3423" xr:uid="{00000000-0005-0000-0000-0000EF0A0000}"/>
    <cellStyle name="20 % - Akzent5 5 2 2 4 2 2" xfId="3424" xr:uid="{00000000-0005-0000-0000-0000F00A0000}"/>
    <cellStyle name="20 % - Akzent5 5 2 2 4 2 2 2" xfId="3425" xr:uid="{00000000-0005-0000-0000-0000F10A0000}"/>
    <cellStyle name="20 % - Akzent5 5 2 2 4 2 2 3" xfId="3426" xr:uid="{00000000-0005-0000-0000-0000F20A0000}"/>
    <cellStyle name="20 % - Akzent5 5 2 2 4 2 3" xfId="3427" xr:uid="{00000000-0005-0000-0000-0000F30A0000}"/>
    <cellStyle name="20 % - Akzent5 5 2 2 4 2 3 2" xfId="3428" xr:uid="{00000000-0005-0000-0000-0000F40A0000}"/>
    <cellStyle name="20 % - Akzent5 5 2 2 4 2 3 3" xfId="3429" xr:uid="{00000000-0005-0000-0000-0000F50A0000}"/>
    <cellStyle name="20 % - Akzent5 5 2 2 4 2 4" xfId="3430" xr:uid="{00000000-0005-0000-0000-0000F60A0000}"/>
    <cellStyle name="20 % - Akzent5 5 2 2 4 2 4 2" xfId="3431" xr:uid="{00000000-0005-0000-0000-0000F70A0000}"/>
    <cellStyle name="20 % - Akzent5 5 2 2 4 2 5" xfId="3432" xr:uid="{00000000-0005-0000-0000-0000F80A0000}"/>
    <cellStyle name="20 % - Akzent5 5 2 2 4 2 6" xfId="3433" xr:uid="{00000000-0005-0000-0000-0000F90A0000}"/>
    <cellStyle name="20 % - Akzent5 5 2 2 4 3" xfId="3434" xr:uid="{00000000-0005-0000-0000-0000FA0A0000}"/>
    <cellStyle name="20 % - Akzent5 5 2 2 4 3 2" xfId="3435" xr:uid="{00000000-0005-0000-0000-0000FB0A0000}"/>
    <cellStyle name="20 % - Akzent5 5 2 2 4 3 3" xfId="3436" xr:uid="{00000000-0005-0000-0000-0000FC0A0000}"/>
    <cellStyle name="20 % - Akzent5 5 2 2 4 4" xfId="3437" xr:uid="{00000000-0005-0000-0000-0000FD0A0000}"/>
    <cellStyle name="20 % - Akzent5 5 2 2 4 4 2" xfId="3438" xr:uid="{00000000-0005-0000-0000-0000FE0A0000}"/>
    <cellStyle name="20 % - Akzent5 5 2 2 4 4 3" xfId="3439" xr:uid="{00000000-0005-0000-0000-0000FF0A0000}"/>
    <cellStyle name="20 % - Akzent5 5 2 2 4 5" xfId="3440" xr:uid="{00000000-0005-0000-0000-0000000B0000}"/>
    <cellStyle name="20 % - Akzent5 5 2 2 4 5 2" xfId="3441" xr:uid="{00000000-0005-0000-0000-0000010B0000}"/>
    <cellStyle name="20 % - Akzent5 5 2 2 4 6" xfId="3442" xr:uid="{00000000-0005-0000-0000-0000020B0000}"/>
    <cellStyle name="20 % - Akzent5 5 2 2 4 7" xfId="3443" xr:uid="{00000000-0005-0000-0000-0000030B0000}"/>
    <cellStyle name="20 % - Akzent5 5 2 2 5" xfId="3444" xr:uid="{00000000-0005-0000-0000-0000040B0000}"/>
    <cellStyle name="20 % - Akzent5 5 2 2 5 2" xfId="3445" xr:uid="{00000000-0005-0000-0000-0000050B0000}"/>
    <cellStyle name="20 % - Akzent5 5 2 2 5 2 2" xfId="3446" xr:uid="{00000000-0005-0000-0000-0000060B0000}"/>
    <cellStyle name="20 % - Akzent5 5 2 2 5 2 3" xfId="3447" xr:uid="{00000000-0005-0000-0000-0000070B0000}"/>
    <cellStyle name="20 % - Akzent5 5 2 2 5 3" xfId="3448" xr:uid="{00000000-0005-0000-0000-0000080B0000}"/>
    <cellStyle name="20 % - Akzent5 5 2 2 5 3 2" xfId="3449" xr:uid="{00000000-0005-0000-0000-0000090B0000}"/>
    <cellStyle name="20 % - Akzent5 5 2 2 5 3 3" xfId="3450" xr:uid="{00000000-0005-0000-0000-00000A0B0000}"/>
    <cellStyle name="20 % - Akzent5 5 2 2 5 4" xfId="3451" xr:uid="{00000000-0005-0000-0000-00000B0B0000}"/>
    <cellStyle name="20 % - Akzent5 5 2 2 5 4 2" xfId="3452" xr:uid="{00000000-0005-0000-0000-00000C0B0000}"/>
    <cellStyle name="20 % - Akzent5 5 2 2 5 5" xfId="3453" xr:uid="{00000000-0005-0000-0000-00000D0B0000}"/>
    <cellStyle name="20 % - Akzent5 5 2 2 5 6" xfId="3454" xr:uid="{00000000-0005-0000-0000-00000E0B0000}"/>
    <cellStyle name="20 % - Akzent5 5 2 2 6" xfId="3455" xr:uid="{00000000-0005-0000-0000-00000F0B0000}"/>
    <cellStyle name="20 % - Akzent5 5 2 2 6 2" xfId="3456" xr:uid="{00000000-0005-0000-0000-0000100B0000}"/>
    <cellStyle name="20 % - Akzent5 5 2 2 6 3" xfId="3457" xr:uid="{00000000-0005-0000-0000-0000110B0000}"/>
    <cellStyle name="20 % - Akzent5 5 2 2 7" xfId="3458" xr:uid="{00000000-0005-0000-0000-0000120B0000}"/>
    <cellStyle name="20 % - Akzent5 5 2 2 7 2" xfId="3459" xr:uid="{00000000-0005-0000-0000-0000130B0000}"/>
    <cellStyle name="20 % - Akzent5 5 2 2 7 3" xfId="3460" xr:uid="{00000000-0005-0000-0000-0000140B0000}"/>
    <cellStyle name="20 % - Akzent5 5 2 2 8" xfId="3461" xr:uid="{00000000-0005-0000-0000-0000150B0000}"/>
    <cellStyle name="20 % - Akzent5 5 2 2 8 2" xfId="3462" xr:uid="{00000000-0005-0000-0000-0000160B0000}"/>
    <cellStyle name="20 % - Akzent5 5 2 2 9" xfId="3463" xr:uid="{00000000-0005-0000-0000-0000170B0000}"/>
    <cellStyle name="20 % - Akzent5 5 2 3" xfId="3464" xr:uid="{00000000-0005-0000-0000-0000180B0000}"/>
    <cellStyle name="20 % - Akzent5 5 2 3 2" xfId="3465" xr:uid="{00000000-0005-0000-0000-0000190B0000}"/>
    <cellStyle name="20 % - Akzent5 5 2 3 2 2" xfId="3466" xr:uid="{00000000-0005-0000-0000-00001A0B0000}"/>
    <cellStyle name="20 % - Akzent5 5 2 3 2 2 2" xfId="3467" xr:uid="{00000000-0005-0000-0000-00001B0B0000}"/>
    <cellStyle name="20 % - Akzent5 5 2 3 2 2 2 2" xfId="3468" xr:uid="{00000000-0005-0000-0000-00001C0B0000}"/>
    <cellStyle name="20 % - Akzent5 5 2 3 2 2 2 3" xfId="3469" xr:uid="{00000000-0005-0000-0000-00001D0B0000}"/>
    <cellStyle name="20 % - Akzent5 5 2 3 2 2 3" xfId="3470" xr:uid="{00000000-0005-0000-0000-00001E0B0000}"/>
    <cellStyle name="20 % - Akzent5 5 2 3 2 2 3 2" xfId="3471" xr:uid="{00000000-0005-0000-0000-00001F0B0000}"/>
    <cellStyle name="20 % - Akzent5 5 2 3 2 2 3 3" xfId="3472" xr:uid="{00000000-0005-0000-0000-0000200B0000}"/>
    <cellStyle name="20 % - Akzent5 5 2 3 2 2 4" xfId="3473" xr:uid="{00000000-0005-0000-0000-0000210B0000}"/>
    <cellStyle name="20 % - Akzent5 5 2 3 2 2 4 2" xfId="3474" xr:uid="{00000000-0005-0000-0000-0000220B0000}"/>
    <cellStyle name="20 % - Akzent5 5 2 3 2 2 5" xfId="3475" xr:uid="{00000000-0005-0000-0000-0000230B0000}"/>
    <cellStyle name="20 % - Akzent5 5 2 3 2 2 6" xfId="3476" xr:uid="{00000000-0005-0000-0000-0000240B0000}"/>
    <cellStyle name="20 % - Akzent5 5 2 3 2 3" xfId="3477" xr:uid="{00000000-0005-0000-0000-0000250B0000}"/>
    <cellStyle name="20 % - Akzent5 5 2 3 2 3 2" xfId="3478" xr:uid="{00000000-0005-0000-0000-0000260B0000}"/>
    <cellStyle name="20 % - Akzent5 5 2 3 2 3 3" xfId="3479" xr:uid="{00000000-0005-0000-0000-0000270B0000}"/>
    <cellStyle name="20 % - Akzent5 5 2 3 2 4" xfId="3480" xr:uid="{00000000-0005-0000-0000-0000280B0000}"/>
    <cellStyle name="20 % - Akzent5 5 2 3 2 4 2" xfId="3481" xr:uid="{00000000-0005-0000-0000-0000290B0000}"/>
    <cellStyle name="20 % - Akzent5 5 2 3 2 4 3" xfId="3482" xr:uid="{00000000-0005-0000-0000-00002A0B0000}"/>
    <cellStyle name="20 % - Akzent5 5 2 3 2 5" xfId="3483" xr:uid="{00000000-0005-0000-0000-00002B0B0000}"/>
    <cellStyle name="20 % - Akzent5 5 2 3 2 5 2" xfId="3484" xr:uid="{00000000-0005-0000-0000-00002C0B0000}"/>
    <cellStyle name="20 % - Akzent5 5 2 3 2 6" xfId="3485" xr:uid="{00000000-0005-0000-0000-00002D0B0000}"/>
    <cellStyle name="20 % - Akzent5 5 2 3 2 7" xfId="3486" xr:uid="{00000000-0005-0000-0000-00002E0B0000}"/>
    <cellStyle name="20 % - Akzent5 5 2 3 3" xfId="3487" xr:uid="{00000000-0005-0000-0000-00002F0B0000}"/>
    <cellStyle name="20 % - Akzent5 5 2 3 3 2" xfId="3488" xr:uid="{00000000-0005-0000-0000-0000300B0000}"/>
    <cellStyle name="20 % - Akzent5 5 2 3 3 2 2" xfId="3489" xr:uid="{00000000-0005-0000-0000-0000310B0000}"/>
    <cellStyle name="20 % - Akzent5 5 2 3 3 2 3" xfId="3490" xr:uid="{00000000-0005-0000-0000-0000320B0000}"/>
    <cellStyle name="20 % - Akzent5 5 2 3 3 3" xfId="3491" xr:uid="{00000000-0005-0000-0000-0000330B0000}"/>
    <cellStyle name="20 % - Akzent5 5 2 3 3 3 2" xfId="3492" xr:uid="{00000000-0005-0000-0000-0000340B0000}"/>
    <cellStyle name="20 % - Akzent5 5 2 3 3 3 3" xfId="3493" xr:uid="{00000000-0005-0000-0000-0000350B0000}"/>
    <cellStyle name="20 % - Akzent5 5 2 3 3 4" xfId="3494" xr:uid="{00000000-0005-0000-0000-0000360B0000}"/>
    <cellStyle name="20 % - Akzent5 5 2 3 3 4 2" xfId="3495" xr:uid="{00000000-0005-0000-0000-0000370B0000}"/>
    <cellStyle name="20 % - Akzent5 5 2 3 3 5" xfId="3496" xr:uid="{00000000-0005-0000-0000-0000380B0000}"/>
    <cellStyle name="20 % - Akzent5 5 2 3 3 6" xfId="3497" xr:uid="{00000000-0005-0000-0000-0000390B0000}"/>
    <cellStyle name="20 % - Akzent5 5 2 3 4" xfId="3498" xr:uid="{00000000-0005-0000-0000-00003A0B0000}"/>
    <cellStyle name="20 % - Akzent5 5 2 3 4 2" xfId="3499" xr:uid="{00000000-0005-0000-0000-00003B0B0000}"/>
    <cellStyle name="20 % - Akzent5 5 2 3 4 3" xfId="3500" xr:uid="{00000000-0005-0000-0000-00003C0B0000}"/>
    <cellStyle name="20 % - Akzent5 5 2 3 5" xfId="3501" xr:uid="{00000000-0005-0000-0000-00003D0B0000}"/>
    <cellStyle name="20 % - Akzent5 5 2 3 5 2" xfId="3502" xr:uid="{00000000-0005-0000-0000-00003E0B0000}"/>
    <cellStyle name="20 % - Akzent5 5 2 3 5 3" xfId="3503" xr:uid="{00000000-0005-0000-0000-00003F0B0000}"/>
    <cellStyle name="20 % - Akzent5 5 2 3 6" xfId="3504" xr:uid="{00000000-0005-0000-0000-0000400B0000}"/>
    <cellStyle name="20 % - Akzent5 5 2 3 6 2" xfId="3505" xr:uid="{00000000-0005-0000-0000-0000410B0000}"/>
    <cellStyle name="20 % - Akzent5 5 2 3 7" xfId="3506" xr:uid="{00000000-0005-0000-0000-0000420B0000}"/>
    <cellStyle name="20 % - Akzent5 5 2 3 8" xfId="3507" xr:uid="{00000000-0005-0000-0000-0000430B0000}"/>
    <cellStyle name="20 % - Akzent5 5 2 4" xfId="3508" xr:uid="{00000000-0005-0000-0000-0000440B0000}"/>
    <cellStyle name="20 % - Akzent5 5 2 4 2" xfId="3509" xr:uid="{00000000-0005-0000-0000-0000450B0000}"/>
    <cellStyle name="20 % - Akzent5 5 2 4 2 2" xfId="3510" xr:uid="{00000000-0005-0000-0000-0000460B0000}"/>
    <cellStyle name="20 % - Akzent5 5 2 4 2 2 2" xfId="3511" xr:uid="{00000000-0005-0000-0000-0000470B0000}"/>
    <cellStyle name="20 % - Akzent5 5 2 4 2 2 2 2" xfId="3512" xr:uid="{00000000-0005-0000-0000-0000480B0000}"/>
    <cellStyle name="20 % - Akzent5 5 2 4 2 2 2 3" xfId="3513" xr:uid="{00000000-0005-0000-0000-0000490B0000}"/>
    <cellStyle name="20 % - Akzent5 5 2 4 2 2 3" xfId="3514" xr:uid="{00000000-0005-0000-0000-00004A0B0000}"/>
    <cellStyle name="20 % - Akzent5 5 2 4 2 2 3 2" xfId="3515" xr:uid="{00000000-0005-0000-0000-00004B0B0000}"/>
    <cellStyle name="20 % - Akzent5 5 2 4 2 2 3 3" xfId="3516" xr:uid="{00000000-0005-0000-0000-00004C0B0000}"/>
    <cellStyle name="20 % - Akzent5 5 2 4 2 2 4" xfId="3517" xr:uid="{00000000-0005-0000-0000-00004D0B0000}"/>
    <cellStyle name="20 % - Akzent5 5 2 4 2 2 4 2" xfId="3518" xr:uid="{00000000-0005-0000-0000-00004E0B0000}"/>
    <cellStyle name="20 % - Akzent5 5 2 4 2 2 5" xfId="3519" xr:uid="{00000000-0005-0000-0000-00004F0B0000}"/>
    <cellStyle name="20 % - Akzent5 5 2 4 2 2 6" xfId="3520" xr:uid="{00000000-0005-0000-0000-0000500B0000}"/>
    <cellStyle name="20 % - Akzent5 5 2 4 2 3" xfId="3521" xr:uid="{00000000-0005-0000-0000-0000510B0000}"/>
    <cellStyle name="20 % - Akzent5 5 2 4 2 3 2" xfId="3522" xr:uid="{00000000-0005-0000-0000-0000520B0000}"/>
    <cellStyle name="20 % - Akzent5 5 2 4 2 3 3" xfId="3523" xr:uid="{00000000-0005-0000-0000-0000530B0000}"/>
    <cellStyle name="20 % - Akzent5 5 2 4 2 4" xfId="3524" xr:uid="{00000000-0005-0000-0000-0000540B0000}"/>
    <cellStyle name="20 % - Akzent5 5 2 4 2 4 2" xfId="3525" xr:uid="{00000000-0005-0000-0000-0000550B0000}"/>
    <cellStyle name="20 % - Akzent5 5 2 4 2 4 3" xfId="3526" xr:uid="{00000000-0005-0000-0000-0000560B0000}"/>
    <cellStyle name="20 % - Akzent5 5 2 4 2 5" xfId="3527" xr:uid="{00000000-0005-0000-0000-0000570B0000}"/>
    <cellStyle name="20 % - Akzent5 5 2 4 2 5 2" xfId="3528" xr:uid="{00000000-0005-0000-0000-0000580B0000}"/>
    <cellStyle name="20 % - Akzent5 5 2 4 2 6" xfId="3529" xr:uid="{00000000-0005-0000-0000-0000590B0000}"/>
    <cellStyle name="20 % - Akzent5 5 2 4 2 7" xfId="3530" xr:uid="{00000000-0005-0000-0000-00005A0B0000}"/>
    <cellStyle name="20 % - Akzent5 5 2 4 3" xfId="3531" xr:uid="{00000000-0005-0000-0000-00005B0B0000}"/>
    <cellStyle name="20 % - Akzent5 5 2 4 3 2" xfId="3532" xr:uid="{00000000-0005-0000-0000-00005C0B0000}"/>
    <cellStyle name="20 % - Akzent5 5 2 4 3 2 2" xfId="3533" xr:uid="{00000000-0005-0000-0000-00005D0B0000}"/>
    <cellStyle name="20 % - Akzent5 5 2 4 3 2 3" xfId="3534" xr:uid="{00000000-0005-0000-0000-00005E0B0000}"/>
    <cellStyle name="20 % - Akzent5 5 2 4 3 3" xfId="3535" xr:uid="{00000000-0005-0000-0000-00005F0B0000}"/>
    <cellStyle name="20 % - Akzent5 5 2 4 3 3 2" xfId="3536" xr:uid="{00000000-0005-0000-0000-0000600B0000}"/>
    <cellStyle name="20 % - Akzent5 5 2 4 3 3 3" xfId="3537" xr:uid="{00000000-0005-0000-0000-0000610B0000}"/>
    <cellStyle name="20 % - Akzent5 5 2 4 3 4" xfId="3538" xr:uid="{00000000-0005-0000-0000-0000620B0000}"/>
    <cellStyle name="20 % - Akzent5 5 2 4 3 4 2" xfId="3539" xr:uid="{00000000-0005-0000-0000-0000630B0000}"/>
    <cellStyle name="20 % - Akzent5 5 2 4 3 5" xfId="3540" xr:uid="{00000000-0005-0000-0000-0000640B0000}"/>
    <cellStyle name="20 % - Akzent5 5 2 4 3 6" xfId="3541" xr:uid="{00000000-0005-0000-0000-0000650B0000}"/>
    <cellStyle name="20 % - Akzent5 5 2 4 4" xfId="3542" xr:uid="{00000000-0005-0000-0000-0000660B0000}"/>
    <cellStyle name="20 % - Akzent5 5 2 4 4 2" xfId="3543" xr:uid="{00000000-0005-0000-0000-0000670B0000}"/>
    <cellStyle name="20 % - Akzent5 5 2 4 4 3" xfId="3544" xr:uid="{00000000-0005-0000-0000-0000680B0000}"/>
    <cellStyle name="20 % - Akzent5 5 2 4 5" xfId="3545" xr:uid="{00000000-0005-0000-0000-0000690B0000}"/>
    <cellStyle name="20 % - Akzent5 5 2 4 5 2" xfId="3546" xr:uid="{00000000-0005-0000-0000-00006A0B0000}"/>
    <cellStyle name="20 % - Akzent5 5 2 4 5 3" xfId="3547" xr:uid="{00000000-0005-0000-0000-00006B0B0000}"/>
    <cellStyle name="20 % - Akzent5 5 2 4 6" xfId="3548" xr:uid="{00000000-0005-0000-0000-00006C0B0000}"/>
    <cellStyle name="20 % - Akzent5 5 2 4 6 2" xfId="3549" xr:uid="{00000000-0005-0000-0000-00006D0B0000}"/>
    <cellStyle name="20 % - Akzent5 5 2 4 7" xfId="3550" xr:uid="{00000000-0005-0000-0000-00006E0B0000}"/>
    <cellStyle name="20 % - Akzent5 5 2 4 8" xfId="3551" xr:uid="{00000000-0005-0000-0000-00006F0B0000}"/>
    <cellStyle name="20 % - Akzent5 5 2 5" xfId="3552" xr:uid="{00000000-0005-0000-0000-0000700B0000}"/>
    <cellStyle name="20 % - Akzent5 5 2 5 2" xfId="3553" xr:uid="{00000000-0005-0000-0000-0000710B0000}"/>
    <cellStyle name="20 % - Akzent5 5 2 5 2 2" xfId="3554" xr:uid="{00000000-0005-0000-0000-0000720B0000}"/>
    <cellStyle name="20 % - Akzent5 5 2 5 2 2 2" xfId="3555" xr:uid="{00000000-0005-0000-0000-0000730B0000}"/>
    <cellStyle name="20 % - Akzent5 5 2 5 2 2 3" xfId="3556" xr:uid="{00000000-0005-0000-0000-0000740B0000}"/>
    <cellStyle name="20 % - Akzent5 5 2 5 2 3" xfId="3557" xr:uid="{00000000-0005-0000-0000-0000750B0000}"/>
    <cellStyle name="20 % - Akzent5 5 2 5 2 3 2" xfId="3558" xr:uid="{00000000-0005-0000-0000-0000760B0000}"/>
    <cellStyle name="20 % - Akzent5 5 2 5 2 3 3" xfId="3559" xr:uid="{00000000-0005-0000-0000-0000770B0000}"/>
    <cellStyle name="20 % - Akzent5 5 2 5 2 4" xfId="3560" xr:uid="{00000000-0005-0000-0000-0000780B0000}"/>
    <cellStyle name="20 % - Akzent5 5 2 5 2 4 2" xfId="3561" xr:uid="{00000000-0005-0000-0000-0000790B0000}"/>
    <cellStyle name="20 % - Akzent5 5 2 5 2 5" xfId="3562" xr:uid="{00000000-0005-0000-0000-00007A0B0000}"/>
    <cellStyle name="20 % - Akzent5 5 2 5 2 6" xfId="3563" xr:uid="{00000000-0005-0000-0000-00007B0B0000}"/>
    <cellStyle name="20 % - Akzent5 5 2 5 3" xfId="3564" xr:uid="{00000000-0005-0000-0000-00007C0B0000}"/>
    <cellStyle name="20 % - Akzent5 5 2 5 3 2" xfId="3565" xr:uid="{00000000-0005-0000-0000-00007D0B0000}"/>
    <cellStyle name="20 % - Akzent5 5 2 5 3 3" xfId="3566" xr:uid="{00000000-0005-0000-0000-00007E0B0000}"/>
    <cellStyle name="20 % - Akzent5 5 2 5 4" xfId="3567" xr:uid="{00000000-0005-0000-0000-00007F0B0000}"/>
    <cellStyle name="20 % - Akzent5 5 2 5 4 2" xfId="3568" xr:uid="{00000000-0005-0000-0000-0000800B0000}"/>
    <cellStyle name="20 % - Akzent5 5 2 5 4 3" xfId="3569" xr:uid="{00000000-0005-0000-0000-0000810B0000}"/>
    <cellStyle name="20 % - Akzent5 5 2 5 5" xfId="3570" xr:uid="{00000000-0005-0000-0000-0000820B0000}"/>
    <cellStyle name="20 % - Akzent5 5 2 5 5 2" xfId="3571" xr:uid="{00000000-0005-0000-0000-0000830B0000}"/>
    <cellStyle name="20 % - Akzent5 5 2 5 6" xfId="3572" xr:uid="{00000000-0005-0000-0000-0000840B0000}"/>
    <cellStyle name="20 % - Akzent5 5 2 5 7" xfId="3573" xr:uid="{00000000-0005-0000-0000-0000850B0000}"/>
    <cellStyle name="20 % - Akzent5 5 2 6" xfId="3574" xr:uid="{00000000-0005-0000-0000-0000860B0000}"/>
    <cellStyle name="20 % - Akzent5 5 2 6 2" xfId="3575" xr:uid="{00000000-0005-0000-0000-0000870B0000}"/>
    <cellStyle name="20 % - Akzent5 5 2 6 2 2" xfId="3576" xr:uid="{00000000-0005-0000-0000-0000880B0000}"/>
    <cellStyle name="20 % - Akzent5 5 2 6 2 3" xfId="3577" xr:uid="{00000000-0005-0000-0000-0000890B0000}"/>
    <cellStyle name="20 % - Akzent5 5 2 6 3" xfId="3578" xr:uid="{00000000-0005-0000-0000-00008A0B0000}"/>
    <cellStyle name="20 % - Akzent5 5 2 6 3 2" xfId="3579" xr:uid="{00000000-0005-0000-0000-00008B0B0000}"/>
    <cellStyle name="20 % - Akzent5 5 2 6 3 3" xfId="3580" xr:uid="{00000000-0005-0000-0000-00008C0B0000}"/>
    <cellStyle name="20 % - Akzent5 5 2 6 4" xfId="3581" xr:uid="{00000000-0005-0000-0000-00008D0B0000}"/>
    <cellStyle name="20 % - Akzent5 5 2 6 4 2" xfId="3582" xr:uid="{00000000-0005-0000-0000-00008E0B0000}"/>
    <cellStyle name="20 % - Akzent5 5 2 6 5" xfId="3583" xr:uid="{00000000-0005-0000-0000-00008F0B0000}"/>
    <cellStyle name="20 % - Akzent5 5 2 6 6" xfId="3584" xr:uid="{00000000-0005-0000-0000-0000900B0000}"/>
    <cellStyle name="20 % - Akzent5 5 2 7" xfId="3585" xr:uid="{00000000-0005-0000-0000-0000910B0000}"/>
    <cellStyle name="20 % - Akzent5 5 2 7 2" xfId="3586" xr:uid="{00000000-0005-0000-0000-0000920B0000}"/>
    <cellStyle name="20 % - Akzent5 5 2 7 3" xfId="3587" xr:uid="{00000000-0005-0000-0000-0000930B0000}"/>
    <cellStyle name="20 % - Akzent5 5 2 8" xfId="3588" xr:uid="{00000000-0005-0000-0000-0000940B0000}"/>
    <cellStyle name="20 % - Akzent5 5 2 8 2" xfId="3589" xr:uid="{00000000-0005-0000-0000-0000950B0000}"/>
    <cellStyle name="20 % - Akzent5 5 2 8 3" xfId="3590" xr:uid="{00000000-0005-0000-0000-0000960B0000}"/>
    <cellStyle name="20 % - Akzent5 5 2 9" xfId="3591" xr:uid="{00000000-0005-0000-0000-0000970B0000}"/>
    <cellStyle name="20 % - Akzent5 5 2 9 2" xfId="3592" xr:uid="{00000000-0005-0000-0000-0000980B0000}"/>
    <cellStyle name="20 % - Akzent5 6" xfId="3593" xr:uid="{00000000-0005-0000-0000-0000990B0000}"/>
    <cellStyle name="20 % - Akzent5 6 10" xfId="3594" xr:uid="{00000000-0005-0000-0000-00009A0B0000}"/>
    <cellStyle name="20 % - Akzent5 6 2" xfId="3595" xr:uid="{00000000-0005-0000-0000-00009B0B0000}"/>
    <cellStyle name="20 % - Akzent5 6 2 2" xfId="3596" xr:uid="{00000000-0005-0000-0000-00009C0B0000}"/>
    <cellStyle name="20 % - Akzent5 6 2 2 2" xfId="3597" xr:uid="{00000000-0005-0000-0000-00009D0B0000}"/>
    <cellStyle name="20 % - Akzent5 6 2 2 2 2" xfId="3598" xr:uid="{00000000-0005-0000-0000-00009E0B0000}"/>
    <cellStyle name="20 % - Akzent5 6 2 2 2 2 2" xfId="3599" xr:uid="{00000000-0005-0000-0000-00009F0B0000}"/>
    <cellStyle name="20 % - Akzent5 6 2 2 2 2 3" xfId="3600" xr:uid="{00000000-0005-0000-0000-0000A00B0000}"/>
    <cellStyle name="20 % - Akzent5 6 2 2 2 3" xfId="3601" xr:uid="{00000000-0005-0000-0000-0000A10B0000}"/>
    <cellStyle name="20 % - Akzent5 6 2 2 2 3 2" xfId="3602" xr:uid="{00000000-0005-0000-0000-0000A20B0000}"/>
    <cellStyle name="20 % - Akzent5 6 2 2 2 3 3" xfId="3603" xr:uid="{00000000-0005-0000-0000-0000A30B0000}"/>
    <cellStyle name="20 % - Akzent5 6 2 2 2 4" xfId="3604" xr:uid="{00000000-0005-0000-0000-0000A40B0000}"/>
    <cellStyle name="20 % - Akzent5 6 2 2 2 4 2" xfId="3605" xr:uid="{00000000-0005-0000-0000-0000A50B0000}"/>
    <cellStyle name="20 % - Akzent5 6 2 2 2 5" xfId="3606" xr:uid="{00000000-0005-0000-0000-0000A60B0000}"/>
    <cellStyle name="20 % - Akzent5 6 2 2 2 6" xfId="3607" xr:uid="{00000000-0005-0000-0000-0000A70B0000}"/>
    <cellStyle name="20 % - Akzent5 6 2 2 3" xfId="3608" xr:uid="{00000000-0005-0000-0000-0000A80B0000}"/>
    <cellStyle name="20 % - Akzent5 6 2 2 3 2" xfId="3609" xr:uid="{00000000-0005-0000-0000-0000A90B0000}"/>
    <cellStyle name="20 % - Akzent5 6 2 2 3 3" xfId="3610" xr:uid="{00000000-0005-0000-0000-0000AA0B0000}"/>
    <cellStyle name="20 % - Akzent5 6 2 2 4" xfId="3611" xr:uid="{00000000-0005-0000-0000-0000AB0B0000}"/>
    <cellStyle name="20 % - Akzent5 6 2 2 4 2" xfId="3612" xr:uid="{00000000-0005-0000-0000-0000AC0B0000}"/>
    <cellStyle name="20 % - Akzent5 6 2 2 4 3" xfId="3613" xr:uid="{00000000-0005-0000-0000-0000AD0B0000}"/>
    <cellStyle name="20 % - Akzent5 6 2 2 5" xfId="3614" xr:uid="{00000000-0005-0000-0000-0000AE0B0000}"/>
    <cellStyle name="20 % - Akzent5 6 2 2 5 2" xfId="3615" xr:uid="{00000000-0005-0000-0000-0000AF0B0000}"/>
    <cellStyle name="20 % - Akzent5 6 2 2 6" xfId="3616" xr:uid="{00000000-0005-0000-0000-0000B00B0000}"/>
    <cellStyle name="20 % - Akzent5 6 2 2 7" xfId="3617" xr:uid="{00000000-0005-0000-0000-0000B10B0000}"/>
    <cellStyle name="20 % - Akzent5 6 2 3" xfId="3618" xr:uid="{00000000-0005-0000-0000-0000B20B0000}"/>
    <cellStyle name="20 % - Akzent5 6 2 3 2" xfId="3619" xr:uid="{00000000-0005-0000-0000-0000B30B0000}"/>
    <cellStyle name="20 % - Akzent5 6 2 3 2 2" xfId="3620" xr:uid="{00000000-0005-0000-0000-0000B40B0000}"/>
    <cellStyle name="20 % - Akzent5 6 2 3 2 3" xfId="3621" xr:uid="{00000000-0005-0000-0000-0000B50B0000}"/>
    <cellStyle name="20 % - Akzent5 6 2 3 3" xfId="3622" xr:uid="{00000000-0005-0000-0000-0000B60B0000}"/>
    <cellStyle name="20 % - Akzent5 6 2 3 3 2" xfId="3623" xr:uid="{00000000-0005-0000-0000-0000B70B0000}"/>
    <cellStyle name="20 % - Akzent5 6 2 3 3 3" xfId="3624" xr:uid="{00000000-0005-0000-0000-0000B80B0000}"/>
    <cellStyle name="20 % - Akzent5 6 2 3 4" xfId="3625" xr:uid="{00000000-0005-0000-0000-0000B90B0000}"/>
    <cellStyle name="20 % - Akzent5 6 2 3 4 2" xfId="3626" xr:uid="{00000000-0005-0000-0000-0000BA0B0000}"/>
    <cellStyle name="20 % - Akzent5 6 2 3 5" xfId="3627" xr:uid="{00000000-0005-0000-0000-0000BB0B0000}"/>
    <cellStyle name="20 % - Akzent5 6 2 3 6" xfId="3628" xr:uid="{00000000-0005-0000-0000-0000BC0B0000}"/>
    <cellStyle name="20 % - Akzent5 6 2 4" xfId="3629" xr:uid="{00000000-0005-0000-0000-0000BD0B0000}"/>
    <cellStyle name="20 % - Akzent5 6 2 4 2" xfId="3630" xr:uid="{00000000-0005-0000-0000-0000BE0B0000}"/>
    <cellStyle name="20 % - Akzent5 6 2 4 3" xfId="3631" xr:uid="{00000000-0005-0000-0000-0000BF0B0000}"/>
    <cellStyle name="20 % - Akzent5 6 2 5" xfId="3632" xr:uid="{00000000-0005-0000-0000-0000C00B0000}"/>
    <cellStyle name="20 % - Akzent5 6 2 5 2" xfId="3633" xr:uid="{00000000-0005-0000-0000-0000C10B0000}"/>
    <cellStyle name="20 % - Akzent5 6 2 5 3" xfId="3634" xr:uid="{00000000-0005-0000-0000-0000C20B0000}"/>
    <cellStyle name="20 % - Akzent5 6 2 6" xfId="3635" xr:uid="{00000000-0005-0000-0000-0000C30B0000}"/>
    <cellStyle name="20 % - Akzent5 6 2 6 2" xfId="3636" xr:uid="{00000000-0005-0000-0000-0000C40B0000}"/>
    <cellStyle name="20 % - Akzent5 6 2 7" xfId="3637" xr:uid="{00000000-0005-0000-0000-0000C50B0000}"/>
    <cellStyle name="20 % - Akzent5 6 2 8" xfId="3638" xr:uid="{00000000-0005-0000-0000-0000C60B0000}"/>
    <cellStyle name="20 % - Akzent5 6 3" xfId="3639" xr:uid="{00000000-0005-0000-0000-0000C70B0000}"/>
    <cellStyle name="20 % - Akzent5 6 3 2" xfId="3640" xr:uid="{00000000-0005-0000-0000-0000C80B0000}"/>
    <cellStyle name="20 % - Akzent5 6 3 2 2" xfId="3641" xr:uid="{00000000-0005-0000-0000-0000C90B0000}"/>
    <cellStyle name="20 % - Akzent5 6 3 2 2 2" xfId="3642" xr:uid="{00000000-0005-0000-0000-0000CA0B0000}"/>
    <cellStyle name="20 % - Akzent5 6 3 2 2 2 2" xfId="3643" xr:uid="{00000000-0005-0000-0000-0000CB0B0000}"/>
    <cellStyle name="20 % - Akzent5 6 3 2 2 2 3" xfId="3644" xr:uid="{00000000-0005-0000-0000-0000CC0B0000}"/>
    <cellStyle name="20 % - Akzent5 6 3 2 2 3" xfId="3645" xr:uid="{00000000-0005-0000-0000-0000CD0B0000}"/>
    <cellStyle name="20 % - Akzent5 6 3 2 2 3 2" xfId="3646" xr:uid="{00000000-0005-0000-0000-0000CE0B0000}"/>
    <cellStyle name="20 % - Akzent5 6 3 2 2 3 3" xfId="3647" xr:uid="{00000000-0005-0000-0000-0000CF0B0000}"/>
    <cellStyle name="20 % - Akzent5 6 3 2 2 4" xfId="3648" xr:uid="{00000000-0005-0000-0000-0000D00B0000}"/>
    <cellStyle name="20 % - Akzent5 6 3 2 2 4 2" xfId="3649" xr:uid="{00000000-0005-0000-0000-0000D10B0000}"/>
    <cellStyle name="20 % - Akzent5 6 3 2 2 5" xfId="3650" xr:uid="{00000000-0005-0000-0000-0000D20B0000}"/>
    <cellStyle name="20 % - Akzent5 6 3 2 2 6" xfId="3651" xr:uid="{00000000-0005-0000-0000-0000D30B0000}"/>
    <cellStyle name="20 % - Akzent5 6 3 2 3" xfId="3652" xr:uid="{00000000-0005-0000-0000-0000D40B0000}"/>
    <cellStyle name="20 % - Akzent5 6 3 2 3 2" xfId="3653" xr:uid="{00000000-0005-0000-0000-0000D50B0000}"/>
    <cellStyle name="20 % - Akzent5 6 3 2 3 3" xfId="3654" xr:uid="{00000000-0005-0000-0000-0000D60B0000}"/>
    <cellStyle name="20 % - Akzent5 6 3 2 4" xfId="3655" xr:uid="{00000000-0005-0000-0000-0000D70B0000}"/>
    <cellStyle name="20 % - Akzent5 6 3 2 4 2" xfId="3656" xr:uid="{00000000-0005-0000-0000-0000D80B0000}"/>
    <cellStyle name="20 % - Akzent5 6 3 2 4 3" xfId="3657" xr:uid="{00000000-0005-0000-0000-0000D90B0000}"/>
    <cellStyle name="20 % - Akzent5 6 3 2 5" xfId="3658" xr:uid="{00000000-0005-0000-0000-0000DA0B0000}"/>
    <cellStyle name="20 % - Akzent5 6 3 2 5 2" xfId="3659" xr:uid="{00000000-0005-0000-0000-0000DB0B0000}"/>
    <cellStyle name="20 % - Akzent5 6 3 2 6" xfId="3660" xr:uid="{00000000-0005-0000-0000-0000DC0B0000}"/>
    <cellStyle name="20 % - Akzent5 6 3 2 7" xfId="3661" xr:uid="{00000000-0005-0000-0000-0000DD0B0000}"/>
    <cellStyle name="20 % - Akzent5 6 3 3" xfId="3662" xr:uid="{00000000-0005-0000-0000-0000DE0B0000}"/>
    <cellStyle name="20 % - Akzent5 6 3 3 2" xfId="3663" xr:uid="{00000000-0005-0000-0000-0000DF0B0000}"/>
    <cellStyle name="20 % - Akzent5 6 3 3 2 2" xfId="3664" xr:uid="{00000000-0005-0000-0000-0000E00B0000}"/>
    <cellStyle name="20 % - Akzent5 6 3 3 2 3" xfId="3665" xr:uid="{00000000-0005-0000-0000-0000E10B0000}"/>
    <cellStyle name="20 % - Akzent5 6 3 3 3" xfId="3666" xr:uid="{00000000-0005-0000-0000-0000E20B0000}"/>
    <cellStyle name="20 % - Akzent5 6 3 3 3 2" xfId="3667" xr:uid="{00000000-0005-0000-0000-0000E30B0000}"/>
    <cellStyle name="20 % - Akzent5 6 3 3 3 3" xfId="3668" xr:uid="{00000000-0005-0000-0000-0000E40B0000}"/>
    <cellStyle name="20 % - Akzent5 6 3 3 4" xfId="3669" xr:uid="{00000000-0005-0000-0000-0000E50B0000}"/>
    <cellStyle name="20 % - Akzent5 6 3 3 4 2" xfId="3670" xr:uid="{00000000-0005-0000-0000-0000E60B0000}"/>
    <cellStyle name="20 % - Akzent5 6 3 3 5" xfId="3671" xr:uid="{00000000-0005-0000-0000-0000E70B0000}"/>
    <cellStyle name="20 % - Akzent5 6 3 3 6" xfId="3672" xr:uid="{00000000-0005-0000-0000-0000E80B0000}"/>
    <cellStyle name="20 % - Akzent5 6 3 4" xfId="3673" xr:uid="{00000000-0005-0000-0000-0000E90B0000}"/>
    <cellStyle name="20 % - Akzent5 6 3 4 2" xfId="3674" xr:uid="{00000000-0005-0000-0000-0000EA0B0000}"/>
    <cellStyle name="20 % - Akzent5 6 3 4 3" xfId="3675" xr:uid="{00000000-0005-0000-0000-0000EB0B0000}"/>
    <cellStyle name="20 % - Akzent5 6 3 5" xfId="3676" xr:uid="{00000000-0005-0000-0000-0000EC0B0000}"/>
    <cellStyle name="20 % - Akzent5 6 3 5 2" xfId="3677" xr:uid="{00000000-0005-0000-0000-0000ED0B0000}"/>
    <cellStyle name="20 % - Akzent5 6 3 5 3" xfId="3678" xr:uid="{00000000-0005-0000-0000-0000EE0B0000}"/>
    <cellStyle name="20 % - Akzent5 6 3 6" xfId="3679" xr:uid="{00000000-0005-0000-0000-0000EF0B0000}"/>
    <cellStyle name="20 % - Akzent5 6 3 6 2" xfId="3680" xr:uid="{00000000-0005-0000-0000-0000F00B0000}"/>
    <cellStyle name="20 % - Akzent5 6 3 7" xfId="3681" xr:uid="{00000000-0005-0000-0000-0000F10B0000}"/>
    <cellStyle name="20 % - Akzent5 6 3 8" xfId="3682" xr:uid="{00000000-0005-0000-0000-0000F20B0000}"/>
    <cellStyle name="20 % - Akzent5 6 4" xfId="3683" xr:uid="{00000000-0005-0000-0000-0000F30B0000}"/>
    <cellStyle name="20 % - Akzent5 6 4 2" xfId="3684" xr:uid="{00000000-0005-0000-0000-0000F40B0000}"/>
    <cellStyle name="20 % - Akzent5 6 4 2 2" xfId="3685" xr:uid="{00000000-0005-0000-0000-0000F50B0000}"/>
    <cellStyle name="20 % - Akzent5 6 4 2 2 2" xfId="3686" xr:uid="{00000000-0005-0000-0000-0000F60B0000}"/>
    <cellStyle name="20 % - Akzent5 6 4 2 2 3" xfId="3687" xr:uid="{00000000-0005-0000-0000-0000F70B0000}"/>
    <cellStyle name="20 % - Akzent5 6 4 2 3" xfId="3688" xr:uid="{00000000-0005-0000-0000-0000F80B0000}"/>
    <cellStyle name="20 % - Akzent5 6 4 2 3 2" xfId="3689" xr:uid="{00000000-0005-0000-0000-0000F90B0000}"/>
    <cellStyle name="20 % - Akzent5 6 4 2 3 3" xfId="3690" xr:uid="{00000000-0005-0000-0000-0000FA0B0000}"/>
    <cellStyle name="20 % - Akzent5 6 4 2 4" xfId="3691" xr:uid="{00000000-0005-0000-0000-0000FB0B0000}"/>
    <cellStyle name="20 % - Akzent5 6 4 2 4 2" xfId="3692" xr:uid="{00000000-0005-0000-0000-0000FC0B0000}"/>
    <cellStyle name="20 % - Akzent5 6 4 2 5" xfId="3693" xr:uid="{00000000-0005-0000-0000-0000FD0B0000}"/>
    <cellStyle name="20 % - Akzent5 6 4 2 6" xfId="3694" xr:uid="{00000000-0005-0000-0000-0000FE0B0000}"/>
    <cellStyle name="20 % - Akzent5 6 4 3" xfId="3695" xr:uid="{00000000-0005-0000-0000-0000FF0B0000}"/>
    <cellStyle name="20 % - Akzent5 6 4 3 2" xfId="3696" xr:uid="{00000000-0005-0000-0000-0000000C0000}"/>
    <cellStyle name="20 % - Akzent5 6 4 3 3" xfId="3697" xr:uid="{00000000-0005-0000-0000-0000010C0000}"/>
    <cellStyle name="20 % - Akzent5 6 4 4" xfId="3698" xr:uid="{00000000-0005-0000-0000-0000020C0000}"/>
    <cellStyle name="20 % - Akzent5 6 4 4 2" xfId="3699" xr:uid="{00000000-0005-0000-0000-0000030C0000}"/>
    <cellStyle name="20 % - Akzent5 6 4 4 3" xfId="3700" xr:uid="{00000000-0005-0000-0000-0000040C0000}"/>
    <cellStyle name="20 % - Akzent5 6 4 5" xfId="3701" xr:uid="{00000000-0005-0000-0000-0000050C0000}"/>
    <cellStyle name="20 % - Akzent5 6 4 5 2" xfId="3702" xr:uid="{00000000-0005-0000-0000-0000060C0000}"/>
    <cellStyle name="20 % - Akzent5 6 4 6" xfId="3703" xr:uid="{00000000-0005-0000-0000-0000070C0000}"/>
    <cellStyle name="20 % - Akzent5 6 4 7" xfId="3704" xr:uid="{00000000-0005-0000-0000-0000080C0000}"/>
    <cellStyle name="20 % - Akzent5 6 5" xfId="3705" xr:uid="{00000000-0005-0000-0000-0000090C0000}"/>
    <cellStyle name="20 % - Akzent5 6 5 2" xfId="3706" xr:uid="{00000000-0005-0000-0000-00000A0C0000}"/>
    <cellStyle name="20 % - Akzent5 6 5 2 2" xfId="3707" xr:uid="{00000000-0005-0000-0000-00000B0C0000}"/>
    <cellStyle name="20 % - Akzent5 6 5 2 3" xfId="3708" xr:uid="{00000000-0005-0000-0000-00000C0C0000}"/>
    <cellStyle name="20 % - Akzent5 6 5 3" xfId="3709" xr:uid="{00000000-0005-0000-0000-00000D0C0000}"/>
    <cellStyle name="20 % - Akzent5 6 5 3 2" xfId="3710" xr:uid="{00000000-0005-0000-0000-00000E0C0000}"/>
    <cellStyle name="20 % - Akzent5 6 5 3 3" xfId="3711" xr:uid="{00000000-0005-0000-0000-00000F0C0000}"/>
    <cellStyle name="20 % - Akzent5 6 5 4" xfId="3712" xr:uid="{00000000-0005-0000-0000-0000100C0000}"/>
    <cellStyle name="20 % - Akzent5 6 5 4 2" xfId="3713" xr:uid="{00000000-0005-0000-0000-0000110C0000}"/>
    <cellStyle name="20 % - Akzent5 6 5 5" xfId="3714" xr:uid="{00000000-0005-0000-0000-0000120C0000}"/>
    <cellStyle name="20 % - Akzent5 6 5 6" xfId="3715" xr:uid="{00000000-0005-0000-0000-0000130C0000}"/>
    <cellStyle name="20 % - Akzent5 6 6" xfId="3716" xr:uid="{00000000-0005-0000-0000-0000140C0000}"/>
    <cellStyle name="20 % - Akzent5 6 6 2" xfId="3717" xr:uid="{00000000-0005-0000-0000-0000150C0000}"/>
    <cellStyle name="20 % - Akzent5 6 6 3" xfId="3718" xr:uid="{00000000-0005-0000-0000-0000160C0000}"/>
    <cellStyle name="20 % - Akzent5 6 7" xfId="3719" xr:uid="{00000000-0005-0000-0000-0000170C0000}"/>
    <cellStyle name="20 % - Akzent5 6 7 2" xfId="3720" xr:uid="{00000000-0005-0000-0000-0000180C0000}"/>
    <cellStyle name="20 % - Akzent5 6 7 3" xfId="3721" xr:uid="{00000000-0005-0000-0000-0000190C0000}"/>
    <cellStyle name="20 % - Akzent5 6 8" xfId="3722" xr:uid="{00000000-0005-0000-0000-00001A0C0000}"/>
    <cellStyle name="20 % - Akzent5 6 8 2" xfId="3723" xr:uid="{00000000-0005-0000-0000-00001B0C0000}"/>
    <cellStyle name="20 % - Akzent5 6 9" xfId="3724" xr:uid="{00000000-0005-0000-0000-00001C0C0000}"/>
    <cellStyle name="20 % - Akzent5 7" xfId="3725" xr:uid="{00000000-0005-0000-0000-00001D0C0000}"/>
    <cellStyle name="20 % - Akzent5 7 2" xfId="3726" xr:uid="{00000000-0005-0000-0000-00001E0C0000}"/>
    <cellStyle name="20 % - Akzent5 7 2 2" xfId="3727" xr:uid="{00000000-0005-0000-0000-00001F0C0000}"/>
    <cellStyle name="20 % - Akzent5 7 2 2 2" xfId="3728" xr:uid="{00000000-0005-0000-0000-0000200C0000}"/>
    <cellStyle name="20 % - Akzent5 7 2 2 2 2" xfId="3729" xr:uid="{00000000-0005-0000-0000-0000210C0000}"/>
    <cellStyle name="20 % - Akzent5 7 2 2 2 3" xfId="3730" xr:uid="{00000000-0005-0000-0000-0000220C0000}"/>
    <cellStyle name="20 % - Akzent5 7 2 2 3" xfId="3731" xr:uid="{00000000-0005-0000-0000-0000230C0000}"/>
    <cellStyle name="20 % - Akzent5 7 2 2 3 2" xfId="3732" xr:uid="{00000000-0005-0000-0000-0000240C0000}"/>
    <cellStyle name="20 % - Akzent5 7 2 2 3 3" xfId="3733" xr:uid="{00000000-0005-0000-0000-0000250C0000}"/>
    <cellStyle name="20 % - Akzent5 7 2 2 4" xfId="3734" xr:uid="{00000000-0005-0000-0000-0000260C0000}"/>
    <cellStyle name="20 % - Akzent5 7 2 2 4 2" xfId="3735" xr:uid="{00000000-0005-0000-0000-0000270C0000}"/>
    <cellStyle name="20 % - Akzent5 7 2 2 5" xfId="3736" xr:uid="{00000000-0005-0000-0000-0000280C0000}"/>
    <cellStyle name="20 % - Akzent5 7 2 2 6" xfId="3737" xr:uid="{00000000-0005-0000-0000-0000290C0000}"/>
    <cellStyle name="20 % - Akzent5 7 2 3" xfId="3738" xr:uid="{00000000-0005-0000-0000-00002A0C0000}"/>
    <cellStyle name="20 % - Akzent5 7 2 3 2" xfId="3739" xr:uid="{00000000-0005-0000-0000-00002B0C0000}"/>
    <cellStyle name="20 % - Akzent5 7 2 3 3" xfId="3740" xr:uid="{00000000-0005-0000-0000-00002C0C0000}"/>
    <cellStyle name="20 % - Akzent5 7 2 4" xfId="3741" xr:uid="{00000000-0005-0000-0000-00002D0C0000}"/>
    <cellStyle name="20 % - Akzent5 7 2 4 2" xfId="3742" xr:uid="{00000000-0005-0000-0000-00002E0C0000}"/>
    <cellStyle name="20 % - Akzent5 7 2 4 3" xfId="3743" xr:uid="{00000000-0005-0000-0000-00002F0C0000}"/>
    <cellStyle name="20 % - Akzent5 7 2 5" xfId="3744" xr:uid="{00000000-0005-0000-0000-0000300C0000}"/>
    <cellStyle name="20 % - Akzent5 7 2 5 2" xfId="3745" xr:uid="{00000000-0005-0000-0000-0000310C0000}"/>
    <cellStyle name="20 % - Akzent5 7 2 6" xfId="3746" xr:uid="{00000000-0005-0000-0000-0000320C0000}"/>
    <cellStyle name="20 % - Akzent5 7 2 7" xfId="3747" xr:uid="{00000000-0005-0000-0000-0000330C0000}"/>
    <cellStyle name="20 % - Akzent5 7 3" xfId="3748" xr:uid="{00000000-0005-0000-0000-0000340C0000}"/>
    <cellStyle name="20 % - Akzent5 7 3 2" xfId="3749" xr:uid="{00000000-0005-0000-0000-0000350C0000}"/>
    <cellStyle name="20 % - Akzent5 7 3 2 2" xfId="3750" xr:uid="{00000000-0005-0000-0000-0000360C0000}"/>
    <cellStyle name="20 % - Akzent5 7 3 2 3" xfId="3751" xr:uid="{00000000-0005-0000-0000-0000370C0000}"/>
    <cellStyle name="20 % - Akzent5 7 3 3" xfId="3752" xr:uid="{00000000-0005-0000-0000-0000380C0000}"/>
    <cellStyle name="20 % - Akzent5 7 3 3 2" xfId="3753" xr:uid="{00000000-0005-0000-0000-0000390C0000}"/>
    <cellStyle name="20 % - Akzent5 7 3 3 3" xfId="3754" xr:uid="{00000000-0005-0000-0000-00003A0C0000}"/>
    <cellStyle name="20 % - Akzent5 7 3 4" xfId="3755" xr:uid="{00000000-0005-0000-0000-00003B0C0000}"/>
    <cellStyle name="20 % - Akzent5 7 3 4 2" xfId="3756" xr:uid="{00000000-0005-0000-0000-00003C0C0000}"/>
    <cellStyle name="20 % - Akzent5 7 3 5" xfId="3757" xr:uid="{00000000-0005-0000-0000-00003D0C0000}"/>
    <cellStyle name="20 % - Akzent5 7 3 6" xfId="3758" xr:uid="{00000000-0005-0000-0000-00003E0C0000}"/>
    <cellStyle name="20 % - Akzent5 7 4" xfId="3759" xr:uid="{00000000-0005-0000-0000-00003F0C0000}"/>
    <cellStyle name="20 % - Akzent5 7 4 2" xfId="3760" xr:uid="{00000000-0005-0000-0000-0000400C0000}"/>
    <cellStyle name="20 % - Akzent5 7 4 3" xfId="3761" xr:uid="{00000000-0005-0000-0000-0000410C0000}"/>
    <cellStyle name="20 % - Akzent5 7 5" xfId="3762" xr:uid="{00000000-0005-0000-0000-0000420C0000}"/>
    <cellStyle name="20 % - Akzent5 7 5 2" xfId="3763" xr:uid="{00000000-0005-0000-0000-0000430C0000}"/>
    <cellStyle name="20 % - Akzent5 7 5 3" xfId="3764" xr:uid="{00000000-0005-0000-0000-0000440C0000}"/>
    <cellStyle name="20 % - Akzent5 7 6" xfId="3765" xr:uid="{00000000-0005-0000-0000-0000450C0000}"/>
    <cellStyle name="20 % - Akzent5 7 6 2" xfId="3766" xr:uid="{00000000-0005-0000-0000-0000460C0000}"/>
    <cellStyle name="20 % - Akzent5 7 7" xfId="3767" xr:uid="{00000000-0005-0000-0000-0000470C0000}"/>
    <cellStyle name="20 % - Akzent5 7 8" xfId="3768" xr:uid="{00000000-0005-0000-0000-0000480C0000}"/>
    <cellStyle name="20 % - Akzent6 2" xfId="93" xr:uid="{00000000-0005-0000-0000-0000490C0000}"/>
    <cellStyle name="20 % - Akzent6 2 2" xfId="94" xr:uid="{00000000-0005-0000-0000-00004A0C0000}"/>
    <cellStyle name="20 % - Akzent6 2 2 2" xfId="95" xr:uid="{00000000-0005-0000-0000-00004B0C0000}"/>
    <cellStyle name="20 % - Akzent6 2 2 3" xfId="33073" xr:uid="{00000000-0005-0000-0000-00004C0C0000}"/>
    <cellStyle name="20 % - Akzent6 2 2 4" xfId="33148" xr:uid="{00000000-0005-0000-0000-00004D0C0000}"/>
    <cellStyle name="20 % - Akzent6 2 2 5" xfId="33223" xr:uid="{00000000-0005-0000-0000-00004E0C0000}"/>
    <cellStyle name="20 % - Akzent6 2 2 6" xfId="33298" xr:uid="{00000000-0005-0000-0000-00004F0C0000}"/>
    <cellStyle name="20 % - Akzent6 2 3" xfId="96" xr:uid="{00000000-0005-0000-0000-0000500C0000}"/>
    <cellStyle name="20 % - Akzent6 2 3 2" xfId="33074" xr:uid="{00000000-0005-0000-0000-0000510C0000}"/>
    <cellStyle name="20 % - Akzent6 2 3 3" xfId="33149" xr:uid="{00000000-0005-0000-0000-0000520C0000}"/>
    <cellStyle name="20 % - Akzent6 2 3 4" xfId="33224" xr:uid="{00000000-0005-0000-0000-0000530C0000}"/>
    <cellStyle name="20 % - Akzent6 2 3 5" xfId="33299" xr:uid="{00000000-0005-0000-0000-0000540C0000}"/>
    <cellStyle name="20 % - Akzent6 2 4" xfId="97" xr:uid="{00000000-0005-0000-0000-0000550C0000}"/>
    <cellStyle name="20 % - Akzent6 2 4 2" xfId="33075" xr:uid="{00000000-0005-0000-0000-0000560C0000}"/>
    <cellStyle name="20 % - Akzent6 2 4 3" xfId="33150" xr:uid="{00000000-0005-0000-0000-0000570C0000}"/>
    <cellStyle name="20 % - Akzent6 2 4 4" xfId="33225" xr:uid="{00000000-0005-0000-0000-0000580C0000}"/>
    <cellStyle name="20 % - Akzent6 2 4 5" xfId="33300" xr:uid="{00000000-0005-0000-0000-0000590C0000}"/>
    <cellStyle name="20 % - Akzent6 2 5" xfId="98" xr:uid="{00000000-0005-0000-0000-00005A0C0000}"/>
    <cellStyle name="20 % - Akzent6 2 6" xfId="33072" xr:uid="{00000000-0005-0000-0000-00005B0C0000}"/>
    <cellStyle name="20 % - Akzent6 2 7" xfId="33147" xr:uid="{00000000-0005-0000-0000-00005C0C0000}"/>
    <cellStyle name="20 % - Akzent6 2 8" xfId="33222" xr:uid="{00000000-0005-0000-0000-00005D0C0000}"/>
    <cellStyle name="20 % - Akzent6 2 9" xfId="33297" xr:uid="{00000000-0005-0000-0000-00005E0C0000}"/>
    <cellStyle name="20 % - Akzent6 3" xfId="99" xr:uid="{00000000-0005-0000-0000-00005F0C0000}"/>
    <cellStyle name="20 % - Akzent6 3 2" xfId="100" xr:uid="{00000000-0005-0000-0000-0000600C0000}"/>
    <cellStyle name="20 % - Akzent6 3 2 10" xfId="3769" xr:uid="{00000000-0005-0000-0000-0000610C0000}"/>
    <cellStyle name="20 % - Akzent6 3 2 11" xfId="3770" xr:uid="{00000000-0005-0000-0000-0000620C0000}"/>
    <cellStyle name="20 % - Akzent6 3 2 12" xfId="33076" xr:uid="{00000000-0005-0000-0000-0000630C0000}"/>
    <cellStyle name="20 % - Akzent6 3 2 13" xfId="33151" xr:uid="{00000000-0005-0000-0000-0000640C0000}"/>
    <cellStyle name="20 % - Akzent6 3 2 14" xfId="33226" xr:uid="{00000000-0005-0000-0000-0000650C0000}"/>
    <cellStyle name="20 % - Akzent6 3 2 15" xfId="33301" xr:uid="{00000000-0005-0000-0000-0000660C0000}"/>
    <cellStyle name="20 % - Akzent6 3 2 2" xfId="3771" xr:uid="{00000000-0005-0000-0000-0000670C0000}"/>
    <cellStyle name="20 % - Akzent6 3 2 2 10" xfId="3772" xr:uid="{00000000-0005-0000-0000-0000680C0000}"/>
    <cellStyle name="20 % - Akzent6 3 2 2 2" xfId="3773" xr:uid="{00000000-0005-0000-0000-0000690C0000}"/>
    <cellStyle name="20 % - Akzent6 3 2 2 2 2" xfId="3774" xr:uid="{00000000-0005-0000-0000-00006A0C0000}"/>
    <cellStyle name="20 % - Akzent6 3 2 2 2 2 2" xfId="3775" xr:uid="{00000000-0005-0000-0000-00006B0C0000}"/>
    <cellStyle name="20 % - Akzent6 3 2 2 2 2 2 2" xfId="3776" xr:uid="{00000000-0005-0000-0000-00006C0C0000}"/>
    <cellStyle name="20 % - Akzent6 3 2 2 2 2 2 2 2" xfId="3777" xr:uid="{00000000-0005-0000-0000-00006D0C0000}"/>
    <cellStyle name="20 % - Akzent6 3 2 2 2 2 2 2 3" xfId="3778" xr:uid="{00000000-0005-0000-0000-00006E0C0000}"/>
    <cellStyle name="20 % - Akzent6 3 2 2 2 2 2 3" xfId="3779" xr:uid="{00000000-0005-0000-0000-00006F0C0000}"/>
    <cellStyle name="20 % - Akzent6 3 2 2 2 2 2 3 2" xfId="3780" xr:uid="{00000000-0005-0000-0000-0000700C0000}"/>
    <cellStyle name="20 % - Akzent6 3 2 2 2 2 2 3 3" xfId="3781" xr:uid="{00000000-0005-0000-0000-0000710C0000}"/>
    <cellStyle name="20 % - Akzent6 3 2 2 2 2 2 4" xfId="3782" xr:uid="{00000000-0005-0000-0000-0000720C0000}"/>
    <cellStyle name="20 % - Akzent6 3 2 2 2 2 2 4 2" xfId="3783" xr:uid="{00000000-0005-0000-0000-0000730C0000}"/>
    <cellStyle name="20 % - Akzent6 3 2 2 2 2 2 5" xfId="3784" xr:uid="{00000000-0005-0000-0000-0000740C0000}"/>
    <cellStyle name="20 % - Akzent6 3 2 2 2 2 2 6" xfId="3785" xr:uid="{00000000-0005-0000-0000-0000750C0000}"/>
    <cellStyle name="20 % - Akzent6 3 2 2 2 2 3" xfId="3786" xr:uid="{00000000-0005-0000-0000-0000760C0000}"/>
    <cellStyle name="20 % - Akzent6 3 2 2 2 2 3 2" xfId="3787" xr:uid="{00000000-0005-0000-0000-0000770C0000}"/>
    <cellStyle name="20 % - Akzent6 3 2 2 2 2 3 3" xfId="3788" xr:uid="{00000000-0005-0000-0000-0000780C0000}"/>
    <cellStyle name="20 % - Akzent6 3 2 2 2 2 4" xfId="3789" xr:uid="{00000000-0005-0000-0000-0000790C0000}"/>
    <cellStyle name="20 % - Akzent6 3 2 2 2 2 4 2" xfId="3790" xr:uid="{00000000-0005-0000-0000-00007A0C0000}"/>
    <cellStyle name="20 % - Akzent6 3 2 2 2 2 4 3" xfId="3791" xr:uid="{00000000-0005-0000-0000-00007B0C0000}"/>
    <cellStyle name="20 % - Akzent6 3 2 2 2 2 5" xfId="3792" xr:uid="{00000000-0005-0000-0000-00007C0C0000}"/>
    <cellStyle name="20 % - Akzent6 3 2 2 2 2 5 2" xfId="3793" xr:uid="{00000000-0005-0000-0000-00007D0C0000}"/>
    <cellStyle name="20 % - Akzent6 3 2 2 2 2 6" xfId="3794" xr:uid="{00000000-0005-0000-0000-00007E0C0000}"/>
    <cellStyle name="20 % - Akzent6 3 2 2 2 2 7" xfId="3795" xr:uid="{00000000-0005-0000-0000-00007F0C0000}"/>
    <cellStyle name="20 % - Akzent6 3 2 2 2 3" xfId="3796" xr:uid="{00000000-0005-0000-0000-0000800C0000}"/>
    <cellStyle name="20 % - Akzent6 3 2 2 2 3 2" xfId="3797" xr:uid="{00000000-0005-0000-0000-0000810C0000}"/>
    <cellStyle name="20 % - Akzent6 3 2 2 2 3 2 2" xfId="3798" xr:uid="{00000000-0005-0000-0000-0000820C0000}"/>
    <cellStyle name="20 % - Akzent6 3 2 2 2 3 2 3" xfId="3799" xr:uid="{00000000-0005-0000-0000-0000830C0000}"/>
    <cellStyle name="20 % - Akzent6 3 2 2 2 3 3" xfId="3800" xr:uid="{00000000-0005-0000-0000-0000840C0000}"/>
    <cellStyle name="20 % - Akzent6 3 2 2 2 3 3 2" xfId="3801" xr:uid="{00000000-0005-0000-0000-0000850C0000}"/>
    <cellStyle name="20 % - Akzent6 3 2 2 2 3 3 3" xfId="3802" xr:uid="{00000000-0005-0000-0000-0000860C0000}"/>
    <cellStyle name="20 % - Akzent6 3 2 2 2 3 4" xfId="3803" xr:uid="{00000000-0005-0000-0000-0000870C0000}"/>
    <cellStyle name="20 % - Akzent6 3 2 2 2 3 4 2" xfId="3804" xr:uid="{00000000-0005-0000-0000-0000880C0000}"/>
    <cellStyle name="20 % - Akzent6 3 2 2 2 3 5" xfId="3805" xr:uid="{00000000-0005-0000-0000-0000890C0000}"/>
    <cellStyle name="20 % - Akzent6 3 2 2 2 3 6" xfId="3806" xr:uid="{00000000-0005-0000-0000-00008A0C0000}"/>
    <cellStyle name="20 % - Akzent6 3 2 2 2 4" xfId="3807" xr:uid="{00000000-0005-0000-0000-00008B0C0000}"/>
    <cellStyle name="20 % - Akzent6 3 2 2 2 4 2" xfId="3808" xr:uid="{00000000-0005-0000-0000-00008C0C0000}"/>
    <cellStyle name="20 % - Akzent6 3 2 2 2 4 3" xfId="3809" xr:uid="{00000000-0005-0000-0000-00008D0C0000}"/>
    <cellStyle name="20 % - Akzent6 3 2 2 2 5" xfId="3810" xr:uid="{00000000-0005-0000-0000-00008E0C0000}"/>
    <cellStyle name="20 % - Akzent6 3 2 2 2 5 2" xfId="3811" xr:uid="{00000000-0005-0000-0000-00008F0C0000}"/>
    <cellStyle name="20 % - Akzent6 3 2 2 2 5 3" xfId="3812" xr:uid="{00000000-0005-0000-0000-0000900C0000}"/>
    <cellStyle name="20 % - Akzent6 3 2 2 2 6" xfId="3813" xr:uid="{00000000-0005-0000-0000-0000910C0000}"/>
    <cellStyle name="20 % - Akzent6 3 2 2 2 6 2" xfId="3814" xr:uid="{00000000-0005-0000-0000-0000920C0000}"/>
    <cellStyle name="20 % - Akzent6 3 2 2 2 7" xfId="3815" xr:uid="{00000000-0005-0000-0000-0000930C0000}"/>
    <cellStyle name="20 % - Akzent6 3 2 2 2 8" xfId="3816" xr:uid="{00000000-0005-0000-0000-0000940C0000}"/>
    <cellStyle name="20 % - Akzent6 3 2 2 3" xfId="3817" xr:uid="{00000000-0005-0000-0000-0000950C0000}"/>
    <cellStyle name="20 % - Akzent6 3 2 2 3 2" xfId="3818" xr:uid="{00000000-0005-0000-0000-0000960C0000}"/>
    <cellStyle name="20 % - Akzent6 3 2 2 3 2 2" xfId="3819" xr:uid="{00000000-0005-0000-0000-0000970C0000}"/>
    <cellStyle name="20 % - Akzent6 3 2 2 3 2 2 2" xfId="3820" xr:uid="{00000000-0005-0000-0000-0000980C0000}"/>
    <cellStyle name="20 % - Akzent6 3 2 2 3 2 2 2 2" xfId="3821" xr:uid="{00000000-0005-0000-0000-0000990C0000}"/>
    <cellStyle name="20 % - Akzent6 3 2 2 3 2 2 2 3" xfId="3822" xr:uid="{00000000-0005-0000-0000-00009A0C0000}"/>
    <cellStyle name="20 % - Akzent6 3 2 2 3 2 2 3" xfId="3823" xr:uid="{00000000-0005-0000-0000-00009B0C0000}"/>
    <cellStyle name="20 % - Akzent6 3 2 2 3 2 2 3 2" xfId="3824" xr:uid="{00000000-0005-0000-0000-00009C0C0000}"/>
    <cellStyle name="20 % - Akzent6 3 2 2 3 2 2 3 3" xfId="3825" xr:uid="{00000000-0005-0000-0000-00009D0C0000}"/>
    <cellStyle name="20 % - Akzent6 3 2 2 3 2 2 4" xfId="3826" xr:uid="{00000000-0005-0000-0000-00009E0C0000}"/>
    <cellStyle name="20 % - Akzent6 3 2 2 3 2 2 4 2" xfId="3827" xr:uid="{00000000-0005-0000-0000-00009F0C0000}"/>
    <cellStyle name="20 % - Akzent6 3 2 2 3 2 2 5" xfId="3828" xr:uid="{00000000-0005-0000-0000-0000A00C0000}"/>
    <cellStyle name="20 % - Akzent6 3 2 2 3 2 2 6" xfId="3829" xr:uid="{00000000-0005-0000-0000-0000A10C0000}"/>
    <cellStyle name="20 % - Akzent6 3 2 2 3 2 3" xfId="3830" xr:uid="{00000000-0005-0000-0000-0000A20C0000}"/>
    <cellStyle name="20 % - Akzent6 3 2 2 3 2 3 2" xfId="3831" xr:uid="{00000000-0005-0000-0000-0000A30C0000}"/>
    <cellStyle name="20 % - Akzent6 3 2 2 3 2 3 3" xfId="3832" xr:uid="{00000000-0005-0000-0000-0000A40C0000}"/>
    <cellStyle name="20 % - Akzent6 3 2 2 3 2 4" xfId="3833" xr:uid="{00000000-0005-0000-0000-0000A50C0000}"/>
    <cellStyle name="20 % - Akzent6 3 2 2 3 2 4 2" xfId="3834" xr:uid="{00000000-0005-0000-0000-0000A60C0000}"/>
    <cellStyle name="20 % - Akzent6 3 2 2 3 2 4 3" xfId="3835" xr:uid="{00000000-0005-0000-0000-0000A70C0000}"/>
    <cellStyle name="20 % - Akzent6 3 2 2 3 2 5" xfId="3836" xr:uid="{00000000-0005-0000-0000-0000A80C0000}"/>
    <cellStyle name="20 % - Akzent6 3 2 2 3 2 5 2" xfId="3837" xr:uid="{00000000-0005-0000-0000-0000A90C0000}"/>
    <cellStyle name="20 % - Akzent6 3 2 2 3 2 6" xfId="3838" xr:uid="{00000000-0005-0000-0000-0000AA0C0000}"/>
    <cellStyle name="20 % - Akzent6 3 2 2 3 2 7" xfId="3839" xr:uid="{00000000-0005-0000-0000-0000AB0C0000}"/>
    <cellStyle name="20 % - Akzent6 3 2 2 3 3" xfId="3840" xr:uid="{00000000-0005-0000-0000-0000AC0C0000}"/>
    <cellStyle name="20 % - Akzent6 3 2 2 3 3 2" xfId="3841" xr:uid="{00000000-0005-0000-0000-0000AD0C0000}"/>
    <cellStyle name="20 % - Akzent6 3 2 2 3 3 2 2" xfId="3842" xr:uid="{00000000-0005-0000-0000-0000AE0C0000}"/>
    <cellStyle name="20 % - Akzent6 3 2 2 3 3 2 3" xfId="3843" xr:uid="{00000000-0005-0000-0000-0000AF0C0000}"/>
    <cellStyle name="20 % - Akzent6 3 2 2 3 3 3" xfId="3844" xr:uid="{00000000-0005-0000-0000-0000B00C0000}"/>
    <cellStyle name="20 % - Akzent6 3 2 2 3 3 3 2" xfId="3845" xr:uid="{00000000-0005-0000-0000-0000B10C0000}"/>
    <cellStyle name="20 % - Akzent6 3 2 2 3 3 3 3" xfId="3846" xr:uid="{00000000-0005-0000-0000-0000B20C0000}"/>
    <cellStyle name="20 % - Akzent6 3 2 2 3 3 4" xfId="3847" xr:uid="{00000000-0005-0000-0000-0000B30C0000}"/>
    <cellStyle name="20 % - Akzent6 3 2 2 3 3 4 2" xfId="3848" xr:uid="{00000000-0005-0000-0000-0000B40C0000}"/>
    <cellStyle name="20 % - Akzent6 3 2 2 3 3 5" xfId="3849" xr:uid="{00000000-0005-0000-0000-0000B50C0000}"/>
    <cellStyle name="20 % - Akzent6 3 2 2 3 3 6" xfId="3850" xr:uid="{00000000-0005-0000-0000-0000B60C0000}"/>
    <cellStyle name="20 % - Akzent6 3 2 2 3 4" xfId="3851" xr:uid="{00000000-0005-0000-0000-0000B70C0000}"/>
    <cellStyle name="20 % - Akzent6 3 2 2 3 4 2" xfId="3852" xr:uid="{00000000-0005-0000-0000-0000B80C0000}"/>
    <cellStyle name="20 % - Akzent6 3 2 2 3 4 3" xfId="3853" xr:uid="{00000000-0005-0000-0000-0000B90C0000}"/>
    <cellStyle name="20 % - Akzent6 3 2 2 3 5" xfId="3854" xr:uid="{00000000-0005-0000-0000-0000BA0C0000}"/>
    <cellStyle name="20 % - Akzent6 3 2 2 3 5 2" xfId="3855" xr:uid="{00000000-0005-0000-0000-0000BB0C0000}"/>
    <cellStyle name="20 % - Akzent6 3 2 2 3 5 3" xfId="3856" xr:uid="{00000000-0005-0000-0000-0000BC0C0000}"/>
    <cellStyle name="20 % - Akzent6 3 2 2 3 6" xfId="3857" xr:uid="{00000000-0005-0000-0000-0000BD0C0000}"/>
    <cellStyle name="20 % - Akzent6 3 2 2 3 6 2" xfId="3858" xr:uid="{00000000-0005-0000-0000-0000BE0C0000}"/>
    <cellStyle name="20 % - Akzent6 3 2 2 3 7" xfId="3859" xr:uid="{00000000-0005-0000-0000-0000BF0C0000}"/>
    <cellStyle name="20 % - Akzent6 3 2 2 3 8" xfId="3860" xr:uid="{00000000-0005-0000-0000-0000C00C0000}"/>
    <cellStyle name="20 % - Akzent6 3 2 2 4" xfId="3861" xr:uid="{00000000-0005-0000-0000-0000C10C0000}"/>
    <cellStyle name="20 % - Akzent6 3 2 2 4 2" xfId="3862" xr:uid="{00000000-0005-0000-0000-0000C20C0000}"/>
    <cellStyle name="20 % - Akzent6 3 2 2 4 2 2" xfId="3863" xr:uid="{00000000-0005-0000-0000-0000C30C0000}"/>
    <cellStyle name="20 % - Akzent6 3 2 2 4 2 2 2" xfId="3864" xr:uid="{00000000-0005-0000-0000-0000C40C0000}"/>
    <cellStyle name="20 % - Akzent6 3 2 2 4 2 2 3" xfId="3865" xr:uid="{00000000-0005-0000-0000-0000C50C0000}"/>
    <cellStyle name="20 % - Akzent6 3 2 2 4 2 3" xfId="3866" xr:uid="{00000000-0005-0000-0000-0000C60C0000}"/>
    <cellStyle name="20 % - Akzent6 3 2 2 4 2 3 2" xfId="3867" xr:uid="{00000000-0005-0000-0000-0000C70C0000}"/>
    <cellStyle name="20 % - Akzent6 3 2 2 4 2 3 3" xfId="3868" xr:uid="{00000000-0005-0000-0000-0000C80C0000}"/>
    <cellStyle name="20 % - Akzent6 3 2 2 4 2 4" xfId="3869" xr:uid="{00000000-0005-0000-0000-0000C90C0000}"/>
    <cellStyle name="20 % - Akzent6 3 2 2 4 2 4 2" xfId="3870" xr:uid="{00000000-0005-0000-0000-0000CA0C0000}"/>
    <cellStyle name="20 % - Akzent6 3 2 2 4 2 5" xfId="3871" xr:uid="{00000000-0005-0000-0000-0000CB0C0000}"/>
    <cellStyle name="20 % - Akzent6 3 2 2 4 2 6" xfId="3872" xr:uid="{00000000-0005-0000-0000-0000CC0C0000}"/>
    <cellStyle name="20 % - Akzent6 3 2 2 4 3" xfId="3873" xr:uid="{00000000-0005-0000-0000-0000CD0C0000}"/>
    <cellStyle name="20 % - Akzent6 3 2 2 4 3 2" xfId="3874" xr:uid="{00000000-0005-0000-0000-0000CE0C0000}"/>
    <cellStyle name="20 % - Akzent6 3 2 2 4 3 3" xfId="3875" xr:uid="{00000000-0005-0000-0000-0000CF0C0000}"/>
    <cellStyle name="20 % - Akzent6 3 2 2 4 4" xfId="3876" xr:uid="{00000000-0005-0000-0000-0000D00C0000}"/>
    <cellStyle name="20 % - Akzent6 3 2 2 4 4 2" xfId="3877" xr:uid="{00000000-0005-0000-0000-0000D10C0000}"/>
    <cellStyle name="20 % - Akzent6 3 2 2 4 4 3" xfId="3878" xr:uid="{00000000-0005-0000-0000-0000D20C0000}"/>
    <cellStyle name="20 % - Akzent6 3 2 2 4 5" xfId="3879" xr:uid="{00000000-0005-0000-0000-0000D30C0000}"/>
    <cellStyle name="20 % - Akzent6 3 2 2 4 5 2" xfId="3880" xr:uid="{00000000-0005-0000-0000-0000D40C0000}"/>
    <cellStyle name="20 % - Akzent6 3 2 2 4 6" xfId="3881" xr:uid="{00000000-0005-0000-0000-0000D50C0000}"/>
    <cellStyle name="20 % - Akzent6 3 2 2 4 7" xfId="3882" xr:uid="{00000000-0005-0000-0000-0000D60C0000}"/>
    <cellStyle name="20 % - Akzent6 3 2 2 5" xfId="3883" xr:uid="{00000000-0005-0000-0000-0000D70C0000}"/>
    <cellStyle name="20 % - Akzent6 3 2 2 5 2" xfId="3884" xr:uid="{00000000-0005-0000-0000-0000D80C0000}"/>
    <cellStyle name="20 % - Akzent6 3 2 2 5 2 2" xfId="3885" xr:uid="{00000000-0005-0000-0000-0000D90C0000}"/>
    <cellStyle name="20 % - Akzent6 3 2 2 5 2 3" xfId="3886" xr:uid="{00000000-0005-0000-0000-0000DA0C0000}"/>
    <cellStyle name="20 % - Akzent6 3 2 2 5 3" xfId="3887" xr:uid="{00000000-0005-0000-0000-0000DB0C0000}"/>
    <cellStyle name="20 % - Akzent6 3 2 2 5 3 2" xfId="3888" xr:uid="{00000000-0005-0000-0000-0000DC0C0000}"/>
    <cellStyle name="20 % - Akzent6 3 2 2 5 3 3" xfId="3889" xr:uid="{00000000-0005-0000-0000-0000DD0C0000}"/>
    <cellStyle name="20 % - Akzent6 3 2 2 5 4" xfId="3890" xr:uid="{00000000-0005-0000-0000-0000DE0C0000}"/>
    <cellStyle name="20 % - Akzent6 3 2 2 5 4 2" xfId="3891" xr:uid="{00000000-0005-0000-0000-0000DF0C0000}"/>
    <cellStyle name="20 % - Akzent6 3 2 2 5 5" xfId="3892" xr:uid="{00000000-0005-0000-0000-0000E00C0000}"/>
    <cellStyle name="20 % - Akzent6 3 2 2 5 6" xfId="3893" xr:uid="{00000000-0005-0000-0000-0000E10C0000}"/>
    <cellStyle name="20 % - Akzent6 3 2 2 6" xfId="3894" xr:uid="{00000000-0005-0000-0000-0000E20C0000}"/>
    <cellStyle name="20 % - Akzent6 3 2 2 6 2" xfId="3895" xr:uid="{00000000-0005-0000-0000-0000E30C0000}"/>
    <cellStyle name="20 % - Akzent6 3 2 2 6 3" xfId="3896" xr:uid="{00000000-0005-0000-0000-0000E40C0000}"/>
    <cellStyle name="20 % - Akzent6 3 2 2 7" xfId="3897" xr:uid="{00000000-0005-0000-0000-0000E50C0000}"/>
    <cellStyle name="20 % - Akzent6 3 2 2 7 2" xfId="3898" xr:uid="{00000000-0005-0000-0000-0000E60C0000}"/>
    <cellStyle name="20 % - Akzent6 3 2 2 7 3" xfId="3899" xr:uid="{00000000-0005-0000-0000-0000E70C0000}"/>
    <cellStyle name="20 % - Akzent6 3 2 2 8" xfId="3900" xr:uid="{00000000-0005-0000-0000-0000E80C0000}"/>
    <cellStyle name="20 % - Akzent6 3 2 2 8 2" xfId="3901" xr:uid="{00000000-0005-0000-0000-0000E90C0000}"/>
    <cellStyle name="20 % - Akzent6 3 2 2 9" xfId="3902" xr:uid="{00000000-0005-0000-0000-0000EA0C0000}"/>
    <cellStyle name="20 % - Akzent6 3 2 3" xfId="3903" xr:uid="{00000000-0005-0000-0000-0000EB0C0000}"/>
    <cellStyle name="20 % - Akzent6 3 2 3 2" xfId="3904" xr:uid="{00000000-0005-0000-0000-0000EC0C0000}"/>
    <cellStyle name="20 % - Akzent6 3 2 3 2 2" xfId="3905" xr:uid="{00000000-0005-0000-0000-0000ED0C0000}"/>
    <cellStyle name="20 % - Akzent6 3 2 3 2 2 2" xfId="3906" xr:uid="{00000000-0005-0000-0000-0000EE0C0000}"/>
    <cellStyle name="20 % - Akzent6 3 2 3 2 2 2 2" xfId="3907" xr:uid="{00000000-0005-0000-0000-0000EF0C0000}"/>
    <cellStyle name="20 % - Akzent6 3 2 3 2 2 2 3" xfId="3908" xr:uid="{00000000-0005-0000-0000-0000F00C0000}"/>
    <cellStyle name="20 % - Akzent6 3 2 3 2 2 3" xfId="3909" xr:uid="{00000000-0005-0000-0000-0000F10C0000}"/>
    <cellStyle name="20 % - Akzent6 3 2 3 2 2 3 2" xfId="3910" xr:uid="{00000000-0005-0000-0000-0000F20C0000}"/>
    <cellStyle name="20 % - Akzent6 3 2 3 2 2 3 3" xfId="3911" xr:uid="{00000000-0005-0000-0000-0000F30C0000}"/>
    <cellStyle name="20 % - Akzent6 3 2 3 2 2 4" xfId="3912" xr:uid="{00000000-0005-0000-0000-0000F40C0000}"/>
    <cellStyle name="20 % - Akzent6 3 2 3 2 2 4 2" xfId="3913" xr:uid="{00000000-0005-0000-0000-0000F50C0000}"/>
    <cellStyle name="20 % - Akzent6 3 2 3 2 2 5" xfId="3914" xr:uid="{00000000-0005-0000-0000-0000F60C0000}"/>
    <cellStyle name="20 % - Akzent6 3 2 3 2 2 6" xfId="3915" xr:uid="{00000000-0005-0000-0000-0000F70C0000}"/>
    <cellStyle name="20 % - Akzent6 3 2 3 2 3" xfId="3916" xr:uid="{00000000-0005-0000-0000-0000F80C0000}"/>
    <cellStyle name="20 % - Akzent6 3 2 3 2 3 2" xfId="3917" xr:uid="{00000000-0005-0000-0000-0000F90C0000}"/>
    <cellStyle name="20 % - Akzent6 3 2 3 2 3 3" xfId="3918" xr:uid="{00000000-0005-0000-0000-0000FA0C0000}"/>
    <cellStyle name="20 % - Akzent6 3 2 3 2 4" xfId="3919" xr:uid="{00000000-0005-0000-0000-0000FB0C0000}"/>
    <cellStyle name="20 % - Akzent6 3 2 3 2 4 2" xfId="3920" xr:uid="{00000000-0005-0000-0000-0000FC0C0000}"/>
    <cellStyle name="20 % - Akzent6 3 2 3 2 4 3" xfId="3921" xr:uid="{00000000-0005-0000-0000-0000FD0C0000}"/>
    <cellStyle name="20 % - Akzent6 3 2 3 2 5" xfId="3922" xr:uid="{00000000-0005-0000-0000-0000FE0C0000}"/>
    <cellStyle name="20 % - Akzent6 3 2 3 2 5 2" xfId="3923" xr:uid="{00000000-0005-0000-0000-0000FF0C0000}"/>
    <cellStyle name="20 % - Akzent6 3 2 3 2 6" xfId="3924" xr:uid="{00000000-0005-0000-0000-0000000D0000}"/>
    <cellStyle name="20 % - Akzent6 3 2 3 2 7" xfId="3925" xr:uid="{00000000-0005-0000-0000-0000010D0000}"/>
    <cellStyle name="20 % - Akzent6 3 2 3 3" xfId="3926" xr:uid="{00000000-0005-0000-0000-0000020D0000}"/>
    <cellStyle name="20 % - Akzent6 3 2 3 3 2" xfId="3927" xr:uid="{00000000-0005-0000-0000-0000030D0000}"/>
    <cellStyle name="20 % - Akzent6 3 2 3 3 2 2" xfId="3928" xr:uid="{00000000-0005-0000-0000-0000040D0000}"/>
    <cellStyle name="20 % - Akzent6 3 2 3 3 2 3" xfId="3929" xr:uid="{00000000-0005-0000-0000-0000050D0000}"/>
    <cellStyle name="20 % - Akzent6 3 2 3 3 3" xfId="3930" xr:uid="{00000000-0005-0000-0000-0000060D0000}"/>
    <cellStyle name="20 % - Akzent6 3 2 3 3 3 2" xfId="3931" xr:uid="{00000000-0005-0000-0000-0000070D0000}"/>
    <cellStyle name="20 % - Akzent6 3 2 3 3 3 3" xfId="3932" xr:uid="{00000000-0005-0000-0000-0000080D0000}"/>
    <cellStyle name="20 % - Akzent6 3 2 3 3 4" xfId="3933" xr:uid="{00000000-0005-0000-0000-0000090D0000}"/>
    <cellStyle name="20 % - Akzent6 3 2 3 3 4 2" xfId="3934" xr:uid="{00000000-0005-0000-0000-00000A0D0000}"/>
    <cellStyle name="20 % - Akzent6 3 2 3 3 5" xfId="3935" xr:uid="{00000000-0005-0000-0000-00000B0D0000}"/>
    <cellStyle name="20 % - Akzent6 3 2 3 3 6" xfId="3936" xr:uid="{00000000-0005-0000-0000-00000C0D0000}"/>
    <cellStyle name="20 % - Akzent6 3 2 3 4" xfId="3937" xr:uid="{00000000-0005-0000-0000-00000D0D0000}"/>
    <cellStyle name="20 % - Akzent6 3 2 3 4 2" xfId="3938" xr:uid="{00000000-0005-0000-0000-00000E0D0000}"/>
    <cellStyle name="20 % - Akzent6 3 2 3 4 3" xfId="3939" xr:uid="{00000000-0005-0000-0000-00000F0D0000}"/>
    <cellStyle name="20 % - Akzent6 3 2 3 5" xfId="3940" xr:uid="{00000000-0005-0000-0000-0000100D0000}"/>
    <cellStyle name="20 % - Akzent6 3 2 3 5 2" xfId="3941" xr:uid="{00000000-0005-0000-0000-0000110D0000}"/>
    <cellStyle name="20 % - Akzent6 3 2 3 5 3" xfId="3942" xr:uid="{00000000-0005-0000-0000-0000120D0000}"/>
    <cellStyle name="20 % - Akzent6 3 2 3 6" xfId="3943" xr:uid="{00000000-0005-0000-0000-0000130D0000}"/>
    <cellStyle name="20 % - Akzent6 3 2 3 6 2" xfId="3944" xr:uid="{00000000-0005-0000-0000-0000140D0000}"/>
    <cellStyle name="20 % - Akzent6 3 2 3 7" xfId="3945" xr:uid="{00000000-0005-0000-0000-0000150D0000}"/>
    <cellStyle name="20 % - Akzent6 3 2 3 8" xfId="3946" xr:uid="{00000000-0005-0000-0000-0000160D0000}"/>
    <cellStyle name="20 % - Akzent6 3 2 4" xfId="3947" xr:uid="{00000000-0005-0000-0000-0000170D0000}"/>
    <cellStyle name="20 % - Akzent6 3 2 4 2" xfId="3948" xr:uid="{00000000-0005-0000-0000-0000180D0000}"/>
    <cellStyle name="20 % - Akzent6 3 2 4 2 2" xfId="3949" xr:uid="{00000000-0005-0000-0000-0000190D0000}"/>
    <cellStyle name="20 % - Akzent6 3 2 4 2 2 2" xfId="3950" xr:uid="{00000000-0005-0000-0000-00001A0D0000}"/>
    <cellStyle name="20 % - Akzent6 3 2 4 2 2 2 2" xfId="3951" xr:uid="{00000000-0005-0000-0000-00001B0D0000}"/>
    <cellStyle name="20 % - Akzent6 3 2 4 2 2 2 3" xfId="3952" xr:uid="{00000000-0005-0000-0000-00001C0D0000}"/>
    <cellStyle name="20 % - Akzent6 3 2 4 2 2 3" xfId="3953" xr:uid="{00000000-0005-0000-0000-00001D0D0000}"/>
    <cellStyle name="20 % - Akzent6 3 2 4 2 2 3 2" xfId="3954" xr:uid="{00000000-0005-0000-0000-00001E0D0000}"/>
    <cellStyle name="20 % - Akzent6 3 2 4 2 2 3 3" xfId="3955" xr:uid="{00000000-0005-0000-0000-00001F0D0000}"/>
    <cellStyle name="20 % - Akzent6 3 2 4 2 2 4" xfId="3956" xr:uid="{00000000-0005-0000-0000-0000200D0000}"/>
    <cellStyle name="20 % - Akzent6 3 2 4 2 2 4 2" xfId="3957" xr:uid="{00000000-0005-0000-0000-0000210D0000}"/>
    <cellStyle name="20 % - Akzent6 3 2 4 2 2 5" xfId="3958" xr:uid="{00000000-0005-0000-0000-0000220D0000}"/>
    <cellStyle name="20 % - Akzent6 3 2 4 2 2 6" xfId="3959" xr:uid="{00000000-0005-0000-0000-0000230D0000}"/>
    <cellStyle name="20 % - Akzent6 3 2 4 2 3" xfId="3960" xr:uid="{00000000-0005-0000-0000-0000240D0000}"/>
    <cellStyle name="20 % - Akzent6 3 2 4 2 3 2" xfId="3961" xr:uid="{00000000-0005-0000-0000-0000250D0000}"/>
    <cellStyle name="20 % - Akzent6 3 2 4 2 3 3" xfId="3962" xr:uid="{00000000-0005-0000-0000-0000260D0000}"/>
    <cellStyle name="20 % - Akzent6 3 2 4 2 4" xfId="3963" xr:uid="{00000000-0005-0000-0000-0000270D0000}"/>
    <cellStyle name="20 % - Akzent6 3 2 4 2 4 2" xfId="3964" xr:uid="{00000000-0005-0000-0000-0000280D0000}"/>
    <cellStyle name="20 % - Akzent6 3 2 4 2 4 3" xfId="3965" xr:uid="{00000000-0005-0000-0000-0000290D0000}"/>
    <cellStyle name="20 % - Akzent6 3 2 4 2 5" xfId="3966" xr:uid="{00000000-0005-0000-0000-00002A0D0000}"/>
    <cellStyle name="20 % - Akzent6 3 2 4 2 5 2" xfId="3967" xr:uid="{00000000-0005-0000-0000-00002B0D0000}"/>
    <cellStyle name="20 % - Akzent6 3 2 4 2 6" xfId="3968" xr:uid="{00000000-0005-0000-0000-00002C0D0000}"/>
    <cellStyle name="20 % - Akzent6 3 2 4 2 7" xfId="3969" xr:uid="{00000000-0005-0000-0000-00002D0D0000}"/>
    <cellStyle name="20 % - Akzent6 3 2 4 3" xfId="3970" xr:uid="{00000000-0005-0000-0000-00002E0D0000}"/>
    <cellStyle name="20 % - Akzent6 3 2 4 3 2" xfId="3971" xr:uid="{00000000-0005-0000-0000-00002F0D0000}"/>
    <cellStyle name="20 % - Akzent6 3 2 4 3 2 2" xfId="3972" xr:uid="{00000000-0005-0000-0000-0000300D0000}"/>
    <cellStyle name="20 % - Akzent6 3 2 4 3 2 3" xfId="3973" xr:uid="{00000000-0005-0000-0000-0000310D0000}"/>
    <cellStyle name="20 % - Akzent6 3 2 4 3 3" xfId="3974" xr:uid="{00000000-0005-0000-0000-0000320D0000}"/>
    <cellStyle name="20 % - Akzent6 3 2 4 3 3 2" xfId="3975" xr:uid="{00000000-0005-0000-0000-0000330D0000}"/>
    <cellStyle name="20 % - Akzent6 3 2 4 3 3 3" xfId="3976" xr:uid="{00000000-0005-0000-0000-0000340D0000}"/>
    <cellStyle name="20 % - Akzent6 3 2 4 3 4" xfId="3977" xr:uid="{00000000-0005-0000-0000-0000350D0000}"/>
    <cellStyle name="20 % - Akzent6 3 2 4 3 4 2" xfId="3978" xr:uid="{00000000-0005-0000-0000-0000360D0000}"/>
    <cellStyle name="20 % - Akzent6 3 2 4 3 5" xfId="3979" xr:uid="{00000000-0005-0000-0000-0000370D0000}"/>
    <cellStyle name="20 % - Akzent6 3 2 4 3 6" xfId="3980" xr:uid="{00000000-0005-0000-0000-0000380D0000}"/>
    <cellStyle name="20 % - Akzent6 3 2 4 4" xfId="3981" xr:uid="{00000000-0005-0000-0000-0000390D0000}"/>
    <cellStyle name="20 % - Akzent6 3 2 4 4 2" xfId="3982" xr:uid="{00000000-0005-0000-0000-00003A0D0000}"/>
    <cellStyle name="20 % - Akzent6 3 2 4 4 3" xfId="3983" xr:uid="{00000000-0005-0000-0000-00003B0D0000}"/>
    <cellStyle name="20 % - Akzent6 3 2 4 5" xfId="3984" xr:uid="{00000000-0005-0000-0000-00003C0D0000}"/>
    <cellStyle name="20 % - Akzent6 3 2 4 5 2" xfId="3985" xr:uid="{00000000-0005-0000-0000-00003D0D0000}"/>
    <cellStyle name="20 % - Akzent6 3 2 4 5 3" xfId="3986" xr:uid="{00000000-0005-0000-0000-00003E0D0000}"/>
    <cellStyle name="20 % - Akzent6 3 2 4 6" xfId="3987" xr:uid="{00000000-0005-0000-0000-00003F0D0000}"/>
    <cellStyle name="20 % - Akzent6 3 2 4 6 2" xfId="3988" xr:uid="{00000000-0005-0000-0000-0000400D0000}"/>
    <cellStyle name="20 % - Akzent6 3 2 4 7" xfId="3989" xr:uid="{00000000-0005-0000-0000-0000410D0000}"/>
    <cellStyle name="20 % - Akzent6 3 2 4 8" xfId="3990" xr:uid="{00000000-0005-0000-0000-0000420D0000}"/>
    <cellStyle name="20 % - Akzent6 3 2 5" xfId="3991" xr:uid="{00000000-0005-0000-0000-0000430D0000}"/>
    <cellStyle name="20 % - Akzent6 3 2 5 2" xfId="3992" xr:uid="{00000000-0005-0000-0000-0000440D0000}"/>
    <cellStyle name="20 % - Akzent6 3 2 5 2 2" xfId="3993" xr:uid="{00000000-0005-0000-0000-0000450D0000}"/>
    <cellStyle name="20 % - Akzent6 3 2 5 2 2 2" xfId="3994" xr:uid="{00000000-0005-0000-0000-0000460D0000}"/>
    <cellStyle name="20 % - Akzent6 3 2 5 2 2 3" xfId="3995" xr:uid="{00000000-0005-0000-0000-0000470D0000}"/>
    <cellStyle name="20 % - Akzent6 3 2 5 2 3" xfId="3996" xr:uid="{00000000-0005-0000-0000-0000480D0000}"/>
    <cellStyle name="20 % - Akzent6 3 2 5 2 3 2" xfId="3997" xr:uid="{00000000-0005-0000-0000-0000490D0000}"/>
    <cellStyle name="20 % - Akzent6 3 2 5 2 3 3" xfId="3998" xr:uid="{00000000-0005-0000-0000-00004A0D0000}"/>
    <cellStyle name="20 % - Akzent6 3 2 5 2 4" xfId="3999" xr:uid="{00000000-0005-0000-0000-00004B0D0000}"/>
    <cellStyle name="20 % - Akzent6 3 2 5 2 4 2" xfId="4000" xr:uid="{00000000-0005-0000-0000-00004C0D0000}"/>
    <cellStyle name="20 % - Akzent6 3 2 5 2 5" xfId="4001" xr:uid="{00000000-0005-0000-0000-00004D0D0000}"/>
    <cellStyle name="20 % - Akzent6 3 2 5 2 6" xfId="4002" xr:uid="{00000000-0005-0000-0000-00004E0D0000}"/>
    <cellStyle name="20 % - Akzent6 3 2 5 3" xfId="4003" xr:uid="{00000000-0005-0000-0000-00004F0D0000}"/>
    <cellStyle name="20 % - Akzent6 3 2 5 3 2" xfId="4004" xr:uid="{00000000-0005-0000-0000-0000500D0000}"/>
    <cellStyle name="20 % - Akzent6 3 2 5 3 3" xfId="4005" xr:uid="{00000000-0005-0000-0000-0000510D0000}"/>
    <cellStyle name="20 % - Akzent6 3 2 5 4" xfId="4006" xr:uid="{00000000-0005-0000-0000-0000520D0000}"/>
    <cellStyle name="20 % - Akzent6 3 2 5 4 2" xfId="4007" xr:uid="{00000000-0005-0000-0000-0000530D0000}"/>
    <cellStyle name="20 % - Akzent6 3 2 5 4 3" xfId="4008" xr:uid="{00000000-0005-0000-0000-0000540D0000}"/>
    <cellStyle name="20 % - Akzent6 3 2 5 5" xfId="4009" xr:uid="{00000000-0005-0000-0000-0000550D0000}"/>
    <cellStyle name="20 % - Akzent6 3 2 5 5 2" xfId="4010" xr:uid="{00000000-0005-0000-0000-0000560D0000}"/>
    <cellStyle name="20 % - Akzent6 3 2 5 6" xfId="4011" xr:uid="{00000000-0005-0000-0000-0000570D0000}"/>
    <cellStyle name="20 % - Akzent6 3 2 5 7" xfId="4012" xr:uid="{00000000-0005-0000-0000-0000580D0000}"/>
    <cellStyle name="20 % - Akzent6 3 2 6" xfId="4013" xr:uid="{00000000-0005-0000-0000-0000590D0000}"/>
    <cellStyle name="20 % - Akzent6 3 2 6 2" xfId="4014" xr:uid="{00000000-0005-0000-0000-00005A0D0000}"/>
    <cellStyle name="20 % - Akzent6 3 2 6 2 2" xfId="4015" xr:uid="{00000000-0005-0000-0000-00005B0D0000}"/>
    <cellStyle name="20 % - Akzent6 3 2 6 2 3" xfId="4016" xr:uid="{00000000-0005-0000-0000-00005C0D0000}"/>
    <cellStyle name="20 % - Akzent6 3 2 6 3" xfId="4017" xr:uid="{00000000-0005-0000-0000-00005D0D0000}"/>
    <cellStyle name="20 % - Akzent6 3 2 6 3 2" xfId="4018" xr:uid="{00000000-0005-0000-0000-00005E0D0000}"/>
    <cellStyle name="20 % - Akzent6 3 2 6 3 3" xfId="4019" xr:uid="{00000000-0005-0000-0000-00005F0D0000}"/>
    <cellStyle name="20 % - Akzent6 3 2 6 4" xfId="4020" xr:uid="{00000000-0005-0000-0000-0000600D0000}"/>
    <cellStyle name="20 % - Akzent6 3 2 6 4 2" xfId="4021" xr:uid="{00000000-0005-0000-0000-0000610D0000}"/>
    <cellStyle name="20 % - Akzent6 3 2 6 5" xfId="4022" xr:uid="{00000000-0005-0000-0000-0000620D0000}"/>
    <cellStyle name="20 % - Akzent6 3 2 6 6" xfId="4023" xr:uid="{00000000-0005-0000-0000-0000630D0000}"/>
    <cellStyle name="20 % - Akzent6 3 2 7" xfId="4024" xr:uid="{00000000-0005-0000-0000-0000640D0000}"/>
    <cellStyle name="20 % - Akzent6 3 2 7 2" xfId="4025" xr:uid="{00000000-0005-0000-0000-0000650D0000}"/>
    <cellStyle name="20 % - Akzent6 3 2 7 3" xfId="4026" xr:uid="{00000000-0005-0000-0000-0000660D0000}"/>
    <cellStyle name="20 % - Akzent6 3 2 8" xfId="4027" xr:uid="{00000000-0005-0000-0000-0000670D0000}"/>
    <cellStyle name="20 % - Akzent6 3 2 8 2" xfId="4028" xr:uid="{00000000-0005-0000-0000-0000680D0000}"/>
    <cellStyle name="20 % - Akzent6 3 2 8 3" xfId="4029" xr:uid="{00000000-0005-0000-0000-0000690D0000}"/>
    <cellStyle name="20 % - Akzent6 3 2 9" xfId="4030" xr:uid="{00000000-0005-0000-0000-00006A0D0000}"/>
    <cellStyle name="20 % - Akzent6 3 2 9 2" xfId="4031" xr:uid="{00000000-0005-0000-0000-00006B0D0000}"/>
    <cellStyle name="20 % - Akzent6 4" xfId="4032" xr:uid="{00000000-0005-0000-0000-00006C0D0000}"/>
    <cellStyle name="20 % - Akzent6 4 2" xfId="4033" xr:uid="{00000000-0005-0000-0000-00006D0D0000}"/>
    <cellStyle name="20 % - Akzent6 5" xfId="4034" xr:uid="{00000000-0005-0000-0000-00006E0D0000}"/>
    <cellStyle name="20 % - Akzent6 5 2" xfId="4035" xr:uid="{00000000-0005-0000-0000-00006F0D0000}"/>
    <cellStyle name="20 % - Akzent6 5 2 10" xfId="4036" xr:uid="{00000000-0005-0000-0000-0000700D0000}"/>
    <cellStyle name="20 % - Akzent6 5 2 11" xfId="4037" xr:uid="{00000000-0005-0000-0000-0000710D0000}"/>
    <cellStyle name="20 % - Akzent6 5 2 2" xfId="4038" xr:uid="{00000000-0005-0000-0000-0000720D0000}"/>
    <cellStyle name="20 % - Akzent6 5 2 2 10" xfId="4039" xr:uid="{00000000-0005-0000-0000-0000730D0000}"/>
    <cellStyle name="20 % - Akzent6 5 2 2 2" xfId="4040" xr:uid="{00000000-0005-0000-0000-0000740D0000}"/>
    <cellStyle name="20 % - Akzent6 5 2 2 2 2" xfId="4041" xr:uid="{00000000-0005-0000-0000-0000750D0000}"/>
    <cellStyle name="20 % - Akzent6 5 2 2 2 2 2" xfId="4042" xr:uid="{00000000-0005-0000-0000-0000760D0000}"/>
    <cellStyle name="20 % - Akzent6 5 2 2 2 2 2 2" xfId="4043" xr:uid="{00000000-0005-0000-0000-0000770D0000}"/>
    <cellStyle name="20 % - Akzent6 5 2 2 2 2 2 2 2" xfId="4044" xr:uid="{00000000-0005-0000-0000-0000780D0000}"/>
    <cellStyle name="20 % - Akzent6 5 2 2 2 2 2 2 3" xfId="4045" xr:uid="{00000000-0005-0000-0000-0000790D0000}"/>
    <cellStyle name="20 % - Akzent6 5 2 2 2 2 2 3" xfId="4046" xr:uid="{00000000-0005-0000-0000-00007A0D0000}"/>
    <cellStyle name="20 % - Akzent6 5 2 2 2 2 2 3 2" xfId="4047" xr:uid="{00000000-0005-0000-0000-00007B0D0000}"/>
    <cellStyle name="20 % - Akzent6 5 2 2 2 2 2 3 3" xfId="4048" xr:uid="{00000000-0005-0000-0000-00007C0D0000}"/>
    <cellStyle name="20 % - Akzent6 5 2 2 2 2 2 4" xfId="4049" xr:uid="{00000000-0005-0000-0000-00007D0D0000}"/>
    <cellStyle name="20 % - Akzent6 5 2 2 2 2 2 4 2" xfId="4050" xr:uid="{00000000-0005-0000-0000-00007E0D0000}"/>
    <cellStyle name="20 % - Akzent6 5 2 2 2 2 2 5" xfId="4051" xr:uid="{00000000-0005-0000-0000-00007F0D0000}"/>
    <cellStyle name="20 % - Akzent6 5 2 2 2 2 2 6" xfId="4052" xr:uid="{00000000-0005-0000-0000-0000800D0000}"/>
    <cellStyle name="20 % - Akzent6 5 2 2 2 2 3" xfId="4053" xr:uid="{00000000-0005-0000-0000-0000810D0000}"/>
    <cellStyle name="20 % - Akzent6 5 2 2 2 2 3 2" xfId="4054" xr:uid="{00000000-0005-0000-0000-0000820D0000}"/>
    <cellStyle name="20 % - Akzent6 5 2 2 2 2 3 3" xfId="4055" xr:uid="{00000000-0005-0000-0000-0000830D0000}"/>
    <cellStyle name="20 % - Akzent6 5 2 2 2 2 4" xfId="4056" xr:uid="{00000000-0005-0000-0000-0000840D0000}"/>
    <cellStyle name="20 % - Akzent6 5 2 2 2 2 4 2" xfId="4057" xr:uid="{00000000-0005-0000-0000-0000850D0000}"/>
    <cellStyle name="20 % - Akzent6 5 2 2 2 2 4 3" xfId="4058" xr:uid="{00000000-0005-0000-0000-0000860D0000}"/>
    <cellStyle name="20 % - Akzent6 5 2 2 2 2 5" xfId="4059" xr:uid="{00000000-0005-0000-0000-0000870D0000}"/>
    <cellStyle name="20 % - Akzent6 5 2 2 2 2 5 2" xfId="4060" xr:uid="{00000000-0005-0000-0000-0000880D0000}"/>
    <cellStyle name="20 % - Akzent6 5 2 2 2 2 6" xfId="4061" xr:uid="{00000000-0005-0000-0000-0000890D0000}"/>
    <cellStyle name="20 % - Akzent6 5 2 2 2 2 7" xfId="4062" xr:uid="{00000000-0005-0000-0000-00008A0D0000}"/>
    <cellStyle name="20 % - Akzent6 5 2 2 2 3" xfId="4063" xr:uid="{00000000-0005-0000-0000-00008B0D0000}"/>
    <cellStyle name="20 % - Akzent6 5 2 2 2 3 2" xfId="4064" xr:uid="{00000000-0005-0000-0000-00008C0D0000}"/>
    <cellStyle name="20 % - Akzent6 5 2 2 2 3 2 2" xfId="4065" xr:uid="{00000000-0005-0000-0000-00008D0D0000}"/>
    <cellStyle name="20 % - Akzent6 5 2 2 2 3 2 3" xfId="4066" xr:uid="{00000000-0005-0000-0000-00008E0D0000}"/>
    <cellStyle name="20 % - Akzent6 5 2 2 2 3 3" xfId="4067" xr:uid="{00000000-0005-0000-0000-00008F0D0000}"/>
    <cellStyle name="20 % - Akzent6 5 2 2 2 3 3 2" xfId="4068" xr:uid="{00000000-0005-0000-0000-0000900D0000}"/>
    <cellStyle name="20 % - Akzent6 5 2 2 2 3 3 3" xfId="4069" xr:uid="{00000000-0005-0000-0000-0000910D0000}"/>
    <cellStyle name="20 % - Akzent6 5 2 2 2 3 4" xfId="4070" xr:uid="{00000000-0005-0000-0000-0000920D0000}"/>
    <cellStyle name="20 % - Akzent6 5 2 2 2 3 4 2" xfId="4071" xr:uid="{00000000-0005-0000-0000-0000930D0000}"/>
    <cellStyle name="20 % - Akzent6 5 2 2 2 3 5" xfId="4072" xr:uid="{00000000-0005-0000-0000-0000940D0000}"/>
    <cellStyle name="20 % - Akzent6 5 2 2 2 3 6" xfId="4073" xr:uid="{00000000-0005-0000-0000-0000950D0000}"/>
    <cellStyle name="20 % - Akzent6 5 2 2 2 4" xfId="4074" xr:uid="{00000000-0005-0000-0000-0000960D0000}"/>
    <cellStyle name="20 % - Akzent6 5 2 2 2 4 2" xfId="4075" xr:uid="{00000000-0005-0000-0000-0000970D0000}"/>
    <cellStyle name="20 % - Akzent6 5 2 2 2 4 3" xfId="4076" xr:uid="{00000000-0005-0000-0000-0000980D0000}"/>
    <cellStyle name="20 % - Akzent6 5 2 2 2 5" xfId="4077" xr:uid="{00000000-0005-0000-0000-0000990D0000}"/>
    <cellStyle name="20 % - Akzent6 5 2 2 2 5 2" xfId="4078" xr:uid="{00000000-0005-0000-0000-00009A0D0000}"/>
    <cellStyle name="20 % - Akzent6 5 2 2 2 5 3" xfId="4079" xr:uid="{00000000-0005-0000-0000-00009B0D0000}"/>
    <cellStyle name="20 % - Akzent6 5 2 2 2 6" xfId="4080" xr:uid="{00000000-0005-0000-0000-00009C0D0000}"/>
    <cellStyle name="20 % - Akzent6 5 2 2 2 6 2" xfId="4081" xr:uid="{00000000-0005-0000-0000-00009D0D0000}"/>
    <cellStyle name="20 % - Akzent6 5 2 2 2 7" xfId="4082" xr:uid="{00000000-0005-0000-0000-00009E0D0000}"/>
    <cellStyle name="20 % - Akzent6 5 2 2 2 8" xfId="4083" xr:uid="{00000000-0005-0000-0000-00009F0D0000}"/>
    <cellStyle name="20 % - Akzent6 5 2 2 3" xfId="4084" xr:uid="{00000000-0005-0000-0000-0000A00D0000}"/>
    <cellStyle name="20 % - Akzent6 5 2 2 3 2" xfId="4085" xr:uid="{00000000-0005-0000-0000-0000A10D0000}"/>
    <cellStyle name="20 % - Akzent6 5 2 2 3 2 2" xfId="4086" xr:uid="{00000000-0005-0000-0000-0000A20D0000}"/>
    <cellStyle name="20 % - Akzent6 5 2 2 3 2 2 2" xfId="4087" xr:uid="{00000000-0005-0000-0000-0000A30D0000}"/>
    <cellStyle name="20 % - Akzent6 5 2 2 3 2 2 2 2" xfId="4088" xr:uid="{00000000-0005-0000-0000-0000A40D0000}"/>
    <cellStyle name="20 % - Akzent6 5 2 2 3 2 2 2 3" xfId="4089" xr:uid="{00000000-0005-0000-0000-0000A50D0000}"/>
    <cellStyle name="20 % - Akzent6 5 2 2 3 2 2 3" xfId="4090" xr:uid="{00000000-0005-0000-0000-0000A60D0000}"/>
    <cellStyle name="20 % - Akzent6 5 2 2 3 2 2 3 2" xfId="4091" xr:uid="{00000000-0005-0000-0000-0000A70D0000}"/>
    <cellStyle name="20 % - Akzent6 5 2 2 3 2 2 3 3" xfId="4092" xr:uid="{00000000-0005-0000-0000-0000A80D0000}"/>
    <cellStyle name="20 % - Akzent6 5 2 2 3 2 2 4" xfId="4093" xr:uid="{00000000-0005-0000-0000-0000A90D0000}"/>
    <cellStyle name="20 % - Akzent6 5 2 2 3 2 2 4 2" xfId="4094" xr:uid="{00000000-0005-0000-0000-0000AA0D0000}"/>
    <cellStyle name="20 % - Akzent6 5 2 2 3 2 2 5" xfId="4095" xr:uid="{00000000-0005-0000-0000-0000AB0D0000}"/>
    <cellStyle name="20 % - Akzent6 5 2 2 3 2 2 6" xfId="4096" xr:uid="{00000000-0005-0000-0000-0000AC0D0000}"/>
    <cellStyle name="20 % - Akzent6 5 2 2 3 2 3" xfId="4097" xr:uid="{00000000-0005-0000-0000-0000AD0D0000}"/>
    <cellStyle name="20 % - Akzent6 5 2 2 3 2 3 2" xfId="4098" xr:uid="{00000000-0005-0000-0000-0000AE0D0000}"/>
    <cellStyle name="20 % - Akzent6 5 2 2 3 2 3 3" xfId="4099" xr:uid="{00000000-0005-0000-0000-0000AF0D0000}"/>
    <cellStyle name="20 % - Akzent6 5 2 2 3 2 4" xfId="4100" xr:uid="{00000000-0005-0000-0000-0000B00D0000}"/>
    <cellStyle name="20 % - Akzent6 5 2 2 3 2 4 2" xfId="4101" xr:uid="{00000000-0005-0000-0000-0000B10D0000}"/>
    <cellStyle name="20 % - Akzent6 5 2 2 3 2 4 3" xfId="4102" xr:uid="{00000000-0005-0000-0000-0000B20D0000}"/>
    <cellStyle name="20 % - Akzent6 5 2 2 3 2 5" xfId="4103" xr:uid="{00000000-0005-0000-0000-0000B30D0000}"/>
    <cellStyle name="20 % - Akzent6 5 2 2 3 2 5 2" xfId="4104" xr:uid="{00000000-0005-0000-0000-0000B40D0000}"/>
    <cellStyle name="20 % - Akzent6 5 2 2 3 2 6" xfId="4105" xr:uid="{00000000-0005-0000-0000-0000B50D0000}"/>
    <cellStyle name="20 % - Akzent6 5 2 2 3 2 7" xfId="4106" xr:uid="{00000000-0005-0000-0000-0000B60D0000}"/>
    <cellStyle name="20 % - Akzent6 5 2 2 3 3" xfId="4107" xr:uid="{00000000-0005-0000-0000-0000B70D0000}"/>
    <cellStyle name="20 % - Akzent6 5 2 2 3 3 2" xfId="4108" xr:uid="{00000000-0005-0000-0000-0000B80D0000}"/>
    <cellStyle name="20 % - Akzent6 5 2 2 3 3 2 2" xfId="4109" xr:uid="{00000000-0005-0000-0000-0000B90D0000}"/>
    <cellStyle name="20 % - Akzent6 5 2 2 3 3 2 3" xfId="4110" xr:uid="{00000000-0005-0000-0000-0000BA0D0000}"/>
    <cellStyle name="20 % - Akzent6 5 2 2 3 3 3" xfId="4111" xr:uid="{00000000-0005-0000-0000-0000BB0D0000}"/>
    <cellStyle name="20 % - Akzent6 5 2 2 3 3 3 2" xfId="4112" xr:uid="{00000000-0005-0000-0000-0000BC0D0000}"/>
    <cellStyle name="20 % - Akzent6 5 2 2 3 3 3 3" xfId="4113" xr:uid="{00000000-0005-0000-0000-0000BD0D0000}"/>
    <cellStyle name="20 % - Akzent6 5 2 2 3 3 4" xfId="4114" xr:uid="{00000000-0005-0000-0000-0000BE0D0000}"/>
    <cellStyle name="20 % - Akzent6 5 2 2 3 3 4 2" xfId="4115" xr:uid="{00000000-0005-0000-0000-0000BF0D0000}"/>
    <cellStyle name="20 % - Akzent6 5 2 2 3 3 5" xfId="4116" xr:uid="{00000000-0005-0000-0000-0000C00D0000}"/>
    <cellStyle name="20 % - Akzent6 5 2 2 3 3 6" xfId="4117" xr:uid="{00000000-0005-0000-0000-0000C10D0000}"/>
    <cellStyle name="20 % - Akzent6 5 2 2 3 4" xfId="4118" xr:uid="{00000000-0005-0000-0000-0000C20D0000}"/>
    <cellStyle name="20 % - Akzent6 5 2 2 3 4 2" xfId="4119" xr:uid="{00000000-0005-0000-0000-0000C30D0000}"/>
    <cellStyle name="20 % - Akzent6 5 2 2 3 4 3" xfId="4120" xr:uid="{00000000-0005-0000-0000-0000C40D0000}"/>
    <cellStyle name="20 % - Akzent6 5 2 2 3 5" xfId="4121" xr:uid="{00000000-0005-0000-0000-0000C50D0000}"/>
    <cellStyle name="20 % - Akzent6 5 2 2 3 5 2" xfId="4122" xr:uid="{00000000-0005-0000-0000-0000C60D0000}"/>
    <cellStyle name="20 % - Akzent6 5 2 2 3 5 3" xfId="4123" xr:uid="{00000000-0005-0000-0000-0000C70D0000}"/>
    <cellStyle name="20 % - Akzent6 5 2 2 3 6" xfId="4124" xr:uid="{00000000-0005-0000-0000-0000C80D0000}"/>
    <cellStyle name="20 % - Akzent6 5 2 2 3 6 2" xfId="4125" xr:uid="{00000000-0005-0000-0000-0000C90D0000}"/>
    <cellStyle name="20 % - Akzent6 5 2 2 3 7" xfId="4126" xr:uid="{00000000-0005-0000-0000-0000CA0D0000}"/>
    <cellStyle name="20 % - Akzent6 5 2 2 3 8" xfId="4127" xr:uid="{00000000-0005-0000-0000-0000CB0D0000}"/>
    <cellStyle name="20 % - Akzent6 5 2 2 4" xfId="4128" xr:uid="{00000000-0005-0000-0000-0000CC0D0000}"/>
    <cellStyle name="20 % - Akzent6 5 2 2 4 2" xfId="4129" xr:uid="{00000000-0005-0000-0000-0000CD0D0000}"/>
    <cellStyle name="20 % - Akzent6 5 2 2 4 2 2" xfId="4130" xr:uid="{00000000-0005-0000-0000-0000CE0D0000}"/>
    <cellStyle name="20 % - Akzent6 5 2 2 4 2 2 2" xfId="4131" xr:uid="{00000000-0005-0000-0000-0000CF0D0000}"/>
    <cellStyle name="20 % - Akzent6 5 2 2 4 2 2 3" xfId="4132" xr:uid="{00000000-0005-0000-0000-0000D00D0000}"/>
    <cellStyle name="20 % - Akzent6 5 2 2 4 2 3" xfId="4133" xr:uid="{00000000-0005-0000-0000-0000D10D0000}"/>
    <cellStyle name="20 % - Akzent6 5 2 2 4 2 3 2" xfId="4134" xr:uid="{00000000-0005-0000-0000-0000D20D0000}"/>
    <cellStyle name="20 % - Akzent6 5 2 2 4 2 3 3" xfId="4135" xr:uid="{00000000-0005-0000-0000-0000D30D0000}"/>
    <cellStyle name="20 % - Akzent6 5 2 2 4 2 4" xfId="4136" xr:uid="{00000000-0005-0000-0000-0000D40D0000}"/>
    <cellStyle name="20 % - Akzent6 5 2 2 4 2 4 2" xfId="4137" xr:uid="{00000000-0005-0000-0000-0000D50D0000}"/>
    <cellStyle name="20 % - Akzent6 5 2 2 4 2 5" xfId="4138" xr:uid="{00000000-0005-0000-0000-0000D60D0000}"/>
    <cellStyle name="20 % - Akzent6 5 2 2 4 2 6" xfId="4139" xr:uid="{00000000-0005-0000-0000-0000D70D0000}"/>
    <cellStyle name="20 % - Akzent6 5 2 2 4 3" xfId="4140" xr:uid="{00000000-0005-0000-0000-0000D80D0000}"/>
    <cellStyle name="20 % - Akzent6 5 2 2 4 3 2" xfId="4141" xr:uid="{00000000-0005-0000-0000-0000D90D0000}"/>
    <cellStyle name="20 % - Akzent6 5 2 2 4 3 3" xfId="4142" xr:uid="{00000000-0005-0000-0000-0000DA0D0000}"/>
    <cellStyle name="20 % - Akzent6 5 2 2 4 4" xfId="4143" xr:uid="{00000000-0005-0000-0000-0000DB0D0000}"/>
    <cellStyle name="20 % - Akzent6 5 2 2 4 4 2" xfId="4144" xr:uid="{00000000-0005-0000-0000-0000DC0D0000}"/>
    <cellStyle name="20 % - Akzent6 5 2 2 4 4 3" xfId="4145" xr:uid="{00000000-0005-0000-0000-0000DD0D0000}"/>
    <cellStyle name="20 % - Akzent6 5 2 2 4 5" xfId="4146" xr:uid="{00000000-0005-0000-0000-0000DE0D0000}"/>
    <cellStyle name="20 % - Akzent6 5 2 2 4 5 2" xfId="4147" xr:uid="{00000000-0005-0000-0000-0000DF0D0000}"/>
    <cellStyle name="20 % - Akzent6 5 2 2 4 6" xfId="4148" xr:uid="{00000000-0005-0000-0000-0000E00D0000}"/>
    <cellStyle name="20 % - Akzent6 5 2 2 4 7" xfId="4149" xr:uid="{00000000-0005-0000-0000-0000E10D0000}"/>
    <cellStyle name="20 % - Akzent6 5 2 2 5" xfId="4150" xr:uid="{00000000-0005-0000-0000-0000E20D0000}"/>
    <cellStyle name="20 % - Akzent6 5 2 2 5 2" xfId="4151" xr:uid="{00000000-0005-0000-0000-0000E30D0000}"/>
    <cellStyle name="20 % - Akzent6 5 2 2 5 2 2" xfId="4152" xr:uid="{00000000-0005-0000-0000-0000E40D0000}"/>
    <cellStyle name="20 % - Akzent6 5 2 2 5 2 3" xfId="4153" xr:uid="{00000000-0005-0000-0000-0000E50D0000}"/>
    <cellStyle name="20 % - Akzent6 5 2 2 5 3" xfId="4154" xr:uid="{00000000-0005-0000-0000-0000E60D0000}"/>
    <cellStyle name="20 % - Akzent6 5 2 2 5 3 2" xfId="4155" xr:uid="{00000000-0005-0000-0000-0000E70D0000}"/>
    <cellStyle name="20 % - Akzent6 5 2 2 5 3 3" xfId="4156" xr:uid="{00000000-0005-0000-0000-0000E80D0000}"/>
    <cellStyle name="20 % - Akzent6 5 2 2 5 4" xfId="4157" xr:uid="{00000000-0005-0000-0000-0000E90D0000}"/>
    <cellStyle name="20 % - Akzent6 5 2 2 5 4 2" xfId="4158" xr:uid="{00000000-0005-0000-0000-0000EA0D0000}"/>
    <cellStyle name="20 % - Akzent6 5 2 2 5 5" xfId="4159" xr:uid="{00000000-0005-0000-0000-0000EB0D0000}"/>
    <cellStyle name="20 % - Akzent6 5 2 2 5 6" xfId="4160" xr:uid="{00000000-0005-0000-0000-0000EC0D0000}"/>
    <cellStyle name="20 % - Akzent6 5 2 2 6" xfId="4161" xr:uid="{00000000-0005-0000-0000-0000ED0D0000}"/>
    <cellStyle name="20 % - Akzent6 5 2 2 6 2" xfId="4162" xr:uid="{00000000-0005-0000-0000-0000EE0D0000}"/>
    <cellStyle name="20 % - Akzent6 5 2 2 6 3" xfId="4163" xr:uid="{00000000-0005-0000-0000-0000EF0D0000}"/>
    <cellStyle name="20 % - Akzent6 5 2 2 7" xfId="4164" xr:uid="{00000000-0005-0000-0000-0000F00D0000}"/>
    <cellStyle name="20 % - Akzent6 5 2 2 7 2" xfId="4165" xr:uid="{00000000-0005-0000-0000-0000F10D0000}"/>
    <cellStyle name="20 % - Akzent6 5 2 2 7 3" xfId="4166" xr:uid="{00000000-0005-0000-0000-0000F20D0000}"/>
    <cellStyle name="20 % - Akzent6 5 2 2 8" xfId="4167" xr:uid="{00000000-0005-0000-0000-0000F30D0000}"/>
    <cellStyle name="20 % - Akzent6 5 2 2 8 2" xfId="4168" xr:uid="{00000000-0005-0000-0000-0000F40D0000}"/>
    <cellStyle name="20 % - Akzent6 5 2 2 9" xfId="4169" xr:uid="{00000000-0005-0000-0000-0000F50D0000}"/>
    <cellStyle name="20 % - Akzent6 5 2 3" xfId="4170" xr:uid="{00000000-0005-0000-0000-0000F60D0000}"/>
    <cellStyle name="20 % - Akzent6 5 2 3 2" xfId="4171" xr:uid="{00000000-0005-0000-0000-0000F70D0000}"/>
    <cellStyle name="20 % - Akzent6 5 2 3 2 2" xfId="4172" xr:uid="{00000000-0005-0000-0000-0000F80D0000}"/>
    <cellStyle name="20 % - Akzent6 5 2 3 2 2 2" xfId="4173" xr:uid="{00000000-0005-0000-0000-0000F90D0000}"/>
    <cellStyle name="20 % - Akzent6 5 2 3 2 2 2 2" xfId="4174" xr:uid="{00000000-0005-0000-0000-0000FA0D0000}"/>
    <cellStyle name="20 % - Akzent6 5 2 3 2 2 2 3" xfId="4175" xr:uid="{00000000-0005-0000-0000-0000FB0D0000}"/>
    <cellStyle name="20 % - Akzent6 5 2 3 2 2 3" xfId="4176" xr:uid="{00000000-0005-0000-0000-0000FC0D0000}"/>
    <cellStyle name="20 % - Akzent6 5 2 3 2 2 3 2" xfId="4177" xr:uid="{00000000-0005-0000-0000-0000FD0D0000}"/>
    <cellStyle name="20 % - Akzent6 5 2 3 2 2 3 3" xfId="4178" xr:uid="{00000000-0005-0000-0000-0000FE0D0000}"/>
    <cellStyle name="20 % - Akzent6 5 2 3 2 2 4" xfId="4179" xr:uid="{00000000-0005-0000-0000-0000FF0D0000}"/>
    <cellStyle name="20 % - Akzent6 5 2 3 2 2 4 2" xfId="4180" xr:uid="{00000000-0005-0000-0000-0000000E0000}"/>
    <cellStyle name="20 % - Akzent6 5 2 3 2 2 5" xfId="4181" xr:uid="{00000000-0005-0000-0000-0000010E0000}"/>
    <cellStyle name="20 % - Akzent6 5 2 3 2 2 6" xfId="4182" xr:uid="{00000000-0005-0000-0000-0000020E0000}"/>
    <cellStyle name="20 % - Akzent6 5 2 3 2 3" xfId="4183" xr:uid="{00000000-0005-0000-0000-0000030E0000}"/>
    <cellStyle name="20 % - Akzent6 5 2 3 2 3 2" xfId="4184" xr:uid="{00000000-0005-0000-0000-0000040E0000}"/>
    <cellStyle name="20 % - Akzent6 5 2 3 2 3 3" xfId="4185" xr:uid="{00000000-0005-0000-0000-0000050E0000}"/>
    <cellStyle name="20 % - Akzent6 5 2 3 2 4" xfId="4186" xr:uid="{00000000-0005-0000-0000-0000060E0000}"/>
    <cellStyle name="20 % - Akzent6 5 2 3 2 4 2" xfId="4187" xr:uid="{00000000-0005-0000-0000-0000070E0000}"/>
    <cellStyle name="20 % - Akzent6 5 2 3 2 4 3" xfId="4188" xr:uid="{00000000-0005-0000-0000-0000080E0000}"/>
    <cellStyle name="20 % - Akzent6 5 2 3 2 5" xfId="4189" xr:uid="{00000000-0005-0000-0000-0000090E0000}"/>
    <cellStyle name="20 % - Akzent6 5 2 3 2 5 2" xfId="4190" xr:uid="{00000000-0005-0000-0000-00000A0E0000}"/>
    <cellStyle name="20 % - Akzent6 5 2 3 2 6" xfId="4191" xr:uid="{00000000-0005-0000-0000-00000B0E0000}"/>
    <cellStyle name="20 % - Akzent6 5 2 3 2 7" xfId="4192" xr:uid="{00000000-0005-0000-0000-00000C0E0000}"/>
    <cellStyle name="20 % - Akzent6 5 2 3 3" xfId="4193" xr:uid="{00000000-0005-0000-0000-00000D0E0000}"/>
    <cellStyle name="20 % - Akzent6 5 2 3 3 2" xfId="4194" xr:uid="{00000000-0005-0000-0000-00000E0E0000}"/>
    <cellStyle name="20 % - Akzent6 5 2 3 3 2 2" xfId="4195" xr:uid="{00000000-0005-0000-0000-00000F0E0000}"/>
    <cellStyle name="20 % - Akzent6 5 2 3 3 2 3" xfId="4196" xr:uid="{00000000-0005-0000-0000-0000100E0000}"/>
    <cellStyle name="20 % - Akzent6 5 2 3 3 3" xfId="4197" xr:uid="{00000000-0005-0000-0000-0000110E0000}"/>
    <cellStyle name="20 % - Akzent6 5 2 3 3 3 2" xfId="4198" xr:uid="{00000000-0005-0000-0000-0000120E0000}"/>
    <cellStyle name="20 % - Akzent6 5 2 3 3 3 3" xfId="4199" xr:uid="{00000000-0005-0000-0000-0000130E0000}"/>
    <cellStyle name="20 % - Akzent6 5 2 3 3 4" xfId="4200" xr:uid="{00000000-0005-0000-0000-0000140E0000}"/>
    <cellStyle name="20 % - Akzent6 5 2 3 3 4 2" xfId="4201" xr:uid="{00000000-0005-0000-0000-0000150E0000}"/>
    <cellStyle name="20 % - Akzent6 5 2 3 3 5" xfId="4202" xr:uid="{00000000-0005-0000-0000-0000160E0000}"/>
    <cellStyle name="20 % - Akzent6 5 2 3 3 6" xfId="4203" xr:uid="{00000000-0005-0000-0000-0000170E0000}"/>
    <cellStyle name="20 % - Akzent6 5 2 3 4" xfId="4204" xr:uid="{00000000-0005-0000-0000-0000180E0000}"/>
    <cellStyle name="20 % - Akzent6 5 2 3 4 2" xfId="4205" xr:uid="{00000000-0005-0000-0000-0000190E0000}"/>
    <cellStyle name="20 % - Akzent6 5 2 3 4 3" xfId="4206" xr:uid="{00000000-0005-0000-0000-00001A0E0000}"/>
    <cellStyle name="20 % - Akzent6 5 2 3 5" xfId="4207" xr:uid="{00000000-0005-0000-0000-00001B0E0000}"/>
    <cellStyle name="20 % - Akzent6 5 2 3 5 2" xfId="4208" xr:uid="{00000000-0005-0000-0000-00001C0E0000}"/>
    <cellStyle name="20 % - Akzent6 5 2 3 5 3" xfId="4209" xr:uid="{00000000-0005-0000-0000-00001D0E0000}"/>
    <cellStyle name="20 % - Akzent6 5 2 3 6" xfId="4210" xr:uid="{00000000-0005-0000-0000-00001E0E0000}"/>
    <cellStyle name="20 % - Akzent6 5 2 3 6 2" xfId="4211" xr:uid="{00000000-0005-0000-0000-00001F0E0000}"/>
    <cellStyle name="20 % - Akzent6 5 2 3 7" xfId="4212" xr:uid="{00000000-0005-0000-0000-0000200E0000}"/>
    <cellStyle name="20 % - Akzent6 5 2 3 8" xfId="4213" xr:uid="{00000000-0005-0000-0000-0000210E0000}"/>
    <cellStyle name="20 % - Akzent6 5 2 4" xfId="4214" xr:uid="{00000000-0005-0000-0000-0000220E0000}"/>
    <cellStyle name="20 % - Akzent6 5 2 4 2" xfId="4215" xr:uid="{00000000-0005-0000-0000-0000230E0000}"/>
    <cellStyle name="20 % - Akzent6 5 2 4 2 2" xfId="4216" xr:uid="{00000000-0005-0000-0000-0000240E0000}"/>
    <cellStyle name="20 % - Akzent6 5 2 4 2 2 2" xfId="4217" xr:uid="{00000000-0005-0000-0000-0000250E0000}"/>
    <cellStyle name="20 % - Akzent6 5 2 4 2 2 2 2" xfId="4218" xr:uid="{00000000-0005-0000-0000-0000260E0000}"/>
    <cellStyle name="20 % - Akzent6 5 2 4 2 2 2 3" xfId="4219" xr:uid="{00000000-0005-0000-0000-0000270E0000}"/>
    <cellStyle name="20 % - Akzent6 5 2 4 2 2 3" xfId="4220" xr:uid="{00000000-0005-0000-0000-0000280E0000}"/>
    <cellStyle name="20 % - Akzent6 5 2 4 2 2 3 2" xfId="4221" xr:uid="{00000000-0005-0000-0000-0000290E0000}"/>
    <cellStyle name="20 % - Akzent6 5 2 4 2 2 3 3" xfId="4222" xr:uid="{00000000-0005-0000-0000-00002A0E0000}"/>
    <cellStyle name="20 % - Akzent6 5 2 4 2 2 4" xfId="4223" xr:uid="{00000000-0005-0000-0000-00002B0E0000}"/>
    <cellStyle name="20 % - Akzent6 5 2 4 2 2 4 2" xfId="4224" xr:uid="{00000000-0005-0000-0000-00002C0E0000}"/>
    <cellStyle name="20 % - Akzent6 5 2 4 2 2 5" xfId="4225" xr:uid="{00000000-0005-0000-0000-00002D0E0000}"/>
    <cellStyle name="20 % - Akzent6 5 2 4 2 2 6" xfId="4226" xr:uid="{00000000-0005-0000-0000-00002E0E0000}"/>
    <cellStyle name="20 % - Akzent6 5 2 4 2 3" xfId="4227" xr:uid="{00000000-0005-0000-0000-00002F0E0000}"/>
    <cellStyle name="20 % - Akzent6 5 2 4 2 3 2" xfId="4228" xr:uid="{00000000-0005-0000-0000-0000300E0000}"/>
    <cellStyle name="20 % - Akzent6 5 2 4 2 3 3" xfId="4229" xr:uid="{00000000-0005-0000-0000-0000310E0000}"/>
    <cellStyle name="20 % - Akzent6 5 2 4 2 4" xfId="4230" xr:uid="{00000000-0005-0000-0000-0000320E0000}"/>
    <cellStyle name="20 % - Akzent6 5 2 4 2 4 2" xfId="4231" xr:uid="{00000000-0005-0000-0000-0000330E0000}"/>
    <cellStyle name="20 % - Akzent6 5 2 4 2 4 3" xfId="4232" xr:uid="{00000000-0005-0000-0000-0000340E0000}"/>
    <cellStyle name="20 % - Akzent6 5 2 4 2 5" xfId="4233" xr:uid="{00000000-0005-0000-0000-0000350E0000}"/>
    <cellStyle name="20 % - Akzent6 5 2 4 2 5 2" xfId="4234" xr:uid="{00000000-0005-0000-0000-0000360E0000}"/>
    <cellStyle name="20 % - Akzent6 5 2 4 2 6" xfId="4235" xr:uid="{00000000-0005-0000-0000-0000370E0000}"/>
    <cellStyle name="20 % - Akzent6 5 2 4 2 7" xfId="4236" xr:uid="{00000000-0005-0000-0000-0000380E0000}"/>
    <cellStyle name="20 % - Akzent6 5 2 4 3" xfId="4237" xr:uid="{00000000-0005-0000-0000-0000390E0000}"/>
    <cellStyle name="20 % - Akzent6 5 2 4 3 2" xfId="4238" xr:uid="{00000000-0005-0000-0000-00003A0E0000}"/>
    <cellStyle name="20 % - Akzent6 5 2 4 3 2 2" xfId="4239" xr:uid="{00000000-0005-0000-0000-00003B0E0000}"/>
    <cellStyle name="20 % - Akzent6 5 2 4 3 2 3" xfId="4240" xr:uid="{00000000-0005-0000-0000-00003C0E0000}"/>
    <cellStyle name="20 % - Akzent6 5 2 4 3 3" xfId="4241" xr:uid="{00000000-0005-0000-0000-00003D0E0000}"/>
    <cellStyle name="20 % - Akzent6 5 2 4 3 3 2" xfId="4242" xr:uid="{00000000-0005-0000-0000-00003E0E0000}"/>
    <cellStyle name="20 % - Akzent6 5 2 4 3 3 3" xfId="4243" xr:uid="{00000000-0005-0000-0000-00003F0E0000}"/>
    <cellStyle name="20 % - Akzent6 5 2 4 3 4" xfId="4244" xr:uid="{00000000-0005-0000-0000-0000400E0000}"/>
    <cellStyle name="20 % - Akzent6 5 2 4 3 4 2" xfId="4245" xr:uid="{00000000-0005-0000-0000-0000410E0000}"/>
    <cellStyle name="20 % - Akzent6 5 2 4 3 5" xfId="4246" xr:uid="{00000000-0005-0000-0000-0000420E0000}"/>
    <cellStyle name="20 % - Akzent6 5 2 4 3 6" xfId="4247" xr:uid="{00000000-0005-0000-0000-0000430E0000}"/>
    <cellStyle name="20 % - Akzent6 5 2 4 4" xfId="4248" xr:uid="{00000000-0005-0000-0000-0000440E0000}"/>
    <cellStyle name="20 % - Akzent6 5 2 4 4 2" xfId="4249" xr:uid="{00000000-0005-0000-0000-0000450E0000}"/>
    <cellStyle name="20 % - Akzent6 5 2 4 4 3" xfId="4250" xr:uid="{00000000-0005-0000-0000-0000460E0000}"/>
    <cellStyle name="20 % - Akzent6 5 2 4 5" xfId="4251" xr:uid="{00000000-0005-0000-0000-0000470E0000}"/>
    <cellStyle name="20 % - Akzent6 5 2 4 5 2" xfId="4252" xr:uid="{00000000-0005-0000-0000-0000480E0000}"/>
    <cellStyle name="20 % - Akzent6 5 2 4 5 3" xfId="4253" xr:uid="{00000000-0005-0000-0000-0000490E0000}"/>
    <cellStyle name="20 % - Akzent6 5 2 4 6" xfId="4254" xr:uid="{00000000-0005-0000-0000-00004A0E0000}"/>
    <cellStyle name="20 % - Akzent6 5 2 4 6 2" xfId="4255" xr:uid="{00000000-0005-0000-0000-00004B0E0000}"/>
    <cellStyle name="20 % - Akzent6 5 2 4 7" xfId="4256" xr:uid="{00000000-0005-0000-0000-00004C0E0000}"/>
    <cellStyle name="20 % - Akzent6 5 2 4 8" xfId="4257" xr:uid="{00000000-0005-0000-0000-00004D0E0000}"/>
    <cellStyle name="20 % - Akzent6 5 2 5" xfId="4258" xr:uid="{00000000-0005-0000-0000-00004E0E0000}"/>
    <cellStyle name="20 % - Akzent6 5 2 5 2" xfId="4259" xr:uid="{00000000-0005-0000-0000-00004F0E0000}"/>
    <cellStyle name="20 % - Akzent6 5 2 5 2 2" xfId="4260" xr:uid="{00000000-0005-0000-0000-0000500E0000}"/>
    <cellStyle name="20 % - Akzent6 5 2 5 2 2 2" xfId="4261" xr:uid="{00000000-0005-0000-0000-0000510E0000}"/>
    <cellStyle name="20 % - Akzent6 5 2 5 2 2 3" xfId="4262" xr:uid="{00000000-0005-0000-0000-0000520E0000}"/>
    <cellStyle name="20 % - Akzent6 5 2 5 2 3" xfId="4263" xr:uid="{00000000-0005-0000-0000-0000530E0000}"/>
    <cellStyle name="20 % - Akzent6 5 2 5 2 3 2" xfId="4264" xr:uid="{00000000-0005-0000-0000-0000540E0000}"/>
    <cellStyle name="20 % - Akzent6 5 2 5 2 3 3" xfId="4265" xr:uid="{00000000-0005-0000-0000-0000550E0000}"/>
    <cellStyle name="20 % - Akzent6 5 2 5 2 4" xfId="4266" xr:uid="{00000000-0005-0000-0000-0000560E0000}"/>
    <cellStyle name="20 % - Akzent6 5 2 5 2 4 2" xfId="4267" xr:uid="{00000000-0005-0000-0000-0000570E0000}"/>
    <cellStyle name="20 % - Akzent6 5 2 5 2 5" xfId="4268" xr:uid="{00000000-0005-0000-0000-0000580E0000}"/>
    <cellStyle name="20 % - Akzent6 5 2 5 2 6" xfId="4269" xr:uid="{00000000-0005-0000-0000-0000590E0000}"/>
    <cellStyle name="20 % - Akzent6 5 2 5 3" xfId="4270" xr:uid="{00000000-0005-0000-0000-00005A0E0000}"/>
    <cellStyle name="20 % - Akzent6 5 2 5 3 2" xfId="4271" xr:uid="{00000000-0005-0000-0000-00005B0E0000}"/>
    <cellStyle name="20 % - Akzent6 5 2 5 3 3" xfId="4272" xr:uid="{00000000-0005-0000-0000-00005C0E0000}"/>
    <cellStyle name="20 % - Akzent6 5 2 5 4" xfId="4273" xr:uid="{00000000-0005-0000-0000-00005D0E0000}"/>
    <cellStyle name="20 % - Akzent6 5 2 5 4 2" xfId="4274" xr:uid="{00000000-0005-0000-0000-00005E0E0000}"/>
    <cellStyle name="20 % - Akzent6 5 2 5 4 3" xfId="4275" xr:uid="{00000000-0005-0000-0000-00005F0E0000}"/>
    <cellStyle name="20 % - Akzent6 5 2 5 5" xfId="4276" xr:uid="{00000000-0005-0000-0000-0000600E0000}"/>
    <cellStyle name="20 % - Akzent6 5 2 5 5 2" xfId="4277" xr:uid="{00000000-0005-0000-0000-0000610E0000}"/>
    <cellStyle name="20 % - Akzent6 5 2 5 6" xfId="4278" xr:uid="{00000000-0005-0000-0000-0000620E0000}"/>
    <cellStyle name="20 % - Akzent6 5 2 5 7" xfId="4279" xr:uid="{00000000-0005-0000-0000-0000630E0000}"/>
    <cellStyle name="20 % - Akzent6 5 2 6" xfId="4280" xr:uid="{00000000-0005-0000-0000-0000640E0000}"/>
    <cellStyle name="20 % - Akzent6 5 2 6 2" xfId="4281" xr:uid="{00000000-0005-0000-0000-0000650E0000}"/>
    <cellStyle name="20 % - Akzent6 5 2 6 2 2" xfId="4282" xr:uid="{00000000-0005-0000-0000-0000660E0000}"/>
    <cellStyle name="20 % - Akzent6 5 2 6 2 3" xfId="4283" xr:uid="{00000000-0005-0000-0000-0000670E0000}"/>
    <cellStyle name="20 % - Akzent6 5 2 6 3" xfId="4284" xr:uid="{00000000-0005-0000-0000-0000680E0000}"/>
    <cellStyle name="20 % - Akzent6 5 2 6 3 2" xfId="4285" xr:uid="{00000000-0005-0000-0000-0000690E0000}"/>
    <cellStyle name="20 % - Akzent6 5 2 6 3 3" xfId="4286" xr:uid="{00000000-0005-0000-0000-00006A0E0000}"/>
    <cellStyle name="20 % - Akzent6 5 2 6 4" xfId="4287" xr:uid="{00000000-0005-0000-0000-00006B0E0000}"/>
    <cellStyle name="20 % - Akzent6 5 2 6 4 2" xfId="4288" xr:uid="{00000000-0005-0000-0000-00006C0E0000}"/>
    <cellStyle name="20 % - Akzent6 5 2 6 5" xfId="4289" xr:uid="{00000000-0005-0000-0000-00006D0E0000}"/>
    <cellStyle name="20 % - Akzent6 5 2 6 6" xfId="4290" xr:uid="{00000000-0005-0000-0000-00006E0E0000}"/>
    <cellStyle name="20 % - Akzent6 5 2 7" xfId="4291" xr:uid="{00000000-0005-0000-0000-00006F0E0000}"/>
    <cellStyle name="20 % - Akzent6 5 2 7 2" xfId="4292" xr:uid="{00000000-0005-0000-0000-0000700E0000}"/>
    <cellStyle name="20 % - Akzent6 5 2 7 3" xfId="4293" xr:uid="{00000000-0005-0000-0000-0000710E0000}"/>
    <cellStyle name="20 % - Akzent6 5 2 8" xfId="4294" xr:uid="{00000000-0005-0000-0000-0000720E0000}"/>
    <cellStyle name="20 % - Akzent6 5 2 8 2" xfId="4295" xr:uid="{00000000-0005-0000-0000-0000730E0000}"/>
    <cellStyle name="20 % - Akzent6 5 2 8 3" xfId="4296" xr:uid="{00000000-0005-0000-0000-0000740E0000}"/>
    <cellStyle name="20 % - Akzent6 5 2 9" xfId="4297" xr:uid="{00000000-0005-0000-0000-0000750E0000}"/>
    <cellStyle name="20 % - Akzent6 5 2 9 2" xfId="4298" xr:uid="{00000000-0005-0000-0000-0000760E0000}"/>
    <cellStyle name="20 % - Akzent6 6" xfId="4299" xr:uid="{00000000-0005-0000-0000-0000770E0000}"/>
    <cellStyle name="20 % - Akzent6 7" xfId="4300" xr:uid="{00000000-0005-0000-0000-0000780E0000}"/>
    <cellStyle name="20 % - Akzent6 7 10" xfId="4301" xr:uid="{00000000-0005-0000-0000-0000790E0000}"/>
    <cellStyle name="20 % - Akzent6 7 2" xfId="4302" xr:uid="{00000000-0005-0000-0000-00007A0E0000}"/>
    <cellStyle name="20 % - Akzent6 7 2 2" xfId="4303" xr:uid="{00000000-0005-0000-0000-00007B0E0000}"/>
    <cellStyle name="20 % - Akzent6 7 2 2 2" xfId="4304" xr:uid="{00000000-0005-0000-0000-00007C0E0000}"/>
    <cellStyle name="20 % - Akzent6 7 2 2 2 2" xfId="4305" xr:uid="{00000000-0005-0000-0000-00007D0E0000}"/>
    <cellStyle name="20 % - Akzent6 7 2 2 2 2 2" xfId="4306" xr:uid="{00000000-0005-0000-0000-00007E0E0000}"/>
    <cellStyle name="20 % - Akzent6 7 2 2 2 2 3" xfId="4307" xr:uid="{00000000-0005-0000-0000-00007F0E0000}"/>
    <cellStyle name="20 % - Akzent6 7 2 2 2 3" xfId="4308" xr:uid="{00000000-0005-0000-0000-0000800E0000}"/>
    <cellStyle name="20 % - Akzent6 7 2 2 2 3 2" xfId="4309" xr:uid="{00000000-0005-0000-0000-0000810E0000}"/>
    <cellStyle name="20 % - Akzent6 7 2 2 2 3 3" xfId="4310" xr:uid="{00000000-0005-0000-0000-0000820E0000}"/>
    <cellStyle name="20 % - Akzent6 7 2 2 2 4" xfId="4311" xr:uid="{00000000-0005-0000-0000-0000830E0000}"/>
    <cellStyle name="20 % - Akzent6 7 2 2 2 4 2" xfId="4312" xr:uid="{00000000-0005-0000-0000-0000840E0000}"/>
    <cellStyle name="20 % - Akzent6 7 2 2 2 5" xfId="4313" xr:uid="{00000000-0005-0000-0000-0000850E0000}"/>
    <cellStyle name="20 % - Akzent6 7 2 2 2 6" xfId="4314" xr:uid="{00000000-0005-0000-0000-0000860E0000}"/>
    <cellStyle name="20 % - Akzent6 7 2 2 3" xfId="4315" xr:uid="{00000000-0005-0000-0000-0000870E0000}"/>
    <cellStyle name="20 % - Akzent6 7 2 2 3 2" xfId="4316" xr:uid="{00000000-0005-0000-0000-0000880E0000}"/>
    <cellStyle name="20 % - Akzent6 7 2 2 3 3" xfId="4317" xr:uid="{00000000-0005-0000-0000-0000890E0000}"/>
    <cellStyle name="20 % - Akzent6 7 2 2 4" xfId="4318" xr:uid="{00000000-0005-0000-0000-00008A0E0000}"/>
    <cellStyle name="20 % - Akzent6 7 2 2 4 2" xfId="4319" xr:uid="{00000000-0005-0000-0000-00008B0E0000}"/>
    <cellStyle name="20 % - Akzent6 7 2 2 4 3" xfId="4320" xr:uid="{00000000-0005-0000-0000-00008C0E0000}"/>
    <cellStyle name="20 % - Akzent6 7 2 2 5" xfId="4321" xr:uid="{00000000-0005-0000-0000-00008D0E0000}"/>
    <cellStyle name="20 % - Akzent6 7 2 2 5 2" xfId="4322" xr:uid="{00000000-0005-0000-0000-00008E0E0000}"/>
    <cellStyle name="20 % - Akzent6 7 2 2 6" xfId="4323" xr:uid="{00000000-0005-0000-0000-00008F0E0000}"/>
    <cellStyle name="20 % - Akzent6 7 2 2 7" xfId="4324" xr:uid="{00000000-0005-0000-0000-0000900E0000}"/>
    <cellStyle name="20 % - Akzent6 7 2 3" xfId="4325" xr:uid="{00000000-0005-0000-0000-0000910E0000}"/>
    <cellStyle name="20 % - Akzent6 7 2 3 2" xfId="4326" xr:uid="{00000000-0005-0000-0000-0000920E0000}"/>
    <cellStyle name="20 % - Akzent6 7 2 3 2 2" xfId="4327" xr:uid="{00000000-0005-0000-0000-0000930E0000}"/>
    <cellStyle name="20 % - Akzent6 7 2 3 2 3" xfId="4328" xr:uid="{00000000-0005-0000-0000-0000940E0000}"/>
    <cellStyle name="20 % - Akzent6 7 2 3 3" xfId="4329" xr:uid="{00000000-0005-0000-0000-0000950E0000}"/>
    <cellStyle name="20 % - Akzent6 7 2 3 3 2" xfId="4330" xr:uid="{00000000-0005-0000-0000-0000960E0000}"/>
    <cellStyle name="20 % - Akzent6 7 2 3 3 3" xfId="4331" xr:uid="{00000000-0005-0000-0000-0000970E0000}"/>
    <cellStyle name="20 % - Akzent6 7 2 3 4" xfId="4332" xr:uid="{00000000-0005-0000-0000-0000980E0000}"/>
    <cellStyle name="20 % - Akzent6 7 2 3 4 2" xfId="4333" xr:uid="{00000000-0005-0000-0000-0000990E0000}"/>
    <cellStyle name="20 % - Akzent6 7 2 3 5" xfId="4334" xr:uid="{00000000-0005-0000-0000-00009A0E0000}"/>
    <cellStyle name="20 % - Akzent6 7 2 3 6" xfId="4335" xr:uid="{00000000-0005-0000-0000-00009B0E0000}"/>
    <cellStyle name="20 % - Akzent6 7 2 4" xfId="4336" xr:uid="{00000000-0005-0000-0000-00009C0E0000}"/>
    <cellStyle name="20 % - Akzent6 7 2 4 2" xfId="4337" xr:uid="{00000000-0005-0000-0000-00009D0E0000}"/>
    <cellStyle name="20 % - Akzent6 7 2 4 3" xfId="4338" xr:uid="{00000000-0005-0000-0000-00009E0E0000}"/>
    <cellStyle name="20 % - Akzent6 7 2 5" xfId="4339" xr:uid="{00000000-0005-0000-0000-00009F0E0000}"/>
    <cellStyle name="20 % - Akzent6 7 2 5 2" xfId="4340" xr:uid="{00000000-0005-0000-0000-0000A00E0000}"/>
    <cellStyle name="20 % - Akzent6 7 2 5 3" xfId="4341" xr:uid="{00000000-0005-0000-0000-0000A10E0000}"/>
    <cellStyle name="20 % - Akzent6 7 2 6" xfId="4342" xr:uid="{00000000-0005-0000-0000-0000A20E0000}"/>
    <cellStyle name="20 % - Akzent6 7 2 6 2" xfId="4343" xr:uid="{00000000-0005-0000-0000-0000A30E0000}"/>
    <cellStyle name="20 % - Akzent6 7 2 7" xfId="4344" xr:uid="{00000000-0005-0000-0000-0000A40E0000}"/>
    <cellStyle name="20 % - Akzent6 7 2 8" xfId="4345" xr:uid="{00000000-0005-0000-0000-0000A50E0000}"/>
    <cellStyle name="20 % - Akzent6 7 3" xfId="4346" xr:uid="{00000000-0005-0000-0000-0000A60E0000}"/>
    <cellStyle name="20 % - Akzent6 7 3 2" xfId="4347" xr:uid="{00000000-0005-0000-0000-0000A70E0000}"/>
    <cellStyle name="20 % - Akzent6 7 3 2 2" xfId="4348" xr:uid="{00000000-0005-0000-0000-0000A80E0000}"/>
    <cellStyle name="20 % - Akzent6 7 3 2 2 2" xfId="4349" xr:uid="{00000000-0005-0000-0000-0000A90E0000}"/>
    <cellStyle name="20 % - Akzent6 7 3 2 2 2 2" xfId="4350" xr:uid="{00000000-0005-0000-0000-0000AA0E0000}"/>
    <cellStyle name="20 % - Akzent6 7 3 2 2 2 3" xfId="4351" xr:uid="{00000000-0005-0000-0000-0000AB0E0000}"/>
    <cellStyle name="20 % - Akzent6 7 3 2 2 3" xfId="4352" xr:uid="{00000000-0005-0000-0000-0000AC0E0000}"/>
    <cellStyle name="20 % - Akzent6 7 3 2 2 3 2" xfId="4353" xr:uid="{00000000-0005-0000-0000-0000AD0E0000}"/>
    <cellStyle name="20 % - Akzent6 7 3 2 2 3 3" xfId="4354" xr:uid="{00000000-0005-0000-0000-0000AE0E0000}"/>
    <cellStyle name="20 % - Akzent6 7 3 2 2 4" xfId="4355" xr:uid="{00000000-0005-0000-0000-0000AF0E0000}"/>
    <cellStyle name="20 % - Akzent6 7 3 2 2 4 2" xfId="4356" xr:uid="{00000000-0005-0000-0000-0000B00E0000}"/>
    <cellStyle name="20 % - Akzent6 7 3 2 2 5" xfId="4357" xr:uid="{00000000-0005-0000-0000-0000B10E0000}"/>
    <cellStyle name="20 % - Akzent6 7 3 2 2 6" xfId="4358" xr:uid="{00000000-0005-0000-0000-0000B20E0000}"/>
    <cellStyle name="20 % - Akzent6 7 3 2 3" xfId="4359" xr:uid="{00000000-0005-0000-0000-0000B30E0000}"/>
    <cellStyle name="20 % - Akzent6 7 3 2 3 2" xfId="4360" xr:uid="{00000000-0005-0000-0000-0000B40E0000}"/>
    <cellStyle name="20 % - Akzent6 7 3 2 3 3" xfId="4361" xr:uid="{00000000-0005-0000-0000-0000B50E0000}"/>
    <cellStyle name="20 % - Akzent6 7 3 2 4" xfId="4362" xr:uid="{00000000-0005-0000-0000-0000B60E0000}"/>
    <cellStyle name="20 % - Akzent6 7 3 2 4 2" xfId="4363" xr:uid="{00000000-0005-0000-0000-0000B70E0000}"/>
    <cellStyle name="20 % - Akzent6 7 3 2 4 3" xfId="4364" xr:uid="{00000000-0005-0000-0000-0000B80E0000}"/>
    <cellStyle name="20 % - Akzent6 7 3 2 5" xfId="4365" xr:uid="{00000000-0005-0000-0000-0000B90E0000}"/>
    <cellStyle name="20 % - Akzent6 7 3 2 5 2" xfId="4366" xr:uid="{00000000-0005-0000-0000-0000BA0E0000}"/>
    <cellStyle name="20 % - Akzent6 7 3 2 6" xfId="4367" xr:uid="{00000000-0005-0000-0000-0000BB0E0000}"/>
    <cellStyle name="20 % - Akzent6 7 3 2 7" xfId="4368" xr:uid="{00000000-0005-0000-0000-0000BC0E0000}"/>
    <cellStyle name="20 % - Akzent6 7 3 3" xfId="4369" xr:uid="{00000000-0005-0000-0000-0000BD0E0000}"/>
    <cellStyle name="20 % - Akzent6 7 3 3 2" xfId="4370" xr:uid="{00000000-0005-0000-0000-0000BE0E0000}"/>
    <cellStyle name="20 % - Akzent6 7 3 3 2 2" xfId="4371" xr:uid="{00000000-0005-0000-0000-0000BF0E0000}"/>
    <cellStyle name="20 % - Akzent6 7 3 3 2 3" xfId="4372" xr:uid="{00000000-0005-0000-0000-0000C00E0000}"/>
    <cellStyle name="20 % - Akzent6 7 3 3 3" xfId="4373" xr:uid="{00000000-0005-0000-0000-0000C10E0000}"/>
    <cellStyle name="20 % - Akzent6 7 3 3 3 2" xfId="4374" xr:uid="{00000000-0005-0000-0000-0000C20E0000}"/>
    <cellStyle name="20 % - Akzent6 7 3 3 3 3" xfId="4375" xr:uid="{00000000-0005-0000-0000-0000C30E0000}"/>
    <cellStyle name="20 % - Akzent6 7 3 3 4" xfId="4376" xr:uid="{00000000-0005-0000-0000-0000C40E0000}"/>
    <cellStyle name="20 % - Akzent6 7 3 3 4 2" xfId="4377" xr:uid="{00000000-0005-0000-0000-0000C50E0000}"/>
    <cellStyle name="20 % - Akzent6 7 3 3 5" xfId="4378" xr:uid="{00000000-0005-0000-0000-0000C60E0000}"/>
    <cellStyle name="20 % - Akzent6 7 3 3 6" xfId="4379" xr:uid="{00000000-0005-0000-0000-0000C70E0000}"/>
    <cellStyle name="20 % - Akzent6 7 3 4" xfId="4380" xr:uid="{00000000-0005-0000-0000-0000C80E0000}"/>
    <cellStyle name="20 % - Akzent6 7 3 4 2" xfId="4381" xr:uid="{00000000-0005-0000-0000-0000C90E0000}"/>
    <cellStyle name="20 % - Akzent6 7 3 4 3" xfId="4382" xr:uid="{00000000-0005-0000-0000-0000CA0E0000}"/>
    <cellStyle name="20 % - Akzent6 7 3 5" xfId="4383" xr:uid="{00000000-0005-0000-0000-0000CB0E0000}"/>
    <cellStyle name="20 % - Akzent6 7 3 5 2" xfId="4384" xr:uid="{00000000-0005-0000-0000-0000CC0E0000}"/>
    <cellStyle name="20 % - Akzent6 7 3 5 3" xfId="4385" xr:uid="{00000000-0005-0000-0000-0000CD0E0000}"/>
    <cellStyle name="20 % - Akzent6 7 3 6" xfId="4386" xr:uid="{00000000-0005-0000-0000-0000CE0E0000}"/>
    <cellStyle name="20 % - Akzent6 7 3 6 2" xfId="4387" xr:uid="{00000000-0005-0000-0000-0000CF0E0000}"/>
    <cellStyle name="20 % - Akzent6 7 3 7" xfId="4388" xr:uid="{00000000-0005-0000-0000-0000D00E0000}"/>
    <cellStyle name="20 % - Akzent6 7 3 8" xfId="4389" xr:uid="{00000000-0005-0000-0000-0000D10E0000}"/>
    <cellStyle name="20 % - Akzent6 7 4" xfId="4390" xr:uid="{00000000-0005-0000-0000-0000D20E0000}"/>
    <cellStyle name="20 % - Akzent6 7 4 2" xfId="4391" xr:uid="{00000000-0005-0000-0000-0000D30E0000}"/>
    <cellStyle name="20 % - Akzent6 7 4 2 2" xfId="4392" xr:uid="{00000000-0005-0000-0000-0000D40E0000}"/>
    <cellStyle name="20 % - Akzent6 7 4 2 2 2" xfId="4393" xr:uid="{00000000-0005-0000-0000-0000D50E0000}"/>
    <cellStyle name="20 % - Akzent6 7 4 2 2 3" xfId="4394" xr:uid="{00000000-0005-0000-0000-0000D60E0000}"/>
    <cellStyle name="20 % - Akzent6 7 4 2 3" xfId="4395" xr:uid="{00000000-0005-0000-0000-0000D70E0000}"/>
    <cellStyle name="20 % - Akzent6 7 4 2 3 2" xfId="4396" xr:uid="{00000000-0005-0000-0000-0000D80E0000}"/>
    <cellStyle name="20 % - Akzent6 7 4 2 3 3" xfId="4397" xr:uid="{00000000-0005-0000-0000-0000D90E0000}"/>
    <cellStyle name="20 % - Akzent6 7 4 2 4" xfId="4398" xr:uid="{00000000-0005-0000-0000-0000DA0E0000}"/>
    <cellStyle name="20 % - Akzent6 7 4 2 4 2" xfId="4399" xr:uid="{00000000-0005-0000-0000-0000DB0E0000}"/>
    <cellStyle name="20 % - Akzent6 7 4 2 5" xfId="4400" xr:uid="{00000000-0005-0000-0000-0000DC0E0000}"/>
    <cellStyle name="20 % - Akzent6 7 4 2 6" xfId="4401" xr:uid="{00000000-0005-0000-0000-0000DD0E0000}"/>
    <cellStyle name="20 % - Akzent6 7 4 3" xfId="4402" xr:uid="{00000000-0005-0000-0000-0000DE0E0000}"/>
    <cellStyle name="20 % - Akzent6 7 4 3 2" xfId="4403" xr:uid="{00000000-0005-0000-0000-0000DF0E0000}"/>
    <cellStyle name="20 % - Akzent6 7 4 3 3" xfId="4404" xr:uid="{00000000-0005-0000-0000-0000E00E0000}"/>
    <cellStyle name="20 % - Akzent6 7 4 4" xfId="4405" xr:uid="{00000000-0005-0000-0000-0000E10E0000}"/>
    <cellStyle name="20 % - Akzent6 7 4 4 2" xfId="4406" xr:uid="{00000000-0005-0000-0000-0000E20E0000}"/>
    <cellStyle name="20 % - Akzent6 7 4 4 3" xfId="4407" xr:uid="{00000000-0005-0000-0000-0000E30E0000}"/>
    <cellStyle name="20 % - Akzent6 7 4 5" xfId="4408" xr:uid="{00000000-0005-0000-0000-0000E40E0000}"/>
    <cellStyle name="20 % - Akzent6 7 4 5 2" xfId="4409" xr:uid="{00000000-0005-0000-0000-0000E50E0000}"/>
    <cellStyle name="20 % - Akzent6 7 4 6" xfId="4410" xr:uid="{00000000-0005-0000-0000-0000E60E0000}"/>
    <cellStyle name="20 % - Akzent6 7 4 7" xfId="4411" xr:uid="{00000000-0005-0000-0000-0000E70E0000}"/>
    <cellStyle name="20 % - Akzent6 7 5" xfId="4412" xr:uid="{00000000-0005-0000-0000-0000E80E0000}"/>
    <cellStyle name="20 % - Akzent6 7 5 2" xfId="4413" xr:uid="{00000000-0005-0000-0000-0000E90E0000}"/>
    <cellStyle name="20 % - Akzent6 7 5 2 2" xfId="4414" xr:uid="{00000000-0005-0000-0000-0000EA0E0000}"/>
    <cellStyle name="20 % - Akzent6 7 5 2 3" xfId="4415" xr:uid="{00000000-0005-0000-0000-0000EB0E0000}"/>
    <cellStyle name="20 % - Akzent6 7 5 3" xfId="4416" xr:uid="{00000000-0005-0000-0000-0000EC0E0000}"/>
    <cellStyle name="20 % - Akzent6 7 5 3 2" xfId="4417" xr:uid="{00000000-0005-0000-0000-0000ED0E0000}"/>
    <cellStyle name="20 % - Akzent6 7 5 3 3" xfId="4418" xr:uid="{00000000-0005-0000-0000-0000EE0E0000}"/>
    <cellStyle name="20 % - Akzent6 7 5 4" xfId="4419" xr:uid="{00000000-0005-0000-0000-0000EF0E0000}"/>
    <cellStyle name="20 % - Akzent6 7 5 4 2" xfId="4420" xr:uid="{00000000-0005-0000-0000-0000F00E0000}"/>
    <cellStyle name="20 % - Akzent6 7 5 5" xfId="4421" xr:uid="{00000000-0005-0000-0000-0000F10E0000}"/>
    <cellStyle name="20 % - Akzent6 7 5 6" xfId="4422" xr:uid="{00000000-0005-0000-0000-0000F20E0000}"/>
    <cellStyle name="20 % - Akzent6 7 6" xfId="4423" xr:uid="{00000000-0005-0000-0000-0000F30E0000}"/>
    <cellStyle name="20 % - Akzent6 7 6 2" xfId="4424" xr:uid="{00000000-0005-0000-0000-0000F40E0000}"/>
    <cellStyle name="20 % - Akzent6 7 6 3" xfId="4425" xr:uid="{00000000-0005-0000-0000-0000F50E0000}"/>
    <cellStyle name="20 % - Akzent6 7 7" xfId="4426" xr:uid="{00000000-0005-0000-0000-0000F60E0000}"/>
    <cellStyle name="20 % - Akzent6 7 7 2" xfId="4427" xr:uid="{00000000-0005-0000-0000-0000F70E0000}"/>
    <cellStyle name="20 % - Akzent6 7 7 3" xfId="4428" xr:uid="{00000000-0005-0000-0000-0000F80E0000}"/>
    <cellStyle name="20 % - Akzent6 7 8" xfId="4429" xr:uid="{00000000-0005-0000-0000-0000F90E0000}"/>
    <cellStyle name="20 % - Akzent6 7 8 2" xfId="4430" xr:uid="{00000000-0005-0000-0000-0000FA0E0000}"/>
    <cellStyle name="20 % - Akzent6 7 9" xfId="4431" xr:uid="{00000000-0005-0000-0000-0000FB0E0000}"/>
    <cellStyle name="20 % - Akzent6 8" xfId="4432" xr:uid="{00000000-0005-0000-0000-0000FC0E0000}"/>
    <cellStyle name="20 % - Akzent6 8 2" xfId="4433" xr:uid="{00000000-0005-0000-0000-0000FD0E0000}"/>
    <cellStyle name="20 % - Akzent6 8 2 2" xfId="4434" xr:uid="{00000000-0005-0000-0000-0000FE0E0000}"/>
    <cellStyle name="20 % - Akzent6 8 2 2 2" xfId="4435" xr:uid="{00000000-0005-0000-0000-0000FF0E0000}"/>
    <cellStyle name="20 % - Akzent6 8 2 2 2 2" xfId="4436" xr:uid="{00000000-0005-0000-0000-0000000F0000}"/>
    <cellStyle name="20 % - Akzent6 8 2 2 2 3" xfId="4437" xr:uid="{00000000-0005-0000-0000-0000010F0000}"/>
    <cellStyle name="20 % - Akzent6 8 2 2 3" xfId="4438" xr:uid="{00000000-0005-0000-0000-0000020F0000}"/>
    <cellStyle name="20 % - Akzent6 8 2 2 3 2" xfId="4439" xr:uid="{00000000-0005-0000-0000-0000030F0000}"/>
    <cellStyle name="20 % - Akzent6 8 2 2 3 3" xfId="4440" xr:uid="{00000000-0005-0000-0000-0000040F0000}"/>
    <cellStyle name="20 % - Akzent6 8 2 2 4" xfId="4441" xr:uid="{00000000-0005-0000-0000-0000050F0000}"/>
    <cellStyle name="20 % - Akzent6 8 2 2 4 2" xfId="4442" xr:uid="{00000000-0005-0000-0000-0000060F0000}"/>
    <cellStyle name="20 % - Akzent6 8 2 2 5" xfId="4443" xr:uid="{00000000-0005-0000-0000-0000070F0000}"/>
    <cellStyle name="20 % - Akzent6 8 2 2 6" xfId="4444" xr:uid="{00000000-0005-0000-0000-0000080F0000}"/>
    <cellStyle name="20 % - Akzent6 8 2 3" xfId="4445" xr:uid="{00000000-0005-0000-0000-0000090F0000}"/>
    <cellStyle name="20 % - Akzent6 8 2 3 2" xfId="4446" xr:uid="{00000000-0005-0000-0000-00000A0F0000}"/>
    <cellStyle name="20 % - Akzent6 8 2 3 3" xfId="4447" xr:uid="{00000000-0005-0000-0000-00000B0F0000}"/>
    <cellStyle name="20 % - Akzent6 8 2 4" xfId="4448" xr:uid="{00000000-0005-0000-0000-00000C0F0000}"/>
    <cellStyle name="20 % - Akzent6 8 2 4 2" xfId="4449" xr:uid="{00000000-0005-0000-0000-00000D0F0000}"/>
    <cellStyle name="20 % - Akzent6 8 2 4 3" xfId="4450" xr:uid="{00000000-0005-0000-0000-00000E0F0000}"/>
    <cellStyle name="20 % - Akzent6 8 2 5" xfId="4451" xr:uid="{00000000-0005-0000-0000-00000F0F0000}"/>
    <cellStyle name="20 % - Akzent6 8 2 5 2" xfId="4452" xr:uid="{00000000-0005-0000-0000-0000100F0000}"/>
    <cellStyle name="20 % - Akzent6 8 2 6" xfId="4453" xr:uid="{00000000-0005-0000-0000-0000110F0000}"/>
    <cellStyle name="20 % - Akzent6 8 2 7" xfId="4454" xr:uid="{00000000-0005-0000-0000-0000120F0000}"/>
    <cellStyle name="20 % - Akzent6 8 3" xfId="4455" xr:uid="{00000000-0005-0000-0000-0000130F0000}"/>
    <cellStyle name="20 % - Akzent6 8 3 2" xfId="4456" xr:uid="{00000000-0005-0000-0000-0000140F0000}"/>
    <cellStyle name="20 % - Akzent6 8 3 2 2" xfId="4457" xr:uid="{00000000-0005-0000-0000-0000150F0000}"/>
    <cellStyle name="20 % - Akzent6 8 3 2 3" xfId="4458" xr:uid="{00000000-0005-0000-0000-0000160F0000}"/>
    <cellStyle name="20 % - Akzent6 8 3 3" xfId="4459" xr:uid="{00000000-0005-0000-0000-0000170F0000}"/>
    <cellStyle name="20 % - Akzent6 8 3 3 2" xfId="4460" xr:uid="{00000000-0005-0000-0000-0000180F0000}"/>
    <cellStyle name="20 % - Akzent6 8 3 3 3" xfId="4461" xr:uid="{00000000-0005-0000-0000-0000190F0000}"/>
    <cellStyle name="20 % - Akzent6 8 3 4" xfId="4462" xr:uid="{00000000-0005-0000-0000-00001A0F0000}"/>
    <cellStyle name="20 % - Akzent6 8 3 4 2" xfId="4463" xr:uid="{00000000-0005-0000-0000-00001B0F0000}"/>
    <cellStyle name="20 % - Akzent6 8 3 5" xfId="4464" xr:uid="{00000000-0005-0000-0000-00001C0F0000}"/>
    <cellStyle name="20 % - Akzent6 8 3 6" xfId="4465" xr:uid="{00000000-0005-0000-0000-00001D0F0000}"/>
    <cellStyle name="20 % - Akzent6 8 4" xfId="4466" xr:uid="{00000000-0005-0000-0000-00001E0F0000}"/>
    <cellStyle name="20 % - Akzent6 8 4 2" xfId="4467" xr:uid="{00000000-0005-0000-0000-00001F0F0000}"/>
    <cellStyle name="20 % - Akzent6 8 4 3" xfId="4468" xr:uid="{00000000-0005-0000-0000-0000200F0000}"/>
    <cellStyle name="20 % - Akzent6 8 5" xfId="4469" xr:uid="{00000000-0005-0000-0000-0000210F0000}"/>
    <cellStyle name="20 % - Akzent6 8 5 2" xfId="4470" xr:uid="{00000000-0005-0000-0000-0000220F0000}"/>
    <cellStyle name="20 % - Akzent6 8 5 3" xfId="4471" xr:uid="{00000000-0005-0000-0000-0000230F0000}"/>
    <cellStyle name="20 % - Akzent6 8 6" xfId="4472" xr:uid="{00000000-0005-0000-0000-0000240F0000}"/>
    <cellStyle name="20 % - Akzent6 8 6 2" xfId="4473" xr:uid="{00000000-0005-0000-0000-0000250F0000}"/>
    <cellStyle name="20 % - Akzent6 8 7" xfId="4474" xr:uid="{00000000-0005-0000-0000-0000260F0000}"/>
    <cellStyle name="20 % - Akzent6 8 8" xfId="4475" xr:uid="{00000000-0005-0000-0000-0000270F0000}"/>
    <cellStyle name="20% - Accent1" xfId="4476" xr:uid="{00000000-0005-0000-0000-0000280F0000}"/>
    <cellStyle name="20% - Accent1 2" xfId="101" xr:uid="{00000000-0005-0000-0000-0000290F0000}"/>
    <cellStyle name="20% - Accent1 2 2" xfId="102" xr:uid="{00000000-0005-0000-0000-00002A0F0000}"/>
    <cellStyle name="20% - Accent1 2 3" xfId="103" xr:uid="{00000000-0005-0000-0000-00002B0F0000}"/>
    <cellStyle name="20% - Accent1 3" xfId="104" xr:uid="{00000000-0005-0000-0000-00002C0F0000}"/>
    <cellStyle name="20% - Accent1 4" xfId="105" xr:uid="{00000000-0005-0000-0000-00002D0F0000}"/>
    <cellStyle name="20% - Accent1 5" xfId="33353" xr:uid="{00000000-0005-0000-0000-00002E0F0000}"/>
    <cellStyle name="20% - Accent2" xfId="4477" xr:uid="{00000000-0005-0000-0000-00002F0F0000}"/>
    <cellStyle name="20% - Accent2 2" xfId="106" xr:uid="{00000000-0005-0000-0000-0000300F0000}"/>
    <cellStyle name="20% - Accent2 2 2" xfId="107" xr:uid="{00000000-0005-0000-0000-0000310F0000}"/>
    <cellStyle name="20% - Accent2 2 3" xfId="108" xr:uid="{00000000-0005-0000-0000-0000320F0000}"/>
    <cellStyle name="20% - Accent2 3" xfId="109" xr:uid="{00000000-0005-0000-0000-0000330F0000}"/>
    <cellStyle name="20% - Accent2 4" xfId="110" xr:uid="{00000000-0005-0000-0000-0000340F0000}"/>
    <cellStyle name="20% - Accent2 5" xfId="33354" xr:uid="{00000000-0005-0000-0000-0000350F0000}"/>
    <cellStyle name="20% - Accent3" xfId="4478" xr:uid="{00000000-0005-0000-0000-0000360F0000}"/>
    <cellStyle name="20% - Accent3 2" xfId="111" xr:uid="{00000000-0005-0000-0000-0000370F0000}"/>
    <cellStyle name="20% - Accent3 2 2" xfId="112" xr:uid="{00000000-0005-0000-0000-0000380F0000}"/>
    <cellStyle name="20% - Accent3 2 3" xfId="113" xr:uid="{00000000-0005-0000-0000-0000390F0000}"/>
    <cellStyle name="20% - Accent3 3" xfId="114" xr:uid="{00000000-0005-0000-0000-00003A0F0000}"/>
    <cellStyle name="20% - Accent3 4" xfId="115" xr:uid="{00000000-0005-0000-0000-00003B0F0000}"/>
    <cellStyle name="20% - Accent3 5" xfId="33355" xr:uid="{00000000-0005-0000-0000-00003C0F0000}"/>
    <cellStyle name="20% - Accent4" xfId="4479" xr:uid="{00000000-0005-0000-0000-00003D0F0000}"/>
    <cellStyle name="20% - Accent4 2" xfId="116" xr:uid="{00000000-0005-0000-0000-00003E0F0000}"/>
    <cellStyle name="20% - Accent4 2 2" xfId="117" xr:uid="{00000000-0005-0000-0000-00003F0F0000}"/>
    <cellStyle name="20% - Accent4 2 3" xfId="118" xr:uid="{00000000-0005-0000-0000-0000400F0000}"/>
    <cellStyle name="20% - Accent4 3" xfId="119" xr:uid="{00000000-0005-0000-0000-0000410F0000}"/>
    <cellStyle name="20% - Accent4 4" xfId="120" xr:uid="{00000000-0005-0000-0000-0000420F0000}"/>
    <cellStyle name="20% - Accent4 5" xfId="33356" xr:uid="{00000000-0005-0000-0000-0000430F0000}"/>
    <cellStyle name="20% - Accent5" xfId="4480" xr:uid="{00000000-0005-0000-0000-0000440F0000}"/>
    <cellStyle name="20% - Accent5 2" xfId="121" xr:uid="{00000000-0005-0000-0000-0000450F0000}"/>
    <cellStyle name="20% - Accent5 2 2" xfId="122" xr:uid="{00000000-0005-0000-0000-0000460F0000}"/>
    <cellStyle name="20% - Accent5 2 3" xfId="123" xr:uid="{00000000-0005-0000-0000-0000470F0000}"/>
    <cellStyle name="20% - Accent5 3" xfId="33357" xr:uid="{00000000-0005-0000-0000-0000480F0000}"/>
    <cellStyle name="20% - Accent6" xfId="4481" xr:uid="{00000000-0005-0000-0000-0000490F0000}"/>
    <cellStyle name="20% - Accent6 2" xfId="124" xr:uid="{00000000-0005-0000-0000-00004A0F0000}"/>
    <cellStyle name="20% - Accent6 2 2" xfId="125" xr:uid="{00000000-0005-0000-0000-00004B0F0000}"/>
    <cellStyle name="20% - Accent6 2 3" xfId="126" xr:uid="{00000000-0005-0000-0000-00004C0F0000}"/>
    <cellStyle name="20% - Accent6 3" xfId="4482" xr:uid="{00000000-0005-0000-0000-00004D0F0000}"/>
    <cellStyle name="20% - Accent6 4" xfId="33358" xr:uid="{00000000-0005-0000-0000-00004E0F0000}"/>
    <cellStyle name="20% - Akzent1" xfId="127" xr:uid="{00000000-0005-0000-0000-00004F0F0000}"/>
    <cellStyle name="20% - Akzent1 2" xfId="128" xr:uid="{00000000-0005-0000-0000-0000500F0000}"/>
    <cellStyle name="20% - Akzent1 2 2" xfId="129" xr:uid="{00000000-0005-0000-0000-0000510F0000}"/>
    <cellStyle name="20% - Akzent1 2 2 2" xfId="33359" xr:uid="{00000000-0005-0000-0000-0000520F0000}"/>
    <cellStyle name="20% - Akzent1 3" xfId="130" xr:uid="{00000000-0005-0000-0000-0000530F0000}"/>
    <cellStyle name="20% - Akzent2" xfId="131" xr:uid="{00000000-0005-0000-0000-0000540F0000}"/>
    <cellStyle name="20% - Akzent2 2" xfId="132" xr:uid="{00000000-0005-0000-0000-0000550F0000}"/>
    <cellStyle name="20% - Akzent2 2 2" xfId="133" xr:uid="{00000000-0005-0000-0000-0000560F0000}"/>
    <cellStyle name="20% - Akzent2 2 2 2" xfId="33360" xr:uid="{00000000-0005-0000-0000-0000570F0000}"/>
    <cellStyle name="20% - Akzent2 3" xfId="134" xr:uid="{00000000-0005-0000-0000-0000580F0000}"/>
    <cellStyle name="20% - Akzent3" xfId="135" xr:uid="{00000000-0005-0000-0000-0000590F0000}"/>
    <cellStyle name="20% - Akzent3 2" xfId="136" xr:uid="{00000000-0005-0000-0000-00005A0F0000}"/>
    <cellStyle name="20% - Akzent3 2 2" xfId="137" xr:uid="{00000000-0005-0000-0000-00005B0F0000}"/>
    <cellStyle name="20% - Akzent3 2 2 2" xfId="33361" xr:uid="{00000000-0005-0000-0000-00005C0F0000}"/>
    <cellStyle name="20% - Akzent3 3" xfId="138" xr:uid="{00000000-0005-0000-0000-00005D0F0000}"/>
    <cellStyle name="20% - Akzent4" xfId="139" xr:uid="{00000000-0005-0000-0000-00005E0F0000}"/>
    <cellStyle name="20% - Akzent4 2" xfId="140" xr:uid="{00000000-0005-0000-0000-00005F0F0000}"/>
    <cellStyle name="20% - Akzent4 2 2" xfId="141" xr:uid="{00000000-0005-0000-0000-0000600F0000}"/>
    <cellStyle name="20% - Akzent4 2 2 2" xfId="33362" xr:uid="{00000000-0005-0000-0000-0000610F0000}"/>
    <cellStyle name="20% - Akzent4 3" xfId="142" xr:uid="{00000000-0005-0000-0000-0000620F0000}"/>
    <cellStyle name="20% - Akzent5" xfId="143" xr:uid="{00000000-0005-0000-0000-0000630F0000}"/>
    <cellStyle name="20% - Akzent5 2" xfId="144" xr:uid="{00000000-0005-0000-0000-0000640F0000}"/>
    <cellStyle name="20% - Akzent5 2 2" xfId="145" xr:uid="{00000000-0005-0000-0000-0000650F0000}"/>
    <cellStyle name="20% - Akzent5 2 2 2" xfId="33363" xr:uid="{00000000-0005-0000-0000-0000660F0000}"/>
    <cellStyle name="20% - Akzent5 3" xfId="146" xr:uid="{00000000-0005-0000-0000-0000670F0000}"/>
    <cellStyle name="20% - Akzent6" xfId="147" xr:uid="{00000000-0005-0000-0000-0000680F0000}"/>
    <cellStyle name="20% - Akzent6 2" xfId="148" xr:uid="{00000000-0005-0000-0000-0000690F0000}"/>
    <cellStyle name="20% - Akzent6 2 2" xfId="149" xr:uid="{00000000-0005-0000-0000-00006A0F0000}"/>
    <cellStyle name="20% - Akzent6 2 2 2" xfId="33364" xr:uid="{00000000-0005-0000-0000-00006B0F0000}"/>
    <cellStyle name="20% - Akzent6 3" xfId="150" xr:uid="{00000000-0005-0000-0000-00006C0F0000}"/>
    <cellStyle name="20% - Énfasis1" xfId="4483" xr:uid="{00000000-0005-0000-0000-00006D0F0000}"/>
    <cellStyle name="20% - Énfasis1 2" xfId="4484" xr:uid="{00000000-0005-0000-0000-00006E0F0000}"/>
    <cellStyle name="20% - Énfasis1 3" xfId="4485" xr:uid="{00000000-0005-0000-0000-00006F0F0000}"/>
    <cellStyle name="20% - Énfasis2" xfId="4486" xr:uid="{00000000-0005-0000-0000-0000700F0000}"/>
    <cellStyle name="20% - Énfasis2 2" xfId="4487" xr:uid="{00000000-0005-0000-0000-0000710F0000}"/>
    <cellStyle name="20% - Énfasis2 3" xfId="4488" xr:uid="{00000000-0005-0000-0000-0000720F0000}"/>
    <cellStyle name="20% - Énfasis3" xfId="4489" xr:uid="{00000000-0005-0000-0000-0000730F0000}"/>
    <cellStyle name="20% - Énfasis3 2" xfId="4490" xr:uid="{00000000-0005-0000-0000-0000740F0000}"/>
    <cellStyle name="20% - Énfasis4" xfId="4491" xr:uid="{00000000-0005-0000-0000-0000750F0000}"/>
    <cellStyle name="20% - Énfasis4 2" xfId="4492" xr:uid="{00000000-0005-0000-0000-0000760F0000}"/>
    <cellStyle name="20% - Énfasis4 3" xfId="4493" xr:uid="{00000000-0005-0000-0000-0000770F0000}"/>
    <cellStyle name="20% - Énfasis5" xfId="4494" xr:uid="{00000000-0005-0000-0000-0000780F0000}"/>
    <cellStyle name="20% - Énfasis5 2" xfId="4495" xr:uid="{00000000-0005-0000-0000-0000790F0000}"/>
    <cellStyle name="20% - Énfasis6" xfId="4496" xr:uid="{00000000-0005-0000-0000-00007A0F0000}"/>
    <cellStyle name="20% - Énfasis6 2" xfId="4497" xr:uid="{00000000-0005-0000-0000-00007B0F0000}"/>
    <cellStyle name="20% - Énfasis6 3" xfId="4498" xr:uid="{00000000-0005-0000-0000-00007C0F0000}"/>
    <cellStyle name="20% - Акцент1" xfId="151" xr:uid="{00000000-0005-0000-0000-00007D0F0000}"/>
    <cellStyle name="20% - Акцент2" xfId="152" xr:uid="{00000000-0005-0000-0000-00007E0F0000}"/>
    <cellStyle name="20% - Акцент3" xfId="153" xr:uid="{00000000-0005-0000-0000-00007F0F0000}"/>
    <cellStyle name="20% - Акцент4" xfId="154" xr:uid="{00000000-0005-0000-0000-0000800F0000}"/>
    <cellStyle name="20% - Акцент5" xfId="155" xr:uid="{00000000-0005-0000-0000-0000810F0000}"/>
    <cellStyle name="20% - Акцент6" xfId="156" xr:uid="{00000000-0005-0000-0000-0000820F0000}"/>
    <cellStyle name="40 % - Akzent1 2" xfId="157" xr:uid="{00000000-0005-0000-0000-0000830F0000}"/>
    <cellStyle name="40 % - Akzent1 2 2" xfId="158" xr:uid="{00000000-0005-0000-0000-0000840F0000}"/>
    <cellStyle name="40 % - Akzent1 2 2 2" xfId="159" xr:uid="{00000000-0005-0000-0000-0000850F0000}"/>
    <cellStyle name="40 % - Akzent1 2 2 3" xfId="33078" xr:uid="{00000000-0005-0000-0000-0000860F0000}"/>
    <cellStyle name="40 % - Akzent1 2 2 4" xfId="33153" xr:uid="{00000000-0005-0000-0000-0000870F0000}"/>
    <cellStyle name="40 % - Akzent1 2 2 5" xfId="33228" xr:uid="{00000000-0005-0000-0000-0000880F0000}"/>
    <cellStyle name="40 % - Akzent1 2 2 6" xfId="33303" xr:uid="{00000000-0005-0000-0000-0000890F0000}"/>
    <cellStyle name="40 % - Akzent1 2 3" xfId="160" xr:uid="{00000000-0005-0000-0000-00008A0F0000}"/>
    <cellStyle name="40 % - Akzent1 2 3 2" xfId="33079" xr:uid="{00000000-0005-0000-0000-00008B0F0000}"/>
    <cellStyle name="40 % - Akzent1 2 3 3" xfId="33154" xr:uid="{00000000-0005-0000-0000-00008C0F0000}"/>
    <cellStyle name="40 % - Akzent1 2 3 4" xfId="33229" xr:uid="{00000000-0005-0000-0000-00008D0F0000}"/>
    <cellStyle name="40 % - Akzent1 2 3 5" xfId="33304" xr:uid="{00000000-0005-0000-0000-00008E0F0000}"/>
    <cellStyle name="40 % - Akzent1 2 4" xfId="161" xr:uid="{00000000-0005-0000-0000-00008F0F0000}"/>
    <cellStyle name="40 % - Akzent1 2 4 2" xfId="33080" xr:uid="{00000000-0005-0000-0000-0000900F0000}"/>
    <cellStyle name="40 % - Akzent1 2 4 3" xfId="33155" xr:uid="{00000000-0005-0000-0000-0000910F0000}"/>
    <cellStyle name="40 % - Akzent1 2 4 4" xfId="33230" xr:uid="{00000000-0005-0000-0000-0000920F0000}"/>
    <cellStyle name="40 % - Akzent1 2 4 5" xfId="33305" xr:uid="{00000000-0005-0000-0000-0000930F0000}"/>
    <cellStyle name="40 % - Akzent1 2 5" xfId="162" xr:uid="{00000000-0005-0000-0000-0000940F0000}"/>
    <cellStyle name="40 % - Akzent1 2 6" xfId="33077" xr:uid="{00000000-0005-0000-0000-0000950F0000}"/>
    <cellStyle name="40 % - Akzent1 2 7" xfId="33152" xr:uid="{00000000-0005-0000-0000-0000960F0000}"/>
    <cellStyle name="40 % - Akzent1 2 8" xfId="33227" xr:uid="{00000000-0005-0000-0000-0000970F0000}"/>
    <cellStyle name="40 % - Akzent1 2 9" xfId="33302" xr:uid="{00000000-0005-0000-0000-0000980F0000}"/>
    <cellStyle name="40 % - Akzent1 3" xfId="163" xr:uid="{00000000-0005-0000-0000-0000990F0000}"/>
    <cellStyle name="40 % - Akzent1 3 2" xfId="164" xr:uid="{00000000-0005-0000-0000-00009A0F0000}"/>
    <cellStyle name="40 % - Akzent1 3 2 10" xfId="4499" xr:uid="{00000000-0005-0000-0000-00009B0F0000}"/>
    <cellStyle name="40 % - Akzent1 3 2 11" xfId="4500" xr:uid="{00000000-0005-0000-0000-00009C0F0000}"/>
    <cellStyle name="40 % - Akzent1 3 2 12" xfId="33081" xr:uid="{00000000-0005-0000-0000-00009D0F0000}"/>
    <cellStyle name="40 % - Akzent1 3 2 13" xfId="33156" xr:uid="{00000000-0005-0000-0000-00009E0F0000}"/>
    <cellStyle name="40 % - Akzent1 3 2 14" xfId="33231" xr:uid="{00000000-0005-0000-0000-00009F0F0000}"/>
    <cellStyle name="40 % - Akzent1 3 2 15" xfId="33306" xr:uid="{00000000-0005-0000-0000-0000A00F0000}"/>
    <cellStyle name="40 % - Akzent1 3 2 2" xfId="4501" xr:uid="{00000000-0005-0000-0000-0000A10F0000}"/>
    <cellStyle name="40 % - Akzent1 3 2 2 10" xfId="4502" xr:uid="{00000000-0005-0000-0000-0000A20F0000}"/>
    <cellStyle name="40 % - Akzent1 3 2 2 2" xfId="4503" xr:uid="{00000000-0005-0000-0000-0000A30F0000}"/>
    <cellStyle name="40 % - Akzent1 3 2 2 2 2" xfId="4504" xr:uid="{00000000-0005-0000-0000-0000A40F0000}"/>
    <cellStyle name="40 % - Akzent1 3 2 2 2 2 2" xfId="4505" xr:uid="{00000000-0005-0000-0000-0000A50F0000}"/>
    <cellStyle name="40 % - Akzent1 3 2 2 2 2 2 2" xfId="4506" xr:uid="{00000000-0005-0000-0000-0000A60F0000}"/>
    <cellStyle name="40 % - Akzent1 3 2 2 2 2 2 2 2" xfId="4507" xr:uid="{00000000-0005-0000-0000-0000A70F0000}"/>
    <cellStyle name="40 % - Akzent1 3 2 2 2 2 2 2 3" xfId="4508" xr:uid="{00000000-0005-0000-0000-0000A80F0000}"/>
    <cellStyle name="40 % - Akzent1 3 2 2 2 2 2 3" xfId="4509" xr:uid="{00000000-0005-0000-0000-0000A90F0000}"/>
    <cellStyle name="40 % - Akzent1 3 2 2 2 2 2 3 2" xfId="4510" xr:uid="{00000000-0005-0000-0000-0000AA0F0000}"/>
    <cellStyle name="40 % - Akzent1 3 2 2 2 2 2 3 3" xfId="4511" xr:uid="{00000000-0005-0000-0000-0000AB0F0000}"/>
    <cellStyle name="40 % - Akzent1 3 2 2 2 2 2 4" xfId="4512" xr:uid="{00000000-0005-0000-0000-0000AC0F0000}"/>
    <cellStyle name="40 % - Akzent1 3 2 2 2 2 2 4 2" xfId="4513" xr:uid="{00000000-0005-0000-0000-0000AD0F0000}"/>
    <cellStyle name="40 % - Akzent1 3 2 2 2 2 2 5" xfId="4514" xr:uid="{00000000-0005-0000-0000-0000AE0F0000}"/>
    <cellStyle name="40 % - Akzent1 3 2 2 2 2 2 6" xfId="4515" xr:uid="{00000000-0005-0000-0000-0000AF0F0000}"/>
    <cellStyle name="40 % - Akzent1 3 2 2 2 2 3" xfId="4516" xr:uid="{00000000-0005-0000-0000-0000B00F0000}"/>
    <cellStyle name="40 % - Akzent1 3 2 2 2 2 3 2" xfId="4517" xr:uid="{00000000-0005-0000-0000-0000B10F0000}"/>
    <cellStyle name="40 % - Akzent1 3 2 2 2 2 3 3" xfId="4518" xr:uid="{00000000-0005-0000-0000-0000B20F0000}"/>
    <cellStyle name="40 % - Akzent1 3 2 2 2 2 4" xfId="4519" xr:uid="{00000000-0005-0000-0000-0000B30F0000}"/>
    <cellStyle name="40 % - Akzent1 3 2 2 2 2 4 2" xfId="4520" xr:uid="{00000000-0005-0000-0000-0000B40F0000}"/>
    <cellStyle name="40 % - Akzent1 3 2 2 2 2 4 3" xfId="4521" xr:uid="{00000000-0005-0000-0000-0000B50F0000}"/>
    <cellStyle name="40 % - Akzent1 3 2 2 2 2 5" xfId="4522" xr:uid="{00000000-0005-0000-0000-0000B60F0000}"/>
    <cellStyle name="40 % - Akzent1 3 2 2 2 2 5 2" xfId="4523" xr:uid="{00000000-0005-0000-0000-0000B70F0000}"/>
    <cellStyle name="40 % - Akzent1 3 2 2 2 2 6" xfId="4524" xr:uid="{00000000-0005-0000-0000-0000B80F0000}"/>
    <cellStyle name="40 % - Akzent1 3 2 2 2 2 7" xfId="4525" xr:uid="{00000000-0005-0000-0000-0000B90F0000}"/>
    <cellStyle name="40 % - Akzent1 3 2 2 2 3" xfId="4526" xr:uid="{00000000-0005-0000-0000-0000BA0F0000}"/>
    <cellStyle name="40 % - Akzent1 3 2 2 2 3 2" xfId="4527" xr:uid="{00000000-0005-0000-0000-0000BB0F0000}"/>
    <cellStyle name="40 % - Akzent1 3 2 2 2 3 2 2" xfId="4528" xr:uid="{00000000-0005-0000-0000-0000BC0F0000}"/>
    <cellStyle name="40 % - Akzent1 3 2 2 2 3 2 3" xfId="4529" xr:uid="{00000000-0005-0000-0000-0000BD0F0000}"/>
    <cellStyle name="40 % - Akzent1 3 2 2 2 3 3" xfId="4530" xr:uid="{00000000-0005-0000-0000-0000BE0F0000}"/>
    <cellStyle name="40 % - Akzent1 3 2 2 2 3 3 2" xfId="4531" xr:uid="{00000000-0005-0000-0000-0000BF0F0000}"/>
    <cellStyle name="40 % - Akzent1 3 2 2 2 3 3 3" xfId="4532" xr:uid="{00000000-0005-0000-0000-0000C00F0000}"/>
    <cellStyle name="40 % - Akzent1 3 2 2 2 3 4" xfId="4533" xr:uid="{00000000-0005-0000-0000-0000C10F0000}"/>
    <cellStyle name="40 % - Akzent1 3 2 2 2 3 4 2" xfId="4534" xr:uid="{00000000-0005-0000-0000-0000C20F0000}"/>
    <cellStyle name="40 % - Akzent1 3 2 2 2 3 5" xfId="4535" xr:uid="{00000000-0005-0000-0000-0000C30F0000}"/>
    <cellStyle name="40 % - Akzent1 3 2 2 2 3 6" xfId="4536" xr:uid="{00000000-0005-0000-0000-0000C40F0000}"/>
    <cellStyle name="40 % - Akzent1 3 2 2 2 4" xfId="4537" xr:uid="{00000000-0005-0000-0000-0000C50F0000}"/>
    <cellStyle name="40 % - Akzent1 3 2 2 2 4 2" xfId="4538" xr:uid="{00000000-0005-0000-0000-0000C60F0000}"/>
    <cellStyle name="40 % - Akzent1 3 2 2 2 4 3" xfId="4539" xr:uid="{00000000-0005-0000-0000-0000C70F0000}"/>
    <cellStyle name="40 % - Akzent1 3 2 2 2 5" xfId="4540" xr:uid="{00000000-0005-0000-0000-0000C80F0000}"/>
    <cellStyle name="40 % - Akzent1 3 2 2 2 5 2" xfId="4541" xr:uid="{00000000-0005-0000-0000-0000C90F0000}"/>
    <cellStyle name="40 % - Akzent1 3 2 2 2 5 3" xfId="4542" xr:uid="{00000000-0005-0000-0000-0000CA0F0000}"/>
    <cellStyle name="40 % - Akzent1 3 2 2 2 6" xfId="4543" xr:uid="{00000000-0005-0000-0000-0000CB0F0000}"/>
    <cellStyle name="40 % - Akzent1 3 2 2 2 6 2" xfId="4544" xr:uid="{00000000-0005-0000-0000-0000CC0F0000}"/>
    <cellStyle name="40 % - Akzent1 3 2 2 2 7" xfId="4545" xr:uid="{00000000-0005-0000-0000-0000CD0F0000}"/>
    <cellStyle name="40 % - Akzent1 3 2 2 2 8" xfId="4546" xr:uid="{00000000-0005-0000-0000-0000CE0F0000}"/>
    <cellStyle name="40 % - Akzent1 3 2 2 3" xfId="4547" xr:uid="{00000000-0005-0000-0000-0000CF0F0000}"/>
    <cellStyle name="40 % - Akzent1 3 2 2 3 2" xfId="4548" xr:uid="{00000000-0005-0000-0000-0000D00F0000}"/>
    <cellStyle name="40 % - Akzent1 3 2 2 3 2 2" xfId="4549" xr:uid="{00000000-0005-0000-0000-0000D10F0000}"/>
    <cellStyle name="40 % - Akzent1 3 2 2 3 2 2 2" xfId="4550" xr:uid="{00000000-0005-0000-0000-0000D20F0000}"/>
    <cellStyle name="40 % - Akzent1 3 2 2 3 2 2 2 2" xfId="4551" xr:uid="{00000000-0005-0000-0000-0000D30F0000}"/>
    <cellStyle name="40 % - Akzent1 3 2 2 3 2 2 2 3" xfId="4552" xr:uid="{00000000-0005-0000-0000-0000D40F0000}"/>
    <cellStyle name="40 % - Akzent1 3 2 2 3 2 2 3" xfId="4553" xr:uid="{00000000-0005-0000-0000-0000D50F0000}"/>
    <cellStyle name="40 % - Akzent1 3 2 2 3 2 2 3 2" xfId="4554" xr:uid="{00000000-0005-0000-0000-0000D60F0000}"/>
    <cellStyle name="40 % - Akzent1 3 2 2 3 2 2 3 3" xfId="4555" xr:uid="{00000000-0005-0000-0000-0000D70F0000}"/>
    <cellStyle name="40 % - Akzent1 3 2 2 3 2 2 4" xfId="4556" xr:uid="{00000000-0005-0000-0000-0000D80F0000}"/>
    <cellStyle name="40 % - Akzent1 3 2 2 3 2 2 4 2" xfId="4557" xr:uid="{00000000-0005-0000-0000-0000D90F0000}"/>
    <cellStyle name="40 % - Akzent1 3 2 2 3 2 2 5" xfId="4558" xr:uid="{00000000-0005-0000-0000-0000DA0F0000}"/>
    <cellStyle name="40 % - Akzent1 3 2 2 3 2 2 6" xfId="4559" xr:uid="{00000000-0005-0000-0000-0000DB0F0000}"/>
    <cellStyle name="40 % - Akzent1 3 2 2 3 2 3" xfId="4560" xr:uid="{00000000-0005-0000-0000-0000DC0F0000}"/>
    <cellStyle name="40 % - Akzent1 3 2 2 3 2 3 2" xfId="4561" xr:uid="{00000000-0005-0000-0000-0000DD0F0000}"/>
    <cellStyle name="40 % - Akzent1 3 2 2 3 2 3 3" xfId="4562" xr:uid="{00000000-0005-0000-0000-0000DE0F0000}"/>
    <cellStyle name="40 % - Akzent1 3 2 2 3 2 4" xfId="4563" xr:uid="{00000000-0005-0000-0000-0000DF0F0000}"/>
    <cellStyle name="40 % - Akzent1 3 2 2 3 2 4 2" xfId="4564" xr:uid="{00000000-0005-0000-0000-0000E00F0000}"/>
    <cellStyle name="40 % - Akzent1 3 2 2 3 2 4 3" xfId="4565" xr:uid="{00000000-0005-0000-0000-0000E10F0000}"/>
    <cellStyle name="40 % - Akzent1 3 2 2 3 2 5" xfId="4566" xr:uid="{00000000-0005-0000-0000-0000E20F0000}"/>
    <cellStyle name="40 % - Akzent1 3 2 2 3 2 5 2" xfId="4567" xr:uid="{00000000-0005-0000-0000-0000E30F0000}"/>
    <cellStyle name="40 % - Akzent1 3 2 2 3 2 6" xfId="4568" xr:uid="{00000000-0005-0000-0000-0000E40F0000}"/>
    <cellStyle name="40 % - Akzent1 3 2 2 3 2 7" xfId="4569" xr:uid="{00000000-0005-0000-0000-0000E50F0000}"/>
    <cellStyle name="40 % - Akzent1 3 2 2 3 3" xfId="4570" xr:uid="{00000000-0005-0000-0000-0000E60F0000}"/>
    <cellStyle name="40 % - Akzent1 3 2 2 3 3 2" xfId="4571" xr:uid="{00000000-0005-0000-0000-0000E70F0000}"/>
    <cellStyle name="40 % - Akzent1 3 2 2 3 3 2 2" xfId="4572" xr:uid="{00000000-0005-0000-0000-0000E80F0000}"/>
    <cellStyle name="40 % - Akzent1 3 2 2 3 3 2 3" xfId="4573" xr:uid="{00000000-0005-0000-0000-0000E90F0000}"/>
    <cellStyle name="40 % - Akzent1 3 2 2 3 3 3" xfId="4574" xr:uid="{00000000-0005-0000-0000-0000EA0F0000}"/>
    <cellStyle name="40 % - Akzent1 3 2 2 3 3 3 2" xfId="4575" xr:uid="{00000000-0005-0000-0000-0000EB0F0000}"/>
    <cellStyle name="40 % - Akzent1 3 2 2 3 3 3 3" xfId="4576" xr:uid="{00000000-0005-0000-0000-0000EC0F0000}"/>
    <cellStyle name="40 % - Akzent1 3 2 2 3 3 4" xfId="4577" xr:uid="{00000000-0005-0000-0000-0000ED0F0000}"/>
    <cellStyle name="40 % - Akzent1 3 2 2 3 3 4 2" xfId="4578" xr:uid="{00000000-0005-0000-0000-0000EE0F0000}"/>
    <cellStyle name="40 % - Akzent1 3 2 2 3 3 5" xfId="4579" xr:uid="{00000000-0005-0000-0000-0000EF0F0000}"/>
    <cellStyle name="40 % - Akzent1 3 2 2 3 3 6" xfId="4580" xr:uid="{00000000-0005-0000-0000-0000F00F0000}"/>
    <cellStyle name="40 % - Akzent1 3 2 2 3 4" xfId="4581" xr:uid="{00000000-0005-0000-0000-0000F10F0000}"/>
    <cellStyle name="40 % - Akzent1 3 2 2 3 4 2" xfId="4582" xr:uid="{00000000-0005-0000-0000-0000F20F0000}"/>
    <cellStyle name="40 % - Akzent1 3 2 2 3 4 3" xfId="4583" xr:uid="{00000000-0005-0000-0000-0000F30F0000}"/>
    <cellStyle name="40 % - Akzent1 3 2 2 3 5" xfId="4584" xr:uid="{00000000-0005-0000-0000-0000F40F0000}"/>
    <cellStyle name="40 % - Akzent1 3 2 2 3 5 2" xfId="4585" xr:uid="{00000000-0005-0000-0000-0000F50F0000}"/>
    <cellStyle name="40 % - Akzent1 3 2 2 3 5 3" xfId="4586" xr:uid="{00000000-0005-0000-0000-0000F60F0000}"/>
    <cellStyle name="40 % - Akzent1 3 2 2 3 6" xfId="4587" xr:uid="{00000000-0005-0000-0000-0000F70F0000}"/>
    <cellStyle name="40 % - Akzent1 3 2 2 3 6 2" xfId="4588" xr:uid="{00000000-0005-0000-0000-0000F80F0000}"/>
    <cellStyle name="40 % - Akzent1 3 2 2 3 7" xfId="4589" xr:uid="{00000000-0005-0000-0000-0000F90F0000}"/>
    <cellStyle name="40 % - Akzent1 3 2 2 3 8" xfId="4590" xr:uid="{00000000-0005-0000-0000-0000FA0F0000}"/>
    <cellStyle name="40 % - Akzent1 3 2 2 4" xfId="4591" xr:uid="{00000000-0005-0000-0000-0000FB0F0000}"/>
    <cellStyle name="40 % - Akzent1 3 2 2 4 2" xfId="4592" xr:uid="{00000000-0005-0000-0000-0000FC0F0000}"/>
    <cellStyle name="40 % - Akzent1 3 2 2 4 2 2" xfId="4593" xr:uid="{00000000-0005-0000-0000-0000FD0F0000}"/>
    <cellStyle name="40 % - Akzent1 3 2 2 4 2 2 2" xfId="4594" xr:uid="{00000000-0005-0000-0000-0000FE0F0000}"/>
    <cellStyle name="40 % - Akzent1 3 2 2 4 2 2 3" xfId="4595" xr:uid="{00000000-0005-0000-0000-0000FF0F0000}"/>
    <cellStyle name="40 % - Akzent1 3 2 2 4 2 3" xfId="4596" xr:uid="{00000000-0005-0000-0000-000000100000}"/>
    <cellStyle name="40 % - Akzent1 3 2 2 4 2 3 2" xfId="4597" xr:uid="{00000000-0005-0000-0000-000001100000}"/>
    <cellStyle name="40 % - Akzent1 3 2 2 4 2 3 3" xfId="4598" xr:uid="{00000000-0005-0000-0000-000002100000}"/>
    <cellStyle name="40 % - Akzent1 3 2 2 4 2 4" xfId="4599" xr:uid="{00000000-0005-0000-0000-000003100000}"/>
    <cellStyle name="40 % - Akzent1 3 2 2 4 2 4 2" xfId="4600" xr:uid="{00000000-0005-0000-0000-000004100000}"/>
    <cellStyle name="40 % - Akzent1 3 2 2 4 2 5" xfId="4601" xr:uid="{00000000-0005-0000-0000-000005100000}"/>
    <cellStyle name="40 % - Akzent1 3 2 2 4 2 6" xfId="4602" xr:uid="{00000000-0005-0000-0000-000006100000}"/>
    <cellStyle name="40 % - Akzent1 3 2 2 4 3" xfId="4603" xr:uid="{00000000-0005-0000-0000-000007100000}"/>
    <cellStyle name="40 % - Akzent1 3 2 2 4 3 2" xfId="4604" xr:uid="{00000000-0005-0000-0000-000008100000}"/>
    <cellStyle name="40 % - Akzent1 3 2 2 4 3 3" xfId="4605" xr:uid="{00000000-0005-0000-0000-000009100000}"/>
    <cellStyle name="40 % - Akzent1 3 2 2 4 4" xfId="4606" xr:uid="{00000000-0005-0000-0000-00000A100000}"/>
    <cellStyle name="40 % - Akzent1 3 2 2 4 4 2" xfId="4607" xr:uid="{00000000-0005-0000-0000-00000B100000}"/>
    <cellStyle name="40 % - Akzent1 3 2 2 4 4 3" xfId="4608" xr:uid="{00000000-0005-0000-0000-00000C100000}"/>
    <cellStyle name="40 % - Akzent1 3 2 2 4 5" xfId="4609" xr:uid="{00000000-0005-0000-0000-00000D100000}"/>
    <cellStyle name="40 % - Akzent1 3 2 2 4 5 2" xfId="4610" xr:uid="{00000000-0005-0000-0000-00000E100000}"/>
    <cellStyle name="40 % - Akzent1 3 2 2 4 6" xfId="4611" xr:uid="{00000000-0005-0000-0000-00000F100000}"/>
    <cellStyle name="40 % - Akzent1 3 2 2 4 7" xfId="4612" xr:uid="{00000000-0005-0000-0000-000010100000}"/>
    <cellStyle name="40 % - Akzent1 3 2 2 5" xfId="4613" xr:uid="{00000000-0005-0000-0000-000011100000}"/>
    <cellStyle name="40 % - Akzent1 3 2 2 5 2" xfId="4614" xr:uid="{00000000-0005-0000-0000-000012100000}"/>
    <cellStyle name="40 % - Akzent1 3 2 2 5 2 2" xfId="4615" xr:uid="{00000000-0005-0000-0000-000013100000}"/>
    <cellStyle name="40 % - Akzent1 3 2 2 5 2 3" xfId="4616" xr:uid="{00000000-0005-0000-0000-000014100000}"/>
    <cellStyle name="40 % - Akzent1 3 2 2 5 3" xfId="4617" xr:uid="{00000000-0005-0000-0000-000015100000}"/>
    <cellStyle name="40 % - Akzent1 3 2 2 5 3 2" xfId="4618" xr:uid="{00000000-0005-0000-0000-000016100000}"/>
    <cellStyle name="40 % - Akzent1 3 2 2 5 3 3" xfId="4619" xr:uid="{00000000-0005-0000-0000-000017100000}"/>
    <cellStyle name="40 % - Akzent1 3 2 2 5 4" xfId="4620" xr:uid="{00000000-0005-0000-0000-000018100000}"/>
    <cellStyle name="40 % - Akzent1 3 2 2 5 4 2" xfId="4621" xr:uid="{00000000-0005-0000-0000-000019100000}"/>
    <cellStyle name="40 % - Akzent1 3 2 2 5 5" xfId="4622" xr:uid="{00000000-0005-0000-0000-00001A100000}"/>
    <cellStyle name="40 % - Akzent1 3 2 2 5 6" xfId="4623" xr:uid="{00000000-0005-0000-0000-00001B100000}"/>
    <cellStyle name="40 % - Akzent1 3 2 2 6" xfId="4624" xr:uid="{00000000-0005-0000-0000-00001C100000}"/>
    <cellStyle name="40 % - Akzent1 3 2 2 6 2" xfId="4625" xr:uid="{00000000-0005-0000-0000-00001D100000}"/>
    <cellStyle name="40 % - Akzent1 3 2 2 6 3" xfId="4626" xr:uid="{00000000-0005-0000-0000-00001E100000}"/>
    <cellStyle name="40 % - Akzent1 3 2 2 7" xfId="4627" xr:uid="{00000000-0005-0000-0000-00001F100000}"/>
    <cellStyle name="40 % - Akzent1 3 2 2 7 2" xfId="4628" xr:uid="{00000000-0005-0000-0000-000020100000}"/>
    <cellStyle name="40 % - Akzent1 3 2 2 7 3" xfId="4629" xr:uid="{00000000-0005-0000-0000-000021100000}"/>
    <cellStyle name="40 % - Akzent1 3 2 2 8" xfId="4630" xr:uid="{00000000-0005-0000-0000-000022100000}"/>
    <cellStyle name="40 % - Akzent1 3 2 2 8 2" xfId="4631" xr:uid="{00000000-0005-0000-0000-000023100000}"/>
    <cellStyle name="40 % - Akzent1 3 2 2 9" xfId="4632" xr:uid="{00000000-0005-0000-0000-000024100000}"/>
    <cellStyle name="40 % - Akzent1 3 2 3" xfId="4633" xr:uid="{00000000-0005-0000-0000-000025100000}"/>
    <cellStyle name="40 % - Akzent1 3 2 3 2" xfId="4634" xr:uid="{00000000-0005-0000-0000-000026100000}"/>
    <cellStyle name="40 % - Akzent1 3 2 3 2 2" xfId="4635" xr:uid="{00000000-0005-0000-0000-000027100000}"/>
    <cellStyle name="40 % - Akzent1 3 2 3 2 2 2" xfId="4636" xr:uid="{00000000-0005-0000-0000-000028100000}"/>
    <cellStyle name="40 % - Akzent1 3 2 3 2 2 2 2" xfId="4637" xr:uid="{00000000-0005-0000-0000-000029100000}"/>
    <cellStyle name="40 % - Akzent1 3 2 3 2 2 2 3" xfId="4638" xr:uid="{00000000-0005-0000-0000-00002A100000}"/>
    <cellStyle name="40 % - Akzent1 3 2 3 2 2 3" xfId="4639" xr:uid="{00000000-0005-0000-0000-00002B100000}"/>
    <cellStyle name="40 % - Akzent1 3 2 3 2 2 3 2" xfId="4640" xr:uid="{00000000-0005-0000-0000-00002C100000}"/>
    <cellStyle name="40 % - Akzent1 3 2 3 2 2 3 3" xfId="4641" xr:uid="{00000000-0005-0000-0000-00002D100000}"/>
    <cellStyle name="40 % - Akzent1 3 2 3 2 2 4" xfId="4642" xr:uid="{00000000-0005-0000-0000-00002E100000}"/>
    <cellStyle name="40 % - Akzent1 3 2 3 2 2 4 2" xfId="4643" xr:uid="{00000000-0005-0000-0000-00002F100000}"/>
    <cellStyle name="40 % - Akzent1 3 2 3 2 2 5" xfId="4644" xr:uid="{00000000-0005-0000-0000-000030100000}"/>
    <cellStyle name="40 % - Akzent1 3 2 3 2 2 6" xfId="4645" xr:uid="{00000000-0005-0000-0000-000031100000}"/>
    <cellStyle name="40 % - Akzent1 3 2 3 2 3" xfId="4646" xr:uid="{00000000-0005-0000-0000-000032100000}"/>
    <cellStyle name="40 % - Akzent1 3 2 3 2 3 2" xfId="4647" xr:uid="{00000000-0005-0000-0000-000033100000}"/>
    <cellStyle name="40 % - Akzent1 3 2 3 2 3 3" xfId="4648" xr:uid="{00000000-0005-0000-0000-000034100000}"/>
    <cellStyle name="40 % - Akzent1 3 2 3 2 4" xfId="4649" xr:uid="{00000000-0005-0000-0000-000035100000}"/>
    <cellStyle name="40 % - Akzent1 3 2 3 2 4 2" xfId="4650" xr:uid="{00000000-0005-0000-0000-000036100000}"/>
    <cellStyle name="40 % - Akzent1 3 2 3 2 4 3" xfId="4651" xr:uid="{00000000-0005-0000-0000-000037100000}"/>
    <cellStyle name="40 % - Akzent1 3 2 3 2 5" xfId="4652" xr:uid="{00000000-0005-0000-0000-000038100000}"/>
    <cellStyle name="40 % - Akzent1 3 2 3 2 5 2" xfId="4653" xr:uid="{00000000-0005-0000-0000-000039100000}"/>
    <cellStyle name="40 % - Akzent1 3 2 3 2 6" xfId="4654" xr:uid="{00000000-0005-0000-0000-00003A100000}"/>
    <cellStyle name="40 % - Akzent1 3 2 3 2 7" xfId="4655" xr:uid="{00000000-0005-0000-0000-00003B100000}"/>
    <cellStyle name="40 % - Akzent1 3 2 3 3" xfId="4656" xr:uid="{00000000-0005-0000-0000-00003C100000}"/>
    <cellStyle name="40 % - Akzent1 3 2 3 3 2" xfId="4657" xr:uid="{00000000-0005-0000-0000-00003D100000}"/>
    <cellStyle name="40 % - Akzent1 3 2 3 3 2 2" xfId="4658" xr:uid="{00000000-0005-0000-0000-00003E100000}"/>
    <cellStyle name="40 % - Akzent1 3 2 3 3 2 3" xfId="4659" xr:uid="{00000000-0005-0000-0000-00003F100000}"/>
    <cellStyle name="40 % - Akzent1 3 2 3 3 3" xfId="4660" xr:uid="{00000000-0005-0000-0000-000040100000}"/>
    <cellStyle name="40 % - Akzent1 3 2 3 3 3 2" xfId="4661" xr:uid="{00000000-0005-0000-0000-000041100000}"/>
    <cellStyle name="40 % - Akzent1 3 2 3 3 3 3" xfId="4662" xr:uid="{00000000-0005-0000-0000-000042100000}"/>
    <cellStyle name="40 % - Akzent1 3 2 3 3 4" xfId="4663" xr:uid="{00000000-0005-0000-0000-000043100000}"/>
    <cellStyle name="40 % - Akzent1 3 2 3 3 4 2" xfId="4664" xr:uid="{00000000-0005-0000-0000-000044100000}"/>
    <cellStyle name="40 % - Akzent1 3 2 3 3 5" xfId="4665" xr:uid="{00000000-0005-0000-0000-000045100000}"/>
    <cellStyle name="40 % - Akzent1 3 2 3 3 6" xfId="4666" xr:uid="{00000000-0005-0000-0000-000046100000}"/>
    <cellStyle name="40 % - Akzent1 3 2 3 4" xfId="4667" xr:uid="{00000000-0005-0000-0000-000047100000}"/>
    <cellStyle name="40 % - Akzent1 3 2 3 4 2" xfId="4668" xr:uid="{00000000-0005-0000-0000-000048100000}"/>
    <cellStyle name="40 % - Akzent1 3 2 3 4 3" xfId="4669" xr:uid="{00000000-0005-0000-0000-000049100000}"/>
    <cellStyle name="40 % - Akzent1 3 2 3 5" xfId="4670" xr:uid="{00000000-0005-0000-0000-00004A100000}"/>
    <cellStyle name="40 % - Akzent1 3 2 3 5 2" xfId="4671" xr:uid="{00000000-0005-0000-0000-00004B100000}"/>
    <cellStyle name="40 % - Akzent1 3 2 3 5 3" xfId="4672" xr:uid="{00000000-0005-0000-0000-00004C100000}"/>
    <cellStyle name="40 % - Akzent1 3 2 3 6" xfId="4673" xr:uid="{00000000-0005-0000-0000-00004D100000}"/>
    <cellStyle name="40 % - Akzent1 3 2 3 6 2" xfId="4674" xr:uid="{00000000-0005-0000-0000-00004E100000}"/>
    <cellStyle name="40 % - Akzent1 3 2 3 7" xfId="4675" xr:uid="{00000000-0005-0000-0000-00004F100000}"/>
    <cellStyle name="40 % - Akzent1 3 2 3 8" xfId="4676" xr:uid="{00000000-0005-0000-0000-000050100000}"/>
    <cellStyle name="40 % - Akzent1 3 2 4" xfId="4677" xr:uid="{00000000-0005-0000-0000-000051100000}"/>
    <cellStyle name="40 % - Akzent1 3 2 4 2" xfId="4678" xr:uid="{00000000-0005-0000-0000-000052100000}"/>
    <cellStyle name="40 % - Akzent1 3 2 4 2 2" xfId="4679" xr:uid="{00000000-0005-0000-0000-000053100000}"/>
    <cellStyle name="40 % - Akzent1 3 2 4 2 2 2" xfId="4680" xr:uid="{00000000-0005-0000-0000-000054100000}"/>
    <cellStyle name="40 % - Akzent1 3 2 4 2 2 2 2" xfId="4681" xr:uid="{00000000-0005-0000-0000-000055100000}"/>
    <cellStyle name="40 % - Akzent1 3 2 4 2 2 2 3" xfId="4682" xr:uid="{00000000-0005-0000-0000-000056100000}"/>
    <cellStyle name="40 % - Akzent1 3 2 4 2 2 3" xfId="4683" xr:uid="{00000000-0005-0000-0000-000057100000}"/>
    <cellStyle name="40 % - Akzent1 3 2 4 2 2 3 2" xfId="4684" xr:uid="{00000000-0005-0000-0000-000058100000}"/>
    <cellStyle name="40 % - Akzent1 3 2 4 2 2 3 3" xfId="4685" xr:uid="{00000000-0005-0000-0000-000059100000}"/>
    <cellStyle name="40 % - Akzent1 3 2 4 2 2 4" xfId="4686" xr:uid="{00000000-0005-0000-0000-00005A100000}"/>
    <cellStyle name="40 % - Akzent1 3 2 4 2 2 4 2" xfId="4687" xr:uid="{00000000-0005-0000-0000-00005B100000}"/>
    <cellStyle name="40 % - Akzent1 3 2 4 2 2 5" xfId="4688" xr:uid="{00000000-0005-0000-0000-00005C100000}"/>
    <cellStyle name="40 % - Akzent1 3 2 4 2 2 6" xfId="4689" xr:uid="{00000000-0005-0000-0000-00005D100000}"/>
    <cellStyle name="40 % - Akzent1 3 2 4 2 3" xfId="4690" xr:uid="{00000000-0005-0000-0000-00005E100000}"/>
    <cellStyle name="40 % - Akzent1 3 2 4 2 3 2" xfId="4691" xr:uid="{00000000-0005-0000-0000-00005F100000}"/>
    <cellStyle name="40 % - Akzent1 3 2 4 2 3 3" xfId="4692" xr:uid="{00000000-0005-0000-0000-000060100000}"/>
    <cellStyle name="40 % - Akzent1 3 2 4 2 4" xfId="4693" xr:uid="{00000000-0005-0000-0000-000061100000}"/>
    <cellStyle name="40 % - Akzent1 3 2 4 2 4 2" xfId="4694" xr:uid="{00000000-0005-0000-0000-000062100000}"/>
    <cellStyle name="40 % - Akzent1 3 2 4 2 4 3" xfId="4695" xr:uid="{00000000-0005-0000-0000-000063100000}"/>
    <cellStyle name="40 % - Akzent1 3 2 4 2 5" xfId="4696" xr:uid="{00000000-0005-0000-0000-000064100000}"/>
    <cellStyle name="40 % - Akzent1 3 2 4 2 5 2" xfId="4697" xr:uid="{00000000-0005-0000-0000-000065100000}"/>
    <cellStyle name="40 % - Akzent1 3 2 4 2 6" xfId="4698" xr:uid="{00000000-0005-0000-0000-000066100000}"/>
    <cellStyle name="40 % - Akzent1 3 2 4 2 7" xfId="4699" xr:uid="{00000000-0005-0000-0000-000067100000}"/>
    <cellStyle name="40 % - Akzent1 3 2 4 3" xfId="4700" xr:uid="{00000000-0005-0000-0000-000068100000}"/>
    <cellStyle name="40 % - Akzent1 3 2 4 3 2" xfId="4701" xr:uid="{00000000-0005-0000-0000-000069100000}"/>
    <cellStyle name="40 % - Akzent1 3 2 4 3 2 2" xfId="4702" xr:uid="{00000000-0005-0000-0000-00006A100000}"/>
    <cellStyle name="40 % - Akzent1 3 2 4 3 2 3" xfId="4703" xr:uid="{00000000-0005-0000-0000-00006B100000}"/>
    <cellStyle name="40 % - Akzent1 3 2 4 3 3" xfId="4704" xr:uid="{00000000-0005-0000-0000-00006C100000}"/>
    <cellStyle name="40 % - Akzent1 3 2 4 3 3 2" xfId="4705" xr:uid="{00000000-0005-0000-0000-00006D100000}"/>
    <cellStyle name="40 % - Akzent1 3 2 4 3 3 3" xfId="4706" xr:uid="{00000000-0005-0000-0000-00006E100000}"/>
    <cellStyle name="40 % - Akzent1 3 2 4 3 4" xfId="4707" xr:uid="{00000000-0005-0000-0000-00006F100000}"/>
    <cellStyle name="40 % - Akzent1 3 2 4 3 4 2" xfId="4708" xr:uid="{00000000-0005-0000-0000-000070100000}"/>
    <cellStyle name="40 % - Akzent1 3 2 4 3 5" xfId="4709" xr:uid="{00000000-0005-0000-0000-000071100000}"/>
    <cellStyle name="40 % - Akzent1 3 2 4 3 6" xfId="4710" xr:uid="{00000000-0005-0000-0000-000072100000}"/>
    <cellStyle name="40 % - Akzent1 3 2 4 4" xfId="4711" xr:uid="{00000000-0005-0000-0000-000073100000}"/>
    <cellStyle name="40 % - Akzent1 3 2 4 4 2" xfId="4712" xr:uid="{00000000-0005-0000-0000-000074100000}"/>
    <cellStyle name="40 % - Akzent1 3 2 4 4 3" xfId="4713" xr:uid="{00000000-0005-0000-0000-000075100000}"/>
    <cellStyle name="40 % - Akzent1 3 2 4 5" xfId="4714" xr:uid="{00000000-0005-0000-0000-000076100000}"/>
    <cellStyle name="40 % - Akzent1 3 2 4 5 2" xfId="4715" xr:uid="{00000000-0005-0000-0000-000077100000}"/>
    <cellStyle name="40 % - Akzent1 3 2 4 5 3" xfId="4716" xr:uid="{00000000-0005-0000-0000-000078100000}"/>
    <cellStyle name="40 % - Akzent1 3 2 4 6" xfId="4717" xr:uid="{00000000-0005-0000-0000-000079100000}"/>
    <cellStyle name="40 % - Akzent1 3 2 4 6 2" xfId="4718" xr:uid="{00000000-0005-0000-0000-00007A100000}"/>
    <cellStyle name="40 % - Akzent1 3 2 4 7" xfId="4719" xr:uid="{00000000-0005-0000-0000-00007B100000}"/>
    <cellStyle name="40 % - Akzent1 3 2 4 8" xfId="4720" xr:uid="{00000000-0005-0000-0000-00007C100000}"/>
    <cellStyle name="40 % - Akzent1 3 2 5" xfId="4721" xr:uid="{00000000-0005-0000-0000-00007D100000}"/>
    <cellStyle name="40 % - Akzent1 3 2 5 2" xfId="4722" xr:uid="{00000000-0005-0000-0000-00007E100000}"/>
    <cellStyle name="40 % - Akzent1 3 2 5 2 2" xfId="4723" xr:uid="{00000000-0005-0000-0000-00007F100000}"/>
    <cellStyle name="40 % - Akzent1 3 2 5 2 2 2" xfId="4724" xr:uid="{00000000-0005-0000-0000-000080100000}"/>
    <cellStyle name="40 % - Akzent1 3 2 5 2 2 3" xfId="4725" xr:uid="{00000000-0005-0000-0000-000081100000}"/>
    <cellStyle name="40 % - Akzent1 3 2 5 2 3" xfId="4726" xr:uid="{00000000-0005-0000-0000-000082100000}"/>
    <cellStyle name="40 % - Akzent1 3 2 5 2 3 2" xfId="4727" xr:uid="{00000000-0005-0000-0000-000083100000}"/>
    <cellStyle name="40 % - Akzent1 3 2 5 2 3 3" xfId="4728" xr:uid="{00000000-0005-0000-0000-000084100000}"/>
    <cellStyle name="40 % - Akzent1 3 2 5 2 4" xfId="4729" xr:uid="{00000000-0005-0000-0000-000085100000}"/>
    <cellStyle name="40 % - Akzent1 3 2 5 2 4 2" xfId="4730" xr:uid="{00000000-0005-0000-0000-000086100000}"/>
    <cellStyle name="40 % - Akzent1 3 2 5 2 5" xfId="4731" xr:uid="{00000000-0005-0000-0000-000087100000}"/>
    <cellStyle name="40 % - Akzent1 3 2 5 2 6" xfId="4732" xr:uid="{00000000-0005-0000-0000-000088100000}"/>
    <cellStyle name="40 % - Akzent1 3 2 5 3" xfId="4733" xr:uid="{00000000-0005-0000-0000-000089100000}"/>
    <cellStyle name="40 % - Akzent1 3 2 5 3 2" xfId="4734" xr:uid="{00000000-0005-0000-0000-00008A100000}"/>
    <cellStyle name="40 % - Akzent1 3 2 5 3 3" xfId="4735" xr:uid="{00000000-0005-0000-0000-00008B100000}"/>
    <cellStyle name="40 % - Akzent1 3 2 5 4" xfId="4736" xr:uid="{00000000-0005-0000-0000-00008C100000}"/>
    <cellStyle name="40 % - Akzent1 3 2 5 4 2" xfId="4737" xr:uid="{00000000-0005-0000-0000-00008D100000}"/>
    <cellStyle name="40 % - Akzent1 3 2 5 4 3" xfId="4738" xr:uid="{00000000-0005-0000-0000-00008E100000}"/>
    <cellStyle name="40 % - Akzent1 3 2 5 5" xfId="4739" xr:uid="{00000000-0005-0000-0000-00008F100000}"/>
    <cellStyle name="40 % - Akzent1 3 2 5 5 2" xfId="4740" xr:uid="{00000000-0005-0000-0000-000090100000}"/>
    <cellStyle name="40 % - Akzent1 3 2 5 6" xfId="4741" xr:uid="{00000000-0005-0000-0000-000091100000}"/>
    <cellStyle name="40 % - Akzent1 3 2 5 7" xfId="4742" xr:uid="{00000000-0005-0000-0000-000092100000}"/>
    <cellStyle name="40 % - Akzent1 3 2 6" xfId="4743" xr:uid="{00000000-0005-0000-0000-000093100000}"/>
    <cellStyle name="40 % - Akzent1 3 2 6 2" xfId="4744" xr:uid="{00000000-0005-0000-0000-000094100000}"/>
    <cellStyle name="40 % - Akzent1 3 2 6 2 2" xfId="4745" xr:uid="{00000000-0005-0000-0000-000095100000}"/>
    <cellStyle name="40 % - Akzent1 3 2 6 2 3" xfId="4746" xr:uid="{00000000-0005-0000-0000-000096100000}"/>
    <cellStyle name="40 % - Akzent1 3 2 6 3" xfId="4747" xr:uid="{00000000-0005-0000-0000-000097100000}"/>
    <cellStyle name="40 % - Akzent1 3 2 6 3 2" xfId="4748" xr:uid="{00000000-0005-0000-0000-000098100000}"/>
    <cellStyle name="40 % - Akzent1 3 2 6 3 3" xfId="4749" xr:uid="{00000000-0005-0000-0000-000099100000}"/>
    <cellStyle name="40 % - Akzent1 3 2 6 4" xfId="4750" xr:uid="{00000000-0005-0000-0000-00009A100000}"/>
    <cellStyle name="40 % - Akzent1 3 2 6 4 2" xfId="4751" xr:uid="{00000000-0005-0000-0000-00009B100000}"/>
    <cellStyle name="40 % - Akzent1 3 2 6 5" xfId="4752" xr:uid="{00000000-0005-0000-0000-00009C100000}"/>
    <cellStyle name="40 % - Akzent1 3 2 6 6" xfId="4753" xr:uid="{00000000-0005-0000-0000-00009D100000}"/>
    <cellStyle name="40 % - Akzent1 3 2 7" xfId="4754" xr:uid="{00000000-0005-0000-0000-00009E100000}"/>
    <cellStyle name="40 % - Akzent1 3 2 7 2" xfId="4755" xr:uid="{00000000-0005-0000-0000-00009F100000}"/>
    <cellStyle name="40 % - Akzent1 3 2 7 3" xfId="4756" xr:uid="{00000000-0005-0000-0000-0000A0100000}"/>
    <cellStyle name="40 % - Akzent1 3 2 8" xfId="4757" xr:uid="{00000000-0005-0000-0000-0000A1100000}"/>
    <cellStyle name="40 % - Akzent1 3 2 8 2" xfId="4758" xr:uid="{00000000-0005-0000-0000-0000A2100000}"/>
    <cellStyle name="40 % - Akzent1 3 2 8 3" xfId="4759" xr:uid="{00000000-0005-0000-0000-0000A3100000}"/>
    <cellStyle name="40 % - Akzent1 3 2 9" xfId="4760" xr:uid="{00000000-0005-0000-0000-0000A4100000}"/>
    <cellStyle name="40 % - Akzent1 3 2 9 2" xfId="4761" xr:uid="{00000000-0005-0000-0000-0000A5100000}"/>
    <cellStyle name="40 % - Akzent1 4" xfId="4762" xr:uid="{00000000-0005-0000-0000-0000A6100000}"/>
    <cellStyle name="40 % - Akzent1 4 2" xfId="4763" xr:uid="{00000000-0005-0000-0000-0000A7100000}"/>
    <cellStyle name="40 % - Akzent1 5" xfId="4764" xr:uid="{00000000-0005-0000-0000-0000A8100000}"/>
    <cellStyle name="40 % - Akzent1 5 2" xfId="4765" xr:uid="{00000000-0005-0000-0000-0000A9100000}"/>
    <cellStyle name="40 % - Akzent1 5 2 10" xfId="4766" xr:uid="{00000000-0005-0000-0000-0000AA100000}"/>
    <cellStyle name="40 % - Akzent1 5 2 11" xfId="4767" xr:uid="{00000000-0005-0000-0000-0000AB100000}"/>
    <cellStyle name="40 % - Akzent1 5 2 2" xfId="4768" xr:uid="{00000000-0005-0000-0000-0000AC100000}"/>
    <cellStyle name="40 % - Akzent1 5 2 2 10" xfId="4769" xr:uid="{00000000-0005-0000-0000-0000AD100000}"/>
    <cellStyle name="40 % - Akzent1 5 2 2 2" xfId="4770" xr:uid="{00000000-0005-0000-0000-0000AE100000}"/>
    <cellStyle name="40 % - Akzent1 5 2 2 2 2" xfId="4771" xr:uid="{00000000-0005-0000-0000-0000AF100000}"/>
    <cellStyle name="40 % - Akzent1 5 2 2 2 2 2" xfId="4772" xr:uid="{00000000-0005-0000-0000-0000B0100000}"/>
    <cellStyle name="40 % - Akzent1 5 2 2 2 2 2 2" xfId="4773" xr:uid="{00000000-0005-0000-0000-0000B1100000}"/>
    <cellStyle name="40 % - Akzent1 5 2 2 2 2 2 2 2" xfId="4774" xr:uid="{00000000-0005-0000-0000-0000B2100000}"/>
    <cellStyle name="40 % - Akzent1 5 2 2 2 2 2 2 3" xfId="4775" xr:uid="{00000000-0005-0000-0000-0000B3100000}"/>
    <cellStyle name="40 % - Akzent1 5 2 2 2 2 2 3" xfId="4776" xr:uid="{00000000-0005-0000-0000-0000B4100000}"/>
    <cellStyle name="40 % - Akzent1 5 2 2 2 2 2 3 2" xfId="4777" xr:uid="{00000000-0005-0000-0000-0000B5100000}"/>
    <cellStyle name="40 % - Akzent1 5 2 2 2 2 2 3 3" xfId="4778" xr:uid="{00000000-0005-0000-0000-0000B6100000}"/>
    <cellStyle name="40 % - Akzent1 5 2 2 2 2 2 4" xfId="4779" xr:uid="{00000000-0005-0000-0000-0000B7100000}"/>
    <cellStyle name="40 % - Akzent1 5 2 2 2 2 2 4 2" xfId="4780" xr:uid="{00000000-0005-0000-0000-0000B8100000}"/>
    <cellStyle name="40 % - Akzent1 5 2 2 2 2 2 5" xfId="4781" xr:uid="{00000000-0005-0000-0000-0000B9100000}"/>
    <cellStyle name="40 % - Akzent1 5 2 2 2 2 2 6" xfId="4782" xr:uid="{00000000-0005-0000-0000-0000BA100000}"/>
    <cellStyle name="40 % - Akzent1 5 2 2 2 2 3" xfId="4783" xr:uid="{00000000-0005-0000-0000-0000BB100000}"/>
    <cellStyle name="40 % - Akzent1 5 2 2 2 2 3 2" xfId="4784" xr:uid="{00000000-0005-0000-0000-0000BC100000}"/>
    <cellStyle name="40 % - Akzent1 5 2 2 2 2 3 3" xfId="4785" xr:uid="{00000000-0005-0000-0000-0000BD100000}"/>
    <cellStyle name="40 % - Akzent1 5 2 2 2 2 4" xfId="4786" xr:uid="{00000000-0005-0000-0000-0000BE100000}"/>
    <cellStyle name="40 % - Akzent1 5 2 2 2 2 4 2" xfId="4787" xr:uid="{00000000-0005-0000-0000-0000BF100000}"/>
    <cellStyle name="40 % - Akzent1 5 2 2 2 2 4 3" xfId="4788" xr:uid="{00000000-0005-0000-0000-0000C0100000}"/>
    <cellStyle name="40 % - Akzent1 5 2 2 2 2 5" xfId="4789" xr:uid="{00000000-0005-0000-0000-0000C1100000}"/>
    <cellStyle name="40 % - Akzent1 5 2 2 2 2 5 2" xfId="4790" xr:uid="{00000000-0005-0000-0000-0000C2100000}"/>
    <cellStyle name="40 % - Akzent1 5 2 2 2 2 6" xfId="4791" xr:uid="{00000000-0005-0000-0000-0000C3100000}"/>
    <cellStyle name="40 % - Akzent1 5 2 2 2 2 7" xfId="4792" xr:uid="{00000000-0005-0000-0000-0000C4100000}"/>
    <cellStyle name="40 % - Akzent1 5 2 2 2 3" xfId="4793" xr:uid="{00000000-0005-0000-0000-0000C5100000}"/>
    <cellStyle name="40 % - Akzent1 5 2 2 2 3 2" xfId="4794" xr:uid="{00000000-0005-0000-0000-0000C6100000}"/>
    <cellStyle name="40 % - Akzent1 5 2 2 2 3 2 2" xfId="4795" xr:uid="{00000000-0005-0000-0000-0000C7100000}"/>
    <cellStyle name="40 % - Akzent1 5 2 2 2 3 2 3" xfId="4796" xr:uid="{00000000-0005-0000-0000-0000C8100000}"/>
    <cellStyle name="40 % - Akzent1 5 2 2 2 3 3" xfId="4797" xr:uid="{00000000-0005-0000-0000-0000C9100000}"/>
    <cellStyle name="40 % - Akzent1 5 2 2 2 3 3 2" xfId="4798" xr:uid="{00000000-0005-0000-0000-0000CA100000}"/>
    <cellStyle name="40 % - Akzent1 5 2 2 2 3 3 3" xfId="4799" xr:uid="{00000000-0005-0000-0000-0000CB100000}"/>
    <cellStyle name="40 % - Akzent1 5 2 2 2 3 4" xfId="4800" xr:uid="{00000000-0005-0000-0000-0000CC100000}"/>
    <cellStyle name="40 % - Akzent1 5 2 2 2 3 4 2" xfId="4801" xr:uid="{00000000-0005-0000-0000-0000CD100000}"/>
    <cellStyle name="40 % - Akzent1 5 2 2 2 3 5" xfId="4802" xr:uid="{00000000-0005-0000-0000-0000CE100000}"/>
    <cellStyle name="40 % - Akzent1 5 2 2 2 3 6" xfId="4803" xr:uid="{00000000-0005-0000-0000-0000CF100000}"/>
    <cellStyle name="40 % - Akzent1 5 2 2 2 4" xfId="4804" xr:uid="{00000000-0005-0000-0000-0000D0100000}"/>
    <cellStyle name="40 % - Akzent1 5 2 2 2 4 2" xfId="4805" xr:uid="{00000000-0005-0000-0000-0000D1100000}"/>
    <cellStyle name="40 % - Akzent1 5 2 2 2 4 3" xfId="4806" xr:uid="{00000000-0005-0000-0000-0000D2100000}"/>
    <cellStyle name="40 % - Akzent1 5 2 2 2 5" xfId="4807" xr:uid="{00000000-0005-0000-0000-0000D3100000}"/>
    <cellStyle name="40 % - Akzent1 5 2 2 2 5 2" xfId="4808" xr:uid="{00000000-0005-0000-0000-0000D4100000}"/>
    <cellStyle name="40 % - Akzent1 5 2 2 2 5 3" xfId="4809" xr:uid="{00000000-0005-0000-0000-0000D5100000}"/>
    <cellStyle name="40 % - Akzent1 5 2 2 2 6" xfId="4810" xr:uid="{00000000-0005-0000-0000-0000D6100000}"/>
    <cellStyle name="40 % - Akzent1 5 2 2 2 6 2" xfId="4811" xr:uid="{00000000-0005-0000-0000-0000D7100000}"/>
    <cellStyle name="40 % - Akzent1 5 2 2 2 7" xfId="4812" xr:uid="{00000000-0005-0000-0000-0000D8100000}"/>
    <cellStyle name="40 % - Akzent1 5 2 2 2 8" xfId="4813" xr:uid="{00000000-0005-0000-0000-0000D9100000}"/>
    <cellStyle name="40 % - Akzent1 5 2 2 3" xfId="4814" xr:uid="{00000000-0005-0000-0000-0000DA100000}"/>
    <cellStyle name="40 % - Akzent1 5 2 2 3 2" xfId="4815" xr:uid="{00000000-0005-0000-0000-0000DB100000}"/>
    <cellStyle name="40 % - Akzent1 5 2 2 3 2 2" xfId="4816" xr:uid="{00000000-0005-0000-0000-0000DC100000}"/>
    <cellStyle name="40 % - Akzent1 5 2 2 3 2 2 2" xfId="4817" xr:uid="{00000000-0005-0000-0000-0000DD100000}"/>
    <cellStyle name="40 % - Akzent1 5 2 2 3 2 2 2 2" xfId="4818" xr:uid="{00000000-0005-0000-0000-0000DE100000}"/>
    <cellStyle name="40 % - Akzent1 5 2 2 3 2 2 2 3" xfId="4819" xr:uid="{00000000-0005-0000-0000-0000DF100000}"/>
    <cellStyle name="40 % - Akzent1 5 2 2 3 2 2 3" xfId="4820" xr:uid="{00000000-0005-0000-0000-0000E0100000}"/>
    <cellStyle name="40 % - Akzent1 5 2 2 3 2 2 3 2" xfId="4821" xr:uid="{00000000-0005-0000-0000-0000E1100000}"/>
    <cellStyle name="40 % - Akzent1 5 2 2 3 2 2 3 3" xfId="4822" xr:uid="{00000000-0005-0000-0000-0000E2100000}"/>
    <cellStyle name="40 % - Akzent1 5 2 2 3 2 2 4" xfId="4823" xr:uid="{00000000-0005-0000-0000-0000E3100000}"/>
    <cellStyle name="40 % - Akzent1 5 2 2 3 2 2 4 2" xfId="4824" xr:uid="{00000000-0005-0000-0000-0000E4100000}"/>
    <cellStyle name="40 % - Akzent1 5 2 2 3 2 2 5" xfId="4825" xr:uid="{00000000-0005-0000-0000-0000E5100000}"/>
    <cellStyle name="40 % - Akzent1 5 2 2 3 2 2 6" xfId="4826" xr:uid="{00000000-0005-0000-0000-0000E6100000}"/>
    <cellStyle name="40 % - Akzent1 5 2 2 3 2 3" xfId="4827" xr:uid="{00000000-0005-0000-0000-0000E7100000}"/>
    <cellStyle name="40 % - Akzent1 5 2 2 3 2 3 2" xfId="4828" xr:uid="{00000000-0005-0000-0000-0000E8100000}"/>
    <cellStyle name="40 % - Akzent1 5 2 2 3 2 3 3" xfId="4829" xr:uid="{00000000-0005-0000-0000-0000E9100000}"/>
    <cellStyle name="40 % - Akzent1 5 2 2 3 2 4" xfId="4830" xr:uid="{00000000-0005-0000-0000-0000EA100000}"/>
    <cellStyle name="40 % - Akzent1 5 2 2 3 2 4 2" xfId="4831" xr:uid="{00000000-0005-0000-0000-0000EB100000}"/>
    <cellStyle name="40 % - Akzent1 5 2 2 3 2 4 3" xfId="4832" xr:uid="{00000000-0005-0000-0000-0000EC100000}"/>
    <cellStyle name="40 % - Akzent1 5 2 2 3 2 5" xfId="4833" xr:uid="{00000000-0005-0000-0000-0000ED100000}"/>
    <cellStyle name="40 % - Akzent1 5 2 2 3 2 5 2" xfId="4834" xr:uid="{00000000-0005-0000-0000-0000EE100000}"/>
    <cellStyle name="40 % - Akzent1 5 2 2 3 2 6" xfId="4835" xr:uid="{00000000-0005-0000-0000-0000EF100000}"/>
    <cellStyle name="40 % - Akzent1 5 2 2 3 2 7" xfId="4836" xr:uid="{00000000-0005-0000-0000-0000F0100000}"/>
    <cellStyle name="40 % - Akzent1 5 2 2 3 3" xfId="4837" xr:uid="{00000000-0005-0000-0000-0000F1100000}"/>
    <cellStyle name="40 % - Akzent1 5 2 2 3 3 2" xfId="4838" xr:uid="{00000000-0005-0000-0000-0000F2100000}"/>
    <cellStyle name="40 % - Akzent1 5 2 2 3 3 2 2" xfId="4839" xr:uid="{00000000-0005-0000-0000-0000F3100000}"/>
    <cellStyle name="40 % - Akzent1 5 2 2 3 3 2 3" xfId="4840" xr:uid="{00000000-0005-0000-0000-0000F4100000}"/>
    <cellStyle name="40 % - Akzent1 5 2 2 3 3 3" xfId="4841" xr:uid="{00000000-0005-0000-0000-0000F5100000}"/>
    <cellStyle name="40 % - Akzent1 5 2 2 3 3 3 2" xfId="4842" xr:uid="{00000000-0005-0000-0000-0000F6100000}"/>
    <cellStyle name="40 % - Akzent1 5 2 2 3 3 3 3" xfId="4843" xr:uid="{00000000-0005-0000-0000-0000F7100000}"/>
    <cellStyle name="40 % - Akzent1 5 2 2 3 3 4" xfId="4844" xr:uid="{00000000-0005-0000-0000-0000F8100000}"/>
    <cellStyle name="40 % - Akzent1 5 2 2 3 3 4 2" xfId="4845" xr:uid="{00000000-0005-0000-0000-0000F9100000}"/>
    <cellStyle name="40 % - Akzent1 5 2 2 3 3 5" xfId="4846" xr:uid="{00000000-0005-0000-0000-0000FA100000}"/>
    <cellStyle name="40 % - Akzent1 5 2 2 3 3 6" xfId="4847" xr:uid="{00000000-0005-0000-0000-0000FB100000}"/>
    <cellStyle name="40 % - Akzent1 5 2 2 3 4" xfId="4848" xr:uid="{00000000-0005-0000-0000-0000FC100000}"/>
    <cellStyle name="40 % - Akzent1 5 2 2 3 4 2" xfId="4849" xr:uid="{00000000-0005-0000-0000-0000FD100000}"/>
    <cellStyle name="40 % - Akzent1 5 2 2 3 4 3" xfId="4850" xr:uid="{00000000-0005-0000-0000-0000FE100000}"/>
    <cellStyle name="40 % - Akzent1 5 2 2 3 5" xfId="4851" xr:uid="{00000000-0005-0000-0000-0000FF100000}"/>
    <cellStyle name="40 % - Akzent1 5 2 2 3 5 2" xfId="4852" xr:uid="{00000000-0005-0000-0000-000000110000}"/>
    <cellStyle name="40 % - Akzent1 5 2 2 3 5 3" xfId="4853" xr:uid="{00000000-0005-0000-0000-000001110000}"/>
    <cellStyle name="40 % - Akzent1 5 2 2 3 6" xfId="4854" xr:uid="{00000000-0005-0000-0000-000002110000}"/>
    <cellStyle name="40 % - Akzent1 5 2 2 3 6 2" xfId="4855" xr:uid="{00000000-0005-0000-0000-000003110000}"/>
    <cellStyle name="40 % - Akzent1 5 2 2 3 7" xfId="4856" xr:uid="{00000000-0005-0000-0000-000004110000}"/>
    <cellStyle name="40 % - Akzent1 5 2 2 3 8" xfId="4857" xr:uid="{00000000-0005-0000-0000-000005110000}"/>
    <cellStyle name="40 % - Akzent1 5 2 2 4" xfId="4858" xr:uid="{00000000-0005-0000-0000-000006110000}"/>
    <cellStyle name="40 % - Akzent1 5 2 2 4 2" xfId="4859" xr:uid="{00000000-0005-0000-0000-000007110000}"/>
    <cellStyle name="40 % - Akzent1 5 2 2 4 2 2" xfId="4860" xr:uid="{00000000-0005-0000-0000-000008110000}"/>
    <cellStyle name="40 % - Akzent1 5 2 2 4 2 2 2" xfId="4861" xr:uid="{00000000-0005-0000-0000-000009110000}"/>
    <cellStyle name="40 % - Akzent1 5 2 2 4 2 2 3" xfId="4862" xr:uid="{00000000-0005-0000-0000-00000A110000}"/>
    <cellStyle name="40 % - Akzent1 5 2 2 4 2 3" xfId="4863" xr:uid="{00000000-0005-0000-0000-00000B110000}"/>
    <cellStyle name="40 % - Akzent1 5 2 2 4 2 3 2" xfId="4864" xr:uid="{00000000-0005-0000-0000-00000C110000}"/>
    <cellStyle name="40 % - Akzent1 5 2 2 4 2 3 3" xfId="4865" xr:uid="{00000000-0005-0000-0000-00000D110000}"/>
    <cellStyle name="40 % - Akzent1 5 2 2 4 2 4" xfId="4866" xr:uid="{00000000-0005-0000-0000-00000E110000}"/>
    <cellStyle name="40 % - Akzent1 5 2 2 4 2 4 2" xfId="4867" xr:uid="{00000000-0005-0000-0000-00000F110000}"/>
    <cellStyle name="40 % - Akzent1 5 2 2 4 2 5" xfId="4868" xr:uid="{00000000-0005-0000-0000-000010110000}"/>
    <cellStyle name="40 % - Akzent1 5 2 2 4 2 6" xfId="4869" xr:uid="{00000000-0005-0000-0000-000011110000}"/>
    <cellStyle name="40 % - Akzent1 5 2 2 4 3" xfId="4870" xr:uid="{00000000-0005-0000-0000-000012110000}"/>
    <cellStyle name="40 % - Akzent1 5 2 2 4 3 2" xfId="4871" xr:uid="{00000000-0005-0000-0000-000013110000}"/>
    <cellStyle name="40 % - Akzent1 5 2 2 4 3 3" xfId="4872" xr:uid="{00000000-0005-0000-0000-000014110000}"/>
    <cellStyle name="40 % - Akzent1 5 2 2 4 4" xfId="4873" xr:uid="{00000000-0005-0000-0000-000015110000}"/>
    <cellStyle name="40 % - Akzent1 5 2 2 4 4 2" xfId="4874" xr:uid="{00000000-0005-0000-0000-000016110000}"/>
    <cellStyle name="40 % - Akzent1 5 2 2 4 4 3" xfId="4875" xr:uid="{00000000-0005-0000-0000-000017110000}"/>
    <cellStyle name="40 % - Akzent1 5 2 2 4 5" xfId="4876" xr:uid="{00000000-0005-0000-0000-000018110000}"/>
    <cellStyle name="40 % - Akzent1 5 2 2 4 5 2" xfId="4877" xr:uid="{00000000-0005-0000-0000-000019110000}"/>
    <cellStyle name="40 % - Akzent1 5 2 2 4 6" xfId="4878" xr:uid="{00000000-0005-0000-0000-00001A110000}"/>
    <cellStyle name="40 % - Akzent1 5 2 2 4 7" xfId="4879" xr:uid="{00000000-0005-0000-0000-00001B110000}"/>
    <cellStyle name="40 % - Akzent1 5 2 2 5" xfId="4880" xr:uid="{00000000-0005-0000-0000-00001C110000}"/>
    <cellStyle name="40 % - Akzent1 5 2 2 5 2" xfId="4881" xr:uid="{00000000-0005-0000-0000-00001D110000}"/>
    <cellStyle name="40 % - Akzent1 5 2 2 5 2 2" xfId="4882" xr:uid="{00000000-0005-0000-0000-00001E110000}"/>
    <cellStyle name="40 % - Akzent1 5 2 2 5 2 3" xfId="4883" xr:uid="{00000000-0005-0000-0000-00001F110000}"/>
    <cellStyle name="40 % - Akzent1 5 2 2 5 3" xfId="4884" xr:uid="{00000000-0005-0000-0000-000020110000}"/>
    <cellStyle name="40 % - Akzent1 5 2 2 5 3 2" xfId="4885" xr:uid="{00000000-0005-0000-0000-000021110000}"/>
    <cellStyle name="40 % - Akzent1 5 2 2 5 3 3" xfId="4886" xr:uid="{00000000-0005-0000-0000-000022110000}"/>
    <cellStyle name="40 % - Akzent1 5 2 2 5 4" xfId="4887" xr:uid="{00000000-0005-0000-0000-000023110000}"/>
    <cellStyle name="40 % - Akzent1 5 2 2 5 4 2" xfId="4888" xr:uid="{00000000-0005-0000-0000-000024110000}"/>
    <cellStyle name="40 % - Akzent1 5 2 2 5 5" xfId="4889" xr:uid="{00000000-0005-0000-0000-000025110000}"/>
    <cellStyle name="40 % - Akzent1 5 2 2 5 6" xfId="4890" xr:uid="{00000000-0005-0000-0000-000026110000}"/>
    <cellStyle name="40 % - Akzent1 5 2 2 6" xfId="4891" xr:uid="{00000000-0005-0000-0000-000027110000}"/>
    <cellStyle name="40 % - Akzent1 5 2 2 6 2" xfId="4892" xr:uid="{00000000-0005-0000-0000-000028110000}"/>
    <cellStyle name="40 % - Akzent1 5 2 2 6 3" xfId="4893" xr:uid="{00000000-0005-0000-0000-000029110000}"/>
    <cellStyle name="40 % - Akzent1 5 2 2 7" xfId="4894" xr:uid="{00000000-0005-0000-0000-00002A110000}"/>
    <cellStyle name="40 % - Akzent1 5 2 2 7 2" xfId="4895" xr:uid="{00000000-0005-0000-0000-00002B110000}"/>
    <cellStyle name="40 % - Akzent1 5 2 2 7 3" xfId="4896" xr:uid="{00000000-0005-0000-0000-00002C110000}"/>
    <cellStyle name="40 % - Akzent1 5 2 2 8" xfId="4897" xr:uid="{00000000-0005-0000-0000-00002D110000}"/>
    <cellStyle name="40 % - Akzent1 5 2 2 8 2" xfId="4898" xr:uid="{00000000-0005-0000-0000-00002E110000}"/>
    <cellStyle name="40 % - Akzent1 5 2 2 9" xfId="4899" xr:uid="{00000000-0005-0000-0000-00002F110000}"/>
    <cellStyle name="40 % - Akzent1 5 2 3" xfId="4900" xr:uid="{00000000-0005-0000-0000-000030110000}"/>
    <cellStyle name="40 % - Akzent1 5 2 3 2" xfId="4901" xr:uid="{00000000-0005-0000-0000-000031110000}"/>
    <cellStyle name="40 % - Akzent1 5 2 3 2 2" xfId="4902" xr:uid="{00000000-0005-0000-0000-000032110000}"/>
    <cellStyle name="40 % - Akzent1 5 2 3 2 2 2" xfId="4903" xr:uid="{00000000-0005-0000-0000-000033110000}"/>
    <cellStyle name="40 % - Akzent1 5 2 3 2 2 2 2" xfId="4904" xr:uid="{00000000-0005-0000-0000-000034110000}"/>
    <cellStyle name="40 % - Akzent1 5 2 3 2 2 2 3" xfId="4905" xr:uid="{00000000-0005-0000-0000-000035110000}"/>
    <cellStyle name="40 % - Akzent1 5 2 3 2 2 3" xfId="4906" xr:uid="{00000000-0005-0000-0000-000036110000}"/>
    <cellStyle name="40 % - Akzent1 5 2 3 2 2 3 2" xfId="4907" xr:uid="{00000000-0005-0000-0000-000037110000}"/>
    <cellStyle name="40 % - Akzent1 5 2 3 2 2 3 3" xfId="4908" xr:uid="{00000000-0005-0000-0000-000038110000}"/>
    <cellStyle name="40 % - Akzent1 5 2 3 2 2 4" xfId="4909" xr:uid="{00000000-0005-0000-0000-000039110000}"/>
    <cellStyle name="40 % - Akzent1 5 2 3 2 2 4 2" xfId="4910" xr:uid="{00000000-0005-0000-0000-00003A110000}"/>
    <cellStyle name="40 % - Akzent1 5 2 3 2 2 5" xfId="4911" xr:uid="{00000000-0005-0000-0000-00003B110000}"/>
    <cellStyle name="40 % - Akzent1 5 2 3 2 2 6" xfId="4912" xr:uid="{00000000-0005-0000-0000-00003C110000}"/>
    <cellStyle name="40 % - Akzent1 5 2 3 2 3" xfId="4913" xr:uid="{00000000-0005-0000-0000-00003D110000}"/>
    <cellStyle name="40 % - Akzent1 5 2 3 2 3 2" xfId="4914" xr:uid="{00000000-0005-0000-0000-00003E110000}"/>
    <cellStyle name="40 % - Akzent1 5 2 3 2 3 3" xfId="4915" xr:uid="{00000000-0005-0000-0000-00003F110000}"/>
    <cellStyle name="40 % - Akzent1 5 2 3 2 4" xfId="4916" xr:uid="{00000000-0005-0000-0000-000040110000}"/>
    <cellStyle name="40 % - Akzent1 5 2 3 2 4 2" xfId="4917" xr:uid="{00000000-0005-0000-0000-000041110000}"/>
    <cellStyle name="40 % - Akzent1 5 2 3 2 4 3" xfId="4918" xr:uid="{00000000-0005-0000-0000-000042110000}"/>
    <cellStyle name="40 % - Akzent1 5 2 3 2 5" xfId="4919" xr:uid="{00000000-0005-0000-0000-000043110000}"/>
    <cellStyle name="40 % - Akzent1 5 2 3 2 5 2" xfId="4920" xr:uid="{00000000-0005-0000-0000-000044110000}"/>
    <cellStyle name="40 % - Akzent1 5 2 3 2 6" xfId="4921" xr:uid="{00000000-0005-0000-0000-000045110000}"/>
    <cellStyle name="40 % - Akzent1 5 2 3 2 7" xfId="4922" xr:uid="{00000000-0005-0000-0000-000046110000}"/>
    <cellStyle name="40 % - Akzent1 5 2 3 3" xfId="4923" xr:uid="{00000000-0005-0000-0000-000047110000}"/>
    <cellStyle name="40 % - Akzent1 5 2 3 3 2" xfId="4924" xr:uid="{00000000-0005-0000-0000-000048110000}"/>
    <cellStyle name="40 % - Akzent1 5 2 3 3 2 2" xfId="4925" xr:uid="{00000000-0005-0000-0000-000049110000}"/>
    <cellStyle name="40 % - Akzent1 5 2 3 3 2 3" xfId="4926" xr:uid="{00000000-0005-0000-0000-00004A110000}"/>
    <cellStyle name="40 % - Akzent1 5 2 3 3 3" xfId="4927" xr:uid="{00000000-0005-0000-0000-00004B110000}"/>
    <cellStyle name="40 % - Akzent1 5 2 3 3 3 2" xfId="4928" xr:uid="{00000000-0005-0000-0000-00004C110000}"/>
    <cellStyle name="40 % - Akzent1 5 2 3 3 3 3" xfId="4929" xr:uid="{00000000-0005-0000-0000-00004D110000}"/>
    <cellStyle name="40 % - Akzent1 5 2 3 3 4" xfId="4930" xr:uid="{00000000-0005-0000-0000-00004E110000}"/>
    <cellStyle name="40 % - Akzent1 5 2 3 3 4 2" xfId="4931" xr:uid="{00000000-0005-0000-0000-00004F110000}"/>
    <cellStyle name="40 % - Akzent1 5 2 3 3 5" xfId="4932" xr:uid="{00000000-0005-0000-0000-000050110000}"/>
    <cellStyle name="40 % - Akzent1 5 2 3 3 6" xfId="4933" xr:uid="{00000000-0005-0000-0000-000051110000}"/>
    <cellStyle name="40 % - Akzent1 5 2 3 4" xfId="4934" xr:uid="{00000000-0005-0000-0000-000052110000}"/>
    <cellStyle name="40 % - Akzent1 5 2 3 4 2" xfId="4935" xr:uid="{00000000-0005-0000-0000-000053110000}"/>
    <cellStyle name="40 % - Akzent1 5 2 3 4 3" xfId="4936" xr:uid="{00000000-0005-0000-0000-000054110000}"/>
    <cellStyle name="40 % - Akzent1 5 2 3 5" xfId="4937" xr:uid="{00000000-0005-0000-0000-000055110000}"/>
    <cellStyle name="40 % - Akzent1 5 2 3 5 2" xfId="4938" xr:uid="{00000000-0005-0000-0000-000056110000}"/>
    <cellStyle name="40 % - Akzent1 5 2 3 5 3" xfId="4939" xr:uid="{00000000-0005-0000-0000-000057110000}"/>
    <cellStyle name="40 % - Akzent1 5 2 3 6" xfId="4940" xr:uid="{00000000-0005-0000-0000-000058110000}"/>
    <cellStyle name="40 % - Akzent1 5 2 3 6 2" xfId="4941" xr:uid="{00000000-0005-0000-0000-000059110000}"/>
    <cellStyle name="40 % - Akzent1 5 2 3 7" xfId="4942" xr:uid="{00000000-0005-0000-0000-00005A110000}"/>
    <cellStyle name="40 % - Akzent1 5 2 3 8" xfId="4943" xr:uid="{00000000-0005-0000-0000-00005B110000}"/>
    <cellStyle name="40 % - Akzent1 5 2 4" xfId="4944" xr:uid="{00000000-0005-0000-0000-00005C110000}"/>
    <cellStyle name="40 % - Akzent1 5 2 4 2" xfId="4945" xr:uid="{00000000-0005-0000-0000-00005D110000}"/>
    <cellStyle name="40 % - Akzent1 5 2 4 2 2" xfId="4946" xr:uid="{00000000-0005-0000-0000-00005E110000}"/>
    <cellStyle name="40 % - Akzent1 5 2 4 2 2 2" xfId="4947" xr:uid="{00000000-0005-0000-0000-00005F110000}"/>
    <cellStyle name="40 % - Akzent1 5 2 4 2 2 2 2" xfId="4948" xr:uid="{00000000-0005-0000-0000-000060110000}"/>
    <cellStyle name="40 % - Akzent1 5 2 4 2 2 2 3" xfId="4949" xr:uid="{00000000-0005-0000-0000-000061110000}"/>
    <cellStyle name="40 % - Akzent1 5 2 4 2 2 3" xfId="4950" xr:uid="{00000000-0005-0000-0000-000062110000}"/>
    <cellStyle name="40 % - Akzent1 5 2 4 2 2 3 2" xfId="4951" xr:uid="{00000000-0005-0000-0000-000063110000}"/>
    <cellStyle name="40 % - Akzent1 5 2 4 2 2 3 3" xfId="4952" xr:uid="{00000000-0005-0000-0000-000064110000}"/>
    <cellStyle name="40 % - Akzent1 5 2 4 2 2 4" xfId="4953" xr:uid="{00000000-0005-0000-0000-000065110000}"/>
    <cellStyle name="40 % - Akzent1 5 2 4 2 2 4 2" xfId="4954" xr:uid="{00000000-0005-0000-0000-000066110000}"/>
    <cellStyle name="40 % - Akzent1 5 2 4 2 2 5" xfId="4955" xr:uid="{00000000-0005-0000-0000-000067110000}"/>
    <cellStyle name="40 % - Akzent1 5 2 4 2 2 6" xfId="4956" xr:uid="{00000000-0005-0000-0000-000068110000}"/>
    <cellStyle name="40 % - Akzent1 5 2 4 2 3" xfId="4957" xr:uid="{00000000-0005-0000-0000-000069110000}"/>
    <cellStyle name="40 % - Akzent1 5 2 4 2 3 2" xfId="4958" xr:uid="{00000000-0005-0000-0000-00006A110000}"/>
    <cellStyle name="40 % - Akzent1 5 2 4 2 3 3" xfId="4959" xr:uid="{00000000-0005-0000-0000-00006B110000}"/>
    <cellStyle name="40 % - Akzent1 5 2 4 2 4" xfId="4960" xr:uid="{00000000-0005-0000-0000-00006C110000}"/>
    <cellStyle name="40 % - Akzent1 5 2 4 2 4 2" xfId="4961" xr:uid="{00000000-0005-0000-0000-00006D110000}"/>
    <cellStyle name="40 % - Akzent1 5 2 4 2 4 3" xfId="4962" xr:uid="{00000000-0005-0000-0000-00006E110000}"/>
    <cellStyle name="40 % - Akzent1 5 2 4 2 5" xfId="4963" xr:uid="{00000000-0005-0000-0000-00006F110000}"/>
    <cellStyle name="40 % - Akzent1 5 2 4 2 5 2" xfId="4964" xr:uid="{00000000-0005-0000-0000-000070110000}"/>
    <cellStyle name="40 % - Akzent1 5 2 4 2 6" xfId="4965" xr:uid="{00000000-0005-0000-0000-000071110000}"/>
    <cellStyle name="40 % - Akzent1 5 2 4 2 7" xfId="4966" xr:uid="{00000000-0005-0000-0000-000072110000}"/>
    <cellStyle name="40 % - Akzent1 5 2 4 3" xfId="4967" xr:uid="{00000000-0005-0000-0000-000073110000}"/>
    <cellStyle name="40 % - Akzent1 5 2 4 3 2" xfId="4968" xr:uid="{00000000-0005-0000-0000-000074110000}"/>
    <cellStyle name="40 % - Akzent1 5 2 4 3 2 2" xfId="4969" xr:uid="{00000000-0005-0000-0000-000075110000}"/>
    <cellStyle name="40 % - Akzent1 5 2 4 3 2 3" xfId="4970" xr:uid="{00000000-0005-0000-0000-000076110000}"/>
    <cellStyle name="40 % - Akzent1 5 2 4 3 3" xfId="4971" xr:uid="{00000000-0005-0000-0000-000077110000}"/>
    <cellStyle name="40 % - Akzent1 5 2 4 3 3 2" xfId="4972" xr:uid="{00000000-0005-0000-0000-000078110000}"/>
    <cellStyle name="40 % - Akzent1 5 2 4 3 3 3" xfId="4973" xr:uid="{00000000-0005-0000-0000-000079110000}"/>
    <cellStyle name="40 % - Akzent1 5 2 4 3 4" xfId="4974" xr:uid="{00000000-0005-0000-0000-00007A110000}"/>
    <cellStyle name="40 % - Akzent1 5 2 4 3 4 2" xfId="4975" xr:uid="{00000000-0005-0000-0000-00007B110000}"/>
    <cellStyle name="40 % - Akzent1 5 2 4 3 5" xfId="4976" xr:uid="{00000000-0005-0000-0000-00007C110000}"/>
    <cellStyle name="40 % - Akzent1 5 2 4 3 6" xfId="4977" xr:uid="{00000000-0005-0000-0000-00007D110000}"/>
    <cellStyle name="40 % - Akzent1 5 2 4 4" xfId="4978" xr:uid="{00000000-0005-0000-0000-00007E110000}"/>
    <cellStyle name="40 % - Akzent1 5 2 4 4 2" xfId="4979" xr:uid="{00000000-0005-0000-0000-00007F110000}"/>
    <cellStyle name="40 % - Akzent1 5 2 4 4 3" xfId="4980" xr:uid="{00000000-0005-0000-0000-000080110000}"/>
    <cellStyle name="40 % - Akzent1 5 2 4 5" xfId="4981" xr:uid="{00000000-0005-0000-0000-000081110000}"/>
    <cellStyle name="40 % - Akzent1 5 2 4 5 2" xfId="4982" xr:uid="{00000000-0005-0000-0000-000082110000}"/>
    <cellStyle name="40 % - Akzent1 5 2 4 5 3" xfId="4983" xr:uid="{00000000-0005-0000-0000-000083110000}"/>
    <cellStyle name="40 % - Akzent1 5 2 4 6" xfId="4984" xr:uid="{00000000-0005-0000-0000-000084110000}"/>
    <cellStyle name="40 % - Akzent1 5 2 4 6 2" xfId="4985" xr:uid="{00000000-0005-0000-0000-000085110000}"/>
    <cellStyle name="40 % - Akzent1 5 2 4 7" xfId="4986" xr:uid="{00000000-0005-0000-0000-000086110000}"/>
    <cellStyle name="40 % - Akzent1 5 2 4 8" xfId="4987" xr:uid="{00000000-0005-0000-0000-000087110000}"/>
    <cellStyle name="40 % - Akzent1 5 2 5" xfId="4988" xr:uid="{00000000-0005-0000-0000-000088110000}"/>
    <cellStyle name="40 % - Akzent1 5 2 5 2" xfId="4989" xr:uid="{00000000-0005-0000-0000-000089110000}"/>
    <cellStyle name="40 % - Akzent1 5 2 5 2 2" xfId="4990" xr:uid="{00000000-0005-0000-0000-00008A110000}"/>
    <cellStyle name="40 % - Akzent1 5 2 5 2 2 2" xfId="4991" xr:uid="{00000000-0005-0000-0000-00008B110000}"/>
    <cellStyle name="40 % - Akzent1 5 2 5 2 2 3" xfId="4992" xr:uid="{00000000-0005-0000-0000-00008C110000}"/>
    <cellStyle name="40 % - Akzent1 5 2 5 2 3" xfId="4993" xr:uid="{00000000-0005-0000-0000-00008D110000}"/>
    <cellStyle name="40 % - Akzent1 5 2 5 2 3 2" xfId="4994" xr:uid="{00000000-0005-0000-0000-00008E110000}"/>
    <cellStyle name="40 % - Akzent1 5 2 5 2 3 3" xfId="4995" xr:uid="{00000000-0005-0000-0000-00008F110000}"/>
    <cellStyle name="40 % - Akzent1 5 2 5 2 4" xfId="4996" xr:uid="{00000000-0005-0000-0000-000090110000}"/>
    <cellStyle name="40 % - Akzent1 5 2 5 2 4 2" xfId="4997" xr:uid="{00000000-0005-0000-0000-000091110000}"/>
    <cellStyle name="40 % - Akzent1 5 2 5 2 5" xfId="4998" xr:uid="{00000000-0005-0000-0000-000092110000}"/>
    <cellStyle name="40 % - Akzent1 5 2 5 2 6" xfId="4999" xr:uid="{00000000-0005-0000-0000-000093110000}"/>
    <cellStyle name="40 % - Akzent1 5 2 5 3" xfId="5000" xr:uid="{00000000-0005-0000-0000-000094110000}"/>
    <cellStyle name="40 % - Akzent1 5 2 5 3 2" xfId="5001" xr:uid="{00000000-0005-0000-0000-000095110000}"/>
    <cellStyle name="40 % - Akzent1 5 2 5 3 3" xfId="5002" xr:uid="{00000000-0005-0000-0000-000096110000}"/>
    <cellStyle name="40 % - Akzent1 5 2 5 4" xfId="5003" xr:uid="{00000000-0005-0000-0000-000097110000}"/>
    <cellStyle name="40 % - Akzent1 5 2 5 4 2" xfId="5004" xr:uid="{00000000-0005-0000-0000-000098110000}"/>
    <cellStyle name="40 % - Akzent1 5 2 5 4 3" xfId="5005" xr:uid="{00000000-0005-0000-0000-000099110000}"/>
    <cellStyle name="40 % - Akzent1 5 2 5 5" xfId="5006" xr:uid="{00000000-0005-0000-0000-00009A110000}"/>
    <cellStyle name="40 % - Akzent1 5 2 5 5 2" xfId="5007" xr:uid="{00000000-0005-0000-0000-00009B110000}"/>
    <cellStyle name="40 % - Akzent1 5 2 5 6" xfId="5008" xr:uid="{00000000-0005-0000-0000-00009C110000}"/>
    <cellStyle name="40 % - Akzent1 5 2 5 7" xfId="5009" xr:uid="{00000000-0005-0000-0000-00009D110000}"/>
    <cellStyle name="40 % - Akzent1 5 2 6" xfId="5010" xr:uid="{00000000-0005-0000-0000-00009E110000}"/>
    <cellStyle name="40 % - Akzent1 5 2 6 2" xfId="5011" xr:uid="{00000000-0005-0000-0000-00009F110000}"/>
    <cellStyle name="40 % - Akzent1 5 2 6 2 2" xfId="5012" xr:uid="{00000000-0005-0000-0000-0000A0110000}"/>
    <cellStyle name="40 % - Akzent1 5 2 6 2 3" xfId="5013" xr:uid="{00000000-0005-0000-0000-0000A1110000}"/>
    <cellStyle name="40 % - Akzent1 5 2 6 3" xfId="5014" xr:uid="{00000000-0005-0000-0000-0000A2110000}"/>
    <cellStyle name="40 % - Akzent1 5 2 6 3 2" xfId="5015" xr:uid="{00000000-0005-0000-0000-0000A3110000}"/>
    <cellStyle name="40 % - Akzent1 5 2 6 3 3" xfId="5016" xr:uid="{00000000-0005-0000-0000-0000A4110000}"/>
    <cellStyle name="40 % - Akzent1 5 2 6 4" xfId="5017" xr:uid="{00000000-0005-0000-0000-0000A5110000}"/>
    <cellStyle name="40 % - Akzent1 5 2 6 4 2" xfId="5018" xr:uid="{00000000-0005-0000-0000-0000A6110000}"/>
    <cellStyle name="40 % - Akzent1 5 2 6 5" xfId="5019" xr:uid="{00000000-0005-0000-0000-0000A7110000}"/>
    <cellStyle name="40 % - Akzent1 5 2 6 6" xfId="5020" xr:uid="{00000000-0005-0000-0000-0000A8110000}"/>
    <cellStyle name="40 % - Akzent1 5 2 7" xfId="5021" xr:uid="{00000000-0005-0000-0000-0000A9110000}"/>
    <cellStyle name="40 % - Akzent1 5 2 7 2" xfId="5022" xr:uid="{00000000-0005-0000-0000-0000AA110000}"/>
    <cellStyle name="40 % - Akzent1 5 2 7 3" xfId="5023" xr:uid="{00000000-0005-0000-0000-0000AB110000}"/>
    <cellStyle name="40 % - Akzent1 5 2 8" xfId="5024" xr:uid="{00000000-0005-0000-0000-0000AC110000}"/>
    <cellStyle name="40 % - Akzent1 5 2 8 2" xfId="5025" xr:uid="{00000000-0005-0000-0000-0000AD110000}"/>
    <cellStyle name="40 % - Akzent1 5 2 8 3" xfId="5026" xr:uid="{00000000-0005-0000-0000-0000AE110000}"/>
    <cellStyle name="40 % - Akzent1 5 2 9" xfId="5027" xr:uid="{00000000-0005-0000-0000-0000AF110000}"/>
    <cellStyle name="40 % - Akzent1 5 2 9 2" xfId="5028" xr:uid="{00000000-0005-0000-0000-0000B0110000}"/>
    <cellStyle name="40 % - Akzent1 6" xfId="5029" xr:uid="{00000000-0005-0000-0000-0000B1110000}"/>
    <cellStyle name="40 % - Akzent1 7" xfId="5030" xr:uid="{00000000-0005-0000-0000-0000B2110000}"/>
    <cellStyle name="40 % - Akzent1 7 10" xfId="5031" xr:uid="{00000000-0005-0000-0000-0000B3110000}"/>
    <cellStyle name="40 % - Akzent1 7 2" xfId="5032" xr:uid="{00000000-0005-0000-0000-0000B4110000}"/>
    <cellStyle name="40 % - Akzent1 7 2 2" xfId="5033" xr:uid="{00000000-0005-0000-0000-0000B5110000}"/>
    <cellStyle name="40 % - Akzent1 7 2 2 2" xfId="5034" xr:uid="{00000000-0005-0000-0000-0000B6110000}"/>
    <cellStyle name="40 % - Akzent1 7 2 2 2 2" xfId="5035" xr:uid="{00000000-0005-0000-0000-0000B7110000}"/>
    <cellStyle name="40 % - Akzent1 7 2 2 2 2 2" xfId="5036" xr:uid="{00000000-0005-0000-0000-0000B8110000}"/>
    <cellStyle name="40 % - Akzent1 7 2 2 2 2 3" xfId="5037" xr:uid="{00000000-0005-0000-0000-0000B9110000}"/>
    <cellStyle name="40 % - Akzent1 7 2 2 2 3" xfId="5038" xr:uid="{00000000-0005-0000-0000-0000BA110000}"/>
    <cellStyle name="40 % - Akzent1 7 2 2 2 3 2" xfId="5039" xr:uid="{00000000-0005-0000-0000-0000BB110000}"/>
    <cellStyle name="40 % - Akzent1 7 2 2 2 3 3" xfId="5040" xr:uid="{00000000-0005-0000-0000-0000BC110000}"/>
    <cellStyle name="40 % - Akzent1 7 2 2 2 4" xfId="5041" xr:uid="{00000000-0005-0000-0000-0000BD110000}"/>
    <cellStyle name="40 % - Akzent1 7 2 2 2 4 2" xfId="5042" xr:uid="{00000000-0005-0000-0000-0000BE110000}"/>
    <cellStyle name="40 % - Akzent1 7 2 2 2 5" xfId="5043" xr:uid="{00000000-0005-0000-0000-0000BF110000}"/>
    <cellStyle name="40 % - Akzent1 7 2 2 2 6" xfId="5044" xr:uid="{00000000-0005-0000-0000-0000C0110000}"/>
    <cellStyle name="40 % - Akzent1 7 2 2 3" xfId="5045" xr:uid="{00000000-0005-0000-0000-0000C1110000}"/>
    <cellStyle name="40 % - Akzent1 7 2 2 3 2" xfId="5046" xr:uid="{00000000-0005-0000-0000-0000C2110000}"/>
    <cellStyle name="40 % - Akzent1 7 2 2 3 3" xfId="5047" xr:uid="{00000000-0005-0000-0000-0000C3110000}"/>
    <cellStyle name="40 % - Akzent1 7 2 2 4" xfId="5048" xr:uid="{00000000-0005-0000-0000-0000C4110000}"/>
    <cellStyle name="40 % - Akzent1 7 2 2 4 2" xfId="5049" xr:uid="{00000000-0005-0000-0000-0000C5110000}"/>
    <cellStyle name="40 % - Akzent1 7 2 2 4 3" xfId="5050" xr:uid="{00000000-0005-0000-0000-0000C6110000}"/>
    <cellStyle name="40 % - Akzent1 7 2 2 5" xfId="5051" xr:uid="{00000000-0005-0000-0000-0000C7110000}"/>
    <cellStyle name="40 % - Akzent1 7 2 2 5 2" xfId="5052" xr:uid="{00000000-0005-0000-0000-0000C8110000}"/>
    <cellStyle name="40 % - Akzent1 7 2 2 6" xfId="5053" xr:uid="{00000000-0005-0000-0000-0000C9110000}"/>
    <cellStyle name="40 % - Akzent1 7 2 2 7" xfId="5054" xr:uid="{00000000-0005-0000-0000-0000CA110000}"/>
    <cellStyle name="40 % - Akzent1 7 2 3" xfId="5055" xr:uid="{00000000-0005-0000-0000-0000CB110000}"/>
    <cellStyle name="40 % - Akzent1 7 2 3 2" xfId="5056" xr:uid="{00000000-0005-0000-0000-0000CC110000}"/>
    <cellStyle name="40 % - Akzent1 7 2 3 2 2" xfId="5057" xr:uid="{00000000-0005-0000-0000-0000CD110000}"/>
    <cellStyle name="40 % - Akzent1 7 2 3 2 3" xfId="5058" xr:uid="{00000000-0005-0000-0000-0000CE110000}"/>
    <cellStyle name="40 % - Akzent1 7 2 3 3" xfId="5059" xr:uid="{00000000-0005-0000-0000-0000CF110000}"/>
    <cellStyle name="40 % - Akzent1 7 2 3 3 2" xfId="5060" xr:uid="{00000000-0005-0000-0000-0000D0110000}"/>
    <cellStyle name="40 % - Akzent1 7 2 3 3 3" xfId="5061" xr:uid="{00000000-0005-0000-0000-0000D1110000}"/>
    <cellStyle name="40 % - Akzent1 7 2 3 4" xfId="5062" xr:uid="{00000000-0005-0000-0000-0000D2110000}"/>
    <cellStyle name="40 % - Akzent1 7 2 3 4 2" xfId="5063" xr:uid="{00000000-0005-0000-0000-0000D3110000}"/>
    <cellStyle name="40 % - Akzent1 7 2 3 5" xfId="5064" xr:uid="{00000000-0005-0000-0000-0000D4110000}"/>
    <cellStyle name="40 % - Akzent1 7 2 3 6" xfId="5065" xr:uid="{00000000-0005-0000-0000-0000D5110000}"/>
    <cellStyle name="40 % - Akzent1 7 2 4" xfId="5066" xr:uid="{00000000-0005-0000-0000-0000D6110000}"/>
    <cellStyle name="40 % - Akzent1 7 2 4 2" xfId="5067" xr:uid="{00000000-0005-0000-0000-0000D7110000}"/>
    <cellStyle name="40 % - Akzent1 7 2 4 3" xfId="5068" xr:uid="{00000000-0005-0000-0000-0000D8110000}"/>
    <cellStyle name="40 % - Akzent1 7 2 5" xfId="5069" xr:uid="{00000000-0005-0000-0000-0000D9110000}"/>
    <cellStyle name="40 % - Akzent1 7 2 5 2" xfId="5070" xr:uid="{00000000-0005-0000-0000-0000DA110000}"/>
    <cellStyle name="40 % - Akzent1 7 2 5 3" xfId="5071" xr:uid="{00000000-0005-0000-0000-0000DB110000}"/>
    <cellStyle name="40 % - Akzent1 7 2 6" xfId="5072" xr:uid="{00000000-0005-0000-0000-0000DC110000}"/>
    <cellStyle name="40 % - Akzent1 7 2 6 2" xfId="5073" xr:uid="{00000000-0005-0000-0000-0000DD110000}"/>
    <cellStyle name="40 % - Akzent1 7 2 7" xfId="5074" xr:uid="{00000000-0005-0000-0000-0000DE110000}"/>
    <cellStyle name="40 % - Akzent1 7 2 8" xfId="5075" xr:uid="{00000000-0005-0000-0000-0000DF110000}"/>
    <cellStyle name="40 % - Akzent1 7 3" xfId="5076" xr:uid="{00000000-0005-0000-0000-0000E0110000}"/>
    <cellStyle name="40 % - Akzent1 7 3 2" xfId="5077" xr:uid="{00000000-0005-0000-0000-0000E1110000}"/>
    <cellStyle name="40 % - Akzent1 7 3 2 2" xfId="5078" xr:uid="{00000000-0005-0000-0000-0000E2110000}"/>
    <cellStyle name="40 % - Akzent1 7 3 2 2 2" xfId="5079" xr:uid="{00000000-0005-0000-0000-0000E3110000}"/>
    <cellStyle name="40 % - Akzent1 7 3 2 2 2 2" xfId="5080" xr:uid="{00000000-0005-0000-0000-0000E4110000}"/>
    <cellStyle name="40 % - Akzent1 7 3 2 2 2 3" xfId="5081" xr:uid="{00000000-0005-0000-0000-0000E5110000}"/>
    <cellStyle name="40 % - Akzent1 7 3 2 2 3" xfId="5082" xr:uid="{00000000-0005-0000-0000-0000E6110000}"/>
    <cellStyle name="40 % - Akzent1 7 3 2 2 3 2" xfId="5083" xr:uid="{00000000-0005-0000-0000-0000E7110000}"/>
    <cellStyle name="40 % - Akzent1 7 3 2 2 3 3" xfId="5084" xr:uid="{00000000-0005-0000-0000-0000E8110000}"/>
    <cellStyle name="40 % - Akzent1 7 3 2 2 4" xfId="5085" xr:uid="{00000000-0005-0000-0000-0000E9110000}"/>
    <cellStyle name="40 % - Akzent1 7 3 2 2 4 2" xfId="5086" xr:uid="{00000000-0005-0000-0000-0000EA110000}"/>
    <cellStyle name="40 % - Akzent1 7 3 2 2 5" xfId="5087" xr:uid="{00000000-0005-0000-0000-0000EB110000}"/>
    <cellStyle name="40 % - Akzent1 7 3 2 2 6" xfId="5088" xr:uid="{00000000-0005-0000-0000-0000EC110000}"/>
    <cellStyle name="40 % - Akzent1 7 3 2 3" xfId="5089" xr:uid="{00000000-0005-0000-0000-0000ED110000}"/>
    <cellStyle name="40 % - Akzent1 7 3 2 3 2" xfId="5090" xr:uid="{00000000-0005-0000-0000-0000EE110000}"/>
    <cellStyle name="40 % - Akzent1 7 3 2 3 3" xfId="5091" xr:uid="{00000000-0005-0000-0000-0000EF110000}"/>
    <cellStyle name="40 % - Akzent1 7 3 2 4" xfId="5092" xr:uid="{00000000-0005-0000-0000-0000F0110000}"/>
    <cellStyle name="40 % - Akzent1 7 3 2 4 2" xfId="5093" xr:uid="{00000000-0005-0000-0000-0000F1110000}"/>
    <cellStyle name="40 % - Akzent1 7 3 2 4 3" xfId="5094" xr:uid="{00000000-0005-0000-0000-0000F2110000}"/>
    <cellStyle name="40 % - Akzent1 7 3 2 5" xfId="5095" xr:uid="{00000000-0005-0000-0000-0000F3110000}"/>
    <cellStyle name="40 % - Akzent1 7 3 2 5 2" xfId="5096" xr:uid="{00000000-0005-0000-0000-0000F4110000}"/>
    <cellStyle name="40 % - Akzent1 7 3 2 6" xfId="5097" xr:uid="{00000000-0005-0000-0000-0000F5110000}"/>
    <cellStyle name="40 % - Akzent1 7 3 2 7" xfId="5098" xr:uid="{00000000-0005-0000-0000-0000F6110000}"/>
    <cellStyle name="40 % - Akzent1 7 3 3" xfId="5099" xr:uid="{00000000-0005-0000-0000-0000F7110000}"/>
    <cellStyle name="40 % - Akzent1 7 3 3 2" xfId="5100" xr:uid="{00000000-0005-0000-0000-0000F8110000}"/>
    <cellStyle name="40 % - Akzent1 7 3 3 2 2" xfId="5101" xr:uid="{00000000-0005-0000-0000-0000F9110000}"/>
    <cellStyle name="40 % - Akzent1 7 3 3 2 3" xfId="5102" xr:uid="{00000000-0005-0000-0000-0000FA110000}"/>
    <cellStyle name="40 % - Akzent1 7 3 3 3" xfId="5103" xr:uid="{00000000-0005-0000-0000-0000FB110000}"/>
    <cellStyle name="40 % - Akzent1 7 3 3 3 2" xfId="5104" xr:uid="{00000000-0005-0000-0000-0000FC110000}"/>
    <cellStyle name="40 % - Akzent1 7 3 3 3 3" xfId="5105" xr:uid="{00000000-0005-0000-0000-0000FD110000}"/>
    <cellStyle name="40 % - Akzent1 7 3 3 4" xfId="5106" xr:uid="{00000000-0005-0000-0000-0000FE110000}"/>
    <cellStyle name="40 % - Akzent1 7 3 3 4 2" xfId="5107" xr:uid="{00000000-0005-0000-0000-0000FF110000}"/>
    <cellStyle name="40 % - Akzent1 7 3 3 5" xfId="5108" xr:uid="{00000000-0005-0000-0000-000000120000}"/>
    <cellStyle name="40 % - Akzent1 7 3 3 6" xfId="5109" xr:uid="{00000000-0005-0000-0000-000001120000}"/>
    <cellStyle name="40 % - Akzent1 7 3 4" xfId="5110" xr:uid="{00000000-0005-0000-0000-000002120000}"/>
    <cellStyle name="40 % - Akzent1 7 3 4 2" xfId="5111" xr:uid="{00000000-0005-0000-0000-000003120000}"/>
    <cellStyle name="40 % - Akzent1 7 3 4 3" xfId="5112" xr:uid="{00000000-0005-0000-0000-000004120000}"/>
    <cellStyle name="40 % - Akzent1 7 3 5" xfId="5113" xr:uid="{00000000-0005-0000-0000-000005120000}"/>
    <cellStyle name="40 % - Akzent1 7 3 5 2" xfId="5114" xr:uid="{00000000-0005-0000-0000-000006120000}"/>
    <cellStyle name="40 % - Akzent1 7 3 5 3" xfId="5115" xr:uid="{00000000-0005-0000-0000-000007120000}"/>
    <cellStyle name="40 % - Akzent1 7 3 6" xfId="5116" xr:uid="{00000000-0005-0000-0000-000008120000}"/>
    <cellStyle name="40 % - Akzent1 7 3 6 2" xfId="5117" xr:uid="{00000000-0005-0000-0000-000009120000}"/>
    <cellStyle name="40 % - Akzent1 7 3 7" xfId="5118" xr:uid="{00000000-0005-0000-0000-00000A120000}"/>
    <cellStyle name="40 % - Akzent1 7 3 8" xfId="5119" xr:uid="{00000000-0005-0000-0000-00000B120000}"/>
    <cellStyle name="40 % - Akzent1 7 4" xfId="5120" xr:uid="{00000000-0005-0000-0000-00000C120000}"/>
    <cellStyle name="40 % - Akzent1 7 4 2" xfId="5121" xr:uid="{00000000-0005-0000-0000-00000D120000}"/>
    <cellStyle name="40 % - Akzent1 7 4 2 2" xfId="5122" xr:uid="{00000000-0005-0000-0000-00000E120000}"/>
    <cellStyle name="40 % - Akzent1 7 4 2 2 2" xfId="5123" xr:uid="{00000000-0005-0000-0000-00000F120000}"/>
    <cellStyle name="40 % - Akzent1 7 4 2 2 3" xfId="5124" xr:uid="{00000000-0005-0000-0000-000010120000}"/>
    <cellStyle name="40 % - Akzent1 7 4 2 3" xfId="5125" xr:uid="{00000000-0005-0000-0000-000011120000}"/>
    <cellStyle name="40 % - Akzent1 7 4 2 3 2" xfId="5126" xr:uid="{00000000-0005-0000-0000-000012120000}"/>
    <cellStyle name="40 % - Akzent1 7 4 2 3 3" xfId="5127" xr:uid="{00000000-0005-0000-0000-000013120000}"/>
    <cellStyle name="40 % - Akzent1 7 4 2 4" xfId="5128" xr:uid="{00000000-0005-0000-0000-000014120000}"/>
    <cellStyle name="40 % - Akzent1 7 4 2 4 2" xfId="5129" xr:uid="{00000000-0005-0000-0000-000015120000}"/>
    <cellStyle name="40 % - Akzent1 7 4 2 5" xfId="5130" xr:uid="{00000000-0005-0000-0000-000016120000}"/>
    <cellStyle name="40 % - Akzent1 7 4 2 6" xfId="5131" xr:uid="{00000000-0005-0000-0000-000017120000}"/>
    <cellStyle name="40 % - Akzent1 7 4 3" xfId="5132" xr:uid="{00000000-0005-0000-0000-000018120000}"/>
    <cellStyle name="40 % - Akzent1 7 4 3 2" xfId="5133" xr:uid="{00000000-0005-0000-0000-000019120000}"/>
    <cellStyle name="40 % - Akzent1 7 4 3 3" xfId="5134" xr:uid="{00000000-0005-0000-0000-00001A120000}"/>
    <cellStyle name="40 % - Akzent1 7 4 4" xfId="5135" xr:uid="{00000000-0005-0000-0000-00001B120000}"/>
    <cellStyle name="40 % - Akzent1 7 4 4 2" xfId="5136" xr:uid="{00000000-0005-0000-0000-00001C120000}"/>
    <cellStyle name="40 % - Akzent1 7 4 4 3" xfId="5137" xr:uid="{00000000-0005-0000-0000-00001D120000}"/>
    <cellStyle name="40 % - Akzent1 7 4 5" xfId="5138" xr:uid="{00000000-0005-0000-0000-00001E120000}"/>
    <cellStyle name="40 % - Akzent1 7 4 5 2" xfId="5139" xr:uid="{00000000-0005-0000-0000-00001F120000}"/>
    <cellStyle name="40 % - Akzent1 7 4 6" xfId="5140" xr:uid="{00000000-0005-0000-0000-000020120000}"/>
    <cellStyle name="40 % - Akzent1 7 4 7" xfId="5141" xr:uid="{00000000-0005-0000-0000-000021120000}"/>
    <cellStyle name="40 % - Akzent1 7 5" xfId="5142" xr:uid="{00000000-0005-0000-0000-000022120000}"/>
    <cellStyle name="40 % - Akzent1 7 5 2" xfId="5143" xr:uid="{00000000-0005-0000-0000-000023120000}"/>
    <cellStyle name="40 % - Akzent1 7 5 2 2" xfId="5144" xr:uid="{00000000-0005-0000-0000-000024120000}"/>
    <cellStyle name="40 % - Akzent1 7 5 2 3" xfId="5145" xr:uid="{00000000-0005-0000-0000-000025120000}"/>
    <cellStyle name="40 % - Akzent1 7 5 3" xfId="5146" xr:uid="{00000000-0005-0000-0000-000026120000}"/>
    <cellStyle name="40 % - Akzent1 7 5 3 2" xfId="5147" xr:uid="{00000000-0005-0000-0000-000027120000}"/>
    <cellStyle name="40 % - Akzent1 7 5 3 3" xfId="5148" xr:uid="{00000000-0005-0000-0000-000028120000}"/>
    <cellStyle name="40 % - Akzent1 7 5 4" xfId="5149" xr:uid="{00000000-0005-0000-0000-000029120000}"/>
    <cellStyle name="40 % - Akzent1 7 5 4 2" xfId="5150" xr:uid="{00000000-0005-0000-0000-00002A120000}"/>
    <cellStyle name="40 % - Akzent1 7 5 5" xfId="5151" xr:uid="{00000000-0005-0000-0000-00002B120000}"/>
    <cellStyle name="40 % - Akzent1 7 5 6" xfId="5152" xr:uid="{00000000-0005-0000-0000-00002C120000}"/>
    <cellStyle name="40 % - Akzent1 7 6" xfId="5153" xr:uid="{00000000-0005-0000-0000-00002D120000}"/>
    <cellStyle name="40 % - Akzent1 7 6 2" xfId="5154" xr:uid="{00000000-0005-0000-0000-00002E120000}"/>
    <cellStyle name="40 % - Akzent1 7 6 3" xfId="5155" xr:uid="{00000000-0005-0000-0000-00002F120000}"/>
    <cellStyle name="40 % - Akzent1 7 7" xfId="5156" xr:uid="{00000000-0005-0000-0000-000030120000}"/>
    <cellStyle name="40 % - Akzent1 7 7 2" xfId="5157" xr:uid="{00000000-0005-0000-0000-000031120000}"/>
    <cellStyle name="40 % - Akzent1 7 7 3" xfId="5158" xr:uid="{00000000-0005-0000-0000-000032120000}"/>
    <cellStyle name="40 % - Akzent1 7 8" xfId="5159" xr:uid="{00000000-0005-0000-0000-000033120000}"/>
    <cellStyle name="40 % - Akzent1 7 8 2" xfId="5160" xr:uid="{00000000-0005-0000-0000-000034120000}"/>
    <cellStyle name="40 % - Akzent1 7 9" xfId="5161" xr:uid="{00000000-0005-0000-0000-000035120000}"/>
    <cellStyle name="40 % - Akzent1 8" xfId="5162" xr:uid="{00000000-0005-0000-0000-000036120000}"/>
    <cellStyle name="40 % - Akzent1 8 2" xfId="5163" xr:uid="{00000000-0005-0000-0000-000037120000}"/>
    <cellStyle name="40 % - Akzent1 8 2 2" xfId="5164" xr:uid="{00000000-0005-0000-0000-000038120000}"/>
    <cellStyle name="40 % - Akzent1 8 2 2 2" xfId="5165" xr:uid="{00000000-0005-0000-0000-000039120000}"/>
    <cellStyle name="40 % - Akzent1 8 2 2 2 2" xfId="5166" xr:uid="{00000000-0005-0000-0000-00003A120000}"/>
    <cellStyle name="40 % - Akzent1 8 2 2 2 3" xfId="5167" xr:uid="{00000000-0005-0000-0000-00003B120000}"/>
    <cellStyle name="40 % - Akzent1 8 2 2 3" xfId="5168" xr:uid="{00000000-0005-0000-0000-00003C120000}"/>
    <cellStyle name="40 % - Akzent1 8 2 2 3 2" xfId="5169" xr:uid="{00000000-0005-0000-0000-00003D120000}"/>
    <cellStyle name="40 % - Akzent1 8 2 2 3 3" xfId="5170" xr:uid="{00000000-0005-0000-0000-00003E120000}"/>
    <cellStyle name="40 % - Akzent1 8 2 2 4" xfId="5171" xr:uid="{00000000-0005-0000-0000-00003F120000}"/>
    <cellStyle name="40 % - Akzent1 8 2 2 4 2" xfId="5172" xr:uid="{00000000-0005-0000-0000-000040120000}"/>
    <cellStyle name="40 % - Akzent1 8 2 2 5" xfId="5173" xr:uid="{00000000-0005-0000-0000-000041120000}"/>
    <cellStyle name="40 % - Akzent1 8 2 2 6" xfId="5174" xr:uid="{00000000-0005-0000-0000-000042120000}"/>
    <cellStyle name="40 % - Akzent1 8 2 3" xfId="5175" xr:uid="{00000000-0005-0000-0000-000043120000}"/>
    <cellStyle name="40 % - Akzent1 8 2 3 2" xfId="5176" xr:uid="{00000000-0005-0000-0000-000044120000}"/>
    <cellStyle name="40 % - Akzent1 8 2 3 3" xfId="5177" xr:uid="{00000000-0005-0000-0000-000045120000}"/>
    <cellStyle name="40 % - Akzent1 8 2 4" xfId="5178" xr:uid="{00000000-0005-0000-0000-000046120000}"/>
    <cellStyle name="40 % - Akzent1 8 2 4 2" xfId="5179" xr:uid="{00000000-0005-0000-0000-000047120000}"/>
    <cellStyle name="40 % - Akzent1 8 2 4 3" xfId="5180" xr:uid="{00000000-0005-0000-0000-000048120000}"/>
    <cellStyle name="40 % - Akzent1 8 2 5" xfId="5181" xr:uid="{00000000-0005-0000-0000-000049120000}"/>
    <cellStyle name="40 % - Akzent1 8 2 5 2" xfId="5182" xr:uid="{00000000-0005-0000-0000-00004A120000}"/>
    <cellStyle name="40 % - Akzent1 8 2 6" xfId="5183" xr:uid="{00000000-0005-0000-0000-00004B120000}"/>
    <cellStyle name="40 % - Akzent1 8 2 7" xfId="5184" xr:uid="{00000000-0005-0000-0000-00004C120000}"/>
    <cellStyle name="40 % - Akzent1 8 3" xfId="5185" xr:uid="{00000000-0005-0000-0000-00004D120000}"/>
    <cellStyle name="40 % - Akzent1 8 3 2" xfId="5186" xr:uid="{00000000-0005-0000-0000-00004E120000}"/>
    <cellStyle name="40 % - Akzent1 8 3 2 2" xfId="5187" xr:uid="{00000000-0005-0000-0000-00004F120000}"/>
    <cellStyle name="40 % - Akzent1 8 3 2 3" xfId="5188" xr:uid="{00000000-0005-0000-0000-000050120000}"/>
    <cellStyle name="40 % - Akzent1 8 3 3" xfId="5189" xr:uid="{00000000-0005-0000-0000-000051120000}"/>
    <cellStyle name="40 % - Akzent1 8 3 3 2" xfId="5190" xr:uid="{00000000-0005-0000-0000-000052120000}"/>
    <cellStyle name="40 % - Akzent1 8 3 3 3" xfId="5191" xr:uid="{00000000-0005-0000-0000-000053120000}"/>
    <cellStyle name="40 % - Akzent1 8 3 4" xfId="5192" xr:uid="{00000000-0005-0000-0000-000054120000}"/>
    <cellStyle name="40 % - Akzent1 8 3 4 2" xfId="5193" xr:uid="{00000000-0005-0000-0000-000055120000}"/>
    <cellStyle name="40 % - Akzent1 8 3 5" xfId="5194" xr:uid="{00000000-0005-0000-0000-000056120000}"/>
    <cellStyle name="40 % - Akzent1 8 3 6" xfId="5195" xr:uid="{00000000-0005-0000-0000-000057120000}"/>
    <cellStyle name="40 % - Akzent1 8 4" xfId="5196" xr:uid="{00000000-0005-0000-0000-000058120000}"/>
    <cellStyle name="40 % - Akzent1 8 4 2" xfId="5197" xr:uid="{00000000-0005-0000-0000-000059120000}"/>
    <cellStyle name="40 % - Akzent1 8 4 3" xfId="5198" xr:uid="{00000000-0005-0000-0000-00005A120000}"/>
    <cellStyle name="40 % - Akzent1 8 5" xfId="5199" xr:uid="{00000000-0005-0000-0000-00005B120000}"/>
    <cellStyle name="40 % - Akzent1 8 5 2" xfId="5200" xr:uid="{00000000-0005-0000-0000-00005C120000}"/>
    <cellStyle name="40 % - Akzent1 8 5 3" xfId="5201" xr:uid="{00000000-0005-0000-0000-00005D120000}"/>
    <cellStyle name="40 % - Akzent1 8 6" xfId="5202" xr:uid="{00000000-0005-0000-0000-00005E120000}"/>
    <cellStyle name="40 % - Akzent1 8 6 2" xfId="5203" xr:uid="{00000000-0005-0000-0000-00005F120000}"/>
    <cellStyle name="40 % - Akzent1 8 7" xfId="5204" xr:uid="{00000000-0005-0000-0000-000060120000}"/>
    <cellStyle name="40 % - Akzent1 8 8" xfId="5205" xr:uid="{00000000-0005-0000-0000-000061120000}"/>
    <cellStyle name="40 % - Akzent2 2" xfId="165" xr:uid="{00000000-0005-0000-0000-000062120000}"/>
    <cellStyle name="40 % - Akzent2 2 2" xfId="166" xr:uid="{00000000-0005-0000-0000-000063120000}"/>
    <cellStyle name="40 % - Akzent2 2 2 2" xfId="167" xr:uid="{00000000-0005-0000-0000-000064120000}"/>
    <cellStyle name="40 % - Akzent2 2 2 3" xfId="33083" xr:uid="{00000000-0005-0000-0000-000065120000}"/>
    <cellStyle name="40 % - Akzent2 2 2 4" xfId="33158" xr:uid="{00000000-0005-0000-0000-000066120000}"/>
    <cellStyle name="40 % - Akzent2 2 2 5" xfId="33233" xr:uid="{00000000-0005-0000-0000-000067120000}"/>
    <cellStyle name="40 % - Akzent2 2 2 6" xfId="33308" xr:uid="{00000000-0005-0000-0000-000068120000}"/>
    <cellStyle name="40 % - Akzent2 2 3" xfId="168" xr:uid="{00000000-0005-0000-0000-000069120000}"/>
    <cellStyle name="40 % - Akzent2 2 3 2" xfId="33084" xr:uid="{00000000-0005-0000-0000-00006A120000}"/>
    <cellStyle name="40 % - Akzent2 2 3 3" xfId="33159" xr:uid="{00000000-0005-0000-0000-00006B120000}"/>
    <cellStyle name="40 % - Akzent2 2 3 4" xfId="33234" xr:uid="{00000000-0005-0000-0000-00006C120000}"/>
    <cellStyle name="40 % - Akzent2 2 3 5" xfId="33309" xr:uid="{00000000-0005-0000-0000-00006D120000}"/>
    <cellStyle name="40 % - Akzent2 2 4" xfId="169" xr:uid="{00000000-0005-0000-0000-00006E120000}"/>
    <cellStyle name="40 % - Akzent2 2 4 2" xfId="33085" xr:uid="{00000000-0005-0000-0000-00006F120000}"/>
    <cellStyle name="40 % - Akzent2 2 4 3" xfId="33160" xr:uid="{00000000-0005-0000-0000-000070120000}"/>
    <cellStyle name="40 % - Akzent2 2 4 4" xfId="33235" xr:uid="{00000000-0005-0000-0000-000071120000}"/>
    <cellStyle name="40 % - Akzent2 2 4 5" xfId="33310" xr:uid="{00000000-0005-0000-0000-000072120000}"/>
    <cellStyle name="40 % - Akzent2 2 5" xfId="170" xr:uid="{00000000-0005-0000-0000-000073120000}"/>
    <cellStyle name="40 % - Akzent2 2 6" xfId="33082" xr:uid="{00000000-0005-0000-0000-000074120000}"/>
    <cellStyle name="40 % - Akzent2 2 7" xfId="33157" xr:uid="{00000000-0005-0000-0000-000075120000}"/>
    <cellStyle name="40 % - Akzent2 2 8" xfId="33232" xr:uid="{00000000-0005-0000-0000-000076120000}"/>
    <cellStyle name="40 % - Akzent2 2 9" xfId="33307" xr:uid="{00000000-0005-0000-0000-000077120000}"/>
    <cellStyle name="40 % - Akzent2 3" xfId="171" xr:uid="{00000000-0005-0000-0000-000078120000}"/>
    <cellStyle name="40 % - Akzent2 3 2" xfId="172" xr:uid="{00000000-0005-0000-0000-000079120000}"/>
    <cellStyle name="40 % - Akzent2 3 2 10" xfId="5206" xr:uid="{00000000-0005-0000-0000-00007A120000}"/>
    <cellStyle name="40 % - Akzent2 3 2 11" xfId="5207" xr:uid="{00000000-0005-0000-0000-00007B120000}"/>
    <cellStyle name="40 % - Akzent2 3 2 12" xfId="33086" xr:uid="{00000000-0005-0000-0000-00007C120000}"/>
    <cellStyle name="40 % - Akzent2 3 2 13" xfId="33161" xr:uid="{00000000-0005-0000-0000-00007D120000}"/>
    <cellStyle name="40 % - Akzent2 3 2 14" xfId="33236" xr:uid="{00000000-0005-0000-0000-00007E120000}"/>
    <cellStyle name="40 % - Akzent2 3 2 15" xfId="33311" xr:uid="{00000000-0005-0000-0000-00007F120000}"/>
    <cellStyle name="40 % - Akzent2 3 2 2" xfId="5208" xr:uid="{00000000-0005-0000-0000-000080120000}"/>
    <cellStyle name="40 % - Akzent2 3 2 2 10" xfId="5209" xr:uid="{00000000-0005-0000-0000-000081120000}"/>
    <cellStyle name="40 % - Akzent2 3 2 2 2" xfId="5210" xr:uid="{00000000-0005-0000-0000-000082120000}"/>
    <cellStyle name="40 % - Akzent2 3 2 2 2 2" xfId="5211" xr:uid="{00000000-0005-0000-0000-000083120000}"/>
    <cellStyle name="40 % - Akzent2 3 2 2 2 2 2" xfId="5212" xr:uid="{00000000-0005-0000-0000-000084120000}"/>
    <cellStyle name="40 % - Akzent2 3 2 2 2 2 2 2" xfId="5213" xr:uid="{00000000-0005-0000-0000-000085120000}"/>
    <cellStyle name="40 % - Akzent2 3 2 2 2 2 2 2 2" xfId="5214" xr:uid="{00000000-0005-0000-0000-000086120000}"/>
    <cellStyle name="40 % - Akzent2 3 2 2 2 2 2 2 3" xfId="5215" xr:uid="{00000000-0005-0000-0000-000087120000}"/>
    <cellStyle name="40 % - Akzent2 3 2 2 2 2 2 3" xfId="5216" xr:uid="{00000000-0005-0000-0000-000088120000}"/>
    <cellStyle name="40 % - Akzent2 3 2 2 2 2 2 3 2" xfId="5217" xr:uid="{00000000-0005-0000-0000-000089120000}"/>
    <cellStyle name="40 % - Akzent2 3 2 2 2 2 2 3 3" xfId="5218" xr:uid="{00000000-0005-0000-0000-00008A120000}"/>
    <cellStyle name="40 % - Akzent2 3 2 2 2 2 2 4" xfId="5219" xr:uid="{00000000-0005-0000-0000-00008B120000}"/>
    <cellStyle name="40 % - Akzent2 3 2 2 2 2 2 4 2" xfId="5220" xr:uid="{00000000-0005-0000-0000-00008C120000}"/>
    <cellStyle name="40 % - Akzent2 3 2 2 2 2 2 5" xfId="5221" xr:uid="{00000000-0005-0000-0000-00008D120000}"/>
    <cellStyle name="40 % - Akzent2 3 2 2 2 2 2 6" xfId="5222" xr:uid="{00000000-0005-0000-0000-00008E120000}"/>
    <cellStyle name="40 % - Akzent2 3 2 2 2 2 3" xfId="5223" xr:uid="{00000000-0005-0000-0000-00008F120000}"/>
    <cellStyle name="40 % - Akzent2 3 2 2 2 2 3 2" xfId="5224" xr:uid="{00000000-0005-0000-0000-000090120000}"/>
    <cellStyle name="40 % - Akzent2 3 2 2 2 2 3 3" xfId="5225" xr:uid="{00000000-0005-0000-0000-000091120000}"/>
    <cellStyle name="40 % - Akzent2 3 2 2 2 2 4" xfId="5226" xr:uid="{00000000-0005-0000-0000-000092120000}"/>
    <cellStyle name="40 % - Akzent2 3 2 2 2 2 4 2" xfId="5227" xr:uid="{00000000-0005-0000-0000-000093120000}"/>
    <cellStyle name="40 % - Akzent2 3 2 2 2 2 4 3" xfId="5228" xr:uid="{00000000-0005-0000-0000-000094120000}"/>
    <cellStyle name="40 % - Akzent2 3 2 2 2 2 5" xfId="5229" xr:uid="{00000000-0005-0000-0000-000095120000}"/>
    <cellStyle name="40 % - Akzent2 3 2 2 2 2 5 2" xfId="5230" xr:uid="{00000000-0005-0000-0000-000096120000}"/>
    <cellStyle name="40 % - Akzent2 3 2 2 2 2 6" xfId="5231" xr:uid="{00000000-0005-0000-0000-000097120000}"/>
    <cellStyle name="40 % - Akzent2 3 2 2 2 2 7" xfId="5232" xr:uid="{00000000-0005-0000-0000-000098120000}"/>
    <cellStyle name="40 % - Akzent2 3 2 2 2 3" xfId="5233" xr:uid="{00000000-0005-0000-0000-000099120000}"/>
    <cellStyle name="40 % - Akzent2 3 2 2 2 3 2" xfId="5234" xr:uid="{00000000-0005-0000-0000-00009A120000}"/>
    <cellStyle name="40 % - Akzent2 3 2 2 2 3 2 2" xfId="5235" xr:uid="{00000000-0005-0000-0000-00009B120000}"/>
    <cellStyle name="40 % - Akzent2 3 2 2 2 3 2 3" xfId="5236" xr:uid="{00000000-0005-0000-0000-00009C120000}"/>
    <cellStyle name="40 % - Akzent2 3 2 2 2 3 3" xfId="5237" xr:uid="{00000000-0005-0000-0000-00009D120000}"/>
    <cellStyle name="40 % - Akzent2 3 2 2 2 3 3 2" xfId="5238" xr:uid="{00000000-0005-0000-0000-00009E120000}"/>
    <cellStyle name="40 % - Akzent2 3 2 2 2 3 3 3" xfId="5239" xr:uid="{00000000-0005-0000-0000-00009F120000}"/>
    <cellStyle name="40 % - Akzent2 3 2 2 2 3 4" xfId="5240" xr:uid="{00000000-0005-0000-0000-0000A0120000}"/>
    <cellStyle name="40 % - Akzent2 3 2 2 2 3 4 2" xfId="5241" xr:uid="{00000000-0005-0000-0000-0000A1120000}"/>
    <cellStyle name="40 % - Akzent2 3 2 2 2 3 5" xfId="5242" xr:uid="{00000000-0005-0000-0000-0000A2120000}"/>
    <cellStyle name="40 % - Akzent2 3 2 2 2 3 6" xfId="5243" xr:uid="{00000000-0005-0000-0000-0000A3120000}"/>
    <cellStyle name="40 % - Akzent2 3 2 2 2 4" xfId="5244" xr:uid="{00000000-0005-0000-0000-0000A4120000}"/>
    <cellStyle name="40 % - Akzent2 3 2 2 2 4 2" xfId="5245" xr:uid="{00000000-0005-0000-0000-0000A5120000}"/>
    <cellStyle name="40 % - Akzent2 3 2 2 2 4 3" xfId="5246" xr:uid="{00000000-0005-0000-0000-0000A6120000}"/>
    <cellStyle name="40 % - Akzent2 3 2 2 2 5" xfId="5247" xr:uid="{00000000-0005-0000-0000-0000A7120000}"/>
    <cellStyle name="40 % - Akzent2 3 2 2 2 5 2" xfId="5248" xr:uid="{00000000-0005-0000-0000-0000A8120000}"/>
    <cellStyle name="40 % - Akzent2 3 2 2 2 5 3" xfId="5249" xr:uid="{00000000-0005-0000-0000-0000A9120000}"/>
    <cellStyle name="40 % - Akzent2 3 2 2 2 6" xfId="5250" xr:uid="{00000000-0005-0000-0000-0000AA120000}"/>
    <cellStyle name="40 % - Akzent2 3 2 2 2 6 2" xfId="5251" xr:uid="{00000000-0005-0000-0000-0000AB120000}"/>
    <cellStyle name="40 % - Akzent2 3 2 2 2 7" xfId="5252" xr:uid="{00000000-0005-0000-0000-0000AC120000}"/>
    <cellStyle name="40 % - Akzent2 3 2 2 2 8" xfId="5253" xr:uid="{00000000-0005-0000-0000-0000AD120000}"/>
    <cellStyle name="40 % - Akzent2 3 2 2 3" xfId="5254" xr:uid="{00000000-0005-0000-0000-0000AE120000}"/>
    <cellStyle name="40 % - Akzent2 3 2 2 3 2" xfId="5255" xr:uid="{00000000-0005-0000-0000-0000AF120000}"/>
    <cellStyle name="40 % - Akzent2 3 2 2 3 2 2" xfId="5256" xr:uid="{00000000-0005-0000-0000-0000B0120000}"/>
    <cellStyle name="40 % - Akzent2 3 2 2 3 2 2 2" xfId="5257" xr:uid="{00000000-0005-0000-0000-0000B1120000}"/>
    <cellStyle name="40 % - Akzent2 3 2 2 3 2 2 2 2" xfId="5258" xr:uid="{00000000-0005-0000-0000-0000B2120000}"/>
    <cellStyle name="40 % - Akzent2 3 2 2 3 2 2 2 3" xfId="5259" xr:uid="{00000000-0005-0000-0000-0000B3120000}"/>
    <cellStyle name="40 % - Akzent2 3 2 2 3 2 2 3" xfId="5260" xr:uid="{00000000-0005-0000-0000-0000B4120000}"/>
    <cellStyle name="40 % - Akzent2 3 2 2 3 2 2 3 2" xfId="5261" xr:uid="{00000000-0005-0000-0000-0000B5120000}"/>
    <cellStyle name="40 % - Akzent2 3 2 2 3 2 2 3 3" xfId="5262" xr:uid="{00000000-0005-0000-0000-0000B6120000}"/>
    <cellStyle name="40 % - Akzent2 3 2 2 3 2 2 4" xfId="5263" xr:uid="{00000000-0005-0000-0000-0000B7120000}"/>
    <cellStyle name="40 % - Akzent2 3 2 2 3 2 2 4 2" xfId="5264" xr:uid="{00000000-0005-0000-0000-0000B8120000}"/>
    <cellStyle name="40 % - Akzent2 3 2 2 3 2 2 5" xfId="5265" xr:uid="{00000000-0005-0000-0000-0000B9120000}"/>
    <cellStyle name="40 % - Akzent2 3 2 2 3 2 2 6" xfId="5266" xr:uid="{00000000-0005-0000-0000-0000BA120000}"/>
    <cellStyle name="40 % - Akzent2 3 2 2 3 2 3" xfId="5267" xr:uid="{00000000-0005-0000-0000-0000BB120000}"/>
    <cellStyle name="40 % - Akzent2 3 2 2 3 2 3 2" xfId="5268" xr:uid="{00000000-0005-0000-0000-0000BC120000}"/>
    <cellStyle name="40 % - Akzent2 3 2 2 3 2 3 3" xfId="5269" xr:uid="{00000000-0005-0000-0000-0000BD120000}"/>
    <cellStyle name="40 % - Akzent2 3 2 2 3 2 4" xfId="5270" xr:uid="{00000000-0005-0000-0000-0000BE120000}"/>
    <cellStyle name="40 % - Akzent2 3 2 2 3 2 4 2" xfId="5271" xr:uid="{00000000-0005-0000-0000-0000BF120000}"/>
    <cellStyle name="40 % - Akzent2 3 2 2 3 2 4 3" xfId="5272" xr:uid="{00000000-0005-0000-0000-0000C0120000}"/>
    <cellStyle name="40 % - Akzent2 3 2 2 3 2 5" xfId="5273" xr:uid="{00000000-0005-0000-0000-0000C1120000}"/>
    <cellStyle name="40 % - Akzent2 3 2 2 3 2 5 2" xfId="5274" xr:uid="{00000000-0005-0000-0000-0000C2120000}"/>
    <cellStyle name="40 % - Akzent2 3 2 2 3 2 6" xfId="5275" xr:uid="{00000000-0005-0000-0000-0000C3120000}"/>
    <cellStyle name="40 % - Akzent2 3 2 2 3 2 7" xfId="5276" xr:uid="{00000000-0005-0000-0000-0000C4120000}"/>
    <cellStyle name="40 % - Akzent2 3 2 2 3 3" xfId="5277" xr:uid="{00000000-0005-0000-0000-0000C5120000}"/>
    <cellStyle name="40 % - Akzent2 3 2 2 3 3 2" xfId="5278" xr:uid="{00000000-0005-0000-0000-0000C6120000}"/>
    <cellStyle name="40 % - Akzent2 3 2 2 3 3 2 2" xfId="5279" xr:uid="{00000000-0005-0000-0000-0000C7120000}"/>
    <cellStyle name="40 % - Akzent2 3 2 2 3 3 2 3" xfId="5280" xr:uid="{00000000-0005-0000-0000-0000C8120000}"/>
    <cellStyle name="40 % - Akzent2 3 2 2 3 3 3" xfId="5281" xr:uid="{00000000-0005-0000-0000-0000C9120000}"/>
    <cellStyle name="40 % - Akzent2 3 2 2 3 3 3 2" xfId="5282" xr:uid="{00000000-0005-0000-0000-0000CA120000}"/>
    <cellStyle name="40 % - Akzent2 3 2 2 3 3 3 3" xfId="5283" xr:uid="{00000000-0005-0000-0000-0000CB120000}"/>
    <cellStyle name="40 % - Akzent2 3 2 2 3 3 4" xfId="5284" xr:uid="{00000000-0005-0000-0000-0000CC120000}"/>
    <cellStyle name="40 % - Akzent2 3 2 2 3 3 4 2" xfId="5285" xr:uid="{00000000-0005-0000-0000-0000CD120000}"/>
    <cellStyle name="40 % - Akzent2 3 2 2 3 3 5" xfId="5286" xr:uid="{00000000-0005-0000-0000-0000CE120000}"/>
    <cellStyle name="40 % - Akzent2 3 2 2 3 3 6" xfId="5287" xr:uid="{00000000-0005-0000-0000-0000CF120000}"/>
    <cellStyle name="40 % - Akzent2 3 2 2 3 4" xfId="5288" xr:uid="{00000000-0005-0000-0000-0000D0120000}"/>
    <cellStyle name="40 % - Akzent2 3 2 2 3 4 2" xfId="5289" xr:uid="{00000000-0005-0000-0000-0000D1120000}"/>
    <cellStyle name="40 % - Akzent2 3 2 2 3 4 3" xfId="5290" xr:uid="{00000000-0005-0000-0000-0000D2120000}"/>
    <cellStyle name="40 % - Akzent2 3 2 2 3 5" xfId="5291" xr:uid="{00000000-0005-0000-0000-0000D3120000}"/>
    <cellStyle name="40 % - Akzent2 3 2 2 3 5 2" xfId="5292" xr:uid="{00000000-0005-0000-0000-0000D4120000}"/>
    <cellStyle name="40 % - Akzent2 3 2 2 3 5 3" xfId="5293" xr:uid="{00000000-0005-0000-0000-0000D5120000}"/>
    <cellStyle name="40 % - Akzent2 3 2 2 3 6" xfId="5294" xr:uid="{00000000-0005-0000-0000-0000D6120000}"/>
    <cellStyle name="40 % - Akzent2 3 2 2 3 6 2" xfId="5295" xr:uid="{00000000-0005-0000-0000-0000D7120000}"/>
    <cellStyle name="40 % - Akzent2 3 2 2 3 7" xfId="5296" xr:uid="{00000000-0005-0000-0000-0000D8120000}"/>
    <cellStyle name="40 % - Akzent2 3 2 2 3 8" xfId="5297" xr:uid="{00000000-0005-0000-0000-0000D9120000}"/>
    <cellStyle name="40 % - Akzent2 3 2 2 4" xfId="5298" xr:uid="{00000000-0005-0000-0000-0000DA120000}"/>
    <cellStyle name="40 % - Akzent2 3 2 2 4 2" xfId="5299" xr:uid="{00000000-0005-0000-0000-0000DB120000}"/>
    <cellStyle name="40 % - Akzent2 3 2 2 4 2 2" xfId="5300" xr:uid="{00000000-0005-0000-0000-0000DC120000}"/>
    <cellStyle name="40 % - Akzent2 3 2 2 4 2 2 2" xfId="5301" xr:uid="{00000000-0005-0000-0000-0000DD120000}"/>
    <cellStyle name="40 % - Akzent2 3 2 2 4 2 2 3" xfId="5302" xr:uid="{00000000-0005-0000-0000-0000DE120000}"/>
    <cellStyle name="40 % - Akzent2 3 2 2 4 2 3" xfId="5303" xr:uid="{00000000-0005-0000-0000-0000DF120000}"/>
    <cellStyle name="40 % - Akzent2 3 2 2 4 2 3 2" xfId="5304" xr:uid="{00000000-0005-0000-0000-0000E0120000}"/>
    <cellStyle name="40 % - Akzent2 3 2 2 4 2 3 3" xfId="5305" xr:uid="{00000000-0005-0000-0000-0000E1120000}"/>
    <cellStyle name="40 % - Akzent2 3 2 2 4 2 4" xfId="5306" xr:uid="{00000000-0005-0000-0000-0000E2120000}"/>
    <cellStyle name="40 % - Akzent2 3 2 2 4 2 4 2" xfId="5307" xr:uid="{00000000-0005-0000-0000-0000E3120000}"/>
    <cellStyle name="40 % - Akzent2 3 2 2 4 2 5" xfId="5308" xr:uid="{00000000-0005-0000-0000-0000E4120000}"/>
    <cellStyle name="40 % - Akzent2 3 2 2 4 2 6" xfId="5309" xr:uid="{00000000-0005-0000-0000-0000E5120000}"/>
    <cellStyle name="40 % - Akzent2 3 2 2 4 3" xfId="5310" xr:uid="{00000000-0005-0000-0000-0000E6120000}"/>
    <cellStyle name="40 % - Akzent2 3 2 2 4 3 2" xfId="5311" xr:uid="{00000000-0005-0000-0000-0000E7120000}"/>
    <cellStyle name="40 % - Akzent2 3 2 2 4 3 3" xfId="5312" xr:uid="{00000000-0005-0000-0000-0000E8120000}"/>
    <cellStyle name="40 % - Akzent2 3 2 2 4 4" xfId="5313" xr:uid="{00000000-0005-0000-0000-0000E9120000}"/>
    <cellStyle name="40 % - Akzent2 3 2 2 4 4 2" xfId="5314" xr:uid="{00000000-0005-0000-0000-0000EA120000}"/>
    <cellStyle name="40 % - Akzent2 3 2 2 4 4 3" xfId="5315" xr:uid="{00000000-0005-0000-0000-0000EB120000}"/>
    <cellStyle name="40 % - Akzent2 3 2 2 4 5" xfId="5316" xr:uid="{00000000-0005-0000-0000-0000EC120000}"/>
    <cellStyle name="40 % - Akzent2 3 2 2 4 5 2" xfId="5317" xr:uid="{00000000-0005-0000-0000-0000ED120000}"/>
    <cellStyle name="40 % - Akzent2 3 2 2 4 6" xfId="5318" xr:uid="{00000000-0005-0000-0000-0000EE120000}"/>
    <cellStyle name="40 % - Akzent2 3 2 2 4 7" xfId="5319" xr:uid="{00000000-0005-0000-0000-0000EF120000}"/>
    <cellStyle name="40 % - Akzent2 3 2 2 5" xfId="5320" xr:uid="{00000000-0005-0000-0000-0000F0120000}"/>
    <cellStyle name="40 % - Akzent2 3 2 2 5 2" xfId="5321" xr:uid="{00000000-0005-0000-0000-0000F1120000}"/>
    <cellStyle name="40 % - Akzent2 3 2 2 5 2 2" xfId="5322" xr:uid="{00000000-0005-0000-0000-0000F2120000}"/>
    <cellStyle name="40 % - Akzent2 3 2 2 5 2 3" xfId="5323" xr:uid="{00000000-0005-0000-0000-0000F3120000}"/>
    <cellStyle name="40 % - Akzent2 3 2 2 5 3" xfId="5324" xr:uid="{00000000-0005-0000-0000-0000F4120000}"/>
    <cellStyle name="40 % - Akzent2 3 2 2 5 3 2" xfId="5325" xr:uid="{00000000-0005-0000-0000-0000F5120000}"/>
    <cellStyle name="40 % - Akzent2 3 2 2 5 3 3" xfId="5326" xr:uid="{00000000-0005-0000-0000-0000F6120000}"/>
    <cellStyle name="40 % - Akzent2 3 2 2 5 4" xfId="5327" xr:uid="{00000000-0005-0000-0000-0000F7120000}"/>
    <cellStyle name="40 % - Akzent2 3 2 2 5 4 2" xfId="5328" xr:uid="{00000000-0005-0000-0000-0000F8120000}"/>
    <cellStyle name="40 % - Akzent2 3 2 2 5 5" xfId="5329" xr:uid="{00000000-0005-0000-0000-0000F9120000}"/>
    <cellStyle name="40 % - Akzent2 3 2 2 5 6" xfId="5330" xr:uid="{00000000-0005-0000-0000-0000FA120000}"/>
    <cellStyle name="40 % - Akzent2 3 2 2 6" xfId="5331" xr:uid="{00000000-0005-0000-0000-0000FB120000}"/>
    <cellStyle name="40 % - Akzent2 3 2 2 6 2" xfId="5332" xr:uid="{00000000-0005-0000-0000-0000FC120000}"/>
    <cellStyle name="40 % - Akzent2 3 2 2 6 3" xfId="5333" xr:uid="{00000000-0005-0000-0000-0000FD120000}"/>
    <cellStyle name="40 % - Akzent2 3 2 2 7" xfId="5334" xr:uid="{00000000-0005-0000-0000-0000FE120000}"/>
    <cellStyle name="40 % - Akzent2 3 2 2 7 2" xfId="5335" xr:uid="{00000000-0005-0000-0000-0000FF120000}"/>
    <cellStyle name="40 % - Akzent2 3 2 2 7 3" xfId="5336" xr:uid="{00000000-0005-0000-0000-000000130000}"/>
    <cellStyle name="40 % - Akzent2 3 2 2 8" xfId="5337" xr:uid="{00000000-0005-0000-0000-000001130000}"/>
    <cellStyle name="40 % - Akzent2 3 2 2 8 2" xfId="5338" xr:uid="{00000000-0005-0000-0000-000002130000}"/>
    <cellStyle name="40 % - Akzent2 3 2 2 9" xfId="5339" xr:uid="{00000000-0005-0000-0000-000003130000}"/>
    <cellStyle name="40 % - Akzent2 3 2 3" xfId="5340" xr:uid="{00000000-0005-0000-0000-000004130000}"/>
    <cellStyle name="40 % - Akzent2 3 2 3 2" xfId="5341" xr:uid="{00000000-0005-0000-0000-000005130000}"/>
    <cellStyle name="40 % - Akzent2 3 2 3 2 2" xfId="5342" xr:uid="{00000000-0005-0000-0000-000006130000}"/>
    <cellStyle name="40 % - Akzent2 3 2 3 2 2 2" xfId="5343" xr:uid="{00000000-0005-0000-0000-000007130000}"/>
    <cellStyle name="40 % - Akzent2 3 2 3 2 2 2 2" xfId="5344" xr:uid="{00000000-0005-0000-0000-000008130000}"/>
    <cellStyle name="40 % - Akzent2 3 2 3 2 2 2 3" xfId="5345" xr:uid="{00000000-0005-0000-0000-000009130000}"/>
    <cellStyle name="40 % - Akzent2 3 2 3 2 2 3" xfId="5346" xr:uid="{00000000-0005-0000-0000-00000A130000}"/>
    <cellStyle name="40 % - Akzent2 3 2 3 2 2 3 2" xfId="5347" xr:uid="{00000000-0005-0000-0000-00000B130000}"/>
    <cellStyle name="40 % - Akzent2 3 2 3 2 2 3 3" xfId="5348" xr:uid="{00000000-0005-0000-0000-00000C130000}"/>
    <cellStyle name="40 % - Akzent2 3 2 3 2 2 4" xfId="5349" xr:uid="{00000000-0005-0000-0000-00000D130000}"/>
    <cellStyle name="40 % - Akzent2 3 2 3 2 2 4 2" xfId="5350" xr:uid="{00000000-0005-0000-0000-00000E130000}"/>
    <cellStyle name="40 % - Akzent2 3 2 3 2 2 5" xfId="5351" xr:uid="{00000000-0005-0000-0000-00000F130000}"/>
    <cellStyle name="40 % - Akzent2 3 2 3 2 2 6" xfId="5352" xr:uid="{00000000-0005-0000-0000-000010130000}"/>
    <cellStyle name="40 % - Akzent2 3 2 3 2 3" xfId="5353" xr:uid="{00000000-0005-0000-0000-000011130000}"/>
    <cellStyle name="40 % - Akzent2 3 2 3 2 3 2" xfId="5354" xr:uid="{00000000-0005-0000-0000-000012130000}"/>
    <cellStyle name="40 % - Akzent2 3 2 3 2 3 3" xfId="5355" xr:uid="{00000000-0005-0000-0000-000013130000}"/>
    <cellStyle name="40 % - Akzent2 3 2 3 2 4" xfId="5356" xr:uid="{00000000-0005-0000-0000-000014130000}"/>
    <cellStyle name="40 % - Akzent2 3 2 3 2 4 2" xfId="5357" xr:uid="{00000000-0005-0000-0000-000015130000}"/>
    <cellStyle name="40 % - Akzent2 3 2 3 2 4 3" xfId="5358" xr:uid="{00000000-0005-0000-0000-000016130000}"/>
    <cellStyle name="40 % - Akzent2 3 2 3 2 5" xfId="5359" xr:uid="{00000000-0005-0000-0000-000017130000}"/>
    <cellStyle name="40 % - Akzent2 3 2 3 2 5 2" xfId="5360" xr:uid="{00000000-0005-0000-0000-000018130000}"/>
    <cellStyle name="40 % - Akzent2 3 2 3 2 6" xfId="5361" xr:uid="{00000000-0005-0000-0000-000019130000}"/>
    <cellStyle name="40 % - Akzent2 3 2 3 2 7" xfId="5362" xr:uid="{00000000-0005-0000-0000-00001A130000}"/>
    <cellStyle name="40 % - Akzent2 3 2 3 3" xfId="5363" xr:uid="{00000000-0005-0000-0000-00001B130000}"/>
    <cellStyle name="40 % - Akzent2 3 2 3 3 2" xfId="5364" xr:uid="{00000000-0005-0000-0000-00001C130000}"/>
    <cellStyle name="40 % - Akzent2 3 2 3 3 2 2" xfId="5365" xr:uid="{00000000-0005-0000-0000-00001D130000}"/>
    <cellStyle name="40 % - Akzent2 3 2 3 3 2 3" xfId="5366" xr:uid="{00000000-0005-0000-0000-00001E130000}"/>
    <cellStyle name="40 % - Akzent2 3 2 3 3 3" xfId="5367" xr:uid="{00000000-0005-0000-0000-00001F130000}"/>
    <cellStyle name="40 % - Akzent2 3 2 3 3 3 2" xfId="5368" xr:uid="{00000000-0005-0000-0000-000020130000}"/>
    <cellStyle name="40 % - Akzent2 3 2 3 3 3 3" xfId="5369" xr:uid="{00000000-0005-0000-0000-000021130000}"/>
    <cellStyle name="40 % - Akzent2 3 2 3 3 4" xfId="5370" xr:uid="{00000000-0005-0000-0000-000022130000}"/>
    <cellStyle name="40 % - Akzent2 3 2 3 3 4 2" xfId="5371" xr:uid="{00000000-0005-0000-0000-000023130000}"/>
    <cellStyle name="40 % - Akzent2 3 2 3 3 5" xfId="5372" xr:uid="{00000000-0005-0000-0000-000024130000}"/>
    <cellStyle name="40 % - Akzent2 3 2 3 3 6" xfId="5373" xr:uid="{00000000-0005-0000-0000-000025130000}"/>
    <cellStyle name="40 % - Akzent2 3 2 3 4" xfId="5374" xr:uid="{00000000-0005-0000-0000-000026130000}"/>
    <cellStyle name="40 % - Akzent2 3 2 3 4 2" xfId="5375" xr:uid="{00000000-0005-0000-0000-000027130000}"/>
    <cellStyle name="40 % - Akzent2 3 2 3 4 3" xfId="5376" xr:uid="{00000000-0005-0000-0000-000028130000}"/>
    <cellStyle name="40 % - Akzent2 3 2 3 5" xfId="5377" xr:uid="{00000000-0005-0000-0000-000029130000}"/>
    <cellStyle name="40 % - Akzent2 3 2 3 5 2" xfId="5378" xr:uid="{00000000-0005-0000-0000-00002A130000}"/>
    <cellStyle name="40 % - Akzent2 3 2 3 5 3" xfId="5379" xr:uid="{00000000-0005-0000-0000-00002B130000}"/>
    <cellStyle name="40 % - Akzent2 3 2 3 6" xfId="5380" xr:uid="{00000000-0005-0000-0000-00002C130000}"/>
    <cellStyle name="40 % - Akzent2 3 2 3 6 2" xfId="5381" xr:uid="{00000000-0005-0000-0000-00002D130000}"/>
    <cellStyle name="40 % - Akzent2 3 2 3 7" xfId="5382" xr:uid="{00000000-0005-0000-0000-00002E130000}"/>
    <cellStyle name="40 % - Akzent2 3 2 3 8" xfId="5383" xr:uid="{00000000-0005-0000-0000-00002F130000}"/>
    <cellStyle name="40 % - Akzent2 3 2 4" xfId="5384" xr:uid="{00000000-0005-0000-0000-000030130000}"/>
    <cellStyle name="40 % - Akzent2 3 2 4 2" xfId="5385" xr:uid="{00000000-0005-0000-0000-000031130000}"/>
    <cellStyle name="40 % - Akzent2 3 2 4 2 2" xfId="5386" xr:uid="{00000000-0005-0000-0000-000032130000}"/>
    <cellStyle name="40 % - Akzent2 3 2 4 2 2 2" xfId="5387" xr:uid="{00000000-0005-0000-0000-000033130000}"/>
    <cellStyle name="40 % - Akzent2 3 2 4 2 2 2 2" xfId="5388" xr:uid="{00000000-0005-0000-0000-000034130000}"/>
    <cellStyle name="40 % - Akzent2 3 2 4 2 2 2 3" xfId="5389" xr:uid="{00000000-0005-0000-0000-000035130000}"/>
    <cellStyle name="40 % - Akzent2 3 2 4 2 2 3" xfId="5390" xr:uid="{00000000-0005-0000-0000-000036130000}"/>
    <cellStyle name="40 % - Akzent2 3 2 4 2 2 3 2" xfId="5391" xr:uid="{00000000-0005-0000-0000-000037130000}"/>
    <cellStyle name="40 % - Akzent2 3 2 4 2 2 3 3" xfId="5392" xr:uid="{00000000-0005-0000-0000-000038130000}"/>
    <cellStyle name="40 % - Akzent2 3 2 4 2 2 4" xfId="5393" xr:uid="{00000000-0005-0000-0000-000039130000}"/>
    <cellStyle name="40 % - Akzent2 3 2 4 2 2 4 2" xfId="5394" xr:uid="{00000000-0005-0000-0000-00003A130000}"/>
    <cellStyle name="40 % - Akzent2 3 2 4 2 2 5" xfId="5395" xr:uid="{00000000-0005-0000-0000-00003B130000}"/>
    <cellStyle name="40 % - Akzent2 3 2 4 2 2 6" xfId="5396" xr:uid="{00000000-0005-0000-0000-00003C130000}"/>
    <cellStyle name="40 % - Akzent2 3 2 4 2 3" xfId="5397" xr:uid="{00000000-0005-0000-0000-00003D130000}"/>
    <cellStyle name="40 % - Akzent2 3 2 4 2 3 2" xfId="5398" xr:uid="{00000000-0005-0000-0000-00003E130000}"/>
    <cellStyle name="40 % - Akzent2 3 2 4 2 3 3" xfId="5399" xr:uid="{00000000-0005-0000-0000-00003F130000}"/>
    <cellStyle name="40 % - Akzent2 3 2 4 2 4" xfId="5400" xr:uid="{00000000-0005-0000-0000-000040130000}"/>
    <cellStyle name="40 % - Akzent2 3 2 4 2 4 2" xfId="5401" xr:uid="{00000000-0005-0000-0000-000041130000}"/>
    <cellStyle name="40 % - Akzent2 3 2 4 2 4 3" xfId="5402" xr:uid="{00000000-0005-0000-0000-000042130000}"/>
    <cellStyle name="40 % - Akzent2 3 2 4 2 5" xfId="5403" xr:uid="{00000000-0005-0000-0000-000043130000}"/>
    <cellStyle name="40 % - Akzent2 3 2 4 2 5 2" xfId="5404" xr:uid="{00000000-0005-0000-0000-000044130000}"/>
    <cellStyle name="40 % - Akzent2 3 2 4 2 6" xfId="5405" xr:uid="{00000000-0005-0000-0000-000045130000}"/>
    <cellStyle name="40 % - Akzent2 3 2 4 2 7" xfId="5406" xr:uid="{00000000-0005-0000-0000-000046130000}"/>
    <cellStyle name="40 % - Akzent2 3 2 4 3" xfId="5407" xr:uid="{00000000-0005-0000-0000-000047130000}"/>
    <cellStyle name="40 % - Akzent2 3 2 4 3 2" xfId="5408" xr:uid="{00000000-0005-0000-0000-000048130000}"/>
    <cellStyle name="40 % - Akzent2 3 2 4 3 2 2" xfId="5409" xr:uid="{00000000-0005-0000-0000-000049130000}"/>
    <cellStyle name="40 % - Akzent2 3 2 4 3 2 3" xfId="5410" xr:uid="{00000000-0005-0000-0000-00004A130000}"/>
    <cellStyle name="40 % - Akzent2 3 2 4 3 3" xfId="5411" xr:uid="{00000000-0005-0000-0000-00004B130000}"/>
    <cellStyle name="40 % - Akzent2 3 2 4 3 3 2" xfId="5412" xr:uid="{00000000-0005-0000-0000-00004C130000}"/>
    <cellStyle name="40 % - Akzent2 3 2 4 3 3 3" xfId="5413" xr:uid="{00000000-0005-0000-0000-00004D130000}"/>
    <cellStyle name="40 % - Akzent2 3 2 4 3 4" xfId="5414" xr:uid="{00000000-0005-0000-0000-00004E130000}"/>
    <cellStyle name="40 % - Akzent2 3 2 4 3 4 2" xfId="5415" xr:uid="{00000000-0005-0000-0000-00004F130000}"/>
    <cellStyle name="40 % - Akzent2 3 2 4 3 5" xfId="5416" xr:uid="{00000000-0005-0000-0000-000050130000}"/>
    <cellStyle name="40 % - Akzent2 3 2 4 3 6" xfId="5417" xr:uid="{00000000-0005-0000-0000-000051130000}"/>
    <cellStyle name="40 % - Akzent2 3 2 4 4" xfId="5418" xr:uid="{00000000-0005-0000-0000-000052130000}"/>
    <cellStyle name="40 % - Akzent2 3 2 4 4 2" xfId="5419" xr:uid="{00000000-0005-0000-0000-000053130000}"/>
    <cellStyle name="40 % - Akzent2 3 2 4 4 3" xfId="5420" xr:uid="{00000000-0005-0000-0000-000054130000}"/>
    <cellStyle name="40 % - Akzent2 3 2 4 5" xfId="5421" xr:uid="{00000000-0005-0000-0000-000055130000}"/>
    <cellStyle name="40 % - Akzent2 3 2 4 5 2" xfId="5422" xr:uid="{00000000-0005-0000-0000-000056130000}"/>
    <cellStyle name="40 % - Akzent2 3 2 4 5 3" xfId="5423" xr:uid="{00000000-0005-0000-0000-000057130000}"/>
    <cellStyle name="40 % - Akzent2 3 2 4 6" xfId="5424" xr:uid="{00000000-0005-0000-0000-000058130000}"/>
    <cellStyle name="40 % - Akzent2 3 2 4 6 2" xfId="5425" xr:uid="{00000000-0005-0000-0000-000059130000}"/>
    <cellStyle name="40 % - Akzent2 3 2 4 7" xfId="5426" xr:uid="{00000000-0005-0000-0000-00005A130000}"/>
    <cellStyle name="40 % - Akzent2 3 2 4 8" xfId="5427" xr:uid="{00000000-0005-0000-0000-00005B130000}"/>
    <cellStyle name="40 % - Akzent2 3 2 5" xfId="5428" xr:uid="{00000000-0005-0000-0000-00005C130000}"/>
    <cellStyle name="40 % - Akzent2 3 2 5 2" xfId="5429" xr:uid="{00000000-0005-0000-0000-00005D130000}"/>
    <cellStyle name="40 % - Akzent2 3 2 5 2 2" xfId="5430" xr:uid="{00000000-0005-0000-0000-00005E130000}"/>
    <cellStyle name="40 % - Akzent2 3 2 5 2 2 2" xfId="5431" xr:uid="{00000000-0005-0000-0000-00005F130000}"/>
    <cellStyle name="40 % - Akzent2 3 2 5 2 2 3" xfId="5432" xr:uid="{00000000-0005-0000-0000-000060130000}"/>
    <cellStyle name="40 % - Akzent2 3 2 5 2 3" xfId="5433" xr:uid="{00000000-0005-0000-0000-000061130000}"/>
    <cellStyle name="40 % - Akzent2 3 2 5 2 3 2" xfId="5434" xr:uid="{00000000-0005-0000-0000-000062130000}"/>
    <cellStyle name="40 % - Akzent2 3 2 5 2 3 3" xfId="5435" xr:uid="{00000000-0005-0000-0000-000063130000}"/>
    <cellStyle name="40 % - Akzent2 3 2 5 2 4" xfId="5436" xr:uid="{00000000-0005-0000-0000-000064130000}"/>
    <cellStyle name="40 % - Akzent2 3 2 5 2 4 2" xfId="5437" xr:uid="{00000000-0005-0000-0000-000065130000}"/>
    <cellStyle name="40 % - Akzent2 3 2 5 2 5" xfId="5438" xr:uid="{00000000-0005-0000-0000-000066130000}"/>
    <cellStyle name="40 % - Akzent2 3 2 5 2 6" xfId="5439" xr:uid="{00000000-0005-0000-0000-000067130000}"/>
    <cellStyle name="40 % - Akzent2 3 2 5 3" xfId="5440" xr:uid="{00000000-0005-0000-0000-000068130000}"/>
    <cellStyle name="40 % - Akzent2 3 2 5 3 2" xfId="5441" xr:uid="{00000000-0005-0000-0000-000069130000}"/>
    <cellStyle name="40 % - Akzent2 3 2 5 3 3" xfId="5442" xr:uid="{00000000-0005-0000-0000-00006A130000}"/>
    <cellStyle name="40 % - Akzent2 3 2 5 4" xfId="5443" xr:uid="{00000000-0005-0000-0000-00006B130000}"/>
    <cellStyle name="40 % - Akzent2 3 2 5 4 2" xfId="5444" xr:uid="{00000000-0005-0000-0000-00006C130000}"/>
    <cellStyle name="40 % - Akzent2 3 2 5 4 3" xfId="5445" xr:uid="{00000000-0005-0000-0000-00006D130000}"/>
    <cellStyle name="40 % - Akzent2 3 2 5 5" xfId="5446" xr:uid="{00000000-0005-0000-0000-00006E130000}"/>
    <cellStyle name="40 % - Akzent2 3 2 5 5 2" xfId="5447" xr:uid="{00000000-0005-0000-0000-00006F130000}"/>
    <cellStyle name="40 % - Akzent2 3 2 5 6" xfId="5448" xr:uid="{00000000-0005-0000-0000-000070130000}"/>
    <cellStyle name="40 % - Akzent2 3 2 5 7" xfId="5449" xr:uid="{00000000-0005-0000-0000-000071130000}"/>
    <cellStyle name="40 % - Akzent2 3 2 6" xfId="5450" xr:uid="{00000000-0005-0000-0000-000072130000}"/>
    <cellStyle name="40 % - Akzent2 3 2 6 2" xfId="5451" xr:uid="{00000000-0005-0000-0000-000073130000}"/>
    <cellStyle name="40 % - Akzent2 3 2 6 2 2" xfId="5452" xr:uid="{00000000-0005-0000-0000-000074130000}"/>
    <cellStyle name="40 % - Akzent2 3 2 6 2 3" xfId="5453" xr:uid="{00000000-0005-0000-0000-000075130000}"/>
    <cellStyle name="40 % - Akzent2 3 2 6 3" xfId="5454" xr:uid="{00000000-0005-0000-0000-000076130000}"/>
    <cellStyle name="40 % - Akzent2 3 2 6 3 2" xfId="5455" xr:uid="{00000000-0005-0000-0000-000077130000}"/>
    <cellStyle name="40 % - Akzent2 3 2 6 3 3" xfId="5456" xr:uid="{00000000-0005-0000-0000-000078130000}"/>
    <cellStyle name="40 % - Akzent2 3 2 6 4" xfId="5457" xr:uid="{00000000-0005-0000-0000-000079130000}"/>
    <cellStyle name="40 % - Akzent2 3 2 6 4 2" xfId="5458" xr:uid="{00000000-0005-0000-0000-00007A130000}"/>
    <cellStyle name="40 % - Akzent2 3 2 6 5" xfId="5459" xr:uid="{00000000-0005-0000-0000-00007B130000}"/>
    <cellStyle name="40 % - Akzent2 3 2 6 6" xfId="5460" xr:uid="{00000000-0005-0000-0000-00007C130000}"/>
    <cellStyle name="40 % - Akzent2 3 2 7" xfId="5461" xr:uid="{00000000-0005-0000-0000-00007D130000}"/>
    <cellStyle name="40 % - Akzent2 3 2 7 2" xfId="5462" xr:uid="{00000000-0005-0000-0000-00007E130000}"/>
    <cellStyle name="40 % - Akzent2 3 2 7 3" xfId="5463" xr:uid="{00000000-0005-0000-0000-00007F130000}"/>
    <cellStyle name="40 % - Akzent2 3 2 8" xfId="5464" xr:uid="{00000000-0005-0000-0000-000080130000}"/>
    <cellStyle name="40 % - Akzent2 3 2 8 2" xfId="5465" xr:uid="{00000000-0005-0000-0000-000081130000}"/>
    <cellStyle name="40 % - Akzent2 3 2 8 3" xfId="5466" xr:uid="{00000000-0005-0000-0000-000082130000}"/>
    <cellStyle name="40 % - Akzent2 3 2 9" xfId="5467" xr:uid="{00000000-0005-0000-0000-000083130000}"/>
    <cellStyle name="40 % - Akzent2 3 2 9 2" xfId="5468" xr:uid="{00000000-0005-0000-0000-000084130000}"/>
    <cellStyle name="40 % - Akzent2 4" xfId="5469" xr:uid="{00000000-0005-0000-0000-000085130000}"/>
    <cellStyle name="40 % - Akzent2 4 2" xfId="5470" xr:uid="{00000000-0005-0000-0000-000086130000}"/>
    <cellStyle name="40 % - Akzent2 5" xfId="5471" xr:uid="{00000000-0005-0000-0000-000087130000}"/>
    <cellStyle name="40 % - Akzent2 5 2" xfId="5472" xr:uid="{00000000-0005-0000-0000-000088130000}"/>
    <cellStyle name="40 % - Akzent2 5 2 10" xfId="5473" xr:uid="{00000000-0005-0000-0000-000089130000}"/>
    <cellStyle name="40 % - Akzent2 5 2 11" xfId="5474" xr:uid="{00000000-0005-0000-0000-00008A130000}"/>
    <cellStyle name="40 % - Akzent2 5 2 2" xfId="5475" xr:uid="{00000000-0005-0000-0000-00008B130000}"/>
    <cellStyle name="40 % - Akzent2 5 2 2 10" xfId="5476" xr:uid="{00000000-0005-0000-0000-00008C130000}"/>
    <cellStyle name="40 % - Akzent2 5 2 2 2" xfId="5477" xr:uid="{00000000-0005-0000-0000-00008D130000}"/>
    <cellStyle name="40 % - Akzent2 5 2 2 2 2" xfId="5478" xr:uid="{00000000-0005-0000-0000-00008E130000}"/>
    <cellStyle name="40 % - Akzent2 5 2 2 2 2 2" xfId="5479" xr:uid="{00000000-0005-0000-0000-00008F130000}"/>
    <cellStyle name="40 % - Akzent2 5 2 2 2 2 2 2" xfId="5480" xr:uid="{00000000-0005-0000-0000-000090130000}"/>
    <cellStyle name="40 % - Akzent2 5 2 2 2 2 2 2 2" xfId="5481" xr:uid="{00000000-0005-0000-0000-000091130000}"/>
    <cellStyle name="40 % - Akzent2 5 2 2 2 2 2 2 3" xfId="5482" xr:uid="{00000000-0005-0000-0000-000092130000}"/>
    <cellStyle name="40 % - Akzent2 5 2 2 2 2 2 3" xfId="5483" xr:uid="{00000000-0005-0000-0000-000093130000}"/>
    <cellStyle name="40 % - Akzent2 5 2 2 2 2 2 3 2" xfId="5484" xr:uid="{00000000-0005-0000-0000-000094130000}"/>
    <cellStyle name="40 % - Akzent2 5 2 2 2 2 2 3 3" xfId="5485" xr:uid="{00000000-0005-0000-0000-000095130000}"/>
    <cellStyle name="40 % - Akzent2 5 2 2 2 2 2 4" xfId="5486" xr:uid="{00000000-0005-0000-0000-000096130000}"/>
    <cellStyle name="40 % - Akzent2 5 2 2 2 2 2 4 2" xfId="5487" xr:uid="{00000000-0005-0000-0000-000097130000}"/>
    <cellStyle name="40 % - Akzent2 5 2 2 2 2 2 5" xfId="5488" xr:uid="{00000000-0005-0000-0000-000098130000}"/>
    <cellStyle name="40 % - Akzent2 5 2 2 2 2 2 6" xfId="5489" xr:uid="{00000000-0005-0000-0000-000099130000}"/>
    <cellStyle name="40 % - Akzent2 5 2 2 2 2 3" xfId="5490" xr:uid="{00000000-0005-0000-0000-00009A130000}"/>
    <cellStyle name="40 % - Akzent2 5 2 2 2 2 3 2" xfId="5491" xr:uid="{00000000-0005-0000-0000-00009B130000}"/>
    <cellStyle name="40 % - Akzent2 5 2 2 2 2 3 3" xfId="5492" xr:uid="{00000000-0005-0000-0000-00009C130000}"/>
    <cellStyle name="40 % - Akzent2 5 2 2 2 2 4" xfId="5493" xr:uid="{00000000-0005-0000-0000-00009D130000}"/>
    <cellStyle name="40 % - Akzent2 5 2 2 2 2 4 2" xfId="5494" xr:uid="{00000000-0005-0000-0000-00009E130000}"/>
    <cellStyle name="40 % - Akzent2 5 2 2 2 2 4 3" xfId="5495" xr:uid="{00000000-0005-0000-0000-00009F130000}"/>
    <cellStyle name="40 % - Akzent2 5 2 2 2 2 5" xfId="5496" xr:uid="{00000000-0005-0000-0000-0000A0130000}"/>
    <cellStyle name="40 % - Akzent2 5 2 2 2 2 5 2" xfId="5497" xr:uid="{00000000-0005-0000-0000-0000A1130000}"/>
    <cellStyle name="40 % - Akzent2 5 2 2 2 2 6" xfId="5498" xr:uid="{00000000-0005-0000-0000-0000A2130000}"/>
    <cellStyle name="40 % - Akzent2 5 2 2 2 2 7" xfId="5499" xr:uid="{00000000-0005-0000-0000-0000A3130000}"/>
    <cellStyle name="40 % - Akzent2 5 2 2 2 3" xfId="5500" xr:uid="{00000000-0005-0000-0000-0000A4130000}"/>
    <cellStyle name="40 % - Akzent2 5 2 2 2 3 2" xfId="5501" xr:uid="{00000000-0005-0000-0000-0000A5130000}"/>
    <cellStyle name="40 % - Akzent2 5 2 2 2 3 2 2" xfId="5502" xr:uid="{00000000-0005-0000-0000-0000A6130000}"/>
    <cellStyle name="40 % - Akzent2 5 2 2 2 3 2 3" xfId="5503" xr:uid="{00000000-0005-0000-0000-0000A7130000}"/>
    <cellStyle name="40 % - Akzent2 5 2 2 2 3 3" xfId="5504" xr:uid="{00000000-0005-0000-0000-0000A8130000}"/>
    <cellStyle name="40 % - Akzent2 5 2 2 2 3 3 2" xfId="5505" xr:uid="{00000000-0005-0000-0000-0000A9130000}"/>
    <cellStyle name="40 % - Akzent2 5 2 2 2 3 3 3" xfId="5506" xr:uid="{00000000-0005-0000-0000-0000AA130000}"/>
    <cellStyle name="40 % - Akzent2 5 2 2 2 3 4" xfId="5507" xr:uid="{00000000-0005-0000-0000-0000AB130000}"/>
    <cellStyle name="40 % - Akzent2 5 2 2 2 3 4 2" xfId="5508" xr:uid="{00000000-0005-0000-0000-0000AC130000}"/>
    <cellStyle name="40 % - Akzent2 5 2 2 2 3 5" xfId="5509" xr:uid="{00000000-0005-0000-0000-0000AD130000}"/>
    <cellStyle name="40 % - Akzent2 5 2 2 2 3 6" xfId="5510" xr:uid="{00000000-0005-0000-0000-0000AE130000}"/>
    <cellStyle name="40 % - Akzent2 5 2 2 2 4" xfId="5511" xr:uid="{00000000-0005-0000-0000-0000AF130000}"/>
    <cellStyle name="40 % - Akzent2 5 2 2 2 4 2" xfId="5512" xr:uid="{00000000-0005-0000-0000-0000B0130000}"/>
    <cellStyle name="40 % - Akzent2 5 2 2 2 4 3" xfId="5513" xr:uid="{00000000-0005-0000-0000-0000B1130000}"/>
    <cellStyle name="40 % - Akzent2 5 2 2 2 5" xfId="5514" xr:uid="{00000000-0005-0000-0000-0000B2130000}"/>
    <cellStyle name="40 % - Akzent2 5 2 2 2 5 2" xfId="5515" xr:uid="{00000000-0005-0000-0000-0000B3130000}"/>
    <cellStyle name="40 % - Akzent2 5 2 2 2 5 3" xfId="5516" xr:uid="{00000000-0005-0000-0000-0000B4130000}"/>
    <cellStyle name="40 % - Akzent2 5 2 2 2 6" xfId="5517" xr:uid="{00000000-0005-0000-0000-0000B5130000}"/>
    <cellStyle name="40 % - Akzent2 5 2 2 2 6 2" xfId="5518" xr:uid="{00000000-0005-0000-0000-0000B6130000}"/>
    <cellStyle name="40 % - Akzent2 5 2 2 2 7" xfId="5519" xr:uid="{00000000-0005-0000-0000-0000B7130000}"/>
    <cellStyle name="40 % - Akzent2 5 2 2 2 8" xfId="5520" xr:uid="{00000000-0005-0000-0000-0000B8130000}"/>
    <cellStyle name="40 % - Akzent2 5 2 2 3" xfId="5521" xr:uid="{00000000-0005-0000-0000-0000B9130000}"/>
    <cellStyle name="40 % - Akzent2 5 2 2 3 2" xfId="5522" xr:uid="{00000000-0005-0000-0000-0000BA130000}"/>
    <cellStyle name="40 % - Akzent2 5 2 2 3 2 2" xfId="5523" xr:uid="{00000000-0005-0000-0000-0000BB130000}"/>
    <cellStyle name="40 % - Akzent2 5 2 2 3 2 2 2" xfId="5524" xr:uid="{00000000-0005-0000-0000-0000BC130000}"/>
    <cellStyle name="40 % - Akzent2 5 2 2 3 2 2 2 2" xfId="5525" xr:uid="{00000000-0005-0000-0000-0000BD130000}"/>
    <cellStyle name="40 % - Akzent2 5 2 2 3 2 2 2 3" xfId="5526" xr:uid="{00000000-0005-0000-0000-0000BE130000}"/>
    <cellStyle name="40 % - Akzent2 5 2 2 3 2 2 3" xfId="5527" xr:uid="{00000000-0005-0000-0000-0000BF130000}"/>
    <cellStyle name="40 % - Akzent2 5 2 2 3 2 2 3 2" xfId="5528" xr:uid="{00000000-0005-0000-0000-0000C0130000}"/>
    <cellStyle name="40 % - Akzent2 5 2 2 3 2 2 3 3" xfId="5529" xr:uid="{00000000-0005-0000-0000-0000C1130000}"/>
    <cellStyle name="40 % - Akzent2 5 2 2 3 2 2 4" xfId="5530" xr:uid="{00000000-0005-0000-0000-0000C2130000}"/>
    <cellStyle name="40 % - Akzent2 5 2 2 3 2 2 4 2" xfId="5531" xr:uid="{00000000-0005-0000-0000-0000C3130000}"/>
    <cellStyle name="40 % - Akzent2 5 2 2 3 2 2 5" xfId="5532" xr:uid="{00000000-0005-0000-0000-0000C4130000}"/>
    <cellStyle name="40 % - Akzent2 5 2 2 3 2 2 6" xfId="5533" xr:uid="{00000000-0005-0000-0000-0000C5130000}"/>
    <cellStyle name="40 % - Akzent2 5 2 2 3 2 3" xfId="5534" xr:uid="{00000000-0005-0000-0000-0000C6130000}"/>
    <cellStyle name="40 % - Akzent2 5 2 2 3 2 3 2" xfId="5535" xr:uid="{00000000-0005-0000-0000-0000C7130000}"/>
    <cellStyle name="40 % - Akzent2 5 2 2 3 2 3 3" xfId="5536" xr:uid="{00000000-0005-0000-0000-0000C8130000}"/>
    <cellStyle name="40 % - Akzent2 5 2 2 3 2 4" xfId="5537" xr:uid="{00000000-0005-0000-0000-0000C9130000}"/>
    <cellStyle name="40 % - Akzent2 5 2 2 3 2 4 2" xfId="5538" xr:uid="{00000000-0005-0000-0000-0000CA130000}"/>
    <cellStyle name="40 % - Akzent2 5 2 2 3 2 4 3" xfId="5539" xr:uid="{00000000-0005-0000-0000-0000CB130000}"/>
    <cellStyle name="40 % - Akzent2 5 2 2 3 2 5" xfId="5540" xr:uid="{00000000-0005-0000-0000-0000CC130000}"/>
    <cellStyle name="40 % - Akzent2 5 2 2 3 2 5 2" xfId="5541" xr:uid="{00000000-0005-0000-0000-0000CD130000}"/>
    <cellStyle name="40 % - Akzent2 5 2 2 3 2 6" xfId="5542" xr:uid="{00000000-0005-0000-0000-0000CE130000}"/>
    <cellStyle name="40 % - Akzent2 5 2 2 3 2 7" xfId="5543" xr:uid="{00000000-0005-0000-0000-0000CF130000}"/>
    <cellStyle name="40 % - Akzent2 5 2 2 3 3" xfId="5544" xr:uid="{00000000-0005-0000-0000-0000D0130000}"/>
    <cellStyle name="40 % - Akzent2 5 2 2 3 3 2" xfId="5545" xr:uid="{00000000-0005-0000-0000-0000D1130000}"/>
    <cellStyle name="40 % - Akzent2 5 2 2 3 3 2 2" xfId="5546" xr:uid="{00000000-0005-0000-0000-0000D2130000}"/>
    <cellStyle name="40 % - Akzent2 5 2 2 3 3 2 3" xfId="5547" xr:uid="{00000000-0005-0000-0000-0000D3130000}"/>
    <cellStyle name="40 % - Akzent2 5 2 2 3 3 3" xfId="5548" xr:uid="{00000000-0005-0000-0000-0000D4130000}"/>
    <cellStyle name="40 % - Akzent2 5 2 2 3 3 3 2" xfId="5549" xr:uid="{00000000-0005-0000-0000-0000D5130000}"/>
    <cellStyle name="40 % - Akzent2 5 2 2 3 3 3 3" xfId="5550" xr:uid="{00000000-0005-0000-0000-0000D6130000}"/>
    <cellStyle name="40 % - Akzent2 5 2 2 3 3 4" xfId="5551" xr:uid="{00000000-0005-0000-0000-0000D7130000}"/>
    <cellStyle name="40 % - Akzent2 5 2 2 3 3 4 2" xfId="5552" xr:uid="{00000000-0005-0000-0000-0000D8130000}"/>
    <cellStyle name="40 % - Akzent2 5 2 2 3 3 5" xfId="5553" xr:uid="{00000000-0005-0000-0000-0000D9130000}"/>
    <cellStyle name="40 % - Akzent2 5 2 2 3 3 6" xfId="5554" xr:uid="{00000000-0005-0000-0000-0000DA130000}"/>
    <cellStyle name="40 % - Akzent2 5 2 2 3 4" xfId="5555" xr:uid="{00000000-0005-0000-0000-0000DB130000}"/>
    <cellStyle name="40 % - Akzent2 5 2 2 3 4 2" xfId="5556" xr:uid="{00000000-0005-0000-0000-0000DC130000}"/>
    <cellStyle name="40 % - Akzent2 5 2 2 3 4 3" xfId="5557" xr:uid="{00000000-0005-0000-0000-0000DD130000}"/>
    <cellStyle name="40 % - Akzent2 5 2 2 3 5" xfId="5558" xr:uid="{00000000-0005-0000-0000-0000DE130000}"/>
    <cellStyle name="40 % - Akzent2 5 2 2 3 5 2" xfId="5559" xr:uid="{00000000-0005-0000-0000-0000DF130000}"/>
    <cellStyle name="40 % - Akzent2 5 2 2 3 5 3" xfId="5560" xr:uid="{00000000-0005-0000-0000-0000E0130000}"/>
    <cellStyle name="40 % - Akzent2 5 2 2 3 6" xfId="5561" xr:uid="{00000000-0005-0000-0000-0000E1130000}"/>
    <cellStyle name="40 % - Akzent2 5 2 2 3 6 2" xfId="5562" xr:uid="{00000000-0005-0000-0000-0000E2130000}"/>
    <cellStyle name="40 % - Akzent2 5 2 2 3 7" xfId="5563" xr:uid="{00000000-0005-0000-0000-0000E3130000}"/>
    <cellStyle name="40 % - Akzent2 5 2 2 3 8" xfId="5564" xr:uid="{00000000-0005-0000-0000-0000E4130000}"/>
    <cellStyle name="40 % - Akzent2 5 2 2 4" xfId="5565" xr:uid="{00000000-0005-0000-0000-0000E5130000}"/>
    <cellStyle name="40 % - Akzent2 5 2 2 4 2" xfId="5566" xr:uid="{00000000-0005-0000-0000-0000E6130000}"/>
    <cellStyle name="40 % - Akzent2 5 2 2 4 2 2" xfId="5567" xr:uid="{00000000-0005-0000-0000-0000E7130000}"/>
    <cellStyle name="40 % - Akzent2 5 2 2 4 2 2 2" xfId="5568" xr:uid="{00000000-0005-0000-0000-0000E8130000}"/>
    <cellStyle name="40 % - Akzent2 5 2 2 4 2 2 3" xfId="5569" xr:uid="{00000000-0005-0000-0000-0000E9130000}"/>
    <cellStyle name="40 % - Akzent2 5 2 2 4 2 3" xfId="5570" xr:uid="{00000000-0005-0000-0000-0000EA130000}"/>
    <cellStyle name="40 % - Akzent2 5 2 2 4 2 3 2" xfId="5571" xr:uid="{00000000-0005-0000-0000-0000EB130000}"/>
    <cellStyle name="40 % - Akzent2 5 2 2 4 2 3 3" xfId="5572" xr:uid="{00000000-0005-0000-0000-0000EC130000}"/>
    <cellStyle name="40 % - Akzent2 5 2 2 4 2 4" xfId="5573" xr:uid="{00000000-0005-0000-0000-0000ED130000}"/>
    <cellStyle name="40 % - Akzent2 5 2 2 4 2 4 2" xfId="5574" xr:uid="{00000000-0005-0000-0000-0000EE130000}"/>
    <cellStyle name="40 % - Akzent2 5 2 2 4 2 5" xfId="5575" xr:uid="{00000000-0005-0000-0000-0000EF130000}"/>
    <cellStyle name="40 % - Akzent2 5 2 2 4 2 6" xfId="5576" xr:uid="{00000000-0005-0000-0000-0000F0130000}"/>
    <cellStyle name="40 % - Akzent2 5 2 2 4 3" xfId="5577" xr:uid="{00000000-0005-0000-0000-0000F1130000}"/>
    <cellStyle name="40 % - Akzent2 5 2 2 4 3 2" xfId="5578" xr:uid="{00000000-0005-0000-0000-0000F2130000}"/>
    <cellStyle name="40 % - Akzent2 5 2 2 4 3 3" xfId="5579" xr:uid="{00000000-0005-0000-0000-0000F3130000}"/>
    <cellStyle name="40 % - Akzent2 5 2 2 4 4" xfId="5580" xr:uid="{00000000-0005-0000-0000-0000F4130000}"/>
    <cellStyle name="40 % - Akzent2 5 2 2 4 4 2" xfId="5581" xr:uid="{00000000-0005-0000-0000-0000F5130000}"/>
    <cellStyle name="40 % - Akzent2 5 2 2 4 4 3" xfId="5582" xr:uid="{00000000-0005-0000-0000-0000F6130000}"/>
    <cellStyle name="40 % - Akzent2 5 2 2 4 5" xfId="5583" xr:uid="{00000000-0005-0000-0000-0000F7130000}"/>
    <cellStyle name="40 % - Akzent2 5 2 2 4 5 2" xfId="5584" xr:uid="{00000000-0005-0000-0000-0000F8130000}"/>
    <cellStyle name="40 % - Akzent2 5 2 2 4 6" xfId="5585" xr:uid="{00000000-0005-0000-0000-0000F9130000}"/>
    <cellStyle name="40 % - Akzent2 5 2 2 4 7" xfId="5586" xr:uid="{00000000-0005-0000-0000-0000FA130000}"/>
    <cellStyle name="40 % - Akzent2 5 2 2 5" xfId="5587" xr:uid="{00000000-0005-0000-0000-0000FB130000}"/>
    <cellStyle name="40 % - Akzent2 5 2 2 5 2" xfId="5588" xr:uid="{00000000-0005-0000-0000-0000FC130000}"/>
    <cellStyle name="40 % - Akzent2 5 2 2 5 2 2" xfId="5589" xr:uid="{00000000-0005-0000-0000-0000FD130000}"/>
    <cellStyle name="40 % - Akzent2 5 2 2 5 2 3" xfId="5590" xr:uid="{00000000-0005-0000-0000-0000FE130000}"/>
    <cellStyle name="40 % - Akzent2 5 2 2 5 3" xfId="5591" xr:uid="{00000000-0005-0000-0000-0000FF130000}"/>
    <cellStyle name="40 % - Akzent2 5 2 2 5 3 2" xfId="5592" xr:uid="{00000000-0005-0000-0000-000000140000}"/>
    <cellStyle name="40 % - Akzent2 5 2 2 5 3 3" xfId="5593" xr:uid="{00000000-0005-0000-0000-000001140000}"/>
    <cellStyle name="40 % - Akzent2 5 2 2 5 4" xfId="5594" xr:uid="{00000000-0005-0000-0000-000002140000}"/>
    <cellStyle name="40 % - Akzent2 5 2 2 5 4 2" xfId="5595" xr:uid="{00000000-0005-0000-0000-000003140000}"/>
    <cellStyle name="40 % - Akzent2 5 2 2 5 5" xfId="5596" xr:uid="{00000000-0005-0000-0000-000004140000}"/>
    <cellStyle name="40 % - Akzent2 5 2 2 5 6" xfId="5597" xr:uid="{00000000-0005-0000-0000-000005140000}"/>
    <cellStyle name="40 % - Akzent2 5 2 2 6" xfId="5598" xr:uid="{00000000-0005-0000-0000-000006140000}"/>
    <cellStyle name="40 % - Akzent2 5 2 2 6 2" xfId="5599" xr:uid="{00000000-0005-0000-0000-000007140000}"/>
    <cellStyle name="40 % - Akzent2 5 2 2 6 3" xfId="5600" xr:uid="{00000000-0005-0000-0000-000008140000}"/>
    <cellStyle name="40 % - Akzent2 5 2 2 7" xfId="5601" xr:uid="{00000000-0005-0000-0000-000009140000}"/>
    <cellStyle name="40 % - Akzent2 5 2 2 7 2" xfId="5602" xr:uid="{00000000-0005-0000-0000-00000A140000}"/>
    <cellStyle name="40 % - Akzent2 5 2 2 7 3" xfId="5603" xr:uid="{00000000-0005-0000-0000-00000B140000}"/>
    <cellStyle name="40 % - Akzent2 5 2 2 8" xfId="5604" xr:uid="{00000000-0005-0000-0000-00000C140000}"/>
    <cellStyle name="40 % - Akzent2 5 2 2 8 2" xfId="5605" xr:uid="{00000000-0005-0000-0000-00000D140000}"/>
    <cellStyle name="40 % - Akzent2 5 2 2 9" xfId="5606" xr:uid="{00000000-0005-0000-0000-00000E140000}"/>
    <cellStyle name="40 % - Akzent2 5 2 3" xfId="5607" xr:uid="{00000000-0005-0000-0000-00000F140000}"/>
    <cellStyle name="40 % - Akzent2 5 2 3 2" xfId="5608" xr:uid="{00000000-0005-0000-0000-000010140000}"/>
    <cellStyle name="40 % - Akzent2 5 2 3 2 2" xfId="5609" xr:uid="{00000000-0005-0000-0000-000011140000}"/>
    <cellStyle name="40 % - Akzent2 5 2 3 2 2 2" xfId="5610" xr:uid="{00000000-0005-0000-0000-000012140000}"/>
    <cellStyle name="40 % - Akzent2 5 2 3 2 2 2 2" xfId="5611" xr:uid="{00000000-0005-0000-0000-000013140000}"/>
    <cellStyle name="40 % - Akzent2 5 2 3 2 2 2 3" xfId="5612" xr:uid="{00000000-0005-0000-0000-000014140000}"/>
    <cellStyle name="40 % - Akzent2 5 2 3 2 2 3" xfId="5613" xr:uid="{00000000-0005-0000-0000-000015140000}"/>
    <cellStyle name="40 % - Akzent2 5 2 3 2 2 3 2" xfId="5614" xr:uid="{00000000-0005-0000-0000-000016140000}"/>
    <cellStyle name="40 % - Akzent2 5 2 3 2 2 3 3" xfId="5615" xr:uid="{00000000-0005-0000-0000-000017140000}"/>
    <cellStyle name="40 % - Akzent2 5 2 3 2 2 4" xfId="5616" xr:uid="{00000000-0005-0000-0000-000018140000}"/>
    <cellStyle name="40 % - Akzent2 5 2 3 2 2 4 2" xfId="5617" xr:uid="{00000000-0005-0000-0000-000019140000}"/>
    <cellStyle name="40 % - Akzent2 5 2 3 2 2 5" xfId="5618" xr:uid="{00000000-0005-0000-0000-00001A140000}"/>
    <cellStyle name="40 % - Akzent2 5 2 3 2 2 6" xfId="5619" xr:uid="{00000000-0005-0000-0000-00001B140000}"/>
    <cellStyle name="40 % - Akzent2 5 2 3 2 3" xfId="5620" xr:uid="{00000000-0005-0000-0000-00001C140000}"/>
    <cellStyle name="40 % - Akzent2 5 2 3 2 3 2" xfId="5621" xr:uid="{00000000-0005-0000-0000-00001D140000}"/>
    <cellStyle name="40 % - Akzent2 5 2 3 2 3 3" xfId="5622" xr:uid="{00000000-0005-0000-0000-00001E140000}"/>
    <cellStyle name="40 % - Akzent2 5 2 3 2 4" xfId="5623" xr:uid="{00000000-0005-0000-0000-00001F140000}"/>
    <cellStyle name="40 % - Akzent2 5 2 3 2 4 2" xfId="5624" xr:uid="{00000000-0005-0000-0000-000020140000}"/>
    <cellStyle name="40 % - Akzent2 5 2 3 2 4 3" xfId="5625" xr:uid="{00000000-0005-0000-0000-000021140000}"/>
    <cellStyle name="40 % - Akzent2 5 2 3 2 5" xfId="5626" xr:uid="{00000000-0005-0000-0000-000022140000}"/>
    <cellStyle name="40 % - Akzent2 5 2 3 2 5 2" xfId="5627" xr:uid="{00000000-0005-0000-0000-000023140000}"/>
    <cellStyle name="40 % - Akzent2 5 2 3 2 6" xfId="5628" xr:uid="{00000000-0005-0000-0000-000024140000}"/>
    <cellStyle name="40 % - Akzent2 5 2 3 2 7" xfId="5629" xr:uid="{00000000-0005-0000-0000-000025140000}"/>
    <cellStyle name="40 % - Akzent2 5 2 3 3" xfId="5630" xr:uid="{00000000-0005-0000-0000-000026140000}"/>
    <cellStyle name="40 % - Akzent2 5 2 3 3 2" xfId="5631" xr:uid="{00000000-0005-0000-0000-000027140000}"/>
    <cellStyle name="40 % - Akzent2 5 2 3 3 2 2" xfId="5632" xr:uid="{00000000-0005-0000-0000-000028140000}"/>
    <cellStyle name="40 % - Akzent2 5 2 3 3 2 3" xfId="5633" xr:uid="{00000000-0005-0000-0000-000029140000}"/>
    <cellStyle name="40 % - Akzent2 5 2 3 3 3" xfId="5634" xr:uid="{00000000-0005-0000-0000-00002A140000}"/>
    <cellStyle name="40 % - Akzent2 5 2 3 3 3 2" xfId="5635" xr:uid="{00000000-0005-0000-0000-00002B140000}"/>
    <cellStyle name="40 % - Akzent2 5 2 3 3 3 3" xfId="5636" xr:uid="{00000000-0005-0000-0000-00002C140000}"/>
    <cellStyle name="40 % - Akzent2 5 2 3 3 4" xfId="5637" xr:uid="{00000000-0005-0000-0000-00002D140000}"/>
    <cellStyle name="40 % - Akzent2 5 2 3 3 4 2" xfId="5638" xr:uid="{00000000-0005-0000-0000-00002E140000}"/>
    <cellStyle name="40 % - Akzent2 5 2 3 3 5" xfId="5639" xr:uid="{00000000-0005-0000-0000-00002F140000}"/>
    <cellStyle name="40 % - Akzent2 5 2 3 3 6" xfId="5640" xr:uid="{00000000-0005-0000-0000-000030140000}"/>
    <cellStyle name="40 % - Akzent2 5 2 3 4" xfId="5641" xr:uid="{00000000-0005-0000-0000-000031140000}"/>
    <cellStyle name="40 % - Akzent2 5 2 3 4 2" xfId="5642" xr:uid="{00000000-0005-0000-0000-000032140000}"/>
    <cellStyle name="40 % - Akzent2 5 2 3 4 3" xfId="5643" xr:uid="{00000000-0005-0000-0000-000033140000}"/>
    <cellStyle name="40 % - Akzent2 5 2 3 5" xfId="5644" xr:uid="{00000000-0005-0000-0000-000034140000}"/>
    <cellStyle name="40 % - Akzent2 5 2 3 5 2" xfId="5645" xr:uid="{00000000-0005-0000-0000-000035140000}"/>
    <cellStyle name="40 % - Akzent2 5 2 3 5 3" xfId="5646" xr:uid="{00000000-0005-0000-0000-000036140000}"/>
    <cellStyle name="40 % - Akzent2 5 2 3 6" xfId="5647" xr:uid="{00000000-0005-0000-0000-000037140000}"/>
    <cellStyle name="40 % - Akzent2 5 2 3 6 2" xfId="5648" xr:uid="{00000000-0005-0000-0000-000038140000}"/>
    <cellStyle name="40 % - Akzent2 5 2 3 7" xfId="5649" xr:uid="{00000000-0005-0000-0000-000039140000}"/>
    <cellStyle name="40 % - Akzent2 5 2 3 8" xfId="5650" xr:uid="{00000000-0005-0000-0000-00003A140000}"/>
    <cellStyle name="40 % - Akzent2 5 2 4" xfId="5651" xr:uid="{00000000-0005-0000-0000-00003B140000}"/>
    <cellStyle name="40 % - Akzent2 5 2 4 2" xfId="5652" xr:uid="{00000000-0005-0000-0000-00003C140000}"/>
    <cellStyle name="40 % - Akzent2 5 2 4 2 2" xfId="5653" xr:uid="{00000000-0005-0000-0000-00003D140000}"/>
    <cellStyle name="40 % - Akzent2 5 2 4 2 2 2" xfId="5654" xr:uid="{00000000-0005-0000-0000-00003E140000}"/>
    <cellStyle name="40 % - Akzent2 5 2 4 2 2 2 2" xfId="5655" xr:uid="{00000000-0005-0000-0000-00003F140000}"/>
    <cellStyle name="40 % - Akzent2 5 2 4 2 2 2 3" xfId="5656" xr:uid="{00000000-0005-0000-0000-000040140000}"/>
    <cellStyle name="40 % - Akzent2 5 2 4 2 2 3" xfId="5657" xr:uid="{00000000-0005-0000-0000-000041140000}"/>
    <cellStyle name="40 % - Akzent2 5 2 4 2 2 3 2" xfId="5658" xr:uid="{00000000-0005-0000-0000-000042140000}"/>
    <cellStyle name="40 % - Akzent2 5 2 4 2 2 3 3" xfId="5659" xr:uid="{00000000-0005-0000-0000-000043140000}"/>
    <cellStyle name="40 % - Akzent2 5 2 4 2 2 4" xfId="5660" xr:uid="{00000000-0005-0000-0000-000044140000}"/>
    <cellStyle name="40 % - Akzent2 5 2 4 2 2 4 2" xfId="5661" xr:uid="{00000000-0005-0000-0000-000045140000}"/>
    <cellStyle name="40 % - Akzent2 5 2 4 2 2 5" xfId="5662" xr:uid="{00000000-0005-0000-0000-000046140000}"/>
    <cellStyle name="40 % - Akzent2 5 2 4 2 2 6" xfId="5663" xr:uid="{00000000-0005-0000-0000-000047140000}"/>
    <cellStyle name="40 % - Akzent2 5 2 4 2 3" xfId="5664" xr:uid="{00000000-0005-0000-0000-000048140000}"/>
    <cellStyle name="40 % - Akzent2 5 2 4 2 3 2" xfId="5665" xr:uid="{00000000-0005-0000-0000-000049140000}"/>
    <cellStyle name="40 % - Akzent2 5 2 4 2 3 3" xfId="5666" xr:uid="{00000000-0005-0000-0000-00004A140000}"/>
    <cellStyle name="40 % - Akzent2 5 2 4 2 4" xfId="5667" xr:uid="{00000000-0005-0000-0000-00004B140000}"/>
    <cellStyle name="40 % - Akzent2 5 2 4 2 4 2" xfId="5668" xr:uid="{00000000-0005-0000-0000-00004C140000}"/>
    <cellStyle name="40 % - Akzent2 5 2 4 2 4 3" xfId="5669" xr:uid="{00000000-0005-0000-0000-00004D140000}"/>
    <cellStyle name="40 % - Akzent2 5 2 4 2 5" xfId="5670" xr:uid="{00000000-0005-0000-0000-00004E140000}"/>
    <cellStyle name="40 % - Akzent2 5 2 4 2 5 2" xfId="5671" xr:uid="{00000000-0005-0000-0000-00004F140000}"/>
    <cellStyle name="40 % - Akzent2 5 2 4 2 6" xfId="5672" xr:uid="{00000000-0005-0000-0000-000050140000}"/>
    <cellStyle name="40 % - Akzent2 5 2 4 2 7" xfId="5673" xr:uid="{00000000-0005-0000-0000-000051140000}"/>
    <cellStyle name="40 % - Akzent2 5 2 4 3" xfId="5674" xr:uid="{00000000-0005-0000-0000-000052140000}"/>
    <cellStyle name="40 % - Akzent2 5 2 4 3 2" xfId="5675" xr:uid="{00000000-0005-0000-0000-000053140000}"/>
    <cellStyle name="40 % - Akzent2 5 2 4 3 2 2" xfId="5676" xr:uid="{00000000-0005-0000-0000-000054140000}"/>
    <cellStyle name="40 % - Akzent2 5 2 4 3 2 3" xfId="5677" xr:uid="{00000000-0005-0000-0000-000055140000}"/>
    <cellStyle name="40 % - Akzent2 5 2 4 3 3" xfId="5678" xr:uid="{00000000-0005-0000-0000-000056140000}"/>
    <cellStyle name="40 % - Akzent2 5 2 4 3 3 2" xfId="5679" xr:uid="{00000000-0005-0000-0000-000057140000}"/>
    <cellStyle name="40 % - Akzent2 5 2 4 3 3 3" xfId="5680" xr:uid="{00000000-0005-0000-0000-000058140000}"/>
    <cellStyle name="40 % - Akzent2 5 2 4 3 4" xfId="5681" xr:uid="{00000000-0005-0000-0000-000059140000}"/>
    <cellStyle name="40 % - Akzent2 5 2 4 3 4 2" xfId="5682" xr:uid="{00000000-0005-0000-0000-00005A140000}"/>
    <cellStyle name="40 % - Akzent2 5 2 4 3 5" xfId="5683" xr:uid="{00000000-0005-0000-0000-00005B140000}"/>
    <cellStyle name="40 % - Akzent2 5 2 4 3 6" xfId="5684" xr:uid="{00000000-0005-0000-0000-00005C140000}"/>
    <cellStyle name="40 % - Akzent2 5 2 4 4" xfId="5685" xr:uid="{00000000-0005-0000-0000-00005D140000}"/>
    <cellStyle name="40 % - Akzent2 5 2 4 4 2" xfId="5686" xr:uid="{00000000-0005-0000-0000-00005E140000}"/>
    <cellStyle name="40 % - Akzent2 5 2 4 4 3" xfId="5687" xr:uid="{00000000-0005-0000-0000-00005F140000}"/>
    <cellStyle name="40 % - Akzent2 5 2 4 5" xfId="5688" xr:uid="{00000000-0005-0000-0000-000060140000}"/>
    <cellStyle name="40 % - Akzent2 5 2 4 5 2" xfId="5689" xr:uid="{00000000-0005-0000-0000-000061140000}"/>
    <cellStyle name="40 % - Akzent2 5 2 4 5 3" xfId="5690" xr:uid="{00000000-0005-0000-0000-000062140000}"/>
    <cellStyle name="40 % - Akzent2 5 2 4 6" xfId="5691" xr:uid="{00000000-0005-0000-0000-000063140000}"/>
    <cellStyle name="40 % - Akzent2 5 2 4 6 2" xfId="5692" xr:uid="{00000000-0005-0000-0000-000064140000}"/>
    <cellStyle name="40 % - Akzent2 5 2 4 7" xfId="5693" xr:uid="{00000000-0005-0000-0000-000065140000}"/>
    <cellStyle name="40 % - Akzent2 5 2 4 8" xfId="5694" xr:uid="{00000000-0005-0000-0000-000066140000}"/>
    <cellStyle name="40 % - Akzent2 5 2 5" xfId="5695" xr:uid="{00000000-0005-0000-0000-000067140000}"/>
    <cellStyle name="40 % - Akzent2 5 2 5 2" xfId="5696" xr:uid="{00000000-0005-0000-0000-000068140000}"/>
    <cellStyle name="40 % - Akzent2 5 2 5 2 2" xfId="5697" xr:uid="{00000000-0005-0000-0000-000069140000}"/>
    <cellStyle name="40 % - Akzent2 5 2 5 2 2 2" xfId="5698" xr:uid="{00000000-0005-0000-0000-00006A140000}"/>
    <cellStyle name="40 % - Akzent2 5 2 5 2 2 3" xfId="5699" xr:uid="{00000000-0005-0000-0000-00006B140000}"/>
    <cellStyle name="40 % - Akzent2 5 2 5 2 3" xfId="5700" xr:uid="{00000000-0005-0000-0000-00006C140000}"/>
    <cellStyle name="40 % - Akzent2 5 2 5 2 3 2" xfId="5701" xr:uid="{00000000-0005-0000-0000-00006D140000}"/>
    <cellStyle name="40 % - Akzent2 5 2 5 2 3 3" xfId="5702" xr:uid="{00000000-0005-0000-0000-00006E140000}"/>
    <cellStyle name="40 % - Akzent2 5 2 5 2 4" xfId="5703" xr:uid="{00000000-0005-0000-0000-00006F140000}"/>
    <cellStyle name="40 % - Akzent2 5 2 5 2 4 2" xfId="5704" xr:uid="{00000000-0005-0000-0000-000070140000}"/>
    <cellStyle name="40 % - Akzent2 5 2 5 2 5" xfId="5705" xr:uid="{00000000-0005-0000-0000-000071140000}"/>
    <cellStyle name="40 % - Akzent2 5 2 5 2 6" xfId="5706" xr:uid="{00000000-0005-0000-0000-000072140000}"/>
    <cellStyle name="40 % - Akzent2 5 2 5 3" xfId="5707" xr:uid="{00000000-0005-0000-0000-000073140000}"/>
    <cellStyle name="40 % - Akzent2 5 2 5 3 2" xfId="5708" xr:uid="{00000000-0005-0000-0000-000074140000}"/>
    <cellStyle name="40 % - Akzent2 5 2 5 3 3" xfId="5709" xr:uid="{00000000-0005-0000-0000-000075140000}"/>
    <cellStyle name="40 % - Akzent2 5 2 5 4" xfId="5710" xr:uid="{00000000-0005-0000-0000-000076140000}"/>
    <cellStyle name="40 % - Akzent2 5 2 5 4 2" xfId="5711" xr:uid="{00000000-0005-0000-0000-000077140000}"/>
    <cellStyle name="40 % - Akzent2 5 2 5 4 3" xfId="5712" xr:uid="{00000000-0005-0000-0000-000078140000}"/>
    <cellStyle name="40 % - Akzent2 5 2 5 5" xfId="5713" xr:uid="{00000000-0005-0000-0000-000079140000}"/>
    <cellStyle name="40 % - Akzent2 5 2 5 5 2" xfId="5714" xr:uid="{00000000-0005-0000-0000-00007A140000}"/>
    <cellStyle name="40 % - Akzent2 5 2 5 6" xfId="5715" xr:uid="{00000000-0005-0000-0000-00007B140000}"/>
    <cellStyle name="40 % - Akzent2 5 2 5 7" xfId="5716" xr:uid="{00000000-0005-0000-0000-00007C140000}"/>
    <cellStyle name="40 % - Akzent2 5 2 6" xfId="5717" xr:uid="{00000000-0005-0000-0000-00007D140000}"/>
    <cellStyle name="40 % - Akzent2 5 2 6 2" xfId="5718" xr:uid="{00000000-0005-0000-0000-00007E140000}"/>
    <cellStyle name="40 % - Akzent2 5 2 6 2 2" xfId="5719" xr:uid="{00000000-0005-0000-0000-00007F140000}"/>
    <cellStyle name="40 % - Akzent2 5 2 6 2 3" xfId="5720" xr:uid="{00000000-0005-0000-0000-000080140000}"/>
    <cellStyle name="40 % - Akzent2 5 2 6 3" xfId="5721" xr:uid="{00000000-0005-0000-0000-000081140000}"/>
    <cellStyle name="40 % - Akzent2 5 2 6 3 2" xfId="5722" xr:uid="{00000000-0005-0000-0000-000082140000}"/>
    <cellStyle name="40 % - Akzent2 5 2 6 3 3" xfId="5723" xr:uid="{00000000-0005-0000-0000-000083140000}"/>
    <cellStyle name="40 % - Akzent2 5 2 6 4" xfId="5724" xr:uid="{00000000-0005-0000-0000-000084140000}"/>
    <cellStyle name="40 % - Akzent2 5 2 6 4 2" xfId="5725" xr:uid="{00000000-0005-0000-0000-000085140000}"/>
    <cellStyle name="40 % - Akzent2 5 2 6 5" xfId="5726" xr:uid="{00000000-0005-0000-0000-000086140000}"/>
    <cellStyle name="40 % - Akzent2 5 2 6 6" xfId="5727" xr:uid="{00000000-0005-0000-0000-000087140000}"/>
    <cellStyle name="40 % - Akzent2 5 2 7" xfId="5728" xr:uid="{00000000-0005-0000-0000-000088140000}"/>
    <cellStyle name="40 % - Akzent2 5 2 7 2" xfId="5729" xr:uid="{00000000-0005-0000-0000-000089140000}"/>
    <cellStyle name="40 % - Akzent2 5 2 7 3" xfId="5730" xr:uid="{00000000-0005-0000-0000-00008A140000}"/>
    <cellStyle name="40 % - Akzent2 5 2 8" xfId="5731" xr:uid="{00000000-0005-0000-0000-00008B140000}"/>
    <cellStyle name="40 % - Akzent2 5 2 8 2" xfId="5732" xr:uid="{00000000-0005-0000-0000-00008C140000}"/>
    <cellStyle name="40 % - Akzent2 5 2 8 3" xfId="5733" xr:uid="{00000000-0005-0000-0000-00008D140000}"/>
    <cellStyle name="40 % - Akzent2 5 2 9" xfId="5734" xr:uid="{00000000-0005-0000-0000-00008E140000}"/>
    <cellStyle name="40 % - Akzent2 5 2 9 2" xfId="5735" xr:uid="{00000000-0005-0000-0000-00008F140000}"/>
    <cellStyle name="40 % - Akzent2 6" xfId="5736" xr:uid="{00000000-0005-0000-0000-000090140000}"/>
    <cellStyle name="40 % - Akzent2 6 10" xfId="5737" xr:uid="{00000000-0005-0000-0000-000091140000}"/>
    <cellStyle name="40 % - Akzent2 6 2" xfId="5738" xr:uid="{00000000-0005-0000-0000-000092140000}"/>
    <cellStyle name="40 % - Akzent2 6 2 2" xfId="5739" xr:uid="{00000000-0005-0000-0000-000093140000}"/>
    <cellStyle name="40 % - Akzent2 6 2 2 2" xfId="5740" xr:uid="{00000000-0005-0000-0000-000094140000}"/>
    <cellStyle name="40 % - Akzent2 6 2 2 2 2" xfId="5741" xr:uid="{00000000-0005-0000-0000-000095140000}"/>
    <cellStyle name="40 % - Akzent2 6 2 2 2 2 2" xfId="5742" xr:uid="{00000000-0005-0000-0000-000096140000}"/>
    <cellStyle name="40 % - Akzent2 6 2 2 2 2 3" xfId="5743" xr:uid="{00000000-0005-0000-0000-000097140000}"/>
    <cellStyle name="40 % - Akzent2 6 2 2 2 3" xfId="5744" xr:uid="{00000000-0005-0000-0000-000098140000}"/>
    <cellStyle name="40 % - Akzent2 6 2 2 2 3 2" xfId="5745" xr:uid="{00000000-0005-0000-0000-000099140000}"/>
    <cellStyle name="40 % - Akzent2 6 2 2 2 3 3" xfId="5746" xr:uid="{00000000-0005-0000-0000-00009A140000}"/>
    <cellStyle name="40 % - Akzent2 6 2 2 2 4" xfId="5747" xr:uid="{00000000-0005-0000-0000-00009B140000}"/>
    <cellStyle name="40 % - Akzent2 6 2 2 2 4 2" xfId="5748" xr:uid="{00000000-0005-0000-0000-00009C140000}"/>
    <cellStyle name="40 % - Akzent2 6 2 2 2 5" xfId="5749" xr:uid="{00000000-0005-0000-0000-00009D140000}"/>
    <cellStyle name="40 % - Akzent2 6 2 2 2 6" xfId="5750" xr:uid="{00000000-0005-0000-0000-00009E140000}"/>
    <cellStyle name="40 % - Akzent2 6 2 2 3" xfId="5751" xr:uid="{00000000-0005-0000-0000-00009F140000}"/>
    <cellStyle name="40 % - Akzent2 6 2 2 3 2" xfId="5752" xr:uid="{00000000-0005-0000-0000-0000A0140000}"/>
    <cellStyle name="40 % - Akzent2 6 2 2 3 3" xfId="5753" xr:uid="{00000000-0005-0000-0000-0000A1140000}"/>
    <cellStyle name="40 % - Akzent2 6 2 2 4" xfId="5754" xr:uid="{00000000-0005-0000-0000-0000A2140000}"/>
    <cellStyle name="40 % - Akzent2 6 2 2 4 2" xfId="5755" xr:uid="{00000000-0005-0000-0000-0000A3140000}"/>
    <cellStyle name="40 % - Akzent2 6 2 2 4 3" xfId="5756" xr:uid="{00000000-0005-0000-0000-0000A4140000}"/>
    <cellStyle name="40 % - Akzent2 6 2 2 5" xfId="5757" xr:uid="{00000000-0005-0000-0000-0000A5140000}"/>
    <cellStyle name="40 % - Akzent2 6 2 2 5 2" xfId="5758" xr:uid="{00000000-0005-0000-0000-0000A6140000}"/>
    <cellStyle name="40 % - Akzent2 6 2 2 6" xfId="5759" xr:uid="{00000000-0005-0000-0000-0000A7140000}"/>
    <cellStyle name="40 % - Akzent2 6 2 2 7" xfId="5760" xr:uid="{00000000-0005-0000-0000-0000A8140000}"/>
    <cellStyle name="40 % - Akzent2 6 2 3" xfId="5761" xr:uid="{00000000-0005-0000-0000-0000A9140000}"/>
    <cellStyle name="40 % - Akzent2 6 2 3 2" xfId="5762" xr:uid="{00000000-0005-0000-0000-0000AA140000}"/>
    <cellStyle name="40 % - Akzent2 6 2 3 2 2" xfId="5763" xr:uid="{00000000-0005-0000-0000-0000AB140000}"/>
    <cellStyle name="40 % - Akzent2 6 2 3 2 3" xfId="5764" xr:uid="{00000000-0005-0000-0000-0000AC140000}"/>
    <cellStyle name="40 % - Akzent2 6 2 3 3" xfId="5765" xr:uid="{00000000-0005-0000-0000-0000AD140000}"/>
    <cellStyle name="40 % - Akzent2 6 2 3 3 2" xfId="5766" xr:uid="{00000000-0005-0000-0000-0000AE140000}"/>
    <cellStyle name="40 % - Akzent2 6 2 3 3 3" xfId="5767" xr:uid="{00000000-0005-0000-0000-0000AF140000}"/>
    <cellStyle name="40 % - Akzent2 6 2 3 4" xfId="5768" xr:uid="{00000000-0005-0000-0000-0000B0140000}"/>
    <cellStyle name="40 % - Akzent2 6 2 3 4 2" xfId="5769" xr:uid="{00000000-0005-0000-0000-0000B1140000}"/>
    <cellStyle name="40 % - Akzent2 6 2 3 5" xfId="5770" xr:uid="{00000000-0005-0000-0000-0000B2140000}"/>
    <cellStyle name="40 % - Akzent2 6 2 3 6" xfId="5771" xr:uid="{00000000-0005-0000-0000-0000B3140000}"/>
    <cellStyle name="40 % - Akzent2 6 2 4" xfId="5772" xr:uid="{00000000-0005-0000-0000-0000B4140000}"/>
    <cellStyle name="40 % - Akzent2 6 2 4 2" xfId="5773" xr:uid="{00000000-0005-0000-0000-0000B5140000}"/>
    <cellStyle name="40 % - Akzent2 6 2 4 3" xfId="5774" xr:uid="{00000000-0005-0000-0000-0000B6140000}"/>
    <cellStyle name="40 % - Akzent2 6 2 5" xfId="5775" xr:uid="{00000000-0005-0000-0000-0000B7140000}"/>
    <cellStyle name="40 % - Akzent2 6 2 5 2" xfId="5776" xr:uid="{00000000-0005-0000-0000-0000B8140000}"/>
    <cellStyle name="40 % - Akzent2 6 2 5 3" xfId="5777" xr:uid="{00000000-0005-0000-0000-0000B9140000}"/>
    <cellStyle name="40 % - Akzent2 6 2 6" xfId="5778" xr:uid="{00000000-0005-0000-0000-0000BA140000}"/>
    <cellStyle name="40 % - Akzent2 6 2 6 2" xfId="5779" xr:uid="{00000000-0005-0000-0000-0000BB140000}"/>
    <cellStyle name="40 % - Akzent2 6 2 7" xfId="5780" xr:uid="{00000000-0005-0000-0000-0000BC140000}"/>
    <cellStyle name="40 % - Akzent2 6 2 8" xfId="5781" xr:uid="{00000000-0005-0000-0000-0000BD140000}"/>
    <cellStyle name="40 % - Akzent2 6 3" xfId="5782" xr:uid="{00000000-0005-0000-0000-0000BE140000}"/>
    <cellStyle name="40 % - Akzent2 6 3 2" xfId="5783" xr:uid="{00000000-0005-0000-0000-0000BF140000}"/>
    <cellStyle name="40 % - Akzent2 6 3 2 2" xfId="5784" xr:uid="{00000000-0005-0000-0000-0000C0140000}"/>
    <cellStyle name="40 % - Akzent2 6 3 2 2 2" xfId="5785" xr:uid="{00000000-0005-0000-0000-0000C1140000}"/>
    <cellStyle name="40 % - Akzent2 6 3 2 2 2 2" xfId="5786" xr:uid="{00000000-0005-0000-0000-0000C2140000}"/>
    <cellStyle name="40 % - Akzent2 6 3 2 2 2 3" xfId="5787" xr:uid="{00000000-0005-0000-0000-0000C3140000}"/>
    <cellStyle name="40 % - Akzent2 6 3 2 2 3" xfId="5788" xr:uid="{00000000-0005-0000-0000-0000C4140000}"/>
    <cellStyle name="40 % - Akzent2 6 3 2 2 3 2" xfId="5789" xr:uid="{00000000-0005-0000-0000-0000C5140000}"/>
    <cellStyle name="40 % - Akzent2 6 3 2 2 3 3" xfId="5790" xr:uid="{00000000-0005-0000-0000-0000C6140000}"/>
    <cellStyle name="40 % - Akzent2 6 3 2 2 4" xfId="5791" xr:uid="{00000000-0005-0000-0000-0000C7140000}"/>
    <cellStyle name="40 % - Akzent2 6 3 2 2 4 2" xfId="5792" xr:uid="{00000000-0005-0000-0000-0000C8140000}"/>
    <cellStyle name="40 % - Akzent2 6 3 2 2 5" xfId="5793" xr:uid="{00000000-0005-0000-0000-0000C9140000}"/>
    <cellStyle name="40 % - Akzent2 6 3 2 2 6" xfId="5794" xr:uid="{00000000-0005-0000-0000-0000CA140000}"/>
    <cellStyle name="40 % - Akzent2 6 3 2 3" xfId="5795" xr:uid="{00000000-0005-0000-0000-0000CB140000}"/>
    <cellStyle name="40 % - Akzent2 6 3 2 3 2" xfId="5796" xr:uid="{00000000-0005-0000-0000-0000CC140000}"/>
    <cellStyle name="40 % - Akzent2 6 3 2 3 3" xfId="5797" xr:uid="{00000000-0005-0000-0000-0000CD140000}"/>
    <cellStyle name="40 % - Akzent2 6 3 2 4" xfId="5798" xr:uid="{00000000-0005-0000-0000-0000CE140000}"/>
    <cellStyle name="40 % - Akzent2 6 3 2 4 2" xfId="5799" xr:uid="{00000000-0005-0000-0000-0000CF140000}"/>
    <cellStyle name="40 % - Akzent2 6 3 2 4 3" xfId="5800" xr:uid="{00000000-0005-0000-0000-0000D0140000}"/>
    <cellStyle name="40 % - Akzent2 6 3 2 5" xfId="5801" xr:uid="{00000000-0005-0000-0000-0000D1140000}"/>
    <cellStyle name="40 % - Akzent2 6 3 2 5 2" xfId="5802" xr:uid="{00000000-0005-0000-0000-0000D2140000}"/>
    <cellStyle name="40 % - Akzent2 6 3 2 6" xfId="5803" xr:uid="{00000000-0005-0000-0000-0000D3140000}"/>
    <cellStyle name="40 % - Akzent2 6 3 2 7" xfId="5804" xr:uid="{00000000-0005-0000-0000-0000D4140000}"/>
    <cellStyle name="40 % - Akzent2 6 3 3" xfId="5805" xr:uid="{00000000-0005-0000-0000-0000D5140000}"/>
    <cellStyle name="40 % - Akzent2 6 3 3 2" xfId="5806" xr:uid="{00000000-0005-0000-0000-0000D6140000}"/>
    <cellStyle name="40 % - Akzent2 6 3 3 2 2" xfId="5807" xr:uid="{00000000-0005-0000-0000-0000D7140000}"/>
    <cellStyle name="40 % - Akzent2 6 3 3 2 3" xfId="5808" xr:uid="{00000000-0005-0000-0000-0000D8140000}"/>
    <cellStyle name="40 % - Akzent2 6 3 3 3" xfId="5809" xr:uid="{00000000-0005-0000-0000-0000D9140000}"/>
    <cellStyle name="40 % - Akzent2 6 3 3 3 2" xfId="5810" xr:uid="{00000000-0005-0000-0000-0000DA140000}"/>
    <cellStyle name="40 % - Akzent2 6 3 3 3 3" xfId="5811" xr:uid="{00000000-0005-0000-0000-0000DB140000}"/>
    <cellStyle name="40 % - Akzent2 6 3 3 4" xfId="5812" xr:uid="{00000000-0005-0000-0000-0000DC140000}"/>
    <cellStyle name="40 % - Akzent2 6 3 3 4 2" xfId="5813" xr:uid="{00000000-0005-0000-0000-0000DD140000}"/>
    <cellStyle name="40 % - Akzent2 6 3 3 5" xfId="5814" xr:uid="{00000000-0005-0000-0000-0000DE140000}"/>
    <cellStyle name="40 % - Akzent2 6 3 3 6" xfId="5815" xr:uid="{00000000-0005-0000-0000-0000DF140000}"/>
    <cellStyle name="40 % - Akzent2 6 3 4" xfId="5816" xr:uid="{00000000-0005-0000-0000-0000E0140000}"/>
    <cellStyle name="40 % - Akzent2 6 3 4 2" xfId="5817" xr:uid="{00000000-0005-0000-0000-0000E1140000}"/>
    <cellStyle name="40 % - Akzent2 6 3 4 3" xfId="5818" xr:uid="{00000000-0005-0000-0000-0000E2140000}"/>
    <cellStyle name="40 % - Akzent2 6 3 5" xfId="5819" xr:uid="{00000000-0005-0000-0000-0000E3140000}"/>
    <cellStyle name="40 % - Akzent2 6 3 5 2" xfId="5820" xr:uid="{00000000-0005-0000-0000-0000E4140000}"/>
    <cellStyle name="40 % - Akzent2 6 3 5 3" xfId="5821" xr:uid="{00000000-0005-0000-0000-0000E5140000}"/>
    <cellStyle name="40 % - Akzent2 6 3 6" xfId="5822" xr:uid="{00000000-0005-0000-0000-0000E6140000}"/>
    <cellStyle name="40 % - Akzent2 6 3 6 2" xfId="5823" xr:uid="{00000000-0005-0000-0000-0000E7140000}"/>
    <cellStyle name="40 % - Akzent2 6 3 7" xfId="5824" xr:uid="{00000000-0005-0000-0000-0000E8140000}"/>
    <cellStyle name="40 % - Akzent2 6 3 8" xfId="5825" xr:uid="{00000000-0005-0000-0000-0000E9140000}"/>
    <cellStyle name="40 % - Akzent2 6 4" xfId="5826" xr:uid="{00000000-0005-0000-0000-0000EA140000}"/>
    <cellStyle name="40 % - Akzent2 6 4 2" xfId="5827" xr:uid="{00000000-0005-0000-0000-0000EB140000}"/>
    <cellStyle name="40 % - Akzent2 6 4 2 2" xfId="5828" xr:uid="{00000000-0005-0000-0000-0000EC140000}"/>
    <cellStyle name="40 % - Akzent2 6 4 2 2 2" xfId="5829" xr:uid="{00000000-0005-0000-0000-0000ED140000}"/>
    <cellStyle name="40 % - Akzent2 6 4 2 2 3" xfId="5830" xr:uid="{00000000-0005-0000-0000-0000EE140000}"/>
    <cellStyle name="40 % - Akzent2 6 4 2 3" xfId="5831" xr:uid="{00000000-0005-0000-0000-0000EF140000}"/>
    <cellStyle name="40 % - Akzent2 6 4 2 3 2" xfId="5832" xr:uid="{00000000-0005-0000-0000-0000F0140000}"/>
    <cellStyle name="40 % - Akzent2 6 4 2 3 3" xfId="5833" xr:uid="{00000000-0005-0000-0000-0000F1140000}"/>
    <cellStyle name="40 % - Akzent2 6 4 2 4" xfId="5834" xr:uid="{00000000-0005-0000-0000-0000F2140000}"/>
    <cellStyle name="40 % - Akzent2 6 4 2 4 2" xfId="5835" xr:uid="{00000000-0005-0000-0000-0000F3140000}"/>
    <cellStyle name="40 % - Akzent2 6 4 2 5" xfId="5836" xr:uid="{00000000-0005-0000-0000-0000F4140000}"/>
    <cellStyle name="40 % - Akzent2 6 4 2 6" xfId="5837" xr:uid="{00000000-0005-0000-0000-0000F5140000}"/>
    <cellStyle name="40 % - Akzent2 6 4 3" xfId="5838" xr:uid="{00000000-0005-0000-0000-0000F6140000}"/>
    <cellStyle name="40 % - Akzent2 6 4 3 2" xfId="5839" xr:uid="{00000000-0005-0000-0000-0000F7140000}"/>
    <cellStyle name="40 % - Akzent2 6 4 3 3" xfId="5840" xr:uid="{00000000-0005-0000-0000-0000F8140000}"/>
    <cellStyle name="40 % - Akzent2 6 4 4" xfId="5841" xr:uid="{00000000-0005-0000-0000-0000F9140000}"/>
    <cellStyle name="40 % - Akzent2 6 4 4 2" xfId="5842" xr:uid="{00000000-0005-0000-0000-0000FA140000}"/>
    <cellStyle name="40 % - Akzent2 6 4 4 3" xfId="5843" xr:uid="{00000000-0005-0000-0000-0000FB140000}"/>
    <cellStyle name="40 % - Akzent2 6 4 5" xfId="5844" xr:uid="{00000000-0005-0000-0000-0000FC140000}"/>
    <cellStyle name="40 % - Akzent2 6 4 5 2" xfId="5845" xr:uid="{00000000-0005-0000-0000-0000FD140000}"/>
    <cellStyle name="40 % - Akzent2 6 4 6" xfId="5846" xr:uid="{00000000-0005-0000-0000-0000FE140000}"/>
    <cellStyle name="40 % - Akzent2 6 4 7" xfId="5847" xr:uid="{00000000-0005-0000-0000-0000FF140000}"/>
    <cellStyle name="40 % - Akzent2 6 5" xfId="5848" xr:uid="{00000000-0005-0000-0000-000000150000}"/>
    <cellStyle name="40 % - Akzent2 6 5 2" xfId="5849" xr:uid="{00000000-0005-0000-0000-000001150000}"/>
    <cellStyle name="40 % - Akzent2 6 5 2 2" xfId="5850" xr:uid="{00000000-0005-0000-0000-000002150000}"/>
    <cellStyle name="40 % - Akzent2 6 5 2 3" xfId="5851" xr:uid="{00000000-0005-0000-0000-000003150000}"/>
    <cellStyle name="40 % - Akzent2 6 5 3" xfId="5852" xr:uid="{00000000-0005-0000-0000-000004150000}"/>
    <cellStyle name="40 % - Akzent2 6 5 3 2" xfId="5853" xr:uid="{00000000-0005-0000-0000-000005150000}"/>
    <cellStyle name="40 % - Akzent2 6 5 3 3" xfId="5854" xr:uid="{00000000-0005-0000-0000-000006150000}"/>
    <cellStyle name="40 % - Akzent2 6 5 4" xfId="5855" xr:uid="{00000000-0005-0000-0000-000007150000}"/>
    <cellStyle name="40 % - Akzent2 6 5 4 2" xfId="5856" xr:uid="{00000000-0005-0000-0000-000008150000}"/>
    <cellStyle name="40 % - Akzent2 6 5 5" xfId="5857" xr:uid="{00000000-0005-0000-0000-000009150000}"/>
    <cellStyle name="40 % - Akzent2 6 5 6" xfId="5858" xr:uid="{00000000-0005-0000-0000-00000A150000}"/>
    <cellStyle name="40 % - Akzent2 6 6" xfId="5859" xr:uid="{00000000-0005-0000-0000-00000B150000}"/>
    <cellStyle name="40 % - Akzent2 6 6 2" xfId="5860" xr:uid="{00000000-0005-0000-0000-00000C150000}"/>
    <cellStyle name="40 % - Akzent2 6 6 3" xfId="5861" xr:uid="{00000000-0005-0000-0000-00000D150000}"/>
    <cellStyle name="40 % - Akzent2 6 7" xfId="5862" xr:uid="{00000000-0005-0000-0000-00000E150000}"/>
    <cellStyle name="40 % - Akzent2 6 7 2" xfId="5863" xr:uid="{00000000-0005-0000-0000-00000F150000}"/>
    <cellStyle name="40 % - Akzent2 6 7 3" xfId="5864" xr:uid="{00000000-0005-0000-0000-000010150000}"/>
    <cellStyle name="40 % - Akzent2 6 8" xfId="5865" xr:uid="{00000000-0005-0000-0000-000011150000}"/>
    <cellStyle name="40 % - Akzent2 6 8 2" xfId="5866" xr:uid="{00000000-0005-0000-0000-000012150000}"/>
    <cellStyle name="40 % - Akzent2 6 9" xfId="5867" xr:uid="{00000000-0005-0000-0000-000013150000}"/>
    <cellStyle name="40 % - Akzent2 7" xfId="5868" xr:uid="{00000000-0005-0000-0000-000014150000}"/>
    <cellStyle name="40 % - Akzent2 7 2" xfId="5869" xr:uid="{00000000-0005-0000-0000-000015150000}"/>
    <cellStyle name="40 % - Akzent2 7 2 2" xfId="5870" xr:uid="{00000000-0005-0000-0000-000016150000}"/>
    <cellStyle name="40 % - Akzent2 7 2 2 2" xfId="5871" xr:uid="{00000000-0005-0000-0000-000017150000}"/>
    <cellStyle name="40 % - Akzent2 7 2 2 2 2" xfId="5872" xr:uid="{00000000-0005-0000-0000-000018150000}"/>
    <cellStyle name="40 % - Akzent2 7 2 2 2 3" xfId="5873" xr:uid="{00000000-0005-0000-0000-000019150000}"/>
    <cellStyle name="40 % - Akzent2 7 2 2 3" xfId="5874" xr:uid="{00000000-0005-0000-0000-00001A150000}"/>
    <cellStyle name="40 % - Akzent2 7 2 2 3 2" xfId="5875" xr:uid="{00000000-0005-0000-0000-00001B150000}"/>
    <cellStyle name="40 % - Akzent2 7 2 2 3 3" xfId="5876" xr:uid="{00000000-0005-0000-0000-00001C150000}"/>
    <cellStyle name="40 % - Akzent2 7 2 2 4" xfId="5877" xr:uid="{00000000-0005-0000-0000-00001D150000}"/>
    <cellStyle name="40 % - Akzent2 7 2 2 4 2" xfId="5878" xr:uid="{00000000-0005-0000-0000-00001E150000}"/>
    <cellStyle name="40 % - Akzent2 7 2 2 5" xfId="5879" xr:uid="{00000000-0005-0000-0000-00001F150000}"/>
    <cellStyle name="40 % - Akzent2 7 2 2 6" xfId="5880" xr:uid="{00000000-0005-0000-0000-000020150000}"/>
    <cellStyle name="40 % - Akzent2 7 2 3" xfId="5881" xr:uid="{00000000-0005-0000-0000-000021150000}"/>
    <cellStyle name="40 % - Akzent2 7 2 3 2" xfId="5882" xr:uid="{00000000-0005-0000-0000-000022150000}"/>
    <cellStyle name="40 % - Akzent2 7 2 3 3" xfId="5883" xr:uid="{00000000-0005-0000-0000-000023150000}"/>
    <cellStyle name="40 % - Akzent2 7 2 4" xfId="5884" xr:uid="{00000000-0005-0000-0000-000024150000}"/>
    <cellStyle name="40 % - Akzent2 7 2 4 2" xfId="5885" xr:uid="{00000000-0005-0000-0000-000025150000}"/>
    <cellStyle name="40 % - Akzent2 7 2 4 3" xfId="5886" xr:uid="{00000000-0005-0000-0000-000026150000}"/>
    <cellStyle name="40 % - Akzent2 7 2 5" xfId="5887" xr:uid="{00000000-0005-0000-0000-000027150000}"/>
    <cellStyle name="40 % - Akzent2 7 2 5 2" xfId="5888" xr:uid="{00000000-0005-0000-0000-000028150000}"/>
    <cellStyle name="40 % - Akzent2 7 2 6" xfId="5889" xr:uid="{00000000-0005-0000-0000-000029150000}"/>
    <cellStyle name="40 % - Akzent2 7 2 7" xfId="5890" xr:uid="{00000000-0005-0000-0000-00002A150000}"/>
    <cellStyle name="40 % - Akzent2 7 3" xfId="5891" xr:uid="{00000000-0005-0000-0000-00002B150000}"/>
    <cellStyle name="40 % - Akzent2 7 3 2" xfId="5892" xr:uid="{00000000-0005-0000-0000-00002C150000}"/>
    <cellStyle name="40 % - Akzent2 7 3 2 2" xfId="5893" xr:uid="{00000000-0005-0000-0000-00002D150000}"/>
    <cellStyle name="40 % - Akzent2 7 3 2 3" xfId="5894" xr:uid="{00000000-0005-0000-0000-00002E150000}"/>
    <cellStyle name="40 % - Akzent2 7 3 3" xfId="5895" xr:uid="{00000000-0005-0000-0000-00002F150000}"/>
    <cellStyle name="40 % - Akzent2 7 3 3 2" xfId="5896" xr:uid="{00000000-0005-0000-0000-000030150000}"/>
    <cellStyle name="40 % - Akzent2 7 3 3 3" xfId="5897" xr:uid="{00000000-0005-0000-0000-000031150000}"/>
    <cellStyle name="40 % - Akzent2 7 3 4" xfId="5898" xr:uid="{00000000-0005-0000-0000-000032150000}"/>
    <cellStyle name="40 % - Akzent2 7 3 4 2" xfId="5899" xr:uid="{00000000-0005-0000-0000-000033150000}"/>
    <cellStyle name="40 % - Akzent2 7 3 5" xfId="5900" xr:uid="{00000000-0005-0000-0000-000034150000}"/>
    <cellStyle name="40 % - Akzent2 7 3 6" xfId="5901" xr:uid="{00000000-0005-0000-0000-000035150000}"/>
    <cellStyle name="40 % - Akzent2 7 4" xfId="5902" xr:uid="{00000000-0005-0000-0000-000036150000}"/>
    <cellStyle name="40 % - Akzent2 7 4 2" xfId="5903" xr:uid="{00000000-0005-0000-0000-000037150000}"/>
    <cellStyle name="40 % - Akzent2 7 4 3" xfId="5904" xr:uid="{00000000-0005-0000-0000-000038150000}"/>
    <cellStyle name="40 % - Akzent2 7 5" xfId="5905" xr:uid="{00000000-0005-0000-0000-000039150000}"/>
    <cellStyle name="40 % - Akzent2 7 5 2" xfId="5906" xr:uid="{00000000-0005-0000-0000-00003A150000}"/>
    <cellStyle name="40 % - Akzent2 7 5 3" xfId="5907" xr:uid="{00000000-0005-0000-0000-00003B150000}"/>
    <cellStyle name="40 % - Akzent2 7 6" xfId="5908" xr:uid="{00000000-0005-0000-0000-00003C150000}"/>
    <cellStyle name="40 % - Akzent2 7 6 2" xfId="5909" xr:uid="{00000000-0005-0000-0000-00003D150000}"/>
    <cellStyle name="40 % - Akzent2 7 7" xfId="5910" xr:uid="{00000000-0005-0000-0000-00003E150000}"/>
    <cellStyle name="40 % - Akzent2 7 8" xfId="5911" xr:uid="{00000000-0005-0000-0000-00003F150000}"/>
    <cellStyle name="40 % - Akzent3 2" xfId="173" xr:uid="{00000000-0005-0000-0000-000040150000}"/>
    <cellStyle name="40 % - Akzent3 2 2" xfId="174" xr:uid="{00000000-0005-0000-0000-000041150000}"/>
    <cellStyle name="40 % - Akzent3 2 2 2" xfId="175" xr:uid="{00000000-0005-0000-0000-000042150000}"/>
    <cellStyle name="40 % - Akzent3 2 2 3" xfId="33088" xr:uid="{00000000-0005-0000-0000-000043150000}"/>
    <cellStyle name="40 % - Akzent3 2 2 4" xfId="33163" xr:uid="{00000000-0005-0000-0000-000044150000}"/>
    <cellStyle name="40 % - Akzent3 2 2 5" xfId="33238" xr:uid="{00000000-0005-0000-0000-000045150000}"/>
    <cellStyle name="40 % - Akzent3 2 2 6" xfId="33313" xr:uid="{00000000-0005-0000-0000-000046150000}"/>
    <cellStyle name="40 % - Akzent3 2 3" xfId="176" xr:uid="{00000000-0005-0000-0000-000047150000}"/>
    <cellStyle name="40 % - Akzent3 2 3 2" xfId="5912" xr:uid="{00000000-0005-0000-0000-000048150000}"/>
    <cellStyle name="40 % - Akzent3 2 3 3" xfId="33089" xr:uid="{00000000-0005-0000-0000-000049150000}"/>
    <cellStyle name="40 % - Akzent3 2 3 4" xfId="33164" xr:uid="{00000000-0005-0000-0000-00004A150000}"/>
    <cellStyle name="40 % - Akzent3 2 3 5" xfId="33239" xr:uid="{00000000-0005-0000-0000-00004B150000}"/>
    <cellStyle name="40 % - Akzent3 2 3 6" xfId="33314" xr:uid="{00000000-0005-0000-0000-00004C150000}"/>
    <cellStyle name="40 % - Akzent3 2 4" xfId="177" xr:uid="{00000000-0005-0000-0000-00004D150000}"/>
    <cellStyle name="40 % - Akzent3 2 4 2" xfId="33090" xr:uid="{00000000-0005-0000-0000-00004E150000}"/>
    <cellStyle name="40 % - Akzent3 2 4 3" xfId="33165" xr:uid="{00000000-0005-0000-0000-00004F150000}"/>
    <cellStyle name="40 % - Akzent3 2 4 4" xfId="33240" xr:uid="{00000000-0005-0000-0000-000050150000}"/>
    <cellStyle name="40 % - Akzent3 2 4 5" xfId="33315" xr:uid="{00000000-0005-0000-0000-000051150000}"/>
    <cellStyle name="40 % - Akzent3 2 5" xfId="178" xr:uid="{00000000-0005-0000-0000-000052150000}"/>
    <cellStyle name="40 % - Akzent3 2 6" xfId="33087" xr:uid="{00000000-0005-0000-0000-000053150000}"/>
    <cellStyle name="40 % - Akzent3 2 7" xfId="33162" xr:uid="{00000000-0005-0000-0000-000054150000}"/>
    <cellStyle name="40 % - Akzent3 2 8" xfId="33237" xr:uid="{00000000-0005-0000-0000-000055150000}"/>
    <cellStyle name="40 % - Akzent3 2 9" xfId="33312" xr:uid="{00000000-0005-0000-0000-000056150000}"/>
    <cellStyle name="40 % - Akzent3 3" xfId="179" xr:uid="{00000000-0005-0000-0000-000057150000}"/>
    <cellStyle name="40 % - Akzent3 3 2" xfId="180" xr:uid="{00000000-0005-0000-0000-000058150000}"/>
    <cellStyle name="40 % - Akzent3 3 2 10" xfId="5913" xr:uid="{00000000-0005-0000-0000-000059150000}"/>
    <cellStyle name="40 % - Akzent3 3 2 11" xfId="5914" xr:uid="{00000000-0005-0000-0000-00005A150000}"/>
    <cellStyle name="40 % - Akzent3 3 2 12" xfId="33091" xr:uid="{00000000-0005-0000-0000-00005B150000}"/>
    <cellStyle name="40 % - Akzent3 3 2 13" xfId="33166" xr:uid="{00000000-0005-0000-0000-00005C150000}"/>
    <cellStyle name="40 % - Akzent3 3 2 14" xfId="33241" xr:uid="{00000000-0005-0000-0000-00005D150000}"/>
    <cellStyle name="40 % - Akzent3 3 2 15" xfId="33316" xr:uid="{00000000-0005-0000-0000-00005E150000}"/>
    <cellStyle name="40 % - Akzent3 3 2 2" xfId="5915" xr:uid="{00000000-0005-0000-0000-00005F150000}"/>
    <cellStyle name="40 % - Akzent3 3 2 2 10" xfId="5916" xr:uid="{00000000-0005-0000-0000-000060150000}"/>
    <cellStyle name="40 % - Akzent3 3 2 2 2" xfId="5917" xr:uid="{00000000-0005-0000-0000-000061150000}"/>
    <cellStyle name="40 % - Akzent3 3 2 2 2 2" xfId="5918" xr:uid="{00000000-0005-0000-0000-000062150000}"/>
    <cellStyle name="40 % - Akzent3 3 2 2 2 2 2" xfId="5919" xr:uid="{00000000-0005-0000-0000-000063150000}"/>
    <cellStyle name="40 % - Akzent3 3 2 2 2 2 2 2" xfId="5920" xr:uid="{00000000-0005-0000-0000-000064150000}"/>
    <cellStyle name="40 % - Akzent3 3 2 2 2 2 2 2 2" xfId="5921" xr:uid="{00000000-0005-0000-0000-000065150000}"/>
    <cellStyle name="40 % - Akzent3 3 2 2 2 2 2 2 3" xfId="5922" xr:uid="{00000000-0005-0000-0000-000066150000}"/>
    <cellStyle name="40 % - Akzent3 3 2 2 2 2 2 3" xfId="5923" xr:uid="{00000000-0005-0000-0000-000067150000}"/>
    <cellStyle name="40 % - Akzent3 3 2 2 2 2 2 3 2" xfId="5924" xr:uid="{00000000-0005-0000-0000-000068150000}"/>
    <cellStyle name="40 % - Akzent3 3 2 2 2 2 2 3 3" xfId="5925" xr:uid="{00000000-0005-0000-0000-000069150000}"/>
    <cellStyle name="40 % - Akzent3 3 2 2 2 2 2 4" xfId="5926" xr:uid="{00000000-0005-0000-0000-00006A150000}"/>
    <cellStyle name="40 % - Akzent3 3 2 2 2 2 2 4 2" xfId="5927" xr:uid="{00000000-0005-0000-0000-00006B150000}"/>
    <cellStyle name="40 % - Akzent3 3 2 2 2 2 2 5" xfId="5928" xr:uid="{00000000-0005-0000-0000-00006C150000}"/>
    <cellStyle name="40 % - Akzent3 3 2 2 2 2 2 6" xfId="5929" xr:uid="{00000000-0005-0000-0000-00006D150000}"/>
    <cellStyle name="40 % - Akzent3 3 2 2 2 2 3" xfId="5930" xr:uid="{00000000-0005-0000-0000-00006E150000}"/>
    <cellStyle name="40 % - Akzent3 3 2 2 2 2 3 2" xfId="5931" xr:uid="{00000000-0005-0000-0000-00006F150000}"/>
    <cellStyle name="40 % - Akzent3 3 2 2 2 2 3 3" xfId="5932" xr:uid="{00000000-0005-0000-0000-000070150000}"/>
    <cellStyle name="40 % - Akzent3 3 2 2 2 2 4" xfId="5933" xr:uid="{00000000-0005-0000-0000-000071150000}"/>
    <cellStyle name="40 % - Akzent3 3 2 2 2 2 4 2" xfId="5934" xr:uid="{00000000-0005-0000-0000-000072150000}"/>
    <cellStyle name="40 % - Akzent3 3 2 2 2 2 4 3" xfId="5935" xr:uid="{00000000-0005-0000-0000-000073150000}"/>
    <cellStyle name="40 % - Akzent3 3 2 2 2 2 5" xfId="5936" xr:uid="{00000000-0005-0000-0000-000074150000}"/>
    <cellStyle name="40 % - Akzent3 3 2 2 2 2 5 2" xfId="5937" xr:uid="{00000000-0005-0000-0000-000075150000}"/>
    <cellStyle name="40 % - Akzent3 3 2 2 2 2 6" xfId="5938" xr:uid="{00000000-0005-0000-0000-000076150000}"/>
    <cellStyle name="40 % - Akzent3 3 2 2 2 2 7" xfId="5939" xr:uid="{00000000-0005-0000-0000-000077150000}"/>
    <cellStyle name="40 % - Akzent3 3 2 2 2 3" xfId="5940" xr:uid="{00000000-0005-0000-0000-000078150000}"/>
    <cellStyle name="40 % - Akzent3 3 2 2 2 3 2" xfId="5941" xr:uid="{00000000-0005-0000-0000-000079150000}"/>
    <cellStyle name="40 % - Akzent3 3 2 2 2 3 2 2" xfId="5942" xr:uid="{00000000-0005-0000-0000-00007A150000}"/>
    <cellStyle name="40 % - Akzent3 3 2 2 2 3 2 3" xfId="5943" xr:uid="{00000000-0005-0000-0000-00007B150000}"/>
    <cellStyle name="40 % - Akzent3 3 2 2 2 3 3" xfId="5944" xr:uid="{00000000-0005-0000-0000-00007C150000}"/>
    <cellStyle name="40 % - Akzent3 3 2 2 2 3 3 2" xfId="5945" xr:uid="{00000000-0005-0000-0000-00007D150000}"/>
    <cellStyle name="40 % - Akzent3 3 2 2 2 3 3 3" xfId="5946" xr:uid="{00000000-0005-0000-0000-00007E150000}"/>
    <cellStyle name="40 % - Akzent3 3 2 2 2 3 4" xfId="5947" xr:uid="{00000000-0005-0000-0000-00007F150000}"/>
    <cellStyle name="40 % - Akzent3 3 2 2 2 3 4 2" xfId="5948" xr:uid="{00000000-0005-0000-0000-000080150000}"/>
    <cellStyle name="40 % - Akzent3 3 2 2 2 3 5" xfId="5949" xr:uid="{00000000-0005-0000-0000-000081150000}"/>
    <cellStyle name="40 % - Akzent3 3 2 2 2 3 6" xfId="5950" xr:uid="{00000000-0005-0000-0000-000082150000}"/>
    <cellStyle name="40 % - Akzent3 3 2 2 2 4" xfId="5951" xr:uid="{00000000-0005-0000-0000-000083150000}"/>
    <cellStyle name="40 % - Akzent3 3 2 2 2 4 2" xfId="5952" xr:uid="{00000000-0005-0000-0000-000084150000}"/>
    <cellStyle name="40 % - Akzent3 3 2 2 2 4 3" xfId="5953" xr:uid="{00000000-0005-0000-0000-000085150000}"/>
    <cellStyle name="40 % - Akzent3 3 2 2 2 5" xfId="5954" xr:uid="{00000000-0005-0000-0000-000086150000}"/>
    <cellStyle name="40 % - Akzent3 3 2 2 2 5 2" xfId="5955" xr:uid="{00000000-0005-0000-0000-000087150000}"/>
    <cellStyle name="40 % - Akzent3 3 2 2 2 5 3" xfId="5956" xr:uid="{00000000-0005-0000-0000-000088150000}"/>
    <cellStyle name="40 % - Akzent3 3 2 2 2 6" xfId="5957" xr:uid="{00000000-0005-0000-0000-000089150000}"/>
    <cellStyle name="40 % - Akzent3 3 2 2 2 6 2" xfId="5958" xr:uid="{00000000-0005-0000-0000-00008A150000}"/>
    <cellStyle name="40 % - Akzent3 3 2 2 2 7" xfId="5959" xr:uid="{00000000-0005-0000-0000-00008B150000}"/>
    <cellStyle name="40 % - Akzent3 3 2 2 2 8" xfId="5960" xr:uid="{00000000-0005-0000-0000-00008C150000}"/>
    <cellStyle name="40 % - Akzent3 3 2 2 3" xfId="5961" xr:uid="{00000000-0005-0000-0000-00008D150000}"/>
    <cellStyle name="40 % - Akzent3 3 2 2 3 2" xfId="5962" xr:uid="{00000000-0005-0000-0000-00008E150000}"/>
    <cellStyle name="40 % - Akzent3 3 2 2 3 2 2" xfId="5963" xr:uid="{00000000-0005-0000-0000-00008F150000}"/>
    <cellStyle name="40 % - Akzent3 3 2 2 3 2 2 2" xfId="5964" xr:uid="{00000000-0005-0000-0000-000090150000}"/>
    <cellStyle name="40 % - Akzent3 3 2 2 3 2 2 2 2" xfId="5965" xr:uid="{00000000-0005-0000-0000-000091150000}"/>
    <cellStyle name="40 % - Akzent3 3 2 2 3 2 2 2 3" xfId="5966" xr:uid="{00000000-0005-0000-0000-000092150000}"/>
    <cellStyle name="40 % - Akzent3 3 2 2 3 2 2 3" xfId="5967" xr:uid="{00000000-0005-0000-0000-000093150000}"/>
    <cellStyle name="40 % - Akzent3 3 2 2 3 2 2 3 2" xfId="5968" xr:uid="{00000000-0005-0000-0000-000094150000}"/>
    <cellStyle name="40 % - Akzent3 3 2 2 3 2 2 3 3" xfId="5969" xr:uid="{00000000-0005-0000-0000-000095150000}"/>
    <cellStyle name="40 % - Akzent3 3 2 2 3 2 2 4" xfId="5970" xr:uid="{00000000-0005-0000-0000-000096150000}"/>
    <cellStyle name="40 % - Akzent3 3 2 2 3 2 2 4 2" xfId="5971" xr:uid="{00000000-0005-0000-0000-000097150000}"/>
    <cellStyle name="40 % - Akzent3 3 2 2 3 2 2 5" xfId="5972" xr:uid="{00000000-0005-0000-0000-000098150000}"/>
    <cellStyle name="40 % - Akzent3 3 2 2 3 2 2 6" xfId="5973" xr:uid="{00000000-0005-0000-0000-000099150000}"/>
    <cellStyle name="40 % - Akzent3 3 2 2 3 2 3" xfId="5974" xr:uid="{00000000-0005-0000-0000-00009A150000}"/>
    <cellStyle name="40 % - Akzent3 3 2 2 3 2 3 2" xfId="5975" xr:uid="{00000000-0005-0000-0000-00009B150000}"/>
    <cellStyle name="40 % - Akzent3 3 2 2 3 2 3 3" xfId="5976" xr:uid="{00000000-0005-0000-0000-00009C150000}"/>
    <cellStyle name="40 % - Akzent3 3 2 2 3 2 4" xfId="5977" xr:uid="{00000000-0005-0000-0000-00009D150000}"/>
    <cellStyle name="40 % - Akzent3 3 2 2 3 2 4 2" xfId="5978" xr:uid="{00000000-0005-0000-0000-00009E150000}"/>
    <cellStyle name="40 % - Akzent3 3 2 2 3 2 4 3" xfId="5979" xr:uid="{00000000-0005-0000-0000-00009F150000}"/>
    <cellStyle name="40 % - Akzent3 3 2 2 3 2 5" xfId="5980" xr:uid="{00000000-0005-0000-0000-0000A0150000}"/>
    <cellStyle name="40 % - Akzent3 3 2 2 3 2 5 2" xfId="5981" xr:uid="{00000000-0005-0000-0000-0000A1150000}"/>
    <cellStyle name="40 % - Akzent3 3 2 2 3 2 6" xfId="5982" xr:uid="{00000000-0005-0000-0000-0000A2150000}"/>
    <cellStyle name="40 % - Akzent3 3 2 2 3 2 7" xfId="5983" xr:uid="{00000000-0005-0000-0000-0000A3150000}"/>
    <cellStyle name="40 % - Akzent3 3 2 2 3 3" xfId="5984" xr:uid="{00000000-0005-0000-0000-0000A4150000}"/>
    <cellStyle name="40 % - Akzent3 3 2 2 3 3 2" xfId="5985" xr:uid="{00000000-0005-0000-0000-0000A5150000}"/>
    <cellStyle name="40 % - Akzent3 3 2 2 3 3 2 2" xfId="5986" xr:uid="{00000000-0005-0000-0000-0000A6150000}"/>
    <cellStyle name="40 % - Akzent3 3 2 2 3 3 2 3" xfId="5987" xr:uid="{00000000-0005-0000-0000-0000A7150000}"/>
    <cellStyle name="40 % - Akzent3 3 2 2 3 3 3" xfId="5988" xr:uid="{00000000-0005-0000-0000-0000A8150000}"/>
    <cellStyle name="40 % - Akzent3 3 2 2 3 3 3 2" xfId="5989" xr:uid="{00000000-0005-0000-0000-0000A9150000}"/>
    <cellStyle name="40 % - Akzent3 3 2 2 3 3 3 3" xfId="5990" xr:uid="{00000000-0005-0000-0000-0000AA150000}"/>
    <cellStyle name="40 % - Akzent3 3 2 2 3 3 4" xfId="5991" xr:uid="{00000000-0005-0000-0000-0000AB150000}"/>
    <cellStyle name="40 % - Akzent3 3 2 2 3 3 4 2" xfId="5992" xr:uid="{00000000-0005-0000-0000-0000AC150000}"/>
    <cellStyle name="40 % - Akzent3 3 2 2 3 3 5" xfId="5993" xr:uid="{00000000-0005-0000-0000-0000AD150000}"/>
    <cellStyle name="40 % - Akzent3 3 2 2 3 3 6" xfId="5994" xr:uid="{00000000-0005-0000-0000-0000AE150000}"/>
    <cellStyle name="40 % - Akzent3 3 2 2 3 4" xfId="5995" xr:uid="{00000000-0005-0000-0000-0000AF150000}"/>
    <cellStyle name="40 % - Akzent3 3 2 2 3 4 2" xfId="5996" xr:uid="{00000000-0005-0000-0000-0000B0150000}"/>
    <cellStyle name="40 % - Akzent3 3 2 2 3 4 3" xfId="5997" xr:uid="{00000000-0005-0000-0000-0000B1150000}"/>
    <cellStyle name="40 % - Akzent3 3 2 2 3 5" xfId="5998" xr:uid="{00000000-0005-0000-0000-0000B2150000}"/>
    <cellStyle name="40 % - Akzent3 3 2 2 3 5 2" xfId="5999" xr:uid="{00000000-0005-0000-0000-0000B3150000}"/>
    <cellStyle name="40 % - Akzent3 3 2 2 3 5 3" xfId="6000" xr:uid="{00000000-0005-0000-0000-0000B4150000}"/>
    <cellStyle name="40 % - Akzent3 3 2 2 3 6" xfId="6001" xr:uid="{00000000-0005-0000-0000-0000B5150000}"/>
    <cellStyle name="40 % - Akzent3 3 2 2 3 6 2" xfId="6002" xr:uid="{00000000-0005-0000-0000-0000B6150000}"/>
    <cellStyle name="40 % - Akzent3 3 2 2 3 7" xfId="6003" xr:uid="{00000000-0005-0000-0000-0000B7150000}"/>
    <cellStyle name="40 % - Akzent3 3 2 2 3 8" xfId="6004" xr:uid="{00000000-0005-0000-0000-0000B8150000}"/>
    <cellStyle name="40 % - Akzent3 3 2 2 4" xfId="6005" xr:uid="{00000000-0005-0000-0000-0000B9150000}"/>
    <cellStyle name="40 % - Akzent3 3 2 2 4 2" xfId="6006" xr:uid="{00000000-0005-0000-0000-0000BA150000}"/>
    <cellStyle name="40 % - Akzent3 3 2 2 4 2 2" xfId="6007" xr:uid="{00000000-0005-0000-0000-0000BB150000}"/>
    <cellStyle name="40 % - Akzent3 3 2 2 4 2 2 2" xfId="6008" xr:uid="{00000000-0005-0000-0000-0000BC150000}"/>
    <cellStyle name="40 % - Akzent3 3 2 2 4 2 2 3" xfId="6009" xr:uid="{00000000-0005-0000-0000-0000BD150000}"/>
    <cellStyle name="40 % - Akzent3 3 2 2 4 2 3" xfId="6010" xr:uid="{00000000-0005-0000-0000-0000BE150000}"/>
    <cellStyle name="40 % - Akzent3 3 2 2 4 2 3 2" xfId="6011" xr:uid="{00000000-0005-0000-0000-0000BF150000}"/>
    <cellStyle name="40 % - Akzent3 3 2 2 4 2 3 3" xfId="6012" xr:uid="{00000000-0005-0000-0000-0000C0150000}"/>
    <cellStyle name="40 % - Akzent3 3 2 2 4 2 4" xfId="6013" xr:uid="{00000000-0005-0000-0000-0000C1150000}"/>
    <cellStyle name="40 % - Akzent3 3 2 2 4 2 4 2" xfId="6014" xr:uid="{00000000-0005-0000-0000-0000C2150000}"/>
    <cellStyle name="40 % - Akzent3 3 2 2 4 2 5" xfId="6015" xr:uid="{00000000-0005-0000-0000-0000C3150000}"/>
    <cellStyle name="40 % - Akzent3 3 2 2 4 2 6" xfId="6016" xr:uid="{00000000-0005-0000-0000-0000C4150000}"/>
    <cellStyle name="40 % - Akzent3 3 2 2 4 3" xfId="6017" xr:uid="{00000000-0005-0000-0000-0000C5150000}"/>
    <cellStyle name="40 % - Akzent3 3 2 2 4 3 2" xfId="6018" xr:uid="{00000000-0005-0000-0000-0000C6150000}"/>
    <cellStyle name="40 % - Akzent3 3 2 2 4 3 3" xfId="6019" xr:uid="{00000000-0005-0000-0000-0000C7150000}"/>
    <cellStyle name="40 % - Akzent3 3 2 2 4 4" xfId="6020" xr:uid="{00000000-0005-0000-0000-0000C8150000}"/>
    <cellStyle name="40 % - Akzent3 3 2 2 4 4 2" xfId="6021" xr:uid="{00000000-0005-0000-0000-0000C9150000}"/>
    <cellStyle name="40 % - Akzent3 3 2 2 4 4 3" xfId="6022" xr:uid="{00000000-0005-0000-0000-0000CA150000}"/>
    <cellStyle name="40 % - Akzent3 3 2 2 4 5" xfId="6023" xr:uid="{00000000-0005-0000-0000-0000CB150000}"/>
    <cellStyle name="40 % - Akzent3 3 2 2 4 5 2" xfId="6024" xr:uid="{00000000-0005-0000-0000-0000CC150000}"/>
    <cellStyle name="40 % - Akzent3 3 2 2 4 6" xfId="6025" xr:uid="{00000000-0005-0000-0000-0000CD150000}"/>
    <cellStyle name="40 % - Akzent3 3 2 2 4 7" xfId="6026" xr:uid="{00000000-0005-0000-0000-0000CE150000}"/>
    <cellStyle name="40 % - Akzent3 3 2 2 5" xfId="6027" xr:uid="{00000000-0005-0000-0000-0000CF150000}"/>
    <cellStyle name="40 % - Akzent3 3 2 2 5 2" xfId="6028" xr:uid="{00000000-0005-0000-0000-0000D0150000}"/>
    <cellStyle name="40 % - Akzent3 3 2 2 5 2 2" xfId="6029" xr:uid="{00000000-0005-0000-0000-0000D1150000}"/>
    <cellStyle name="40 % - Akzent3 3 2 2 5 2 3" xfId="6030" xr:uid="{00000000-0005-0000-0000-0000D2150000}"/>
    <cellStyle name="40 % - Akzent3 3 2 2 5 3" xfId="6031" xr:uid="{00000000-0005-0000-0000-0000D3150000}"/>
    <cellStyle name="40 % - Akzent3 3 2 2 5 3 2" xfId="6032" xr:uid="{00000000-0005-0000-0000-0000D4150000}"/>
    <cellStyle name="40 % - Akzent3 3 2 2 5 3 3" xfId="6033" xr:uid="{00000000-0005-0000-0000-0000D5150000}"/>
    <cellStyle name="40 % - Akzent3 3 2 2 5 4" xfId="6034" xr:uid="{00000000-0005-0000-0000-0000D6150000}"/>
    <cellStyle name="40 % - Akzent3 3 2 2 5 4 2" xfId="6035" xr:uid="{00000000-0005-0000-0000-0000D7150000}"/>
    <cellStyle name="40 % - Akzent3 3 2 2 5 5" xfId="6036" xr:uid="{00000000-0005-0000-0000-0000D8150000}"/>
    <cellStyle name="40 % - Akzent3 3 2 2 5 6" xfId="6037" xr:uid="{00000000-0005-0000-0000-0000D9150000}"/>
    <cellStyle name="40 % - Akzent3 3 2 2 6" xfId="6038" xr:uid="{00000000-0005-0000-0000-0000DA150000}"/>
    <cellStyle name="40 % - Akzent3 3 2 2 6 2" xfId="6039" xr:uid="{00000000-0005-0000-0000-0000DB150000}"/>
    <cellStyle name="40 % - Akzent3 3 2 2 6 3" xfId="6040" xr:uid="{00000000-0005-0000-0000-0000DC150000}"/>
    <cellStyle name="40 % - Akzent3 3 2 2 7" xfId="6041" xr:uid="{00000000-0005-0000-0000-0000DD150000}"/>
    <cellStyle name="40 % - Akzent3 3 2 2 7 2" xfId="6042" xr:uid="{00000000-0005-0000-0000-0000DE150000}"/>
    <cellStyle name="40 % - Akzent3 3 2 2 7 3" xfId="6043" xr:uid="{00000000-0005-0000-0000-0000DF150000}"/>
    <cellStyle name="40 % - Akzent3 3 2 2 8" xfId="6044" xr:uid="{00000000-0005-0000-0000-0000E0150000}"/>
    <cellStyle name="40 % - Akzent3 3 2 2 8 2" xfId="6045" xr:uid="{00000000-0005-0000-0000-0000E1150000}"/>
    <cellStyle name="40 % - Akzent3 3 2 2 9" xfId="6046" xr:uid="{00000000-0005-0000-0000-0000E2150000}"/>
    <cellStyle name="40 % - Akzent3 3 2 3" xfId="6047" xr:uid="{00000000-0005-0000-0000-0000E3150000}"/>
    <cellStyle name="40 % - Akzent3 3 2 3 2" xfId="6048" xr:uid="{00000000-0005-0000-0000-0000E4150000}"/>
    <cellStyle name="40 % - Akzent3 3 2 3 2 2" xfId="6049" xr:uid="{00000000-0005-0000-0000-0000E5150000}"/>
    <cellStyle name="40 % - Akzent3 3 2 3 2 2 2" xfId="6050" xr:uid="{00000000-0005-0000-0000-0000E6150000}"/>
    <cellStyle name="40 % - Akzent3 3 2 3 2 2 2 2" xfId="6051" xr:uid="{00000000-0005-0000-0000-0000E7150000}"/>
    <cellStyle name="40 % - Akzent3 3 2 3 2 2 2 3" xfId="6052" xr:uid="{00000000-0005-0000-0000-0000E8150000}"/>
    <cellStyle name="40 % - Akzent3 3 2 3 2 2 3" xfId="6053" xr:uid="{00000000-0005-0000-0000-0000E9150000}"/>
    <cellStyle name="40 % - Akzent3 3 2 3 2 2 3 2" xfId="6054" xr:uid="{00000000-0005-0000-0000-0000EA150000}"/>
    <cellStyle name="40 % - Akzent3 3 2 3 2 2 3 3" xfId="6055" xr:uid="{00000000-0005-0000-0000-0000EB150000}"/>
    <cellStyle name="40 % - Akzent3 3 2 3 2 2 4" xfId="6056" xr:uid="{00000000-0005-0000-0000-0000EC150000}"/>
    <cellStyle name="40 % - Akzent3 3 2 3 2 2 4 2" xfId="6057" xr:uid="{00000000-0005-0000-0000-0000ED150000}"/>
    <cellStyle name="40 % - Akzent3 3 2 3 2 2 5" xfId="6058" xr:uid="{00000000-0005-0000-0000-0000EE150000}"/>
    <cellStyle name="40 % - Akzent3 3 2 3 2 2 6" xfId="6059" xr:uid="{00000000-0005-0000-0000-0000EF150000}"/>
    <cellStyle name="40 % - Akzent3 3 2 3 2 3" xfId="6060" xr:uid="{00000000-0005-0000-0000-0000F0150000}"/>
    <cellStyle name="40 % - Akzent3 3 2 3 2 3 2" xfId="6061" xr:uid="{00000000-0005-0000-0000-0000F1150000}"/>
    <cellStyle name="40 % - Akzent3 3 2 3 2 3 3" xfId="6062" xr:uid="{00000000-0005-0000-0000-0000F2150000}"/>
    <cellStyle name="40 % - Akzent3 3 2 3 2 4" xfId="6063" xr:uid="{00000000-0005-0000-0000-0000F3150000}"/>
    <cellStyle name="40 % - Akzent3 3 2 3 2 4 2" xfId="6064" xr:uid="{00000000-0005-0000-0000-0000F4150000}"/>
    <cellStyle name="40 % - Akzent3 3 2 3 2 4 3" xfId="6065" xr:uid="{00000000-0005-0000-0000-0000F5150000}"/>
    <cellStyle name="40 % - Akzent3 3 2 3 2 5" xfId="6066" xr:uid="{00000000-0005-0000-0000-0000F6150000}"/>
    <cellStyle name="40 % - Akzent3 3 2 3 2 5 2" xfId="6067" xr:uid="{00000000-0005-0000-0000-0000F7150000}"/>
    <cellStyle name="40 % - Akzent3 3 2 3 2 6" xfId="6068" xr:uid="{00000000-0005-0000-0000-0000F8150000}"/>
    <cellStyle name="40 % - Akzent3 3 2 3 2 7" xfId="6069" xr:uid="{00000000-0005-0000-0000-0000F9150000}"/>
    <cellStyle name="40 % - Akzent3 3 2 3 3" xfId="6070" xr:uid="{00000000-0005-0000-0000-0000FA150000}"/>
    <cellStyle name="40 % - Akzent3 3 2 3 3 2" xfId="6071" xr:uid="{00000000-0005-0000-0000-0000FB150000}"/>
    <cellStyle name="40 % - Akzent3 3 2 3 3 2 2" xfId="6072" xr:uid="{00000000-0005-0000-0000-0000FC150000}"/>
    <cellStyle name="40 % - Akzent3 3 2 3 3 2 3" xfId="6073" xr:uid="{00000000-0005-0000-0000-0000FD150000}"/>
    <cellStyle name="40 % - Akzent3 3 2 3 3 3" xfId="6074" xr:uid="{00000000-0005-0000-0000-0000FE150000}"/>
    <cellStyle name="40 % - Akzent3 3 2 3 3 3 2" xfId="6075" xr:uid="{00000000-0005-0000-0000-0000FF150000}"/>
    <cellStyle name="40 % - Akzent3 3 2 3 3 3 3" xfId="6076" xr:uid="{00000000-0005-0000-0000-000000160000}"/>
    <cellStyle name="40 % - Akzent3 3 2 3 3 4" xfId="6077" xr:uid="{00000000-0005-0000-0000-000001160000}"/>
    <cellStyle name="40 % - Akzent3 3 2 3 3 4 2" xfId="6078" xr:uid="{00000000-0005-0000-0000-000002160000}"/>
    <cellStyle name="40 % - Akzent3 3 2 3 3 5" xfId="6079" xr:uid="{00000000-0005-0000-0000-000003160000}"/>
    <cellStyle name="40 % - Akzent3 3 2 3 3 6" xfId="6080" xr:uid="{00000000-0005-0000-0000-000004160000}"/>
    <cellStyle name="40 % - Akzent3 3 2 3 4" xfId="6081" xr:uid="{00000000-0005-0000-0000-000005160000}"/>
    <cellStyle name="40 % - Akzent3 3 2 3 4 2" xfId="6082" xr:uid="{00000000-0005-0000-0000-000006160000}"/>
    <cellStyle name="40 % - Akzent3 3 2 3 4 3" xfId="6083" xr:uid="{00000000-0005-0000-0000-000007160000}"/>
    <cellStyle name="40 % - Akzent3 3 2 3 5" xfId="6084" xr:uid="{00000000-0005-0000-0000-000008160000}"/>
    <cellStyle name="40 % - Akzent3 3 2 3 5 2" xfId="6085" xr:uid="{00000000-0005-0000-0000-000009160000}"/>
    <cellStyle name="40 % - Akzent3 3 2 3 5 3" xfId="6086" xr:uid="{00000000-0005-0000-0000-00000A160000}"/>
    <cellStyle name="40 % - Akzent3 3 2 3 6" xfId="6087" xr:uid="{00000000-0005-0000-0000-00000B160000}"/>
    <cellStyle name="40 % - Akzent3 3 2 3 6 2" xfId="6088" xr:uid="{00000000-0005-0000-0000-00000C160000}"/>
    <cellStyle name="40 % - Akzent3 3 2 3 7" xfId="6089" xr:uid="{00000000-0005-0000-0000-00000D160000}"/>
    <cellStyle name="40 % - Akzent3 3 2 3 8" xfId="6090" xr:uid="{00000000-0005-0000-0000-00000E160000}"/>
    <cellStyle name="40 % - Akzent3 3 2 4" xfId="6091" xr:uid="{00000000-0005-0000-0000-00000F160000}"/>
    <cellStyle name="40 % - Akzent3 3 2 4 2" xfId="6092" xr:uid="{00000000-0005-0000-0000-000010160000}"/>
    <cellStyle name="40 % - Akzent3 3 2 4 2 2" xfId="6093" xr:uid="{00000000-0005-0000-0000-000011160000}"/>
    <cellStyle name="40 % - Akzent3 3 2 4 2 2 2" xfId="6094" xr:uid="{00000000-0005-0000-0000-000012160000}"/>
    <cellStyle name="40 % - Akzent3 3 2 4 2 2 2 2" xfId="6095" xr:uid="{00000000-0005-0000-0000-000013160000}"/>
    <cellStyle name="40 % - Akzent3 3 2 4 2 2 2 3" xfId="6096" xr:uid="{00000000-0005-0000-0000-000014160000}"/>
    <cellStyle name="40 % - Akzent3 3 2 4 2 2 3" xfId="6097" xr:uid="{00000000-0005-0000-0000-000015160000}"/>
    <cellStyle name="40 % - Akzent3 3 2 4 2 2 3 2" xfId="6098" xr:uid="{00000000-0005-0000-0000-000016160000}"/>
    <cellStyle name="40 % - Akzent3 3 2 4 2 2 3 3" xfId="6099" xr:uid="{00000000-0005-0000-0000-000017160000}"/>
    <cellStyle name="40 % - Akzent3 3 2 4 2 2 4" xfId="6100" xr:uid="{00000000-0005-0000-0000-000018160000}"/>
    <cellStyle name="40 % - Akzent3 3 2 4 2 2 4 2" xfId="6101" xr:uid="{00000000-0005-0000-0000-000019160000}"/>
    <cellStyle name="40 % - Akzent3 3 2 4 2 2 5" xfId="6102" xr:uid="{00000000-0005-0000-0000-00001A160000}"/>
    <cellStyle name="40 % - Akzent3 3 2 4 2 2 6" xfId="6103" xr:uid="{00000000-0005-0000-0000-00001B160000}"/>
    <cellStyle name="40 % - Akzent3 3 2 4 2 3" xfId="6104" xr:uid="{00000000-0005-0000-0000-00001C160000}"/>
    <cellStyle name="40 % - Akzent3 3 2 4 2 3 2" xfId="6105" xr:uid="{00000000-0005-0000-0000-00001D160000}"/>
    <cellStyle name="40 % - Akzent3 3 2 4 2 3 3" xfId="6106" xr:uid="{00000000-0005-0000-0000-00001E160000}"/>
    <cellStyle name="40 % - Akzent3 3 2 4 2 4" xfId="6107" xr:uid="{00000000-0005-0000-0000-00001F160000}"/>
    <cellStyle name="40 % - Akzent3 3 2 4 2 4 2" xfId="6108" xr:uid="{00000000-0005-0000-0000-000020160000}"/>
    <cellStyle name="40 % - Akzent3 3 2 4 2 4 3" xfId="6109" xr:uid="{00000000-0005-0000-0000-000021160000}"/>
    <cellStyle name="40 % - Akzent3 3 2 4 2 5" xfId="6110" xr:uid="{00000000-0005-0000-0000-000022160000}"/>
    <cellStyle name="40 % - Akzent3 3 2 4 2 5 2" xfId="6111" xr:uid="{00000000-0005-0000-0000-000023160000}"/>
    <cellStyle name="40 % - Akzent3 3 2 4 2 6" xfId="6112" xr:uid="{00000000-0005-0000-0000-000024160000}"/>
    <cellStyle name="40 % - Akzent3 3 2 4 2 7" xfId="6113" xr:uid="{00000000-0005-0000-0000-000025160000}"/>
    <cellStyle name="40 % - Akzent3 3 2 4 3" xfId="6114" xr:uid="{00000000-0005-0000-0000-000026160000}"/>
    <cellStyle name="40 % - Akzent3 3 2 4 3 2" xfId="6115" xr:uid="{00000000-0005-0000-0000-000027160000}"/>
    <cellStyle name="40 % - Akzent3 3 2 4 3 2 2" xfId="6116" xr:uid="{00000000-0005-0000-0000-000028160000}"/>
    <cellStyle name="40 % - Akzent3 3 2 4 3 2 3" xfId="6117" xr:uid="{00000000-0005-0000-0000-000029160000}"/>
    <cellStyle name="40 % - Akzent3 3 2 4 3 3" xfId="6118" xr:uid="{00000000-0005-0000-0000-00002A160000}"/>
    <cellStyle name="40 % - Akzent3 3 2 4 3 3 2" xfId="6119" xr:uid="{00000000-0005-0000-0000-00002B160000}"/>
    <cellStyle name="40 % - Akzent3 3 2 4 3 3 3" xfId="6120" xr:uid="{00000000-0005-0000-0000-00002C160000}"/>
    <cellStyle name="40 % - Akzent3 3 2 4 3 4" xfId="6121" xr:uid="{00000000-0005-0000-0000-00002D160000}"/>
    <cellStyle name="40 % - Akzent3 3 2 4 3 4 2" xfId="6122" xr:uid="{00000000-0005-0000-0000-00002E160000}"/>
    <cellStyle name="40 % - Akzent3 3 2 4 3 5" xfId="6123" xr:uid="{00000000-0005-0000-0000-00002F160000}"/>
    <cellStyle name="40 % - Akzent3 3 2 4 3 6" xfId="6124" xr:uid="{00000000-0005-0000-0000-000030160000}"/>
    <cellStyle name="40 % - Akzent3 3 2 4 4" xfId="6125" xr:uid="{00000000-0005-0000-0000-000031160000}"/>
    <cellStyle name="40 % - Akzent3 3 2 4 4 2" xfId="6126" xr:uid="{00000000-0005-0000-0000-000032160000}"/>
    <cellStyle name="40 % - Akzent3 3 2 4 4 3" xfId="6127" xr:uid="{00000000-0005-0000-0000-000033160000}"/>
    <cellStyle name="40 % - Akzent3 3 2 4 5" xfId="6128" xr:uid="{00000000-0005-0000-0000-000034160000}"/>
    <cellStyle name="40 % - Akzent3 3 2 4 5 2" xfId="6129" xr:uid="{00000000-0005-0000-0000-000035160000}"/>
    <cellStyle name="40 % - Akzent3 3 2 4 5 3" xfId="6130" xr:uid="{00000000-0005-0000-0000-000036160000}"/>
    <cellStyle name="40 % - Akzent3 3 2 4 6" xfId="6131" xr:uid="{00000000-0005-0000-0000-000037160000}"/>
    <cellStyle name="40 % - Akzent3 3 2 4 6 2" xfId="6132" xr:uid="{00000000-0005-0000-0000-000038160000}"/>
    <cellStyle name="40 % - Akzent3 3 2 4 7" xfId="6133" xr:uid="{00000000-0005-0000-0000-000039160000}"/>
    <cellStyle name="40 % - Akzent3 3 2 4 8" xfId="6134" xr:uid="{00000000-0005-0000-0000-00003A160000}"/>
    <cellStyle name="40 % - Akzent3 3 2 5" xfId="6135" xr:uid="{00000000-0005-0000-0000-00003B160000}"/>
    <cellStyle name="40 % - Akzent3 3 2 5 2" xfId="6136" xr:uid="{00000000-0005-0000-0000-00003C160000}"/>
    <cellStyle name="40 % - Akzent3 3 2 5 2 2" xfId="6137" xr:uid="{00000000-0005-0000-0000-00003D160000}"/>
    <cellStyle name="40 % - Akzent3 3 2 5 2 2 2" xfId="6138" xr:uid="{00000000-0005-0000-0000-00003E160000}"/>
    <cellStyle name="40 % - Akzent3 3 2 5 2 2 3" xfId="6139" xr:uid="{00000000-0005-0000-0000-00003F160000}"/>
    <cellStyle name="40 % - Akzent3 3 2 5 2 3" xfId="6140" xr:uid="{00000000-0005-0000-0000-000040160000}"/>
    <cellStyle name="40 % - Akzent3 3 2 5 2 3 2" xfId="6141" xr:uid="{00000000-0005-0000-0000-000041160000}"/>
    <cellStyle name="40 % - Akzent3 3 2 5 2 3 3" xfId="6142" xr:uid="{00000000-0005-0000-0000-000042160000}"/>
    <cellStyle name="40 % - Akzent3 3 2 5 2 4" xfId="6143" xr:uid="{00000000-0005-0000-0000-000043160000}"/>
    <cellStyle name="40 % - Akzent3 3 2 5 2 4 2" xfId="6144" xr:uid="{00000000-0005-0000-0000-000044160000}"/>
    <cellStyle name="40 % - Akzent3 3 2 5 2 5" xfId="6145" xr:uid="{00000000-0005-0000-0000-000045160000}"/>
    <cellStyle name="40 % - Akzent3 3 2 5 2 6" xfId="6146" xr:uid="{00000000-0005-0000-0000-000046160000}"/>
    <cellStyle name="40 % - Akzent3 3 2 5 3" xfId="6147" xr:uid="{00000000-0005-0000-0000-000047160000}"/>
    <cellStyle name="40 % - Akzent3 3 2 5 3 2" xfId="6148" xr:uid="{00000000-0005-0000-0000-000048160000}"/>
    <cellStyle name="40 % - Akzent3 3 2 5 3 3" xfId="6149" xr:uid="{00000000-0005-0000-0000-000049160000}"/>
    <cellStyle name="40 % - Akzent3 3 2 5 4" xfId="6150" xr:uid="{00000000-0005-0000-0000-00004A160000}"/>
    <cellStyle name="40 % - Akzent3 3 2 5 4 2" xfId="6151" xr:uid="{00000000-0005-0000-0000-00004B160000}"/>
    <cellStyle name="40 % - Akzent3 3 2 5 4 3" xfId="6152" xr:uid="{00000000-0005-0000-0000-00004C160000}"/>
    <cellStyle name="40 % - Akzent3 3 2 5 5" xfId="6153" xr:uid="{00000000-0005-0000-0000-00004D160000}"/>
    <cellStyle name="40 % - Akzent3 3 2 5 5 2" xfId="6154" xr:uid="{00000000-0005-0000-0000-00004E160000}"/>
    <cellStyle name="40 % - Akzent3 3 2 5 6" xfId="6155" xr:uid="{00000000-0005-0000-0000-00004F160000}"/>
    <cellStyle name="40 % - Akzent3 3 2 5 7" xfId="6156" xr:uid="{00000000-0005-0000-0000-000050160000}"/>
    <cellStyle name="40 % - Akzent3 3 2 6" xfId="6157" xr:uid="{00000000-0005-0000-0000-000051160000}"/>
    <cellStyle name="40 % - Akzent3 3 2 6 2" xfId="6158" xr:uid="{00000000-0005-0000-0000-000052160000}"/>
    <cellStyle name="40 % - Akzent3 3 2 6 2 2" xfId="6159" xr:uid="{00000000-0005-0000-0000-000053160000}"/>
    <cellStyle name="40 % - Akzent3 3 2 6 2 3" xfId="6160" xr:uid="{00000000-0005-0000-0000-000054160000}"/>
    <cellStyle name="40 % - Akzent3 3 2 6 3" xfId="6161" xr:uid="{00000000-0005-0000-0000-000055160000}"/>
    <cellStyle name="40 % - Akzent3 3 2 6 3 2" xfId="6162" xr:uid="{00000000-0005-0000-0000-000056160000}"/>
    <cellStyle name="40 % - Akzent3 3 2 6 3 3" xfId="6163" xr:uid="{00000000-0005-0000-0000-000057160000}"/>
    <cellStyle name="40 % - Akzent3 3 2 6 4" xfId="6164" xr:uid="{00000000-0005-0000-0000-000058160000}"/>
    <cellStyle name="40 % - Akzent3 3 2 6 4 2" xfId="6165" xr:uid="{00000000-0005-0000-0000-000059160000}"/>
    <cellStyle name="40 % - Akzent3 3 2 6 5" xfId="6166" xr:uid="{00000000-0005-0000-0000-00005A160000}"/>
    <cellStyle name="40 % - Akzent3 3 2 6 6" xfId="6167" xr:uid="{00000000-0005-0000-0000-00005B160000}"/>
    <cellStyle name="40 % - Akzent3 3 2 7" xfId="6168" xr:uid="{00000000-0005-0000-0000-00005C160000}"/>
    <cellStyle name="40 % - Akzent3 3 2 7 2" xfId="6169" xr:uid="{00000000-0005-0000-0000-00005D160000}"/>
    <cellStyle name="40 % - Akzent3 3 2 7 3" xfId="6170" xr:uid="{00000000-0005-0000-0000-00005E160000}"/>
    <cellStyle name="40 % - Akzent3 3 2 8" xfId="6171" xr:uid="{00000000-0005-0000-0000-00005F160000}"/>
    <cellStyle name="40 % - Akzent3 3 2 8 2" xfId="6172" xr:uid="{00000000-0005-0000-0000-000060160000}"/>
    <cellStyle name="40 % - Akzent3 3 2 8 3" xfId="6173" xr:uid="{00000000-0005-0000-0000-000061160000}"/>
    <cellStyle name="40 % - Akzent3 3 2 9" xfId="6174" xr:uid="{00000000-0005-0000-0000-000062160000}"/>
    <cellStyle name="40 % - Akzent3 3 2 9 2" xfId="6175" xr:uid="{00000000-0005-0000-0000-000063160000}"/>
    <cellStyle name="40 % - Akzent3 4" xfId="6176" xr:uid="{00000000-0005-0000-0000-000064160000}"/>
    <cellStyle name="40 % - Akzent3 4 2" xfId="6177" xr:uid="{00000000-0005-0000-0000-000065160000}"/>
    <cellStyle name="40 % - Akzent3 5" xfId="6178" xr:uid="{00000000-0005-0000-0000-000066160000}"/>
    <cellStyle name="40 % - Akzent3 5 2" xfId="6179" xr:uid="{00000000-0005-0000-0000-000067160000}"/>
    <cellStyle name="40 % - Akzent3 5 2 10" xfId="6180" xr:uid="{00000000-0005-0000-0000-000068160000}"/>
    <cellStyle name="40 % - Akzent3 5 2 11" xfId="6181" xr:uid="{00000000-0005-0000-0000-000069160000}"/>
    <cellStyle name="40 % - Akzent3 5 2 2" xfId="6182" xr:uid="{00000000-0005-0000-0000-00006A160000}"/>
    <cellStyle name="40 % - Akzent3 5 2 2 10" xfId="6183" xr:uid="{00000000-0005-0000-0000-00006B160000}"/>
    <cellStyle name="40 % - Akzent3 5 2 2 2" xfId="6184" xr:uid="{00000000-0005-0000-0000-00006C160000}"/>
    <cellStyle name="40 % - Akzent3 5 2 2 2 2" xfId="6185" xr:uid="{00000000-0005-0000-0000-00006D160000}"/>
    <cellStyle name="40 % - Akzent3 5 2 2 2 2 2" xfId="6186" xr:uid="{00000000-0005-0000-0000-00006E160000}"/>
    <cellStyle name="40 % - Akzent3 5 2 2 2 2 2 2" xfId="6187" xr:uid="{00000000-0005-0000-0000-00006F160000}"/>
    <cellStyle name="40 % - Akzent3 5 2 2 2 2 2 2 2" xfId="6188" xr:uid="{00000000-0005-0000-0000-000070160000}"/>
    <cellStyle name="40 % - Akzent3 5 2 2 2 2 2 2 3" xfId="6189" xr:uid="{00000000-0005-0000-0000-000071160000}"/>
    <cellStyle name="40 % - Akzent3 5 2 2 2 2 2 3" xfId="6190" xr:uid="{00000000-0005-0000-0000-000072160000}"/>
    <cellStyle name="40 % - Akzent3 5 2 2 2 2 2 3 2" xfId="6191" xr:uid="{00000000-0005-0000-0000-000073160000}"/>
    <cellStyle name="40 % - Akzent3 5 2 2 2 2 2 3 3" xfId="6192" xr:uid="{00000000-0005-0000-0000-000074160000}"/>
    <cellStyle name="40 % - Akzent3 5 2 2 2 2 2 4" xfId="6193" xr:uid="{00000000-0005-0000-0000-000075160000}"/>
    <cellStyle name="40 % - Akzent3 5 2 2 2 2 2 4 2" xfId="6194" xr:uid="{00000000-0005-0000-0000-000076160000}"/>
    <cellStyle name="40 % - Akzent3 5 2 2 2 2 2 5" xfId="6195" xr:uid="{00000000-0005-0000-0000-000077160000}"/>
    <cellStyle name="40 % - Akzent3 5 2 2 2 2 2 6" xfId="6196" xr:uid="{00000000-0005-0000-0000-000078160000}"/>
    <cellStyle name="40 % - Akzent3 5 2 2 2 2 3" xfId="6197" xr:uid="{00000000-0005-0000-0000-000079160000}"/>
    <cellStyle name="40 % - Akzent3 5 2 2 2 2 3 2" xfId="6198" xr:uid="{00000000-0005-0000-0000-00007A160000}"/>
    <cellStyle name="40 % - Akzent3 5 2 2 2 2 3 3" xfId="6199" xr:uid="{00000000-0005-0000-0000-00007B160000}"/>
    <cellStyle name="40 % - Akzent3 5 2 2 2 2 4" xfId="6200" xr:uid="{00000000-0005-0000-0000-00007C160000}"/>
    <cellStyle name="40 % - Akzent3 5 2 2 2 2 4 2" xfId="6201" xr:uid="{00000000-0005-0000-0000-00007D160000}"/>
    <cellStyle name="40 % - Akzent3 5 2 2 2 2 4 3" xfId="6202" xr:uid="{00000000-0005-0000-0000-00007E160000}"/>
    <cellStyle name="40 % - Akzent3 5 2 2 2 2 5" xfId="6203" xr:uid="{00000000-0005-0000-0000-00007F160000}"/>
    <cellStyle name="40 % - Akzent3 5 2 2 2 2 5 2" xfId="6204" xr:uid="{00000000-0005-0000-0000-000080160000}"/>
    <cellStyle name="40 % - Akzent3 5 2 2 2 2 6" xfId="6205" xr:uid="{00000000-0005-0000-0000-000081160000}"/>
    <cellStyle name="40 % - Akzent3 5 2 2 2 2 7" xfId="6206" xr:uid="{00000000-0005-0000-0000-000082160000}"/>
    <cellStyle name="40 % - Akzent3 5 2 2 2 3" xfId="6207" xr:uid="{00000000-0005-0000-0000-000083160000}"/>
    <cellStyle name="40 % - Akzent3 5 2 2 2 3 2" xfId="6208" xr:uid="{00000000-0005-0000-0000-000084160000}"/>
    <cellStyle name="40 % - Akzent3 5 2 2 2 3 2 2" xfId="6209" xr:uid="{00000000-0005-0000-0000-000085160000}"/>
    <cellStyle name="40 % - Akzent3 5 2 2 2 3 2 3" xfId="6210" xr:uid="{00000000-0005-0000-0000-000086160000}"/>
    <cellStyle name="40 % - Akzent3 5 2 2 2 3 3" xfId="6211" xr:uid="{00000000-0005-0000-0000-000087160000}"/>
    <cellStyle name="40 % - Akzent3 5 2 2 2 3 3 2" xfId="6212" xr:uid="{00000000-0005-0000-0000-000088160000}"/>
    <cellStyle name="40 % - Akzent3 5 2 2 2 3 3 3" xfId="6213" xr:uid="{00000000-0005-0000-0000-000089160000}"/>
    <cellStyle name="40 % - Akzent3 5 2 2 2 3 4" xfId="6214" xr:uid="{00000000-0005-0000-0000-00008A160000}"/>
    <cellStyle name="40 % - Akzent3 5 2 2 2 3 4 2" xfId="6215" xr:uid="{00000000-0005-0000-0000-00008B160000}"/>
    <cellStyle name="40 % - Akzent3 5 2 2 2 3 5" xfId="6216" xr:uid="{00000000-0005-0000-0000-00008C160000}"/>
    <cellStyle name="40 % - Akzent3 5 2 2 2 3 6" xfId="6217" xr:uid="{00000000-0005-0000-0000-00008D160000}"/>
    <cellStyle name="40 % - Akzent3 5 2 2 2 4" xfId="6218" xr:uid="{00000000-0005-0000-0000-00008E160000}"/>
    <cellStyle name="40 % - Akzent3 5 2 2 2 4 2" xfId="6219" xr:uid="{00000000-0005-0000-0000-00008F160000}"/>
    <cellStyle name="40 % - Akzent3 5 2 2 2 4 3" xfId="6220" xr:uid="{00000000-0005-0000-0000-000090160000}"/>
    <cellStyle name="40 % - Akzent3 5 2 2 2 5" xfId="6221" xr:uid="{00000000-0005-0000-0000-000091160000}"/>
    <cellStyle name="40 % - Akzent3 5 2 2 2 5 2" xfId="6222" xr:uid="{00000000-0005-0000-0000-000092160000}"/>
    <cellStyle name="40 % - Akzent3 5 2 2 2 5 3" xfId="6223" xr:uid="{00000000-0005-0000-0000-000093160000}"/>
    <cellStyle name="40 % - Akzent3 5 2 2 2 6" xfId="6224" xr:uid="{00000000-0005-0000-0000-000094160000}"/>
    <cellStyle name="40 % - Akzent3 5 2 2 2 6 2" xfId="6225" xr:uid="{00000000-0005-0000-0000-000095160000}"/>
    <cellStyle name="40 % - Akzent3 5 2 2 2 7" xfId="6226" xr:uid="{00000000-0005-0000-0000-000096160000}"/>
    <cellStyle name="40 % - Akzent3 5 2 2 2 8" xfId="6227" xr:uid="{00000000-0005-0000-0000-000097160000}"/>
    <cellStyle name="40 % - Akzent3 5 2 2 3" xfId="6228" xr:uid="{00000000-0005-0000-0000-000098160000}"/>
    <cellStyle name="40 % - Akzent3 5 2 2 3 2" xfId="6229" xr:uid="{00000000-0005-0000-0000-000099160000}"/>
    <cellStyle name="40 % - Akzent3 5 2 2 3 2 2" xfId="6230" xr:uid="{00000000-0005-0000-0000-00009A160000}"/>
    <cellStyle name="40 % - Akzent3 5 2 2 3 2 2 2" xfId="6231" xr:uid="{00000000-0005-0000-0000-00009B160000}"/>
    <cellStyle name="40 % - Akzent3 5 2 2 3 2 2 2 2" xfId="6232" xr:uid="{00000000-0005-0000-0000-00009C160000}"/>
    <cellStyle name="40 % - Akzent3 5 2 2 3 2 2 2 3" xfId="6233" xr:uid="{00000000-0005-0000-0000-00009D160000}"/>
    <cellStyle name="40 % - Akzent3 5 2 2 3 2 2 3" xfId="6234" xr:uid="{00000000-0005-0000-0000-00009E160000}"/>
    <cellStyle name="40 % - Akzent3 5 2 2 3 2 2 3 2" xfId="6235" xr:uid="{00000000-0005-0000-0000-00009F160000}"/>
    <cellStyle name="40 % - Akzent3 5 2 2 3 2 2 3 3" xfId="6236" xr:uid="{00000000-0005-0000-0000-0000A0160000}"/>
    <cellStyle name="40 % - Akzent3 5 2 2 3 2 2 4" xfId="6237" xr:uid="{00000000-0005-0000-0000-0000A1160000}"/>
    <cellStyle name="40 % - Akzent3 5 2 2 3 2 2 4 2" xfId="6238" xr:uid="{00000000-0005-0000-0000-0000A2160000}"/>
    <cellStyle name="40 % - Akzent3 5 2 2 3 2 2 5" xfId="6239" xr:uid="{00000000-0005-0000-0000-0000A3160000}"/>
    <cellStyle name="40 % - Akzent3 5 2 2 3 2 2 6" xfId="6240" xr:uid="{00000000-0005-0000-0000-0000A4160000}"/>
    <cellStyle name="40 % - Akzent3 5 2 2 3 2 3" xfId="6241" xr:uid="{00000000-0005-0000-0000-0000A5160000}"/>
    <cellStyle name="40 % - Akzent3 5 2 2 3 2 3 2" xfId="6242" xr:uid="{00000000-0005-0000-0000-0000A6160000}"/>
    <cellStyle name="40 % - Akzent3 5 2 2 3 2 3 3" xfId="6243" xr:uid="{00000000-0005-0000-0000-0000A7160000}"/>
    <cellStyle name="40 % - Akzent3 5 2 2 3 2 4" xfId="6244" xr:uid="{00000000-0005-0000-0000-0000A8160000}"/>
    <cellStyle name="40 % - Akzent3 5 2 2 3 2 4 2" xfId="6245" xr:uid="{00000000-0005-0000-0000-0000A9160000}"/>
    <cellStyle name="40 % - Akzent3 5 2 2 3 2 4 3" xfId="6246" xr:uid="{00000000-0005-0000-0000-0000AA160000}"/>
    <cellStyle name="40 % - Akzent3 5 2 2 3 2 5" xfId="6247" xr:uid="{00000000-0005-0000-0000-0000AB160000}"/>
    <cellStyle name="40 % - Akzent3 5 2 2 3 2 5 2" xfId="6248" xr:uid="{00000000-0005-0000-0000-0000AC160000}"/>
    <cellStyle name="40 % - Akzent3 5 2 2 3 2 6" xfId="6249" xr:uid="{00000000-0005-0000-0000-0000AD160000}"/>
    <cellStyle name="40 % - Akzent3 5 2 2 3 2 7" xfId="6250" xr:uid="{00000000-0005-0000-0000-0000AE160000}"/>
    <cellStyle name="40 % - Akzent3 5 2 2 3 3" xfId="6251" xr:uid="{00000000-0005-0000-0000-0000AF160000}"/>
    <cellStyle name="40 % - Akzent3 5 2 2 3 3 2" xfId="6252" xr:uid="{00000000-0005-0000-0000-0000B0160000}"/>
    <cellStyle name="40 % - Akzent3 5 2 2 3 3 2 2" xfId="6253" xr:uid="{00000000-0005-0000-0000-0000B1160000}"/>
    <cellStyle name="40 % - Akzent3 5 2 2 3 3 2 3" xfId="6254" xr:uid="{00000000-0005-0000-0000-0000B2160000}"/>
    <cellStyle name="40 % - Akzent3 5 2 2 3 3 3" xfId="6255" xr:uid="{00000000-0005-0000-0000-0000B3160000}"/>
    <cellStyle name="40 % - Akzent3 5 2 2 3 3 3 2" xfId="6256" xr:uid="{00000000-0005-0000-0000-0000B4160000}"/>
    <cellStyle name="40 % - Akzent3 5 2 2 3 3 3 3" xfId="6257" xr:uid="{00000000-0005-0000-0000-0000B5160000}"/>
    <cellStyle name="40 % - Akzent3 5 2 2 3 3 4" xfId="6258" xr:uid="{00000000-0005-0000-0000-0000B6160000}"/>
    <cellStyle name="40 % - Akzent3 5 2 2 3 3 4 2" xfId="6259" xr:uid="{00000000-0005-0000-0000-0000B7160000}"/>
    <cellStyle name="40 % - Akzent3 5 2 2 3 3 5" xfId="6260" xr:uid="{00000000-0005-0000-0000-0000B8160000}"/>
    <cellStyle name="40 % - Akzent3 5 2 2 3 3 6" xfId="6261" xr:uid="{00000000-0005-0000-0000-0000B9160000}"/>
    <cellStyle name="40 % - Akzent3 5 2 2 3 4" xfId="6262" xr:uid="{00000000-0005-0000-0000-0000BA160000}"/>
    <cellStyle name="40 % - Akzent3 5 2 2 3 4 2" xfId="6263" xr:uid="{00000000-0005-0000-0000-0000BB160000}"/>
    <cellStyle name="40 % - Akzent3 5 2 2 3 4 3" xfId="6264" xr:uid="{00000000-0005-0000-0000-0000BC160000}"/>
    <cellStyle name="40 % - Akzent3 5 2 2 3 5" xfId="6265" xr:uid="{00000000-0005-0000-0000-0000BD160000}"/>
    <cellStyle name="40 % - Akzent3 5 2 2 3 5 2" xfId="6266" xr:uid="{00000000-0005-0000-0000-0000BE160000}"/>
    <cellStyle name="40 % - Akzent3 5 2 2 3 5 3" xfId="6267" xr:uid="{00000000-0005-0000-0000-0000BF160000}"/>
    <cellStyle name="40 % - Akzent3 5 2 2 3 6" xfId="6268" xr:uid="{00000000-0005-0000-0000-0000C0160000}"/>
    <cellStyle name="40 % - Akzent3 5 2 2 3 6 2" xfId="6269" xr:uid="{00000000-0005-0000-0000-0000C1160000}"/>
    <cellStyle name="40 % - Akzent3 5 2 2 3 7" xfId="6270" xr:uid="{00000000-0005-0000-0000-0000C2160000}"/>
    <cellStyle name="40 % - Akzent3 5 2 2 3 8" xfId="6271" xr:uid="{00000000-0005-0000-0000-0000C3160000}"/>
    <cellStyle name="40 % - Akzent3 5 2 2 4" xfId="6272" xr:uid="{00000000-0005-0000-0000-0000C4160000}"/>
    <cellStyle name="40 % - Akzent3 5 2 2 4 2" xfId="6273" xr:uid="{00000000-0005-0000-0000-0000C5160000}"/>
    <cellStyle name="40 % - Akzent3 5 2 2 4 2 2" xfId="6274" xr:uid="{00000000-0005-0000-0000-0000C6160000}"/>
    <cellStyle name="40 % - Akzent3 5 2 2 4 2 2 2" xfId="6275" xr:uid="{00000000-0005-0000-0000-0000C7160000}"/>
    <cellStyle name="40 % - Akzent3 5 2 2 4 2 2 3" xfId="6276" xr:uid="{00000000-0005-0000-0000-0000C8160000}"/>
    <cellStyle name="40 % - Akzent3 5 2 2 4 2 3" xfId="6277" xr:uid="{00000000-0005-0000-0000-0000C9160000}"/>
    <cellStyle name="40 % - Akzent3 5 2 2 4 2 3 2" xfId="6278" xr:uid="{00000000-0005-0000-0000-0000CA160000}"/>
    <cellStyle name="40 % - Akzent3 5 2 2 4 2 3 3" xfId="6279" xr:uid="{00000000-0005-0000-0000-0000CB160000}"/>
    <cellStyle name="40 % - Akzent3 5 2 2 4 2 4" xfId="6280" xr:uid="{00000000-0005-0000-0000-0000CC160000}"/>
    <cellStyle name="40 % - Akzent3 5 2 2 4 2 4 2" xfId="6281" xr:uid="{00000000-0005-0000-0000-0000CD160000}"/>
    <cellStyle name="40 % - Akzent3 5 2 2 4 2 5" xfId="6282" xr:uid="{00000000-0005-0000-0000-0000CE160000}"/>
    <cellStyle name="40 % - Akzent3 5 2 2 4 2 6" xfId="6283" xr:uid="{00000000-0005-0000-0000-0000CF160000}"/>
    <cellStyle name="40 % - Akzent3 5 2 2 4 3" xfId="6284" xr:uid="{00000000-0005-0000-0000-0000D0160000}"/>
    <cellStyle name="40 % - Akzent3 5 2 2 4 3 2" xfId="6285" xr:uid="{00000000-0005-0000-0000-0000D1160000}"/>
    <cellStyle name="40 % - Akzent3 5 2 2 4 3 3" xfId="6286" xr:uid="{00000000-0005-0000-0000-0000D2160000}"/>
    <cellStyle name="40 % - Akzent3 5 2 2 4 4" xfId="6287" xr:uid="{00000000-0005-0000-0000-0000D3160000}"/>
    <cellStyle name="40 % - Akzent3 5 2 2 4 4 2" xfId="6288" xr:uid="{00000000-0005-0000-0000-0000D4160000}"/>
    <cellStyle name="40 % - Akzent3 5 2 2 4 4 3" xfId="6289" xr:uid="{00000000-0005-0000-0000-0000D5160000}"/>
    <cellStyle name="40 % - Akzent3 5 2 2 4 5" xfId="6290" xr:uid="{00000000-0005-0000-0000-0000D6160000}"/>
    <cellStyle name="40 % - Akzent3 5 2 2 4 5 2" xfId="6291" xr:uid="{00000000-0005-0000-0000-0000D7160000}"/>
    <cellStyle name="40 % - Akzent3 5 2 2 4 6" xfId="6292" xr:uid="{00000000-0005-0000-0000-0000D8160000}"/>
    <cellStyle name="40 % - Akzent3 5 2 2 4 7" xfId="6293" xr:uid="{00000000-0005-0000-0000-0000D9160000}"/>
    <cellStyle name="40 % - Akzent3 5 2 2 5" xfId="6294" xr:uid="{00000000-0005-0000-0000-0000DA160000}"/>
    <cellStyle name="40 % - Akzent3 5 2 2 5 2" xfId="6295" xr:uid="{00000000-0005-0000-0000-0000DB160000}"/>
    <cellStyle name="40 % - Akzent3 5 2 2 5 2 2" xfId="6296" xr:uid="{00000000-0005-0000-0000-0000DC160000}"/>
    <cellStyle name="40 % - Akzent3 5 2 2 5 2 3" xfId="6297" xr:uid="{00000000-0005-0000-0000-0000DD160000}"/>
    <cellStyle name="40 % - Akzent3 5 2 2 5 3" xfId="6298" xr:uid="{00000000-0005-0000-0000-0000DE160000}"/>
    <cellStyle name="40 % - Akzent3 5 2 2 5 3 2" xfId="6299" xr:uid="{00000000-0005-0000-0000-0000DF160000}"/>
    <cellStyle name="40 % - Akzent3 5 2 2 5 3 3" xfId="6300" xr:uid="{00000000-0005-0000-0000-0000E0160000}"/>
    <cellStyle name="40 % - Akzent3 5 2 2 5 4" xfId="6301" xr:uid="{00000000-0005-0000-0000-0000E1160000}"/>
    <cellStyle name="40 % - Akzent3 5 2 2 5 4 2" xfId="6302" xr:uid="{00000000-0005-0000-0000-0000E2160000}"/>
    <cellStyle name="40 % - Akzent3 5 2 2 5 5" xfId="6303" xr:uid="{00000000-0005-0000-0000-0000E3160000}"/>
    <cellStyle name="40 % - Akzent3 5 2 2 5 6" xfId="6304" xr:uid="{00000000-0005-0000-0000-0000E4160000}"/>
    <cellStyle name="40 % - Akzent3 5 2 2 6" xfId="6305" xr:uid="{00000000-0005-0000-0000-0000E5160000}"/>
    <cellStyle name="40 % - Akzent3 5 2 2 6 2" xfId="6306" xr:uid="{00000000-0005-0000-0000-0000E6160000}"/>
    <cellStyle name="40 % - Akzent3 5 2 2 6 3" xfId="6307" xr:uid="{00000000-0005-0000-0000-0000E7160000}"/>
    <cellStyle name="40 % - Akzent3 5 2 2 7" xfId="6308" xr:uid="{00000000-0005-0000-0000-0000E8160000}"/>
    <cellStyle name="40 % - Akzent3 5 2 2 7 2" xfId="6309" xr:uid="{00000000-0005-0000-0000-0000E9160000}"/>
    <cellStyle name="40 % - Akzent3 5 2 2 7 3" xfId="6310" xr:uid="{00000000-0005-0000-0000-0000EA160000}"/>
    <cellStyle name="40 % - Akzent3 5 2 2 8" xfId="6311" xr:uid="{00000000-0005-0000-0000-0000EB160000}"/>
    <cellStyle name="40 % - Akzent3 5 2 2 8 2" xfId="6312" xr:uid="{00000000-0005-0000-0000-0000EC160000}"/>
    <cellStyle name="40 % - Akzent3 5 2 2 9" xfId="6313" xr:uid="{00000000-0005-0000-0000-0000ED160000}"/>
    <cellStyle name="40 % - Akzent3 5 2 3" xfId="6314" xr:uid="{00000000-0005-0000-0000-0000EE160000}"/>
    <cellStyle name="40 % - Akzent3 5 2 3 2" xfId="6315" xr:uid="{00000000-0005-0000-0000-0000EF160000}"/>
    <cellStyle name="40 % - Akzent3 5 2 3 2 2" xfId="6316" xr:uid="{00000000-0005-0000-0000-0000F0160000}"/>
    <cellStyle name="40 % - Akzent3 5 2 3 2 2 2" xfId="6317" xr:uid="{00000000-0005-0000-0000-0000F1160000}"/>
    <cellStyle name="40 % - Akzent3 5 2 3 2 2 2 2" xfId="6318" xr:uid="{00000000-0005-0000-0000-0000F2160000}"/>
    <cellStyle name="40 % - Akzent3 5 2 3 2 2 2 3" xfId="6319" xr:uid="{00000000-0005-0000-0000-0000F3160000}"/>
    <cellStyle name="40 % - Akzent3 5 2 3 2 2 3" xfId="6320" xr:uid="{00000000-0005-0000-0000-0000F4160000}"/>
    <cellStyle name="40 % - Akzent3 5 2 3 2 2 3 2" xfId="6321" xr:uid="{00000000-0005-0000-0000-0000F5160000}"/>
    <cellStyle name="40 % - Akzent3 5 2 3 2 2 3 3" xfId="6322" xr:uid="{00000000-0005-0000-0000-0000F6160000}"/>
    <cellStyle name="40 % - Akzent3 5 2 3 2 2 4" xfId="6323" xr:uid="{00000000-0005-0000-0000-0000F7160000}"/>
    <cellStyle name="40 % - Akzent3 5 2 3 2 2 4 2" xfId="6324" xr:uid="{00000000-0005-0000-0000-0000F8160000}"/>
    <cellStyle name="40 % - Akzent3 5 2 3 2 2 5" xfId="6325" xr:uid="{00000000-0005-0000-0000-0000F9160000}"/>
    <cellStyle name="40 % - Akzent3 5 2 3 2 2 6" xfId="6326" xr:uid="{00000000-0005-0000-0000-0000FA160000}"/>
    <cellStyle name="40 % - Akzent3 5 2 3 2 3" xfId="6327" xr:uid="{00000000-0005-0000-0000-0000FB160000}"/>
    <cellStyle name="40 % - Akzent3 5 2 3 2 3 2" xfId="6328" xr:uid="{00000000-0005-0000-0000-0000FC160000}"/>
    <cellStyle name="40 % - Akzent3 5 2 3 2 3 3" xfId="6329" xr:uid="{00000000-0005-0000-0000-0000FD160000}"/>
    <cellStyle name="40 % - Akzent3 5 2 3 2 4" xfId="6330" xr:uid="{00000000-0005-0000-0000-0000FE160000}"/>
    <cellStyle name="40 % - Akzent3 5 2 3 2 4 2" xfId="6331" xr:uid="{00000000-0005-0000-0000-0000FF160000}"/>
    <cellStyle name="40 % - Akzent3 5 2 3 2 4 3" xfId="6332" xr:uid="{00000000-0005-0000-0000-000000170000}"/>
    <cellStyle name="40 % - Akzent3 5 2 3 2 5" xfId="6333" xr:uid="{00000000-0005-0000-0000-000001170000}"/>
    <cellStyle name="40 % - Akzent3 5 2 3 2 5 2" xfId="6334" xr:uid="{00000000-0005-0000-0000-000002170000}"/>
    <cellStyle name="40 % - Akzent3 5 2 3 2 6" xfId="6335" xr:uid="{00000000-0005-0000-0000-000003170000}"/>
    <cellStyle name="40 % - Akzent3 5 2 3 2 7" xfId="6336" xr:uid="{00000000-0005-0000-0000-000004170000}"/>
    <cellStyle name="40 % - Akzent3 5 2 3 3" xfId="6337" xr:uid="{00000000-0005-0000-0000-000005170000}"/>
    <cellStyle name="40 % - Akzent3 5 2 3 3 2" xfId="6338" xr:uid="{00000000-0005-0000-0000-000006170000}"/>
    <cellStyle name="40 % - Akzent3 5 2 3 3 2 2" xfId="6339" xr:uid="{00000000-0005-0000-0000-000007170000}"/>
    <cellStyle name="40 % - Akzent3 5 2 3 3 2 3" xfId="6340" xr:uid="{00000000-0005-0000-0000-000008170000}"/>
    <cellStyle name="40 % - Akzent3 5 2 3 3 3" xfId="6341" xr:uid="{00000000-0005-0000-0000-000009170000}"/>
    <cellStyle name="40 % - Akzent3 5 2 3 3 3 2" xfId="6342" xr:uid="{00000000-0005-0000-0000-00000A170000}"/>
    <cellStyle name="40 % - Akzent3 5 2 3 3 3 3" xfId="6343" xr:uid="{00000000-0005-0000-0000-00000B170000}"/>
    <cellStyle name="40 % - Akzent3 5 2 3 3 4" xfId="6344" xr:uid="{00000000-0005-0000-0000-00000C170000}"/>
    <cellStyle name="40 % - Akzent3 5 2 3 3 4 2" xfId="6345" xr:uid="{00000000-0005-0000-0000-00000D170000}"/>
    <cellStyle name="40 % - Akzent3 5 2 3 3 5" xfId="6346" xr:uid="{00000000-0005-0000-0000-00000E170000}"/>
    <cellStyle name="40 % - Akzent3 5 2 3 3 6" xfId="6347" xr:uid="{00000000-0005-0000-0000-00000F170000}"/>
    <cellStyle name="40 % - Akzent3 5 2 3 4" xfId="6348" xr:uid="{00000000-0005-0000-0000-000010170000}"/>
    <cellStyle name="40 % - Akzent3 5 2 3 4 2" xfId="6349" xr:uid="{00000000-0005-0000-0000-000011170000}"/>
    <cellStyle name="40 % - Akzent3 5 2 3 4 3" xfId="6350" xr:uid="{00000000-0005-0000-0000-000012170000}"/>
    <cellStyle name="40 % - Akzent3 5 2 3 5" xfId="6351" xr:uid="{00000000-0005-0000-0000-000013170000}"/>
    <cellStyle name="40 % - Akzent3 5 2 3 5 2" xfId="6352" xr:uid="{00000000-0005-0000-0000-000014170000}"/>
    <cellStyle name="40 % - Akzent3 5 2 3 5 3" xfId="6353" xr:uid="{00000000-0005-0000-0000-000015170000}"/>
    <cellStyle name="40 % - Akzent3 5 2 3 6" xfId="6354" xr:uid="{00000000-0005-0000-0000-000016170000}"/>
    <cellStyle name="40 % - Akzent3 5 2 3 6 2" xfId="6355" xr:uid="{00000000-0005-0000-0000-000017170000}"/>
    <cellStyle name="40 % - Akzent3 5 2 3 7" xfId="6356" xr:uid="{00000000-0005-0000-0000-000018170000}"/>
    <cellStyle name="40 % - Akzent3 5 2 3 8" xfId="6357" xr:uid="{00000000-0005-0000-0000-000019170000}"/>
    <cellStyle name="40 % - Akzent3 5 2 4" xfId="6358" xr:uid="{00000000-0005-0000-0000-00001A170000}"/>
    <cellStyle name="40 % - Akzent3 5 2 4 2" xfId="6359" xr:uid="{00000000-0005-0000-0000-00001B170000}"/>
    <cellStyle name="40 % - Akzent3 5 2 4 2 2" xfId="6360" xr:uid="{00000000-0005-0000-0000-00001C170000}"/>
    <cellStyle name="40 % - Akzent3 5 2 4 2 2 2" xfId="6361" xr:uid="{00000000-0005-0000-0000-00001D170000}"/>
    <cellStyle name="40 % - Akzent3 5 2 4 2 2 2 2" xfId="6362" xr:uid="{00000000-0005-0000-0000-00001E170000}"/>
    <cellStyle name="40 % - Akzent3 5 2 4 2 2 2 3" xfId="6363" xr:uid="{00000000-0005-0000-0000-00001F170000}"/>
    <cellStyle name="40 % - Akzent3 5 2 4 2 2 3" xfId="6364" xr:uid="{00000000-0005-0000-0000-000020170000}"/>
    <cellStyle name="40 % - Akzent3 5 2 4 2 2 3 2" xfId="6365" xr:uid="{00000000-0005-0000-0000-000021170000}"/>
    <cellStyle name="40 % - Akzent3 5 2 4 2 2 3 3" xfId="6366" xr:uid="{00000000-0005-0000-0000-000022170000}"/>
    <cellStyle name="40 % - Akzent3 5 2 4 2 2 4" xfId="6367" xr:uid="{00000000-0005-0000-0000-000023170000}"/>
    <cellStyle name="40 % - Akzent3 5 2 4 2 2 4 2" xfId="6368" xr:uid="{00000000-0005-0000-0000-000024170000}"/>
    <cellStyle name="40 % - Akzent3 5 2 4 2 2 5" xfId="6369" xr:uid="{00000000-0005-0000-0000-000025170000}"/>
    <cellStyle name="40 % - Akzent3 5 2 4 2 2 6" xfId="6370" xr:uid="{00000000-0005-0000-0000-000026170000}"/>
    <cellStyle name="40 % - Akzent3 5 2 4 2 3" xfId="6371" xr:uid="{00000000-0005-0000-0000-000027170000}"/>
    <cellStyle name="40 % - Akzent3 5 2 4 2 3 2" xfId="6372" xr:uid="{00000000-0005-0000-0000-000028170000}"/>
    <cellStyle name="40 % - Akzent3 5 2 4 2 3 3" xfId="6373" xr:uid="{00000000-0005-0000-0000-000029170000}"/>
    <cellStyle name="40 % - Akzent3 5 2 4 2 4" xfId="6374" xr:uid="{00000000-0005-0000-0000-00002A170000}"/>
    <cellStyle name="40 % - Akzent3 5 2 4 2 4 2" xfId="6375" xr:uid="{00000000-0005-0000-0000-00002B170000}"/>
    <cellStyle name="40 % - Akzent3 5 2 4 2 4 3" xfId="6376" xr:uid="{00000000-0005-0000-0000-00002C170000}"/>
    <cellStyle name="40 % - Akzent3 5 2 4 2 5" xfId="6377" xr:uid="{00000000-0005-0000-0000-00002D170000}"/>
    <cellStyle name="40 % - Akzent3 5 2 4 2 5 2" xfId="6378" xr:uid="{00000000-0005-0000-0000-00002E170000}"/>
    <cellStyle name="40 % - Akzent3 5 2 4 2 6" xfId="6379" xr:uid="{00000000-0005-0000-0000-00002F170000}"/>
    <cellStyle name="40 % - Akzent3 5 2 4 2 7" xfId="6380" xr:uid="{00000000-0005-0000-0000-000030170000}"/>
    <cellStyle name="40 % - Akzent3 5 2 4 3" xfId="6381" xr:uid="{00000000-0005-0000-0000-000031170000}"/>
    <cellStyle name="40 % - Akzent3 5 2 4 3 2" xfId="6382" xr:uid="{00000000-0005-0000-0000-000032170000}"/>
    <cellStyle name="40 % - Akzent3 5 2 4 3 2 2" xfId="6383" xr:uid="{00000000-0005-0000-0000-000033170000}"/>
    <cellStyle name="40 % - Akzent3 5 2 4 3 2 3" xfId="6384" xr:uid="{00000000-0005-0000-0000-000034170000}"/>
    <cellStyle name="40 % - Akzent3 5 2 4 3 3" xfId="6385" xr:uid="{00000000-0005-0000-0000-000035170000}"/>
    <cellStyle name="40 % - Akzent3 5 2 4 3 3 2" xfId="6386" xr:uid="{00000000-0005-0000-0000-000036170000}"/>
    <cellStyle name="40 % - Akzent3 5 2 4 3 3 3" xfId="6387" xr:uid="{00000000-0005-0000-0000-000037170000}"/>
    <cellStyle name="40 % - Akzent3 5 2 4 3 4" xfId="6388" xr:uid="{00000000-0005-0000-0000-000038170000}"/>
    <cellStyle name="40 % - Akzent3 5 2 4 3 4 2" xfId="6389" xr:uid="{00000000-0005-0000-0000-000039170000}"/>
    <cellStyle name="40 % - Akzent3 5 2 4 3 5" xfId="6390" xr:uid="{00000000-0005-0000-0000-00003A170000}"/>
    <cellStyle name="40 % - Akzent3 5 2 4 3 6" xfId="6391" xr:uid="{00000000-0005-0000-0000-00003B170000}"/>
    <cellStyle name="40 % - Akzent3 5 2 4 4" xfId="6392" xr:uid="{00000000-0005-0000-0000-00003C170000}"/>
    <cellStyle name="40 % - Akzent3 5 2 4 4 2" xfId="6393" xr:uid="{00000000-0005-0000-0000-00003D170000}"/>
    <cellStyle name="40 % - Akzent3 5 2 4 4 3" xfId="6394" xr:uid="{00000000-0005-0000-0000-00003E170000}"/>
    <cellStyle name="40 % - Akzent3 5 2 4 5" xfId="6395" xr:uid="{00000000-0005-0000-0000-00003F170000}"/>
    <cellStyle name="40 % - Akzent3 5 2 4 5 2" xfId="6396" xr:uid="{00000000-0005-0000-0000-000040170000}"/>
    <cellStyle name="40 % - Akzent3 5 2 4 5 3" xfId="6397" xr:uid="{00000000-0005-0000-0000-000041170000}"/>
    <cellStyle name="40 % - Akzent3 5 2 4 6" xfId="6398" xr:uid="{00000000-0005-0000-0000-000042170000}"/>
    <cellStyle name="40 % - Akzent3 5 2 4 6 2" xfId="6399" xr:uid="{00000000-0005-0000-0000-000043170000}"/>
    <cellStyle name="40 % - Akzent3 5 2 4 7" xfId="6400" xr:uid="{00000000-0005-0000-0000-000044170000}"/>
    <cellStyle name="40 % - Akzent3 5 2 4 8" xfId="6401" xr:uid="{00000000-0005-0000-0000-000045170000}"/>
    <cellStyle name="40 % - Akzent3 5 2 5" xfId="6402" xr:uid="{00000000-0005-0000-0000-000046170000}"/>
    <cellStyle name="40 % - Akzent3 5 2 5 2" xfId="6403" xr:uid="{00000000-0005-0000-0000-000047170000}"/>
    <cellStyle name="40 % - Akzent3 5 2 5 2 2" xfId="6404" xr:uid="{00000000-0005-0000-0000-000048170000}"/>
    <cellStyle name="40 % - Akzent3 5 2 5 2 2 2" xfId="6405" xr:uid="{00000000-0005-0000-0000-000049170000}"/>
    <cellStyle name="40 % - Akzent3 5 2 5 2 2 3" xfId="6406" xr:uid="{00000000-0005-0000-0000-00004A170000}"/>
    <cellStyle name="40 % - Akzent3 5 2 5 2 3" xfId="6407" xr:uid="{00000000-0005-0000-0000-00004B170000}"/>
    <cellStyle name="40 % - Akzent3 5 2 5 2 3 2" xfId="6408" xr:uid="{00000000-0005-0000-0000-00004C170000}"/>
    <cellStyle name="40 % - Akzent3 5 2 5 2 3 3" xfId="6409" xr:uid="{00000000-0005-0000-0000-00004D170000}"/>
    <cellStyle name="40 % - Akzent3 5 2 5 2 4" xfId="6410" xr:uid="{00000000-0005-0000-0000-00004E170000}"/>
    <cellStyle name="40 % - Akzent3 5 2 5 2 4 2" xfId="6411" xr:uid="{00000000-0005-0000-0000-00004F170000}"/>
    <cellStyle name="40 % - Akzent3 5 2 5 2 5" xfId="6412" xr:uid="{00000000-0005-0000-0000-000050170000}"/>
    <cellStyle name="40 % - Akzent3 5 2 5 2 6" xfId="6413" xr:uid="{00000000-0005-0000-0000-000051170000}"/>
    <cellStyle name="40 % - Akzent3 5 2 5 3" xfId="6414" xr:uid="{00000000-0005-0000-0000-000052170000}"/>
    <cellStyle name="40 % - Akzent3 5 2 5 3 2" xfId="6415" xr:uid="{00000000-0005-0000-0000-000053170000}"/>
    <cellStyle name="40 % - Akzent3 5 2 5 3 3" xfId="6416" xr:uid="{00000000-0005-0000-0000-000054170000}"/>
    <cellStyle name="40 % - Akzent3 5 2 5 4" xfId="6417" xr:uid="{00000000-0005-0000-0000-000055170000}"/>
    <cellStyle name="40 % - Akzent3 5 2 5 4 2" xfId="6418" xr:uid="{00000000-0005-0000-0000-000056170000}"/>
    <cellStyle name="40 % - Akzent3 5 2 5 4 3" xfId="6419" xr:uid="{00000000-0005-0000-0000-000057170000}"/>
    <cellStyle name="40 % - Akzent3 5 2 5 5" xfId="6420" xr:uid="{00000000-0005-0000-0000-000058170000}"/>
    <cellStyle name="40 % - Akzent3 5 2 5 5 2" xfId="6421" xr:uid="{00000000-0005-0000-0000-000059170000}"/>
    <cellStyle name="40 % - Akzent3 5 2 5 6" xfId="6422" xr:uid="{00000000-0005-0000-0000-00005A170000}"/>
    <cellStyle name="40 % - Akzent3 5 2 5 7" xfId="6423" xr:uid="{00000000-0005-0000-0000-00005B170000}"/>
    <cellStyle name="40 % - Akzent3 5 2 6" xfId="6424" xr:uid="{00000000-0005-0000-0000-00005C170000}"/>
    <cellStyle name="40 % - Akzent3 5 2 6 2" xfId="6425" xr:uid="{00000000-0005-0000-0000-00005D170000}"/>
    <cellStyle name="40 % - Akzent3 5 2 6 2 2" xfId="6426" xr:uid="{00000000-0005-0000-0000-00005E170000}"/>
    <cellStyle name="40 % - Akzent3 5 2 6 2 3" xfId="6427" xr:uid="{00000000-0005-0000-0000-00005F170000}"/>
    <cellStyle name="40 % - Akzent3 5 2 6 3" xfId="6428" xr:uid="{00000000-0005-0000-0000-000060170000}"/>
    <cellStyle name="40 % - Akzent3 5 2 6 3 2" xfId="6429" xr:uid="{00000000-0005-0000-0000-000061170000}"/>
    <cellStyle name="40 % - Akzent3 5 2 6 3 3" xfId="6430" xr:uid="{00000000-0005-0000-0000-000062170000}"/>
    <cellStyle name="40 % - Akzent3 5 2 6 4" xfId="6431" xr:uid="{00000000-0005-0000-0000-000063170000}"/>
    <cellStyle name="40 % - Akzent3 5 2 6 4 2" xfId="6432" xr:uid="{00000000-0005-0000-0000-000064170000}"/>
    <cellStyle name="40 % - Akzent3 5 2 6 5" xfId="6433" xr:uid="{00000000-0005-0000-0000-000065170000}"/>
    <cellStyle name="40 % - Akzent3 5 2 6 6" xfId="6434" xr:uid="{00000000-0005-0000-0000-000066170000}"/>
    <cellStyle name="40 % - Akzent3 5 2 7" xfId="6435" xr:uid="{00000000-0005-0000-0000-000067170000}"/>
    <cellStyle name="40 % - Akzent3 5 2 7 2" xfId="6436" xr:uid="{00000000-0005-0000-0000-000068170000}"/>
    <cellStyle name="40 % - Akzent3 5 2 7 3" xfId="6437" xr:uid="{00000000-0005-0000-0000-000069170000}"/>
    <cellStyle name="40 % - Akzent3 5 2 8" xfId="6438" xr:uid="{00000000-0005-0000-0000-00006A170000}"/>
    <cellStyle name="40 % - Akzent3 5 2 8 2" xfId="6439" xr:uid="{00000000-0005-0000-0000-00006B170000}"/>
    <cellStyle name="40 % - Akzent3 5 2 8 3" xfId="6440" xr:uid="{00000000-0005-0000-0000-00006C170000}"/>
    <cellStyle name="40 % - Akzent3 5 2 9" xfId="6441" xr:uid="{00000000-0005-0000-0000-00006D170000}"/>
    <cellStyle name="40 % - Akzent3 5 2 9 2" xfId="6442" xr:uid="{00000000-0005-0000-0000-00006E170000}"/>
    <cellStyle name="40 % - Akzent3 6" xfId="6443" xr:uid="{00000000-0005-0000-0000-00006F170000}"/>
    <cellStyle name="40 % - Akzent4 2" xfId="181" xr:uid="{00000000-0005-0000-0000-000070170000}"/>
    <cellStyle name="40 % - Akzent4 2 2" xfId="182" xr:uid="{00000000-0005-0000-0000-000071170000}"/>
    <cellStyle name="40 % - Akzent4 2 2 2" xfId="183" xr:uid="{00000000-0005-0000-0000-000072170000}"/>
    <cellStyle name="40 % - Akzent4 2 2 3" xfId="33093" xr:uid="{00000000-0005-0000-0000-000073170000}"/>
    <cellStyle name="40 % - Akzent4 2 2 4" xfId="33168" xr:uid="{00000000-0005-0000-0000-000074170000}"/>
    <cellStyle name="40 % - Akzent4 2 2 5" xfId="33243" xr:uid="{00000000-0005-0000-0000-000075170000}"/>
    <cellStyle name="40 % - Akzent4 2 2 6" xfId="33318" xr:uid="{00000000-0005-0000-0000-000076170000}"/>
    <cellStyle name="40 % - Akzent4 2 3" xfId="184" xr:uid="{00000000-0005-0000-0000-000077170000}"/>
    <cellStyle name="40 % - Akzent4 2 3 2" xfId="33094" xr:uid="{00000000-0005-0000-0000-000078170000}"/>
    <cellStyle name="40 % - Akzent4 2 3 3" xfId="33169" xr:uid="{00000000-0005-0000-0000-000079170000}"/>
    <cellStyle name="40 % - Akzent4 2 3 4" xfId="33244" xr:uid="{00000000-0005-0000-0000-00007A170000}"/>
    <cellStyle name="40 % - Akzent4 2 3 5" xfId="33319" xr:uid="{00000000-0005-0000-0000-00007B170000}"/>
    <cellStyle name="40 % - Akzent4 2 4" xfId="185" xr:uid="{00000000-0005-0000-0000-00007C170000}"/>
    <cellStyle name="40 % - Akzent4 2 4 2" xfId="33095" xr:uid="{00000000-0005-0000-0000-00007D170000}"/>
    <cellStyle name="40 % - Akzent4 2 4 3" xfId="33170" xr:uid="{00000000-0005-0000-0000-00007E170000}"/>
    <cellStyle name="40 % - Akzent4 2 4 4" xfId="33245" xr:uid="{00000000-0005-0000-0000-00007F170000}"/>
    <cellStyle name="40 % - Akzent4 2 4 5" xfId="33320" xr:uid="{00000000-0005-0000-0000-000080170000}"/>
    <cellStyle name="40 % - Akzent4 2 5" xfId="186" xr:uid="{00000000-0005-0000-0000-000081170000}"/>
    <cellStyle name="40 % - Akzent4 2 6" xfId="33092" xr:uid="{00000000-0005-0000-0000-000082170000}"/>
    <cellStyle name="40 % - Akzent4 2 7" xfId="33167" xr:uid="{00000000-0005-0000-0000-000083170000}"/>
    <cellStyle name="40 % - Akzent4 2 8" xfId="33242" xr:uid="{00000000-0005-0000-0000-000084170000}"/>
    <cellStyle name="40 % - Akzent4 2 9" xfId="33317" xr:uid="{00000000-0005-0000-0000-000085170000}"/>
    <cellStyle name="40 % - Akzent4 3" xfId="187" xr:uid="{00000000-0005-0000-0000-000086170000}"/>
    <cellStyle name="40 % - Akzent4 3 2" xfId="188" xr:uid="{00000000-0005-0000-0000-000087170000}"/>
    <cellStyle name="40 % - Akzent4 3 2 10" xfId="6444" xr:uid="{00000000-0005-0000-0000-000088170000}"/>
    <cellStyle name="40 % - Akzent4 3 2 11" xfId="6445" xr:uid="{00000000-0005-0000-0000-000089170000}"/>
    <cellStyle name="40 % - Akzent4 3 2 12" xfId="33096" xr:uid="{00000000-0005-0000-0000-00008A170000}"/>
    <cellStyle name="40 % - Akzent4 3 2 13" xfId="33171" xr:uid="{00000000-0005-0000-0000-00008B170000}"/>
    <cellStyle name="40 % - Akzent4 3 2 14" xfId="33246" xr:uid="{00000000-0005-0000-0000-00008C170000}"/>
    <cellStyle name="40 % - Akzent4 3 2 15" xfId="33321" xr:uid="{00000000-0005-0000-0000-00008D170000}"/>
    <cellStyle name="40 % - Akzent4 3 2 2" xfId="6446" xr:uid="{00000000-0005-0000-0000-00008E170000}"/>
    <cellStyle name="40 % - Akzent4 3 2 2 10" xfId="6447" xr:uid="{00000000-0005-0000-0000-00008F170000}"/>
    <cellStyle name="40 % - Akzent4 3 2 2 2" xfId="6448" xr:uid="{00000000-0005-0000-0000-000090170000}"/>
    <cellStyle name="40 % - Akzent4 3 2 2 2 2" xfId="6449" xr:uid="{00000000-0005-0000-0000-000091170000}"/>
    <cellStyle name="40 % - Akzent4 3 2 2 2 2 2" xfId="6450" xr:uid="{00000000-0005-0000-0000-000092170000}"/>
    <cellStyle name="40 % - Akzent4 3 2 2 2 2 2 2" xfId="6451" xr:uid="{00000000-0005-0000-0000-000093170000}"/>
    <cellStyle name="40 % - Akzent4 3 2 2 2 2 2 2 2" xfId="6452" xr:uid="{00000000-0005-0000-0000-000094170000}"/>
    <cellStyle name="40 % - Akzent4 3 2 2 2 2 2 2 3" xfId="6453" xr:uid="{00000000-0005-0000-0000-000095170000}"/>
    <cellStyle name="40 % - Akzent4 3 2 2 2 2 2 3" xfId="6454" xr:uid="{00000000-0005-0000-0000-000096170000}"/>
    <cellStyle name="40 % - Akzent4 3 2 2 2 2 2 3 2" xfId="6455" xr:uid="{00000000-0005-0000-0000-000097170000}"/>
    <cellStyle name="40 % - Akzent4 3 2 2 2 2 2 3 3" xfId="6456" xr:uid="{00000000-0005-0000-0000-000098170000}"/>
    <cellStyle name="40 % - Akzent4 3 2 2 2 2 2 4" xfId="6457" xr:uid="{00000000-0005-0000-0000-000099170000}"/>
    <cellStyle name="40 % - Akzent4 3 2 2 2 2 2 4 2" xfId="6458" xr:uid="{00000000-0005-0000-0000-00009A170000}"/>
    <cellStyle name="40 % - Akzent4 3 2 2 2 2 2 5" xfId="6459" xr:uid="{00000000-0005-0000-0000-00009B170000}"/>
    <cellStyle name="40 % - Akzent4 3 2 2 2 2 2 6" xfId="6460" xr:uid="{00000000-0005-0000-0000-00009C170000}"/>
    <cellStyle name="40 % - Akzent4 3 2 2 2 2 3" xfId="6461" xr:uid="{00000000-0005-0000-0000-00009D170000}"/>
    <cellStyle name="40 % - Akzent4 3 2 2 2 2 3 2" xfId="6462" xr:uid="{00000000-0005-0000-0000-00009E170000}"/>
    <cellStyle name="40 % - Akzent4 3 2 2 2 2 3 3" xfId="6463" xr:uid="{00000000-0005-0000-0000-00009F170000}"/>
    <cellStyle name="40 % - Akzent4 3 2 2 2 2 4" xfId="6464" xr:uid="{00000000-0005-0000-0000-0000A0170000}"/>
    <cellStyle name="40 % - Akzent4 3 2 2 2 2 4 2" xfId="6465" xr:uid="{00000000-0005-0000-0000-0000A1170000}"/>
    <cellStyle name="40 % - Akzent4 3 2 2 2 2 4 3" xfId="6466" xr:uid="{00000000-0005-0000-0000-0000A2170000}"/>
    <cellStyle name="40 % - Akzent4 3 2 2 2 2 5" xfId="6467" xr:uid="{00000000-0005-0000-0000-0000A3170000}"/>
    <cellStyle name="40 % - Akzent4 3 2 2 2 2 5 2" xfId="6468" xr:uid="{00000000-0005-0000-0000-0000A4170000}"/>
    <cellStyle name="40 % - Akzent4 3 2 2 2 2 6" xfId="6469" xr:uid="{00000000-0005-0000-0000-0000A5170000}"/>
    <cellStyle name="40 % - Akzent4 3 2 2 2 2 7" xfId="6470" xr:uid="{00000000-0005-0000-0000-0000A6170000}"/>
    <cellStyle name="40 % - Akzent4 3 2 2 2 3" xfId="6471" xr:uid="{00000000-0005-0000-0000-0000A7170000}"/>
    <cellStyle name="40 % - Akzent4 3 2 2 2 3 2" xfId="6472" xr:uid="{00000000-0005-0000-0000-0000A8170000}"/>
    <cellStyle name="40 % - Akzent4 3 2 2 2 3 2 2" xfId="6473" xr:uid="{00000000-0005-0000-0000-0000A9170000}"/>
    <cellStyle name="40 % - Akzent4 3 2 2 2 3 2 3" xfId="6474" xr:uid="{00000000-0005-0000-0000-0000AA170000}"/>
    <cellStyle name="40 % - Akzent4 3 2 2 2 3 3" xfId="6475" xr:uid="{00000000-0005-0000-0000-0000AB170000}"/>
    <cellStyle name="40 % - Akzent4 3 2 2 2 3 3 2" xfId="6476" xr:uid="{00000000-0005-0000-0000-0000AC170000}"/>
    <cellStyle name="40 % - Akzent4 3 2 2 2 3 3 3" xfId="6477" xr:uid="{00000000-0005-0000-0000-0000AD170000}"/>
    <cellStyle name="40 % - Akzent4 3 2 2 2 3 4" xfId="6478" xr:uid="{00000000-0005-0000-0000-0000AE170000}"/>
    <cellStyle name="40 % - Akzent4 3 2 2 2 3 4 2" xfId="6479" xr:uid="{00000000-0005-0000-0000-0000AF170000}"/>
    <cellStyle name="40 % - Akzent4 3 2 2 2 3 5" xfId="6480" xr:uid="{00000000-0005-0000-0000-0000B0170000}"/>
    <cellStyle name="40 % - Akzent4 3 2 2 2 3 6" xfId="6481" xr:uid="{00000000-0005-0000-0000-0000B1170000}"/>
    <cellStyle name="40 % - Akzent4 3 2 2 2 4" xfId="6482" xr:uid="{00000000-0005-0000-0000-0000B2170000}"/>
    <cellStyle name="40 % - Akzent4 3 2 2 2 4 2" xfId="6483" xr:uid="{00000000-0005-0000-0000-0000B3170000}"/>
    <cellStyle name="40 % - Akzent4 3 2 2 2 4 3" xfId="6484" xr:uid="{00000000-0005-0000-0000-0000B4170000}"/>
    <cellStyle name="40 % - Akzent4 3 2 2 2 5" xfId="6485" xr:uid="{00000000-0005-0000-0000-0000B5170000}"/>
    <cellStyle name="40 % - Akzent4 3 2 2 2 5 2" xfId="6486" xr:uid="{00000000-0005-0000-0000-0000B6170000}"/>
    <cellStyle name="40 % - Akzent4 3 2 2 2 5 3" xfId="6487" xr:uid="{00000000-0005-0000-0000-0000B7170000}"/>
    <cellStyle name="40 % - Akzent4 3 2 2 2 6" xfId="6488" xr:uid="{00000000-0005-0000-0000-0000B8170000}"/>
    <cellStyle name="40 % - Akzent4 3 2 2 2 6 2" xfId="6489" xr:uid="{00000000-0005-0000-0000-0000B9170000}"/>
    <cellStyle name="40 % - Akzent4 3 2 2 2 7" xfId="6490" xr:uid="{00000000-0005-0000-0000-0000BA170000}"/>
    <cellStyle name="40 % - Akzent4 3 2 2 2 8" xfId="6491" xr:uid="{00000000-0005-0000-0000-0000BB170000}"/>
    <cellStyle name="40 % - Akzent4 3 2 2 3" xfId="6492" xr:uid="{00000000-0005-0000-0000-0000BC170000}"/>
    <cellStyle name="40 % - Akzent4 3 2 2 3 2" xfId="6493" xr:uid="{00000000-0005-0000-0000-0000BD170000}"/>
    <cellStyle name="40 % - Akzent4 3 2 2 3 2 2" xfId="6494" xr:uid="{00000000-0005-0000-0000-0000BE170000}"/>
    <cellStyle name="40 % - Akzent4 3 2 2 3 2 2 2" xfId="6495" xr:uid="{00000000-0005-0000-0000-0000BF170000}"/>
    <cellStyle name="40 % - Akzent4 3 2 2 3 2 2 2 2" xfId="6496" xr:uid="{00000000-0005-0000-0000-0000C0170000}"/>
    <cellStyle name="40 % - Akzent4 3 2 2 3 2 2 2 3" xfId="6497" xr:uid="{00000000-0005-0000-0000-0000C1170000}"/>
    <cellStyle name="40 % - Akzent4 3 2 2 3 2 2 3" xfId="6498" xr:uid="{00000000-0005-0000-0000-0000C2170000}"/>
    <cellStyle name="40 % - Akzent4 3 2 2 3 2 2 3 2" xfId="6499" xr:uid="{00000000-0005-0000-0000-0000C3170000}"/>
    <cellStyle name="40 % - Akzent4 3 2 2 3 2 2 3 3" xfId="6500" xr:uid="{00000000-0005-0000-0000-0000C4170000}"/>
    <cellStyle name="40 % - Akzent4 3 2 2 3 2 2 4" xfId="6501" xr:uid="{00000000-0005-0000-0000-0000C5170000}"/>
    <cellStyle name="40 % - Akzent4 3 2 2 3 2 2 4 2" xfId="6502" xr:uid="{00000000-0005-0000-0000-0000C6170000}"/>
    <cellStyle name="40 % - Akzent4 3 2 2 3 2 2 5" xfId="6503" xr:uid="{00000000-0005-0000-0000-0000C7170000}"/>
    <cellStyle name="40 % - Akzent4 3 2 2 3 2 2 6" xfId="6504" xr:uid="{00000000-0005-0000-0000-0000C8170000}"/>
    <cellStyle name="40 % - Akzent4 3 2 2 3 2 3" xfId="6505" xr:uid="{00000000-0005-0000-0000-0000C9170000}"/>
    <cellStyle name="40 % - Akzent4 3 2 2 3 2 3 2" xfId="6506" xr:uid="{00000000-0005-0000-0000-0000CA170000}"/>
    <cellStyle name="40 % - Akzent4 3 2 2 3 2 3 3" xfId="6507" xr:uid="{00000000-0005-0000-0000-0000CB170000}"/>
    <cellStyle name="40 % - Akzent4 3 2 2 3 2 4" xfId="6508" xr:uid="{00000000-0005-0000-0000-0000CC170000}"/>
    <cellStyle name="40 % - Akzent4 3 2 2 3 2 4 2" xfId="6509" xr:uid="{00000000-0005-0000-0000-0000CD170000}"/>
    <cellStyle name="40 % - Akzent4 3 2 2 3 2 4 3" xfId="6510" xr:uid="{00000000-0005-0000-0000-0000CE170000}"/>
    <cellStyle name="40 % - Akzent4 3 2 2 3 2 5" xfId="6511" xr:uid="{00000000-0005-0000-0000-0000CF170000}"/>
    <cellStyle name="40 % - Akzent4 3 2 2 3 2 5 2" xfId="6512" xr:uid="{00000000-0005-0000-0000-0000D0170000}"/>
    <cellStyle name="40 % - Akzent4 3 2 2 3 2 6" xfId="6513" xr:uid="{00000000-0005-0000-0000-0000D1170000}"/>
    <cellStyle name="40 % - Akzent4 3 2 2 3 2 7" xfId="6514" xr:uid="{00000000-0005-0000-0000-0000D2170000}"/>
    <cellStyle name="40 % - Akzent4 3 2 2 3 3" xfId="6515" xr:uid="{00000000-0005-0000-0000-0000D3170000}"/>
    <cellStyle name="40 % - Akzent4 3 2 2 3 3 2" xfId="6516" xr:uid="{00000000-0005-0000-0000-0000D4170000}"/>
    <cellStyle name="40 % - Akzent4 3 2 2 3 3 2 2" xfId="6517" xr:uid="{00000000-0005-0000-0000-0000D5170000}"/>
    <cellStyle name="40 % - Akzent4 3 2 2 3 3 2 3" xfId="6518" xr:uid="{00000000-0005-0000-0000-0000D6170000}"/>
    <cellStyle name="40 % - Akzent4 3 2 2 3 3 3" xfId="6519" xr:uid="{00000000-0005-0000-0000-0000D7170000}"/>
    <cellStyle name="40 % - Akzent4 3 2 2 3 3 3 2" xfId="6520" xr:uid="{00000000-0005-0000-0000-0000D8170000}"/>
    <cellStyle name="40 % - Akzent4 3 2 2 3 3 3 3" xfId="6521" xr:uid="{00000000-0005-0000-0000-0000D9170000}"/>
    <cellStyle name="40 % - Akzent4 3 2 2 3 3 4" xfId="6522" xr:uid="{00000000-0005-0000-0000-0000DA170000}"/>
    <cellStyle name="40 % - Akzent4 3 2 2 3 3 4 2" xfId="6523" xr:uid="{00000000-0005-0000-0000-0000DB170000}"/>
    <cellStyle name="40 % - Akzent4 3 2 2 3 3 5" xfId="6524" xr:uid="{00000000-0005-0000-0000-0000DC170000}"/>
    <cellStyle name="40 % - Akzent4 3 2 2 3 3 6" xfId="6525" xr:uid="{00000000-0005-0000-0000-0000DD170000}"/>
    <cellStyle name="40 % - Akzent4 3 2 2 3 4" xfId="6526" xr:uid="{00000000-0005-0000-0000-0000DE170000}"/>
    <cellStyle name="40 % - Akzent4 3 2 2 3 4 2" xfId="6527" xr:uid="{00000000-0005-0000-0000-0000DF170000}"/>
    <cellStyle name="40 % - Akzent4 3 2 2 3 4 3" xfId="6528" xr:uid="{00000000-0005-0000-0000-0000E0170000}"/>
    <cellStyle name="40 % - Akzent4 3 2 2 3 5" xfId="6529" xr:uid="{00000000-0005-0000-0000-0000E1170000}"/>
    <cellStyle name="40 % - Akzent4 3 2 2 3 5 2" xfId="6530" xr:uid="{00000000-0005-0000-0000-0000E2170000}"/>
    <cellStyle name="40 % - Akzent4 3 2 2 3 5 3" xfId="6531" xr:uid="{00000000-0005-0000-0000-0000E3170000}"/>
    <cellStyle name="40 % - Akzent4 3 2 2 3 6" xfId="6532" xr:uid="{00000000-0005-0000-0000-0000E4170000}"/>
    <cellStyle name="40 % - Akzent4 3 2 2 3 6 2" xfId="6533" xr:uid="{00000000-0005-0000-0000-0000E5170000}"/>
    <cellStyle name="40 % - Akzent4 3 2 2 3 7" xfId="6534" xr:uid="{00000000-0005-0000-0000-0000E6170000}"/>
    <cellStyle name="40 % - Akzent4 3 2 2 3 8" xfId="6535" xr:uid="{00000000-0005-0000-0000-0000E7170000}"/>
    <cellStyle name="40 % - Akzent4 3 2 2 4" xfId="6536" xr:uid="{00000000-0005-0000-0000-0000E8170000}"/>
    <cellStyle name="40 % - Akzent4 3 2 2 4 2" xfId="6537" xr:uid="{00000000-0005-0000-0000-0000E9170000}"/>
    <cellStyle name="40 % - Akzent4 3 2 2 4 2 2" xfId="6538" xr:uid="{00000000-0005-0000-0000-0000EA170000}"/>
    <cellStyle name="40 % - Akzent4 3 2 2 4 2 2 2" xfId="6539" xr:uid="{00000000-0005-0000-0000-0000EB170000}"/>
    <cellStyle name="40 % - Akzent4 3 2 2 4 2 2 3" xfId="6540" xr:uid="{00000000-0005-0000-0000-0000EC170000}"/>
    <cellStyle name="40 % - Akzent4 3 2 2 4 2 3" xfId="6541" xr:uid="{00000000-0005-0000-0000-0000ED170000}"/>
    <cellStyle name="40 % - Akzent4 3 2 2 4 2 3 2" xfId="6542" xr:uid="{00000000-0005-0000-0000-0000EE170000}"/>
    <cellStyle name="40 % - Akzent4 3 2 2 4 2 3 3" xfId="6543" xr:uid="{00000000-0005-0000-0000-0000EF170000}"/>
    <cellStyle name="40 % - Akzent4 3 2 2 4 2 4" xfId="6544" xr:uid="{00000000-0005-0000-0000-0000F0170000}"/>
    <cellStyle name="40 % - Akzent4 3 2 2 4 2 4 2" xfId="6545" xr:uid="{00000000-0005-0000-0000-0000F1170000}"/>
    <cellStyle name="40 % - Akzent4 3 2 2 4 2 5" xfId="6546" xr:uid="{00000000-0005-0000-0000-0000F2170000}"/>
    <cellStyle name="40 % - Akzent4 3 2 2 4 2 6" xfId="6547" xr:uid="{00000000-0005-0000-0000-0000F3170000}"/>
    <cellStyle name="40 % - Akzent4 3 2 2 4 3" xfId="6548" xr:uid="{00000000-0005-0000-0000-0000F4170000}"/>
    <cellStyle name="40 % - Akzent4 3 2 2 4 3 2" xfId="6549" xr:uid="{00000000-0005-0000-0000-0000F5170000}"/>
    <cellStyle name="40 % - Akzent4 3 2 2 4 3 3" xfId="6550" xr:uid="{00000000-0005-0000-0000-0000F6170000}"/>
    <cellStyle name="40 % - Akzent4 3 2 2 4 4" xfId="6551" xr:uid="{00000000-0005-0000-0000-0000F7170000}"/>
    <cellStyle name="40 % - Akzent4 3 2 2 4 4 2" xfId="6552" xr:uid="{00000000-0005-0000-0000-0000F8170000}"/>
    <cellStyle name="40 % - Akzent4 3 2 2 4 4 3" xfId="6553" xr:uid="{00000000-0005-0000-0000-0000F9170000}"/>
    <cellStyle name="40 % - Akzent4 3 2 2 4 5" xfId="6554" xr:uid="{00000000-0005-0000-0000-0000FA170000}"/>
    <cellStyle name="40 % - Akzent4 3 2 2 4 5 2" xfId="6555" xr:uid="{00000000-0005-0000-0000-0000FB170000}"/>
    <cellStyle name="40 % - Akzent4 3 2 2 4 6" xfId="6556" xr:uid="{00000000-0005-0000-0000-0000FC170000}"/>
    <cellStyle name="40 % - Akzent4 3 2 2 4 7" xfId="6557" xr:uid="{00000000-0005-0000-0000-0000FD170000}"/>
    <cellStyle name="40 % - Akzent4 3 2 2 5" xfId="6558" xr:uid="{00000000-0005-0000-0000-0000FE170000}"/>
    <cellStyle name="40 % - Akzent4 3 2 2 5 2" xfId="6559" xr:uid="{00000000-0005-0000-0000-0000FF170000}"/>
    <cellStyle name="40 % - Akzent4 3 2 2 5 2 2" xfId="6560" xr:uid="{00000000-0005-0000-0000-000000180000}"/>
    <cellStyle name="40 % - Akzent4 3 2 2 5 2 3" xfId="6561" xr:uid="{00000000-0005-0000-0000-000001180000}"/>
    <cellStyle name="40 % - Akzent4 3 2 2 5 3" xfId="6562" xr:uid="{00000000-0005-0000-0000-000002180000}"/>
    <cellStyle name="40 % - Akzent4 3 2 2 5 3 2" xfId="6563" xr:uid="{00000000-0005-0000-0000-000003180000}"/>
    <cellStyle name="40 % - Akzent4 3 2 2 5 3 3" xfId="6564" xr:uid="{00000000-0005-0000-0000-000004180000}"/>
    <cellStyle name="40 % - Akzent4 3 2 2 5 4" xfId="6565" xr:uid="{00000000-0005-0000-0000-000005180000}"/>
    <cellStyle name="40 % - Akzent4 3 2 2 5 4 2" xfId="6566" xr:uid="{00000000-0005-0000-0000-000006180000}"/>
    <cellStyle name="40 % - Akzent4 3 2 2 5 5" xfId="6567" xr:uid="{00000000-0005-0000-0000-000007180000}"/>
    <cellStyle name="40 % - Akzent4 3 2 2 5 6" xfId="6568" xr:uid="{00000000-0005-0000-0000-000008180000}"/>
    <cellStyle name="40 % - Akzent4 3 2 2 6" xfId="6569" xr:uid="{00000000-0005-0000-0000-000009180000}"/>
    <cellStyle name="40 % - Akzent4 3 2 2 6 2" xfId="6570" xr:uid="{00000000-0005-0000-0000-00000A180000}"/>
    <cellStyle name="40 % - Akzent4 3 2 2 6 3" xfId="6571" xr:uid="{00000000-0005-0000-0000-00000B180000}"/>
    <cellStyle name="40 % - Akzent4 3 2 2 7" xfId="6572" xr:uid="{00000000-0005-0000-0000-00000C180000}"/>
    <cellStyle name="40 % - Akzent4 3 2 2 7 2" xfId="6573" xr:uid="{00000000-0005-0000-0000-00000D180000}"/>
    <cellStyle name="40 % - Akzent4 3 2 2 7 3" xfId="6574" xr:uid="{00000000-0005-0000-0000-00000E180000}"/>
    <cellStyle name="40 % - Akzent4 3 2 2 8" xfId="6575" xr:uid="{00000000-0005-0000-0000-00000F180000}"/>
    <cellStyle name="40 % - Akzent4 3 2 2 8 2" xfId="6576" xr:uid="{00000000-0005-0000-0000-000010180000}"/>
    <cellStyle name="40 % - Akzent4 3 2 2 9" xfId="6577" xr:uid="{00000000-0005-0000-0000-000011180000}"/>
    <cellStyle name="40 % - Akzent4 3 2 3" xfId="6578" xr:uid="{00000000-0005-0000-0000-000012180000}"/>
    <cellStyle name="40 % - Akzent4 3 2 3 2" xfId="6579" xr:uid="{00000000-0005-0000-0000-000013180000}"/>
    <cellStyle name="40 % - Akzent4 3 2 3 2 2" xfId="6580" xr:uid="{00000000-0005-0000-0000-000014180000}"/>
    <cellStyle name="40 % - Akzent4 3 2 3 2 2 2" xfId="6581" xr:uid="{00000000-0005-0000-0000-000015180000}"/>
    <cellStyle name="40 % - Akzent4 3 2 3 2 2 2 2" xfId="6582" xr:uid="{00000000-0005-0000-0000-000016180000}"/>
    <cellStyle name="40 % - Akzent4 3 2 3 2 2 2 3" xfId="6583" xr:uid="{00000000-0005-0000-0000-000017180000}"/>
    <cellStyle name="40 % - Akzent4 3 2 3 2 2 3" xfId="6584" xr:uid="{00000000-0005-0000-0000-000018180000}"/>
    <cellStyle name="40 % - Akzent4 3 2 3 2 2 3 2" xfId="6585" xr:uid="{00000000-0005-0000-0000-000019180000}"/>
    <cellStyle name="40 % - Akzent4 3 2 3 2 2 3 3" xfId="6586" xr:uid="{00000000-0005-0000-0000-00001A180000}"/>
    <cellStyle name="40 % - Akzent4 3 2 3 2 2 4" xfId="6587" xr:uid="{00000000-0005-0000-0000-00001B180000}"/>
    <cellStyle name="40 % - Akzent4 3 2 3 2 2 4 2" xfId="6588" xr:uid="{00000000-0005-0000-0000-00001C180000}"/>
    <cellStyle name="40 % - Akzent4 3 2 3 2 2 5" xfId="6589" xr:uid="{00000000-0005-0000-0000-00001D180000}"/>
    <cellStyle name="40 % - Akzent4 3 2 3 2 2 6" xfId="6590" xr:uid="{00000000-0005-0000-0000-00001E180000}"/>
    <cellStyle name="40 % - Akzent4 3 2 3 2 3" xfId="6591" xr:uid="{00000000-0005-0000-0000-00001F180000}"/>
    <cellStyle name="40 % - Akzent4 3 2 3 2 3 2" xfId="6592" xr:uid="{00000000-0005-0000-0000-000020180000}"/>
    <cellStyle name="40 % - Akzent4 3 2 3 2 3 3" xfId="6593" xr:uid="{00000000-0005-0000-0000-000021180000}"/>
    <cellStyle name="40 % - Akzent4 3 2 3 2 4" xfId="6594" xr:uid="{00000000-0005-0000-0000-000022180000}"/>
    <cellStyle name="40 % - Akzent4 3 2 3 2 4 2" xfId="6595" xr:uid="{00000000-0005-0000-0000-000023180000}"/>
    <cellStyle name="40 % - Akzent4 3 2 3 2 4 3" xfId="6596" xr:uid="{00000000-0005-0000-0000-000024180000}"/>
    <cellStyle name="40 % - Akzent4 3 2 3 2 5" xfId="6597" xr:uid="{00000000-0005-0000-0000-000025180000}"/>
    <cellStyle name="40 % - Akzent4 3 2 3 2 5 2" xfId="6598" xr:uid="{00000000-0005-0000-0000-000026180000}"/>
    <cellStyle name="40 % - Akzent4 3 2 3 2 6" xfId="6599" xr:uid="{00000000-0005-0000-0000-000027180000}"/>
    <cellStyle name="40 % - Akzent4 3 2 3 2 7" xfId="6600" xr:uid="{00000000-0005-0000-0000-000028180000}"/>
    <cellStyle name="40 % - Akzent4 3 2 3 3" xfId="6601" xr:uid="{00000000-0005-0000-0000-000029180000}"/>
    <cellStyle name="40 % - Akzent4 3 2 3 3 2" xfId="6602" xr:uid="{00000000-0005-0000-0000-00002A180000}"/>
    <cellStyle name="40 % - Akzent4 3 2 3 3 2 2" xfId="6603" xr:uid="{00000000-0005-0000-0000-00002B180000}"/>
    <cellStyle name="40 % - Akzent4 3 2 3 3 2 3" xfId="6604" xr:uid="{00000000-0005-0000-0000-00002C180000}"/>
    <cellStyle name="40 % - Akzent4 3 2 3 3 3" xfId="6605" xr:uid="{00000000-0005-0000-0000-00002D180000}"/>
    <cellStyle name="40 % - Akzent4 3 2 3 3 3 2" xfId="6606" xr:uid="{00000000-0005-0000-0000-00002E180000}"/>
    <cellStyle name="40 % - Akzent4 3 2 3 3 3 3" xfId="6607" xr:uid="{00000000-0005-0000-0000-00002F180000}"/>
    <cellStyle name="40 % - Akzent4 3 2 3 3 4" xfId="6608" xr:uid="{00000000-0005-0000-0000-000030180000}"/>
    <cellStyle name="40 % - Akzent4 3 2 3 3 4 2" xfId="6609" xr:uid="{00000000-0005-0000-0000-000031180000}"/>
    <cellStyle name="40 % - Akzent4 3 2 3 3 5" xfId="6610" xr:uid="{00000000-0005-0000-0000-000032180000}"/>
    <cellStyle name="40 % - Akzent4 3 2 3 3 6" xfId="6611" xr:uid="{00000000-0005-0000-0000-000033180000}"/>
    <cellStyle name="40 % - Akzent4 3 2 3 4" xfId="6612" xr:uid="{00000000-0005-0000-0000-000034180000}"/>
    <cellStyle name="40 % - Akzent4 3 2 3 4 2" xfId="6613" xr:uid="{00000000-0005-0000-0000-000035180000}"/>
    <cellStyle name="40 % - Akzent4 3 2 3 4 3" xfId="6614" xr:uid="{00000000-0005-0000-0000-000036180000}"/>
    <cellStyle name="40 % - Akzent4 3 2 3 5" xfId="6615" xr:uid="{00000000-0005-0000-0000-000037180000}"/>
    <cellStyle name="40 % - Akzent4 3 2 3 5 2" xfId="6616" xr:uid="{00000000-0005-0000-0000-000038180000}"/>
    <cellStyle name="40 % - Akzent4 3 2 3 5 3" xfId="6617" xr:uid="{00000000-0005-0000-0000-000039180000}"/>
    <cellStyle name="40 % - Akzent4 3 2 3 6" xfId="6618" xr:uid="{00000000-0005-0000-0000-00003A180000}"/>
    <cellStyle name="40 % - Akzent4 3 2 3 6 2" xfId="6619" xr:uid="{00000000-0005-0000-0000-00003B180000}"/>
    <cellStyle name="40 % - Akzent4 3 2 3 7" xfId="6620" xr:uid="{00000000-0005-0000-0000-00003C180000}"/>
    <cellStyle name="40 % - Akzent4 3 2 3 8" xfId="6621" xr:uid="{00000000-0005-0000-0000-00003D180000}"/>
    <cellStyle name="40 % - Akzent4 3 2 4" xfId="6622" xr:uid="{00000000-0005-0000-0000-00003E180000}"/>
    <cellStyle name="40 % - Akzent4 3 2 4 2" xfId="6623" xr:uid="{00000000-0005-0000-0000-00003F180000}"/>
    <cellStyle name="40 % - Akzent4 3 2 4 2 2" xfId="6624" xr:uid="{00000000-0005-0000-0000-000040180000}"/>
    <cellStyle name="40 % - Akzent4 3 2 4 2 2 2" xfId="6625" xr:uid="{00000000-0005-0000-0000-000041180000}"/>
    <cellStyle name="40 % - Akzent4 3 2 4 2 2 2 2" xfId="6626" xr:uid="{00000000-0005-0000-0000-000042180000}"/>
    <cellStyle name="40 % - Akzent4 3 2 4 2 2 2 3" xfId="6627" xr:uid="{00000000-0005-0000-0000-000043180000}"/>
    <cellStyle name="40 % - Akzent4 3 2 4 2 2 3" xfId="6628" xr:uid="{00000000-0005-0000-0000-000044180000}"/>
    <cellStyle name="40 % - Akzent4 3 2 4 2 2 3 2" xfId="6629" xr:uid="{00000000-0005-0000-0000-000045180000}"/>
    <cellStyle name="40 % - Akzent4 3 2 4 2 2 3 3" xfId="6630" xr:uid="{00000000-0005-0000-0000-000046180000}"/>
    <cellStyle name="40 % - Akzent4 3 2 4 2 2 4" xfId="6631" xr:uid="{00000000-0005-0000-0000-000047180000}"/>
    <cellStyle name="40 % - Akzent4 3 2 4 2 2 4 2" xfId="6632" xr:uid="{00000000-0005-0000-0000-000048180000}"/>
    <cellStyle name="40 % - Akzent4 3 2 4 2 2 5" xfId="6633" xr:uid="{00000000-0005-0000-0000-000049180000}"/>
    <cellStyle name="40 % - Akzent4 3 2 4 2 2 6" xfId="6634" xr:uid="{00000000-0005-0000-0000-00004A180000}"/>
    <cellStyle name="40 % - Akzent4 3 2 4 2 3" xfId="6635" xr:uid="{00000000-0005-0000-0000-00004B180000}"/>
    <cellStyle name="40 % - Akzent4 3 2 4 2 3 2" xfId="6636" xr:uid="{00000000-0005-0000-0000-00004C180000}"/>
    <cellStyle name="40 % - Akzent4 3 2 4 2 3 3" xfId="6637" xr:uid="{00000000-0005-0000-0000-00004D180000}"/>
    <cellStyle name="40 % - Akzent4 3 2 4 2 4" xfId="6638" xr:uid="{00000000-0005-0000-0000-00004E180000}"/>
    <cellStyle name="40 % - Akzent4 3 2 4 2 4 2" xfId="6639" xr:uid="{00000000-0005-0000-0000-00004F180000}"/>
    <cellStyle name="40 % - Akzent4 3 2 4 2 4 3" xfId="6640" xr:uid="{00000000-0005-0000-0000-000050180000}"/>
    <cellStyle name="40 % - Akzent4 3 2 4 2 5" xfId="6641" xr:uid="{00000000-0005-0000-0000-000051180000}"/>
    <cellStyle name="40 % - Akzent4 3 2 4 2 5 2" xfId="6642" xr:uid="{00000000-0005-0000-0000-000052180000}"/>
    <cellStyle name="40 % - Akzent4 3 2 4 2 6" xfId="6643" xr:uid="{00000000-0005-0000-0000-000053180000}"/>
    <cellStyle name="40 % - Akzent4 3 2 4 2 7" xfId="6644" xr:uid="{00000000-0005-0000-0000-000054180000}"/>
    <cellStyle name="40 % - Akzent4 3 2 4 3" xfId="6645" xr:uid="{00000000-0005-0000-0000-000055180000}"/>
    <cellStyle name="40 % - Akzent4 3 2 4 3 2" xfId="6646" xr:uid="{00000000-0005-0000-0000-000056180000}"/>
    <cellStyle name="40 % - Akzent4 3 2 4 3 2 2" xfId="6647" xr:uid="{00000000-0005-0000-0000-000057180000}"/>
    <cellStyle name="40 % - Akzent4 3 2 4 3 2 3" xfId="6648" xr:uid="{00000000-0005-0000-0000-000058180000}"/>
    <cellStyle name="40 % - Akzent4 3 2 4 3 3" xfId="6649" xr:uid="{00000000-0005-0000-0000-000059180000}"/>
    <cellStyle name="40 % - Akzent4 3 2 4 3 3 2" xfId="6650" xr:uid="{00000000-0005-0000-0000-00005A180000}"/>
    <cellStyle name="40 % - Akzent4 3 2 4 3 3 3" xfId="6651" xr:uid="{00000000-0005-0000-0000-00005B180000}"/>
    <cellStyle name="40 % - Akzent4 3 2 4 3 4" xfId="6652" xr:uid="{00000000-0005-0000-0000-00005C180000}"/>
    <cellStyle name="40 % - Akzent4 3 2 4 3 4 2" xfId="6653" xr:uid="{00000000-0005-0000-0000-00005D180000}"/>
    <cellStyle name="40 % - Akzent4 3 2 4 3 5" xfId="6654" xr:uid="{00000000-0005-0000-0000-00005E180000}"/>
    <cellStyle name="40 % - Akzent4 3 2 4 3 6" xfId="6655" xr:uid="{00000000-0005-0000-0000-00005F180000}"/>
    <cellStyle name="40 % - Akzent4 3 2 4 4" xfId="6656" xr:uid="{00000000-0005-0000-0000-000060180000}"/>
    <cellStyle name="40 % - Akzent4 3 2 4 4 2" xfId="6657" xr:uid="{00000000-0005-0000-0000-000061180000}"/>
    <cellStyle name="40 % - Akzent4 3 2 4 4 3" xfId="6658" xr:uid="{00000000-0005-0000-0000-000062180000}"/>
    <cellStyle name="40 % - Akzent4 3 2 4 5" xfId="6659" xr:uid="{00000000-0005-0000-0000-000063180000}"/>
    <cellStyle name="40 % - Akzent4 3 2 4 5 2" xfId="6660" xr:uid="{00000000-0005-0000-0000-000064180000}"/>
    <cellStyle name="40 % - Akzent4 3 2 4 5 3" xfId="6661" xr:uid="{00000000-0005-0000-0000-000065180000}"/>
    <cellStyle name="40 % - Akzent4 3 2 4 6" xfId="6662" xr:uid="{00000000-0005-0000-0000-000066180000}"/>
    <cellStyle name="40 % - Akzent4 3 2 4 6 2" xfId="6663" xr:uid="{00000000-0005-0000-0000-000067180000}"/>
    <cellStyle name="40 % - Akzent4 3 2 4 7" xfId="6664" xr:uid="{00000000-0005-0000-0000-000068180000}"/>
    <cellStyle name="40 % - Akzent4 3 2 4 8" xfId="6665" xr:uid="{00000000-0005-0000-0000-000069180000}"/>
    <cellStyle name="40 % - Akzent4 3 2 5" xfId="6666" xr:uid="{00000000-0005-0000-0000-00006A180000}"/>
    <cellStyle name="40 % - Akzent4 3 2 5 2" xfId="6667" xr:uid="{00000000-0005-0000-0000-00006B180000}"/>
    <cellStyle name="40 % - Akzent4 3 2 5 2 2" xfId="6668" xr:uid="{00000000-0005-0000-0000-00006C180000}"/>
    <cellStyle name="40 % - Akzent4 3 2 5 2 2 2" xfId="6669" xr:uid="{00000000-0005-0000-0000-00006D180000}"/>
    <cellStyle name="40 % - Akzent4 3 2 5 2 2 3" xfId="6670" xr:uid="{00000000-0005-0000-0000-00006E180000}"/>
    <cellStyle name="40 % - Akzent4 3 2 5 2 3" xfId="6671" xr:uid="{00000000-0005-0000-0000-00006F180000}"/>
    <cellStyle name="40 % - Akzent4 3 2 5 2 3 2" xfId="6672" xr:uid="{00000000-0005-0000-0000-000070180000}"/>
    <cellStyle name="40 % - Akzent4 3 2 5 2 3 3" xfId="6673" xr:uid="{00000000-0005-0000-0000-000071180000}"/>
    <cellStyle name="40 % - Akzent4 3 2 5 2 4" xfId="6674" xr:uid="{00000000-0005-0000-0000-000072180000}"/>
    <cellStyle name="40 % - Akzent4 3 2 5 2 4 2" xfId="6675" xr:uid="{00000000-0005-0000-0000-000073180000}"/>
    <cellStyle name="40 % - Akzent4 3 2 5 2 5" xfId="6676" xr:uid="{00000000-0005-0000-0000-000074180000}"/>
    <cellStyle name="40 % - Akzent4 3 2 5 2 6" xfId="6677" xr:uid="{00000000-0005-0000-0000-000075180000}"/>
    <cellStyle name="40 % - Akzent4 3 2 5 3" xfId="6678" xr:uid="{00000000-0005-0000-0000-000076180000}"/>
    <cellStyle name="40 % - Akzent4 3 2 5 3 2" xfId="6679" xr:uid="{00000000-0005-0000-0000-000077180000}"/>
    <cellStyle name="40 % - Akzent4 3 2 5 3 3" xfId="6680" xr:uid="{00000000-0005-0000-0000-000078180000}"/>
    <cellStyle name="40 % - Akzent4 3 2 5 4" xfId="6681" xr:uid="{00000000-0005-0000-0000-000079180000}"/>
    <cellStyle name="40 % - Akzent4 3 2 5 4 2" xfId="6682" xr:uid="{00000000-0005-0000-0000-00007A180000}"/>
    <cellStyle name="40 % - Akzent4 3 2 5 4 3" xfId="6683" xr:uid="{00000000-0005-0000-0000-00007B180000}"/>
    <cellStyle name="40 % - Akzent4 3 2 5 5" xfId="6684" xr:uid="{00000000-0005-0000-0000-00007C180000}"/>
    <cellStyle name="40 % - Akzent4 3 2 5 5 2" xfId="6685" xr:uid="{00000000-0005-0000-0000-00007D180000}"/>
    <cellStyle name="40 % - Akzent4 3 2 5 6" xfId="6686" xr:uid="{00000000-0005-0000-0000-00007E180000}"/>
    <cellStyle name="40 % - Akzent4 3 2 5 7" xfId="6687" xr:uid="{00000000-0005-0000-0000-00007F180000}"/>
    <cellStyle name="40 % - Akzent4 3 2 6" xfId="6688" xr:uid="{00000000-0005-0000-0000-000080180000}"/>
    <cellStyle name="40 % - Akzent4 3 2 6 2" xfId="6689" xr:uid="{00000000-0005-0000-0000-000081180000}"/>
    <cellStyle name="40 % - Akzent4 3 2 6 2 2" xfId="6690" xr:uid="{00000000-0005-0000-0000-000082180000}"/>
    <cellStyle name="40 % - Akzent4 3 2 6 2 3" xfId="6691" xr:uid="{00000000-0005-0000-0000-000083180000}"/>
    <cellStyle name="40 % - Akzent4 3 2 6 3" xfId="6692" xr:uid="{00000000-0005-0000-0000-000084180000}"/>
    <cellStyle name="40 % - Akzent4 3 2 6 3 2" xfId="6693" xr:uid="{00000000-0005-0000-0000-000085180000}"/>
    <cellStyle name="40 % - Akzent4 3 2 6 3 3" xfId="6694" xr:uid="{00000000-0005-0000-0000-000086180000}"/>
    <cellStyle name="40 % - Akzent4 3 2 6 4" xfId="6695" xr:uid="{00000000-0005-0000-0000-000087180000}"/>
    <cellStyle name="40 % - Akzent4 3 2 6 4 2" xfId="6696" xr:uid="{00000000-0005-0000-0000-000088180000}"/>
    <cellStyle name="40 % - Akzent4 3 2 6 5" xfId="6697" xr:uid="{00000000-0005-0000-0000-000089180000}"/>
    <cellStyle name="40 % - Akzent4 3 2 6 6" xfId="6698" xr:uid="{00000000-0005-0000-0000-00008A180000}"/>
    <cellStyle name="40 % - Akzent4 3 2 7" xfId="6699" xr:uid="{00000000-0005-0000-0000-00008B180000}"/>
    <cellStyle name="40 % - Akzent4 3 2 7 2" xfId="6700" xr:uid="{00000000-0005-0000-0000-00008C180000}"/>
    <cellStyle name="40 % - Akzent4 3 2 7 3" xfId="6701" xr:uid="{00000000-0005-0000-0000-00008D180000}"/>
    <cellStyle name="40 % - Akzent4 3 2 8" xfId="6702" xr:uid="{00000000-0005-0000-0000-00008E180000}"/>
    <cellStyle name="40 % - Akzent4 3 2 8 2" xfId="6703" xr:uid="{00000000-0005-0000-0000-00008F180000}"/>
    <cellStyle name="40 % - Akzent4 3 2 8 3" xfId="6704" xr:uid="{00000000-0005-0000-0000-000090180000}"/>
    <cellStyle name="40 % - Akzent4 3 2 9" xfId="6705" xr:uid="{00000000-0005-0000-0000-000091180000}"/>
    <cellStyle name="40 % - Akzent4 3 2 9 2" xfId="6706" xr:uid="{00000000-0005-0000-0000-000092180000}"/>
    <cellStyle name="40 % - Akzent4 4" xfId="6707" xr:uid="{00000000-0005-0000-0000-000093180000}"/>
    <cellStyle name="40 % - Akzent4 4 2" xfId="6708" xr:uid="{00000000-0005-0000-0000-000094180000}"/>
    <cellStyle name="40 % - Akzent4 5" xfId="6709" xr:uid="{00000000-0005-0000-0000-000095180000}"/>
    <cellStyle name="40 % - Akzent4 5 2" xfId="6710" xr:uid="{00000000-0005-0000-0000-000096180000}"/>
    <cellStyle name="40 % - Akzent4 5 2 10" xfId="6711" xr:uid="{00000000-0005-0000-0000-000097180000}"/>
    <cellStyle name="40 % - Akzent4 5 2 11" xfId="6712" xr:uid="{00000000-0005-0000-0000-000098180000}"/>
    <cellStyle name="40 % - Akzent4 5 2 2" xfId="6713" xr:uid="{00000000-0005-0000-0000-000099180000}"/>
    <cellStyle name="40 % - Akzent4 5 2 2 10" xfId="6714" xr:uid="{00000000-0005-0000-0000-00009A180000}"/>
    <cellStyle name="40 % - Akzent4 5 2 2 2" xfId="6715" xr:uid="{00000000-0005-0000-0000-00009B180000}"/>
    <cellStyle name="40 % - Akzent4 5 2 2 2 2" xfId="6716" xr:uid="{00000000-0005-0000-0000-00009C180000}"/>
    <cellStyle name="40 % - Akzent4 5 2 2 2 2 2" xfId="6717" xr:uid="{00000000-0005-0000-0000-00009D180000}"/>
    <cellStyle name="40 % - Akzent4 5 2 2 2 2 2 2" xfId="6718" xr:uid="{00000000-0005-0000-0000-00009E180000}"/>
    <cellStyle name="40 % - Akzent4 5 2 2 2 2 2 2 2" xfId="6719" xr:uid="{00000000-0005-0000-0000-00009F180000}"/>
    <cellStyle name="40 % - Akzent4 5 2 2 2 2 2 2 3" xfId="6720" xr:uid="{00000000-0005-0000-0000-0000A0180000}"/>
    <cellStyle name="40 % - Akzent4 5 2 2 2 2 2 3" xfId="6721" xr:uid="{00000000-0005-0000-0000-0000A1180000}"/>
    <cellStyle name="40 % - Akzent4 5 2 2 2 2 2 3 2" xfId="6722" xr:uid="{00000000-0005-0000-0000-0000A2180000}"/>
    <cellStyle name="40 % - Akzent4 5 2 2 2 2 2 3 3" xfId="6723" xr:uid="{00000000-0005-0000-0000-0000A3180000}"/>
    <cellStyle name="40 % - Akzent4 5 2 2 2 2 2 4" xfId="6724" xr:uid="{00000000-0005-0000-0000-0000A4180000}"/>
    <cellStyle name="40 % - Akzent4 5 2 2 2 2 2 4 2" xfId="6725" xr:uid="{00000000-0005-0000-0000-0000A5180000}"/>
    <cellStyle name="40 % - Akzent4 5 2 2 2 2 2 5" xfId="6726" xr:uid="{00000000-0005-0000-0000-0000A6180000}"/>
    <cellStyle name="40 % - Akzent4 5 2 2 2 2 2 6" xfId="6727" xr:uid="{00000000-0005-0000-0000-0000A7180000}"/>
    <cellStyle name="40 % - Akzent4 5 2 2 2 2 3" xfId="6728" xr:uid="{00000000-0005-0000-0000-0000A8180000}"/>
    <cellStyle name="40 % - Akzent4 5 2 2 2 2 3 2" xfId="6729" xr:uid="{00000000-0005-0000-0000-0000A9180000}"/>
    <cellStyle name="40 % - Akzent4 5 2 2 2 2 3 3" xfId="6730" xr:uid="{00000000-0005-0000-0000-0000AA180000}"/>
    <cellStyle name="40 % - Akzent4 5 2 2 2 2 4" xfId="6731" xr:uid="{00000000-0005-0000-0000-0000AB180000}"/>
    <cellStyle name="40 % - Akzent4 5 2 2 2 2 4 2" xfId="6732" xr:uid="{00000000-0005-0000-0000-0000AC180000}"/>
    <cellStyle name="40 % - Akzent4 5 2 2 2 2 4 3" xfId="6733" xr:uid="{00000000-0005-0000-0000-0000AD180000}"/>
    <cellStyle name="40 % - Akzent4 5 2 2 2 2 5" xfId="6734" xr:uid="{00000000-0005-0000-0000-0000AE180000}"/>
    <cellStyle name="40 % - Akzent4 5 2 2 2 2 5 2" xfId="6735" xr:uid="{00000000-0005-0000-0000-0000AF180000}"/>
    <cellStyle name="40 % - Akzent4 5 2 2 2 2 6" xfId="6736" xr:uid="{00000000-0005-0000-0000-0000B0180000}"/>
    <cellStyle name="40 % - Akzent4 5 2 2 2 2 7" xfId="6737" xr:uid="{00000000-0005-0000-0000-0000B1180000}"/>
    <cellStyle name="40 % - Akzent4 5 2 2 2 3" xfId="6738" xr:uid="{00000000-0005-0000-0000-0000B2180000}"/>
    <cellStyle name="40 % - Akzent4 5 2 2 2 3 2" xfId="6739" xr:uid="{00000000-0005-0000-0000-0000B3180000}"/>
    <cellStyle name="40 % - Akzent4 5 2 2 2 3 2 2" xfId="6740" xr:uid="{00000000-0005-0000-0000-0000B4180000}"/>
    <cellStyle name="40 % - Akzent4 5 2 2 2 3 2 3" xfId="6741" xr:uid="{00000000-0005-0000-0000-0000B5180000}"/>
    <cellStyle name="40 % - Akzent4 5 2 2 2 3 3" xfId="6742" xr:uid="{00000000-0005-0000-0000-0000B6180000}"/>
    <cellStyle name="40 % - Akzent4 5 2 2 2 3 3 2" xfId="6743" xr:uid="{00000000-0005-0000-0000-0000B7180000}"/>
    <cellStyle name="40 % - Akzent4 5 2 2 2 3 3 3" xfId="6744" xr:uid="{00000000-0005-0000-0000-0000B8180000}"/>
    <cellStyle name="40 % - Akzent4 5 2 2 2 3 4" xfId="6745" xr:uid="{00000000-0005-0000-0000-0000B9180000}"/>
    <cellStyle name="40 % - Akzent4 5 2 2 2 3 4 2" xfId="6746" xr:uid="{00000000-0005-0000-0000-0000BA180000}"/>
    <cellStyle name="40 % - Akzent4 5 2 2 2 3 5" xfId="6747" xr:uid="{00000000-0005-0000-0000-0000BB180000}"/>
    <cellStyle name="40 % - Akzent4 5 2 2 2 3 6" xfId="6748" xr:uid="{00000000-0005-0000-0000-0000BC180000}"/>
    <cellStyle name="40 % - Akzent4 5 2 2 2 4" xfId="6749" xr:uid="{00000000-0005-0000-0000-0000BD180000}"/>
    <cellStyle name="40 % - Akzent4 5 2 2 2 4 2" xfId="6750" xr:uid="{00000000-0005-0000-0000-0000BE180000}"/>
    <cellStyle name="40 % - Akzent4 5 2 2 2 4 3" xfId="6751" xr:uid="{00000000-0005-0000-0000-0000BF180000}"/>
    <cellStyle name="40 % - Akzent4 5 2 2 2 5" xfId="6752" xr:uid="{00000000-0005-0000-0000-0000C0180000}"/>
    <cellStyle name="40 % - Akzent4 5 2 2 2 5 2" xfId="6753" xr:uid="{00000000-0005-0000-0000-0000C1180000}"/>
    <cellStyle name="40 % - Akzent4 5 2 2 2 5 3" xfId="6754" xr:uid="{00000000-0005-0000-0000-0000C2180000}"/>
    <cellStyle name="40 % - Akzent4 5 2 2 2 6" xfId="6755" xr:uid="{00000000-0005-0000-0000-0000C3180000}"/>
    <cellStyle name="40 % - Akzent4 5 2 2 2 6 2" xfId="6756" xr:uid="{00000000-0005-0000-0000-0000C4180000}"/>
    <cellStyle name="40 % - Akzent4 5 2 2 2 7" xfId="6757" xr:uid="{00000000-0005-0000-0000-0000C5180000}"/>
    <cellStyle name="40 % - Akzent4 5 2 2 2 8" xfId="6758" xr:uid="{00000000-0005-0000-0000-0000C6180000}"/>
    <cellStyle name="40 % - Akzent4 5 2 2 3" xfId="6759" xr:uid="{00000000-0005-0000-0000-0000C7180000}"/>
    <cellStyle name="40 % - Akzent4 5 2 2 3 2" xfId="6760" xr:uid="{00000000-0005-0000-0000-0000C8180000}"/>
    <cellStyle name="40 % - Akzent4 5 2 2 3 2 2" xfId="6761" xr:uid="{00000000-0005-0000-0000-0000C9180000}"/>
    <cellStyle name="40 % - Akzent4 5 2 2 3 2 2 2" xfId="6762" xr:uid="{00000000-0005-0000-0000-0000CA180000}"/>
    <cellStyle name="40 % - Akzent4 5 2 2 3 2 2 2 2" xfId="6763" xr:uid="{00000000-0005-0000-0000-0000CB180000}"/>
    <cellStyle name="40 % - Akzent4 5 2 2 3 2 2 2 3" xfId="6764" xr:uid="{00000000-0005-0000-0000-0000CC180000}"/>
    <cellStyle name="40 % - Akzent4 5 2 2 3 2 2 3" xfId="6765" xr:uid="{00000000-0005-0000-0000-0000CD180000}"/>
    <cellStyle name="40 % - Akzent4 5 2 2 3 2 2 3 2" xfId="6766" xr:uid="{00000000-0005-0000-0000-0000CE180000}"/>
    <cellStyle name="40 % - Akzent4 5 2 2 3 2 2 3 3" xfId="6767" xr:uid="{00000000-0005-0000-0000-0000CF180000}"/>
    <cellStyle name="40 % - Akzent4 5 2 2 3 2 2 4" xfId="6768" xr:uid="{00000000-0005-0000-0000-0000D0180000}"/>
    <cellStyle name="40 % - Akzent4 5 2 2 3 2 2 4 2" xfId="6769" xr:uid="{00000000-0005-0000-0000-0000D1180000}"/>
    <cellStyle name="40 % - Akzent4 5 2 2 3 2 2 5" xfId="6770" xr:uid="{00000000-0005-0000-0000-0000D2180000}"/>
    <cellStyle name="40 % - Akzent4 5 2 2 3 2 2 6" xfId="6771" xr:uid="{00000000-0005-0000-0000-0000D3180000}"/>
    <cellStyle name="40 % - Akzent4 5 2 2 3 2 3" xfId="6772" xr:uid="{00000000-0005-0000-0000-0000D4180000}"/>
    <cellStyle name="40 % - Akzent4 5 2 2 3 2 3 2" xfId="6773" xr:uid="{00000000-0005-0000-0000-0000D5180000}"/>
    <cellStyle name="40 % - Akzent4 5 2 2 3 2 3 3" xfId="6774" xr:uid="{00000000-0005-0000-0000-0000D6180000}"/>
    <cellStyle name="40 % - Akzent4 5 2 2 3 2 4" xfId="6775" xr:uid="{00000000-0005-0000-0000-0000D7180000}"/>
    <cellStyle name="40 % - Akzent4 5 2 2 3 2 4 2" xfId="6776" xr:uid="{00000000-0005-0000-0000-0000D8180000}"/>
    <cellStyle name="40 % - Akzent4 5 2 2 3 2 4 3" xfId="6777" xr:uid="{00000000-0005-0000-0000-0000D9180000}"/>
    <cellStyle name="40 % - Akzent4 5 2 2 3 2 5" xfId="6778" xr:uid="{00000000-0005-0000-0000-0000DA180000}"/>
    <cellStyle name="40 % - Akzent4 5 2 2 3 2 5 2" xfId="6779" xr:uid="{00000000-0005-0000-0000-0000DB180000}"/>
    <cellStyle name="40 % - Akzent4 5 2 2 3 2 6" xfId="6780" xr:uid="{00000000-0005-0000-0000-0000DC180000}"/>
    <cellStyle name="40 % - Akzent4 5 2 2 3 2 7" xfId="6781" xr:uid="{00000000-0005-0000-0000-0000DD180000}"/>
    <cellStyle name="40 % - Akzent4 5 2 2 3 3" xfId="6782" xr:uid="{00000000-0005-0000-0000-0000DE180000}"/>
    <cellStyle name="40 % - Akzent4 5 2 2 3 3 2" xfId="6783" xr:uid="{00000000-0005-0000-0000-0000DF180000}"/>
    <cellStyle name="40 % - Akzent4 5 2 2 3 3 2 2" xfId="6784" xr:uid="{00000000-0005-0000-0000-0000E0180000}"/>
    <cellStyle name="40 % - Akzent4 5 2 2 3 3 2 3" xfId="6785" xr:uid="{00000000-0005-0000-0000-0000E1180000}"/>
    <cellStyle name="40 % - Akzent4 5 2 2 3 3 3" xfId="6786" xr:uid="{00000000-0005-0000-0000-0000E2180000}"/>
    <cellStyle name="40 % - Akzent4 5 2 2 3 3 3 2" xfId="6787" xr:uid="{00000000-0005-0000-0000-0000E3180000}"/>
    <cellStyle name="40 % - Akzent4 5 2 2 3 3 3 3" xfId="6788" xr:uid="{00000000-0005-0000-0000-0000E4180000}"/>
    <cellStyle name="40 % - Akzent4 5 2 2 3 3 4" xfId="6789" xr:uid="{00000000-0005-0000-0000-0000E5180000}"/>
    <cellStyle name="40 % - Akzent4 5 2 2 3 3 4 2" xfId="6790" xr:uid="{00000000-0005-0000-0000-0000E6180000}"/>
    <cellStyle name="40 % - Akzent4 5 2 2 3 3 5" xfId="6791" xr:uid="{00000000-0005-0000-0000-0000E7180000}"/>
    <cellStyle name="40 % - Akzent4 5 2 2 3 3 6" xfId="6792" xr:uid="{00000000-0005-0000-0000-0000E8180000}"/>
    <cellStyle name="40 % - Akzent4 5 2 2 3 4" xfId="6793" xr:uid="{00000000-0005-0000-0000-0000E9180000}"/>
    <cellStyle name="40 % - Akzent4 5 2 2 3 4 2" xfId="6794" xr:uid="{00000000-0005-0000-0000-0000EA180000}"/>
    <cellStyle name="40 % - Akzent4 5 2 2 3 4 3" xfId="6795" xr:uid="{00000000-0005-0000-0000-0000EB180000}"/>
    <cellStyle name="40 % - Akzent4 5 2 2 3 5" xfId="6796" xr:uid="{00000000-0005-0000-0000-0000EC180000}"/>
    <cellStyle name="40 % - Akzent4 5 2 2 3 5 2" xfId="6797" xr:uid="{00000000-0005-0000-0000-0000ED180000}"/>
    <cellStyle name="40 % - Akzent4 5 2 2 3 5 3" xfId="6798" xr:uid="{00000000-0005-0000-0000-0000EE180000}"/>
    <cellStyle name="40 % - Akzent4 5 2 2 3 6" xfId="6799" xr:uid="{00000000-0005-0000-0000-0000EF180000}"/>
    <cellStyle name="40 % - Akzent4 5 2 2 3 6 2" xfId="6800" xr:uid="{00000000-0005-0000-0000-0000F0180000}"/>
    <cellStyle name="40 % - Akzent4 5 2 2 3 7" xfId="6801" xr:uid="{00000000-0005-0000-0000-0000F1180000}"/>
    <cellStyle name="40 % - Akzent4 5 2 2 3 8" xfId="6802" xr:uid="{00000000-0005-0000-0000-0000F2180000}"/>
    <cellStyle name="40 % - Akzent4 5 2 2 4" xfId="6803" xr:uid="{00000000-0005-0000-0000-0000F3180000}"/>
    <cellStyle name="40 % - Akzent4 5 2 2 4 2" xfId="6804" xr:uid="{00000000-0005-0000-0000-0000F4180000}"/>
    <cellStyle name="40 % - Akzent4 5 2 2 4 2 2" xfId="6805" xr:uid="{00000000-0005-0000-0000-0000F5180000}"/>
    <cellStyle name="40 % - Akzent4 5 2 2 4 2 2 2" xfId="6806" xr:uid="{00000000-0005-0000-0000-0000F6180000}"/>
    <cellStyle name="40 % - Akzent4 5 2 2 4 2 2 3" xfId="6807" xr:uid="{00000000-0005-0000-0000-0000F7180000}"/>
    <cellStyle name="40 % - Akzent4 5 2 2 4 2 3" xfId="6808" xr:uid="{00000000-0005-0000-0000-0000F8180000}"/>
    <cellStyle name="40 % - Akzent4 5 2 2 4 2 3 2" xfId="6809" xr:uid="{00000000-0005-0000-0000-0000F9180000}"/>
    <cellStyle name="40 % - Akzent4 5 2 2 4 2 3 3" xfId="6810" xr:uid="{00000000-0005-0000-0000-0000FA180000}"/>
    <cellStyle name="40 % - Akzent4 5 2 2 4 2 4" xfId="6811" xr:uid="{00000000-0005-0000-0000-0000FB180000}"/>
    <cellStyle name="40 % - Akzent4 5 2 2 4 2 4 2" xfId="6812" xr:uid="{00000000-0005-0000-0000-0000FC180000}"/>
    <cellStyle name="40 % - Akzent4 5 2 2 4 2 5" xfId="6813" xr:uid="{00000000-0005-0000-0000-0000FD180000}"/>
    <cellStyle name="40 % - Akzent4 5 2 2 4 2 6" xfId="6814" xr:uid="{00000000-0005-0000-0000-0000FE180000}"/>
    <cellStyle name="40 % - Akzent4 5 2 2 4 3" xfId="6815" xr:uid="{00000000-0005-0000-0000-0000FF180000}"/>
    <cellStyle name="40 % - Akzent4 5 2 2 4 3 2" xfId="6816" xr:uid="{00000000-0005-0000-0000-000000190000}"/>
    <cellStyle name="40 % - Akzent4 5 2 2 4 3 3" xfId="6817" xr:uid="{00000000-0005-0000-0000-000001190000}"/>
    <cellStyle name="40 % - Akzent4 5 2 2 4 4" xfId="6818" xr:uid="{00000000-0005-0000-0000-000002190000}"/>
    <cellStyle name="40 % - Akzent4 5 2 2 4 4 2" xfId="6819" xr:uid="{00000000-0005-0000-0000-000003190000}"/>
    <cellStyle name="40 % - Akzent4 5 2 2 4 4 3" xfId="6820" xr:uid="{00000000-0005-0000-0000-000004190000}"/>
    <cellStyle name="40 % - Akzent4 5 2 2 4 5" xfId="6821" xr:uid="{00000000-0005-0000-0000-000005190000}"/>
    <cellStyle name="40 % - Akzent4 5 2 2 4 5 2" xfId="6822" xr:uid="{00000000-0005-0000-0000-000006190000}"/>
    <cellStyle name="40 % - Akzent4 5 2 2 4 6" xfId="6823" xr:uid="{00000000-0005-0000-0000-000007190000}"/>
    <cellStyle name="40 % - Akzent4 5 2 2 4 7" xfId="6824" xr:uid="{00000000-0005-0000-0000-000008190000}"/>
    <cellStyle name="40 % - Akzent4 5 2 2 5" xfId="6825" xr:uid="{00000000-0005-0000-0000-000009190000}"/>
    <cellStyle name="40 % - Akzent4 5 2 2 5 2" xfId="6826" xr:uid="{00000000-0005-0000-0000-00000A190000}"/>
    <cellStyle name="40 % - Akzent4 5 2 2 5 2 2" xfId="6827" xr:uid="{00000000-0005-0000-0000-00000B190000}"/>
    <cellStyle name="40 % - Akzent4 5 2 2 5 2 3" xfId="6828" xr:uid="{00000000-0005-0000-0000-00000C190000}"/>
    <cellStyle name="40 % - Akzent4 5 2 2 5 3" xfId="6829" xr:uid="{00000000-0005-0000-0000-00000D190000}"/>
    <cellStyle name="40 % - Akzent4 5 2 2 5 3 2" xfId="6830" xr:uid="{00000000-0005-0000-0000-00000E190000}"/>
    <cellStyle name="40 % - Akzent4 5 2 2 5 3 3" xfId="6831" xr:uid="{00000000-0005-0000-0000-00000F190000}"/>
    <cellStyle name="40 % - Akzent4 5 2 2 5 4" xfId="6832" xr:uid="{00000000-0005-0000-0000-000010190000}"/>
    <cellStyle name="40 % - Akzent4 5 2 2 5 4 2" xfId="6833" xr:uid="{00000000-0005-0000-0000-000011190000}"/>
    <cellStyle name="40 % - Akzent4 5 2 2 5 5" xfId="6834" xr:uid="{00000000-0005-0000-0000-000012190000}"/>
    <cellStyle name="40 % - Akzent4 5 2 2 5 6" xfId="6835" xr:uid="{00000000-0005-0000-0000-000013190000}"/>
    <cellStyle name="40 % - Akzent4 5 2 2 6" xfId="6836" xr:uid="{00000000-0005-0000-0000-000014190000}"/>
    <cellStyle name="40 % - Akzent4 5 2 2 6 2" xfId="6837" xr:uid="{00000000-0005-0000-0000-000015190000}"/>
    <cellStyle name="40 % - Akzent4 5 2 2 6 3" xfId="6838" xr:uid="{00000000-0005-0000-0000-000016190000}"/>
    <cellStyle name="40 % - Akzent4 5 2 2 7" xfId="6839" xr:uid="{00000000-0005-0000-0000-000017190000}"/>
    <cellStyle name="40 % - Akzent4 5 2 2 7 2" xfId="6840" xr:uid="{00000000-0005-0000-0000-000018190000}"/>
    <cellStyle name="40 % - Akzent4 5 2 2 7 3" xfId="6841" xr:uid="{00000000-0005-0000-0000-000019190000}"/>
    <cellStyle name="40 % - Akzent4 5 2 2 8" xfId="6842" xr:uid="{00000000-0005-0000-0000-00001A190000}"/>
    <cellStyle name="40 % - Akzent4 5 2 2 8 2" xfId="6843" xr:uid="{00000000-0005-0000-0000-00001B190000}"/>
    <cellStyle name="40 % - Akzent4 5 2 2 9" xfId="6844" xr:uid="{00000000-0005-0000-0000-00001C190000}"/>
    <cellStyle name="40 % - Akzent4 5 2 3" xfId="6845" xr:uid="{00000000-0005-0000-0000-00001D190000}"/>
    <cellStyle name="40 % - Akzent4 5 2 3 2" xfId="6846" xr:uid="{00000000-0005-0000-0000-00001E190000}"/>
    <cellStyle name="40 % - Akzent4 5 2 3 2 2" xfId="6847" xr:uid="{00000000-0005-0000-0000-00001F190000}"/>
    <cellStyle name="40 % - Akzent4 5 2 3 2 2 2" xfId="6848" xr:uid="{00000000-0005-0000-0000-000020190000}"/>
    <cellStyle name="40 % - Akzent4 5 2 3 2 2 2 2" xfId="6849" xr:uid="{00000000-0005-0000-0000-000021190000}"/>
    <cellStyle name="40 % - Akzent4 5 2 3 2 2 2 3" xfId="6850" xr:uid="{00000000-0005-0000-0000-000022190000}"/>
    <cellStyle name="40 % - Akzent4 5 2 3 2 2 3" xfId="6851" xr:uid="{00000000-0005-0000-0000-000023190000}"/>
    <cellStyle name="40 % - Akzent4 5 2 3 2 2 3 2" xfId="6852" xr:uid="{00000000-0005-0000-0000-000024190000}"/>
    <cellStyle name="40 % - Akzent4 5 2 3 2 2 3 3" xfId="6853" xr:uid="{00000000-0005-0000-0000-000025190000}"/>
    <cellStyle name="40 % - Akzent4 5 2 3 2 2 4" xfId="6854" xr:uid="{00000000-0005-0000-0000-000026190000}"/>
    <cellStyle name="40 % - Akzent4 5 2 3 2 2 4 2" xfId="6855" xr:uid="{00000000-0005-0000-0000-000027190000}"/>
    <cellStyle name="40 % - Akzent4 5 2 3 2 2 5" xfId="6856" xr:uid="{00000000-0005-0000-0000-000028190000}"/>
    <cellStyle name="40 % - Akzent4 5 2 3 2 2 6" xfId="6857" xr:uid="{00000000-0005-0000-0000-000029190000}"/>
    <cellStyle name="40 % - Akzent4 5 2 3 2 3" xfId="6858" xr:uid="{00000000-0005-0000-0000-00002A190000}"/>
    <cellStyle name="40 % - Akzent4 5 2 3 2 3 2" xfId="6859" xr:uid="{00000000-0005-0000-0000-00002B190000}"/>
    <cellStyle name="40 % - Akzent4 5 2 3 2 3 3" xfId="6860" xr:uid="{00000000-0005-0000-0000-00002C190000}"/>
    <cellStyle name="40 % - Akzent4 5 2 3 2 4" xfId="6861" xr:uid="{00000000-0005-0000-0000-00002D190000}"/>
    <cellStyle name="40 % - Akzent4 5 2 3 2 4 2" xfId="6862" xr:uid="{00000000-0005-0000-0000-00002E190000}"/>
    <cellStyle name="40 % - Akzent4 5 2 3 2 4 3" xfId="6863" xr:uid="{00000000-0005-0000-0000-00002F190000}"/>
    <cellStyle name="40 % - Akzent4 5 2 3 2 5" xfId="6864" xr:uid="{00000000-0005-0000-0000-000030190000}"/>
    <cellStyle name="40 % - Akzent4 5 2 3 2 5 2" xfId="6865" xr:uid="{00000000-0005-0000-0000-000031190000}"/>
    <cellStyle name="40 % - Akzent4 5 2 3 2 6" xfId="6866" xr:uid="{00000000-0005-0000-0000-000032190000}"/>
    <cellStyle name="40 % - Akzent4 5 2 3 2 7" xfId="6867" xr:uid="{00000000-0005-0000-0000-000033190000}"/>
    <cellStyle name="40 % - Akzent4 5 2 3 3" xfId="6868" xr:uid="{00000000-0005-0000-0000-000034190000}"/>
    <cellStyle name="40 % - Akzent4 5 2 3 3 2" xfId="6869" xr:uid="{00000000-0005-0000-0000-000035190000}"/>
    <cellStyle name="40 % - Akzent4 5 2 3 3 2 2" xfId="6870" xr:uid="{00000000-0005-0000-0000-000036190000}"/>
    <cellStyle name="40 % - Akzent4 5 2 3 3 2 3" xfId="6871" xr:uid="{00000000-0005-0000-0000-000037190000}"/>
    <cellStyle name="40 % - Akzent4 5 2 3 3 3" xfId="6872" xr:uid="{00000000-0005-0000-0000-000038190000}"/>
    <cellStyle name="40 % - Akzent4 5 2 3 3 3 2" xfId="6873" xr:uid="{00000000-0005-0000-0000-000039190000}"/>
    <cellStyle name="40 % - Akzent4 5 2 3 3 3 3" xfId="6874" xr:uid="{00000000-0005-0000-0000-00003A190000}"/>
    <cellStyle name="40 % - Akzent4 5 2 3 3 4" xfId="6875" xr:uid="{00000000-0005-0000-0000-00003B190000}"/>
    <cellStyle name="40 % - Akzent4 5 2 3 3 4 2" xfId="6876" xr:uid="{00000000-0005-0000-0000-00003C190000}"/>
    <cellStyle name="40 % - Akzent4 5 2 3 3 5" xfId="6877" xr:uid="{00000000-0005-0000-0000-00003D190000}"/>
    <cellStyle name="40 % - Akzent4 5 2 3 3 6" xfId="6878" xr:uid="{00000000-0005-0000-0000-00003E190000}"/>
    <cellStyle name="40 % - Akzent4 5 2 3 4" xfId="6879" xr:uid="{00000000-0005-0000-0000-00003F190000}"/>
    <cellStyle name="40 % - Akzent4 5 2 3 4 2" xfId="6880" xr:uid="{00000000-0005-0000-0000-000040190000}"/>
    <cellStyle name="40 % - Akzent4 5 2 3 4 3" xfId="6881" xr:uid="{00000000-0005-0000-0000-000041190000}"/>
    <cellStyle name="40 % - Akzent4 5 2 3 5" xfId="6882" xr:uid="{00000000-0005-0000-0000-000042190000}"/>
    <cellStyle name="40 % - Akzent4 5 2 3 5 2" xfId="6883" xr:uid="{00000000-0005-0000-0000-000043190000}"/>
    <cellStyle name="40 % - Akzent4 5 2 3 5 3" xfId="6884" xr:uid="{00000000-0005-0000-0000-000044190000}"/>
    <cellStyle name="40 % - Akzent4 5 2 3 6" xfId="6885" xr:uid="{00000000-0005-0000-0000-000045190000}"/>
    <cellStyle name="40 % - Akzent4 5 2 3 6 2" xfId="6886" xr:uid="{00000000-0005-0000-0000-000046190000}"/>
    <cellStyle name="40 % - Akzent4 5 2 3 7" xfId="6887" xr:uid="{00000000-0005-0000-0000-000047190000}"/>
    <cellStyle name="40 % - Akzent4 5 2 3 8" xfId="6888" xr:uid="{00000000-0005-0000-0000-000048190000}"/>
    <cellStyle name="40 % - Akzent4 5 2 4" xfId="6889" xr:uid="{00000000-0005-0000-0000-000049190000}"/>
    <cellStyle name="40 % - Akzent4 5 2 4 2" xfId="6890" xr:uid="{00000000-0005-0000-0000-00004A190000}"/>
    <cellStyle name="40 % - Akzent4 5 2 4 2 2" xfId="6891" xr:uid="{00000000-0005-0000-0000-00004B190000}"/>
    <cellStyle name="40 % - Akzent4 5 2 4 2 2 2" xfId="6892" xr:uid="{00000000-0005-0000-0000-00004C190000}"/>
    <cellStyle name="40 % - Akzent4 5 2 4 2 2 2 2" xfId="6893" xr:uid="{00000000-0005-0000-0000-00004D190000}"/>
    <cellStyle name="40 % - Akzent4 5 2 4 2 2 2 3" xfId="6894" xr:uid="{00000000-0005-0000-0000-00004E190000}"/>
    <cellStyle name="40 % - Akzent4 5 2 4 2 2 3" xfId="6895" xr:uid="{00000000-0005-0000-0000-00004F190000}"/>
    <cellStyle name="40 % - Akzent4 5 2 4 2 2 3 2" xfId="6896" xr:uid="{00000000-0005-0000-0000-000050190000}"/>
    <cellStyle name="40 % - Akzent4 5 2 4 2 2 3 3" xfId="6897" xr:uid="{00000000-0005-0000-0000-000051190000}"/>
    <cellStyle name="40 % - Akzent4 5 2 4 2 2 4" xfId="6898" xr:uid="{00000000-0005-0000-0000-000052190000}"/>
    <cellStyle name="40 % - Akzent4 5 2 4 2 2 4 2" xfId="6899" xr:uid="{00000000-0005-0000-0000-000053190000}"/>
    <cellStyle name="40 % - Akzent4 5 2 4 2 2 5" xfId="6900" xr:uid="{00000000-0005-0000-0000-000054190000}"/>
    <cellStyle name="40 % - Akzent4 5 2 4 2 2 6" xfId="6901" xr:uid="{00000000-0005-0000-0000-000055190000}"/>
    <cellStyle name="40 % - Akzent4 5 2 4 2 3" xfId="6902" xr:uid="{00000000-0005-0000-0000-000056190000}"/>
    <cellStyle name="40 % - Akzent4 5 2 4 2 3 2" xfId="6903" xr:uid="{00000000-0005-0000-0000-000057190000}"/>
    <cellStyle name="40 % - Akzent4 5 2 4 2 3 3" xfId="6904" xr:uid="{00000000-0005-0000-0000-000058190000}"/>
    <cellStyle name="40 % - Akzent4 5 2 4 2 4" xfId="6905" xr:uid="{00000000-0005-0000-0000-000059190000}"/>
    <cellStyle name="40 % - Akzent4 5 2 4 2 4 2" xfId="6906" xr:uid="{00000000-0005-0000-0000-00005A190000}"/>
    <cellStyle name="40 % - Akzent4 5 2 4 2 4 3" xfId="6907" xr:uid="{00000000-0005-0000-0000-00005B190000}"/>
    <cellStyle name="40 % - Akzent4 5 2 4 2 5" xfId="6908" xr:uid="{00000000-0005-0000-0000-00005C190000}"/>
    <cellStyle name="40 % - Akzent4 5 2 4 2 5 2" xfId="6909" xr:uid="{00000000-0005-0000-0000-00005D190000}"/>
    <cellStyle name="40 % - Akzent4 5 2 4 2 6" xfId="6910" xr:uid="{00000000-0005-0000-0000-00005E190000}"/>
    <cellStyle name="40 % - Akzent4 5 2 4 2 7" xfId="6911" xr:uid="{00000000-0005-0000-0000-00005F190000}"/>
    <cellStyle name="40 % - Akzent4 5 2 4 3" xfId="6912" xr:uid="{00000000-0005-0000-0000-000060190000}"/>
    <cellStyle name="40 % - Akzent4 5 2 4 3 2" xfId="6913" xr:uid="{00000000-0005-0000-0000-000061190000}"/>
    <cellStyle name="40 % - Akzent4 5 2 4 3 2 2" xfId="6914" xr:uid="{00000000-0005-0000-0000-000062190000}"/>
    <cellStyle name="40 % - Akzent4 5 2 4 3 2 3" xfId="6915" xr:uid="{00000000-0005-0000-0000-000063190000}"/>
    <cellStyle name="40 % - Akzent4 5 2 4 3 3" xfId="6916" xr:uid="{00000000-0005-0000-0000-000064190000}"/>
    <cellStyle name="40 % - Akzent4 5 2 4 3 3 2" xfId="6917" xr:uid="{00000000-0005-0000-0000-000065190000}"/>
    <cellStyle name="40 % - Akzent4 5 2 4 3 3 3" xfId="6918" xr:uid="{00000000-0005-0000-0000-000066190000}"/>
    <cellStyle name="40 % - Akzent4 5 2 4 3 4" xfId="6919" xr:uid="{00000000-0005-0000-0000-000067190000}"/>
    <cellStyle name="40 % - Akzent4 5 2 4 3 4 2" xfId="6920" xr:uid="{00000000-0005-0000-0000-000068190000}"/>
    <cellStyle name="40 % - Akzent4 5 2 4 3 5" xfId="6921" xr:uid="{00000000-0005-0000-0000-000069190000}"/>
    <cellStyle name="40 % - Akzent4 5 2 4 3 6" xfId="6922" xr:uid="{00000000-0005-0000-0000-00006A190000}"/>
    <cellStyle name="40 % - Akzent4 5 2 4 4" xfId="6923" xr:uid="{00000000-0005-0000-0000-00006B190000}"/>
    <cellStyle name="40 % - Akzent4 5 2 4 4 2" xfId="6924" xr:uid="{00000000-0005-0000-0000-00006C190000}"/>
    <cellStyle name="40 % - Akzent4 5 2 4 4 3" xfId="6925" xr:uid="{00000000-0005-0000-0000-00006D190000}"/>
    <cellStyle name="40 % - Akzent4 5 2 4 5" xfId="6926" xr:uid="{00000000-0005-0000-0000-00006E190000}"/>
    <cellStyle name="40 % - Akzent4 5 2 4 5 2" xfId="6927" xr:uid="{00000000-0005-0000-0000-00006F190000}"/>
    <cellStyle name="40 % - Akzent4 5 2 4 5 3" xfId="6928" xr:uid="{00000000-0005-0000-0000-000070190000}"/>
    <cellStyle name="40 % - Akzent4 5 2 4 6" xfId="6929" xr:uid="{00000000-0005-0000-0000-000071190000}"/>
    <cellStyle name="40 % - Akzent4 5 2 4 6 2" xfId="6930" xr:uid="{00000000-0005-0000-0000-000072190000}"/>
    <cellStyle name="40 % - Akzent4 5 2 4 7" xfId="6931" xr:uid="{00000000-0005-0000-0000-000073190000}"/>
    <cellStyle name="40 % - Akzent4 5 2 4 8" xfId="6932" xr:uid="{00000000-0005-0000-0000-000074190000}"/>
    <cellStyle name="40 % - Akzent4 5 2 5" xfId="6933" xr:uid="{00000000-0005-0000-0000-000075190000}"/>
    <cellStyle name="40 % - Akzent4 5 2 5 2" xfId="6934" xr:uid="{00000000-0005-0000-0000-000076190000}"/>
    <cellStyle name="40 % - Akzent4 5 2 5 2 2" xfId="6935" xr:uid="{00000000-0005-0000-0000-000077190000}"/>
    <cellStyle name="40 % - Akzent4 5 2 5 2 2 2" xfId="6936" xr:uid="{00000000-0005-0000-0000-000078190000}"/>
    <cellStyle name="40 % - Akzent4 5 2 5 2 2 3" xfId="6937" xr:uid="{00000000-0005-0000-0000-000079190000}"/>
    <cellStyle name="40 % - Akzent4 5 2 5 2 3" xfId="6938" xr:uid="{00000000-0005-0000-0000-00007A190000}"/>
    <cellStyle name="40 % - Akzent4 5 2 5 2 3 2" xfId="6939" xr:uid="{00000000-0005-0000-0000-00007B190000}"/>
    <cellStyle name="40 % - Akzent4 5 2 5 2 3 3" xfId="6940" xr:uid="{00000000-0005-0000-0000-00007C190000}"/>
    <cellStyle name="40 % - Akzent4 5 2 5 2 4" xfId="6941" xr:uid="{00000000-0005-0000-0000-00007D190000}"/>
    <cellStyle name="40 % - Akzent4 5 2 5 2 4 2" xfId="6942" xr:uid="{00000000-0005-0000-0000-00007E190000}"/>
    <cellStyle name="40 % - Akzent4 5 2 5 2 5" xfId="6943" xr:uid="{00000000-0005-0000-0000-00007F190000}"/>
    <cellStyle name="40 % - Akzent4 5 2 5 2 6" xfId="6944" xr:uid="{00000000-0005-0000-0000-000080190000}"/>
    <cellStyle name="40 % - Akzent4 5 2 5 3" xfId="6945" xr:uid="{00000000-0005-0000-0000-000081190000}"/>
    <cellStyle name="40 % - Akzent4 5 2 5 3 2" xfId="6946" xr:uid="{00000000-0005-0000-0000-000082190000}"/>
    <cellStyle name="40 % - Akzent4 5 2 5 3 3" xfId="6947" xr:uid="{00000000-0005-0000-0000-000083190000}"/>
    <cellStyle name="40 % - Akzent4 5 2 5 4" xfId="6948" xr:uid="{00000000-0005-0000-0000-000084190000}"/>
    <cellStyle name="40 % - Akzent4 5 2 5 4 2" xfId="6949" xr:uid="{00000000-0005-0000-0000-000085190000}"/>
    <cellStyle name="40 % - Akzent4 5 2 5 4 3" xfId="6950" xr:uid="{00000000-0005-0000-0000-000086190000}"/>
    <cellStyle name="40 % - Akzent4 5 2 5 5" xfId="6951" xr:uid="{00000000-0005-0000-0000-000087190000}"/>
    <cellStyle name="40 % - Akzent4 5 2 5 5 2" xfId="6952" xr:uid="{00000000-0005-0000-0000-000088190000}"/>
    <cellStyle name="40 % - Akzent4 5 2 5 6" xfId="6953" xr:uid="{00000000-0005-0000-0000-000089190000}"/>
    <cellStyle name="40 % - Akzent4 5 2 5 7" xfId="6954" xr:uid="{00000000-0005-0000-0000-00008A190000}"/>
    <cellStyle name="40 % - Akzent4 5 2 6" xfId="6955" xr:uid="{00000000-0005-0000-0000-00008B190000}"/>
    <cellStyle name="40 % - Akzent4 5 2 6 2" xfId="6956" xr:uid="{00000000-0005-0000-0000-00008C190000}"/>
    <cellStyle name="40 % - Akzent4 5 2 6 2 2" xfId="6957" xr:uid="{00000000-0005-0000-0000-00008D190000}"/>
    <cellStyle name="40 % - Akzent4 5 2 6 2 3" xfId="6958" xr:uid="{00000000-0005-0000-0000-00008E190000}"/>
    <cellStyle name="40 % - Akzent4 5 2 6 3" xfId="6959" xr:uid="{00000000-0005-0000-0000-00008F190000}"/>
    <cellStyle name="40 % - Akzent4 5 2 6 3 2" xfId="6960" xr:uid="{00000000-0005-0000-0000-000090190000}"/>
    <cellStyle name="40 % - Akzent4 5 2 6 3 3" xfId="6961" xr:uid="{00000000-0005-0000-0000-000091190000}"/>
    <cellStyle name="40 % - Akzent4 5 2 6 4" xfId="6962" xr:uid="{00000000-0005-0000-0000-000092190000}"/>
    <cellStyle name="40 % - Akzent4 5 2 6 4 2" xfId="6963" xr:uid="{00000000-0005-0000-0000-000093190000}"/>
    <cellStyle name="40 % - Akzent4 5 2 6 5" xfId="6964" xr:uid="{00000000-0005-0000-0000-000094190000}"/>
    <cellStyle name="40 % - Akzent4 5 2 6 6" xfId="6965" xr:uid="{00000000-0005-0000-0000-000095190000}"/>
    <cellStyle name="40 % - Akzent4 5 2 7" xfId="6966" xr:uid="{00000000-0005-0000-0000-000096190000}"/>
    <cellStyle name="40 % - Akzent4 5 2 7 2" xfId="6967" xr:uid="{00000000-0005-0000-0000-000097190000}"/>
    <cellStyle name="40 % - Akzent4 5 2 7 3" xfId="6968" xr:uid="{00000000-0005-0000-0000-000098190000}"/>
    <cellStyle name="40 % - Akzent4 5 2 8" xfId="6969" xr:uid="{00000000-0005-0000-0000-000099190000}"/>
    <cellStyle name="40 % - Akzent4 5 2 8 2" xfId="6970" xr:uid="{00000000-0005-0000-0000-00009A190000}"/>
    <cellStyle name="40 % - Akzent4 5 2 8 3" xfId="6971" xr:uid="{00000000-0005-0000-0000-00009B190000}"/>
    <cellStyle name="40 % - Akzent4 5 2 9" xfId="6972" xr:uid="{00000000-0005-0000-0000-00009C190000}"/>
    <cellStyle name="40 % - Akzent4 5 2 9 2" xfId="6973" xr:uid="{00000000-0005-0000-0000-00009D190000}"/>
    <cellStyle name="40 % - Akzent4 6" xfId="6974" xr:uid="{00000000-0005-0000-0000-00009E190000}"/>
    <cellStyle name="40 % - Akzent4 7" xfId="6975" xr:uid="{00000000-0005-0000-0000-00009F190000}"/>
    <cellStyle name="40 % - Akzent4 7 10" xfId="6976" xr:uid="{00000000-0005-0000-0000-0000A0190000}"/>
    <cellStyle name="40 % - Akzent4 7 2" xfId="6977" xr:uid="{00000000-0005-0000-0000-0000A1190000}"/>
    <cellStyle name="40 % - Akzent4 7 2 2" xfId="6978" xr:uid="{00000000-0005-0000-0000-0000A2190000}"/>
    <cellStyle name="40 % - Akzent4 7 2 2 2" xfId="6979" xr:uid="{00000000-0005-0000-0000-0000A3190000}"/>
    <cellStyle name="40 % - Akzent4 7 2 2 2 2" xfId="6980" xr:uid="{00000000-0005-0000-0000-0000A4190000}"/>
    <cellStyle name="40 % - Akzent4 7 2 2 2 2 2" xfId="6981" xr:uid="{00000000-0005-0000-0000-0000A5190000}"/>
    <cellStyle name="40 % - Akzent4 7 2 2 2 2 3" xfId="6982" xr:uid="{00000000-0005-0000-0000-0000A6190000}"/>
    <cellStyle name="40 % - Akzent4 7 2 2 2 3" xfId="6983" xr:uid="{00000000-0005-0000-0000-0000A7190000}"/>
    <cellStyle name="40 % - Akzent4 7 2 2 2 3 2" xfId="6984" xr:uid="{00000000-0005-0000-0000-0000A8190000}"/>
    <cellStyle name="40 % - Akzent4 7 2 2 2 3 3" xfId="6985" xr:uid="{00000000-0005-0000-0000-0000A9190000}"/>
    <cellStyle name="40 % - Akzent4 7 2 2 2 4" xfId="6986" xr:uid="{00000000-0005-0000-0000-0000AA190000}"/>
    <cellStyle name="40 % - Akzent4 7 2 2 2 4 2" xfId="6987" xr:uid="{00000000-0005-0000-0000-0000AB190000}"/>
    <cellStyle name="40 % - Akzent4 7 2 2 2 5" xfId="6988" xr:uid="{00000000-0005-0000-0000-0000AC190000}"/>
    <cellStyle name="40 % - Akzent4 7 2 2 2 6" xfId="6989" xr:uid="{00000000-0005-0000-0000-0000AD190000}"/>
    <cellStyle name="40 % - Akzent4 7 2 2 3" xfId="6990" xr:uid="{00000000-0005-0000-0000-0000AE190000}"/>
    <cellStyle name="40 % - Akzent4 7 2 2 3 2" xfId="6991" xr:uid="{00000000-0005-0000-0000-0000AF190000}"/>
    <cellStyle name="40 % - Akzent4 7 2 2 3 3" xfId="6992" xr:uid="{00000000-0005-0000-0000-0000B0190000}"/>
    <cellStyle name="40 % - Akzent4 7 2 2 4" xfId="6993" xr:uid="{00000000-0005-0000-0000-0000B1190000}"/>
    <cellStyle name="40 % - Akzent4 7 2 2 4 2" xfId="6994" xr:uid="{00000000-0005-0000-0000-0000B2190000}"/>
    <cellStyle name="40 % - Akzent4 7 2 2 4 3" xfId="6995" xr:uid="{00000000-0005-0000-0000-0000B3190000}"/>
    <cellStyle name="40 % - Akzent4 7 2 2 5" xfId="6996" xr:uid="{00000000-0005-0000-0000-0000B4190000}"/>
    <cellStyle name="40 % - Akzent4 7 2 2 5 2" xfId="6997" xr:uid="{00000000-0005-0000-0000-0000B5190000}"/>
    <cellStyle name="40 % - Akzent4 7 2 2 6" xfId="6998" xr:uid="{00000000-0005-0000-0000-0000B6190000}"/>
    <cellStyle name="40 % - Akzent4 7 2 2 7" xfId="6999" xr:uid="{00000000-0005-0000-0000-0000B7190000}"/>
    <cellStyle name="40 % - Akzent4 7 2 3" xfId="7000" xr:uid="{00000000-0005-0000-0000-0000B8190000}"/>
    <cellStyle name="40 % - Akzent4 7 2 3 2" xfId="7001" xr:uid="{00000000-0005-0000-0000-0000B9190000}"/>
    <cellStyle name="40 % - Akzent4 7 2 3 2 2" xfId="7002" xr:uid="{00000000-0005-0000-0000-0000BA190000}"/>
    <cellStyle name="40 % - Akzent4 7 2 3 2 3" xfId="7003" xr:uid="{00000000-0005-0000-0000-0000BB190000}"/>
    <cellStyle name="40 % - Akzent4 7 2 3 3" xfId="7004" xr:uid="{00000000-0005-0000-0000-0000BC190000}"/>
    <cellStyle name="40 % - Akzent4 7 2 3 3 2" xfId="7005" xr:uid="{00000000-0005-0000-0000-0000BD190000}"/>
    <cellStyle name="40 % - Akzent4 7 2 3 3 3" xfId="7006" xr:uid="{00000000-0005-0000-0000-0000BE190000}"/>
    <cellStyle name="40 % - Akzent4 7 2 3 4" xfId="7007" xr:uid="{00000000-0005-0000-0000-0000BF190000}"/>
    <cellStyle name="40 % - Akzent4 7 2 3 4 2" xfId="7008" xr:uid="{00000000-0005-0000-0000-0000C0190000}"/>
    <cellStyle name="40 % - Akzent4 7 2 3 5" xfId="7009" xr:uid="{00000000-0005-0000-0000-0000C1190000}"/>
    <cellStyle name="40 % - Akzent4 7 2 3 6" xfId="7010" xr:uid="{00000000-0005-0000-0000-0000C2190000}"/>
    <cellStyle name="40 % - Akzent4 7 2 4" xfId="7011" xr:uid="{00000000-0005-0000-0000-0000C3190000}"/>
    <cellStyle name="40 % - Akzent4 7 2 4 2" xfId="7012" xr:uid="{00000000-0005-0000-0000-0000C4190000}"/>
    <cellStyle name="40 % - Akzent4 7 2 4 3" xfId="7013" xr:uid="{00000000-0005-0000-0000-0000C5190000}"/>
    <cellStyle name="40 % - Akzent4 7 2 5" xfId="7014" xr:uid="{00000000-0005-0000-0000-0000C6190000}"/>
    <cellStyle name="40 % - Akzent4 7 2 5 2" xfId="7015" xr:uid="{00000000-0005-0000-0000-0000C7190000}"/>
    <cellStyle name="40 % - Akzent4 7 2 5 3" xfId="7016" xr:uid="{00000000-0005-0000-0000-0000C8190000}"/>
    <cellStyle name="40 % - Akzent4 7 2 6" xfId="7017" xr:uid="{00000000-0005-0000-0000-0000C9190000}"/>
    <cellStyle name="40 % - Akzent4 7 2 6 2" xfId="7018" xr:uid="{00000000-0005-0000-0000-0000CA190000}"/>
    <cellStyle name="40 % - Akzent4 7 2 7" xfId="7019" xr:uid="{00000000-0005-0000-0000-0000CB190000}"/>
    <cellStyle name="40 % - Akzent4 7 2 8" xfId="7020" xr:uid="{00000000-0005-0000-0000-0000CC190000}"/>
    <cellStyle name="40 % - Akzent4 7 3" xfId="7021" xr:uid="{00000000-0005-0000-0000-0000CD190000}"/>
    <cellStyle name="40 % - Akzent4 7 3 2" xfId="7022" xr:uid="{00000000-0005-0000-0000-0000CE190000}"/>
    <cellStyle name="40 % - Akzent4 7 3 2 2" xfId="7023" xr:uid="{00000000-0005-0000-0000-0000CF190000}"/>
    <cellStyle name="40 % - Akzent4 7 3 2 2 2" xfId="7024" xr:uid="{00000000-0005-0000-0000-0000D0190000}"/>
    <cellStyle name="40 % - Akzent4 7 3 2 2 2 2" xfId="7025" xr:uid="{00000000-0005-0000-0000-0000D1190000}"/>
    <cellStyle name="40 % - Akzent4 7 3 2 2 2 3" xfId="7026" xr:uid="{00000000-0005-0000-0000-0000D2190000}"/>
    <cellStyle name="40 % - Akzent4 7 3 2 2 3" xfId="7027" xr:uid="{00000000-0005-0000-0000-0000D3190000}"/>
    <cellStyle name="40 % - Akzent4 7 3 2 2 3 2" xfId="7028" xr:uid="{00000000-0005-0000-0000-0000D4190000}"/>
    <cellStyle name="40 % - Akzent4 7 3 2 2 3 3" xfId="7029" xr:uid="{00000000-0005-0000-0000-0000D5190000}"/>
    <cellStyle name="40 % - Akzent4 7 3 2 2 4" xfId="7030" xr:uid="{00000000-0005-0000-0000-0000D6190000}"/>
    <cellStyle name="40 % - Akzent4 7 3 2 2 4 2" xfId="7031" xr:uid="{00000000-0005-0000-0000-0000D7190000}"/>
    <cellStyle name="40 % - Akzent4 7 3 2 2 5" xfId="7032" xr:uid="{00000000-0005-0000-0000-0000D8190000}"/>
    <cellStyle name="40 % - Akzent4 7 3 2 2 6" xfId="7033" xr:uid="{00000000-0005-0000-0000-0000D9190000}"/>
    <cellStyle name="40 % - Akzent4 7 3 2 3" xfId="7034" xr:uid="{00000000-0005-0000-0000-0000DA190000}"/>
    <cellStyle name="40 % - Akzent4 7 3 2 3 2" xfId="7035" xr:uid="{00000000-0005-0000-0000-0000DB190000}"/>
    <cellStyle name="40 % - Akzent4 7 3 2 3 3" xfId="7036" xr:uid="{00000000-0005-0000-0000-0000DC190000}"/>
    <cellStyle name="40 % - Akzent4 7 3 2 4" xfId="7037" xr:uid="{00000000-0005-0000-0000-0000DD190000}"/>
    <cellStyle name="40 % - Akzent4 7 3 2 4 2" xfId="7038" xr:uid="{00000000-0005-0000-0000-0000DE190000}"/>
    <cellStyle name="40 % - Akzent4 7 3 2 4 3" xfId="7039" xr:uid="{00000000-0005-0000-0000-0000DF190000}"/>
    <cellStyle name="40 % - Akzent4 7 3 2 5" xfId="7040" xr:uid="{00000000-0005-0000-0000-0000E0190000}"/>
    <cellStyle name="40 % - Akzent4 7 3 2 5 2" xfId="7041" xr:uid="{00000000-0005-0000-0000-0000E1190000}"/>
    <cellStyle name="40 % - Akzent4 7 3 2 6" xfId="7042" xr:uid="{00000000-0005-0000-0000-0000E2190000}"/>
    <cellStyle name="40 % - Akzent4 7 3 2 7" xfId="7043" xr:uid="{00000000-0005-0000-0000-0000E3190000}"/>
    <cellStyle name="40 % - Akzent4 7 3 3" xfId="7044" xr:uid="{00000000-0005-0000-0000-0000E4190000}"/>
    <cellStyle name="40 % - Akzent4 7 3 3 2" xfId="7045" xr:uid="{00000000-0005-0000-0000-0000E5190000}"/>
    <cellStyle name="40 % - Akzent4 7 3 3 2 2" xfId="7046" xr:uid="{00000000-0005-0000-0000-0000E6190000}"/>
    <cellStyle name="40 % - Akzent4 7 3 3 2 3" xfId="7047" xr:uid="{00000000-0005-0000-0000-0000E7190000}"/>
    <cellStyle name="40 % - Akzent4 7 3 3 3" xfId="7048" xr:uid="{00000000-0005-0000-0000-0000E8190000}"/>
    <cellStyle name="40 % - Akzent4 7 3 3 3 2" xfId="7049" xr:uid="{00000000-0005-0000-0000-0000E9190000}"/>
    <cellStyle name="40 % - Akzent4 7 3 3 3 3" xfId="7050" xr:uid="{00000000-0005-0000-0000-0000EA190000}"/>
    <cellStyle name="40 % - Akzent4 7 3 3 4" xfId="7051" xr:uid="{00000000-0005-0000-0000-0000EB190000}"/>
    <cellStyle name="40 % - Akzent4 7 3 3 4 2" xfId="7052" xr:uid="{00000000-0005-0000-0000-0000EC190000}"/>
    <cellStyle name="40 % - Akzent4 7 3 3 5" xfId="7053" xr:uid="{00000000-0005-0000-0000-0000ED190000}"/>
    <cellStyle name="40 % - Akzent4 7 3 3 6" xfId="7054" xr:uid="{00000000-0005-0000-0000-0000EE190000}"/>
    <cellStyle name="40 % - Akzent4 7 3 4" xfId="7055" xr:uid="{00000000-0005-0000-0000-0000EF190000}"/>
    <cellStyle name="40 % - Akzent4 7 3 4 2" xfId="7056" xr:uid="{00000000-0005-0000-0000-0000F0190000}"/>
    <cellStyle name="40 % - Akzent4 7 3 4 3" xfId="7057" xr:uid="{00000000-0005-0000-0000-0000F1190000}"/>
    <cellStyle name="40 % - Akzent4 7 3 5" xfId="7058" xr:uid="{00000000-0005-0000-0000-0000F2190000}"/>
    <cellStyle name="40 % - Akzent4 7 3 5 2" xfId="7059" xr:uid="{00000000-0005-0000-0000-0000F3190000}"/>
    <cellStyle name="40 % - Akzent4 7 3 5 3" xfId="7060" xr:uid="{00000000-0005-0000-0000-0000F4190000}"/>
    <cellStyle name="40 % - Akzent4 7 3 6" xfId="7061" xr:uid="{00000000-0005-0000-0000-0000F5190000}"/>
    <cellStyle name="40 % - Akzent4 7 3 6 2" xfId="7062" xr:uid="{00000000-0005-0000-0000-0000F6190000}"/>
    <cellStyle name="40 % - Akzent4 7 3 7" xfId="7063" xr:uid="{00000000-0005-0000-0000-0000F7190000}"/>
    <cellStyle name="40 % - Akzent4 7 3 8" xfId="7064" xr:uid="{00000000-0005-0000-0000-0000F8190000}"/>
    <cellStyle name="40 % - Akzent4 7 4" xfId="7065" xr:uid="{00000000-0005-0000-0000-0000F9190000}"/>
    <cellStyle name="40 % - Akzent4 7 4 2" xfId="7066" xr:uid="{00000000-0005-0000-0000-0000FA190000}"/>
    <cellStyle name="40 % - Akzent4 7 4 2 2" xfId="7067" xr:uid="{00000000-0005-0000-0000-0000FB190000}"/>
    <cellStyle name="40 % - Akzent4 7 4 2 2 2" xfId="7068" xr:uid="{00000000-0005-0000-0000-0000FC190000}"/>
    <cellStyle name="40 % - Akzent4 7 4 2 2 3" xfId="7069" xr:uid="{00000000-0005-0000-0000-0000FD190000}"/>
    <cellStyle name="40 % - Akzent4 7 4 2 3" xfId="7070" xr:uid="{00000000-0005-0000-0000-0000FE190000}"/>
    <cellStyle name="40 % - Akzent4 7 4 2 3 2" xfId="7071" xr:uid="{00000000-0005-0000-0000-0000FF190000}"/>
    <cellStyle name="40 % - Akzent4 7 4 2 3 3" xfId="7072" xr:uid="{00000000-0005-0000-0000-0000001A0000}"/>
    <cellStyle name="40 % - Akzent4 7 4 2 4" xfId="7073" xr:uid="{00000000-0005-0000-0000-0000011A0000}"/>
    <cellStyle name="40 % - Akzent4 7 4 2 4 2" xfId="7074" xr:uid="{00000000-0005-0000-0000-0000021A0000}"/>
    <cellStyle name="40 % - Akzent4 7 4 2 5" xfId="7075" xr:uid="{00000000-0005-0000-0000-0000031A0000}"/>
    <cellStyle name="40 % - Akzent4 7 4 2 6" xfId="7076" xr:uid="{00000000-0005-0000-0000-0000041A0000}"/>
    <cellStyle name="40 % - Akzent4 7 4 3" xfId="7077" xr:uid="{00000000-0005-0000-0000-0000051A0000}"/>
    <cellStyle name="40 % - Akzent4 7 4 3 2" xfId="7078" xr:uid="{00000000-0005-0000-0000-0000061A0000}"/>
    <cellStyle name="40 % - Akzent4 7 4 3 3" xfId="7079" xr:uid="{00000000-0005-0000-0000-0000071A0000}"/>
    <cellStyle name="40 % - Akzent4 7 4 4" xfId="7080" xr:uid="{00000000-0005-0000-0000-0000081A0000}"/>
    <cellStyle name="40 % - Akzent4 7 4 4 2" xfId="7081" xr:uid="{00000000-0005-0000-0000-0000091A0000}"/>
    <cellStyle name="40 % - Akzent4 7 4 4 3" xfId="7082" xr:uid="{00000000-0005-0000-0000-00000A1A0000}"/>
    <cellStyle name="40 % - Akzent4 7 4 5" xfId="7083" xr:uid="{00000000-0005-0000-0000-00000B1A0000}"/>
    <cellStyle name="40 % - Akzent4 7 4 5 2" xfId="7084" xr:uid="{00000000-0005-0000-0000-00000C1A0000}"/>
    <cellStyle name="40 % - Akzent4 7 4 6" xfId="7085" xr:uid="{00000000-0005-0000-0000-00000D1A0000}"/>
    <cellStyle name="40 % - Akzent4 7 4 7" xfId="7086" xr:uid="{00000000-0005-0000-0000-00000E1A0000}"/>
    <cellStyle name="40 % - Akzent4 7 5" xfId="7087" xr:uid="{00000000-0005-0000-0000-00000F1A0000}"/>
    <cellStyle name="40 % - Akzent4 7 5 2" xfId="7088" xr:uid="{00000000-0005-0000-0000-0000101A0000}"/>
    <cellStyle name="40 % - Akzent4 7 5 2 2" xfId="7089" xr:uid="{00000000-0005-0000-0000-0000111A0000}"/>
    <cellStyle name="40 % - Akzent4 7 5 2 3" xfId="7090" xr:uid="{00000000-0005-0000-0000-0000121A0000}"/>
    <cellStyle name="40 % - Akzent4 7 5 3" xfId="7091" xr:uid="{00000000-0005-0000-0000-0000131A0000}"/>
    <cellStyle name="40 % - Akzent4 7 5 3 2" xfId="7092" xr:uid="{00000000-0005-0000-0000-0000141A0000}"/>
    <cellStyle name="40 % - Akzent4 7 5 3 3" xfId="7093" xr:uid="{00000000-0005-0000-0000-0000151A0000}"/>
    <cellStyle name="40 % - Akzent4 7 5 4" xfId="7094" xr:uid="{00000000-0005-0000-0000-0000161A0000}"/>
    <cellStyle name="40 % - Akzent4 7 5 4 2" xfId="7095" xr:uid="{00000000-0005-0000-0000-0000171A0000}"/>
    <cellStyle name="40 % - Akzent4 7 5 5" xfId="7096" xr:uid="{00000000-0005-0000-0000-0000181A0000}"/>
    <cellStyle name="40 % - Akzent4 7 5 6" xfId="7097" xr:uid="{00000000-0005-0000-0000-0000191A0000}"/>
    <cellStyle name="40 % - Akzent4 7 6" xfId="7098" xr:uid="{00000000-0005-0000-0000-00001A1A0000}"/>
    <cellStyle name="40 % - Akzent4 7 6 2" xfId="7099" xr:uid="{00000000-0005-0000-0000-00001B1A0000}"/>
    <cellStyle name="40 % - Akzent4 7 6 3" xfId="7100" xr:uid="{00000000-0005-0000-0000-00001C1A0000}"/>
    <cellStyle name="40 % - Akzent4 7 7" xfId="7101" xr:uid="{00000000-0005-0000-0000-00001D1A0000}"/>
    <cellStyle name="40 % - Akzent4 7 7 2" xfId="7102" xr:uid="{00000000-0005-0000-0000-00001E1A0000}"/>
    <cellStyle name="40 % - Akzent4 7 7 3" xfId="7103" xr:uid="{00000000-0005-0000-0000-00001F1A0000}"/>
    <cellStyle name="40 % - Akzent4 7 8" xfId="7104" xr:uid="{00000000-0005-0000-0000-0000201A0000}"/>
    <cellStyle name="40 % - Akzent4 7 8 2" xfId="7105" xr:uid="{00000000-0005-0000-0000-0000211A0000}"/>
    <cellStyle name="40 % - Akzent4 7 9" xfId="7106" xr:uid="{00000000-0005-0000-0000-0000221A0000}"/>
    <cellStyle name="40 % - Akzent4 8" xfId="7107" xr:uid="{00000000-0005-0000-0000-0000231A0000}"/>
    <cellStyle name="40 % - Akzent4 8 2" xfId="7108" xr:uid="{00000000-0005-0000-0000-0000241A0000}"/>
    <cellStyle name="40 % - Akzent4 8 2 2" xfId="7109" xr:uid="{00000000-0005-0000-0000-0000251A0000}"/>
    <cellStyle name="40 % - Akzent4 8 2 2 2" xfId="7110" xr:uid="{00000000-0005-0000-0000-0000261A0000}"/>
    <cellStyle name="40 % - Akzent4 8 2 2 2 2" xfId="7111" xr:uid="{00000000-0005-0000-0000-0000271A0000}"/>
    <cellStyle name="40 % - Akzent4 8 2 2 2 3" xfId="7112" xr:uid="{00000000-0005-0000-0000-0000281A0000}"/>
    <cellStyle name="40 % - Akzent4 8 2 2 3" xfId="7113" xr:uid="{00000000-0005-0000-0000-0000291A0000}"/>
    <cellStyle name="40 % - Akzent4 8 2 2 3 2" xfId="7114" xr:uid="{00000000-0005-0000-0000-00002A1A0000}"/>
    <cellStyle name="40 % - Akzent4 8 2 2 3 3" xfId="7115" xr:uid="{00000000-0005-0000-0000-00002B1A0000}"/>
    <cellStyle name="40 % - Akzent4 8 2 2 4" xfId="7116" xr:uid="{00000000-0005-0000-0000-00002C1A0000}"/>
    <cellStyle name="40 % - Akzent4 8 2 2 4 2" xfId="7117" xr:uid="{00000000-0005-0000-0000-00002D1A0000}"/>
    <cellStyle name="40 % - Akzent4 8 2 2 5" xfId="7118" xr:uid="{00000000-0005-0000-0000-00002E1A0000}"/>
    <cellStyle name="40 % - Akzent4 8 2 2 6" xfId="7119" xr:uid="{00000000-0005-0000-0000-00002F1A0000}"/>
    <cellStyle name="40 % - Akzent4 8 2 3" xfId="7120" xr:uid="{00000000-0005-0000-0000-0000301A0000}"/>
    <cellStyle name="40 % - Akzent4 8 2 3 2" xfId="7121" xr:uid="{00000000-0005-0000-0000-0000311A0000}"/>
    <cellStyle name="40 % - Akzent4 8 2 3 3" xfId="7122" xr:uid="{00000000-0005-0000-0000-0000321A0000}"/>
    <cellStyle name="40 % - Akzent4 8 2 4" xfId="7123" xr:uid="{00000000-0005-0000-0000-0000331A0000}"/>
    <cellStyle name="40 % - Akzent4 8 2 4 2" xfId="7124" xr:uid="{00000000-0005-0000-0000-0000341A0000}"/>
    <cellStyle name="40 % - Akzent4 8 2 4 3" xfId="7125" xr:uid="{00000000-0005-0000-0000-0000351A0000}"/>
    <cellStyle name="40 % - Akzent4 8 2 5" xfId="7126" xr:uid="{00000000-0005-0000-0000-0000361A0000}"/>
    <cellStyle name="40 % - Akzent4 8 2 5 2" xfId="7127" xr:uid="{00000000-0005-0000-0000-0000371A0000}"/>
    <cellStyle name="40 % - Akzent4 8 2 6" xfId="7128" xr:uid="{00000000-0005-0000-0000-0000381A0000}"/>
    <cellStyle name="40 % - Akzent4 8 2 7" xfId="7129" xr:uid="{00000000-0005-0000-0000-0000391A0000}"/>
    <cellStyle name="40 % - Akzent4 8 3" xfId="7130" xr:uid="{00000000-0005-0000-0000-00003A1A0000}"/>
    <cellStyle name="40 % - Akzent4 8 3 2" xfId="7131" xr:uid="{00000000-0005-0000-0000-00003B1A0000}"/>
    <cellStyle name="40 % - Akzent4 8 3 2 2" xfId="7132" xr:uid="{00000000-0005-0000-0000-00003C1A0000}"/>
    <cellStyle name="40 % - Akzent4 8 3 2 3" xfId="7133" xr:uid="{00000000-0005-0000-0000-00003D1A0000}"/>
    <cellStyle name="40 % - Akzent4 8 3 3" xfId="7134" xr:uid="{00000000-0005-0000-0000-00003E1A0000}"/>
    <cellStyle name="40 % - Akzent4 8 3 3 2" xfId="7135" xr:uid="{00000000-0005-0000-0000-00003F1A0000}"/>
    <cellStyle name="40 % - Akzent4 8 3 3 3" xfId="7136" xr:uid="{00000000-0005-0000-0000-0000401A0000}"/>
    <cellStyle name="40 % - Akzent4 8 3 4" xfId="7137" xr:uid="{00000000-0005-0000-0000-0000411A0000}"/>
    <cellStyle name="40 % - Akzent4 8 3 4 2" xfId="7138" xr:uid="{00000000-0005-0000-0000-0000421A0000}"/>
    <cellStyle name="40 % - Akzent4 8 3 5" xfId="7139" xr:uid="{00000000-0005-0000-0000-0000431A0000}"/>
    <cellStyle name="40 % - Akzent4 8 3 6" xfId="7140" xr:uid="{00000000-0005-0000-0000-0000441A0000}"/>
    <cellStyle name="40 % - Akzent4 8 4" xfId="7141" xr:uid="{00000000-0005-0000-0000-0000451A0000}"/>
    <cellStyle name="40 % - Akzent4 8 4 2" xfId="7142" xr:uid="{00000000-0005-0000-0000-0000461A0000}"/>
    <cellStyle name="40 % - Akzent4 8 4 3" xfId="7143" xr:uid="{00000000-0005-0000-0000-0000471A0000}"/>
    <cellStyle name="40 % - Akzent4 8 5" xfId="7144" xr:uid="{00000000-0005-0000-0000-0000481A0000}"/>
    <cellStyle name="40 % - Akzent4 8 5 2" xfId="7145" xr:uid="{00000000-0005-0000-0000-0000491A0000}"/>
    <cellStyle name="40 % - Akzent4 8 5 3" xfId="7146" xr:uid="{00000000-0005-0000-0000-00004A1A0000}"/>
    <cellStyle name="40 % - Akzent4 8 6" xfId="7147" xr:uid="{00000000-0005-0000-0000-00004B1A0000}"/>
    <cellStyle name="40 % - Akzent4 8 6 2" xfId="7148" xr:uid="{00000000-0005-0000-0000-00004C1A0000}"/>
    <cellStyle name="40 % - Akzent4 8 7" xfId="7149" xr:uid="{00000000-0005-0000-0000-00004D1A0000}"/>
    <cellStyle name="40 % - Akzent4 8 8" xfId="7150" xr:uid="{00000000-0005-0000-0000-00004E1A0000}"/>
    <cellStyle name="40 % - Akzent5 2" xfId="189" xr:uid="{00000000-0005-0000-0000-00004F1A0000}"/>
    <cellStyle name="40 % - Akzent5 2 2" xfId="190" xr:uid="{00000000-0005-0000-0000-0000501A0000}"/>
    <cellStyle name="40 % - Akzent5 2 2 2" xfId="191" xr:uid="{00000000-0005-0000-0000-0000511A0000}"/>
    <cellStyle name="40 % - Akzent5 2 2 3" xfId="33098" xr:uid="{00000000-0005-0000-0000-0000521A0000}"/>
    <cellStyle name="40 % - Akzent5 2 2 4" xfId="33173" xr:uid="{00000000-0005-0000-0000-0000531A0000}"/>
    <cellStyle name="40 % - Akzent5 2 2 5" xfId="33248" xr:uid="{00000000-0005-0000-0000-0000541A0000}"/>
    <cellStyle name="40 % - Akzent5 2 2 6" xfId="33323" xr:uid="{00000000-0005-0000-0000-0000551A0000}"/>
    <cellStyle name="40 % - Akzent5 2 3" xfId="192" xr:uid="{00000000-0005-0000-0000-0000561A0000}"/>
    <cellStyle name="40 % - Akzent5 2 3 2" xfId="33099" xr:uid="{00000000-0005-0000-0000-0000571A0000}"/>
    <cellStyle name="40 % - Akzent5 2 3 3" xfId="33174" xr:uid="{00000000-0005-0000-0000-0000581A0000}"/>
    <cellStyle name="40 % - Akzent5 2 3 4" xfId="33249" xr:uid="{00000000-0005-0000-0000-0000591A0000}"/>
    <cellStyle name="40 % - Akzent5 2 3 5" xfId="33324" xr:uid="{00000000-0005-0000-0000-00005A1A0000}"/>
    <cellStyle name="40 % - Akzent5 2 4" xfId="193" xr:uid="{00000000-0005-0000-0000-00005B1A0000}"/>
    <cellStyle name="40 % - Akzent5 2 4 2" xfId="33100" xr:uid="{00000000-0005-0000-0000-00005C1A0000}"/>
    <cellStyle name="40 % - Akzent5 2 4 3" xfId="33175" xr:uid="{00000000-0005-0000-0000-00005D1A0000}"/>
    <cellStyle name="40 % - Akzent5 2 4 4" xfId="33250" xr:uid="{00000000-0005-0000-0000-00005E1A0000}"/>
    <cellStyle name="40 % - Akzent5 2 4 5" xfId="33325" xr:uid="{00000000-0005-0000-0000-00005F1A0000}"/>
    <cellStyle name="40 % - Akzent5 2 5" xfId="194" xr:uid="{00000000-0005-0000-0000-0000601A0000}"/>
    <cellStyle name="40 % - Akzent5 2 6" xfId="33097" xr:uid="{00000000-0005-0000-0000-0000611A0000}"/>
    <cellStyle name="40 % - Akzent5 2 7" xfId="33172" xr:uid="{00000000-0005-0000-0000-0000621A0000}"/>
    <cellStyle name="40 % - Akzent5 2 8" xfId="33247" xr:uid="{00000000-0005-0000-0000-0000631A0000}"/>
    <cellStyle name="40 % - Akzent5 2 9" xfId="33322" xr:uid="{00000000-0005-0000-0000-0000641A0000}"/>
    <cellStyle name="40 % - Akzent5 3" xfId="195" xr:uid="{00000000-0005-0000-0000-0000651A0000}"/>
    <cellStyle name="40 % - Akzent5 3 2" xfId="196" xr:uid="{00000000-0005-0000-0000-0000661A0000}"/>
    <cellStyle name="40 % - Akzent5 3 2 10" xfId="7151" xr:uid="{00000000-0005-0000-0000-0000671A0000}"/>
    <cellStyle name="40 % - Akzent5 3 2 11" xfId="7152" xr:uid="{00000000-0005-0000-0000-0000681A0000}"/>
    <cellStyle name="40 % - Akzent5 3 2 12" xfId="33101" xr:uid="{00000000-0005-0000-0000-0000691A0000}"/>
    <cellStyle name="40 % - Akzent5 3 2 13" xfId="33176" xr:uid="{00000000-0005-0000-0000-00006A1A0000}"/>
    <cellStyle name="40 % - Akzent5 3 2 14" xfId="33251" xr:uid="{00000000-0005-0000-0000-00006B1A0000}"/>
    <cellStyle name="40 % - Akzent5 3 2 15" xfId="33326" xr:uid="{00000000-0005-0000-0000-00006C1A0000}"/>
    <cellStyle name="40 % - Akzent5 3 2 2" xfId="7153" xr:uid="{00000000-0005-0000-0000-00006D1A0000}"/>
    <cellStyle name="40 % - Akzent5 3 2 2 10" xfId="7154" xr:uid="{00000000-0005-0000-0000-00006E1A0000}"/>
    <cellStyle name="40 % - Akzent5 3 2 2 2" xfId="7155" xr:uid="{00000000-0005-0000-0000-00006F1A0000}"/>
    <cellStyle name="40 % - Akzent5 3 2 2 2 2" xfId="7156" xr:uid="{00000000-0005-0000-0000-0000701A0000}"/>
    <cellStyle name="40 % - Akzent5 3 2 2 2 2 2" xfId="7157" xr:uid="{00000000-0005-0000-0000-0000711A0000}"/>
    <cellStyle name="40 % - Akzent5 3 2 2 2 2 2 2" xfId="7158" xr:uid="{00000000-0005-0000-0000-0000721A0000}"/>
    <cellStyle name="40 % - Akzent5 3 2 2 2 2 2 2 2" xfId="7159" xr:uid="{00000000-0005-0000-0000-0000731A0000}"/>
    <cellStyle name="40 % - Akzent5 3 2 2 2 2 2 2 3" xfId="7160" xr:uid="{00000000-0005-0000-0000-0000741A0000}"/>
    <cellStyle name="40 % - Akzent5 3 2 2 2 2 2 3" xfId="7161" xr:uid="{00000000-0005-0000-0000-0000751A0000}"/>
    <cellStyle name="40 % - Akzent5 3 2 2 2 2 2 3 2" xfId="7162" xr:uid="{00000000-0005-0000-0000-0000761A0000}"/>
    <cellStyle name="40 % - Akzent5 3 2 2 2 2 2 3 3" xfId="7163" xr:uid="{00000000-0005-0000-0000-0000771A0000}"/>
    <cellStyle name="40 % - Akzent5 3 2 2 2 2 2 4" xfId="7164" xr:uid="{00000000-0005-0000-0000-0000781A0000}"/>
    <cellStyle name="40 % - Akzent5 3 2 2 2 2 2 4 2" xfId="7165" xr:uid="{00000000-0005-0000-0000-0000791A0000}"/>
    <cellStyle name="40 % - Akzent5 3 2 2 2 2 2 5" xfId="7166" xr:uid="{00000000-0005-0000-0000-00007A1A0000}"/>
    <cellStyle name="40 % - Akzent5 3 2 2 2 2 2 6" xfId="7167" xr:uid="{00000000-0005-0000-0000-00007B1A0000}"/>
    <cellStyle name="40 % - Akzent5 3 2 2 2 2 3" xfId="7168" xr:uid="{00000000-0005-0000-0000-00007C1A0000}"/>
    <cellStyle name="40 % - Akzent5 3 2 2 2 2 3 2" xfId="7169" xr:uid="{00000000-0005-0000-0000-00007D1A0000}"/>
    <cellStyle name="40 % - Akzent5 3 2 2 2 2 3 3" xfId="7170" xr:uid="{00000000-0005-0000-0000-00007E1A0000}"/>
    <cellStyle name="40 % - Akzent5 3 2 2 2 2 4" xfId="7171" xr:uid="{00000000-0005-0000-0000-00007F1A0000}"/>
    <cellStyle name="40 % - Akzent5 3 2 2 2 2 4 2" xfId="7172" xr:uid="{00000000-0005-0000-0000-0000801A0000}"/>
    <cellStyle name="40 % - Akzent5 3 2 2 2 2 4 3" xfId="7173" xr:uid="{00000000-0005-0000-0000-0000811A0000}"/>
    <cellStyle name="40 % - Akzent5 3 2 2 2 2 5" xfId="7174" xr:uid="{00000000-0005-0000-0000-0000821A0000}"/>
    <cellStyle name="40 % - Akzent5 3 2 2 2 2 5 2" xfId="7175" xr:uid="{00000000-0005-0000-0000-0000831A0000}"/>
    <cellStyle name="40 % - Akzent5 3 2 2 2 2 6" xfId="7176" xr:uid="{00000000-0005-0000-0000-0000841A0000}"/>
    <cellStyle name="40 % - Akzent5 3 2 2 2 2 7" xfId="7177" xr:uid="{00000000-0005-0000-0000-0000851A0000}"/>
    <cellStyle name="40 % - Akzent5 3 2 2 2 3" xfId="7178" xr:uid="{00000000-0005-0000-0000-0000861A0000}"/>
    <cellStyle name="40 % - Akzent5 3 2 2 2 3 2" xfId="7179" xr:uid="{00000000-0005-0000-0000-0000871A0000}"/>
    <cellStyle name="40 % - Akzent5 3 2 2 2 3 2 2" xfId="7180" xr:uid="{00000000-0005-0000-0000-0000881A0000}"/>
    <cellStyle name="40 % - Akzent5 3 2 2 2 3 2 3" xfId="7181" xr:uid="{00000000-0005-0000-0000-0000891A0000}"/>
    <cellStyle name="40 % - Akzent5 3 2 2 2 3 3" xfId="7182" xr:uid="{00000000-0005-0000-0000-00008A1A0000}"/>
    <cellStyle name="40 % - Akzent5 3 2 2 2 3 3 2" xfId="7183" xr:uid="{00000000-0005-0000-0000-00008B1A0000}"/>
    <cellStyle name="40 % - Akzent5 3 2 2 2 3 3 3" xfId="7184" xr:uid="{00000000-0005-0000-0000-00008C1A0000}"/>
    <cellStyle name="40 % - Akzent5 3 2 2 2 3 4" xfId="7185" xr:uid="{00000000-0005-0000-0000-00008D1A0000}"/>
    <cellStyle name="40 % - Akzent5 3 2 2 2 3 4 2" xfId="7186" xr:uid="{00000000-0005-0000-0000-00008E1A0000}"/>
    <cellStyle name="40 % - Akzent5 3 2 2 2 3 5" xfId="7187" xr:uid="{00000000-0005-0000-0000-00008F1A0000}"/>
    <cellStyle name="40 % - Akzent5 3 2 2 2 3 6" xfId="7188" xr:uid="{00000000-0005-0000-0000-0000901A0000}"/>
    <cellStyle name="40 % - Akzent5 3 2 2 2 4" xfId="7189" xr:uid="{00000000-0005-0000-0000-0000911A0000}"/>
    <cellStyle name="40 % - Akzent5 3 2 2 2 4 2" xfId="7190" xr:uid="{00000000-0005-0000-0000-0000921A0000}"/>
    <cellStyle name="40 % - Akzent5 3 2 2 2 4 3" xfId="7191" xr:uid="{00000000-0005-0000-0000-0000931A0000}"/>
    <cellStyle name="40 % - Akzent5 3 2 2 2 5" xfId="7192" xr:uid="{00000000-0005-0000-0000-0000941A0000}"/>
    <cellStyle name="40 % - Akzent5 3 2 2 2 5 2" xfId="7193" xr:uid="{00000000-0005-0000-0000-0000951A0000}"/>
    <cellStyle name="40 % - Akzent5 3 2 2 2 5 3" xfId="7194" xr:uid="{00000000-0005-0000-0000-0000961A0000}"/>
    <cellStyle name="40 % - Akzent5 3 2 2 2 6" xfId="7195" xr:uid="{00000000-0005-0000-0000-0000971A0000}"/>
    <cellStyle name="40 % - Akzent5 3 2 2 2 6 2" xfId="7196" xr:uid="{00000000-0005-0000-0000-0000981A0000}"/>
    <cellStyle name="40 % - Akzent5 3 2 2 2 7" xfId="7197" xr:uid="{00000000-0005-0000-0000-0000991A0000}"/>
    <cellStyle name="40 % - Akzent5 3 2 2 2 8" xfId="7198" xr:uid="{00000000-0005-0000-0000-00009A1A0000}"/>
    <cellStyle name="40 % - Akzent5 3 2 2 3" xfId="7199" xr:uid="{00000000-0005-0000-0000-00009B1A0000}"/>
    <cellStyle name="40 % - Akzent5 3 2 2 3 2" xfId="7200" xr:uid="{00000000-0005-0000-0000-00009C1A0000}"/>
    <cellStyle name="40 % - Akzent5 3 2 2 3 2 2" xfId="7201" xr:uid="{00000000-0005-0000-0000-00009D1A0000}"/>
    <cellStyle name="40 % - Akzent5 3 2 2 3 2 2 2" xfId="7202" xr:uid="{00000000-0005-0000-0000-00009E1A0000}"/>
    <cellStyle name="40 % - Akzent5 3 2 2 3 2 2 2 2" xfId="7203" xr:uid="{00000000-0005-0000-0000-00009F1A0000}"/>
    <cellStyle name="40 % - Akzent5 3 2 2 3 2 2 2 3" xfId="7204" xr:uid="{00000000-0005-0000-0000-0000A01A0000}"/>
    <cellStyle name="40 % - Akzent5 3 2 2 3 2 2 3" xfId="7205" xr:uid="{00000000-0005-0000-0000-0000A11A0000}"/>
    <cellStyle name="40 % - Akzent5 3 2 2 3 2 2 3 2" xfId="7206" xr:uid="{00000000-0005-0000-0000-0000A21A0000}"/>
    <cellStyle name="40 % - Akzent5 3 2 2 3 2 2 3 3" xfId="7207" xr:uid="{00000000-0005-0000-0000-0000A31A0000}"/>
    <cellStyle name="40 % - Akzent5 3 2 2 3 2 2 4" xfId="7208" xr:uid="{00000000-0005-0000-0000-0000A41A0000}"/>
    <cellStyle name="40 % - Akzent5 3 2 2 3 2 2 4 2" xfId="7209" xr:uid="{00000000-0005-0000-0000-0000A51A0000}"/>
    <cellStyle name="40 % - Akzent5 3 2 2 3 2 2 5" xfId="7210" xr:uid="{00000000-0005-0000-0000-0000A61A0000}"/>
    <cellStyle name="40 % - Akzent5 3 2 2 3 2 2 6" xfId="7211" xr:uid="{00000000-0005-0000-0000-0000A71A0000}"/>
    <cellStyle name="40 % - Akzent5 3 2 2 3 2 3" xfId="7212" xr:uid="{00000000-0005-0000-0000-0000A81A0000}"/>
    <cellStyle name="40 % - Akzent5 3 2 2 3 2 3 2" xfId="7213" xr:uid="{00000000-0005-0000-0000-0000A91A0000}"/>
    <cellStyle name="40 % - Akzent5 3 2 2 3 2 3 3" xfId="7214" xr:uid="{00000000-0005-0000-0000-0000AA1A0000}"/>
    <cellStyle name="40 % - Akzent5 3 2 2 3 2 4" xfId="7215" xr:uid="{00000000-0005-0000-0000-0000AB1A0000}"/>
    <cellStyle name="40 % - Akzent5 3 2 2 3 2 4 2" xfId="7216" xr:uid="{00000000-0005-0000-0000-0000AC1A0000}"/>
    <cellStyle name="40 % - Akzent5 3 2 2 3 2 4 3" xfId="7217" xr:uid="{00000000-0005-0000-0000-0000AD1A0000}"/>
    <cellStyle name="40 % - Akzent5 3 2 2 3 2 5" xfId="7218" xr:uid="{00000000-0005-0000-0000-0000AE1A0000}"/>
    <cellStyle name="40 % - Akzent5 3 2 2 3 2 5 2" xfId="7219" xr:uid="{00000000-0005-0000-0000-0000AF1A0000}"/>
    <cellStyle name="40 % - Akzent5 3 2 2 3 2 6" xfId="7220" xr:uid="{00000000-0005-0000-0000-0000B01A0000}"/>
    <cellStyle name="40 % - Akzent5 3 2 2 3 2 7" xfId="7221" xr:uid="{00000000-0005-0000-0000-0000B11A0000}"/>
    <cellStyle name="40 % - Akzent5 3 2 2 3 3" xfId="7222" xr:uid="{00000000-0005-0000-0000-0000B21A0000}"/>
    <cellStyle name="40 % - Akzent5 3 2 2 3 3 2" xfId="7223" xr:uid="{00000000-0005-0000-0000-0000B31A0000}"/>
    <cellStyle name="40 % - Akzent5 3 2 2 3 3 2 2" xfId="7224" xr:uid="{00000000-0005-0000-0000-0000B41A0000}"/>
    <cellStyle name="40 % - Akzent5 3 2 2 3 3 2 3" xfId="7225" xr:uid="{00000000-0005-0000-0000-0000B51A0000}"/>
    <cellStyle name="40 % - Akzent5 3 2 2 3 3 3" xfId="7226" xr:uid="{00000000-0005-0000-0000-0000B61A0000}"/>
    <cellStyle name="40 % - Akzent5 3 2 2 3 3 3 2" xfId="7227" xr:uid="{00000000-0005-0000-0000-0000B71A0000}"/>
    <cellStyle name="40 % - Akzent5 3 2 2 3 3 3 3" xfId="7228" xr:uid="{00000000-0005-0000-0000-0000B81A0000}"/>
    <cellStyle name="40 % - Akzent5 3 2 2 3 3 4" xfId="7229" xr:uid="{00000000-0005-0000-0000-0000B91A0000}"/>
    <cellStyle name="40 % - Akzent5 3 2 2 3 3 4 2" xfId="7230" xr:uid="{00000000-0005-0000-0000-0000BA1A0000}"/>
    <cellStyle name="40 % - Akzent5 3 2 2 3 3 5" xfId="7231" xr:uid="{00000000-0005-0000-0000-0000BB1A0000}"/>
    <cellStyle name="40 % - Akzent5 3 2 2 3 3 6" xfId="7232" xr:uid="{00000000-0005-0000-0000-0000BC1A0000}"/>
    <cellStyle name="40 % - Akzent5 3 2 2 3 4" xfId="7233" xr:uid="{00000000-0005-0000-0000-0000BD1A0000}"/>
    <cellStyle name="40 % - Akzent5 3 2 2 3 4 2" xfId="7234" xr:uid="{00000000-0005-0000-0000-0000BE1A0000}"/>
    <cellStyle name="40 % - Akzent5 3 2 2 3 4 3" xfId="7235" xr:uid="{00000000-0005-0000-0000-0000BF1A0000}"/>
    <cellStyle name="40 % - Akzent5 3 2 2 3 5" xfId="7236" xr:uid="{00000000-0005-0000-0000-0000C01A0000}"/>
    <cellStyle name="40 % - Akzent5 3 2 2 3 5 2" xfId="7237" xr:uid="{00000000-0005-0000-0000-0000C11A0000}"/>
    <cellStyle name="40 % - Akzent5 3 2 2 3 5 3" xfId="7238" xr:uid="{00000000-0005-0000-0000-0000C21A0000}"/>
    <cellStyle name="40 % - Akzent5 3 2 2 3 6" xfId="7239" xr:uid="{00000000-0005-0000-0000-0000C31A0000}"/>
    <cellStyle name="40 % - Akzent5 3 2 2 3 6 2" xfId="7240" xr:uid="{00000000-0005-0000-0000-0000C41A0000}"/>
    <cellStyle name="40 % - Akzent5 3 2 2 3 7" xfId="7241" xr:uid="{00000000-0005-0000-0000-0000C51A0000}"/>
    <cellStyle name="40 % - Akzent5 3 2 2 3 8" xfId="7242" xr:uid="{00000000-0005-0000-0000-0000C61A0000}"/>
    <cellStyle name="40 % - Akzent5 3 2 2 4" xfId="7243" xr:uid="{00000000-0005-0000-0000-0000C71A0000}"/>
    <cellStyle name="40 % - Akzent5 3 2 2 4 2" xfId="7244" xr:uid="{00000000-0005-0000-0000-0000C81A0000}"/>
    <cellStyle name="40 % - Akzent5 3 2 2 4 2 2" xfId="7245" xr:uid="{00000000-0005-0000-0000-0000C91A0000}"/>
    <cellStyle name="40 % - Akzent5 3 2 2 4 2 2 2" xfId="7246" xr:uid="{00000000-0005-0000-0000-0000CA1A0000}"/>
    <cellStyle name="40 % - Akzent5 3 2 2 4 2 2 3" xfId="7247" xr:uid="{00000000-0005-0000-0000-0000CB1A0000}"/>
    <cellStyle name="40 % - Akzent5 3 2 2 4 2 3" xfId="7248" xr:uid="{00000000-0005-0000-0000-0000CC1A0000}"/>
    <cellStyle name="40 % - Akzent5 3 2 2 4 2 3 2" xfId="7249" xr:uid="{00000000-0005-0000-0000-0000CD1A0000}"/>
    <cellStyle name="40 % - Akzent5 3 2 2 4 2 3 3" xfId="7250" xr:uid="{00000000-0005-0000-0000-0000CE1A0000}"/>
    <cellStyle name="40 % - Akzent5 3 2 2 4 2 4" xfId="7251" xr:uid="{00000000-0005-0000-0000-0000CF1A0000}"/>
    <cellStyle name="40 % - Akzent5 3 2 2 4 2 4 2" xfId="7252" xr:uid="{00000000-0005-0000-0000-0000D01A0000}"/>
    <cellStyle name="40 % - Akzent5 3 2 2 4 2 5" xfId="7253" xr:uid="{00000000-0005-0000-0000-0000D11A0000}"/>
    <cellStyle name="40 % - Akzent5 3 2 2 4 2 6" xfId="7254" xr:uid="{00000000-0005-0000-0000-0000D21A0000}"/>
    <cellStyle name="40 % - Akzent5 3 2 2 4 3" xfId="7255" xr:uid="{00000000-0005-0000-0000-0000D31A0000}"/>
    <cellStyle name="40 % - Akzent5 3 2 2 4 3 2" xfId="7256" xr:uid="{00000000-0005-0000-0000-0000D41A0000}"/>
    <cellStyle name="40 % - Akzent5 3 2 2 4 3 3" xfId="7257" xr:uid="{00000000-0005-0000-0000-0000D51A0000}"/>
    <cellStyle name="40 % - Akzent5 3 2 2 4 4" xfId="7258" xr:uid="{00000000-0005-0000-0000-0000D61A0000}"/>
    <cellStyle name="40 % - Akzent5 3 2 2 4 4 2" xfId="7259" xr:uid="{00000000-0005-0000-0000-0000D71A0000}"/>
    <cellStyle name="40 % - Akzent5 3 2 2 4 4 3" xfId="7260" xr:uid="{00000000-0005-0000-0000-0000D81A0000}"/>
    <cellStyle name="40 % - Akzent5 3 2 2 4 5" xfId="7261" xr:uid="{00000000-0005-0000-0000-0000D91A0000}"/>
    <cellStyle name="40 % - Akzent5 3 2 2 4 5 2" xfId="7262" xr:uid="{00000000-0005-0000-0000-0000DA1A0000}"/>
    <cellStyle name="40 % - Akzent5 3 2 2 4 6" xfId="7263" xr:uid="{00000000-0005-0000-0000-0000DB1A0000}"/>
    <cellStyle name="40 % - Akzent5 3 2 2 4 7" xfId="7264" xr:uid="{00000000-0005-0000-0000-0000DC1A0000}"/>
    <cellStyle name="40 % - Akzent5 3 2 2 5" xfId="7265" xr:uid="{00000000-0005-0000-0000-0000DD1A0000}"/>
    <cellStyle name="40 % - Akzent5 3 2 2 5 2" xfId="7266" xr:uid="{00000000-0005-0000-0000-0000DE1A0000}"/>
    <cellStyle name="40 % - Akzent5 3 2 2 5 2 2" xfId="7267" xr:uid="{00000000-0005-0000-0000-0000DF1A0000}"/>
    <cellStyle name="40 % - Akzent5 3 2 2 5 2 3" xfId="7268" xr:uid="{00000000-0005-0000-0000-0000E01A0000}"/>
    <cellStyle name="40 % - Akzent5 3 2 2 5 3" xfId="7269" xr:uid="{00000000-0005-0000-0000-0000E11A0000}"/>
    <cellStyle name="40 % - Akzent5 3 2 2 5 3 2" xfId="7270" xr:uid="{00000000-0005-0000-0000-0000E21A0000}"/>
    <cellStyle name="40 % - Akzent5 3 2 2 5 3 3" xfId="7271" xr:uid="{00000000-0005-0000-0000-0000E31A0000}"/>
    <cellStyle name="40 % - Akzent5 3 2 2 5 4" xfId="7272" xr:uid="{00000000-0005-0000-0000-0000E41A0000}"/>
    <cellStyle name="40 % - Akzent5 3 2 2 5 4 2" xfId="7273" xr:uid="{00000000-0005-0000-0000-0000E51A0000}"/>
    <cellStyle name="40 % - Akzent5 3 2 2 5 5" xfId="7274" xr:uid="{00000000-0005-0000-0000-0000E61A0000}"/>
    <cellStyle name="40 % - Akzent5 3 2 2 5 6" xfId="7275" xr:uid="{00000000-0005-0000-0000-0000E71A0000}"/>
    <cellStyle name="40 % - Akzent5 3 2 2 6" xfId="7276" xr:uid="{00000000-0005-0000-0000-0000E81A0000}"/>
    <cellStyle name="40 % - Akzent5 3 2 2 6 2" xfId="7277" xr:uid="{00000000-0005-0000-0000-0000E91A0000}"/>
    <cellStyle name="40 % - Akzent5 3 2 2 6 3" xfId="7278" xr:uid="{00000000-0005-0000-0000-0000EA1A0000}"/>
    <cellStyle name="40 % - Akzent5 3 2 2 7" xfId="7279" xr:uid="{00000000-0005-0000-0000-0000EB1A0000}"/>
    <cellStyle name="40 % - Akzent5 3 2 2 7 2" xfId="7280" xr:uid="{00000000-0005-0000-0000-0000EC1A0000}"/>
    <cellStyle name="40 % - Akzent5 3 2 2 7 3" xfId="7281" xr:uid="{00000000-0005-0000-0000-0000ED1A0000}"/>
    <cellStyle name="40 % - Akzent5 3 2 2 8" xfId="7282" xr:uid="{00000000-0005-0000-0000-0000EE1A0000}"/>
    <cellStyle name="40 % - Akzent5 3 2 2 8 2" xfId="7283" xr:uid="{00000000-0005-0000-0000-0000EF1A0000}"/>
    <cellStyle name="40 % - Akzent5 3 2 2 9" xfId="7284" xr:uid="{00000000-0005-0000-0000-0000F01A0000}"/>
    <cellStyle name="40 % - Akzent5 3 2 3" xfId="7285" xr:uid="{00000000-0005-0000-0000-0000F11A0000}"/>
    <cellStyle name="40 % - Akzent5 3 2 3 2" xfId="7286" xr:uid="{00000000-0005-0000-0000-0000F21A0000}"/>
    <cellStyle name="40 % - Akzent5 3 2 3 2 2" xfId="7287" xr:uid="{00000000-0005-0000-0000-0000F31A0000}"/>
    <cellStyle name="40 % - Akzent5 3 2 3 2 2 2" xfId="7288" xr:uid="{00000000-0005-0000-0000-0000F41A0000}"/>
    <cellStyle name="40 % - Akzent5 3 2 3 2 2 2 2" xfId="7289" xr:uid="{00000000-0005-0000-0000-0000F51A0000}"/>
    <cellStyle name="40 % - Akzent5 3 2 3 2 2 2 3" xfId="7290" xr:uid="{00000000-0005-0000-0000-0000F61A0000}"/>
    <cellStyle name="40 % - Akzent5 3 2 3 2 2 3" xfId="7291" xr:uid="{00000000-0005-0000-0000-0000F71A0000}"/>
    <cellStyle name="40 % - Akzent5 3 2 3 2 2 3 2" xfId="7292" xr:uid="{00000000-0005-0000-0000-0000F81A0000}"/>
    <cellStyle name="40 % - Akzent5 3 2 3 2 2 3 3" xfId="7293" xr:uid="{00000000-0005-0000-0000-0000F91A0000}"/>
    <cellStyle name="40 % - Akzent5 3 2 3 2 2 4" xfId="7294" xr:uid="{00000000-0005-0000-0000-0000FA1A0000}"/>
    <cellStyle name="40 % - Akzent5 3 2 3 2 2 4 2" xfId="7295" xr:uid="{00000000-0005-0000-0000-0000FB1A0000}"/>
    <cellStyle name="40 % - Akzent5 3 2 3 2 2 5" xfId="7296" xr:uid="{00000000-0005-0000-0000-0000FC1A0000}"/>
    <cellStyle name="40 % - Akzent5 3 2 3 2 2 6" xfId="7297" xr:uid="{00000000-0005-0000-0000-0000FD1A0000}"/>
    <cellStyle name="40 % - Akzent5 3 2 3 2 3" xfId="7298" xr:uid="{00000000-0005-0000-0000-0000FE1A0000}"/>
    <cellStyle name="40 % - Akzent5 3 2 3 2 3 2" xfId="7299" xr:uid="{00000000-0005-0000-0000-0000FF1A0000}"/>
    <cellStyle name="40 % - Akzent5 3 2 3 2 3 3" xfId="7300" xr:uid="{00000000-0005-0000-0000-0000001B0000}"/>
    <cellStyle name="40 % - Akzent5 3 2 3 2 4" xfId="7301" xr:uid="{00000000-0005-0000-0000-0000011B0000}"/>
    <cellStyle name="40 % - Akzent5 3 2 3 2 4 2" xfId="7302" xr:uid="{00000000-0005-0000-0000-0000021B0000}"/>
    <cellStyle name="40 % - Akzent5 3 2 3 2 4 3" xfId="7303" xr:uid="{00000000-0005-0000-0000-0000031B0000}"/>
    <cellStyle name="40 % - Akzent5 3 2 3 2 5" xfId="7304" xr:uid="{00000000-0005-0000-0000-0000041B0000}"/>
    <cellStyle name="40 % - Akzent5 3 2 3 2 5 2" xfId="7305" xr:uid="{00000000-0005-0000-0000-0000051B0000}"/>
    <cellStyle name="40 % - Akzent5 3 2 3 2 6" xfId="7306" xr:uid="{00000000-0005-0000-0000-0000061B0000}"/>
    <cellStyle name="40 % - Akzent5 3 2 3 2 7" xfId="7307" xr:uid="{00000000-0005-0000-0000-0000071B0000}"/>
    <cellStyle name="40 % - Akzent5 3 2 3 3" xfId="7308" xr:uid="{00000000-0005-0000-0000-0000081B0000}"/>
    <cellStyle name="40 % - Akzent5 3 2 3 3 2" xfId="7309" xr:uid="{00000000-0005-0000-0000-0000091B0000}"/>
    <cellStyle name="40 % - Akzent5 3 2 3 3 2 2" xfId="7310" xr:uid="{00000000-0005-0000-0000-00000A1B0000}"/>
    <cellStyle name="40 % - Akzent5 3 2 3 3 2 3" xfId="7311" xr:uid="{00000000-0005-0000-0000-00000B1B0000}"/>
    <cellStyle name="40 % - Akzent5 3 2 3 3 3" xfId="7312" xr:uid="{00000000-0005-0000-0000-00000C1B0000}"/>
    <cellStyle name="40 % - Akzent5 3 2 3 3 3 2" xfId="7313" xr:uid="{00000000-0005-0000-0000-00000D1B0000}"/>
    <cellStyle name="40 % - Akzent5 3 2 3 3 3 3" xfId="7314" xr:uid="{00000000-0005-0000-0000-00000E1B0000}"/>
    <cellStyle name="40 % - Akzent5 3 2 3 3 4" xfId="7315" xr:uid="{00000000-0005-0000-0000-00000F1B0000}"/>
    <cellStyle name="40 % - Akzent5 3 2 3 3 4 2" xfId="7316" xr:uid="{00000000-0005-0000-0000-0000101B0000}"/>
    <cellStyle name="40 % - Akzent5 3 2 3 3 5" xfId="7317" xr:uid="{00000000-0005-0000-0000-0000111B0000}"/>
    <cellStyle name="40 % - Akzent5 3 2 3 3 6" xfId="7318" xr:uid="{00000000-0005-0000-0000-0000121B0000}"/>
    <cellStyle name="40 % - Akzent5 3 2 3 4" xfId="7319" xr:uid="{00000000-0005-0000-0000-0000131B0000}"/>
    <cellStyle name="40 % - Akzent5 3 2 3 4 2" xfId="7320" xr:uid="{00000000-0005-0000-0000-0000141B0000}"/>
    <cellStyle name="40 % - Akzent5 3 2 3 4 3" xfId="7321" xr:uid="{00000000-0005-0000-0000-0000151B0000}"/>
    <cellStyle name="40 % - Akzent5 3 2 3 5" xfId="7322" xr:uid="{00000000-0005-0000-0000-0000161B0000}"/>
    <cellStyle name="40 % - Akzent5 3 2 3 5 2" xfId="7323" xr:uid="{00000000-0005-0000-0000-0000171B0000}"/>
    <cellStyle name="40 % - Akzent5 3 2 3 5 3" xfId="7324" xr:uid="{00000000-0005-0000-0000-0000181B0000}"/>
    <cellStyle name="40 % - Akzent5 3 2 3 6" xfId="7325" xr:uid="{00000000-0005-0000-0000-0000191B0000}"/>
    <cellStyle name="40 % - Akzent5 3 2 3 6 2" xfId="7326" xr:uid="{00000000-0005-0000-0000-00001A1B0000}"/>
    <cellStyle name="40 % - Akzent5 3 2 3 7" xfId="7327" xr:uid="{00000000-0005-0000-0000-00001B1B0000}"/>
    <cellStyle name="40 % - Akzent5 3 2 3 8" xfId="7328" xr:uid="{00000000-0005-0000-0000-00001C1B0000}"/>
    <cellStyle name="40 % - Akzent5 3 2 4" xfId="7329" xr:uid="{00000000-0005-0000-0000-00001D1B0000}"/>
    <cellStyle name="40 % - Akzent5 3 2 4 2" xfId="7330" xr:uid="{00000000-0005-0000-0000-00001E1B0000}"/>
    <cellStyle name="40 % - Akzent5 3 2 4 2 2" xfId="7331" xr:uid="{00000000-0005-0000-0000-00001F1B0000}"/>
    <cellStyle name="40 % - Akzent5 3 2 4 2 2 2" xfId="7332" xr:uid="{00000000-0005-0000-0000-0000201B0000}"/>
    <cellStyle name="40 % - Akzent5 3 2 4 2 2 2 2" xfId="7333" xr:uid="{00000000-0005-0000-0000-0000211B0000}"/>
    <cellStyle name="40 % - Akzent5 3 2 4 2 2 2 3" xfId="7334" xr:uid="{00000000-0005-0000-0000-0000221B0000}"/>
    <cellStyle name="40 % - Akzent5 3 2 4 2 2 3" xfId="7335" xr:uid="{00000000-0005-0000-0000-0000231B0000}"/>
    <cellStyle name="40 % - Akzent5 3 2 4 2 2 3 2" xfId="7336" xr:uid="{00000000-0005-0000-0000-0000241B0000}"/>
    <cellStyle name="40 % - Akzent5 3 2 4 2 2 3 3" xfId="7337" xr:uid="{00000000-0005-0000-0000-0000251B0000}"/>
    <cellStyle name="40 % - Akzent5 3 2 4 2 2 4" xfId="7338" xr:uid="{00000000-0005-0000-0000-0000261B0000}"/>
    <cellStyle name="40 % - Akzent5 3 2 4 2 2 4 2" xfId="7339" xr:uid="{00000000-0005-0000-0000-0000271B0000}"/>
    <cellStyle name="40 % - Akzent5 3 2 4 2 2 5" xfId="7340" xr:uid="{00000000-0005-0000-0000-0000281B0000}"/>
    <cellStyle name="40 % - Akzent5 3 2 4 2 2 6" xfId="7341" xr:uid="{00000000-0005-0000-0000-0000291B0000}"/>
    <cellStyle name="40 % - Akzent5 3 2 4 2 3" xfId="7342" xr:uid="{00000000-0005-0000-0000-00002A1B0000}"/>
    <cellStyle name="40 % - Akzent5 3 2 4 2 3 2" xfId="7343" xr:uid="{00000000-0005-0000-0000-00002B1B0000}"/>
    <cellStyle name="40 % - Akzent5 3 2 4 2 3 3" xfId="7344" xr:uid="{00000000-0005-0000-0000-00002C1B0000}"/>
    <cellStyle name="40 % - Akzent5 3 2 4 2 4" xfId="7345" xr:uid="{00000000-0005-0000-0000-00002D1B0000}"/>
    <cellStyle name="40 % - Akzent5 3 2 4 2 4 2" xfId="7346" xr:uid="{00000000-0005-0000-0000-00002E1B0000}"/>
    <cellStyle name="40 % - Akzent5 3 2 4 2 4 3" xfId="7347" xr:uid="{00000000-0005-0000-0000-00002F1B0000}"/>
    <cellStyle name="40 % - Akzent5 3 2 4 2 5" xfId="7348" xr:uid="{00000000-0005-0000-0000-0000301B0000}"/>
    <cellStyle name="40 % - Akzent5 3 2 4 2 5 2" xfId="7349" xr:uid="{00000000-0005-0000-0000-0000311B0000}"/>
    <cellStyle name="40 % - Akzent5 3 2 4 2 6" xfId="7350" xr:uid="{00000000-0005-0000-0000-0000321B0000}"/>
    <cellStyle name="40 % - Akzent5 3 2 4 2 7" xfId="7351" xr:uid="{00000000-0005-0000-0000-0000331B0000}"/>
    <cellStyle name="40 % - Akzent5 3 2 4 3" xfId="7352" xr:uid="{00000000-0005-0000-0000-0000341B0000}"/>
    <cellStyle name="40 % - Akzent5 3 2 4 3 2" xfId="7353" xr:uid="{00000000-0005-0000-0000-0000351B0000}"/>
    <cellStyle name="40 % - Akzent5 3 2 4 3 2 2" xfId="7354" xr:uid="{00000000-0005-0000-0000-0000361B0000}"/>
    <cellStyle name="40 % - Akzent5 3 2 4 3 2 3" xfId="7355" xr:uid="{00000000-0005-0000-0000-0000371B0000}"/>
    <cellStyle name="40 % - Akzent5 3 2 4 3 3" xfId="7356" xr:uid="{00000000-0005-0000-0000-0000381B0000}"/>
    <cellStyle name="40 % - Akzent5 3 2 4 3 3 2" xfId="7357" xr:uid="{00000000-0005-0000-0000-0000391B0000}"/>
    <cellStyle name="40 % - Akzent5 3 2 4 3 3 3" xfId="7358" xr:uid="{00000000-0005-0000-0000-00003A1B0000}"/>
    <cellStyle name="40 % - Akzent5 3 2 4 3 4" xfId="7359" xr:uid="{00000000-0005-0000-0000-00003B1B0000}"/>
    <cellStyle name="40 % - Akzent5 3 2 4 3 4 2" xfId="7360" xr:uid="{00000000-0005-0000-0000-00003C1B0000}"/>
    <cellStyle name="40 % - Akzent5 3 2 4 3 5" xfId="7361" xr:uid="{00000000-0005-0000-0000-00003D1B0000}"/>
    <cellStyle name="40 % - Akzent5 3 2 4 3 6" xfId="7362" xr:uid="{00000000-0005-0000-0000-00003E1B0000}"/>
    <cellStyle name="40 % - Akzent5 3 2 4 4" xfId="7363" xr:uid="{00000000-0005-0000-0000-00003F1B0000}"/>
    <cellStyle name="40 % - Akzent5 3 2 4 4 2" xfId="7364" xr:uid="{00000000-0005-0000-0000-0000401B0000}"/>
    <cellStyle name="40 % - Akzent5 3 2 4 4 3" xfId="7365" xr:uid="{00000000-0005-0000-0000-0000411B0000}"/>
    <cellStyle name="40 % - Akzent5 3 2 4 5" xfId="7366" xr:uid="{00000000-0005-0000-0000-0000421B0000}"/>
    <cellStyle name="40 % - Akzent5 3 2 4 5 2" xfId="7367" xr:uid="{00000000-0005-0000-0000-0000431B0000}"/>
    <cellStyle name="40 % - Akzent5 3 2 4 5 3" xfId="7368" xr:uid="{00000000-0005-0000-0000-0000441B0000}"/>
    <cellStyle name="40 % - Akzent5 3 2 4 6" xfId="7369" xr:uid="{00000000-0005-0000-0000-0000451B0000}"/>
    <cellStyle name="40 % - Akzent5 3 2 4 6 2" xfId="7370" xr:uid="{00000000-0005-0000-0000-0000461B0000}"/>
    <cellStyle name="40 % - Akzent5 3 2 4 7" xfId="7371" xr:uid="{00000000-0005-0000-0000-0000471B0000}"/>
    <cellStyle name="40 % - Akzent5 3 2 4 8" xfId="7372" xr:uid="{00000000-0005-0000-0000-0000481B0000}"/>
    <cellStyle name="40 % - Akzent5 3 2 5" xfId="7373" xr:uid="{00000000-0005-0000-0000-0000491B0000}"/>
    <cellStyle name="40 % - Akzent5 3 2 5 2" xfId="7374" xr:uid="{00000000-0005-0000-0000-00004A1B0000}"/>
    <cellStyle name="40 % - Akzent5 3 2 5 2 2" xfId="7375" xr:uid="{00000000-0005-0000-0000-00004B1B0000}"/>
    <cellStyle name="40 % - Akzent5 3 2 5 2 2 2" xfId="7376" xr:uid="{00000000-0005-0000-0000-00004C1B0000}"/>
    <cellStyle name="40 % - Akzent5 3 2 5 2 2 3" xfId="7377" xr:uid="{00000000-0005-0000-0000-00004D1B0000}"/>
    <cellStyle name="40 % - Akzent5 3 2 5 2 3" xfId="7378" xr:uid="{00000000-0005-0000-0000-00004E1B0000}"/>
    <cellStyle name="40 % - Akzent5 3 2 5 2 3 2" xfId="7379" xr:uid="{00000000-0005-0000-0000-00004F1B0000}"/>
    <cellStyle name="40 % - Akzent5 3 2 5 2 3 3" xfId="7380" xr:uid="{00000000-0005-0000-0000-0000501B0000}"/>
    <cellStyle name="40 % - Akzent5 3 2 5 2 4" xfId="7381" xr:uid="{00000000-0005-0000-0000-0000511B0000}"/>
    <cellStyle name="40 % - Akzent5 3 2 5 2 4 2" xfId="7382" xr:uid="{00000000-0005-0000-0000-0000521B0000}"/>
    <cellStyle name="40 % - Akzent5 3 2 5 2 5" xfId="7383" xr:uid="{00000000-0005-0000-0000-0000531B0000}"/>
    <cellStyle name="40 % - Akzent5 3 2 5 2 6" xfId="7384" xr:uid="{00000000-0005-0000-0000-0000541B0000}"/>
    <cellStyle name="40 % - Akzent5 3 2 5 3" xfId="7385" xr:uid="{00000000-0005-0000-0000-0000551B0000}"/>
    <cellStyle name="40 % - Akzent5 3 2 5 3 2" xfId="7386" xr:uid="{00000000-0005-0000-0000-0000561B0000}"/>
    <cellStyle name="40 % - Akzent5 3 2 5 3 3" xfId="7387" xr:uid="{00000000-0005-0000-0000-0000571B0000}"/>
    <cellStyle name="40 % - Akzent5 3 2 5 4" xfId="7388" xr:uid="{00000000-0005-0000-0000-0000581B0000}"/>
    <cellStyle name="40 % - Akzent5 3 2 5 4 2" xfId="7389" xr:uid="{00000000-0005-0000-0000-0000591B0000}"/>
    <cellStyle name="40 % - Akzent5 3 2 5 4 3" xfId="7390" xr:uid="{00000000-0005-0000-0000-00005A1B0000}"/>
    <cellStyle name="40 % - Akzent5 3 2 5 5" xfId="7391" xr:uid="{00000000-0005-0000-0000-00005B1B0000}"/>
    <cellStyle name="40 % - Akzent5 3 2 5 5 2" xfId="7392" xr:uid="{00000000-0005-0000-0000-00005C1B0000}"/>
    <cellStyle name="40 % - Akzent5 3 2 5 6" xfId="7393" xr:uid="{00000000-0005-0000-0000-00005D1B0000}"/>
    <cellStyle name="40 % - Akzent5 3 2 5 7" xfId="7394" xr:uid="{00000000-0005-0000-0000-00005E1B0000}"/>
    <cellStyle name="40 % - Akzent5 3 2 6" xfId="7395" xr:uid="{00000000-0005-0000-0000-00005F1B0000}"/>
    <cellStyle name="40 % - Akzent5 3 2 6 2" xfId="7396" xr:uid="{00000000-0005-0000-0000-0000601B0000}"/>
    <cellStyle name="40 % - Akzent5 3 2 6 2 2" xfId="7397" xr:uid="{00000000-0005-0000-0000-0000611B0000}"/>
    <cellStyle name="40 % - Akzent5 3 2 6 2 3" xfId="7398" xr:uid="{00000000-0005-0000-0000-0000621B0000}"/>
    <cellStyle name="40 % - Akzent5 3 2 6 3" xfId="7399" xr:uid="{00000000-0005-0000-0000-0000631B0000}"/>
    <cellStyle name="40 % - Akzent5 3 2 6 3 2" xfId="7400" xr:uid="{00000000-0005-0000-0000-0000641B0000}"/>
    <cellStyle name="40 % - Akzent5 3 2 6 3 3" xfId="7401" xr:uid="{00000000-0005-0000-0000-0000651B0000}"/>
    <cellStyle name="40 % - Akzent5 3 2 6 4" xfId="7402" xr:uid="{00000000-0005-0000-0000-0000661B0000}"/>
    <cellStyle name="40 % - Akzent5 3 2 6 4 2" xfId="7403" xr:uid="{00000000-0005-0000-0000-0000671B0000}"/>
    <cellStyle name="40 % - Akzent5 3 2 6 5" xfId="7404" xr:uid="{00000000-0005-0000-0000-0000681B0000}"/>
    <cellStyle name="40 % - Akzent5 3 2 6 6" xfId="7405" xr:uid="{00000000-0005-0000-0000-0000691B0000}"/>
    <cellStyle name="40 % - Akzent5 3 2 7" xfId="7406" xr:uid="{00000000-0005-0000-0000-00006A1B0000}"/>
    <cellStyle name="40 % - Akzent5 3 2 7 2" xfId="7407" xr:uid="{00000000-0005-0000-0000-00006B1B0000}"/>
    <cellStyle name="40 % - Akzent5 3 2 7 3" xfId="7408" xr:uid="{00000000-0005-0000-0000-00006C1B0000}"/>
    <cellStyle name="40 % - Akzent5 3 2 8" xfId="7409" xr:uid="{00000000-0005-0000-0000-00006D1B0000}"/>
    <cellStyle name="40 % - Akzent5 3 2 8 2" xfId="7410" xr:uid="{00000000-0005-0000-0000-00006E1B0000}"/>
    <cellStyle name="40 % - Akzent5 3 2 8 3" xfId="7411" xr:uid="{00000000-0005-0000-0000-00006F1B0000}"/>
    <cellStyle name="40 % - Akzent5 3 2 9" xfId="7412" xr:uid="{00000000-0005-0000-0000-0000701B0000}"/>
    <cellStyle name="40 % - Akzent5 3 2 9 2" xfId="7413" xr:uid="{00000000-0005-0000-0000-0000711B0000}"/>
    <cellStyle name="40 % - Akzent5 4" xfId="7414" xr:uid="{00000000-0005-0000-0000-0000721B0000}"/>
    <cellStyle name="40 % - Akzent5 4 2" xfId="7415" xr:uid="{00000000-0005-0000-0000-0000731B0000}"/>
    <cellStyle name="40 % - Akzent5 5" xfId="7416" xr:uid="{00000000-0005-0000-0000-0000741B0000}"/>
    <cellStyle name="40 % - Akzent5 5 2" xfId="7417" xr:uid="{00000000-0005-0000-0000-0000751B0000}"/>
    <cellStyle name="40 % - Akzent5 5 2 10" xfId="7418" xr:uid="{00000000-0005-0000-0000-0000761B0000}"/>
    <cellStyle name="40 % - Akzent5 5 2 11" xfId="7419" xr:uid="{00000000-0005-0000-0000-0000771B0000}"/>
    <cellStyle name="40 % - Akzent5 5 2 2" xfId="7420" xr:uid="{00000000-0005-0000-0000-0000781B0000}"/>
    <cellStyle name="40 % - Akzent5 5 2 2 10" xfId="7421" xr:uid="{00000000-0005-0000-0000-0000791B0000}"/>
    <cellStyle name="40 % - Akzent5 5 2 2 2" xfId="7422" xr:uid="{00000000-0005-0000-0000-00007A1B0000}"/>
    <cellStyle name="40 % - Akzent5 5 2 2 2 2" xfId="7423" xr:uid="{00000000-0005-0000-0000-00007B1B0000}"/>
    <cellStyle name="40 % - Akzent5 5 2 2 2 2 2" xfId="7424" xr:uid="{00000000-0005-0000-0000-00007C1B0000}"/>
    <cellStyle name="40 % - Akzent5 5 2 2 2 2 2 2" xfId="7425" xr:uid="{00000000-0005-0000-0000-00007D1B0000}"/>
    <cellStyle name="40 % - Akzent5 5 2 2 2 2 2 2 2" xfId="7426" xr:uid="{00000000-0005-0000-0000-00007E1B0000}"/>
    <cellStyle name="40 % - Akzent5 5 2 2 2 2 2 2 3" xfId="7427" xr:uid="{00000000-0005-0000-0000-00007F1B0000}"/>
    <cellStyle name="40 % - Akzent5 5 2 2 2 2 2 3" xfId="7428" xr:uid="{00000000-0005-0000-0000-0000801B0000}"/>
    <cellStyle name="40 % - Akzent5 5 2 2 2 2 2 3 2" xfId="7429" xr:uid="{00000000-0005-0000-0000-0000811B0000}"/>
    <cellStyle name="40 % - Akzent5 5 2 2 2 2 2 3 3" xfId="7430" xr:uid="{00000000-0005-0000-0000-0000821B0000}"/>
    <cellStyle name="40 % - Akzent5 5 2 2 2 2 2 4" xfId="7431" xr:uid="{00000000-0005-0000-0000-0000831B0000}"/>
    <cellStyle name="40 % - Akzent5 5 2 2 2 2 2 4 2" xfId="7432" xr:uid="{00000000-0005-0000-0000-0000841B0000}"/>
    <cellStyle name="40 % - Akzent5 5 2 2 2 2 2 5" xfId="7433" xr:uid="{00000000-0005-0000-0000-0000851B0000}"/>
    <cellStyle name="40 % - Akzent5 5 2 2 2 2 2 6" xfId="7434" xr:uid="{00000000-0005-0000-0000-0000861B0000}"/>
    <cellStyle name="40 % - Akzent5 5 2 2 2 2 3" xfId="7435" xr:uid="{00000000-0005-0000-0000-0000871B0000}"/>
    <cellStyle name="40 % - Akzent5 5 2 2 2 2 3 2" xfId="7436" xr:uid="{00000000-0005-0000-0000-0000881B0000}"/>
    <cellStyle name="40 % - Akzent5 5 2 2 2 2 3 3" xfId="7437" xr:uid="{00000000-0005-0000-0000-0000891B0000}"/>
    <cellStyle name="40 % - Akzent5 5 2 2 2 2 4" xfId="7438" xr:uid="{00000000-0005-0000-0000-00008A1B0000}"/>
    <cellStyle name="40 % - Akzent5 5 2 2 2 2 4 2" xfId="7439" xr:uid="{00000000-0005-0000-0000-00008B1B0000}"/>
    <cellStyle name="40 % - Akzent5 5 2 2 2 2 4 3" xfId="7440" xr:uid="{00000000-0005-0000-0000-00008C1B0000}"/>
    <cellStyle name="40 % - Akzent5 5 2 2 2 2 5" xfId="7441" xr:uid="{00000000-0005-0000-0000-00008D1B0000}"/>
    <cellStyle name="40 % - Akzent5 5 2 2 2 2 5 2" xfId="7442" xr:uid="{00000000-0005-0000-0000-00008E1B0000}"/>
    <cellStyle name="40 % - Akzent5 5 2 2 2 2 6" xfId="7443" xr:uid="{00000000-0005-0000-0000-00008F1B0000}"/>
    <cellStyle name="40 % - Akzent5 5 2 2 2 2 7" xfId="7444" xr:uid="{00000000-0005-0000-0000-0000901B0000}"/>
    <cellStyle name="40 % - Akzent5 5 2 2 2 3" xfId="7445" xr:uid="{00000000-0005-0000-0000-0000911B0000}"/>
    <cellStyle name="40 % - Akzent5 5 2 2 2 3 2" xfId="7446" xr:uid="{00000000-0005-0000-0000-0000921B0000}"/>
    <cellStyle name="40 % - Akzent5 5 2 2 2 3 2 2" xfId="7447" xr:uid="{00000000-0005-0000-0000-0000931B0000}"/>
    <cellStyle name="40 % - Akzent5 5 2 2 2 3 2 3" xfId="7448" xr:uid="{00000000-0005-0000-0000-0000941B0000}"/>
    <cellStyle name="40 % - Akzent5 5 2 2 2 3 3" xfId="7449" xr:uid="{00000000-0005-0000-0000-0000951B0000}"/>
    <cellStyle name="40 % - Akzent5 5 2 2 2 3 3 2" xfId="7450" xr:uid="{00000000-0005-0000-0000-0000961B0000}"/>
    <cellStyle name="40 % - Akzent5 5 2 2 2 3 3 3" xfId="7451" xr:uid="{00000000-0005-0000-0000-0000971B0000}"/>
    <cellStyle name="40 % - Akzent5 5 2 2 2 3 4" xfId="7452" xr:uid="{00000000-0005-0000-0000-0000981B0000}"/>
    <cellStyle name="40 % - Akzent5 5 2 2 2 3 4 2" xfId="7453" xr:uid="{00000000-0005-0000-0000-0000991B0000}"/>
    <cellStyle name="40 % - Akzent5 5 2 2 2 3 5" xfId="7454" xr:uid="{00000000-0005-0000-0000-00009A1B0000}"/>
    <cellStyle name="40 % - Akzent5 5 2 2 2 3 6" xfId="7455" xr:uid="{00000000-0005-0000-0000-00009B1B0000}"/>
    <cellStyle name="40 % - Akzent5 5 2 2 2 4" xfId="7456" xr:uid="{00000000-0005-0000-0000-00009C1B0000}"/>
    <cellStyle name="40 % - Akzent5 5 2 2 2 4 2" xfId="7457" xr:uid="{00000000-0005-0000-0000-00009D1B0000}"/>
    <cellStyle name="40 % - Akzent5 5 2 2 2 4 3" xfId="7458" xr:uid="{00000000-0005-0000-0000-00009E1B0000}"/>
    <cellStyle name="40 % - Akzent5 5 2 2 2 5" xfId="7459" xr:uid="{00000000-0005-0000-0000-00009F1B0000}"/>
    <cellStyle name="40 % - Akzent5 5 2 2 2 5 2" xfId="7460" xr:uid="{00000000-0005-0000-0000-0000A01B0000}"/>
    <cellStyle name="40 % - Akzent5 5 2 2 2 5 3" xfId="7461" xr:uid="{00000000-0005-0000-0000-0000A11B0000}"/>
    <cellStyle name="40 % - Akzent5 5 2 2 2 6" xfId="7462" xr:uid="{00000000-0005-0000-0000-0000A21B0000}"/>
    <cellStyle name="40 % - Akzent5 5 2 2 2 6 2" xfId="7463" xr:uid="{00000000-0005-0000-0000-0000A31B0000}"/>
    <cellStyle name="40 % - Akzent5 5 2 2 2 7" xfId="7464" xr:uid="{00000000-0005-0000-0000-0000A41B0000}"/>
    <cellStyle name="40 % - Akzent5 5 2 2 2 8" xfId="7465" xr:uid="{00000000-0005-0000-0000-0000A51B0000}"/>
    <cellStyle name="40 % - Akzent5 5 2 2 3" xfId="7466" xr:uid="{00000000-0005-0000-0000-0000A61B0000}"/>
    <cellStyle name="40 % - Akzent5 5 2 2 3 2" xfId="7467" xr:uid="{00000000-0005-0000-0000-0000A71B0000}"/>
    <cellStyle name="40 % - Akzent5 5 2 2 3 2 2" xfId="7468" xr:uid="{00000000-0005-0000-0000-0000A81B0000}"/>
    <cellStyle name="40 % - Akzent5 5 2 2 3 2 2 2" xfId="7469" xr:uid="{00000000-0005-0000-0000-0000A91B0000}"/>
    <cellStyle name="40 % - Akzent5 5 2 2 3 2 2 2 2" xfId="7470" xr:uid="{00000000-0005-0000-0000-0000AA1B0000}"/>
    <cellStyle name="40 % - Akzent5 5 2 2 3 2 2 2 3" xfId="7471" xr:uid="{00000000-0005-0000-0000-0000AB1B0000}"/>
    <cellStyle name="40 % - Akzent5 5 2 2 3 2 2 3" xfId="7472" xr:uid="{00000000-0005-0000-0000-0000AC1B0000}"/>
    <cellStyle name="40 % - Akzent5 5 2 2 3 2 2 3 2" xfId="7473" xr:uid="{00000000-0005-0000-0000-0000AD1B0000}"/>
    <cellStyle name="40 % - Akzent5 5 2 2 3 2 2 3 3" xfId="7474" xr:uid="{00000000-0005-0000-0000-0000AE1B0000}"/>
    <cellStyle name="40 % - Akzent5 5 2 2 3 2 2 4" xfId="7475" xr:uid="{00000000-0005-0000-0000-0000AF1B0000}"/>
    <cellStyle name="40 % - Akzent5 5 2 2 3 2 2 4 2" xfId="7476" xr:uid="{00000000-0005-0000-0000-0000B01B0000}"/>
    <cellStyle name="40 % - Akzent5 5 2 2 3 2 2 5" xfId="7477" xr:uid="{00000000-0005-0000-0000-0000B11B0000}"/>
    <cellStyle name="40 % - Akzent5 5 2 2 3 2 2 6" xfId="7478" xr:uid="{00000000-0005-0000-0000-0000B21B0000}"/>
    <cellStyle name="40 % - Akzent5 5 2 2 3 2 3" xfId="7479" xr:uid="{00000000-0005-0000-0000-0000B31B0000}"/>
    <cellStyle name="40 % - Akzent5 5 2 2 3 2 3 2" xfId="7480" xr:uid="{00000000-0005-0000-0000-0000B41B0000}"/>
    <cellStyle name="40 % - Akzent5 5 2 2 3 2 3 3" xfId="7481" xr:uid="{00000000-0005-0000-0000-0000B51B0000}"/>
    <cellStyle name="40 % - Akzent5 5 2 2 3 2 4" xfId="7482" xr:uid="{00000000-0005-0000-0000-0000B61B0000}"/>
    <cellStyle name="40 % - Akzent5 5 2 2 3 2 4 2" xfId="7483" xr:uid="{00000000-0005-0000-0000-0000B71B0000}"/>
    <cellStyle name="40 % - Akzent5 5 2 2 3 2 4 3" xfId="7484" xr:uid="{00000000-0005-0000-0000-0000B81B0000}"/>
    <cellStyle name="40 % - Akzent5 5 2 2 3 2 5" xfId="7485" xr:uid="{00000000-0005-0000-0000-0000B91B0000}"/>
    <cellStyle name="40 % - Akzent5 5 2 2 3 2 5 2" xfId="7486" xr:uid="{00000000-0005-0000-0000-0000BA1B0000}"/>
    <cellStyle name="40 % - Akzent5 5 2 2 3 2 6" xfId="7487" xr:uid="{00000000-0005-0000-0000-0000BB1B0000}"/>
    <cellStyle name="40 % - Akzent5 5 2 2 3 2 7" xfId="7488" xr:uid="{00000000-0005-0000-0000-0000BC1B0000}"/>
    <cellStyle name="40 % - Akzent5 5 2 2 3 3" xfId="7489" xr:uid="{00000000-0005-0000-0000-0000BD1B0000}"/>
    <cellStyle name="40 % - Akzent5 5 2 2 3 3 2" xfId="7490" xr:uid="{00000000-0005-0000-0000-0000BE1B0000}"/>
    <cellStyle name="40 % - Akzent5 5 2 2 3 3 2 2" xfId="7491" xr:uid="{00000000-0005-0000-0000-0000BF1B0000}"/>
    <cellStyle name="40 % - Akzent5 5 2 2 3 3 2 3" xfId="7492" xr:uid="{00000000-0005-0000-0000-0000C01B0000}"/>
    <cellStyle name="40 % - Akzent5 5 2 2 3 3 3" xfId="7493" xr:uid="{00000000-0005-0000-0000-0000C11B0000}"/>
    <cellStyle name="40 % - Akzent5 5 2 2 3 3 3 2" xfId="7494" xr:uid="{00000000-0005-0000-0000-0000C21B0000}"/>
    <cellStyle name="40 % - Akzent5 5 2 2 3 3 3 3" xfId="7495" xr:uid="{00000000-0005-0000-0000-0000C31B0000}"/>
    <cellStyle name="40 % - Akzent5 5 2 2 3 3 4" xfId="7496" xr:uid="{00000000-0005-0000-0000-0000C41B0000}"/>
    <cellStyle name="40 % - Akzent5 5 2 2 3 3 4 2" xfId="7497" xr:uid="{00000000-0005-0000-0000-0000C51B0000}"/>
    <cellStyle name="40 % - Akzent5 5 2 2 3 3 5" xfId="7498" xr:uid="{00000000-0005-0000-0000-0000C61B0000}"/>
    <cellStyle name="40 % - Akzent5 5 2 2 3 3 6" xfId="7499" xr:uid="{00000000-0005-0000-0000-0000C71B0000}"/>
    <cellStyle name="40 % - Akzent5 5 2 2 3 4" xfId="7500" xr:uid="{00000000-0005-0000-0000-0000C81B0000}"/>
    <cellStyle name="40 % - Akzent5 5 2 2 3 4 2" xfId="7501" xr:uid="{00000000-0005-0000-0000-0000C91B0000}"/>
    <cellStyle name="40 % - Akzent5 5 2 2 3 4 3" xfId="7502" xr:uid="{00000000-0005-0000-0000-0000CA1B0000}"/>
    <cellStyle name="40 % - Akzent5 5 2 2 3 5" xfId="7503" xr:uid="{00000000-0005-0000-0000-0000CB1B0000}"/>
    <cellStyle name="40 % - Akzent5 5 2 2 3 5 2" xfId="7504" xr:uid="{00000000-0005-0000-0000-0000CC1B0000}"/>
    <cellStyle name="40 % - Akzent5 5 2 2 3 5 3" xfId="7505" xr:uid="{00000000-0005-0000-0000-0000CD1B0000}"/>
    <cellStyle name="40 % - Akzent5 5 2 2 3 6" xfId="7506" xr:uid="{00000000-0005-0000-0000-0000CE1B0000}"/>
    <cellStyle name="40 % - Akzent5 5 2 2 3 6 2" xfId="7507" xr:uid="{00000000-0005-0000-0000-0000CF1B0000}"/>
    <cellStyle name="40 % - Akzent5 5 2 2 3 7" xfId="7508" xr:uid="{00000000-0005-0000-0000-0000D01B0000}"/>
    <cellStyle name="40 % - Akzent5 5 2 2 3 8" xfId="7509" xr:uid="{00000000-0005-0000-0000-0000D11B0000}"/>
    <cellStyle name="40 % - Akzent5 5 2 2 4" xfId="7510" xr:uid="{00000000-0005-0000-0000-0000D21B0000}"/>
    <cellStyle name="40 % - Akzent5 5 2 2 4 2" xfId="7511" xr:uid="{00000000-0005-0000-0000-0000D31B0000}"/>
    <cellStyle name="40 % - Akzent5 5 2 2 4 2 2" xfId="7512" xr:uid="{00000000-0005-0000-0000-0000D41B0000}"/>
    <cellStyle name="40 % - Akzent5 5 2 2 4 2 2 2" xfId="7513" xr:uid="{00000000-0005-0000-0000-0000D51B0000}"/>
    <cellStyle name="40 % - Akzent5 5 2 2 4 2 2 3" xfId="7514" xr:uid="{00000000-0005-0000-0000-0000D61B0000}"/>
    <cellStyle name="40 % - Akzent5 5 2 2 4 2 3" xfId="7515" xr:uid="{00000000-0005-0000-0000-0000D71B0000}"/>
    <cellStyle name="40 % - Akzent5 5 2 2 4 2 3 2" xfId="7516" xr:uid="{00000000-0005-0000-0000-0000D81B0000}"/>
    <cellStyle name="40 % - Akzent5 5 2 2 4 2 3 3" xfId="7517" xr:uid="{00000000-0005-0000-0000-0000D91B0000}"/>
    <cellStyle name="40 % - Akzent5 5 2 2 4 2 4" xfId="7518" xr:uid="{00000000-0005-0000-0000-0000DA1B0000}"/>
    <cellStyle name="40 % - Akzent5 5 2 2 4 2 4 2" xfId="7519" xr:uid="{00000000-0005-0000-0000-0000DB1B0000}"/>
    <cellStyle name="40 % - Akzent5 5 2 2 4 2 5" xfId="7520" xr:uid="{00000000-0005-0000-0000-0000DC1B0000}"/>
    <cellStyle name="40 % - Akzent5 5 2 2 4 2 6" xfId="7521" xr:uid="{00000000-0005-0000-0000-0000DD1B0000}"/>
    <cellStyle name="40 % - Akzent5 5 2 2 4 3" xfId="7522" xr:uid="{00000000-0005-0000-0000-0000DE1B0000}"/>
    <cellStyle name="40 % - Akzent5 5 2 2 4 3 2" xfId="7523" xr:uid="{00000000-0005-0000-0000-0000DF1B0000}"/>
    <cellStyle name="40 % - Akzent5 5 2 2 4 3 3" xfId="7524" xr:uid="{00000000-0005-0000-0000-0000E01B0000}"/>
    <cellStyle name="40 % - Akzent5 5 2 2 4 4" xfId="7525" xr:uid="{00000000-0005-0000-0000-0000E11B0000}"/>
    <cellStyle name="40 % - Akzent5 5 2 2 4 4 2" xfId="7526" xr:uid="{00000000-0005-0000-0000-0000E21B0000}"/>
    <cellStyle name="40 % - Akzent5 5 2 2 4 4 3" xfId="7527" xr:uid="{00000000-0005-0000-0000-0000E31B0000}"/>
    <cellStyle name="40 % - Akzent5 5 2 2 4 5" xfId="7528" xr:uid="{00000000-0005-0000-0000-0000E41B0000}"/>
    <cellStyle name="40 % - Akzent5 5 2 2 4 5 2" xfId="7529" xr:uid="{00000000-0005-0000-0000-0000E51B0000}"/>
    <cellStyle name="40 % - Akzent5 5 2 2 4 6" xfId="7530" xr:uid="{00000000-0005-0000-0000-0000E61B0000}"/>
    <cellStyle name="40 % - Akzent5 5 2 2 4 7" xfId="7531" xr:uid="{00000000-0005-0000-0000-0000E71B0000}"/>
    <cellStyle name="40 % - Akzent5 5 2 2 5" xfId="7532" xr:uid="{00000000-0005-0000-0000-0000E81B0000}"/>
    <cellStyle name="40 % - Akzent5 5 2 2 5 2" xfId="7533" xr:uid="{00000000-0005-0000-0000-0000E91B0000}"/>
    <cellStyle name="40 % - Akzent5 5 2 2 5 2 2" xfId="7534" xr:uid="{00000000-0005-0000-0000-0000EA1B0000}"/>
    <cellStyle name="40 % - Akzent5 5 2 2 5 2 3" xfId="7535" xr:uid="{00000000-0005-0000-0000-0000EB1B0000}"/>
    <cellStyle name="40 % - Akzent5 5 2 2 5 3" xfId="7536" xr:uid="{00000000-0005-0000-0000-0000EC1B0000}"/>
    <cellStyle name="40 % - Akzent5 5 2 2 5 3 2" xfId="7537" xr:uid="{00000000-0005-0000-0000-0000ED1B0000}"/>
    <cellStyle name="40 % - Akzent5 5 2 2 5 3 3" xfId="7538" xr:uid="{00000000-0005-0000-0000-0000EE1B0000}"/>
    <cellStyle name="40 % - Akzent5 5 2 2 5 4" xfId="7539" xr:uid="{00000000-0005-0000-0000-0000EF1B0000}"/>
    <cellStyle name="40 % - Akzent5 5 2 2 5 4 2" xfId="7540" xr:uid="{00000000-0005-0000-0000-0000F01B0000}"/>
    <cellStyle name="40 % - Akzent5 5 2 2 5 5" xfId="7541" xr:uid="{00000000-0005-0000-0000-0000F11B0000}"/>
    <cellStyle name="40 % - Akzent5 5 2 2 5 6" xfId="7542" xr:uid="{00000000-0005-0000-0000-0000F21B0000}"/>
    <cellStyle name="40 % - Akzent5 5 2 2 6" xfId="7543" xr:uid="{00000000-0005-0000-0000-0000F31B0000}"/>
    <cellStyle name="40 % - Akzent5 5 2 2 6 2" xfId="7544" xr:uid="{00000000-0005-0000-0000-0000F41B0000}"/>
    <cellStyle name="40 % - Akzent5 5 2 2 6 3" xfId="7545" xr:uid="{00000000-0005-0000-0000-0000F51B0000}"/>
    <cellStyle name="40 % - Akzent5 5 2 2 7" xfId="7546" xr:uid="{00000000-0005-0000-0000-0000F61B0000}"/>
    <cellStyle name="40 % - Akzent5 5 2 2 7 2" xfId="7547" xr:uid="{00000000-0005-0000-0000-0000F71B0000}"/>
    <cellStyle name="40 % - Akzent5 5 2 2 7 3" xfId="7548" xr:uid="{00000000-0005-0000-0000-0000F81B0000}"/>
    <cellStyle name="40 % - Akzent5 5 2 2 8" xfId="7549" xr:uid="{00000000-0005-0000-0000-0000F91B0000}"/>
    <cellStyle name="40 % - Akzent5 5 2 2 8 2" xfId="7550" xr:uid="{00000000-0005-0000-0000-0000FA1B0000}"/>
    <cellStyle name="40 % - Akzent5 5 2 2 9" xfId="7551" xr:uid="{00000000-0005-0000-0000-0000FB1B0000}"/>
    <cellStyle name="40 % - Akzent5 5 2 3" xfId="7552" xr:uid="{00000000-0005-0000-0000-0000FC1B0000}"/>
    <cellStyle name="40 % - Akzent5 5 2 3 2" xfId="7553" xr:uid="{00000000-0005-0000-0000-0000FD1B0000}"/>
    <cellStyle name="40 % - Akzent5 5 2 3 2 2" xfId="7554" xr:uid="{00000000-0005-0000-0000-0000FE1B0000}"/>
    <cellStyle name="40 % - Akzent5 5 2 3 2 2 2" xfId="7555" xr:uid="{00000000-0005-0000-0000-0000FF1B0000}"/>
    <cellStyle name="40 % - Akzent5 5 2 3 2 2 2 2" xfId="7556" xr:uid="{00000000-0005-0000-0000-0000001C0000}"/>
    <cellStyle name="40 % - Akzent5 5 2 3 2 2 2 3" xfId="7557" xr:uid="{00000000-0005-0000-0000-0000011C0000}"/>
    <cellStyle name="40 % - Akzent5 5 2 3 2 2 3" xfId="7558" xr:uid="{00000000-0005-0000-0000-0000021C0000}"/>
    <cellStyle name="40 % - Akzent5 5 2 3 2 2 3 2" xfId="7559" xr:uid="{00000000-0005-0000-0000-0000031C0000}"/>
    <cellStyle name="40 % - Akzent5 5 2 3 2 2 3 3" xfId="7560" xr:uid="{00000000-0005-0000-0000-0000041C0000}"/>
    <cellStyle name="40 % - Akzent5 5 2 3 2 2 4" xfId="7561" xr:uid="{00000000-0005-0000-0000-0000051C0000}"/>
    <cellStyle name="40 % - Akzent5 5 2 3 2 2 4 2" xfId="7562" xr:uid="{00000000-0005-0000-0000-0000061C0000}"/>
    <cellStyle name="40 % - Akzent5 5 2 3 2 2 5" xfId="7563" xr:uid="{00000000-0005-0000-0000-0000071C0000}"/>
    <cellStyle name="40 % - Akzent5 5 2 3 2 2 6" xfId="7564" xr:uid="{00000000-0005-0000-0000-0000081C0000}"/>
    <cellStyle name="40 % - Akzent5 5 2 3 2 3" xfId="7565" xr:uid="{00000000-0005-0000-0000-0000091C0000}"/>
    <cellStyle name="40 % - Akzent5 5 2 3 2 3 2" xfId="7566" xr:uid="{00000000-0005-0000-0000-00000A1C0000}"/>
    <cellStyle name="40 % - Akzent5 5 2 3 2 3 3" xfId="7567" xr:uid="{00000000-0005-0000-0000-00000B1C0000}"/>
    <cellStyle name="40 % - Akzent5 5 2 3 2 4" xfId="7568" xr:uid="{00000000-0005-0000-0000-00000C1C0000}"/>
    <cellStyle name="40 % - Akzent5 5 2 3 2 4 2" xfId="7569" xr:uid="{00000000-0005-0000-0000-00000D1C0000}"/>
    <cellStyle name="40 % - Akzent5 5 2 3 2 4 3" xfId="7570" xr:uid="{00000000-0005-0000-0000-00000E1C0000}"/>
    <cellStyle name="40 % - Akzent5 5 2 3 2 5" xfId="7571" xr:uid="{00000000-0005-0000-0000-00000F1C0000}"/>
    <cellStyle name="40 % - Akzent5 5 2 3 2 5 2" xfId="7572" xr:uid="{00000000-0005-0000-0000-0000101C0000}"/>
    <cellStyle name="40 % - Akzent5 5 2 3 2 6" xfId="7573" xr:uid="{00000000-0005-0000-0000-0000111C0000}"/>
    <cellStyle name="40 % - Akzent5 5 2 3 2 7" xfId="7574" xr:uid="{00000000-0005-0000-0000-0000121C0000}"/>
    <cellStyle name="40 % - Akzent5 5 2 3 3" xfId="7575" xr:uid="{00000000-0005-0000-0000-0000131C0000}"/>
    <cellStyle name="40 % - Akzent5 5 2 3 3 2" xfId="7576" xr:uid="{00000000-0005-0000-0000-0000141C0000}"/>
    <cellStyle name="40 % - Akzent5 5 2 3 3 2 2" xfId="7577" xr:uid="{00000000-0005-0000-0000-0000151C0000}"/>
    <cellStyle name="40 % - Akzent5 5 2 3 3 2 3" xfId="7578" xr:uid="{00000000-0005-0000-0000-0000161C0000}"/>
    <cellStyle name="40 % - Akzent5 5 2 3 3 3" xfId="7579" xr:uid="{00000000-0005-0000-0000-0000171C0000}"/>
    <cellStyle name="40 % - Akzent5 5 2 3 3 3 2" xfId="7580" xr:uid="{00000000-0005-0000-0000-0000181C0000}"/>
    <cellStyle name="40 % - Akzent5 5 2 3 3 3 3" xfId="7581" xr:uid="{00000000-0005-0000-0000-0000191C0000}"/>
    <cellStyle name="40 % - Akzent5 5 2 3 3 4" xfId="7582" xr:uid="{00000000-0005-0000-0000-00001A1C0000}"/>
    <cellStyle name="40 % - Akzent5 5 2 3 3 4 2" xfId="7583" xr:uid="{00000000-0005-0000-0000-00001B1C0000}"/>
    <cellStyle name="40 % - Akzent5 5 2 3 3 5" xfId="7584" xr:uid="{00000000-0005-0000-0000-00001C1C0000}"/>
    <cellStyle name="40 % - Akzent5 5 2 3 3 6" xfId="7585" xr:uid="{00000000-0005-0000-0000-00001D1C0000}"/>
    <cellStyle name="40 % - Akzent5 5 2 3 4" xfId="7586" xr:uid="{00000000-0005-0000-0000-00001E1C0000}"/>
    <cellStyle name="40 % - Akzent5 5 2 3 4 2" xfId="7587" xr:uid="{00000000-0005-0000-0000-00001F1C0000}"/>
    <cellStyle name="40 % - Akzent5 5 2 3 4 3" xfId="7588" xr:uid="{00000000-0005-0000-0000-0000201C0000}"/>
    <cellStyle name="40 % - Akzent5 5 2 3 5" xfId="7589" xr:uid="{00000000-0005-0000-0000-0000211C0000}"/>
    <cellStyle name="40 % - Akzent5 5 2 3 5 2" xfId="7590" xr:uid="{00000000-0005-0000-0000-0000221C0000}"/>
    <cellStyle name="40 % - Akzent5 5 2 3 5 3" xfId="7591" xr:uid="{00000000-0005-0000-0000-0000231C0000}"/>
    <cellStyle name="40 % - Akzent5 5 2 3 6" xfId="7592" xr:uid="{00000000-0005-0000-0000-0000241C0000}"/>
    <cellStyle name="40 % - Akzent5 5 2 3 6 2" xfId="7593" xr:uid="{00000000-0005-0000-0000-0000251C0000}"/>
    <cellStyle name="40 % - Akzent5 5 2 3 7" xfId="7594" xr:uid="{00000000-0005-0000-0000-0000261C0000}"/>
    <cellStyle name="40 % - Akzent5 5 2 3 8" xfId="7595" xr:uid="{00000000-0005-0000-0000-0000271C0000}"/>
    <cellStyle name="40 % - Akzent5 5 2 4" xfId="7596" xr:uid="{00000000-0005-0000-0000-0000281C0000}"/>
    <cellStyle name="40 % - Akzent5 5 2 4 2" xfId="7597" xr:uid="{00000000-0005-0000-0000-0000291C0000}"/>
    <cellStyle name="40 % - Akzent5 5 2 4 2 2" xfId="7598" xr:uid="{00000000-0005-0000-0000-00002A1C0000}"/>
    <cellStyle name="40 % - Akzent5 5 2 4 2 2 2" xfId="7599" xr:uid="{00000000-0005-0000-0000-00002B1C0000}"/>
    <cellStyle name="40 % - Akzent5 5 2 4 2 2 2 2" xfId="7600" xr:uid="{00000000-0005-0000-0000-00002C1C0000}"/>
    <cellStyle name="40 % - Akzent5 5 2 4 2 2 2 3" xfId="7601" xr:uid="{00000000-0005-0000-0000-00002D1C0000}"/>
    <cellStyle name="40 % - Akzent5 5 2 4 2 2 3" xfId="7602" xr:uid="{00000000-0005-0000-0000-00002E1C0000}"/>
    <cellStyle name="40 % - Akzent5 5 2 4 2 2 3 2" xfId="7603" xr:uid="{00000000-0005-0000-0000-00002F1C0000}"/>
    <cellStyle name="40 % - Akzent5 5 2 4 2 2 3 3" xfId="7604" xr:uid="{00000000-0005-0000-0000-0000301C0000}"/>
    <cellStyle name="40 % - Akzent5 5 2 4 2 2 4" xfId="7605" xr:uid="{00000000-0005-0000-0000-0000311C0000}"/>
    <cellStyle name="40 % - Akzent5 5 2 4 2 2 4 2" xfId="7606" xr:uid="{00000000-0005-0000-0000-0000321C0000}"/>
    <cellStyle name="40 % - Akzent5 5 2 4 2 2 5" xfId="7607" xr:uid="{00000000-0005-0000-0000-0000331C0000}"/>
    <cellStyle name="40 % - Akzent5 5 2 4 2 2 6" xfId="7608" xr:uid="{00000000-0005-0000-0000-0000341C0000}"/>
    <cellStyle name="40 % - Akzent5 5 2 4 2 3" xfId="7609" xr:uid="{00000000-0005-0000-0000-0000351C0000}"/>
    <cellStyle name="40 % - Akzent5 5 2 4 2 3 2" xfId="7610" xr:uid="{00000000-0005-0000-0000-0000361C0000}"/>
    <cellStyle name="40 % - Akzent5 5 2 4 2 3 3" xfId="7611" xr:uid="{00000000-0005-0000-0000-0000371C0000}"/>
    <cellStyle name="40 % - Akzent5 5 2 4 2 4" xfId="7612" xr:uid="{00000000-0005-0000-0000-0000381C0000}"/>
    <cellStyle name="40 % - Akzent5 5 2 4 2 4 2" xfId="7613" xr:uid="{00000000-0005-0000-0000-0000391C0000}"/>
    <cellStyle name="40 % - Akzent5 5 2 4 2 4 3" xfId="7614" xr:uid="{00000000-0005-0000-0000-00003A1C0000}"/>
    <cellStyle name="40 % - Akzent5 5 2 4 2 5" xfId="7615" xr:uid="{00000000-0005-0000-0000-00003B1C0000}"/>
    <cellStyle name="40 % - Akzent5 5 2 4 2 5 2" xfId="7616" xr:uid="{00000000-0005-0000-0000-00003C1C0000}"/>
    <cellStyle name="40 % - Akzent5 5 2 4 2 6" xfId="7617" xr:uid="{00000000-0005-0000-0000-00003D1C0000}"/>
    <cellStyle name="40 % - Akzent5 5 2 4 2 7" xfId="7618" xr:uid="{00000000-0005-0000-0000-00003E1C0000}"/>
    <cellStyle name="40 % - Akzent5 5 2 4 3" xfId="7619" xr:uid="{00000000-0005-0000-0000-00003F1C0000}"/>
    <cellStyle name="40 % - Akzent5 5 2 4 3 2" xfId="7620" xr:uid="{00000000-0005-0000-0000-0000401C0000}"/>
    <cellStyle name="40 % - Akzent5 5 2 4 3 2 2" xfId="7621" xr:uid="{00000000-0005-0000-0000-0000411C0000}"/>
    <cellStyle name="40 % - Akzent5 5 2 4 3 2 3" xfId="7622" xr:uid="{00000000-0005-0000-0000-0000421C0000}"/>
    <cellStyle name="40 % - Akzent5 5 2 4 3 3" xfId="7623" xr:uid="{00000000-0005-0000-0000-0000431C0000}"/>
    <cellStyle name="40 % - Akzent5 5 2 4 3 3 2" xfId="7624" xr:uid="{00000000-0005-0000-0000-0000441C0000}"/>
    <cellStyle name="40 % - Akzent5 5 2 4 3 3 3" xfId="7625" xr:uid="{00000000-0005-0000-0000-0000451C0000}"/>
    <cellStyle name="40 % - Akzent5 5 2 4 3 4" xfId="7626" xr:uid="{00000000-0005-0000-0000-0000461C0000}"/>
    <cellStyle name="40 % - Akzent5 5 2 4 3 4 2" xfId="7627" xr:uid="{00000000-0005-0000-0000-0000471C0000}"/>
    <cellStyle name="40 % - Akzent5 5 2 4 3 5" xfId="7628" xr:uid="{00000000-0005-0000-0000-0000481C0000}"/>
    <cellStyle name="40 % - Akzent5 5 2 4 3 6" xfId="7629" xr:uid="{00000000-0005-0000-0000-0000491C0000}"/>
    <cellStyle name="40 % - Akzent5 5 2 4 4" xfId="7630" xr:uid="{00000000-0005-0000-0000-00004A1C0000}"/>
    <cellStyle name="40 % - Akzent5 5 2 4 4 2" xfId="7631" xr:uid="{00000000-0005-0000-0000-00004B1C0000}"/>
    <cellStyle name="40 % - Akzent5 5 2 4 4 3" xfId="7632" xr:uid="{00000000-0005-0000-0000-00004C1C0000}"/>
    <cellStyle name="40 % - Akzent5 5 2 4 5" xfId="7633" xr:uid="{00000000-0005-0000-0000-00004D1C0000}"/>
    <cellStyle name="40 % - Akzent5 5 2 4 5 2" xfId="7634" xr:uid="{00000000-0005-0000-0000-00004E1C0000}"/>
    <cellStyle name="40 % - Akzent5 5 2 4 5 3" xfId="7635" xr:uid="{00000000-0005-0000-0000-00004F1C0000}"/>
    <cellStyle name="40 % - Akzent5 5 2 4 6" xfId="7636" xr:uid="{00000000-0005-0000-0000-0000501C0000}"/>
    <cellStyle name="40 % - Akzent5 5 2 4 6 2" xfId="7637" xr:uid="{00000000-0005-0000-0000-0000511C0000}"/>
    <cellStyle name="40 % - Akzent5 5 2 4 7" xfId="7638" xr:uid="{00000000-0005-0000-0000-0000521C0000}"/>
    <cellStyle name="40 % - Akzent5 5 2 4 8" xfId="7639" xr:uid="{00000000-0005-0000-0000-0000531C0000}"/>
    <cellStyle name="40 % - Akzent5 5 2 5" xfId="7640" xr:uid="{00000000-0005-0000-0000-0000541C0000}"/>
    <cellStyle name="40 % - Akzent5 5 2 5 2" xfId="7641" xr:uid="{00000000-0005-0000-0000-0000551C0000}"/>
    <cellStyle name="40 % - Akzent5 5 2 5 2 2" xfId="7642" xr:uid="{00000000-0005-0000-0000-0000561C0000}"/>
    <cellStyle name="40 % - Akzent5 5 2 5 2 2 2" xfId="7643" xr:uid="{00000000-0005-0000-0000-0000571C0000}"/>
    <cellStyle name="40 % - Akzent5 5 2 5 2 2 3" xfId="7644" xr:uid="{00000000-0005-0000-0000-0000581C0000}"/>
    <cellStyle name="40 % - Akzent5 5 2 5 2 3" xfId="7645" xr:uid="{00000000-0005-0000-0000-0000591C0000}"/>
    <cellStyle name="40 % - Akzent5 5 2 5 2 3 2" xfId="7646" xr:uid="{00000000-0005-0000-0000-00005A1C0000}"/>
    <cellStyle name="40 % - Akzent5 5 2 5 2 3 3" xfId="7647" xr:uid="{00000000-0005-0000-0000-00005B1C0000}"/>
    <cellStyle name="40 % - Akzent5 5 2 5 2 4" xfId="7648" xr:uid="{00000000-0005-0000-0000-00005C1C0000}"/>
    <cellStyle name="40 % - Akzent5 5 2 5 2 4 2" xfId="7649" xr:uid="{00000000-0005-0000-0000-00005D1C0000}"/>
    <cellStyle name="40 % - Akzent5 5 2 5 2 5" xfId="7650" xr:uid="{00000000-0005-0000-0000-00005E1C0000}"/>
    <cellStyle name="40 % - Akzent5 5 2 5 2 6" xfId="7651" xr:uid="{00000000-0005-0000-0000-00005F1C0000}"/>
    <cellStyle name="40 % - Akzent5 5 2 5 3" xfId="7652" xr:uid="{00000000-0005-0000-0000-0000601C0000}"/>
    <cellStyle name="40 % - Akzent5 5 2 5 3 2" xfId="7653" xr:uid="{00000000-0005-0000-0000-0000611C0000}"/>
    <cellStyle name="40 % - Akzent5 5 2 5 3 3" xfId="7654" xr:uid="{00000000-0005-0000-0000-0000621C0000}"/>
    <cellStyle name="40 % - Akzent5 5 2 5 4" xfId="7655" xr:uid="{00000000-0005-0000-0000-0000631C0000}"/>
    <cellStyle name="40 % - Akzent5 5 2 5 4 2" xfId="7656" xr:uid="{00000000-0005-0000-0000-0000641C0000}"/>
    <cellStyle name="40 % - Akzent5 5 2 5 4 3" xfId="7657" xr:uid="{00000000-0005-0000-0000-0000651C0000}"/>
    <cellStyle name="40 % - Akzent5 5 2 5 5" xfId="7658" xr:uid="{00000000-0005-0000-0000-0000661C0000}"/>
    <cellStyle name="40 % - Akzent5 5 2 5 5 2" xfId="7659" xr:uid="{00000000-0005-0000-0000-0000671C0000}"/>
    <cellStyle name="40 % - Akzent5 5 2 5 6" xfId="7660" xr:uid="{00000000-0005-0000-0000-0000681C0000}"/>
    <cellStyle name="40 % - Akzent5 5 2 5 7" xfId="7661" xr:uid="{00000000-0005-0000-0000-0000691C0000}"/>
    <cellStyle name="40 % - Akzent5 5 2 6" xfId="7662" xr:uid="{00000000-0005-0000-0000-00006A1C0000}"/>
    <cellStyle name="40 % - Akzent5 5 2 6 2" xfId="7663" xr:uid="{00000000-0005-0000-0000-00006B1C0000}"/>
    <cellStyle name="40 % - Akzent5 5 2 6 2 2" xfId="7664" xr:uid="{00000000-0005-0000-0000-00006C1C0000}"/>
    <cellStyle name="40 % - Akzent5 5 2 6 2 3" xfId="7665" xr:uid="{00000000-0005-0000-0000-00006D1C0000}"/>
    <cellStyle name="40 % - Akzent5 5 2 6 3" xfId="7666" xr:uid="{00000000-0005-0000-0000-00006E1C0000}"/>
    <cellStyle name="40 % - Akzent5 5 2 6 3 2" xfId="7667" xr:uid="{00000000-0005-0000-0000-00006F1C0000}"/>
    <cellStyle name="40 % - Akzent5 5 2 6 3 3" xfId="7668" xr:uid="{00000000-0005-0000-0000-0000701C0000}"/>
    <cellStyle name="40 % - Akzent5 5 2 6 4" xfId="7669" xr:uid="{00000000-0005-0000-0000-0000711C0000}"/>
    <cellStyle name="40 % - Akzent5 5 2 6 4 2" xfId="7670" xr:uid="{00000000-0005-0000-0000-0000721C0000}"/>
    <cellStyle name="40 % - Akzent5 5 2 6 5" xfId="7671" xr:uid="{00000000-0005-0000-0000-0000731C0000}"/>
    <cellStyle name="40 % - Akzent5 5 2 6 6" xfId="7672" xr:uid="{00000000-0005-0000-0000-0000741C0000}"/>
    <cellStyle name="40 % - Akzent5 5 2 7" xfId="7673" xr:uid="{00000000-0005-0000-0000-0000751C0000}"/>
    <cellStyle name="40 % - Akzent5 5 2 7 2" xfId="7674" xr:uid="{00000000-0005-0000-0000-0000761C0000}"/>
    <cellStyle name="40 % - Akzent5 5 2 7 3" xfId="7675" xr:uid="{00000000-0005-0000-0000-0000771C0000}"/>
    <cellStyle name="40 % - Akzent5 5 2 8" xfId="7676" xr:uid="{00000000-0005-0000-0000-0000781C0000}"/>
    <cellStyle name="40 % - Akzent5 5 2 8 2" xfId="7677" xr:uid="{00000000-0005-0000-0000-0000791C0000}"/>
    <cellStyle name="40 % - Akzent5 5 2 8 3" xfId="7678" xr:uid="{00000000-0005-0000-0000-00007A1C0000}"/>
    <cellStyle name="40 % - Akzent5 5 2 9" xfId="7679" xr:uid="{00000000-0005-0000-0000-00007B1C0000}"/>
    <cellStyle name="40 % - Akzent5 5 2 9 2" xfId="7680" xr:uid="{00000000-0005-0000-0000-00007C1C0000}"/>
    <cellStyle name="40 % - Akzent5 6" xfId="7681" xr:uid="{00000000-0005-0000-0000-00007D1C0000}"/>
    <cellStyle name="40 % - Akzent5 7" xfId="7682" xr:uid="{00000000-0005-0000-0000-00007E1C0000}"/>
    <cellStyle name="40 % - Akzent5 7 10" xfId="7683" xr:uid="{00000000-0005-0000-0000-00007F1C0000}"/>
    <cellStyle name="40 % - Akzent5 7 2" xfId="7684" xr:uid="{00000000-0005-0000-0000-0000801C0000}"/>
    <cellStyle name="40 % - Akzent5 7 2 2" xfId="7685" xr:uid="{00000000-0005-0000-0000-0000811C0000}"/>
    <cellStyle name="40 % - Akzent5 7 2 2 2" xfId="7686" xr:uid="{00000000-0005-0000-0000-0000821C0000}"/>
    <cellStyle name="40 % - Akzent5 7 2 2 2 2" xfId="7687" xr:uid="{00000000-0005-0000-0000-0000831C0000}"/>
    <cellStyle name="40 % - Akzent5 7 2 2 2 2 2" xfId="7688" xr:uid="{00000000-0005-0000-0000-0000841C0000}"/>
    <cellStyle name="40 % - Akzent5 7 2 2 2 2 3" xfId="7689" xr:uid="{00000000-0005-0000-0000-0000851C0000}"/>
    <cellStyle name="40 % - Akzent5 7 2 2 2 3" xfId="7690" xr:uid="{00000000-0005-0000-0000-0000861C0000}"/>
    <cellStyle name="40 % - Akzent5 7 2 2 2 3 2" xfId="7691" xr:uid="{00000000-0005-0000-0000-0000871C0000}"/>
    <cellStyle name="40 % - Akzent5 7 2 2 2 3 3" xfId="7692" xr:uid="{00000000-0005-0000-0000-0000881C0000}"/>
    <cellStyle name="40 % - Akzent5 7 2 2 2 4" xfId="7693" xr:uid="{00000000-0005-0000-0000-0000891C0000}"/>
    <cellStyle name="40 % - Akzent5 7 2 2 2 4 2" xfId="7694" xr:uid="{00000000-0005-0000-0000-00008A1C0000}"/>
    <cellStyle name="40 % - Akzent5 7 2 2 2 5" xfId="7695" xr:uid="{00000000-0005-0000-0000-00008B1C0000}"/>
    <cellStyle name="40 % - Akzent5 7 2 2 2 6" xfId="7696" xr:uid="{00000000-0005-0000-0000-00008C1C0000}"/>
    <cellStyle name="40 % - Akzent5 7 2 2 3" xfId="7697" xr:uid="{00000000-0005-0000-0000-00008D1C0000}"/>
    <cellStyle name="40 % - Akzent5 7 2 2 3 2" xfId="7698" xr:uid="{00000000-0005-0000-0000-00008E1C0000}"/>
    <cellStyle name="40 % - Akzent5 7 2 2 3 3" xfId="7699" xr:uid="{00000000-0005-0000-0000-00008F1C0000}"/>
    <cellStyle name="40 % - Akzent5 7 2 2 4" xfId="7700" xr:uid="{00000000-0005-0000-0000-0000901C0000}"/>
    <cellStyle name="40 % - Akzent5 7 2 2 4 2" xfId="7701" xr:uid="{00000000-0005-0000-0000-0000911C0000}"/>
    <cellStyle name="40 % - Akzent5 7 2 2 4 3" xfId="7702" xr:uid="{00000000-0005-0000-0000-0000921C0000}"/>
    <cellStyle name="40 % - Akzent5 7 2 2 5" xfId="7703" xr:uid="{00000000-0005-0000-0000-0000931C0000}"/>
    <cellStyle name="40 % - Akzent5 7 2 2 5 2" xfId="7704" xr:uid="{00000000-0005-0000-0000-0000941C0000}"/>
    <cellStyle name="40 % - Akzent5 7 2 2 6" xfId="7705" xr:uid="{00000000-0005-0000-0000-0000951C0000}"/>
    <cellStyle name="40 % - Akzent5 7 2 2 7" xfId="7706" xr:uid="{00000000-0005-0000-0000-0000961C0000}"/>
    <cellStyle name="40 % - Akzent5 7 2 3" xfId="7707" xr:uid="{00000000-0005-0000-0000-0000971C0000}"/>
    <cellStyle name="40 % - Akzent5 7 2 3 2" xfId="7708" xr:uid="{00000000-0005-0000-0000-0000981C0000}"/>
    <cellStyle name="40 % - Akzent5 7 2 3 2 2" xfId="7709" xr:uid="{00000000-0005-0000-0000-0000991C0000}"/>
    <cellStyle name="40 % - Akzent5 7 2 3 2 3" xfId="7710" xr:uid="{00000000-0005-0000-0000-00009A1C0000}"/>
    <cellStyle name="40 % - Akzent5 7 2 3 3" xfId="7711" xr:uid="{00000000-0005-0000-0000-00009B1C0000}"/>
    <cellStyle name="40 % - Akzent5 7 2 3 3 2" xfId="7712" xr:uid="{00000000-0005-0000-0000-00009C1C0000}"/>
    <cellStyle name="40 % - Akzent5 7 2 3 3 3" xfId="7713" xr:uid="{00000000-0005-0000-0000-00009D1C0000}"/>
    <cellStyle name="40 % - Akzent5 7 2 3 4" xfId="7714" xr:uid="{00000000-0005-0000-0000-00009E1C0000}"/>
    <cellStyle name="40 % - Akzent5 7 2 3 4 2" xfId="7715" xr:uid="{00000000-0005-0000-0000-00009F1C0000}"/>
    <cellStyle name="40 % - Akzent5 7 2 3 5" xfId="7716" xr:uid="{00000000-0005-0000-0000-0000A01C0000}"/>
    <cellStyle name="40 % - Akzent5 7 2 3 6" xfId="7717" xr:uid="{00000000-0005-0000-0000-0000A11C0000}"/>
    <cellStyle name="40 % - Akzent5 7 2 4" xfId="7718" xr:uid="{00000000-0005-0000-0000-0000A21C0000}"/>
    <cellStyle name="40 % - Akzent5 7 2 4 2" xfId="7719" xr:uid="{00000000-0005-0000-0000-0000A31C0000}"/>
    <cellStyle name="40 % - Akzent5 7 2 4 3" xfId="7720" xr:uid="{00000000-0005-0000-0000-0000A41C0000}"/>
    <cellStyle name="40 % - Akzent5 7 2 5" xfId="7721" xr:uid="{00000000-0005-0000-0000-0000A51C0000}"/>
    <cellStyle name="40 % - Akzent5 7 2 5 2" xfId="7722" xr:uid="{00000000-0005-0000-0000-0000A61C0000}"/>
    <cellStyle name="40 % - Akzent5 7 2 5 3" xfId="7723" xr:uid="{00000000-0005-0000-0000-0000A71C0000}"/>
    <cellStyle name="40 % - Akzent5 7 2 6" xfId="7724" xr:uid="{00000000-0005-0000-0000-0000A81C0000}"/>
    <cellStyle name="40 % - Akzent5 7 2 6 2" xfId="7725" xr:uid="{00000000-0005-0000-0000-0000A91C0000}"/>
    <cellStyle name="40 % - Akzent5 7 2 7" xfId="7726" xr:uid="{00000000-0005-0000-0000-0000AA1C0000}"/>
    <cellStyle name="40 % - Akzent5 7 2 8" xfId="7727" xr:uid="{00000000-0005-0000-0000-0000AB1C0000}"/>
    <cellStyle name="40 % - Akzent5 7 3" xfId="7728" xr:uid="{00000000-0005-0000-0000-0000AC1C0000}"/>
    <cellStyle name="40 % - Akzent5 7 3 2" xfId="7729" xr:uid="{00000000-0005-0000-0000-0000AD1C0000}"/>
    <cellStyle name="40 % - Akzent5 7 3 2 2" xfId="7730" xr:uid="{00000000-0005-0000-0000-0000AE1C0000}"/>
    <cellStyle name="40 % - Akzent5 7 3 2 2 2" xfId="7731" xr:uid="{00000000-0005-0000-0000-0000AF1C0000}"/>
    <cellStyle name="40 % - Akzent5 7 3 2 2 2 2" xfId="7732" xr:uid="{00000000-0005-0000-0000-0000B01C0000}"/>
    <cellStyle name="40 % - Akzent5 7 3 2 2 2 3" xfId="7733" xr:uid="{00000000-0005-0000-0000-0000B11C0000}"/>
    <cellStyle name="40 % - Akzent5 7 3 2 2 3" xfId="7734" xr:uid="{00000000-0005-0000-0000-0000B21C0000}"/>
    <cellStyle name="40 % - Akzent5 7 3 2 2 3 2" xfId="7735" xr:uid="{00000000-0005-0000-0000-0000B31C0000}"/>
    <cellStyle name="40 % - Akzent5 7 3 2 2 3 3" xfId="7736" xr:uid="{00000000-0005-0000-0000-0000B41C0000}"/>
    <cellStyle name="40 % - Akzent5 7 3 2 2 4" xfId="7737" xr:uid="{00000000-0005-0000-0000-0000B51C0000}"/>
    <cellStyle name="40 % - Akzent5 7 3 2 2 4 2" xfId="7738" xr:uid="{00000000-0005-0000-0000-0000B61C0000}"/>
    <cellStyle name="40 % - Akzent5 7 3 2 2 5" xfId="7739" xr:uid="{00000000-0005-0000-0000-0000B71C0000}"/>
    <cellStyle name="40 % - Akzent5 7 3 2 2 6" xfId="7740" xr:uid="{00000000-0005-0000-0000-0000B81C0000}"/>
    <cellStyle name="40 % - Akzent5 7 3 2 3" xfId="7741" xr:uid="{00000000-0005-0000-0000-0000B91C0000}"/>
    <cellStyle name="40 % - Akzent5 7 3 2 3 2" xfId="7742" xr:uid="{00000000-0005-0000-0000-0000BA1C0000}"/>
    <cellStyle name="40 % - Akzent5 7 3 2 3 3" xfId="7743" xr:uid="{00000000-0005-0000-0000-0000BB1C0000}"/>
    <cellStyle name="40 % - Akzent5 7 3 2 4" xfId="7744" xr:uid="{00000000-0005-0000-0000-0000BC1C0000}"/>
    <cellStyle name="40 % - Akzent5 7 3 2 4 2" xfId="7745" xr:uid="{00000000-0005-0000-0000-0000BD1C0000}"/>
    <cellStyle name="40 % - Akzent5 7 3 2 4 3" xfId="7746" xr:uid="{00000000-0005-0000-0000-0000BE1C0000}"/>
    <cellStyle name="40 % - Akzent5 7 3 2 5" xfId="7747" xr:uid="{00000000-0005-0000-0000-0000BF1C0000}"/>
    <cellStyle name="40 % - Akzent5 7 3 2 5 2" xfId="7748" xr:uid="{00000000-0005-0000-0000-0000C01C0000}"/>
    <cellStyle name="40 % - Akzent5 7 3 2 6" xfId="7749" xr:uid="{00000000-0005-0000-0000-0000C11C0000}"/>
    <cellStyle name="40 % - Akzent5 7 3 2 7" xfId="7750" xr:uid="{00000000-0005-0000-0000-0000C21C0000}"/>
    <cellStyle name="40 % - Akzent5 7 3 3" xfId="7751" xr:uid="{00000000-0005-0000-0000-0000C31C0000}"/>
    <cellStyle name="40 % - Akzent5 7 3 3 2" xfId="7752" xr:uid="{00000000-0005-0000-0000-0000C41C0000}"/>
    <cellStyle name="40 % - Akzent5 7 3 3 2 2" xfId="7753" xr:uid="{00000000-0005-0000-0000-0000C51C0000}"/>
    <cellStyle name="40 % - Akzent5 7 3 3 2 3" xfId="7754" xr:uid="{00000000-0005-0000-0000-0000C61C0000}"/>
    <cellStyle name="40 % - Akzent5 7 3 3 3" xfId="7755" xr:uid="{00000000-0005-0000-0000-0000C71C0000}"/>
    <cellStyle name="40 % - Akzent5 7 3 3 3 2" xfId="7756" xr:uid="{00000000-0005-0000-0000-0000C81C0000}"/>
    <cellStyle name="40 % - Akzent5 7 3 3 3 3" xfId="7757" xr:uid="{00000000-0005-0000-0000-0000C91C0000}"/>
    <cellStyle name="40 % - Akzent5 7 3 3 4" xfId="7758" xr:uid="{00000000-0005-0000-0000-0000CA1C0000}"/>
    <cellStyle name="40 % - Akzent5 7 3 3 4 2" xfId="7759" xr:uid="{00000000-0005-0000-0000-0000CB1C0000}"/>
    <cellStyle name="40 % - Akzent5 7 3 3 5" xfId="7760" xr:uid="{00000000-0005-0000-0000-0000CC1C0000}"/>
    <cellStyle name="40 % - Akzent5 7 3 3 6" xfId="7761" xr:uid="{00000000-0005-0000-0000-0000CD1C0000}"/>
    <cellStyle name="40 % - Akzent5 7 3 4" xfId="7762" xr:uid="{00000000-0005-0000-0000-0000CE1C0000}"/>
    <cellStyle name="40 % - Akzent5 7 3 4 2" xfId="7763" xr:uid="{00000000-0005-0000-0000-0000CF1C0000}"/>
    <cellStyle name="40 % - Akzent5 7 3 4 3" xfId="7764" xr:uid="{00000000-0005-0000-0000-0000D01C0000}"/>
    <cellStyle name="40 % - Akzent5 7 3 5" xfId="7765" xr:uid="{00000000-0005-0000-0000-0000D11C0000}"/>
    <cellStyle name="40 % - Akzent5 7 3 5 2" xfId="7766" xr:uid="{00000000-0005-0000-0000-0000D21C0000}"/>
    <cellStyle name="40 % - Akzent5 7 3 5 3" xfId="7767" xr:uid="{00000000-0005-0000-0000-0000D31C0000}"/>
    <cellStyle name="40 % - Akzent5 7 3 6" xfId="7768" xr:uid="{00000000-0005-0000-0000-0000D41C0000}"/>
    <cellStyle name="40 % - Akzent5 7 3 6 2" xfId="7769" xr:uid="{00000000-0005-0000-0000-0000D51C0000}"/>
    <cellStyle name="40 % - Akzent5 7 3 7" xfId="7770" xr:uid="{00000000-0005-0000-0000-0000D61C0000}"/>
    <cellStyle name="40 % - Akzent5 7 3 8" xfId="7771" xr:uid="{00000000-0005-0000-0000-0000D71C0000}"/>
    <cellStyle name="40 % - Akzent5 7 4" xfId="7772" xr:uid="{00000000-0005-0000-0000-0000D81C0000}"/>
    <cellStyle name="40 % - Akzent5 7 4 2" xfId="7773" xr:uid="{00000000-0005-0000-0000-0000D91C0000}"/>
    <cellStyle name="40 % - Akzent5 7 4 2 2" xfId="7774" xr:uid="{00000000-0005-0000-0000-0000DA1C0000}"/>
    <cellStyle name="40 % - Akzent5 7 4 2 2 2" xfId="7775" xr:uid="{00000000-0005-0000-0000-0000DB1C0000}"/>
    <cellStyle name="40 % - Akzent5 7 4 2 2 3" xfId="7776" xr:uid="{00000000-0005-0000-0000-0000DC1C0000}"/>
    <cellStyle name="40 % - Akzent5 7 4 2 3" xfId="7777" xr:uid="{00000000-0005-0000-0000-0000DD1C0000}"/>
    <cellStyle name="40 % - Akzent5 7 4 2 3 2" xfId="7778" xr:uid="{00000000-0005-0000-0000-0000DE1C0000}"/>
    <cellStyle name="40 % - Akzent5 7 4 2 3 3" xfId="7779" xr:uid="{00000000-0005-0000-0000-0000DF1C0000}"/>
    <cellStyle name="40 % - Akzent5 7 4 2 4" xfId="7780" xr:uid="{00000000-0005-0000-0000-0000E01C0000}"/>
    <cellStyle name="40 % - Akzent5 7 4 2 4 2" xfId="7781" xr:uid="{00000000-0005-0000-0000-0000E11C0000}"/>
    <cellStyle name="40 % - Akzent5 7 4 2 5" xfId="7782" xr:uid="{00000000-0005-0000-0000-0000E21C0000}"/>
    <cellStyle name="40 % - Akzent5 7 4 2 6" xfId="7783" xr:uid="{00000000-0005-0000-0000-0000E31C0000}"/>
    <cellStyle name="40 % - Akzent5 7 4 3" xfId="7784" xr:uid="{00000000-0005-0000-0000-0000E41C0000}"/>
    <cellStyle name="40 % - Akzent5 7 4 3 2" xfId="7785" xr:uid="{00000000-0005-0000-0000-0000E51C0000}"/>
    <cellStyle name="40 % - Akzent5 7 4 3 3" xfId="7786" xr:uid="{00000000-0005-0000-0000-0000E61C0000}"/>
    <cellStyle name="40 % - Akzent5 7 4 4" xfId="7787" xr:uid="{00000000-0005-0000-0000-0000E71C0000}"/>
    <cellStyle name="40 % - Akzent5 7 4 4 2" xfId="7788" xr:uid="{00000000-0005-0000-0000-0000E81C0000}"/>
    <cellStyle name="40 % - Akzent5 7 4 4 3" xfId="7789" xr:uid="{00000000-0005-0000-0000-0000E91C0000}"/>
    <cellStyle name="40 % - Akzent5 7 4 5" xfId="7790" xr:uid="{00000000-0005-0000-0000-0000EA1C0000}"/>
    <cellStyle name="40 % - Akzent5 7 4 5 2" xfId="7791" xr:uid="{00000000-0005-0000-0000-0000EB1C0000}"/>
    <cellStyle name="40 % - Akzent5 7 4 6" xfId="7792" xr:uid="{00000000-0005-0000-0000-0000EC1C0000}"/>
    <cellStyle name="40 % - Akzent5 7 4 7" xfId="7793" xr:uid="{00000000-0005-0000-0000-0000ED1C0000}"/>
    <cellStyle name="40 % - Akzent5 7 5" xfId="7794" xr:uid="{00000000-0005-0000-0000-0000EE1C0000}"/>
    <cellStyle name="40 % - Akzent5 7 5 2" xfId="7795" xr:uid="{00000000-0005-0000-0000-0000EF1C0000}"/>
    <cellStyle name="40 % - Akzent5 7 5 2 2" xfId="7796" xr:uid="{00000000-0005-0000-0000-0000F01C0000}"/>
    <cellStyle name="40 % - Akzent5 7 5 2 3" xfId="7797" xr:uid="{00000000-0005-0000-0000-0000F11C0000}"/>
    <cellStyle name="40 % - Akzent5 7 5 3" xfId="7798" xr:uid="{00000000-0005-0000-0000-0000F21C0000}"/>
    <cellStyle name="40 % - Akzent5 7 5 3 2" xfId="7799" xr:uid="{00000000-0005-0000-0000-0000F31C0000}"/>
    <cellStyle name="40 % - Akzent5 7 5 3 3" xfId="7800" xr:uid="{00000000-0005-0000-0000-0000F41C0000}"/>
    <cellStyle name="40 % - Akzent5 7 5 4" xfId="7801" xr:uid="{00000000-0005-0000-0000-0000F51C0000}"/>
    <cellStyle name="40 % - Akzent5 7 5 4 2" xfId="7802" xr:uid="{00000000-0005-0000-0000-0000F61C0000}"/>
    <cellStyle name="40 % - Akzent5 7 5 5" xfId="7803" xr:uid="{00000000-0005-0000-0000-0000F71C0000}"/>
    <cellStyle name="40 % - Akzent5 7 5 6" xfId="7804" xr:uid="{00000000-0005-0000-0000-0000F81C0000}"/>
    <cellStyle name="40 % - Akzent5 7 6" xfId="7805" xr:uid="{00000000-0005-0000-0000-0000F91C0000}"/>
    <cellStyle name="40 % - Akzent5 7 6 2" xfId="7806" xr:uid="{00000000-0005-0000-0000-0000FA1C0000}"/>
    <cellStyle name="40 % - Akzent5 7 6 3" xfId="7807" xr:uid="{00000000-0005-0000-0000-0000FB1C0000}"/>
    <cellStyle name="40 % - Akzent5 7 7" xfId="7808" xr:uid="{00000000-0005-0000-0000-0000FC1C0000}"/>
    <cellStyle name="40 % - Akzent5 7 7 2" xfId="7809" xr:uid="{00000000-0005-0000-0000-0000FD1C0000}"/>
    <cellStyle name="40 % - Akzent5 7 7 3" xfId="7810" xr:uid="{00000000-0005-0000-0000-0000FE1C0000}"/>
    <cellStyle name="40 % - Akzent5 7 8" xfId="7811" xr:uid="{00000000-0005-0000-0000-0000FF1C0000}"/>
    <cellStyle name="40 % - Akzent5 7 8 2" xfId="7812" xr:uid="{00000000-0005-0000-0000-0000001D0000}"/>
    <cellStyle name="40 % - Akzent5 7 9" xfId="7813" xr:uid="{00000000-0005-0000-0000-0000011D0000}"/>
    <cellStyle name="40 % - Akzent5 8" xfId="7814" xr:uid="{00000000-0005-0000-0000-0000021D0000}"/>
    <cellStyle name="40 % - Akzent5 8 2" xfId="7815" xr:uid="{00000000-0005-0000-0000-0000031D0000}"/>
    <cellStyle name="40 % - Akzent5 8 2 2" xfId="7816" xr:uid="{00000000-0005-0000-0000-0000041D0000}"/>
    <cellStyle name="40 % - Akzent5 8 2 2 2" xfId="7817" xr:uid="{00000000-0005-0000-0000-0000051D0000}"/>
    <cellStyle name="40 % - Akzent5 8 2 2 2 2" xfId="7818" xr:uid="{00000000-0005-0000-0000-0000061D0000}"/>
    <cellStyle name="40 % - Akzent5 8 2 2 2 3" xfId="7819" xr:uid="{00000000-0005-0000-0000-0000071D0000}"/>
    <cellStyle name="40 % - Akzent5 8 2 2 3" xfId="7820" xr:uid="{00000000-0005-0000-0000-0000081D0000}"/>
    <cellStyle name="40 % - Akzent5 8 2 2 3 2" xfId="7821" xr:uid="{00000000-0005-0000-0000-0000091D0000}"/>
    <cellStyle name="40 % - Akzent5 8 2 2 3 3" xfId="7822" xr:uid="{00000000-0005-0000-0000-00000A1D0000}"/>
    <cellStyle name="40 % - Akzent5 8 2 2 4" xfId="7823" xr:uid="{00000000-0005-0000-0000-00000B1D0000}"/>
    <cellStyle name="40 % - Akzent5 8 2 2 4 2" xfId="7824" xr:uid="{00000000-0005-0000-0000-00000C1D0000}"/>
    <cellStyle name="40 % - Akzent5 8 2 2 5" xfId="7825" xr:uid="{00000000-0005-0000-0000-00000D1D0000}"/>
    <cellStyle name="40 % - Akzent5 8 2 2 6" xfId="7826" xr:uid="{00000000-0005-0000-0000-00000E1D0000}"/>
    <cellStyle name="40 % - Akzent5 8 2 3" xfId="7827" xr:uid="{00000000-0005-0000-0000-00000F1D0000}"/>
    <cellStyle name="40 % - Akzent5 8 2 3 2" xfId="7828" xr:uid="{00000000-0005-0000-0000-0000101D0000}"/>
    <cellStyle name="40 % - Akzent5 8 2 3 3" xfId="7829" xr:uid="{00000000-0005-0000-0000-0000111D0000}"/>
    <cellStyle name="40 % - Akzent5 8 2 4" xfId="7830" xr:uid="{00000000-0005-0000-0000-0000121D0000}"/>
    <cellStyle name="40 % - Akzent5 8 2 4 2" xfId="7831" xr:uid="{00000000-0005-0000-0000-0000131D0000}"/>
    <cellStyle name="40 % - Akzent5 8 2 4 3" xfId="7832" xr:uid="{00000000-0005-0000-0000-0000141D0000}"/>
    <cellStyle name="40 % - Akzent5 8 2 5" xfId="7833" xr:uid="{00000000-0005-0000-0000-0000151D0000}"/>
    <cellStyle name="40 % - Akzent5 8 2 5 2" xfId="7834" xr:uid="{00000000-0005-0000-0000-0000161D0000}"/>
    <cellStyle name="40 % - Akzent5 8 2 6" xfId="7835" xr:uid="{00000000-0005-0000-0000-0000171D0000}"/>
    <cellStyle name="40 % - Akzent5 8 2 7" xfId="7836" xr:uid="{00000000-0005-0000-0000-0000181D0000}"/>
    <cellStyle name="40 % - Akzent5 8 3" xfId="7837" xr:uid="{00000000-0005-0000-0000-0000191D0000}"/>
    <cellStyle name="40 % - Akzent5 8 3 2" xfId="7838" xr:uid="{00000000-0005-0000-0000-00001A1D0000}"/>
    <cellStyle name="40 % - Akzent5 8 3 2 2" xfId="7839" xr:uid="{00000000-0005-0000-0000-00001B1D0000}"/>
    <cellStyle name="40 % - Akzent5 8 3 2 3" xfId="7840" xr:uid="{00000000-0005-0000-0000-00001C1D0000}"/>
    <cellStyle name="40 % - Akzent5 8 3 3" xfId="7841" xr:uid="{00000000-0005-0000-0000-00001D1D0000}"/>
    <cellStyle name="40 % - Akzent5 8 3 3 2" xfId="7842" xr:uid="{00000000-0005-0000-0000-00001E1D0000}"/>
    <cellStyle name="40 % - Akzent5 8 3 3 3" xfId="7843" xr:uid="{00000000-0005-0000-0000-00001F1D0000}"/>
    <cellStyle name="40 % - Akzent5 8 3 4" xfId="7844" xr:uid="{00000000-0005-0000-0000-0000201D0000}"/>
    <cellStyle name="40 % - Akzent5 8 3 4 2" xfId="7845" xr:uid="{00000000-0005-0000-0000-0000211D0000}"/>
    <cellStyle name="40 % - Akzent5 8 3 5" xfId="7846" xr:uid="{00000000-0005-0000-0000-0000221D0000}"/>
    <cellStyle name="40 % - Akzent5 8 3 6" xfId="7847" xr:uid="{00000000-0005-0000-0000-0000231D0000}"/>
    <cellStyle name="40 % - Akzent5 8 4" xfId="7848" xr:uid="{00000000-0005-0000-0000-0000241D0000}"/>
    <cellStyle name="40 % - Akzent5 8 4 2" xfId="7849" xr:uid="{00000000-0005-0000-0000-0000251D0000}"/>
    <cellStyle name="40 % - Akzent5 8 4 3" xfId="7850" xr:uid="{00000000-0005-0000-0000-0000261D0000}"/>
    <cellStyle name="40 % - Akzent5 8 5" xfId="7851" xr:uid="{00000000-0005-0000-0000-0000271D0000}"/>
    <cellStyle name="40 % - Akzent5 8 5 2" xfId="7852" xr:uid="{00000000-0005-0000-0000-0000281D0000}"/>
    <cellStyle name="40 % - Akzent5 8 5 3" xfId="7853" xr:uid="{00000000-0005-0000-0000-0000291D0000}"/>
    <cellStyle name="40 % - Akzent5 8 6" xfId="7854" xr:uid="{00000000-0005-0000-0000-00002A1D0000}"/>
    <cellStyle name="40 % - Akzent5 8 6 2" xfId="7855" xr:uid="{00000000-0005-0000-0000-00002B1D0000}"/>
    <cellStyle name="40 % - Akzent5 8 7" xfId="7856" xr:uid="{00000000-0005-0000-0000-00002C1D0000}"/>
    <cellStyle name="40 % - Akzent5 8 8" xfId="7857" xr:uid="{00000000-0005-0000-0000-00002D1D0000}"/>
    <cellStyle name="40 % - Akzent6 2" xfId="197" xr:uid="{00000000-0005-0000-0000-00002E1D0000}"/>
    <cellStyle name="40 % - Akzent6 2 2" xfId="198" xr:uid="{00000000-0005-0000-0000-00002F1D0000}"/>
    <cellStyle name="40 % - Akzent6 2 2 2" xfId="199" xr:uid="{00000000-0005-0000-0000-0000301D0000}"/>
    <cellStyle name="40 % - Akzent6 2 2 3" xfId="33103" xr:uid="{00000000-0005-0000-0000-0000311D0000}"/>
    <cellStyle name="40 % - Akzent6 2 2 4" xfId="33178" xr:uid="{00000000-0005-0000-0000-0000321D0000}"/>
    <cellStyle name="40 % - Akzent6 2 2 5" xfId="33253" xr:uid="{00000000-0005-0000-0000-0000331D0000}"/>
    <cellStyle name="40 % - Akzent6 2 2 6" xfId="33328" xr:uid="{00000000-0005-0000-0000-0000341D0000}"/>
    <cellStyle name="40 % - Akzent6 2 3" xfId="200" xr:uid="{00000000-0005-0000-0000-0000351D0000}"/>
    <cellStyle name="40 % - Akzent6 2 3 2" xfId="33104" xr:uid="{00000000-0005-0000-0000-0000361D0000}"/>
    <cellStyle name="40 % - Akzent6 2 3 3" xfId="33179" xr:uid="{00000000-0005-0000-0000-0000371D0000}"/>
    <cellStyle name="40 % - Akzent6 2 3 4" xfId="33254" xr:uid="{00000000-0005-0000-0000-0000381D0000}"/>
    <cellStyle name="40 % - Akzent6 2 3 5" xfId="33329" xr:uid="{00000000-0005-0000-0000-0000391D0000}"/>
    <cellStyle name="40 % - Akzent6 2 4" xfId="201" xr:uid="{00000000-0005-0000-0000-00003A1D0000}"/>
    <cellStyle name="40 % - Akzent6 2 4 2" xfId="33105" xr:uid="{00000000-0005-0000-0000-00003B1D0000}"/>
    <cellStyle name="40 % - Akzent6 2 4 3" xfId="33180" xr:uid="{00000000-0005-0000-0000-00003C1D0000}"/>
    <cellStyle name="40 % - Akzent6 2 4 4" xfId="33255" xr:uid="{00000000-0005-0000-0000-00003D1D0000}"/>
    <cellStyle name="40 % - Akzent6 2 4 5" xfId="33330" xr:uid="{00000000-0005-0000-0000-00003E1D0000}"/>
    <cellStyle name="40 % - Akzent6 2 5" xfId="202" xr:uid="{00000000-0005-0000-0000-00003F1D0000}"/>
    <cellStyle name="40 % - Akzent6 2 6" xfId="33102" xr:uid="{00000000-0005-0000-0000-0000401D0000}"/>
    <cellStyle name="40 % - Akzent6 2 7" xfId="33177" xr:uid="{00000000-0005-0000-0000-0000411D0000}"/>
    <cellStyle name="40 % - Akzent6 2 8" xfId="33252" xr:uid="{00000000-0005-0000-0000-0000421D0000}"/>
    <cellStyle name="40 % - Akzent6 2 9" xfId="33327" xr:uid="{00000000-0005-0000-0000-0000431D0000}"/>
    <cellStyle name="40 % - Akzent6 3" xfId="203" xr:uid="{00000000-0005-0000-0000-0000441D0000}"/>
    <cellStyle name="40 % - Akzent6 3 2" xfId="204" xr:uid="{00000000-0005-0000-0000-0000451D0000}"/>
    <cellStyle name="40 % - Akzent6 3 2 10" xfId="7858" xr:uid="{00000000-0005-0000-0000-0000461D0000}"/>
    <cellStyle name="40 % - Akzent6 3 2 11" xfId="7859" xr:uid="{00000000-0005-0000-0000-0000471D0000}"/>
    <cellStyle name="40 % - Akzent6 3 2 12" xfId="33106" xr:uid="{00000000-0005-0000-0000-0000481D0000}"/>
    <cellStyle name="40 % - Akzent6 3 2 13" xfId="33181" xr:uid="{00000000-0005-0000-0000-0000491D0000}"/>
    <cellStyle name="40 % - Akzent6 3 2 14" xfId="33256" xr:uid="{00000000-0005-0000-0000-00004A1D0000}"/>
    <cellStyle name="40 % - Akzent6 3 2 15" xfId="33331" xr:uid="{00000000-0005-0000-0000-00004B1D0000}"/>
    <cellStyle name="40 % - Akzent6 3 2 2" xfId="7860" xr:uid="{00000000-0005-0000-0000-00004C1D0000}"/>
    <cellStyle name="40 % - Akzent6 3 2 2 10" xfId="7861" xr:uid="{00000000-0005-0000-0000-00004D1D0000}"/>
    <cellStyle name="40 % - Akzent6 3 2 2 2" xfId="7862" xr:uid="{00000000-0005-0000-0000-00004E1D0000}"/>
    <cellStyle name="40 % - Akzent6 3 2 2 2 2" xfId="7863" xr:uid="{00000000-0005-0000-0000-00004F1D0000}"/>
    <cellStyle name="40 % - Akzent6 3 2 2 2 2 2" xfId="7864" xr:uid="{00000000-0005-0000-0000-0000501D0000}"/>
    <cellStyle name="40 % - Akzent6 3 2 2 2 2 2 2" xfId="7865" xr:uid="{00000000-0005-0000-0000-0000511D0000}"/>
    <cellStyle name="40 % - Akzent6 3 2 2 2 2 2 2 2" xfId="7866" xr:uid="{00000000-0005-0000-0000-0000521D0000}"/>
    <cellStyle name="40 % - Akzent6 3 2 2 2 2 2 2 3" xfId="7867" xr:uid="{00000000-0005-0000-0000-0000531D0000}"/>
    <cellStyle name="40 % - Akzent6 3 2 2 2 2 2 3" xfId="7868" xr:uid="{00000000-0005-0000-0000-0000541D0000}"/>
    <cellStyle name="40 % - Akzent6 3 2 2 2 2 2 3 2" xfId="7869" xr:uid="{00000000-0005-0000-0000-0000551D0000}"/>
    <cellStyle name="40 % - Akzent6 3 2 2 2 2 2 3 3" xfId="7870" xr:uid="{00000000-0005-0000-0000-0000561D0000}"/>
    <cellStyle name="40 % - Akzent6 3 2 2 2 2 2 4" xfId="7871" xr:uid="{00000000-0005-0000-0000-0000571D0000}"/>
    <cellStyle name="40 % - Akzent6 3 2 2 2 2 2 4 2" xfId="7872" xr:uid="{00000000-0005-0000-0000-0000581D0000}"/>
    <cellStyle name="40 % - Akzent6 3 2 2 2 2 2 5" xfId="7873" xr:uid="{00000000-0005-0000-0000-0000591D0000}"/>
    <cellStyle name="40 % - Akzent6 3 2 2 2 2 2 6" xfId="7874" xr:uid="{00000000-0005-0000-0000-00005A1D0000}"/>
    <cellStyle name="40 % - Akzent6 3 2 2 2 2 3" xfId="7875" xr:uid="{00000000-0005-0000-0000-00005B1D0000}"/>
    <cellStyle name="40 % - Akzent6 3 2 2 2 2 3 2" xfId="7876" xr:uid="{00000000-0005-0000-0000-00005C1D0000}"/>
    <cellStyle name="40 % - Akzent6 3 2 2 2 2 3 3" xfId="7877" xr:uid="{00000000-0005-0000-0000-00005D1D0000}"/>
    <cellStyle name="40 % - Akzent6 3 2 2 2 2 4" xfId="7878" xr:uid="{00000000-0005-0000-0000-00005E1D0000}"/>
    <cellStyle name="40 % - Akzent6 3 2 2 2 2 4 2" xfId="7879" xr:uid="{00000000-0005-0000-0000-00005F1D0000}"/>
    <cellStyle name="40 % - Akzent6 3 2 2 2 2 4 3" xfId="7880" xr:uid="{00000000-0005-0000-0000-0000601D0000}"/>
    <cellStyle name="40 % - Akzent6 3 2 2 2 2 5" xfId="7881" xr:uid="{00000000-0005-0000-0000-0000611D0000}"/>
    <cellStyle name="40 % - Akzent6 3 2 2 2 2 5 2" xfId="7882" xr:uid="{00000000-0005-0000-0000-0000621D0000}"/>
    <cellStyle name="40 % - Akzent6 3 2 2 2 2 6" xfId="7883" xr:uid="{00000000-0005-0000-0000-0000631D0000}"/>
    <cellStyle name="40 % - Akzent6 3 2 2 2 2 7" xfId="7884" xr:uid="{00000000-0005-0000-0000-0000641D0000}"/>
    <cellStyle name="40 % - Akzent6 3 2 2 2 3" xfId="7885" xr:uid="{00000000-0005-0000-0000-0000651D0000}"/>
    <cellStyle name="40 % - Akzent6 3 2 2 2 3 2" xfId="7886" xr:uid="{00000000-0005-0000-0000-0000661D0000}"/>
    <cellStyle name="40 % - Akzent6 3 2 2 2 3 2 2" xfId="7887" xr:uid="{00000000-0005-0000-0000-0000671D0000}"/>
    <cellStyle name="40 % - Akzent6 3 2 2 2 3 2 3" xfId="7888" xr:uid="{00000000-0005-0000-0000-0000681D0000}"/>
    <cellStyle name="40 % - Akzent6 3 2 2 2 3 3" xfId="7889" xr:uid="{00000000-0005-0000-0000-0000691D0000}"/>
    <cellStyle name="40 % - Akzent6 3 2 2 2 3 3 2" xfId="7890" xr:uid="{00000000-0005-0000-0000-00006A1D0000}"/>
    <cellStyle name="40 % - Akzent6 3 2 2 2 3 3 3" xfId="7891" xr:uid="{00000000-0005-0000-0000-00006B1D0000}"/>
    <cellStyle name="40 % - Akzent6 3 2 2 2 3 4" xfId="7892" xr:uid="{00000000-0005-0000-0000-00006C1D0000}"/>
    <cellStyle name="40 % - Akzent6 3 2 2 2 3 4 2" xfId="7893" xr:uid="{00000000-0005-0000-0000-00006D1D0000}"/>
    <cellStyle name="40 % - Akzent6 3 2 2 2 3 5" xfId="7894" xr:uid="{00000000-0005-0000-0000-00006E1D0000}"/>
    <cellStyle name="40 % - Akzent6 3 2 2 2 3 6" xfId="7895" xr:uid="{00000000-0005-0000-0000-00006F1D0000}"/>
    <cellStyle name="40 % - Akzent6 3 2 2 2 4" xfId="7896" xr:uid="{00000000-0005-0000-0000-0000701D0000}"/>
    <cellStyle name="40 % - Akzent6 3 2 2 2 4 2" xfId="7897" xr:uid="{00000000-0005-0000-0000-0000711D0000}"/>
    <cellStyle name="40 % - Akzent6 3 2 2 2 4 3" xfId="7898" xr:uid="{00000000-0005-0000-0000-0000721D0000}"/>
    <cellStyle name="40 % - Akzent6 3 2 2 2 5" xfId="7899" xr:uid="{00000000-0005-0000-0000-0000731D0000}"/>
    <cellStyle name="40 % - Akzent6 3 2 2 2 5 2" xfId="7900" xr:uid="{00000000-0005-0000-0000-0000741D0000}"/>
    <cellStyle name="40 % - Akzent6 3 2 2 2 5 3" xfId="7901" xr:uid="{00000000-0005-0000-0000-0000751D0000}"/>
    <cellStyle name="40 % - Akzent6 3 2 2 2 6" xfId="7902" xr:uid="{00000000-0005-0000-0000-0000761D0000}"/>
    <cellStyle name="40 % - Akzent6 3 2 2 2 6 2" xfId="7903" xr:uid="{00000000-0005-0000-0000-0000771D0000}"/>
    <cellStyle name="40 % - Akzent6 3 2 2 2 7" xfId="7904" xr:uid="{00000000-0005-0000-0000-0000781D0000}"/>
    <cellStyle name="40 % - Akzent6 3 2 2 2 8" xfId="7905" xr:uid="{00000000-0005-0000-0000-0000791D0000}"/>
    <cellStyle name="40 % - Akzent6 3 2 2 3" xfId="7906" xr:uid="{00000000-0005-0000-0000-00007A1D0000}"/>
    <cellStyle name="40 % - Akzent6 3 2 2 3 2" xfId="7907" xr:uid="{00000000-0005-0000-0000-00007B1D0000}"/>
    <cellStyle name="40 % - Akzent6 3 2 2 3 2 2" xfId="7908" xr:uid="{00000000-0005-0000-0000-00007C1D0000}"/>
    <cellStyle name="40 % - Akzent6 3 2 2 3 2 2 2" xfId="7909" xr:uid="{00000000-0005-0000-0000-00007D1D0000}"/>
    <cellStyle name="40 % - Akzent6 3 2 2 3 2 2 2 2" xfId="7910" xr:uid="{00000000-0005-0000-0000-00007E1D0000}"/>
    <cellStyle name="40 % - Akzent6 3 2 2 3 2 2 2 3" xfId="7911" xr:uid="{00000000-0005-0000-0000-00007F1D0000}"/>
    <cellStyle name="40 % - Akzent6 3 2 2 3 2 2 3" xfId="7912" xr:uid="{00000000-0005-0000-0000-0000801D0000}"/>
    <cellStyle name="40 % - Akzent6 3 2 2 3 2 2 3 2" xfId="7913" xr:uid="{00000000-0005-0000-0000-0000811D0000}"/>
    <cellStyle name="40 % - Akzent6 3 2 2 3 2 2 3 3" xfId="7914" xr:uid="{00000000-0005-0000-0000-0000821D0000}"/>
    <cellStyle name="40 % - Akzent6 3 2 2 3 2 2 4" xfId="7915" xr:uid="{00000000-0005-0000-0000-0000831D0000}"/>
    <cellStyle name="40 % - Akzent6 3 2 2 3 2 2 4 2" xfId="7916" xr:uid="{00000000-0005-0000-0000-0000841D0000}"/>
    <cellStyle name="40 % - Akzent6 3 2 2 3 2 2 5" xfId="7917" xr:uid="{00000000-0005-0000-0000-0000851D0000}"/>
    <cellStyle name="40 % - Akzent6 3 2 2 3 2 2 6" xfId="7918" xr:uid="{00000000-0005-0000-0000-0000861D0000}"/>
    <cellStyle name="40 % - Akzent6 3 2 2 3 2 3" xfId="7919" xr:uid="{00000000-0005-0000-0000-0000871D0000}"/>
    <cellStyle name="40 % - Akzent6 3 2 2 3 2 3 2" xfId="7920" xr:uid="{00000000-0005-0000-0000-0000881D0000}"/>
    <cellStyle name="40 % - Akzent6 3 2 2 3 2 3 3" xfId="7921" xr:uid="{00000000-0005-0000-0000-0000891D0000}"/>
    <cellStyle name="40 % - Akzent6 3 2 2 3 2 4" xfId="7922" xr:uid="{00000000-0005-0000-0000-00008A1D0000}"/>
    <cellStyle name="40 % - Akzent6 3 2 2 3 2 4 2" xfId="7923" xr:uid="{00000000-0005-0000-0000-00008B1D0000}"/>
    <cellStyle name="40 % - Akzent6 3 2 2 3 2 4 3" xfId="7924" xr:uid="{00000000-0005-0000-0000-00008C1D0000}"/>
    <cellStyle name="40 % - Akzent6 3 2 2 3 2 5" xfId="7925" xr:uid="{00000000-0005-0000-0000-00008D1D0000}"/>
    <cellStyle name="40 % - Akzent6 3 2 2 3 2 5 2" xfId="7926" xr:uid="{00000000-0005-0000-0000-00008E1D0000}"/>
    <cellStyle name="40 % - Akzent6 3 2 2 3 2 6" xfId="7927" xr:uid="{00000000-0005-0000-0000-00008F1D0000}"/>
    <cellStyle name="40 % - Akzent6 3 2 2 3 2 7" xfId="7928" xr:uid="{00000000-0005-0000-0000-0000901D0000}"/>
    <cellStyle name="40 % - Akzent6 3 2 2 3 3" xfId="7929" xr:uid="{00000000-0005-0000-0000-0000911D0000}"/>
    <cellStyle name="40 % - Akzent6 3 2 2 3 3 2" xfId="7930" xr:uid="{00000000-0005-0000-0000-0000921D0000}"/>
    <cellStyle name="40 % - Akzent6 3 2 2 3 3 2 2" xfId="7931" xr:uid="{00000000-0005-0000-0000-0000931D0000}"/>
    <cellStyle name="40 % - Akzent6 3 2 2 3 3 2 3" xfId="7932" xr:uid="{00000000-0005-0000-0000-0000941D0000}"/>
    <cellStyle name="40 % - Akzent6 3 2 2 3 3 3" xfId="7933" xr:uid="{00000000-0005-0000-0000-0000951D0000}"/>
    <cellStyle name="40 % - Akzent6 3 2 2 3 3 3 2" xfId="7934" xr:uid="{00000000-0005-0000-0000-0000961D0000}"/>
    <cellStyle name="40 % - Akzent6 3 2 2 3 3 3 3" xfId="7935" xr:uid="{00000000-0005-0000-0000-0000971D0000}"/>
    <cellStyle name="40 % - Akzent6 3 2 2 3 3 4" xfId="7936" xr:uid="{00000000-0005-0000-0000-0000981D0000}"/>
    <cellStyle name="40 % - Akzent6 3 2 2 3 3 4 2" xfId="7937" xr:uid="{00000000-0005-0000-0000-0000991D0000}"/>
    <cellStyle name="40 % - Akzent6 3 2 2 3 3 5" xfId="7938" xr:uid="{00000000-0005-0000-0000-00009A1D0000}"/>
    <cellStyle name="40 % - Akzent6 3 2 2 3 3 6" xfId="7939" xr:uid="{00000000-0005-0000-0000-00009B1D0000}"/>
    <cellStyle name="40 % - Akzent6 3 2 2 3 4" xfId="7940" xr:uid="{00000000-0005-0000-0000-00009C1D0000}"/>
    <cellStyle name="40 % - Akzent6 3 2 2 3 4 2" xfId="7941" xr:uid="{00000000-0005-0000-0000-00009D1D0000}"/>
    <cellStyle name="40 % - Akzent6 3 2 2 3 4 3" xfId="7942" xr:uid="{00000000-0005-0000-0000-00009E1D0000}"/>
    <cellStyle name="40 % - Akzent6 3 2 2 3 5" xfId="7943" xr:uid="{00000000-0005-0000-0000-00009F1D0000}"/>
    <cellStyle name="40 % - Akzent6 3 2 2 3 5 2" xfId="7944" xr:uid="{00000000-0005-0000-0000-0000A01D0000}"/>
    <cellStyle name="40 % - Akzent6 3 2 2 3 5 3" xfId="7945" xr:uid="{00000000-0005-0000-0000-0000A11D0000}"/>
    <cellStyle name="40 % - Akzent6 3 2 2 3 6" xfId="7946" xr:uid="{00000000-0005-0000-0000-0000A21D0000}"/>
    <cellStyle name="40 % - Akzent6 3 2 2 3 6 2" xfId="7947" xr:uid="{00000000-0005-0000-0000-0000A31D0000}"/>
    <cellStyle name="40 % - Akzent6 3 2 2 3 7" xfId="7948" xr:uid="{00000000-0005-0000-0000-0000A41D0000}"/>
    <cellStyle name="40 % - Akzent6 3 2 2 3 8" xfId="7949" xr:uid="{00000000-0005-0000-0000-0000A51D0000}"/>
    <cellStyle name="40 % - Akzent6 3 2 2 4" xfId="7950" xr:uid="{00000000-0005-0000-0000-0000A61D0000}"/>
    <cellStyle name="40 % - Akzent6 3 2 2 4 2" xfId="7951" xr:uid="{00000000-0005-0000-0000-0000A71D0000}"/>
    <cellStyle name="40 % - Akzent6 3 2 2 4 2 2" xfId="7952" xr:uid="{00000000-0005-0000-0000-0000A81D0000}"/>
    <cellStyle name="40 % - Akzent6 3 2 2 4 2 2 2" xfId="7953" xr:uid="{00000000-0005-0000-0000-0000A91D0000}"/>
    <cellStyle name="40 % - Akzent6 3 2 2 4 2 2 3" xfId="7954" xr:uid="{00000000-0005-0000-0000-0000AA1D0000}"/>
    <cellStyle name="40 % - Akzent6 3 2 2 4 2 3" xfId="7955" xr:uid="{00000000-0005-0000-0000-0000AB1D0000}"/>
    <cellStyle name="40 % - Akzent6 3 2 2 4 2 3 2" xfId="7956" xr:uid="{00000000-0005-0000-0000-0000AC1D0000}"/>
    <cellStyle name="40 % - Akzent6 3 2 2 4 2 3 3" xfId="7957" xr:uid="{00000000-0005-0000-0000-0000AD1D0000}"/>
    <cellStyle name="40 % - Akzent6 3 2 2 4 2 4" xfId="7958" xr:uid="{00000000-0005-0000-0000-0000AE1D0000}"/>
    <cellStyle name="40 % - Akzent6 3 2 2 4 2 4 2" xfId="7959" xr:uid="{00000000-0005-0000-0000-0000AF1D0000}"/>
    <cellStyle name="40 % - Akzent6 3 2 2 4 2 5" xfId="7960" xr:uid="{00000000-0005-0000-0000-0000B01D0000}"/>
    <cellStyle name="40 % - Akzent6 3 2 2 4 2 6" xfId="7961" xr:uid="{00000000-0005-0000-0000-0000B11D0000}"/>
    <cellStyle name="40 % - Akzent6 3 2 2 4 3" xfId="7962" xr:uid="{00000000-0005-0000-0000-0000B21D0000}"/>
    <cellStyle name="40 % - Akzent6 3 2 2 4 3 2" xfId="7963" xr:uid="{00000000-0005-0000-0000-0000B31D0000}"/>
    <cellStyle name="40 % - Akzent6 3 2 2 4 3 3" xfId="7964" xr:uid="{00000000-0005-0000-0000-0000B41D0000}"/>
    <cellStyle name="40 % - Akzent6 3 2 2 4 4" xfId="7965" xr:uid="{00000000-0005-0000-0000-0000B51D0000}"/>
    <cellStyle name="40 % - Akzent6 3 2 2 4 4 2" xfId="7966" xr:uid="{00000000-0005-0000-0000-0000B61D0000}"/>
    <cellStyle name="40 % - Akzent6 3 2 2 4 4 3" xfId="7967" xr:uid="{00000000-0005-0000-0000-0000B71D0000}"/>
    <cellStyle name="40 % - Akzent6 3 2 2 4 5" xfId="7968" xr:uid="{00000000-0005-0000-0000-0000B81D0000}"/>
    <cellStyle name="40 % - Akzent6 3 2 2 4 5 2" xfId="7969" xr:uid="{00000000-0005-0000-0000-0000B91D0000}"/>
    <cellStyle name="40 % - Akzent6 3 2 2 4 6" xfId="7970" xr:uid="{00000000-0005-0000-0000-0000BA1D0000}"/>
    <cellStyle name="40 % - Akzent6 3 2 2 4 7" xfId="7971" xr:uid="{00000000-0005-0000-0000-0000BB1D0000}"/>
    <cellStyle name="40 % - Akzent6 3 2 2 5" xfId="7972" xr:uid="{00000000-0005-0000-0000-0000BC1D0000}"/>
    <cellStyle name="40 % - Akzent6 3 2 2 5 2" xfId="7973" xr:uid="{00000000-0005-0000-0000-0000BD1D0000}"/>
    <cellStyle name="40 % - Akzent6 3 2 2 5 2 2" xfId="7974" xr:uid="{00000000-0005-0000-0000-0000BE1D0000}"/>
    <cellStyle name="40 % - Akzent6 3 2 2 5 2 3" xfId="7975" xr:uid="{00000000-0005-0000-0000-0000BF1D0000}"/>
    <cellStyle name="40 % - Akzent6 3 2 2 5 3" xfId="7976" xr:uid="{00000000-0005-0000-0000-0000C01D0000}"/>
    <cellStyle name="40 % - Akzent6 3 2 2 5 3 2" xfId="7977" xr:uid="{00000000-0005-0000-0000-0000C11D0000}"/>
    <cellStyle name="40 % - Akzent6 3 2 2 5 3 3" xfId="7978" xr:uid="{00000000-0005-0000-0000-0000C21D0000}"/>
    <cellStyle name="40 % - Akzent6 3 2 2 5 4" xfId="7979" xr:uid="{00000000-0005-0000-0000-0000C31D0000}"/>
    <cellStyle name="40 % - Akzent6 3 2 2 5 4 2" xfId="7980" xr:uid="{00000000-0005-0000-0000-0000C41D0000}"/>
    <cellStyle name="40 % - Akzent6 3 2 2 5 5" xfId="7981" xr:uid="{00000000-0005-0000-0000-0000C51D0000}"/>
    <cellStyle name="40 % - Akzent6 3 2 2 5 6" xfId="7982" xr:uid="{00000000-0005-0000-0000-0000C61D0000}"/>
    <cellStyle name="40 % - Akzent6 3 2 2 6" xfId="7983" xr:uid="{00000000-0005-0000-0000-0000C71D0000}"/>
    <cellStyle name="40 % - Akzent6 3 2 2 6 2" xfId="7984" xr:uid="{00000000-0005-0000-0000-0000C81D0000}"/>
    <cellStyle name="40 % - Akzent6 3 2 2 6 3" xfId="7985" xr:uid="{00000000-0005-0000-0000-0000C91D0000}"/>
    <cellStyle name="40 % - Akzent6 3 2 2 7" xfId="7986" xr:uid="{00000000-0005-0000-0000-0000CA1D0000}"/>
    <cellStyle name="40 % - Akzent6 3 2 2 7 2" xfId="7987" xr:uid="{00000000-0005-0000-0000-0000CB1D0000}"/>
    <cellStyle name="40 % - Akzent6 3 2 2 7 3" xfId="7988" xr:uid="{00000000-0005-0000-0000-0000CC1D0000}"/>
    <cellStyle name="40 % - Akzent6 3 2 2 8" xfId="7989" xr:uid="{00000000-0005-0000-0000-0000CD1D0000}"/>
    <cellStyle name="40 % - Akzent6 3 2 2 8 2" xfId="7990" xr:uid="{00000000-0005-0000-0000-0000CE1D0000}"/>
    <cellStyle name="40 % - Akzent6 3 2 2 9" xfId="7991" xr:uid="{00000000-0005-0000-0000-0000CF1D0000}"/>
    <cellStyle name="40 % - Akzent6 3 2 3" xfId="7992" xr:uid="{00000000-0005-0000-0000-0000D01D0000}"/>
    <cellStyle name="40 % - Akzent6 3 2 3 2" xfId="7993" xr:uid="{00000000-0005-0000-0000-0000D11D0000}"/>
    <cellStyle name="40 % - Akzent6 3 2 3 2 2" xfId="7994" xr:uid="{00000000-0005-0000-0000-0000D21D0000}"/>
    <cellStyle name="40 % - Akzent6 3 2 3 2 2 2" xfId="7995" xr:uid="{00000000-0005-0000-0000-0000D31D0000}"/>
    <cellStyle name="40 % - Akzent6 3 2 3 2 2 2 2" xfId="7996" xr:uid="{00000000-0005-0000-0000-0000D41D0000}"/>
    <cellStyle name="40 % - Akzent6 3 2 3 2 2 2 3" xfId="7997" xr:uid="{00000000-0005-0000-0000-0000D51D0000}"/>
    <cellStyle name="40 % - Akzent6 3 2 3 2 2 3" xfId="7998" xr:uid="{00000000-0005-0000-0000-0000D61D0000}"/>
    <cellStyle name="40 % - Akzent6 3 2 3 2 2 3 2" xfId="7999" xr:uid="{00000000-0005-0000-0000-0000D71D0000}"/>
    <cellStyle name="40 % - Akzent6 3 2 3 2 2 3 3" xfId="8000" xr:uid="{00000000-0005-0000-0000-0000D81D0000}"/>
    <cellStyle name="40 % - Akzent6 3 2 3 2 2 4" xfId="8001" xr:uid="{00000000-0005-0000-0000-0000D91D0000}"/>
    <cellStyle name="40 % - Akzent6 3 2 3 2 2 4 2" xfId="8002" xr:uid="{00000000-0005-0000-0000-0000DA1D0000}"/>
    <cellStyle name="40 % - Akzent6 3 2 3 2 2 5" xfId="8003" xr:uid="{00000000-0005-0000-0000-0000DB1D0000}"/>
    <cellStyle name="40 % - Akzent6 3 2 3 2 2 6" xfId="8004" xr:uid="{00000000-0005-0000-0000-0000DC1D0000}"/>
    <cellStyle name="40 % - Akzent6 3 2 3 2 3" xfId="8005" xr:uid="{00000000-0005-0000-0000-0000DD1D0000}"/>
    <cellStyle name="40 % - Akzent6 3 2 3 2 3 2" xfId="8006" xr:uid="{00000000-0005-0000-0000-0000DE1D0000}"/>
    <cellStyle name="40 % - Akzent6 3 2 3 2 3 3" xfId="8007" xr:uid="{00000000-0005-0000-0000-0000DF1D0000}"/>
    <cellStyle name="40 % - Akzent6 3 2 3 2 4" xfId="8008" xr:uid="{00000000-0005-0000-0000-0000E01D0000}"/>
    <cellStyle name="40 % - Akzent6 3 2 3 2 4 2" xfId="8009" xr:uid="{00000000-0005-0000-0000-0000E11D0000}"/>
    <cellStyle name="40 % - Akzent6 3 2 3 2 4 3" xfId="8010" xr:uid="{00000000-0005-0000-0000-0000E21D0000}"/>
    <cellStyle name="40 % - Akzent6 3 2 3 2 5" xfId="8011" xr:uid="{00000000-0005-0000-0000-0000E31D0000}"/>
    <cellStyle name="40 % - Akzent6 3 2 3 2 5 2" xfId="8012" xr:uid="{00000000-0005-0000-0000-0000E41D0000}"/>
    <cellStyle name="40 % - Akzent6 3 2 3 2 6" xfId="8013" xr:uid="{00000000-0005-0000-0000-0000E51D0000}"/>
    <cellStyle name="40 % - Akzent6 3 2 3 2 7" xfId="8014" xr:uid="{00000000-0005-0000-0000-0000E61D0000}"/>
    <cellStyle name="40 % - Akzent6 3 2 3 3" xfId="8015" xr:uid="{00000000-0005-0000-0000-0000E71D0000}"/>
    <cellStyle name="40 % - Akzent6 3 2 3 3 2" xfId="8016" xr:uid="{00000000-0005-0000-0000-0000E81D0000}"/>
    <cellStyle name="40 % - Akzent6 3 2 3 3 2 2" xfId="8017" xr:uid="{00000000-0005-0000-0000-0000E91D0000}"/>
    <cellStyle name="40 % - Akzent6 3 2 3 3 2 3" xfId="8018" xr:uid="{00000000-0005-0000-0000-0000EA1D0000}"/>
    <cellStyle name="40 % - Akzent6 3 2 3 3 3" xfId="8019" xr:uid="{00000000-0005-0000-0000-0000EB1D0000}"/>
    <cellStyle name="40 % - Akzent6 3 2 3 3 3 2" xfId="8020" xr:uid="{00000000-0005-0000-0000-0000EC1D0000}"/>
    <cellStyle name="40 % - Akzent6 3 2 3 3 3 3" xfId="8021" xr:uid="{00000000-0005-0000-0000-0000ED1D0000}"/>
    <cellStyle name="40 % - Akzent6 3 2 3 3 4" xfId="8022" xr:uid="{00000000-0005-0000-0000-0000EE1D0000}"/>
    <cellStyle name="40 % - Akzent6 3 2 3 3 4 2" xfId="8023" xr:uid="{00000000-0005-0000-0000-0000EF1D0000}"/>
    <cellStyle name="40 % - Akzent6 3 2 3 3 5" xfId="8024" xr:uid="{00000000-0005-0000-0000-0000F01D0000}"/>
    <cellStyle name="40 % - Akzent6 3 2 3 3 6" xfId="8025" xr:uid="{00000000-0005-0000-0000-0000F11D0000}"/>
    <cellStyle name="40 % - Akzent6 3 2 3 4" xfId="8026" xr:uid="{00000000-0005-0000-0000-0000F21D0000}"/>
    <cellStyle name="40 % - Akzent6 3 2 3 4 2" xfId="8027" xr:uid="{00000000-0005-0000-0000-0000F31D0000}"/>
    <cellStyle name="40 % - Akzent6 3 2 3 4 3" xfId="8028" xr:uid="{00000000-0005-0000-0000-0000F41D0000}"/>
    <cellStyle name="40 % - Akzent6 3 2 3 5" xfId="8029" xr:uid="{00000000-0005-0000-0000-0000F51D0000}"/>
    <cellStyle name="40 % - Akzent6 3 2 3 5 2" xfId="8030" xr:uid="{00000000-0005-0000-0000-0000F61D0000}"/>
    <cellStyle name="40 % - Akzent6 3 2 3 5 3" xfId="8031" xr:uid="{00000000-0005-0000-0000-0000F71D0000}"/>
    <cellStyle name="40 % - Akzent6 3 2 3 6" xfId="8032" xr:uid="{00000000-0005-0000-0000-0000F81D0000}"/>
    <cellStyle name="40 % - Akzent6 3 2 3 6 2" xfId="8033" xr:uid="{00000000-0005-0000-0000-0000F91D0000}"/>
    <cellStyle name="40 % - Akzent6 3 2 3 7" xfId="8034" xr:uid="{00000000-0005-0000-0000-0000FA1D0000}"/>
    <cellStyle name="40 % - Akzent6 3 2 3 8" xfId="8035" xr:uid="{00000000-0005-0000-0000-0000FB1D0000}"/>
    <cellStyle name="40 % - Akzent6 3 2 4" xfId="8036" xr:uid="{00000000-0005-0000-0000-0000FC1D0000}"/>
    <cellStyle name="40 % - Akzent6 3 2 4 2" xfId="8037" xr:uid="{00000000-0005-0000-0000-0000FD1D0000}"/>
    <cellStyle name="40 % - Akzent6 3 2 4 2 2" xfId="8038" xr:uid="{00000000-0005-0000-0000-0000FE1D0000}"/>
    <cellStyle name="40 % - Akzent6 3 2 4 2 2 2" xfId="8039" xr:uid="{00000000-0005-0000-0000-0000FF1D0000}"/>
    <cellStyle name="40 % - Akzent6 3 2 4 2 2 2 2" xfId="8040" xr:uid="{00000000-0005-0000-0000-0000001E0000}"/>
    <cellStyle name="40 % - Akzent6 3 2 4 2 2 2 3" xfId="8041" xr:uid="{00000000-0005-0000-0000-0000011E0000}"/>
    <cellStyle name="40 % - Akzent6 3 2 4 2 2 3" xfId="8042" xr:uid="{00000000-0005-0000-0000-0000021E0000}"/>
    <cellStyle name="40 % - Akzent6 3 2 4 2 2 3 2" xfId="8043" xr:uid="{00000000-0005-0000-0000-0000031E0000}"/>
    <cellStyle name="40 % - Akzent6 3 2 4 2 2 3 3" xfId="8044" xr:uid="{00000000-0005-0000-0000-0000041E0000}"/>
    <cellStyle name="40 % - Akzent6 3 2 4 2 2 4" xfId="8045" xr:uid="{00000000-0005-0000-0000-0000051E0000}"/>
    <cellStyle name="40 % - Akzent6 3 2 4 2 2 4 2" xfId="8046" xr:uid="{00000000-0005-0000-0000-0000061E0000}"/>
    <cellStyle name="40 % - Akzent6 3 2 4 2 2 5" xfId="8047" xr:uid="{00000000-0005-0000-0000-0000071E0000}"/>
    <cellStyle name="40 % - Akzent6 3 2 4 2 2 6" xfId="8048" xr:uid="{00000000-0005-0000-0000-0000081E0000}"/>
    <cellStyle name="40 % - Akzent6 3 2 4 2 3" xfId="8049" xr:uid="{00000000-0005-0000-0000-0000091E0000}"/>
    <cellStyle name="40 % - Akzent6 3 2 4 2 3 2" xfId="8050" xr:uid="{00000000-0005-0000-0000-00000A1E0000}"/>
    <cellStyle name="40 % - Akzent6 3 2 4 2 3 3" xfId="8051" xr:uid="{00000000-0005-0000-0000-00000B1E0000}"/>
    <cellStyle name="40 % - Akzent6 3 2 4 2 4" xfId="8052" xr:uid="{00000000-0005-0000-0000-00000C1E0000}"/>
    <cellStyle name="40 % - Akzent6 3 2 4 2 4 2" xfId="8053" xr:uid="{00000000-0005-0000-0000-00000D1E0000}"/>
    <cellStyle name="40 % - Akzent6 3 2 4 2 4 3" xfId="8054" xr:uid="{00000000-0005-0000-0000-00000E1E0000}"/>
    <cellStyle name="40 % - Akzent6 3 2 4 2 5" xfId="8055" xr:uid="{00000000-0005-0000-0000-00000F1E0000}"/>
    <cellStyle name="40 % - Akzent6 3 2 4 2 5 2" xfId="8056" xr:uid="{00000000-0005-0000-0000-0000101E0000}"/>
    <cellStyle name="40 % - Akzent6 3 2 4 2 6" xfId="8057" xr:uid="{00000000-0005-0000-0000-0000111E0000}"/>
    <cellStyle name="40 % - Akzent6 3 2 4 2 7" xfId="8058" xr:uid="{00000000-0005-0000-0000-0000121E0000}"/>
    <cellStyle name="40 % - Akzent6 3 2 4 3" xfId="8059" xr:uid="{00000000-0005-0000-0000-0000131E0000}"/>
    <cellStyle name="40 % - Akzent6 3 2 4 3 2" xfId="8060" xr:uid="{00000000-0005-0000-0000-0000141E0000}"/>
    <cellStyle name="40 % - Akzent6 3 2 4 3 2 2" xfId="8061" xr:uid="{00000000-0005-0000-0000-0000151E0000}"/>
    <cellStyle name="40 % - Akzent6 3 2 4 3 2 3" xfId="8062" xr:uid="{00000000-0005-0000-0000-0000161E0000}"/>
    <cellStyle name="40 % - Akzent6 3 2 4 3 3" xfId="8063" xr:uid="{00000000-0005-0000-0000-0000171E0000}"/>
    <cellStyle name="40 % - Akzent6 3 2 4 3 3 2" xfId="8064" xr:uid="{00000000-0005-0000-0000-0000181E0000}"/>
    <cellStyle name="40 % - Akzent6 3 2 4 3 3 3" xfId="8065" xr:uid="{00000000-0005-0000-0000-0000191E0000}"/>
    <cellStyle name="40 % - Akzent6 3 2 4 3 4" xfId="8066" xr:uid="{00000000-0005-0000-0000-00001A1E0000}"/>
    <cellStyle name="40 % - Akzent6 3 2 4 3 4 2" xfId="8067" xr:uid="{00000000-0005-0000-0000-00001B1E0000}"/>
    <cellStyle name="40 % - Akzent6 3 2 4 3 5" xfId="8068" xr:uid="{00000000-0005-0000-0000-00001C1E0000}"/>
    <cellStyle name="40 % - Akzent6 3 2 4 3 6" xfId="8069" xr:uid="{00000000-0005-0000-0000-00001D1E0000}"/>
    <cellStyle name="40 % - Akzent6 3 2 4 4" xfId="8070" xr:uid="{00000000-0005-0000-0000-00001E1E0000}"/>
    <cellStyle name="40 % - Akzent6 3 2 4 4 2" xfId="8071" xr:uid="{00000000-0005-0000-0000-00001F1E0000}"/>
    <cellStyle name="40 % - Akzent6 3 2 4 4 3" xfId="8072" xr:uid="{00000000-0005-0000-0000-0000201E0000}"/>
    <cellStyle name="40 % - Akzent6 3 2 4 5" xfId="8073" xr:uid="{00000000-0005-0000-0000-0000211E0000}"/>
    <cellStyle name="40 % - Akzent6 3 2 4 5 2" xfId="8074" xr:uid="{00000000-0005-0000-0000-0000221E0000}"/>
    <cellStyle name="40 % - Akzent6 3 2 4 5 3" xfId="8075" xr:uid="{00000000-0005-0000-0000-0000231E0000}"/>
    <cellStyle name="40 % - Akzent6 3 2 4 6" xfId="8076" xr:uid="{00000000-0005-0000-0000-0000241E0000}"/>
    <cellStyle name="40 % - Akzent6 3 2 4 6 2" xfId="8077" xr:uid="{00000000-0005-0000-0000-0000251E0000}"/>
    <cellStyle name="40 % - Akzent6 3 2 4 7" xfId="8078" xr:uid="{00000000-0005-0000-0000-0000261E0000}"/>
    <cellStyle name="40 % - Akzent6 3 2 4 8" xfId="8079" xr:uid="{00000000-0005-0000-0000-0000271E0000}"/>
    <cellStyle name="40 % - Akzent6 3 2 5" xfId="8080" xr:uid="{00000000-0005-0000-0000-0000281E0000}"/>
    <cellStyle name="40 % - Akzent6 3 2 5 2" xfId="8081" xr:uid="{00000000-0005-0000-0000-0000291E0000}"/>
    <cellStyle name="40 % - Akzent6 3 2 5 2 2" xfId="8082" xr:uid="{00000000-0005-0000-0000-00002A1E0000}"/>
    <cellStyle name="40 % - Akzent6 3 2 5 2 2 2" xfId="8083" xr:uid="{00000000-0005-0000-0000-00002B1E0000}"/>
    <cellStyle name="40 % - Akzent6 3 2 5 2 2 3" xfId="8084" xr:uid="{00000000-0005-0000-0000-00002C1E0000}"/>
    <cellStyle name="40 % - Akzent6 3 2 5 2 3" xfId="8085" xr:uid="{00000000-0005-0000-0000-00002D1E0000}"/>
    <cellStyle name="40 % - Akzent6 3 2 5 2 3 2" xfId="8086" xr:uid="{00000000-0005-0000-0000-00002E1E0000}"/>
    <cellStyle name="40 % - Akzent6 3 2 5 2 3 3" xfId="8087" xr:uid="{00000000-0005-0000-0000-00002F1E0000}"/>
    <cellStyle name="40 % - Akzent6 3 2 5 2 4" xfId="8088" xr:uid="{00000000-0005-0000-0000-0000301E0000}"/>
    <cellStyle name="40 % - Akzent6 3 2 5 2 4 2" xfId="8089" xr:uid="{00000000-0005-0000-0000-0000311E0000}"/>
    <cellStyle name="40 % - Akzent6 3 2 5 2 5" xfId="8090" xr:uid="{00000000-0005-0000-0000-0000321E0000}"/>
    <cellStyle name="40 % - Akzent6 3 2 5 2 6" xfId="8091" xr:uid="{00000000-0005-0000-0000-0000331E0000}"/>
    <cellStyle name="40 % - Akzent6 3 2 5 3" xfId="8092" xr:uid="{00000000-0005-0000-0000-0000341E0000}"/>
    <cellStyle name="40 % - Akzent6 3 2 5 3 2" xfId="8093" xr:uid="{00000000-0005-0000-0000-0000351E0000}"/>
    <cellStyle name="40 % - Akzent6 3 2 5 3 3" xfId="8094" xr:uid="{00000000-0005-0000-0000-0000361E0000}"/>
    <cellStyle name="40 % - Akzent6 3 2 5 4" xfId="8095" xr:uid="{00000000-0005-0000-0000-0000371E0000}"/>
    <cellStyle name="40 % - Akzent6 3 2 5 4 2" xfId="8096" xr:uid="{00000000-0005-0000-0000-0000381E0000}"/>
    <cellStyle name="40 % - Akzent6 3 2 5 4 3" xfId="8097" xr:uid="{00000000-0005-0000-0000-0000391E0000}"/>
    <cellStyle name="40 % - Akzent6 3 2 5 5" xfId="8098" xr:uid="{00000000-0005-0000-0000-00003A1E0000}"/>
    <cellStyle name="40 % - Akzent6 3 2 5 5 2" xfId="8099" xr:uid="{00000000-0005-0000-0000-00003B1E0000}"/>
    <cellStyle name="40 % - Akzent6 3 2 5 6" xfId="8100" xr:uid="{00000000-0005-0000-0000-00003C1E0000}"/>
    <cellStyle name="40 % - Akzent6 3 2 5 7" xfId="8101" xr:uid="{00000000-0005-0000-0000-00003D1E0000}"/>
    <cellStyle name="40 % - Akzent6 3 2 6" xfId="8102" xr:uid="{00000000-0005-0000-0000-00003E1E0000}"/>
    <cellStyle name="40 % - Akzent6 3 2 6 2" xfId="8103" xr:uid="{00000000-0005-0000-0000-00003F1E0000}"/>
    <cellStyle name="40 % - Akzent6 3 2 6 2 2" xfId="8104" xr:uid="{00000000-0005-0000-0000-0000401E0000}"/>
    <cellStyle name="40 % - Akzent6 3 2 6 2 3" xfId="8105" xr:uid="{00000000-0005-0000-0000-0000411E0000}"/>
    <cellStyle name="40 % - Akzent6 3 2 6 3" xfId="8106" xr:uid="{00000000-0005-0000-0000-0000421E0000}"/>
    <cellStyle name="40 % - Akzent6 3 2 6 3 2" xfId="8107" xr:uid="{00000000-0005-0000-0000-0000431E0000}"/>
    <cellStyle name="40 % - Akzent6 3 2 6 3 3" xfId="8108" xr:uid="{00000000-0005-0000-0000-0000441E0000}"/>
    <cellStyle name="40 % - Akzent6 3 2 6 4" xfId="8109" xr:uid="{00000000-0005-0000-0000-0000451E0000}"/>
    <cellStyle name="40 % - Akzent6 3 2 6 4 2" xfId="8110" xr:uid="{00000000-0005-0000-0000-0000461E0000}"/>
    <cellStyle name="40 % - Akzent6 3 2 6 5" xfId="8111" xr:uid="{00000000-0005-0000-0000-0000471E0000}"/>
    <cellStyle name="40 % - Akzent6 3 2 6 6" xfId="8112" xr:uid="{00000000-0005-0000-0000-0000481E0000}"/>
    <cellStyle name="40 % - Akzent6 3 2 7" xfId="8113" xr:uid="{00000000-0005-0000-0000-0000491E0000}"/>
    <cellStyle name="40 % - Akzent6 3 2 7 2" xfId="8114" xr:uid="{00000000-0005-0000-0000-00004A1E0000}"/>
    <cellStyle name="40 % - Akzent6 3 2 7 3" xfId="8115" xr:uid="{00000000-0005-0000-0000-00004B1E0000}"/>
    <cellStyle name="40 % - Akzent6 3 2 8" xfId="8116" xr:uid="{00000000-0005-0000-0000-00004C1E0000}"/>
    <cellStyle name="40 % - Akzent6 3 2 8 2" xfId="8117" xr:uid="{00000000-0005-0000-0000-00004D1E0000}"/>
    <cellStyle name="40 % - Akzent6 3 2 8 3" xfId="8118" xr:uid="{00000000-0005-0000-0000-00004E1E0000}"/>
    <cellStyle name="40 % - Akzent6 3 2 9" xfId="8119" xr:uid="{00000000-0005-0000-0000-00004F1E0000}"/>
    <cellStyle name="40 % - Akzent6 3 2 9 2" xfId="8120" xr:uid="{00000000-0005-0000-0000-0000501E0000}"/>
    <cellStyle name="40 % - Akzent6 4" xfId="8121" xr:uid="{00000000-0005-0000-0000-0000511E0000}"/>
    <cellStyle name="40 % - Akzent6 4 2" xfId="8122" xr:uid="{00000000-0005-0000-0000-0000521E0000}"/>
    <cellStyle name="40 % - Akzent6 5" xfId="8123" xr:uid="{00000000-0005-0000-0000-0000531E0000}"/>
    <cellStyle name="40 % - Akzent6 5 2" xfId="8124" xr:uid="{00000000-0005-0000-0000-0000541E0000}"/>
    <cellStyle name="40 % - Akzent6 5 2 10" xfId="8125" xr:uid="{00000000-0005-0000-0000-0000551E0000}"/>
    <cellStyle name="40 % - Akzent6 5 2 11" xfId="8126" xr:uid="{00000000-0005-0000-0000-0000561E0000}"/>
    <cellStyle name="40 % - Akzent6 5 2 2" xfId="8127" xr:uid="{00000000-0005-0000-0000-0000571E0000}"/>
    <cellStyle name="40 % - Akzent6 5 2 2 10" xfId="8128" xr:uid="{00000000-0005-0000-0000-0000581E0000}"/>
    <cellStyle name="40 % - Akzent6 5 2 2 2" xfId="8129" xr:uid="{00000000-0005-0000-0000-0000591E0000}"/>
    <cellStyle name="40 % - Akzent6 5 2 2 2 2" xfId="8130" xr:uid="{00000000-0005-0000-0000-00005A1E0000}"/>
    <cellStyle name="40 % - Akzent6 5 2 2 2 2 2" xfId="8131" xr:uid="{00000000-0005-0000-0000-00005B1E0000}"/>
    <cellStyle name="40 % - Akzent6 5 2 2 2 2 2 2" xfId="8132" xr:uid="{00000000-0005-0000-0000-00005C1E0000}"/>
    <cellStyle name="40 % - Akzent6 5 2 2 2 2 2 2 2" xfId="8133" xr:uid="{00000000-0005-0000-0000-00005D1E0000}"/>
    <cellStyle name="40 % - Akzent6 5 2 2 2 2 2 2 3" xfId="8134" xr:uid="{00000000-0005-0000-0000-00005E1E0000}"/>
    <cellStyle name="40 % - Akzent6 5 2 2 2 2 2 3" xfId="8135" xr:uid="{00000000-0005-0000-0000-00005F1E0000}"/>
    <cellStyle name="40 % - Akzent6 5 2 2 2 2 2 3 2" xfId="8136" xr:uid="{00000000-0005-0000-0000-0000601E0000}"/>
    <cellStyle name="40 % - Akzent6 5 2 2 2 2 2 3 3" xfId="8137" xr:uid="{00000000-0005-0000-0000-0000611E0000}"/>
    <cellStyle name="40 % - Akzent6 5 2 2 2 2 2 4" xfId="8138" xr:uid="{00000000-0005-0000-0000-0000621E0000}"/>
    <cellStyle name="40 % - Akzent6 5 2 2 2 2 2 4 2" xfId="8139" xr:uid="{00000000-0005-0000-0000-0000631E0000}"/>
    <cellStyle name="40 % - Akzent6 5 2 2 2 2 2 5" xfId="8140" xr:uid="{00000000-0005-0000-0000-0000641E0000}"/>
    <cellStyle name="40 % - Akzent6 5 2 2 2 2 2 6" xfId="8141" xr:uid="{00000000-0005-0000-0000-0000651E0000}"/>
    <cellStyle name="40 % - Akzent6 5 2 2 2 2 3" xfId="8142" xr:uid="{00000000-0005-0000-0000-0000661E0000}"/>
    <cellStyle name="40 % - Akzent6 5 2 2 2 2 3 2" xfId="8143" xr:uid="{00000000-0005-0000-0000-0000671E0000}"/>
    <cellStyle name="40 % - Akzent6 5 2 2 2 2 3 3" xfId="8144" xr:uid="{00000000-0005-0000-0000-0000681E0000}"/>
    <cellStyle name="40 % - Akzent6 5 2 2 2 2 4" xfId="8145" xr:uid="{00000000-0005-0000-0000-0000691E0000}"/>
    <cellStyle name="40 % - Akzent6 5 2 2 2 2 4 2" xfId="8146" xr:uid="{00000000-0005-0000-0000-00006A1E0000}"/>
    <cellStyle name="40 % - Akzent6 5 2 2 2 2 4 3" xfId="8147" xr:uid="{00000000-0005-0000-0000-00006B1E0000}"/>
    <cellStyle name="40 % - Akzent6 5 2 2 2 2 5" xfId="8148" xr:uid="{00000000-0005-0000-0000-00006C1E0000}"/>
    <cellStyle name="40 % - Akzent6 5 2 2 2 2 5 2" xfId="8149" xr:uid="{00000000-0005-0000-0000-00006D1E0000}"/>
    <cellStyle name="40 % - Akzent6 5 2 2 2 2 6" xfId="8150" xr:uid="{00000000-0005-0000-0000-00006E1E0000}"/>
    <cellStyle name="40 % - Akzent6 5 2 2 2 2 7" xfId="8151" xr:uid="{00000000-0005-0000-0000-00006F1E0000}"/>
    <cellStyle name="40 % - Akzent6 5 2 2 2 3" xfId="8152" xr:uid="{00000000-0005-0000-0000-0000701E0000}"/>
    <cellStyle name="40 % - Akzent6 5 2 2 2 3 2" xfId="8153" xr:uid="{00000000-0005-0000-0000-0000711E0000}"/>
    <cellStyle name="40 % - Akzent6 5 2 2 2 3 2 2" xfId="8154" xr:uid="{00000000-0005-0000-0000-0000721E0000}"/>
    <cellStyle name="40 % - Akzent6 5 2 2 2 3 2 3" xfId="8155" xr:uid="{00000000-0005-0000-0000-0000731E0000}"/>
    <cellStyle name="40 % - Akzent6 5 2 2 2 3 3" xfId="8156" xr:uid="{00000000-0005-0000-0000-0000741E0000}"/>
    <cellStyle name="40 % - Akzent6 5 2 2 2 3 3 2" xfId="8157" xr:uid="{00000000-0005-0000-0000-0000751E0000}"/>
    <cellStyle name="40 % - Akzent6 5 2 2 2 3 3 3" xfId="8158" xr:uid="{00000000-0005-0000-0000-0000761E0000}"/>
    <cellStyle name="40 % - Akzent6 5 2 2 2 3 4" xfId="8159" xr:uid="{00000000-0005-0000-0000-0000771E0000}"/>
    <cellStyle name="40 % - Akzent6 5 2 2 2 3 4 2" xfId="8160" xr:uid="{00000000-0005-0000-0000-0000781E0000}"/>
    <cellStyle name="40 % - Akzent6 5 2 2 2 3 5" xfId="8161" xr:uid="{00000000-0005-0000-0000-0000791E0000}"/>
    <cellStyle name="40 % - Akzent6 5 2 2 2 3 6" xfId="8162" xr:uid="{00000000-0005-0000-0000-00007A1E0000}"/>
    <cellStyle name="40 % - Akzent6 5 2 2 2 4" xfId="8163" xr:uid="{00000000-0005-0000-0000-00007B1E0000}"/>
    <cellStyle name="40 % - Akzent6 5 2 2 2 4 2" xfId="8164" xr:uid="{00000000-0005-0000-0000-00007C1E0000}"/>
    <cellStyle name="40 % - Akzent6 5 2 2 2 4 3" xfId="8165" xr:uid="{00000000-0005-0000-0000-00007D1E0000}"/>
    <cellStyle name="40 % - Akzent6 5 2 2 2 5" xfId="8166" xr:uid="{00000000-0005-0000-0000-00007E1E0000}"/>
    <cellStyle name="40 % - Akzent6 5 2 2 2 5 2" xfId="8167" xr:uid="{00000000-0005-0000-0000-00007F1E0000}"/>
    <cellStyle name="40 % - Akzent6 5 2 2 2 5 3" xfId="8168" xr:uid="{00000000-0005-0000-0000-0000801E0000}"/>
    <cellStyle name="40 % - Akzent6 5 2 2 2 6" xfId="8169" xr:uid="{00000000-0005-0000-0000-0000811E0000}"/>
    <cellStyle name="40 % - Akzent6 5 2 2 2 6 2" xfId="8170" xr:uid="{00000000-0005-0000-0000-0000821E0000}"/>
    <cellStyle name="40 % - Akzent6 5 2 2 2 7" xfId="8171" xr:uid="{00000000-0005-0000-0000-0000831E0000}"/>
    <cellStyle name="40 % - Akzent6 5 2 2 2 8" xfId="8172" xr:uid="{00000000-0005-0000-0000-0000841E0000}"/>
    <cellStyle name="40 % - Akzent6 5 2 2 3" xfId="8173" xr:uid="{00000000-0005-0000-0000-0000851E0000}"/>
    <cellStyle name="40 % - Akzent6 5 2 2 3 2" xfId="8174" xr:uid="{00000000-0005-0000-0000-0000861E0000}"/>
    <cellStyle name="40 % - Akzent6 5 2 2 3 2 2" xfId="8175" xr:uid="{00000000-0005-0000-0000-0000871E0000}"/>
    <cellStyle name="40 % - Akzent6 5 2 2 3 2 2 2" xfId="8176" xr:uid="{00000000-0005-0000-0000-0000881E0000}"/>
    <cellStyle name="40 % - Akzent6 5 2 2 3 2 2 2 2" xfId="8177" xr:uid="{00000000-0005-0000-0000-0000891E0000}"/>
    <cellStyle name="40 % - Akzent6 5 2 2 3 2 2 2 3" xfId="8178" xr:uid="{00000000-0005-0000-0000-00008A1E0000}"/>
    <cellStyle name="40 % - Akzent6 5 2 2 3 2 2 3" xfId="8179" xr:uid="{00000000-0005-0000-0000-00008B1E0000}"/>
    <cellStyle name="40 % - Akzent6 5 2 2 3 2 2 3 2" xfId="8180" xr:uid="{00000000-0005-0000-0000-00008C1E0000}"/>
    <cellStyle name="40 % - Akzent6 5 2 2 3 2 2 3 3" xfId="8181" xr:uid="{00000000-0005-0000-0000-00008D1E0000}"/>
    <cellStyle name="40 % - Akzent6 5 2 2 3 2 2 4" xfId="8182" xr:uid="{00000000-0005-0000-0000-00008E1E0000}"/>
    <cellStyle name="40 % - Akzent6 5 2 2 3 2 2 4 2" xfId="8183" xr:uid="{00000000-0005-0000-0000-00008F1E0000}"/>
    <cellStyle name="40 % - Akzent6 5 2 2 3 2 2 5" xfId="8184" xr:uid="{00000000-0005-0000-0000-0000901E0000}"/>
    <cellStyle name="40 % - Akzent6 5 2 2 3 2 2 6" xfId="8185" xr:uid="{00000000-0005-0000-0000-0000911E0000}"/>
    <cellStyle name="40 % - Akzent6 5 2 2 3 2 3" xfId="8186" xr:uid="{00000000-0005-0000-0000-0000921E0000}"/>
    <cellStyle name="40 % - Akzent6 5 2 2 3 2 3 2" xfId="8187" xr:uid="{00000000-0005-0000-0000-0000931E0000}"/>
    <cellStyle name="40 % - Akzent6 5 2 2 3 2 3 3" xfId="8188" xr:uid="{00000000-0005-0000-0000-0000941E0000}"/>
    <cellStyle name="40 % - Akzent6 5 2 2 3 2 4" xfId="8189" xr:uid="{00000000-0005-0000-0000-0000951E0000}"/>
    <cellStyle name="40 % - Akzent6 5 2 2 3 2 4 2" xfId="8190" xr:uid="{00000000-0005-0000-0000-0000961E0000}"/>
    <cellStyle name="40 % - Akzent6 5 2 2 3 2 4 3" xfId="8191" xr:uid="{00000000-0005-0000-0000-0000971E0000}"/>
    <cellStyle name="40 % - Akzent6 5 2 2 3 2 5" xfId="8192" xr:uid="{00000000-0005-0000-0000-0000981E0000}"/>
    <cellStyle name="40 % - Akzent6 5 2 2 3 2 5 2" xfId="8193" xr:uid="{00000000-0005-0000-0000-0000991E0000}"/>
    <cellStyle name="40 % - Akzent6 5 2 2 3 2 6" xfId="8194" xr:uid="{00000000-0005-0000-0000-00009A1E0000}"/>
    <cellStyle name="40 % - Akzent6 5 2 2 3 2 7" xfId="8195" xr:uid="{00000000-0005-0000-0000-00009B1E0000}"/>
    <cellStyle name="40 % - Akzent6 5 2 2 3 3" xfId="8196" xr:uid="{00000000-0005-0000-0000-00009C1E0000}"/>
    <cellStyle name="40 % - Akzent6 5 2 2 3 3 2" xfId="8197" xr:uid="{00000000-0005-0000-0000-00009D1E0000}"/>
    <cellStyle name="40 % - Akzent6 5 2 2 3 3 2 2" xfId="8198" xr:uid="{00000000-0005-0000-0000-00009E1E0000}"/>
    <cellStyle name="40 % - Akzent6 5 2 2 3 3 2 3" xfId="8199" xr:uid="{00000000-0005-0000-0000-00009F1E0000}"/>
    <cellStyle name="40 % - Akzent6 5 2 2 3 3 3" xfId="8200" xr:uid="{00000000-0005-0000-0000-0000A01E0000}"/>
    <cellStyle name="40 % - Akzent6 5 2 2 3 3 3 2" xfId="8201" xr:uid="{00000000-0005-0000-0000-0000A11E0000}"/>
    <cellStyle name="40 % - Akzent6 5 2 2 3 3 3 3" xfId="8202" xr:uid="{00000000-0005-0000-0000-0000A21E0000}"/>
    <cellStyle name="40 % - Akzent6 5 2 2 3 3 4" xfId="8203" xr:uid="{00000000-0005-0000-0000-0000A31E0000}"/>
    <cellStyle name="40 % - Akzent6 5 2 2 3 3 4 2" xfId="8204" xr:uid="{00000000-0005-0000-0000-0000A41E0000}"/>
    <cellStyle name="40 % - Akzent6 5 2 2 3 3 5" xfId="8205" xr:uid="{00000000-0005-0000-0000-0000A51E0000}"/>
    <cellStyle name="40 % - Akzent6 5 2 2 3 3 6" xfId="8206" xr:uid="{00000000-0005-0000-0000-0000A61E0000}"/>
    <cellStyle name="40 % - Akzent6 5 2 2 3 4" xfId="8207" xr:uid="{00000000-0005-0000-0000-0000A71E0000}"/>
    <cellStyle name="40 % - Akzent6 5 2 2 3 4 2" xfId="8208" xr:uid="{00000000-0005-0000-0000-0000A81E0000}"/>
    <cellStyle name="40 % - Akzent6 5 2 2 3 4 3" xfId="8209" xr:uid="{00000000-0005-0000-0000-0000A91E0000}"/>
    <cellStyle name="40 % - Akzent6 5 2 2 3 5" xfId="8210" xr:uid="{00000000-0005-0000-0000-0000AA1E0000}"/>
    <cellStyle name="40 % - Akzent6 5 2 2 3 5 2" xfId="8211" xr:uid="{00000000-0005-0000-0000-0000AB1E0000}"/>
    <cellStyle name="40 % - Akzent6 5 2 2 3 5 3" xfId="8212" xr:uid="{00000000-0005-0000-0000-0000AC1E0000}"/>
    <cellStyle name="40 % - Akzent6 5 2 2 3 6" xfId="8213" xr:uid="{00000000-0005-0000-0000-0000AD1E0000}"/>
    <cellStyle name="40 % - Akzent6 5 2 2 3 6 2" xfId="8214" xr:uid="{00000000-0005-0000-0000-0000AE1E0000}"/>
    <cellStyle name="40 % - Akzent6 5 2 2 3 7" xfId="8215" xr:uid="{00000000-0005-0000-0000-0000AF1E0000}"/>
    <cellStyle name="40 % - Akzent6 5 2 2 3 8" xfId="8216" xr:uid="{00000000-0005-0000-0000-0000B01E0000}"/>
    <cellStyle name="40 % - Akzent6 5 2 2 4" xfId="8217" xr:uid="{00000000-0005-0000-0000-0000B11E0000}"/>
    <cellStyle name="40 % - Akzent6 5 2 2 4 2" xfId="8218" xr:uid="{00000000-0005-0000-0000-0000B21E0000}"/>
    <cellStyle name="40 % - Akzent6 5 2 2 4 2 2" xfId="8219" xr:uid="{00000000-0005-0000-0000-0000B31E0000}"/>
    <cellStyle name="40 % - Akzent6 5 2 2 4 2 2 2" xfId="8220" xr:uid="{00000000-0005-0000-0000-0000B41E0000}"/>
    <cellStyle name="40 % - Akzent6 5 2 2 4 2 2 3" xfId="8221" xr:uid="{00000000-0005-0000-0000-0000B51E0000}"/>
    <cellStyle name="40 % - Akzent6 5 2 2 4 2 3" xfId="8222" xr:uid="{00000000-0005-0000-0000-0000B61E0000}"/>
    <cellStyle name="40 % - Akzent6 5 2 2 4 2 3 2" xfId="8223" xr:uid="{00000000-0005-0000-0000-0000B71E0000}"/>
    <cellStyle name="40 % - Akzent6 5 2 2 4 2 3 3" xfId="8224" xr:uid="{00000000-0005-0000-0000-0000B81E0000}"/>
    <cellStyle name="40 % - Akzent6 5 2 2 4 2 4" xfId="8225" xr:uid="{00000000-0005-0000-0000-0000B91E0000}"/>
    <cellStyle name="40 % - Akzent6 5 2 2 4 2 4 2" xfId="8226" xr:uid="{00000000-0005-0000-0000-0000BA1E0000}"/>
    <cellStyle name="40 % - Akzent6 5 2 2 4 2 5" xfId="8227" xr:uid="{00000000-0005-0000-0000-0000BB1E0000}"/>
    <cellStyle name="40 % - Akzent6 5 2 2 4 2 6" xfId="8228" xr:uid="{00000000-0005-0000-0000-0000BC1E0000}"/>
    <cellStyle name="40 % - Akzent6 5 2 2 4 3" xfId="8229" xr:uid="{00000000-0005-0000-0000-0000BD1E0000}"/>
    <cellStyle name="40 % - Akzent6 5 2 2 4 3 2" xfId="8230" xr:uid="{00000000-0005-0000-0000-0000BE1E0000}"/>
    <cellStyle name="40 % - Akzent6 5 2 2 4 3 3" xfId="8231" xr:uid="{00000000-0005-0000-0000-0000BF1E0000}"/>
    <cellStyle name="40 % - Akzent6 5 2 2 4 4" xfId="8232" xr:uid="{00000000-0005-0000-0000-0000C01E0000}"/>
    <cellStyle name="40 % - Akzent6 5 2 2 4 4 2" xfId="8233" xr:uid="{00000000-0005-0000-0000-0000C11E0000}"/>
    <cellStyle name="40 % - Akzent6 5 2 2 4 4 3" xfId="8234" xr:uid="{00000000-0005-0000-0000-0000C21E0000}"/>
    <cellStyle name="40 % - Akzent6 5 2 2 4 5" xfId="8235" xr:uid="{00000000-0005-0000-0000-0000C31E0000}"/>
    <cellStyle name="40 % - Akzent6 5 2 2 4 5 2" xfId="8236" xr:uid="{00000000-0005-0000-0000-0000C41E0000}"/>
    <cellStyle name="40 % - Akzent6 5 2 2 4 6" xfId="8237" xr:uid="{00000000-0005-0000-0000-0000C51E0000}"/>
    <cellStyle name="40 % - Akzent6 5 2 2 4 7" xfId="8238" xr:uid="{00000000-0005-0000-0000-0000C61E0000}"/>
    <cellStyle name="40 % - Akzent6 5 2 2 5" xfId="8239" xr:uid="{00000000-0005-0000-0000-0000C71E0000}"/>
    <cellStyle name="40 % - Akzent6 5 2 2 5 2" xfId="8240" xr:uid="{00000000-0005-0000-0000-0000C81E0000}"/>
    <cellStyle name="40 % - Akzent6 5 2 2 5 2 2" xfId="8241" xr:uid="{00000000-0005-0000-0000-0000C91E0000}"/>
    <cellStyle name="40 % - Akzent6 5 2 2 5 2 3" xfId="8242" xr:uid="{00000000-0005-0000-0000-0000CA1E0000}"/>
    <cellStyle name="40 % - Akzent6 5 2 2 5 3" xfId="8243" xr:uid="{00000000-0005-0000-0000-0000CB1E0000}"/>
    <cellStyle name="40 % - Akzent6 5 2 2 5 3 2" xfId="8244" xr:uid="{00000000-0005-0000-0000-0000CC1E0000}"/>
    <cellStyle name="40 % - Akzent6 5 2 2 5 3 3" xfId="8245" xr:uid="{00000000-0005-0000-0000-0000CD1E0000}"/>
    <cellStyle name="40 % - Akzent6 5 2 2 5 4" xfId="8246" xr:uid="{00000000-0005-0000-0000-0000CE1E0000}"/>
    <cellStyle name="40 % - Akzent6 5 2 2 5 4 2" xfId="8247" xr:uid="{00000000-0005-0000-0000-0000CF1E0000}"/>
    <cellStyle name="40 % - Akzent6 5 2 2 5 5" xfId="8248" xr:uid="{00000000-0005-0000-0000-0000D01E0000}"/>
    <cellStyle name="40 % - Akzent6 5 2 2 5 6" xfId="8249" xr:uid="{00000000-0005-0000-0000-0000D11E0000}"/>
    <cellStyle name="40 % - Akzent6 5 2 2 6" xfId="8250" xr:uid="{00000000-0005-0000-0000-0000D21E0000}"/>
    <cellStyle name="40 % - Akzent6 5 2 2 6 2" xfId="8251" xr:uid="{00000000-0005-0000-0000-0000D31E0000}"/>
    <cellStyle name="40 % - Akzent6 5 2 2 6 3" xfId="8252" xr:uid="{00000000-0005-0000-0000-0000D41E0000}"/>
    <cellStyle name="40 % - Akzent6 5 2 2 7" xfId="8253" xr:uid="{00000000-0005-0000-0000-0000D51E0000}"/>
    <cellStyle name="40 % - Akzent6 5 2 2 7 2" xfId="8254" xr:uid="{00000000-0005-0000-0000-0000D61E0000}"/>
    <cellStyle name="40 % - Akzent6 5 2 2 7 3" xfId="8255" xr:uid="{00000000-0005-0000-0000-0000D71E0000}"/>
    <cellStyle name="40 % - Akzent6 5 2 2 8" xfId="8256" xr:uid="{00000000-0005-0000-0000-0000D81E0000}"/>
    <cellStyle name="40 % - Akzent6 5 2 2 8 2" xfId="8257" xr:uid="{00000000-0005-0000-0000-0000D91E0000}"/>
    <cellStyle name="40 % - Akzent6 5 2 2 9" xfId="8258" xr:uid="{00000000-0005-0000-0000-0000DA1E0000}"/>
    <cellStyle name="40 % - Akzent6 5 2 3" xfId="8259" xr:uid="{00000000-0005-0000-0000-0000DB1E0000}"/>
    <cellStyle name="40 % - Akzent6 5 2 3 2" xfId="8260" xr:uid="{00000000-0005-0000-0000-0000DC1E0000}"/>
    <cellStyle name="40 % - Akzent6 5 2 3 2 2" xfId="8261" xr:uid="{00000000-0005-0000-0000-0000DD1E0000}"/>
    <cellStyle name="40 % - Akzent6 5 2 3 2 2 2" xfId="8262" xr:uid="{00000000-0005-0000-0000-0000DE1E0000}"/>
    <cellStyle name="40 % - Akzent6 5 2 3 2 2 2 2" xfId="8263" xr:uid="{00000000-0005-0000-0000-0000DF1E0000}"/>
    <cellStyle name="40 % - Akzent6 5 2 3 2 2 2 3" xfId="8264" xr:uid="{00000000-0005-0000-0000-0000E01E0000}"/>
    <cellStyle name="40 % - Akzent6 5 2 3 2 2 3" xfId="8265" xr:uid="{00000000-0005-0000-0000-0000E11E0000}"/>
    <cellStyle name="40 % - Akzent6 5 2 3 2 2 3 2" xfId="8266" xr:uid="{00000000-0005-0000-0000-0000E21E0000}"/>
    <cellStyle name="40 % - Akzent6 5 2 3 2 2 3 3" xfId="8267" xr:uid="{00000000-0005-0000-0000-0000E31E0000}"/>
    <cellStyle name="40 % - Akzent6 5 2 3 2 2 4" xfId="8268" xr:uid="{00000000-0005-0000-0000-0000E41E0000}"/>
    <cellStyle name="40 % - Akzent6 5 2 3 2 2 4 2" xfId="8269" xr:uid="{00000000-0005-0000-0000-0000E51E0000}"/>
    <cellStyle name="40 % - Akzent6 5 2 3 2 2 5" xfId="8270" xr:uid="{00000000-0005-0000-0000-0000E61E0000}"/>
    <cellStyle name="40 % - Akzent6 5 2 3 2 2 6" xfId="8271" xr:uid="{00000000-0005-0000-0000-0000E71E0000}"/>
    <cellStyle name="40 % - Akzent6 5 2 3 2 3" xfId="8272" xr:uid="{00000000-0005-0000-0000-0000E81E0000}"/>
    <cellStyle name="40 % - Akzent6 5 2 3 2 3 2" xfId="8273" xr:uid="{00000000-0005-0000-0000-0000E91E0000}"/>
    <cellStyle name="40 % - Akzent6 5 2 3 2 3 3" xfId="8274" xr:uid="{00000000-0005-0000-0000-0000EA1E0000}"/>
    <cellStyle name="40 % - Akzent6 5 2 3 2 4" xfId="8275" xr:uid="{00000000-0005-0000-0000-0000EB1E0000}"/>
    <cellStyle name="40 % - Akzent6 5 2 3 2 4 2" xfId="8276" xr:uid="{00000000-0005-0000-0000-0000EC1E0000}"/>
    <cellStyle name="40 % - Akzent6 5 2 3 2 4 3" xfId="8277" xr:uid="{00000000-0005-0000-0000-0000ED1E0000}"/>
    <cellStyle name="40 % - Akzent6 5 2 3 2 5" xfId="8278" xr:uid="{00000000-0005-0000-0000-0000EE1E0000}"/>
    <cellStyle name="40 % - Akzent6 5 2 3 2 5 2" xfId="8279" xr:uid="{00000000-0005-0000-0000-0000EF1E0000}"/>
    <cellStyle name="40 % - Akzent6 5 2 3 2 6" xfId="8280" xr:uid="{00000000-0005-0000-0000-0000F01E0000}"/>
    <cellStyle name="40 % - Akzent6 5 2 3 2 7" xfId="8281" xr:uid="{00000000-0005-0000-0000-0000F11E0000}"/>
    <cellStyle name="40 % - Akzent6 5 2 3 3" xfId="8282" xr:uid="{00000000-0005-0000-0000-0000F21E0000}"/>
    <cellStyle name="40 % - Akzent6 5 2 3 3 2" xfId="8283" xr:uid="{00000000-0005-0000-0000-0000F31E0000}"/>
    <cellStyle name="40 % - Akzent6 5 2 3 3 2 2" xfId="8284" xr:uid="{00000000-0005-0000-0000-0000F41E0000}"/>
    <cellStyle name="40 % - Akzent6 5 2 3 3 2 3" xfId="8285" xr:uid="{00000000-0005-0000-0000-0000F51E0000}"/>
    <cellStyle name="40 % - Akzent6 5 2 3 3 3" xfId="8286" xr:uid="{00000000-0005-0000-0000-0000F61E0000}"/>
    <cellStyle name="40 % - Akzent6 5 2 3 3 3 2" xfId="8287" xr:uid="{00000000-0005-0000-0000-0000F71E0000}"/>
    <cellStyle name="40 % - Akzent6 5 2 3 3 3 3" xfId="8288" xr:uid="{00000000-0005-0000-0000-0000F81E0000}"/>
    <cellStyle name="40 % - Akzent6 5 2 3 3 4" xfId="8289" xr:uid="{00000000-0005-0000-0000-0000F91E0000}"/>
    <cellStyle name="40 % - Akzent6 5 2 3 3 4 2" xfId="8290" xr:uid="{00000000-0005-0000-0000-0000FA1E0000}"/>
    <cellStyle name="40 % - Akzent6 5 2 3 3 5" xfId="8291" xr:uid="{00000000-0005-0000-0000-0000FB1E0000}"/>
    <cellStyle name="40 % - Akzent6 5 2 3 3 6" xfId="8292" xr:uid="{00000000-0005-0000-0000-0000FC1E0000}"/>
    <cellStyle name="40 % - Akzent6 5 2 3 4" xfId="8293" xr:uid="{00000000-0005-0000-0000-0000FD1E0000}"/>
    <cellStyle name="40 % - Akzent6 5 2 3 4 2" xfId="8294" xr:uid="{00000000-0005-0000-0000-0000FE1E0000}"/>
    <cellStyle name="40 % - Akzent6 5 2 3 4 3" xfId="8295" xr:uid="{00000000-0005-0000-0000-0000FF1E0000}"/>
    <cellStyle name="40 % - Akzent6 5 2 3 5" xfId="8296" xr:uid="{00000000-0005-0000-0000-0000001F0000}"/>
    <cellStyle name="40 % - Akzent6 5 2 3 5 2" xfId="8297" xr:uid="{00000000-0005-0000-0000-0000011F0000}"/>
    <cellStyle name="40 % - Akzent6 5 2 3 5 3" xfId="8298" xr:uid="{00000000-0005-0000-0000-0000021F0000}"/>
    <cellStyle name="40 % - Akzent6 5 2 3 6" xfId="8299" xr:uid="{00000000-0005-0000-0000-0000031F0000}"/>
    <cellStyle name="40 % - Akzent6 5 2 3 6 2" xfId="8300" xr:uid="{00000000-0005-0000-0000-0000041F0000}"/>
    <cellStyle name="40 % - Akzent6 5 2 3 7" xfId="8301" xr:uid="{00000000-0005-0000-0000-0000051F0000}"/>
    <cellStyle name="40 % - Akzent6 5 2 3 8" xfId="8302" xr:uid="{00000000-0005-0000-0000-0000061F0000}"/>
    <cellStyle name="40 % - Akzent6 5 2 4" xfId="8303" xr:uid="{00000000-0005-0000-0000-0000071F0000}"/>
    <cellStyle name="40 % - Akzent6 5 2 4 2" xfId="8304" xr:uid="{00000000-0005-0000-0000-0000081F0000}"/>
    <cellStyle name="40 % - Akzent6 5 2 4 2 2" xfId="8305" xr:uid="{00000000-0005-0000-0000-0000091F0000}"/>
    <cellStyle name="40 % - Akzent6 5 2 4 2 2 2" xfId="8306" xr:uid="{00000000-0005-0000-0000-00000A1F0000}"/>
    <cellStyle name="40 % - Akzent6 5 2 4 2 2 2 2" xfId="8307" xr:uid="{00000000-0005-0000-0000-00000B1F0000}"/>
    <cellStyle name="40 % - Akzent6 5 2 4 2 2 2 3" xfId="8308" xr:uid="{00000000-0005-0000-0000-00000C1F0000}"/>
    <cellStyle name="40 % - Akzent6 5 2 4 2 2 3" xfId="8309" xr:uid="{00000000-0005-0000-0000-00000D1F0000}"/>
    <cellStyle name="40 % - Akzent6 5 2 4 2 2 3 2" xfId="8310" xr:uid="{00000000-0005-0000-0000-00000E1F0000}"/>
    <cellStyle name="40 % - Akzent6 5 2 4 2 2 3 3" xfId="8311" xr:uid="{00000000-0005-0000-0000-00000F1F0000}"/>
    <cellStyle name="40 % - Akzent6 5 2 4 2 2 4" xfId="8312" xr:uid="{00000000-0005-0000-0000-0000101F0000}"/>
    <cellStyle name="40 % - Akzent6 5 2 4 2 2 4 2" xfId="8313" xr:uid="{00000000-0005-0000-0000-0000111F0000}"/>
    <cellStyle name="40 % - Akzent6 5 2 4 2 2 5" xfId="8314" xr:uid="{00000000-0005-0000-0000-0000121F0000}"/>
    <cellStyle name="40 % - Akzent6 5 2 4 2 2 6" xfId="8315" xr:uid="{00000000-0005-0000-0000-0000131F0000}"/>
    <cellStyle name="40 % - Akzent6 5 2 4 2 3" xfId="8316" xr:uid="{00000000-0005-0000-0000-0000141F0000}"/>
    <cellStyle name="40 % - Akzent6 5 2 4 2 3 2" xfId="8317" xr:uid="{00000000-0005-0000-0000-0000151F0000}"/>
    <cellStyle name="40 % - Akzent6 5 2 4 2 3 3" xfId="8318" xr:uid="{00000000-0005-0000-0000-0000161F0000}"/>
    <cellStyle name="40 % - Akzent6 5 2 4 2 4" xfId="8319" xr:uid="{00000000-0005-0000-0000-0000171F0000}"/>
    <cellStyle name="40 % - Akzent6 5 2 4 2 4 2" xfId="8320" xr:uid="{00000000-0005-0000-0000-0000181F0000}"/>
    <cellStyle name="40 % - Akzent6 5 2 4 2 4 3" xfId="8321" xr:uid="{00000000-0005-0000-0000-0000191F0000}"/>
    <cellStyle name="40 % - Akzent6 5 2 4 2 5" xfId="8322" xr:uid="{00000000-0005-0000-0000-00001A1F0000}"/>
    <cellStyle name="40 % - Akzent6 5 2 4 2 5 2" xfId="8323" xr:uid="{00000000-0005-0000-0000-00001B1F0000}"/>
    <cellStyle name="40 % - Akzent6 5 2 4 2 6" xfId="8324" xr:uid="{00000000-0005-0000-0000-00001C1F0000}"/>
    <cellStyle name="40 % - Akzent6 5 2 4 2 7" xfId="8325" xr:uid="{00000000-0005-0000-0000-00001D1F0000}"/>
    <cellStyle name="40 % - Akzent6 5 2 4 3" xfId="8326" xr:uid="{00000000-0005-0000-0000-00001E1F0000}"/>
    <cellStyle name="40 % - Akzent6 5 2 4 3 2" xfId="8327" xr:uid="{00000000-0005-0000-0000-00001F1F0000}"/>
    <cellStyle name="40 % - Akzent6 5 2 4 3 2 2" xfId="8328" xr:uid="{00000000-0005-0000-0000-0000201F0000}"/>
    <cellStyle name="40 % - Akzent6 5 2 4 3 2 3" xfId="8329" xr:uid="{00000000-0005-0000-0000-0000211F0000}"/>
    <cellStyle name="40 % - Akzent6 5 2 4 3 3" xfId="8330" xr:uid="{00000000-0005-0000-0000-0000221F0000}"/>
    <cellStyle name="40 % - Akzent6 5 2 4 3 3 2" xfId="8331" xr:uid="{00000000-0005-0000-0000-0000231F0000}"/>
    <cellStyle name="40 % - Akzent6 5 2 4 3 3 3" xfId="8332" xr:uid="{00000000-0005-0000-0000-0000241F0000}"/>
    <cellStyle name="40 % - Akzent6 5 2 4 3 4" xfId="8333" xr:uid="{00000000-0005-0000-0000-0000251F0000}"/>
    <cellStyle name="40 % - Akzent6 5 2 4 3 4 2" xfId="8334" xr:uid="{00000000-0005-0000-0000-0000261F0000}"/>
    <cellStyle name="40 % - Akzent6 5 2 4 3 5" xfId="8335" xr:uid="{00000000-0005-0000-0000-0000271F0000}"/>
    <cellStyle name="40 % - Akzent6 5 2 4 3 6" xfId="8336" xr:uid="{00000000-0005-0000-0000-0000281F0000}"/>
    <cellStyle name="40 % - Akzent6 5 2 4 4" xfId="8337" xr:uid="{00000000-0005-0000-0000-0000291F0000}"/>
    <cellStyle name="40 % - Akzent6 5 2 4 4 2" xfId="8338" xr:uid="{00000000-0005-0000-0000-00002A1F0000}"/>
    <cellStyle name="40 % - Akzent6 5 2 4 4 3" xfId="8339" xr:uid="{00000000-0005-0000-0000-00002B1F0000}"/>
    <cellStyle name="40 % - Akzent6 5 2 4 5" xfId="8340" xr:uid="{00000000-0005-0000-0000-00002C1F0000}"/>
    <cellStyle name="40 % - Akzent6 5 2 4 5 2" xfId="8341" xr:uid="{00000000-0005-0000-0000-00002D1F0000}"/>
    <cellStyle name="40 % - Akzent6 5 2 4 5 3" xfId="8342" xr:uid="{00000000-0005-0000-0000-00002E1F0000}"/>
    <cellStyle name="40 % - Akzent6 5 2 4 6" xfId="8343" xr:uid="{00000000-0005-0000-0000-00002F1F0000}"/>
    <cellStyle name="40 % - Akzent6 5 2 4 6 2" xfId="8344" xr:uid="{00000000-0005-0000-0000-0000301F0000}"/>
    <cellStyle name="40 % - Akzent6 5 2 4 7" xfId="8345" xr:uid="{00000000-0005-0000-0000-0000311F0000}"/>
    <cellStyle name="40 % - Akzent6 5 2 4 8" xfId="8346" xr:uid="{00000000-0005-0000-0000-0000321F0000}"/>
    <cellStyle name="40 % - Akzent6 5 2 5" xfId="8347" xr:uid="{00000000-0005-0000-0000-0000331F0000}"/>
    <cellStyle name="40 % - Akzent6 5 2 5 2" xfId="8348" xr:uid="{00000000-0005-0000-0000-0000341F0000}"/>
    <cellStyle name="40 % - Akzent6 5 2 5 2 2" xfId="8349" xr:uid="{00000000-0005-0000-0000-0000351F0000}"/>
    <cellStyle name="40 % - Akzent6 5 2 5 2 2 2" xfId="8350" xr:uid="{00000000-0005-0000-0000-0000361F0000}"/>
    <cellStyle name="40 % - Akzent6 5 2 5 2 2 3" xfId="8351" xr:uid="{00000000-0005-0000-0000-0000371F0000}"/>
    <cellStyle name="40 % - Akzent6 5 2 5 2 3" xfId="8352" xr:uid="{00000000-0005-0000-0000-0000381F0000}"/>
    <cellStyle name="40 % - Akzent6 5 2 5 2 3 2" xfId="8353" xr:uid="{00000000-0005-0000-0000-0000391F0000}"/>
    <cellStyle name="40 % - Akzent6 5 2 5 2 3 3" xfId="8354" xr:uid="{00000000-0005-0000-0000-00003A1F0000}"/>
    <cellStyle name="40 % - Akzent6 5 2 5 2 4" xfId="8355" xr:uid="{00000000-0005-0000-0000-00003B1F0000}"/>
    <cellStyle name="40 % - Akzent6 5 2 5 2 4 2" xfId="8356" xr:uid="{00000000-0005-0000-0000-00003C1F0000}"/>
    <cellStyle name="40 % - Akzent6 5 2 5 2 5" xfId="8357" xr:uid="{00000000-0005-0000-0000-00003D1F0000}"/>
    <cellStyle name="40 % - Akzent6 5 2 5 2 6" xfId="8358" xr:uid="{00000000-0005-0000-0000-00003E1F0000}"/>
    <cellStyle name="40 % - Akzent6 5 2 5 3" xfId="8359" xr:uid="{00000000-0005-0000-0000-00003F1F0000}"/>
    <cellStyle name="40 % - Akzent6 5 2 5 3 2" xfId="8360" xr:uid="{00000000-0005-0000-0000-0000401F0000}"/>
    <cellStyle name="40 % - Akzent6 5 2 5 3 3" xfId="8361" xr:uid="{00000000-0005-0000-0000-0000411F0000}"/>
    <cellStyle name="40 % - Akzent6 5 2 5 4" xfId="8362" xr:uid="{00000000-0005-0000-0000-0000421F0000}"/>
    <cellStyle name="40 % - Akzent6 5 2 5 4 2" xfId="8363" xr:uid="{00000000-0005-0000-0000-0000431F0000}"/>
    <cellStyle name="40 % - Akzent6 5 2 5 4 3" xfId="8364" xr:uid="{00000000-0005-0000-0000-0000441F0000}"/>
    <cellStyle name="40 % - Akzent6 5 2 5 5" xfId="8365" xr:uid="{00000000-0005-0000-0000-0000451F0000}"/>
    <cellStyle name="40 % - Akzent6 5 2 5 5 2" xfId="8366" xr:uid="{00000000-0005-0000-0000-0000461F0000}"/>
    <cellStyle name="40 % - Akzent6 5 2 5 6" xfId="8367" xr:uid="{00000000-0005-0000-0000-0000471F0000}"/>
    <cellStyle name="40 % - Akzent6 5 2 5 7" xfId="8368" xr:uid="{00000000-0005-0000-0000-0000481F0000}"/>
    <cellStyle name="40 % - Akzent6 5 2 6" xfId="8369" xr:uid="{00000000-0005-0000-0000-0000491F0000}"/>
    <cellStyle name="40 % - Akzent6 5 2 6 2" xfId="8370" xr:uid="{00000000-0005-0000-0000-00004A1F0000}"/>
    <cellStyle name="40 % - Akzent6 5 2 6 2 2" xfId="8371" xr:uid="{00000000-0005-0000-0000-00004B1F0000}"/>
    <cellStyle name="40 % - Akzent6 5 2 6 2 3" xfId="8372" xr:uid="{00000000-0005-0000-0000-00004C1F0000}"/>
    <cellStyle name="40 % - Akzent6 5 2 6 3" xfId="8373" xr:uid="{00000000-0005-0000-0000-00004D1F0000}"/>
    <cellStyle name="40 % - Akzent6 5 2 6 3 2" xfId="8374" xr:uid="{00000000-0005-0000-0000-00004E1F0000}"/>
    <cellStyle name="40 % - Akzent6 5 2 6 3 3" xfId="8375" xr:uid="{00000000-0005-0000-0000-00004F1F0000}"/>
    <cellStyle name="40 % - Akzent6 5 2 6 4" xfId="8376" xr:uid="{00000000-0005-0000-0000-0000501F0000}"/>
    <cellStyle name="40 % - Akzent6 5 2 6 4 2" xfId="8377" xr:uid="{00000000-0005-0000-0000-0000511F0000}"/>
    <cellStyle name="40 % - Akzent6 5 2 6 5" xfId="8378" xr:uid="{00000000-0005-0000-0000-0000521F0000}"/>
    <cellStyle name="40 % - Akzent6 5 2 6 6" xfId="8379" xr:uid="{00000000-0005-0000-0000-0000531F0000}"/>
    <cellStyle name="40 % - Akzent6 5 2 7" xfId="8380" xr:uid="{00000000-0005-0000-0000-0000541F0000}"/>
    <cellStyle name="40 % - Akzent6 5 2 7 2" xfId="8381" xr:uid="{00000000-0005-0000-0000-0000551F0000}"/>
    <cellStyle name="40 % - Akzent6 5 2 7 3" xfId="8382" xr:uid="{00000000-0005-0000-0000-0000561F0000}"/>
    <cellStyle name="40 % - Akzent6 5 2 8" xfId="8383" xr:uid="{00000000-0005-0000-0000-0000571F0000}"/>
    <cellStyle name="40 % - Akzent6 5 2 8 2" xfId="8384" xr:uid="{00000000-0005-0000-0000-0000581F0000}"/>
    <cellStyle name="40 % - Akzent6 5 2 8 3" xfId="8385" xr:uid="{00000000-0005-0000-0000-0000591F0000}"/>
    <cellStyle name="40 % - Akzent6 5 2 9" xfId="8386" xr:uid="{00000000-0005-0000-0000-00005A1F0000}"/>
    <cellStyle name="40 % - Akzent6 5 2 9 2" xfId="8387" xr:uid="{00000000-0005-0000-0000-00005B1F0000}"/>
    <cellStyle name="40 % - Akzent6 6" xfId="8388" xr:uid="{00000000-0005-0000-0000-00005C1F0000}"/>
    <cellStyle name="40 % - Akzent6 7" xfId="8389" xr:uid="{00000000-0005-0000-0000-00005D1F0000}"/>
    <cellStyle name="40 % - Akzent6 7 10" xfId="8390" xr:uid="{00000000-0005-0000-0000-00005E1F0000}"/>
    <cellStyle name="40 % - Akzent6 7 2" xfId="8391" xr:uid="{00000000-0005-0000-0000-00005F1F0000}"/>
    <cellStyle name="40 % - Akzent6 7 2 2" xfId="8392" xr:uid="{00000000-0005-0000-0000-0000601F0000}"/>
    <cellStyle name="40 % - Akzent6 7 2 2 2" xfId="8393" xr:uid="{00000000-0005-0000-0000-0000611F0000}"/>
    <cellStyle name="40 % - Akzent6 7 2 2 2 2" xfId="8394" xr:uid="{00000000-0005-0000-0000-0000621F0000}"/>
    <cellStyle name="40 % - Akzent6 7 2 2 2 2 2" xfId="8395" xr:uid="{00000000-0005-0000-0000-0000631F0000}"/>
    <cellStyle name="40 % - Akzent6 7 2 2 2 2 3" xfId="8396" xr:uid="{00000000-0005-0000-0000-0000641F0000}"/>
    <cellStyle name="40 % - Akzent6 7 2 2 2 3" xfId="8397" xr:uid="{00000000-0005-0000-0000-0000651F0000}"/>
    <cellStyle name="40 % - Akzent6 7 2 2 2 3 2" xfId="8398" xr:uid="{00000000-0005-0000-0000-0000661F0000}"/>
    <cellStyle name="40 % - Akzent6 7 2 2 2 3 3" xfId="8399" xr:uid="{00000000-0005-0000-0000-0000671F0000}"/>
    <cellStyle name="40 % - Akzent6 7 2 2 2 4" xfId="8400" xr:uid="{00000000-0005-0000-0000-0000681F0000}"/>
    <cellStyle name="40 % - Akzent6 7 2 2 2 4 2" xfId="8401" xr:uid="{00000000-0005-0000-0000-0000691F0000}"/>
    <cellStyle name="40 % - Akzent6 7 2 2 2 5" xfId="8402" xr:uid="{00000000-0005-0000-0000-00006A1F0000}"/>
    <cellStyle name="40 % - Akzent6 7 2 2 2 6" xfId="8403" xr:uid="{00000000-0005-0000-0000-00006B1F0000}"/>
    <cellStyle name="40 % - Akzent6 7 2 2 3" xfId="8404" xr:uid="{00000000-0005-0000-0000-00006C1F0000}"/>
    <cellStyle name="40 % - Akzent6 7 2 2 3 2" xfId="8405" xr:uid="{00000000-0005-0000-0000-00006D1F0000}"/>
    <cellStyle name="40 % - Akzent6 7 2 2 3 3" xfId="8406" xr:uid="{00000000-0005-0000-0000-00006E1F0000}"/>
    <cellStyle name="40 % - Akzent6 7 2 2 4" xfId="8407" xr:uid="{00000000-0005-0000-0000-00006F1F0000}"/>
    <cellStyle name="40 % - Akzent6 7 2 2 4 2" xfId="8408" xr:uid="{00000000-0005-0000-0000-0000701F0000}"/>
    <cellStyle name="40 % - Akzent6 7 2 2 4 3" xfId="8409" xr:uid="{00000000-0005-0000-0000-0000711F0000}"/>
    <cellStyle name="40 % - Akzent6 7 2 2 5" xfId="8410" xr:uid="{00000000-0005-0000-0000-0000721F0000}"/>
    <cellStyle name="40 % - Akzent6 7 2 2 5 2" xfId="8411" xr:uid="{00000000-0005-0000-0000-0000731F0000}"/>
    <cellStyle name="40 % - Akzent6 7 2 2 6" xfId="8412" xr:uid="{00000000-0005-0000-0000-0000741F0000}"/>
    <cellStyle name="40 % - Akzent6 7 2 2 7" xfId="8413" xr:uid="{00000000-0005-0000-0000-0000751F0000}"/>
    <cellStyle name="40 % - Akzent6 7 2 3" xfId="8414" xr:uid="{00000000-0005-0000-0000-0000761F0000}"/>
    <cellStyle name="40 % - Akzent6 7 2 3 2" xfId="8415" xr:uid="{00000000-0005-0000-0000-0000771F0000}"/>
    <cellStyle name="40 % - Akzent6 7 2 3 2 2" xfId="8416" xr:uid="{00000000-0005-0000-0000-0000781F0000}"/>
    <cellStyle name="40 % - Akzent6 7 2 3 2 3" xfId="8417" xr:uid="{00000000-0005-0000-0000-0000791F0000}"/>
    <cellStyle name="40 % - Akzent6 7 2 3 3" xfId="8418" xr:uid="{00000000-0005-0000-0000-00007A1F0000}"/>
    <cellStyle name="40 % - Akzent6 7 2 3 3 2" xfId="8419" xr:uid="{00000000-0005-0000-0000-00007B1F0000}"/>
    <cellStyle name="40 % - Akzent6 7 2 3 3 3" xfId="8420" xr:uid="{00000000-0005-0000-0000-00007C1F0000}"/>
    <cellStyle name="40 % - Akzent6 7 2 3 4" xfId="8421" xr:uid="{00000000-0005-0000-0000-00007D1F0000}"/>
    <cellStyle name="40 % - Akzent6 7 2 3 4 2" xfId="8422" xr:uid="{00000000-0005-0000-0000-00007E1F0000}"/>
    <cellStyle name="40 % - Akzent6 7 2 3 5" xfId="8423" xr:uid="{00000000-0005-0000-0000-00007F1F0000}"/>
    <cellStyle name="40 % - Akzent6 7 2 3 6" xfId="8424" xr:uid="{00000000-0005-0000-0000-0000801F0000}"/>
    <cellStyle name="40 % - Akzent6 7 2 4" xfId="8425" xr:uid="{00000000-0005-0000-0000-0000811F0000}"/>
    <cellStyle name="40 % - Akzent6 7 2 4 2" xfId="8426" xr:uid="{00000000-0005-0000-0000-0000821F0000}"/>
    <cellStyle name="40 % - Akzent6 7 2 4 3" xfId="8427" xr:uid="{00000000-0005-0000-0000-0000831F0000}"/>
    <cellStyle name="40 % - Akzent6 7 2 5" xfId="8428" xr:uid="{00000000-0005-0000-0000-0000841F0000}"/>
    <cellStyle name="40 % - Akzent6 7 2 5 2" xfId="8429" xr:uid="{00000000-0005-0000-0000-0000851F0000}"/>
    <cellStyle name="40 % - Akzent6 7 2 5 3" xfId="8430" xr:uid="{00000000-0005-0000-0000-0000861F0000}"/>
    <cellStyle name="40 % - Akzent6 7 2 6" xfId="8431" xr:uid="{00000000-0005-0000-0000-0000871F0000}"/>
    <cellStyle name="40 % - Akzent6 7 2 6 2" xfId="8432" xr:uid="{00000000-0005-0000-0000-0000881F0000}"/>
    <cellStyle name="40 % - Akzent6 7 2 7" xfId="8433" xr:uid="{00000000-0005-0000-0000-0000891F0000}"/>
    <cellStyle name="40 % - Akzent6 7 2 8" xfId="8434" xr:uid="{00000000-0005-0000-0000-00008A1F0000}"/>
    <cellStyle name="40 % - Akzent6 7 3" xfId="8435" xr:uid="{00000000-0005-0000-0000-00008B1F0000}"/>
    <cellStyle name="40 % - Akzent6 7 3 2" xfId="8436" xr:uid="{00000000-0005-0000-0000-00008C1F0000}"/>
    <cellStyle name="40 % - Akzent6 7 3 2 2" xfId="8437" xr:uid="{00000000-0005-0000-0000-00008D1F0000}"/>
    <cellStyle name="40 % - Akzent6 7 3 2 2 2" xfId="8438" xr:uid="{00000000-0005-0000-0000-00008E1F0000}"/>
    <cellStyle name="40 % - Akzent6 7 3 2 2 2 2" xfId="8439" xr:uid="{00000000-0005-0000-0000-00008F1F0000}"/>
    <cellStyle name="40 % - Akzent6 7 3 2 2 2 3" xfId="8440" xr:uid="{00000000-0005-0000-0000-0000901F0000}"/>
    <cellStyle name="40 % - Akzent6 7 3 2 2 3" xfId="8441" xr:uid="{00000000-0005-0000-0000-0000911F0000}"/>
    <cellStyle name="40 % - Akzent6 7 3 2 2 3 2" xfId="8442" xr:uid="{00000000-0005-0000-0000-0000921F0000}"/>
    <cellStyle name="40 % - Akzent6 7 3 2 2 3 3" xfId="8443" xr:uid="{00000000-0005-0000-0000-0000931F0000}"/>
    <cellStyle name="40 % - Akzent6 7 3 2 2 4" xfId="8444" xr:uid="{00000000-0005-0000-0000-0000941F0000}"/>
    <cellStyle name="40 % - Akzent6 7 3 2 2 4 2" xfId="8445" xr:uid="{00000000-0005-0000-0000-0000951F0000}"/>
    <cellStyle name="40 % - Akzent6 7 3 2 2 5" xfId="8446" xr:uid="{00000000-0005-0000-0000-0000961F0000}"/>
    <cellStyle name="40 % - Akzent6 7 3 2 2 6" xfId="8447" xr:uid="{00000000-0005-0000-0000-0000971F0000}"/>
    <cellStyle name="40 % - Akzent6 7 3 2 3" xfId="8448" xr:uid="{00000000-0005-0000-0000-0000981F0000}"/>
    <cellStyle name="40 % - Akzent6 7 3 2 3 2" xfId="8449" xr:uid="{00000000-0005-0000-0000-0000991F0000}"/>
    <cellStyle name="40 % - Akzent6 7 3 2 3 3" xfId="8450" xr:uid="{00000000-0005-0000-0000-00009A1F0000}"/>
    <cellStyle name="40 % - Akzent6 7 3 2 4" xfId="8451" xr:uid="{00000000-0005-0000-0000-00009B1F0000}"/>
    <cellStyle name="40 % - Akzent6 7 3 2 4 2" xfId="8452" xr:uid="{00000000-0005-0000-0000-00009C1F0000}"/>
    <cellStyle name="40 % - Akzent6 7 3 2 4 3" xfId="8453" xr:uid="{00000000-0005-0000-0000-00009D1F0000}"/>
    <cellStyle name="40 % - Akzent6 7 3 2 5" xfId="8454" xr:uid="{00000000-0005-0000-0000-00009E1F0000}"/>
    <cellStyle name="40 % - Akzent6 7 3 2 5 2" xfId="8455" xr:uid="{00000000-0005-0000-0000-00009F1F0000}"/>
    <cellStyle name="40 % - Akzent6 7 3 2 6" xfId="8456" xr:uid="{00000000-0005-0000-0000-0000A01F0000}"/>
    <cellStyle name="40 % - Akzent6 7 3 2 7" xfId="8457" xr:uid="{00000000-0005-0000-0000-0000A11F0000}"/>
    <cellStyle name="40 % - Akzent6 7 3 3" xfId="8458" xr:uid="{00000000-0005-0000-0000-0000A21F0000}"/>
    <cellStyle name="40 % - Akzent6 7 3 3 2" xfId="8459" xr:uid="{00000000-0005-0000-0000-0000A31F0000}"/>
    <cellStyle name="40 % - Akzent6 7 3 3 2 2" xfId="8460" xr:uid="{00000000-0005-0000-0000-0000A41F0000}"/>
    <cellStyle name="40 % - Akzent6 7 3 3 2 3" xfId="8461" xr:uid="{00000000-0005-0000-0000-0000A51F0000}"/>
    <cellStyle name="40 % - Akzent6 7 3 3 3" xfId="8462" xr:uid="{00000000-0005-0000-0000-0000A61F0000}"/>
    <cellStyle name="40 % - Akzent6 7 3 3 3 2" xfId="8463" xr:uid="{00000000-0005-0000-0000-0000A71F0000}"/>
    <cellStyle name="40 % - Akzent6 7 3 3 3 3" xfId="8464" xr:uid="{00000000-0005-0000-0000-0000A81F0000}"/>
    <cellStyle name="40 % - Akzent6 7 3 3 4" xfId="8465" xr:uid="{00000000-0005-0000-0000-0000A91F0000}"/>
    <cellStyle name="40 % - Akzent6 7 3 3 4 2" xfId="8466" xr:uid="{00000000-0005-0000-0000-0000AA1F0000}"/>
    <cellStyle name="40 % - Akzent6 7 3 3 5" xfId="8467" xr:uid="{00000000-0005-0000-0000-0000AB1F0000}"/>
    <cellStyle name="40 % - Akzent6 7 3 3 6" xfId="8468" xr:uid="{00000000-0005-0000-0000-0000AC1F0000}"/>
    <cellStyle name="40 % - Akzent6 7 3 4" xfId="8469" xr:uid="{00000000-0005-0000-0000-0000AD1F0000}"/>
    <cellStyle name="40 % - Akzent6 7 3 4 2" xfId="8470" xr:uid="{00000000-0005-0000-0000-0000AE1F0000}"/>
    <cellStyle name="40 % - Akzent6 7 3 4 3" xfId="8471" xr:uid="{00000000-0005-0000-0000-0000AF1F0000}"/>
    <cellStyle name="40 % - Akzent6 7 3 5" xfId="8472" xr:uid="{00000000-0005-0000-0000-0000B01F0000}"/>
    <cellStyle name="40 % - Akzent6 7 3 5 2" xfId="8473" xr:uid="{00000000-0005-0000-0000-0000B11F0000}"/>
    <cellStyle name="40 % - Akzent6 7 3 5 3" xfId="8474" xr:uid="{00000000-0005-0000-0000-0000B21F0000}"/>
    <cellStyle name="40 % - Akzent6 7 3 6" xfId="8475" xr:uid="{00000000-0005-0000-0000-0000B31F0000}"/>
    <cellStyle name="40 % - Akzent6 7 3 6 2" xfId="8476" xr:uid="{00000000-0005-0000-0000-0000B41F0000}"/>
    <cellStyle name="40 % - Akzent6 7 3 7" xfId="8477" xr:uid="{00000000-0005-0000-0000-0000B51F0000}"/>
    <cellStyle name="40 % - Akzent6 7 3 8" xfId="8478" xr:uid="{00000000-0005-0000-0000-0000B61F0000}"/>
    <cellStyle name="40 % - Akzent6 7 4" xfId="8479" xr:uid="{00000000-0005-0000-0000-0000B71F0000}"/>
    <cellStyle name="40 % - Akzent6 7 4 2" xfId="8480" xr:uid="{00000000-0005-0000-0000-0000B81F0000}"/>
    <cellStyle name="40 % - Akzent6 7 4 2 2" xfId="8481" xr:uid="{00000000-0005-0000-0000-0000B91F0000}"/>
    <cellStyle name="40 % - Akzent6 7 4 2 2 2" xfId="8482" xr:uid="{00000000-0005-0000-0000-0000BA1F0000}"/>
    <cellStyle name="40 % - Akzent6 7 4 2 2 3" xfId="8483" xr:uid="{00000000-0005-0000-0000-0000BB1F0000}"/>
    <cellStyle name="40 % - Akzent6 7 4 2 3" xfId="8484" xr:uid="{00000000-0005-0000-0000-0000BC1F0000}"/>
    <cellStyle name="40 % - Akzent6 7 4 2 3 2" xfId="8485" xr:uid="{00000000-0005-0000-0000-0000BD1F0000}"/>
    <cellStyle name="40 % - Akzent6 7 4 2 3 3" xfId="8486" xr:uid="{00000000-0005-0000-0000-0000BE1F0000}"/>
    <cellStyle name="40 % - Akzent6 7 4 2 4" xfId="8487" xr:uid="{00000000-0005-0000-0000-0000BF1F0000}"/>
    <cellStyle name="40 % - Akzent6 7 4 2 4 2" xfId="8488" xr:uid="{00000000-0005-0000-0000-0000C01F0000}"/>
    <cellStyle name="40 % - Akzent6 7 4 2 5" xfId="8489" xr:uid="{00000000-0005-0000-0000-0000C11F0000}"/>
    <cellStyle name="40 % - Akzent6 7 4 2 6" xfId="8490" xr:uid="{00000000-0005-0000-0000-0000C21F0000}"/>
    <cellStyle name="40 % - Akzent6 7 4 3" xfId="8491" xr:uid="{00000000-0005-0000-0000-0000C31F0000}"/>
    <cellStyle name="40 % - Akzent6 7 4 3 2" xfId="8492" xr:uid="{00000000-0005-0000-0000-0000C41F0000}"/>
    <cellStyle name="40 % - Akzent6 7 4 3 3" xfId="8493" xr:uid="{00000000-0005-0000-0000-0000C51F0000}"/>
    <cellStyle name="40 % - Akzent6 7 4 4" xfId="8494" xr:uid="{00000000-0005-0000-0000-0000C61F0000}"/>
    <cellStyle name="40 % - Akzent6 7 4 4 2" xfId="8495" xr:uid="{00000000-0005-0000-0000-0000C71F0000}"/>
    <cellStyle name="40 % - Akzent6 7 4 4 3" xfId="8496" xr:uid="{00000000-0005-0000-0000-0000C81F0000}"/>
    <cellStyle name="40 % - Akzent6 7 4 5" xfId="8497" xr:uid="{00000000-0005-0000-0000-0000C91F0000}"/>
    <cellStyle name="40 % - Akzent6 7 4 5 2" xfId="8498" xr:uid="{00000000-0005-0000-0000-0000CA1F0000}"/>
    <cellStyle name="40 % - Akzent6 7 4 6" xfId="8499" xr:uid="{00000000-0005-0000-0000-0000CB1F0000}"/>
    <cellStyle name="40 % - Akzent6 7 4 7" xfId="8500" xr:uid="{00000000-0005-0000-0000-0000CC1F0000}"/>
    <cellStyle name="40 % - Akzent6 7 5" xfId="8501" xr:uid="{00000000-0005-0000-0000-0000CD1F0000}"/>
    <cellStyle name="40 % - Akzent6 7 5 2" xfId="8502" xr:uid="{00000000-0005-0000-0000-0000CE1F0000}"/>
    <cellStyle name="40 % - Akzent6 7 5 2 2" xfId="8503" xr:uid="{00000000-0005-0000-0000-0000CF1F0000}"/>
    <cellStyle name="40 % - Akzent6 7 5 2 3" xfId="8504" xr:uid="{00000000-0005-0000-0000-0000D01F0000}"/>
    <cellStyle name="40 % - Akzent6 7 5 3" xfId="8505" xr:uid="{00000000-0005-0000-0000-0000D11F0000}"/>
    <cellStyle name="40 % - Akzent6 7 5 3 2" xfId="8506" xr:uid="{00000000-0005-0000-0000-0000D21F0000}"/>
    <cellStyle name="40 % - Akzent6 7 5 3 3" xfId="8507" xr:uid="{00000000-0005-0000-0000-0000D31F0000}"/>
    <cellStyle name="40 % - Akzent6 7 5 4" xfId="8508" xr:uid="{00000000-0005-0000-0000-0000D41F0000}"/>
    <cellStyle name="40 % - Akzent6 7 5 4 2" xfId="8509" xr:uid="{00000000-0005-0000-0000-0000D51F0000}"/>
    <cellStyle name="40 % - Akzent6 7 5 5" xfId="8510" xr:uid="{00000000-0005-0000-0000-0000D61F0000}"/>
    <cellStyle name="40 % - Akzent6 7 5 6" xfId="8511" xr:uid="{00000000-0005-0000-0000-0000D71F0000}"/>
    <cellStyle name="40 % - Akzent6 7 6" xfId="8512" xr:uid="{00000000-0005-0000-0000-0000D81F0000}"/>
    <cellStyle name="40 % - Akzent6 7 6 2" xfId="8513" xr:uid="{00000000-0005-0000-0000-0000D91F0000}"/>
    <cellStyle name="40 % - Akzent6 7 6 3" xfId="8514" xr:uid="{00000000-0005-0000-0000-0000DA1F0000}"/>
    <cellStyle name="40 % - Akzent6 7 7" xfId="8515" xr:uid="{00000000-0005-0000-0000-0000DB1F0000}"/>
    <cellStyle name="40 % - Akzent6 7 7 2" xfId="8516" xr:uid="{00000000-0005-0000-0000-0000DC1F0000}"/>
    <cellStyle name="40 % - Akzent6 7 7 3" xfId="8517" xr:uid="{00000000-0005-0000-0000-0000DD1F0000}"/>
    <cellStyle name="40 % - Akzent6 7 8" xfId="8518" xr:uid="{00000000-0005-0000-0000-0000DE1F0000}"/>
    <cellStyle name="40 % - Akzent6 7 8 2" xfId="8519" xr:uid="{00000000-0005-0000-0000-0000DF1F0000}"/>
    <cellStyle name="40 % - Akzent6 7 9" xfId="8520" xr:uid="{00000000-0005-0000-0000-0000E01F0000}"/>
    <cellStyle name="40 % - Akzent6 8" xfId="8521" xr:uid="{00000000-0005-0000-0000-0000E11F0000}"/>
    <cellStyle name="40 % - Akzent6 8 2" xfId="8522" xr:uid="{00000000-0005-0000-0000-0000E21F0000}"/>
    <cellStyle name="40 % - Akzent6 8 2 2" xfId="8523" xr:uid="{00000000-0005-0000-0000-0000E31F0000}"/>
    <cellStyle name="40 % - Akzent6 8 2 2 2" xfId="8524" xr:uid="{00000000-0005-0000-0000-0000E41F0000}"/>
    <cellStyle name="40 % - Akzent6 8 2 2 2 2" xfId="8525" xr:uid="{00000000-0005-0000-0000-0000E51F0000}"/>
    <cellStyle name="40 % - Akzent6 8 2 2 2 3" xfId="8526" xr:uid="{00000000-0005-0000-0000-0000E61F0000}"/>
    <cellStyle name="40 % - Akzent6 8 2 2 3" xfId="8527" xr:uid="{00000000-0005-0000-0000-0000E71F0000}"/>
    <cellStyle name="40 % - Akzent6 8 2 2 3 2" xfId="8528" xr:uid="{00000000-0005-0000-0000-0000E81F0000}"/>
    <cellStyle name="40 % - Akzent6 8 2 2 3 3" xfId="8529" xr:uid="{00000000-0005-0000-0000-0000E91F0000}"/>
    <cellStyle name="40 % - Akzent6 8 2 2 4" xfId="8530" xr:uid="{00000000-0005-0000-0000-0000EA1F0000}"/>
    <cellStyle name="40 % - Akzent6 8 2 2 4 2" xfId="8531" xr:uid="{00000000-0005-0000-0000-0000EB1F0000}"/>
    <cellStyle name="40 % - Akzent6 8 2 2 5" xfId="8532" xr:uid="{00000000-0005-0000-0000-0000EC1F0000}"/>
    <cellStyle name="40 % - Akzent6 8 2 2 6" xfId="8533" xr:uid="{00000000-0005-0000-0000-0000ED1F0000}"/>
    <cellStyle name="40 % - Akzent6 8 2 3" xfId="8534" xr:uid="{00000000-0005-0000-0000-0000EE1F0000}"/>
    <cellStyle name="40 % - Akzent6 8 2 3 2" xfId="8535" xr:uid="{00000000-0005-0000-0000-0000EF1F0000}"/>
    <cellStyle name="40 % - Akzent6 8 2 3 3" xfId="8536" xr:uid="{00000000-0005-0000-0000-0000F01F0000}"/>
    <cellStyle name="40 % - Akzent6 8 2 4" xfId="8537" xr:uid="{00000000-0005-0000-0000-0000F11F0000}"/>
    <cellStyle name="40 % - Akzent6 8 2 4 2" xfId="8538" xr:uid="{00000000-0005-0000-0000-0000F21F0000}"/>
    <cellStyle name="40 % - Akzent6 8 2 4 3" xfId="8539" xr:uid="{00000000-0005-0000-0000-0000F31F0000}"/>
    <cellStyle name="40 % - Akzent6 8 2 5" xfId="8540" xr:uid="{00000000-0005-0000-0000-0000F41F0000}"/>
    <cellStyle name="40 % - Akzent6 8 2 5 2" xfId="8541" xr:uid="{00000000-0005-0000-0000-0000F51F0000}"/>
    <cellStyle name="40 % - Akzent6 8 2 6" xfId="8542" xr:uid="{00000000-0005-0000-0000-0000F61F0000}"/>
    <cellStyle name="40 % - Akzent6 8 2 7" xfId="8543" xr:uid="{00000000-0005-0000-0000-0000F71F0000}"/>
    <cellStyle name="40 % - Akzent6 8 3" xfId="8544" xr:uid="{00000000-0005-0000-0000-0000F81F0000}"/>
    <cellStyle name="40 % - Akzent6 8 3 2" xfId="8545" xr:uid="{00000000-0005-0000-0000-0000F91F0000}"/>
    <cellStyle name="40 % - Akzent6 8 3 2 2" xfId="8546" xr:uid="{00000000-0005-0000-0000-0000FA1F0000}"/>
    <cellStyle name="40 % - Akzent6 8 3 2 3" xfId="8547" xr:uid="{00000000-0005-0000-0000-0000FB1F0000}"/>
    <cellStyle name="40 % - Akzent6 8 3 3" xfId="8548" xr:uid="{00000000-0005-0000-0000-0000FC1F0000}"/>
    <cellStyle name="40 % - Akzent6 8 3 3 2" xfId="8549" xr:uid="{00000000-0005-0000-0000-0000FD1F0000}"/>
    <cellStyle name="40 % - Akzent6 8 3 3 3" xfId="8550" xr:uid="{00000000-0005-0000-0000-0000FE1F0000}"/>
    <cellStyle name="40 % - Akzent6 8 3 4" xfId="8551" xr:uid="{00000000-0005-0000-0000-0000FF1F0000}"/>
    <cellStyle name="40 % - Akzent6 8 3 4 2" xfId="8552" xr:uid="{00000000-0005-0000-0000-000000200000}"/>
    <cellStyle name="40 % - Akzent6 8 3 5" xfId="8553" xr:uid="{00000000-0005-0000-0000-000001200000}"/>
    <cellStyle name="40 % - Akzent6 8 3 6" xfId="8554" xr:uid="{00000000-0005-0000-0000-000002200000}"/>
    <cellStyle name="40 % - Akzent6 8 4" xfId="8555" xr:uid="{00000000-0005-0000-0000-000003200000}"/>
    <cellStyle name="40 % - Akzent6 8 4 2" xfId="8556" xr:uid="{00000000-0005-0000-0000-000004200000}"/>
    <cellStyle name="40 % - Akzent6 8 4 3" xfId="8557" xr:uid="{00000000-0005-0000-0000-000005200000}"/>
    <cellStyle name="40 % - Akzent6 8 5" xfId="8558" xr:uid="{00000000-0005-0000-0000-000006200000}"/>
    <cellStyle name="40 % - Akzent6 8 5 2" xfId="8559" xr:uid="{00000000-0005-0000-0000-000007200000}"/>
    <cellStyle name="40 % - Akzent6 8 5 3" xfId="8560" xr:uid="{00000000-0005-0000-0000-000008200000}"/>
    <cellStyle name="40 % - Akzent6 8 6" xfId="8561" xr:uid="{00000000-0005-0000-0000-000009200000}"/>
    <cellStyle name="40 % - Akzent6 8 6 2" xfId="8562" xr:uid="{00000000-0005-0000-0000-00000A200000}"/>
    <cellStyle name="40 % - Akzent6 8 7" xfId="8563" xr:uid="{00000000-0005-0000-0000-00000B200000}"/>
    <cellStyle name="40 % - Akzent6 8 8" xfId="8564" xr:uid="{00000000-0005-0000-0000-00000C200000}"/>
    <cellStyle name="40% - Accent1" xfId="8565" xr:uid="{00000000-0005-0000-0000-00000D200000}"/>
    <cellStyle name="40% - Accent1 2" xfId="205" xr:uid="{00000000-0005-0000-0000-00000E200000}"/>
    <cellStyle name="40% - Accent1 2 2" xfId="206" xr:uid="{00000000-0005-0000-0000-00000F200000}"/>
    <cellStyle name="40% - Accent1 2 3" xfId="207" xr:uid="{00000000-0005-0000-0000-000010200000}"/>
    <cellStyle name="40% - Accent1 3" xfId="8566" xr:uid="{00000000-0005-0000-0000-000011200000}"/>
    <cellStyle name="40% - Accent1 4" xfId="8567" xr:uid="{00000000-0005-0000-0000-000012200000}"/>
    <cellStyle name="40% - Accent1 5" xfId="33365" xr:uid="{00000000-0005-0000-0000-000013200000}"/>
    <cellStyle name="40% - Accent2" xfId="8568" xr:uid="{00000000-0005-0000-0000-000014200000}"/>
    <cellStyle name="40% - Accent2 2" xfId="208" xr:uid="{00000000-0005-0000-0000-000015200000}"/>
    <cellStyle name="40% - Accent2 2 2" xfId="209" xr:uid="{00000000-0005-0000-0000-000016200000}"/>
    <cellStyle name="40% - Accent2 2 3" xfId="210" xr:uid="{00000000-0005-0000-0000-000017200000}"/>
    <cellStyle name="40% - Accent2 3" xfId="33366" xr:uid="{00000000-0005-0000-0000-000018200000}"/>
    <cellStyle name="40% - Accent3" xfId="8569" xr:uid="{00000000-0005-0000-0000-000019200000}"/>
    <cellStyle name="40% - Accent3 2" xfId="211" xr:uid="{00000000-0005-0000-0000-00001A200000}"/>
    <cellStyle name="40% - Accent3 2 2" xfId="212" xr:uid="{00000000-0005-0000-0000-00001B200000}"/>
    <cellStyle name="40% - Accent3 2 3" xfId="213" xr:uid="{00000000-0005-0000-0000-00001C200000}"/>
    <cellStyle name="40% - Accent3 3" xfId="214" xr:uid="{00000000-0005-0000-0000-00001D200000}"/>
    <cellStyle name="40% - Accent3 4" xfId="215" xr:uid="{00000000-0005-0000-0000-00001E200000}"/>
    <cellStyle name="40% - Accent3 5" xfId="33367" xr:uid="{00000000-0005-0000-0000-00001F200000}"/>
    <cellStyle name="40% - Accent4" xfId="8570" xr:uid="{00000000-0005-0000-0000-000020200000}"/>
    <cellStyle name="40% - Accent4 2" xfId="216" xr:uid="{00000000-0005-0000-0000-000021200000}"/>
    <cellStyle name="40% - Accent4 2 2" xfId="217" xr:uid="{00000000-0005-0000-0000-000022200000}"/>
    <cellStyle name="40% - Accent4 2 3" xfId="218" xr:uid="{00000000-0005-0000-0000-000023200000}"/>
    <cellStyle name="40% - Accent4 3" xfId="8571" xr:uid="{00000000-0005-0000-0000-000024200000}"/>
    <cellStyle name="40% - Accent4 4" xfId="8572" xr:uid="{00000000-0005-0000-0000-000025200000}"/>
    <cellStyle name="40% - Accent4 5" xfId="33368" xr:uid="{00000000-0005-0000-0000-000026200000}"/>
    <cellStyle name="40% - Accent5" xfId="8573" xr:uid="{00000000-0005-0000-0000-000027200000}"/>
    <cellStyle name="40% - Accent5 2" xfId="219" xr:uid="{00000000-0005-0000-0000-000028200000}"/>
    <cellStyle name="40% - Accent5 2 2" xfId="220" xr:uid="{00000000-0005-0000-0000-000029200000}"/>
    <cellStyle name="40% - Accent5 2 3" xfId="221" xr:uid="{00000000-0005-0000-0000-00002A200000}"/>
    <cellStyle name="40% - Accent5 3" xfId="8574" xr:uid="{00000000-0005-0000-0000-00002B200000}"/>
    <cellStyle name="40% - Accent5 4" xfId="8575" xr:uid="{00000000-0005-0000-0000-00002C200000}"/>
    <cellStyle name="40% - Accent5 5" xfId="33369" xr:uid="{00000000-0005-0000-0000-00002D200000}"/>
    <cellStyle name="40% - Accent6" xfId="8576" xr:uid="{00000000-0005-0000-0000-00002E200000}"/>
    <cellStyle name="40% - Accent6 2" xfId="222" xr:uid="{00000000-0005-0000-0000-00002F200000}"/>
    <cellStyle name="40% - Accent6 2 2" xfId="223" xr:uid="{00000000-0005-0000-0000-000030200000}"/>
    <cellStyle name="40% - Accent6 2 3" xfId="224" xr:uid="{00000000-0005-0000-0000-000031200000}"/>
    <cellStyle name="40% - Accent6 3" xfId="8577" xr:uid="{00000000-0005-0000-0000-000032200000}"/>
    <cellStyle name="40% - Accent6 4" xfId="8578" xr:uid="{00000000-0005-0000-0000-000033200000}"/>
    <cellStyle name="40% - Accent6 5" xfId="33370" xr:uid="{00000000-0005-0000-0000-000034200000}"/>
    <cellStyle name="40% - Akzent1" xfId="225" xr:uid="{00000000-0005-0000-0000-000035200000}"/>
    <cellStyle name="40% - Akzent1 2" xfId="226" xr:uid="{00000000-0005-0000-0000-000036200000}"/>
    <cellStyle name="40% - Akzent1 2 2" xfId="227" xr:uid="{00000000-0005-0000-0000-000037200000}"/>
    <cellStyle name="40% - Akzent1 2 2 2" xfId="33371" xr:uid="{00000000-0005-0000-0000-000038200000}"/>
    <cellStyle name="40% - Akzent1 3" xfId="228" xr:uid="{00000000-0005-0000-0000-000039200000}"/>
    <cellStyle name="40% - Akzent2" xfId="229" xr:uid="{00000000-0005-0000-0000-00003A200000}"/>
    <cellStyle name="40% - Akzent2 2" xfId="230" xr:uid="{00000000-0005-0000-0000-00003B200000}"/>
    <cellStyle name="40% - Akzent2 2 2" xfId="231" xr:uid="{00000000-0005-0000-0000-00003C200000}"/>
    <cellStyle name="40% - Akzent2 2 2 2" xfId="33372" xr:uid="{00000000-0005-0000-0000-00003D200000}"/>
    <cellStyle name="40% - Akzent2 3" xfId="232" xr:uid="{00000000-0005-0000-0000-00003E200000}"/>
    <cellStyle name="40% - Akzent3" xfId="233" xr:uid="{00000000-0005-0000-0000-00003F200000}"/>
    <cellStyle name="40% - Akzent3 2" xfId="234" xr:uid="{00000000-0005-0000-0000-000040200000}"/>
    <cellStyle name="40% - Akzent3 2 2" xfId="235" xr:uid="{00000000-0005-0000-0000-000041200000}"/>
    <cellStyle name="40% - Akzent3 2 2 2" xfId="33373" xr:uid="{00000000-0005-0000-0000-000042200000}"/>
    <cellStyle name="40% - Akzent3 3" xfId="236" xr:uid="{00000000-0005-0000-0000-000043200000}"/>
    <cellStyle name="40% - Akzent4" xfId="237" xr:uid="{00000000-0005-0000-0000-000044200000}"/>
    <cellStyle name="40% - Akzent4 2" xfId="238" xr:uid="{00000000-0005-0000-0000-000045200000}"/>
    <cellStyle name="40% - Akzent4 2 2" xfId="239" xr:uid="{00000000-0005-0000-0000-000046200000}"/>
    <cellStyle name="40% - Akzent4 2 2 2" xfId="33374" xr:uid="{00000000-0005-0000-0000-000047200000}"/>
    <cellStyle name="40% - Akzent4 3" xfId="240" xr:uid="{00000000-0005-0000-0000-000048200000}"/>
    <cellStyle name="40% - Akzent5" xfId="241" xr:uid="{00000000-0005-0000-0000-000049200000}"/>
    <cellStyle name="40% - Akzent5 2" xfId="242" xr:uid="{00000000-0005-0000-0000-00004A200000}"/>
    <cellStyle name="40% - Akzent5 2 2" xfId="243" xr:uid="{00000000-0005-0000-0000-00004B200000}"/>
    <cellStyle name="40% - Akzent5 2 2 2" xfId="33375" xr:uid="{00000000-0005-0000-0000-00004C200000}"/>
    <cellStyle name="40% - Akzent5 3" xfId="244" xr:uid="{00000000-0005-0000-0000-00004D200000}"/>
    <cellStyle name="40% - Akzent6" xfId="245" xr:uid="{00000000-0005-0000-0000-00004E200000}"/>
    <cellStyle name="40% - Akzent6 2" xfId="246" xr:uid="{00000000-0005-0000-0000-00004F200000}"/>
    <cellStyle name="40% - Akzent6 2 2" xfId="247" xr:uid="{00000000-0005-0000-0000-000050200000}"/>
    <cellStyle name="40% - Akzent6 2 2 2" xfId="33376" xr:uid="{00000000-0005-0000-0000-000051200000}"/>
    <cellStyle name="40% - Akzent6 3" xfId="248" xr:uid="{00000000-0005-0000-0000-000052200000}"/>
    <cellStyle name="40% - Énfasis1" xfId="8579" xr:uid="{00000000-0005-0000-0000-000053200000}"/>
    <cellStyle name="40% - Énfasis1 2" xfId="8580" xr:uid="{00000000-0005-0000-0000-000054200000}"/>
    <cellStyle name="40% - Énfasis1 3" xfId="8581" xr:uid="{00000000-0005-0000-0000-000055200000}"/>
    <cellStyle name="40% - Énfasis2" xfId="8582" xr:uid="{00000000-0005-0000-0000-000056200000}"/>
    <cellStyle name="40% - Énfasis2 2" xfId="8583" xr:uid="{00000000-0005-0000-0000-000057200000}"/>
    <cellStyle name="40% - Énfasis3" xfId="8584" xr:uid="{00000000-0005-0000-0000-000058200000}"/>
    <cellStyle name="40% - Énfasis3 2" xfId="8585" xr:uid="{00000000-0005-0000-0000-000059200000}"/>
    <cellStyle name="40% - Énfasis4" xfId="8586" xr:uid="{00000000-0005-0000-0000-00005A200000}"/>
    <cellStyle name="40% - Énfasis4 2" xfId="8587" xr:uid="{00000000-0005-0000-0000-00005B200000}"/>
    <cellStyle name="40% - Énfasis4 3" xfId="8588" xr:uid="{00000000-0005-0000-0000-00005C200000}"/>
    <cellStyle name="40% - Énfasis5" xfId="8589" xr:uid="{00000000-0005-0000-0000-00005D200000}"/>
    <cellStyle name="40% - Énfasis5 2" xfId="8590" xr:uid="{00000000-0005-0000-0000-00005E200000}"/>
    <cellStyle name="40% - Énfasis5 3" xfId="8591" xr:uid="{00000000-0005-0000-0000-00005F200000}"/>
    <cellStyle name="40% - Énfasis6" xfId="8592" xr:uid="{00000000-0005-0000-0000-000060200000}"/>
    <cellStyle name="40% - Énfasis6 2" xfId="8593" xr:uid="{00000000-0005-0000-0000-000061200000}"/>
    <cellStyle name="40% - Énfasis6 3" xfId="8594" xr:uid="{00000000-0005-0000-0000-000062200000}"/>
    <cellStyle name="40% - Акцент1" xfId="249" xr:uid="{00000000-0005-0000-0000-000063200000}"/>
    <cellStyle name="40% - Акцент2" xfId="250" xr:uid="{00000000-0005-0000-0000-000064200000}"/>
    <cellStyle name="40% - Акцент3" xfId="251" xr:uid="{00000000-0005-0000-0000-000065200000}"/>
    <cellStyle name="40% - Акцент4" xfId="252" xr:uid="{00000000-0005-0000-0000-000066200000}"/>
    <cellStyle name="40% - Акцент5" xfId="253" xr:uid="{00000000-0005-0000-0000-000067200000}"/>
    <cellStyle name="40% - Акцент6" xfId="254" xr:uid="{00000000-0005-0000-0000-000068200000}"/>
    <cellStyle name="60 % - Akzent1 2" xfId="255" xr:uid="{00000000-0005-0000-0000-000069200000}"/>
    <cellStyle name="60 % - Akzent1 2 2" xfId="256" xr:uid="{00000000-0005-0000-0000-00006A200000}"/>
    <cellStyle name="60 % - Akzent1 2 2 2" xfId="257" xr:uid="{00000000-0005-0000-0000-00006B200000}"/>
    <cellStyle name="60 % - Akzent1 2 3" xfId="258" xr:uid="{00000000-0005-0000-0000-00006C200000}"/>
    <cellStyle name="60 % - Akzent1 3" xfId="259" xr:uid="{00000000-0005-0000-0000-00006D200000}"/>
    <cellStyle name="60 % - Akzent1 3 2" xfId="260" xr:uid="{00000000-0005-0000-0000-00006E200000}"/>
    <cellStyle name="60 % - Akzent1 4" xfId="8595" xr:uid="{00000000-0005-0000-0000-00006F200000}"/>
    <cellStyle name="60 % - Akzent1 4 2" xfId="8596" xr:uid="{00000000-0005-0000-0000-000070200000}"/>
    <cellStyle name="60 % - Akzent1 5" xfId="8597" xr:uid="{00000000-0005-0000-0000-000071200000}"/>
    <cellStyle name="60 % - Akzent1 5 2" xfId="8598" xr:uid="{00000000-0005-0000-0000-000072200000}"/>
    <cellStyle name="60 % - Akzent1 6" xfId="8599" xr:uid="{00000000-0005-0000-0000-000073200000}"/>
    <cellStyle name="60 % - Akzent2 2" xfId="261" xr:uid="{00000000-0005-0000-0000-000074200000}"/>
    <cellStyle name="60 % - Akzent2 2 2" xfId="262" xr:uid="{00000000-0005-0000-0000-000075200000}"/>
    <cellStyle name="60 % - Akzent2 2 2 2" xfId="263" xr:uid="{00000000-0005-0000-0000-000076200000}"/>
    <cellStyle name="60 % - Akzent2 2 3" xfId="264" xr:uid="{00000000-0005-0000-0000-000077200000}"/>
    <cellStyle name="60 % - Akzent2 3" xfId="265" xr:uid="{00000000-0005-0000-0000-000078200000}"/>
    <cellStyle name="60 % - Akzent2 3 2" xfId="266" xr:uid="{00000000-0005-0000-0000-000079200000}"/>
    <cellStyle name="60 % - Akzent2 4" xfId="8600" xr:uid="{00000000-0005-0000-0000-00007A200000}"/>
    <cellStyle name="60 % - Akzent2 4 2" xfId="8601" xr:uid="{00000000-0005-0000-0000-00007B200000}"/>
    <cellStyle name="60 % - Akzent2 5" xfId="8602" xr:uid="{00000000-0005-0000-0000-00007C200000}"/>
    <cellStyle name="60 % - Akzent2 5 2" xfId="8603" xr:uid="{00000000-0005-0000-0000-00007D200000}"/>
    <cellStyle name="60 % - Akzent2 6" xfId="8604" xr:uid="{00000000-0005-0000-0000-00007E200000}"/>
    <cellStyle name="60 % - Akzent3 2" xfId="267" xr:uid="{00000000-0005-0000-0000-00007F200000}"/>
    <cellStyle name="60 % - Akzent3 2 2" xfId="268" xr:uid="{00000000-0005-0000-0000-000080200000}"/>
    <cellStyle name="60 % - Akzent3 2 2 2" xfId="269" xr:uid="{00000000-0005-0000-0000-000081200000}"/>
    <cellStyle name="60 % - Akzent3 2 3" xfId="270" xr:uid="{00000000-0005-0000-0000-000082200000}"/>
    <cellStyle name="60 % - Akzent3 2 4" xfId="8605" xr:uid="{00000000-0005-0000-0000-000083200000}"/>
    <cellStyle name="60 % - Akzent3 3" xfId="271" xr:uid="{00000000-0005-0000-0000-000084200000}"/>
    <cellStyle name="60 % - Akzent3 3 2" xfId="272" xr:uid="{00000000-0005-0000-0000-000085200000}"/>
    <cellStyle name="60 % - Akzent3 4" xfId="8606" xr:uid="{00000000-0005-0000-0000-000086200000}"/>
    <cellStyle name="60 % - Akzent3 4 2" xfId="8607" xr:uid="{00000000-0005-0000-0000-000087200000}"/>
    <cellStyle name="60 % - Akzent3 5" xfId="8608" xr:uid="{00000000-0005-0000-0000-000088200000}"/>
    <cellStyle name="60 % - Akzent3 5 2" xfId="8609" xr:uid="{00000000-0005-0000-0000-000089200000}"/>
    <cellStyle name="60 % - Akzent3 6" xfId="8610" xr:uid="{00000000-0005-0000-0000-00008A200000}"/>
    <cellStyle name="60 % - Akzent4 2" xfId="273" xr:uid="{00000000-0005-0000-0000-00008B200000}"/>
    <cellStyle name="60 % - Akzent4 2 2" xfId="274" xr:uid="{00000000-0005-0000-0000-00008C200000}"/>
    <cellStyle name="60 % - Akzent4 2 2 2" xfId="275" xr:uid="{00000000-0005-0000-0000-00008D200000}"/>
    <cellStyle name="60 % - Akzent4 2 3" xfId="276" xr:uid="{00000000-0005-0000-0000-00008E200000}"/>
    <cellStyle name="60 % - Akzent4 2 4" xfId="8611" xr:uid="{00000000-0005-0000-0000-00008F200000}"/>
    <cellStyle name="60 % - Akzent4 3" xfId="277" xr:uid="{00000000-0005-0000-0000-000090200000}"/>
    <cellStyle name="60 % - Akzent4 3 2" xfId="278" xr:uid="{00000000-0005-0000-0000-000091200000}"/>
    <cellStyle name="60 % - Akzent4 4" xfId="8612" xr:uid="{00000000-0005-0000-0000-000092200000}"/>
    <cellStyle name="60 % - Akzent4 4 2" xfId="8613" xr:uid="{00000000-0005-0000-0000-000093200000}"/>
    <cellStyle name="60 % - Akzent4 5" xfId="8614" xr:uid="{00000000-0005-0000-0000-000094200000}"/>
    <cellStyle name="60 % - Akzent4 5 2" xfId="8615" xr:uid="{00000000-0005-0000-0000-000095200000}"/>
    <cellStyle name="60 % - Akzent4 6" xfId="8616" xr:uid="{00000000-0005-0000-0000-000096200000}"/>
    <cellStyle name="60 % - Akzent5 2" xfId="279" xr:uid="{00000000-0005-0000-0000-000097200000}"/>
    <cellStyle name="60 % - Akzent5 2 2" xfId="280" xr:uid="{00000000-0005-0000-0000-000098200000}"/>
    <cellStyle name="60 % - Akzent5 2 2 2" xfId="281" xr:uid="{00000000-0005-0000-0000-000099200000}"/>
    <cellStyle name="60 % - Akzent5 2 3" xfId="282" xr:uid="{00000000-0005-0000-0000-00009A200000}"/>
    <cellStyle name="60 % - Akzent5 3" xfId="283" xr:uid="{00000000-0005-0000-0000-00009B200000}"/>
    <cellStyle name="60 % - Akzent5 3 2" xfId="284" xr:uid="{00000000-0005-0000-0000-00009C200000}"/>
    <cellStyle name="60 % - Akzent5 4" xfId="8617" xr:uid="{00000000-0005-0000-0000-00009D200000}"/>
    <cellStyle name="60 % - Akzent5 4 2" xfId="8618" xr:uid="{00000000-0005-0000-0000-00009E200000}"/>
    <cellStyle name="60 % - Akzent5 5" xfId="8619" xr:uid="{00000000-0005-0000-0000-00009F200000}"/>
    <cellStyle name="60 % - Akzent5 5 2" xfId="8620" xr:uid="{00000000-0005-0000-0000-0000A0200000}"/>
    <cellStyle name="60 % - Akzent5 6" xfId="8621" xr:uid="{00000000-0005-0000-0000-0000A1200000}"/>
    <cellStyle name="60 % - Akzent6 2" xfId="285" xr:uid="{00000000-0005-0000-0000-0000A2200000}"/>
    <cellStyle name="60 % - Akzent6 2 2" xfId="286" xr:uid="{00000000-0005-0000-0000-0000A3200000}"/>
    <cellStyle name="60 % - Akzent6 2 2 2" xfId="287" xr:uid="{00000000-0005-0000-0000-0000A4200000}"/>
    <cellStyle name="60 % - Akzent6 2 3" xfId="288" xr:uid="{00000000-0005-0000-0000-0000A5200000}"/>
    <cellStyle name="60 % - Akzent6 2 4" xfId="8622" xr:uid="{00000000-0005-0000-0000-0000A6200000}"/>
    <cellStyle name="60 % - Akzent6 3" xfId="289" xr:uid="{00000000-0005-0000-0000-0000A7200000}"/>
    <cellStyle name="60 % - Akzent6 3 2" xfId="290" xr:uid="{00000000-0005-0000-0000-0000A8200000}"/>
    <cellStyle name="60 % - Akzent6 4" xfId="8623" xr:uid="{00000000-0005-0000-0000-0000A9200000}"/>
    <cellStyle name="60 % - Akzent6 4 2" xfId="8624" xr:uid="{00000000-0005-0000-0000-0000AA200000}"/>
    <cellStyle name="60 % - Akzent6 5" xfId="8625" xr:uid="{00000000-0005-0000-0000-0000AB200000}"/>
    <cellStyle name="60 % - Akzent6 5 2" xfId="8626" xr:uid="{00000000-0005-0000-0000-0000AC200000}"/>
    <cellStyle name="60 % - Akzent6 6" xfId="8627" xr:uid="{00000000-0005-0000-0000-0000AD200000}"/>
    <cellStyle name="60% - Accent1" xfId="8628" xr:uid="{00000000-0005-0000-0000-0000AE200000}"/>
    <cellStyle name="60% - Accent1 2" xfId="291" xr:uid="{00000000-0005-0000-0000-0000AF200000}"/>
    <cellStyle name="60% - Accent1 2 2" xfId="8629" xr:uid="{00000000-0005-0000-0000-0000B0200000}"/>
    <cellStyle name="60% - Accent1 2 3" xfId="8630" xr:uid="{00000000-0005-0000-0000-0000B1200000}"/>
    <cellStyle name="60% - Accent1 2 4" xfId="33378" xr:uid="{00000000-0005-0000-0000-0000B2200000}"/>
    <cellStyle name="60% - Accent1 3" xfId="8631" xr:uid="{00000000-0005-0000-0000-0000B3200000}"/>
    <cellStyle name="60% - Accent1 4" xfId="8632" xr:uid="{00000000-0005-0000-0000-0000B4200000}"/>
    <cellStyle name="60% - Accent1 5" xfId="33377" xr:uid="{00000000-0005-0000-0000-0000B5200000}"/>
    <cellStyle name="60% - Accent2" xfId="8633" xr:uid="{00000000-0005-0000-0000-0000B6200000}"/>
    <cellStyle name="60% - Accent2 2" xfId="292" xr:uid="{00000000-0005-0000-0000-0000B7200000}"/>
    <cellStyle name="60% - Accent2 2 2" xfId="8634" xr:uid="{00000000-0005-0000-0000-0000B8200000}"/>
    <cellStyle name="60% - Accent2 2 3" xfId="8635" xr:uid="{00000000-0005-0000-0000-0000B9200000}"/>
    <cellStyle name="60% - Accent2 3" xfId="8636" xr:uid="{00000000-0005-0000-0000-0000BA200000}"/>
    <cellStyle name="60% - Accent2 4" xfId="8637" xr:uid="{00000000-0005-0000-0000-0000BB200000}"/>
    <cellStyle name="60% - Accent2 5" xfId="33379" xr:uid="{00000000-0005-0000-0000-0000BC200000}"/>
    <cellStyle name="60% - Accent3" xfId="8638" xr:uid="{00000000-0005-0000-0000-0000BD200000}"/>
    <cellStyle name="60% - Accent3 2" xfId="293" xr:uid="{00000000-0005-0000-0000-0000BE200000}"/>
    <cellStyle name="60% - Accent3 2 2" xfId="8639" xr:uid="{00000000-0005-0000-0000-0000BF200000}"/>
    <cellStyle name="60% - Accent3 2 3" xfId="8640" xr:uid="{00000000-0005-0000-0000-0000C0200000}"/>
    <cellStyle name="60% - Accent3 2 4" xfId="33381" xr:uid="{00000000-0005-0000-0000-0000C1200000}"/>
    <cellStyle name="60% - Accent3 3" xfId="294" xr:uid="{00000000-0005-0000-0000-0000C2200000}"/>
    <cellStyle name="60% - Accent3 4" xfId="295" xr:uid="{00000000-0005-0000-0000-0000C3200000}"/>
    <cellStyle name="60% - Accent3 5" xfId="33380" xr:uid="{00000000-0005-0000-0000-0000C4200000}"/>
    <cellStyle name="60% - Accent4" xfId="8641" xr:uid="{00000000-0005-0000-0000-0000C5200000}"/>
    <cellStyle name="60% - Accent4 2" xfId="296" xr:uid="{00000000-0005-0000-0000-0000C6200000}"/>
    <cellStyle name="60% - Accent4 2 2" xfId="8642" xr:uid="{00000000-0005-0000-0000-0000C7200000}"/>
    <cellStyle name="60% - Accent4 2 3" xfId="8643" xr:uid="{00000000-0005-0000-0000-0000C8200000}"/>
    <cellStyle name="60% - Accent4 2 4" xfId="33383" xr:uid="{00000000-0005-0000-0000-0000C9200000}"/>
    <cellStyle name="60% - Accent4 3" xfId="297" xr:uid="{00000000-0005-0000-0000-0000CA200000}"/>
    <cellStyle name="60% - Accent4 4" xfId="298" xr:uid="{00000000-0005-0000-0000-0000CB200000}"/>
    <cellStyle name="60% - Accent4 5" xfId="33382" xr:uid="{00000000-0005-0000-0000-0000CC200000}"/>
    <cellStyle name="60% - Accent5" xfId="8644" xr:uid="{00000000-0005-0000-0000-0000CD200000}"/>
    <cellStyle name="60% - Accent5 2" xfId="299" xr:uid="{00000000-0005-0000-0000-0000CE200000}"/>
    <cellStyle name="60% - Accent5 2 2" xfId="8645" xr:uid="{00000000-0005-0000-0000-0000CF200000}"/>
    <cellStyle name="60% - Accent5 2 3" xfId="8646" xr:uid="{00000000-0005-0000-0000-0000D0200000}"/>
    <cellStyle name="60% - Accent5 3" xfId="8647" xr:uid="{00000000-0005-0000-0000-0000D1200000}"/>
    <cellStyle name="60% - Accent5 4" xfId="8648" xr:uid="{00000000-0005-0000-0000-0000D2200000}"/>
    <cellStyle name="60% - Accent5 5" xfId="33384" xr:uid="{00000000-0005-0000-0000-0000D3200000}"/>
    <cellStyle name="60% - Accent6" xfId="8649" xr:uid="{00000000-0005-0000-0000-0000D4200000}"/>
    <cellStyle name="60% - Accent6 2" xfId="300" xr:uid="{00000000-0005-0000-0000-0000D5200000}"/>
    <cellStyle name="60% - Accent6 2 2" xfId="33386" xr:uid="{00000000-0005-0000-0000-0000D6200000}"/>
    <cellStyle name="60% - Accent6 3" xfId="301" xr:uid="{00000000-0005-0000-0000-0000D7200000}"/>
    <cellStyle name="60% - Accent6 4" xfId="302" xr:uid="{00000000-0005-0000-0000-0000D8200000}"/>
    <cellStyle name="60% - Accent6 5" xfId="33385" xr:uid="{00000000-0005-0000-0000-0000D9200000}"/>
    <cellStyle name="60% - Akzent1" xfId="303" xr:uid="{00000000-0005-0000-0000-0000DA200000}"/>
    <cellStyle name="60% - Akzent1 2" xfId="304" xr:uid="{00000000-0005-0000-0000-0000DB200000}"/>
    <cellStyle name="60% - Akzent1 2 2" xfId="305" xr:uid="{00000000-0005-0000-0000-0000DC200000}"/>
    <cellStyle name="60% - Akzent1 2 2 2" xfId="33387" xr:uid="{00000000-0005-0000-0000-0000DD200000}"/>
    <cellStyle name="60% - Akzent1 3" xfId="306" xr:uid="{00000000-0005-0000-0000-0000DE200000}"/>
    <cellStyle name="60% - Akzent2" xfId="307" xr:uid="{00000000-0005-0000-0000-0000DF200000}"/>
    <cellStyle name="60% - Akzent2 2" xfId="308" xr:uid="{00000000-0005-0000-0000-0000E0200000}"/>
    <cellStyle name="60% - Akzent2 2 2" xfId="309" xr:uid="{00000000-0005-0000-0000-0000E1200000}"/>
    <cellStyle name="60% - Akzent2 2 2 2" xfId="33388" xr:uid="{00000000-0005-0000-0000-0000E2200000}"/>
    <cellStyle name="60% - Akzent2 3" xfId="310" xr:uid="{00000000-0005-0000-0000-0000E3200000}"/>
    <cellStyle name="60% - Akzent3" xfId="311" xr:uid="{00000000-0005-0000-0000-0000E4200000}"/>
    <cellStyle name="60% - Akzent3 2" xfId="312" xr:uid="{00000000-0005-0000-0000-0000E5200000}"/>
    <cellStyle name="60% - Akzent3 2 2" xfId="313" xr:uid="{00000000-0005-0000-0000-0000E6200000}"/>
    <cellStyle name="60% - Akzent3 2 2 2" xfId="33389" xr:uid="{00000000-0005-0000-0000-0000E7200000}"/>
    <cellStyle name="60% - Akzent3 3" xfId="314" xr:uid="{00000000-0005-0000-0000-0000E8200000}"/>
    <cellStyle name="60% - Akzent4" xfId="315" xr:uid="{00000000-0005-0000-0000-0000E9200000}"/>
    <cellStyle name="60% - Akzent4 2" xfId="316" xr:uid="{00000000-0005-0000-0000-0000EA200000}"/>
    <cellStyle name="60% - Akzent4 2 2" xfId="317" xr:uid="{00000000-0005-0000-0000-0000EB200000}"/>
    <cellStyle name="60% - Akzent4 2 2 2" xfId="33390" xr:uid="{00000000-0005-0000-0000-0000EC200000}"/>
    <cellStyle name="60% - Akzent4 3" xfId="318" xr:uid="{00000000-0005-0000-0000-0000ED200000}"/>
    <cellStyle name="60% - Akzent5" xfId="319" xr:uid="{00000000-0005-0000-0000-0000EE200000}"/>
    <cellStyle name="60% - Akzent5 2" xfId="320" xr:uid="{00000000-0005-0000-0000-0000EF200000}"/>
    <cellStyle name="60% - Akzent5 2 2" xfId="321" xr:uid="{00000000-0005-0000-0000-0000F0200000}"/>
    <cellStyle name="60% - Akzent5 2 2 2" xfId="33391" xr:uid="{00000000-0005-0000-0000-0000F1200000}"/>
    <cellStyle name="60% - Akzent5 3" xfId="322" xr:uid="{00000000-0005-0000-0000-0000F2200000}"/>
    <cellStyle name="60% - Akzent6" xfId="323" xr:uid="{00000000-0005-0000-0000-0000F3200000}"/>
    <cellStyle name="60% - Akzent6 2" xfId="324" xr:uid="{00000000-0005-0000-0000-0000F4200000}"/>
    <cellStyle name="60% - Akzent6 2 2" xfId="325" xr:uid="{00000000-0005-0000-0000-0000F5200000}"/>
    <cellStyle name="60% - Akzent6 2 2 2" xfId="33392" xr:uid="{00000000-0005-0000-0000-0000F6200000}"/>
    <cellStyle name="60% - Akzent6 3" xfId="326" xr:uid="{00000000-0005-0000-0000-0000F7200000}"/>
    <cellStyle name="60% - Énfasis1" xfId="8650" xr:uid="{00000000-0005-0000-0000-0000F8200000}"/>
    <cellStyle name="60% - Énfasis1 2" xfId="8651" xr:uid="{00000000-0005-0000-0000-0000F9200000}"/>
    <cellStyle name="60% - Énfasis2" xfId="8652" xr:uid="{00000000-0005-0000-0000-0000FA200000}"/>
    <cellStyle name="60% - Énfasis2 2" xfId="8653" xr:uid="{00000000-0005-0000-0000-0000FB200000}"/>
    <cellStyle name="60% - Énfasis3" xfId="8654" xr:uid="{00000000-0005-0000-0000-0000FC200000}"/>
    <cellStyle name="60% - Énfasis3 2" xfId="8655" xr:uid="{00000000-0005-0000-0000-0000FD200000}"/>
    <cellStyle name="60% - Énfasis4" xfId="8656" xr:uid="{00000000-0005-0000-0000-0000FE200000}"/>
    <cellStyle name="60% - Énfasis4 2" xfId="8657" xr:uid="{00000000-0005-0000-0000-0000FF200000}"/>
    <cellStyle name="60% - Énfasis5" xfId="8658" xr:uid="{00000000-0005-0000-0000-000000210000}"/>
    <cellStyle name="60% - Énfasis5 2" xfId="8659" xr:uid="{00000000-0005-0000-0000-000001210000}"/>
    <cellStyle name="60% - Énfasis6" xfId="8660" xr:uid="{00000000-0005-0000-0000-000002210000}"/>
    <cellStyle name="60% - Énfasis6 2" xfId="8661" xr:uid="{00000000-0005-0000-0000-000003210000}"/>
    <cellStyle name="60% - Акцент1" xfId="327" xr:uid="{00000000-0005-0000-0000-000004210000}"/>
    <cellStyle name="60% - Акцент2" xfId="328" xr:uid="{00000000-0005-0000-0000-000005210000}"/>
    <cellStyle name="60% - Акцент3" xfId="329" xr:uid="{00000000-0005-0000-0000-000006210000}"/>
    <cellStyle name="60% - Акцент4" xfId="330" xr:uid="{00000000-0005-0000-0000-000007210000}"/>
    <cellStyle name="60% - Акцент5" xfId="331" xr:uid="{00000000-0005-0000-0000-000008210000}"/>
    <cellStyle name="60% - Акцент6" xfId="332" xr:uid="{00000000-0005-0000-0000-000009210000}"/>
    <cellStyle name="ac" xfId="8662" xr:uid="{00000000-0005-0000-0000-00000A210000}"/>
    <cellStyle name="Accent1" xfId="357" xr:uid="{00000000-0005-0000-0000-00000B210000}"/>
    <cellStyle name="Accent1 2" xfId="333" xr:uid="{00000000-0005-0000-0000-00000C210000}"/>
    <cellStyle name="Accent1 2 2" xfId="8663" xr:uid="{00000000-0005-0000-0000-00000D210000}"/>
    <cellStyle name="Accent1 2 3" xfId="8664" xr:uid="{00000000-0005-0000-0000-00000E210000}"/>
    <cellStyle name="Accent1 3" xfId="334" xr:uid="{00000000-0005-0000-0000-00000F210000}"/>
    <cellStyle name="Accent1 4" xfId="335" xr:uid="{00000000-0005-0000-0000-000010210000}"/>
    <cellStyle name="Accent1 5" xfId="8665" xr:uid="{00000000-0005-0000-0000-000011210000}"/>
    <cellStyle name="Accent1 6" xfId="33393" xr:uid="{00000000-0005-0000-0000-000012210000}"/>
    <cellStyle name="Accent1_Bauteile" xfId="336" xr:uid="{00000000-0005-0000-0000-000013210000}"/>
    <cellStyle name="Accent2" xfId="361" xr:uid="{00000000-0005-0000-0000-000014210000}"/>
    <cellStyle name="Accent2 2" xfId="337" xr:uid="{00000000-0005-0000-0000-000015210000}"/>
    <cellStyle name="Accent2 2 2" xfId="8666" xr:uid="{00000000-0005-0000-0000-000016210000}"/>
    <cellStyle name="Accent2 2 3" xfId="8667" xr:uid="{00000000-0005-0000-0000-000017210000}"/>
    <cellStyle name="Accent2 3" xfId="338" xr:uid="{00000000-0005-0000-0000-000018210000}"/>
    <cellStyle name="Accent2 4" xfId="339" xr:uid="{00000000-0005-0000-0000-000019210000}"/>
    <cellStyle name="Accent2 5" xfId="8668" xr:uid="{00000000-0005-0000-0000-00001A210000}"/>
    <cellStyle name="Accent2 6" xfId="33394" xr:uid="{00000000-0005-0000-0000-00001B210000}"/>
    <cellStyle name="Accent2_Bauteile" xfId="340" xr:uid="{00000000-0005-0000-0000-00001C210000}"/>
    <cellStyle name="Accent3" xfId="365" xr:uid="{00000000-0005-0000-0000-00001D210000}"/>
    <cellStyle name="Accent3 2" xfId="341" xr:uid="{00000000-0005-0000-0000-00001E210000}"/>
    <cellStyle name="Accent3 2 2" xfId="8669" xr:uid="{00000000-0005-0000-0000-00001F210000}"/>
    <cellStyle name="Accent3 2 3" xfId="8670" xr:uid="{00000000-0005-0000-0000-000020210000}"/>
    <cellStyle name="Accent3 3" xfId="342" xr:uid="{00000000-0005-0000-0000-000021210000}"/>
    <cellStyle name="Accent3 4" xfId="343" xr:uid="{00000000-0005-0000-0000-000022210000}"/>
    <cellStyle name="Accent3 5" xfId="8671" xr:uid="{00000000-0005-0000-0000-000023210000}"/>
    <cellStyle name="Accent3 6" xfId="33395" xr:uid="{00000000-0005-0000-0000-000024210000}"/>
    <cellStyle name="Accent3_Bauteile" xfId="344" xr:uid="{00000000-0005-0000-0000-000025210000}"/>
    <cellStyle name="Accent4" xfId="369" xr:uid="{00000000-0005-0000-0000-000026210000}"/>
    <cellStyle name="Accent4 2" xfId="345" xr:uid="{00000000-0005-0000-0000-000027210000}"/>
    <cellStyle name="Accent4 2 2" xfId="8672" xr:uid="{00000000-0005-0000-0000-000028210000}"/>
    <cellStyle name="Accent4 3" xfId="346" xr:uid="{00000000-0005-0000-0000-000029210000}"/>
    <cellStyle name="Accent4 4" xfId="347" xr:uid="{00000000-0005-0000-0000-00002A210000}"/>
    <cellStyle name="Accent4 5" xfId="8673" xr:uid="{00000000-0005-0000-0000-00002B210000}"/>
    <cellStyle name="Accent4 6" xfId="33396" xr:uid="{00000000-0005-0000-0000-00002C210000}"/>
    <cellStyle name="Accent4_Bauteile" xfId="348" xr:uid="{00000000-0005-0000-0000-00002D210000}"/>
    <cellStyle name="Accent5" xfId="373" xr:uid="{00000000-0005-0000-0000-00002E210000}"/>
    <cellStyle name="Accent5 2" xfId="349" xr:uid="{00000000-0005-0000-0000-00002F210000}"/>
    <cellStyle name="Accent5 3" xfId="350" xr:uid="{00000000-0005-0000-0000-000030210000}"/>
    <cellStyle name="Accent5 4" xfId="351" xr:uid="{00000000-0005-0000-0000-000031210000}"/>
    <cellStyle name="Accent5 5" xfId="33397" xr:uid="{00000000-0005-0000-0000-000032210000}"/>
    <cellStyle name="Accent5_Bauteile" xfId="352" xr:uid="{00000000-0005-0000-0000-000033210000}"/>
    <cellStyle name="Accent6" xfId="377" xr:uid="{00000000-0005-0000-0000-000034210000}"/>
    <cellStyle name="Accent6 2" xfId="353" xr:uid="{00000000-0005-0000-0000-000035210000}"/>
    <cellStyle name="Accent6 2 2" xfId="8674" xr:uid="{00000000-0005-0000-0000-000036210000}"/>
    <cellStyle name="Accent6 2 3" xfId="8675" xr:uid="{00000000-0005-0000-0000-000037210000}"/>
    <cellStyle name="Accent6 3" xfId="354" xr:uid="{00000000-0005-0000-0000-000038210000}"/>
    <cellStyle name="Accent6 4" xfId="355" xr:uid="{00000000-0005-0000-0000-000039210000}"/>
    <cellStyle name="Accent6 5" xfId="8676" xr:uid="{00000000-0005-0000-0000-00003A210000}"/>
    <cellStyle name="Accent6 6" xfId="33398" xr:uid="{00000000-0005-0000-0000-00003B210000}"/>
    <cellStyle name="Accent6_Bauteile" xfId="356" xr:uid="{00000000-0005-0000-0000-00003C210000}"/>
    <cellStyle name="Akzent1 2" xfId="358" xr:uid="{00000000-0005-0000-0000-00003D210000}"/>
    <cellStyle name="Akzent1 2 2" xfId="8677" xr:uid="{00000000-0005-0000-0000-00003E210000}"/>
    <cellStyle name="Akzent1 2 3" xfId="8678" xr:uid="{00000000-0005-0000-0000-00003F210000}"/>
    <cellStyle name="Akzent1 2 4" xfId="8679" xr:uid="{00000000-0005-0000-0000-000040210000}"/>
    <cellStyle name="Akzent1 2 5" xfId="8680" xr:uid="{00000000-0005-0000-0000-000041210000}"/>
    <cellStyle name="Akzent1 3" xfId="359" xr:uid="{00000000-0005-0000-0000-000042210000}"/>
    <cellStyle name="Akzent1 3 2" xfId="8681" xr:uid="{00000000-0005-0000-0000-000043210000}"/>
    <cellStyle name="Akzent1 3 3" xfId="8682" xr:uid="{00000000-0005-0000-0000-000044210000}"/>
    <cellStyle name="Akzent1 4" xfId="360" xr:uid="{00000000-0005-0000-0000-000045210000}"/>
    <cellStyle name="Akzent1 4 2" xfId="8683" xr:uid="{00000000-0005-0000-0000-000046210000}"/>
    <cellStyle name="Akzent1 5" xfId="8684" xr:uid="{00000000-0005-0000-0000-000047210000}"/>
    <cellStyle name="Akzent1 5 2" xfId="8685" xr:uid="{00000000-0005-0000-0000-000048210000}"/>
    <cellStyle name="Akzent1 6" xfId="8686" xr:uid="{00000000-0005-0000-0000-000049210000}"/>
    <cellStyle name="Akzent2 2" xfId="362" xr:uid="{00000000-0005-0000-0000-00004A210000}"/>
    <cellStyle name="Akzent2 2 2" xfId="8687" xr:uid="{00000000-0005-0000-0000-00004B210000}"/>
    <cellStyle name="Akzent2 2 3" xfId="8688" xr:uid="{00000000-0005-0000-0000-00004C210000}"/>
    <cellStyle name="Akzent2 2 4" xfId="8689" xr:uid="{00000000-0005-0000-0000-00004D210000}"/>
    <cellStyle name="Akzent2 2 5" xfId="8690" xr:uid="{00000000-0005-0000-0000-00004E210000}"/>
    <cellStyle name="Akzent2 3" xfId="363" xr:uid="{00000000-0005-0000-0000-00004F210000}"/>
    <cellStyle name="Akzent2 3 2" xfId="8691" xr:uid="{00000000-0005-0000-0000-000050210000}"/>
    <cellStyle name="Akzent2 3 3" xfId="8692" xr:uid="{00000000-0005-0000-0000-000051210000}"/>
    <cellStyle name="Akzent2 4" xfId="364" xr:uid="{00000000-0005-0000-0000-000052210000}"/>
    <cellStyle name="Akzent2 4 2" xfId="8693" xr:uid="{00000000-0005-0000-0000-000053210000}"/>
    <cellStyle name="Akzent2 5" xfId="8694" xr:uid="{00000000-0005-0000-0000-000054210000}"/>
    <cellStyle name="Akzent2 5 2" xfId="8695" xr:uid="{00000000-0005-0000-0000-000055210000}"/>
    <cellStyle name="Akzent2 6" xfId="8696" xr:uid="{00000000-0005-0000-0000-000056210000}"/>
    <cellStyle name="Akzent3 2" xfId="366" xr:uid="{00000000-0005-0000-0000-000057210000}"/>
    <cellStyle name="Akzent3 2 2" xfId="8697" xr:uid="{00000000-0005-0000-0000-000058210000}"/>
    <cellStyle name="Akzent3 2 3" xfId="8698" xr:uid="{00000000-0005-0000-0000-000059210000}"/>
    <cellStyle name="Akzent3 2 4" xfId="8699" xr:uid="{00000000-0005-0000-0000-00005A210000}"/>
    <cellStyle name="Akzent3 2 5" xfId="8700" xr:uid="{00000000-0005-0000-0000-00005B210000}"/>
    <cellStyle name="Akzent3 3" xfId="367" xr:uid="{00000000-0005-0000-0000-00005C210000}"/>
    <cellStyle name="Akzent3 3 2" xfId="8701" xr:uid="{00000000-0005-0000-0000-00005D210000}"/>
    <cellStyle name="Akzent3 3 3" xfId="8702" xr:uid="{00000000-0005-0000-0000-00005E210000}"/>
    <cellStyle name="Akzent3 4" xfId="368" xr:uid="{00000000-0005-0000-0000-00005F210000}"/>
    <cellStyle name="Akzent3 4 2" xfId="8703" xr:uid="{00000000-0005-0000-0000-000060210000}"/>
    <cellStyle name="Akzent3 5" xfId="8704" xr:uid="{00000000-0005-0000-0000-000061210000}"/>
    <cellStyle name="Akzent3 5 2" xfId="8705" xr:uid="{00000000-0005-0000-0000-000062210000}"/>
    <cellStyle name="Akzent3 6" xfId="8706" xr:uid="{00000000-0005-0000-0000-000063210000}"/>
    <cellStyle name="Akzent4 2" xfId="370" xr:uid="{00000000-0005-0000-0000-000064210000}"/>
    <cellStyle name="Akzent4 2 2" xfId="8707" xr:uid="{00000000-0005-0000-0000-000065210000}"/>
    <cellStyle name="Akzent4 2 3" xfId="8708" xr:uid="{00000000-0005-0000-0000-000066210000}"/>
    <cellStyle name="Akzent4 2 4" xfId="8709" xr:uid="{00000000-0005-0000-0000-000067210000}"/>
    <cellStyle name="Akzent4 2 5" xfId="8710" xr:uid="{00000000-0005-0000-0000-000068210000}"/>
    <cellStyle name="Akzent4 3" xfId="371" xr:uid="{00000000-0005-0000-0000-000069210000}"/>
    <cellStyle name="Akzent4 3 2" xfId="8711" xr:uid="{00000000-0005-0000-0000-00006A210000}"/>
    <cellStyle name="Akzent4 3 3" xfId="8712" xr:uid="{00000000-0005-0000-0000-00006B210000}"/>
    <cellStyle name="Akzent4 4" xfId="372" xr:uid="{00000000-0005-0000-0000-00006C210000}"/>
    <cellStyle name="Akzent4 4 2" xfId="8713" xr:uid="{00000000-0005-0000-0000-00006D210000}"/>
    <cellStyle name="Akzent4 5" xfId="8714" xr:uid="{00000000-0005-0000-0000-00006E210000}"/>
    <cellStyle name="Akzent4 5 2" xfId="8715" xr:uid="{00000000-0005-0000-0000-00006F210000}"/>
    <cellStyle name="Akzent4 6" xfId="8716" xr:uid="{00000000-0005-0000-0000-000070210000}"/>
    <cellStyle name="Akzent5 2" xfId="374" xr:uid="{00000000-0005-0000-0000-000071210000}"/>
    <cellStyle name="Akzent5 2 2" xfId="8717" xr:uid="{00000000-0005-0000-0000-000072210000}"/>
    <cellStyle name="Akzent5 3" xfId="375" xr:uid="{00000000-0005-0000-0000-000073210000}"/>
    <cellStyle name="Akzent5 3 2" xfId="8718" xr:uid="{00000000-0005-0000-0000-000074210000}"/>
    <cellStyle name="Akzent5 4" xfId="376" xr:uid="{00000000-0005-0000-0000-000075210000}"/>
    <cellStyle name="Akzent5 4 2" xfId="8719" xr:uid="{00000000-0005-0000-0000-000076210000}"/>
    <cellStyle name="Akzent5 5" xfId="8720" xr:uid="{00000000-0005-0000-0000-000077210000}"/>
    <cellStyle name="Akzent5 5 2" xfId="8721" xr:uid="{00000000-0005-0000-0000-000078210000}"/>
    <cellStyle name="Akzent5 6" xfId="8722" xr:uid="{00000000-0005-0000-0000-000079210000}"/>
    <cellStyle name="Akzent6 2" xfId="378" xr:uid="{00000000-0005-0000-0000-00007A210000}"/>
    <cellStyle name="Akzent6 2 2" xfId="8723" xr:uid="{00000000-0005-0000-0000-00007B210000}"/>
    <cellStyle name="Akzent6 2 3" xfId="8724" xr:uid="{00000000-0005-0000-0000-00007C210000}"/>
    <cellStyle name="Akzent6 2 4" xfId="8725" xr:uid="{00000000-0005-0000-0000-00007D210000}"/>
    <cellStyle name="Akzent6 2 5" xfId="8726" xr:uid="{00000000-0005-0000-0000-00007E210000}"/>
    <cellStyle name="Akzent6 3" xfId="379" xr:uid="{00000000-0005-0000-0000-00007F210000}"/>
    <cellStyle name="Akzent6 3 2" xfId="8727" xr:uid="{00000000-0005-0000-0000-000080210000}"/>
    <cellStyle name="Akzent6 3 3" xfId="8728" xr:uid="{00000000-0005-0000-0000-000081210000}"/>
    <cellStyle name="Akzent6 4" xfId="380" xr:uid="{00000000-0005-0000-0000-000082210000}"/>
    <cellStyle name="Akzent6 4 2" xfId="8729" xr:uid="{00000000-0005-0000-0000-000083210000}"/>
    <cellStyle name="Akzent6 5" xfId="8730" xr:uid="{00000000-0005-0000-0000-000084210000}"/>
    <cellStyle name="Akzent6 5 2" xfId="8731" xr:uid="{00000000-0005-0000-0000-000085210000}"/>
    <cellStyle name="Akzent6 6" xfId="8732" xr:uid="{00000000-0005-0000-0000-000086210000}"/>
    <cellStyle name="args.style" xfId="8733" xr:uid="{00000000-0005-0000-0000-000087210000}"/>
    <cellStyle name="args.style 2" xfId="8734" xr:uid="{00000000-0005-0000-0000-000088210000}"/>
    <cellStyle name="args.style 2 2" xfId="8735" xr:uid="{00000000-0005-0000-0000-000089210000}"/>
    <cellStyle name="Ausgabe 2" xfId="381" xr:uid="{00000000-0005-0000-0000-00008A210000}"/>
    <cellStyle name="Ausgabe 2 2" xfId="382" xr:uid="{00000000-0005-0000-0000-00008B210000}"/>
    <cellStyle name="Ausgabe 2 2 2" xfId="383" xr:uid="{00000000-0005-0000-0000-00008C210000}"/>
    <cellStyle name="Ausgabe 2 3" xfId="384" xr:uid="{00000000-0005-0000-0000-00008D210000}"/>
    <cellStyle name="Ausgabe 2 4" xfId="8736" xr:uid="{00000000-0005-0000-0000-00008E210000}"/>
    <cellStyle name="Ausgabe 2 5" xfId="8737" xr:uid="{00000000-0005-0000-0000-00008F210000}"/>
    <cellStyle name="Ausgabe 3" xfId="385" xr:uid="{00000000-0005-0000-0000-000090210000}"/>
    <cellStyle name="Ausgabe 3 2" xfId="8738" xr:uid="{00000000-0005-0000-0000-000091210000}"/>
    <cellStyle name="Ausgabe 3 3" xfId="8739" xr:uid="{00000000-0005-0000-0000-000092210000}"/>
    <cellStyle name="Ausgabe 4" xfId="8740" xr:uid="{00000000-0005-0000-0000-000093210000}"/>
    <cellStyle name="Ausgabe 4 2" xfId="8741" xr:uid="{00000000-0005-0000-0000-000094210000}"/>
    <cellStyle name="Ausgabe 5" xfId="8742" xr:uid="{00000000-0005-0000-0000-000095210000}"/>
    <cellStyle name="Ausgabe 5 2" xfId="8743" xr:uid="{00000000-0005-0000-0000-000096210000}"/>
    <cellStyle name="Bad" xfId="486" xr:uid="{00000000-0005-0000-0000-000097210000}"/>
    <cellStyle name="Bad 2" xfId="386" xr:uid="{00000000-0005-0000-0000-000098210000}"/>
    <cellStyle name="Bad 2 2" xfId="8744" xr:uid="{00000000-0005-0000-0000-000099210000}"/>
    <cellStyle name="Bad 2 3" xfId="8745" xr:uid="{00000000-0005-0000-0000-00009A210000}"/>
    <cellStyle name="Bad 3" xfId="387" xr:uid="{00000000-0005-0000-0000-00009B210000}"/>
    <cellStyle name="Bad 4" xfId="388" xr:uid="{00000000-0005-0000-0000-00009C210000}"/>
    <cellStyle name="Bad 5" xfId="8746" xr:uid="{00000000-0005-0000-0000-00009D210000}"/>
    <cellStyle name="Bad 6" xfId="33399" xr:uid="{00000000-0005-0000-0000-00009E210000}"/>
    <cellStyle name="Bad_Bauteile" xfId="389" xr:uid="{00000000-0005-0000-0000-00009F210000}"/>
    <cellStyle name="Berechnung 2" xfId="390" xr:uid="{00000000-0005-0000-0000-0000A0210000}"/>
    <cellStyle name="Berechnung 2 2" xfId="391" xr:uid="{00000000-0005-0000-0000-0000A1210000}"/>
    <cellStyle name="Berechnung 2 2 2" xfId="392" xr:uid="{00000000-0005-0000-0000-0000A2210000}"/>
    <cellStyle name="Berechnung 2 3" xfId="393" xr:uid="{00000000-0005-0000-0000-0000A3210000}"/>
    <cellStyle name="Berechnung 2 4" xfId="8747" xr:uid="{00000000-0005-0000-0000-0000A4210000}"/>
    <cellStyle name="Berechnung 2 5" xfId="8748" xr:uid="{00000000-0005-0000-0000-0000A5210000}"/>
    <cellStyle name="Berechnung 3" xfId="394" xr:uid="{00000000-0005-0000-0000-0000A6210000}"/>
    <cellStyle name="Berechnung 3 2" xfId="8749" xr:uid="{00000000-0005-0000-0000-0000A7210000}"/>
    <cellStyle name="Berechnung 3 3" xfId="8750" xr:uid="{00000000-0005-0000-0000-0000A8210000}"/>
    <cellStyle name="Berechnung 4" xfId="8751" xr:uid="{00000000-0005-0000-0000-0000A9210000}"/>
    <cellStyle name="Berechnung 4 2" xfId="8752" xr:uid="{00000000-0005-0000-0000-0000AA210000}"/>
    <cellStyle name="Berechnung 5" xfId="8753" xr:uid="{00000000-0005-0000-0000-0000AB210000}"/>
    <cellStyle name="Berechnung 5 2" xfId="8754" xr:uid="{00000000-0005-0000-0000-0000AC210000}"/>
    <cellStyle name="Bottom Row" xfId="8755" xr:uid="{00000000-0005-0000-0000-0000AD210000}"/>
    <cellStyle name="BoxedTotal" xfId="8756" xr:uid="{00000000-0005-0000-0000-0000AE210000}"/>
    <cellStyle name="BoxedTotal 2" xfId="8757" xr:uid="{00000000-0005-0000-0000-0000AF210000}"/>
    <cellStyle name="Buena" xfId="8758" xr:uid="{00000000-0005-0000-0000-0000B0210000}"/>
    <cellStyle name="Buena 2" xfId="8759" xr:uid="{00000000-0005-0000-0000-0000B1210000}"/>
    <cellStyle name="Calc Currency (0)" xfId="8760" xr:uid="{00000000-0005-0000-0000-0000B2210000}"/>
    <cellStyle name="Calc Currency (0) 2" xfId="8761" xr:uid="{00000000-0005-0000-0000-0000B3210000}"/>
    <cellStyle name="Calc Currency (0) 2 2" xfId="8762" xr:uid="{00000000-0005-0000-0000-0000B4210000}"/>
    <cellStyle name="Calc Units (2)" xfId="8763" xr:uid="{00000000-0005-0000-0000-0000B5210000}"/>
    <cellStyle name="Calculation" xfId="8764" xr:uid="{00000000-0005-0000-0000-0000B6210000}"/>
    <cellStyle name="Calculation 2" xfId="395" xr:uid="{00000000-0005-0000-0000-0000B7210000}"/>
    <cellStyle name="Calculation 2 2" xfId="8765" xr:uid="{00000000-0005-0000-0000-0000B8210000}"/>
    <cellStyle name="Calculation 2 3" xfId="8766" xr:uid="{00000000-0005-0000-0000-0000B9210000}"/>
    <cellStyle name="Calculation 2 4" xfId="8767" xr:uid="{00000000-0005-0000-0000-0000BA210000}"/>
    <cellStyle name="Calculation 3" xfId="8768" xr:uid="{00000000-0005-0000-0000-0000BB210000}"/>
    <cellStyle name="Calculation 4" xfId="8769" xr:uid="{00000000-0005-0000-0000-0000BC210000}"/>
    <cellStyle name="Cálculo" xfId="8770" xr:uid="{00000000-0005-0000-0000-0000BD210000}"/>
    <cellStyle name="Cálculo 2" xfId="8771" xr:uid="{00000000-0005-0000-0000-0000BE210000}"/>
    <cellStyle name="category" xfId="8772" xr:uid="{00000000-0005-0000-0000-0000BF210000}"/>
    <cellStyle name="Celda de comprobación" xfId="8773" xr:uid="{00000000-0005-0000-0000-0000C0210000}"/>
    <cellStyle name="Celda vinculada" xfId="8774" xr:uid="{00000000-0005-0000-0000-0000C1210000}"/>
    <cellStyle name="Celda vinculada 2" xfId="8775" xr:uid="{00000000-0005-0000-0000-0000C2210000}"/>
    <cellStyle name="Check Cell" xfId="761" xr:uid="{00000000-0005-0000-0000-0000C3210000}"/>
    <cellStyle name="Check Cell 2" xfId="396" xr:uid="{00000000-0005-0000-0000-0000C4210000}"/>
    <cellStyle name="Check Cell 3" xfId="397" xr:uid="{00000000-0005-0000-0000-0000C5210000}"/>
    <cellStyle name="Check Cell 4" xfId="398" xr:uid="{00000000-0005-0000-0000-0000C6210000}"/>
    <cellStyle name="Check Cell 5" xfId="33400" xr:uid="{00000000-0005-0000-0000-0000C7210000}"/>
    <cellStyle name="Check Cell_Bauteile" xfId="399" xr:uid="{00000000-0005-0000-0000-0000C8210000}"/>
    <cellStyle name="Comma [00]" xfId="8776" xr:uid="{00000000-0005-0000-0000-0000C9210000}"/>
    <cellStyle name="Comma 2" xfId="8777" xr:uid="{00000000-0005-0000-0000-0000CA210000}"/>
    <cellStyle name="Comma 2 2" xfId="8778" xr:uid="{00000000-0005-0000-0000-0000CB210000}"/>
    <cellStyle name="Comma 3" xfId="8779" xr:uid="{00000000-0005-0000-0000-0000CC210000}"/>
    <cellStyle name="Comma, 0" xfId="8780" xr:uid="{00000000-0005-0000-0000-0000CD210000}"/>
    <cellStyle name="Comma, 0 2" xfId="8781" xr:uid="{00000000-0005-0000-0000-0000CE210000}"/>
    <cellStyle name="Comma, 0 2 2" xfId="8782" xr:uid="{00000000-0005-0000-0000-0000CF210000}"/>
    <cellStyle name="Comma[2]" xfId="8783" xr:uid="{00000000-0005-0000-0000-0000D0210000}"/>
    <cellStyle name="Comma[2] 2" xfId="8784" xr:uid="{00000000-0005-0000-0000-0000D1210000}"/>
    <cellStyle name="Comma[2] 2 2" xfId="8785" xr:uid="{00000000-0005-0000-0000-0000D2210000}"/>
    <cellStyle name="Copied" xfId="8786" xr:uid="{00000000-0005-0000-0000-0000D3210000}"/>
    <cellStyle name="Copied 2" xfId="8787" xr:uid="{00000000-0005-0000-0000-0000D4210000}"/>
    <cellStyle name="Copied 2 2" xfId="8788" xr:uid="{00000000-0005-0000-0000-0000D5210000}"/>
    <cellStyle name="COST1" xfId="8789" xr:uid="{00000000-0005-0000-0000-0000D6210000}"/>
    <cellStyle name="COST1 2" xfId="8790" xr:uid="{00000000-0005-0000-0000-0000D7210000}"/>
    <cellStyle name="COST1 2 2" xfId="8791" xr:uid="{00000000-0005-0000-0000-0000D8210000}"/>
    <cellStyle name="Currency $" xfId="8792" xr:uid="{00000000-0005-0000-0000-0000D9210000}"/>
    <cellStyle name="Currency $ 2" xfId="8793" xr:uid="{00000000-0005-0000-0000-0000DA210000}"/>
    <cellStyle name="Currency $ 2 2" xfId="8794" xr:uid="{00000000-0005-0000-0000-0000DB210000}"/>
    <cellStyle name="Currency [00]" xfId="8795" xr:uid="{00000000-0005-0000-0000-0000DC210000}"/>
    <cellStyle name="Currency[2]" xfId="8796" xr:uid="{00000000-0005-0000-0000-0000DD210000}"/>
    <cellStyle name="Currency[2] 2" xfId="8797" xr:uid="{00000000-0005-0000-0000-0000DE210000}"/>
    <cellStyle name="Currency[2] 2 2" xfId="8798" xr:uid="{00000000-0005-0000-0000-0000DF210000}"/>
    <cellStyle name="Currency[2] 3" xfId="8799" xr:uid="{00000000-0005-0000-0000-0000E0210000}"/>
    <cellStyle name="custom" xfId="8800" xr:uid="{00000000-0005-0000-0000-0000E1210000}"/>
    <cellStyle name="Date" xfId="1" xr:uid="{00000000-0005-0000-0000-0000E2210000}"/>
    <cellStyle name="Date 2" xfId="8801" xr:uid="{00000000-0005-0000-0000-0000E3210000}"/>
    <cellStyle name="Date 2 2" xfId="8802" xr:uid="{00000000-0005-0000-0000-0000E4210000}"/>
    <cellStyle name="Date 2 3" xfId="33401" xr:uid="{00000000-0005-0000-0000-0000E5210000}"/>
    <cellStyle name="Date 3" xfId="8803" xr:uid="{00000000-0005-0000-0000-0000E6210000}"/>
    <cellStyle name="Date 3 2" xfId="33402" xr:uid="{00000000-0005-0000-0000-0000E7210000}"/>
    <cellStyle name="Date Short" xfId="8804" xr:uid="{00000000-0005-0000-0000-0000E8210000}"/>
    <cellStyle name="Date_2.3L DISI vs. 2.0L DISI TC v3" xfId="8805" xr:uid="{00000000-0005-0000-0000-0000E9210000}"/>
    <cellStyle name="Decimal (0)" xfId="8806" xr:uid="{00000000-0005-0000-0000-0000EA210000}"/>
    <cellStyle name="Decimal (1)" xfId="8807" xr:uid="{00000000-0005-0000-0000-0000EB210000}"/>
    <cellStyle name="Decimal (2)" xfId="8808" xr:uid="{00000000-0005-0000-0000-0000EC210000}"/>
    <cellStyle name="Dezimal 2" xfId="2" xr:uid="{00000000-0005-0000-0000-0000ED210000}"/>
    <cellStyle name="dlrs_no_decimal" xfId="8809" xr:uid="{00000000-0005-0000-0000-0000EE210000}"/>
    <cellStyle name="Dollars" xfId="8810" xr:uid="{00000000-0005-0000-0000-0000EF210000}"/>
    <cellStyle name="DropList" xfId="3" xr:uid="{00000000-0005-0000-0000-0000F0210000}"/>
    <cellStyle name="DropList 2" xfId="33403" xr:uid="{00000000-0005-0000-0000-0000F1210000}"/>
    <cellStyle name="DropList 3" xfId="33404" xr:uid="{00000000-0005-0000-0000-0000F2210000}"/>
    <cellStyle name="DropList_readOnly" xfId="33405" xr:uid="{00000000-0005-0000-0000-0000F3210000}"/>
    <cellStyle name="Dziesiętny [0]_Arkusz1" xfId="8811" xr:uid="{00000000-0005-0000-0000-0000F4210000}"/>
    <cellStyle name="Dziesiętny_Arkusz1" xfId="8812" xr:uid="{00000000-0005-0000-0000-0000F5210000}"/>
    <cellStyle name="Edited_Data" xfId="8813" xr:uid="{00000000-0005-0000-0000-0000F6210000}"/>
    <cellStyle name="Eingabe 2" xfId="400" xr:uid="{00000000-0005-0000-0000-0000F7210000}"/>
    <cellStyle name="Eingabe 2 2" xfId="401" xr:uid="{00000000-0005-0000-0000-0000F8210000}"/>
    <cellStyle name="Eingabe 2 2 2" xfId="402" xr:uid="{00000000-0005-0000-0000-0000F9210000}"/>
    <cellStyle name="Eingabe 2 3" xfId="403" xr:uid="{00000000-0005-0000-0000-0000FA210000}"/>
    <cellStyle name="Eingabe 2 4" xfId="8814" xr:uid="{00000000-0005-0000-0000-0000FB210000}"/>
    <cellStyle name="Eingabe 2 5" xfId="8815" xr:uid="{00000000-0005-0000-0000-0000FC210000}"/>
    <cellStyle name="Eingabe 3" xfId="404" xr:uid="{00000000-0005-0000-0000-0000FD210000}"/>
    <cellStyle name="Eingabe 3 2" xfId="8816" xr:uid="{00000000-0005-0000-0000-0000FE210000}"/>
    <cellStyle name="Eingabe 3 3" xfId="8817" xr:uid="{00000000-0005-0000-0000-0000FF210000}"/>
    <cellStyle name="Eingabe 4" xfId="8818" xr:uid="{00000000-0005-0000-0000-000000220000}"/>
    <cellStyle name="Eingabe 4 2" xfId="8819" xr:uid="{00000000-0005-0000-0000-000001220000}"/>
    <cellStyle name="Eingabe 5" xfId="8820" xr:uid="{00000000-0005-0000-0000-000002220000}"/>
    <cellStyle name="Eingabe 5 2" xfId="8821" xr:uid="{00000000-0005-0000-0000-000003220000}"/>
    <cellStyle name="Encabezado 4" xfId="8822" xr:uid="{00000000-0005-0000-0000-000004220000}"/>
    <cellStyle name="Énfasis1" xfId="8823" xr:uid="{00000000-0005-0000-0000-000005220000}"/>
    <cellStyle name="Énfasis1 2" xfId="8824" xr:uid="{00000000-0005-0000-0000-000006220000}"/>
    <cellStyle name="Énfasis2" xfId="8825" xr:uid="{00000000-0005-0000-0000-000007220000}"/>
    <cellStyle name="Énfasis2 2" xfId="8826" xr:uid="{00000000-0005-0000-0000-000008220000}"/>
    <cellStyle name="Énfasis3" xfId="8827" xr:uid="{00000000-0005-0000-0000-000009220000}"/>
    <cellStyle name="Énfasis3 2" xfId="8828" xr:uid="{00000000-0005-0000-0000-00000A220000}"/>
    <cellStyle name="Énfasis4" xfId="8829" xr:uid="{00000000-0005-0000-0000-00000B220000}"/>
    <cellStyle name="Énfasis5" xfId="8830" xr:uid="{00000000-0005-0000-0000-00000C220000}"/>
    <cellStyle name="Énfasis6" xfId="8831" xr:uid="{00000000-0005-0000-0000-00000D220000}"/>
    <cellStyle name="Énfasis6 2" xfId="8832" xr:uid="{00000000-0005-0000-0000-00000E220000}"/>
    <cellStyle name="Enter Currency (0)" xfId="8833" xr:uid="{00000000-0005-0000-0000-00000F220000}"/>
    <cellStyle name="Enter Currency (2)" xfId="8834" xr:uid="{00000000-0005-0000-0000-000010220000}"/>
    <cellStyle name="Enter Units (0)" xfId="8835" xr:uid="{00000000-0005-0000-0000-000011220000}"/>
    <cellStyle name="Enter Units (1)" xfId="8836" xr:uid="{00000000-0005-0000-0000-000012220000}"/>
    <cellStyle name="Enter Units (2)" xfId="8837" xr:uid="{00000000-0005-0000-0000-000013220000}"/>
    <cellStyle name="Entered" xfId="8838" xr:uid="{00000000-0005-0000-0000-000014220000}"/>
    <cellStyle name="Entered 2" xfId="8839" xr:uid="{00000000-0005-0000-0000-000015220000}"/>
    <cellStyle name="Entered 2 2" xfId="8840" xr:uid="{00000000-0005-0000-0000-000016220000}"/>
    <cellStyle name="Entrada" xfId="8841" xr:uid="{00000000-0005-0000-0000-000017220000}"/>
    <cellStyle name="Entrada 2" xfId="8842" xr:uid="{00000000-0005-0000-0000-000018220000}"/>
    <cellStyle name="Ergebnis 2" xfId="405" xr:uid="{00000000-0005-0000-0000-000019220000}"/>
    <cellStyle name="Ergebnis 2 2" xfId="406" xr:uid="{00000000-0005-0000-0000-00001A220000}"/>
    <cellStyle name="Ergebnis 2 2 2" xfId="407" xr:uid="{00000000-0005-0000-0000-00001B220000}"/>
    <cellStyle name="Ergebnis 2 3" xfId="408" xr:uid="{00000000-0005-0000-0000-00001C220000}"/>
    <cellStyle name="Ergebnis 2 4" xfId="8843" xr:uid="{00000000-0005-0000-0000-00001D220000}"/>
    <cellStyle name="Ergebnis 2 5" xfId="8844" xr:uid="{00000000-0005-0000-0000-00001E220000}"/>
    <cellStyle name="Ergebnis 3" xfId="409" xr:uid="{00000000-0005-0000-0000-00001F220000}"/>
    <cellStyle name="Ergebnis 3 2" xfId="8845" xr:uid="{00000000-0005-0000-0000-000020220000}"/>
    <cellStyle name="Ergebnis 3 3" xfId="8846" xr:uid="{00000000-0005-0000-0000-000021220000}"/>
    <cellStyle name="Ergebnis 4" xfId="8847" xr:uid="{00000000-0005-0000-0000-000022220000}"/>
    <cellStyle name="Ergebnis 4 2" xfId="8848" xr:uid="{00000000-0005-0000-0000-000023220000}"/>
    <cellStyle name="Ergebnis 5" xfId="8849" xr:uid="{00000000-0005-0000-0000-000024220000}"/>
    <cellStyle name="Ergebnis 5 2" xfId="8850" xr:uid="{00000000-0005-0000-0000-000025220000}"/>
    <cellStyle name="Erklärender Text 2" xfId="410" xr:uid="{00000000-0005-0000-0000-000026220000}"/>
    <cellStyle name="Erklärender Text 2 2" xfId="411" xr:uid="{00000000-0005-0000-0000-000027220000}"/>
    <cellStyle name="Erklärender Text 2 2 2" xfId="412" xr:uid="{00000000-0005-0000-0000-000028220000}"/>
    <cellStyle name="Erklärender Text 2 3" xfId="413" xr:uid="{00000000-0005-0000-0000-000029220000}"/>
    <cellStyle name="Erklärender Text 3" xfId="414" xr:uid="{00000000-0005-0000-0000-00002A220000}"/>
    <cellStyle name="Erklärender Text 3 2" xfId="8851" xr:uid="{00000000-0005-0000-0000-00002B220000}"/>
    <cellStyle name="Erklärender Text 4" xfId="8852" xr:uid="{00000000-0005-0000-0000-00002C220000}"/>
    <cellStyle name="Erklärender Text 4 2" xfId="8853" xr:uid="{00000000-0005-0000-0000-00002D220000}"/>
    <cellStyle name="Erklärender Text 5" xfId="8854" xr:uid="{00000000-0005-0000-0000-00002E220000}"/>
    <cellStyle name="Erklärender Text 5 2" xfId="8855" xr:uid="{00000000-0005-0000-0000-00002F220000}"/>
    <cellStyle name="Estilo 1" xfId="8856" xr:uid="{00000000-0005-0000-0000-000030220000}"/>
    <cellStyle name="Estilo 1 2" xfId="8857" xr:uid="{00000000-0005-0000-0000-000031220000}"/>
    <cellStyle name="Estilo 1 2 2" xfId="8858" xr:uid="{00000000-0005-0000-0000-000032220000}"/>
    <cellStyle name="Estilo 1 2 2 2" xfId="8859" xr:uid="{00000000-0005-0000-0000-000033220000}"/>
    <cellStyle name="Estilo 1 2 3" xfId="8860" xr:uid="{00000000-0005-0000-0000-000034220000}"/>
    <cellStyle name="Estilo 1 3" xfId="8861" xr:uid="{00000000-0005-0000-0000-000035220000}"/>
    <cellStyle name="Estilo 1 3 2" xfId="8862" xr:uid="{00000000-0005-0000-0000-000036220000}"/>
    <cellStyle name="Estilo 1 4" xfId="8863" xr:uid="{00000000-0005-0000-0000-000037220000}"/>
    <cellStyle name="Estilo 1 4 2" xfId="8864" xr:uid="{00000000-0005-0000-0000-000038220000}"/>
    <cellStyle name="Estilo 1 4 3" xfId="8865" xr:uid="{00000000-0005-0000-0000-000039220000}"/>
    <cellStyle name="Estilo 1 4 4" xfId="8866" xr:uid="{00000000-0005-0000-0000-00003A220000}"/>
    <cellStyle name="Estilo 1 4 4 2" xfId="8867" xr:uid="{00000000-0005-0000-0000-00003B220000}"/>
    <cellStyle name="Estilo 1 4 4 3" xfId="8868" xr:uid="{00000000-0005-0000-0000-00003C220000}"/>
    <cellStyle name="Estimated_Data" xfId="8869" xr:uid="{00000000-0005-0000-0000-00003D220000}"/>
    <cellStyle name="Euro" xfId="4" xr:uid="{00000000-0005-0000-0000-00003E220000}"/>
    <cellStyle name="Euro 2" xfId="415" xr:uid="{00000000-0005-0000-0000-00003F220000}"/>
    <cellStyle name="Euro 2 2" xfId="416" xr:uid="{00000000-0005-0000-0000-000040220000}"/>
    <cellStyle name="Euro 2 3" xfId="8870" xr:uid="{00000000-0005-0000-0000-000041220000}"/>
    <cellStyle name="Euro 2 4" xfId="8871" xr:uid="{00000000-0005-0000-0000-000042220000}"/>
    <cellStyle name="Euro 3" xfId="417" xr:uid="{00000000-0005-0000-0000-000043220000}"/>
    <cellStyle name="Euro 3 2" xfId="8872" xr:uid="{00000000-0005-0000-0000-000044220000}"/>
    <cellStyle name="Euro 4" xfId="8873" xr:uid="{00000000-0005-0000-0000-000045220000}"/>
    <cellStyle name="Euro 4 2" xfId="8874" xr:uid="{00000000-0005-0000-0000-000046220000}"/>
    <cellStyle name="Euro 4 3" xfId="8875" xr:uid="{00000000-0005-0000-0000-000047220000}"/>
    <cellStyle name="Euro 4 4" xfId="8876" xr:uid="{00000000-0005-0000-0000-000048220000}"/>
    <cellStyle name="Euro 5" xfId="8877" xr:uid="{00000000-0005-0000-0000-000049220000}"/>
    <cellStyle name="Euro 5 2" xfId="8878" xr:uid="{00000000-0005-0000-0000-00004A220000}"/>
    <cellStyle name="Euro 6" xfId="8879" xr:uid="{00000000-0005-0000-0000-00004B220000}"/>
    <cellStyle name="Euro 6 2" xfId="8880" xr:uid="{00000000-0005-0000-0000-00004C220000}"/>
    <cellStyle name="Explanatory Text" xfId="8881" xr:uid="{00000000-0005-0000-0000-00004D220000}"/>
    <cellStyle name="Explanatory Text 2" xfId="418" xr:uid="{00000000-0005-0000-0000-00004E220000}"/>
    <cellStyle name="FAPbody" xfId="8882" xr:uid="{00000000-0005-0000-0000-00004F220000}"/>
    <cellStyle name="FAPbody 2" xfId="8883" xr:uid="{00000000-0005-0000-0000-000050220000}"/>
    <cellStyle name="Forecast_Data" xfId="8884" xr:uid="{00000000-0005-0000-0000-000051220000}"/>
    <cellStyle name="ƒp[ƒZƒ“ƒg_!!!GO" xfId="8885" xr:uid="{00000000-0005-0000-0000-000052220000}"/>
    <cellStyle name="Good" xfId="423" xr:uid="{00000000-0005-0000-0000-000053220000}"/>
    <cellStyle name="Good 2" xfId="419" xr:uid="{00000000-0005-0000-0000-000054220000}"/>
    <cellStyle name="Good 2 2" xfId="8886" xr:uid="{00000000-0005-0000-0000-000055220000}"/>
    <cellStyle name="Good 2 3" xfId="8887" xr:uid="{00000000-0005-0000-0000-000056220000}"/>
    <cellStyle name="Good 3" xfId="420" xr:uid="{00000000-0005-0000-0000-000057220000}"/>
    <cellStyle name="Good 4" xfId="421" xr:uid="{00000000-0005-0000-0000-000058220000}"/>
    <cellStyle name="Good 5" xfId="8888" xr:uid="{00000000-0005-0000-0000-000059220000}"/>
    <cellStyle name="Good 6" xfId="33406" xr:uid="{00000000-0005-0000-0000-00005A220000}"/>
    <cellStyle name="Good_Bauteile" xfId="422" xr:uid="{00000000-0005-0000-0000-00005B220000}"/>
    <cellStyle name="Grand Total" xfId="8889" xr:uid="{00000000-0005-0000-0000-00005C220000}"/>
    <cellStyle name="Grey" xfId="8890" xr:uid="{00000000-0005-0000-0000-00005D220000}"/>
    <cellStyle name="Grey 2" xfId="8891" xr:uid="{00000000-0005-0000-0000-00005E220000}"/>
    <cellStyle name="Grey 2 2" xfId="8892" xr:uid="{00000000-0005-0000-0000-00005F220000}"/>
    <cellStyle name="Gut 2" xfId="424" xr:uid="{00000000-0005-0000-0000-000060220000}"/>
    <cellStyle name="Gut 2 2" xfId="8893" xr:uid="{00000000-0005-0000-0000-000061220000}"/>
    <cellStyle name="Gut 2 3" xfId="8894" xr:uid="{00000000-0005-0000-0000-000062220000}"/>
    <cellStyle name="Gut 2 4" xfId="8895" xr:uid="{00000000-0005-0000-0000-000063220000}"/>
    <cellStyle name="Gut 2 5" xfId="8896" xr:uid="{00000000-0005-0000-0000-000064220000}"/>
    <cellStyle name="Gut 3" xfId="425" xr:uid="{00000000-0005-0000-0000-000065220000}"/>
    <cellStyle name="Gut 3 2" xfId="8897" xr:uid="{00000000-0005-0000-0000-000066220000}"/>
    <cellStyle name="Gut 3 3" xfId="8898" xr:uid="{00000000-0005-0000-0000-000067220000}"/>
    <cellStyle name="Gut 3 4" xfId="8899" xr:uid="{00000000-0005-0000-0000-000068220000}"/>
    <cellStyle name="Gut 3_Spotweld Crossreference Master" xfId="8900" xr:uid="{00000000-0005-0000-0000-000069220000}"/>
    <cellStyle name="Gut 4" xfId="426" xr:uid="{00000000-0005-0000-0000-00006A220000}"/>
    <cellStyle name="Gut 4 2" xfId="8901" xr:uid="{00000000-0005-0000-0000-00006B220000}"/>
    <cellStyle name="Gut 5" xfId="8902" xr:uid="{00000000-0005-0000-0000-00006C220000}"/>
    <cellStyle name="Gut 5 2" xfId="8903" xr:uid="{00000000-0005-0000-0000-00006D220000}"/>
    <cellStyle name="HEADER" xfId="8904" xr:uid="{00000000-0005-0000-0000-00006E220000}"/>
    <cellStyle name="Header1" xfId="8905" xr:uid="{00000000-0005-0000-0000-00006F220000}"/>
    <cellStyle name="Header2" xfId="8906" xr:uid="{00000000-0005-0000-0000-000070220000}"/>
    <cellStyle name="Heading 1" xfId="732" xr:uid="{00000000-0005-0000-0000-000071220000}"/>
    <cellStyle name="Heading 1 2" xfId="427" xr:uid="{00000000-0005-0000-0000-000072220000}"/>
    <cellStyle name="Heading 1 2 2" xfId="8907" xr:uid="{00000000-0005-0000-0000-000073220000}"/>
    <cellStyle name="Heading 1 2 3" xfId="8908" xr:uid="{00000000-0005-0000-0000-000074220000}"/>
    <cellStyle name="Heading 1 3" xfId="428" xr:uid="{00000000-0005-0000-0000-000075220000}"/>
    <cellStyle name="Heading 1 4" xfId="429" xr:uid="{00000000-0005-0000-0000-000076220000}"/>
    <cellStyle name="Heading 1 5" xfId="8909" xr:uid="{00000000-0005-0000-0000-000077220000}"/>
    <cellStyle name="Heading 1 6" xfId="33407" xr:uid="{00000000-0005-0000-0000-000078220000}"/>
    <cellStyle name="Heading 1_Bauteile" xfId="430" xr:uid="{00000000-0005-0000-0000-000079220000}"/>
    <cellStyle name="Heading 2" xfId="736" xr:uid="{00000000-0005-0000-0000-00007A220000}"/>
    <cellStyle name="Heading 2 2" xfId="431" xr:uid="{00000000-0005-0000-0000-00007B220000}"/>
    <cellStyle name="Heading 2 2 2" xfId="8910" xr:uid="{00000000-0005-0000-0000-00007C220000}"/>
    <cellStyle name="Heading 2 2 3" xfId="8911" xr:uid="{00000000-0005-0000-0000-00007D220000}"/>
    <cellStyle name="Heading 2 3" xfId="432" xr:uid="{00000000-0005-0000-0000-00007E220000}"/>
    <cellStyle name="Heading 2 4" xfId="433" xr:uid="{00000000-0005-0000-0000-00007F220000}"/>
    <cellStyle name="Heading 2 5" xfId="8912" xr:uid="{00000000-0005-0000-0000-000080220000}"/>
    <cellStyle name="Heading 2 6" xfId="33408" xr:uid="{00000000-0005-0000-0000-000081220000}"/>
    <cellStyle name="Heading 2_Bauteile" xfId="434" xr:uid="{00000000-0005-0000-0000-000082220000}"/>
    <cellStyle name="Heading 3" xfId="740" xr:uid="{00000000-0005-0000-0000-000083220000}"/>
    <cellStyle name="Heading 3 2" xfId="435" xr:uid="{00000000-0005-0000-0000-000084220000}"/>
    <cellStyle name="Heading 3 2 2" xfId="8913" xr:uid="{00000000-0005-0000-0000-000085220000}"/>
    <cellStyle name="Heading 3 2 3" xfId="8914" xr:uid="{00000000-0005-0000-0000-000086220000}"/>
    <cellStyle name="Heading 3 3" xfId="436" xr:uid="{00000000-0005-0000-0000-000087220000}"/>
    <cellStyle name="Heading 3 4" xfId="437" xr:uid="{00000000-0005-0000-0000-000088220000}"/>
    <cellStyle name="Heading 3 5" xfId="8915" xr:uid="{00000000-0005-0000-0000-000089220000}"/>
    <cellStyle name="Heading 3 6" xfId="33409" xr:uid="{00000000-0005-0000-0000-00008A220000}"/>
    <cellStyle name="Heading 3_Bauteile" xfId="438" xr:uid="{00000000-0005-0000-0000-00008B220000}"/>
    <cellStyle name="Heading 4" xfId="744" xr:uid="{00000000-0005-0000-0000-00008C220000}"/>
    <cellStyle name="Heading 4 2" xfId="439" xr:uid="{00000000-0005-0000-0000-00008D220000}"/>
    <cellStyle name="Heading 4 2 2" xfId="8916" xr:uid="{00000000-0005-0000-0000-00008E220000}"/>
    <cellStyle name="Heading 4 3" xfId="440" xr:uid="{00000000-0005-0000-0000-00008F220000}"/>
    <cellStyle name="Heading 4 4" xfId="441" xr:uid="{00000000-0005-0000-0000-000090220000}"/>
    <cellStyle name="Heading 4 5" xfId="8917" xr:uid="{00000000-0005-0000-0000-000091220000}"/>
    <cellStyle name="Heading 4 6" xfId="33410" xr:uid="{00000000-0005-0000-0000-000092220000}"/>
    <cellStyle name="Heading 4_Bauteile" xfId="442" xr:uid="{00000000-0005-0000-0000-000093220000}"/>
    <cellStyle name="HEADINGS" xfId="8918" xr:uid="{00000000-0005-0000-0000-000094220000}"/>
    <cellStyle name="HEADINGS 2" xfId="8919" xr:uid="{00000000-0005-0000-0000-000095220000}"/>
    <cellStyle name="HEADINGS 2 2" xfId="8920" xr:uid="{00000000-0005-0000-0000-000096220000}"/>
    <cellStyle name="HEADINGSTOP" xfId="8921" xr:uid="{00000000-0005-0000-0000-000097220000}"/>
    <cellStyle name="HEADINGSTOP 2" xfId="8922" xr:uid="{00000000-0005-0000-0000-000098220000}"/>
    <cellStyle name="HEADINGSTOP 2 2" xfId="8923" xr:uid="{00000000-0005-0000-0000-000099220000}"/>
    <cellStyle name="Hiperlink" xfId="22" builtinId="8"/>
    <cellStyle name="Hyperlink 2" xfId="443" xr:uid="{00000000-0005-0000-0000-00009B220000}"/>
    <cellStyle name="Hyperlink 2 2" xfId="8924" xr:uid="{00000000-0005-0000-0000-00009C220000}"/>
    <cellStyle name="Hyperlink 2 2 2" xfId="8925" xr:uid="{00000000-0005-0000-0000-00009D220000}"/>
    <cellStyle name="Hyperlink 3" xfId="8926" xr:uid="{00000000-0005-0000-0000-00009E220000}"/>
    <cellStyle name="Hyperlink 3 2" xfId="8927" xr:uid="{00000000-0005-0000-0000-00009F220000}"/>
    <cellStyle name="Hyperlink 3 3" xfId="8928" xr:uid="{00000000-0005-0000-0000-0000A0220000}"/>
    <cellStyle name="Hyperlink 3 3 2" xfId="8929" xr:uid="{00000000-0005-0000-0000-0000A1220000}"/>
    <cellStyle name="Hyperlink 3 3 3" xfId="8930" xr:uid="{00000000-0005-0000-0000-0000A2220000}"/>
    <cellStyle name="Hyperlink 4" xfId="8931" xr:uid="{00000000-0005-0000-0000-0000A3220000}"/>
    <cellStyle name="Hyperlink 4 2" xfId="8932" xr:uid="{00000000-0005-0000-0000-0000A4220000}"/>
    <cellStyle name="Hyperlink 4 3" xfId="8933" xr:uid="{00000000-0005-0000-0000-0000A5220000}"/>
    <cellStyle name="Hyperlink 5" xfId="8934" xr:uid="{00000000-0005-0000-0000-0000A6220000}"/>
    <cellStyle name="Icon" xfId="5" xr:uid="{00000000-0005-0000-0000-0000A7220000}"/>
    <cellStyle name="Icon 2" xfId="33411" xr:uid="{00000000-0005-0000-0000-0000A8220000}"/>
    <cellStyle name="Icon 3" xfId="33412" xr:uid="{00000000-0005-0000-0000-0000A9220000}"/>
    <cellStyle name="Incorrecto" xfId="8935" xr:uid="{00000000-0005-0000-0000-0000AA220000}"/>
    <cellStyle name="Incorrecto 2" xfId="8936" xr:uid="{00000000-0005-0000-0000-0000AB220000}"/>
    <cellStyle name="Input" xfId="8937" xr:uid="{00000000-0005-0000-0000-0000AC220000}"/>
    <cellStyle name="Input [yellow]" xfId="8938" xr:uid="{00000000-0005-0000-0000-0000AD220000}"/>
    <cellStyle name="Input [yellow] 2" xfId="8939" xr:uid="{00000000-0005-0000-0000-0000AE220000}"/>
    <cellStyle name="Input [yellow] 2 2" xfId="8940" xr:uid="{00000000-0005-0000-0000-0000AF220000}"/>
    <cellStyle name="Input 10" xfId="8941" xr:uid="{00000000-0005-0000-0000-0000B0220000}"/>
    <cellStyle name="Input 11" xfId="8942" xr:uid="{00000000-0005-0000-0000-0000B1220000}"/>
    <cellStyle name="Input 12" xfId="8943" xr:uid="{00000000-0005-0000-0000-0000B2220000}"/>
    <cellStyle name="Input 13" xfId="8944" xr:uid="{00000000-0005-0000-0000-0000B3220000}"/>
    <cellStyle name="Input 14" xfId="8945" xr:uid="{00000000-0005-0000-0000-0000B4220000}"/>
    <cellStyle name="Input 2" xfId="444" xr:uid="{00000000-0005-0000-0000-0000B5220000}"/>
    <cellStyle name="Input 2 2" xfId="8946" xr:uid="{00000000-0005-0000-0000-0000B6220000}"/>
    <cellStyle name="Input 3" xfId="8947" xr:uid="{00000000-0005-0000-0000-0000B7220000}"/>
    <cellStyle name="Input 4" xfId="8948" xr:uid="{00000000-0005-0000-0000-0000B8220000}"/>
    <cellStyle name="Input 5" xfId="8949" xr:uid="{00000000-0005-0000-0000-0000B9220000}"/>
    <cellStyle name="Input 6" xfId="8950" xr:uid="{00000000-0005-0000-0000-0000BA220000}"/>
    <cellStyle name="Input 7" xfId="8951" xr:uid="{00000000-0005-0000-0000-0000BB220000}"/>
    <cellStyle name="Input 8" xfId="8952" xr:uid="{00000000-0005-0000-0000-0000BC220000}"/>
    <cellStyle name="Input 9" xfId="8953" xr:uid="{00000000-0005-0000-0000-0000BD220000}"/>
    <cellStyle name="Input Cells" xfId="8954" xr:uid="{00000000-0005-0000-0000-0000BE220000}"/>
    <cellStyle name="Item_Current" xfId="8955" xr:uid="{00000000-0005-0000-0000-0000BF220000}"/>
    <cellStyle name="kmask3" xfId="8956" xr:uid="{00000000-0005-0000-0000-0000C0220000}"/>
    <cellStyle name="kmask3 2" xfId="8957" xr:uid="{00000000-0005-0000-0000-0000C1220000}"/>
    <cellStyle name="kmask3 3" xfId="8958" xr:uid="{00000000-0005-0000-0000-0000C2220000}"/>
    <cellStyle name="kmask3 4" xfId="8959" xr:uid="{00000000-0005-0000-0000-0000C3220000}"/>
    <cellStyle name="kmask3 5" xfId="8960" xr:uid="{00000000-0005-0000-0000-0000C4220000}"/>
    <cellStyle name="kmask3 6" xfId="8961" xr:uid="{00000000-0005-0000-0000-0000C5220000}"/>
    <cellStyle name="Komma 2" xfId="445" xr:uid="{00000000-0005-0000-0000-0000C6220000}"/>
    <cellStyle name="Komma 2 2" xfId="446" xr:uid="{00000000-0005-0000-0000-0000C7220000}"/>
    <cellStyle name="Komma 3" xfId="8962" xr:uid="{00000000-0005-0000-0000-0000C8220000}"/>
    <cellStyle name="Komma 3 2" xfId="8963" xr:uid="{00000000-0005-0000-0000-0000C9220000}"/>
    <cellStyle name="Komma 4" xfId="8964" xr:uid="{00000000-0005-0000-0000-0000CA220000}"/>
    <cellStyle name="Komma 4 2" xfId="8965" xr:uid="{00000000-0005-0000-0000-0000CB220000}"/>
    <cellStyle name="Link Currency (0)" xfId="8966" xr:uid="{00000000-0005-0000-0000-0000CC220000}"/>
    <cellStyle name="Link Currency (2)" xfId="8967" xr:uid="{00000000-0005-0000-0000-0000CD220000}"/>
    <cellStyle name="Link Units (0)" xfId="8968" xr:uid="{00000000-0005-0000-0000-0000CE220000}"/>
    <cellStyle name="Link Units (1)" xfId="8969" xr:uid="{00000000-0005-0000-0000-0000CF220000}"/>
    <cellStyle name="Link Units (2)" xfId="8970" xr:uid="{00000000-0005-0000-0000-0000D0220000}"/>
    <cellStyle name="Linked Cell" xfId="751" xr:uid="{00000000-0005-0000-0000-0000D1220000}"/>
    <cellStyle name="Linked Cell 2" xfId="447" xr:uid="{00000000-0005-0000-0000-0000D2220000}"/>
    <cellStyle name="Linked Cell 2 2" xfId="8971" xr:uid="{00000000-0005-0000-0000-0000D3220000}"/>
    <cellStyle name="Linked Cell 2 3" xfId="8972" xr:uid="{00000000-0005-0000-0000-0000D4220000}"/>
    <cellStyle name="Linked Cell 3" xfId="448" xr:uid="{00000000-0005-0000-0000-0000D5220000}"/>
    <cellStyle name="Linked Cell 4" xfId="449" xr:uid="{00000000-0005-0000-0000-0000D6220000}"/>
    <cellStyle name="Linked Cell 5" xfId="8973" xr:uid="{00000000-0005-0000-0000-0000D7220000}"/>
    <cellStyle name="Linked Cell 6" xfId="33413" xr:uid="{00000000-0005-0000-0000-0000D8220000}"/>
    <cellStyle name="Linked Cell_Bauteile" xfId="450" xr:uid="{00000000-0005-0000-0000-0000D9220000}"/>
    <cellStyle name="Linked Cells" xfId="8974" xr:uid="{00000000-0005-0000-0000-0000DA220000}"/>
    <cellStyle name="Millares [0]_!!!GO" xfId="8975" xr:uid="{00000000-0005-0000-0000-0000DB220000}"/>
    <cellStyle name="Millares_!!!GO" xfId="8976" xr:uid="{00000000-0005-0000-0000-0000DC220000}"/>
    <cellStyle name="Milliers [0]_!!!GO" xfId="8977" xr:uid="{00000000-0005-0000-0000-0000DD220000}"/>
    <cellStyle name="Milliers_!!!GO" xfId="8978" xr:uid="{00000000-0005-0000-0000-0000DE220000}"/>
    <cellStyle name="Model" xfId="8979" xr:uid="{00000000-0005-0000-0000-0000DF220000}"/>
    <cellStyle name="Moneda [0]_!!!GO" xfId="8980" xr:uid="{00000000-0005-0000-0000-0000E2220000}"/>
    <cellStyle name="Moneda_!!!GO" xfId="8981" xr:uid="{00000000-0005-0000-0000-0000E3220000}"/>
    <cellStyle name="Monétaire [0]_!!!GO" xfId="8982" xr:uid="{00000000-0005-0000-0000-0000E4220000}"/>
    <cellStyle name="Monétaire_!!!GO" xfId="8983" xr:uid="{00000000-0005-0000-0000-0000E5220000}"/>
    <cellStyle name="Neutral 2" xfId="451" xr:uid="{00000000-0005-0000-0000-0000E7220000}"/>
    <cellStyle name="Neutral 2 2" xfId="452" xr:uid="{00000000-0005-0000-0000-0000E8220000}"/>
    <cellStyle name="Neutral 2 3" xfId="453" xr:uid="{00000000-0005-0000-0000-0000E9220000}"/>
    <cellStyle name="Neutral 3" xfId="454" xr:uid="{00000000-0005-0000-0000-0000EA220000}"/>
    <cellStyle name="Neutral 3 2" xfId="8984" xr:uid="{00000000-0005-0000-0000-0000EB220000}"/>
    <cellStyle name="Neutral 3 3" xfId="8985" xr:uid="{00000000-0005-0000-0000-0000EC220000}"/>
    <cellStyle name="Neutral 3 4" xfId="8986" xr:uid="{00000000-0005-0000-0000-0000ED220000}"/>
    <cellStyle name="Neutral 3 5" xfId="33414" xr:uid="{00000000-0005-0000-0000-0000EE220000}"/>
    <cellStyle name="Neutral 3_Spotweld Crossreference Master" xfId="8987" xr:uid="{00000000-0005-0000-0000-0000EF220000}"/>
    <cellStyle name="Neutral 4" xfId="8988" xr:uid="{00000000-0005-0000-0000-0000F0220000}"/>
    <cellStyle name="Neutral 4 2" xfId="8989" xr:uid="{00000000-0005-0000-0000-0000F1220000}"/>
    <cellStyle name="Neutral 4 3" xfId="33415" xr:uid="{00000000-0005-0000-0000-0000F2220000}"/>
    <cellStyle name="Neutral 5" xfId="8990" xr:uid="{00000000-0005-0000-0000-0000F3220000}"/>
    <cellStyle name="Neutral 6" xfId="8991" xr:uid="{00000000-0005-0000-0000-0000F4220000}"/>
    <cellStyle name="Neutral 7" xfId="8992" xr:uid="{00000000-0005-0000-0000-0000F5220000}"/>
    <cellStyle name="Neutral 8" xfId="8993" xr:uid="{00000000-0005-0000-0000-0000F6220000}"/>
    <cellStyle name="Neutro" xfId="23" builtinId="28" customBuiltin="1"/>
    <cellStyle name="no dec" xfId="8994" xr:uid="{00000000-0005-0000-0000-0000F7220000}"/>
    <cellStyle name="Normal" xfId="0" builtinId="0"/>
    <cellStyle name="Normal - Style1" xfId="8995" xr:uid="{00000000-0005-0000-0000-0000F8220000}"/>
    <cellStyle name="Normal - Style1 2" xfId="8996" xr:uid="{00000000-0005-0000-0000-0000F9220000}"/>
    <cellStyle name="Normal 10" xfId="8997" xr:uid="{00000000-0005-0000-0000-0000FA220000}"/>
    <cellStyle name="Normal 10 2" xfId="8998" xr:uid="{00000000-0005-0000-0000-0000FB220000}"/>
    <cellStyle name="Normal 10 3" xfId="8999" xr:uid="{00000000-0005-0000-0000-0000FC220000}"/>
    <cellStyle name="Normal 10 4" xfId="9000" xr:uid="{00000000-0005-0000-0000-0000FD220000}"/>
    <cellStyle name="Normal 10 5" xfId="9001" xr:uid="{00000000-0005-0000-0000-0000FE220000}"/>
    <cellStyle name="Normal 10_Spotweld Crossreference Master" xfId="9002" xr:uid="{00000000-0005-0000-0000-0000FF220000}"/>
    <cellStyle name="Normal 11" xfId="9003" xr:uid="{00000000-0005-0000-0000-000000230000}"/>
    <cellStyle name="Normal 11 2" xfId="9004" xr:uid="{00000000-0005-0000-0000-000001230000}"/>
    <cellStyle name="Normal 11 3" xfId="9005" xr:uid="{00000000-0005-0000-0000-000002230000}"/>
    <cellStyle name="Normal 11 4" xfId="9006" xr:uid="{00000000-0005-0000-0000-000003230000}"/>
    <cellStyle name="Normal 11 5" xfId="9007" xr:uid="{00000000-0005-0000-0000-000004230000}"/>
    <cellStyle name="Normal 11_Spotweld Crossreference Master" xfId="9008" xr:uid="{00000000-0005-0000-0000-000005230000}"/>
    <cellStyle name="Normal 12" xfId="9009" xr:uid="{00000000-0005-0000-0000-000006230000}"/>
    <cellStyle name="Normal 12 2" xfId="9010" xr:uid="{00000000-0005-0000-0000-000007230000}"/>
    <cellStyle name="Normal 12 3" xfId="9011" xr:uid="{00000000-0005-0000-0000-000008230000}"/>
    <cellStyle name="Normal 12 4" xfId="9012" xr:uid="{00000000-0005-0000-0000-000009230000}"/>
    <cellStyle name="Normal 12 5" xfId="9013" xr:uid="{00000000-0005-0000-0000-00000A230000}"/>
    <cellStyle name="Normal 12_Spotweld Crossreference Master" xfId="9014" xr:uid="{00000000-0005-0000-0000-00000B230000}"/>
    <cellStyle name="Normal 13" xfId="9015" xr:uid="{00000000-0005-0000-0000-00000C230000}"/>
    <cellStyle name="Normal 13 2" xfId="9016" xr:uid="{00000000-0005-0000-0000-00000D230000}"/>
    <cellStyle name="Normal 13 3" xfId="9017" xr:uid="{00000000-0005-0000-0000-00000E230000}"/>
    <cellStyle name="Normal 13 4" xfId="9018" xr:uid="{00000000-0005-0000-0000-00000F230000}"/>
    <cellStyle name="Normal 13 5" xfId="9019" xr:uid="{00000000-0005-0000-0000-000010230000}"/>
    <cellStyle name="Normal 13_Spotweld Crossreference Master" xfId="9020" xr:uid="{00000000-0005-0000-0000-000011230000}"/>
    <cellStyle name="Normal 14" xfId="9021" xr:uid="{00000000-0005-0000-0000-000012230000}"/>
    <cellStyle name="Normal 14 2" xfId="9022" xr:uid="{00000000-0005-0000-0000-000013230000}"/>
    <cellStyle name="Normal 14 3" xfId="9023" xr:uid="{00000000-0005-0000-0000-000014230000}"/>
    <cellStyle name="Normal 14 4" xfId="9024" xr:uid="{00000000-0005-0000-0000-000015230000}"/>
    <cellStyle name="Normal 14 5" xfId="9025" xr:uid="{00000000-0005-0000-0000-000016230000}"/>
    <cellStyle name="Normal 14_Spotweld Crossreference Master" xfId="9026" xr:uid="{00000000-0005-0000-0000-000017230000}"/>
    <cellStyle name="Normal 15" xfId="9027" xr:uid="{00000000-0005-0000-0000-000018230000}"/>
    <cellStyle name="Normal 15 2" xfId="9028" xr:uid="{00000000-0005-0000-0000-000019230000}"/>
    <cellStyle name="Normal 15 3" xfId="9029" xr:uid="{00000000-0005-0000-0000-00001A230000}"/>
    <cellStyle name="Normal 15 4" xfId="9030" xr:uid="{00000000-0005-0000-0000-00001B230000}"/>
    <cellStyle name="Normal 15 5" xfId="9031" xr:uid="{00000000-0005-0000-0000-00001C230000}"/>
    <cellStyle name="Normal 15_Spotweld Crossreference Master" xfId="9032" xr:uid="{00000000-0005-0000-0000-00001D230000}"/>
    <cellStyle name="Normal 16" xfId="9033" xr:uid="{00000000-0005-0000-0000-00001E230000}"/>
    <cellStyle name="Normal 16 2" xfId="9034" xr:uid="{00000000-0005-0000-0000-00001F230000}"/>
    <cellStyle name="Normal 16 3" xfId="9035" xr:uid="{00000000-0005-0000-0000-000020230000}"/>
    <cellStyle name="Normal 16 4" xfId="9036" xr:uid="{00000000-0005-0000-0000-000021230000}"/>
    <cellStyle name="Normal 16 5" xfId="9037" xr:uid="{00000000-0005-0000-0000-000022230000}"/>
    <cellStyle name="Normal 16_Spotweld Crossreference Master" xfId="9038" xr:uid="{00000000-0005-0000-0000-000023230000}"/>
    <cellStyle name="Normal 17" xfId="9039" xr:uid="{00000000-0005-0000-0000-000024230000}"/>
    <cellStyle name="Normal 17 2" xfId="9040" xr:uid="{00000000-0005-0000-0000-000025230000}"/>
    <cellStyle name="Normal 17 3" xfId="9041" xr:uid="{00000000-0005-0000-0000-000026230000}"/>
    <cellStyle name="Normal 17 4" xfId="9042" xr:uid="{00000000-0005-0000-0000-000027230000}"/>
    <cellStyle name="Normal 17 5" xfId="9043" xr:uid="{00000000-0005-0000-0000-000028230000}"/>
    <cellStyle name="Normal 17_Spotweld Crossreference Master" xfId="9044" xr:uid="{00000000-0005-0000-0000-000029230000}"/>
    <cellStyle name="Normal 18" xfId="9045" xr:uid="{00000000-0005-0000-0000-00002A230000}"/>
    <cellStyle name="Normal 18 2" xfId="9046" xr:uid="{00000000-0005-0000-0000-00002B230000}"/>
    <cellStyle name="Normal 18 3" xfId="9047" xr:uid="{00000000-0005-0000-0000-00002C230000}"/>
    <cellStyle name="Normal 18 4" xfId="9048" xr:uid="{00000000-0005-0000-0000-00002D230000}"/>
    <cellStyle name="Normal 18 5" xfId="9049" xr:uid="{00000000-0005-0000-0000-00002E230000}"/>
    <cellStyle name="Normal 18_Spotweld Crossreference Master" xfId="9050" xr:uid="{00000000-0005-0000-0000-00002F230000}"/>
    <cellStyle name="Normal 19" xfId="9051" xr:uid="{00000000-0005-0000-0000-000030230000}"/>
    <cellStyle name="Normal 19 2" xfId="9052" xr:uid="{00000000-0005-0000-0000-000031230000}"/>
    <cellStyle name="Normal 19 3" xfId="9053" xr:uid="{00000000-0005-0000-0000-000032230000}"/>
    <cellStyle name="Normal 19 4" xfId="9054" xr:uid="{00000000-0005-0000-0000-000033230000}"/>
    <cellStyle name="Normal 19 5" xfId="9055" xr:uid="{00000000-0005-0000-0000-000034230000}"/>
    <cellStyle name="Normal 19_Spotweld Crossreference Master" xfId="9056" xr:uid="{00000000-0005-0000-0000-000035230000}"/>
    <cellStyle name="Normal 2" xfId="455" xr:uid="{00000000-0005-0000-0000-000036230000}"/>
    <cellStyle name="Normal 2 2" xfId="9057" xr:uid="{00000000-0005-0000-0000-000037230000}"/>
    <cellStyle name="Normal 2 2 2" xfId="9058" xr:uid="{00000000-0005-0000-0000-000038230000}"/>
    <cellStyle name="Normal 2 2 2 2" xfId="9059" xr:uid="{00000000-0005-0000-0000-000039230000}"/>
    <cellStyle name="Normal 2 2 3" xfId="9060" xr:uid="{00000000-0005-0000-0000-00003A230000}"/>
    <cellStyle name="Normal 2 2 3 2" xfId="9061" xr:uid="{00000000-0005-0000-0000-00003B230000}"/>
    <cellStyle name="Normal 2 2 4" xfId="9062" xr:uid="{00000000-0005-0000-0000-00003C230000}"/>
    <cellStyle name="Normal 2 2 4 2" xfId="9063" xr:uid="{00000000-0005-0000-0000-00003D230000}"/>
    <cellStyle name="Normal 2 2 5" xfId="9064" xr:uid="{00000000-0005-0000-0000-00003E230000}"/>
    <cellStyle name="Normal 2 2 6" xfId="9065" xr:uid="{00000000-0005-0000-0000-00003F230000}"/>
    <cellStyle name="Normal 2 3" xfId="9066" xr:uid="{00000000-0005-0000-0000-000040230000}"/>
    <cellStyle name="Normal 2 3 2" xfId="9067" xr:uid="{00000000-0005-0000-0000-000041230000}"/>
    <cellStyle name="Normal 2 3 3" xfId="9068" xr:uid="{00000000-0005-0000-0000-000042230000}"/>
    <cellStyle name="Normal 2 4" xfId="9069" xr:uid="{00000000-0005-0000-0000-000043230000}"/>
    <cellStyle name="Normal 2 4 2" xfId="9070" xr:uid="{00000000-0005-0000-0000-000044230000}"/>
    <cellStyle name="Normal 2 4 3" xfId="9071" xr:uid="{00000000-0005-0000-0000-000045230000}"/>
    <cellStyle name="Normal 2 5" xfId="9072" xr:uid="{00000000-0005-0000-0000-000046230000}"/>
    <cellStyle name="Normal 2 5 2" xfId="9073" xr:uid="{00000000-0005-0000-0000-000047230000}"/>
    <cellStyle name="Normal 2 5 3" xfId="9074" xr:uid="{00000000-0005-0000-0000-000048230000}"/>
    <cellStyle name="Normal 2 6" xfId="9075" xr:uid="{00000000-0005-0000-0000-000049230000}"/>
    <cellStyle name="Normal 2 6 2" xfId="9076" xr:uid="{00000000-0005-0000-0000-00004A230000}"/>
    <cellStyle name="Normal 2 7" xfId="9077" xr:uid="{00000000-0005-0000-0000-00004B230000}"/>
    <cellStyle name="Normal 2 8" xfId="9078" xr:uid="{00000000-0005-0000-0000-00004C230000}"/>
    <cellStyle name="Normal 2_Spotweld Crossreference Master" xfId="9079" xr:uid="{00000000-0005-0000-0000-00004D230000}"/>
    <cellStyle name="Normal 20" xfId="9080" xr:uid="{00000000-0005-0000-0000-00004E230000}"/>
    <cellStyle name="Normal 20 2" xfId="9081" xr:uid="{00000000-0005-0000-0000-00004F230000}"/>
    <cellStyle name="Normal 20 3" xfId="9082" xr:uid="{00000000-0005-0000-0000-000050230000}"/>
    <cellStyle name="Normal 20 4" xfId="9083" xr:uid="{00000000-0005-0000-0000-000051230000}"/>
    <cellStyle name="Normal 20 5" xfId="9084" xr:uid="{00000000-0005-0000-0000-000052230000}"/>
    <cellStyle name="Normal 20_Spotweld Crossreference Master" xfId="9085" xr:uid="{00000000-0005-0000-0000-000053230000}"/>
    <cellStyle name="Normal 21" xfId="9086" xr:uid="{00000000-0005-0000-0000-000054230000}"/>
    <cellStyle name="Normal 21 2" xfId="9087" xr:uid="{00000000-0005-0000-0000-000055230000}"/>
    <cellStyle name="Normal 21 3" xfId="9088" xr:uid="{00000000-0005-0000-0000-000056230000}"/>
    <cellStyle name="Normal 21 4" xfId="9089" xr:uid="{00000000-0005-0000-0000-000057230000}"/>
    <cellStyle name="Normal 21 5" xfId="9090" xr:uid="{00000000-0005-0000-0000-000058230000}"/>
    <cellStyle name="Normal 21_Spotweld Crossreference Master" xfId="9091" xr:uid="{00000000-0005-0000-0000-000059230000}"/>
    <cellStyle name="Normal 22" xfId="9092" xr:uid="{00000000-0005-0000-0000-00005A230000}"/>
    <cellStyle name="Normal 22 2" xfId="9093" xr:uid="{00000000-0005-0000-0000-00005B230000}"/>
    <cellStyle name="Normal 22 3" xfId="9094" xr:uid="{00000000-0005-0000-0000-00005C230000}"/>
    <cellStyle name="Normal 22 4" xfId="9095" xr:uid="{00000000-0005-0000-0000-00005D230000}"/>
    <cellStyle name="Normal 22_Spotweld Crossreference Master" xfId="9096" xr:uid="{00000000-0005-0000-0000-00005E230000}"/>
    <cellStyle name="Normal 23" xfId="9097" xr:uid="{00000000-0005-0000-0000-00005F230000}"/>
    <cellStyle name="Normal 23 2" xfId="9098" xr:uid="{00000000-0005-0000-0000-000060230000}"/>
    <cellStyle name="Normal 23 3" xfId="9099" xr:uid="{00000000-0005-0000-0000-000061230000}"/>
    <cellStyle name="Normal 23 4" xfId="9100" xr:uid="{00000000-0005-0000-0000-000062230000}"/>
    <cellStyle name="Normal 23_Spotweld Crossreference Master" xfId="9101" xr:uid="{00000000-0005-0000-0000-000063230000}"/>
    <cellStyle name="Normal 24" xfId="9102" xr:uid="{00000000-0005-0000-0000-000064230000}"/>
    <cellStyle name="Normal 24 2" xfId="9103" xr:uid="{00000000-0005-0000-0000-000065230000}"/>
    <cellStyle name="Normal 24 3" xfId="9104" xr:uid="{00000000-0005-0000-0000-000066230000}"/>
    <cellStyle name="Normal 24 4" xfId="9105" xr:uid="{00000000-0005-0000-0000-000067230000}"/>
    <cellStyle name="Normal 24_Spotweld Crossreference Master" xfId="9106" xr:uid="{00000000-0005-0000-0000-000068230000}"/>
    <cellStyle name="Normal 25" xfId="9107" xr:uid="{00000000-0005-0000-0000-000069230000}"/>
    <cellStyle name="Normal 25 2" xfId="9108" xr:uid="{00000000-0005-0000-0000-00006A230000}"/>
    <cellStyle name="Normal 25 3" xfId="9109" xr:uid="{00000000-0005-0000-0000-00006B230000}"/>
    <cellStyle name="Normal 25 4" xfId="9110" xr:uid="{00000000-0005-0000-0000-00006C230000}"/>
    <cellStyle name="Normal 25_Spotweld Crossreference Master" xfId="9111" xr:uid="{00000000-0005-0000-0000-00006D230000}"/>
    <cellStyle name="Normal 26" xfId="9112" xr:uid="{00000000-0005-0000-0000-00006E230000}"/>
    <cellStyle name="Normal 26 2" xfId="9113" xr:uid="{00000000-0005-0000-0000-00006F230000}"/>
    <cellStyle name="Normal 26 3" xfId="9114" xr:uid="{00000000-0005-0000-0000-000070230000}"/>
    <cellStyle name="Normal 26 4" xfId="9115" xr:uid="{00000000-0005-0000-0000-000071230000}"/>
    <cellStyle name="Normal 26_Spotweld Crossreference Master" xfId="9116" xr:uid="{00000000-0005-0000-0000-000072230000}"/>
    <cellStyle name="Normal 27" xfId="9117" xr:uid="{00000000-0005-0000-0000-000073230000}"/>
    <cellStyle name="Normal 27 2" xfId="9118" xr:uid="{00000000-0005-0000-0000-000074230000}"/>
    <cellStyle name="Normal 27 3" xfId="9119" xr:uid="{00000000-0005-0000-0000-000075230000}"/>
    <cellStyle name="Normal 27 4" xfId="9120" xr:uid="{00000000-0005-0000-0000-000076230000}"/>
    <cellStyle name="Normal 27_Spotweld Crossreference Master" xfId="9121" xr:uid="{00000000-0005-0000-0000-000077230000}"/>
    <cellStyle name="Normal 28" xfId="9122" xr:uid="{00000000-0005-0000-0000-000078230000}"/>
    <cellStyle name="Normal 28 2" xfId="9123" xr:uid="{00000000-0005-0000-0000-000079230000}"/>
    <cellStyle name="Normal 28 3" xfId="9124" xr:uid="{00000000-0005-0000-0000-00007A230000}"/>
    <cellStyle name="Normal 28 4" xfId="9125" xr:uid="{00000000-0005-0000-0000-00007B230000}"/>
    <cellStyle name="Normal 28_Spotweld Crossreference Master" xfId="9126" xr:uid="{00000000-0005-0000-0000-00007C230000}"/>
    <cellStyle name="Normal 29" xfId="9127" xr:uid="{00000000-0005-0000-0000-00007D230000}"/>
    <cellStyle name="Normal 29 2" xfId="9128" xr:uid="{00000000-0005-0000-0000-00007E230000}"/>
    <cellStyle name="Normal 29 3" xfId="9129" xr:uid="{00000000-0005-0000-0000-00007F230000}"/>
    <cellStyle name="Normal 29 4" xfId="9130" xr:uid="{00000000-0005-0000-0000-000080230000}"/>
    <cellStyle name="Normal 29_Spotweld Crossreference Master" xfId="9131" xr:uid="{00000000-0005-0000-0000-000081230000}"/>
    <cellStyle name="Normal 3" xfId="456" xr:uid="{00000000-0005-0000-0000-000082230000}"/>
    <cellStyle name="Normal 3 2" xfId="9132" xr:uid="{00000000-0005-0000-0000-000083230000}"/>
    <cellStyle name="Normal 3 3" xfId="9133" xr:uid="{00000000-0005-0000-0000-000084230000}"/>
    <cellStyle name="Normal 3 4" xfId="9134" xr:uid="{00000000-0005-0000-0000-000085230000}"/>
    <cellStyle name="Normal 3 5" xfId="9135" xr:uid="{00000000-0005-0000-0000-000086230000}"/>
    <cellStyle name="Normal 3 6" xfId="9136" xr:uid="{00000000-0005-0000-0000-000087230000}"/>
    <cellStyle name="Normal 3_Spotweld Crossreference Master" xfId="9137" xr:uid="{00000000-0005-0000-0000-000088230000}"/>
    <cellStyle name="Normal 30" xfId="9138" xr:uid="{00000000-0005-0000-0000-000089230000}"/>
    <cellStyle name="Normal 31" xfId="9139" xr:uid="{00000000-0005-0000-0000-00008A230000}"/>
    <cellStyle name="Normal 32" xfId="9140" xr:uid="{00000000-0005-0000-0000-00008B230000}"/>
    <cellStyle name="Normal 33" xfId="9141" xr:uid="{00000000-0005-0000-0000-00008C230000}"/>
    <cellStyle name="Normal 34" xfId="9142" xr:uid="{00000000-0005-0000-0000-00008D230000}"/>
    <cellStyle name="Normal 35" xfId="9143" xr:uid="{00000000-0005-0000-0000-00008E230000}"/>
    <cellStyle name="Normal 36" xfId="9144" xr:uid="{00000000-0005-0000-0000-00008F230000}"/>
    <cellStyle name="Normal 37" xfId="9145" xr:uid="{00000000-0005-0000-0000-000090230000}"/>
    <cellStyle name="Normal 38" xfId="9146" xr:uid="{00000000-0005-0000-0000-000091230000}"/>
    <cellStyle name="Normal 39" xfId="9147" xr:uid="{00000000-0005-0000-0000-000092230000}"/>
    <cellStyle name="Normal 4" xfId="26" xr:uid="{00000000-0005-0000-0000-000093230000}"/>
    <cellStyle name="Normal 4 2" xfId="457" xr:uid="{00000000-0005-0000-0000-000094230000}"/>
    <cellStyle name="Normal 4 3" xfId="9148" xr:uid="{00000000-0005-0000-0000-000095230000}"/>
    <cellStyle name="Normal 4 4" xfId="9149" xr:uid="{00000000-0005-0000-0000-000096230000}"/>
    <cellStyle name="Normal 4 5" xfId="9150" xr:uid="{00000000-0005-0000-0000-000097230000}"/>
    <cellStyle name="Normal 4 6" xfId="9151" xr:uid="{00000000-0005-0000-0000-000098230000}"/>
    <cellStyle name="Normal 4_Spotweld Crossreference Master" xfId="9152" xr:uid="{00000000-0005-0000-0000-000099230000}"/>
    <cellStyle name="Normal 40" xfId="9153" xr:uid="{00000000-0005-0000-0000-00009A230000}"/>
    <cellStyle name="Normal 41" xfId="9154" xr:uid="{00000000-0005-0000-0000-00009B230000}"/>
    <cellStyle name="Normal 42" xfId="9155" xr:uid="{00000000-0005-0000-0000-00009C230000}"/>
    <cellStyle name="Normal 43" xfId="9156" xr:uid="{00000000-0005-0000-0000-00009D230000}"/>
    <cellStyle name="Normal 44" xfId="9157" xr:uid="{00000000-0005-0000-0000-00009E230000}"/>
    <cellStyle name="Normal 45" xfId="9158" xr:uid="{00000000-0005-0000-0000-00009F230000}"/>
    <cellStyle name="Normal 46" xfId="9159" xr:uid="{00000000-0005-0000-0000-0000A0230000}"/>
    <cellStyle name="Normal 47" xfId="9160" xr:uid="{00000000-0005-0000-0000-0000A1230000}"/>
    <cellStyle name="Normal 48" xfId="9161" xr:uid="{00000000-0005-0000-0000-0000A2230000}"/>
    <cellStyle name="Normal 49" xfId="9162" xr:uid="{00000000-0005-0000-0000-0000A3230000}"/>
    <cellStyle name="Normal 5" xfId="458" xr:uid="{00000000-0005-0000-0000-0000A4230000}"/>
    <cellStyle name="Normal 5 2" xfId="459" xr:uid="{00000000-0005-0000-0000-0000A5230000}"/>
    <cellStyle name="Normal 5 3" xfId="9163" xr:uid="{00000000-0005-0000-0000-0000A6230000}"/>
    <cellStyle name="Normal 5 4" xfId="9164" xr:uid="{00000000-0005-0000-0000-0000A7230000}"/>
    <cellStyle name="Normal 5 5" xfId="9165" xr:uid="{00000000-0005-0000-0000-0000A8230000}"/>
    <cellStyle name="Normal 5_Spotweld Crossreference Master" xfId="9166" xr:uid="{00000000-0005-0000-0000-0000A9230000}"/>
    <cellStyle name="Normal 51" xfId="9167" xr:uid="{00000000-0005-0000-0000-0000AA230000}"/>
    <cellStyle name="Normal 52" xfId="9168" xr:uid="{00000000-0005-0000-0000-0000AB230000}"/>
    <cellStyle name="Normal 53" xfId="9169" xr:uid="{00000000-0005-0000-0000-0000AC230000}"/>
    <cellStyle name="Normal 54" xfId="9170" xr:uid="{00000000-0005-0000-0000-0000AD230000}"/>
    <cellStyle name="Normal 55" xfId="9171" xr:uid="{00000000-0005-0000-0000-0000AE230000}"/>
    <cellStyle name="Normal 56" xfId="9172" xr:uid="{00000000-0005-0000-0000-0000AF230000}"/>
    <cellStyle name="Normal 57" xfId="9173" xr:uid="{00000000-0005-0000-0000-0000B0230000}"/>
    <cellStyle name="Normal 58" xfId="9174" xr:uid="{00000000-0005-0000-0000-0000B1230000}"/>
    <cellStyle name="Normal 59" xfId="9175" xr:uid="{00000000-0005-0000-0000-0000B2230000}"/>
    <cellStyle name="Normal 6" xfId="9176" xr:uid="{00000000-0005-0000-0000-0000B3230000}"/>
    <cellStyle name="Normal 6 2" xfId="9177" xr:uid="{00000000-0005-0000-0000-0000B4230000}"/>
    <cellStyle name="Normal 6 3" xfId="9178" xr:uid="{00000000-0005-0000-0000-0000B5230000}"/>
    <cellStyle name="Normal 6 4" xfId="9179" xr:uid="{00000000-0005-0000-0000-0000B6230000}"/>
    <cellStyle name="Normal 6 5" xfId="9180" xr:uid="{00000000-0005-0000-0000-0000B7230000}"/>
    <cellStyle name="Normal 6_Spotweld Crossreference Master" xfId="9181" xr:uid="{00000000-0005-0000-0000-0000B8230000}"/>
    <cellStyle name="Normal 60" xfId="9182" xr:uid="{00000000-0005-0000-0000-0000B9230000}"/>
    <cellStyle name="Normal 7" xfId="9183" xr:uid="{00000000-0005-0000-0000-0000BA230000}"/>
    <cellStyle name="Normal 7 2" xfId="9184" xr:uid="{00000000-0005-0000-0000-0000BB230000}"/>
    <cellStyle name="Normal 7 3" xfId="9185" xr:uid="{00000000-0005-0000-0000-0000BC230000}"/>
    <cellStyle name="Normal 7 4" xfId="9186" xr:uid="{00000000-0005-0000-0000-0000BD230000}"/>
    <cellStyle name="Normal 7 5" xfId="9187" xr:uid="{00000000-0005-0000-0000-0000BE230000}"/>
    <cellStyle name="Normal 7_Spotweld Crossreference Master" xfId="9188" xr:uid="{00000000-0005-0000-0000-0000BF230000}"/>
    <cellStyle name="Normal 8" xfId="9189" xr:uid="{00000000-0005-0000-0000-0000C0230000}"/>
    <cellStyle name="Normal 8 2" xfId="9190" xr:uid="{00000000-0005-0000-0000-0000C1230000}"/>
    <cellStyle name="Normal 8 3" xfId="9191" xr:uid="{00000000-0005-0000-0000-0000C2230000}"/>
    <cellStyle name="Normal 8 4" xfId="9192" xr:uid="{00000000-0005-0000-0000-0000C3230000}"/>
    <cellStyle name="Normal 8 5" xfId="9193" xr:uid="{00000000-0005-0000-0000-0000C4230000}"/>
    <cellStyle name="Normal 8_Spotweld Crossreference Master" xfId="9194" xr:uid="{00000000-0005-0000-0000-0000C5230000}"/>
    <cellStyle name="Normal 9" xfId="9195" xr:uid="{00000000-0005-0000-0000-0000C6230000}"/>
    <cellStyle name="Normal 9 2" xfId="9196" xr:uid="{00000000-0005-0000-0000-0000C7230000}"/>
    <cellStyle name="Normal 9 3" xfId="9197" xr:uid="{00000000-0005-0000-0000-0000C8230000}"/>
    <cellStyle name="Normal 9 4" xfId="9198" xr:uid="{00000000-0005-0000-0000-0000C9230000}"/>
    <cellStyle name="Normal 9 5" xfId="9199" xr:uid="{00000000-0005-0000-0000-0000CA230000}"/>
    <cellStyle name="Normal 9_Spotweld Crossreference Master" xfId="9200" xr:uid="{00000000-0005-0000-0000-0000CB230000}"/>
    <cellStyle name="Normal Summary" xfId="9201" xr:uid="{00000000-0005-0000-0000-0000CC230000}"/>
    <cellStyle name="Normal1" xfId="9202" xr:uid="{00000000-0005-0000-0000-0000CD230000}"/>
    <cellStyle name="Normale 2" xfId="9203" xr:uid="{00000000-0005-0000-0000-0000CE230000}"/>
    <cellStyle name="Normalny_Arkusz1" xfId="9204" xr:uid="{00000000-0005-0000-0000-0000CF230000}"/>
    <cellStyle name="Notas" xfId="9205" xr:uid="{00000000-0005-0000-0000-0000D0230000}"/>
    <cellStyle name="Notas 2" xfId="9206" xr:uid="{00000000-0005-0000-0000-0000D1230000}"/>
    <cellStyle name="Notas 2 2" xfId="9207" xr:uid="{00000000-0005-0000-0000-0000D2230000}"/>
    <cellStyle name="Notas 2 2 2" xfId="9208" xr:uid="{00000000-0005-0000-0000-0000D3230000}"/>
    <cellStyle name="Notas 2 3" xfId="9209" xr:uid="{00000000-0005-0000-0000-0000D4230000}"/>
    <cellStyle name="Notas 3" xfId="9210" xr:uid="{00000000-0005-0000-0000-0000D5230000}"/>
    <cellStyle name="Notas 3 2" xfId="9211" xr:uid="{00000000-0005-0000-0000-0000D6230000}"/>
    <cellStyle name="Notas 4" xfId="9212" xr:uid="{00000000-0005-0000-0000-0000D7230000}"/>
    <cellStyle name="Notas 4 2" xfId="9213" xr:uid="{00000000-0005-0000-0000-0000D8230000}"/>
    <cellStyle name="Notas 4 3" xfId="9214" xr:uid="{00000000-0005-0000-0000-0000D9230000}"/>
    <cellStyle name="Notas 4 4" xfId="9215" xr:uid="{00000000-0005-0000-0000-0000DA230000}"/>
    <cellStyle name="Notas 4 4 2" xfId="9216" xr:uid="{00000000-0005-0000-0000-0000DB230000}"/>
    <cellStyle name="Notas 4 4 3" xfId="9217" xr:uid="{00000000-0005-0000-0000-0000DC230000}"/>
    <cellStyle name="Note" xfId="460" xr:uid="{00000000-0005-0000-0000-0000DD230000}"/>
    <cellStyle name="Note 2" xfId="461" xr:uid="{00000000-0005-0000-0000-0000DE230000}"/>
    <cellStyle name="Note 2 2" xfId="9218" xr:uid="{00000000-0005-0000-0000-0000DF230000}"/>
    <cellStyle name="Note 2 2 2" xfId="9219" xr:uid="{00000000-0005-0000-0000-0000E0230000}"/>
    <cellStyle name="Note 2 3" xfId="9220" xr:uid="{00000000-0005-0000-0000-0000E1230000}"/>
    <cellStyle name="Note 3" xfId="462" xr:uid="{00000000-0005-0000-0000-0000E2230000}"/>
    <cellStyle name="Note 3 2" xfId="9221" xr:uid="{00000000-0005-0000-0000-0000E3230000}"/>
    <cellStyle name="Note 4" xfId="463" xr:uid="{00000000-0005-0000-0000-0000E4230000}"/>
    <cellStyle name="Note 4 2" xfId="464" xr:uid="{00000000-0005-0000-0000-0000E5230000}"/>
    <cellStyle name="Note 4 2 2" xfId="9222" xr:uid="{00000000-0005-0000-0000-0000E6230000}"/>
    <cellStyle name="Note 4 2 3" xfId="9223" xr:uid="{00000000-0005-0000-0000-0000E7230000}"/>
    <cellStyle name="Note 4 2 3 2" xfId="9224" xr:uid="{00000000-0005-0000-0000-0000E8230000}"/>
    <cellStyle name="Note 4 2 3 3" xfId="9225" xr:uid="{00000000-0005-0000-0000-0000E9230000}"/>
    <cellStyle name="Note 4 3" xfId="465" xr:uid="{00000000-0005-0000-0000-0000EA230000}"/>
    <cellStyle name="Note 4 3 2" xfId="466" xr:uid="{00000000-0005-0000-0000-0000EB230000}"/>
    <cellStyle name="Note 4 4" xfId="467" xr:uid="{00000000-0005-0000-0000-0000EC230000}"/>
    <cellStyle name="Note 4 5" xfId="468" xr:uid="{00000000-0005-0000-0000-0000ED230000}"/>
    <cellStyle name="Note 4 5 2" xfId="469" xr:uid="{00000000-0005-0000-0000-0000EE230000}"/>
    <cellStyle name="Note 5" xfId="9226" xr:uid="{00000000-0005-0000-0000-0000EF230000}"/>
    <cellStyle name="Note 5 2" xfId="9227" xr:uid="{00000000-0005-0000-0000-0000F0230000}"/>
    <cellStyle name="Note 5 3" xfId="9228" xr:uid="{00000000-0005-0000-0000-0000F1230000}"/>
    <cellStyle name="Notiz 2" xfId="470" xr:uid="{00000000-0005-0000-0000-0000F2230000}"/>
    <cellStyle name="Notiz 2 2" xfId="471" xr:uid="{00000000-0005-0000-0000-0000F3230000}"/>
    <cellStyle name="Notiz 2 2 2" xfId="472" xr:uid="{00000000-0005-0000-0000-0000F4230000}"/>
    <cellStyle name="Notiz 2 2 2 2" xfId="9229" xr:uid="{00000000-0005-0000-0000-0000F5230000}"/>
    <cellStyle name="Notiz 2 2 3" xfId="9230" xr:uid="{00000000-0005-0000-0000-0000F6230000}"/>
    <cellStyle name="Notiz 2 3" xfId="473" xr:uid="{00000000-0005-0000-0000-0000F7230000}"/>
    <cellStyle name="Notiz 2 3 2" xfId="474" xr:uid="{00000000-0005-0000-0000-0000F8230000}"/>
    <cellStyle name="Notiz 2 3 3" xfId="9231" xr:uid="{00000000-0005-0000-0000-0000F9230000}"/>
    <cellStyle name="Notiz 2 4" xfId="475" xr:uid="{00000000-0005-0000-0000-0000FA230000}"/>
    <cellStyle name="Notiz 2 5" xfId="476" xr:uid="{00000000-0005-0000-0000-0000FB230000}"/>
    <cellStyle name="Notiz 2 6" xfId="9232" xr:uid="{00000000-0005-0000-0000-0000FC230000}"/>
    <cellStyle name="Notiz 3" xfId="477" xr:uid="{00000000-0005-0000-0000-0000FD230000}"/>
    <cellStyle name="Notiz 3 2" xfId="9233" xr:uid="{00000000-0005-0000-0000-0000FE230000}"/>
    <cellStyle name="Notiz 3 2 2" xfId="9234" xr:uid="{00000000-0005-0000-0000-0000FF230000}"/>
    <cellStyle name="Notiz 3 2 2 2" xfId="9235" xr:uid="{00000000-0005-0000-0000-000000240000}"/>
    <cellStyle name="Notiz 3 2 2 3" xfId="9236" xr:uid="{00000000-0005-0000-0000-000001240000}"/>
    <cellStyle name="Notiz 3 2 3" xfId="9237" xr:uid="{00000000-0005-0000-0000-000002240000}"/>
    <cellStyle name="Notiz 3 3" xfId="9238" xr:uid="{00000000-0005-0000-0000-000003240000}"/>
    <cellStyle name="Notiz 3 3 2" xfId="9239" xr:uid="{00000000-0005-0000-0000-000004240000}"/>
    <cellStyle name="Notiz 3 3 3" xfId="9240" xr:uid="{00000000-0005-0000-0000-000005240000}"/>
    <cellStyle name="Notiz 3 4" xfId="9241" xr:uid="{00000000-0005-0000-0000-000006240000}"/>
    <cellStyle name="Notiz 4" xfId="478" xr:uid="{00000000-0005-0000-0000-000007240000}"/>
    <cellStyle name="Notiz 4 2" xfId="479" xr:uid="{00000000-0005-0000-0000-000008240000}"/>
    <cellStyle name="Notiz 4 2 2" xfId="9242" xr:uid="{00000000-0005-0000-0000-000009240000}"/>
    <cellStyle name="Notiz 4 2 3" xfId="9243" xr:uid="{00000000-0005-0000-0000-00000A240000}"/>
    <cellStyle name="Notiz 4 2 4" xfId="9244" xr:uid="{00000000-0005-0000-0000-00000B240000}"/>
    <cellStyle name="Notiz 4 3" xfId="480" xr:uid="{00000000-0005-0000-0000-00000C240000}"/>
    <cellStyle name="Notiz 4 3 2" xfId="481" xr:uid="{00000000-0005-0000-0000-00000D240000}"/>
    <cellStyle name="Notiz 4 4" xfId="482" xr:uid="{00000000-0005-0000-0000-00000E240000}"/>
    <cellStyle name="Notiz 4 5" xfId="483" xr:uid="{00000000-0005-0000-0000-00000F240000}"/>
    <cellStyle name="Notiz 4 5 2" xfId="484" xr:uid="{00000000-0005-0000-0000-000010240000}"/>
    <cellStyle name="Notiz 5" xfId="9245" xr:uid="{00000000-0005-0000-0000-000011240000}"/>
    <cellStyle name="Notiz 5 2" xfId="9246" xr:uid="{00000000-0005-0000-0000-000012240000}"/>
    <cellStyle name="Notiz 5 2 2" xfId="9247" xr:uid="{00000000-0005-0000-0000-000013240000}"/>
    <cellStyle name="Notiz 5 2 3" xfId="9248" xr:uid="{00000000-0005-0000-0000-000014240000}"/>
    <cellStyle name="Notiz 5 2 4" xfId="9249" xr:uid="{00000000-0005-0000-0000-000015240000}"/>
    <cellStyle name="Notiz 5 3" xfId="9250" xr:uid="{00000000-0005-0000-0000-000016240000}"/>
    <cellStyle name="Notiz 5 4" xfId="9251" xr:uid="{00000000-0005-0000-0000-000017240000}"/>
    <cellStyle name="Notiz 6" xfId="9252" xr:uid="{00000000-0005-0000-0000-000018240000}"/>
    <cellStyle name="Notiz 6 2" xfId="9253" xr:uid="{00000000-0005-0000-0000-000019240000}"/>
    <cellStyle name="Notiz 6 2 2" xfId="9254" xr:uid="{00000000-0005-0000-0000-00001A240000}"/>
    <cellStyle name="Notiz 6 2 3" xfId="9255" xr:uid="{00000000-0005-0000-0000-00001B240000}"/>
    <cellStyle name="Notiz 7" xfId="9256" xr:uid="{00000000-0005-0000-0000-00001C240000}"/>
    <cellStyle name="Notiz 7 2" xfId="9257" xr:uid="{00000000-0005-0000-0000-00001D240000}"/>
    <cellStyle name="NoTotal" xfId="6" xr:uid="{00000000-0005-0000-0000-00001E240000}"/>
    <cellStyle name="NoTotal 2" xfId="33416" xr:uid="{00000000-0005-0000-0000-00001F240000}"/>
    <cellStyle name="NoTotal 3" xfId="33417" xr:uid="{00000000-0005-0000-0000-000020240000}"/>
    <cellStyle name="NoValue" xfId="7" xr:uid="{00000000-0005-0000-0000-000021240000}"/>
    <cellStyle name="NoValue 2" xfId="33418" xr:uid="{00000000-0005-0000-0000-000022240000}"/>
    <cellStyle name="NoValue 3" xfId="33419" xr:uid="{00000000-0005-0000-0000-000023240000}"/>
    <cellStyle name="Œ…‹æØ‚è [0.00]_!!!GO" xfId="9258" xr:uid="{00000000-0005-0000-0000-000024240000}"/>
    <cellStyle name="Œ…‹æØ‚è_!!!GO" xfId="9259" xr:uid="{00000000-0005-0000-0000-000025240000}"/>
    <cellStyle name="Option_Added_Cont_Desc" xfId="9260" xr:uid="{00000000-0005-0000-0000-000026240000}"/>
    <cellStyle name="Output" xfId="9261" xr:uid="{00000000-0005-0000-0000-000027240000}"/>
    <cellStyle name="Output 2" xfId="485" xr:uid="{00000000-0005-0000-0000-000028240000}"/>
    <cellStyle name="Output 2 2" xfId="9262" xr:uid="{00000000-0005-0000-0000-000029240000}"/>
    <cellStyle name="Output 3" xfId="9263" xr:uid="{00000000-0005-0000-0000-00002A240000}"/>
    <cellStyle name="per.style" xfId="9264" xr:uid="{00000000-0005-0000-0000-00002B240000}"/>
    <cellStyle name="per.style 2" xfId="9265" xr:uid="{00000000-0005-0000-0000-00002C240000}"/>
    <cellStyle name="per.style 2 2" xfId="9266" xr:uid="{00000000-0005-0000-0000-00002D240000}"/>
    <cellStyle name="Percent [0]" xfId="9267" xr:uid="{00000000-0005-0000-0000-00002E240000}"/>
    <cellStyle name="Percent [00]" xfId="9268" xr:uid="{00000000-0005-0000-0000-00002F240000}"/>
    <cellStyle name="Percent [2]" xfId="9269" xr:uid="{00000000-0005-0000-0000-000030240000}"/>
    <cellStyle name="Percent [2] 2" xfId="9270" xr:uid="{00000000-0005-0000-0000-000031240000}"/>
    <cellStyle name="Percent [2] 2 2" xfId="9271" xr:uid="{00000000-0005-0000-0000-000032240000}"/>
    <cellStyle name="Percent 2" xfId="9272" xr:uid="{00000000-0005-0000-0000-000033240000}"/>
    <cellStyle name="Percent[0]" xfId="9273" xr:uid="{00000000-0005-0000-0000-000034240000}"/>
    <cellStyle name="Percent[0] 2" xfId="9274" xr:uid="{00000000-0005-0000-0000-000035240000}"/>
    <cellStyle name="Percent[0] 2 2" xfId="9275" xr:uid="{00000000-0005-0000-0000-000036240000}"/>
    <cellStyle name="Percent[2]" xfId="9276" xr:uid="{00000000-0005-0000-0000-000037240000}"/>
    <cellStyle name="Percent[2] 2" xfId="9277" xr:uid="{00000000-0005-0000-0000-000038240000}"/>
    <cellStyle name="Percent[2] 2 2" xfId="9278" xr:uid="{00000000-0005-0000-0000-000039240000}"/>
    <cellStyle name="PIDs" xfId="9279" xr:uid="{00000000-0005-0000-0000-00003A240000}"/>
    <cellStyle name="Pounds" xfId="9280" xr:uid="{00000000-0005-0000-0000-00003B240000}"/>
    <cellStyle name="Preliminary_Data" xfId="9281" xr:uid="{00000000-0005-0000-0000-00003C240000}"/>
    <cellStyle name="PrePop Currency (0)" xfId="9282" xr:uid="{00000000-0005-0000-0000-00003D240000}"/>
    <cellStyle name="PrePop Currency (2)" xfId="9283" xr:uid="{00000000-0005-0000-0000-00003E240000}"/>
    <cellStyle name="PrePop Units (0)" xfId="9284" xr:uid="{00000000-0005-0000-0000-00003F240000}"/>
    <cellStyle name="PrePop Units (1)" xfId="9285" xr:uid="{00000000-0005-0000-0000-000040240000}"/>
    <cellStyle name="PrePop Units (2)" xfId="9286" xr:uid="{00000000-0005-0000-0000-000041240000}"/>
    <cellStyle name="Prices_Data" xfId="9287" xr:uid="{00000000-0005-0000-0000-000042240000}"/>
    <cellStyle name="Prozent 10" xfId="9288" xr:uid="{00000000-0005-0000-0000-000043240000}"/>
    <cellStyle name="Prozent 2" xfId="9289" xr:uid="{00000000-0005-0000-0000-000044240000}"/>
    <cellStyle name="Prozent 2 2" xfId="9290" xr:uid="{00000000-0005-0000-0000-000045240000}"/>
    <cellStyle name="Prozent 3" xfId="9291" xr:uid="{00000000-0005-0000-0000-000046240000}"/>
    <cellStyle name="Prozent 3 2" xfId="9292" xr:uid="{00000000-0005-0000-0000-000047240000}"/>
    <cellStyle name="Prozent 3 2 2" xfId="9293" xr:uid="{00000000-0005-0000-0000-000048240000}"/>
    <cellStyle name="Prozent 3 3" xfId="9294" xr:uid="{00000000-0005-0000-0000-000049240000}"/>
    <cellStyle name="Prozent 3 4" xfId="9295" xr:uid="{00000000-0005-0000-0000-00004A240000}"/>
    <cellStyle name="Prozent 3 5" xfId="9296" xr:uid="{00000000-0005-0000-0000-00004B240000}"/>
    <cellStyle name="Prozent 4" xfId="9297" xr:uid="{00000000-0005-0000-0000-00004C240000}"/>
    <cellStyle name="Prozent 4 2" xfId="9298" xr:uid="{00000000-0005-0000-0000-00004D240000}"/>
    <cellStyle name="Prozent 5" xfId="9299" xr:uid="{00000000-0005-0000-0000-00004E240000}"/>
    <cellStyle name="Prozent 5 2" xfId="9300" xr:uid="{00000000-0005-0000-0000-00004F240000}"/>
    <cellStyle name="Prozent 6" xfId="9301" xr:uid="{00000000-0005-0000-0000-000050240000}"/>
    <cellStyle name="Prozent 7" xfId="9302" xr:uid="{00000000-0005-0000-0000-000051240000}"/>
    <cellStyle name="Prozent 8" xfId="9303" xr:uid="{00000000-0005-0000-0000-000052240000}"/>
    <cellStyle name="Prozent 9" xfId="9304" xr:uid="{00000000-0005-0000-0000-000053240000}"/>
    <cellStyle name="PSChar" xfId="9305" xr:uid="{00000000-0005-0000-0000-000054240000}"/>
    <cellStyle name="PSDate" xfId="9306" xr:uid="{00000000-0005-0000-0000-000055240000}"/>
    <cellStyle name="PSDec" xfId="9307" xr:uid="{00000000-0005-0000-0000-000056240000}"/>
    <cellStyle name="PSHeading" xfId="9308" xr:uid="{00000000-0005-0000-0000-000057240000}"/>
    <cellStyle name="PSInt" xfId="9309" xr:uid="{00000000-0005-0000-0000-000058240000}"/>
    <cellStyle name="PSSpacer" xfId="9310" xr:uid="{00000000-0005-0000-0000-000059240000}"/>
    <cellStyle name="reg_no_decimal" xfId="9311" xr:uid="{00000000-0005-0000-0000-00005A240000}"/>
    <cellStyle name="Relation" xfId="8" xr:uid="{00000000-0005-0000-0000-00005B240000}"/>
    <cellStyle name="Relation 2" xfId="33420" xr:uid="{00000000-0005-0000-0000-00005C240000}"/>
    <cellStyle name="Relation 3" xfId="33421" xr:uid="{00000000-0005-0000-0000-00005D240000}"/>
    <cellStyle name="RowLevel_3_Scope of Supply C344C_C520_16.02.2011" xfId="9312" xr:uid="{00000000-0005-0000-0000-00005E240000}"/>
    <cellStyle name="RQDcells" xfId="9313" xr:uid="{00000000-0005-0000-0000-00005F240000}"/>
    <cellStyle name="RQDheading" xfId="9314" xr:uid="{00000000-0005-0000-0000-000060240000}"/>
    <cellStyle name="RQDserial" xfId="9315" xr:uid="{00000000-0005-0000-0000-000061240000}"/>
    <cellStyle name="RQDtop" xfId="9316" xr:uid="{00000000-0005-0000-0000-000062240000}"/>
    <cellStyle name="Salida" xfId="9317" xr:uid="{00000000-0005-0000-0000-000063240000}"/>
    <cellStyle name="Schlecht 2" xfId="487" xr:uid="{00000000-0005-0000-0000-000064240000}"/>
    <cellStyle name="Schlecht 2 2" xfId="9318" xr:uid="{00000000-0005-0000-0000-000065240000}"/>
    <cellStyle name="Schlecht 2 3" xfId="9319" xr:uid="{00000000-0005-0000-0000-000066240000}"/>
    <cellStyle name="Schlecht 2 4" xfId="9320" xr:uid="{00000000-0005-0000-0000-000067240000}"/>
    <cellStyle name="Schlecht 2 5" xfId="9321" xr:uid="{00000000-0005-0000-0000-000068240000}"/>
    <cellStyle name="Schlecht 3" xfId="488" xr:uid="{00000000-0005-0000-0000-000069240000}"/>
    <cellStyle name="Schlecht 3 2" xfId="9322" xr:uid="{00000000-0005-0000-0000-00006A240000}"/>
    <cellStyle name="Schlecht 3 3" xfId="9323" xr:uid="{00000000-0005-0000-0000-00006B240000}"/>
    <cellStyle name="Schlecht 3 4" xfId="9324" xr:uid="{00000000-0005-0000-0000-00006C240000}"/>
    <cellStyle name="Schlecht 3_Spotweld Crossreference Master" xfId="9325" xr:uid="{00000000-0005-0000-0000-00006D240000}"/>
    <cellStyle name="Schlecht 4" xfId="489" xr:uid="{00000000-0005-0000-0000-00006E240000}"/>
    <cellStyle name="Schlecht 4 2" xfId="9326" xr:uid="{00000000-0005-0000-0000-00006F240000}"/>
    <cellStyle name="Schlecht 5" xfId="9327" xr:uid="{00000000-0005-0000-0000-000070240000}"/>
    <cellStyle name="Schlecht 5 2" xfId="9328" xr:uid="{00000000-0005-0000-0000-000071240000}"/>
    <cellStyle name="shade" xfId="9329" xr:uid="{00000000-0005-0000-0000-000074240000}"/>
    <cellStyle name="Single" xfId="9" xr:uid="{00000000-0005-0000-0000-000075240000}"/>
    <cellStyle name="Single 2" xfId="10" xr:uid="{00000000-0005-0000-0000-000076240000}"/>
    <cellStyle name="Single 2 2" xfId="20" xr:uid="{00000000-0005-0000-0000-000077240000}"/>
    <cellStyle name="Single 2 3" xfId="21" xr:uid="{00000000-0005-0000-0000-000078240000}"/>
    <cellStyle name="Single 3" xfId="33422" xr:uid="{00000000-0005-0000-0000-000079240000}"/>
    <cellStyle name="Single 3 2" xfId="33423" xr:uid="{00000000-0005-0000-0000-00007A240000}"/>
    <cellStyle name="Single 4" xfId="33424" xr:uid="{00000000-0005-0000-0000-00007B240000}"/>
    <cellStyle name="Single_readOnly" xfId="33425" xr:uid="{00000000-0005-0000-0000-00007C240000}"/>
    <cellStyle name="Standaard 2" xfId="9330" xr:uid="{00000000-0005-0000-0000-00007D240000}"/>
    <cellStyle name="STANDARD 1" xfId="9331" xr:uid="{00000000-0005-0000-0000-00007F240000}"/>
    <cellStyle name="STANDARD 1 2" xfId="9332" xr:uid="{00000000-0005-0000-0000-000080240000}"/>
    <cellStyle name="Standard 10" xfId="490" xr:uid="{00000000-0005-0000-0000-000081240000}"/>
    <cellStyle name="Standard 10 10" xfId="28" xr:uid="{00000000-0005-0000-0000-000082240000}"/>
    <cellStyle name="Standard 10 10 2" xfId="9334" xr:uid="{00000000-0005-0000-0000-000083240000}"/>
    <cellStyle name="Standard 10 10 3" xfId="9333" xr:uid="{00000000-0005-0000-0000-000084240000}"/>
    <cellStyle name="Standard 10 11" xfId="9335" xr:uid="{00000000-0005-0000-0000-000085240000}"/>
    <cellStyle name="Standard 10 12" xfId="9336" xr:uid="{00000000-0005-0000-0000-000086240000}"/>
    <cellStyle name="Standard 10 13" xfId="9337" xr:uid="{00000000-0005-0000-0000-000087240000}"/>
    <cellStyle name="Standard 10 2" xfId="491" xr:uid="{00000000-0005-0000-0000-000088240000}"/>
    <cellStyle name="Standard 10 3" xfId="492" xr:uid="{00000000-0005-0000-0000-000089240000}"/>
    <cellStyle name="Standard 10 3 10" xfId="9338" xr:uid="{00000000-0005-0000-0000-00008A240000}"/>
    <cellStyle name="Standard 10 3 11" xfId="33107" xr:uid="{00000000-0005-0000-0000-00008B240000}"/>
    <cellStyle name="Standard 10 3 12" xfId="33182" xr:uid="{00000000-0005-0000-0000-00008C240000}"/>
    <cellStyle name="Standard 10 3 13" xfId="33257" xr:uid="{00000000-0005-0000-0000-00008D240000}"/>
    <cellStyle name="Standard 10 3 14" xfId="33332" xr:uid="{00000000-0005-0000-0000-00008E240000}"/>
    <cellStyle name="Standard 10 3 15" xfId="33426" xr:uid="{00000000-0005-0000-0000-00008F240000}"/>
    <cellStyle name="Standard 10 3 2" xfId="9339" xr:uid="{00000000-0005-0000-0000-000090240000}"/>
    <cellStyle name="Standard 10 3 2 2" xfId="9340" xr:uid="{00000000-0005-0000-0000-000091240000}"/>
    <cellStyle name="Standard 10 3 2 2 2" xfId="9341" xr:uid="{00000000-0005-0000-0000-000092240000}"/>
    <cellStyle name="Standard 10 3 2 2 2 2" xfId="9342" xr:uid="{00000000-0005-0000-0000-000093240000}"/>
    <cellStyle name="Standard 10 3 2 2 2 2 2" xfId="9343" xr:uid="{00000000-0005-0000-0000-000094240000}"/>
    <cellStyle name="Standard 10 3 2 2 2 2 3" xfId="9344" xr:uid="{00000000-0005-0000-0000-000095240000}"/>
    <cellStyle name="Standard 10 3 2 2 2 3" xfId="9345" xr:uid="{00000000-0005-0000-0000-000096240000}"/>
    <cellStyle name="Standard 10 3 2 2 2 3 2" xfId="9346" xr:uid="{00000000-0005-0000-0000-000097240000}"/>
    <cellStyle name="Standard 10 3 2 2 2 3 3" xfId="9347" xr:uid="{00000000-0005-0000-0000-000098240000}"/>
    <cellStyle name="Standard 10 3 2 2 2 4" xfId="9348" xr:uid="{00000000-0005-0000-0000-000099240000}"/>
    <cellStyle name="Standard 10 3 2 2 2 4 2" xfId="9349" xr:uid="{00000000-0005-0000-0000-00009A240000}"/>
    <cellStyle name="Standard 10 3 2 2 2 5" xfId="9350" xr:uid="{00000000-0005-0000-0000-00009B240000}"/>
    <cellStyle name="Standard 10 3 2 2 2 6" xfId="9351" xr:uid="{00000000-0005-0000-0000-00009C240000}"/>
    <cellStyle name="Standard 10 3 2 2 3" xfId="9352" xr:uid="{00000000-0005-0000-0000-00009D240000}"/>
    <cellStyle name="Standard 10 3 2 2 3 2" xfId="9353" xr:uid="{00000000-0005-0000-0000-00009E240000}"/>
    <cellStyle name="Standard 10 3 2 2 3 3" xfId="9354" xr:uid="{00000000-0005-0000-0000-00009F240000}"/>
    <cellStyle name="Standard 10 3 2 2 4" xfId="9355" xr:uid="{00000000-0005-0000-0000-0000A0240000}"/>
    <cellStyle name="Standard 10 3 2 2 4 2" xfId="9356" xr:uid="{00000000-0005-0000-0000-0000A1240000}"/>
    <cellStyle name="Standard 10 3 2 2 4 3" xfId="9357" xr:uid="{00000000-0005-0000-0000-0000A2240000}"/>
    <cellStyle name="Standard 10 3 2 2 5" xfId="9358" xr:uid="{00000000-0005-0000-0000-0000A3240000}"/>
    <cellStyle name="Standard 10 3 2 2 5 2" xfId="9359" xr:uid="{00000000-0005-0000-0000-0000A4240000}"/>
    <cellStyle name="Standard 10 3 2 2 6" xfId="9360" xr:uid="{00000000-0005-0000-0000-0000A5240000}"/>
    <cellStyle name="Standard 10 3 2 2 7" xfId="9361" xr:uid="{00000000-0005-0000-0000-0000A6240000}"/>
    <cellStyle name="Standard 10 3 2 3" xfId="9362" xr:uid="{00000000-0005-0000-0000-0000A7240000}"/>
    <cellStyle name="Standard 10 3 2 3 2" xfId="9363" xr:uid="{00000000-0005-0000-0000-0000A8240000}"/>
    <cellStyle name="Standard 10 3 2 3 2 2" xfId="9364" xr:uid="{00000000-0005-0000-0000-0000A9240000}"/>
    <cellStyle name="Standard 10 3 2 3 2 3" xfId="9365" xr:uid="{00000000-0005-0000-0000-0000AA240000}"/>
    <cellStyle name="Standard 10 3 2 3 3" xfId="9366" xr:uid="{00000000-0005-0000-0000-0000AB240000}"/>
    <cellStyle name="Standard 10 3 2 3 3 2" xfId="9367" xr:uid="{00000000-0005-0000-0000-0000AC240000}"/>
    <cellStyle name="Standard 10 3 2 3 3 3" xfId="9368" xr:uid="{00000000-0005-0000-0000-0000AD240000}"/>
    <cellStyle name="Standard 10 3 2 3 4" xfId="9369" xr:uid="{00000000-0005-0000-0000-0000AE240000}"/>
    <cellStyle name="Standard 10 3 2 3 4 2" xfId="9370" xr:uid="{00000000-0005-0000-0000-0000AF240000}"/>
    <cellStyle name="Standard 10 3 2 3 5" xfId="9371" xr:uid="{00000000-0005-0000-0000-0000B0240000}"/>
    <cellStyle name="Standard 10 3 2 3 6" xfId="9372" xr:uid="{00000000-0005-0000-0000-0000B1240000}"/>
    <cellStyle name="Standard 10 3 2 4" xfId="9373" xr:uid="{00000000-0005-0000-0000-0000B2240000}"/>
    <cellStyle name="Standard 10 3 2 4 2" xfId="9374" xr:uid="{00000000-0005-0000-0000-0000B3240000}"/>
    <cellStyle name="Standard 10 3 2 4 3" xfId="9375" xr:uid="{00000000-0005-0000-0000-0000B4240000}"/>
    <cellStyle name="Standard 10 3 2 5" xfId="9376" xr:uid="{00000000-0005-0000-0000-0000B5240000}"/>
    <cellStyle name="Standard 10 3 2 5 2" xfId="9377" xr:uid="{00000000-0005-0000-0000-0000B6240000}"/>
    <cellStyle name="Standard 10 3 2 5 3" xfId="9378" xr:uid="{00000000-0005-0000-0000-0000B7240000}"/>
    <cellStyle name="Standard 10 3 2 6" xfId="9379" xr:uid="{00000000-0005-0000-0000-0000B8240000}"/>
    <cellStyle name="Standard 10 3 2 6 2" xfId="9380" xr:uid="{00000000-0005-0000-0000-0000B9240000}"/>
    <cellStyle name="Standard 10 3 2 7" xfId="9381" xr:uid="{00000000-0005-0000-0000-0000BA240000}"/>
    <cellStyle name="Standard 10 3 2 8" xfId="9382" xr:uid="{00000000-0005-0000-0000-0000BB240000}"/>
    <cellStyle name="Standard 10 3 3" xfId="9383" xr:uid="{00000000-0005-0000-0000-0000BC240000}"/>
    <cellStyle name="Standard 10 3 3 2" xfId="9384" xr:uid="{00000000-0005-0000-0000-0000BD240000}"/>
    <cellStyle name="Standard 10 3 3 2 2" xfId="9385" xr:uid="{00000000-0005-0000-0000-0000BE240000}"/>
    <cellStyle name="Standard 10 3 3 2 2 2" xfId="9386" xr:uid="{00000000-0005-0000-0000-0000BF240000}"/>
    <cellStyle name="Standard 10 3 3 2 2 2 2" xfId="9387" xr:uid="{00000000-0005-0000-0000-0000C0240000}"/>
    <cellStyle name="Standard 10 3 3 2 2 2 3" xfId="9388" xr:uid="{00000000-0005-0000-0000-0000C1240000}"/>
    <cellStyle name="Standard 10 3 3 2 2 3" xfId="9389" xr:uid="{00000000-0005-0000-0000-0000C2240000}"/>
    <cellStyle name="Standard 10 3 3 2 2 3 2" xfId="9390" xr:uid="{00000000-0005-0000-0000-0000C3240000}"/>
    <cellStyle name="Standard 10 3 3 2 2 3 3" xfId="9391" xr:uid="{00000000-0005-0000-0000-0000C4240000}"/>
    <cellStyle name="Standard 10 3 3 2 2 4" xfId="9392" xr:uid="{00000000-0005-0000-0000-0000C5240000}"/>
    <cellStyle name="Standard 10 3 3 2 2 4 2" xfId="9393" xr:uid="{00000000-0005-0000-0000-0000C6240000}"/>
    <cellStyle name="Standard 10 3 3 2 2 5" xfId="9394" xr:uid="{00000000-0005-0000-0000-0000C7240000}"/>
    <cellStyle name="Standard 10 3 3 2 2 6" xfId="9395" xr:uid="{00000000-0005-0000-0000-0000C8240000}"/>
    <cellStyle name="Standard 10 3 3 2 3" xfId="9396" xr:uid="{00000000-0005-0000-0000-0000C9240000}"/>
    <cellStyle name="Standard 10 3 3 2 3 2" xfId="9397" xr:uid="{00000000-0005-0000-0000-0000CA240000}"/>
    <cellStyle name="Standard 10 3 3 2 3 3" xfId="9398" xr:uid="{00000000-0005-0000-0000-0000CB240000}"/>
    <cellStyle name="Standard 10 3 3 2 4" xfId="9399" xr:uid="{00000000-0005-0000-0000-0000CC240000}"/>
    <cellStyle name="Standard 10 3 3 2 4 2" xfId="9400" xr:uid="{00000000-0005-0000-0000-0000CD240000}"/>
    <cellStyle name="Standard 10 3 3 2 4 3" xfId="9401" xr:uid="{00000000-0005-0000-0000-0000CE240000}"/>
    <cellStyle name="Standard 10 3 3 2 5" xfId="9402" xr:uid="{00000000-0005-0000-0000-0000CF240000}"/>
    <cellStyle name="Standard 10 3 3 2 5 2" xfId="9403" xr:uid="{00000000-0005-0000-0000-0000D0240000}"/>
    <cellStyle name="Standard 10 3 3 2 6" xfId="9404" xr:uid="{00000000-0005-0000-0000-0000D1240000}"/>
    <cellStyle name="Standard 10 3 3 2 7" xfId="9405" xr:uid="{00000000-0005-0000-0000-0000D2240000}"/>
    <cellStyle name="Standard 10 3 3 3" xfId="9406" xr:uid="{00000000-0005-0000-0000-0000D3240000}"/>
    <cellStyle name="Standard 10 3 3 3 2" xfId="9407" xr:uid="{00000000-0005-0000-0000-0000D4240000}"/>
    <cellStyle name="Standard 10 3 3 3 2 2" xfId="9408" xr:uid="{00000000-0005-0000-0000-0000D5240000}"/>
    <cellStyle name="Standard 10 3 3 3 2 3" xfId="9409" xr:uid="{00000000-0005-0000-0000-0000D6240000}"/>
    <cellStyle name="Standard 10 3 3 3 3" xfId="9410" xr:uid="{00000000-0005-0000-0000-0000D7240000}"/>
    <cellStyle name="Standard 10 3 3 3 3 2" xfId="9411" xr:uid="{00000000-0005-0000-0000-0000D8240000}"/>
    <cellStyle name="Standard 10 3 3 3 3 3" xfId="9412" xr:uid="{00000000-0005-0000-0000-0000D9240000}"/>
    <cellStyle name="Standard 10 3 3 3 4" xfId="9413" xr:uid="{00000000-0005-0000-0000-0000DA240000}"/>
    <cellStyle name="Standard 10 3 3 3 4 2" xfId="9414" xr:uid="{00000000-0005-0000-0000-0000DB240000}"/>
    <cellStyle name="Standard 10 3 3 3 5" xfId="9415" xr:uid="{00000000-0005-0000-0000-0000DC240000}"/>
    <cellStyle name="Standard 10 3 3 3 6" xfId="9416" xr:uid="{00000000-0005-0000-0000-0000DD240000}"/>
    <cellStyle name="Standard 10 3 3 4" xfId="9417" xr:uid="{00000000-0005-0000-0000-0000DE240000}"/>
    <cellStyle name="Standard 10 3 3 4 2" xfId="9418" xr:uid="{00000000-0005-0000-0000-0000DF240000}"/>
    <cellStyle name="Standard 10 3 3 4 3" xfId="9419" xr:uid="{00000000-0005-0000-0000-0000E0240000}"/>
    <cellStyle name="Standard 10 3 3 5" xfId="9420" xr:uid="{00000000-0005-0000-0000-0000E1240000}"/>
    <cellStyle name="Standard 10 3 3 5 2" xfId="9421" xr:uid="{00000000-0005-0000-0000-0000E2240000}"/>
    <cellStyle name="Standard 10 3 3 5 3" xfId="9422" xr:uid="{00000000-0005-0000-0000-0000E3240000}"/>
    <cellStyle name="Standard 10 3 3 6" xfId="9423" xr:uid="{00000000-0005-0000-0000-0000E4240000}"/>
    <cellStyle name="Standard 10 3 3 6 2" xfId="9424" xr:uid="{00000000-0005-0000-0000-0000E5240000}"/>
    <cellStyle name="Standard 10 3 3 7" xfId="9425" xr:uid="{00000000-0005-0000-0000-0000E6240000}"/>
    <cellStyle name="Standard 10 3 3 8" xfId="9426" xr:uid="{00000000-0005-0000-0000-0000E7240000}"/>
    <cellStyle name="Standard 10 3 4" xfId="9427" xr:uid="{00000000-0005-0000-0000-0000E8240000}"/>
    <cellStyle name="Standard 10 3 4 2" xfId="9428" xr:uid="{00000000-0005-0000-0000-0000E9240000}"/>
    <cellStyle name="Standard 10 3 4 2 2" xfId="9429" xr:uid="{00000000-0005-0000-0000-0000EA240000}"/>
    <cellStyle name="Standard 10 3 4 2 2 2" xfId="9430" xr:uid="{00000000-0005-0000-0000-0000EB240000}"/>
    <cellStyle name="Standard 10 3 4 2 2 3" xfId="9431" xr:uid="{00000000-0005-0000-0000-0000EC240000}"/>
    <cellStyle name="Standard 10 3 4 2 3" xfId="9432" xr:uid="{00000000-0005-0000-0000-0000ED240000}"/>
    <cellStyle name="Standard 10 3 4 2 3 2" xfId="9433" xr:uid="{00000000-0005-0000-0000-0000EE240000}"/>
    <cellStyle name="Standard 10 3 4 2 3 3" xfId="9434" xr:uid="{00000000-0005-0000-0000-0000EF240000}"/>
    <cellStyle name="Standard 10 3 4 2 4" xfId="9435" xr:uid="{00000000-0005-0000-0000-0000F0240000}"/>
    <cellStyle name="Standard 10 3 4 2 4 2" xfId="9436" xr:uid="{00000000-0005-0000-0000-0000F1240000}"/>
    <cellStyle name="Standard 10 3 4 2 5" xfId="9437" xr:uid="{00000000-0005-0000-0000-0000F2240000}"/>
    <cellStyle name="Standard 10 3 4 2 6" xfId="9438" xr:uid="{00000000-0005-0000-0000-0000F3240000}"/>
    <cellStyle name="Standard 10 3 4 3" xfId="9439" xr:uid="{00000000-0005-0000-0000-0000F4240000}"/>
    <cellStyle name="Standard 10 3 4 3 2" xfId="9440" xr:uid="{00000000-0005-0000-0000-0000F5240000}"/>
    <cellStyle name="Standard 10 3 4 3 3" xfId="9441" xr:uid="{00000000-0005-0000-0000-0000F6240000}"/>
    <cellStyle name="Standard 10 3 4 4" xfId="9442" xr:uid="{00000000-0005-0000-0000-0000F7240000}"/>
    <cellStyle name="Standard 10 3 4 4 2" xfId="9443" xr:uid="{00000000-0005-0000-0000-0000F8240000}"/>
    <cellStyle name="Standard 10 3 4 4 3" xfId="9444" xr:uid="{00000000-0005-0000-0000-0000F9240000}"/>
    <cellStyle name="Standard 10 3 4 5" xfId="9445" xr:uid="{00000000-0005-0000-0000-0000FA240000}"/>
    <cellStyle name="Standard 10 3 4 5 2" xfId="9446" xr:uid="{00000000-0005-0000-0000-0000FB240000}"/>
    <cellStyle name="Standard 10 3 4 6" xfId="9447" xr:uid="{00000000-0005-0000-0000-0000FC240000}"/>
    <cellStyle name="Standard 10 3 4 7" xfId="9448" xr:uid="{00000000-0005-0000-0000-0000FD240000}"/>
    <cellStyle name="Standard 10 3 5" xfId="9449" xr:uid="{00000000-0005-0000-0000-0000FE240000}"/>
    <cellStyle name="Standard 10 3 5 2" xfId="9450" xr:uid="{00000000-0005-0000-0000-0000FF240000}"/>
    <cellStyle name="Standard 10 3 5 2 2" xfId="9451" xr:uid="{00000000-0005-0000-0000-000000250000}"/>
    <cellStyle name="Standard 10 3 5 2 3" xfId="9452" xr:uid="{00000000-0005-0000-0000-000001250000}"/>
    <cellStyle name="Standard 10 3 5 3" xfId="9453" xr:uid="{00000000-0005-0000-0000-000002250000}"/>
    <cellStyle name="Standard 10 3 5 3 2" xfId="9454" xr:uid="{00000000-0005-0000-0000-000003250000}"/>
    <cellStyle name="Standard 10 3 5 3 3" xfId="9455" xr:uid="{00000000-0005-0000-0000-000004250000}"/>
    <cellStyle name="Standard 10 3 5 4" xfId="9456" xr:uid="{00000000-0005-0000-0000-000005250000}"/>
    <cellStyle name="Standard 10 3 5 4 2" xfId="9457" xr:uid="{00000000-0005-0000-0000-000006250000}"/>
    <cellStyle name="Standard 10 3 5 5" xfId="9458" xr:uid="{00000000-0005-0000-0000-000007250000}"/>
    <cellStyle name="Standard 10 3 5 6" xfId="9459" xr:uid="{00000000-0005-0000-0000-000008250000}"/>
    <cellStyle name="Standard 10 3 6" xfId="9460" xr:uid="{00000000-0005-0000-0000-000009250000}"/>
    <cellStyle name="Standard 10 3 6 2" xfId="9461" xr:uid="{00000000-0005-0000-0000-00000A250000}"/>
    <cellStyle name="Standard 10 3 6 3" xfId="9462" xr:uid="{00000000-0005-0000-0000-00000B250000}"/>
    <cellStyle name="Standard 10 3 7" xfId="9463" xr:uid="{00000000-0005-0000-0000-00000C250000}"/>
    <cellStyle name="Standard 10 3 7 2" xfId="9464" xr:uid="{00000000-0005-0000-0000-00000D250000}"/>
    <cellStyle name="Standard 10 3 7 3" xfId="9465" xr:uid="{00000000-0005-0000-0000-00000E250000}"/>
    <cellStyle name="Standard 10 3 8" xfId="9466" xr:uid="{00000000-0005-0000-0000-00000F250000}"/>
    <cellStyle name="Standard 10 3 8 2" xfId="9467" xr:uid="{00000000-0005-0000-0000-000010250000}"/>
    <cellStyle name="Standard 10 3 9" xfId="9468" xr:uid="{00000000-0005-0000-0000-000011250000}"/>
    <cellStyle name="Standard 10 4" xfId="9469" xr:uid="{00000000-0005-0000-0000-000012250000}"/>
    <cellStyle name="Standard 10 4 2" xfId="9470" xr:uid="{00000000-0005-0000-0000-000013250000}"/>
    <cellStyle name="Standard 10 4 2 2" xfId="9471" xr:uid="{00000000-0005-0000-0000-000014250000}"/>
    <cellStyle name="Standard 10 4 2 2 2" xfId="9472" xr:uid="{00000000-0005-0000-0000-000015250000}"/>
    <cellStyle name="Standard 10 4 2 2 2 2" xfId="9473" xr:uid="{00000000-0005-0000-0000-000016250000}"/>
    <cellStyle name="Standard 10 4 2 2 2 3" xfId="9474" xr:uid="{00000000-0005-0000-0000-000017250000}"/>
    <cellStyle name="Standard 10 4 2 2 3" xfId="9475" xr:uid="{00000000-0005-0000-0000-000018250000}"/>
    <cellStyle name="Standard 10 4 2 2 3 2" xfId="9476" xr:uid="{00000000-0005-0000-0000-000019250000}"/>
    <cellStyle name="Standard 10 4 2 2 3 3" xfId="9477" xr:uid="{00000000-0005-0000-0000-00001A250000}"/>
    <cellStyle name="Standard 10 4 2 2 4" xfId="9478" xr:uid="{00000000-0005-0000-0000-00001B250000}"/>
    <cellStyle name="Standard 10 4 2 2 4 2" xfId="9479" xr:uid="{00000000-0005-0000-0000-00001C250000}"/>
    <cellStyle name="Standard 10 4 2 2 5" xfId="9480" xr:uid="{00000000-0005-0000-0000-00001D250000}"/>
    <cellStyle name="Standard 10 4 2 2 6" xfId="9481" xr:uid="{00000000-0005-0000-0000-00001E250000}"/>
    <cellStyle name="Standard 10 4 2 3" xfId="9482" xr:uid="{00000000-0005-0000-0000-00001F250000}"/>
    <cellStyle name="Standard 10 4 2 3 2" xfId="9483" xr:uid="{00000000-0005-0000-0000-000020250000}"/>
    <cellStyle name="Standard 10 4 2 3 3" xfId="9484" xr:uid="{00000000-0005-0000-0000-000021250000}"/>
    <cellStyle name="Standard 10 4 2 4" xfId="9485" xr:uid="{00000000-0005-0000-0000-000022250000}"/>
    <cellStyle name="Standard 10 4 2 4 2" xfId="9486" xr:uid="{00000000-0005-0000-0000-000023250000}"/>
    <cellStyle name="Standard 10 4 2 4 3" xfId="9487" xr:uid="{00000000-0005-0000-0000-000024250000}"/>
    <cellStyle name="Standard 10 4 2 5" xfId="9488" xr:uid="{00000000-0005-0000-0000-000025250000}"/>
    <cellStyle name="Standard 10 4 2 5 2" xfId="9489" xr:uid="{00000000-0005-0000-0000-000026250000}"/>
    <cellStyle name="Standard 10 4 2 6" xfId="9490" xr:uid="{00000000-0005-0000-0000-000027250000}"/>
    <cellStyle name="Standard 10 4 2 7" xfId="9491" xr:uid="{00000000-0005-0000-0000-000028250000}"/>
    <cellStyle name="Standard 10 4 3" xfId="9492" xr:uid="{00000000-0005-0000-0000-000029250000}"/>
    <cellStyle name="Standard 10 4 3 2" xfId="9493" xr:uid="{00000000-0005-0000-0000-00002A250000}"/>
    <cellStyle name="Standard 10 4 3 2 2" xfId="9494" xr:uid="{00000000-0005-0000-0000-00002B250000}"/>
    <cellStyle name="Standard 10 4 3 2 3" xfId="9495" xr:uid="{00000000-0005-0000-0000-00002C250000}"/>
    <cellStyle name="Standard 10 4 3 3" xfId="9496" xr:uid="{00000000-0005-0000-0000-00002D250000}"/>
    <cellStyle name="Standard 10 4 3 3 2" xfId="9497" xr:uid="{00000000-0005-0000-0000-00002E250000}"/>
    <cellStyle name="Standard 10 4 3 3 3" xfId="9498" xr:uid="{00000000-0005-0000-0000-00002F250000}"/>
    <cellStyle name="Standard 10 4 3 4" xfId="9499" xr:uid="{00000000-0005-0000-0000-000030250000}"/>
    <cellStyle name="Standard 10 4 3 4 2" xfId="9500" xr:uid="{00000000-0005-0000-0000-000031250000}"/>
    <cellStyle name="Standard 10 4 3 5" xfId="9501" xr:uid="{00000000-0005-0000-0000-000032250000}"/>
    <cellStyle name="Standard 10 4 3 6" xfId="9502" xr:uid="{00000000-0005-0000-0000-000033250000}"/>
    <cellStyle name="Standard 10 4 4" xfId="9503" xr:uid="{00000000-0005-0000-0000-000034250000}"/>
    <cellStyle name="Standard 10 4 4 2" xfId="9504" xr:uid="{00000000-0005-0000-0000-000035250000}"/>
    <cellStyle name="Standard 10 4 4 3" xfId="9505" xr:uid="{00000000-0005-0000-0000-000036250000}"/>
    <cellStyle name="Standard 10 4 5" xfId="9506" xr:uid="{00000000-0005-0000-0000-000037250000}"/>
    <cellStyle name="Standard 10 4 5 2" xfId="9507" xr:uid="{00000000-0005-0000-0000-000038250000}"/>
    <cellStyle name="Standard 10 4 5 3" xfId="9508" xr:uid="{00000000-0005-0000-0000-000039250000}"/>
    <cellStyle name="Standard 10 4 6" xfId="9509" xr:uid="{00000000-0005-0000-0000-00003A250000}"/>
    <cellStyle name="Standard 10 4 6 2" xfId="9510" xr:uid="{00000000-0005-0000-0000-00003B250000}"/>
    <cellStyle name="Standard 10 4 7" xfId="9511" xr:uid="{00000000-0005-0000-0000-00003C250000}"/>
    <cellStyle name="Standard 10 4 8" xfId="9512" xr:uid="{00000000-0005-0000-0000-00003D250000}"/>
    <cellStyle name="Standard 10 5" xfId="9513" xr:uid="{00000000-0005-0000-0000-00003E250000}"/>
    <cellStyle name="Standard 10 5 2" xfId="9514" xr:uid="{00000000-0005-0000-0000-00003F250000}"/>
    <cellStyle name="Standard 10 5 2 2" xfId="9515" xr:uid="{00000000-0005-0000-0000-000040250000}"/>
    <cellStyle name="Standard 10 5 2 2 2" xfId="9516" xr:uid="{00000000-0005-0000-0000-000041250000}"/>
    <cellStyle name="Standard 10 5 2 2 2 2" xfId="9517" xr:uid="{00000000-0005-0000-0000-000042250000}"/>
    <cellStyle name="Standard 10 5 2 2 2 3" xfId="9518" xr:uid="{00000000-0005-0000-0000-000043250000}"/>
    <cellStyle name="Standard 10 5 2 2 3" xfId="9519" xr:uid="{00000000-0005-0000-0000-000044250000}"/>
    <cellStyle name="Standard 10 5 2 2 3 2" xfId="9520" xr:uid="{00000000-0005-0000-0000-000045250000}"/>
    <cellStyle name="Standard 10 5 2 2 3 3" xfId="9521" xr:uid="{00000000-0005-0000-0000-000046250000}"/>
    <cellStyle name="Standard 10 5 2 2 4" xfId="9522" xr:uid="{00000000-0005-0000-0000-000047250000}"/>
    <cellStyle name="Standard 10 5 2 2 4 2" xfId="9523" xr:uid="{00000000-0005-0000-0000-000048250000}"/>
    <cellStyle name="Standard 10 5 2 2 5" xfId="9524" xr:uid="{00000000-0005-0000-0000-000049250000}"/>
    <cellStyle name="Standard 10 5 2 2 6" xfId="9525" xr:uid="{00000000-0005-0000-0000-00004A250000}"/>
    <cellStyle name="Standard 10 5 2 3" xfId="9526" xr:uid="{00000000-0005-0000-0000-00004B250000}"/>
    <cellStyle name="Standard 10 5 2 3 2" xfId="9527" xr:uid="{00000000-0005-0000-0000-00004C250000}"/>
    <cellStyle name="Standard 10 5 2 3 3" xfId="9528" xr:uid="{00000000-0005-0000-0000-00004D250000}"/>
    <cellStyle name="Standard 10 5 2 4" xfId="9529" xr:uid="{00000000-0005-0000-0000-00004E250000}"/>
    <cellStyle name="Standard 10 5 2 4 2" xfId="9530" xr:uid="{00000000-0005-0000-0000-00004F250000}"/>
    <cellStyle name="Standard 10 5 2 4 3" xfId="9531" xr:uid="{00000000-0005-0000-0000-000050250000}"/>
    <cellStyle name="Standard 10 5 2 5" xfId="9532" xr:uid="{00000000-0005-0000-0000-000051250000}"/>
    <cellStyle name="Standard 10 5 2 5 2" xfId="9533" xr:uid="{00000000-0005-0000-0000-000052250000}"/>
    <cellStyle name="Standard 10 5 2 6" xfId="9534" xr:uid="{00000000-0005-0000-0000-000053250000}"/>
    <cellStyle name="Standard 10 5 2 7" xfId="9535" xr:uid="{00000000-0005-0000-0000-000054250000}"/>
    <cellStyle name="Standard 10 5 3" xfId="9536" xr:uid="{00000000-0005-0000-0000-000055250000}"/>
    <cellStyle name="Standard 10 5 3 2" xfId="9537" xr:uid="{00000000-0005-0000-0000-000056250000}"/>
    <cellStyle name="Standard 10 5 3 2 2" xfId="9538" xr:uid="{00000000-0005-0000-0000-000057250000}"/>
    <cellStyle name="Standard 10 5 3 2 3" xfId="9539" xr:uid="{00000000-0005-0000-0000-000058250000}"/>
    <cellStyle name="Standard 10 5 3 3" xfId="9540" xr:uid="{00000000-0005-0000-0000-000059250000}"/>
    <cellStyle name="Standard 10 5 3 3 2" xfId="9541" xr:uid="{00000000-0005-0000-0000-00005A250000}"/>
    <cellStyle name="Standard 10 5 3 3 3" xfId="9542" xr:uid="{00000000-0005-0000-0000-00005B250000}"/>
    <cellStyle name="Standard 10 5 3 4" xfId="9543" xr:uid="{00000000-0005-0000-0000-00005C250000}"/>
    <cellStyle name="Standard 10 5 3 4 2" xfId="9544" xr:uid="{00000000-0005-0000-0000-00005D250000}"/>
    <cellStyle name="Standard 10 5 3 5" xfId="9545" xr:uid="{00000000-0005-0000-0000-00005E250000}"/>
    <cellStyle name="Standard 10 5 3 6" xfId="9546" xr:uid="{00000000-0005-0000-0000-00005F250000}"/>
    <cellStyle name="Standard 10 5 4" xfId="9547" xr:uid="{00000000-0005-0000-0000-000060250000}"/>
    <cellStyle name="Standard 10 5 4 2" xfId="9548" xr:uid="{00000000-0005-0000-0000-000061250000}"/>
    <cellStyle name="Standard 10 5 4 3" xfId="9549" xr:uid="{00000000-0005-0000-0000-000062250000}"/>
    <cellStyle name="Standard 10 5 5" xfId="9550" xr:uid="{00000000-0005-0000-0000-000063250000}"/>
    <cellStyle name="Standard 10 5 5 2" xfId="9551" xr:uid="{00000000-0005-0000-0000-000064250000}"/>
    <cellStyle name="Standard 10 5 5 3" xfId="9552" xr:uid="{00000000-0005-0000-0000-000065250000}"/>
    <cellStyle name="Standard 10 5 6" xfId="9553" xr:uid="{00000000-0005-0000-0000-000066250000}"/>
    <cellStyle name="Standard 10 5 6 2" xfId="9554" xr:uid="{00000000-0005-0000-0000-000067250000}"/>
    <cellStyle name="Standard 10 5 7" xfId="9555" xr:uid="{00000000-0005-0000-0000-000068250000}"/>
    <cellStyle name="Standard 10 5 8" xfId="9556" xr:uid="{00000000-0005-0000-0000-000069250000}"/>
    <cellStyle name="Standard 10 6" xfId="9557" xr:uid="{00000000-0005-0000-0000-00006A250000}"/>
    <cellStyle name="Standard 10 6 2" xfId="9558" xr:uid="{00000000-0005-0000-0000-00006B250000}"/>
    <cellStyle name="Standard 10 6 2 2" xfId="9559" xr:uid="{00000000-0005-0000-0000-00006C250000}"/>
    <cellStyle name="Standard 10 6 2 2 2" xfId="9560" xr:uid="{00000000-0005-0000-0000-00006D250000}"/>
    <cellStyle name="Standard 10 6 2 2 3" xfId="9561" xr:uid="{00000000-0005-0000-0000-00006E250000}"/>
    <cellStyle name="Standard 10 6 2 3" xfId="9562" xr:uid="{00000000-0005-0000-0000-00006F250000}"/>
    <cellStyle name="Standard 10 6 2 3 2" xfId="9563" xr:uid="{00000000-0005-0000-0000-000070250000}"/>
    <cellStyle name="Standard 10 6 2 3 3" xfId="9564" xr:uid="{00000000-0005-0000-0000-000071250000}"/>
    <cellStyle name="Standard 10 6 2 4" xfId="9565" xr:uid="{00000000-0005-0000-0000-000072250000}"/>
    <cellStyle name="Standard 10 6 2 4 2" xfId="9566" xr:uid="{00000000-0005-0000-0000-000073250000}"/>
    <cellStyle name="Standard 10 6 2 5" xfId="9567" xr:uid="{00000000-0005-0000-0000-000074250000}"/>
    <cellStyle name="Standard 10 6 2 6" xfId="9568" xr:uid="{00000000-0005-0000-0000-000075250000}"/>
    <cellStyle name="Standard 10 6 3" xfId="9569" xr:uid="{00000000-0005-0000-0000-000076250000}"/>
    <cellStyle name="Standard 10 6 3 2" xfId="9570" xr:uid="{00000000-0005-0000-0000-000077250000}"/>
    <cellStyle name="Standard 10 6 3 3" xfId="9571" xr:uid="{00000000-0005-0000-0000-000078250000}"/>
    <cellStyle name="Standard 10 6 4" xfId="9572" xr:uid="{00000000-0005-0000-0000-000079250000}"/>
    <cellStyle name="Standard 10 6 4 2" xfId="9573" xr:uid="{00000000-0005-0000-0000-00007A250000}"/>
    <cellStyle name="Standard 10 6 4 3" xfId="9574" xr:uid="{00000000-0005-0000-0000-00007B250000}"/>
    <cellStyle name="Standard 10 6 5" xfId="9575" xr:uid="{00000000-0005-0000-0000-00007C250000}"/>
    <cellStyle name="Standard 10 6 5 2" xfId="9576" xr:uid="{00000000-0005-0000-0000-00007D250000}"/>
    <cellStyle name="Standard 10 6 6" xfId="9577" xr:uid="{00000000-0005-0000-0000-00007E250000}"/>
    <cellStyle name="Standard 10 6 7" xfId="9578" xr:uid="{00000000-0005-0000-0000-00007F250000}"/>
    <cellStyle name="Standard 10 7" xfId="9579" xr:uid="{00000000-0005-0000-0000-000080250000}"/>
    <cellStyle name="Standard 10 7 2" xfId="9580" xr:uid="{00000000-0005-0000-0000-000081250000}"/>
    <cellStyle name="Standard 10 7 2 2" xfId="9581" xr:uid="{00000000-0005-0000-0000-000082250000}"/>
    <cellStyle name="Standard 10 7 2 3" xfId="9582" xr:uid="{00000000-0005-0000-0000-000083250000}"/>
    <cellStyle name="Standard 10 7 3" xfId="9583" xr:uid="{00000000-0005-0000-0000-000084250000}"/>
    <cellStyle name="Standard 10 7 3 2" xfId="9584" xr:uid="{00000000-0005-0000-0000-000085250000}"/>
    <cellStyle name="Standard 10 7 3 3" xfId="9585" xr:uid="{00000000-0005-0000-0000-000086250000}"/>
    <cellStyle name="Standard 10 7 4" xfId="9586" xr:uid="{00000000-0005-0000-0000-000087250000}"/>
    <cellStyle name="Standard 10 7 4 2" xfId="9587" xr:uid="{00000000-0005-0000-0000-000088250000}"/>
    <cellStyle name="Standard 10 7 5" xfId="9588" xr:uid="{00000000-0005-0000-0000-000089250000}"/>
    <cellStyle name="Standard 10 7 6" xfId="9589" xr:uid="{00000000-0005-0000-0000-00008A250000}"/>
    <cellStyle name="Standard 10 8" xfId="9590" xr:uid="{00000000-0005-0000-0000-00008B250000}"/>
    <cellStyle name="Standard 10 8 2" xfId="9591" xr:uid="{00000000-0005-0000-0000-00008C250000}"/>
    <cellStyle name="Standard 10 8 3" xfId="9592" xr:uid="{00000000-0005-0000-0000-00008D250000}"/>
    <cellStyle name="Standard 10 9" xfId="9593" xr:uid="{00000000-0005-0000-0000-00008E250000}"/>
    <cellStyle name="Standard 10 9 2" xfId="9594" xr:uid="{00000000-0005-0000-0000-00008F250000}"/>
    <cellStyle name="Standard 10 9 3" xfId="9595" xr:uid="{00000000-0005-0000-0000-000090250000}"/>
    <cellStyle name="Standard 100" xfId="493" xr:uid="{00000000-0005-0000-0000-000091250000}"/>
    <cellStyle name="Standard 101" xfId="494" xr:uid="{00000000-0005-0000-0000-000092250000}"/>
    <cellStyle name="Standard 101 2" xfId="495" xr:uid="{00000000-0005-0000-0000-000093250000}"/>
    <cellStyle name="Standard 101 3" xfId="496" xr:uid="{00000000-0005-0000-0000-000094250000}"/>
    <cellStyle name="Standard 101 3 2" xfId="497" xr:uid="{00000000-0005-0000-0000-000095250000}"/>
    <cellStyle name="Standard 102" xfId="498" xr:uid="{00000000-0005-0000-0000-000096250000}"/>
    <cellStyle name="Standard 102 2" xfId="499" xr:uid="{00000000-0005-0000-0000-000097250000}"/>
    <cellStyle name="Standard 103" xfId="27" xr:uid="{00000000-0005-0000-0000-000098250000}"/>
    <cellStyle name="Standard 103 2" xfId="789" xr:uid="{00000000-0005-0000-0000-000099250000}"/>
    <cellStyle name="Standard 104" xfId="9596" xr:uid="{00000000-0005-0000-0000-00009A250000}"/>
    <cellStyle name="Standard 105" xfId="9597" xr:uid="{00000000-0005-0000-0000-00009B250000}"/>
    <cellStyle name="Standard 106" xfId="9598" xr:uid="{00000000-0005-0000-0000-00009C250000}"/>
    <cellStyle name="Standard 107" xfId="9599" xr:uid="{00000000-0005-0000-0000-00009D250000}"/>
    <cellStyle name="Standard 108" xfId="9600" xr:uid="{00000000-0005-0000-0000-00009E250000}"/>
    <cellStyle name="Standard 109" xfId="9601" xr:uid="{00000000-0005-0000-0000-00009F250000}"/>
    <cellStyle name="Standard 11" xfId="500" xr:uid="{00000000-0005-0000-0000-0000A0250000}"/>
    <cellStyle name="Standard 11 2" xfId="501" xr:uid="{00000000-0005-0000-0000-0000A1250000}"/>
    <cellStyle name="Standard 11 2 2" xfId="33109" xr:uid="{00000000-0005-0000-0000-0000A2250000}"/>
    <cellStyle name="Standard 11 2 2 2" xfId="33429" xr:uid="{00000000-0005-0000-0000-0000A3250000}"/>
    <cellStyle name="Standard 11 2 3" xfId="33184" xr:uid="{00000000-0005-0000-0000-0000A4250000}"/>
    <cellStyle name="Standard 11 2 4" xfId="33259" xr:uid="{00000000-0005-0000-0000-0000A5250000}"/>
    <cellStyle name="Standard 11 2 5" xfId="33334" xr:uid="{00000000-0005-0000-0000-0000A6250000}"/>
    <cellStyle name="Standard 11 2 6" xfId="33428" xr:uid="{00000000-0005-0000-0000-0000A7250000}"/>
    <cellStyle name="Standard 11 3" xfId="9602" xr:uid="{00000000-0005-0000-0000-0000A8250000}"/>
    <cellStyle name="Standard 11 3 2" xfId="33430" xr:uid="{00000000-0005-0000-0000-0000A9250000}"/>
    <cellStyle name="Standard 11 4" xfId="9603" xr:uid="{00000000-0005-0000-0000-0000AA250000}"/>
    <cellStyle name="Standard 11 4 2" xfId="9604" xr:uid="{00000000-0005-0000-0000-0000AB250000}"/>
    <cellStyle name="Standard 11 4 3" xfId="9605" xr:uid="{00000000-0005-0000-0000-0000AC250000}"/>
    <cellStyle name="Standard 11 5" xfId="33108" xr:uid="{00000000-0005-0000-0000-0000AD250000}"/>
    <cellStyle name="Standard 11 6" xfId="33183" xr:uid="{00000000-0005-0000-0000-0000AE250000}"/>
    <cellStyle name="Standard 11 7" xfId="33258" xr:uid="{00000000-0005-0000-0000-0000AF250000}"/>
    <cellStyle name="Standard 11 8" xfId="33333" xr:uid="{00000000-0005-0000-0000-0000B0250000}"/>
    <cellStyle name="Standard 11 9" xfId="33427" xr:uid="{00000000-0005-0000-0000-0000B1250000}"/>
    <cellStyle name="Standard 110" xfId="9606" xr:uid="{00000000-0005-0000-0000-0000B2250000}"/>
    <cellStyle name="Standard 111" xfId="9607" xr:uid="{00000000-0005-0000-0000-0000B3250000}"/>
    <cellStyle name="Standard 112" xfId="9608" xr:uid="{00000000-0005-0000-0000-0000B4250000}"/>
    <cellStyle name="Standard 113" xfId="9609" xr:uid="{00000000-0005-0000-0000-0000B5250000}"/>
    <cellStyle name="Standard 114" xfId="9610" xr:uid="{00000000-0005-0000-0000-0000B6250000}"/>
    <cellStyle name="Standard 115" xfId="9611" xr:uid="{00000000-0005-0000-0000-0000B7250000}"/>
    <cellStyle name="Standard 116" xfId="9612" xr:uid="{00000000-0005-0000-0000-0000B8250000}"/>
    <cellStyle name="Standard 117" xfId="9613" xr:uid="{00000000-0005-0000-0000-0000B9250000}"/>
    <cellStyle name="Standard 118" xfId="9614" xr:uid="{00000000-0005-0000-0000-0000BA250000}"/>
    <cellStyle name="Standard 119" xfId="9615" xr:uid="{00000000-0005-0000-0000-0000BB250000}"/>
    <cellStyle name="Standard 12" xfId="502" xr:uid="{00000000-0005-0000-0000-0000BC250000}"/>
    <cellStyle name="Standard 12 10" xfId="9616" xr:uid="{00000000-0005-0000-0000-0000BD250000}"/>
    <cellStyle name="Standard 12 11" xfId="9617" xr:uid="{00000000-0005-0000-0000-0000BE250000}"/>
    <cellStyle name="Standard 12 12" xfId="33431" xr:uid="{00000000-0005-0000-0000-0000BF250000}"/>
    <cellStyle name="Standard 12 2" xfId="9618" xr:uid="{00000000-0005-0000-0000-0000C0250000}"/>
    <cellStyle name="Standard 12 2 2" xfId="9619" xr:uid="{00000000-0005-0000-0000-0000C1250000}"/>
    <cellStyle name="Standard 12 2 2 2" xfId="9620" xr:uid="{00000000-0005-0000-0000-0000C2250000}"/>
    <cellStyle name="Standard 12 2 2 2 2" xfId="9621" xr:uid="{00000000-0005-0000-0000-0000C3250000}"/>
    <cellStyle name="Standard 12 2 2 2 2 2" xfId="9622" xr:uid="{00000000-0005-0000-0000-0000C4250000}"/>
    <cellStyle name="Standard 12 2 2 2 2 3" xfId="9623" xr:uid="{00000000-0005-0000-0000-0000C5250000}"/>
    <cellStyle name="Standard 12 2 2 2 3" xfId="9624" xr:uid="{00000000-0005-0000-0000-0000C6250000}"/>
    <cellStyle name="Standard 12 2 2 2 3 2" xfId="9625" xr:uid="{00000000-0005-0000-0000-0000C7250000}"/>
    <cellStyle name="Standard 12 2 2 2 3 3" xfId="9626" xr:uid="{00000000-0005-0000-0000-0000C8250000}"/>
    <cellStyle name="Standard 12 2 2 2 4" xfId="9627" xr:uid="{00000000-0005-0000-0000-0000C9250000}"/>
    <cellStyle name="Standard 12 2 2 2 4 2" xfId="9628" xr:uid="{00000000-0005-0000-0000-0000CA250000}"/>
    <cellStyle name="Standard 12 2 2 2 5" xfId="9629" xr:uid="{00000000-0005-0000-0000-0000CB250000}"/>
    <cellStyle name="Standard 12 2 2 2 6" xfId="9630" xr:uid="{00000000-0005-0000-0000-0000CC250000}"/>
    <cellStyle name="Standard 12 2 2 3" xfId="9631" xr:uid="{00000000-0005-0000-0000-0000CD250000}"/>
    <cellStyle name="Standard 12 2 2 3 2" xfId="9632" xr:uid="{00000000-0005-0000-0000-0000CE250000}"/>
    <cellStyle name="Standard 12 2 2 3 3" xfId="9633" xr:uid="{00000000-0005-0000-0000-0000CF250000}"/>
    <cellStyle name="Standard 12 2 2 4" xfId="9634" xr:uid="{00000000-0005-0000-0000-0000D0250000}"/>
    <cellStyle name="Standard 12 2 2 4 2" xfId="9635" xr:uid="{00000000-0005-0000-0000-0000D1250000}"/>
    <cellStyle name="Standard 12 2 2 4 3" xfId="9636" xr:uid="{00000000-0005-0000-0000-0000D2250000}"/>
    <cellStyle name="Standard 12 2 2 5" xfId="9637" xr:uid="{00000000-0005-0000-0000-0000D3250000}"/>
    <cellStyle name="Standard 12 2 2 5 2" xfId="9638" xr:uid="{00000000-0005-0000-0000-0000D4250000}"/>
    <cellStyle name="Standard 12 2 2 6" xfId="9639" xr:uid="{00000000-0005-0000-0000-0000D5250000}"/>
    <cellStyle name="Standard 12 2 2 7" xfId="9640" xr:uid="{00000000-0005-0000-0000-0000D6250000}"/>
    <cellStyle name="Standard 12 2 3" xfId="9641" xr:uid="{00000000-0005-0000-0000-0000D7250000}"/>
    <cellStyle name="Standard 12 2 3 2" xfId="9642" xr:uid="{00000000-0005-0000-0000-0000D8250000}"/>
    <cellStyle name="Standard 12 2 3 2 2" xfId="9643" xr:uid="{00000000-0005-0000-0000-0000D9250000}"/>
    <cellStyle name="Standard 12 2 3 2 3" xfId="9644" xr:uid="{00000000-0005-0000-0000-0000DA250000}"/>
    <cellStyle name="Standard 12 2 3 3" xfId="9645" xr:uid="{00000000-0005-0000-0000-0000DB250000}"/>
    <cellStyle name="Standard 12 2 3 3 2" xfId="9646" xr:uid="{00000000-0005-0000-0000-0000DC250000}"/>
    <cellStyle name="Standard 12 2 3 3 3" xfId="9647" xr:uid="{00000000-0005-0000-0000-0000DD250000}"/>
    <cellStyle name="Standard 12 2 3 4" xfId="9648" xr:uid="{00000000-0005-0000-0000-0000DE250000}"/>
    <cellStyle name="Standard 12 2 3 4 2" xfId="9649" xr:uid="{00000000-0005-0000-0000-0000DF250000}"/>
    <cellStyle name="Standard 12 2 3 5" xfId="9650" xr:uid="{00000000-0005-0000-0000-0000E0250000}"/>
    <cellStyle name="Standard 12 2 3 6" xfId="9651" xr:uid="{00000000-0005-0000-0000-0000E1250000}"/>
    <cellStyle name="Standard 12 2 4" xfId="9652" xr:uid="{00000000-0005-0000-0000-0000E2250000}"/>
    <cellStyle name="Standard 12 2 4 2" xfId="9653" xr:uid="{00000000-0005-0000-0000-0000E3250000}"/>
    <cellStyle name="Standard 12 2 4 3" xfId="9654" xr:uid="{00000000-0005-0000-0000-0000E4250000}"/>
    <cellStyle name="Standard 12 2 5" xfId="9655" xr:uid="{00000000-0005-0000-0000-0000E5250000}"/>
    <cellStyle name="Standard 12 2 5 2" xfId="9656" xr:uid="{00000000-0005-0000-0000-0000E6250000}"/>
    <cellStyle name="Standard 12 2 5 3" xfId="9657" xr:uid="{00000000-0005-0000-0000-0000E7250000}"/>
    <cellStyle name="Standard 12 2 6" xfId="9658" xr:uid="{00000000-0005-0000-0000-0000E8250000}"/>
    <cellStyle name="Standard 12 2 6 2" xfId="9659" xr:uid="{00000000-0005-0000-0000-0000E9250000}"/>
    <cellStyle name="Standard 12 2 7" xfId="9660" xr:uid="{00000000-0005-0000-0000-0000EA250000}"/>
    <cellStyle name="Standard 12 2 8" xfId="9661" xr:uid="{00000000-0005-0000-0000-0000EB250000}"/>
    <cellStyle name="Standard 12 2 9" xfId="33432" xr:uid="{00000000-0005-0000-0000-0000EC250000}"/>
    <cellStyle name="Standard 12 3" xfId="9662" xr:uid="{00000000-0005-0000-0000-0000ED250000}"/>
    <cellStyle name="Standard 12 3 2" xfId="9663" xr:uid="{00000000-0005-0000-0000-0000EE250000}"/>
    <cellStyle name="Standard 12 3 2 2" xfId="9664" xr:uid="{00000000-0005-0000-0000-0000EF250000}"/>
    <cellStyle name="Standard 12 3 2 2 2" xfId="9665" xr:uid="{00000000-0005-0000-0000-0000F0250000}"/>
    <cellStyle name="Standard 12 3 2 2 2 2" xfId="9666" xr:uid="{00000000-0005-0000-0000-0000F1250000}"/>
    <cellStyle name="Standard 12 3 2 2 2 3" xfId="9667" xr:uid="{00000000-0005-0000-0000-0000F2250000}"/>
    <cellStyle name="Standard 12 3 2 2 3" xfId="9668" xr:uid="{00000000-0005-0000-0000-0000F3250000}"/>
    <cellStyle name="Standard 12 3 2 2 3 2" xfId="9669" xr:uid="{00000000-0005-0000-0000-0000F4250000}"/>
    <cellStyle name="Standard 12 3 2 2 3 3" xfId="9670" xr:uid="{00000000-0005-0000-0000-0000F5250000}"/>
    <cellStyle name="Standard 12 3 2 2 4" xfId="9671" xr:uid="{00000000-0005-0000-0000-0000F6250000}"/>
    <cellStyle name="Standard 12 3 2 2 4 2" xfId="9672" xr:uid="{00000000-0005-0000-0000-0000F7250000}"/>
    <cellStyle name="Standard 12 3 2 2 5" xfId="9673" xr:uid="{00000000-0005-0000-0000-0000F8250000}"/>
    <cellStyle name="Standard 12 3 2 2 6" xfId="9674" xr:uid="{00000000-0005-0000-0000-0000F9250000}"/>
    <cellStyle name="Standard 12 3 2 3" xfId="9675" xr:uid="{00000000-0005-0000-0000-0000FA250000}"/>
    <cellStyle name="Standard 12 3 2 3 2" xfId="9676" xr:uid="{00000000-0005-0000-0000-0000FB250000}"/>
    <cellStyle name="Standard 12 3 2 3 3" xfId="9677" xr:uid="{00000000-0005-0000-0000-0000FC250000}"/>
    <cellStyle name="Standard 12 3 2 4" xfId="9678" xr:uid="{00000000-0005-0000-0000-0000FD250000}"/>
    <cellStyle name="Standard 12 3 2 4 2" xfId="9679" xr:uid="{00000000-0005-0000-0000-0000FE250000}"/>
    <cellStyle name="Standard 12 3 2 4 3" xfId="9680" xr:uid="{00000000-0005-0000-0000-0000FF250000}"/>
    <cellStyle name="Standard 12 3 2 5" xfId="9681" xr:uid="{00000000-0005-0000-0000-000000260000}"/>
    <cellStyle name="Standard 12 3 2 5 2" xfId="9682" xr:uid="{00000000-0005-0000-0000-000001260000}"/>
    <cellStyle name="Standard 12 3 2 6" xfId="9683" xr:uid="{00000000-0005-0000-0000-000002260000}"/>
    <cellStyle name="Standard 12 3 2 7" xfId="9684" xr:uid="{00000000-0005-0000-0000-000003260000}"/>
    <cellStyle name="Standard 12 3 3" xfId="9685" xr:uid="{00000000-0005-0000-0000-000004260000}"/>
    <cellStyle name="Standard 12 3 3 2" xfId="9686" xr:uid="{00000000-0005-0000-0000-000005260000}"/>
    <cellStyle name="Standard 12 3 3 2 2" xfId="9687" xr:uid="{00000000-0005-0000-0000-000006260000}"/>
    <cellStyle name="Standard 12 3 3 2 3" xfId="9688" xr:uid="{00000000-0005-0000-0000-000007260000}"/>
    <cellStyle name="Standard 12 3 3 3" xfId="9689" xr:uid="{00000000-0005-0000-0000-000008260000}"/>
    <cellStyle name="Standard 12 3 3 3 2" xfId="9690" xr:uid="{00000000-0005-0000-0000-000009260000}"/>
    <cellStyle name="Standard 12 3 3 3 3" xfId="9691" xr:uid="{00000000-0005-0000-0000-00000A260000}"/>
    <cellStyle name="Standard 12 3 3 4" xfId="9692" xr:uid="{00000000-0005-0000-0000-00000B260000}"/>
    <cellStyle name="Standard 12 3 3 4 2" xfId="9693" xr:uid="{00000000-0005-0000-0000-00000C260000}"/>
    <cellStyle name="Standard 12 3 3 5" xfId="9694" xr:uid="{00000000-0005-0000-0000-00000D260000}"/>
    <cellStyle name="Standard 12 3 3 6" xfId="9695" xr:uid="{00000000-0005-0000-0000-00000E260000}"/>
    <cellStyle name="Standard 12 3 4" xfId="9696" xr:uid="{00000000-0005-0000-0000-00000F260000}"/>
    <cellStyle name="Standard 12 3 4 2" xfId="9697" xr:uid="{00000000-0005-0000-0000-000010260000}"/>
    <cellStyle name="Standard 12 3 4 3" xfId="9698" xr:uid="{00000000-0005-0000-0000-000011260000}"/>
    <cellStyle name="Standard 12 3 5" xfId="9699" xr:uid="{00000000-0005-0000-0000-000012260000}"/>
    <cellStyle name="Standard 12 3 5 2" xfId="9700" xr:uid="{00000000-0005-0000-0000-000013260000}"/>
    <cellStyle name="Standard 12 3 5 3" xfId="9701" xr:uid="{00000000-0005-0000-0000-000014260000}"/>
    <cellStyle name="Standard 12 3 6" xfId="9702" xr:uid="{00000000-0005-0000-0000-000015260000}"/>
    <cellStyle name="Standard 12 3 6 2" xfId="9703" xr:uid="{00000000-0005-0000-0000-000016260000}"/>
    <cellStyle name="Standard 12 3 7" xfId="9704" xr:uid="{00000000-0005-0000-0000-000017260000}"/>
    <cellStyle name="Standard 12 3 8" xfId="9705" xr:uid="{00000000-0005-0000-0000-000018260000}"/>
    <cellStyle name="Standard 12 4" xfId="9706" xr:uid="{00000000-0005-0000-0000-000019260000}"/>
    <cellStyle name="Standard 12 4 2" xfId="9707" xr:uid="{00000000-0005-0000-0000-00001A260000}"/>
    <cellStyle name="Standard 12 4 2 2" xfId="9708" xr:uid="{00000000-0005-0000-0000-00001B260000}"/>
    <cellStyle name="Standard 12 4 2 2 2" xfId="9709" xr:uid="{00000000-0005-0000-0000-00001C260000}"/>
    <cellStyle name="Standard 12 4 2 2 3" xfId="9710" xr:uid="{00000000-0005-0000-0000-00001D260000}"/>
    <cellStyle name="Standard 12 4 2 3" xfId="9711" xr:uid="{00000000-0005-0000-0000-00001E260000}"/>
    <cellStyle name="Standard 12 4 2 3 2" xfId="9712" xr:uid="{00000000-0005-0000-0000-00001F260000}"/>
    <cellStyle name="Standard 12 4 2 3 3" xfId="9713" xr:uid="{00000000-0005-0000-0000-000020260000}"/>
    <cellStyle name="Standard 12 4 2 4" xfId="9714" xr:uid="{00000000-0005-0000-0000-000021260000}"/>
    <cellStyle name="Standard 12 4 2 4 2" xfId="9715" xr:uid="{00000000-0005-0000-0000-000022260000}"/>
    <cellStyle name="Standard 12 4 2 5" xfId="9716" xr:uid="{00000000-0005-0000-0000-000023260000}"/>
    <cellStyle name="Standard 12 4 2 6" xfId="9717" xr:uid="{00000000-0005-0000-0000-000024260000}"/>
    <cellStyle name="Standard 12 4 3" xfId="9718" xr:uid="{00000000-0005-0000-0000-000025260000}"/>
    <cellStyle name="Standard 12 4 3 2" xfId="9719" xr:uid="{00000000-0005-0000-0000-000026260000}"/>
    <cellStyle name="Standard 12 4 3 3" xfId="9720" xr:uid="{00000000-0005-0000-0000-000027260000}"/>
    <cellStyle name="Standard 12 4 4" xfId="9721" xr:uid="{00000000-0005-0000-0000-000028260000}"/>
    <cellStyle name="Standard 12 4 4 2" xfId="9722" xr:uid="{00000000-0005-0000-0000-000029260000}"/>
    <cellStyle name="Standard 12 4 4 3" xfId="9723" xr:uid="{00000000-0005-0000-0000-00002A260000}"/>
    <cellStyle name="Standard 12 4 5" xfId="9724" xr:uid="{00000000-0005-0000-0000-00002B260000}"/>
    <cellStyle name="Standard 12 4 5 2" xfId="9725" xr:uid="{00000000-0005-0000-0000-00002C260000}"/>
    <cellStyle name="Standard 12 4 6" xfId="9726" xr:uid="{00000000-0005-0000-0000-00002D260000}"/>
    <cellStyle name="Standard 12 4 7" xfId="9727" xr:uid="{00000000-0005-0000-0000-00002E260000}"/>
    <cellStyle name="Standard 12 5" xfId="9728" xr:uid="{00000000-0005-0000-0000-00002F260000}"/>
    <cellStyle name="Standard 12 5 2" xfId="9729" xr:uid="{00000000-0005-0000-0000-000030260000}"/>
    <cellStyle name="Standard 12 5 2 2" xfId="9730" xr:uid="{00000000-0005-0000-0000-000031260000}"/>
    <cellStyle name="Standard 12 5 2 3" xfId="9731" xr:uid="{00000000-0005-0000-0000-000032260000}"/>
    <cellStyle name="Standard 12 5 3" xfId="9732" xr:uid="{00000000-0005-0000-0000-000033260000}"/>
    <cellStyle name="Standard 12 5 3 2" xfId="9733" xr:uid="{00000000-0005-0000-0000-000034260000}"/>
    <cellStyle name="Standard 12 5 3 3" xfId="9734" xr:uid="{00000000-0005-0000-0000-000035260000}"/>
    <cellStyle name="Standard 12 5 4" xfId="9735" xr:uid="{00000000-0005-0000-0000-000036260000}"/>
    <cellStyle name="Standard 12 5 4 2" xfId="9736" xr:uid="{00000000-0005-0000-0000-000037260000}"/>
    <cellStyle name="Standard 12 5 5" xfId="9737" xr:uid="{00000000-0005-0000-0000-000038260000}"/>
    <cellStyle name="Standard 12 5 6" xfId="9738" xr:uid="{00000000-0005-0000-0000-000039260000}"/>
    <cellStyle name="Standard 12 6" xfId="9739" xr:uid="{00000000-0005-0000-0000-00003A260000}"/>
    <cellStyle name="Standard 12 6 2" xfId="9740" xr:uid="{00000000-0005-0000-0000-00003B260000}"/>
    <cellStyle name="Standard 12 6 3" xfId="9741" xr:uid="{00000000-0005-0000-0000-00003C260000}"/>
    <cellStyle name="Standard 12 7" xfId="9742" xr:uid="{00000000-0005-0000-0000-00003D260000}"/>
    <cellStyle name="Standard 12 7 2" xfId="9743" xr:uid="{00000000-0005-0000-0000-00003E260000}"/>
    <cellStyle name="Standard 12 7 3" xfId="9744" xr:uid="{00000000-0005-0000-0000-00003F260000}"/>
    <cellStyle name="Standard 12 8" xfId="9745" xr:uid="{00000000-0005-0000-0000-000040260000}"/>
    <cellStyle name="Standard 12 8 2" xfId="9746" xr:uid="{00000000-0005-0000-0000-000041260000}"/>
    <cellStyle name="Standard 12 9" xfId="9747" xr:uid="{00000000-0005-0000-0000-000042260000}"/>
    <cellStyle name="Standard 120" xfId="9748" xr:uid="{00000000-0005-0000-0000-000043260000}"/>
    <cellStyle name="Standard 121" xfId="9749" xr:uid="{00000000-0005-0000-0000-000044260000}"/>
    <cellStyle name="Standard 122" xfId="9750" xr:uid="{00000000-0005-0000-0000-000045260000}"/>
    <cellStyle name="Standard 123" xfId="9751" xr:uid="{00000000-0005-0000-0000-000046260000}"/>
    <cellStyle name="Standard 124" xfId="9752" xr:uid="{00000000-0005-0000-0000-000047260000}"/>
    <cellStyle name="Standard 125" xfId="9753" xr:uid="{00000000-0005-0000-0000-000048260000}"/>
    <cellStyle name="Standard 126" xfId="9754" xr:uid="{00000000-0005-0000-0000-000049260000}"/>
    <cellStyle name="Standard 127" xfId="9755" xr:uid="{00000000-0005-0000-0000-00004A260000}"/>
    <cellStyle name="Standard 128" xfId="9756" xr:uid="{00000000-0005-0000-0000-00004B260000}"/>
    <cellStyle name="Standard 129" xfId="9757" xr:uid="{00000000-0005-0000-0000-00004C260000}"/>
    <cellStyle name="Standard 13" xfId="503" xr:uid="{00000000-0005-0000-0000-00004D260000}"/>
    <cellStyle name="Standard 13 10" xfId="33185" xr:uid="{00000000-0005-0000-0000-00004E260000}"/>
    <cellStyle name="Standard 13 11" xfId="33260" xr:uid="{00000000-0005-0000-0000-00004F260000}"/>
    <cellStyle name="Standard 13 12" xfId="33335" xr:uid="{00000000-0005-0000-0000-000050260000}"/>
    <cellStyle name="Standard 13 13" xfId="33433" xr:uid="{00000000-0005-0000-0000-000051260000}"/>
    <cellStyle name="Standard 13 2" xfId="9758" xr:uid="{00000000-0005-0000-0000-000052260000}"/>
    <cellStyle name="Standard 13 2 2" xfId="9759" xr:uid="{00000000-0005-0000-0000-000053260000}"/>
    <cellStyle name="Standard 13 2 2 2" xfId="9760" xr:uid="{00000000-0005-0000-0000-000054260000}"/>
    <cellStyle name="Standard 13 2 2 3" xfId="9761" xr:uid="{00000000-0005-0000-0000-000055260000}"/>
    <cellStyle name="Standard 13 2 3" xfId="9762" xr:uid="{00000000-0005-0000-0000-000056260000}"/>
    <cellStyle name="Standard 13 2 3 2" xfId="9763" xr:uid="{00000000-0005-0000-0000-000057260000}"/>
    <cellStyle name="Standard 13 2 3 3" xfId="9764" xr:uid="{00000000-0005-0000-0000-000058260000}"/>
    <cellStyle name="Standard 13 2 4" xfId="9765" xr:uid="{00000000-0005-0000-0000-000059260000}"/>
    <cellStyle name="Standard 13 2 4 2" xfId="9766" xr:uid="{00000000-0005-0000-0000-00005A260000}"/>
    <cellStyle name="Standard 13 2 5" xfId="9767" xr:uid="{00000000-0005-0000-0000-00005B260000}"/>
    <cellStyle name="Standard 13 2 6" xfId="9768" xr:uid="{00000000-0005-0000-0000-00005C260000}"/>
    <cellStyle name="Standard 13 3" xfId="9769" xr:uid="{00000000-0005-0000-0000-00005D260000}"/>
    <cellStyle name="Standard 13 3 2" xfId="9770" xr:uid="{00000000-0005-0000-0000-00005E260000}"/>
    <cellStyle name="Standard 13 3 3" xfId="9771" xr:uid="{00000000-0005-0000-0000-00005F260000}"/>
    <cellStyle name="Standard 13 4" xfId="9772" xr:uid="{00000000-0005-0000-0000-000060260000}"/>
    <cellStyle name="Standard 13 4 2" xfId="9773" xr:uid="{00000000-0005-0000-0000-000061260000}"/>
    <cellStyle name="Standard 13 4 3" xfId="9774" xr:uid="{00000000-0005-0000-0000-000062260000}"/>
    <cellStyle name="Standard 13 5" xfId="9775" xr:uid="{00000000-0005-0000-0000-000063260000}"/>
    <cellStyle name="Standard 13 5 2" xfId="9776" xr:uid="{00000000-0005-0000-0000-000064260000}"/>
    <cellStyle name="Standard 13 6" xfId="9777" xr:uid="{00000000-0005-0000-0000-000065260000}"/>
    <cellStyle name="Standard 13 7" xfId="9778" xr:uid="{00000000-0005-0000-0000-000066260000}"/>
    <cellStyle name="Standard 13 8" xfId="9779" xr:uid="{00000000-0005-0000-0000-000067260000}"/>
    <cellStyle name="Standard 13 9" xfId="33110" xr:uid="{00000000-0005-0000-0000-000068260000}"/>
    <cellStyle name="Standard 130" xfId="9780" xr:uid="{00000000-0005-0000-0000-000069260000}"/>
    <cellStyle name="Standard 131" xfId="9781" xr:uid="{00000000-0005-0000-0000-00006A260000}"/>
    <cellStyle name="Standard 132" xfId="9782" xr:uid="{00000000-0005-0000-0000-00006B260000}"/>
    <cellStyle name="Standard 133" xfId="9783" xr:uid="{00000000-0005-0000-0000-00006C260000}"/>
    <cellStyle name="Standard 134" xfId="9784" xr:uid="{00000000-0005-0000-0000-00006D260000}"/>
    <cellStyle name="Standard 135" xfId="9785" xr:uid="{00000000-0005-0000-0000-00006E260000}"/>
    <cellStyle name="Standard 136" xfId="9786" xr:uid="{00000000-0005-0000-0000-00006F260000}"/>
    <cellStyle name="Standard 137" xfId="9787" xr:uid="{00000000-0005-0000-0000-000070260000}"/>
    <cellStyle name="Standard 138" xfId="9788" xr:uid="{00000000-0005-0000-0000-000071260000}"/>
    <cellStyle name="Standard 139" xfId="9789" xr:uid="{00000000-0005-0000-0000-000072260000}"/>
    <cellStyle name="Standard 14" xfId="504" xr:uid="{00000000-0005-0000-0000-000073260000}"/>
    <cellStyle name="Standard 14 2" xfId="9790" xr:uid="{00000000-0005-0000-0000-000074260000}"/>
    <cellStyle name="Standard 14 2 2" xfId="9791" xr:uid="{00000000-0005-0000-0000-000075260000}"/>
    <cellStyle name="Standard 14 2 2 2" xfId="9792" xr:uid="{00000000-0005-0000-0000-000076260000}"/>
    <cellStyle name="Standard 14 2 2 3" xfId="9793" xr:uid="{00000000-0005-0000-0000-000077260000}"/>
    <cellStyle name="Standard 14 2 3" xfId="9794" xr:uid="{00000000-0005-0000-0000-000078260000}"/>
    <cellStyle name="Standard 14 2 3 2" xfId="9795" xr:uid="{00000000-0005-0000-0000-000079260000}"/>
    <cellStyle name="Standard 14 2 3 3" xfId="9796" xr:uid="{00000000-0005-0000-0000-00007A260000}"/>
    <cellStyle name="Standard 14 2 4" xfId="9797" xr:uid="{00000000-0005-0000-0000-00007B260000}"/>
    <cellStyle name="Standard 14 2 4 2" xfId="9798" xr:uid="{00000000-0005-0000-0000-00007C260000}"/>
    <cellStyle name="Standard 14 2 5" xfId="9799" xr:uid="{00000000-0005-0000-0000-00007D260000}"/>
    <cellStyle name="Standard 14 2 6" xfId="9800" xr:uid="{00000000-0005-0000-0000-00007E260000}"/>
    <cellStyle name="Standard 14 3" xfId="9801" xr:uid="{00000000-0005-0000-0000-00007F260000}"/>
    <cellStyle name="Standard 14 3 2" xfId="9802" xr:uid="{00000000-0005-0000-0000-000080260000}"/>
    <cellStyle name="Standard 14 3 3" xfId="9803" xr:uid="{00000000-0005-0000-0000-000081260000}"/>
    <cellStyle name="Standard 14 4" xfId="9804" xr:uid="{00000000-0005-0000-0000-000082260000}"/>
    <cellStyle name="Standard 14 4 2" xfId="9805" xr:uid="{00000000-0005-0000-0000-000083260000}"/>
    <cellStyle name="Standard 14 4 3" xfId="9806" xr:uid="{00000000-0005-0000-0000-000084260000}"/>
    <cellStyle name="Standard 14 5" xfId="9807" xr:uid="{00000000-0005-0000-0000-000085260000}"/>
    <cellStyle name="Standard 14 5 2" xfId="9808" xr:uid="{00000000-0005-0000-0000-000086260000}"/>
    <cellStyle name="Standard 14 6" xfId="9809" xr:uid="{00000000-0005-0000-0000-000087260000}"/>
    <cellStyle name="Standard 14 7" xfId="9810" xr:uid="{00000000-0005-0000-0000-000088260000}"/>
    <cellStyle name="Standard 14 8" xfId="9811" xr:uid="{00000000-0005-0000-0000-000089260000}"/>
    <cellStyle name="Standard 14 9" xfId="33434" xr:uid="{00000000-0005-0000-0000-00008A260000}"/>
    <cellStyle name="Standard 140" xfId="9812" xr:uid="{00000000-0005-0000-0000-00008B260000}"/>
    <cellStyle name="Standard 141" xfId="9813" xr:uid="{00000000-0005-0000-0000-00008C260000}"/>
    <cellStyle name="Standard 142" xfId="9814" xr:uid="{00000000-0005-0000-0000-00008D260000}"/>
    <cellStyle name="Standard 143" xfId="9815" xr:uid="{00000000-0005-0000-0000-00008E260000}"/>
    <cellStyle name="Standard 144" xfId="9816" xr:uid="{00000000-0005-0000-0000-00008F260000}"/>
    <cellStyle name="Standard 145" xfId="9817" xr:uid="{00000000-0005-0000-0000-000090260000}"/>
    <cellStyle name="Standard 146" xfId="9818" xr:uid="{00000000-0005-0000-0000-000091260000}"/>
    <cellStyle name="Standard 147" xfId="9819" xr:uid="{00000000-0005-0000-0000-000092260000}"/>
    <cellStyle name="Standard 148" xfId="9820" xr:uid="{00000000-0005-0000-0000-000093260000}"/>
    <cellStyle name="Standard 149" xfId="9821" xr:uid="{00000000-0005-0000-0000-000094260000}"/>
    <cellStyle name="Standard 15" xfId="505" xr:uid="{00000000-0005-0000-0000-000095260000}"/>
    <cellStyle name="Standard 15 2" xfId="9822" xr:uid="{00000000-0005-0000-0000-000096260000}"/>
    <cellStyle name="Standard 15 3" xfId="9823" xr:uid="{00000000-0005-0000-0000-000097260000}"/>
    <cellStyle name="Standard 15 3 2" xfId="9824" xr:uid="{00000000-0005-0000-0000-000098260000}"/>
    <cellStyle name="Standard 15 3 3" xfId="9825" xr:uid="{00000000-0005-0000-0000-000099260000}"/>
    <cellStyle name="Standard 15 4" xfId="9826" xr:uid="{00000000-0005-0000-0000-00009A260000}"/>
    <cellStyle name="Standard 15 5" xfId="9827" xr:uid="{00000000-0005-0000-0000-00009B260000}"/>
    <cellStyle name="Standard 150" xfId="9828" xr:uid="{00000000-0005-0000-0000-00009C260000}"/>
    <cellStyle name="Standard 151" xfId="9829" xr:uid="{00000000-0005-0000-0000-00009D260000}"/>
    <cellStyle name="Standard 152" xfId="9830" xr:uid="{00000000-0005-0000-0000-00009E260000}"/>
    <cellStyle name="Standard 153" xfId="9831" xr:uid="{00000000-0005-0000-0000-00009F260000}"/>
    <cellStyle name="Standard 154" xfId="9832" xr:uid="{00000000-0005-0000-0000-0000A0260000}"/>
    <cellStyle name="Standard 155" xfId="9833" xr:uid="{00000000-0005-0000-0000-0000A1260000}"/>
    <cellStyle name="Standard 156" xfId="9834" xr:uid="{00000000-0005-0000-0000-0000A2260000}"/>
    <cellStyle name="Standard 157" xfId="9835" xr:uid="{00000000-0005-0000-0000-0000A3260000}"/>
    <cellStyle name="Standard 158" xfId="9836" xr:uid="{00000000-0005-0000-0000-0000A4260000}"/>
    <cellStyle name="Standard 159" xfId="9837" xr:uid="{00000000-0005-0000-0000-0000A5260000}"/>
    <cellStyle name="Standard 16" xfId="506" xr:uid="{00000000-0005-0000-0000-0000A6260000}"/>
    <cellStyle name="Standard 16 10" xfId="33261" xr:uid="{00000000-0005-0000-0000-0000A7260000}"/>
    <cellStyle name="Standard 16 11" xfId="33336" xr:uid="{00000000-0005-0000-0000-0000A8260000}"/>
    <cellStyle name="Standard 16 2" xfId="9838" xr:uid="{00000000-0005-0000-0000-0000A9260000}"/>
    <cellStyle name="Standard 16 2 2" xfId="9839" xr:uid="{00000000-0005-0000-0000-0000AA260000}"/>
    <cellStyle name="Standard 16 2 3" xfId="9840" xr:uid="{00000000-0005-0000-0000-0000AB260000}"/>
    <cellStyle name="Standard 16 3" xfId="9841" xr:uid="{00000000-0005-0000-0000-0000AC260000}"/>
    <cellStyle name="Standard 16 3 2" xfId="9842" xr:uid="{00000000-0005-0000-0000-0000AD260000}"/>
    <cellStyle name="Standard 16 3 3" xfId="9843" xr:uid="{00000000-0005-0000-0000-0000AE260000}"/>
    <cellStyle name="Standard 16 4" xfId="9844" xr:uid="{00000000-0005-0000-0000-0000AF260000}"/>
    <cellStyle name="Standard 16 4 2" xfId="9845" xr:uid="{00000000-0005-0000-0000-0000B0260000}"/>
    <cellStyle name="Standard 16 5" xfId="9846" xr:uid="{00000000-0005-0000-0000-0000B1260000}"/>
    <cellStyle name="Standard 16 6" xfId="9847" xr:uid="{00000000-0005-0000-0000-0000B2260000}"/>
    <cellStyle name="Standard 16 7" xfId="9848" xr:uid="{00000000-0005-0000-0000-0000B3260000}"/>
    <cellStyle name="Standard 16 8" xfId="33111" xr:uid="{00000000-0005-0000-0000-0000B4260000}"/>
    <cellStyle name="Standard 16 9" xfId="33186" xr:uid="{00000000-0005-0000-0000-0000B5260000}"/>
    <cellStyle name="Standard 160" xfId="9849" xr:uid="{00000000-0005-0000-0000-0000B6260000}"/>
    <cellStyle name="Standard 161" xfId="9850" xr:uid="{00000000-0005-0000-0000-0000B7260000}"/>
    <cellStyle name="Standard 162" xfId="9851" xr:uid="{00000000-0005-0000-0000-0000B8260000}"/>
    <cellStyle name="Standard 163" xfId="9852" xr:uid="{00000000-0005-0000-0000-0000B9260000}"/>
    <cellStyle name="Standard 164" xfId="9853" xr:uid="{00000000-0005-0000-0000-0000BA260000}"/>
    <cellStyle name="Standard 165" xfId="9854" xr:uid="{00000000-0005-0000-0000-0000BB260000}"/>
    <cellStyle name="Standard 166" xfId="9855" xr:uid="{00000000-0005-0000-0000-0000BC260000}"/>
    <cellStyle name="Standard 167" xfId="9856" xr:uid="{00000000-0005-0000-0000-0000BD260000}"/>
    <cellStyle name="Standard 168" xfId="33347" xr:uid="{00000000-0005-0000-0000-0000BE260000}"/>
    <cellStyle name="Standard 168 2" xfId="33348" xr:uid="{00000000-0005-0000-0000-0000BF260000}"/>
    <cellStyle name="Standard 169" xfId="33508" xr:uid="{00000000-0005-0000-0000-0000C0260000}"/>
    <cellStyle name="Standard 17" xfId="507" xr:uid="{00000000-0005-0000-0000-0000C1260000}"/>
    <cellStyle name="Standard 17 2" xfId="9857" xr:uid="{00000000-0005-0000-0000-0000C2260000}"/>
    <cellStyle name="Standard 17 3" xfId="9858" xr:uid="{00000000-0005-0000-0000-0000C3260000}"/>
    <cellStyle name="Standard 17 4" xfId="33112" xr:uid="{00000000-0005-0000-0000-0000C4260000}"/>
    <cellStyle name="Standard 17 5" xfId="33187" xr:uid="{00000000-0005-0000-0000-0000C5260000}"/>
    <cellStyle name="Standard 17 6" xfId="33262" xr:uid="{00000000-0005-0000-0000-0000C6260000}"/>
    <cellStyle name="Standard 17 7" xfId="33337" xr:uid="{00000000-0005-0000-0000-0000C7260000}"/>
    <cellStyle name="Standard 170" xfId="30" xr:uid="{00000000-0005-0000-0000-0000C8260000}"/>
    <cellStyle name="Standard 171" xfId="29" xr:uid="{00000000-0005-0000-0000-0000C9260000}"/>
    <cellStyle name="Standard 172" xfId="33509" xr:uid="{00000000-0005-0000-0000-0000CA260000}"/>
    <cellStyle name="Standard 173" xfId="33510" xr:uid="{00000000-0005-0000-0000-0000CB260000}"/>
    <cellStyle name="Standard 18" xfId="508" xr:uid="{00000000-0005-0000-0000-0000CC260000}"/>
    <cellStyle name="Standard 18 2" xfId="9859" xr:uid="{00000000-0005-0000-0000-0000CD260000}"/>
    <cellStyle name="Standard 18 3" xfId="33113" xr:uid="{00000000-0005-0000-0000-0000CE260000}"/>
    <cellStyle name="Standard 18 4" xfId="33188" xr:uid="{00000000-0005-0000-0000-0000CF260000}"/>
    <cellStyle name="Standard 18 5" xfId="33263" xr:uid="{00000000-0005-0000-0000-0000D0260000}"/>
    <cellStyle name="Standard 18 6" xfId="33338" xr:uid="{00000000-0005-0000-0000-0000D1260000}"/>
    <cellStyle name="Standard 19" xfId="509" xr:uid="{00000000-0005-0000-0000-0000D2260000}"/>
    <cellStyle name="Standard 2" xfId="11" xr:uid="{00000000-0005-0000-0000-0000D3260000}"/>
    <cellStyle name="Standard 2 10" xfId="510" xr:uid="{00000000-0005-0000-0000-0000D4260000}"/>
    <cellStyle name="Standard 2 11" xfId="24" xr:uid="{00000000-0005-0000-0000-0000D5260000}"/>
    <cellStyle name="Standard 2 2" xfId="12" xr:uid="{00000000-0005-0000-0000-0000D6260000}"/>
    <cellStyle name="Standard 2 2 2" xfId="512" xr:uid="{00000000-0005-0000-0000-0000D7260000}"/>
    <cellStyle name="Standard 2 2 2 2" xfId="513" xr:uid="{00000000-0005-0000-0000-0000D8260000}"/>
    <cellStyle name="Standard 2 2 3" xfId="514" xr:uid="{00000000-0005-0000-0000-0000D9260000}"/>
    <cellStyle name="Standard 2 2 3 2" xfId="33436" xr:uid="{00000000-0005-0000-0000-0000DA260000}"/>
    <cellStyle name="Standard 2 2 3 3" xfId="33435" xr:uid="{00000000-0005-0000-0000-0000DB260000}"/>
    <cellStyle name="Standard 2 2 4" xfId="515" xr:uid="{00000000-0005-0000-0000-0000DC260000}"/>
    <cellStyle name="Standard 2 2 5" xfId="516" xr:uid="{00000000-0005-0000-0000-0000DD260000}"/>
    <cellStyle name="Standard 2 2 6" xfId="511" xr:uid="{00000000-0005-0000-0000-0000DE260000}"/>
    <cellStyle name="Standard 2 3" xfId="517" xr:uid="{00000000-0005-0000-0000-0000DF260000}"/>
    <cellStyle name="Standard 2 3 2" xfId="518" xr:uid="{00000000-0005-0000-0000-0000E0260000}"/>
    <cellStyle name="Standard 2 3 2 2" xfId="9860" xr:uid="{00000000-0005-0000-0000-0000E1260000}"/>
    <cellStyle name="Standard 2 3 2 3" xfId="9861" xr:uid="{00000000-0005-0000-0000-0000E2260000}"/>
    <cellStyle name="Standard 2 3 3" xfId="519" xr:uid="{00000000-0005-0000-0000-0000E3260000}"/>
    <cellStyle name="Standard 2 3 4" xfId="9862" xr:uid="{00000000-0005-0000-0000-0000E4260000}"/>
    <cellStyle name="Standard 2 4" xfId="520" xr:uid="{00000000-0005-0000-0000-0000E5260000}"/>
    <cellStyle name="Standard 2 4 2" xfId="521" xr:uid="{00000000-0005-0000-0000-0000E6260000}"/>
    <cellStyle name="Standard 2 4 3" xfId="522" xr:uid="{00000000-0005-0000-0000-0000E7260000}"/>
    <cellStyle name="Standard 2 4 4" xfId="523" xr:uid="{00000000-0005-0000-0000-0000E8260000}"/>
    <cellStyle name="Standard 2 5" xfId="524" xr:uid="{00000000-0005-0000-0000-0000E9260000}"/>
    <cellStyle name="Standard 2 5 2" xfId="525" xr:uid="{00000000-0005-0000-0000-0000EA260000}"/>
    <cellStyle name="Standard 2 5 2 2" xfId="33438" xr:uid="{00000000-0005-0000-0000-0000EB260000}"/>
    <cellStyle name="Standard 2 5 2 2 2" xfId="33439" xr:uid="{00000000-0005-0000-0000-0000EC260000}"/>
    <cellStyle name="Standard 2 5 2 3" xfId="33440" xr:uid="{00000000-0005-0000-0000-0000ED260000}"/>
    <cellStyle name="Standard 2 5 2 4" xfId="33437" xr:uid="{00000000-0005-0000-0000-0000EE260000}"/>
    <cellStyle name="Standard 2 5 3" xfId="33441" xr:uid="{00000000-0005-0000-0000-0000EF260000}"/>
    <cellStyle name="Standard 2 5 4" xfId="33442" xr:uid="{00000000-0005-0000-0000-0000F0260000}"/>
    <cellStyle name="Standard 2 6" xfId="526" xr:uid="{00000000-0005-0000-0000-0000F1260000}"/>
    <cellStyle name="Standard 2 6 2" xfId="527" xr:uid="{00000000-0005-0000-0000-0000F2260000}"/>
    <cellStyle name="Standard 2 6 2 2" xfId="33444" xr:uid="{00000000-0005-0000-0000-0000F3260000}"/>
    <cellStyle name="Standard 2 6 2 3" xfId="33443" xr:uid="{00000000-0005-0000-0000-0000F4260000}"/>
    <cellStyle name="Standard 2 7" xfId="528" xr:uid="{00000000-0005-0000-0000-0000F5260000}"/>
    <cellStyle name="Standard 2 7 2" xfId="33445" xr:uid="{00000000-0005-0000-0000-0000F6260000}"/>
    <cellStyle name="Standard 2 8" xfId="529" xr:uid="{00000000-0005-0000-0000-0000F7260000}"/>
    <cellStyle name="Standard 2 8 2" xfId="33446" xr:uid="{00000000-0005-0000-0000-0000F8260000}"/>
    <cellStyle name="Standard 2 9" xfId="530" xr:uid="{00000000-0005-0000-0000-0000F9260000}"/>
    <cellStyle name="Standard 2_IP_Adressen" xfId="531" xr:uid="{00000000-0005-0000-0000-0000FA260000}"/>
    <cellStyle name="Standard 20" xfId="532" xr:uid="{00000000-0005-0000-0000-0000FB260000}"/>
    <cellStyle name="Standard 20 2" xfId="533" xr:uid="{00000000-0005-0000-0000-0000FC260000}"/>
    <cellStyle name="Standard 207" xfId="9863" xr:uid="{00000000-0005-0000-0000-0000FD260000}"/>
    <cellStyle name="Standard 21" xfId="534" xr:uid="{00000000-0005-0000-0000-0000FE260000}"/>
    <cellStyle name="Standard 21 2" xfId="535" xr:uid="{00000000-0005-0000-0000-0000FF260000}"/>
    <cellStyle name="Standard 22" xfId="536" xr:uid="{00000000-0005-0000-0000-000000270000}"/>
    <cellStyle name="Standard 22 2" xfId="537" xr:uid="{00000000-0005-0000-0000-000001270000}"/>
    <cellStyle name="Standard 23" xfId="538" xr:uid="{00000000-0005-0000-0000-000002270000}"/>
    <cellStyle name="Standard 23 2" xfId="539" xr:uid="{00000000-0005-0000-0000-000003270000}"/>
    <cellStyle name="Standard 24" xfId="540" xr:uid="{00000000-0005-0000-0000-000004270000}"/>
    <cellStyle name="Standard 24 2" xfId="541" xr:uid="{00000000-0005-0000-0000-000005270000}"/>
    <cellStyle name="Standard 25" xfId="542" xr:uid="{00000000-0005-0000-0000-000006270000}"/>
    <cellStyle name="Standard 25 2" xfId="543" xr:uid="{00000000-0005-0000-0000-000007270000}"/>
    <cellStyle name="Standard 26" xfId="544" xr:uid="{00000000-0005-0000-0000-000008270000}"/>
    <cellStyle name="Standard 26 2" xfId="545" xr:uid="{00000000-0005-0000-0000-000009270000}"/>
    <cellStyle name="Standard 27" xfId="546" xr:uid="{00000000-0005-0000-0000-00000A270000}"/>
    <cellStyle name="Standard 27 2" xfId="547" xr:uid="{00000000-0005-0000-0000-00000B270000}"/>
    <cellStyle name="Standard 28" xfId="548" xr:uid="{00000000-0005-0000-0000-00000C270000}"/>
    <cellStyle name="Standard 28 2" xfId="549" xr:uid="{00000000-0005-0000-0000-00000D270000}"/>
    <cellStyle name="Standard 29" xfId="550" xr:uid="{00000000-0005-0000-0000-00000E270000}"/>
    <cellStyle name="Standard 29 2" xfId="551" xr:uid="{00000000-0005-0000-0000-00000F270000}"/>
    <cellStyle name="Standard 3" xfId="13" xr:uid="{00000000-0005-0000-0000-000010270000}"/>
    <cellStyle name="Standard 3 2" xfId="552" xr:uid="{00000000-0005-0000-0000-000011270000}"/>
    <cellStyle name="Standard 3 2 2" xfId="553" xr:uid="{00000000-0005-0000-0000-000012270000}"/>
    <cellStyle name="Standard 3 2 2 10" xfId="9864" xr:uid="{00000000-0005-0000-0000-000013270000}"/>
    <cellStyle name="Standard 3 2 2 11" xfId="9865" xr:uid="{00000000-0005-0000-0000-000014270000}"/>
    <cellStyle name="Standard 3 2 2 12" xfId="9866" xr:uid="{00000000-0005-0000-0000-000015270000}"/>
    <cellStyle name="Standard 3 2 2 13" xfId="9867" xr:uid="{00000000-0005-0000-0000-000016270000}"/>
    <cellStyle name="Standard 3 2 2 14" xfId="9868" xr:uid="{00000000-0005-0000-0000-000017270000}"/>
    <cellStyle name="Standard 3 2 2 2" xfId="554" xr:uid="{00000000-0005-0000-0000-000018270000}"/>
    <cellStyle name="Standard 3 2 2 2 10" xfId="9869" xr:uid="{00000000-0005-0000-0000-000019270000}"/>
    <cellStyle name="Standard 3 2 2 2 11" xfId="9870" xr:uid="{00000000-0005-0000-0000-00001A270000}"/>
    <cellStyle name="Standard 3 2 2 2 2" xfId="9871" xr:uid="{00000000-0005-0000-0000-00001B270000}"/>
    <cellStyle name="Standard 3 2 2 2 2 2" xfId="9872" xr:uid="{00000000-0005-0000-0000-00001C270000}"/>
    <cellStyle name="Standard 3 2 2 2 2 2 2" xfId="9873" xr:uid="{00000000-0005-0000-0000-00001D270000}"/>
    <cellStyle name="Standard 3 2 2 2 2 2 2 2" xfId="9874" xr:uid="{00000000-0005-0000-0000-00001E270000}"/>
    <cellStyle name="Standard 3 2 2 2 2 2 2 2 2" xfId="9875" xr:uid="{00000000-0005-0000-0000-00001F270000}"/>
    <cellStyle name="Standard 3 2 2 2 2 2 2 2 3" xfId="9876" xr:uid="{00000000-0005-0000-0000-000020270000}"/>
    <cellStyle name="Standard 3 2 2 2 2 2 2 3" xfId="9877" xr:uid="{00000000-0005-0000-0000-000021270000}"/>
    <cellStyle name="Standard 3 2 2 2 2 2 2 3 2" xfId="9878" xr:uid="{00000000-0005-0000-0000-000022270000}"/>
    <cellStyle name="Standard 3 2 2 2 2 2 2 3 3" xfId="9879" xr:uid="{00000000-0005-0000-0000-000023270000}"/>
    <cellStyle name="Standard 3 2 2 2 2 2 2 4" xfId="9880" xr:uid="{00000000-0005-0000-0000-000024270000}"/>
    <cellStyle name="Standard 3 2 2 2 2 2 2 4 2" xfId="9881" xr:uid="{00000000-0005-0000-0000-000025270000}"/>
    <cellStyle name="Standard 3 2 2 2 2 2 2 5" xfId="9882" xr:uid="{00000000-0005-0000-0000-000026270000}"/>
    <cellStyle name="Standard 3 2 2 2 2 2 2 6" xfId="9883" xr:uid="{00000000-0005-0000-0000-000027270000}"/>
    <cellStyle name="Standard 3 2 2 2 2 2 3" xfId="9884" xr:uid="{00000000-0005-0000-0000-000028270000}"/>
    <cellStyle name="Standard 3 2 2 2 2 2 3 2" xfId="9885" xr:uid="{00000000-0005-0000-0000-000029270000}"/>
    <cellStyle name="Standard 3 2 2 2 2 2 3 3" xfId="9886" xr:uid="{00000000-0005-0000-0000-00002A270000}"/>
    <cellStyle name="Standard 3 2 2 2 2 2 4" xfId="9887" xr:uid="{00000000-0005-0000-0000-00002B270000}"/>
    <cellStyle name="Standard 3 2 2 2 2 2 4 2" xfId="9888" xr:uid="{00000000-0005-0000-0000-00002C270000}"/>
    <cellStyle name="Standard 3 2 2 2 2 2 4 3" xfId="9889" xr:uid="{00000000-0005-0000-0000-00002D270000}"/>
    <cellStyle name="Standard 3 2 2 2 2 2 5" xfId="9890" xr:uid="{00000000-0005-0000-0000-00002E270000}"/>
    <cellStyle name="Standard 3 2 2 2 2 2 5 2" xfId="9891" xr:uid="{00000000-0005-0000-0000-00002F270000}"/>
    <cellStyle name="Standard 3 2 2 2 2 2 6" xfId="9892" xr:uid="{00000000-0005-0000-0000-000030270000}"/>
    <cellStyle name="Standard 3 2 2 2 2 2 7" xfId="9893" xr:uid="{00000000-0005-0000-0000-000031270000}"/>
    <cellStyle name="Standard 3 2 2 2 2 3" xfId="9894" xr:uid="{00000000-0005-0000-0000-000032270000}"/>
    <cellStyle name="Standard 3 2 2 2 2 3 2" xfId="9895" xr:uid="{00000000-0005-0000-0000-000033270000}"/>
    <cellStyle name="Standard 3 2 2 2 2 3 2 2" xfId="9896" xr:uid="{00000000-0005-0000-0000-000034270000}"/>
    <cellStyle name="Standard 3 2 2 2 2 3 2 3" xfId="9897" xr:uid="{00000000-0005-0000-0000-000035270000}"/>
    <cellStyle name="Standard 3 2 2 2 2 3 3" xfId="9898" xr:uid="{00000000-0005-0000-0000-000036270000}"/>
    <cellStyle name="Standard 3 2 2 2 2 3 3 2" xfId="9899" xr:uid="{00000000-0005-0000-0000-000037270000}"/>
    <cellStyle name="Standard 3 2 2 2 2 3 3 3" xfId="9900" xr:uid="{00000000-0005-0000-0000-000038270000}"/>
    <cellStyle name="Standard 3 2 2 2 2 3 4" xfId="9901" xr:uid="{00000000-0005-0000-0000-000039270000}"/>
    <cellStyle name="Standard 3 2 2 2 2 3 4 2" xfId="9902" xr:uid="{00000000-0005-0000-0000-00003A270000}"/>
    <cellStyle name="Standard 3 2 2 2 2 3 5" xfId="9903" xr:uid="{00000000-0005-0000-0000-00003B270000}"/>
    <cellStyle name="Standard 3 2 2 2 2 3 6" xfId="9904" xr:uid="{00000000-0005-0000-0000-00003C270000}"/>
    <cellStyle name="Standard 3 2 2 2 2 4" xfId="9905" xr:uid="{00000000-0005-0000-0000-00003D270000}"/>
    <cellStyle name="Standard 3 2 2 2 2 4 2" xfId="9906" xr:uid="{00000000-0005-0000-0000-00003E270000}"/>
    <cellStyle name="Standard 3 2 2 2 2 4 3" xfId="9907" xr:uid="{00000000-0005-0000-0000-00003F270000}"/>
    <cellStyle name="Standard 3 2 2 2 2 5" xfId="9908" xr:uid="{00000000-0005-0000-0000-000040270000}"/>
    <cellStyle name="Standard 3 2 2 2 2 5 2" xfId="9909" xr:uid="{00000000-0005-0000-0000-000041270000}"/>
    <cellStyle name="Standard 3 2 2 2 2 5 3" xfId="9910" xr:uid="{00000000-0005-0000-0000-000042270000}"/>
    <cellStyle name="Standard 3 2 2 2 2 6" xfId="9911" xr:uid="{00000000-0005-0000-0000-000043270000}"/>
    <cellStyle name="Standard 3 2 2 2 2 6 2" xfId="9912" xr:uid="{00000000-0005-0000-0000-000044270000}"/>
    <cellStyle name="Standard 3 2 2 2 2 7" xfId="9913" xr:uid="{00000000-0005-0000-0000-000045270000}"/>
    <cellStyle name="Standard 3 2 2 2 2 8" xfId="9914" xr:uid="{00000000-0005-0000-0000-000046270000}"/>
    <cellStyle name="Standard 3 2 2 2 2 9" xfId="9915" xr:uid="{00000000-0005-0000-0000-000047270000}"/>
    <cellStyle name="Standard 3 2 2 2 3" xfId="9916" xr:uid="{00000000-0005-0000-0000-000048270000}"/>
    <cellStyle name="Standard 3 2 2 2 3 2" xfId="9917" xr:uid="{00000000-0005-0000-0000-000049270000}"/>
    <cellStyle name="Standard 3 2 2 2 3 2 2" xfId="9918" xr:uid="{00000000-0005-0000-0000-00004A270000}"/>
    <cellStyle name="Standard 3 2 2 2 3 2 2 2" xfId="9919" xr:uid="{00000000-0005-0000-0000-00004B270000}"/>
    <cellStyle name="Standard 3 2 2 2 3 2 2 2 2" xfId="9920" xr:uid="{00000000-0005-0000-0000-00004C270000}"/>
    <cellStyle name="Standard 3 2 2 2 3 2 2 2 3" xfId="9921" xr:uid="{00000000-0005-0000-0000-00004D270000}"/>
    <cellStyle name="Standard 3 2 2 2 3 2 2 3" xfId="9922" xr:uid="{00000000-0005-0000-0000-00004E270000}"/>
    <cellStyle name="Standard 3 2 2 2 3 2 2 3 2" xfId="9923" xr:uid="{00000000-0005-0000-0000-00004F270000}"/>
    <cellStyle name="Standard 3 2 2 2 3 2 2 3 3" xfId="9924" xr:uid="{00000000-0005-0000-0000-000050270000}"/>
    <cellStyle name="Standard 3 2 2 2 3 2 2 4" xfId="9925" xr:uid="{00000000-0005-0000-0000-000051270000}"/>
    <cellStyle name="Standard 3 2 2 2 3 2 2 4 2" xfId="9926" xr:uid="{00000000-0005-0000-0000-000052270000}"/>
    <cellStyle name="Standard 3 2 2 2 3 2 2 5" xfId="9927" xr:uid="{00000000-0005-0000-0000-000053270000}"/>
    <cellStyle name="Standard 3 2 2 2 3 2 2 6" xfId="9928" xr:uid="{00000000-0005-0000-0000-000054270000}"/>
    <cellStyle name="Standard 3 2 2 2 3 2 3" xfId="9929" xr:uid="{00000000-0005-0000-0000-000055270000}"/>
    <cellStyle name="Standard 3 2 2 2 3 2 3 2" xfId="9930" xr:uid="{00000000-0005-0000-0000-000056270000}"/>
    <cellStyle name="Standard 3 2 2 2 3 2 3 3" xfId="9931" xr:uid="{00000000-0005-0000-0000-000057270000}"/>
    <cellStyle name="Standard 3 2 2 2 3 2 4" xfId="9932" xr:uid="{00000000-0005-0000-0000-000058270000}"/>
    <cellStyle name="Standard 3 2 2 2 3 2 4 2" xfId="9933" xr:uid="{00000000-0005-0000-0000-000059270000}"/>
    <cellStyle name="Standard 3 2 2 2 3 2 4 3" xfId="9934" xr:uid="{00000000-0005-0000-0000-00005A270000}"/>
    <cellStyle name="Standard 3 2 2 2 3 2 5" xfId="9935" xr:uid="{00000000-0005-0000-0000-00005B270000}"/>
    <cellStyle name="Standard 3 2 2 2 3 2 5 2" xfId="9936" xr:uid="{00000000-0005-0000-0000-00005C270000}"/>
    <cellStyle name="Standard 3 2 2 2 3 2 6" xfId="9937" xr:uid="{00000000-0005-0000-0000-00005D270000}"/>
    <cellStyle name="Standard 3 2 2 2 3 2 7" xfId="9938" xr:uid="{00000000-0005-0000-0000-00005E270000}"/>
    <cellStyle name="Standard 3 2 2 2 3 3" xfId="9939" xr:uid="{00000000-0005-0000-0000-00005F270000}"/>
    <cellStyle name="Standard 3 2 2 2 3 3 2" xfId="9940" xr:uid="{00000000-0005-0000-0000-000060270000}"/>
    <cellStyle name="Standard 3 2 2 2 3 3 2 2" xfId="9941" xr:uid="{00000000-0005-0000-0000-000061270000}"/>
    <cellStyle name="Standard 3 2 2 2 3 3 2 3" xfId="9942" xr:uid="{00000000-0005-0000-0000-000062270000}"/>
    <cellStyle name="Standard 3 2 2 2 3 3 3" xfId="9943" xr:uid="{00000000-0005-0000-0000-000063270000}"/>
    <cellStyle name="Standard 3 2 2 2 3 3 3 2" xfId="9944" xr:uid="{00000000-0005-0000-0000-000064270000}"/>
    <cellStyle name="Standard 3 2 2 2 3 3 3 3" xfId="9945" xr:uid="{00000000-0005-0000-0000-000065270000}"/>
    <cellStyle name="Standard 3 2 2 2 3 3 4" xfId="9946" xr:uid="{00000000-0005-0000-0000-000066270000}"/>
    <cellStyle name="Standard 3 2 2 2 3 3 4 2" xfId="9947" xr:uid="{00000000-0005-0000-0000-000067270000}"/>
    <cellStyle name="Standard 3 2 2 2 3 3 5" xfId="9948" xr:uid="{00000000-0005-0000-0000-000068270000}"/>
    <cellStyle name="Standard 3 2 2 2 3 3 6" xfId="9949" xr:uid="{00000000-0005-0000-0000-000069270000}"/>
    <cellStyle name="Standard 3 2 2 2 3 4" xfId="9950" xr:uid="{00000000-0005-0000-0000-00006A270000}"/>
    <cellStyle name="Standard 3 2 2 2 3 4 2" xfId="9951" xr:uid="{00000000-0005-0000-0000-00006B270000}"/>
    <cellStyle name="Standard 3 2 2 2 3 4 3" xfId="9952" xr:uid="{00000000-0005-0000-0000-00006C270000}"/>
    <cellStyle name="Standard 3 2 2 2 3 5" xfId="9953" xr:uid="{00000000-0005-0000-0000-00006D270000}"/>
    <cellStyle name="Standard 3 2 2 2 3 5 2" xfId="9954" xr:uid="{00000000-0005-0000-0000-00006E270000}"/>
    <cellStyle name="Standard 3 2 2 2 3 5 3" xfId="9955" xr:uid="{00000000-0005-0000-0000-00006F270000}"/>
    <cellStyle name="Standard 3 2 2 2 3 6" xfId="9956" xr:uid="{00000000-0005-0000-0000-000070270000}"/>
    <cellStyle name="Standard 3 2 2 2 3 6 2" xfId="9957" xr:uid="{00000000-0005-0000-0000-000071270000}"/>
    <cellStyle name="Standard 3 2 2 2 3 7" xfId="9958" xr:uid="{00000000-0005-0000-0000-000072270000}"/>
    <cellStyle name="Standard 3 2 2 2 3 8" xfId="9959" xr:uid="{00000000-0005-0000-0000-000073270000}"/>
    <cellStyle name="Standard 3 2 2 2 3 9" xfId="9960" xr:uid="{00000000-0005-0000-0000-000074270000}"/>
    <cellStyle name="Standard 3 2 2 2 4" xfId="9961" xr:uid="{00000000-0005-0000-0000-000075270000}"/>
    <cellStyle name="Standard 3 2 2 2 4 2" xfId="9962" xr:uid="{00000000-0005-0000-0000-000076270000}"/>
    <cellStyle name="Standard 3 2 2 2 4 2 2" xfId="9963" xr:uid="{00000000-0005-0000-0000-000077270000}"/>
    <cellStyle name="Standard 3 2 2 2 4 2 2 2" xfId="9964" xr:uid="{00000000-0005-0000-0000-000078270000}"/>
    <cellStyle name="Standard 3 2 2 2 4 2 2 3" xfId="9965" xr:uid="{00000000-0005-0000-0000-000079270000}"/>
    <cellStyle name="Standard 3 2 2 2 4 2 3" xfId="9966" xr:uid="{00000000-0005-0000-0000-00007A270000}"/>
    <cellStyle name="Standard 3 2 2 2 4 2 3 2" xfId="9967" xr:uid="{00000000-0005-0000-0000-00007B270000}"/>
    <cellStyle name="Standard 3 2 2 2 4 2 3 3" xfId="9968" xr:uid="{00000000-0005-0000-0000-00007C270000}"/>
    <cellStyle name="Standard 3 2 2 2 4 2 4" xfId="9969" xr:uid="{00000000-0005-0000-0000-00007D270000}"/>
    <cellStyle name="Standard 3 2 2 2 4 2 4 2" xfId="9970" xr:uid="{00000000-0005-0000-0000-00007E270000}"/>
    <cellStyle name="Standard 3 2 2 2 4 2 5" xfId="9971" xr:uid="{00000000-0005-0000-0000-00007F270000}"/>
    <cellStyle name="Standard 3 2 2 2 4 2 6" xfId="9972" xr:uid="{00000000-0005-0000-0000-000080270000}"/>
    <cellStyle name="Standard 3 2 2 2 4 3" xfId="9973" xr:uid="{00000000-0005-0000-0000-000081270000}"/>
    <cellStyle name="Standard 3 2 2 2 4 3 2" xfId="9974" xr:uid="{00000000-0005-0000-0000-000082270000}"/>
    <cellStyle name="Standard 3 2 2 2 4 3 3" xfId="9975" xr:uid="{00000000-0005-0000-0000-000083270000}"/>
    <cellStyle name="Standard 3 2 2 2 4 4" xfId="9976" xr:uid="{00000000-0005-0000-0000-000084270000}"/>
    <cellStyle name="Standard 3 2 2 2 4 4 2" xfId="9977" xr:uid="{00000000-0005-0000-0000-000085270000}"/>
    <cellStyle name="Standard 3 2 2 2 4 4 3" xfId="9978" xr:uid="{00000000-0005-0000-0000-000086270000}"/>
    <cellStyle name="Standard 3 2 2 2 4 5" xfId="9979" xr:uid="{00000000-0005-0000-0000-000087270000}"/>
    <cellStyle name="Standard 3 2 2 2 4 5 2" xfId="9980" xr:uid="{00000000-0005-0000-0000-000088270000}"/>
    <cellStyle name="Standard 3 2 2 2 4 6" xfId="9981" xr:uid="{00000000-0005-0000-0000-000089270000}"/>
    <cellStyle name="Standard 3 2 2 2 4 7" xfId="9982" xr:uid="{00000000-0005-0000-0000-00008A270000}"/>
    <cellStyle name="Standard 3 2 2 2 4 8" xfId="9983" xr:uid="{00000000-0005-0000-0000-00008B270000}"/>
    <cellStyle name="Standard 3 2 2 2 5" xfId="9984" xr:uid="{00000000-0005-0000-0000-00008C270000}"/>
    <cellStyle name="Standard 3 2 2 2 5 2" xfId="9985" xr:uid="{00000000-0005-0000-0000-00008D270000}"/>
    <cellStyle name="Standard 3 2 2 2 5 2 2" xfId="9986" xr:uid="{00000000-0005-0000-0000-00008E270000}"/>
    <cellStyle name="Standard 3 2 2 2 5 2 3" xfId="9987" xr:uid="{00000000-0005-0000-0000-00008F270000}"/>
    <cellStyle name="Standard 3 2 2 2 5 3" xfId="9988" xr:uid="{00000000-0005-0000-0000-000090270000}"/>
    <cellStyle name="Standard 3 2 2 2 5 3 2" xfId="9989" xr:uid="{00000000-0005-0000-0000-000091270000}"/>
    <cellStyle name="Standard 3 2 2 2 5 3 3" xfId="9990" xr:uid="{00000000-0005-0000-0000-000092270000}"/>
    <cellStyle name="Standard 3 2 2 2 5 4" xfId="9991" xr:uid="{00000000-0005-0000-0000-000093270000}"/>
    <cellStyle name="Standard 3 2 2 2 5 4 2" xfId="9992" xr:uid="{00000000-0005-0000-0000-000094270000}"/>
    <cellStyle name="Standard 3 2 2 2 5 5" xfId="9993" xr:uid="{00000000-0005-0000-0000-000095270000}"/>
    <cellStyle name="Standard 3 2 2 2 5 6" xfId="9994" xr:uid="{00000000-0005-0000-0000-000096270000}"/>
    <cellStyle name="Standard 3 2 2 2 6" xfId="9995" xr:uid="{00000000-0005-0000-0000-000097270000}"/>
    <cellStyle name="Standard 3 2 2 2 6 2" xfId="9996" xr:uid="{00000000-0005-0000-0000-000098270000}"/>
    <cellStyle name="Standard 3 2 2 2 6 3" xfId="9997" xr:uid="{00000000-0005-0000-0000-000099270000}"/>
    <cellStyle name="Standard 3 2 2 2 7" xfId="9998" xr:uid="{00000000-0005-0000-0000-00009A270000}"/>
    <cellStyle name="Standard 3 2 2 2 7 2" xfId="9999" xr:uid="{00000000-0005-0000-0000-00009B270000}"/>
    <cellStyle name="Standard 3 2 2 2 7 3" xfId="10000" xr:uid="{00000000-0005-0000-0000-00009C270000}"/>
    <cellStyle name="Standard 3 2 2 2 8" xfId="10001" xr:uid="{00000000-0005-0000-0000-00009D270000}"/>
    <cellStyle name="Standard 3 2 2 2 8 2" xfId="10002" xr:uid="{00000000-0005-0000-0000-00009E270000}"/>
    <cellStyle name="Standard 3 2 2 2 9" xfId="10003" xr:uid="{00000000-0005-0000-0000-00009F270000}"/>
    <cellStyle name="Standard 3 2 2 3" xfId="555" xr:uid="{00000000-0005-0000-0000-0000A0270000}"/>
    <cellStyle name="Standard 3 2 2 3 2" xfId="556" xr:uid="{00000000-0005-0000-0000-0000A1270000}"/>
    <cellStyle name="Standard 3 2 2 3 2 2" xfId="10004" xr:uid="{00000000-0005-0000-0000-0000A2270000}"/>
    <cellStyle name="Standard 3 2 2 3 2 2 2" xfId="10005" xr:uid="{00000000-0005-0000-0000-0000A3270000}"/>
    <cellStyle name="Standard 3 2 2 3 2 2 2 2" xfId="10006" xr:uid="{00000000-0005-0000-0000-0000A4270000}"/>
    <cellStyle name="Standard 3 2 2 3 2 2 2 3" xfId="10007" xr:uid="{00000000-0005-0000-0000-0000A5270000}"/>
    <cellStyle name="Standard 3 2 2 3 2 2 3" xfId="10008" xr:uid="{00000000-0005-0000-0000-0000A6270000}"/>
    <cellStyle name="Standard 3 2 2 3 2 2 3 2" xfId="10009" xr:uid="{00000000-0005-0000-0000-0000A7270000}"/>
    <cellStyle name="Standard 3 2 2 3 2 2 3 3" xfId="10010" xr:uid="{00000000-0005-0000-0000-0000A8270000}"/>
    <cellStyle name="Standard 3 2 2 3 2 2 4" xfId="10011" xr:uid="{00000000-0005-0000-0000-0000A9270000}"/>
    <cellStyle name="Standard 3 2 2 3 2 2 4 2" xfId="10012" xr:uid="{00000000-0005-0000-0000-0000AA270000}"/>
    <cellStyle name="Standard 3 2 2 3 2 2 5" xfId="10013" xr:uid="{00000000-0005-0000-0000-0000AB270000}"/>
    <cellStyle name="Standard 3 2 2 3 2 2 6" xfId="10014" xr:uid="{00000000-0005-0000-0000-0000AC270000}"/>
    <cellStyle name="Standard 3 2 2 3 2 3" xfId="10015" xr:uid="{00000000-0005-0000-0000-0000AD270000}"/>
    <cellStyle name="Standard 3 2 2 3 2 3 2" xfId="10016" xr:uid="{00000000-0005-0000-0000-0000AE270000}"/>
    <cellStyle name="Standard 3 2 2 3 2 3 3" xfId="10017" xr:uid="{00000000-0005-0000-0000-0000AF270000}"/>
    <cellStyle name="Standard 3 2 2 3 2 4" xfId="10018" xr:uid="{00000000-0005-0000-0000-0000B0270000}"/>
    <cellStyle name="Standard 3 2 2 3 2 4 2" xfId="10019" xr:uid="{00000000-0005-0000-0000-0000B1270000}"/>
    <cellStyle name="Standard 3 2 2 3 2 4 3" xfId="10020" xr:uid="{00000000-0005-0000-0000-0000B2270000}"/>
    <cellStyle name="Standard 3 2 2 3 2 5" xfId="10021" xr:uid="{00000000-0005-0000-0000-0000B3270000}"/>
    <cellStyle name="Standard 3 2 2 3 2 5 2" xfId="10022" xr:uid="{00000000-0005-0000-0000-0000B4270000}"/>
    <cellStyle name="Standard 3 2 2 3 2 6" xfId="10023" xr:uid="{00000000-0005-0000-0000-0000B5270000}"/>
    <cellStyle name="Standard 3 2 2 3 2 7" xfId="10024" xr:uid="{00000000-0005-0000-0000-0000B6270000}"/>
    <cellStyle name="Standard 3 2 2 3 3" xfId="10025" xr:uid="{00000000-0005-0000-0000-0000B7270000}"/>
    <cellStyle name="Standard 3 2 2 3 3 2" xfId="10026" xr:uid="{00000000-0005-0000-0000-0000B8270000}"/>
    <cellStyle name="Standard 3 2 2 3 3 2 2" xfId="10027" xr:uid="{00000000-0005-0000-0000-0000B9270000}"/>
    <cellStyle name="Standard 3 2 2 3 3 2 3" xfId="10028" xr:uid="{00000000-0005-0000-0000-0000BA270000}"/>
    <cellStyle name="Standard 3 2 2 3 3 3" xfId="10029" xr:uid="{00000000-0005-0000-0000-0000BB270000}"/>
    <cellStyle name="Standard 3 2 2 3 3 3 2" xfId="10030" xr:uid="{00000000-0005-0000-0000-0000BC270000}"/>
    <cellStyle name="Standard 3 2 2 3 3 3 3" xfId="10031" xr:uid="{00000000-0005-0000-0000-0000BD270000}"/>
    <cellStyle name="Standard 3 2 2 3 3 4" xfId="10032" xr:uid="{00000000-0005-0000-0000-0000BE270000}"/>
    <cellStyle name="Standard 3 2 2 3 3 4 2" xfId="10033" xr:uid="{00000000-0005-0000-0000-0000BF270000}"/>
    <cellStyle name="Standard 3 2 2 3 3 5" xfId="10034" xr:uid="{00000000-0005-0000-0000-0000C0270000}"/>
    <cellStyle name="Standard 3 2 2 3 3 6" xfId="10035" xr:uid="{00000000-0005-0000-0000-0000C1270000}"/>
    <cellStyle name="Standard 3 2 2 3 4" xfId="10036" xr:uid="{00000000-0005-0000-0000-0000C2270000}"/>
    <cellStyle name="Standard 3 2 2 3 4 2" xfId="10037" xr:uid="{00000000-0005-0000-0000-0000C3270000}"/>
    <cellStyle name="Standard 3 2 2 3 4 3" xfId="10038" xr:uid="{00000000-0005-0000-0000-0000C4270000}"/>
    <cellStyle name="Standard 3 2 2 3 5" xfId="10039" xr:uid="{00000000-0005-0000-0000-0000C5270000}"/>
    <cellStyle name="Standard 3 2 2 3 5 2" xfId="10040" xr:uid="{00000000-0005-0000-0000-0000C6270000}"/>
    <cellStyle name="Standard 3 2 2 3 5 3" xfId="10041" xr:uid="{00000000-0005-0000-0000-0000C7270000}"/>
    <cellStyle name="Standard 3 2 2 3 6" xfId="10042" xr:uid="{00000000-0005-0000-0000-0000C8270000}"/>
    <cellStyle name="Standard 3 2 2 3 6 2" xfId="10043" xr:uid="{00000000-0005-0000-0000-0000C9270000}"/>
    <cellStyle name="Standard 3 2 2 3 7" xfId="10044" xr:uid="{00000000-0005-0000-0000-0000CA270000}"/>
    <cellStyle name="Standard 3 2 2 3 8" xfId="10045" xr:uid="{00000000-0005-0000-0000-0000CB270000}"/>
    <cellStyle name="Standard 3 2 2 3 9" xfId="10046" xr:uid="{00000000-0005-0000-0000-0000CC270000}"/>
    <cellStyle name="Standard 3 2 2 4" xfId="557" xr:uid="{00000000-0005-0000-0000-0000CD270000}"/>
    <cellStyle name="Standard 3 2 2 4 2" xfId="10047" xr:uid="{00000000-0005-0000-0000-0000CE270000}"/>
    <cellStyle name="Standard 3 2 2 4 2 2" xfId="10048" xr:uid="{00000000-0005-0000-0000-0000CF270000}"/>
    <cellStyle name="Standard 3 2 2 4 2 2 2" xfId="10049" xr:uid="{00000000-0005-0000-0000-0000D0270000}"/>
    <cellStyle name="Standard 3 2 2 4 2 2 2 2" xfId="10050" xr:uid="{00000000-0005-0000-0000-0000D1270000}"/>
    <cellStyle name="Standard 3 2 2 4 2 2 2 3" xfId="10051" xr:uid="{00000000-0005-0000-0000-0000D2270000}"/>
    <cellStyle name="Standard 3 2 2 4 2 2 3" xfId="10052" xr:uid="{00000000-0005-0000-0000-0000D3270000}"/>
    <cellStyle name="Standard 3 2 2 4 2 2 3 2" xfId="10053" xr:uid="{00000000-0005-0000-0000-0000D4270000}"/>
    <cellStyle name="Standard 3 2 2 4 2 2 3 3" xfId="10054" xr:uid="{00000000-0005-0000-0000-0000D5270000}"/>
    <cellStyle name="Standard 3 2 2 4 2 2 4" xfId="10055" xr:uid="{00000000-0005-0000-0000-0000D6270000}"/>
    <cellStyle name="Standard 3 2 2 4 2 2 4 2" xfId="10056" xr:uid="{00000000-0005-0000-0000-0000D7270000}"/>
    <cellStyle name="Standard 3 2 2 4 2 2 5" xfId="10057" xr:uid="{00000000-0005-0000-0000-0000D8270000}"/>
    <cellStyle name="Standard 3 2 2 4 2 2 6" xfId="10058" xr:uid="{00000000-0005-0000-0000-0000D9270000}"/>
    <cellStyle name="Standard 3 2 2 4 2 3" xfId="10059" xr:uid="{00000000-0005-0000-0000-0000DA270000}"/>
    <cellStyle name="Standard 3 2 2 4 2 3 2" xfId="10060" xr:uid="{00000000-0005-0000-0000-0000DB270000}"/>
    <cellStyle name="Standard 3 2 2 4 2 3 3" xfId="10061" xr:uid="{00000000-0005-0000-0000-0000DC270000}"/>
    <cellStyle name="Standard 3 2 2 4 2 4" xfId="10062" xr:uid="{00000000-0005-0000-0000-0000DD270000}"/>
    <cellStyle name="Standard 3 2 2 4 2 4 2" xfId="10063" xr:uid="{00000000-0005-0000-0000-0000DE270000}"/>
    <cellStyle name="Standard 3 2 2 4 2 4 3" xfId="10064" xr:uid="{00000000-0005-0000-0000-0000DF270000}"/>
    <cellStyle name="Standard 3 2 2 4 2 5" xfId="10065" xr:uid="{00000000-0005-0000-0000-0000E0270000}"/>
    <cellStyle name="Standard 3 2 2 4 2 5 2" xfId="10066" xr:uid="{00000000-0005-0000-0000-0000E1270000}"/>
    <cellStyle name="Standard 3 2 2 4 2 6" xfId="10067" xr:uid="{00000000-0005-0000-0000-0000E2270000}"/>
    <cellStyle name="Standard 3 2 2 4 2 7" xfId="10068" xr:uid="{00000000-0005-0000-0000-0000E3270000}"/>
    <cellStyle name="Standard 3 2 2 4 3" xfId="10069" xr:uid="{00000000-0005-0000-0000-0000E4270000}"/>
    <cellStyle name="Standard 3 2 2 4 3 2" xfId="10070" xr:uid="{00000000-0005-0000-0000-0000E5270000}"/>
    <cellStyle name="Standard 3 2 2 4 3 2 2" xfId="10071" xr:uid="{00000000-0005-0000-0000-0000E6270000}"/>
    <cellStyle name="Standard 3 2 2 4 3 2 3" xfId="10072" xr:uid="{00000000-0005-0000-0000-0000E7270000}"/>
    <cellStyle name="Standard 3 2 2 4 3 3" xfId="10073" xr:uid="{00000000-0005-0000-0000-0000E8270000}"/>
    <cellStyle name="Standard 3 2 2 4 3 3 2" xfId="10074" xr:uid="{00000000-0005-0000-0000-0000E9270000}"/>
    <cellStyle name="Standard 3 2 2 4 3 3 3" xfId="10075" xr:uid="{00000000-0005-0000-0000-0000EA270000}"/>
    <cellStyle name="Standard 3 2 2 4 3 4" xfId="10076" xr:uid="{00000000-0005-0000-0000-0000EB270000}"/>
    <cellStyle name="Standard 3 2 2 4 3 4 2" xfId="10077" xr:uid="{00000000-0005-0000-0000-0000EC270000}"/>
    <cellStyle name="Standard 3 2 2 4 3 5" xfId="10078" xr:uid="{00000000-0005-0000-0000-0000ED270000}"/>
    <cellStyle name="Standard 3 2 2 4 3 6" xfId="10079" xr:uid="{00000000-0005-0000-0000-0000EE270000}"/>
    <cellStyle name="Standard 3 2 2 4 4" xfId="10080" xr:uid="{00000000-0005-0000-0000-0000EF270000}"/>
    <cellStyle name="Standard 3 2 2 4 4 2" xfId="10081" xr:uid="{00000000-0005-0000-0000-0000F0270000}"/>
    <cellStyle name="Standard 3 2 2 4 4 3" xfId="10082" xr:uid="{00000000-0005-0000-0000-0000F1270000}"/>
    <cellStyle name="Standard 3 2 2 4 5" xfId="10083" xr:uid="{00000000-0005-0000-0000-0000F2270000}"/>
    <cellStyle name="Standard 3 2 2 4 5 2" xfId="10084" xr:uid="{00000000-0005-0000-0000-0000F3270000}"/>
    <cellStyle name="Standard 3 2 2 4 5 3" xfId="10085" xr:uid="{00000000-0005-0000-0000-0000F4270000}"/>
    <cellStyle name="Standard 3 2 2 4 6" xfId="10086" xr:uid="{00000000-0005-0000-0000-0000F5270000}"/>
    <cellStyle name="Standard 3 2 2 4 6 2" xfId="10087" xr:uid="{00000000-0005-0000-0000-0000F6270000}"/>
    <cellStyle name="Standard 3 2 2 4 7" xfId="10088" xr:uid="{00000000-0005-0000-0000-0000F7270000}"/>
    <cellStyle name="Standard 3 2 2 4 8" xfId="10089" xr:uid="{00000000-0005-0000-0000-0000F8270000}"/>
    <cellStyle name="Standard 3 2 2 4 9" xfId="10090" xr:uid="{00000000-0005-0000-0000-0000F9270000}"/>
    <cellStyle name="Standard 3 2 2 5" xfId="558" xr:uid="{00000000-0005-0000-0000-0000FA270000}"/>
    <cellStyle name="Standard 3 2 2 5 2" xfId="559" xr:uid="{00000000-0005-0000-0000-0000FB270000}"/>
    <cellStyle name="Standard 3 2 2 5 2 2" xfId="10091" xr:uid="{00000000-0005-0000-0000-0000FC270000}"/>
    <cellStyle name="Standard 3 2 2 5 2 2 2" xfId="10092" xr:uid="{00000000-0005-0000-0000-0000FD270000}"/>
    <cellStyle name="Standard 3 2 2 5 2 2 3" xfId="10093" xr:uid="{00000000-0005-0000-0000-0000FE270000}"/>
    <cellStyle name="Standard 3 2 2 5 2 3" xfId="10094" xr:uid="{00000000-0005-0000-0000-0000FF270000}"/>
    <cellStyle name="Standard 3 2 2 5 2 3 2" xfId="10095" xr:uid="{00000000-0005-0000-0000-000000280000}"/>
    <cellStyle name="Standard 3 2 2 5 2 3 3" xfId="10096" xr:uid="{00000000-0005-0000-0000-000001280000}"/>
    <cellStyle name="Standard 3 2 2 5 2 4" xfId="10097" xr:uid="{00000000-0005-0000-0000-000002280000}"/>
    <cellStyle name="Standard 3 2 2 5 2 4 2" xfId="10098" xr:uid="{00000000-0005-0000-0000-000003280000}"/>
    <cellStyle name="Standard 3 2 2 5 2 5" xfId="10099" xr:uid="{00000000-0005-0000-0000-000004280000}"/>
    <cellStyle name="Standard 3 2 2 5 2 6" xfId="10100" xr:uid="{00000000-0005-0000-0000-000005280000}"/>
    <cellStyle name="Standard 3 2 2 5 3" xfId="10101" xr:uid="{00000000-0005-0000-0000-000006280000}"/>
    <cellStyle name="Standard 3 2 2 5 3 2" xfId="10102" xr:uid="{00000000-0005-0000-0000-000007280000}"/>
    <cellStyle name="Standard 3 2 2 5 3 3" xfId="10103" xr:uid="{00000000-0005-0000-0000-000008280000}"/>
    <cellStyle name="Standard 3 2 2 5 4" xfId="10104" xr:uid="{00000000-0005-0000-0000-000009280000}"/>
    <cellStyle name="Standard 3 2 2 5 4 2" xfId="10105" xr:uid="{00000000-0005-0000-0000-00000A280000}"/>
    <cellStyle name="Standard 3 2 2 5 4 3" xfId="10106" xr:uid="{00000000-0005-0000-0000-00000B280000}"/>
    <cellStyle name="Standard 3 2 2 5 5" xfId="10107" xr:uid="{00000000-0005-0000-0000-00000C280000}"/>
    <cellStyle name="Standard 3 2 2 5 5 2" xfId="10108" xr:uid="{00000000-0005-0000-0000-00000D280000}"/>
    <cellStyle name="Standard 3 2 2 5 6" xfId="10109" xr:uid="{00000000-0005-0000-0000-00000E280000}"/>
    <cellStyle name="Standard 3 2 2 5 7" xfId="10110" xr:uid="{00000000-0005-0000-0000-00000F280000}"/>
    <cellStyle name="Standard 3 2 2 5 8" xfId="10111" xr:uid="{00000000-0005-0000-0000-000010280000}"/>
    <cellStyle name="Standard 3 2 2 6" xfId="10112" xr:uid="{00000000-0005-0000-0000-000011280000}"/>
    <cellStyle name="Standard 3 2 2 6 2" xfId="10113" xr:uid="{00000000-0005-0000-0000-000012280000}"/>
    <cellStyle name="Standard 3 2 2 6 2 2" xfId="10114" xr:uid="{00000000-0005-0000-0000-000013280000}"/>
    <cellStyle name="Standard 3 2 2 6 2 3" xfId="10115" xr:uid="{00000000-0005-0000-0000-000014280000}"/>
    <cellStyle name="Standard 3 2 2 6 3" xfId="10116" xr:uid="{00000000-0005-0000-0000-000015280000}"/>
    <cellStyle name="Standard 3 2 2 6 3 2" xfId="10117" xr:uid="{00000000-0005-0000-0000-000016280000}"/>
    <cellStyle name="Standard 3 2 2 6 3 3" xfId="10118" xr:uid="{00000000-0005-0000-0000-000017280000}"/>
    <cellStyle name="Standard 3 2 2 6 4" xfId="10119" xr:uid="{00000000-0005-0000-0000-000018280000}"/>
    <cellStyle name="Standard 3 2 2 6 4 2" xfId="10120" xr:uid="{00000000-0005-0000-0000-000019280000}"/>
    <cellStyle name="Standard 3 2 2 6 5" xfId="10121" xr:uid="{00000000-0005-0000-0000-00001A280000}"/>
    <cellStyle name="Standard 3 2 2 6 6" xfId="10122" xr:uid="{00000000-0005-0000-0000-00001B280000}"/>
    <cellStyle name="Standard 3 2 2 7" xfId="10123" xr:uid="{00000000-0005-0000-0000-00001C280000}"/>
    <cellStyle name="Standard 3 2 2 7 2" xfId="10124" xr:uid="{00000000-0005-0000-0000-00001D280000}"/>
    <cellStyle name="Standard 3 2 2 7 3" xfId="10125" xr:uid="{00000000-0005-0000-0000-00001E280000}"/>
    <cellStyle name="Standard 3 2 2 8" xfId="10126" xr:uid="{00000000-0005-0000-0000-00001F280000}"/>
    <cellStyle name="Standard 3 2 2 8 2" xfId="10127" xr:uid="{00000000-0005-0000-0000-000020280000}"/>
    <cellStyle name="Standard 3 2 2 8 3" xfId="10128" xr:uid="{00000000-0005-0000-0000-000021280000}"/>
    <cellStyle name="Standard 3 2 2 9" xfId="10129" xr:uid="{00000000-0005-0000-0000-000022280000}"/>
    <cellStyle name="Standard 3 2 2 9 2" xfId="10130" xr:uid="{00000000-0005-0000-0000-000023280000}"/>
    <cellStyle name="Standard 3 2 3" xfId="10131" xr:uid="{00000000-0005-0000-0000-000024280000}"/>
    <cellStyle name="Standard 3 2 3 2" xfId="10132" xr:uid="{00000000-0005-0000-0000-000025280000}"/>
    <cellStyle name="Standard 3 2 3 3" xfId="10133" xr:uid="{00000000-0005-0000-0000-000026280000}"/>
    <cellStyle name="Standard 3 2 3 4" xfId="10134" xr:uid="{00000000-0005-0000-0000-000027280000}"/>
    <cellStyle name="Standard 3 2 3 5" xfId="10135" xr:uid="{00000000-0005-0000-0000-000028280000}"/>
    <cellStyle name="Standard 3 2 4" xfId="10136" xr:uid="{00000000-0005-0000-0000-000029280000}"/>
    <cellStyle name="Standard 3 2 4 2" xfId="10137" xr:uid="{00000000-0005-0000-0000-00002A280000}"/>
    <cellStyle name="Standard 3 2 5" xfId="10138" xr:uid="{00000000-0005-0000-0000-00002B280000}"/>
    <cellStyle name="Standard 3 2 5 2" xfId="10139" xr:uid="{00000000-0005-0000-0000-00002C280000}"/>
    <cellStyle name="Standard 3 2 6" xfId="10140" xr:uid="{00000000-0005-0000-0000-00002D280000}"/>
    <cellStyle name="Standard 3 2 6 2" xfId="10141" xr:uid="{00000000-0005-0000-0000-00002E280000}"/>
    <cellStyle name="Standard 3 2 7" xfId="10142" xr:uid="{00000000-0005-0000-0000-00002F280000}"/>
    <cellStyle name="Standard 3 3" xfId="560" xr:uid="{00000000-0005-0000-0000-000030280000}"/>
    <cellStyle name="Standard 3 3 2" xfId="10143" xr:uid="{00000000-0005-0000-0000-000031280000}"/>
    <cellStyle name="Standard 3 3 2 2" xfId="10144" xr:uid="{00000000-0005-0000-0000-000032280000}"/>
    <cellStyle name="Standard 3 3 2 2 2" xfId="10145" xr:uid="{00000000-0005-0000-0000-000033280000}"/>
    <cellStyle name="Standard 3 3 2 3" xfId="10146" xr:uid="{00000000-0005-0000-0000-000034280000}"/>
    <cellStyle name="Standard 3 3 2 4" xfId="10147" xr:uid="{00000000-0005-0000-0000-000035280000}"/>
    <cellStyle name="Standard 3 3 2 5" xfId="10148" xr:uid="{00000000-0005-0000-0000-000036280000}"/>
    <cellStyle name="Standard 3 3 3" xfId="10149" xr:uid="{00000000-0005-0000-0000-000037280000}"/>
    <cellStyle name="Standard 3 3 3 2" xfId="10150" xr:uid="{00000000-0005-0000-0000-000038280000}"/>
    <cellStyle name="Standard 3 3 4" xfId="10151" xr:uid="{00000000-0005-0000-0000-000039280000}"/>
    <cellStyle name="Standard 3 3 4 2" xfId="10152" xr:uid="{00000000-0005-0000-0000-00003A280000}"/>
    <cellStyle name="Standard 3 3 5" xfId="10153" xr:uid="{00000000-0005-0000-0000-00003B280000}"/>
    <cellStyle name="Standard 3 3 6" xfId="10154" xr:uid="{00000000-0005-0000-0000-00003C280000}"/>
    <cellStyle name="Standard 3 3 7" xfId="10155" xr:uid="{00000000-0005-0000-0000-00003D280000}"/>
    <cellStyle name="Standard 3 3 8" xfId="10156" xr:uid="{00000000-0005-0000-0000-00003E280000}"/>
    <cellStyle name="Standard 3 3 9" xfId="33448" xr:uid="{00000000-0005-0000-0000-00003F280000}"/>
    <cellStyle name="Standard 3 4" xfId="561" xr:uid="{00000000-0005-0000-0000-000040280000}"/>
    <cellStyle name="Standard 3 4 2" xfId="10157" xr:uid="{00000000-0005-0000-0000-000041280000}"/>
    <cellStyle name="Standard 3 4 2 2" xfId="10158" xr:uid="{00000000-0005-0000-0000-000042280000}"/>
    <cellStyle name="Standard 3 4 2 2 2" xfId="33451" xr:uid="{00000000-0005-0000-0000-000043280000}"/>
    <cellStyle name="Standard 3 4 2 3" xfId="33450" xr:uid="{00000000-0005-0000-0000-000044280000}"/>
    <cellStyle name="Standard 3 4 3" xfId="10159" xr:uid="{00000000-0005-0000-0000-000045280000}"/>
    <cellStyle name="Standard 3 4 3 2" xfId="33452" xr:uid="{00000000-0005-0000-0000-000046280000}"/>
    <cellStyle name="Standard 3 4 4" xfId="10160" xr:uid="{00000000-0005-0000-0000-000047280000}"/>
    <cellStyle name="Standard 3 4 4 2" xfId="10161" xr:uid="{00000000-0005-0000-0000-000048280000}"/>
    <cellStyle name="Standard 3 4 4 3" xfId="10162" xr:uid="{00000000-0005-0000-0000-000049280000}"/>
    <cellStyle name="Standard 3 4 5" xfId="10163" xr:uid="{00000000-0005-0000-0000-00004A280000}"/>
    <cellStyle name="Standard 3 4 6" xfId="10164" xr:uid="{00000000-0005-0000-0000-00004B280000}"/>
    <cellStyle name="Standard 3 4 7" xfId="33449" xr:uid="{00000000-0005-0000-0000-00004C280000}"/>
    <cellStyle name="Standard 3 5" xfId="10165" xr:uid="{00000000-0005-0000-0000-00004D280000}"/>
    <cellStyle name="Standard 3 5 2" xfId="10166" xr:uid="{00000000-0005-0000-0000-00004E280000}"/>
    <cellStyle name="Standard 3 5 3" xfId="10167" xr:uid="{00000000-0005-0000-0000-00004F280000}"/>
    <cellStyle name="Standard 3 6" xfId="10168" xr:uid="{00000000-0005-0000-0000-000050280000}"/>
    <cellStyle name="Standard 3 6 10" xfId="10169" xr:uid="{00000000-0005-0000-0000-000051280000}"/>
    <cellStyle name="Standard 3 6 11" xfId="10170" xr:uid="{00000000-0005-0000-0000-000052280000}"/>
    <cellStyle name="Standard 3 6 12" xfId="10171" xr:uid="{00000000-0005-0000-0000-000053280000}"/>
    <cellStyle name="Standard 3 6 13" xfId="33453" xr:uid="{00000000-0005-0000-0000-000054280000}"/>
    <cellStyle name="Standard 3 6 2" xfId="10172" xr:uid="{00000000-0005-0000-0000-000055280000}"/>
    <cellStyle name="Standard 3 6 2 10" xfId="10173" xr:uid="{00000000-0005-0000-0000-000056280000}"/>
    <cellStyle name="Standard 3 6 2 11" xfId="10174" xr:uid="{00000000-0005-0000-0000-000057280000}"/>
    <cellStyle name="Standard 3 6 2 2" xfId="10175" xr:uid="{00000000-0005-0000-0000-000058280000}"/>
    <cellStyle name="Standard 3 6 2 2 2" xfId="10176" xr:uid="{00000000-0005-0000-0000-000059280000}"/>
    <cellStyle name="Standard 3 6 2 2 2 2" xfId="10177" xr:uid="{00000000-0005-0000-0000-00005A280000}"/>
    <cellStyle name="Standard 3 6 2 2 2 2 2" xfId="10178" xr:uid="{00000000-0005-0000-0000-00005B280000}"/>
    <cellStyle name="Standard 3 6 2 2 2 2 2 2" xfId="10179" xr:uid="{00000000-0005-0000-0000-00005C280000}"/>
    <cellStyle name="Standard 3 6 2 2 2 2 2 3" xfId="10180" xr:uid="{00000000-0005-0000-0000-00005D280000}"/>
    <cellStyle name="Standard 3 6 2 2 2 2 3" xfId="10181" xr:uid="{00000000-0005-0000-0000-00005E280000}"/>
    <cellStyle name="Standard 3 6 2 2 2 2 3 2" xfId="10182" xr:uid="{00000000-0005-0000-0000-00005F280000}"/>
    <cellStyle name="Standard 3 6 2 2 2 2 3 3" xfId="10183" xr:uid="{00000000-0005-0000-0000-000060280000}"/>
    <cellStyle name="Standard 3 6 2 2 2 2 4" xfId="10184" xr:uid="{00000000-0005-0000-0000-000061280000}"/>
    <cellStyle name="Standard 3 6 2 2 2 2 4 2" xfId="10185" xr:uid="{00000000-0005-0000-0000-000062280000}"/>
    <cellStyle name="Standard 3 6 2 2 2 2 5" xfId="10186" xr:uid="{00000000-0005-0000-0000-000063280000}"/>
    <cellStyle name="Standard 3 6 2 2 2 2 6" xfId="10187" xr:uid="{00000000-0005-0000-0000-000064280000}"/>
    <cellStyle name="Standard 3 6 2 2 2 3" xfId="10188" xr:uid="{00000000-0005-0000-0000-000065280000}"/>
    <cellStyle name="Standard 3 6 2 2 2 3 2" xfId="10189" xr:uid="{00000000-0005-0000-0000-000066280000}"/>
    <cellStyle name="Standard 3 6 2 2 2 3 3" xfId="10190" xr:uid="{00000000-0005-0000-0000-000067280000}"/>
    <cellStyle name="Standard 3 6 2 2 2 4" xfId="10191" xr:uid="{00000000-0005-0000-0000-000068280000}"/>
    <cellStyle name="Standard 3 6 2 2 2 4 2" xfId="10192" xr:uid="{00000000-0005-0000-0000-000069280000}"/>
    <cellStyle name="Standard 3 6 2 2 2 4 3" xfId="10193" xr:uid="{00000000-0005-0000-0000-00006A280000}"/>
    <cellStyle name="Standard 3 6 2 2 2 5" xfId="10194" xr:uid="{00000000-0005-0000-0000-00006B280000}"/>
    <cellStyle name="Standard 3 6 2 2 2 5 2" xfId="10195" xr:uid="{00000000-0005-0000-0000-00006C280000}"/>
    <cellStyle name="Standard 3 6 2 2 2 6" xfId="10196" xr:uid="{00000000-0005-0000-0000-00006D280000}"/>
    <cellStyle name="Standard 3 6 2 2 2 7" xfId="10197" xr:uid="{00000000-0005-0000-0000-00006E280000}"/>
    <cellStyle name="Standard 3 6 2 2 3" xfId="10198" xr:uid="{00000000-0005-0000-0000-00006F280000}"/>
    <cellStyle name="Standard 3 6 2 2 3 2" xfId="10199" xr:uid="{00000000-0005-0000-0000-000070280000}"/>
    <cellStyle name="Standard 3 6 2 2 3 2 2" xfId="10200" xr:uid="{00000000-0005-0000-0000-000071280000}"/>
    <cellStyle name="Standard 3 6 2 2 3 2 3" xfId="10201" xr:uid="{00000000-0005-0000-0000-000072280000}"/>
    <cellStyle name="Standard 3 6 2 2 3 3" xfId="10202" xr:uid="{00000000-0005-0000-0000-000073280000}"/>
    <cellStyle name="Standard 3 6 2 2 3 3 2" xfId="10203" xr:uid="{00000000-0005-0000-0000-000074280000}"/>
    <cellStyle name="Standard 3 6 2 2 3 3 3" xfId="10204" xr:uid="{00000000-0005-0000-0000-000075280000}"/>
    <cellStyle name="Standard 3 6 2 2 3 4" xfId="10205" xr:uid="{00000000-0005-0000-0000-000076280000}"/>
    <cellStyle name="Standard 3 6 2 2 3 4 2" xfId="10206" xr:uid="{00000000-0005-0000-0000-000077280000}"/>
    <cellStyle name="Standard 3 6 2 2 3 5" xfId="10207" xr:uid="{00000000-0005-0000-0000-000078280000}"/>
    <cellStyle name="Standard 3 6 2 2 3 6" xfId="10208" xr:uid="{00000000-0005-0000-0000-000079280000}"/>
    <cellStyle name="Standard 3 6 2 2 4" xfId="10209" xr:uid="{00000000-0005-0000-0000-00007A280000}"/>
    <cellStyle name="Standard 3 6 2 2 4 2" xfId="10210" xr:uid="{00000000-0005-0000-0000-00007B280000}"/>
    <cellStyle name="Standard 3 6 2 2 4 3" xfId="10211" xr:uid="{00000000-0005-0000-0000-00007C280000}"/>
    <cellStyle name="Standard 3 6 2 2 5" xfId="10212" xr:uid="{00000000-0005-0000-0000-00007D280000}"/>
    <cellStyle name="Standard 3 6 2 2 5 2" xfId="10213" xr:uid="{00000000-0005-0000-0000-00007E280000}"/>
    <cellStyle name="Standard 3 6 2 2 5 3" xfId="10214" xr:uid="{00000000-0005-0000-0000-00007F280000}"/>
    <cellStyle name="Standard 3 6 2 2 6" xfId="10215" xr:uid="{00000000-0005-0000-0000-000080280000}"/>
    <cellStyle name="Standard 3 6 2 2 6 2" xfId="10216" xr:uid="{00000000-0005-0000-0000-000081280000}"/>
    <cellStyle name="Standard 3 6 2 2 7" xfId="10217" xr:uid="{00000000-0005-0000-0000-000082280000}"/>
    <cellStyle name="Standard 3 6 2 2 8" xfId="10218" xr:uid="{00000000-0005-0000-0000-000083280000}"/>
    <cellStyle name="Standard 3 6 2 3" xfId="10219" xr:uid="{00000000-0005-0000-0000-000084280000}"/>
    <cellStyle name="Standard 3 6 2 3 2" xfId="10220" xr:uid="{00000000-0005-0000-0000-000085280000}"/>
    <cellStyle name="Standard 3 6 2 3 2 2" xfId="10221" xr:uid="{00000000-0005-0000-0000-000086280000}"/>
    <cellStyle name="Standard 3 6 2 3 2 2 2" xfId="10222" xr:uid="{00000000-0005-0000-0000-000087280000}"/>
    <cellStyle name="Standard 3 6 2 3 2 2 2 2" xfId="10223" xr:uid="{00000000-0005-0000-0000-000088280000}"/>
    <cellStyle name="Standard 3 6 2 3 2 2 2 3" xfId="10224" xr:uid="{00000000-0005-0000-0000-000089280000}"/>
    <cellStyle name="Standard 3 6 2 3 2 2 3" xfId="10225" xr:uid="{00000000-0005-0000-0000-00008A280000}"/>
    <cellStyle name="Standard 3 6 2 3 2 2 3 2" xfId="10226" xr:uid="{00000000-0005-0000-0000-00008B280000}"/>
    <cellStyle name="Standard 3 6 2 3 2 2 3 3" xfId="10227" xr:uid="{00000000-0005-0000-0000-00008C280000}"/>
    <cellStyle name="Standard 3 6 2 3 2 2 4" xfId="10228" xr:uid="{00000000-0005-0000-0000-00008D280000}"/>
    <cellStyle name="Standard 3 6 2 3 2 2 4 2" xfId="10229" xr:uid="{00000000-0005-0000-0000-00008E280000}"/>
    <cellStyle name="Standard 3 6 2 3 2 2 5" xfId="10230" xr:uid="{00000000-0005-0000-0000-00008F280000}"/>
    <cellStyle name="Standard 3 6 2 3 2 2 6" xfId="10231" xr:uid="{00000000-0005-0000-0000-000090280000}"/>
    <cellStyle name="Standard 3 6 2 3 2 3" xfId="10232" xr:uid="{00000000-0005-0000-0000-000091280000}"/>
    <cellStyle name="Standard 3 6 2 3 2 3 2" xfId="10233" xr:uid="{00000000-0005-0000-0000-000092280000}"/>
    <cellStyle name="Standard 3 6 2 3 2 3 3" xfId="10234" xr:uid="{00000000-0005-0000-0000-000093280000}"/>
    <cellStyle name="Standard 3 6 2 3 2 4" xfId="10235" xr:uid="{00000000-0005-0000-0000-000094280000}"/>
    <cellStyle name="Standard 3 6 2 3 2 4 2" xfId="10236" xr:uid="{00000000-0005-0000-0000-000095280000}"/>
    <cellStyle name="Standard 3 6 2 3 2 4 3" xfId="10237" xr:uid="{00000000-0005-0000-0000-000096280000}"/>
    <cellStyle name="Standard 3 6 2 3 2 5" xfId="10238" xr:uid="{00000000-0005-0000-0000-000097280000}"/>
    <cellStyle name="Standard 3 6 2 3 2 5 2" xfId="10239" xr:uid="{00000000-0005-0000-0000-000098280000}"/>
    <cellStyle name="Standard 3 6 2 3 2 6" xfId="10240" xr:uid="{00000000-0005-0000-0000-000099280000}"/>
    <cellStyle name="Standard 3 6 2 3 2 7" xfId="10241" xr:uid="{00000000-0005-0000-0000-00009A280000}"/>
    <cellStyle name="Standard 3 6 2 3 3" xfId="10242" xr:uid="{00000000-0005-0000-0000-00009B280000}"/>
    <cellStyle name="Standard 3 6 2 3 3 2" xfId="10243" xr:uid="{00000000-0005-0000-0000-00009C280000}"/>
    <cellStyle name="Standard 3 6 2 3 3 2 2" xfId="10244" xr:uid="{00000000-0005-0000-0000-00009D280000}"/>
    <cellStyle name="Standard 3 6 2 3 3 2 3" xfId="10245" xr:uid="{00000000-0005-0000-0000-00009E280000}"/>
    <cellStyle name="Standard 3 6 2 3 3 3" xfId="10246" xr:uid="{00000000-0005-0000-0000-00009F280000}"/>
    <cellStyle name="Standard 3 6 2 3 3 3 2" xfId="10247" xr:uid="{00000000-0005-0000-0000-0000A0280000}"/>
    <cellStyle name="Standard 3 6 2 3 3 3 3" xfId="10248" xr:uid="{00000000-0005-0000-0000-0000A1280000}"/>
    <cellStyle name="Standard 3 6 2 3 3 4" xfId="10249" xr:uid="{00000000-0005-0000-0000-0000A2280000}"/>
    <cellStyle name="Standard 3 6 2 3 3 4 2" xfId="10250" xr:uid="{00000000-0005-0000-0000-0000A3280000}"/>
    <cellStyle name="Standard 3 6 2 3 3 5" xfId="10251" xr:uid="{00000000-0005-0000-0000-0000A4280000}"/>
    <cellStyle name="Standard 3 6 2 3 3 6" xfId="10252" xr:uid="{00000000-0005-0000-0000-0000A5280000}"/>
    <cellStyle name="Standard 3 6 2 3 4" xfId="10253" xr:uid="{00000000-0005-0000-0000-0000A6280000}"/>
    <cellStyle name="Standard 3 6 2 3 4 2" xfId="10254" xr:uid="{00000000-0005-0000-0000-0000A7280000}"/>
    <cellStyle name="Standard 3 6 2 3 4 3" xfId="10255" xr:uid="{00000000-0005-0000-0000-0000A8280000}"/>
    <cellStyle name="Standard 3 6 2 3 5" xfId="10256" xr:uid="{00000000-0005-0000-0000-0000A9280000}"/>
    <cellStyle name="Standard 3 6 2 3 5 2" xfId="10257" xr:uid="{00000000-0005-0000-0000-0000AA280000}"/>
    <cellStyle name="Standard 3 6 2 3 5 3" xfId="10258" xr:uid="{00000000-0005-0000-0000-0000AB280000}"/>
    <cellStyle name="Standard 3 6 2 3 6" xfId="10259" xr:uid="{00000000-0005-0000-0000-0000AC280000}"/>
    <cellStyle name="Standard 3 6 2 3 6 2" xfId="10260" xr:uid="{00000000-0005-0000-0000-0000AD280000}"/>
    <cellStyle name="Standard 3 6 2 3 7" xfId="10261" xr:uid="{00000000-0005-0000-0000-0000AE280000}"/>
    <cellStyle name="Standard 3 6 2 3 8" xfId="10262" xr:uid="{00000000-0005-0000-0000-0000AF280000}"/>
    <cellStyle name="Standard 3 6 2 4" xfId="10263" xr:uid="{00000000-0005-0000-0000-0000B0280000}"/>
    <cellStyle name="Standard 3 6 2 4 2" xfId="10264" xr:uid="{00000000-0005-0000-0000-0000B1280000}"/>
    <cellStyle name="Standard 3 6 2 4 2 2" xfId="10265" xr:uid="{00000000-0005-0000-0000-0000B2280000}"/>
    <cellStyle name="Standard 3 6 2 4 2 2 2" xfId="10266" xr:uid="{00000000-0005-0000-0000-0000B3280000}"/>
    <cellStyle name="Standard 3 6 2 4 2 2 3" xfId="10267" xr:uid="{00000000-0005-0000-0000-0000B4280000}"/>
    <cellStyle name="Standard 3 6 2 4 2 3" xfId="10268" xr:uid="{00000000-0005-0000-0000-0000B5280000}"/>
    <cellStyle name="Standard 3 6 2 4 2 3 2" xfId="10269" xr:uid="{00000000-0005-0000-0000-0000B6280000}"/>
    <cellStyle name="Standard 3 6 2 4 2 3 3" xfId="10270" xr:uid="{00000000-0005-0000-0000-0000B7280000}"/>
    <cellStyle name="Standard 3 6 2 4 2 4" xfId="10271" xr:uid="{00000000-0005-0000-0000-0000B8280000}"/>
    <cellStyle name="Standard 3 6 2 4 2 4 2" xfId="10272" xr:uid="{00000000-0005-0000-0000-0000B9280000}"/>
    <cellStyle name="Standard 3 6 2 4 2 5" xfId="10273" xr:uid="{00000000-0005-0000-0000-0000BA280000}"/>
    <cellStyle name="Standard 3 6 2 4 2 6" xfId="10274" xr:uid="{00000000-0005-0000-0000-0000BB280000}"/>
    <cellStyle name="Standard 3 6 2 4 3" xfId="10275" xr:uid="{00000000-0005-0000-0000-0000BC280000}"/>
    <cellStyle name="Standard 3 6 2 4 3 2" xfId="10276" xr:uid="{00000000-0005-0000-0000-0000BD280000}"/>
    <cellStyle name="Standard 3 6 2 4 3 3" xfId="10277" xr:uid="{00000000-0005-0000-0000-0000BE280000}"/>
    <cellStyle name="Standard 3 6 2 4 4" xfId="10278" xr:uid="{00000000-0005-0000-0000-0000BF280000}"/>
    <cellStyle name="Standard 3 6 2 4 4 2" xfId="10279" xr:uid="{00000000-0005-0000-0000-0000C0280000}"/>
    <cellStyle name="Standard 3 6 2 4 4 3" xfId="10280" xr:uid="{00000000-0005-0000-0000-0000C1280000}"/>
    <cellStyle name="Standard 3 6 2 4 5" xfId="10281" xr:uid="{00000000-0005-0000-0000-0000C2280000}"/>
    <cellStyle name="Standard 3 6 2 4 5 2" xfId="10282" xr:uid="{00000000-0005-0000-0000-0000C3280000}"/>
    <cellStyle name="Standard 3 6 2 4 6" xfId="10283" xr:uid="{00000000-0005-0000-0000-0000C4280000}"/>
    <cellStyle name="Standard 3 6 2 4 7" xfId="10284" xr:uid="{00000000-0005-0000-0000-0000C5280000}"/>
    <cellStyle name="Standard 3 6 2 5" xfId="10285" xr:uid="{00000000-0005-0000-0000-0000C6280000}"/>
    <cellStyle name="Standard 3 6 2 5 2" xfId="10286" xr:uid="{00000000-0005-0000-0000-0000C7280000}"/>
    <cellStyle name="Standard 3 6 2 5 2 2" xfId="10287" xr:uid="{00000000-0005-0000-0000-0000C8280000}"/>
    <cellStyle name="Standard 3 6 2 5 2 3" xfId="10288" xr:uid="{00000000-0005-0000-0000-0000C9280000}"/>
    <cellStyle name="Standard 3 6 2 5 3" xfId="10289" xr:uid="{00000000-0005-0000-0000-0000CA280000}"/>
    <cellStyle name="Standard 3 6 2 5 3 2" xfId="10290" xr:uid="{00000000-0005-0000-0000-0000CB280000}"/>
    <cellStyle name="Standard 3 6 2 5 3 3" xfId="10291" xr:uid="{00000000-0005-0000-0000-0000CC280000}"/>
    <cellStyle name="Standard 3 6 2 5 4" xfId="10292" xr:uid="{00000000-0005-0000-0000-0000CD280000}"/>
    <cellStyle name="Standard 3 6 2 5 4 2" xfId="10293" xr:uid="{00000000-0005-0000-0000-0000CE280000}"/>
    <cellStyle name="Standard 3 6 2 5 5" xfId="10294" xr:uid="{00000000-0005-0000-0000-0000CF280000}"/>
    <cellStyle name="Standard 3 6 2 5 6" xfId="10295" xr:uid="{00000000-0005-0000-0000-0000D0280000}"/>
    <cellStyle name="Standard 3 6 2 6" xfId="10296" xr:uid="{00000000-0005-0000-0000-0000D1280000}"/>
    <cellStyle name="Standard 3 6 2 6 2" xfId="10297" xr:uid="{00000000-0005-0000-0000-0000D2280000}"/>
    <cellStyle name="Standard 3 6 2 6 3" xfId="10298" xr:uid="{00000000-0005-0000-0000-0000D3280000}"/>
    <cellStyle name="Standard 3 6 2 7" xfId="10299" xr:uid="{00000000-0005-0000-0000-0000D4280000}"/>
    <cellStyle name="Standard 3 6 2 7 2" xfId="10300" xr:uid="{00000000-0005-0000-0000-0000D5280000}"/>
    <cellStyle name="Standard 3 6 2 7 3" xfId="10301" xr:uid="{00000000-0005-0000-0000-0000D6280000}"/>
    <cellStyle name="Standard 3 6 2 8" xfId="10302" xr:uid="{00000000-0005-0000-0000-0000D7280000}"/>
    <cellStyle name="Standard 3 6 2 8 2" xfId="10303" xr:uid="{00000000-0005-0000-0000-0000D8280000}"/>
    <cellStyle name="Standard 3 6 2 9" xfId="10304" xr:uid="{00000000-0005-0000-0000-0000D9280000}"/>
    <cellStyle name="Standard 3 6 3" xfId="10305" xr:uid="{00000000-0005-0000-0000-0000DA280000}"/>
    <cellStyle name="Standard 3 6 3 2" xfId="10306" xr:uid="{00000000-0005-0000-0000-0000DB280000}"/>
    <cellStyle name="Standard 3 6 3 2 2" xfId="10307" xr:uid="{00000000-0005-0000-0000-0000DC280000}"/>
    <cellStyle name="Standard 3 6 3 2 2 2" xfId="10308" xr:uid="{00000000-0005-0000-0000-0000DD280000}"/>
    <cellStyle name="Standard 3 6 3 2 2 2 2" xfId="10309" xr:uid="{00000000-0005-0000-0000-0000DE280000}"/>
    <cellStyle name="Standard 3 6 3 2 2 2 3" xfId="10310" xr:uid="{00000000-0005-0000-0000-0000DF280000}"/>
    <cellStyle name="Standard 3 6 3 2 2 3" xfId="10311" xr:uid="{00000000-0005-0000-0000-0000E0280000}"/>
    <cellStyle name="Standard 3 6 3 2 2 3 2" xfId="10312" xr:uid="{00000000-0005-0000-0000-0000E1280000}"/>
    <cellStyle name="Standard 3 6 3 2 2 3 3" xfId="10313" xr:uid="{00000000-0005-0000-0000-0000E2280000}"/>
    <cellStyle name="Standard 3 6 3 2 2 4" xfId="10314" xr:uid="{00000000-0005-0000-0000-0000E3280000}"/>
    <cellStyle name="Standard 3 6 3 2 2 4 2" xfId="10315" xr:uid="{00000000-0005-0000-0000-0000E4280000}"/>
    <cellStyle name="Standard 3 6 3 2 2 5" xfId="10316" xr:uid="{00000000-0005-0000-0000-0000E5280000}"/>
    <cellStyle name="Standard 3 6 3 2 2 6" xfId="10317" xr:uid="{00000000-0005-0000-0000-0000E6280000}"/>
    <cellStyle name="Standard 3 6 3 2 3" xfId="10318" xr:uid="{00000000-0005-0000-0000-0000E7280000}"/>
    <cellStyle name="Standard 3 6 3 2 3 2" xfId="10319" xr:uid="{00000000-0005-0000-0000-0000E8280000}"/>
    <cellStyle name="Standard 3 6 3 2 3 3" xfId="10320" xr:uid="{00000000-0005-0000-0000-0000E9280000}"/>
    <cellStyle name="Standard 3 6 3 2 4" xfId="10321" xr:uid="{00000000-0005-0000-0000-0000EA280000}"/>
    <cellStyle name="Standard 3 6 3 2 4 2" xfId="10322" xr:uid="{00000000-0005-0000-0000-0000EB280000}"/>
    <cellStyle name="Standard 3 6 3 2 4 3" xfId="10323" xr:uid="{00000000-0005-0000-0000-0000EC280000}"/>
    <cellStyle name="Standard 3 6 3 2 5" xfId="10324" xr:uid="{00000000-0005-0000-0000-0000ED280000}"/>
    <cellStyle name="Standard 3 6 3 2 5 2" xfId="10325" xr:uid="{00000000-0005-0000-0000-0000EE280000}"/>
    <cellStyle name="Standard 3 6 3 2 6" xfId="10326" xr:uid="{00000000-0005-0000-0000-0000EF280000}"/>
    <cellStyle name="Standard 3 6 3 2 7" xfId="10327" xr:uid="{00000000-0005-0000-0000-0000F0280000}"/>
    <cellStyle name="Standard 3 6 3 3" xfId="10328" xr:uid="{00000000-0005-0000-0000-0000F1280000}"/>
    <cellStyle name="Standard 3 6 3 3 2" xfId="10329" xr:uid="{00000000-0005-0000-0000-0000F2280000}"/>
    <cellStyle name="Standard 3 6 3 3 2 2" xfId="10330" xr:uid="{00000000-0005-0000-0000-0000F3280000}"/>
    <cellStyle name="Standard 3 6 3 3 2 3" xfId="10331" xr:uid="{00000000-0005-0000-0000-0000F4280000}"/>
    <cellStyle name="Standard 3 6 3 3 3" xfId="10332" xr:uid="{00000000-0005-0000-0000-0000F5280000}"/>
    <cellStyle name="Standard 3 6 3 3 3 2" xfId="10333" xr:uid="{00000000-0005-0000-0000-0000F6280000}"/>
    <cellStyle name="Standard 3 6 3 3 3 3" xfId="10334" xr:uid="{00000000-0005-0000-0000-0000F7280000}"/>
    <cellStyle name="Standard 3 6 3 3 4" xfId="10335" xr:uid="{00000000-0005-0000-0000-0000F8280000}"/>
    <cellStyle name="Standard 3 6 3 3 4 2" xfId="10336" xr:uid="{00000000-0005-0000-0000-0000F9280000}"/>
    <cellStyle name="Standard 3 6 3 3 5" xfId="10337" xr:uid="{00000000-0005-0000-0000-0000FA280000}"/>
    <cellStyle name="Standard 3 6 3 3 6" xfId="10338" xr:uid="{00000000-0005-0000-0000-0000FB280000}"/>
    <cellStyle name="Standard 3 6 3 4" xfId="10339" xr:uid="{00000000-0005-0000-0000-0000FC280000}"/>
    <cellStyle name="Standard 3 6 3 4 2" xfId="10340" xr:uid="{00000000-0005-0000-0000-0000FD280000}"/>
    <cellStyle name="Standard 3 6 3 4 3" xfId="10341" xr:uid="{00000000-0005-0000-0000-0000FE280000}"/>
    <cellStyle name="Standard 3 6 3 5" xfId="10342" xr:uid="{00000000-0005-0000-0000-0000FF280000}"/>
    <cellStyle name="Standard 3 6 3 5 2" xfId="10343" xr:uid="{00000000-0005-0000-0000-000000290000}"/>
    <cellStyle name="Standard 3 6 3 5 3" xfId="10344" xr:uid="{00000000-0005-0000-0000-000001290000}"/>
    <cellStyle name="Standard 3 6 3 6" xfId="10345" xr:uid="{00000000-0005-0000-0000-000002290000}"/>
    <cellStyle name="Standard 3 6 3 6 2" xfId="10346" xr:uid="{00000000-0005-0000-0000-000003290000}"/>
    <cellStyle name="Standard 3 6 3 7" xfId="10347" xr:uid="{00000000-0005-0000-0000-000004290000}"/>
    <cellStyle name="Standard 3 6 3 8" xfId="10348" xr:uid="{00000000-0005-0000-0000-000005290000}"/>
    <cellStyle name="Standard 3 6 4" xfId="10349" xr:uid="{00000000-0005-0000-0000-000006290000}"/>
    <cellStyle name="Standard 3 6 4 2" xfId="10350" xr:uid="{00000000-0005-0000-0000-000007290000}"/>
    <cellStyle name="Standard 3 6 4 2 2" xfId="10351" xr:uid="{00000000-0005-0000-0000-000008290000}"/>
    <cellStyle name="Standard 3 6 4 2 2 2" xfId="10352" xr:uid="{00000000-0005-0000-0000-000009290000}"/>
    <cellStyle name="Standard 3 6 4 2 2 2 2" xfId="10353" xr:uid="{00000000-0005-0000-0000-00000A290000}"/>
    <cellStyle name="Standard 3 6 4 2 2 2 3" xfId="10354" xr:uid="{00000000-0005-0000-0000-00000B290000}"/>
    <cellStyle name="Standard 3 6 4 2 2 3" xfId="10355" xr:uid="{00000000-0005-0000-0000-00000C290000}"/>
    <cellStyle name="Standard 3 6 4 2 2 3 2" xfId="10356" xr:uid="{00000000-0005-0000-0000-00000D290000}"/>
    <cellStyle name="Standard 3 6 4 2 2 3 3" xfId="10357" xr:uid="{00000000-0005-0000-0000-00000E290000}"/>
    <cellStyle name="Standard 3 6 4 2 2 4" xfId="10358" xr:uid="{00000000-0005-0000-0000-00000F290000}"/>
    <cellStyle name="Standard 3 6 4 2 2 4 2" xfId="10359" xr:uid="{00000000-0005-0000-0000-000010290000}"/>
    <cellStyle name="Standard 3 6 4 2 2 5" xfId="10360" xr:uid="{00000000-0005-0000-0000-000011290000}"/>
    <cellStyle name="Standard 3 6 4 2 2 6" xfId="10361" xr:uid="{00000000-0005-0000-0000-000012290000}"/>
    <cellStyle name="Standard 3 6 4 2 3" xfId="10362" xr:uid="{00000000-0005-0000-0000-000013290000}"/>
    <cellStyle name="Standard 3 6 4 2 3 2" xfId="10363" xr:uid="{00000000-0005-0000-0000-000014290000}"/>
    <cellStyle name="Standard 3 6 4 2 3 3" xfId="10364" xr:uid="{00000000-0005-0000-0000-000015290000}"/>
    <cellStyle name="Standard 3 6 4 2 4" xfId="10365" xr:uid="{00000000-0005-0000-0000-000016290000}"/>
    <cellStyle name="Standard 3 6 4 2 4 2" xfId="10366" xr:uid="{00000000-0005-0000-0000-000017290000}"/>
    <cellStyle name="Standard 3 6 4 2 4 3" xfId="10367" xr:uid="{00000000-0005-0000-0000-000018290000}"/>
    <cellStyle name="Standard 3 6 4 2 5" xfId="10368" xr:uid="{00000000-0005-0000-0000-000019290000}"/>
    <cellStyle name="Standard 3 6 4 2 5 2" xfId="10369" xr:uid="{00000000-0005-0000-0000-00001A290000}"/>
    <cellStyle name="Standard 3 6 4 2 6" xfId="10370" xr:uid="{00000000-0005-0000-0000-00001B290000}"/>
    <cellStyle name="Standard 3 6 4 2 7" xfId="10371" xr:uid="{00000000-0005-0000-0000-00001C290000}"/>
    <cellStyle name="Standard 3 6 4 3" xfId="10372" xr:uid="{00000000-0005-0000-0000-00001D290000}"/>
    <cellStyle name="Standard 3 6 4 3 2" xfId="10373" xr:uid="{00000000-0005-0000-0000-00001E290000}"/>
    <cellStyle name="Standard 3 6 4 3 2 2" xfId="10374" xr:uid="{00000000-0005-0000-0000-00001F290000}"/>
    <cellStyle name="Standard 3 6 4 3 2 3" xfId="10375" xr:uid="{00000000-0005-0000-0000-000020290000}"/>
    <cellStyle name="Standard 3 6 4 3 3" xfId="10376" xr:uid="{00000000-0005-0000-0000-000021290000}"/>
    <cellStyle name="Standard 3 6 4 3 3 2" xfId="10377" xr:uid="{00000000-0005-0000-0000-000022290000}"/>
    <cellStyle name="Standard 3 6 4 3 3 3" xfId="10378" xr:uid="{00000000-0005-0000-0000-000023290000}"/>
    <cellStyle name="Standard 3 6 4 3 4" xfId="10379" xr:uid="{00000000-0005-0000-0000-000024290000}"/>
    <cellStyle name="Standard 3 6 4 3 4 2" xfId="10380" xr:uid="{00000000-0005-0000-0000-000025290000}"/>
    <cellStyle name="Standard 3 6 4 3 5" xfId="10381" xr:uid="{00000000-0005-0000-0000-000026290000}"/>
    <cellStyle name="Standard 3 6 4 3 6" xfId="10382" xr:uid="{00000000-0005-0000-0000-000027290000}"/>
    <cellStyle name="Standard 3 6 4 4" xfId="10383" xr:uid="{00000000-0005-0000-0000-000028290000}"/>
    <cellStyle name="Standard 3 6 4 4 2" xfId="10384" xr:uid="{00000000-0005-0000-0000-000029290000}"/>
    <cellStyle name="Standard 3 6 4 4 3" xfId="10385" xr:uid="{00000000-0005-0000-0000-00002A290000}"/>
    <cellStyle name="Standard 3 6 4 5" xfId="10386" xr:uid="{00000000-0005-0000-0000-00002B290000}"/>
    <cellStyle name="Standard 3 6 4 5 2" xfId="10387" xr:uid="{00000000-0005-0000-0000-00002C290000}"/>
    <cellStyle name="Standard 3 6 4 5 3" xfId="10388" xr:uid="{00000000-0005-0000-0000-00002D290000}"/>
    <cellStyle name="Standard 3 6 4 6" xfId="10389" xr:uid="{00000000-0005-0000-0000-00002E290000}"/>
    <cellStyle name="Standard 3 6 4 6 2" xfId="10390" xr:uid="{00000000-0005-0000-0000-00002F290000}"/>
    <cellStyle name="Standard 3 6 4 7" xfId="10391" xr:uid="{00000000-0005-0000-0000-000030290000}"/>
    <cellStyle name="Standard 3 6 4 8" xfId="10392" xr:uid="{00000000-0005-0000-0000-000031290000}"/>
    <cellStyle name="Standard 3 6 5" xfId="10393" xr:uid="{00000000-0005-0000-0000-000032290000}"/>
    <cellStyle name="Standard 3 6 5 2" xfId="10394" xr:uid="{00000000-0005-0000-0000-000033290000}"/>
    <cellStyle name="Standard 3 6 5 2 2" xfId="10395" xr:uid="{00000000-0005-0000-0000-000034290000}"/>
    <cellStyle name="Standard 3 6 5 2 2 2" xfId="10396" xr:uid="{00000000-0005-0000-0000-000035290000}"/>
    <cellStyle name="Standard 3 6 5 2 2 3" xfId="10397" xr:uid="{00000000-0005-0000-0000-000036290000}"/>
    <cellStyle name="Standard 3 6 5 2 3" xfId="10398" xr:uid="{00000000-0005-0000-0000-000037290000}"/>
    <cellStyle name="Standard 3 6 5 2 3 2" xfId="10399" xr:uid="{00000000-0005-0000-0000-000038290000}"/>
    <cellStyle name="Standard 3 6 5 2 3 3" xfId="10400" xr:uid="{00000000-0005-0000-0000-000039290000}"/>
    <cellStyle name="Standard 3 6 5 2 4" xfId="10401" xr:uid="{00000000-0005-0000-0000-00003A290000}"/>
    <cellStyle name="Standard 3 6 5 2 4 2" xfId="10402" xr:uid="{00000000-0005-0000-0000-00003B290000}"/>
    <cellStyle name="Standard 3 6 5 2 5" xfId="10403" xr:uid="{00000000-0005-0000-0000-00003C290000}"/>
    <cellStyle name="Standard 3 6 5 2 6" xfId="10404" xr:uid="{00000000-0005-0000-0000-00003D290000}"/>
    <cellStyle name="Standard 3 6 5 3" xfId="10405" xr:uid="{00000000-0005-0000-0000-00003E290000}"/>
    <cellStyle name="Standard 3 6 5 3 2" xfId="10406" xr:uid="{00000000-0005-0000-0000-00003F290000}"/>
    <cellStyle name="Standard 3 6 5 3 3" xfId="10407" xr:uid="{00000000-0005-0000-0000-000040290000}"/>
    <cellStyle name="Standard 3 6 5 4" xfId="10408" xr:uid="{00000000-0005-0000-0000-000041290000}"/>
    <cellStyle name="Standard 3 6 5 4 2" xfId="10409" xr:uid="{00000000-0005-0000-0000-000042290000}"/>
    <cellStyle name="Standard 3 6 5 4 3" xfId="10410" xr:uid="{00000000-0005-0000-0000-000043290000}"/>
    <cellStyle name="Standard 3 6 5 5" xfId="10411" xr:uid="{00000000-0005-0000-0000-000044290000}"/>
    <cellStyle name="Standard 3 6 5 5 2" xfId="10412" xr:uid="{00000000-0005-0000-0000-000045290000}"/>
    <cellStyle name="Standard 3 6 5 6" xfId="10413" xr:uid="{00000000-0005-0000-0000-000046290000}"/>
    <cellStyle name="Standard 3 6 5 7" xfId="10414" xr:uid="{00000000-0005-0000-0000-000047290000}"/>
    <cellStyle name="Standard 3 6 6" xfId="10415" xr:uid="{00000000-0005-0000-0000-000048290000}"/>
    <cellStyle name="Standard 3 6 6 2" xfId="10416" xr:uid="{00000000-0005-0000-0000-000049290000}"/>
    <cellStyle name="Standard 3 6 6 2 2" xfId="10417" xr:uid="{00000000-0005-0000-0000-00004A290000}"/>
    <cellStyle name="Standard 3 6 6 2 3" xfId="10418" xr:uid="{00000000-0005-0000-0000-00004B290000}"/>
    <cellStyle name="Standard 3 6 6 3" xfId="10419" xr:uid="{00000000-0005-0000-0000-00004C290000}"/>
    <cellStyle name="Standard 3 6 6 3 2" xfId="10420" xr:uid="{00000000-0005-0000-0000-00004D290000}"/>
    <cellStyle name="Standard 3 6 6 3 3" xfId="10421" xr:uid="{00000000-0005-0000-0000-00004E290000}"/>
    <cellStyle name="Standard 3 6 6 4" xfId="10422" xr:uid="{00000000-0005-0000-0000-00004F290000}"/>
    <cellStyle name="Standard 3 6 6 4 2" xfId="10423" xr:uid="{00000000-0005-0000-0000-000050290000}"/>
    <cellStyle name="Standard 3 6 6 5" xfId="10424" xr:uid="{00000000-0005-0000-0000-000051290000}"/>
    <cellStyle name="Standard 3 6 6 6" xfId="10425" xr:uid="{00000000-0005-0000-0000-000052290000}"/>
    <cellStyle name="Standard 3 6 7" xfId="10426" xr:uid="{00000000-0005-0000-0000-000053290000}"/>
    <cellStyle name="Standard 3 6 7 2" xfId="10427" xr:uid="{00000000-0005-0000-0000-000054290000}"/>
    <cellStyle name="Standard 3 6 7 3" xfId="10428" xr:uid="{00000000-0005-0000-0000-000055290000}"/>
    <cellStyle name="Standard 3 6 8" xfId="10429" xr:uid="{00000000-0005-0000-0000-000056290000}"/>
    <cellStyle name="Standard 3 6 8 2" xfId="10430" xr:uid="{00000000-0005-0000-0000-000057290000}"/>
    <cellStyle name="Standard 3 6 8 3" xfId="10431" xr:uid="{00000000-0005-0000-0000-000058290000}"/>
    <cellStyle name="Standard 3 6 9" xfId="10432" xr:uid="{00000000-0005-0000-0000-000059290000}"/>
    <cellStyle name="Standard 3 6 9 2" xfId="10433" xr:uid="{00000000-0005-0000-0000-00005A290000}"/>
    <cellStyle name="Standard 3 7" xfId="10434" xr:uid="{00000000-0005-0000-0000-00005B290000}"/>
    <cellStyle name="Standard 3 7 10" xfId="10435" xr:uid="{00000000-0005-0000-0000-00005C290000}"/>
    <cellStyle name="Standard 3 7 11" xfId="10436" xr:uid="{00000000-0005-0000-0000-00005D290000}"/>
    <cellStyle name="Standard 3 7 12" xfId="10437" xr:uid="{00000000-0005-0000-0000-00005E290000}"/>
    <cellStyle name="Standard 3 7 13" xfId="33454" xr:uid="{00000000-0005-0000-0000-00005F290000}"/>
    <cellStyle name="Standard 3 7 2" xfId="10438" xr:uid="{00000000-0005-0000-0000-000060290000}"/>
    <cellStyle name="Standard 3 7 2 10" xfId="10439" xr:uid="{00000000-0005-0000-0000-000061290000}"/>
    <cellStyle name="Standard 3 7 2 2" xfId="10440" xr:uid="{00000000-0005-0000-0000-000062290000}"/>
    <cellStyle name="Standard 3 7 2 2 2" xfId="10441" xr:uid="{00000000-0005-0000-0000-000063290000}"/>
    <cellStyle name="Standard 3 7 2 2 2 2" xfId="10442" xr:uid="{00000000-0005-0000-0000-000064290000}"/>
    <cellStyle name="Standard 3 7 2 2 2 2 2" xfId="10443" xr:uid="{00000000-0005-0000-0000-000065290000}"/>
    <cellStyle name="Standard 3 7 2 2 2 2 2 2" xfId="10444" xr:uid="{00000000-0005-0000-0000-000066290000}"/>
    <cellStyle name="Standard 3 7 2 2 2 2 2 3" xfId="10445" xr:uid="{00000000-0005-0000-0000-000067290000}"/>
    <cellStyle name="Standard 3 7 2 2 2 2 3" xfId="10446" xr:uid="{00000000-0005-0000-0000-000068290000}"/>
    <cellStyle name="Standard 3 7 2 2 2 2 3 2" xfId="10447" xr:uid="{00000000-0005-0000-0000-000069290000}"/>
    <cellStyle name="Standard 3 7 2 2 2 2 3 3" xfId="10448" xr:uid="{00000000-0005-0000-0000-00006A290000}"/>
    <cellStyle name="Standard 3 7 2 2 2 2 4" xfId="10449" xr:uid="{00000000-0005-0000-0000-00006B290000}"/>
    <cellStyle name="Standard 3 7 2 2 2 2 4 2" xfId="10450" xr:uid="{00000000-0005-0000-0000-00006C290000}"/>
    <cellStyle name="Standard 3 7 2 2 2 2 5" xfId="10451" xr:uid="{00000000-0005-0000-0000-00006D290000}"/>
    <cellStyle name="Standard 3 7 2 2 2 2 6" xfId="10452" xr:uid="{00000000-0005-0000-0000-00006E290000}"/>
    <cellStyle name="Standard 3 7 2 2 2 3" xfId="10453" xr:uid="{00000000-0005-0000-0000-00006F290000}"/>
    <cellStyle name="Standard 3 7 2 2 2 3 2" xfId="10454" xr:uid="{00000000-0005-0000-0000-000070290000}"/>
    <cellStyle name="Standard 3 7 2 2 2 3 3" xfId="10455" xr:uid="{00000000-0005-0000-0000-000071290000}"/>
    <cellStyle name="Standard 3 7 2 2 2 4" xfId="10456" xr:uid="{00000000-0005-0000-0000-000072290000}"/>
    <cellStyle name="Standard 3 7 2 2 2 4 2" xfId="10457" xr:uid="{00000000-0005-0000-0000-000073290000}"/>
    <cellStyle name="Standard 3 7 2 2 2 4 3" xfId="10458" xr:uid="{00000000-0005-0000-0000-000074290000}"/>
    <cellStyle name="Standard 3 7 2 2 2 5" xfId="10459" xr:uid="{00000000-0005-0000-0000-000075290000}"/>
    <cellStyle name="Standard 3 7 2 2 2 5 2" xfId="10460" xr:uid="{00000000-0005-0000-0000-000076290000}"/>
    <cellStyle name="Standard 3 7 2 2 2 6" xfId="10461" xr:uid="{00000000-0005-0000-0000-000077290000}"/>
    <cellStyle name="Standard 3 7 2 2 2 7" xfId="10462" xr:uid="{00000000-0005-0000-0000-000078290000}"/>
    <cellStyle name="Standard 3 7 2 2 3" xfId="10463" xr:uid="{00000000-0005-0000-0000-000079290000}"/>
    <cellStyle name="Standard 3 7 2 2 3 2" xfId="10464" xr:uid="{00000000-0005-0000-0000-00007A290000}"/>
    <cellStyle name="Standard 3 7 2 2 3 2 2" xfId="10465" xr:uid="{00000000-0005-0000-0000-00007B290000}"/>
    <cellStyle name="Standard 3 7 2 2 3 2 3" xfId="10466" xr:uid="{00000000-0005-0000-0000-00007C290000}"/>
    <cellStyle name="Standard 3 7 2 2 3 3" xfId="10467" xr:uid="{00000000-0005-0000-0000-00007D290000}"/>
    <cellStyle name="Standard 3 7 2 2 3 3 2" xfId="10468" xr:uid="{00000000-0005-0000-0000-00007E290000}"/>
    <cellStyle name="Standard 3 7 2 2 3 3 3" xfId="10469" xr:uid="{00000000-0005-0000-0000-00007F290000}"/>
    <cellStyle name="Standard 3 7 2 2 3 4" xfId="10470" xr:uid="{00000000-0005-0000-0000-000080290000}"/>
    <cellStyle name="Standard 3 7 2 2 3 4 2" xfId="10471" xr:uid="{00000000-0005-0000-0000-000081290000}"/>
    <cellStyle name="Standard 3 7 2 2 3 5" xfId="10472" xr:uid="{00000000-0005-0000-0000-000082290000}"/>
    <cellStyle name="Standard 3 7 2 2 3 6" xfId="10473" xr:uid="{00000000-0005-0000-0000-000083290000}"/>
    <cellStyle name="Standard 3 7 2 2 4" xfId="10474" xr:uid="{00000000-0005-0000-0000-000084290000}"/>
    <cellStyle name="Standard 3 7 2 2 4 2" xfId="10475" xr:uid="{00000000-0005-0000-0000-000085290000}"/>
    <cellStyle name="Standard 3 7 2 2 4 3" xfId="10476" xr:uid="{00000000-0005-0000-0000-000086290000}"/>
    <cellStyle name="Standard 3 7 2 2 5" xfId="10477" xr:uid="{00000000-0005-0000-0000-000087290000}"/>
    <cellStyle name="Standard 3 7 2 2 5 2" xfId="10478" xr:uid="{00000000-0005-0000-0000-000088290000}"/>
    <cellStyle name="Standard 3 7 2 2 5 3" xfId="10479" xr:uid="{00000000-0005-0000-0000-000089290000}"/>
    <cellStyle name="Standard 3 7 2 2 6" xfId="10480" xr:uid="{00000000-0005-0000-0000-00008A290000}"/>
    <cellStyle name="Standard 3 7 2 2 6 2" xfId="10481" xr:uid="{00000000-0005-0000-0000-00008B290000}"/>
    <cellStyle name="Standard 3 7 2 2 7" xfId="10482" xr:uid="{00000000-0005-0000-0000-00008C290000}"/>
    <cellStyle name="Standard 3 7 2 2 8" xfId="10483" xr:uid="{00000000-0005-0000-0000-00008D290000}"/>
    <cellStyle name="Standard 3 7 2 3" xfId="10484" xr:uid="{00000000-0005-0000-0000-00008E290000}"/>
    <cellStyle name="Standard 3 7 2 3 2" xfId="10485" xr:uid="{00000000-0005-0000-0000-00008F290000}"/>
    <cellStyle name="Standard 3 7 2 3 2 2" xfId="10486" xr:uid="{00000000-0005-0000-0000-000090290000}"/>
    <cellStyle name="Standard 3 7 2 3 2 2 2" xfId="10487" xr:uid="{00000000-0005-0000-0000-000091290000}"/>
    <cellStyle name="Standard 3 7 2 3 2 2 2 2" xfId="10488" xr:uid="{00000000-0005-0000-0000-000092290000}"/>
    <cellStyle name="Standard 3 7 2 3 2 2 2 3" xfId="10489" xr:uid="{00000000-0005-0000-0000-000093290000}"/>
    <cellStyle name="Standard 3 7 2 3 2 2 3" xfId="10490" xr:uid="{00000000-0005-0000-0000-000094290000}"/>
    <cellStyle name="Standard 3 7 2 3 2 2 3 2" xfId="10491" xr:uid="{00000000-0005-0000-0000-000095290000}"/>
    <cellStyle name="Standard 3 7 2 3 2 2 3 3" xfId="10492" xr:uid="{00000000-0005-0000-0000-000096290000}"/>
    <cellStyle name="Standard 3 7 2 3 2 2 4" xfId="10493" xr:uid="{00000000-0005-0000-0000-000097290000}"/>
    <cellStyle name="Standard 3 7 2 3 2 2 4 2" xfId="10494" xr:uid="{00000000-0005-0000-0000-000098290000}"/>
    <cellStyle name="Standard 3 7 2 3 2 2 5" xfId="10495" xr:uid="{00000000-0005-0000-0000-000099290000}"/>
    <cellStyle name="Standard 3 7 2 3 2 2 6" xfId="10496" xr:uid="{00000000-0005-0000-0000-00009A290000}"/>
    <cellStyle name="Standard 3 7 2 3 2 3" xfId="10497" xr:uid="{00000000-0005-0000-0000-00009B290000}"/>
    <cellStyle name="Standard 3 7 2 3 2 3 2" xfId="10498" xr:uid="{00000000-0005-0000-0000-00009C290000}"/>
    <cellStyle name="Standard 3 7 2 3 2 3 3" xfId="10499" xr:uid="{00000000-0005-0000-0000-00009D290000}"/>
    <cellStyle name="Standard 3 7 2 3 2 4" xfId="10500" xr:uid="{00000000-0005-0000-0000-00009E290000}"/>
    <cellStyle name="Standard 3 7 2 3 2 4 2" xfId="10501" xr:uid="{00000000-0005-0000-0000-00009F290000}"/>
    <cellStyle name="Standard 3 7 2 3 2 4 3" xfId="10502" xr:uid="{00000000-0005-0000-0000-0000A0290000}"/>
    <cellStyle name="Standard 3 7 2 3 2 5" xfId="10503" xr:uid="{00000000-0005-0000-0000-0000A1290000}"/>
    <cellStyle name="Standard 3 7 2 3 2 5 2" xfId="10504" xr:uid="{00000000-0005-0000-0000-0000A2290000}"/>
    <cellStyle name="Standard 3 7 2 3 2 6" xfId="10505" xr:uid="{00000000-0005-0000-0000-0000A3290000}"/>
    <cellStyle name="Standard 3 7 2 3 2 7" xfId="10506" xr:uid="{00000000-0005-0000-0000-0000A4290000}"/>
    <cellStyle name="Standard 3 7 2 3 3" xfId="10507" xr:uid="{00000000-0005-0000-0000-0000A5290000}"/>
    <cellStyle name="Standard 3 7 2 3 3 2" xfId="10508" xr:uid="{00000000-0005-0000-0000-0000A6290000}"/>
    <cellStyle name="Standard 3 7 2 3 3 2 2" xfId="10509" xr:uid="{00000000-0005-0000-0000-0000A7290000}"/>
    <cellStyle name="Standard 3 7 2 3 3 2 3" xfId="10510" xr:uid="{00000000-0005-0000-0000-0000A8290000}"/>
    <cellStyle name="Standard 3 7 2 3 3 3" xfId="10511" xr:uid="{00000000-0005-0000-0000-0000A9290000}"/>
    <cellStyle name="Standard 3 7 2 3 3 3 2" xfId="10512" xr:uid="{00000000-0005-0000-0000-0000AA290000}"/>
    <cellStyle name="Standard 3 7 2 3 3 3 3" xfId="10513" xr:uid="{00000000-0005-0000-0000-0000AB290000}"/>
    <cellStyle name="Standard 3 7 2 3 3 4" xfId="10514" xr:uid="{00000000-0005-0000-0000-0000AC290000}"/>
    <cellStyle name="Standard 3 7 2 3 3 4 2" xfId="10515" xr:uid="{00000000-0005-0000-0000-0000AD290000}"/>
    <cellStyle name="Standard 3 7 2 3 3 5" xfId="10516" xr:uid="{00000000-0005-0000-0000-0000AE290000}"/>
    <cellStyle name="Standard 3 7 2 3 3 6" xfId="10517" xr:uid="{00000000-0005-0000-0000-0000AF290000}"/>
    <cellStyle name="Standard 3 7 2 3 4" xfId="10518" xr:uid="{00000000-0005-0000-0000-0000B0290000}"/>
    <cellStyle name="Standard 3 7 2 3 4 2" xfId="10519" xr:uid="{00000000-0005-0000-0000-0000B1290000}"/>
    <cellStyle name="Standard 3 7 2 3 4 3" xfId="10520" xr:uid="{00000000-0005-0000-0000-0000B2290000}"/>
    <cellStyle name="Standard 3 7 2 3 5" xfId="10521" xr:uid="{00000000-0005-0000-0000-0000B3290000}"/>
    <cellStyle name="Standard 3 7 2 3 5 2" xfId="10522" xr:uid="{00000000-0005-0000-0000-0000B4290000}"/>
    <cellStyle name="Standard 3 7 2 3 5 3" xfId="10523" xr:uid="{00000000-0005-0000-0000-0000B5290000}"/>
    <cellStyle name="Standard 3 7 2 3 6" xfId="10524" xr:uid="{00000000-0005-0000-0000-0000B6290000}"/>
    <cellStyle name="Standard 3 7 2 3 6 2" xfId="10525" xr:uid="{00000000-0005-0000-0000-0000B7290000}"/>
    <cellStyle name="Standard 3 7 2 3 7" xfId="10526" xr:uid="{00000000-0005-0000-0000-0000B8290000}"/>
    <cellStyle name="Standard 3 7 2 3 8" xfId="10527" xr:uid="{00000000-0005-0000-0000-0000B9290000}"/>
    <cellStyle name="Standard 3 7 2 4" xfId="10528" xr:uid="{00000000-0005-0000-0000-0000BA290000}"/>
    <cellStyle name="Standard 3 7 2 4 2" xfId="10529" xr:uid="{00000000-0005-0000-0000-0000BB290000}"/>
    <cellStyle name="Standard 3 7 2 4 2 2" xfId="10530" xr:uid="{00000000-0005-0000-0000-0000BC290000}"/>
    <cellStyle name="Standard 3 7 2 4 2 2 2" xfId="10531" xr:uid="{00000000-0005-0000-0000-0000BD290000}"/>
    <cellStyle name="Standard 3 7 2 4 2 2 3" xfId="10532" xr:uid="{00000000-0005-0000-0000-0000BE290000}"/>
    <cellStyle name="Standard 3 7 2 4 2 3" xfId="10533" xr:uid="{00000000-0005-0000-0000-0000BF290000}"/>
    <cellStyle name="Standard 3 7 2 4 2 3 2" xfId="10534" xr:uid="{00000000-0005-0000-0000-0000C0290000}"/>
    <cellStyle name="Standard 3 7 2 4 2 3 3" xfId="10535" xr:uid="{00000000-0005-0000-0000-0000C1290000}"/>
    <cellStyle name="Standard 3 7 2 4 2 4" xfId="10536" xr:uid="{00000000-0005-0000-0000-0000C2290000}"/>
    <cellStyle name="Standard 3 7 2 4 2 4 2" xfId="10537" xr:uid="{00000000-0005-0000-0000-0000C3290000}"/>
    <cellStyle name="Standard 3 7 2 4 2 5" xfId="10538" xr:uid="{00000000-0005-0000-0000-0000C4290000}"/>
    <cellStyle name="Standard 3 7 2 4 2 6" xfId="10539" xr:uid="{00000000-0005-0000-0000-0000C5290000}"/>
    <cellStyle name="Standard 3 7 2 4 3" xfId="10540" xr:uid="{00000000-0005-0000-0000-0000C6290000}"/>
    <cellStyle name="Standard 3 7 2 4 3 2" xfId="10541" xr:uid="{00000000-0005-0000-0000-0000C7290000}"/>
    <cellStyle name="Standard 3 7 2 4 3 3" xfId="10542" xr:uid="{00000000-0005-0000-0000-0000C8290000}"/>
    <cellStyle name="Standard 3 7 2 4 4" xfId="10543" xr:uid="{00000000-0005-0000-0000-0000C9290000}"/>
    <cellStyle name="Standard 3 7 2 4 4 2" xfId="10544" xr:uid="{00000000-0005-0000-0000-0000CA290000}"/>
    <cellStyle name="Standard 3 7 2 4 4 3" xfId="10545" xr:uid="{00000000-0005-0000-0000-0000CB290000}"/>
    <cellStyle name="Standard 3 7 2 4 5" xfId="10546" xr:uid="{00000000-0005-0000-0000-0000CC290000}"/>
    <cellStyle name="Standard 3 7 2 4 5 2" xfId="10547" xr:uid="{00000000-0005-0000-0000-0000CD290000}"/>
    <cellStyle name="Standard 3 7 2 4 6" xfId="10548" xr:uid="{00000000-0005-0000-0000-0000CE290000}"/>
    <cellStyle name="Standard 3 7 2 4 7" xfId="10549" xr:uid="{00000000-0005-0000-0000-0000CF290000}"/>
    <cellStyle name="Standard 3 7 2 5" xfId="10550" xr:uid="{00000000-0005-0000-0000-0000D0290000}"/>
    <cellStyle name="Standard 3 7 2 5 2" xfId="10551" xr:uid="{00000000-0005-0000-0000-0000D1290000}"/>
    <cellStyle name="Standard 3 7 2 5 2 2" xfId="10552" xr:uid="{00000000-0005-0000-0000-0000D2290000}"/>
    <cellStyle name="Standard 3 7 2 5 2 3" xfId="10553" xr:uid="{00000000-0005-0000-0000-0000D3290000}"/>
    <cellStyle name="Standard 3 7 2 5 3" xfId="10554" xr:uid="{00000000-0005-0000-0000-0000D4290000}"/>
    <cellStyle name="Standard 3 7 2 5 3 2" xfId="10555" xr:uid="{00000000-0005-0000-0000-0000D5290000}"/>
    <cellStyle name="Standard 3 7 2 5 3 3" xfId="10556" xr:uid="{00000000-0005-0000-0000-0000D6290000}"/>
    <cellStyle name="Standard 3 7 2 5 4" xfId="10557" xr:uid="{00000000-0005-0000-0000-0000D7290000}"/>
    <cellStyle name="Standard 3 7 2 5 4 2" xfId="10558" xr:uid="{00000000-0005-0000-0000-0000D8290000}"/>
    <cellStyle name="Standard 3 7 2 5 5" xfId="10559" xr:uid="{00000000-0005-0000-0000-0000D9290000}"/>
    <cellStyle name="Standard 3 7 2 5 6" xfId="10560" xr:uid="{00000000-0005-0000-0000-0000DA290000}"/>
    <cellStyle name="Standard 3 7 2 6" xfId="10561" xr:uid="{00000000-0005-0000-0000-0000DB290000}"/>
    <cellStyle name="Standard 3 7 2 6 2" xfId="10562" xr:uid="{00000000-0005-0000-0000-0000DC290000}"/>
    <cellStyle name="Standard 3 7 2 6 3" xfId="10563" xr:uid="{00000000-0005-0000-0000-0000DD290000}"/>
    <cellStyle name="Standard 3 7 2 7" xfId="10564" xr:uid="{00000000-0005-0000-0000-0000DE290000}"/>
    <cellStyle name="Standard 3 7 2 7 2" xfId="10565" xr:uid="{00000000-0005-0000-0000-0000DF290000}"/>
    <cellStyle name="Standard 3 7 2 7 3" xfId="10566" xr:uid="{00000000-0005-0000-0000-0000E0290000}"/>
    <cellStyle name="Standard 3 7 2 8" xfId="10567" xr:uid="{00000000-0005-0000-0000-0000E1290000}"/>
    <cellStyle name="Standard 3 7 2 8 2" xfId="10568" xr:uid="{00000000-0005-0000-0000-0000E2290000}"/>
    <cellStyle name="Standard 3 7 2 9" xfId="10569" xr:uid="{00000000-0005-0000-0000-0000E3290000}"/>
    <cellStyle name="Standard 3 7 3" xfId="10570" xr:uid="{00000000-0005-0000-0000-0000E4290000}"/>
    <cellStyle name="Standard 3 7 3 2" xfId="10571" xr:uid="{00000000-0005-0000-0000-0000E5290000}"/>
    <cellStyle name="Standard 3 7 3 2 2" xfId="10572" xr:uid="{00000000-0005-0000-0000-0000E6290000}"/>
    <cellStyle name="Standard 3 7 3 2 2 2" xfId="10573" xr:uid="{00000000-0005-0000-0000-0000E7290000}"/>
    <cellStyle name="Standard 3 7 3 2 2 2 2" xfId="10574" xr:uid="{00000000-0005-0000-0000-0000E8290000}"/>
    <cellStyle name="Standard 3 7 3 2 2 2 3" xfId="10575" xr:uid="{00000000-0005-0000-0000-0000E9290000}"/>
    <cellStyle name="Standard 3 7 3 2 2 3" xfId="10576" xr:uid="{00000000-0005-0000-0000-0000EA290000}"/>
    <cellStyle name="Standard 3 7 3 2 2 3 2" xfId="10577" xr:uid="{00000000-0005-0000-0000-0000EB290000}"/>
    <cellStyle name="Standard 3 7 3 2 2 3 3" xfId="10578" xr:uid="{00000000-0005-0000-0000-0000EC290000}"/>
    <cellStyle name="Standard 3 7 3 2 2 4" xfId="10579" xr:uid="{00000000-0005-0000-0000-0000ED290000}"/>
    <cellStyle name="Standard 3 7 3 2 2 4 2" xfId="10580" xr:uid="{00000000-0005-0000-0000-0000EE290000}"/>
    <cellStyle name="Standard 3 7 3 2 2 5" xfId="10581" xr:uid="{00000000-0005-0000-0000-0000EF290000}"/>
    <cellStyle name="Standard 3 7 3 2 2 6" xfId="10582" xr:uid="{00000000-0005-0000-0000-0000F0290000}"/>
    <cellStyle name="Standard 3 7 3 2 3" xfId="10583" xr:uid="{00000000-0005-0000-0000-0000F1290000}"/>
    <cellStyle name="Standard 3 7 3 2 3 2" xfId="10584" xr:uid="{00000000-0005-0000-0000-0000F2290000}"/>
    <cellStyle name="Standard 3 7 3 2 3 3" xfId="10585" xr:uid="{00000000-0005-0000-0000-0000F3290000}"/>
    <cellStyle name="Standard 3 7 3 2 4" xfId="10586" xr:uid="{00000000-0005-0000-0000-0000F4290000}"/>
    <cellStyle name="Standard 3 7 3 2 4 2" xfId="10587" xr:uid="{00000000-0005-0000-0000-0000F5290000}"/>
    <cellStyle name="Standard 3 7 3 2 4 3" xfId="10588" xr:uid="{00000000-0005-0000-0000-0000F6290000}"/>
    <cellStyle name="Standard 3 7 3 2 5" xfId="10589" xr:uid="{00000000-0005-0000-0000-0000F7290000}"/>
    <cellStyle name="Standard 3 7 3 2 5 2" xfId="10590" xr:uid="{00000000-0005-0000-0000-0000F8290000}"/>
    <cellStyle name="Standard 3 7 3 2 6" xfId="10591" xr:uid="{00000000-0005-0000-0000-0000F9290000}"/>
    <cellStyle name="Standard 3 7 3 2 7" xfId="10592" xr:uid="{00000000-0005-0000-0000-0000FA290000}"/>
    <cellStyle name="Standard 3 7 3 3" xfId="10593" xr:uid="{00000000-0005-0000-0000-0000FB290000}"/>
    <cellStyle name="Standard 3 7 3 3 2" xfId="10594" xr:uid="{00000000-0005-0000-0000-0000FC290000}"/>
    <cellStyle name="Standard 3 7 3 3 2 2" xfId="10595" xr:uid="{00000000-0005-0000-0000-0000FD290000}"/>
    <cellStyle name="Standard 3 7 3 3 2 3" xfId="10596" xr:uid="{00000000-0005-0000-0000-0000FE290000}"/>
    <cellStyle name="Standard 3 7 3 3 3" xfId="10597" xr:uid="{00000000-0005-0000-0000-0000FF290000}"/>
    <cellStyle name="Standard 3 7 3 3 3 2" xfId="10598" xr:uid="{00000000-0005-0000-0000-0000002A0000}"/>
    <cellStyle name="Standard 3 7 3 3 3 3" xfId="10599" xr:uid="{00000000-0005-0000-0000-0000012A0000}"/>
    <cellStyle name="Standard 3 7 3 3 4" xfId="10600" xr:uid="{00000000-0005-0000-0000-0000022A0000}"/>
    <cellStyle name="Standard 3 7 3 3 4 2" xfId="10601" xr:uid="{00000000-0005-0000-0000-0000032A0000}"/>
    <cellStyle name="Standard 3 7 3 3 5" xfId="10602" xr:uid="{00000000-0005-0000-0000-0000042A0000}"/>
    <cellStyle name="Standard 3 7 3 3 6" xfId="10603" xr:uid="{00000000-0005-0000-0000-0000052A0000}"/>
    <cellStyle name="Standard 3 7 3 4" xfId="10604" xr:uid="{00000000-0005-0000-0000-0000062A0000}"/>
    <cellStyle name="Standard 3 7 3 4 2" xfId="10605" xr:uid="{00000000-0005-0000-0000-0000072A0000}"/>
    <cellStyle name="Standard 3 7 3 4 3" xfId="10606" xr:uid="{00000000-0005-0000-0000-0000082A0000}"/>
    <cellStyle name="Standard 3 7 3 5" xfId="10607" xr:uid="{00000000-0005-0000-0000-0000092A0000}"/>
    <cellStyle name="Standard 3 7 3 5 2" xfId="10608" xr:uid="{00000000-0005-0000-0000-00000A2A0000}"/>
    <cellStyle name="Standard 3 7 3 5 3" xfId="10609" xr:uid="{00000000-0005-0000-0000-00000B2A0000}"/>
    <cellStyle name="Standard 3 7 3 6" xfId="10610" xr:uid="{00000000-0005-0000-0000-00000C2A0000}"/>
    <cellStyle name="Standard 3 7 3 6 2" xfId="10611" xr:uid="{00000000-0005-0000-0000-00000D2A0000}"/>
    <cellStyle name="Standard 3 7 3 7" xfId="10612" xr:uid="{00000000-0005-0000-0000-00000E2A0000}"/>
    <cellStyle name="Standard 3 7 3 8" xfId="10613" xr:uid="{00000000-0005-0000-0000-00000F2A0000}"/>
    <cellStyle name="Standard 3 7 4" xfId="10614" xr:uid="{00000000-0005-0000-0000-0000102A0000}"/>
    <cellStyle name="Standard 3 7 4 2" xfId="10615" xr:uid="{00000000-0005-0000-0000-0000112A0000}"/>
    <cellStyle name="Standard 3 7 4 2 2" xfId="10616" xr:uid="{00000000-0005-0000-0000-0000122A0000}"/>
    <cellStyle name="Standard 3 7 4 2 2 2" xfId="10617" xr:uid="{00000000-0005-0000-0000-0000132A0000}"/>
    <cellStyle name="Standard 3 7 4 2 2 2 2" xfId="10618" xr:uid="{00000000-0005-0000-0000-0000142A0000}"/>
    <cellStyle name="Standard 3 7 4 2 2 2 3" xfId="10619" xr:uid="{00000000-0005-0000-0000-0000152A0000}"/>
    <cellStyle name="Standard 3 7 4 2 2 3" xfId="10620" xr:uid="{00000000-0005-0000-0000-0000162A0000}"/>
    <cellStyle name="Standard 3 7 4 2 2 3 2" xfId="10621" xr:uid="{00000000-0005-0000-0000-0000172A0000}"/>
    <cellStyle name="Standard 3 7 4 2 2 3 3" xfId="10622" xr:uid="{00000000-0005-0000-0000-0000182A0000}"/>
    <cellStyle name="Standard 3 7 4 2 2 4" xfId="10623" xr:uid="{00000000-0005-0000-0000-0000192A0000}"/>
    <cellStyle name="Standard 3 7 4 2 2 4 2" xfId="10624" xr:uid="{00000000-0005-0000-0000-00001A2A0000}"/>
    <cellStyle name="Standard 3 7 4 2 2 5" xfId="10625" xr:uid="{00000000-0005-0000-0000-00001B2A0000}"/>
    <cellStyle name="Standard 3 7 4 2 2 6" xfId="10626" xr:uid="{00000000-0005-0000-0000-00001C2A0000}"/>
    <cellStyle name="Standard 3 7 4 2 3" xfId="10627" xr:uid="{00000000-0005-0000-0000-00001D2A0000}"/>
    <cellStyle name="Standard 3 7 4 2 3 2" xfId="10628" xr:uid="{00000000-0005-0000-0000-00001E2A0000}"/>
    <cellStyle name="Standard 3 7 4 2 3 3" xfId="10629" xr:uid="{00000000-0005-0000-0000-00001F2A0000}"/>
    <cellStyle name="Standard 3 7 4 2 4" xfId="10630" xr:uid="{00000000-0005-0000-0000-0000202A0000}"/>
    <cellStyle name="Standard 3 7 4 2 4 2" xfId="10631" xr:uid="{00000000-0005-0000-0000-0000212A0000}"/>
    <cellStyle name="Standard 3 7 4 2 4 3" xfId="10632" xr:uid="{00000000-0005-0000-0000-0000222A0000}"/>
    <cellStyle name="Standard 3 7 4 2 5" xfId="10633" xr:uid="{00000000-0005-0000-0000-0000232A0000}"/>
    <cellStyle name="Standard 3 7 4 2 5 2" xfId="10634" xr:uid="{00000000-0005-0000-0000-0000242A0000}"/>
    <cellStyle name="Standard 3 7 4 2 6" xfId="10635" xr:uid="{00000000-0005-0000-0000-0000252A0000}"/>
    <cellStyle name="Standard 3 7 4 2 7" xfId="10636" xr:uid="{00000000-0005-0000-0000-0000262A0000}"/>
    <cellStyle name="Standard 3 7 4 3" xfId="10637" xr:uid="{00000000-0005-0000-0000-0000272A0000}"/>
    <cellStyle name="Standard 3 7 4 3 2" xfId="10638" xr:uid="{00000000-0005-0000-0000-0000282A0000}"/>
    <cellStyle name="Standard 3 7 4 3 2 2" xfId="10639" xr:uid="{00000000-0005-0000-0000-0000292A0000}"/>
    <cellStyle name="Standard 3 7 4 3 2 3" xfId="10640" xr:uid="{00000000-0005-0000-0000-00002A2A0000}"/>
    <cellStyle name="Standard 3 7 4 3 3" xfId="10641" xr:uid="{00000000-0005-0000-0000-00002B2A0000}"/>
    <cellStyle name="Standard 3 7 4 3 3 2" xfId="10642" xr:uid="{00000000-0005-0000-0000-00002C2A0000}"/>
    <cellStyle name="Standard 3 7 4 3 3 3" xfId="10643" xr:uid="{00000000-0005-0000-0000-00002D2A0000}"/>
    <cellStyle name="Standard 3 7 4 3 4" xfId="10644" xr:uid="{00000000-0005-0000-0000-00002E2A0000}"/>
    <cellStyle name="Standard 3 7 4 3 4 2" xfId="10645" xr:uid="{00000000-0005-0000-0000-00002F2A0000}"/>
    <cellStyle name="Standard 3 7 4 3 5" xfId="10646" xr:uid="{00000000-0005-0000-0000-0000302A0000}"/>
    <cellStyle name="Standard 3 7 4 3 6" xfId="10647" xr:uid="{00000000-0005-0000-0000-0000312A0000}"/>
    <cellStyle name="Standard 3 7 4 4" xfId="10648" xr:uid="{00000000-0005-0000-0000-0000322A0000}"/>
    <cellStyle name="Standard 3 7 4 4 2" xfId="10649" xr:uid="{00000000-0005-0000-0000-0000332A0000}"/>
    <cellStyle name="Standard 3 7 4 4 3" xfId="10650" xr:uid="{00000000-0005-0000-0000-0000342A0000}"/>
    <cellStyle name="Standard 3 7 4 5" xfId="10651" xr:uid="{00000000-0005-0000-0000-0000352A0000}"/>
    <cellStyle name="Standard 3 7 4 5 2" xfId="10652" xr:uid="{00000000-0005-0000-0000-0000362A0000}"/>
    <cellStyle name="Standard 3 7 4 5 3" xfId="10653" xr:uid="{00000000-0005-0000-0000-0000372A0000}"/>
    <cellStyle name="Standard 3 7 4 6" xfId="10654" xr:uid="{00000000-0005-0000-0000-0000382A0000}"/>
    <cellStyle name="Standard 3 7 4 6 2" xfId="10655" xr:uid="{00000000-0005-0000-0000-0000392A0000}"/>
    <cellStyle name="Standard 3 7 4 7" xfId="10656" xr:uid="{00000000-0005-0000-0000-00003A2A0000}"/>
    <cellStyle name="Standard 3 7 4 8" xfId="10657" xr:uid="{00000000-0005-0000-0000-00003B2A0000}"/>
    <cellStyle name="Standard 3 7 5" xfId="10658" xr:uid="{00000000-0005-0000-0000-00003C2A0000}"/>
    <cellStyle name="Standard 3 7 5 2" xfId="10659" xr:uid="{00000000-0005-0000-0000-00003D2A0000}"/>
    <cellStyle name="Standard 3 7 5 2 2" xfId="10660" xr:uid="{00000000-0005-0000-0000-00003E2A0000}"/>
    <cellStyle name="Standard 3 7 5 2 2 2" xfId="10661" xr:uid="{00000000-0005-0000-0000-00003F2A0000}"/>
    <cellStyle name="Standard 3 7 5 2 2 3" xfId="10662" xr:uid="{00000000-0005-0000-0000-0000402A0000}"/>
    <cellStyle name="Standard 3 7 5 2 3" xfId="10663" xr:uid="{00000000-0005-0000-0000-0000412A0000}"/>
    <cellStyle name="Standard 3 7 5 2 3 2" xfId="10664" xr:uid="{00000000-0005-0000-0000-0000422A0000}"/>
    <cellStyle name="Standard 3 7 5 2 3 3" xfId="10665" xr:uid="{00000000-0005-0000-0000-0000432A0000}"/>
    <cellStyle name="Standard 3 7 5 2 4" xfId="10666" xr:uid="{00000000-0005-0000-0000-0000442A0000}"/>
    <cellStyle name="Standard 3 7 5 2 4 2" xfId="10667" xr:uid="{00000000-0005-0000-0000-0000452A0000}"/>
    <cellStyle name="Standard 3 7 5 2 5" xfId="10668" xr:uid="{00000000-0005-0000-0000-0000462A0000}"/>
    <cellStyle name="Standard 3 7 5 2 6" xfId="10669" xr:uid="{00000000-0005-0000-0000-0000472A0000}"/>
    <cellStyle name="Standard 3 7 5 3" xfId="10670" xr:uid="{00000000-0005-0000-0000-0000482A0000}"/>
    <cellStyle name="Standard 3 7 5 3 2" xfId="10671" xr:uid="{00000000-0005-0000-0000-0000492A0000}"/>
    <cellStyle name="Standard 3 7 5 3 3" xfId="10672" xr:uid="{00000000-0005-0000-0000-00004A2A0000}"/>
    <cellStyle name="Standard 3 7 5 4" xfId="10673" xr:uid="{00000000-0005-0000-0000-00004B2A0000}"/>
    <cellStyle name="Standard 3 7 5 4 2" xfId="10674" xr:uid="{00000000-0005-0000-0000-00004C2A0000}"/>
    <cellStyle name="Standard 3 7 5 4 3" xfId="10675" xr:uid="{00000000-0005-0000-0000-00004D2A0000}"/>
    <cellStyle name="Standard 3 7 5 5" xfId="10676" xr:uid="{00000000-0005-0000-0000-00004E2A0000}"/>
    <cellStyle name="Standard 3 7 5 5 2" xfId="10677" xr:uid="{00000000-0005-0000-0000-00004F2A0000}"/>
    <cellStyle name="Standard 3 7 5 6" xfId="10678" xr:uid="{00000000-0005-0000-0000-0000502A0000}"/>
    <cellStyle name="Standard 3 7 5 7" xfId="10679" xr:uid="{00000000-0005-0000-0000-0000512A0000}"/>
    <cellStyle name="Standard 3 7 6" xfId="10680" xr:uid="{00000000-0005-0000-0000-0000522A0000}"/>
    <cellStyle name="Standard 3 7 6 2" xfId="10681" xr:uid="{00000000-0005-0000-0000-0000532A0000}"/>
    <cellStyle name="Standard 3 7 6 2 2" xfId="10682" xr:uid="{00000000-0005-0000-0000-0000542A0000}"/>
    <cellStyle name="Standard 3 7 6 2 3" xfId="10683" xr:uid="{00000000-0005-0000-0000-0000552A0000}"/>
    <cellStyle name="Standard 3 7 6 3" xfId="10684" xr:uid="{00000000-0005-0000-0000-0000562A0000}"/>
    <cellStyle name="Standard 3 7 6 3 2" xfId="10685" xr:uid="{00000000-0005-0000-0000-0000572A0000}"/>
    <cellStyle name="Standard 3 7 6 3 3" xfId="10686" xr:uid="{00000000-0005-0000-0000-0000582A0000}"/>
    <cellStyle name="Standard 3 7 6 4" xfId="10687" xr:uid="{00000000-0005-0000-0000-0000592A0000}"/>
    <cellStyle name="Standard 3 7 6 4 2" xfId="10688" xr:uid="{00000000-0005-0000-0000-00005A2A0000}"/>
    <cellStyle name="Standard 3 7 6 5" xfId="10689" xr:uid="{00000000-0005-0000-0000-00005B2A0000}"/>
    <cellStyle name="Standard 3 7 6 6" xfId="10690" xr:uid="{00000000-0005-0000-0000-00005C2A0000}"/>
    <cellStyle name="Standard 3 7 7" xfId="10691" xr:uid="{00000000-0005-0000-0000-00005D2A0000}"/>
    <cellStyle name="Standard 3 7 7 2" xfId="10692" xr:uid="{00000000-0005-0000-0000-00005E2A0000}"/>
    <cellStyle name="Standard 3 7 7 3" xfId="10693" xr:uid="{00000000-0005-0000-0000-00005F2A0000}"/>
    <cellStyle name="Standard 3 7 8" xfId="10694" xr:uid="{00000000-0005-0000-0000-0000602A0000}"/>
    <cellStyle name="Standard 3 7 8 2" xfId="10695" xr:uid="{00000000-0005-0000-0000-0000612A0000}"/>
    <cellStyle name="Standard 3 7 8 3" xfId="10696" xr:uid="{00000000-0005-0000-0000-0000622A0000}"/>
    <cellStyle name="Standard 3 7 9" xfId="10697" xr:uid="{00000000-0005-0000-0000-0000632A0000}"/>
    <cellStyle name="Standard 3 7 9 2" xfId="10698" xr:uid="{00000000-0005-0000-0000-0000642A0000}"/>
    <cellStyle name="Standard 3 8" xfId="10699" xr:uid="{00000000-0005-0000-0000-0000652A0000}"/>
    <cellStyle name="Standard 3 9" xfId="33447" xr:uid="{00000000-0005-0000-0000-0000662A0000}"/>
    <cellStyle name="Standard 3_Spotweld Crossreference Master" xfId="10700" xr:uid="{00000000-0005-0000-0000-0000672A0000}"/>
    <cellStyle name="Standard 30" xfId="562" xr:uid="{00000000-0005-0000-0000-0000682A0000}"/>
    <cellStyle name="Standard 30 2" xfId="563" xr:uid="{00000000-0005-0000-0000-0000692A0000}"/>
    <cellStyle name="Standard 31" xfId="564" xr:uid="{00000000-0005-0000-0000-00006A2A0000}"/>
    <cellStyle name="Standard 31 2" xfId="565" xr:uid="{00000000-0005-0000-0000-00006B2A0000}"/>
    <cellStyle name="Standard 32" xfId="566" xr:uid="{00000000-0005-0000-0000-00006C2A0000}"/>
    <cellStyle name="Standard 32 2" xfId="567" xr:uid="{00000000-0005-0000-0000-00006D2A0000}"/>
    <cellStyle name="Standard 33" xfId="568" xr:uid="{00000000-0005-0000-0000-00006E2A0000}"/>
    <cellStyle name="Standard 33 2" xfId="569" xr:uid="{00000000-0005-0000-0000-00006F2A0000}"/>
    <cellStyle name="Standard 34" xfId="570" xr:uid="{00000000-0005-0000-0000-0000702A0000}"/>
    <cellStyle name="Standard 34 2" xfId="571" xr:uid="{00000000-0005-0000-0000-0000712A0000}"/>
    <cellStyle name="Standard 35" xfId="572" xr:uid="{00000000-0005-0000-0000-0000722A0000}"/>
    <cellStyle name="Standard 35 2" xfId="573" xr:uid="{00000000-0005-0000-0000-0000732A0000}"/>
    <cellStyle name="Standard 36" xfId="574" xr:uid="{00000000-0005-0000-0000-0000742A0000}"/>
    <cellStyle name="Standard 36 2" xfId="575" xr:uid="{00000000-0005-0000-0000-0000752A0000}"/>
    <cellStyle name="Standard 37" xfId="576" xr:uid="{00000000-0005-0000-0000-0000762A0000}"/>
    <cellStyle name="Standard 37 2" xfId="577" xr:uid="{00000000-0005-0000-0000-0000772A0000}"/>
    <cellStyle name="Standard 38" xfId="578" xr:uid="{00000000-0005-0000-0000-0000782A0000}"/>
    <cellStyle name="Standard 38 2" xfId="579" xr:uid="{00000000-0005-0000-0000-0000792A0000}"/>
    <cellStyle name="Standard 39" xfId="580" xr:uid="{00000000-0005-0000-0000-00007A2A0000}"/>
    <cellStyle name="Standard 39 2" xfId="581" xr:uid="{00000000-0005-0000-0000-00007B2A0000}"/>
    <cellStyle name="Standard 4" xfId="582" xr:uid="{00000000-0005-0000-0000-00007C2A0000}"/>
    <cellStyle name="Standard 4 10" xfId="583" xr:uid="{00000000-0005-0000-0000-00007D2A0000}"/>
    <cellStyle name="Standard 4 10 10" xfId="10701" xr:uid="{00000000-0005-0000-0000-00007E2A0000}"/>
    <cellStyle name="Standard 4 10 2" xfId="10702" xr:uid="{00000000-0005-0000-0000-00007F2A0000}"/>
    <cellStyle name="Standard 4 10 2 2" xfId="10703" xr:uid="{00000000-0005-0000-0000-0000802A0000}"/>
    <cellStyle name="Standard 4 10 2 2 2" xfId="10704" xr:uid="{00000000-0005-0000-0000-0000812A0000}"/>
    <cellStyle name="Standard 4 10 2 2 2 2" xfId="10705" xr:uid="{00000000-0005-0000-0000-0000822A0000}"/>
    <cellStyle name="Standard 4 10 2 2 2 2 2" xfId="10706" xr:uid="{00000000-0005-0000-0000-0000832A0000}"/>
    <cellStyle name="Standard 4 10 2 2 2 2 3" xfId="10707" xr:uid="{00000000-0005-0000-0000-0000842A0000}"/>
    <cellStyle name="Standard 4 10 2 2 2 3" xfId="10708" xr:uid="{00000000-0005-0000-0000-0000852A0000}"/>
    <cellStyle name="Standard 4 10 2 2 2 3 2" xfId="10709" xr:uid="{00000000-0005-0000-0000-0000862A0000}"/>
    <cellStyle name="Standard 4 10 2 2 2 3 3" xfId="10710" xr:uid="{00000000-0005-0000-0000-0000872A0000}"/>
    <cellStyle name="Standard 4 10 2 2 2 4" xfId="10711" xr:uid="{00000000-0005-0000-0000-0000882A0000}"/>
    <cellStyle name="Standard 4 10 2 2 2 4 2" xfId="10712" xr:uid="{00000000-0005-0000-0000-0000892A0000}"/>
    <cellStyle name="Standard 4 10 2 2 2 5" xfId="10713" xr:uid="{00000000-0005-0000-0000-00008A2A0000}"/>
    <cellStyle name="Standard 4 10 2 2 2 6" xfId="10714" xr:uid="{00000000-0005-0000-0000-00008B2A0000}"/>
    <cellStyle name="Standard 4 10 2 2 3" xfId="10715" xr:uid="{00000000-0005-0000-0000-00008C2A0000}"/>
    <cellStyle name="Standard 4 10 2 2 3 2" xfId="10716" xr:uid="{00000000-0005-0000-0000-00008D2A0000}"/>
    <cellStyle name="Standard 4 10 2 2 3 3" xfId="10717" xr:uid="{00000000-0005-0000-0000-00008E2A0000}"/>
    <cellStyle name="Standard 4 10 2 2 4" xfId="10718" xr:uid="{00000000-0005-0000-0000-00008F2A0000}"/>
    <cellStyle name="Standard 4 10 2 2 4 2" xfId="10719" xr:uid="{00000000-0005-0000-0000-0000902A0000}"/>
    <cellStyle name="Standard 4 10 2 2 4 3" xfId="10720" xr:uid="{00000000-0005-0000-0000-0000912A0000}"/>
    <cellStyle name="Standard 4 10 2 2 5" xfId="10721" xr:uid="{00000000-0005-0000-0000-0000922A0000}"/>
    <cellStyle name="Standard 4 10 2 2 5 2" xfId="10722" xr:uid="{00000000-0005-0000-0000-0000932A0000}"/>
    <cellStyle name="Standard 4 10 2 2 6" xfId="10723" xr:uid="{00000000-0005-0000-0000-0000942A0000}"/>
    <cellStyle name="Standard 4 10 2 2 7" xfId="10724" xr:uid="{00000000-0005-0000-0000-0000952A0000}"/>
    <cellStyle name="Standard 4 10 2 3" xfId="10725" xr:uid="{00000000-0005-0000-0000-0000962A0000}"/>
    <cellStyle name="Standard 4 10 2 3 2" xfId="10726" xr:uid="{00000000-0005-0000-0000-0000972A0000}"/>
    <cellStyle name="Standard 4 10 2 3 2 2" xfId="10727" xr:uid="{00000000-0005-0000-0000-0000982A0000}"/>
    <cellStyle name="Standard 4 10 2 3 2 3" xfId="10728" xr:uid="{00000000-0005-0000-0000-0000992A0000}"/>
    <cellStyle name="Standard 4 10 2 3 3" xfId="10729" xr:uid="{00000000-0005-0000-0000-00009A2A0000}"/>
    <cellStyle name="Standard 4 10 2 3 3 2" xfId="10730" xr:uid="{00000000-0005-0000-0000-00009B2A0000}"/>
    <cellStyle name="Standard 4 10 2 3 3 3" xfId="10731" xr:uid="{00000000-0005-0000-0000-00009C2A0000}"/>
    <cellStyle name="Standard 4 10 2 3 4" xfId="10732" xr:uid="{00000000-0005-0000-0000-00009D2A0000}"/>
    <cellStyle name="Standard 4 10 2 3 4 2" xfId="10733" xr:uid="{00000000-0005-0000-0000-00009E2A0000}"/>
    <cellStyle name="Standard 4 10 2 3 5" xfId="10734" xr:uid="{00000000-0005-0000-0000-00009F2A0000}"/>
    <cellStyle name="Standard 4 10 2 3 6" xfId="10735" xr:uid="{00000000-0005-0000-0000-0000A02A0000}"/>
    <cellStyle name="Standard 4 10 2 4" xfId="10736" xr:uid="{00000000-0005-0000-0000-0000A12A0000}"/>
    <cellStyle name="Standard 4 10 2 4 2" xfId="10737" xr:uid="{00000000-0005-0000-0000-0000A22A0000}"/>
    <cellStyle name="Standard 4 10 2 4 3" xfId="10738" xr:uid="{00000000-0005-0000-0000-0000A32A0000}"/>
    <cellStyle name="Standard 4 10 2 5" xfId="10739" xr:uid="{00000000-0005-0000-0000-0000A42A0000}"/>
    <cellStyle name="Standard 4 10 2 5 2" xfId="10740" xr:uid="{00000000-0005-0000-0000-0000A52A0000}"/>
    <cellStyle name="Standard 4 10 2 5 3" xfId="10741" xr:uid="{00000000-0005-0000-0000-0000A62A0000}"/>
    <cellStyle name="Standard 4 10 2 6" xfId="10742" xr:uid="{00000000-0005-0000-0000-0000A72A0000}"/>
    <cellStyle name="Standard 4 10 2 6 2" xfId="10743" xr:uid="{00000000-0005-0000-0000-0000A82A0000}"/>
    <cellStyle name="Standard 4 10 2 7" xfId="10744" xr:uid="{00000000-0005-0000-0000-0000A92A0000}"/>
    <cellStyle name="Standard 4 10 2 8" xfId="10745" xr:uid="{00000000-0005-0000-0000-0000AA2A0000}"/>
    <cellStyle name="Standard 4 10 3" xfId="10746" xr:uid="{00000000-0005-0000-0000-0000AB2A0000}"/>
    <cellStyle name="Standard 4 10 3 2" xfId="10747" xr:uid="{00000000-0005-0000-0000-0000AC2A0000}"/>
    <cellStyle name="Standard 4 10 3 2 2" xfId="10748" xr:uid="{00000000-0005-0000-0000-0000AD2A0000}"/>
    <cellStyle name="Standard 4 10 3 2 2 2" xfId="10749" xr:uid="{00000000-0005-0000-0000-0000AE2A0000}"/>
    <cellStyle name="Standard 4 10 3 2 2 2 2" xfId="10750" xr:uid="{00000000-0005-0000-0000-0000AF2A0000}"/>
    <cellStyle name="Standard 4 10 3 2 2 2 3" xfId="10751" xr:uid="{00000000-0005-0000-0000-0000B02A0000}"/>
    <cellStyle name="Standard 4 10 3 2 2 3" xfId="10752" xr:uid="{00000000-0005-0000-0000-0000B12A0000}"/>
    <cellStyle name="Standard 4 10 3 2 2 3 2" xfId="10753" xr:uid="{00000000-0005-0000-0000-0000B22A0000}"/>
    <cellStyle name="Standard 4 10 3 2 2 3 3" xfId="10754" xr:uid="{00000000-0005-0000-0000-0000B32A0000}"/>
    <cellStyle name="Standard 4 10 3 2 2 4" xfId="10755" xr:uid="{00000000-0005-0000-0000-0000B42A0000}"/>
    <cellStyle name="Standard 4 10 3 2 2 4 2" xfId="10756" xr:uid="{00000000-0005-0000-0000-0000B52A0000}"/>
    <cellStyle name="Standard 4 10 3 2 2 5" xfId="10757" xr:uid="{00000000-0005-0000-0000-0000B62A0000}"/>
    <cellStyle name="Standard 4 10 3 2 2 6" xfId="10758" xr:uid="{00000000-0005-0000-0000-0000B72A0000}"/>
    <cellStyle name="Standard 4 10 3 2 3" xfId="10759" xr:uid="{00000000-0005-0000-0000-0000B82A0000}"/>
    <cellStyle name="Standard 4 10 3 2 3 2" xfId="10760" xr:uid="{00000000-0005-0000-0000-0000B92A0000}"/>
    <cellStyle name="Standard 4 10 3 2 3 3" xfId="10761" xr:uid="{00000000-0005-0000-0000-0000BA2A0000}"/>
    <cellStyle name="Standard 4 10 3 2 4" xfId="10762" xr:uid="{00000000-0005-0000-0000-0000BB2A0000}"/>
    <cellStyle name="Standard 4 10 3 2 4 2" xfId="10763" xr:uid="{00000000-0005-0000-0000-0000BC2A0000}"/>
    <cellStyle name="Standard 4 10 3 2 4 3" xfId="10764" xr:uid="{00000000-0005-0000-0000-0000BD2A0000}"/>
    <cellStyle name="Standard 4 10 3 2 5" xfId="10765" xr:uid="{00000000-0005-0000-0000-0000BE2A0000}"/>
    <cellStyle name="Standard 4 10 3 2 5 2" xfId="10766" xr:uid="{00000000-0005-0000-0000-0000BF2A0000}"/>
    <cellStyle name="Standard 4 10 3 2 6" xfId="10767" xr:uid="{00000000-0005-0000-0000-0000C02A0000}"/>
    <cellStyle name="Standard 4 10 3 2 7" xfId="10768" xr:uid="{00000000-0005-0000-0000-0000C12A0000}"/>
    <cellStyle name="Standard 4 10 3 3" xfId="10769" xr:uid="{00000000-0005-0000-0000-0000C22A0000}"/>
    <cellStyle name="Standard 4 10 3 3 2" xfId="10770" xr:uid="{00000000-0005-0000-0000-0000C32A0000}"/>
    <cellStyle name="Standard 4 10 3 3 2 2" xfId="10771" xr:uid="{00000000-0005-0000-0000-0000C42A0000}"/>
    <cellStyle name="Standard 4 10 3 3 2 3" xfId="10772" xr:uid="{00000000-0005-0000-0000-0000C52A0000}"/>
    <cellStyle name="Standard 4 10 3 3 3" xfId="10773" xr:uid="{00000000-0005-0000-0000-0000C62A0000}"/>
    <cellStyle name="Standard 4 10 3 3 3 2" xfId="10774" xr:uid="{00000000-0005-0000-0000-0000C72A0000}"/>
    <cellStyle name="Standard 4 10 3 3 3 3" xfId="10775" xr:uid="{00000000-0005-0000-0000-0000C82A0000}"/>
    <cellStyle name="Standard 4 10 3 3 4" xfId="10776" xr:uid="{00000000-0005-0000-0000-0000C92A0000}"/>
    <cellStyle name="Standard 4 10 3 3 4 2" xfId="10777" xr:uid="{00000000-0005-0000-0000-0000CA2A0000}"/>
    <cellStyle name="Standard 4 10 3 3 5" xfId="10778" xr:uid="{00000000-0005-0000-0000-0000CB2A0000}"/>
    <cellStyle name="Standard 4 10 3 3 6" xfId="10779" xr:uid="{00000000-0005-0000-0000-0000CC2A0000}"/>
    <cellStyle name="Standard 4 10 3 4" xfId="10780" xr:uid="{00000000-0005-0000-0000-0000CD2A0000}"/>
    <cellStyle name="Standard 4 10 3 4 2" xfId="10781" xr:uid="{00000000-0005-0000-0000-0000CE2A0000}"/>
    <cellStyle name="Standard 4 10 3 4 3" xfId="10782" xr:uid="{00000000-0005-0000-0000-0000CF2A0000}"/>
    <cellStyle name="Standard 4 10 3 5" xfId="10783" xr:uid="{00000000-0005-0000-0000-0000D02A0000}"/>
    <cellStyle name="Standard 4 10 3 5 2" xfId="10784" xr:uid="{00000000-0005-0000-0000-0000D12A0000}"/>
    <cellStyle name="Standard 4 10 3 5 3" xfId="10785" xr:uid="{00000000-0005-0000-0000-0000D22A0000}"/>
    <cellStyle name="Standard 4 10 3 6" xfId="10786" xr:uid="{00000000-0005-0000-0000-0000D32A0000}"/>
    <cellStyle name="Standard 4 10 3 6 2" xfId="10787" xr:uid="{00000000-0005-0000-0000-0000D42A0000}"/>
    <cellStyle name="Standard 4 10 3 7" xfId="10788" xr:uid="{00000000-0005-0000-0000-0000D52A0000}"/>
    <cellStyle name="Standard 4 10 3 8" xfId="10789" xr:uid="{00000000-0005-0000-0000-0000D62A0000}"/>
    <cellStyle name="Standard 4 10 4" xfId="10790" xr:uid="{00000000-0005-0000-0000-0000D72A0000}"/>
    <cellStyle name="Standard 4 10 4 2" xfId="10791" xr:uid="{00000000-0005-0000-0000-0000D82A0000}"/>
    <cellStyle name="Standard 4 10 4 2 2" xfId="10792" xr:uid="{00000000-0005-0000-0000-0000D92A0000}"/>
    <cellStyle name="Standard 4 10 4 2 2 2" xfId="10793" xr:uid="{00000000-0005-0000-0000-0000DA2A0000}"/>
    <cellStyle name="Standard 4 10 4 2 2 3" xfId="10794" xr:uid="{00000000-0005-0000-0000-0000DB2A0000}"/>
    <cellStyle name="Standard 4 10 4 2 3" xfId="10795" xr:uid="{00000000-0005-0000-0000-0000DC2A0000}"/>
    <cellStyle name="Standard 4 10 4 2 3 2" xfId="10796" xr:uid="{00000000-0005-0000-0000-0000DD2A0000}"/>
    <cellStyle name="Standard 4 10 4 2 3 3" xfId="10797" xr:uid="{00000000-0005-0000-0000-0000DE2A0000}"/>
    <cellStyle name="Standard 4 10 4 2 4" xfId="10798" xr:uid="{00000000-0005-0000-0000-0000DF2A0000}"/>
    <cellStyle name="Standard 4 10 4 2 4 2" xfId="10799" xr:uid="{00000000-0005-0000-0000-0000E02A0000}"/>
    <cellStyle name="Standard 4 10 4 2 5" xfId="10800" xr:uid="{00000000-0005-0000-0000-0000E12A0000}"/>
    <cellStyle name="Standard 4 10 4 2 6" xfId="10801" xr:uid="{00000000-0005-0000-0000-0000E22A0000}"/>
    <cellStyle name="Standard 4 10 4 3" xfId="10802" xr:uid="{00000000-0005-0000-0000-0000E32A0000}"/>
    <cellStyle name="Standard 4 10 4 3 2" xfId="10803" xr:uid="{00000000-0005-0000-0000-0000E42A0000}"/>
    <cellStyle name="Standard 4 10 4 3 3" xfId="10804" xr:uid="{00000000-0005-0000-0000-0000E52A0000}"/>
    <cellStyle name="Standard 4 10 4 4" xfId="10805" xr:uid="{00000000-0005-0000-0000-0000E62A0000}"/>
    <cellStyle name="Standard 4 10 4 4 2" xfId="10806" xr:uid="{00000000-0005-0000-0000-0000E72A0000}"/>
    <cellStyle name="Standard 4 10 4 4 3" xfId="10807" xr:uid="{00000000-0005-0000-0000-0000E82A0000}"/>
    <cellStyle name="Standard 4 10 4 5" xfId="10808" xr:uid="{00000000-0005-0000-0000-0000E92A0000}"/>
    <cellStyle name="Standard 4 10 4 5 2" xfId="10809" xr:uid="{00000000-0005-0000-0000-0000EA2A0000}"/>
    <cellStyle name="Standard 4 10 4 6" xfId="10810" xr:uid="{00000000-0005-0000-0000-0000EB2A0000}"/>
    <cellStyle name="Standard 4 10 4 7" xfId="10811" xr:uid="{00000000-0005-0000-0000-0000EC2A0000}"/>
    <cellStyle name="Standard 4 10 5" xfId="10812" xr:uid="{00000000-0005-0000-0000-0000ED2A0000}"/>
    <cellStyle name="Standard 4 10 5 2" xfId="10813" xr:uid="{00000000-0005-0000-0000-0000EE2A0000}"/>
    <cellStyle name="Standard 4 10 5 2 2" xfId="10814" xr:uid="{00000000-0005-0000-0000-0000EF2A0000}"/>
    <cellStyle name="Standard 4 10 5 2 3" xfId="10815" xr:uid="{00000000-0005-0000-0000-0000F02A0000}"/>
    <cellStyle name="Standard 4 10 5 3" xfId="10816" xr:uid="{00000000-0005-0000-0000-0000F12A0000}"/>
    <cellStyle name="Standard 4 10 5 3 2" xfId="10817" xr:uid="{00000000-0005-0000-0000-0000F22A0000}"/>
    <cellStyle name="Standard 4 10 5 3 3" xfId="10818" xr:uid="{00000000-0005-0000-0000-0000F32A0000}"/>
    <cellStyle name="Standard 4 10 5 4" xfId="10819" xr:uid="{00000000-0005-0000-0000-0000F42A0000}"/>
    <cellStyle name="Standard 4 10 5 4 2" xfId="10820" xr:uid="{00000000-0005-0000-0000-0000F52A0000}"/>
    <cellStyle name="Standard 4 10 5 5" xfId="10821" xr:uid="{00000000-0005-0000-0000-0000F62A0000}"/>
    <cellStyle name="Standard 4 10 5 6" xfId="10822" xr:uid="{00000000-0005-0000-0000-0000F72A0000}"/>
    <cellStyle name="Standard 4 10 6" xfId="10823" xr:uid="{00000000-0005-0000-0000-0000F82A0000}"/>
    <cellStyle name="Standard 4 10 6 2" xfId="10824" xr:uid="{00000000-0005-0000-0000-0000F92A0000}"/>
    <cellStyle name="Standard 4 10 6 3" xfId="10825" xr:uid="{00000000-0005-0000-0000-0000FA2A0000}"/>
    <cellStyle name="Standard 4 10 7" xfId="10826" xr:uid="{00000000-0005-0000-0000-0000FB2A0000}"/>
    <cellStyle name="Standard 4 10 7 2" xfId="10827" xr:uid="{00000000-0005-0000-0000-0000FC2A0000}"/>
    <cellStyle name="Standard 4 10 7 3" xfId="10828" xr:uid="{00000000-0005-0000-0000-0000FD2A0000}"/>
    <cellStyle name="Standard 4 10 8" xfId="10829" xr:uid="{00000000-0005-0000-0000-0000FE2A0000}"/>
    <cellStyle name="Standard 4 10 8 2" xfId="10830" xr:uid="{00000000-0005-0000-0000-0000FF2A0000}"/>
    <cellStyle name="Standard 4 10 9" xfId="10831" xr:uid="{00000000-0005-0000-0000-0000002B0000}"/>
    <cellStyle name="Standard 4 11" xfId="10832" xr:uid="{00000000-0005-0000-0000-0000012B0000}"/>
    <cellStyle name="Standard 4 11 2" xfId="10833" xr:uid="{00000000-0005-0000-0000-0000022B0000}"/>
    <cellStyle name="Standard 4 11 2 2" xfId="10834" xr:uid="{00000000-0005-0000-0000-0000032B0000}"/>
    <cellStyle name="Standard 4 11 2 2 2" xfId="10835" xr:uid="{00000000-0005-0000-0000-0000042B0000}"/>
    <cellStyle name="Standard 4 11 2 2 2 2" xfId="10836" xr:uid="{00000000-0005-0000-0000-0000052B0000}"/>
    <cellStyle name="Standard 4 11 2 2 2 2 2" xfId="10837" xr:uid="{00000000-0005-0000-0000-0000062B0000}"/>
    <cellStyle name="Standard 4 11 2 2 2 2 3" xfId="10838" xr:uid="{00000000-0005-0000-0000-0000072B0000}"/>
    <cellStyle name="Standard 4 11 2 2 2 3" xfId="10839" xr:uid="{00000000-0005-0000-0000-0000082B0000}"/>
    <cellStyle name="Standard 4 11 2 2 2 3 2" xfId="10840" xr:uid="{00000000-0005-0000-0000-0000092B0000}"/>
    <cellStyle name="Standard 4 11 2 2 2 3 3" xfId="10841" xr:uid="{00000000-0005-0000-0000-00000A2B0000}"/>
    <cellStyle name="Standard 4 11 2 2 2 4" xfId="10842" xr:uid="{00000000-0005-0000-0000-00000B2B0000}"/>
    <cellStyle name="Standard 4 11 2 2 2 4 2" xfId="10843" xr:uid="{00000000-0005-0000-0000-00000C2B0000}"/>
    <cellStyle name="Standard 4 11 2 2 2 5" xfId="10844" xr:uid="{00000000-0005-0000-0000-00000D2B0000}"/>
    <cellStyle name="Standard 4 11 2 2 2 6" xfId="10845" xr:uid="{00000000-0005-0000-0000-00000E2B0000}"/>
    <cellStyle name="Standard 4 11 2 2 3" xfId="10846" xr:uid="{00000000-0005-0000-0000-00000F2B0000}"/>
    <cellStyle name="Standard 4 11 2 2 3 2" xfId="10847" xr:uid="{00000000-0005-0000-0000-0000102B0000}"/>
    <cellStyle name="Standard 4 11 2 2 3 3" xfId="10848" xr:uid="{00000000-0005-0000-0000-0000112B0000}"/>
    <cellStyle name="Standard 4 11 2 2 4" xfId="10849" xr:uid="{00000000-0005-0000-0000-0000122B0000}"/>
    <cellStyle name="Standard 4 11 2 2 4 2" xfId="10850" xr:uid="{00000000-0005-0000-0000-0000132B0000}"/>
    <cellStyle name="Standard 4 11 2 2 4 3" xfId="10851" xr:uid="{00000000-0005-0000-0000-0000142B0000}"/>
    <cellStyle name="Standard 4 11 2 2 5" xfId="10852" xr:uid="{00000000-0005-0000-0000-0000152B0000}"/>
    <cellStyle name="Standard 4 11 2 2 5 2" xfId="10853" xr:uid="{00000000-0005-0000-0000-0000162B0000}"/>
    <cellStyle name="Standard 4 11 2 2 6" xfId="10854" xr:uid="{00000000-0005-0000-0000-0000172B0000}"/>
    <cellStyle name="Standard 4 11 2 2 7" xfId="10855" xr:uid="{00000000-0005-0000-0000-0000182B0000}"/>
    <cellStyle name="Standard 4 11 2 3" xfId="10856" xr:uid="{00000000-0005-0000-0000-0000192B0000}"/>
    <cellStyle name="Standard 4 11 2 3 2" xfId="10857" xr:uid="{00000000-0005-0000-0000-00001A2B0000}"/>
    <cellStyle name="Standard 4 11 2 3 2 2" xfId="10858" xr:uid="{00000000-0005-0000-0000-00001B2B0000}"/>
    <cellStyle name="Standard 4 11 2 3 2 3" xfId="10859" xr:uid="{00000000-0005-0000-0000-00001C2B0000}"/>
    <cellStyle name="Standard 4 11 2 3 3" xfId="10860" xr:uid="{00000000-0005-0000-0000-00001D2B0000}"/>
    <cellStyle name="Standard 4 11 2 3 3 2" xfId="10861" xr:uid="{00000000-0005-0000-0000-00001E2B0000}"/>
    <cellStyle name="Standard 4 11 2 3 3 3" xfId="10862" xr:uid="{00000000-0005-0000-0000-00001F2B0000}"/>
    <cellStyle name="Standard 4 11 2 3 4" xfId="10863" xr:uid="{00000000-0005-0000-0000-0000202B0000}"/>
    <cellStyle name="Standard 4 11 2 3 4 2" xfId="10864" xr:uid="{00000000-0005-0000-0000-0000212B0000}"/>
    <cellStyle name="Standard 4 11 2 3 5" xfId="10865" xr:uid="{00000000-0005-0000-0000-0000222B0000}"/>
    <cellStyle name="Standard 4 11 2 3 6" xfId="10866" xr:uid="{00000000-0005-0000-0000-0000232B0000}"/>
    <cellStyle name="Standard 4 11 2 4" xfId="10867" xr:uid="{00000000-0005-0000-0000-0000242B0000}"/>
    <cellStyle name="Standard 4 11 2 4 2" xfId="10868" xr:uid="{00000000-0005-0000-0000-0000252B0000}"/>
    <cellStyle name="Standard 4 11 2 4 3" xfId="10869" xr:uid="{00000000-0005-0000-0000-0000262B0000}"/>
    <cellStyle name="Standard 4 11 2 5" xfId="10870" xr:uid="{00000000-0005-0000-0000-0000272B0000}"/>
    <cellStyle name="Standard 4 11 2 5 2" xfId="10871" xr:uid="{00000000-0005-0000-0000-0000282B0000}"/>
    <cellStyle name="Standard 4 11 2 5 3" xfId="10872" xr:uid="{00000000-0005-0000-0000-0000292B0000}"/>
    <cellStyle name="Standard 4 11 2 6" xfId="10873" xr:uid="{00000000-0005-0000-0000-00002A2B0000}"/>
    <cellStyle name="Standard 4 11 2 6 2" xfId="10874" xr:uid="{00000000-0005-0000-0000-00002B2B0000}"/>
    <cellStyle name="Standard 4 11 2 7" xfId="10875" xr:uid="{00000000-0005-0000-0000-00002C2B0000}"/>
    <cellStyle name="Standard 4 11 2 8" xfId="10876" xr:uid="{00000000-0005-0000-0000-00002D2B0000}"/>
    <cellStyle name="Standard 4 11 3" xfId="10877" xr:uid="{00000000-0005-0000-0000-00002E2B0000}"/>
    <cellStyle name="Standard 4 11 3 2" xfId="10878" xr:uid="{00000000-0005-0000-0000-00002F2B0000}"/>
    <cellStyle name="Standard 4 11 3 2 2" xfId="10879" xr:uid="{00000000-0005-0000-0000-0000302B0000}"/>
    <cellStyle name="Standard 4 11 3 2 2 2" xfId="10880" xr:uid="{00000000-0005-0000-0000-0000312B0000}"/>
    <cellStyle name="Standard 4 11 3 2 2 3" xfId="10881" xr:uid="{00000000-0005-0000-0000-0000322B0000}"/>
    <cellStyle name="Standard 4 11 3 2 3" xfId="10882" xr:uid="{00000000-0005-0000-0000-0000332B0000}"/>
    <cellStyle name="Standard 4 11 3 2 3 2" xfId="10883" xr:uid="{00000000-0005-0000-0000-0000342B0000}"/>
    <cellStyle name="Standard 4 11 3 2 3 3" xfId="10884" xr:uid="{00000000-0005-0000-0000-0000352B0000}"/>
    <cellStyle name="Standard 4 11 3 2 4" xfId="10885" xr:uid="{00000000-0005-0000-0000-0000362B0000}"/>
    <cellStyle name="Standard 4 11 3 2 4 2" xfId="10886" xr:uid="{00000000-0005-0000-0000-0000372B0000}"/>
    <cellStyle name="Standard 4 11 3 2 5" xfId="10887" xr:uid="{00000000-0005-0000-0000-0000382B0000}"/>
    <cellStyle name="Standard 4 11 3 2 6" xfId="10888" xr:uid="{00000000-0005-0000-0000-0000392B0000}"/>
    <cellStyle name="Standard 4 11 3 3" xfId="10889" xr:uid="{00000000-0005-0000-0000-00003A2B0000}"/>
    <cellStyle name="Standard 4 11 3 3 2" xfId="10890" xr:uid="{00000000-0005-0000-0000-00003B2B0000}"/>
    <cellStyle name="Standard 4 11 3 3 3" xfId="10891" xr:uid="{00000000-0005-0000-0000-00003C2B0000}"/>
    <cellStyle name="Standard 4 11 3 4" xfId="10892" xr:uid="{00000000-0005-0000-0000-00003D2B0000}"/>
    <cellStyle name="Standard 4 11 3 4 2" xfId="10893" xr:uid="{00000000-0005-0000-0000-00003E2B0000}"/>
    <cellStyle name="Standard 4 11 3 4 3" xfId="10894" xr:uid="{00000000-0005-0000-0000-00003F2B0000}"/>
    <cellStyle name="Standard 4 11 3 5" xfId="10895" xr:uid="{00000000-0005-0000-0000-0000402B0000}"/>
    <cellStyle name="Standard 4 11 3 5 2" xfId="10896" xr:uid="{00000000-0005-0000-0000-0000412B0000}"/>
    <cellStyle name="Standard 4 11 3 6" xfId="10897" xr:uid="{00000000-0005-0000-0000-0000422B0000}"/>
    <cellStyle name="Standard 4 11 3 7" xfId="10898" xr:uid="{00000000-0005-0000-0000-0000432B0000}"/>
    <cellStyle name="Standard 4 11 4" xfId="10899" xr:uid="{00000000-0005-0000-0000-0000442B0000}"/>
    <cellStyle name="Standard 4 11 4 2" xfId="10900" xr:uid="{00000000-0005-0000-0000-0000452B0000}"/>
    <cellStyle name="Standard 4 11 4 2 2" xfId="10901" xr:uid="{00000000-0005-0000-0000-0000462B0000}"/>
    <cellStyle name="Standard 4 11 4 2 3" xfId="10902" xr:uid="{00000000-0005-0000-0000-0000472B0000}"/>
    <cellStyle name="Standard 4 11 4 3" xfId="10903" xr:uid="{00000000-0005-0000-0000-0000482B0000}"/>
    <cellStyle name="Standard 4 11 4 3 2" xfId="10904" xr:uid="{00000000-0005-0000-0000-0000492B0000}"/>
    <cellStyle name="Standard 4 11 4 3 3" xfId="10905" xr:uid="{00000000-0005-0000-0000-00004A2B0000}"/>
    <cellStyle name="Standard 4 11 4 4" xfId="10906" xr:uid="{00000000-0005-0000-0000-00004B2B0000}"/>
    <cellStyle name="Standard 4 11 4 4 2" xfId="10907" xr:uid="{00000000-0005-0000-0000-00004C2B0000}"/>
    <cellStyle name="Standard 4 11 4 5" xfId="10908" xr:uid="{00000000-0005-0000-0000-00004D2B0000}"/>
    <cellStyle name="Standard 4 11 4 6" xfId="10909" xr:uid="{00000000-0005-0000-0000-00004E2B0000}"/>
    <cellStyle name="Standard 4 11 5" xfId="10910" xr:uid="{00000000-0005-0000-0000-00004F2B0000}"/>
    <cellStyle name="Standard 4 11 5 2" xfId="10911" xr:uid="{00000000-0005-0000-0000-0000502B0000}"/>
    <cellStyle name="Standard 4 11 5 3" xfId="10912" xr:uid="{00000000-0005-0000-0000-0000512B0000}"/>
    <cellStyle name="Standard 4 11 6" xfId="10913" xr:uid="{00000000-0005-0000-0000-0000522B0000}"/>
    <cellStyle name="Standard 4 11 6 2" xfId="10914" xr:uid="{00000000-0005-0000-0000-0000532B0000}"/>
    <cellStyle name="Standard 4 11 6 3" xfId="10915" xr:uid="{00000000-0005-0000-0000-0000542B0000}"/>
    <cellStyle name="Standard 4 11 7" xfId="10916" xr:uid="{00000000-0005-0000-0000-0000552B0000}"/>
    <cellStyle name="Standard 4 11 7 2" xfId="10917" xr:uid="{00000000-0005-0000-0000-0000562B0000}"/>
    <cellStyle name="Standard 4 11 8" xfId="10918" xr:uid="{00000000-0005-0000-0000-0000572B0000}"/>
    <cellStyle name="Standard 4 11 9" xfId="10919" xr:uid="{00000000-0005-0000-0000-0000582B0000}"/>
    <cellStyle name="Standard 4 12" xfId="10920" xr:uid="{00000000-0005-0000-0000-0000592B0000}"/>
    <cellStyle name="Standard 4 12 2" xfId="10921" xr:uid="{00000000-0005-0000-0000-00005A2B0000}"/>
    <cellStyle name="Standard 4 12 2 2" xfId="10922" xr:uid="{00000000-0005-0000-0000-00005B2B0000}"/>
    <cellStyle name="Standard 4 12 2 2 2" xfId="10923" xr:uid="{00000000-0005-0000-0000-00005C2B0000}"/>
    <cellStyle name="Standard 4 12 2 2 2 2" xfId="10924" xr:uid="{00000000-0005-0000-0000-00005D2B0000}"/>
    <cellStyle name="Standard 4 12 2 2 2 3" xfId="10925" xr:uid="{00000000-0005-0000-0000-00005E2B0000}"/>
    <cellStyle name="Standard 4 12 2 2 3" xfId="10926" xr:uid="{00000000-0005-0000-0000-00005F2B0000}"/>
    <cellStyle name="Standard 4 12 2 2 3 2" xfId="10927" xr:uid="{00000000-0005-0000-0000-0000602B0000}"/>
    <cellStyle name="Standard 4 12 2 2 3 3" xfId="10928" xr:uid="{00000000-0005-0000-0000-0000612B0000}"/>
    <cellStyle name="Standard 4 12 2 2 4" xfId="10929" xr:uid="{00000000-0005-0000-0000-0000622B0000}"/>
    <cellStyle name="Standard 4 12 2 2 4 2" xfId="10930" xr:uid="{00000000-0005-0000-0000-0000632B0000}"/>
    <cellStyle name="Standard 4 12 2 2 5" xfId="10931" xr:uid="{00000000-0005-0000-0000-0000642B0000}"/>
    <cellStyle name="Standard 4 12 2 2 6" xfId="10932" xr:uid="{00000000-0005-0000-0000-0000652B0000}"/>
    <cellStyle name="Standard 4 12 2 3" xfId="10933" xr:uid="{00000000-0005-0000-0000-0000662B0000}"/>
    <cellStyle name="Standard 4 12 2 3 2" xfId="10934" xr:uid="{00000000-0005-0000-0000-0000672B0000}"/>
    <cellStyle name="Standard 4 12 2 3 3" xfId="10935" xr:uid="{00000000-0005-0000-0000-0000682B0000}"/>
    <cellStyle name="Standard 4 12 2 4" xfId="10936" xr:uid="{00000000-0005-0000-0000-0000692B0000}"/>
    <cellStyle name="Standard 4 12 2 4 2" xfId="10937" xr:uid="{00000000-0005-0000-0000-00006A2B0000}"/>
    <cellStyle name="Standard 4 12 2 4 3" xfId="10938" xr:uid="{00000000-0005-0000-0000-00006B2B0000}"/>
    <cellStyle name="Standard 4 12 2 5" xfId="10939" xr:uid="{00000000-0005-0000-0000-00006C2B0000}"/>
    <cellStyle name="Standard 4 12 2 5 2" xfId="10940" xr:uid="{00000000-0005-0000-0000-00006D2B0000}"/>
    <cellStyle name="Standard 4 12 2 6" xfId="10941" xr:uid="{00000000-0005-0000-0000-00006E2B0000}"/>
    <cellStyle name="Standard 4 12 2 7" xfId="10942" xr:uid="{00000000-0005-0000-0000-00006F2B0000}"/>
    <cellStyle name="Standard 4 12 3" xfId="10943" xr:uid="{00000000-0005-0000-0000-0000702B0000}"/>
    <cellStyle name="Standard 4 12 3 2" xfId="10944" xr:uid="{00000000-0005-0000-0000-0000712B0000}"/>
    <cellStyle name="Standard 4 12 3 2 2" xfId="10945" xr:uid="{00000000-0005-0000-0000-0000722B0000}"/>
    <cellStyle name="Standard 4 12 3 2 3" xfId="10946" xr:uid="{00000000-0005-0000-0000-0000732B0000}"/>
    <cellStyle name="Standard 4 12 3 3" xfId="10947" xr:uid="{00000000-0005-0000-0000-0000742B0000}"/>
    <cellStyle name="Standard 4 12 3 3 2" xfId="10948" xr:uid="{00000000-0005-0000-0000-0000752B0000}"/>
    <cellStyle name="Standard 4 12 3 3 3" xfId="10949" xr:uid="{00000000-0005-0000-0000-0000762B0000}"/>
    <cellStyle name="Standard 4 12 3 4" xfId="10950" xr:uid="{00000000-0005-0000-0000-0000772B0000}"/>
    <cellStyle name="Standard 4 12 3 4 2" xfId="10951" xr:uid="{00000000-0005-0000-0000-0000782B0000}"/>
    <cellStyle name="Standard 4 12 3 5" xfId="10952" xr:uid="{00000000-0005-0000-0000-0000792B0000}"/>
    <cellStyle name="Standard 4 12 3 6" xfId="10953" xr:uid="{00000000-0005-0000-0000-00007A2B0000}"/>
    <cellStyle name="Standard 4 12 4" xfId="10954" xr:uid="{00000000-0005-0000-0000-00007B2B0000}"/>
    <cellStyle name="Standard 4 12 4 2" xfId="10955" xr:uid="{00000000-0005-0000-0000-00007C2B0000}"/>
    <cellStyle name="Standard 4 12 4 3" xfId="10956" xr:uid="{00000000-0005-0000-0000-00007D2B0000}"/>
    <cellStyle name="Standard 4 12 5" xfId="10957" xr:uid="{00000000-0005-0000-0000-00007E2B0000}"/>
    <cellStyle name="Standard 4 12 5 2" xfId="10958" xr:uid="{00000000-0005-0000-0000-00007F2B0000}"/>
    <cellStyle name="Standard 4 12 5 3" xfId="10959" xr:uid="{00000000-0005-0000-0000-0000802B0000}"/>
    <cellStyle name="Standard 4 12 6" xfId="10960" xr:uid="{00000000-0005-0000-0000-0000812B0000}"/>
    <cellStyle name="Standard 4 12 6 2" xfId="10961" xr:uid="{00000000-0005-0000-0000-0000822B0000}"/>
    <cellStyle name="Standard 4 12 7" xfId="10962" xr:uid="{00000000-0005-0000-0000-0000832B0000}"/>
    <cellStyle name="Standard 4 12 8" xfId="10963" xr:uid="{00000000-0005-0000-0000-0000842B0000}"/>
    <cellStyle name="Standard 4 13" xfId="10964" xr:uid="{00000000-0005-0000-0000-0000852B0000}"/>
    <cellStyle name="Standard 4 13 2" xfId="10965" xr:uid="{00000000-0005-0000-0000-0000862B0000}"/>
    <cellStyle name="Standard 4 13 2 2" xfId="10966" xr:uid="{00000000-0005-0000-0000-0000872B0000}"/>
    <cellStyle name="Standard 4 13 2 2 2" xfId="10967" xr:uid="{00000000-0005-0000-0000-0000882B0000}"/>
    <cellStyle name="Standard 4 13 2 2 3" xfId="10968" xr:uid="{00000000-0005-0000-0000-0000892B0000}"/>
    <cellStyle name="Standard 4 13 2 3" xfId="10969" xr:uid="{00000000-0005-0000-0000-00008A2B0000}"/>
    <cellStyle name="Standard 4 13 2 3 2" xfId="10970" xr:uid="{00000000-0005-0000-0000-00008B2B0000}"/>
    <cellStyle name="Standard 4 13 2 3 3" xfId="10971" xr:uid="{00000000-0005-0000-0000-00008C2B0000}"/>
    <cellStyle name="Standard 4 13 2 4" xfId="10972" xr:uid="{00000000-0005-0000-0000-00008D2B0000}"/>
    <cellStyle name="Standard 4 13 2 4 2" xfId="10973" xr:uid="{00000000-0005-0000-0000-00008E2B0000}"/>
    <cellStyle name="Standard 4 13 2 5" xfId="10974" xr:uid="{00000000-0005-0000-0000-00008F2B0000}"/>
    <cellStyle name="Standard 4 13 2 6" xfId="10975" xr:uid="{00000000-0005-0000-0000-0000902B0000}"/>
    <cellStyle name="Standard 4 13 3" xfId="10976" xr:uid="{00000000-0005-0000-0000-0000912B0000}"/>
    <cellStyle name="Standard 4 13 3 2" xfId="10977" xr:uid="{00000000-0005-0000-0000-0000922B0000}"/>
    <cellStyle name="Standard 4 13 3 3" xfId="10978" xr:uid="{00000000-0005-0000-0000-0000932B0000}"/>
    <cellStyle name="Standard 4 13 4" xfId="10979" xr:uid="{00000000-0005-0000-0000-0000942B0000}"/>
    <cellStyle name="Standard 4 13 4 2" xfId="10980" xr:uid="{00000000-0005-0000-0000-0000952B0000}"/>
    <cellStyle name="Standard 4 13 4 3" xfId="10981" xr:uid="{00000000-0005-0000-0000-0000962B0000}"/>
    <cellStyle name="Standard 4 13 5" xfId="10982" xr:uid="{00000000-0005-0000-0000-0000972B0000}"/>
    <cellStyle name="Standard 4 13 5 2" xfId="10983" xr:uid="{00000000-0005-0000-0000-0000982B0000}"/>
    <cellStyle name="Standard 4 13 6" xfId="10984" xr:uid="{00000000-0005-0000-0000-0000992B0000}"/>
    <cellStyle name="Standard 4 13 7" xfId="10985" xr:uid="{00000000-0005-0000-0000-00009A2B0000}"/>
    <cellStyle name="Standard 4 14" xfId="10986" xr:uid="{00000000-0005-0000-0000-00009B2B0000}"/>
    <cellStyle name="Standard 4 14 2" xfId="10987" xr:uid="{00000000-0005-0000-0000-00009C2B0000}"/>
    <cellStyle name="Standard 4 14 2 2" xfId="10988" xr:uid="{00000000-0005-0000-0000-00009D2B0000}"/>
    <cellStyle name="Standard 4 14 2 3" xfId="10989" xr:uid="{00000000-0005-0000-0000-00009E2B0000}"/>
    <cellStyle name="Standard 4 14 3" xfId="10990" xr:uid="{00000000-0005-0000-0000-00009F2B0000}"/>
    <cellStyle name="Standard 4 14 3 2" xfId="10991" xr:uid="{00000000-0005-0000-0000-0000A02B0000}"/>
    <cellStyle name="Standard 4 14 3 3" xfId="10992" xr:uid="{00000000-0005-0000-0000-0000A12B0000}"/>
    <cellStyle name="Standard 4 14 4" xfId="10993" xr:uid="{00000000-0005-0000-0000-0000A22B0000}"/>
    <cellStyle name="Standard 4 14 4 2" xfId="10994" xr:uid="{00000000-0005-0000-0000-0000A32B0000}"/>
    <cellStyle name="Standard 4 14 5" xfId="10995" xr:uid="{00000000-0005-0000-0000-0000A42B0000}"/>
    <cellStyle name="Standard 4 14 6" xfId="10996" xr:uid="{00000000-0005-0000-0000-0000A52B0000}"/>
    <cellStyle name="Standard 4 15" xfId="10997" xr:uid="{00000000-0005-0000-0000-0000A62B0000}"/>
    <cellStyle name="Standard 4 15 2" xfId="10998" xr:uid="{00000000-0005-0000-0000-0000A72B0000}"/>
    <cellStyle name="Standard 4 15 3" xfId="10999" xr:uid="{00000000-0005-0000-0000-0000A82B0000}"/>
    <cellStyle name="Standard 4 16" xfId="11000" xr:uid="{00000000-0005-0000-0000-0000A92B0000}"/>
    <cellStyle name="Standard 4 16 2" xfId="11001" xr:uid="{00000000-0005-0000-0000-0000AA2B0000}"/>
    <cellStyle name="Standard 4 16 3" xfId="11002" xr:uid="{00000000-0005-0000-0000-0000AB2B0000}"/>
    <cellStyle name="Standard 4 17" xfId="11003" xr:uid="{00000000-0005-0000-0000-0000AC2B0000}"/>
    <cellStyle name="Standard 4 17 2" xfId="11004" xr:uid="{00000000-0005-0000-0000-0000AD2B0000}"/>
    <cellStyle name="Standard 4 18" xfId="11005" xr:uid="{00000000-0005-0000-0000-0000AE2B0000}"/>
    <cellStyle name="Standard 4 19" xfId="11006" xr:uid="{00000000-0005-0000-0000-0000AF2B0000}"/>
    <cellStyle name="Standard 4 2" xfId="584" xr:uid="{00000000-0005-0000-0000-0000B02B0000}"/>
    <cellStyle name="Standard 4 2 10" xfId="11007" xr:uid="{00000000-0005-0000-0000-0000B12B0000}"/>
    <cellStyle name="Standard 4 2 10 2" xfId="11008" xr:uid="{00000000-0005-0000-0000-0000B22B0000}"/>
    <cellStyle name="Standard 4 2 10 2 2" xfId="11009" xr:uid="{00000000-0005-0000-0000-0000B32B0000}"/>
    <cellStyle name="Standard 4 2 10 2 2 2" xfId="11010" xr:uid="{00000000-0005-0000-0000-0000B42B0000}"/>
    <cellStyle name="Standard 4 2 10 2 2 2 2" xfId="11011" xr:uid="{00000000-0005-0000-0000-0000B52B0000}"/>
    <cellStyle name="Standard 4 2 10 2 2 2 3" xfId="11012" xr:uid="{00000000-0005-0000-0000-0000B62B0000}"/>
    <cellStyle name="Standard 4 2 10 2 2 3" xfId="11013" xr:uid="{00000000-0005-0000-0000-0000B72B0000}"/>
    <cellStyle name="Standard 4 2 10 2 2 3 2" xfId="11014" xr:uid="{00000000-0005-0000-0000-0000B82B0000}"/>
    <cellStyle name="Standard 4 2 10 2 2 3 3" xfId="11015" xr:uid="{00000000-0005-0000-0000-0000B92B0000}"/>
    <cellStyle name="Standard 4 2 10 2 2 4" xfId="11016" xr:uid="{00000000-0005-0000-0000-0000BA2B0000}"/>
    <cellStyle name="Standard 4 2 10 2 2 4 2" xfId="11017" xr:uid="{00000000-0005-0000-0000-0000BB2B0000}"/>
    <cellStyle name="Standard 4 2 10 2 2 5" xfId="11018" xr:uid="{00000000-0005-0000-0000-0000BC2B0000}"/>
    <cellStyle name="Standard 4 2 10 2 2 6" xfId="11019" xr:uid="{00000000-0005-0000-0000-0000BD2B0000}"/>
    <cellStyle name="Standard 4 2 10 2 3" xfId="11020" xr:uid="{00000000-0005-0000-0000-0000BE2B0000}"/>
    <cellStyle name="Standard 4 2 10 2 3 2" xfId="11021" xr:uid="{00000000-0005-0000-0000-0000BF2B0000}"/>
    <cellStyle name="Standard 4 2 10 2 3 3" xfId="11022" xr:uid="{00000000-0005-0000-0000-0000C02B0000}"/>
    <cellStyle name="Standard 4 2 10 2 4" xfId="11023" xr:uid="{00000000-0005-0000-0000-0000C12B0000}"/>
    <cellStyle name="Standard 4 2 10 2 4 2" xfId="11024" xr:uid="{00000000-0005-0000-0000-0000C22B0000}"/>
    <cellStyle name="Standard 4 2 10 2 4 3" xfId="11025" xr:uid="{00000000-0005-0000-0000-0000C32B0000}"/>
    <cellStyle name="Standard 4 2 10 2 5" xfId="11026" xr:uid="{00000000-0005-0000-0000-0000C42B0000}"/>
    <cellStyle name="Standard 4 2 10 2 5 2" xfId="11027" xr:uid="{00000000-0005-0000-0000-0000C52B0000}"/>
    <cellStyle name="Standard 4 2 10 2 6" xfId="11028" xr:uid="{00000000-0005-0000-0000-0000C62B0000}"/>
    <cellStyle name="Standard 4 2 10 2 7" xfId="11029" xr:uid="{00000000-0005-0000-0000-0000C72B0000}"/>
    <cellStyle name="Standard 4 2 10 3" xfId="11030" xr:uid="{00000000-0005-0000-0000-0000C82B0000}"/>
    <cellStyle name="Standard 4 2 10 3 2" xfId="11031" xr:uid="{00000000-0005-0000-0000-0000C92B0000}"/>
    <cellStyle name="Standard 4 2 10 3 2 2" xfId="11032" xr:uid="{00000000-0005-0000-0000-0000CA2B0000}"/>
    <cellStyle name="Standard 4 2 10 3 2 3" xfId="11033" xr:uid="{00000000-0005-0000-0000-0000CB2B0000}"/>
    <cellStyle name="Standard 4 2 10 3 3" xfId="11034" xr:uid="{00000000-0005-0000-0000-0000CC2B0000}"/>
    <cellStyle name="Standard 4 2 10 3 3 2" xfId="11035" xr:uid="{00000000-0005-0000-0000-0000CD2B0000}"/>
    <cellStyle name="Standard 4 2 10 3 3 3" xfId="11036" xr:uid="{00000000-0005-0000-0000-0000CE2B0000}"/>
    <cellStyle name="Standard 4 2 10 3 4" xfId="11037" xr:uid="{00000000-0005-0000-0000-0000CF2B0000}"/>
    <cellStyle name="Standard 4 2 10 3 4 2" xfId="11038" xr:uid="{00000000-0005-0000-0000-0000D02B0000}"/>
    <cellStyle name="Standard 4 2 10 3 5" xfId="11039" xr:uid="{00000000-0005-0000-0000-0000D12B0000}"/>
    <cellStyle name="Standard 4 2 10 3 6" xfId="11040" xr:uid="{00000000-0005-0000-0000-0000D22B0000}"/>
    <cellStyle name="Standard 4 2 10 4" xfId="11041" xr:uid="{00000000-0005-0000-0000-0000D32B0000}"/>
    <cellStyle name="Standard 4 2 10 4 2" xfId="11042" xr:uid="{00000000-0005-0000-0000-0000D42B0000}"/>
    <cellStyle name="Standard 4 2 10 4 3" xfId="11043" xr:uid="{00000000-0005-0000-0000-0000D52B0000}"/>
    <cellStyle name="Standard 4 2 10 5" xfId="11044" xr:uid="{00000000-0005-0000-0000-0000D62B0000}"/>
    <cellStyle name="Standard 4 2 10 5 2" xfId="11045" xr:uid="{00000000-0005-0000-0000-0000D72B0000}"/>
    <cellStyle name="Standard 4 2 10 5 3" xfId="11046" xr:uid="{00000000-0005-0000-0000-0000D82B0000}"/>
    <cellStyle name="Standard 4 2 10 6" xfId="11047" xr:uid="{00000000-0005-0000-0000-0000D92B0000}"/>
    <cellStyle name="Standard 4 2 10 6 2" xfId="11048" xr:uid="{00000000-0005-0000-0000-0000DA2B0000}"/>
    <cellStyle name="Standard 4 2 10 7" xfId="11049" xr:uid="{00000000-0005-0000-0000-0000DB2B0000}"/>
    <cellStyle name="Standard 4 2 10 8" xfId="11050" xr:uid="{00000000-0005-0000-0000-0000DC2B0000}"/>
    <cellStyle name="Standard 4 2 11" xfId="11051" xr:uid="{00000000-0005-0000-0000-0000DD2B0000}"/>
    <cellStyle name="Standard 4 2 11 2" xfId="11052" xr:uid="{00000000-0005-0000-0000-0000DE2B0000}"/>
    <cellStyle name="Standard 4 2 11 2 2" xfId="11053" xr:uid="{00000000-0005-0000-0000-0000DF2B0000}"/>
    <cellStyle name="Standard 4 2 11 2 2 2" xfId="11054" xr:uid="{00000000-0005-0000-0000-0000E02B0000}"/>
    <cellStyle name="Standard 4 2 11 2 2 3" xfId="11055" xr:uid="{00000000-0005-0000-0000-0000E12B0000}"/>
    <cellStyle name="Standard 4 2 11 2 3" xfId="11056" xr:uid="{00000000-0005-0000-0000-0000E22B0000}"/>
    <cellStyle name="Standard 4 2 11 2 3 2" xfId="11057" xr:uid="{00000000-0005-0000-0000-0000E32B0000}"/>
    <cellStyle name="Standard 4 2 11 2 3 3" xfId="11058" xr:uid="{00000000-0005-0000-0000-0000E42B0000}"/>
    <cellStyle name="Standard 4 2 11 2 4" xfId="11059" xr:uid="{00000000-0005-0000-0000-0000E52B0000}"/>
    <cellStyle name="Standard 4 2 11 2 4 2" xfId="11060" xr:uid="{00000000-0005-0000-0000-0000E62B0000}"/>
    <cellStyle name="Standard 4 2 11 2 5" xfId="11061" xr:uid="{00000000-0005-0000-0000-0000E72B0000}"/>
    <cellStyle name="Standard 4 2 11 2 6" xfId="11062" xr:uid="{00000000-0005-0000-0000-0000E82B0000}"/>
    <cellStyle name="Standard 4 2 11 3" xfId="11063" xr:uid="{00000000-0005-0000-0000-0000E92B0000}"/>
    <cellStyle name="Standard 4 2 11 3 2" xfId="11064" xr:uid="{00000000-0005-0000-0000-0000EA2B0000}"/>
    <cellStyle name="Standard 4 2 11 3 3" xfId="11065" xr:uid="{00000000-0005-0000-0000-0000EB2B0000}"/>
    <cellStyle name="Standard 4 2 11 4" xfId="11066" xr:uid="{00000000-0005-0000-0000-0000EC2B0000}"/>
    <cellStyle name="Standard 4 2 11 4 2" xfId="11067" xr:uid="{00000000-0005-0000-0000-0000ED2B0000}"/>
    <cellStyle name="Standard 4 2 11 4 3" xfId="11068" xr:uid="{00000000-0005-0000-0000-0000EE2B0000}"/>
    <cellStyle name="Standard 4 2 11 5" xfId="11069" xr:uid="{00000000-0005-0000-0000-0000EF2B0000}"/>
    <cellStyle name="Standard 4 2 11 5 2" xfId="11070" xr:uid="{00000000-0005-0000-0000-0000F02B0000}"/>
    <cellStyle name="Standard 4 2 11 6" xfId="11071" xr:uid="{00000000-0005-0000-0000-0000F12B0000}"/>
    <cellStyle name="Standard 4 2 11 7" xfId="11072" xr:uid="{00000000-0005-0000-0000-0000F22B0000}"/>
    <cellStyle name="Standard 4 2 12" xfId="11073" xr:uid="{00000000-0005-0000-0000-0000F32B0000}"/>
    <cellStyle name="Standard 4 2 12 2" xfId="11074" xr:uid="{00000000-0005-0000-0000-0000F42B0000}"/>
    <cellStyle name="Standard 4 2 12 2 2" xfId="11075" xr:uid="{00000000-0005-0000-0000-0000F52B0000}"/>
    <cellStyle name="Standard 4 2 12 2 3" xfId="11076" xr:uid="{00000000-0005-0000-0000-0000F62B0000}"/>
    <cellStyle name="Standard 4 2 12 3" xfId="11077" xr:uid="{00000000-0005-0000-0000-0000F72B0000}"/>
    <cellStyle name="Standard 4 2 12 3 2" xfId="11078" xr:uid="{00000000-0005-0000-0000-0000F82B0000}"/>
    <cellStyle name="Standard 4 2 12 3 3" xfId="11079" xr:uid="{00000000-0005-0000-0000-0000F92B0000}"/>
    <cellStyle name="Standard 4 2 12 4" xfId="11080" xr:uid="{00000000-0005-0000-0000-0000FA2B0000}"/>
    <cellStyle name="Standard 4 2 12 4 2" xfId="11081" xr:uid="{00000000-0005-0000-0000-0000FB2B0000}"/>
    <cellStyle name="Standard 4 2 12 5" xfId="11082" xr:uid="{00000000-0005-0000-0000-0000FC2B0000}"/>
    <cellStyle name="Standard 4 2 12 6" xfId="11083" xr:uid="{00000000-0005-0000-0000-0000FD2B0000}"/>
    <cellStyle name="Standard 4 2 13" xfId="11084" xr:uid="{00000000-0005-0000-0000-0000FE2B0000}"/>
    <cellStyle name="Standard 4 2 13 2" xfId="11085" xr:uid="{00000000-0005-0000-0000-0000FF2B0000}"/>
    <cellStyle name="Standard 4 2 13 3" xfId="11086" xr:uid="{00000000-0005-0000-0000-0000002C0000}"/>
    <cellStyle name="Standard 4 2 14" xfId="11087" xr:uid="{00000000-0005-0000-0000-0000012C0000}"/>
    <cellStyle name="Standard 4 2 14 2" xfId="11088" xr:uid="{00000000-0005-0000-0000-0000022C0000}"/>
    <cellStyle name="Standard 4 2 14 3" xfId="11089" xr:uid="{00000000-0005-0000-0000-0000032C0000}"/>
    <cellStyle name="Standard 4 2 15" xfId="11090" xr:uid="{00000000-0005-0000-0000-0000042C0000}"/>
    <cellStyle name="Standard 4 2 15 2" xfId="11091" xr:uid="{00000000-0005-0000-0000-0000052C0000}"/>
    <cellStyle name="Standard 4 2 16" xfId="11092" xr:uid="{00000000-0005-0000-0000-0000062C0000}"/>
    <cellStyle name="Standard 4 2 17" xfId="11093" xr:uid="{00000000-0005-0000-0000-0000072C0000}"/>
    <cellStyle name="Standard 4 2 2" xfId="585" xr:uid="{00000000-0005-0000-0000-0000082C0000}"/>
    <cellStyle name="Standard 4 2 2 10" xfId="11094" xr:uid="{00000000-0005-0000-0000-0000092C0000}"/>
    <cellStyle name="Standard 4 2 2 10 2" xfId="11095" xr:uid="{00000000-0005-0000-0000-00000A2C0000}"/>
    <cellStyle name="Standard 4 2 2 10 2 2" xfId="11096" xr:uid="{00000000-0005-0000-0000-00000B2C0000}"/>
    <cellStyle name="Standard 4 2 2 10 2 2 2" xfId="11097" xr:uid="{00000000-0005-0000-0000-00000C2C0000}"/>
    <cellStyle name="Standard 4 2 2 10 2 2 3" xfId="11098" xr:uid="{00000000-0005-0000-0000-00000D2C0000}"/>
    <cellStyle name="Standard 4 2 2 10 2 3" xfId="11099" xr:uid="{00000000-0005-0000-0000-00000E2C0000}"/>
    <cellStyle name="Standard 4 2 2 10 2 3 2" xfId="11100" xr:uid="{00000000-0005-0000-0000-00000F2C0000}"/>
    <cellStyle name="Standard 4 2 2 10 2 3 3" xfId="11101" xr:uid="{00000000-0005-0000-0000-0000102C0000}"/>
    <cellStyle name="Standard 4 2 2 10 2 4" xfId="11102" xr:uid="{00000000-0005-0000-0000-0000112C0000}"/>
    <cellStyle name="Standard 4 2 2 10 2 4 2" xfId="11103" xr:uid="{00000000-0005-0000-0000-0000122C0000}"/>
    <cellStyle name="Standard 4 2 2 10 2 5" xfId="11104" xr:uid="{00000000-0005-0000-0000-0000132C0000}"/>
    <cellStyle name="Standard 4 2 2 10 2 6" xfId="11105" xr:uid="{00000000-0005-0000-0000-0000142C0000}"/>
    <cellStyle name="Standard 4 2 2 10 3" xfId="11106" xr:uid="{00000000-0005-0000-0000-0000152C0000}"/>
    <cellStyle name="Standard 4 2 2 10 3 2" xfId="11107" xr:uid="{00000000-0005-0000-0000-0000162C0000}"/>
    <cellStyle name="Standard 4 2 2 10 3 3" xfId="11108" xr:uid="{00000000-0005-0000-0000-0000172C0000}"/>
    <cellStyle name="Standard 4 2 2 10 4" xfId="11109" xr:uid="{00000000-0005-0000-0000-0000182C0000}"/>
    <cellStyle name="Standard 4 2 2 10 4 2" xfId="11110" xr:uid="{00000000-0005-0000-0000-0000192C0000}"/>
    <cellStyle name="Standard 4 2 2 10 4 3" xfId="11111" xr:uid="{00000000-0005-0000-0000-00001A2C0000}"/>
    <cellStyle name="Standard 4 2 2 10 5" xfId="11112" xr:uid="{00000000-0005-0000-0000-00001B2C0000}"/>
    <cellStyle name="Standard 4 2 2 10 5 2" xfId="11113" xr:uid="{00000000-0005-0000-0000-00001C2C0000}"/>
    <cellStyle name="Standard 4 2 2 10 6" xfId="11114" xr:uid="{00000000-0005-0000-0000-00001D2C0000}"/>
    <cellStyle name="Standard 4 2 2 10 7" xfId="11115" xr:uid="{00000000-0005-0000-0000-00001E2C0000}"/>
    <cellStyle name="Standard 4 2 2 11" xfId="11116" xr:uid="{00000000-0005-0000-0000-00001F2C0000}"/>
    <cellStyle name="Standard 4 2 2 11 2" xfId="11117" xr:uid="{00000000-0005-0000-0000-0000202C0000}"/>
    <cellStyle name="Standard 4 2 2 11 2 2" xfId="11118" xr:uid="{00000000-0005-0000-0000-0000212C0000}"/>
    <cellStyle name="Standard 4 2 2 11 2 3" xfId="11119" xr:uid="{00000000-0005-0000-0000-0000222C0000}"/>
    <cellStyle name="Standard 4 2 2 11 3" xfId="11120" xr:uid="{00000000-0005-0000-0000-0000232C0000}"/>
    <cellStyle name="Standard 4 2 2 11 3 2" xfId="11121" xr:uid="{00000000-0005-0000-0000-0000242C0000}"/>
    <cellStyle name="Standard 4 2 2 11 3 3" xfId="11122" xr:uid="{00000000-0005-0000-0000-0000252C0000}"/>
    <cellStyle name="Standard 4 2 2 11 4" xfId="11123" xr:uid="{00000000-0005-0000-0000-0000262C0000}"/>
    <cellStyle name="Standard 4 2 2 11 4 2" xfId="11124" xr:uid="{00000000-0005-0000-0000-0000272C0000}"/>
    <cellStyle name="Standard 4 2 2 11 5" xfId="11125" xr:uid="{00000000-0005-0000-0000-0000282C0000}"/>
    <cellStyle name="Standard 4 2 2 11 6" xfId="11126" xr:uid="{00000000-0005-0000-0000-0000292C0000}"/>
    <cellStyle name="Standard 4 2 2 12" xfId="11127" xr:uid="{00000000-0005-0000-0000-00002A2C0000}"/>
    <cellStyle name="Standard 4 2 2 12 2" xfId="11128" xr:uid="{00000000-0005-0000-0000-00002B2C0000}"/>
    <cellStyle name="Standard 4 2 2 12 3" xfId="11129" xr:uid="{00000000-0005-0000-0000-00002C2C0000}"/>
    <cellStyle name="Standard 4 2 2 13" xfId="11130" xr:uid="{00000000-0005-0000-0000-00002D2C0000}"/>
    <cellStyle name="Standard 4 2 2 13 2" xfId="11131" xr:uid="{00000000-0005-0000-0000-00002E2C0000}"/>
    <cellStyle name="Standard 4 2 2 13 3" xfId="11132" xr:uid="{00000000-0005-0000-0000-00002F2C0000}"/>
    <cellStyle name="Standard 4 2 2 14" xfId="11133" xr:uid="{00000000-0005-0000-0000-0000302C0000}"/>
    <cellStyle name="Standard 4 2 2 14 2" xfId="11134" xr:uid="{00000000-0005-0000-0000-0000312C0000}"/>
    <cellStyle name="Standard 4 2 2 15" xfId="11135" xr:uid="{00000000-0005-0000-0000-0000322C0000}"/>
    <cellStyle name="Standard 4 2 2 16" xfId="11136" xr:uid="{00000000-0005-0000-0000-0000332C0000}"/>
    <cellStyle name="Standard 4 2 2 17" xfId="33455" xr:uid="{00000000-0005-0000-0000-0000342C0000}"/>
    <cellStyle name="Standard 4 2 2 2" xfId="11137" xr:uid="{00000000-0005-0000-0000-0000352C0000}"/>
    <cellStyle name="Standard 4 2 2 2 10" xfId="11138" xr:uid="{00000000-0005-0000-0000-0000362C0000}"/>
    <cellStyle name="Standard 4 2 2 2 10 2" xfId="11139" xr:uid="{00000000-0005-0000-0000-0000372C0000}"/>
    <cellStyle name="Standard 4 2 2 2 10 3" xfId="11140" xr:uid="{00000000-0005-0000-0000-0000382C0000}"/>
    <cellStyle name="Standard 4 2 2 2 11" xfId="11141" xr:uid="{00000000-0005-0000-0000-0000392C0000}"/>
    <cellStyle name="Standard 4 2 2 2 11 2" xfId="11142" xr:uid="{00000000-0005-0000-0000-00003A2C0000}"/>
    <cellStyle name="Standard 4 2 2 2 11 3" xfId="11143" xr:uid="{00000000-0005-0000-0000-00003B2C0000}"/>
    <cellStyle name="Standard 4 2 2 2 12" xfId="11144" xr:uid="{00000000-0005-0000-0000-00003C2C0000}"/>
    <cellStyle name="Standard 4 2 2 2 12 2" xfId="11145" xr:uid="{00000000-0005-0000-0000-00003D2C0000}"/>
    <cellStyle name="Standard 4 2 2 2 13" xfId="11146" xr:uid="{00000000-0005-0000-0000-00003E2C0000}"/>
    <cellStyle name="Standard 4 2 2 2 14" xfId="11147" xr:uid="{00000000-0005-0000-0000-00003F2C0000}"/>
    <cellStyle name="Standard 4 2 2 2 15" xfId="33456" xr:uid="{00000000-0005-0000-0000-0000402C0000}"/>
    <cellStyle name="Standard 4 2 2 2 2" xfId="11148" xr:uid="{00000000-0005-0000-0000-0000412C0000}"/>
    <cellStyle name="Standard 4 2 2 2 2 10" xfId="11149" xr:uid="{00000000-0005-0000-0000-0000422C0000}"/>
    <cellStyle name="Standard 4 2 2 2 2 10 2" xfId="11150" xr:uid="{00000000-0005-0000-0000-0000432C0000}"/>
    <cellStyle name="Standard 4 2 2 2 2 11" xfId="11151" xr:uid="{00000000-0005-0000-0000-0000442C0000}"/>
    <cellStyle name="Standard 4 2 2 2 2 12" xfId="11152" xr:uid="{00000000-0005-0000-0000-0000452C0000}"/>
    <cellStyle name="Standard 4 2 2 2 2 13" xfId="33457" xr:uid="{00000000-0005-0000-0000-0000462C0000}"/>
    <cellStyle name="Standard 4 2 2 2 2 2" xfId="11153" xr:uid="{00000000-0005-0000-0000-0000472C0000}"/>
    <cellStyle name="Standard 4 2 2 2 2 2 10" xfId="11154" xr:uid="{00000000-0005-0000-0000-0000482C0000}"/>
    <cellStyle name="Standard 4 2 2 2 2 2 11" xfId="11155" xr:uid="{00000000-0005-0000-0000-0000492C0000}"/>
    <cellStyle name="Standard 4 2 2 2 2 2 2" xfId="11156" xr:uid="{00000000-0005-0000-0000-00004A2C0000}"/>
    <cellStyle name="Standard 4 2 2 2 2 2 2 10" xfId="11157" xr:uid="{00000000-0005-0000-0000-00004B2C0000}"/>
    <cellStyle name="Standard 4 2 2 2 2 2 2 2" xfId="11158" xr:uid="{00000000-0005-0000-0000-00004C2C0000}"/>
    <cellStyle name="Standard 4 2 2 2 2 2 2 2 2" xfId="11159" xr:uid="{00000000-0005-0000-0000-00004D2C0000}"/>
    <cellStyle name="Standard 4 2 2 2 2 2 2 2 2 2" xfId="11160" xr:uid="{00000000-0005-0000-0000-00004E2C0000}"/>
    <cellStyle name="Standard 4 2 2 2 2 2 2 2 2 2 2" xfId="11161" xr:uid="{00000000-0005-0000-0000-00004F2C0000}"/>
    <cellStyle name="Standard 4 2 2 2 2 2 2 2 2 2 2 2" xfId="11162" xr:uid="{00000000-0005-0000-0000-0000502C0000}"/>
    <cellStyle name="Standard 4 2 2 2 2 2 2 2 2 2 2 3" xfId="11163" xr:uid="{00000000-0005-0000-0000-0000512C0000}"/>
    <cellStyle name="Standard 4 2 2 2 2 2 2 2 2 2 3" xfId="11164" xr:uid="{00000000-0005-0000-0000-0000522C0000}"/>
    <cellStyle name="Standard 4 2 2 2 2 2 2 2 2 2 3 2" xfId="11165" xr:uid="{00000000-0005-0000-0000-0000532C0000}"/>
    <cellStyle name="Standard 4 2 2 2 2 2 2 2 2 2 3 3" xfId="11166" xr:uid="{00000000-0005-0000-0000-0000542C0000}"/>
    <cellStyle name="Standard 4 2 2 2 2 2 2 2 2 2 4" xfId="11167" xr:uid="{00000000-0005-0000-0000-0000552C0000}"/>
    <cellStyle name="Standard 4 2 2 2 2 2 2 2 2 2 4 2" xfId="11168" xr:uid="{00000000-0005-0000-0000-0000562C0000}"/>
    <cellStyle name="Standard 4 2 2 2 2 2 2 2 2 2 5" xfId="11169" xr:uid="{00000000-0005-0000-0000-0000572C0000}"/>
    <cellStyle name="Standard 4 2 2 2 2 2 2 2 2 2 6" xfId="11170" xr:uid="{00000000-0005-0000-0000-0000582C0000}"/>
    <cellStyle name="Standard 4 2 2 2 2 2 2 2 2 3" xfId="11171" xr:uid="{00000000-0005-0000-0000-0000592C0000}"/>
    <cellStyle name="Standard 4 2 2 2 2 2 2 2 2 3 2" xfId="11172" xr:uid="{00000000-0005-0000-0000-00005A2C0000}"/>
    <cellStyle name="Standard 4 2 2 2 2 2 2 2 2 3 3" xfId="11173" xr:uid="{00000000-0005-0000-0000-00005B2C0000}"/>
    <cellStyle name="Standard 4 2 2 2 2 2 2 2 2 4" xfId="11174" xr:uid="{00000000-0005-0000-0000-00005C2C0000}"/>
    <cellStyle name="Standard 4 2 2 2 2 2 2 2 2 4 2" xfId="11175" xr:uid="{00000000-0005-0000-0000-00005D2C0000}"/>
    <cellStyle name="Standard 4 2 2 2 2 2 2 2 2 4 3" xfId="11176" xr:uid="{00000000-0005-0000-0000-00005E2C0000}"/>
    <cellStyle name="Standard 4 2 2 2 2 2 2 2 2 5" xfId="11177" xr:uid="{00000000-0005-0000-0000-00005F2C0000}"/>
    <cellStyle name="Standard 4 2 2 2 2 2 2 2 2 5 2" xfId="11178" xr:uid="{00000000-0005-0000-0000-0000602C0000}"/>
    <cellStyle name="Standard 4 2 2 2 2 2 2 2 2 6" xfId="11179" xr:uid="{00000000-0005-0000-0000-0000612C0000}"/>
    <cellStyle name="Standard 4 2 2 2 2 2 2 2 2 7" xfId="11180" xr:uid="{00000000-0005-0000-0000-0000622C0000}"/>
    <cellStyle name="Standard 4 2 2 2 2 2 2 2 3" xfId="11181" xr:uid="{00000000-0005-0000-0000-0000632C0000}"/>
    <cellStyle name="Standard 4 2 2 2 2 2 2 2 3 2" xfId="11182" xr:uid="{00000000-0005-0000-0000-0000642C0000}"/>
    <cellStyle name="Standard 4 2 2 2 2 2 2 2 3 2 2" xfId="11183" xr:uid="{00000000-0005-0000-0000-0000652C0000}"/>
    <cellStyle name="Standard 4 2 2 2 2 2 2 2 3 2 3" xfId="11184" xr:uid="{00000000-0005-0000-0000-0000662C0000}"/>
    <cellStyle name="Standard 4 2 2 2 2 2 2 2 3 3" xfId="11185" xr:uid="{00000000-0005-0000-0000-0000672C0000}"/>
    <cellStyle name="Standard 4 2 2 2 2 2 2 2 3 3 2" xfId="11186" xr:uid="{00000000-0005-0000-0000-0000682C0000}"/>
    <cellStyle name="Standard 4 2 2 2 2 2 2 2 3 3 3" xfId="11187" xr:uid="{00000000-0005-0000-0000-0000692C0000}"/>
    <cellStyle name="Standard 4 2 2 2 2 2 2 2 3 4" xfId="11188" xr:uid="{00000000-0005-0000-0000-00006A2C0000}"/>
    <cellStyle name="Standard 4 2 2 2 2 2 2 2 3 4 2" xfId="11189" xr:uid="{00000000-0005-0000-0000-00006B2C0000}"/>
    <cellStyle name="Standard 4 2 2 2 2 2 2 2 3 5" xfId="11190" xr:uid="{00000000-0005-0000-0000-00006C2C0000}"/>
    <cellStyle name="Standard 4 2 2 2 2 2 2 2 3 6" xfId="11191" xr:uid="{00000000-0005-0000-0000-00006D2C0000}"/>
    <cellStyle name="Standard 4 2 2 2 2 2 2 2 4" xfId="11192" xr:uid="{00000000-0005-0000-0000-00006E2C0000}"/>
    <cellStyle name="Standard 4 2 2 2 2 2 2 2 4 2" xfId="11193" xr:uid="{00000000-0005-0000-0000-00006F2C0000}"/>
    <cellStyle name="Standard 4 2 2 2 2 2 2 2 4 3" xfId="11194" xr:uid="{00000000-0005-0000-0000-0000702C0000}"/>
    <cellStyle name="Standard 4 2 2 2 2 2 2 2 5" xfId="11195" xr:uid="{00000000-0005-0000-0000-0000712C0000}"/>
    <cellStyle name="Standard 4 2 2 2 2 2 2 2 5 2" xfId="11196" xr:uid="{00000000-0005-0000-0000-0000722C0000}"/>
    <cellStyle name="Standard 4 2 2 2 2 2 2 2 5 3" xfId="11197" xr:uid="{00000000-0005-0000-0000-0000732C0000}"/>
    <cellStyle name="Standard 4 2 2 2 2 2 2 2 6" xfId="11198" xr:uid="{00000000-0005-0000-0000-0000742C0000}"/>
    <cellStyle name="Standard 4 2 2 2 2 2 2 2 6 2" xfId="11199" xr:uid="{00000000-0005-0000-0000-0000752C0000}"/>
    <cellStyle name="Standard 4 2 2 2 2 2 2 2 7" xfId="11200" xr:uid="{00000000-0005-0000-0000-0000762C0000}"/>
    <cellStyle name="Standard 4 2 2 2 2 2 2 2 8" xfId="11201" xr:uid="{00000000-0005-0000-0000-0000772C0000}"/>
    <cellStyle name="Standard 4 2 2 2 2 2 2 3" xfId="11202" xr:uid="{00000000-0005-0000-0000-0000782C0000}"/>
    <cellStyle name="Standard 4 2 2 2 2 2 2 3 2" xfId="11203" xr:uid="{00000000-0005-0000-0000-0000792C0000}"/>
    <cellStyle name="Standard 4 2 2 2 2 2 2 3 2 2" xfId="11204" xr:uid="{00000000-0005-0000-0000-00007A2C0000}"/>
    <cellStyle name="Standard 4 2 2 2 2 2 2 3 2 2 2" xfId="11205" xr:uid="{00000000-0005-0000-0000-00007B2C0000}"/>
    <cellStyle name="Standard 4 2 2 2 2 2 2 3 2 2 2 2" xfId="11206" xr:uid="{00000000-0005-0000-0000-00007C2C0000}"/>
    <cellStyle name="Standard 4 2 2 2 2 2 2 3 2 2 2 3" xfId="11207" xr:uid="{00000000-0005-0000-0000-00007D2C0000}"/>
    <cellStyle name="Standard 4 2 2 2 2 2 2 3 2 2 3" xfId="11208" xr:uid="{00000000-0005-0000-0000-00007E2C0000}"/>
    <cellStyle name="Standard 4 2 2 2 2 2 2 3 2 2 3 2" xfId="11209" xr:uid="{00000000-0005-0000-0000-00007F2C0000}"/>
    <cellStyle name="Standard 4 2 2 2 2 2 2 3 2 2 3 3" xfId="11210" xr:uid="{00000000-0005-0000-0000-0000802C0000}"/>
    <cellStyle name="Standard 4 2 2 2 2 2 2 3 2 2 4" xfId="11211" xr:uid="{00000000-0005-0000-0000-0000812C0000}"/>
    <cellStyle name="Standard 4 2 2 2 2 2 2 3 2 2 4 2" xfId="11212" xr:uid="{00000000-0005-0000-0000-0000822C0000}"/>
    <cellStyle name="Standard 4 2 2 2 2 2 2 3 2 2 5" xfId="11213" xr:uid="{00000000-0005-0000-0000-0000832C0000}"/>
    <cellStyle name="Standard 4 2 2 2 2 2 2 3 2 2 6" xfId="11214" xr:uid="{00000000-0005-0000-0000-0000842C0000}"/>
    <cellStyle name="Standard 4 2 2 2 2 2 2 3 2 3" xfId="11215" xr:uid="{00000000-0005-0000-0000-0000852C0000}"/>
    <cellStyle name="Standard 4 2 2 2 2 2 2 3 2 3 2" xfId="11216" xr:uid="{00000000-0005-0000-0000-0000862C0000}"/>
    <cellStyle name="Standard 4 2 2 2 2 2 2 3 2 3 3" xfId="11217" xr:uid="{00000000-0005-0000-0000-0000872C0000}"/>
    <cellStyle name="Standard 4 2 2 2 2 2 2 3 2 4" xfId="11218" xr:uid="{00000000-0005-0000-0000-0000882C0000}"/>
    <cellStyle name="Standard 4 2 2 2 2 2 2 3 2 4 2" xfId="11219" xr:uid="{00000000-0005-0000-0000-0000892C0000}"/>
    <cellStyle name="Standard 4 2 2 2 2 2 2 3 2 4 3" xfId="11220" xr:uid="{00000000-0005-0000-0000-00008A2C0000}"/>
    <cellStyle name="Standard 4 2 2 2 2 2 2 3 2 5" xfId="11221" xr:uid="{00000000-0005-0000-0000-00008B2C0000}"/>
    <cellStyle name="Standard 4 2 2 2 2 2 2 3 2 5 2" xfId="11222" xr:uid="{00000000-0005-0000-0000-00008C2C0000}"/>
    <cellStyle name="Standard 4 2 2 2 2 2 2 3 2 6" xfId="11223" xr:uid="{00000000-0005-0000-0000-00008D2C0000}"/>
    <cellStyle name="Standard 4 2 2 2 2 2 2 3 2 7" xfId="11224" xr:uid="{00000000-0005-0000-0000-00008E2C0000}"/>
    <cellStyle name="Standard 4 2 2 2 2 2 2 3 3" xfId="11225" xr:uid="{00000000-0005-0000-0000-00008F2C0000}"/>
    <cellStyle name="Standard 4 2 2 2 2 2 2 3 3 2" xfId="11226" xr:uid="{00000000-0005-0000-0000-0000902C0000}"/>
    <cellStyle name="Standard 4 2 2 2 2 2 2 3 3 2 2" xfId="11227" xr:uid="{00000000-0005-0000-0000-0000912C0000}"/>
    <cellStyle name="Standard 4 2 2 2 2 2 2 3 3 2 3" xfId="11228" xr:uid="{00000000-0005-0000-0000-0000922C0000}"/>
    <cellStyle name="Standard 4 2 2 2 2 2 2 3 3 3" xfId="11229" xr:uid="{00000000-0005-0000-0000-0000932C0000}"/>
    <cellStyle name="Standard 4 2 2 2 2 2 2 3 3 3 2" xfId="11230" xr:uid="{00000000-0005-0000-0000-0000942C0000}"/>
    <cellStyle name="Standard 4 2 2 2 2 2 2 3 3 3 3" xfId="11231" xr:uid="{00000000-0005-0000-0000-0000952C0000}"/>
    <cellStyle name="Standard 4 2 2 2 2 2 2 3 3 4" xfId="11232" xr:uid="{00000000-0005-0000-0000-0000962C0000}"/>
    <cellStyle name="Standard 4 2 2 2 2 2 2 3 3 4 2" xfId="11233" xr:uid="{00000000-0005-0000-0000-0000972C0000}"/>
    <cellStyle name="Standard 4 2 2 2 2 2 2 3 3 5" xfId="11234" xr:uid="{00000000-0005-0000-0000-0000982C0000}"/>
    <cellStyle name="Standard 4 2 2 2 2 2 2 3 3 6" xfId="11235" xr:uid="{00000000-0005-0000-0000-0000992C0000}"/>
    <cellStyle name="Standard 4 2 2 2 2 2 2 3 4" xfId="11236" xr:uid="{00000000-0005-0000-0000-00009A2C0000}"/>
    <cellStyle name="Standard 4 2 2 2 2 2 2 3 4 2" xfId="11237" xr:uid="{00000000-0005-0000-0000-00009B2C0000}"/>
    <cellStyle name="Standard 4 2 2 2 2 2 2 3 4 3" xfId="11238" xr:uid="{00000000-0005-0000-0000-00009C2C0000}"/>
    <cellStyle name="Standard 4 2 2 2 2 2 2 3 5" xfId="11239" xr:uid="{00000000-0005-0000-0000-00009D2C0000}"/>
    <cellStyle name="Standard 4 2 2 2 2 2 2 3 5 2" xfId="11240" xr:uid="{00000000-0005-0000-0000-00009E2C0000}"/>
    <cellStyle name="Standard 4 2 2 2 2 2 2 3 5 3" xfId="11241" xr:uid="{00000000-0005-0000-0000-00009F2C0000}"/>
    <cellStyle name="Standard 4 2 2 2 2 2 2 3 6" xfId="11242" xr:uid="{00000000-0005-0000-0000-0000A02C0000}"/>
    <cellStyle name="Standard 4 2 2 2 2 2 2 3 6 2" xfId="11243" xr:uid="{00000000-0005-0000-0000-0000A12C0000}"/>
    <cellStyle name="Standard 4 2 2 2 2 2 2 3 7" xfId="11244" xr:uid="{00000000-0005-0000-0000-0000A22C0000}"/>
    <cellStyle name="Standard 4 2 2 2 2 2 2 3 8" xfId="11245" xr:uid="{00000000-0005-0000-0000-0000A32C0000}"/>
    <cellStyle name="Standard 4 2 2 2 2 2 2 4" xfId="11246" xr:uid="{00000000-0005-0000-0000-0000A42C0000}"/>
    <cellStyle name="Standard 4 2 2 2 2 2 2 4 2" xfId="11247" xr:uid="{00000000-0005-0000-0000-0000A52C0000}"/>
    <cellStyle name="Standard 4 2 2 2 2 2 2 4 2 2" xfId="11248" xr:uid="{00000000-0005-0000-0000-0000A62C0000}"/>
    <cellStyle name="Standard 4 2 2 2 2 2 2 4 2 2 2" xfId="11249" xr:uid="{00000000-0005-0000-0000-0000A72C0000}"/>
    <cellStyle name="Standard 4 2 2 2 2 2 2 4 2 2 3" xfId="11250" xr:uid="{00000000-0005-0000-0000-0000A82C0000}"/>
    <cellStyle name="Standard 4 2 2 2 2 2 2 4 2 3" xfId="11251" xr:uid="{00000000-0005-0000-0000-0000A92C0000}"/>
    <cellStyle name="Standard 4 2 2 2 2 2 2 4 2 3 2" xfId="11252" xr:uid="{00000000-0005-0000-0000-0000AA2C0000}"/>
    <cellStyle name="Standard 4 2 2 2 2 2 2 4 2 3 3" xfId="11253" xr:uid="{00000000-0005-0000-0000-0000AB2C0000}"/>
    <cellStyle name="Standard 4 2 2 2 2 2 2 4 2 4" xfId="11254" xr:uid="{00000000-0005-0000-0000-0000AC2C0000}"/>
    <cellStyle name="Standard 4 2 2 2 2 2 2 4 2 4 2" xfId="11255" xr:uid="{00000000-0005-0000-0000-0000AD2C0000}"/>
    <cellStyle name="Standard 4 2 2 2 2 2 2 4 2 5" xfId="11256" xr:uid="{00000000-0005-0000-0000-0000AE2C0000}"/>
    <cellStyle name="Standard 4 2 2 2 2 2 2 4 2 6" xfId="11257" xr:uid="{00000000-0005-0000-0000-0000AF2C0000}"/>
    <cellStyle name="Standard 4 2 2 2 2 2 2 4 3" xfId="11258" xr:uid="{00000000-0005-0000-0000-0000B02C0000}"/>
    <cellStyle name="Standard 4 2 2 2 2 2 2 4 3 2" xfId="11259" xr:uid="{00000000-0005-0000-0000-0000B12C0000}"/>
    <cellStyle name="Standard 4 2 2 2 2 2 2 4 3 3" xfId="11260" xr:uid="{00000000-0005-0000-0000-0000B22C0000}"/>
    <cellStyle name="Standard 4 2 2 2 2 2 2 4 4" xfId="11261" xr:uid="{00000000-0005-0000-0000-0000B32C0000}"/>
    <cellStyle name="Standard 4 2 2 2 2 2 2 4 4 2" xfId="11262" xr:uid="{00000000-0005-0000-0000-0000B42C0000}"/>
    <cellStyle name="Standard 4 2 2 2 2 2 2 4 4 3" xfId="11263" xr:uid="{00000000-0005-0000-0000-0000B52C0000}"/>
    <cellStyle name="Standard 4 2 2 2 2 2 2 4 5" xfId="11264" xr:uid="{00000000-0005-0000-0000-0000B62C0000}"/>
    <cellStyle name="Standard 4 2 2 2 2 2 2 4 5 2" xfId="11265" xr:uid="{00000000-0005-0000-0000-0000B72C0000}"/>
    <cellStyle name="Standard 4 2 2 2 2 2 2 4 6" xfId="11266" xr:uid="{00000000-0005-0000-0000-0000B82C0000}"/>
    <cellStyle name="Standard 4 2 2 2 2 2 2 4 7" xfId="11267" xr:uid="{00000000-0005-0000-0000-0000B92C0000}"/>
    <cellStyle name="Standard 4 2 2 2 2 2 2 5" xfId="11268" xr:uid="{00000000-0005-0000-0000-0000BA2C0000}"/>
    <cellStyle name="Standard 4 2 2 2 2 2 2 5 2" xfId="11269" xr:uid="{00000000-0005-0000-0000-0000BB2C0000}"/>
    <cellStyle name="Standard 4 2 2 2 2 2 2 5 2 2" xfId="11270" xr:uid="{00000000-0005-0000-0000-0000BC2C0000}"/>
    <cellStyle name="Standard 4 2 2 2 2 2 2 5 2 3" xfId="11271" xr:uid="{00000000-0005-0000-0000-0000BD2C0000}"/>
    <cellStyle name="Standard 4 2 2 2 2 2 2 5 3" xfId="11272" xr:uid="{00000000-0005-0000-0000-0000BE2C0000}"/>
    <cellStyle name="Standard 4 2 2 2 2 2 2 5 3 2" xfId="11273" xr:uid="{00000000-0005-0000-0000-0000BF2C0000}"/>
    <cellStyle name="Standard 4 2 2 2 2 2 2 5 3 3" xfId="11274" xr:uid="{00000000-0005-0000-0000-0000C02C0000}"/>
    <cellStyle name="Standard 4 2 2 2 2 2 2 5 4" xfId="11275" xr:uid="{00000000-0005-0000-0000-0000C12C0000}"/>
    <cellStyle name="Standard 4 2 2 2 2 2 2 5 4 2" xfId="11276" xr:uid="{00000000-0005-0000-0000-0000C22C0000}"/>
    <cellStyle name="Standard 4 2 2 2 2 2 2 5 5" xfId="11277" xr:uid="{00000000-0005-0000-0000-0000C32C0000}"/>
    <cellStyle name="Standard 4 2 2 2 2 2 2 5 6" xfId="11278" xr:uid="{00000000-0005-0000-0000-0000C42C0000}"/>
    <cellStyle name="Standard 4 2 2 2 2 2 2 6" xfId="11279" xr:uid="{00000000-0005-0000-0000-0000C52C0000}"/>
    <cellStyle name="Standard 4 2 2 2 2 2 2 6 2" xfId="11280" xr:uid="{00000000-0005-0000-0000-0000C62C0000}"/>
    <cellStyle name="Standard 4 2 2 2 2 2 2 6 3" xfId="11281" xr:uid="{00000000-0005-0000-0000-0000C72C0000}"/>
    <cellStyle name="Standard 4 2 2 2 2 2 2 7" xfId="11282" xr:uid="{00000000-0005-0000-0000-0000C82C0000}"/>
    <cellStyle name="Standard 4 2 2 2 2 2 2 7 2" xfId="11283" xr:uid="{00000000-0005-0000-0000-0000C92C0000}"/>
    <cellStyle name="Standard 4 2 2 2 2 2 2 7 3" xfId="11284" xr:uid="{00000000-0005-0000-0000-0000CA2C0000}"/>
    <cellStyle name="Standard 4 2 2 2 2 2 2 8" xfId="11285" xr:uid="{00000000-0005-0000-0000-0000CB2C0000}"/>
    <cellStyle name="Standard 4 2 2 2 2 2 2 8 2" xfId="11286" xr:uid="{00000000-0005-0000-0000-0000CC2C0000}"/>
    <cellStyle name="Standard 4 2 2 2 2 2 2 9" xfId="11287" xr:uid="{00000000-0005-0000-0000-0000CD2C0000}"/>
    <cellStyle name="Standard 4 2 2 2 2 2 3" xfId="11288" xr:uid="{00000000-0005-0000-0000-0000CE2C0000}"/>
    <cellStyle name="Standard 4 2 2 2 2 2 3 2" xfId="11289" xr:uid="{00000000-0005-0000-0000-0000CF2C0000}"/>
    <cellStyle name="Standard 4 2 2 2 2 2 3 2 2" xfId="11290" xr:uid="{00000000-0005-0000-0000-0000D02C0000}"/>
    <cellStyle name="Standard 4 2 2 2 2 2 3 2 2 2" xfId="11291" xr:uid="{00000000-0005-0000-0000-0000D12C0000}"/>
    <cellStyle name="Standard 4 2 2 2 2 2 3 2 2 2 2" xfId="11292" xr:uid="{00000000-0005-0000-0000-0000D22C0000}"/>
    <cellStyle name="Standard 4 2 2 2 2 2 3 2 2 2 3" xfId="11293" xr:uid="{00000000-0005-0000-0000-0000D32C0000}"/>
    <cellStyle name="Standard 4 2 2 2 2 2 3 2 2 3" xfId="11294" xr:uid="{00000000-0005-0000-0000-0000D42C0000}"/>
    <cellStyle name="Standard 4 2 2 2 2 2 3 2 2 3 2" xfId="11295" xr:uid="{00000000-0005-0000-0000-0000D52C0000}"/>
    <cellStyle name="Standard 4 2 2 2 2 2 3 2 2 3 3" xfId="11296" xr:uid="{00000000-0005-0000-0000-0000D62C0000}"/>
    <cellStyle name="Standard 4 2 2 2 2 2 3 2 2 4" xfId="11297" xr:uid="{00000000-0005-0000-0000-0000D72C0000}"/>
    <cellStyle name="Standard 4 2 2 2 2 2 3 2 2 4 2" xfId="11298" xr:uid="{00000000-0005-0000-0000-0000D82C0000}"/>
    <cellStyle name="Standard 4 2 2 2 2 2 3 2 2 5" xfId="11299" xr:uid="{00000000-0005-0000-0000-0000D92C0000}"/>
    <cellStyle name="Standard 4 2 2 2 2 2 3 2 2 6" xfId="11300" xr:uid="{00000000-0005-0000-0000-0000DA2C0000}"/>
    <cellStyle name="Standard 4 2 2 2 2 2 3 2 3" xfId="11301" xr:uid="{00000000-0005-0000-0000-0000DB2C0000}"/>
    <cellStyle name="Standard 4 2 2 2 2 2 3 2 3 2" xfId="11302" xr:uid="{00000000-0005-0000-0000-0000DC2C0000}"/>
    <cellStyle name="Standard 4 2 2 2 2 2 3 2 3 3" xfId="11303" xr:uid="{00000000-0005-0000-0000-0000DD2C0000}"/>
    <cellStyle name="Standard 4 2 2 2 2 2 3 2 4" xfId="11304" xr:uid="{00000000-0005-0000-0000-0000DE2C0000}"/>
    <cellStyle name="Standard 4 2 2 2 2 2 3 2 4 2" xfId="11305" xr:uid="{00000000-0005-0000-0000-0000DF2C0000}"/>
    <cellStyle name="Standard 4 2 2 2 2 2 3 2 4 3" xfId="11306" xr:uid="{00000000-0005-0000-0000-0000E02C0000}"/>
    <cellStyle name="Standard 4 2 2 2 2 2 3 2 5" xfId="11307" xr:uid="{00000000-0005-0000-0000-0000E12C0000}"/>
    <cellStyle name="Standard 4 2 2 2 2 2 3 2 5 2" xfId="11308" xr:uid="{00000000-0005-0000-0000-0000E22C0000}"/>
    <cellStyle name="Standard 4 2 2 2 2 2 3 2 6" xfId="11309" xr:uid="{00000000-0005-0000-0000-0000E32C0000}"/>
    <cellStyle name="Standard 4 2 2 2 2 2 3 2 7" xfId="11310" xr:uid="{00000000-0005-0000-0000-0000E42C0000}"/>
    <cellStyle name="Standard 4 2 2 2 2 2 3 3" xfId="11311" xr:uid="{00000000-0005-0000-0000-0000E52C0000}"/>
    <cellStyle name="Standard 4 2 2 2 2 2 3 3 2" xfId="11312" xr:uid="{00000000-0005-0000-0000-0000E62C0000}"/>
    <cellStyle name="Standard 4 2 2 2 2 2 3 3 2 2" xfId="11313" xr:uid="{00000000-0005-0000-0000-0000E72C0000}"/>
    <cellStyle name="Standard 4 2 2 2 2 2 3 3 2 3" xfId="11314" xr:uid="{00000000-0005-0000-0000-0000E82C0000}"/>
    <cellStyle name="Standard 4 2 2 2 2 2 3 3 3" xfId="11315" xr:uid="{00000000-0005-0000-0000-0000E92C0000}"/>
    <cellStyle name="Standard 4 2 2 2 2 2 3 3 3 2" xfId="11316" xr:uid="{00000000-0005-0000-0000-0000EA2C0000}"/>
    <cellStyle name="Standard 4 2 2 2 2 2 3 3 3 3" xfId="11317" xr:uid="{00000000-0005-0000-0000-0000EB2C0000}"/>
    <cellStyle name="Standard 4 2 2 2 2 2 3 3 4" xfId="11318" xr:uid="{00000000-0005-0000-0000-0000EC2C0000}"/>
    <cellStyle name="Standard 4 2 2 2 2 2 3 3 4 2" xfId="11319" xr:uid="{00000000-0005-0000-0000-0000ED2C0000}"/>
    <cellStyle name="Standard 4 2 2 2 2 2 3 3 5" xfId="11320" xr:uid="{00000000-0005-0000-0000-0000EE2C0000}"/>
    <cellStyle name="Standard 4 2 2 2 2 2 3 3 6" xfId="11321" xr:uid="{00000000-0005-0000-0000-0000EF2C0000}"/>
    <cellStyle name="Standard 4 2 2 2 2 2 3 4" xfId="11322" xr:uid="{00000000-0005-0000-0000-0000F02C0000}"/>
    <cellStyle name="Standard 4 2 2 2 2 2 3 4 2" xfId="11323" xr:uid="{00000000-0005-0000-0000-0000F12C0000}"/>
    <cellStyle name="Standard 4 2 2 2 2 2 3 4 3" xfId="11324" xr:uid="{00000000-0005-0000-0000-0000F22C0000}"/>
    <cellStyle name="Standard 4 2 2 2 2 2 3 5" xfId="11325" xr:uid="{00000000-0005-0000-0000-0000F32C0000}"/>
    <cellStyle name="Standard 4 2 2 2 2 2 3 5 2" xfId="11326" xr:uid="{00000000-0005-0000-0000-0000F42C0000}"/>
    <cellStyle name="Standard 4 2 2 2 2 2 3 5 3" xfId="11327" xr:uid="{00000000-0005-0000-0000-0000F52C0000}"/>
    <cellStyle name="Standard 4 2 2 2 2 2 3 6" xfId="11328" xr:uid="{00000000-0005-0000-0000-0000F62C0000}"/>
    <cellStyle name="Standard 4 2 2 2 2 2 3 6 2" xfId="11329" xr:uid="{00000000-0005-0000-0000-0000F72C0000}"/>
    <cellStyle name="Standard 4 2 2 2 2 2 3 7" xfId="11330" xr:uid="{00000000-0005-0000-0000-0000F82C0000}"/>
    <cellStyle name="Standard 4 2 2 2 2 2 3 8" xfId="11331" xr:uid="{00000000-0005-0000-0000-0000F92C0000}"/>
    <cellStyle name="Standard 4 2 2 2 2 2 4" xfId="11332" xr:uid="{00000000-0005-0000-0000-0000FA2C0000}"/>
    <cellStyle name="Standard 4 2 2 2 2 2 4 2" xfId="11333" xr:uid="{00000000-0005-0000-0000-0000FB2C0000}"/>
    <cellStyle name="Standard 4 2 2 2 2 2 4 2 2" xfId="11334" xr:uid="{00000000-0005-0000-0000-0000FC2C0000}"/>
    <cellStyle name="Standard 4 2 2 2 2 2 4 2 2 2" xfId="11335" xr:uid="{00000000-0005-0000-0000-0000FD2C0000}"/>
    <cellStyle name="Standard 4 2 2 2 2 2 4 2 2 2 2" xfId="11336" xr:uid="{00000000-0005-0000-0000-0000FE2C0000}"/>
    <cellStyle name="Standard 4 2 2 2 2 2 4 2 2 2 3" xfId="11337" xr:uid="{00000000-0005-0000-0000-0000FF2C0000}"/>
    <cellStyle name="Standard 4 2 2 2 2 2 4 2 2 3" xfId="11338" xr:uid="{00000000-0005-0000-0000-0000002D0000}"/>
    <cellStyle name="Standard 4 2 2 2 2 2 4 2 2 3 2" xfId="11339" xr:uid="{00000000-0005-0000-0000-0000012D0000}"/>
    <cellStyle name="Standard 4 2 2 2 2 2 4 2 2 3 3" xfId="11340" xr:uid="{00000000-0005-0000-0000-0000022D0000}"/>
    <cellStyle name="Standard 4 2 2 2 2 2 4 2 2 4" xfId="11341" xr:uid="{00000000-0005-0000-0000-0000032D0000}"/>
    <cellStyle name="Standard 4 2 2 2 2 2 4 2 2 4 2" xfId="11342" xr:uid="{00000000-0005-0000-0000-0000042D0000}"/>
    <cellStyle name="Standard 4 2 2 2 2 2 4 2 2 5" xfId="11343" xr:uid="{00000000-0005-0000-0000-0000052D0000}"/>
    <cellStyle name="Standard 4 2 2 2 2 2 4 2 2 6" xfId="11344" xr:uid="{00000000-0005-0000-0000-0000062D0000}"/>
    <cellStyle name="Standard 4 2 2 2 2 2 4 2 3" xfId="11345" xr:uid="{00000000-0005-0000-0000-0000072D0000}"/>
    <cellStyle name="Standard 4 2 2 2 2 2 4 2 3 2" xfId="11346" xr:uid="{00000000-0005-0000-0000-0000082D0000}"/>
    <cellStyle name="Standard 4 2 2 2 2 2 4 2 3 3" xfId="11347" xr:uid="{00000000-0005-0000-0000-0000092D0000}"/>
    <cellStyle name="Standard 4 2 2 2 2 2 4 2 4" xfId="11348" xr:uid="{00000000-0005-0000-0000-00000A2D0000}"/>
    <cellStyle name="Standard 4 2 2 2 2 2 4 2 4 2" xfId="11349" xr:uid="{00000000-0005-0000-0000-00000B2D0000}"/>
    <cellStyle name="Standard 4 2 2 2 2 2 4 2 4 3" xfId="11350" xr:uid="{00000000-0005-0000-0000-00000C2D0000}"/>
    <cellStyle name="Standard 4 2 2 2 2 2 4 2 5" xfId="11351" xr:uid="{00000000-0005-0000-0000-00000D2D0000}"/>
    <cellStyle name="Standard 4 2 2 2 2 2 4 2 5 2" xfId="11352" xr:uid="{00000000-0005-0000-0000-00000E2D0000}"/>
    <cellStyle name="Standard 4 2 2 2 2 2 4 2 6" xfId="11353" xr:uid="{00000000-0005-0000-0000-00000F2D0000}"/>
    <cellStyle name="Standard 4 2 2 2 2 2 4 2 7" xfId="11354" xr:uid="{00000000-0005-0000-0000-0000102D0000}"/>
    <cellStyle name="Standard 4 2 2 2 2 2 4 3" xfId="11355" xr:uid="{00000000-0005-0000-0000-0000112D0000}"/>
    <cellStyle name="Standard 4 2 2 2 2 2 4 3 2" xfId="11356" xr:uid="{00000000-0005-0000-0000-0000122D0000}"/>
    <cellStyle name="Standard 4 2 2 2 2 2 4 3 2 2" xfId="11357" xr:uid="{00000000-0005-0000-0000-0000132D0000}"/>
    <cellStyle name="Standard 4 2 2 2 2 2 4 3 2 3" xfId="11358" xr:uid="{00000000-0005-0000-0000-0000142D0000}"/>
    <cellStyle name="Standard 4 2 2 2 2 2 4 3 3" xfId="11359" xr:uid="{00000000-0005-0000-0000-0000152D0000}"/>
    <cellStyle name="Standard 4 2 2 2 2 2 4 3 3 2" xfId="11360" xr:uid="{00000000-0005-0000-0000-0000162D0000}"/>
    <cellStyle name="Standard 4 2 2 2 2 2 4 3 3 3" xfId="11361" xr:uid="{00000000-0005-0000-0000-0000172D0000}"/>
    <cellStyle name="Standard 4 2 2 2 2 2 4 3 4" xfId="11362" xr:uid="{00000000-0005-0000-0000-0000182D0000}"/>
    <cellStyle name="Standard 4 2 2 2 2 2 4 3 4 2" xfId="11363" xr:uid="{00000000-0005-0000-0000-0000192D0000}"/>
    <cellStyle name="Standard 4 2 2 2 2 2 4 3 5" xfId="11364" xr:uid="{00000000-0005-0000-0000-00001A2D0000}"/>
    <cellStyle name="Standard 4 2 2 2 2 2 4 3 6" xfId="11365" xr:uid="{00000000-0005-0000-0000-00001B2D0000}"/>
    <cellStyle name="Standard 4 2 2 2 2 2 4 4" xfId="11366" xr:uid="{00000000-0005-0000-0000-00001C2D0000}"/>
    <cellStyle name="Standard 4 2 2 2 2 2 4 4 2" xfId="11367" xr:uid="{00000000-0005-0000-0000-00001D2D0000}"/>
    <cellStyle name="Standard 4 2 2 2 2 2 4 4 3" xfId="11368" xr:uid="{00000000-0005-0000-0000-00001E2D0000}"/>
    <cellStyle name="Standard 4 2 2 2 2 2 4 5" xfId="11369" xr:uid="{00000000-0005-0000-0000-00001F2D0000}"/>
    <cellStyle name="Standard 4 2 2 2 2 2 4 5 2" xfId="11370" xr:uid="{00000000-0005-0000-0000-0000202D0000}"/>
    <cellStyle name="Standard 4 2 2 2 2 2 4 5 3" xfId="11371" xr:uid="{00000000-0005-0000-0000-0000212D0000}"/>
    <cellStyle name="Standard 4 2 2 2 2 2 4 6" xfId="11372" xr:uid="{00000000-0005-0000-0000-0000222D0000}"/>
    <cellStyle name="Standard 4 2 2 2 2 2 4 6 2" xfId="11373" xr:uid="{00000000-0005-0000-0000-0000232D0000}"/>
    <cellStyle name="Standard 4 2 2 2 2 2 4 7" xfId="11374" xr:uid="{00000000-0005-0000-0000-0000242D0000}"/>
    <cellStyle name="Standard 4 2 2 2 2 2 4 8" xfId="11375" xr:uid="{00000000-0005-0000-0000-0000252D0000}"/>
    <cellStyle name="Standard 4 2 2 2 2 2 5" xfId="11376" xr:uid="{00000000-0005-0000-0000-0000262D0000}"/>
    <cellStyle name="Standard 4 2 2 2 2 2 5 2" xfId="11377" xr:uid="{00000000-0005-0000-0000-0000272D0000}"/>
    <cellStyle name="Standard 4 2 2 2 2 2 5 2 2" xfId="11378" xr:uid="{00000000-0005-0000-0000-0000282D0000}"/>
    <cellStyle name="Standard 4 2 2 2 2 2 5 2 2 2" xfId="11379" xr:uid="{00000000-0005-0000-0000-0000292D0000}"/>
    <cellStyle name="Standard 4 2 2 2 2 2 5 2 2 3" xfId="11380" xr:uid="{00000000-0005-0000-0000-00002A2D0000}"/>
    <cellStyle name="Standard 4 2 2 2 2 2 5 2 3" xfId="11381" xr:uid="{00000000-0005-0000-0000-00002B2D0000}"/>
    <cellStyle name="Standard 4 2 2 2 2 2 5 2 3 2" xfId="11382" xr:uid="{00000000-0005-0000-0000-00002C2D0000}"/>
    <cellStyle name="Standard 4 2 2 2 2 2 5 2 3 3" xfId="11383" xr:uid="{00000000-0005-0000-0000-00002D2D0000}"/>
    <cellStyle name="Standard 4 2 2 2 2 2 5 2 4" xfId="11384" xr:uid="{00000000-0005-0000-0000-00002E2D0000}"/>
    <cellStyle name="Standard 4 2 2 2 2 2 5 2 4 2" xfId="11385" xr:uid="{00000000-0005-0000-0000-00002F2D0000}"/>
    <cellStyle name="Standard 4 2 2 2 2 2 5 2 5" xfId="11386" xr:uid="{00000000-0005-0000-0000-0000302D0000}"/>
    <cellStyle name="Standard 4 2 2 2 2 2 5 2 6" xfId="11387" xr:uid="{00000000-0005-0000-0000-0000312D0000}"/>
    <cellStyle name="Standard 4 2 2 2 2 2 5 3" xfId="11388" xr:uid="{00000000-0005-0000-0000-0000322D0000}"/>
    <cellStyle name="Standard 4 2 2 2 2 2 5 3 2" xfId="11389" xr:uid="{00000000-0005-0000-0000-0000332D0000}"/>
    <cellStyle name="Standard 4 2 2 2 2 2 5 3 3" xfId="11390" xr:uid="{00000000-0005-0000-0000-0000342D0000}"/>
    <cellStyle name="Standard 4 2 2 2 2 2 5 4" xfId="11391" xr:uid="{00000000-0005-0000-0000-0000352D0000}"/>
    <cellStyle name="Standard 4 2 2 2 2 2 5 4 2" xfId="11392" xr:uid="{00000000-0005-0000-0000-0000362D0000}"/>
    <cellStyle name="Standard 4 2 2 2 2 2 5 4 3" xfId="11393" xr:uid="{00000000-0005-0000-0000-0000372D0000}"/>
    <cellStyle name="Standard 4 2 2 2 2 2 5 5" xfId="11394" xr:uid="{00000000-0005-0000-0000-0000382D0000}"/>
    <cellStyle name="Standard 4 2 2 2 2 2 5 5 2" xfId="11395" xr:uid="{00000000-0005-0000-0000-0000392D0000}"/>
    <cellStyle name="Standard 4 2 2 2 2 2 5 6" xfId="11396" xr:uid="{00000000-0005-0000-0000-00003A2D0000}"/>
    <cellStyle name="Standard 4 2 2 2 2 2 5 7" xfId="11397" xr:uid="{00000000-0005-0000-0000-00003B2D0000}"/>
    <cellStyle name="Standard 4 2 2 2 2 2 6" xfId="11398" xr:uid="{00000000-0005-0000-0000-00003C2D0000}"/>
    <cellStyle name="Standard 4 2 2 2 2 2 6 2" xfId="11399" xr:uid="{00000000-0005-0000-0000-00003D2D0000}"/>
    <cellStyle name="Standard 4 2 2 2 2 2 6 2 2" xfId="11400" xr:uid="{00000000-0005-0000-0000-00003E2D0000}"/>
    <cellStyle name="Standard 4 2 2 2 2 2 6 2 3" xfId="11401" xr:uid="{00000000-0005-0000-0000-00003F2D0000}"/>
    <cellStyle name="Standard 4 2 2 2 2 2 6 3" xfId="11402" xr:uid="{00000000-0005-0000-0000-0000402D0000}"/>
    <cellStyle name="Standard 4 2 2 2 2 2 6 3 2" xfId="11403" xr:uid="{00000000-0005-0000-0000-0000412D0000}"/>
    <cellStyle name="Standard 4 2 2 2 2 2 6 3 3" xfId="11404" xr:uid="{00000000-0005-0000-0000-0000422D0000}"/>
    <cellStyle name="Standard 4 2 2 2 2 2 6 4" xfId="11405" xr:uid="{00000000-0005-0000-0000-0000432D0000}"/>
    <cellStyle name="Standard 4 2 2 2 2 2 6 4 2" xfId="11406" xr:uid="{00000000-0005-0000-0000-0000442D0000}"/>
    <cellStyle name="Standard 4 2 2 2 2 2 6 5" xfId="11407" xr:uid="{00000000-0005-0000-0000-0000452D0000}"/>
    <cellStyle name="Standard 4 2 2 2 2 2 6 6" xfId="11408" xr:uid="{00000000-0005-0000-0000-0000462D0000}"/>
    <cellStyle name="Standard 4 2 2 2 2 2 7" xfId="11409" xr:uid="{00000000-0005-0000-0000-0000472D0000}"/>
    <cellStyle name="Standard 4 2 2 2 2 2 7 2" xfId="11410" xr:uid="{00000000-0005-0000-0000-0000482D0000}"/>
    <cellStyle name="Standard 4 2 2 2 2 2 7 3" xfId="11411" xr:uid="{00000000-0005-0000-0000-0000492D0000}"/>
    <cellStyle name="Standard 4 2 2 2 2 2 8" xfId="11412" xr:uid="{00000000-0005-0000-0000-00004A2D0000}"/>
    <cellStyle name="Standard 4 2 2 2 2 2 8 2" xfId="11413" xr:uid="{00000000-0005-0000-0000-00004B2D0000}"/>
    <cellStyle name="Standard 4 2 2 2 2 2 8 3" xfId="11414" xr:uid="{00000000-0005-0000-0000-00004C2D0000}"/>
    <cellStyle name="Standard 4 2 2 2 2 2 9" xfId="11415" xr:uid="{00000000-0005-0000-0000-00004D2D0000}"/>
    <cellStyle name="Standard 4 2 2 2 2 2 9 2" xfId="11416" xr:uid="{00000000-0005-0000-0000-00004E2D0000}"/>
    <cellStyle name="Standard 4 2 2 2 2 3" xfId="11417" xr:uid="{00000000-0005-0000-0000-00004F2D0000}"/>
    <cellStyle name="Standard 4 2 2 2 2 3 10" xfId="11418" xr:uid="{00000000-0005-0000-0000-0000502D0000}"/>
    <cellStyle name="Standard 4 2 2 2 2 3 2" xfId="11419" xr:uid="{00000000-0005-0000-0000-0000512D0000}"/>
    <cellStyle name="Standard 4 2 2 2 2 3 2 2" xfId="11420" xr:uid="{00000000-0005-0000-0000-0000522D0000}"/>
    <cellStyle name="Standard 4 2 2 2 2 3 2 2 2" xfId="11421" xr:uid="{00000000-0005-0000-0000-0000532D0000}"/>
    <cellStyle name="Standard 4 2 2 2 2 3 2 2 2 2" xfId="11422" xr:uid="{00000000-0005-0000-0000-0000542D0000}"/>
    <cellStyle name="Standard 4 2 2 2 2 3 2 2 2 2 2" xfId="11423" xr:uid="{00000000-0005-0000-0000-0000552D0000}"/>
    <cellStyle name="Standard 4 2 2 2 2 3 2 2 2 2 3" xfId="11424" xr:uid="{00000000-0005-0000-0000-0000562D0000}"/>
    <cellStyle name="Standard 4 2 2 2 2 3 2 2 2 3" xfId="11425" xr:uid="{00000000-0005-0000-0000-0000572D0000}"/>
    <cellStyle name="Standard 4 2 2 2 2 3 2 2 2 3 2" xfId="11426" xr:uid="{00000000-0005-0000-0000-0000582D0000}"/>
    <cellStyle name="Standard 4 2 2 2 2 3 2 2 2 3 3" xfId="11427" xr:uid="{00000000-0005-0000-0000-0000592D0000}"/>
    <cellStyle name="Standard 4 2 2 2 2 3 2 2 2 4" xfId="11428" xr:uid="{00000000-0005-0000-0000-00005A2D0000}"/>
    <cellStyle name="Standard 4 2 2 2 2 3 2 2 2 4 2" xfId="11429" xr:uid="{00000000-0005-0000-0000-00005B2D0000}"/>
    <cellStyle name="Standard 4 2 2 2 2 3 2 2 2 5" xfId="11430" xr:uid="{00000000-0005-0000-0000-00005C2D0000}"/>
    <cellStyle name="Standard 4 2 2 2 2 3 2 2 2 6" xfId="11431" xr:uid="{00000000-0005-0000-0000-00005D2D0000}"/>
    <cellStyle name="Standard 4 2 2 2 2 3 2 2 3" xfId="11432" xr:uid="{00000000-0005-0000-0000-00005E2D0000}"/>
    <cellStyle name="Standard 4 2 2 2 2 3 2 2 3 2" xfId="11433" xr:uid="{00000000-0005-0000-0000-00005F2D0000}"/>
    <cellStyle name="Standard 4 2 2 2 2 3 2 2 3 3" xfId="11434" xr:uid="{00000000-0005-0000-0000-0000602D0000}"/>
    <cellStyle name="Standard 4 2 2 2 2 3 2 2 4" xfId="11435" xr:uid="{00000000-0005-0000-0000-0000612D0000}"/>
    <cellStyle name="Standard 4 2 2 2 2 3 2 2 4 2" xfId="11436" xr:uid="{00000000-0005-0000-0000-0000622D0000}"/>
    <cellStyle name="Standard 4 2 2 2 2 3 2 2 4 3" xfId="11437" xr:uid="{00000000-0005-0000-0000-0000632D0000}"/>
    <cellStyle name="Standard 4 2 2 2 2 3 2 2 5" xfId="11438" xr:uid="{00000000-0005-0000-0000-0000642D0000}"/>
    <cellStyle name="Standard 4 2 2 2 2 3 2 2 5 2" xfId="11439" xr:uid="{00000000-0005-0000-0000-0000652D0000}"/>
    <cellStyle name="Standard 4 2 2 2 2 3 2 2 6" xfId="11440" xr:uid="{00000000-0005-0000-0000-0000662D0000}"/>
    <cellStyle name="Standard 4 2 2 2 2 3 2 2 7" xfId="11441" xr:uid="{00000000-0005-0000-0000-0000672D0000}"/>
    <cellStyle name="Standard 4 2 2 2 2 3 2 3" xfId="11442" xr:uid="{00000000-0005-0000-0000-0000682D0000}"/>
    <cellStyle name="Standard 4 2 2 2 2 3 2 3 2" xfId="11443" xr:uid="{00000000-0005-0000-0000-0000692D0000}"/>
    <cellStyle name="Standard 4 2 2 2 2 3 2 3 2 2" xfId="11444" xr:uid="{00000000-0005-0000-0000-00006A2D0000}"/>
    <cellStyle name="Standard 4 2 2 2 2 3 2 3 2 3" xfId="11445" xr:uid="{00000000-0005-0000-0000-00006B2D0000}"/>
    <cellStyle name="Standard 4 2 2 2 2 3 2 3 3" xfId="11446" xr:uid="{00000000-0005-0000-0000-00006C2D0000}"/>
    <cellStyle name="Standard 4 2 2 2 2 3 2 3 3 2" xfId="11447" xr:uid="{00000000-0005-0000-0000-00006D2D0000}"/>
    <cellStyle name="Standard 4 2 2 2 2 3 2 3 3 3" xfId="11448" xr:uid="{00000000-0005-0000-0000-00006E2D0000}"/>
    <cellStyle name="Standard 4 2 2 2 2 3 2 3 4" xfId="11449" xr:uid="{00000000-0005-0000-0000-00006F2D0000}"/>
    <cellStyle name="Standard 4 2 2 2 2 3 2 3 4 2" xfId="11450" xr:uid="{00000000-0005-0000-0000-0000702D0000}"/>
    <cellStyle name="Standard 4 2 2 2 2 3 2 3 5" xfId="11451" xr:uid="{00000000-0005-0000-0000-0000712D0000}"/>
    <cellStyle name="Standard 4 2 2 2 2 3 2 3 6" xfId="11452" xr:uid="{00000000-0005-0000-0000-0000722D0000}"/>
    <cellStyle name="Standard 4 2 2 2 2 3 2 4" xfId="11453" xr:uid="{00000000-0005-0000-0000-0000732D0000}"/>
    <cellStyle name="Standard 4 2 2 2 2 3 2 4 2" xfId="11454" xr:uid="{00000000-0005-0000-0000-0000742D0000}"/>
    <cellStyle name="Standard 4 2 2 2 2 3 2 4 3" xfId="11455" xr:uid="{00000000-0005-0000-0000-0000752D0000}"/>
    <cellStyle name="Standard 4 2 2 2 2 3 2 5" xfId="11456" xr:uid="{00000000-0005-0000-0000-0000762D0000}"/>
    <cellStyle name="Standard 4 2 2 2 2 3 2 5 2" xfId="11457" xr:uid="{00000000-0005-0000-0000-0000772D0000}"/>
    <cellStyle name="Standard 4 2 2 2 2 3 2 5 3" xfId="11458" xr:uid="{00000000-0005-0000-0000-0000782D0000}"/>
    <cellStyle name="Standard 4 2 2 2 2 3 2 6" xfId="11459" xr:uid="{00000000-0005-0000-0000-0000792D0000}"/>
    <cellStyle name="Standard 4 2 2 2 2 3 2 6 2" xfId="11460" xr:uid="{00000000-0005-0000-0000-00007A2D0000}"/>
    <cellStyle name="Standard 4 2 2 2 2 3 2 7" xfId="11461" xr:uid="{00000000-0005-0000-0000-00007B2D0000}"/>
    <cellStyle name="Standard 4 2 2 2 2 3 2 8" xfId="11462" xr:uid="{00000000-0005-0000-0000-00007C2D0000}"/>
    <cellStyle name="Standard 4 2 2 2 2 3 3" xfId="11463" xr:uid="{00000000-0005-0000-0000-00007D2D0000}"/>
    <cellStyle name="Standard 4 2 2 2 2 3 3 2" xfId="11464" xr:uid="{00000000-0005-0000-0000-00007E2D0000}"/>
    <cellStyle name="Standard 4 2 2 2 2 3 3 2 2" xfId="11465" xr:uid="{00000000-0005-0000-0000-00007F2D0000}"/>
    <cellStyle name="Standard 4 2 2 2 2 3 3 2 2 2" xfId="11466" xr:uid="{00000000-0005-0000-0000-0000802D0000}"/>
    <cellStyle name="Standard 4 2 2 2 2 3 3 2 2 2 2" xfId="11467" xr:uid="{00000000-0005-0000-0000-0000812D0000}"/>
    <cellStyle name="Standard 4 2 2 2 2 3 3 2 2 2 3" xfId="11468" xr:uid="{00000000-0005-0000-0000-0000822D0000}"/>
    <cellStyle name="Standard 4 2 2 2 2 3 3 2 2 3" xfId="11469" xr:uid="{00000000-0005-0000-0000-0000832D0000}"/>
    <cellStyle name="Standard 4 2 2 2 2 3 3 2 2 3 2" xfId="11470" xr:uid="{00000000-0005-0000-0000-0000842D0000}"/>
    <cellStyle name="Standard 4 2 2 2 2 3 3 2 2 3 3" xfId="11471" xr:uid="{00000000-0005-0000-0000-0000852D0000}"/>
    <cellStyle name="Standard 4 2 2 2 2 3 3 2 2 4" xfId="11472" xr:uid="{00000000-0005-0000-0000-0000862D0000}"/>
    <cellStyle name="Standard 4 2 2 2 2 3 3 2 2 4 2" xfId="11473" xr:uid="{00000000-0005-0000-0000-0000872D0000}"/>
    <cellStyle name="Standard 4 2 2 2 2 3 3 2 2 5" xfId="11474" xr:uid="{00000000-0005-0000-0000-0000882D0000}"/>
    <cellStyle name="Standard 4 2 2 2 2 3 3 2 2 6" xfId="11475" xr:uid="{00000000-0005-0000-0000-0000892D0000}"/>
    <cellStyle name="Standard 4 2 2 2 2 3 3 2 3" xfId="11476" xr:uid="{00000000-0005-0000-0000-00008A2D0000}"/>
    <cellStyle name="Standard 4 2 2 2 2 3 3 2 3 2" xfId="11477" xr:uid="{00000000-0005-0000-0000-00008B2D0000}"/>
    <cellStyle name="Standard 4 2 2 2 2 3 3 2 3 3" xfId="11478" xr:uid="{00000000-0005-0000-0000-00008C2D0000}"/>
    <cellStyle name="Standard 4 2 2 2 2 3 3 2 4" xfId="11479" xr:uid="{00000000-0005-0000-0000-00008D2D0000}"/>
    <cellStyle name="Standard 4 2 2 2 2 3 3 2 4 2" xfId="11480" xr:uid="{00000000-0005-0000-0000-00008E2D0000}"/>
    <cellStyle name="Standard 4 2 2 2 2 3 3 2 4 3" xfId="11481" xr:uid="{00000000-0005-0000-0000-00008F2D0000}"/>
    <cellStyle name="Standard 4 2 2 2 2 3 3 2 5" xfId="11482" xr:uid="{00000000-0005-0000-0000-0000902D0000}"/>
    <cellStyle name="Standard 4 2 2 2 2 3 3 2 5 2" xfId="11483" xr:uid="{00000000-0005-0000-0000-0000912D0000}"/>
    <cellStyle name="Standard 4 2 2 2 2 3 3 2 6" xfId="11484" xr:uid="{00000000-0005-0000-0000-0000922D0000}"/>
    <cellStyle name="Standard 4 2 2 2 2 3 3 2 7" xfId="11485" xr:uid="{00000000-0005-0000-0000-0000932D0000}"/>
    <cellStyle name="Standard 4 2 2 2 2 3 3 3" xfId="11486" xr:uid="{00000000-0005-0000-0000-0000942D0000}"/>
    <cellStyle name="Standard 4 2 2 2 2 3 3 3 2" xfId="11487" xr:uid="{00000000-0005-0000-0000-0000952D0000}"/>
    <cellStyle name="Standard 4 2 2 2 2 3 3 3 2 2" xfId="11488" xr:uid="{00000000-0005-0000-0000-0000962D0000}"/>
    <cellStyle name="Standard 4 2 2 2 2 3 3 3 2 3" xfId="11489" xr:uid="{00000000-0005-0000-0000-0000972D0000}"/>
    <cellStyle name="Standard 4 2 2 2 2 3 3 3 3" xfId="11490" xr:uid="{00000000-0005-0000-0000-0000982D0000}"/>
    <cellStyle name="Standard 4 2 2 2 2 3 3 3 3 2" xfId="11491" xr:uid="{00000000-0005-0000-0000-0000992D0000}"/>
    <cellStyle name="Standard 4 2 2 2 2 3 3 3 3 3" xfId="11492" xr:uid="{00000000-0005-0000-0000-00009A2D0000}"/>
    <cellStyle name="Standard 4 2 2 2 2 3 3 3 4" xfId="11493" xr:uid="{00000000-0005-0000-0000-00009B2D0000}"/>
    <cellStyle name="Standard 4 2 2 2 2 3 3 3 4 2" xfId="11494" xr:uid="{00000000-0005-0000-0000-00009C2D0000}"/>
    <cellStyle name="Standard 4 2 2 2 2 3 3 3 5" xfId="11495" xr:uid="{00000000-0005-0000-0000-00009D2D0000}"/>
    <cellStyle name="Standard 4 2 2 2 2 3 3 3 6" xfId="11496" xr:uid="{00000000-0005-0000-0000-00009E2D0000}"/>
    <cellStyle name="Standard 4 2 2 2 2 3 3 4" xfId="11497" xr:uid="{00000000-0005-0000-0000-00009F2D0000}"/>
    <cellStyle name="Standard 4 2 2 2 2 3 3 4 2" xfId="11498" xr:uid="{00000000-0005-0000-0000-0000A02D0000}"/>
    <cellStyle name="Standard 4 2 2 2 2 3 3 4 3" xfId="11499" xr:uid="{00000000-0005-0000-0000-0000A12D0000}"/>
    <cellStyle name="Standard 4 2 2 2 2 3 3 5" xfId="11500" xr:uid="{00000000-0005-0000-0000-0000A22D0000}"/>
    <cellStyle name="Standard 4 2 2 2 2 3 3 5 2" xfId="11501" xr:uid="{00000000-0005-0000-0000-0000A32D0000}"/>
    <cellStyle name="Standard 4 2 2 2 2 3 3 5 3" xfId="11502" xr:uid="{00000000-0005-0000-0000-0000A42D0000}"/>
    <cellStyle name="Standard 4 2 2 2 2 3 3 6" xfId="11503" xr:uid="{00000000-0005-0000-0000-0000A52D0000}"/>
    <cellStyle name="Standard 4 2 2 2 2 3 3 6 2" xfId="11504" xr:uid="{00000000-0005-0000-0000-0000A62D0000}"/>
    <cellStyle name="Standard 4 2 2 2 2 3 3 7" xfId="11505" xr:uid="{00000000-0005-0000-0000-0000A72D0000}"/>
    <cellStyle name="Standard 4 2 2 2 2 3 3 8" xfId="11506" xr:uid="{00000000-0005-0000-0000-0000A82D0000}"/>
    <cellStyle name="Standard 4 2 2 2 2 3 4" xfId="11507" xr:uid="{00000000-0005-0000-0000-0000A92D0000}"/>
    <cellStyle name="Standard 4 2 2 2 2 3 4 2" xfId="11508" xr:uid="{00000000-0005-0000-0000-0000AA2D0000}"/>
    <cellStyle name="Standard 4 2 2 2 2 3 4 2 2" xfId="11509" xr:uid="{00000000-0005-0000-0000-0000AB2D0000}"/>
    <cellStyle name="Standard 4 2 2 2 2 3 4 2 2 2" xfId="11510" xr:uid="{00000000-0005-0000-0000-0000AC2D0000}"/>
    <cellStyle name="Standard 4 2 2 2 2 3 4 2 2 3" xfId="11511" xr:uid="{00000000-0005-0000-0000-0000AD2D0000}"/>
    <cellStyle name="Standard 4 2 2 2 2 3 4 2 3" xfId="11512" xr:uid="{00000000-0005-0000-0000-0000AE2D0000}"/>
    <cellStyle name="Standard 4 2 2 2 2 3 4 2 3 2" xfId="11513" xr:uid="{00000000-0005-0000-0000-0000AF2D0000}"/>
    <cellStyle name="Standard 4 2 2 2 2 3 4 2 3 3" xfId="11514" xr:uid="{00000000-0005-0000-0000-0000B02D0000}"/>
    <cellStyle name="Standard 4 2 2 2 2 3 4 2 4" xfId="11515" xr:uid="{00000000-0005-0000-0000-0000B12D0000}"/>
    <cellStyle name="Standard 4 2 2 2 2 3 4 2 4 2" xfId="11516" xr:uid="{00000000-0005-0000-0000-0000B22D0000}"/>
    <cellStyle name="Standard 4 2 2 2 2 3 4 2 5" xfId="11517" xr:uid="{00000000-0005-0000-0000-0000B32D0000}"/>
    <cellStyle name="Standard 4 2 2 2 2 3 4 2 6" xfId="11518" xr:uid="{00000000-0005-0000-0000-0000B42D0000}"/>
    <cellStyle name="Standard 4 2 2 2 2 3 4 3" xfId="11519" xr:uid="{00000000-0005-0000-0000-0000B52D0000}"/>
    <cellStyle name="Standard 4 2 2 2 2 3 4 3 2" xfId="11520" xr:uid="{00000000-0005-0000-0000-0000B62D0000}"/>
    <cellStyle name="Standard 4 2 2 2 2 3 4 3 3" xfId="11521" xr:uid="{00000000-0005-0000-0000-0000B72D0000}"/>
    <cellStyle name="Standard 4 2 2 2 2 3 4 4" xfId="11522" xr:uid="{00000000-0005-0000-0000-0000B82D0000}"/>
    <cellStyle name="Standard 4 2 2 2 2 3 4 4 2" xfId="11523" xr:uid="{00000000-0005-0000-0000-0000B92D0000}"/>
    <cellStyle name="Standard 4 2 2 2 2 3 4 4 3" xfId="11524" xr:uid="{00000000-0005-0000-0000-0000BA2D0000}"/>
    <cellStyle name="Standard 4 2 2 2 2 3 4 5" xfId="11525" xr:uid="{00000000-0005-0000-0000-0000BB2D0000}"/>
    <cellStyle name="Standard 4 2 2 2 2 3 4 5 2" xfId="11526" xr:uid="{00000000-0005-0000-0000-0000BC2D0000}"/>
    <cellStyle name="Standard 4 2 2 2 2 3 4 6" xfId="11527" xr:uid="{00000000-0005-0000-0000-0000BD2D0000}"/>
    <cellStyle name="Standard 4 2 2 2 2 3 4 7" xfId="11528" xr:uid="{00000000-0005-0000-0000-0000BE2D0000}"/>
    <cellStyle name="Standard 4 2 2 2 2 3 5" xfId="11529" xr:uid="{00000000-0005-0000-0000-0000BF2D0000}"/>
    <cellStyle name="Standard 4 2 2 2 2 3 5 2" xfId="11530" xr:uid="{00000000-0005-0000-0000-0000C02D0000}"/>
    <cellStyle name="Standard 4 2 2 2 2 3 5 2 2" xfId="11531" xr:uid="{00000000-0005-0000-0000-0000C12D0000}"/>
    <cellStyle name="Standard 4 2 2 2 2 3 5 2 3" xfId="11532" xr:uid="{00000000-0005-0000-0000-0000C22D0000}"/>
    <cellStyle name="Standard 4 2 2 2 2 3 5 3" xfId="11533" xr:uid="{00000000-0005-0000-0000-0000C32D0000}"/>
    <cellStyle name="Standard 4 2 2 2 2 3 5 3 2" xfId="11534" xr:uid="{00000000-0005-0000-0000-0000C42D0000}"/>
    <cellStyle name="Standard 4 2 2 2 2 3 5 3 3" xfId="11535" xr:uid="{00000000-0005-0000-0000-0000C52D0000}"/>
    <cellStyle name="Standard 4 2 2 2 2 3 5 4" xfId="11536" xr:uid="{00000000-0005-0000-0000-0000C62D0000}"/>
    <cellStyle name="Standard 4 2 2 2 2 3 5 4 2" xfId="11537" xr:uid="{00000000-0005-0000-0000-0000C72D0000}"/>
    <cellStyle name="Standard 4 2 2 2 2 3 5 5" xfId="11538" xr:uid="{00000000-0005-0000-0000-0000C82D0000}"/>
    <cellStyle name="Standard 4 2 2 2 2 3 5 6" xfId="11539" xr:uid="{00000000-0005-0000-0000-0000C92D0000}"/>
    <cellStyle name="Standard 4 2 2 2 2 3 6" xfId="11540" xr:uid="{00000000-0005-0000-0000-0000CA2D0000}"/>
    <cellStyle name="Standard 4 2 2 2 2 3 6 2" xfId="11541" xr:uid="{00000000-0005-0000-0000-0000CB2D0000}"/>
    <cellStyle name="Standard 4 2 2 2 2 3 6 3" xfId="11542" xr:uid="{00000000-0005-0000-0000-0000CC2D0000}"/>
    <cellStyle name="Standard 4 2 2 2 2 3 7" xfId="11543" xr:uid="{00000000-0005-0000-0000-0000CD2D0000}"/>
    <cellStyle name="Standard 4 2 2 2 2 3 7 2" xfId="11544" xr:uid="{00000000-0005-0000-0000-0000CE2D0000}"/>
    <cellStyle name="Standard 4 2 2 2 2 3 7 3" xfId="11545" xr:uid="{00000000-0005-0000-0000-0000CF2D0000}"/>
    <cellStyle name="Standard 4 2 2 2 2 3 8" xfId="11546" xr:uid="{00000000-0005-0000-0000-0000D02D0000}"/>
    <cellStyle name="Standard 4 2 2 2 2 3 8 2" xfId="11547" xr:uid="{00000000-0005-0000-0000-0000D12D0000}"/>
    <cellStyle name="Standard 4 2 2 2 2 3 9" xfId="11548" xr:uid="{00000000-0005-0000-0000-0000D22D0000}"/>
    <cellStyle name="Standard 4 2 2 2 2 4" xfId="11549" xr:uid="{00000000-0005-0000-0000-0000D32D0000}"/>
    <cellStyle name="Standard 4 2 2 2 2 4 2" xfId="11550" xr:uid="{00000000-0005-0000-0000-0000D42D0000}"/>
    <cellStyle name="Standard 4 2 2 2 2 4 2 2" xfId="11551" xr:uid="{00000000-0005-0000-0000-0000D52D0000}"/>
    <cellStyle name="Standard 4 2 2 2 2 4 2 2 2" xfId="11552" xr:uid="{00000000-0005-0000-0000-0000D62D0000}"/>
    <cellStyle name="Standard 4 2 2 2 2 4 2 2 2 2" xfId="11553" xr:uid="{00000000-0005-0000-0000-0000D72D0000}"/>
    <cellStyle name="Standard 4 2 2 2 2 4 2 2 2 3" xfId="11554" xr:uid="{00000000-0005-0000-0000-0000D82D0000}"/>
    <cellStyle name="Standard 4 2 2 2 2 4 2 2 3" xfId="11555" xr:uid="{00000000-0005-0000-0000-0000D92D0000}"/>
    <cellStyle name="Standard 4 2 2 2 2 4 2 2 3 2" xfId="11556" xr:uid="{00000000-0005-0000-0000-0000DA2D0000}"/>
    <cellStyle name="Standard 4 2 2 2 2 4 2 2 3 3" xfId="11557" xr:uid="{00000000-0005-0000-0000-0000DB2D0000}"/>
    <cellStyle name="Standard 4 2 2 2 2 4 2 2 4" xfId="11558" xr:uid="{00000000-0005-0000-0000-0000DC2D0000}"/>
    <cellStyle name="Standard 4 2 2 2 2 4 2 2 4 2" xfId="11559" xr:uid="{00000000-0005-0000-0000-0000DD2D0000}"/>
    <cellStyle name="Standard 4 2 2 2 2 4 2 2 5" xfId="11560" xr:uid="{00000000-0005-0000-0000-0000DE2D0000}"/>
    <cellStyle name="Standard 4 2 2 2 2 4 2 2 6" xfId="11561" xr:uid="{00000000-0005-0000-0000-0000DF2D0000}"/>
    <cellStyle name="Standard 4 2 2 2 2 4 2 3" xfId="11562" xr:uid="{00000000-0005-0000-0000-0000E02D0000}"/>
    <cellStyle name="Standard 4 2 2 2 2 4 2 3 2" xfId="11563" xr:uid="{00000000-0005-0000-0000-0000E12D0000}"/>
    <cellStyle name="Standard 4 2 2 2 2 4 2 3 3" xfId="11564" xr:uid="{00000000-0005-0000-0000-0000E22D0000}"/>
    <cellStyle name="Standard 4 2 2 2 2 4 2 4" xfId="11565" xr:uid="{00000000-0005-0000-0000-0000E32D0000}"/>
    <cellStyle name="Standard 4 2 2 2 2 4 2 4 2" xfId="11566" xr:uid="{00000000-0005-0000-0000-0000E42D0000}"/>
    <cellStyle name="Standard 4 2 2 2 2 4 2 4 3" xfId="11567" xr:uid="{00000000-0005-0000-0000-0000E52D0000}"/>
    <cellStyle name="Standard 4 2 2 2 2 4 2 5" xfId="11568" xr:uid="{00000000-0005-0000-0000-0000E62D0000}"/>
    <cellStyle name="Standard 4 2 2 2 2 4 2 5 2" xfId="11569" xr:uid="{00000000-0005-0000-0000-0000E72D0000}"/>
    <cellStyle name="Standard 4 2 2 2 2 4 2 6" xfId="11570" xr:uid="{00000000-0005-0000-0000-0000E82D0000}"/>
    <cellStyle name="Standard 4 2 2 2 2 4 2 7" xfId="11571" xr:uid="{00000000-0005-0000-0000-0000E92D0000}"/>
    <cellStyle name="Standard 4 2 2 2 2 4 3" xfId="11572" xr:uid="{00000000-0005-0000-0000-0000EA2D0000}"/>
    <cellStyle name="Standard 4 2 2 2 2 4 3 2" xfId="11573" xr:uid="{00000000-0005-0000-0000-0000EB2D0000}"/>
    <cellStyle name="Standard 4 2 2 2 2 4 3 2 2" xfId="11574" xr:uid="{00000000-0005-0000-0000-0000EC2D0000}"/>
    <cellStyle name="Standard 4 2 2 2 2 4 3 2 3" xfId="11575" xr:uid="{00000000-0005-0000-0000-0000ED2D0000}"/>
    <cellStyle name="Standard 4 2 2 2 2 4 3 3" xfId="11576" xr:uid="{00000000-0005-0000-0000-0000EE2D0000}"/>
    <cellStyle name="Standard 4 2 2 2 2 4 3 3 2" xfId="11577" xr:uid="{00000000-0005-0000-0000-0000EF2D0000}"/>
    <cellStyle name="Standard 4 2 2 2 2 4 3 3 3" xfId="11578" xr:uid="{00000000-0005-0000-0000-0000F02D0000}"/>
    <cellStyle name="Standard 4 2 2 2 2 4 3 4" xfId="11579" xr:uid="{00000000-0005-0000-0000-0000F12D0000}"/>
    <cellStyle name="Standard 4 2 2 2 2 4 3 4 2" xfId="11580" xr:uid="{00000000-0005-0000-0000-0000F22D0000}"/>
    <cellStyle name="Standard 4 2 2 2 2 4 3 5" xfId="11581" xr:uid="{00000000-0005-0000-0000-0000F32D0000}"/>
    <cellStyle name="Standard 4 2 2 2 2 4 3 6" xfId="11582" xr:uid="{00000000-0005-0000-0000-0000F42D0000}"/>
    <cellStyle name="Standard 4 2 2 2 2 4 4" xfId="11583" xr:uid="{00000000-0005-0000-0000-0000F52D0000}"/>
    <cellStyle name="Standard 4 2 2 2 2 4 4 2" xfId="11584" xr:uid="{00000000-0005-0000-0000-0000F62D0000}"/>
    <cellStyle name="Standard 4 2 2 2 2 4 4 3" xfId="11585" xr:uid="{00000000-0005-0000-0000-0000F72D0000}"/>
    <cellStyle name="Standard 4 2 2 2 2 4 5" xfId="11586" xr:uid="{00000000-0005-0000-0000-0000F82D0000}"/>
    <cellStyle name="Standard 4 2 2 2 2 4 5 2" xfId="11587" xr:uid="{00000000-0005-0000-0000-0000F92D0000}"/>
    <cellStyle name="Standard 4 2 2 2 2 4 5 3" xfId="11588" xr:uid="{00000000-0005-0000-0000-0000FA2D0000}"/>
    <cellStyle name="Standard 4 2 2 2 2 4 6" xfId="11589" xr:uid="{00000000-0005-0000-0000-0000FB2D0000}"/>
    <cellStyle name="Standard 4 2 2 2 2 4 6 2" xfId="11590" xr:uid="{00000000-0005-0000-0000-0000FC2D0000}"/>
    <cellStyle name="Standard 4 2 2 2 2 4 7" xfId="11591" xr:uid="{00000000-0005-0000-0000-0000FD2D0000}"/>
    <cellStyle name="Standard 4 2 2 2 2 4 8" xfId="11592" xr:uid="{00000000-0005-0000-0000-0000FE2D0000}"/>
    <cellStyle name="Standard 4 2 2 2 2 5" xfId="11593" xr:uid="{00000000-0005-0000-0000-0000FF2D0000}"/>
    <cellStyle name="Standard 4 2 2 2 2 5 2" xfId="11594" xr:uid="{00000000-0005-0000-0000-0000002E0000}"/>
    <cellStyle name="Standard 4 2 2 2 2 5 2 2" xfId="11595" xr:uid="{00000000-0005-0000-0000-0000012E0000}"/>
    <cellStyle name="Standard 4 2 2 2 2 5 2 2 2" xfId="11596" xr:uid="{00000000-0005-0000-0000-0000022E0000}"/>
    <cellStyle name="Standard 4 2 2 2 2 5 2 2 2 2" xfId="11597" xr:uid="{00000000-0005-0000-0000-0000032E0000}"/>
    <cellStyle name="Standard 4 2 2 2 2 5 2 2 2 3" xfId="11598" xr:uid="{00000000-0005-0000-0000-0000042E0000}"/>
    <cellStyle name="Standard 4 2 2 2 2 5 2 2 3" xfId="11599" xr:uid="{00000000-0005-0000-0000-0000052E0000}"/>
    <cellStyle name="Standard 4 2 2 2 2 5 2 2 3 2" xfId="11600" xr:uid="{00000000-0005-0000-0000-0000062E0000}"/>
    <cellStyle name="Standard 4 2 2 2 2 5 2 2 3 3" xfId="11601" xr:uid="{00000000-0005-0000-0000-0000072E0000}"/>
    <cellStyle name="Standard 4 2 2 2 2 5 2 2 4" xfId="11602" xr:uid="{00000000-0005-0000-0000-0000082E0000}"/>
    <cellStyle name="Standard 4 2 2 2 2 5 2 2 4 2" xfId="11603" xr:uid="{00000000-0005-0000-0000-0000092E0000}"/>
    <cellStyle name="Standard 4 2 2 2 2 5 2 2 5" xfId="11604" xr:uid="{00000000-0005-0000-0000-00000A2E0000}"/>
    <cellStyle name="Standard 4 2 2 2 2 5 2 2 6" xfId="11605" xr:uid="{00000000-0005-0000-0000-00000B2E0000}"/>
    <cellStyle name="Standard 4 2 2 2 2 5 2 3" xfId="11606" xr:uid="{00000000-0005-0000-0000-00000C2E0000}"/>
    <cellStyle name="Standard 4 2 2 2 2 5 2 3 2" xfId="11607" xr:uid="{00000000-0005-0000-0000-00000D2E0000}"/>
    <cellStyle name="Standard 4 2 2 2 2 5 2 3 3" xfId="11608" xr:uid="{00000000-0005-0000-0000-00000E2E0000}"/>
    <cellStyle name="Standard 4 2 2 2 2 5 2 4" xfId="11609" xr:uid="{00000000-0005-0000-0000-00000F2E0000}"/>
    <cellStyle name="Standard 4 2 2 2 2 5 2 4 2" xfId="11610" xr:uid="{00000000-0005-0000-0000-0000102E0000}"/>
    <cellStyle name="Standard 4 2 2 2 2 5 2 4 3" xfId="11611" xr:uid="{00000000-0005-0000-0000-0000112E0000}"/>
    <cellStyle name="Standard 4 2 2 2 2 5 2 5" xfId="11612" xr:uid="{00000000-0005-0000-0000-0000122E0000}"/>
    <cellStyle name="Standard 4 2 2 2 2 5 2 5 2" xfId="11613" xr:uid="{00000000-0005-0000-0000-0000132E0000}"/>
    <cellStyle name="Standard 4 2 2 2 2 5 2 6" xfId="11614" xr:uid="{00000000-0005-0000-0000-0000142E0000}"/>
    <cellStyle name="Standard 4 2 2 2 2 5 2 7" xfId="11615" xr:uid="{00000000-0005-0000-0000-0000152E0000}"/>
    <cellStyle name="Standard 4 2 2 2 2 5 3" xfId="11616" xr:uid="{00000000-0005-0000-0000-0000162E0000}"/>
    <cellStyle name="Standard 4 2 2 2 2 5 3 2" xfId="11617" xr:uid="{00000000-0005-0000-0000-0000172E0000}"/>
    <cellStyle name="Standard 4 2 2 2 2 5 3 2 2" xfId="11618" xr:uid="{00000000-0005-0000-0000-0000182E0000}"/>
    <cellStyle name="Standard 4 2 2 2 2 5 3 2 3" xfId="11619" xr:uid="{00000000-0005-0000-0000-0000192E0000}"/>
    <cellStyle name="Standard 4 2 2 2 2 5 3 3" xfId="11620" xr:uid="{00000000-0005-0000-0000-00001A2E0000}"/>
    <cellStyle name="Standard 4 2 2 2 2 5 3 3 2" xfId="11621" xr:uid="{00000000-0005-0000-0000-00001B2E0000}"/>
    <cellStyle name="Standard 4 2 2 2 2 5 3 3 3" xfId="11622" xr:uid="{00000000-0005-0000-0000-00001C2E0000}"/>
    <cellStyle name="Standard 4 2 2 2 2 5 3 4" xfId="11623" xr:uid="{00000000-0005-0000-0000-00001D2E0000}"/>
    <cellStyle name="Standard 4 2 2 2 2 5 3 4 2" xfId="11624" xr:uid="{00000000-0005-0000-0000-00001E2E0000}"/>
    <cellStyle name="Standard 4 2 2 2 2 5 3 5" xfId="11625" xr:uid="{00000000-0005-0000-0000-00001F2E0000}"/>
    <cellStyle name="Standard 4 2 2 2 2 5 3 6" xfId="11626" xr:uid="{00000000-0005-0000-0000-0000202E0000}"/>
    <cellStyle name="Standard 4 2 2 2 2 5 4" xfId="11627" xr:uid="{00000000-0005-0000-0000-0000212E0000}"/>
    <cellStyle name="Standard 4 2 2 2 2 5 4 2" xfId="11628" xr:uid="{00000000-0005-0000-0000-0000222E0000}"/>
    <cellStyle name="Standard 4 2 2 2 2 5 4 3" xfId="11629" xr:uid="{00000000-0005-0000-0000-0000232E0000}"/>
    <cellStyle name="Standard 4 2 2 2 2 5 5" xfId="11630" xr:uid="{00000000-0005-0000-0000-0000242E0000}"/>
    <cellStyle name="Standard 4 2 2 2 2 5 5 2" xfId="11631" xr:uid="{00000000-0005-0000-0000-0000252E0000}"/>
    <cellStyle name="Standard 4 2 2 2 2 5 5 3" xfId="11632" xr:uid="{00000000-0005-0000-0000-0000262E0000}"/>
    <cellStyle name="Standard 4 2 2 2 2 5 6" xfId="11633" xr:uid="{00000000-0005-0000-0000-0000272E0000}"/>
    <cellStyle name="Standard 4 2 2 2 2 5 6 2" xfId="11634" xr:uid="{00000000-0005-0000-0000-0000282E0000}"/>
    <cellStyle name="Standard 4 2 2 2 2 5 7" xfId="11635" xr:uid="{00000000-0005-0000-0000-0000292E0000}"/>
    <cellStyle name="Standard 4 2 2 2 2 5 8" xfId="11636" xr:uid="{00000000-0005-0000-0000-00002A2E0000}"/>
    <cellStyle name="Standard 4 2 2 2 2 6" xfId="11637" xr:uid="{00000000-0005-0000-0000-00002B2E0000}"/>
    <cellStyle name="Standard 4 2 2 2 2 6 2" xfId="11638" xr:uid="{00000000-0005-0000-0000-00002C2E0000}"/>
    <cellStyle name="Standard 4 2 2 2 2 6 2 2" xfId="11639" xr:uid="{00000000-0005-0000-0000-00002D2E0000}"/>
    <cellStyle name="Standard 4 2 2 2 2 6 2 2 2" xfId="11640" xr:uid="{00000000-0005-0000-0000-00002E2E0000}"/>
    <cellStyle name="Standard 4 2 2 2 2 6 2 2 3" xfId="11641" xr:uid="{00000000-0005-0000-0000-00002F2E0000}"/>
    <cellStyle name="Standard 4 2 2 2 2 6 2 3" xfId="11642" xr:uid="{00000000-0005-0000-0000-0000302E0000}"/>
    <cellStyle name="Standard 4 2 2 2 2 6 2 3 2" xfId="11643" xr:uid="{00000000-0005-0000-0000-0000312E0000}"/>
    <cellStyle name="Standard 4 2 2 2 2 6 2 3 3" xfId="11644" xr:uid="{00000000-0005-0000-0000-0000322E0000}"/>
    <cellStyle name="Standard 4 2 2 2 2 6 2 4" xfId="11645" xr:uid="{00000000-0005-0000-0000-0000332E0000}"/>
    <cellStyle name="Standard 4 2 2 2 2 6 2 4 2" xfId="11646" xr:uid="{00000000-0005-0000-0000-0000342E0000}"/>
    <cellStyle name="Standard 4 2 2 2 2 6 2 5" xfId="11647" xr:uid="{00000000-0005-0000-0000-0000352E0000}"/>
    <cellStyle name="Standard 4 2 2 2 2 6 2 6" xfId="11648" xr:uid="{00000000-0005-0000-0000-0000362E0000}"/>
    <cellStyle name="Standard 4 2 2 2 2 6 3" xfId="11649" xr:uid="{00000000-0005-0000-0000-0000372E0000}"/>
    <cellStyle name="Standard 4 2 2 2 2 6 3 2" xfId="11650" xr:uid="{00000000-0005-0000-0000-0000382E0000}"/>
    <cellStyle name="Standard 4 2 2 2 2 6 3 3" xfId="11651" xr:uid="{00000000-0005-0000-0000-0000392E0000}"/>
    <cellStyle name="Standard 4 2 2 2 2 6 4" xfId="11652" xr:uid="{00000000-0005-0000-0000-00003A2E0000}"/>
    <cellStyle name="Standard 4 2 2 2 2 6 4 2" xfId="11653" xr:uid="{00000000-0005-0000-0000-00003B2E0000}"/>
    <cellStyle name="Standard 4 2 2 2 2 6 4 3" xfId="11654" xr:uid="{00000000-0005-0000-0000-00003C2E0000}"/>
    <cellStyle name="Standard 4 2 2 2 2 6 5" xfId="11655" xr:uid="{00000000-0005-0000-0000-00003D2E0000}"/>
    <cellStyle name="Standard 4 2 2 2 2 6 5 2" xfId="11656" xr:uid="{00000000-0005-0000-0000-00003E2E0000}"/>
    <cellStyle name="Standard 4 2 2 2 2 6 6" xfId="11657" xr:uid="{00000000-0005-0000-0000-00003F2E0000}"/>
    <cellStyle name="Standard 4 2 2 2 2 6 7" xfId="11658" xr:uid="{00000000-0005-0000-0000-0000402E0000}"/>
    <cellStyle name="Standard 4 2 2 2 2 7" xfId="11659" xr:uid="{00000000-0005-0000-0000-0000412E0000}"/>
    <cellStyle name="Standard 4 2 2 2 2 7 2" xfId="11660" xr:uid="{00000000-0005-0000-0000-0000422E0000}"/>
    <cellStyle name="Standard 4 2 2 2 2 7 2 2" xfId="11661" xr:uid="{00000000-0005-0000-0000-0000432E0000}"/>
    <cellStyle name="Standard 4 2 2 2 2 7 2 3" xfId="11662" xr:uid="{00000000-0005-0000-0000-0000442E0000}"/>
    <cellStyle name="Standard 4 2 2 2 2 7 3" xfId="11663" xr:uid="{00000000-0005-0000-0000-0000452E0000}"/>
    <cellStyle name="Standard 4 2 2 2 2 7 3 2" xfId="11664" xr:uid="{00000000-0005-0000-0000-0000462E0000}"/>
    <cellStyle name="Standard 4 2 2 2 2 7 3 3" xfId="11665" xr:uid="{00000000-0005-0000-0000-0000472E0000}"/>
    <cellStyle name="Standard 4 2 2 2 2 7 4" xfId="11666" xr:uid="{00000000-0005-0000-0000-0000482E0000}"/>
    <cellStyle name="Standard 4 2 2 2 2 7 4 2" xfId="11667" xr:uid="{00000000-0005-0000-0000-0000492E0000}"/>
    <cellStyle name="Standard 4 2 2 2 2 7 5" xfId="11668" xr:uid="{00000000-0005-0000-0000-00004A2E0000}"/>
    <cellStyle name="Standard 4 2 2 2 2 7 6" xfId="11669" xr:uid="{00000000-0005-0000-0000-00004B2E0000}"/>
    <cellStyle name="Standard 4 2 2 2 2 8" xfId="11670" xr:uid="{00000000-0005-0000-0000-00004C2E0000}"/>
    <cellStyle name="Standard 4 2 2 2 2 8 2" xfId="11671" xr:uid="{00000000-0005-0000-0000-00004D2E0000}"/>
    <cellStyle name="Standard 4 2 2 2 2 8 3" xfId="11672" xr:uid="{00000000-0005-0000-0000-00004E2E0000}"/>
    <cellStyle name="Standard 4 2 2 2 2 9" xfId="11673" xr:uid="{00000000-0005-0000-0000-00004F2E0000}"/>
    <cellStyle name="Standard 4 2 2 2 2 9 2" xfId="11674" xr:uid="{00000000-0005-0000-0000-0000502E0000}"/>
    <cellStyle name="Standard 4 2 2 2 2 9 3" xfId="11675" xr:uid="{00000000-0005-0000-0000-0000512E0000}"/>
    <cellStyle name="Standard 4 2 2 2 3" xfId="11676" xr:uid="{00000000-0005-0000-0000-0000522E0000}"/>
    <cellStyle name="Standard 4 2 2 2 3 10" xfId="11677" xr:uid="{00000000-0005-0000-0000-0000532E0000}"/>
    <cellStyle name="Standard 4 2 2 2 3 11" xfId="11678" xr:uid="{00000000-0005-0000-0000-0000542E0000}"/>
    <cellStyle name="Standard 4 2 2 2 3 2" xfId="11679" xr:uid="{00000000-0005-0000-0000-0000552E0000}"/>
    <cellStyle name="Standard 4 2 2 2 3 2 10" xfId="11680" xr:uid="{00000000-0005-0000-0000-0000562E0000}"/>
    <cellStyle name="Standard 4 2 2 2 3 2 2" xfId="11681" xr:uid="{00000000-0005-0000-0000-0000572E0000}"/>
    <cellStyle name="Standard 4 2 2 2 3 2 2 2" xfId="11682" xr:uid="{00000000-0005-0000-0000-0000582E0000}"/>
    <cellStyle name="Standard 4 2 2 2 3 2 2 2 2" xfId="11683" xr:uid="{00000000-0005-0000-0000-0000592E0000}"/>
    <cellStyle name="Standard 4 2 2 2 3 2 2 2 2 2" xfId="11684" xr:uid="{00000000-0005-0000-0000-00005A2E0000}"/>
    <cellStyle name="Standard 4 2 2 2 3 2 2 2 2 2 2" xfId="11685" xr:uid="{00000000-0005-0000-0000-00005B2E0000}"/>
    <cellStyle name="Standard 4 2 2 2 3 2 2 2 2 2 3" xfId="11686" xr:uid="{00000000-0005-0000-0000-00005C2E0000}"/>
    <cellStyle name="Standard 4 2 2 2 3 2 2 2 2 3" xfId="11687" xr:uid="{00000000-0005-0000-0000-00005D2E0000}"/>
    <cellStyle name="Standard 4 2 2 2 3 2 2 2 2 3 2" xfId="11688" xr:uid="{00000000-0005-0000-0000-00005E2E0000}"/>
    <cellStyle name="Standard 4 2 2 2 3 2 2 2 2 3 3" xfId="11689" xr:uid="{00000000-0005-0000-0000-00005F2E0000}"/>
    <cellStyle name="Standard 4 2 2 2 3 2 2 2 2 4" xfId="11690" xr:uid="{00000000-0005-0000-0000-0000602E0000}"/>
    <cellStyle name="Standard 4 2 2 2 3 2 2 2 2 4 2" xfId="11691" xr:uid="{00000000-0005-0000-0000-0000612E0000}"/>
    <cellStyle name="Standard 4 2 2 2 3 2 2 2 2 5" xfId="11692" xr:uid="{00000000-0005-0000-0000-0000622E0000}"/>
    <cellStyle name="Standard 4 2 2 2 3 2 2 2 2 6" xfId="11693" xr:uid="{00000000-0005-0000-0000-0000632E0000}"/>
    <cellStyle name="Standard 4 2 2 2 3 2 2 2 3" xfId="11694" xr:uid="{00000000-0005-0000-0000-0000642E0000}"/>
    <cellStyle name="Standard 4 2 2 2 3 2 2 2 3 2" xfId="11695" xr:uid="{00000000-0005-0000-0000-0000652E0000}"/>
    <cellStyle name="Standard 4 2 2 2 3 2 2 2 3 3" xfId="11696" xr:uid="{00000000-0005-0000-0000-0000662E0000}"/>
    <cellStyle name="Standard 4 2 2 2 3 2 2 2 4" xfId="11697" xr:uid="{00000000-0005-0000-0000-0000672E0000}"/>
    <cellStyle name="Standard 4 2 2 2 3 2 2 2 4 2" xfId="11698" xr:uid="{00000000-0005-0000-0000-0000682E0000}"/>
    <cellStyle name="Standard 4 2 2 2 3 2 2 2 4 3" xfId="11699" xr:uid="{00000000-0005-0000-0000-0000692E0000}"/>
    <cellStyle name="Standard 4 2 2 2 3 2 2 2 5" xfId="11700" xr:uid="{00000000-0005-0000-0000-00006A2E0000}"/>
    <cellStyle name="Standard 4 2 2 2 3 2 2 2 5 2" xfId="11701" xr:uid="{00000000-0005-0000-0000-00006B2E0000}"/>
    <cellStyle name="Standard 4 2 2 2 3 2 2 2 6" xfId="11702" xr:uid="{00000000-0005-0000-0000-00006C2E0000}"/>
    <cellStyle name="Standard 4 2 2 2 3 2 2 2 7" xfId="11703" xr:uid="{00000000-0005-0000-0000-00006D2E0000}"/>
    <cellStyle name="Standard 4 2 2 2 3 2 2 3" xfId="11704" xr:uid="{00000000-0005-0000-0000-00006E2E0000}"/>
    <cellStyle name="Standard 4 2 2 2 3 2 2 3 2" xfId="11705" xr:uid="{00000000-0005-0000-0000-00006F2E0000}"/>
    <cellStyle name="Standard 4 2 2 2 3 2 2 3 2 2" xfId="11706" xr:uid="{00000000-0005-0000-0000-0000702E0000}"/>
    <cellStyle name="Standard 4 2 2 2 3 2 2 3 2 3" xfId="11707" xr:uid="{00000000-0005-0000-0000-0000712E0000}"/>
    <cellStyle name="Standard 4 2 2 2 3 2 2 3 3" xfId="11708" xr:uid="{00000000-0005-0000-0000-0000722E0000}"/>
    <cellStyle name="Standard 4 2 2 2 3 2 2 3 3 2" xfId="11709" xr:uid="{00000000-0005-0000-0000-0000732E0000}"/>
    <cellStyle name="Standard 4 2 2 2 3 2 2 3 3 3" xfId="11710" xr:uid="{00000000-0005-0000-0000-0000742E0000}"/>
    <cellStyle name="Standard 4 2 2 2 3 2 2 3 4" xfId="11711" xr:uid="{00000000-0005-0000-0000-0000752E0000}"/>
    <cellStyle name="Standard 4 2 2 2 3 2 2 3 4 2" xfId="11712" xr:uid="{00000000-0005-0000-0000-0000762E0000}"/>
    <cellStyle name="Standard 4 2 2 2 3 2 2 3 5" xfId="11713" xr:uid="{00000000-0005-0000-0000-0000772E0000}"/>
    <cellStyle name="Standard 4 2 2 2 3 2 2 3 6" xfId="11714" xr:uid="{00000000-0005-0000-0000-0000782E0000}"/>
    <cellStyle name="Standard 4 2 2 2 3 2 2 4" xfId="11715" xr:uid="{00000000-0005-0000-0000-0000792E0000}"/>
    <cellStyle name="Standard 4 2 2 2 3 2 2 4 2" xfId="11716" xr:uid="{00000000-0005-0000-0000-00007A2E0000}"/>
    <cellStyle name="Standard 4 2 2 2 3 2 2 4 3" xfId="11717" xr:uid="{00000000-0005-0000-0000-00007B2E0000}"/>
    <cellStyle name="Standard 4 2 2 2 3 2 2 5" xfId="11718" xr:uid="{00000000-0005-0000-0000-00007C2E0000}"/>
    <cellStyle name="Standard 4 2 2 2 3 2 2 5 2" xfId="11719" xr:uid="{00000000-0005-0000-0000-00007D2E0000}"/>
    <cellStyle name="Standard 4 2 2 2 3 2 2 5 3" xfId="11720" xr:uid="{00000000-0005-0000-0000-00007E2E0000}"/>
    <cellStyle name="Standard 4 2 2 2 3 2 2 6" xfId="11721" xr:uid="{00000000-0005-0000-0000-00007F2E0000}"/>
    <cellStyle name="Standard 4 2 2 2 3 2 2 6 2" xfId="11722" xr:uid="{00000000-0005-0000-0000-0000802E0000}"/>
    <cellStyle name="Standard 4 2 2 2 3 2 2 7" xfId="11723" xr:uid="{00000000-0005-0000-0000-0000812E0000}"/>
    <cellStyle name="Standard 4 2 2 2 3 2 2 8" xfId="11724" xr:uid="{00000000-0005-0000-0000-0000822E0000}"/>
    <cellStyle name="Standard 4 2 2 2 3 2 3" xfId="11725" xr:uid="{00000000-0005-0000-0000-0000832E0000}"/>
    <cellStyle name="Standard 4 2 2 2 3 2 3 2" xfId="11726" xr:uid="{00000000-0005-0000-0000-0000842E0000}"/>
    <cellStyle name="Standard 4 2 2 2 3 2 3 2 2" xfId="11727" xr:uid="{00000000-0005-0000-0000-0000852E0000}"/>
    <cellStyle name="Standard 4 2 2 2 3 2 3 2 2 2" xfId="11728" xr:uid="{00000000-0005-0000-0000-0000862E0000}"/>
    <cellStyle name="Standard 4 2 2 2 3 2 3 2 2 2 2" xfId="11729" xr:uid="{00000000-0005-0000-0000-0000872E0000}"/>
    <cellStyle name="Standard 4 2 2 2 3 2 3 2 2 2 3" xfId="11730" xr:uid="{00000000-0005-0000-0000-0000882E0000}"/>
    <cellStyle name="Standard 4 2 2 2 3 2 3 2 2 3" xfId="11731" xr:uid="{00000000-0005-0000-0000-0000892E0000}"/>
    <cellStyle name="Standard 4 2 2 2 3 2 3 2 2 3 2" xfId="11732" xr:uid="{00000000-0005-0000-0000-00008A2E0000}"/>
    <cellStyle name="Standard 4 2 2 2 3 2 3 2 2 3 3" xfId="11733" xr:uid="{00000000-0005-0000-0000-00008B2E0000}"/>
    <cellStyle name="Standard 4 2 2 2 3 2 3 2 2 4" xfId="11734" xr:uid="{00000000-0005-0000-0000-00008C2E0000}"/>
    <cellStyle name="Standard 4 2 2 2 3 2 3 2 2 4 2" xfId="11735" xr:uid="{00000000-0005-0000-0000-00008D2E0000}"/>
    <cellStyle name="Standard 4 2 2 2 3 2 3 2 2 5" xfId="11736" xr:uid="{00000000-0005-0000-0000-00008E2E0000}"/>
    <cellStyle name="Standard 4 2 2 2 3 2 3 2 2 6" xfId="11737" xr:uid="{00000000-0005-0000-0000-00008F2E0000}"/>
    <cellStyle name="Standard 4 2 2 2 3 2 3 2 3" xfId="11738" xr:uid="{00000000-0005-0000-0000-0000902E0000}"/>
    <cellStyle name="Standard 4 2 2 2 3 2 3 2 3 2" xfId="11739" xr:uid="{00000000-0005-0000-0000-0000912E0000}"/>
    <cellStyle name="Standard 4 2 2 2 3 2 3 2 3 3" xfId="11740" xr:uid="{00000000-0005-0000-0000-0000922E0000}"/>
    <cellStyle name="Standard 4 2 2 2 3 2 3 2 4" xfId="11741" xr:uid="{00000000-0005-0000-0000-0000932E0000}"/>
    <cellStyle name="Standard 4 2 2 2 3 2 3 2 4 2" xfId="11742" xr:uid="{00000000-0005-0000-0000-0000942E0000}"/>
    <cellStyle name="Standard 4 2 2 2 3 2 3 2 4 3" xfId="11743" xr:uid="{00000000-0005-0000-0000-0000952E0000}"/>
    <cellStyle name="Standard 4 2 2 2 3 2 3 2 5" xfId="11744" xr:uid="{00000000-0005-0000-0000-0000962E0000}"/>
    <cellStyle name="Standard 4 2 2 2 3 2 3 2 5 2" xfId="11745" xr:uid="{00000000-0005-0000-0000-0000972E0000}"/>
    <cellStyle name="Standard 4 2 2 2 3 2 3 2 6" xfId="11746" xr:uid="{00000000-0005-0000-0000-0000982E0000}"/>
    <cellStyle name="Standard 4 2 2 2 3 2 3 2 7" xfId="11747" xr:uid="{00000000-0005-0000-0000-0000992E0000}"/>
    <cellStyle name="Standard 4 2 2 2 3 2 3 3" xfId="11748" xr:uid="{00000000-0005-0000-0000-00009A2E0000}"/>
    <cellStyle name="Standard 4 2 2 2 3 2 3 3 2" xfId="11749" xr:uid="{00000000-0005-0000-0000-00009B2E0000}"/>
    <cellStyle name="Standard 4 2 2 2 3 2 3 3 2 2" xfId="11750" xr:uid="{00000000-0005-0000-0000-00009C2E0000}"/>
    <cellStyle name="Standard 4 2 2 2 3 2 3 3 2 3" xfId="11751" xr:uid="{00000000-0005-0000-0000-00009D2E0000}"/>
    <cellStyle name="Standard 4 2 2 2 3 2 3 3 3" xfId="11752" xr:uid="{00000000-0005-0000-0000-00009E2E0000}"/>
    <cellStyle name="Standard 4 2 2 2 3 2 3 3 3 2" xfId="11753" xr:uid="{00000000-0005-0000-0000-00009F2E0000}"/>
    <cellStyle name="Standard 4 2 2 2 3 2 3 3 3 3" xfId="11754" xr:uid="{00000000-0005-0000-0000-0000A02E0000}"/>
    <cellStyle name="Standard 4 2 2 2 3 2 3 3 4" xfId="11755" xr:uid="{00000000-0005-0000-0000-0000A12E0000}"/>
    <cellStyle name="Standard 4 2 2 2 3 2 3 3 4 2" xfId="11756" xr:uid="{00000000-0005-0000-0000-0000A22E0000}"/>
    <cellStyle name="Standard 4 2 2 2 3 2 3 3 5" xfId="11757" xr:uid="{00000000-0005-0000-0000-0000A32E0000}"/>
    <cellStyle name="Standard 4 2 2 2 3 2 3 3 6" xfId="11758" xr:uid="{00000000-0005-0000-0000-0000A42E0000}"/>
    <cellStyle name="Standard 4 2 2 2 3 2 3 4" xfId="11759" xr:uid="{00000000-0005-0000-0000-0000A52E0000}"/>
    <cellStyle name="Standard 4 2 2 2 3 2 3 4 2" xfId="11760" xr:uid="{00000000-0005-0000-0000-0000A62E0000}"/>
    <cellStyle name="Standard 4 2 2 2 3 2 3 4 3" xfId="11761" xr:uid="{00000000-0005-0000-0000-0000A72E0000}"/>
    <cellStyle name="Standard 4 2 2 2 3 2 3 5" xfId="11762" xr:uid="{00000000-0005-0000-0000-0000A82E0000}"/>
    <cellStyle name="Standard 4 2 2 2 3 2 3 5 2" xfId="11763" xr:uid="{00000000-0005-0000-0000-0000A92E0000}"/>
    <cellStyle name="Standard 4 2 2 2 3 2 3 5 3" xfId="11764" xr:uid="{00000000-0005-0000-0000-0000AA2E0000}"/>
    <cellStyle name="Standard 4 2 2 2 3 2 3 6" xfId="11765" xr:uid="{00000000-0005-0000-0000-0000AB2E0000}"/>
    <cellStyle name="Standard 4 2 2 2 3 2 3 6 2" xfId="11766" xr:uid="{00000000-0005-0000-0000-0000AC2E0000}"/>
    <cellStyle name="Standard 4 2 2 2 3 2 3 7" xfId="11767" xr:uid="{00000000-0005-0000-0000-0000AD2E0000}"/>
    <cellStyle name="Standard 4 2 2 2 3 2 3 8" xfId="11768" xr:uid="{00000000-0005-0000-0000-0000AE2E0000}"/>
    <cellStyle name="Standard 4 2 2 2 3 2 4" xfId="11769" xr:uid="{00000000-0005-0000-0000-0000AF2E0000}"/>
    <cellStyle name="Standard 4 2 2 2 3 2 4 2" xfId="11770" xr:uid="{00000000-0005-0000-0000-0000B02E0000}"/>
    <cellStyle name="Standard 4 2 2 2 3 2 4 2 2" xfId="11771" xr:uid="{00000000-0005-0000-0000-0000B12E0000}"/>
    <cellStyle name="Standard 4 2 2 2 3 2 4 2 2 2" xfId="11772" xr:uid="{00000000-0005-0000-0000-0000B22E0000}"/>
    <cellStyle name="Standard 4 2 2 2 3 2 4 2 2 3" xfId="11773" xr:uid="{00000000-0005-0000-0000-0000B32E0000}"/>
    <cellStyle name="Standard 4 2 2 2 3 2 4 2 3" xfId="11774" xr:uid="{00000000-0005-0000-0000-0000B42E0000}"/>
    <cellStyle name="Standard 4 2 2 2 3 2 4 2 3 2" xfId="11775" xr:uid="{00000000-0005-0000-0000-0000B52E0000}"/>
    <cellStyle name="Standard 4 2 2 2 3 2 4 2 3 3" xfId="11776" xr:uid="{00000000-0005-0000-0000-0000B62E0000}"/>
    <cellStyle name="Standard 4 2 2 2 3 2 4 2 4" xfId="11777" xr:uid="{00000000-0005-0000-0000-0000B72E0000}"/>
    <cellStyle name="Standard 4 2 2 2 3 2 4 2 4 2" xfId="11778" xr:uid="{00000000-0005-0000-0000-0000B82E0000}"/>
    <cellStyle name="Standard 4 2 2 2 3 2 4 2 5" xfId="11779" xr:uid="{00000000-0005-0000-0000-0000B92E0000}"/>
    <cellStyle name="Standard 4 2 2 2 3 2 4 2 6" xfId="11780" xr:uid="{00000000-0005-0000-0000-0000BA2E0000}"/>
    <cellStyle name="Standard 4 2 2 2 3 2 4 3" xfId="11781" xr:uid="{00000000-0005-0000-0000-0000BB2E0000}"/>
    <cellStyle name="Standard 4 2 2 2 3 2 4 3 2" xfId="11782" xr:uid="{00000000-0005-0000-0000-0000BC2E0000}"/>
    <cellStyle name="Standard 4 2 2 2 3 2 4 3 3" xfId="11783" xr:uid="{00000000-0005-0000-0000-0000BD2E0000}"/>
    <cellStyle name="Standard 4 2 2 2 3 2 4 4" xfId="11784" xr:uid="{00000000-0005-0000-0000-0000BE2E0000}"/>
    <cellStyle name="Standard 4 2 2 2 3 2 4 4 2" xfId="11785" xr:uid="{00000000-0005-0000-0000-0000BF2E0000}"/>
    <cellStyle name="Standard 4 2 2 2 3 2 4 4 3" xfId="11786" xr:uid="{00000000-0005-0000-0000-0000C02E0000}"/>
    <cellStyle name="Standard 4 2 2 2 3 2 4 5" xfId="11787" xr:uid="{00000000-0005-0000-0000-0000C12E0000}"/>
    <cellStyle name="Standard 4 2 2 2 3 2 4 5 2" xfId="11788" xr:uid="{00000000-0005-0000-0000-0000C22E0000}"/>
    <cellStyle name="Standard 4 2 2 2 3 2 4 6" xfId="11789" xr:uid="{00000000-0005-0000-0000-0000C32E0000}"/>
    <cellStyle name="Standard 4 2 2 2 3 2 4 7" xfId="11790" xr:uid="{00000000-0005-0000-0000-0000C42E0000}"/>
    <cellStyle name="Standard 4 2 2 2 3 2 5" xfId="11791" xr:uid="{00000000-0005-0000-0000-0000C52E0000}"/>
    <cellStyle name="Standard 4 2 2 2 3 2 5 2" xfId="11792" xr:uid="{00000000-0005-0000-0000-0000C62E0000}"/>
    <cellStyle name="Standard 4 2 2 2 3 2 5 2 2" xfId="11793" xr:uid="{00000000-0005-0000-0000-0000C72E0000}"/>
    <cellStyle name="Standard 4 2 2 2 3 2 5 2 3" xfId="11794" xr:uid="{00000000-0005-0000-0000-0000C82E0000}"/>
    <cellStyle name="Standard 4 2 2 2 3 2 5 3" xfId="11795" xr:uid="{00000000-0005-0000-0000-0000C92E0000}"/>
    <cellStyle name="Standard 4 2 2 2 3 2 5 3 2" xfId="11796" xr:uid="{00000000-0005-0000-0000-0000CA2E0000}"/>
    <cellStyle name="Standard 4 2 2 2 3 2 5 3 3" xfId="11797" xr:uid="{00000000-0005-0000-0000-0000CB2E0000}"/>
    <cellStyle name="Standard 4 2 2 2 3 2 5 4" xfId="11798" xr:uid="{00000000-0005-0000-0000-0000CC2E0000}"/>
    <cellStyle name="Standard 4 2 2 2 3 2 5 4 2" xfId="11799" xr:uid="{00000000-0005-0000-0000-0000CD2E0000}"/>
    <cellStyle name="Standard 4 2 2 2 3 2 5 5" xfId="11800" xr:uid="{00000000-0005-0000-0000-0000CE2E0000}"/>
    <cellStyle name="Standard 4 2 2 2 3 2 5 6" xfId="11801" xr:uid="{00000000-0005-0000-0000-0000CF2E0000}"/>
    <cellStyle name="Standard 4 2 2 2 3 2 6" xfId="11802" xr:uid="{00000000-0005-0000-0000-0000D02E0000}"/>
    <cellStyle name="Standard 4 2 2 2 3 2 6 2" xfId="11803" xr:uid="{00000000-0005-0000-0000-0000D12E0000}"/>
    <cellStyle name="Standard 4 2 2 2 3 2 6 3" xfId="11804" xr:uid="{00000000-0005-0000-0000-0000D22E0000}"/>
    <cellStyle name="Standard 4 2 2 2 3 2 7" xfId="11805" xr:uid="{00000000-0005-0000-0000-0000D32E0000}"/>
    <cellStyle name="Standard 4 2 2 2 3 2 7 2" xfId="11806" xr:uid="{00000000-0005-0000-0000-0000D42E0000}"/>
    <cellStyle name="Standard 4 2 2 2 3 2 7 3" xfId="11807" xr:uid="{00000000-0005-0000-0000-0000D52E0000}"/>
    <cellStyle name="Standard 4 2 2 2 3 2 8" xfId="11808" xr:uid="{00000000-0005-0000-0000-0000D62E0000}"/>
    <cellStyle name="Standard 4 2 2 2 3 2 8 2" xfId="11809" xr:uid="{00000000-0005-0000-0000-0000D72E0000}"/>
    <cellStyle name="Standard 4 2 2 2 3 2 9" xfId="11810" xr:uid="{00000000-0005-0000-0000-0000D82E0000}"/>
    <cellStyle name="Standard 4 2 2 2 3 3" xfId="11811" xr:uid="{00000000-0005-0000-0000-0000D92E0000}"/>
    <cellStyle name="Standard 4 2 2 2 3 3 2" xfId="11812" xr:uid="{00000000-0005-0000-0000-0000DA2E0000}"/>
    <cellStyle name="Standard 4 2 2 2 3 3 2 2" xfId="11813" xr:uid="{00000000-0005-0000-0000-0000DB2E0000}"/>
    <cellStyle name="Standard 4 2 2 2 3 3 2 2 2" xfId="11814" xr:uid="{00000000-0005-0000-0000-0000DC2E0000}"/>
    <cellStyle name="Standard 4 2 2 2 3 3 2 2 2 2" xfId="11815" xr:uid="{00000000-0005-0000-0000-0000DD2E0000}"/>
    <cellStyle name="Standard 4 2 2 2 3 3 2 2 2 3" xfId="11816" xr:uid="{00000000-0005-0000-0000-0000DE2E0000}"/>
    <cellStyle name="Standard 4 2 2 2 3 3 2 2 3" xfId="11817" xr:uid="{00000000-0005-0000-0000-0000DF2E0000}"/>
    <cellStyle name="Standard 4 2 2 2 3 3 2 2 3 2" xfId="11818" xr:uid="{00000000-0005-0000-0000-0000E02E0000}"/>
    <cellStyle name="Standard 4 2 2 2 3 3 2 2 3 3" xfId="11819" xr:uid="{00000000-0005-0000-0000-0000E12E0000}"/>
    <cellStyle name="Standard 4 2 2 2 3 3 2 2 4" xfId="11820" xr:uid="{00000000-0005-0000-0000-0000E22E0000}"/>
    <cellStyle name="Standard 4 2 2 2 3 3 2 2 4 2" xfId="11821" xr:uid="{00000000-0005-0000-0000-0000E32E0000}"/>
    <cellStyle name="Standard 4 2 2 2 3 3 2 2 5" xfId="11822" xr:uid="{00000000-0005-0000-0000-0000E42E0000}"/>
    <cellStyle name="Standard 4 2 2 2 3 3 2 2 6" xfId="11823" xr:uid="{00000000-0005-0000-0000-0000E52E0000}"/>
    <cellStyle name="Standard 4 2 2 2 3 3 2 3" xfId="11824" xr:uid="{00000000-0005-0000-0000-0000E62E0000}"/>
    <cellStyle name="Standard 4 2 2 2 3 3 2 3 2" xfId="11825" xr:uid="{00000000-0005-0000-0000-0000E72E0000}"/>
    <cellStyle name="Standard 4 2 2 2 3 3 2 3 3" xfId="11826" xr:uid="{00000000-0005-0000-0000-0000E82E0000}"/>
    <cellStyle name="Standard 4 2 2 2 3 3 2 4" xfId="11827" xr:uid="{00000000-0005-0000-0000-0000E92E0000}"/>
    <cellStyle name="Standard 4 2 2 2 3 3 2 4 2" xfId="11828" xr:uid="{00000000-0005-0000-0000-0000EA2E0000}"/>
    <cellStyle name="Standard 4 2 2 2 3 3 2 4 3" xfId="11829" xr:uid="{00000000-0005-0000-0000-0000EB2E0000}"/>
    <cellStyle name="Standard 4 2 2 2 3 3 2 5" xfId="11830" xr:uid="{00000000-0005-0000-0000-0000EC2E0000}"/>
    <cellStyle name="Standard 4 2 2 2 3 3 2 5 2" xfId="11831" xr:uid="{00000000-0005-0000-0000-0000ED2E0000}"/>
    <cellStyle name="Standard 4 2 2 2 3 3 2 6" xfId="11832" xr:uid="{00000000-0005-0000-0000-0000EE2E0000}"/>
    <cellStyle name="Standard 4 2 2 2 3 3 2 7" xfId="11833" xr:uid="{00000000-0005-0000-0000-0000EF2E0000}"/>
    <cellStyle name="Standard 4 2 2 2 3 3 3" xfId="11834" xr:uid="{00000000-0005-0000-0000-0000F02E0000}"/>
    <cellStyle name="Standard 4 2 2 2 3 3 3 2" xfId="11835" xr:uid="{00000000-0005-0000-0000-0000F12E0000}"/>
    <cellStyle name="Standard 4 2 2 2 3 3 3 2 2" xfId="11836" xr:uid="{00000000-0005-0000-0000-0000F22E0000}"/>
    <cellStyle name="Standard 4 2 2 2 3 3 3 2 3" xfId="11837" xr:uid="{00000000-0005-0000-0000-0000F32E0000}"/>
    <cellStyle name="Standard 4 2 2 2 3 3 3 3" xfId="11838" xr:uid="{00000000-0005-0000-0000-0000F42E0000}"/>
    <cellStyle name="Standard 4 2 2 2 3 3 3 3 2" xfId="11839" xr:uid="{00000000-0005-0000-0000-0000F52E0000}"/>
    <cellStyle name="Standard 4 2 2 2 3 3 3 3 3" xfId="11840" xr:uid="{00000000-0005-0000-0000-0000F62E0000}"/>
    <cellStyle name="Standard 4 2 2 2 3 3 3 4" xfId="11841" xr:uid="{00000000-0005-0000-0000-0000F72E0000}"/>
    <cellStyle name="Standard 4 2 2 2 3 3 3 4 2" xfId="11842" xr:uid="{00000000-0005-0000-0000-0000F82E0000}"/>
    <cellStyle name="Standard 4 2 2 2 3 3 3 5" xfId="11843" xr:uid="{00000000-0005-0000-0000-0000F92E0000}"/>
    <cellStyle name="Standard 4 2 2 2 3 3 3 6" xfId="11844" xr:uid="{00000000-0005-0000-0000-0000FA2E0000}"/>
    <cellStyle name="Standard 4 2 2 2 3 3 4" xfId="11845" xr:uid="{00000000-0005-0000-0000-0000FB2E0000}"/>
    <cellStyle name="Standard 4 2 2 2 3 3 4 2" xfId="11846" xr:uid="{00000000-0005-0000-0000-0000FC2E0000}"/>
    <cellStyle name="Standard 4 2 2 2 3 3 4 3" xfId="11847" xr:uid="{00000000-0005-0000-0000-0000FD2E0000}"/>
    <cellStyle name="Standard 4 2 2 2 3 3 5" xfId="11848" xr:uid="{00000000-0005-0000-0000-0000FE2E0000}"/>
    <cellStyle name="Standard 4 2 2 2 3 3 5 2" xfId="11849" xr:uid="{00000000-0005-0000-0000-0000FF2E0000}"/>
    <cellStyle name="Standard 4 2 2 2 3 3 5 3" xfId="11850" xr:uid="{00000000-0005-0000-0000-0000002F0000}"/>
    <cellStyle name="Standard 4 2 2 2 3 3 6" xfId="11851" xr:uid="{00000000-0005-0000-0000-0000012F0000}"/>
    <cellStyle name="Standard 4 2 2 2 3 3 6 2" xfId="11852" xr:uid="{00000000-0005-0000-0000-0000022F0000}"/>
    <cellStyle name="Standard 4 2 2 2 3 3 7" xfId="11853" xr:uid="{00000000-0005-0000-0000-0000032F0000}"/>
    <cellStyle name="Standard 4 2 2 2 3 3 8" xfId="11854" xr:uid="{00000000-0005-0000-0000-0000042F0000}"/>
    <cellStyle name="Standard 4 2 2 2 3 4" xfId="11855" xr:uid="{00000000-0005-0000-0000-0000052F0000}"/>
    <cellStyle name="Standard 4 2 2 2 3 4 2" xfId="11856" xr:uid="{00000000-0005-0000-0000-0000062F0000}"/>
    <cellStyle name="Standard 4 2 2 2 3 4 2 2" xfId="11857" xr:uid="{00000000-0005-0000-0000-0000072F0000}"/>
    <cellStyle name="Standard 4 2 2 2 3 4 2 2 2" xfId="11858" xr:uid="{00000000-0005-0000-0000-0000082F0000}"/>
    <cellStyle name="Standard 4 2 2 2 3 4 2 2 2 2" xfId="11859" xr:uid="{00000000-0005-0000-0000-0000092F0000}"/>
    <cellStyle name="Standard 4 2 2 2 3 4 2 2 2 3" xfId="11860" xr:uid="{00000000-0005-0000-0000-00000A2F0000}"/>
    <cellStyle name="Standard 4 2 2 2 3 4 2 2 3" xfId="11861" xr:uid="{00000000-0005-0000-0000-00000B2F0000}"/>
    <cellStyle name="Standard 4 2 2 2 3 4 2 2 3 2" xfId="11862" xr:uid="{00000000-0005-0000-0000-00000C2F0000}"/>
    <cellStyle name="Standard 4 2 2 2 3 4 2 2 3 3" xfId="11863" xr:uid="{00000000-0005-0000-0000-00000D2F0000}"/>
    <cellStyle name="Standard 4 2 2 2 3 4 2 2 4" xfId="11864" xr:uid="{00000000-0005-0000-0000-00000E2F0000}"/>
    <cellStyle name="Standard 4 2 2 2 3 4 2 2 4 2" xfId="11865" xr:uid="{00000000-0005-0000-0000-00000F2F0000}"/>
    <cellStyle name="Standard 4 2 2 2 3 4 2 2 5" xfId="11866" xr:uid="{00000000-0005-0000-0000-0000102F0000}"/>
    <cellStyle name="Standard 4 2 2 2 3 4 2 2 6" xfId="11867" xr:uid="{00000000-0005-0000-0000-0000112F0000}"/>
    <cellStyle name="Standard 4 2 2 2 3 4 2 3" xfId="11868" xr:uid="{00000000-0005-0000-0000-0000122F0000}"/>
    <cellStyle name="Standard 4 2 2 2 3 4 2 3 2" xfId="11869" xr:uid="{00000000-0005-0000-0000-0000132F0000}"/>
    <cellStyle name="Standard 4 2 2 2 3 4 2 3 3" xfId="11870" xr:uid="{00000000-0005-0000-0000-0000142F0000}"/>
    <cellStyle name="Standard 4 2 2 2 3 4 2 4" xfId="11871" xr:uid="{00000000-0005-0000-0000-0000152F0000}"/>
    <cellStyle name="Standard 4 2 2 2 3 4 2 4 2" xfId="11872" xr:uid="{00000000-0005-0000-0000-0000162F0000}"/>
    <cellStyle name="Standard 4 2 2 2 3 4 2 4 3" xfId="11873" xr:uid="{00000000-0005-0000-0000-0000172F0000}"/>
    <cellStyle name="Standard 4 2 2 2 3 4 2 5" xfId="11874" xr:uid="{00000000-0005-0000-0000-0000182F0000}"/>
    <cellStyle name="Standard 4 2 2 2 3 4 2 5 2" xfId="11875" xr:uid="{00000000-0005-0000-0000-0000192F0000}"/>
    <cellStyle name="Standard 4 2 2 2 3 4 2 6" xfId="11876" xr:uid="{00000000-0005-0000-0000-00001A2F0000}"/>
    <cellStyle name="Standard 4 2 2 2 3 4 2 7" xfId="11877" xr:uid="{00000000-0005-0000-0000-00001B2F0000}"/>
    <cellStyle name="Standard 4 2 2 2 3 4 3" xfId="11878" xr:uid="{00000000-0005-0000-0000-00001C2F0000}"/>
    <cellStyle name="Standard 4 2 2 2 3 4 3 2" xfId="11879" xr:uid="{00000000-0005-0000-0000-00001D2F0000}"/>
    <cellStyle name="Standard 4 2 2 2 3 4 3 2 2" xfId="11880" xr:uid="{00000000-0005-0000-0000-00001E2F0000}"/>
    <cellStyle name="Standard 4 2 2 2 3 4 3 2 3" xfId="11881" xr:uid="{00000000-0005-0000-0000-00001F2F0000}"/>
    <cellStyle name="Standard 4 2 2 2 3 4 3 3" xfId="11882" xr:uid="{00000000-0005-0000-0000-0000202F0000}"/>
    <cellStyle name="Standard 4 2 2 2 3 4 3 3 2" xfId="11883" xr:uid="{00000000-0005-0000-0000-0000212F0000}"/>
    <cellStyle name="Standard 4 2 2 2 3 4 3 3 3" xfId="11884" xr:uid="{00000000-0005-0000-0000-0000222F0000}"/>
    <cellStyle name="Standard 4 2 2 2 3 4 3 4" xfId="11885" xr:uid="{00000000-0005-0000-0000-0000232F0000}"/>
    <cellStyle name="Standard 4 2 2 2 3 4 3 4 2" xfId="11886" xr:uid="{00000000-0005-0000-0000-0000242F0000}"/>
    <cellStyle name="Standard 4 2 2 2 3 4 3 5" xfId="11887" xr:uid="{00000000-0005-0000-0000-0000252F0000}"/>
    <cellStyle name="Standard 4 2 2 2 3 4 3 6" xfId="11888" xr:uid="{00000000-0005-0000-0000-0000262F0000}"/>
    <cellStyle name="Standard 4 2 2 2 3 4 4" xfId="11889" xr:uid="{00000000-0005-0000-0000-0000272F0000}"/>
    <cellStyle name="Standard 4 2 2 2 3 4 4 2" xfId="11890" xr:uid="{00000000-0005-0000-0000-0000282F0000}"/>
    <cellStyle name="Standard 4 2 2 2 3 4 4 3" xfId="11891" xr:uid="{00000000-0005-0000-0000-0000292F0000}"/>
    <cellStyle name="Standard 4 2 2 2 3 4 5" xfId="11892" xr:uid="{00000000-0005-0000-0000-00002A2F0000}"/>
    <cellStyle name="Standard 4 2 2 2 3 4 5 2" xfId="11893" xr:uid="{00000000-0005-0000-0000-00002B2F0000}"/>
    <cellStyle name="Standard 4 2 2 2 3 4 5 3" xfId="11894" xr:uid="{00000000-0005-0000-0000-00002C2F0000}"/>
    <cellStyle name="Standard 4 2 2 2 3 4 6" xfId="11895" xr:uid="{00000000-0005-0000-0000-00002D2F0000}"/>
    <cellStyle name="Standard 4 2 2 2 3 4 6 2" xfId="11896" xr:uid="{00000000-0005-0000-0000-00002E2F0000}"/>
    <cellStyle name="Standard 4 2 2 2 3 4 7" xfId="11897" xr:uid="{00000000-0005-0000-0000-00002F2F0000}"/>
    <cellStyle name="Standard 4 2 2 2 3 4 8" xfId="11898" xr:uid="{00000000-0005-0000-0000-0000302F0000}"/>
    <cellStyle name="Standard 4 2 2 2 3 5" xfId="11899" xr:uid="{00000000-0005-0000-0000-0000312F0000}"/>
    <cellStyle name="Standard 4 2 2 2 3 5 2" xfId="11900" xr:uid="{00000000-0005-0000-0000-0000322F0000}"/>
    <cellStyle name="Standard 4 2 2 2 3 5 2 2" xfId="11901" xr:uid="{00000000-0005-0000-0000-0000332F0000}"/>
    <cellStyle name="Standard 4 2 2 2 3 5 2 2 2" xfId="11902" xr:uid="{00000000-0005-0000-0000-0000342F0000}"/>
    <cellStyle name="Standard 4 2 2 2 3 5 2 2 3" xfId="11903" xr:uid="{00000000-0005-0000-0000-0000352F0000}"/>
    <cellStyle name="Standard 4 2 2 2 3 5 2 3" xfId="11904" xr:uid="{00000000-0005-0000-0000-0000362F0000}"/>
    <cellStyle name="Standard 4 2 2 2 3 5 2 3 2" xfId="11905" xr:uid="{00000000-0005-0000-0000-0000372F0000}"/>
    <cellStyle name="Standard 4 2 2 2 3 5 2 3 3" xfId="11906" xr:uid="{00000000-0005-0000-0000-0000382F0000}"/>
    <cellStyle name="Standard 4 2 2 2 3 5 2 4" xfId="11907" xr:uid="{00000000-0005-0000-0000-0000392F0000}"/>
    <cellStyle name="Standard 4 2 2 2 3 5 2 4 2" xfId="11908" xr:uid="{00000000-0005-0000-0000-00003A2F0000}"/>
    <cellStyle name="Standard 4 2 2 2 3 5 2 5" xfId="11909" xr:uid="{00000000-0005-0000-0000-00003B2F0000}"/>
    <cellStyle name="Standard 4 2 2 2 3 5 2 6" xfId="11910" xr:uid="{00000000-0005-0000-0000-00003C2F0000}"/>
    <cellStyle name="Standard 4 2 2 2 3 5 3" xfId="11911" xr:uid="{00000000-0005-0000-0000-00003D2F0000}"/>
    <cellStyle name="Standard 4 2 2 2 3 5 3 2" xfId="11912" xr:uid="{00000000-0005-0000-0000-00003E2F0000}"/>
    <cellStyle name="Standard 4 2 2 2 3 5 3 3" xfId="11913" xr:uid="{00000000-0005-0000-0000-00003F2F0000}"/>
    <cellStyle name="Standard 4 2 2 2 3 5 4" xfId="11914" xr:uid="{00000000-0005-0000-0000-0000402F0000}"/>
    <cellStyle name="Standard 4 2 2 2 3 5 4 2" xfId="11915" xr:uid="{00000000-0005-0000-0000-0000412F0000}"/>
    <cellStyle name="Standard 4 2 2 2 3 5 4 3" xfId="11916" xr:uid="{00000000-0005-0000-0000-0000422F0000}"/>
    <cellStyle name="Standard 4 2 2 2 3 5 5" xfId="11917" xr:uid="{00000000-0005-0000-0000-0000432F0000}"/>
    <cellStyle name="Standard 4 2 2 2 3 5 5 2" xfId="11918" xr:uid="{00000000-0005-0000-0000-0000442F0000}"/>
    <cellStyle name="Standard 4 2 2 2 3 5 6" xfId="11919" xr:uid="{00000000-0005-0000-0000-0000452F0000}"/>
    <cellStyle name="Standard 4 2 2 2 3 5 7" xfId="11920" xr:uid="{00000000-0005-0000-0000-0000462F0000}"/>
    <cellStyle name="Standard 4 2 2 2 3 6" xfId="11921" xr:uid="{00000000-0005-0000-0000-0000472F0000}"/>
    <cellStyle name="Standard 4 2 2 2 3 6 2" xfId="11922" xr:uid="{00000000-0005-0000-0000-0000482F0000}"/>
    <cellStyle name="Standard 4 2 2 2 3 6 2 2" xfId="11923" xr:uid="{00000000-0005-0000-0000-0000492F0000}"/>
    <cellStyle name="Standard 4 2 2 2 3 6 2 3" xfId="11924" xr:uid="{00000000-0005-0000-0000-00004A2F0000}"/>
    <cellStyle name="Standard 4 2 2 2 3 6 3" xfId="11925" xr:uid="{00000000-0005-0000-0000-00004B2F0000}"/>
    <cellStyle name="Standard 4 2 2 2 3 6 3 2" xfId="11926" xr:uid="{00000000-0005-0000-0000-00004C2F0000}"/>
    <cellStyle name="Standard 4 2 2 2 3 6 3 3" xfId="11927" xr:uid="{00000000-0005-0000-0000-00004D2F0000}"/>
    <cellStyle name="Standard 4 2 2 2 3 6 4" xfId="11928" xr:uid="{00000000-0005-0000-0000-00004E2F0000}"/>
    <cellStyle name="Standard 4 2 2 2 3 6 4 2" xfId="11929" xr:uid="{00000000-0005-0000-0000-00004F2F0000}"/>
    <cellStyle name="Standard 4 2 2 2 3 6 5" xfId="11930" xr:uid="{00000000-0005-0000-0000-0000502F0000}"/>
    <cellStyle name="Standard 4 2 2 2 3 6 6" xfId="11931" xr:uid="{00000000-0005-0000-0000-0000512F0000}"/>
    <cellStyle name="Standard 4 2 2 2 3 7" xfId="11932" xr:uid="{00000000-0005-0000-0000-0000522F0000}"/>
    <cellStyle name="Standard 4 2 2 2 3 7 2" xfId="11933" xr:uid="{00000000-0005-0000-0000-0000532F0000}"/>
    <cellStyle name="Standard 4 2 2 2 3 7 3" xfId="11934" xr:uid="{00000000-0005-0000-0000-0000542F0000}"/>
    <cellStyle name="Standard 4 2 2 2 3 8" xfId="11935" xr:uid="{00000000-0005-0000-0000-0000552F0000}"/>
    <cellStyle name="Standard 4 2 2 2 3 8 2" xfId="11936" xr:uid="{00000000-0005-0000-0000-0000562F0000}"/>
    <cellStyle name="Standard 4 2 2 2 3 8 3" xfId="11937" xr:uid="{00000000-0005-0000-0000-0000572F0000}"/>
    <cellStyle name="Standard 4 2 2 2 3 9" xfId="11938" xr:uid="{00000000-0005-0000-0000-0000582F0000}"/>
    <cellStyle name="Standard 4 2 2 2 3 9 2" xfId="11939" xr:uid="{00000000-0005-0000-0000-0000592F0000}"/>
    <cellStyle name="Standard 4 2 2 2 4" xfId="11940" xr:uid="{00000000-0005-0000-0000-00005A2F0000}"/>
    <cellStyle name="Standard 4 2 2 2 4 10" xfId="11941" xr:uid="{00000000-0005-0000-0000-00005B2F0000}"/>
    <cellStyle name="Standard 4 2 2 2 4 11" xfId="11942" xr:uid="{00000000-0005-0000-0000-00005C2F0000}"/>
    <cellStyle name="Standard 4 2 2 2 4 2" xfId="11943" xr:uid="{00000000-0005-0000-0000-00005D2F0000}"/>
    <cellStyle name="Standard 4 2 2 2 4 2 10" xfId="11944" xr:uid="{00000000-0005-0000-0000-00005E2F0000}"/>
    <cellStyle name="Standard 4 2 2 2 4 2 2" xfId="11945" xr:uid="{00000000-0005-0000-0000-00005F2F0000}"/>
    <cellStyle name="Standard 4 2 2 2 4 2 2 2" xfId="11946" xr:uid="{00000000-0005-0000-0000-0000602F0000}"/>
    <cellStyle name="Standard 4 2 2 2 4 2 2 2 2" xfId="11947" xr:uid="{00000000-0005-0000-0000-0000612F0000}"/>
    <cellStyle name="Standard 4 2 2 2 4 2 2 2 2 2" xfId="11948" xr:uid="{00000000-0005-0000-0000-0000622F0000}"/>
    <cellStyle name="Standard 4 2 2 2 4 2 2 2 2 2 2" xfId="11949" xr:uid="{00000000-0005-0000-0000-0000632F0000}"/>
    <cellStyle name="Standard 4 2 2 2 4 2 2 2 2 2 3" xfId="11950" xr:uid="{00000000-0005-0000-0000-0000642F0000}"/>
    <cellStyle name="Standard 4 2 2 2 4 2 2 2 2 3" xfId="11951" xr:uid="{00000000-0005-0000-0000-0000652F0000}"/>
    <cellStyle name="Standard 4 2 2 2 4 2 2 2 2 3 2" xfId="11952" xr:uid="{00000000-0005-0000-0000-0000662F0000}"/>
    <cellStyle name="Standard 4 2 2 2 4 2 2 2 2 3 3" xfId="11953" xr:uid="{00000000-0005-0000-0000-0000672F0000}"/>
    <cellStyle name="Standard 4 2 2 2 4 2 2 2 2 4" xfId="11954" xr:uid="{00000000-0005-0000-0000-0000682F0000}"/>
    <cellStyle name="Standard 4 2 2 2 4 2 2 2 2 4 2" xfId="11955" xr:uid="{00000000-0005-0000-0000-0000692F0000}"/>
    <cellStyle name="Standard 4 2 2 2 4 2 2 2 2 5" xfId="11956" xr:uid="{00000000-0005-0000-0000-00006A2F0000}"/>
    <cellStyle name="Standard 4 2 2 2 4 2 2 2 2 6" xfId="11957" xr:uid="{00000000-0005-0000-0000-00006B2F0000}"/>
    <cellStyle name="Standard 4 2 2 2 4 2 2 2 3" xfId="11958" xr:uid="{00000000-0005-0000-0000-00006C2F0000}"/>
    <cellStyle name="Standard 4 2 2 2 4 2 2 2 3 2" xfId="11959" xr:uid="{00000000-0005-0000-0000-00006D2F0000}"/>
    <cellStyle name="Standard 4 2 2 2 4 2 2 2 3 3" xfId="11960" xr:uid="{00000000-0005-0000-0000-00006E2F0000}"/>
    <cellStyle name="Standard 4 2 2 2 4 2 2 2 4" xfId="11961" xr:uid="{00000000-0005-0000-0000-00006F2F0000}"/>
    <cellStyle name="Standard 4 2 2 2 4 2 2 2 4 2" xfId="11962" xr:uid="{00000000-0005-0000-0000-0000702F0000}"/>
    <cellStyle name="Standard 4 2 2 2 4 2 2 2 4 3" xfId="11963" xr:uid="{00000000-0005-0000-0000-0000712F0000}"/>
    <cellStyle name="Standard 4 2 2 2 4 2 2 2 5" xfId="11964" xr:uid="{00000000-0005-0000-0000-0000722F0000}"/>
    <cellStyle name="Standard 4 2 2 2 4 2 2 2 5 2" xfId="11965" xr:uid="{00000000-0005-0000-0000-0000732F0000}"/>
    <cellStyle name="Standard 4 2 2 2 4 2 2 2 6" xfId="11966" xr:uid="{00000000-0005-0000-0000-0000742F0000}"/>
    <cellStyle name="Standard 4 2 2 2 4 2 2 2 7" xfId="11967" xr:uid="{00000000-0005-0000-0000-0000752F0000}"/>
    <cellStyle name="Standard 4 2 2 2 4 2 2 3" xfId="11968" xr:uid="{00000000-0005-0000-0000-0000762F0000}"/>
    <cellStyle name="Standard 4 2 2 2 4 2 2 3 2" xfId="11969" xr:uid="{00000000-0005-0000-0000-0000772F0000}"/>
    <cellStyle name="Standard 4 2 2 2 4 2 2 3 2 2" xfId="11970" xr:uid="{00000000-0005-0000-0000-0000782F0000}"/>
    <cellStyle name="Standard 4 2 2 2 4 2 2 3 2 3" xfId="11971" xr:uid="{00000000-0005-0000-0000-0000792F0000}"/>
    <cellStyle name="Standard 4 2 2 2 4 2 2 3 3" xfId="11972" xr:uid="{00000000-0005-0000-0000-00007A2F0000}"/>
    <cellStyle name="Standard 4 2 2 2 4 2 2 3 3 2" xfId="11973" xr:uid="{00000000-0005-0000-0000-00007B2F0000}"/>
    <cellStyle name="Standard 4 2 2 2 4 2 2 3 3 3" xfId="11974" xr:uid="{00000000-0005-0000-0000-00007C2F0000}"/>
    <cellStyle name="Standard 4 2 2 2 4 2 2 3 4" xfId="11975" xr:uid="{00000000-0005-0000-0000-00007D2F0000}"/>
    <cellStyle name="Standard 4 2 2 2 4 2 2 3 4 2" xfId="11976" xr:uid="{00000000-0005-0000-0000-00007E2F0000}"/>
    <cellStyle name="Standard 4 2 2 2 4 2 2 3 5" xfId="11977" xr:uid="{00000000-0005-0000-0000-00007F2F0000}"/>
    <cellStyle name="Standard 4 2 2 2 4 2 2 3 6" xfId="11978" xr:uid="{00000000-0005-0000-0000-0000802F0000}"/>
    <cellStyle name="Standard 4 2 2 2 4 2 2 4" xfId="11979" xr:uid="{00000000-0005-0000-0000-0000812F0000}"/>
    <cellStyle name="Standard 4 2 2 2 4 2 2 4 2" xfId="11980" xr:uid="{00000000-0005-0000-0000-0000822F0000}"/>
    <cellStyle name="Standard 4 2 2 2 4 2 2 4 3" xfId="11981" xr:uid="{00000000-0005-0000-0000-0000832F0000}"/>
    <cellStyle name="Standard 4 2 2 2 4 2 2 5" xfId="11982" xr:uid="{00000000-0005-0000-0000-0000842F0000}"/>
    <cellStyle name="Standard 4 2 2 2 4 2 2 5 2" xfId="11983" xr:uid="{00000000-0005-0000-0000-0000852F0000}"/>
    <cellStyle name="Standard 4 2 2 2 4 2 2 5 3" xfId="11984" xr:uid="{00000000-0005-0000-0000-0000862F0000}"/>
    <cellStyle name="Standard 4 2 2 2 4 2 2 6" xfId="11985" xr:uid="{00000000-0005-0000-0000-0000872F0000}"/>
    <cellStyle name="Standard 4 2 2 2 4 2 2 6 2" xfId="11986" xr:uid="{00000000-0005-0000-0000-0000882F0000}"/>
    <cellStyle name="Standard 4 2 2 2 4 2 2 7" xfId="11987" xr:uid="{00000000-0005-0000-0000-0000892F0000}"/>
    <cellStyle name="Standard 4 2 2 2 4 2 2 8" xfId="11988" xr:uid="{00000000-0005-0000-0000-00008A2F0000}"/>
    <cellStyle name="Standard 4 2 2 2 4 2 3" xfId="11989" xr:uid="{00000000-0005-0000-0000-00008B2F0000}"/>
    <cellStyle name="Standard 4 2 2 2 4 2 3 2" xfId="11990" xr:uid="{00000000-0005-0000-0000-00008C2F0000}"/>
    <cellStyle name="Standard 4 2 2 2 4 2 3 2 2" xfId="11991" xr:uid="{00000000-0005-0000-0000-00008D2F0000}"/>
    <cellStyle name="Standard 4 2 2 2 4 2 3 2 2 2" xfId="11992" xr:uid="{00000000-0005-0000-0000-00008E2F0000}"/>
    <cellStyle name="Standard 4 2 2 2 4 2 3 2 2 2 2" xfId="11993" xr:uid="{00000000-0005-0000-0000-00008F2F0000}"/>
    <cellStyle name="Standard 4 2 2 2 4 2 3 2 2 2 3" xfId="11994" xr:uid="{00000000-0005-0000-0000-0000902F0000}"/>
    <cellStyle name="Standard 4 2 2 2 4 2 3 2 2 3" xfId="11995" xr:uid="{00000000-0005-0000-0000-0000912F0000}"/>
    <cellStyle name="Standard 4 2 2 2 4 2 3 2 2 3 2" xfId="11996" xr:uid="{00000000-0005-0000-0000-0000922F0000}"/>
    <cellStyle name="Standard 4 2 2 2 4 2 3 2 2 3 3" xfId="11997" xr:uid="{00000000-0005-0000-0000-0000932F0000}"/>
    <cellStyle name="Standard 4 2 2 2 4 2 3 2 2 4" xfId="11998" xr:uid="{00000000-0005-0000-0000-0000942F0000}"/>
    <cellStyle name="Standard 4 2 2 2 4 2 3 2 2 4 2" xfId="11999" xr:uid="{00000000-0005-0000-0000-0000952F0000}"/>
    <cellStyle name="Standard 4 2 2 2 4 2 3 2 2 5" xfId="12000" xr:uid="{00000000-0005-0000-0000-0000962F0000}"/>
    <cellStyle name="Standard 4 2 2 2 4 2 3 2 2 6" xfId="12001" xr:uid="{00000000-0005-0000-0000-0000972F0000}"/>
    <cellStyle name="Standard 4 2 2 2 4 2 3 2 3" xfId="12002" xr:uid="{00000000-0005-0000-0000-0000982F0000}"/>
    <cellStyle name="Standard 4 2 2 2 4 2 3 2 3 2" xfId="12003" xr:uid="{00000000-0005-0000-0000-0000992F0000}"/>
    <cellStyle name="Standard 4 2 2 2 4 2 3 2 3 3" xfId="12004" xr:uid="{00000000-0005-0000-0000-00009A2F0000}"/>
    <cellStyle name="Standard 4 2 2 2 4 2 3 2 4" xfId="12005" xr:uid="{00000000-0005-0000-0000-00009B2F0000}"/>
    <cellStyle name="Standard 4 2 2 2 4 2 3 2 4 2" xfId="12006" xr:uid="{00000000-0005-0000-0000-00009C2F0000}"/>
    <cellStyle name="Standard 4 2 2 2 4 2 3 2 4 3" xfId="12007" xr:uid="{00000000-0005-0000-0000-00009D2F0000}"/>
    <cellStyle name="Standard 4 2 2 2 4 2 3 2 5" xfId="12008" xr:uid="{00000000-0005-0000-0000-00009E2F0000}"/>
    <cellStyle name="Standard 4 2 2 2 4 2 3 2 5 2" xfId="12009" xr:uid="{00000000-0005-0000-0000-00009F2F0000}"/>
    <cellStyle name="Standard 4 2 2 2 4 2 3 2 6" xfId="12010" xr:uid="{00000000-0005-0000-0000-0000A02F0000}"/>
    <cellStyle name="Standard 4 2 2 2 4 2 3 2 7" xfId="12011" xr:uid="{00000000-0005-0000-0000-0000A12F0000}"/>
    <cellStyle name="Standard 4 2 2 2 4 2 3 3" xfId="12012" xr:uid="{00000000-0005-0000-0000-0000A22F0000}"/>
    <cellStyle name="Standard 4 2 2 2 4 2 3 3 2" xfId="12013" xr:uid="{00000000-0005-0000-0000-0000A32F0000}"/>
    <cellStyle name="Standard 4 2 2 2 4 2 3 3 2 2" xfId="12014" xr:uid="{00000000-0005-0000-0000-0000A42F0000}"/>
    <cellStyle name="Standard 4 2 2 2 4 2 3 3 2 3" xfId="12015" xr:uid="{00000000-0005-0000-0000-0000A52F0000}"/>
    <cellStyle name="Standard 4 2 2 2 4 2 3 3 3" xfId="12016" xr:uid="{00000000-0005-0000-0000-0000A62F0000}"/>
    <cellStyle name="Standard 4 2 2 2 4 2 3 3 3 2" xfId="12017" xr:uid="{00000000-0005-0000-0000-0000A72F0000}"/>
    <cellStyle name="Standard 4 2 2 2 4 2 3 3 3 3" xfId="12018" xr:uid="{00000000-0005-0000-0000-0000A82F0000}"/>
    <cellStyle name="Standard 4 2 2 2 4 2 3 3 4" xfId="12019" xr:uid="{00000000-0005-0000-0000-0000A92F0000}"/>
    <cellStyle name="Standard 4 2 2 2 4 2 3 3 4 2" xfId="12020" xr:uid="{00000000-0005-0000-0000-0000AA2F0000}"/>
    <cellStyle name="Standard 4 2 2 2 4 2 3 3 5" xfId="12021" xr:uid="{00000000-0005-0000-0000-0000AB2F0000}"/>
    <cellStyle name="Standard 4 2 2 2 4 2 3 3 6" xfId="12022" xr:uid="{00000000-0005-0000-0000-0000AC2F0000}"/>
    <cellStyle name="Standard 4 2 2 2 4 2 3 4" xfId="12023" xr:uid="{00000000-0005-0000-0000-0000AD2F0000}"/>
    <cellStyle name="Standard 4 2 2 2 4 2 3 4 2" xfId="12024" xr:uid="{00000000-0005-0000-0000-0000AE2F0000}"/>
    <cellStyle name="Standard 4 2 2 2 4 2 3 4 3" xfId="12025" xr:uid="{00000000-0005-0000-0000-0000AF2F0000}"/>
    <cellStyle name="Standard 4 2 2 2 4 2 3 5" xfId="12026" xr:uid="{00000000-0005-0000-0000-0000B02F0000}"/>
    <cellStyle name="Standard 4 2 2 2 4 2 3 5 2" xfId="12027" xr:uid="{00000000-0005-0000-0000-0000B12F0000}"/>
    <cellStyle name="Standard 4 2 2 2 4 2 3 5 3" xfId="12028" xr:uid="{00000000-0005-0000-0000-0000B22F0000}"/>
    <cellStyle name="Standard 4 2 2 2 4 2 3 6" xfId="12029" xr:uid="{00000000-0005-0000-0000-0000B32F0000}"/>
    <cellStyle name="Standard 4 2 2 2 4 2 3 6 2" xfId="12030" xr:uid="{00000000-0005-0000-0000-0000B42F0000}"/>
    <cellStyle name="Standard 4 2 2 2 4 2 3 7" xfId="12031" xr:uid="{00000000-0005-0000-0000-0000B52F0000}"/>
    <cellStyle name="Standard 4 2 2 2 4 2 3 8" xfId="12032" xr:uid="{00000000-0005-0000-0000-0000B62F0000}"/>
    <cellStyle name="Standard 4 2 2 2 4 2 4" xfId="12033" xr:uid="{00000000-0005-0000-0000-0000B72F0000}"/>
    <cellStyle name="Standard 4 2 2 2 4 2 4 2" xfId="12034" xr:uid="{00000000-0005-0000-0000-0000B82F0000}"/>
    <cellStyle name="Standard 4 2 2 2 4 2 4 2 2" xfId="12035" xr:uid="{00000000-0005-0000-0000-0000B92F0000}"/>
    <cellStyle name="Standard 4 2 2 2 4 2 4 2 2 2" xfId="12036" xr:uid="{00000000-0005-0000-0000-0000BA2F0000}"/>
    <cellStyle name="Standard 4 2 2 2 4 2 4 2 2 3" xfId="12037" xr:uid="{00000000-0005-0000-0000-0000BB2F0000}"/>
    <cellStyle name="Standard 4 2 2 2 4 2 4 2 3" xfId="12038" xr:uid="{00000000-0005-0000-0000-0000BC2F0000}"/>
    <cellStyle name="Standard 4 2 2 2 4 2 4 2 3 2" xfId="12039" xr:uid="{00000000-0005-0000-0000-0000BD2F0000}"/>
    <cellStyle name="Standard 4 2 2 2 4 2 4 2 3 3" xfId="12040" xr:uid="{00000000-0005-0000-0000-0000BE2F0000}"/>
    <cellStyle name="Standard 4 2 2 2 4 2 4 2 4" xfId="12041" xr:uid="{00000000-0005-0000-0000-0000BF2F0000}"/>
    <cellStyle name="Standard 4 2 2 2 4 2 4 2 4 2" xfId="12042" xr:uid="{00000000-0005-0000-0000-0000C02F0000}"/>
    <cellStyle name="Standard 4 2 2 2 4 2 4 2 5" xfId="12043" xr:uid="{00000000-0005-0000-0000-0000C12F0000}"/>
    <cellStyle name="Standard 4 2 2 2 4 2 4 2 6" xfId="12044" xr:uid="{00000000-0005-0000-0000-0000C22F0000}"/>
    <cellStyle name="Standard 4 2 2 2 4 2 4 3" xfId="12045" xr:uid="{00000000-0005-0000-0000-0000C32F0000}"/>
    <cellStyle name="Standard 4 2 2 2 4 2 4 3 2" xfId="12046" xr:uid="{00000000-0005-0000-0000-0000C42F0000}"/>
    <cellStyle name="Standard 4 2 2 2 4 2 4 3 3" xfId="12047" xr:uid="{00000000-0005-0000-0000-0000C52F0000}"/>
    <cellStyle name="Standard 4 2 2 2 4 2 4 4" xfId="12048" xr:uid="{00000000-0005-0000-0000-0000C62F0000}"/>
    <cellStyle name="Standard 4 2 2 2 4 2 4 4 2" xfId="12049" xr:uid="{00000000-0005-0000-0000-0000C72F0000}"/>
    <cellStyle name="Standard 4 2 2 2 4 2 4 4 3" xfId="12050" xr:uid="{00000000-0005-0000-0000-0000C82F0000}"/>
    <cellStyle name="Standard 4 2 2 2 4 2 4 5" xfId="12051" xr:uid="{00000000-0005-0000-0000-0000C92F0000}"/>
    <cellStyle name="Standard 4 2 2 2 4 2 4 5 2" xfId="12052" xr:uid="{00000000-0005-0000-0000-0000CA2F0000}"/>
    <cellStyle name="Standard 4 2 2 2 4 2 4 6" xfId="12053" xr:uid="{00000000-0005-0000-0000-0000CB2F0000}"/>
    <cellStyle name="Standard 4 2 2 2 4 2 4 7" xfId="12054" xr:uid="{00000000-0005-0000-0000-0000CC2F0000}"/>
    <cellStyle name="Standard 4 2 2 2 4 2 5" xfId="12055" xr:uid="{00000000-0005-0000-0000-0000CD2F0000}"/>
    <cellStyle name="Standard 4 2 2 2 4 2 5 2" xfId="12056" xr:uid="{00000000-0005-0000-0000-0000CE2F0000}"/>
    <cellStyle name="Standard 4 2 2 2 4 2 5 2 2" xfId="12057" xr:uid="{00000000-0005-0000-0000-0000CF2F0000}"/>
    <cellStyle name="Standard 4 2 2 2 4 2 5 2 3" xfId="12058" xr:uid="{00000000-0005-0000-0000-0000D02F0000}"/>
    <cellStyle name="Standard 4 2 2 2 4 2 5 3" xfId="12059" xr:uid="{00000000-0005-0000-0000-0000D12F0000}"/>
    <cellStyle name="Standard 4 2 2 2 4 2 5 3 2" xfId="12060" xr:uid="{00000000-0005-0000-0000-0000D22F0000}"/>
    <cellStyle name="Standard 4 2 2 2 4 2 5 3 3" xfId="12061" xr:uid="{00000000-0005-0000-0000-0000D32F0000}"/>
    <cellStyle name="Standard 4 2 2 2 4 2 5 4" xfId="12062" xr:uid="{00000000-0005-0000-0000-0000D42F0000}"/>
    <cellStyle name="Standard 4 2 2 2 4 2 5 4 2" xfId="12063" xr:uid="{00000000-0005-0000-0000-0000D52F0000}"/>
    <cellStyle name="Standard 4 2 2 2 4 2 5 5" xfId="12064" xr:uid="{00000000-0005-0000-0000-0000D62F0000}"/>
    <cellStyle name="Standard 4 2 2 2 4 2 5 6" xfId="12065" xr:uid="{00000000-0005-0000-0000-0000D72F0000}"/>
    <cellStyle name="Standard 4 2 2 2 4 2 6" xfId="12066" xr:uid="{00000000-0005-0000-0000-0000D82F0000}"/>
    <cellStyle name="Standard 4 2 2 2 4 2 6 2" xfId="12067" xr:uid="{00000000-0005-0000-0000-0000D92F0000}"/>
    <cellStyle name="Standard 4 2 2 2 4 2 6 3" xfId="12068" xr:uid="{00000000-0005-0000-0000-0000DA2F0000}"/>
    <cellStyle name="Standard 4 2 2 2 4 2 7" xfId="12069" xr:uid="{00000000-0005-0000-0000-0000DB2F0000}"/>
    <cellStyle name="Standard 4 2 2 2 4 2 7 2" xfId="12070" xr:uid="{00000000-0005-0000-0000-0000DC2F0000}"/>
    <cellStyle name="Standard 4 2 2 2 4 2 7 3" xfId="12071" xr:uid="{00000000-0005-0000-0000-0000DD2F0000}"/>
    <cellStyle name="Standard 4 2 2 2 4 2 8" xfId="12072" xr:uid="{00000000-0005-0000-0000-0000DE2F0000}"/>
    <cellStyle name="Standard 4 2 2 2 4 2 8 2" xfId="12073" xr:uid="{00000000-0005-0000-0000-0000DF2F0000}"/>
    <cellStyle name="Standard 4 2 2 2 4 2 9" xfId="12074" xr:uid="{00000000-0005-0000-0000-0000E02F0000}"/>
    <cellStyle name="Standard 4 2 2 2 4 3" xfId="12075" xr:uid="{00000000-0005-0000-0000-0000E12F0000}"/>
    <cellStyle name="Standard 4 2 2 2 4 3 2" xfId="12076" xr:uid="{00000000-0005-0000-0000-0000E22F0000}"/>
    <cellStyle name="Standard 4 2 2 2 4 3 2 2" xfId="12077" xr:uid="{00000000-0005-0000-0000-0000E32F0000}"/>
    <cellStyle name="Standard 4 2 2 2 4 3 2 2 2" xfId="12078" xr:uid="{00000000-0005-0000-0000-0000E42F0000}"/>
    <cellStyle name="Standard 4 2 2 2 4 3 2 2 2 2" xfId="12079" xr:uid="{00000000-0005-0000-0000-0000E52F0000}"/>
    <cellStyle name="Standard 4 2 2 2 4 3 2 2 2 3" xfId="12080" xr:uid="{00000000-0005-0000-0000-0000E62F0000}"/>
    <cellStyle name="Standard 4 2 2 2 4 3 2 2 3" xfId="12081" xr:uid="{00000000-0005-0000-0000-0000E72F0000}"/>
    <cellStyle name="Standard 4 2 2 2 4 3 2 2 3 2" xfId="12082" xr:uid="{00000000-0005-0000-0000-0000E82F0000}"/>
    <cellStyle name="Standard 4 2 2 2 4 3 2 2 3 3" xfId="12083" xr:uid="{00000000-0005-0000-0000-0000E92F0000}"/>
    <cellStyle name="Standard 4 2 2 2 4 3 2 2 4" xfId="12084" xr:uid="{00000000-0005-0000-0000-0000EA2F0000}"/>
    <cellStyle name="Standard 4 2 2 2 4 3 2 2 4 2" xfId="12085" xr:uid="{00000000-0005-0000-0000-0000EB2F0000}"/>
    <cellStyle name="Standard 4 2 2 2 4 3 2 2 5" xfId="12086" xr:uid="{00000000-0005-0000-0000-0000EC2F0000}"/>
    <cellStyle name="Standard 4 2 2 2 4 3 2 2 6" xfId="12087" xr:uid="{00000000-0005-0000-0000-0000ED2F0000}"/>
    <cellStyle name="Standard 4 2 2 2 4 3 2 3" xfId="12088" xr:uid="{00000000-0005-0000-0000-0000EE2F0000}"/>
    <cellStyle name="Standard 4 2 2 2 4 3 2 3 2" xfId="12089" xr:uid="{00000000-0005-0000-0000-0000EF2F0000}"/>
    <cellStyle name="Standard 4 2 2 2 4 3 2 3 3" xfId="12090" xr:uid="{00000000-0005-0000-0000-0000F02F0000}"/>
    <cellStyle name="Standard 4 2 2 2 4 3 2 4" xfId="12091" xr:uid="{00000000-0005-0000-0000-0000F12F0000}"/>
    <cellStyle name="Standard 4 2 2 2 4 3 2 4 2" xfId="12092" xr:uid="{00000000-0005-0000-0000-0000F22F0000}"/>
    <cellStyle name="Standard 4 2 2 2 4 3 2 4 3" xfId="12093" xr:uid="{00000000-0005-0000-0000-0000F32F0000}"/>
    <cellStyle name="Standard 4 2 2 2 4 3 2 5" xfId="12094" xr:uid="{00000000-0005-0000-0000-0000F42F0000}"/>
    <cellStyle name="Standard 4 2 2 2 4 3 2 5 2" xfId="12095" xr:uid="{00000000-0005-0000-0000-0000F52F0000}"/>
    <cellStyle name="Standard 4 2 2 2 4 3 2 6" xfId="12096" xr:uid="{00000000-0005-0000-0000-0000F62F0000}"/>
    <cellStyle name="Standard 4 2 2 2 4 3 2 7" xfId="12097" xr:uid="{00000000-0005-0000-0000-0000F72F0000}"/>
    <cellStyle name="Standard 4 2 2 2 4 3 3" xfId="12098" xr:uid="{00000000-0005-0000-0000-0000F82F0000}"/>
    <cellStyle name="Standard 4 2 2 2 4 3 3 2" xfId="12099" xr:uid="{00000000-0005-0000-0000-0000F92F0000}"/>
    <cellStyle name="Standard 4 2 2 2 4 3 3 2 2" xfId="12100" xr:uid="{00000000-0005-0000-0000-0000FA2F0000}"/>
    <cellStyle name="Standard 4 2 2 2 4 3 3 2 3" xfId="12101" xr:uid="{00000000-0005-0000-0000-0000FB2F0000}"/>
    <cellStyle name="Standard 4 2 2 2 4 3 3 3" xfId="12102" xr:uid="{00000000-0005-0000-0000-0000FC2F0000}"/>
    <cellStyle name="Standard 4 2 2 2 4 3 3 3 2" xfId="12103" xr:uid="{00000000-0005-0000-0000-0000FD2F0000}"/>
    <cellStyle name="Standard 4 2 2 2 4 3 3 3 3" xfId="12104" xr:uid="{00000000-0005-0000-0000-0000FE2F0000}"/>
    <cellStyle name="Standard 4 2 2 2 4 3 3 4" xfId="12105" xr:uid="{00000000-0005-0000-0000-0000FF2F0000}"/>
    <cellStyle name="Standard 4 2 2 2 4 3 3 4 2" xfId="12106" xr:uid="{00000000-0005-0000-0000-000000300000}"/>
    <cellStyle name="Standard 4 2 2 2 4 3 3 5" xfId="12107" xr:uid="{00000000-0005-0000-0000-000001300000}"/>
    <cellStyle name="Standard 4 2 2 2 4 3 3 6" xfId="12108" xr:uid="{00000000-0005-0000-0000-000002300000}"/>
    <cellStyle name="Standard 4 2 2 2 4 3 4" xfId="12109" xr:uid="{00000000-0005-0000-0000-000003300000}"/>
    <cellStyle name="Standard 4 2 2 2 4 3 4 2" xfId="12110" xr:uid="{00000000-0005-0000-0000-000004300000}"/>
    <cellStyle name="Standard 4 2 2 2 4 3 4 3" xfId="12111" xr:uid="{00000000-0005-0000-0000-000005300000}"/>
    <cellStyle name="Standard 4 2 2 2 4 3 5" xfId="12112" xr:uid="{00000000-0005-0000-0000-000006300000}"/>
    <cellStyle name="Standard 4 2 2 2 4 3 5 2" xfId="12113" xr:uid="{00000000-0005-0000-0000-000007300000}"/>
    <cellStyle name="Standard 4 2 2 2 4 3 5 3" xfId="12114" xr:uid="{00000000-0005-0000-0000-000008300000}"/>
    <cellStyle name="Standard 4 2 2 2 4 3 6" xfId="12115" xr:uid="{00000000-0005-0000-0000-000009300000}"/>
    <cellStyle name="Standard 4 2 2 2 4 3 6 2" xfId="12116" xr:uid="{00000000-0005-0000-0000-00000A300000}"/>
    <cellStyle name="Standard 4 2 2 2 4 3 7" xfId="12117" xr:uid="{00000000-0005-0000-0000-00000B300000}"/>
    <cellStyle name="Standard 4 2 2 2 4 3 8" xfId="12118" xr:uid="{00000000-0005-0000-0000-00000C300000}"/>
    <cellStyle name="Standard 4 2 2 2 4 4" xfId="12119" xr:uid="{00000000-0005-0000-0000-00000D300000}"/>
    <cellStyle name="Standard 4 2 2 2 4 4 2" xfId="12120" xr:uid="{00000000-0005-0000-0000-00000E300000}"/>
    <cellStyle name="Standard 4 2 2 2 4 4 2 2" xfId="12121" xr:uid="{00000000-0005-0000-0000-00000F300000}"/>
    <cellStyle name="Standard 4 2 2 2 4 4 2 2 2" xfId="12122" xr:uid="{00000000-0005-0000-0000-000010300000}"/>
    <cellStyle name="Standard 4 2 2 2 4 4 2 2 2 2" xfId="12123" xr:uid="{00000000-0005-0000-0000-000011300000}"/>
    <cellStyle name="Standard 4 2 2 2 4 4 2 2 2 3" xfId="12124" xr:uid="{00000000-0005-0000-0000-000012300000}"/>
    <cellStyle name="Standard 4 2 2 2 4 4 2 2 3" xfId="12125" xr:uid="{00000000-0005-0000-0000-000013300000}"/>
    <cellStyle name="Standard 4 2 2 2 4 4 2 2 3 2" xfId="12126" xr:uid="{00000000-0005-0000-0000-000014300000}"/>
    <cellStyle name="Standard 4 2 2 2 4 4 2 2 3 3" xfId="12127" xr:uid="{00000000-0005-0000-0000-000015300000}"/>
    <cellStyle name="Standard 4 2 2 2 4 4 2 2 4" xfId="12128" xr:uid="{00000000-0005-0000-0000-000016300000}"/>
    <cellStyle name="Standard 4 2 2 2 4 4 2 2 4 2" xfId="12129" xr:uid="{00000000-0005-0000-0000-000017300000}"/>
    <cellStyle name="Standard 4 2 2 2 4 4 2 2 5" xfId="12130" xr:uid="{00000000-0005-0000-0000-000018300000}"/>
    <cellStyle name="Standard 4 2 2 2 4 4 2 2 6" xfId="12131" xr:uid="{00000000-0005-0000-0000-000019300000}"/>
    <cellStyle name="Standard 4 2 2 2 4 4 2 3" xfId="12132" xr:uid="{00000000-0005-0000-0000-00001A300000}"/>
    <cellStyle name="Standard 4 2 2 2 4 4 2 3 2" xfId="12133" xr:uid="{00000000-0005-0000-0000-00001B300000}"/>
    <cellStyle name="Standard 4 2 2 2 4 4 2 3 3" xfId="12134" xr:uid="{00000000-0005-0000-0000-00001C300000}"/>
    <cellStyle name="Standard 4 2 2 2 4 4 2 4" xfId="12135" xr:uid="{00000000-0005-0000-0000-00001D300000}"/>
    <cellStyle name="Standard 4 2 2 2 4 4 2 4 2" xfId="12136" xr:uid="{00000000-0005-0000-0000-00001E300000}"/>
    <cellStyle name="Standard 4 2 2 2 4 4 2 4 3" xfId="12137" xr:uid="{00000000-0005-0000-0000-00001F300000}"/>
    <cellStyle name="Standard 4 2 2 2 4 4 2 5" xfId="12138" xr:uid="{00000000-0005-0000-0000-000020300000}"/>
    <cellStyle name="Standard 4 2 2 2 4 4 2 5 2" xfId="12139" xr:uid="{00000000-0005-0000-0000-000021300000}"/>
    <cellStyle name="Standard 4 2 2 2 4 4 2 6" xfId="12140" xr:uid="{00000000-0005-0000-0000-000022300000}"/>
    <cellStyle name="Standard 4 2 2 2 4 4 2 7" xfId="12141" xr:uid="{00000000-0005-0000-0000-000023300000}"/>
    <cellStyle name="Standard 4 2 2 2 4 4 3" xfId="12142" xr:uid="{00000000-0005-0000-0000-000024300000}"/>
    <cellStyle name="Standard 4 2 2 2 4 4 3 2" xfId="12143" xr:uid="{00000000-0005-0000-0000-000025300000}"/>
    <cellStyle name="Standard 4 2 2 2 4 4 3 2 2" xfId="12144" xr:uid="{00000000-0005-0000-0000-000026300000}"/>
    <cellStyle name="Standard 4 2 2 2 4 4 3 2 3" xfId="12145" xr:uid="{00000000-0005-0000-0000-000027300000}"/>
    <cellStyle name="Standard 4 2 2 2 4 4 3 3" xfId="12146" xr:uid="{00000000-0005-0000-0000-000028300000}"/>
    <cellStyle name="Standard 4 2 2 2 4 4 3 3 2" xfId="12147" xr:uid="{00000000-0005-0000-0000-000029300000}"/>
    <cellStyle name="Standard 4 2 2 2 4 4 3 3 3" xfId="12148" xr:uid="{00000000-0005-0000-0000-00002A300000}"/>
    <cellStyle name="Standard 4 2 2 2 4 4 3 4" xfId="12149" xr:uid="{00000000-0005-0000-0000-00002B300000}"/>
    <cellStyle name="Standard 4 2 2 2 4 4 3 4 2" xfId="12150" xr:uid="{00000000-0005-0000-0000-00002C300000}"/>
    <cellStyle name="Standard 4 2 2 2 4 4 3 5" xfId="12151" xr:uid="{00000000-0005-0000-0000-00002D300000}"/>
    <cellStyle name="Standard 4 2 2 2 4 4 3 6" xfId="12152" xr:uid="{00000000-0005-0000-0000-00002E300000}"/>
    <cellStyle name="Standard 4 2 2 2 4 4 4" xfId="12153" xr:uid="{00000000-0005-0000-0000-00002F300000}"/>
    <cellStyle name="Standard 4 2 2 2 4 4 4 2" xfId="12154" xr:uid="{00000000-0005-0000-0000-000030300000}"/>
    <cellStyle name="Standard 4 2 2 2 4 4 4 3" xfId="12155" xr:uid="{00000000-0005-0000-0000-000031300000}"/>
    <cellStyle name="Standard 4 2 2 2 4 4 5" xfId="12156" xr:uid="{00000000-0005-0000-0000-000032300000}"/>
    <cellStyle name="Standard 4 2 2 2 4 4 5 2" xfId="12157" xr:uid="{00000000-0005-0000-0000-000033300000}"/>
    <cellStyle name="Standard 4 2 2 2 4 4 5 3" xfId="12158" xr:uid="{00000000-0005-0000-0000-000034300000}"/>
    <cellStyle name="Standard 4 2 2 2 4 4 6" xfId="12159" xr:uid="{00000000-0005-0000-0000-000035300000}"/>
    <cellStyle name="Standard 4 2 2 2 4 4 6 2" xfId="12160" xr:uid="{00000000-0005-0000-0000-000036300000}"/>
    <cellStyle name="Standard 4 2 2 2 4 4 7" xfId="12161" xr:uid="{00000000-0005-0000-0000-000037300000}"/>
    <cellStyle name="Standard 4 2 2 2 4 4 8" xfId="12162" xr:uid="{00000000-0005-0000-0000-000038300000}"/>
    <cellStyle name="Standard 4 2 2 2 4 5" xfId="12163" xr:uid="{00000000-0005-0000-0000-000039300000}"/>
    <cellStyle name="Standard 4 2 2 2 4 5 2" xfId="12164" xr:uid="{00000000-0005-0000-0000-00003A300000}"/>
    <cellStyle name="Standard 4 2 2 2 4 5 2 2" xfId="12165" xr:uid="{00000000-0005-0000-0000-00003B300000}"/>
    <cellStyle name="Standard 4 2 2 2 4 5 2 2 2" xfId="12166" xr:uid="{00000000-0005-0000-0000-00003C300000}"/>
    <cellStyle name="Standard 4 2 2 2 4 5 2 2 3" xfId="12167" xr:uid="{00000000-0005-0000-0000-00003D300000}"/>
    <cellStyle name="Standard 4 2 2 2 4 5 2 3" xfId="12168" xr:uid="{00000000-0005-0000-0000-00003E300000}"/>
    <cellStyle name="Standard 4 2 2 2 4 5 2 3 2" xfId="12169" xr:uid="{00000000-0005-0000-0000-00003F300000}"/>
    <cellStyle name="Standard 4 2 2 2 4 5 2 3 3" xfId="12170" xr:uid="{00000000-0005-0000-0000-000040300000}"/>
    <cellStyle name="Standard 4 2 2 2 4 5 2 4" xfId="12171" xr:uid="{00000000-0005-0000-0000-000041300000}"/>
    <cellStyle name="Standard 4 2 2 2 4 5 2 4 2" xfId="12172" xr:uid="{00000000-0005-0000-0000-000042300000}"/>
    <cellStyle name="Standard 4 2 2 2 4 5 2 5" xfId="12173" xr:uid="{00000000-0005-0000-0000-000043300000}"/>
    <cellStyle name="Standard 4 2 2 2 4 5 2 6" xfId="12174" xr:uid="{00000000-0005-0000-0000-000044300000}"/>
    <cellStyle name="Standard 4 2 2 2 4 5 3" xfId="12175" xr:uid="{00000000-0005-0000-0000-000045300000}"/>
    <cellStyle name="Standard 4 2 2 2 4 5 3 2" xfId="12176" xr:uid="{00000000-0005-0000-0000-000046300000}"/>
    <cellStyle name="Standard 4 2 2 2 4 5 3 3" xfId="12177" xr:uid="{00000000-0005-0000-0000-000047300000}"/>
    <cellStyle name="Standard 4 2 2 2 4 5 4" xfId="12178" xr:uid="{00000000-0005-0000-0000-000048300000}"/>
    <cellStyle name="Standard 4 2 2 2 4 5 4 2" xfId="12179" xr:uid="{00000000-0005-0000-0000-000049300000}"/>
    <cellStyle name="Standard 4 2 2 2 4 5 4 3" xfId="12180" xr:uid="{00000000-0005-0000-0000-00004A300000}"/>
    <cellStyle name="Standard 4 2 2 2 4 5 5" xfId="12181" xr:uid="{00000000-0005-0000-0000-00004B300000}"/>
    <cellStyle name="Standard 4 2 2 2 4 5 5 2" xfId="12182" xr:uid="{00000000-0005-0000-0000-00004C300000}"/>
    <cellStyle name="Standard 4 2 2 2 4 5 6" xfId="12183" xr:uid="{00000000-0005-0000-0000-00004D300000}"/>
    <cellStyle name="Standard 4 2 2 2 4 5 7" xfId="12184" xr:uid="{00000000-0005-0000-0000-00004E300000}"/>
    <cellStyle name="Standard 4 2 2 2 4 6" xfId="12185" xr:uid="{00000000-0005-0000-0000-00004F300000}"/>
    <cellStyle name="Standard 4 2 2 2 4 6 2" xfId="12186" xr:uid="{00000000-0005-0000-0000-000050300000}"/>
    <cellStyle name="Standard 4 2 2 2 4 6 2 2" xfId="12187" xr:uid="{00000000-0005-0000-0000-000051300000}"/>
    <cellStyle name="Standard 4 2 2 2 4 6 2 3" xfId="12188" xr:uid="{00000000-0005-0000-0000-000052300000}"/>
    <cellStyle name="Standard 4 2 2 2 4 6 3" xfId="12189" xr:uid="{00000000-0005-0000-0000-000053300000}"/>
    <cellStyle name="Standard 4 2 2 2 4 6 3 2" xfId="12190" xr:uid="{00000000-0005-0000-0000-000054300000}"/>
    <cellStyle name="Standard 4 2 2 2 4 6 3 3" xfId="12191" xr:uid="{00000000-0005-0000-0000-000055300000}"/>
    <cellStyle name="Standard 4 2 2 2 4 6 4" xfId="12192" xr:uid="{00000000-0005-0000-0000-000056300000}"/>
    <cellStyle name="Standard 4 2 2 2 4 6 4 2" xfId="12193" xr:uid="{00000000-0005-0000-0000-000057300000}"/>
    <cellStyle name="Standard 4 2 2 2 4 6 5" xfId="12194" xr:uid="{00000000-0005-0000-0000-000058300000}"/>
    <cellStyle name="Standard 4 2 2 2 4 6 6" xfId="12195" xr:uid="{00000000-0005-0000-0000-000059300000}"/>
    <cellStyle name="Standard 4 2 2 2 4 7" xfId="12196" xr:uid="{00000000-0005-0000-0000-00005A300000}"/>
    <cellStyle name="Standard 4 2 2 2 4 7 2" xfId="12197" xr:uid="{00000000-0005-0000-0000-00005B300000}"/>
    <cellStyle name="Standard 4 2 2 2 4 7 3" xfId="12198" xr:uid="{00000000-0005-0000-0000-00005C300000}"/>
    <cellStyle name="Standard 4 2 2 2 4 8" xfId="12199" xr:uid="{00000000-0005-0000-0000-00005D300000}"/>
    <cellStyle name="Standard 4 2 2 2 4 8 2" xfId="12200" xr:uid="{00000000-0005-0000-0000-00005E300000}"/>
    <cellStyle name="Standard 4 2 2 2 4 8 3" xfId="12201" xr:uid="{00000000-0005-0000-0000-00005F300000}"/>
    <cellStyle name="Standard 4 2 2 2 4 9" xfId="12202" xr:uid="{00000000-0005-0000-0000-000060300000}"/>
    <cellStyle name="Standard 4 2 2 2 4 9 2" xfId="12203" xr:uid="{00000000-0005-0000-0000-000061300000}"/>
    <cellStyle name="Standard 4 2 2 2 5" xfId="12204" xr:uid="{00000000-0005-0000-0000-000062300000}"/>
    <cellStyle name="Standard 4 2 2 2 5 10" xfId="12205" xr:uid="{00000000-0005-0000-0000-000063300000}"/>
    <cellStyle name="Standard 4 2 2 2 5 2" xfId="12206" xr:uid="{00000000-0005-0000-0000-000064300000}"/>
    <cellStyle name="Standard 4 2 2 2 5 2 2" xfId="12207" xr:uid="{00000000-0005-0000-0000-000065300000}"/>
    <cellStyle name="Standard 4 2 2 2 5 2 2 2" xfId="12208" xr:uid="{00000000-0005-0000-0000-000066300000}"/>
    <cellStyle name="Standard 4 2 2 2 5 2 2 2 2" xfId="12209" xr:uid="{00000000-0005-0000-0000-000067300000}"/>
    <cellStyle name="Standard 4 2 2 2 5 2 2 2 2 2" xfId="12210" xr:uid="{00000000-0005-0000-0000-000068300000}"/>
    <cellStyle name="Standard 4 2 2 2 5 2 2 2 2 3" xfId="12211" xr:uid="{00000000-0005-0000-0000-000069300000}"/>
    <cellStyle name="Standard 4 2 2 2 5 2 2 2 3" xfId="12212" xr:uid="{00000000-0005-0000-0000-00006A300000}"/>
    <cellStyle name="Standard 4 2 2 2 5 2 2 2 3 2" xfId="12213" xr:uid="{00000000-0005-0000-0000-00006B300000}"/>
    <cellStyle name="Standard 4 2 2 2 5 2 2 2 3 3" xfId="12214" xr:uid="{00000000-0005-0000-0000-00006C300000}"/>
    <cellStyle name="Standard 4 2 2 2 5 2 2 2 4" xfId="12215" xr:uid="{00000000-0005-0000-0000-00006D300000}"/>
    <cellStyle name="Standard 4 2 2 2 5 2 2 2 4 2" xfId="12216" xr:uid="{00000000-0005-0000-0000-00006E300000}"/>
    <cellStyle name="Standard 4 2 2 2 5 2 2 2 5" xfId="12217" xr:uid="{00000000-0005-0000-0000-00006F300000}"/>
    <cellStyle name="Standard 4 2 2 2 5 2 2 2 6" xfId="12218" xr:uid="{00000000-0005-0000-0000-000070300000}"/>
    <cellStyle name="Standard 4 2 2 2 5 2 2 3" xfId="12219" xr:uid="{00000000-0005-0000-0000-000071300000}"/>
    <cellStyle name="Standard 4 2 2 2 5 2 2 3 2" xfId="12220" xr:uid="{00000000-0005-0000-0000-000072300000}"/>
    <cellStyle name="Standard 4 2 2 2 5 2 2 3 3" xfId="12221" xr:uid="{00000000-0005-0000-0000-000073300000}"/>
    <cellStyle name="Standard 4 2 2 2 5 2 2 4" xfId="12222" xr:uid="{00000000-0005-0000-0000-000074300000}"/>
    <cellStyle name="Standard 4 2 2 2 5 2 2 4 2" xfId="12223" xr:uid="{00000000-0005-0000-0000-000075300000}"/>
    <cellStyle name="Standard 4 2 2 2 5 2 2 4 3" xfId="12224" xr:uid="{00000000-0005-0000-0000-000076300000}"/>
    <cellStyle name="Standard 4 2 2 2 5 2 2 5" xfId="12225" xr:uid="{00000000-0005-0000-0000-000077300000}"/>
    <cellStyle name="Standard 4 2 2 2 5 2 2 5 2" xfId="12226" xr:uid="{00000000-0005-0000-0000-000078300000}"/>
    <cellStyle name="Standard 4 2 2 2 5 2 2 6" xfId="12227" xr:uid="{00000000-0005-0000-0000-000079300000}"/>
    <cellStyle name="Standard 4 2 2 2 5 2 2 7" xfId="12228" xr:uid="{00000000-0005-0000-0000-00007A300000}"/>
    <cellStyle name="Standard 4 2 2 2 5 2 3" xfId="12229" xr:uid="{00000000-0005-0000-0000-00007B300000}"/>
    <cellStyle name="Standard 4 2 2 2 5 2 3 2" xfId="12230" xr:uid="{00000000-0005-0000-0000-00007C300000}"/>
    <cellStyle name="Standard 4 2 2 2 5 2 3 2 2" xfId="12231" xr:uid="{00000000-0005-0000-0000-00007D300000}"/>
    <cellStyle name="Standard 4 2 2 2 5 2 3 2 3" xfId="12232" xr:uid="{00000000-0005-0000-0000-00007E300000}"/>
    <cellStyle name="Standard 4 2 2 2 5 2 3 3" xfId="12233" xr:uid="{00000000-0005-0000-0000-00007F300000}"/>
    <cellStyle name="Standard 4 2 2 2 5 2 3 3 2" xfId="12234" xr:uid="{00000000-0005-0000-0000-000080300000}"/>
    <cellStyle name="Standard 4 2 2 2 5 2 3 3 3" xfId="12235" xr:uid="{00000000-0005-0000-0000-000081300000}"/>
    <cellStyle name="Standard 4 2 2 2 5 2 3 4" xfId="12236" xr:uid="{00000000-0005-0000-0000-000082300000}"/>
    <cellStyle name="Standard 4 2 2 2 5 2 3 4 2" xfId="12237" xr:uid="{00000000-0005-0000-0000-000083300000}"/>
    <cellStyle name="Standard 4 2 2 2 5 2 3 5" xfId="12238" xr:uid="{00000000-0005-0000-0000-000084300000}"/>
    <cellStyle name="Standard 4 2 2 2 5 2 3 6" xfId="12239" xr:uid="{00000000-0005-0000-0000-000085300000}"/>
    <cellStyle name="Standard 4 2 2 2 5 2 4" xfId="12240" xr:uid="{00000000-0005-0000-0000-000086300000}"/>
    <cellStyle name="Standard 4 2 2 2 5 2 4 2" xfId="12241" xr:uid="{00000000-0005-0000-0000-000087300000}"/>
    <cellStyle name="Standard 4 2 2 2 5 2 4 3" xfId="12242" xr:uid="{00000000-0005-0000-0000-000088300000}"/>
    <cellStyle name="Standard 4 2 2 2 5 2 5" xfId="12243" xr:uid="{00000000-0005-0000-0000-000089300000}"/>
    <cellStyle name="Standard 4 2 2 2 5 2 5 2" xfId="12244" xr:uid="{00000000-0005-0000-0000-00008A300000}"/>
    <cellStyle name="Standard 4 2 2 2 5 2 5 3" xfId="12245" xr:uid="{00000000-0005-0000-0000-00008B300000}"/>
    <cellStyle name="Standard 4 2 2 2 5 2 6" xfId="12246" xr:uid="{00000000-0005-0000-0000-00008C300000}"/>
    <cellStyle name="Standard 4 2 2 2 5 2 6 2" xfId="12247" xr:uid="{00000000-0005-0000-0000-00008D300000}"/>
    <cellStyle name="Standard 4 2 2 2 5 2 7" xfId="12248" xr:uid="{00000000-0005-0000-0000-00008E300000}"/>
    <cellStyle name="Standard 4 2 2 2 5 2 8" xfId="12249" xr:uid="{00000000-0005-0000-0000-00008F300000}"/>
    <cellStyle name="Standard 4 2 2 2 5 3" xfId="12250" xr:uid="{00000000-0005-0000-0000-000090300000}"/>
    <cellStyle name="Standard 4 2 2 2 5 3 2" xfId="12251" xr:uid="{00000000-0005-0000-0000-000091300000}"/>
    <cellStyle name="Standard 4 2 2 2 5 3 2 2" xfId="12252" xr:uid="{00000000-0005-0000-0000-000092300000}"/>
    <cellStyle name="Standard 4 2 2 2 5 3 2 2 2" xfId="12253" xr:uid="{00000000-0005-0000-0000-000093300000}"/>
    <cellStyle name="Standard 4 2 2 2 5 3 2 2 2 2" xfId="12254" xr:uid="{00000000-0005-0000-0000-000094300000}"/>
    <cellStyle name="Standard 4 2 2 2 5 3 2 2 2 3" xfId="12255" xr:uid="{00000000-0005-0000-0000-000095300000}"/>
    <cellStyle name="Standard 4 2 2 2 5 3 2 2 3" xfId="12256" xr:uid="{00000000-0005-0000-0000-000096300000}"/>
    <cellStyle name="Standard 4 2 2 2 5 3 2 2 3 2" xfId="12257" xr:uid="{00000000-0005-0000-0000-000097300000}"/>
    <cellStyle name="Standard 4 2 2 2 5 3 2 2 3 3" xfId="12258" xr:uid="{00000000-0005-0000-0000-000098300000}"/>
    <cellStyle name="Standard 4 2 2 2 5 3 2 2 4" xfId="12259" xr:uid="{00000000-0005-0000-0000-000099300000}"/>
    <cellStyle name="Standard 4 2 2 2 5 3 2 2 4 2" xfId="12260" xr:uid="{00000000-0005-0000-0000-00009A300000}"/>
    <cellStyle name="Standard 4 2 2 2 5 3 2 2 5" xfId="12261" xr:uid="{00000000-0005-0000-0000-00009B300000}"/>
    <cellStyle name="Standard 4 2 2 2 5 3 2 2 6" xfId="12262" xr:uid="{00000000-0005-0000-0000-00009C300000}"/>
    <cellStyle name="Standard 4 2 2 2 5 3 2 3" xfId="12263" xr:uid="{00000000-0005-0000-0000-00009D300000}"/>
    <cellStyle name="Standard 4 2 2 2 5 3 2 3 2" xfId="12264" xr:uid="{00000000-0005-0000-0000-00009E300000}"/>
    <cellStyle name="Standard 4 2 2 2 5 3 2 3 3" xfId="12265" xr:uid="{00000000-0005-0000-0000-00009F300000}"/>
    <cellStyle name="Standard 4 2 2 2 5 3 2 4" xfId="12266" xr:uid="{00000000-0005-0000-0000-0000A0300000}"/>
    <cellStyle name="Standard 4 2 2 2 5 3 2 4 2" xfId="12267" xr:uid="{00000000-0005-0000-0000-0000A1300000}"/>
    <cellStyle name="Standard 4 2 2 2 5 3 2 4 3" xfId="12268" xr:uid="{00000000-0005-0000-0000-0000A2300000}"/>
    <cellStyle name="Standard 4 2 2 2 5 3 2 5" xfId="12269" xr:uid="{00000000-0005-0000-0000-0000A3300000}"/>
    <cellStyle name="Standard 4 2 2 2 5 3 2 5 2" xfId="12270" xr:uid="{00000000-0005-0000-0000-0000A4300000}"/>
    <cellStyle name="Standard 4 2 2 2 5 3 2 6" xfId="12271" xr:uid="{00000000-0005-0000-0000-0000A5300000}"/>
    <cellStyle name="Standard 4 2 2 2 5 3 2 7" xfId="12272" xr:uid="{00000000-0005-0000-0000-0000A6300000}"/>
    <cellStyle name="Standard 4 2 2 2 5 3 3" xfId="12273" xr:uid="{00000000-0005-0000-0000-0000A7300000}"/>
    <cellStyle name="Standard 4 2 2 2 5 3 3 2" xfId="12274" xr:uid="{00000000-0005-0000-0000-0000A8300000}"/>
    <cellStyle name="Standard 4 2 2 2 5 3 3 2 2" xfId="12275" xr:uid="{00000000-0005-0000-0000-0000A9300000}"/>
    <cellStyle name="Standard 4 2 2 2 5 3 3 2 3" xfId="12276" xr:uid="{00000000-0005-0000-0000-0000AA300000}"/>
    <cellStyle name="Standard 4 2 2 2 5 3 3 3" xfId="12277" xr:uid="{00000000-0005-0000-0000-0000AB300000}"/>
    <cellStyle name="Standard 4 2 2 2 5 3 3 3 2" xfId="12278" xr:uid="{00000000-0005-0000-0000-0000AC300000}"/>
    <cellStyle name="Standard 4 2 2 2 5 3 3 3 3" xfId="12279" xr:uid="{00000000-0005-0000-0000-0000AD300000}"/>
    <cellStyle name="Standard 4 2 2 2 5 3 3 4" xfId="12280" xr:uid="{00000000-0005-0000-0000-0000AE300000}"/>
    <cellStyle name="Standard 4 2 2 2 5 3 3 4 2" xfId="12281" xr:uid="{00000000-0005-0000-0000-0000AF300000}"/>
    <cellStyle name="Standard 4 2 2 2 5 3 3 5" xfId="12282" xr:uid="{00000000-0005-0000-0000-0000B0300000}"/>
    <cellStyle name="Standard 4 2 2 2 5 3 3 6" xfId="12283" xr:uid="{00000000-0005-0000-0000-0000B1300000}"/>
    <cellStyle name="Standard 4 2 2 2 5 3 4" xfId="12284" xr:uid="{00000000-0005-0000-0000-0000B2300000}"/>
    <cellStyle name="Standard 4 2 2 2 5 3 4 2" xfId="12285" xr:uid="{00000000-0005-0000-0000-0000B3300000}"/>
    <cellStyle name="Standard 4 2 2 2 5 3 4 3" xfId="12286" xr:uid="{00000000-0005-0000-0000-0000B4300000}"/>
    <cellStyle name="Standard 4 2 2 2 5 3 5" xfId="12287" xr:uid="{00000000-0005-0000-0000-0000B5300000}"/>
    <cellStyle name="Standard 4 2 2 2 5 3 5 2" xfId="12288" xr:uid="{00000000-0005-0000-0000-0000B6300000}"/>
    <cellStyle name="Standard 4 2 2 2 5 3 5 3" xfId="12289" xr:uid="{00000000-0005-0000-0000-0000B7300000}"/>
    <cellStyle name="Standard 4 2 2 2 5 3 6" xfId="12290" xr:uid="{00000000-0005-0000-0000-0000B8300000}"/>
    <cellStyle name="Standard 4 2 2 2 5 3 6 2" xfId="12291" xr:uid="{00000000-0005-0000-0000-0000B9300000}"/>
    <cellStyle name="Standard 4 2 2 2 5 3 7" xfId="12292" xr:uid="{00000000-0005-0000-0000-0000BA300000}"/>
    <cellStyle name="Standard 4 2 2 2 5 3 8" xfId="12293" xr:uid="{00000000-0005-0000-0000-0000BB300000}"/>
    <cellStyle name="Standard 4 2 2 2 5 4" xfId="12294" xr:uid="{00000000-0005-0000-0000-0000BC300000}"/>
    <cellStyle name="Standard 4 2 2 2 5 4 2" xfId="12295" xr:uid="{00000000-0005-0000-0000-0000BD300000}"/>
    <cellStyle name="Standard 4 2 2 2 5 4 2 2" xfId="12296" xr:uid="{00000000-0005-0000-0000-0000BE300000}"/>
    <cellStyle name="Standard 4 2 2 2 5 4 2 2 2" xfId="12297" xr:uid="{00000000-0005-0000-0000-0000BF300000}"/>
    <cellStyle name="Standard 4 2 2 2 5 4 2 2 3" xfId="12298" xr:uid="{00000000-0005-0000-0000-0000C0300000}"/>
    <cellStyle name="Standard 4 2 2 2 5 4 2 3" xfId="12299" xr:uid="{00000000-0005-0000-0000-0000C1300000}"/>
    <cellStyle name="Standard 4 2 2 2 5 4 2 3 2" xfId="12300" xr:uid="{00000000-0005-0000-0000-0000C2300000}"/>
    <cellStyle name="Standard 4 2 2 2 5 4 2 3 3" xfId="12301" xr:uid="{00000000-0005-0000-0000-0000C3300000}"/>
    <cellStyle name="Standard 4 2 2 2 5 4 2 4" xfId="12302" xr:uid="{00000000-0005-0000-0000-0000C4300000}"/>
    <cellStyle name="Standard 4 2 2 2 5 4 2 4 2" xfId="12303" xr:uid="{00000000-0005-0000-0000-0000C5300000}"/>
    <cellStyle name="Standard 4 2 2 2 5 4 2 5" xfId="12304" xr:uid="{00000000-0005-0000-0000-0000C6300000}"/>
    <cellStyle name="Standard 4 2 2 2 5 4 2 6" xfId="12305" xr:uid="{00000000-0005-0000-0000-0000C7300000}"/>
    <cellStyle name="Standard 4 2 2 2 5 4 3" xfId="12306" xr:uid="{00000000-0005-0000-0000-0000C8300000}"/>
    <cellStyle name="Standard 4 2 2 2 5 4 3 2" xfId="12307" xr:uid="{00000000-0005-0000-0000-0000C9300000}"/>
    <cellStyle name="Standard 4 2 2 2 5 4 3 3" xfId="12308" xr:uid="{00000000-0005-0000-0000-0000CA300000}"/>
    <cellStyle name="Standard 4 2 2 2 5 4 4" xfId="12309" xr:uid="{00000000-0005-0000-0000-0000CB300000}"/>
    <cellStyle name="Standard 4 2 2 2 5 4 4 2" xfId="12310" xr:uid="{00000000-0005-0000-0000-0000CC300000}"/>
    <cellStyle name="Standard 4 2 2 2 5 4 4 3" xfId="12311" xr:uid="{00000000-0005-0000-0000-0000CD300000}"/>
    <cellStyle name="Standard 4 2 2 2 5 4 5" xfId="12312" xr:uid="{00000000-0005-0000-0000-0000CE300000}"/>
    <cellStyle name="Standard 4 2 2 2 5 4 5 2" xfId="12313" xr:uid="{00000000-0005-0000-0000-0000CF300000}"/>
    <cellStyle name="Standard 4 2 2 2 5 4 6" xfId="12314" xr:uid="{00000000-0005-0000-0000-0000D0300000}"/>
    <cellStyle name="Standard 4 2 2 2 5 4 7" xfId="12315" xr:uid="{00000000-0005-0000-0000-0000D1300000}"/>
    <cellStyle name="Standard 4 2 2 2 5 5" xfId="12316" xr:uid="{00000000-0005-0000-0000-0000D2300000}"/>
    <cellStyle name="Standard 4 2 2 2 5 5 2" xfId="12317" xr:uid="{00000000-0005-0000-0000-0000D3300000}"/>
    <cellStyle name="Standard 4 2 2 2 5 5 2 2" xfId="12318" xr:uid="{00000000-0005-0000-0000-0000D4300000}"/>
    <cellStyle name="Standard 4 2 2 2 5 5 2 3" xfId="12319" xr:uid="{00000000-0005-0000-0000-0000D5300000}"/>
    <cellStyle name="Standard 4 2 2 2 5 5 3" xfId="12320" xr:uid="{00000000-0005-0000-0000-0000D6300000}"/>
    <cellStyle name="Standard 4 2 2 2 5 5 3 2" xfId="12321" xr:uid="{00000000-0005-0000-0000-0000D7300000}"/>
    <cellStyle name="Standard 4 2 2 2 5 5 3 3" xfId="12322" xr:uid="{00000000-0005-0000-0000-0000D8300000}"/>
    <cellStyle name="Standard 4 2 2 2 5 5 4" xfId="12323" xr:uid="{00000000-0005-0000-0000-0000D9300000}"/>
    <cellStyle name="Standard 4 2 2 2 5 5 4 2" xfId="12324" xr:uid="{00000000-0005-0000-0000-0000DA300000}"/>
    <cellStyle name="Standard 4 2 2 2 5 5 5" xfId="12325" xr:uid="{00000000-0005-0000-0000-0000DB300000}"/>
    <cellStyle name="Standard 4 2 2 2 5 5 6" xfId="12326" xr:uid="{00000000-0005-0000-0000-0000DC300000}"/>
    <cellStyle name="Standard 4 2 2 2 5 6" xfId="12327" xr:uid="{00000000-0005-0000-0000-0000DD300000}"/>
    <cellStyle name="Standard 4 2 2 2 5 6 2" xfId="12328" xr:uid="{00000000-0005-0000-0000-0000DE300000}"/>
    <cellStyle name="Standard 4 2 2 2 5 6 3" xfId="12329" xr:uid="{00000000-0005-0000-0000-0000DF300000}"/>
    <cellStyle name="Standard 4 2 2 2 5 7" xfId="12330" xr:uid="{00000000-0005-0000-0000-0000E0300000}"/>
    <cellStyle name="Standard 4 2 2 2 5 7 2" xfId="12331" xr:uid="{00000000-0005-0000-0000-0000E1300000}"/>
    <cellStyle name="Standard 4 2 2 2 5 7 3" xfId="12332" xr:uid="{00000000-0005-0000-0000-0000E2300000}"/>
    <cellStyle name="Standard 4 2 2 2 5 8" xfId="12333" xr:uid="{00000000-0005-0000-0000-0000E3300000}"/>
    <cellStyle name="Standard 4 2 2 2 5 8 2" xfId="12334" xr:uid="{00000000-0005-0000-0000-0000E4300000}"/>
    <cellStyle name="Standard 4 2 2 2 5 9" xfId="12335" xr:uid="{00000000-0005-0000-0000-0000E5300000}"/>
    <cellStyle name="Standard 4 2 2 2 6" xfId="12336" xr:uid="{00000000-0005-0000-0000-0000E6300000}"/>
    <cellStyle name="Standard 4 2 2 2 6 2" xfId="12337" xr:uid="{00000000-0005-0000-0000-0000E7300000}"/>
    <cellStyle name="Standard 4 2 2 2 6 2 2" xfId="12338" xr:uid="{00000000-0005-0000-0000-0000E8300000}"/>
    <cellStyle name="Standard 4 2 2 2 6 2 2 2" xfId="12339" xr:uid="{00000000-0005-0000-0000-0000E9300000}"/>
    <cellStyle name="Standard 4 2 2 2 6 2 2 2 2" xfId="12340" xr:uid="{00000000-0005-0000-0000-0000EA300000}"/>
    <cellStyle name="Standard 4 2 2 2 6 2 2 2 3" xfId="12341" xr:uid="{00000000-0005-0000-0000-0000EB300000}"/>
    <cellStyle name="Standard 4 2 2 2 6 2 2 3" xfId="12342" xr:uid="{00000000-0005-0000-0000-0000EC300000}"/>
    <cellStyle name="Standard 4 2 2 2 6 2 2 3 2" xfId="12343" xr:uid="{00000000-0005-0000-0000-0000ED300000}"/>
    <cellStyle name="Standard 4 2 2 2 6 2 2 3 3" xfId="12344" xr:uid="{00000000-0005-0000-0000-0000EE300000}"/>
    <cellStyle name="Standard 4 2 2 2 6 2 2 4" xfId="12345" xr:uid="{00000000-0005-0000-0000-0000EF300000}"/>
    <cellStyle name="Standard 4 2 2 2 6 2 2 4 2" xfId="12346" xr:uid="{00000000-0005-0000-0000-0000F0300000}"/>
    <cellStyle name="Standard 4 2 2 2 6 2 2 5" xfId="12347" xr:uid="{00000000-0005-0000-0000-0000F1300000}"/>
    <cellStyle name="Standard 4 2 2 2 6 2 2 6" xfId="12348" xr:uid="{00000000-0005-0000-0000-0000F2300000}"/>
    <cellStyle name="Standard 4 2 2 2 6 2 3" xfId="12349" xr:uid="{00000000-0005-0000-0000-0000F3300000}"/>
    <cellStyle name="Standard 4 2 2 2 6 2 3 2" xfId="12350" xr:uid="{00000000-0005-0000-0000-0000F4300000}"/>
    <cellStyle name="Standard 4 2 2 2 6 2 3 3" xfId="12351" xr:uid="{00000000-0005-0000-0000-0000F5300000}"/>
    <cellStyle name="Standard 4 2 2 2 6 2 4" xfId="12352" xr:uid="{00000000-0005-0000-0000-0000F6300000}"/>
    <cellStyle name="Standard 4 2 2 2 6 2 4 2" xfId="12353" xr:uid="{00000000-0005-0000-0000-0000F7300000}"/>
    <cellStyle name="Standard 4 2 2 2 6 2 4 3" xfId="12354" xr:uid="{00000000-0005-0000-0000-0000F8300000}"/>
    <cellStyle name="Standard 4 2 2 2 6 2 5" xfId="12355" xr:uid="{00000000-0005-0000-0000-0000F9300000}"/>
    <cellStyle name="Standard 4 2 2 2 6 2 5 2" xfId="12356" xr:uid="{00000000-0005-0000-0000-0000FA300000}"/>
    <cellStyle name="Standard 4 2 2 2 6 2 6" xfId="12357" xr:uid="{00000000-0005-0000-0000-0000FB300000}"/>
    <cellStyle name="Standard 4 2 2 2 6 2 7" xfId="12358" xr:uid="{00000000-0005-0000-0000-0000FC300000}"/>
    <cellStyle name="Standard 4 2 2 2 6 3" xfId="12359" xr:uid="{00000000-0005-0000-0000-0000FD300000}"/>
    <cellStyle name="Standard 4 2 2 2 6 3 2" xfId="12360" xr:uid="{00000000-0005-0000-0000-0000FE300000}"/>
    <cellStyle name="Standard 4 2 2 2 6 3 2 2" xfId="12361" xr:uid="{00000000-0005-0000-0000-0000FF300000}"/>
    <cellStyle name="Standard 4 2 2 2 6 3 2 3" xfId="12362" xr:uid="{00000000-0005-0000-0000-000000310000}"/>
    <cellStyle name="Standard 4 2 2 2 6 3 3" xfId="12363" xr:uid="{00000000-0005-0000-0000-000001310000}"/>
    <cellStyle name="Standard 4 2 2 2 6 3 3 2" xfId="12364" xr:uid="{00000000-0005-0000-0000-000002310000}"/>
    <cellStyle name="Standard 4 2 2 2 6 3 3 3" xfId="12365" xr:uid="{00000000-0005-0000-0000-000003310000}"/>
    <cellStyle name="Standard 4 2 2 2 6 3 4" xfId="12366" xr:uid="{00000000-0005-0000-0000-000004310000}"/>
    <cellStyle name="Standard 4 2 2 2 6 3 4 2" xfId="12367" xr:uid="{00000000-0005-0000-0000-000005310000}"/>
    <cellStyle name="Standard 4 2 2 2 6 3 5" xfId="12368" xr:uid="{00000000-0005-0000-0000-000006310000}"/>
    <cellStyle name="Standard 4 2 2 2 6 3 6" xfId="12369" xr:uid="{00000000-0005-0000-0000-000007310000}"/>
    <cellStyle name="Standard 4 2 2 2 6 4" xfId="12370" xr:uid="{00000000-0005-0000-0000-000008310000}"/>
    <cellStyle name="Standard 4 2 2 2 6 4 2" xfId="12371" xr:uid="{00000000-0005-0000-0000-000009310000}"/>
    <cellStyle name="Standard 4 2 2 2 6 4 3" xfId="12372" xr:uid="{00000000-0005-0000-0000-00000A310000}"/>
    <cellStyle name="Standard 4 2 2 2 6 5" xfId="12373" xr:uid="{00000000-0005-0000-0000-00000B310000}"/>
    <cellStyle name="Standard 4 2 2 2 6 5 2" xfId="12374" xr:uid="{00000000-0005-0000-0000-00000C310000}"/>
    <cellStyle name="Standard 4 2 2 2 6 5 3" xfId="12375" xr:uid="{00000000-0005-0000-0000-00000D310000}"/>
    <cellStyle name="Standard 4 2 2 2 6 6" xfId="12376" xr:uid="{00000000-0005-0000-0000-00000E310000}"/>
    <cellStyle name="Standard 4 2 2 2 6 6 2" xfId="12377" xr:uid="{00000000-0005-0000-0000-00000F310000}"/>
    <cellStyle name="Standard 4 2 2 2 6 7" xfId="12378" xr:uid="{00000000-0005-0000-0000-000010310000}"/>
    <cellStyle name="Standard 4 2 2 2 6 8" xfId="12379" xr:uid="{00000000-0005-0000-0000-000011310000}"/>
    <cellStyle name="Standard 4 2 2 2 7" xfId="12380" xr:uid="{00000000-0005-0000-0000-000012310000}"/>
    <cellStyle name="Standard 4 2 2 2 7 2" xfId="12381" xr:uid="{00000000-0005-0000-0000-000013310000}"/>
    <cellStyle name="Standard 4 2 2 2 7 2 2" xfId="12382" xr:uid="{00000000-0005-0000-0000-000014310000}"/>
    <cellStyle name="Standard 4 2 2 2 7 2 2 2" xfId="12383" xr:uid="{00000000-0005-0000-0000-000015310000}"/>
    <cellStyle name="Standard 4 2 2 2 7 2 2 2 2" xfId="12384" xr:uid="{00000000-0005-0000-0000-000016310000}"/>
    <cellStyle name="Standard 4 2 2 2 7 2 2 2 3" xfId="12385" xr:uid="{00000000-0005-0000-0000-000017310000}"/>
    <cellStyle name="Standard 4 2 2 2 7 2 2 3" xfId="12386" xr:uid="{00000000-0005-0000-0000-000018310000}"/>
    <cellStyle name="Standard 4 2 2 2 7 2 2 3 2" xfId="12387" xr:uid="{00000000-0005-0000-0000-000019310000}"/>
    <cellStyle name="Standard 4 2 2 2 7 2 2 3 3" xfId="12388" xr:uid="{00000000-0005-0000-0000-00001A310000}"/>
    <cellStyle name="Standard 4 2 2 2 7 2 2 4" xfId="12389" xr:uid="{00000000-0005-0000-0000-00001B310000}"/>
    <cellStyle name="Standard 4 2 2 2 7 2 2 4 2" xfId="12390" xr:uid="{00000000-0005-0000-0000-00001C310000}"/>
    <cellStyle name="Standard 4 2 2 2 7 2 2 5" xfId="12391" xr:uid="{00000000-0005-0000-0000-00001D310000}"/>
    <cellStyle name="Standard 4 2 2 2 7 2 2 6" xfId="12392" xr:uid="{00000000-0005-0000-0000-00001E310000}"/>
    <cellStyle name="Standard 4 2 2 2 7 2 3" xfId="12393" xr:uid="{00000000-0005-0000-0000-00001F310000}"/>
    <cellStyle name="Standard 4 2 2 2 7 2 3 2" xfId="12394" xr:uid="{00000000-0005-0000-0000-000020310000}"/>
    <cellStyle name="Standard 4 2 2 2 7 2 3 3" xfId="12395" xr:uid="{00000000-0005-0000-0000-000021310000}"/>
    <cellStyle name="Standard 4 2 2 2 7 2 4" xfId="12396" xr:uid="{00000000-0005-0000-0000-000022310000}"/>
    <cellStyle name="Standard 4 2 2 2 7 2 4 2" xfId="12397" xr:uid="{00000000-0005-0000-0000-000023310000}"/>
    <cellStyle name="Standard 4 2 2 2 7 2 4 3" xfId="12398" xr:uid="{00000000-0005-0000-0000-000024310000}"/>
    <cellStyle name="Standard 4 2 2 2 7 2 5" xfId="12399" xr:uid="{00000000-0005-0000-0000-000025310000}"/>
    <cellStyle name="Standard 4 2 2 2 7 2 5 2" xfId="12400" xr:uid="{00000000-0005-0000-0000-000026310000}"/>
    <cellStyle name="Standard 4 2 2 2 7 2 6" xfId="12401" xr:uid="{00000000-0005-0000-0000-000027310000}"/>
    <cellStyle name="Standard 4 2 2 2 7 2 7" xfId="12402" xr:uid="{00000000-0005-0000-0000-000028310000}"/>
    <cellStyle name="Standard 4 2 2 2 7 3" xfId="12403" xr:uid="{00000000-0005-0000-0000-000029310000}"/>
    <cellStyle name="Standard 4 2 2 2 7 3 2" xfId="12404" xr:uid="{00000000-0005-0000-0000-00002A310000}"/>
    <cellStyle name="Standard 4 2 2 2 7 3 2 2" xfId="12405" xr:uid="{00000000-0005-0000-0000-00002B310000}"/>
    <cellStyle name="Standard 4 2 2 2 7 3 2 3" xfId="12406" xr:uid="{00000000-0005-0000-0000-00002C310000}"/>
    <cellStyle name="Standard 4 2 2 2 7 3 3" xfId="12407" xr:uid="{00000000-0005-0000-0000-00002D310000}"/>
    <cellStyle name="Standard 4 2 2 2 7 3 3 2" xfId="12408" xr:uid="{00000000-0005-0000-0000-00002E310000}"/>
    <cellStyle name="Standard 4 2 2 2 7 3 3 3" xfId="12409" xr:uid="{00000000-0005-0000-0000-00002F310000}"/>
    <cellStyle name="Standard 4 2 2 2 7 3 4" xfId="12410" xr:uid="{00000000-0005-0000-0000-000030310000}"/>
    <cellStyle name="Standard 4 2 2 2 7 3 4 2" xfId="12411" xr:uid="{00000000-0005-0000-0000-000031310000}"/>
    <cellStyle name="Standard 4 2 2 2 7 3 5" xfId="12412" xr:uid="{00000000-0005-0000-0000-000032310000}"/>
    <cellStyle name="Standard 4 2 2 2 7 3 6" xfId="12413" xr:uid="{00000000-0005-0000-0000-000033310000}"/>
    <cellStyle name="Standard 4 2 2 2 7 4" xfId="12414" xr:uid="{00000000-0005-0000-0000-000034310000}"/>
    <cellStyle name="Standard 4 2 2 2 7 4 2" xfId="12415" xr:uid="{00000000-0005-0000-0000-000035310000}"/>
    <cellStyle name="Standard 4 2 2 2 7 4 3" xfId="12416" xr:uid="{00000000-0005-0000-0000-000036310000}"/>
    <cellStyle name="Standard 4 2 2 2 7 5" xfId="12417" xr:uid="{00000000-0005-0000-0000-000037310000}"/>
    <cellStyle name="Standard 4 2 2 2 7 5 2" xfId="12418" xr:uid="{00000000-0005-0000-0000-000038310000}"/>
    <cellStyle name="Standard 4 2 2 2 7 5 3" xfId="12419" xr:uid="{00000000-0005-0000-0000-000039310000}"/>
    <cellStyle name="Standard 4 2 2 2 7 6" xfId="12420" xr:uid="{00000000-0005-0000-0000-00003A310000}"/>
    <cellStyle name="Standard 4 2 2 2 7 6 2" xfId="12421" xr:uid="{00000000-0005-0000-0000-00003B310000}"/>
    <cellStyle name="Standard 4 2 2 2 7 7" xfId="12422" xr:uid="{00000000-0005-0000-0000-00003C310000}"/>
    <cellStyle name="Standard 4 2 2 2 7 8" xfId="12423" xr:uid="{00000000-0005-0000-0000-00003D310000}"/>
    <cellStyle name="Standard 4 2 2 2 8" xfId="12424" xr:uid="{00000000-0005-0000-0000-00003E310000}"/>
    <cellStyle name="Standard 4 2 2 2 8 2" xfId="12425" xr:uid="{00000000-0005-0000-0000-00003F310000}"/>
    <cellStyle name="Standard 4 2 2 2 8 2 2" xfId="12426" xr:uid="{00000000-0005-0000-0000-000040310000}"/>
    <cellStyle name="Standard 4 2 2 2 8 2 2 2" xfId="12427" xr:uid="{00000000-0005-0000-0000-000041310000}"/>
    <cellStyle name="Standard 4 2 2 2 8 2 2 3" xfId="12428" xr:uid="{00000000-0005-0000-0000-000042310000}"/>
    <cellStyle name="Standard 4 2 2 2 8 2 3" xfId="12429" xr:uid="{00000000-0005-0000-0000-000043310000}"/>
    <cellStyle name="Standard 4 2 2 2 8 2 3 2" xfId="12430" xr:uid="{00000000-0005-0000-0000-000044310000}"/>
    <cellStyle name="Standard 4 2 2 2 8 2 3 3" xfId="12431" xr:uid="{00000000-0005-0000-0000-000045310000}"/>
    <cellStyle name="Standard 4 2 2 2 8 2 4" xfId="12432" xr:uid="{00000000-0005-0000-0000-000046310000}"/>
    <cellStyle name="Standard 4 2 2 2 8 2 4 2" xfId="12433" xr:uid="{00000000-0005-0000-0000-000047310000}"/>
    <cellStyle name="Standard 4 2 2 2 8 2 5" xfId="12434" xr:uid="{00000000-0005-0000-0000-000048310000}"/>
    <cellStyle name="Standard 4 2 2 2 8 2 6" xfId="12435" xr:uid="{00000000-0005-0000-0000-000049310000}"/>
    <cellStyle name="Standard 4 2 2 2 8 3" xfId="12436" xr:uid="{00000000-0005-0000-0000-00004A310000}"/>
    <cellStyle name="Standard 4 2 2 2 8 3 2" xfId="12437" xr:uid="{00000000-0005-0000-0000-00004B310000}"/>
    <cellStyle name="Standard 4 2 2 2 8 3 3" xfId="12438" xr:uid="{00000000-0005-0000-0000-00004C310000}"/>
    <cellStyle name="Standard 4 2 2 2 8 4" xfId="12439" xr:uid="{00000000-0005-0000-0000-00004D310000}"/>
    <cellStyle name="Standard 4 2 2 2 8 4 2" xfId="12440" xr:uid="{00000000-0005-0000-0000-00004E310000}"/>
    <cellStyle name="Standard 4 2 2 2 8 4 3" xfId="12441" xr:uid="{00000000-0005-0000-0000-00004F310000}"/>
    <cellStyle name="Standard 4 2 2 2 8 5" xfId="12442" xr:uid="{00000000-0005-0000-0000-000050310000}"/>
    <cellStyle name="Standard 4 2 2 2 8 5 2" xfId="12443" xr:uid="{00000000-0005-0000-0000-000051310000}"/>
    <cellStyle name="Standard 4 2 2 2 8 6" xfId="12444" xr:uid="{00000000-0005-0000-0000-000052310000}"/>
    <cellStyle name="Standard 4 2 2 2 8 7" xfId="12445" xr:uid="{00000000-0005-0000-0000-000053310000}"/>
    <cellStyle name="Standard 4 2 2 2 9" xfId="12446" xr:uid="{00000000-0005-0000-0000-000054310000}"/>
    <cellStyle name="Standard 4 2 2 2 9 2" xfId="12447" xr:uid="{00000000-0005-0000-0000-000055310000}"/>
    <cellStyle name="Standard 4 2 2 2 9 2 2" xfId="12448" xr:uid="{00000000-0005-0000-0000-000056310000}"/>
    <cellStyle name="Standard 4 2 2 2 9 2 3" xfId="12449" xr:uid="{00000000-0005-0000-0000-000057310000}"/>
    <cellStyle name="Standard 4 2 2 2 9 3" xfId="12450" xr:uid="{00000000-0005-0000-0000-000058310000}"/>
    <cellStyle name="Standard 4 2 2 2 9 3 2" xfId="12451" xr:uid="{00000000-0005-0000-0000-000059310000}"/>
    <cellStyle name="Standard 4 2 2 2 9 3 3" xfId="12452" xr:uid="{00000000-0005-0000-0000-00005A310000}"/>
    <cellStyle name="Standard 4 2 2 2 9 4" xfId="12453" xr:uid="{00000000-0005-0000-0000-00005B310000}"/>
    <cellStyle name="Standard 4 2 2 2 9 4 2" xfId="12454" xr:uid="{00000000-0005-0000-0000-00005C310000}"/>
    <cellStyle name="Standard 4 2 2 2 9 5" xfId="12455" xr:uid="{00000000-0005-0000-0000-00005D310000}"/>
    <cellStyle name="Standard 4 2 2 2 9 6" xfId="12456" xr:uid="{00000000-0005-0000-0000-00005E310000}"/>
    <cellStyle name="Standard 4 2 2 3" xfId="12457" xr:uid="{00000000-0005-0000-0000-00005F310000}"/>
    <cellStyle name="Standard 4 2 2 3 10" xfId="12458" xr:uid="{00000000-0005-0000-0000-000060310000}"/>
    <cellStyle name="Standard 4 2 2 3 10 2" xfId="12459" xr:uid="{00000000-0005-0000-0000-000061310000}"/>
    <cellStyle name="Standard 4 2 2 3 10 3" xfId="12460" xr:uid="{00000000-0005-0000-0000-000062310000}"/>
    <cellStyle name="Standard 4 2 2 3 11" xfId="12461" xr:uid="{00000000-0005-0000-0000-000063310000}"/>
    <cellStyle name="Standard 4 2 2 3 11 2" xfId="12462" xr:uid="{00000000-0005-0000-0000-000064310000}"/>
    <cellStyle name="Standard 4 2 2 3 12" xfId="12463" xr:uid="{00000000-0005-0000-0000-000065310000}"/>
    <cellStyle name="Standard 4 2 2 3 13" xfId="12464" xr:uid="{00000000-0005-0000-0000-000066310000}"/>
    <cellStyle name="Standard 4 2 2 3 14" xfId="33458" xr:uid="{00000000-0005-0000-0000-000067310000}"/>
    <cellStyle name="Standard 4 2 2 3 2" xfId="12465" xr:uid="{00000000-0005-0000-0000-000068310000}"/>
    <cellStyle name="Standard 4 2 2 3 2 10" xfId="12466" xr:uid="{00000000-0005-0000-0000-000069310000}"/>
    <cellStyle name="Standard 4 2 2 3 2 11" xfId="12467" xr:uid="{00000000-0005-0000-0000-00006A310000}"/>
    <cellStyle name="Standard 4 2 2 3 2 2" xfId="12468" xr:uid="{00000000-0005-0000-0000-00006B310000}"/>
    <cellStyle name="Standard 4 2 2 3 2 2 10" xfId="12469" xr:uid="{00000000-0005-0000-0000-00006C310000}"/>
    <cellStyle name="Standard 4 2 2 3 2 2 2" xfId="12470" xr:uid="{00000000-0005-0000-0000-00006D310000}"/>
    <cellStyle name="Standard 4 2 2 3 2 2 2 2" xfId="12471" xr:uid="{00000000-0005-0000-0000-00006E310000}"/>
    <cellStyle name="Standard 4 2 2 3 2 2 2 2 2" xfId="12472" xr:uid="{00000000-0005-0000-0000-00006F310000}"/>
    <cellStyle name="Standard 4 2 2 3 2 2 2 2 2 2" xfId="12473" xr:uid="{00000000-0005-0000-0000-000070310000}"/>
    <cellStyle name="Standard 4 2 2 3 2 2 2 2 2 2 2" xfId="12474" xr:uid="{00000000-0005-0000-0000-000071310000}"/>
    <cellStyle name="Standard 4 2 2 3 2 2 2 2 2 2 3" xfId="12475" xr:uid="{00000000-0005-0000-0000-000072310000}"/>
    <cellStyle name="Standard 4 2 2 3 2 2 2 2 2 3" xfId="12476" xr:uid="{00000000-0005-0000-0000-000073310000}"/>
    <cellStyle name="Standard 4 2 2 3 2 2 2 2 2 3 2" xfId="12477" xr:uid="{00000000-0005-0000-0000-000074310000}"/>
    <cellStyle name="Standard 4 2 2 3 2 2 2 2 2 3 3" xfId="12478" xr:uid="{00000000-0005-0000-0000-000075310000}"/>
    <cellStyle name="Standard 4 2 2 3 2 2 2 2 2 4" xfId="12479" xr:uid="{00000000-0005-0000-0000-000076310000}"/>
    <cellStyle name="Standard 4 2 2 3 2 2 2 2 2 4 2" xfId="12480" xr:uid="{00000000-0005-0000-0000-000077310000}"/>
    <cellStyle name="Standard 4 2 2 3 2 2 2 2 2 5" xfId="12481" xr:uid="{00000000-0005-0000-0000-000078310000}"/>
    <cellStyle name="Standard 4 2 2 3 2 2 2 2 2 6" xfId="12482" xr:uid="{00000000-0005-0000-0000-000079310000}"/>
    <cellStyle name="Standard 4 2 2 3 2 2 2 2 3" xfId="12483" xr:uid="{00000000-0005-0000-0000-00007A310000}"/>
    <cellStyle name="Standard 4 2 2 3 2 2 2 2 3 2" xfId="12484" xr:uid="{00000000-0005-0000-0000-00007B310000}"/>
    <cellStyle name="Standard 4 2 2 3 2 2 2 2 3 3" xfId="12485" xr:uid="{00000000-0005-0000-0000-00007C310000}"/>
    <cellStyle name="Standard 4 2 2 3 2 2 2 2 4" xfId="12486" xr:uid="{00000000-0005-0000-0000-00007D310000}"/>
    <cellStyle name="Standard 4 2 2 3 2 2 2 2 4 2" xfId="12487" xr:uid="{00000000-0005-0000-0000-00007E310000}"/>
    <cellStyle name="Standard 4 2 2 3 2 2 2 2 4 3" xfId="12488" xr:uid="{00000000-0005-0000-0000-00007F310000}"/>
    <cellStyle name="Standard 4 2 2 3 2 2 2 2 5" xfId="12489" xr:uid="{00000000-0005-0000-0000-000080310000}"/>
    <cellStyle name="Standard 4 2 2 3 2 2 2 2 5 2" xfId="12490" xr:uid="{00000000-0005-0000-0000-000081310000}"/>
    <cellStyle name="Standard 4 2 2 3 2 2 2 2 6" xfId="12491" xr:uid="{00000000-0005-0000-0000-000082310000}"/>
    <cellStyle name="Standard 4 2 2 3 2 2 2 2 7" xfId="12492" xr:uid="{00000000-0005-0000-0000-000083310000}"/>
    <cellStyle name="Standard 4 2 2 3 2 2 2 3" xfId="12493" xr:uid="{00000000-0005-0000-0000-000084310000}"/>
    <cellStyle name="Standard 4 2 2 3 2 2 2 3 2" xfId="12494" xr:uid="{00000000-0005-0000-0000-000085310000}"/>
    <cellStyle name="Standard 4 2 2 3 2 2 2 3 2 2" xfId="12495" xr:uid="{00000000-0005-0000-0000-000086310000}"/>
    <cellStyle name="Standard 4 2 2 3 2 2 2 3 2 3" xfId="12496" xr:uid="{00000000-0005-0000-0000-000087310000}"/>
    <cellStyle name="Standard 4 2 2 3 2 2 2 3 3" xfId="12497" xr:uid="{00000000-0005-0000-0000-000088310000}"/>
    <cellStyle name="Standard 4 2 2 3 2 2 2 3 3 2" xfId="12498" xr:uid="{00000000-0005-0000-0000-000089310000}"/>
    <cellStyle name="Standard 4 2 2 3 2 2 2 3 3 3" xfId="12499" xr:uid="{00000000-0005-0000-0000-00008A310000}"/>
    <cellStyle name="Standard 4 2 2 3 2 2 2 3 4" xfId="12500" xr:uid="{00000000-0005-0000-0000-00008B310000}"/>
    <cellStyle name="Standard 4 2 2 3 2 2 2 3 4 2" xfId="12501" xr:uid="{00000000-0005-0000-0000-00008C310000}"/>
    <cellStyle name="Standard 4 2 2 3 2 2 2 3 5" xfId="12502" xr:uid="{00000000-0005-0000-0000-00008D310000}"/>
    <cellStyle name="Standard 4 2 2 3 2 2 2 3 6" xfId="12503" xr:uid="{00000000-0005-0000-0000-00008E310000}"/>
    <cellStyle name="Standard 4 2 2 3 2 2 2 4" xfId="12504" xr:uid="{00000000-0005-0000-0000-00008F310000}"/>
    <cellStyle name="Standard 4 2 2 3 2 2 2 4 2" xfId="12505" xr:uid="{00000000-0005-0000-0000-000090310000}"/>
    <cellStyle name="Standard 4 2 2 3 2 2 2 4 3" xfId="12506" xr:uid="{00000000-0005-0000-0000-000091310000}"/>
    <cellStyle name="Standard 4 2 2 3 2 2 2 5" xfId="12507" xr:uid="{00000000-0005-0000-0000-000092310000}"/>
    <cellStyle name="Standard 4 2 2 3 2 2 2 5 2" xfId="12508" xr:uid="{00000000-0005-0000-0000-000093310000}"/>
    <cellStyle name="Standard 4 2 2 3 2 2 2 5 3" xfId="12509" xr:uid="{00000000-0005-0000-0000-000094310000}"/>
    <cellStyle name="Standard 4 2 2 3 2 2 2 6" xfId="12510" xr:uid="{00000000-0005-0000-0000-000095310000}"/>
    <cellStyle name="Standard 4 2 2 3 2 2 2 6 2" xfId="12511" xr:uid="{00000000-0005-0000-0000-000096310000}"/>
    <cellStyle name="Standard 4 2 2 3 2 2 2 7" xfId="12512" xr:uid="{00000000-0005-0000-0000-000097310000}"/>
    <cellStyle name="Standard 4 2 2 3 2 2 2 8" xfId="12513" xr:uid="{00000000-0005-0000-0000-000098310000}"/>
    <cellStyle name="Standard 4 2 2 3 2 2 3" xfId="12514" xr:uid="{00000000-0005-0000-0000-000099310000}"/>
    <cellStyle name="Standard 4 2 2 3 2 2 3 2" xfId="12515" xr:uid="{00000000-0005-0000-0000-00009A310000}"/>
    <cellStyle name="Standard 4 2 2 3 2 2 3 2 2" xfId="12516" xr:uid="{00000000-0005-0000-0000-00009B310000}"/>
    <cellStyle name="Standard 4 2 2 3 2 2 3 2 2 2" xfId="12517" xr:uid="{00000000-0005-0000-0000-00009C310000}"/>
    <cellStyle name="Standard 4 2 2 3 2 2 3 2 2 2 2" xfId="12518" xr:uid="{00000000-0005-0000-0000-00009D310000}"/>
    <cellStyle name="Standard 4 2 2 3 2 2 3 2 2 2 3" xfId="12519" xr:uid="{00000000-0005-0000-0000-00009E310000}"/>
    <cellStyle name="Standard 4 2 2 3 2 2 3 2 2 3" xfId="12520" xr:uid="{00000000-0005-0000-0000-00009F310000}"/>
    <cellStyle name="Standard 4 2 2 3 2 2 3 2 2 3 2" xfId="12521" xr:uid="{00000000-0005-0000-0000-0000A0310000}"/>
    <cellStyle name="Standard 4 2 2 3 2 2 3 2 2 3 3" xfId="12522" xr:uid="{00000000-0005-0000-0000-0000A1310000}"/>
    <cellStyle name="Standard 4 2 2 3 2 2 3 2 2 4" xfId="12523" xr:uid="{00000000-0005-0000-0000-0000A2310000}"/>
    <cellStyle name="Standard 4 2 2 3 2 2 3 2 2 4 2" xfId="12524" xr:uid="{00000000-0005-0000-0000-0000A3310000}"/>
    <cellStyle name="Standard 4 2 2 3 2 2 3 2 2 5" xfId="12525" xr:uid="{00000000-0005-0000-0000-0000A4310000}"/>
    <cellStyle name="Standard 4 2 2 3 2 2 3 2 2 6" xfId="12526" xr:uid="{00000000-0005-0000-0000-0000A5310000}"/>
    <cellStyle name="Standard 4 2 2 3 2 2 3 2 3" xfId="12527" xr:uid="{00000000-0005-0000-0000-0000A6310000}"/>
    <cellStyle name="Standard 4 2 2 3 2 2 3 2 3 2" xfId="12528" xr:uid="{00000000-0005-0000-0000-0000A7310000}"/>
    <cellStyle name="Standard 4 2 2 3 2 2 3 2 3 3" xfId="12529" xr:uid="{00000000-0005-0000-0000-0000A8310000}"/>
    <cellStyle name="Standard 4 2 2 3 2 2 3 2 4" xfId="12530" xr:uid="{00000000-0005-0000-0000-0000A9310000}"/>
    <cellStyle name="Standard 4 2 2 3 2 2 3 2 4 2" xfId="12531" xr:uid="{00000000-0005-0000-0000-0000AA310000}"/>
    <cellStyle name="Standard 4 2 2 3 2 2 3 2 4 3" xfId="12532" xr:uid="{00000000-0005-0000-0000-0000AB310000}"/>
    <cellStyle name="Standard 4 2 2 3 2 2 3 2 5" xfId="12533" xr:uid="{00000000-0005-0000-0000-0000AC310000}"/>
    <cellStyle name="Standard 4 2 2 3 2 2 3 2 5 2" xfId="12534" xr:uid="{00000000-0005-0000-0000-0000AD310000}"/>
    <cellStyle name="Standard 4 2 2 3 2 2 3 2 6" xfId="12535" xr:uid="{00000000-0005-0000-0000-0000AE310000}"/>
    <cellStyle name="Standard 4 2 2 3 2 2 3 2 7" xfId="12536" xr:uid="{00000000-0005-0000-0000-0000AF310000}"/>
    <cellStyle name="Standard 4 2 2 3 2 2 3 3" xfId="12537" xr:uid="{00000000-0005-0000-0000-0000B0310000}"/>
    <cellStyle name="Standard 4 2 2 3 2 2 3 3 2" xfId="12538" xr:uid="{00000000-0005-0000-0000-0000B1310000}"/>
    <cellStyle name="Standard 4 2 2 3 2 2 3 3 2 2" xfId="12539" xr:uid="{00000000-0005-0000-0000-0000B2310000}"/>
    <cellStyle name="Standard 4 2 2 3 2 2 3 3 2 3" xfId="12540" xr:uid="{00000000-0005-0000-0000-0000B3310000}"/>
    <cellStyle name="Standard 4 2 2 3 2 2 3 3 3" xfId="12541" xr:uid="{00000000-0005-0000-0000-0000B4310000}"/>
    <cellStyle name="Standard 4 2 2 3 2 2 3 3 3 2" xfId="12542" xr:uid="{00000000-0005-0000-0000-0000B5310000}"/>
    <cellStyle name="Standard 4 2 2 3 2 2 3 3 3 3" xfId="12543" xr:uid="{00000000-0005-0000-0000-0000B6310000}"/>
    <cellStyle name="Standard 4 2 2 3 2 2 3 3 4" xfId="12544" xr:uid="{00000000-0005-0000-0000-0000B7310000}"/>
    <cellStyle name="Standard 4 2 2 3 2 2 3 3 4 2" xfId="12545" xr:uid="{00000000-0005-0000-0000-0000B8310000}"/>
    <cellStyle name="Standard 4 2 2 3 2 2 3 3 5" xfId="12546" xr:uid="{00000000-0005-0000-0000-0000B9310000}"/>
    <cellStyle name="Standard 4 2 2 3 2 2 3 3 6" xfId="12547" xr:uid="{00000000-0005-0000-0000-0000BA310000}"/>
    <cellStyle name="Standard 4 2 2 3 2 2 3 4" xfId="12548" xr:uid="{00000000-0005-0000-0000-0000BB310000}"/>
    <cellStyle name="Standard 4 2 2 3 2 2 3 4 2" xfId="12549" xr:uid="{00000000-0005-0000-0000-0000BC310000}"/>
    <cellStyle name="Standard 4 2 2 3 2 2 3 4 3" xfId="12550" xr:uid="{00000000-0005-0000-0000-0000BD310000}"/>
    <cellStyle name="Standard 4 2 2 3 2 2 3 5" xfId="12551" xr:uid="{00000000-0005-0000-0000-0000BE310000}"/>
    <cellStyle name="Standard 4 2 2 3 2 2 3 5 2" xfId="12552" xr:uid="{00000000-0005-0000-0000-0000BF310000}"/>
    <cellStyle name="Standard 4 2 2 3 2 2 3 5 3" xfId="12553" xr:uid="{00000000-0005-0000-0000-0000C0310000}"/>
    <cellStyle name="Standard 4 2 2 3 2 2 3 6" xfId="12554" xr:uid="{00000000-0005-0000-0000-0000C1310000}"/>
    <cellStyle name="Standard 4 2 2 3 2 2 3 6 2" xfId="12555" xr:uid="{00000000-0005-0000-0000-0000C2310000}"/>
    <cellStyle name="Standard 4 2 2 3 2 2 3 7" xfId="12556" xr:uid="{00000000-0005-0000-0000-0000C3310000}"/>
    <cellStyle name="Standard 4 2 2 3 2 2 3 8" xfId="12557" xr:uid="{00000000-0005-0000-0000-0000C4310000}"/>
    <cellStyle name="Standard 4 2 2 3 2 2 4" xfId="12558" xr:uid="{00000000-0005-0000-0000-0000C5310000}"/>
    <cellStyle name="Standard 4 2 2 3 2 2 4 2" xfId="12559" xr:uid="{00000000-0005-0000-0000-0000C6310000}"/>
    <cellStyle name="Standard 4 2 2 3 2 2 4 2 2" xfId="12560" xr:uid="{00000000-0005-0000-0000-0000C7310000}"/>
    <cellStyle name="Standard 4 2 2 3 2 2 4 2 2 2" xfId="12561" xr:uid="{00000000-0005-0000-0000-0000C8310000}"/>
    <cellStyle name="Standard 4 2 2 3 2 2 4 2 2 3" xfId="12562" xr:uid="{00000000-0005-0000-0000-0000C9310000}"/>
    <cellStyle name="Standard 4 2 2 3 2 2 4 2 3" xfId="12563" xr:uid="{00000000-0005-0000-0000-0000CA310000}"/>
    <cellStyle name="Standard 4 2 2 3 2 2 4 2 3 2" xfId="12564" xr:uid="{00000000-0005-0000-0000-0000CB310000}"/>
    <cellStyle name="Standard 4 2 2 3 2 2 4 2 3 3" xfId="12565" xr:uid="{00000000-0005-0000-0000-0000CC310000}"/>
    <cellStyle name="Standard 4 2 2 3 2 2 4 2 4" xfId="12566" xr:uid="{00000000-0005-0000-0000-0000CD310000}"/>
    <cellStyle name="Standard 4 2 2 3 2 2 4 2 4 2" xfId="12567" xr:uid="{00000000-0005-0000-0000-0000CE310000}"/>
    <cellStyle name="Standard 4 2 2 3 2 2 4 2 5" xfId="12568" xr:uid="{00000000-0005-0000-0000-0000CF310000}"/>
    <cellStyle name="Standard 4 2 2 3 2 2 4 2 6" xfId="12569" xr:uid="{00000000-0005-0000-0000-0000D0310000}"/>
    <cellStyle name="Standard 4 2 2 3 2 2 4 3" xfId="12570" xr:uid="{00000000-0005-0000-0000-0000D1310000}"/>
    <cellStyle name="Standard 4 2 2 3 2 2 4 3 2" xfId="12571" xr:uid="{00000000-0005-0000-0000-0000D2310000}"/>
    <cellStyle name="Standard 4 2 2 3 2 2 4 3 3" xfId="12572" xr:uid="{00000000-0005-0000-0000-0000D3310000}"/>
    <cellStyle name="Standard 4 2 2 3 2 2 4 4" xfId="12573" xr:uid="{00000000-0005-0000-0000-0000D4310000}"/>
    <cellStyle name="Standard 4 2 2 3 2 2 4 4 2" xfId="12574" xr:uid="{00000000-0005-0000-0000-0000D5310000}"/>
    <cellStyle name="Standard 4 2 2 3 2 2 4 4 3" xfId="12575" xr:uid="{00000000-0005-0000-0000-0000D6310000}"/>
    <cellStyle name="Standard 4 2 2 3 2 2 4 5" xfId="12576" xr:uid="{00000000-0005-0000-0000-0000D7310000}"/>
    <cellStyle name="Standard 4 2 2 3 2 2 4 5 2" xfId="12577" xr:uid="{00000000-0005-0000-0000-0000D8310000}"/>
    <cellStyle name="Standard 4 2 2 3 2 2 4 6" xfId="12578" xr:uid="{00000000-0005-0000-0000-0000D9310000}"/>
    <cellStyle name="Standard 4 2 2 3 2 2 4 7" xfId="12579" xr:uid="{00000000-0005-0000-0000-0000DA310000}"/>
    <cellStyle name="Standard 4 2 2 3 2 2 5" xfId="12580" xr:uid="{00000000-0005-0000-0000-0000DB310000}"/>
    <cellStyle name="Standard 4 2 2 3 2 2 5 2" xfId="12581" xr:uid="{00000000-0005-0000-0000-0000DC310000}"/>
    <cellStyle name="Standard 4 2 2 3 2 2 5 2 2" xfId="12582" xr:uid="{00000000-0005-0000-0000-0000DD310000}"/>
    <cellStyle name="Standard 4 2 2 3 2 2 5 2 3" xfId="12583" xr:uid="{00000000-0005-0000-0000-0000DE310000}"/>
    <cellStyle name="Standard 4 2 2 3 2 2 5 3" xfId="12584" xr:uid="{00000000-0005-0000-0000-0000DF310000}"/>
    <cellStyle name="Standard 4 2 2 3 2 2 5 3 2" xfId="12585" xr:uid="{00000000-0005-0000-0000-0000E0310000}"/>
    <cellStyle name="Standard 4 2 2 3 2 2 5 3 3" xfId="12586" xr:uid="{00000000-0005-0000-0000-0000E1310000}"/>
    <cellStyle name="Standard 4 2 2 3 2 2 5 4" xfId="12587" xr:uid="{00000000-0005-0000-0000-0000E2310000}"/>
    <cellStyle name="Standard 4 2 2 3 2 2 5 4 2" xfId="12588" xr:uid="{00000000-0005-0000-0000-0000E3310000}"/>
    <cellStyle name="Standard 4 2 2 3 2 2 5 5" xfId="12589" xr:uid="{00000000-0005-0000-0000-0000E4310000}"/>
    <cellStyle name="Standard 4 2 2 3 2 2 5 6" xfId="12590" xr:uid="{00000000-0005-0000-0000-0000E5310000}"/>
    <cellStyle name="Standard 4 2 2 3 2 2 6" xfId="12591" xr:uid="{00000000-0005-0000-0000-0000E6310000}"/>
    <cellStyle name="Standard 4 2 2 3 2 2 6 2" xfId="12592" xr:uid="{00000000-0005-0000-0000-0000E7310000}"/>
    <cellStyle name="Standard 4 2 2 3 2 2 6 3" xfId="12593" xr:uid="{00000000-0005-0000-0000-0000E8310000}"/>
    <cellStyle name="Standard 4 2 2 3 2 2 7" xfId="12594" xr:uid="{00000000-0005-0000-0000-0000E9310000}"/>
    <cellStyle name="Standard 4 2 2 3 2 2 7 2" xfId="12595" xr:uid="{00000000-0005-0000-0000-0000EA310000}"/>
    <cellStyle name="Standard 4 2 2 3 2 2 7 3" xfId="12596" xr:uid="{00000000-0005-0000-0000-0000EB310000}"/>
    <cellStyle name="Standard 4 2 2 3 2 2 8" xfId="12597" xr:uid="{00000000-0005-0000-0000-0000EC310000}"/>
    <cellStyle name="Standard 4 2 2 3 2 2 8 2" xfId="12598" xr:uid="{00000000-0005-0000-0000-0000ED310000}"/>
    <cellStyle name="Standard 4 2 2 3 2 2 9" xfId="12599" xr:uid="{00000000-0005-0000-0000-0000EE310000}"/>
    <cellStyle name="Standard 4 2 2 3 2 3" xfId="12600" xr:uid="{00000000-0005-0000-0000-0000EF310000}"/>
    <cellStyle name="Standard 4 2 2 3 2 3 2" xfId="12601" xr:uid="{00000000-0005-0000-0000-0000F0310000}"/>
    <cellStyle name="Standard 4 2 2 3 2 3 2 2" xfId="12602" xr:uid="{00000000-0005-0000-0000-0000F1310000}"/>
    <cellStyle name="Standard 4 2 2 3 2 3 2 2 2" xfId="12603" xr:uid="{00000000-0005-0000-0000-0000F2310000}"/>
    <cellStyle name="Standard 4 2 2 3 2 3 2 2 2 2" xfId="12604" xr:uid="{00000000-0005-0000-0000-0000F3310000}"/>
    <cellStyle name="Standard 4 2 2 3 2 3 2 2 2 3" xfId="12605" xr:uid="{00000000-0005-0000-0000-0000F4310000}"/>
    <cellStyle name="Standard 4 2 2 3 2 3 2 2 3" xfId="12606" xr:uid="{00000000-0005-0000-0000-0000F5310000}"/>
    <cellStyle name="Standard 4 2 2 3 2 3 2 2 3 2" xfId="12607" xr:uid="{00000000-0005-0000-0000-0000F6310000}"/>
    <cellStyle name="Standard 4 2 2 3 2 3 2 2 3 3" xfId="12608" xr:uid="{00000000-0005-0000-0000-0000F7310000}"/>
    <cellStyle name="Standard 4 2 2 3 2 3 2 2 4" xfId="12609" xr:uid="{00000000-0005-0000-0000-0000F8310000}"/>
    <cellStyle name="Standard 4 2 2 3 2 3 2 2 4 2" xfId="12610" xr:uid="{00000000-0005-0000-0000-0000F9310000}"/>
    <cellStyle name="Standard 4 2 2 3 2 3 2 2 5" xfId="12611" xr:uid="{00000000-0005-0000-0000-0000FA310000}"/>
    <cellStyle name="Standard 4 2 2 3 2 3 2 2 6" xfId="12612" xr:uid="{00000000-0005-0000-0000-0000FB310000}"/>
    <cellStyle name="Standard 4 2 2 3 2 3 2 3" xfId="12613" xr:uid="{00000000-0005-0000-0000-0000FC310000}"/>
    <cellStyle name="Standard 4 2 2 3 2 3 2 3 2" xfId="12614" xr:uid="{00000000-0005-0000-0000-0000FD310000}"/>
    <cellStyle name="Standard 4 2 2 3 2 3 2 3 3" xfId="12615" xr:uid="{00000000-0005-0000-0000-0000FE310000}"/>
    <cellStyle name="Standard 4 2 2 3 2 3 2 4" xfId="12616" xr:uid="{00000000-0005-0000-0000-0000FF310000}"/>
    <cellStyle name="Standard 4 2 2 3 2 3 2 4 2" xfId="12617" xr:uid="{00000000-0005-0000-0000-000000320000}"/>
    <cellStyle name="Standard 4 2 2 3 2 3 2 4 3" xfId="12618" xr:uid="{00000000-0005-0000-0000-000001320000}"/>
    <cellStyle name="Standard 4 2 2 3 2 3 2 5" xfId="12619" xr:uid="{00000000-0005-0000-0000-000002320000}"/>
    <cellStyle name="Standard 4 2 2 3 2 3 2 5 2" xfId="12620" xr:uid="{00000000-0005-0000-0000-000003320000}"/>
    <cellStyle name="Standard 4 2 2 3 2 3 2 6" xfId="12621" xr:uid="{00000000-0005-0000-0000-000004320000}"/>
    <cellStyle name="Standard 4 2 2 3 2 3 2 7" xfId="12622" xr:uid="{00000000-0005-0000-0000-000005320000}"/>
    <cellStyle name="Standard 4 2 2 3 2 3 3" xfId="12623" xr:uid="{00000000-0005-0000-0000-000006320000}"/>
    <cellStyle name="Standard 4 2 2 3 2 3 3 2" xfId="12624" xr:uid="{00000000-0005-0000-0000-000007320000}"/>
    <cellStyle name="Standard 4 2 2 3 2 3 3 2 2" xfId="12625" xr:uid="{00000000-0005-0000-0000-000008320000}"/>
    <cellStyle name="Standard 4 2 2 3 2 3 3 2 3" xfId="12626" xr:uid="{00000000-0005-0000-0000-000009320000}"/>
    <cellStyle name="Standard 4 2 2 3 2 3 3 3" xfId="12627" xr:uid="{00000000-0005-0000-0000-00000A320000}"/>
    <cellStyle name="Standard 4 2 2 3 2 3 3 3 2" xfId="12628" xr:uid="{00000000-0005-0000-0000-00000B320000}"/>
    <cellStyle name="Standard 4 2 2 3 2 3 3 3 3" xfId="12629" xr:uid="{00000000-0005-0000-0000-00000C320000}"/>
    <cellStyle name="Standard 4 2 2 3 2 3 3 4" xfId="12630" xr:uid="{00000000-0005-0000-0000-00000D320000}"/>
    <cellStyle name="Standard 4 2 2 3 2 3 3 4 2" xfId="12631" xr:uid="{00000000-0005-0000-0000-00000E320000}"/>
    <cellStyle name="Standard 4 2 2 3 2 3 3 5" xfId="12632" xr:uid="{00000000-0005-0000-0000-00000F320000}"/>
    <cellStyle name="Standard 4 2 2 3 2 3 3 6" xfId="12633" xr:uid="{00000000-0005-0000-0000-000010320000}"/>
    <cellStyle name="Standard 4 2 2 3 2 3 4" xfId="12634" xr:uid="{00000000-0005-0000-0000-000011320000}"/>
    <cellStyle name="Standard 4 2 2 3 2 3 4 2" xfId="12635" xr:uid="{00000000-0005-0000-0000-000012320000}"/>
    <cellStyle name="Standard 4 2 2 3 2 3 4 3" xfId="12636" xr:uid="{00000000-0005-0000-0000-000013320000}"/>
    <cellStyle name="Standard 4 2 2 3 2 3 5" xfId="12637" xr:uid="{00000000-0005-0000-0000-000014320000}"/>
    <cellStyle name="Standard 4 2 2 3 2 3 5 2" xfId="12638" xr:uid="{00000000-0005-0000-0000-000015320000}"/>
    <cellStyle name="Standard 4 2 2 3 2 3 5 3" xfId="12639" xr:uid="{00000000-0005-0000-0000-000016320000}"/>
    <cellStyle name="Standard 4 2 2 3 2 3 6" xfId="12640" xr:uid="{00000000-0005-0000-0000-000017320000}"/>
    <cellStyle name="Standard 4 2 2 3 2 3 6 2" xfId="12641" xr:uid="{00000000-0005-0000-0000-000018320000}"/>
    <cellStyle name="Standard 4 2 2 3 2 3 7" xfId="12642" xr:uid="{00000000-0005-0000-0000-000019320000}"/>
    <cellStyle name="Standard 4 2 2 3 2 3 8" xfId="12643" xr:uid="{00000000-0005-0000-0000-00001A320000}"/>
    <cellStyle name="Standard 4 2 2 3 2 4" xfId="12644" xr:uid="{00000000-0005-0000-0000-00001B320000}"/>
    <cellStyle name="Standard 4 2 2 3 2 4 2" xfId="12645" xr:uid="{00000000-0005-0000-0000-00001C320000}"/>
    <cellStyle name="Standard 4 2 2 3 2 4 2 2" xfId="12646" xr:uid="{00000000-0005-0000-0000-00001D320000}"/>
    <cellStyle name="Standard 4 2 2 3 2 4 2 2 2" xfId="12647" xr:uid="{00000000-0005-0000-0000-00001E320000}"/>
    <cellStyle name="Standard 4 2 2 3 2 4 2 2 2 2" xfId="12648" xr:uid="{00000000-0005-0000-0000-00001F320000}"/>
    <cellStyle name="Standard 4 2 2 3 2 4 2 2 2 3" xfId="12649" xr:uid="{00000000-0005-0000-0000-000020320000}"/>
    <cellStyle name="Standard 4 2 2 3 2 4 2 2 3" xfId="12650" xr:uid="{00000000-0005-0000-0000-000021320000}"/>
    <cellStyle name="Standard 4 2 2 3 2 4 2 2 3 2" xfId="12651" xr:uid="{00000000-0005-0000-0000-000022320000}"/>
    <cellStyle name="Standard 4 2 2 3 2 4 2 2 3 3" xfId="12652" xr:uid="{00000000-0005-0000-0000-000023320000}"/>
    <cellStyle name="Standard 4 2 2 3 2 4 2 2 4" xfId="12653" xr:uid="{00000000-0005-0000-0000-000024320000}"/>
    <cellStyle name="Standard 4 2 2 3 2 4 2 2 4 2" xfId="12654" xr:uid="{00000000-0005-0000-0000-000025320000}"/>
    <cellStyle name="Standard 4 2 2 3 2 4 2 2 5" xfId="12655" xr:uid="{00000000-0005-0000-0000-000026320000}"/>
    <cellStyle name="Standard 4 2 2 3 2 4 2 2 6" xfId="12656" xr:uid="{00000000-0005-0000-0000-000027320000}"/>
    <cellStyle name="Standard 4 2 2 3 2 4 2 3" xfId="12657" xr:uid="{00000000-0005-0000-0000-000028320000}"/>
    <cellStyle name="Standard 4 2 2 3 2 4 2 3 2" xfId="12658" xr:uid="{00000000-0005-0000-0000-000029320000}"/>
    <cellStyle name="Standard 4 2 2 3 2 4 2 3 3" xfId="12659" xr:uid="{00000000-0005-0000-0000-00002A320000}"/>
    <cellStyle name="Standard 4 2 2 3 2 4 2 4" xfId="12660" xr:uid="{00000000-0005-0000-0000-00002B320000}"/>
    <cellStyle name="Standard 4 2 2 3 2 4 2 4 2" xfId="12661" xr:uid="{00000000-0005-0000-0000-00002C320000}"/>
    <cellStyle name="Standard 4 2 2 3 2 4 2 4 3" xfId="12662" xr:uid="{00000000-0005-0000-0000-00002D320000}"/>
    <cellStyle name="Standard 4 2 2 3 2 4 2 5" xfId="12663" xr:uid="{00000000-0005-0000-0000-00002E320000}"/>
    <cellStyle name="Standard 4 2 2 3 2 4 2 5 2" xfId="12664" xr:uid="{00000000-0005-0000-0000-00002F320000}"/>
    <cellStyle name="Standard 4 2 2 3 2 4 2 6" xfId="12665" xr:uid="{00000000-0005-0000-0000-000030320000}"/>
    <cellStyle name="Standard 4 2 2 3 2 4 2 7" xfId="12666" xr:uid="{00000000-0005-0000-0000-000031320000}"/>
    <cellStyle name="Standard 4 2 2 3 2 4 3" xfId="12667" xr:uid="{00000000-0005-0000-0000-000032320000}"/>
    <cellStyle name="Standard 4 2 2 3 2 4 3 2" xfId="12668" xr:uid="{00000000-0005-0000-0000-000033320000}"/>
    <cellStyle name="Standard 4 2 2 3 2 4 3 2 2" xfId="12669" xr:uid="{00000000-0005-0000-0000-000034320000}"/>
    <cellStyle name="Standard 4 2 2 3 2 4 3 2 3" xfId="12670" xr:uid="{00000000-0005-0000-0000-000035320000}"/>
    <cellStyle name="Standard 4 2 2 3 2 4 3 3" xfId="12671" xr:uid="{00000000-0005-0000-0000-000036320000}"/>
    <cellStyle name="Standard 4 2 2 3 2 4 3 3 2" xfId="12672" xr:uid="{00000000-0005-0000-0000-000037320000}"/>
    <cellStyle name="Standard 4 2 2 3 2 4 3 3 3" xfId="12673" xr:uid="{00000000-0005-0000-0000-000038320000}"/>
    <cellStyle name="Standard 4 2 2 3 2 4 3 4" xfId="12674" xr:uid="{00000000-0005-0000-0000-000039320000}"/>
    <cellStyle name="Standard 4 2 2 3 2 4 3 4 2" xfId="12675" xr:uid="{00000000-0005-0000-0000-00003A320000}"/>
    <cellStyle name="Standard 4 2 2 3 2 4 3 5" xfId="12676" xr:uid="{00000000-0005-0000-0000-00003B320000}"/>
    <cellStyle name="Standard 4 2 2 3 2 4 3 6" xfId="12677" xr:uid="{00000000-0005-0000-0000-00003C320000}"/>
    <cellStyle name="Standard 4 2 2 3 2 4 4" xfId="12678" xr:uid="{00000000-0005-0000-0000-00003D320000}"/>
    <cellStyle name="Standard 4 2 2 3 2 4 4 2" xfId="12679" xr:uid="{00000000-0005-0000-0000-00003E320000}"/>
    <cellStyle name="Standard 4 2 2 3 2 4 4 3" xfId="12680" xr:uid="{00000000-0005-0000-0000-00003F320000}"/>
    <cellStyle name="Standard 4 2 2 3 2 4 5" xfId="12681" xr:uid="{00000000-0005-0000-0000-000040320000}"/>
    <cellStyle name="Standard 4 2 2 3 2 4 5 2" xfId="12682" xr:uid="{00000000-0005-0000-0000-000041320000}"/>
    <cellStyle name="Standard 4 2 2 3 2 4 5 3" xfId="12683" xr:uid="{00000000-0005-0000-0000-000042320000}"/>
    <cellStyle name="Standard 4 2 2 3 2 4 6" xfId="12684" xr:uid="{00000000-0005-0000-0000-000043320000}"/>
    <cellStyle name="Standard 4 2 2 3 2 4 6 2" xfId="12685" xr:uid="{00000000-0005-0000-0000-000044320000}"/>
    <cellStyle name="Standard 4 2 2 3 2 4 7" xfId="12686" xr:uid="{00000000-0005-0000-0000-000045320000}"/>
    <cellStyle name="Standard 4 2 2 3 2 4 8" xfId="12687" xr:uid="{00000000-0005-0000-0000-000046320000}"/>
    <cellStyle name="Standard 4 2 2 3 2 5" xfId="12688" xr:uid="{00000000-0005-0000-0000-000047320000}"/>
    <cellStyle name="Standard 4 2 2 3 2 5 2" xfId="12689" xr:uid="{00000000-0005-0000-0000-000048320000}"/>
    <cellStyle name="Standard 4 2 2 3 2 5 2 2" xfId="12690" xr:uid="{00000000-0005-0000-0000-000049320000}"/>
    <cellStyle name="Standard 4 2 2 3 2 5 2 2 2" xfId="12691" xr:uid="{00000000-0005-0000-0000-00004A320000}"/>
    <cellStyle name="Standard 4 2 2 3 2 5 2 2 3" xfId="12692" xr:uid="{00000000-0005-0000-0000-00004B320000}"/>
    <cellStyle name="Standard 4 2 2 3 2 5 2 3" xfId="12693" xr:uid="{00000000-0005-0000-0000-00004C320000}"/>
    <cellStyle name="Standard 4 2 2 3 2 5 2 3 2" xfId="12694" xr:uid="{00000000-0005-0000-0000-00004D320000}"/>
    <cellStyle name="Standard 4 2 2 3 2 5 2 3 3" xfId="12695" xr:uid="{00000000-0005-0000-0000-00004E320000}"/>
    <cellStyle name="Standard 4 2 2 3 2 5 2 4" xfId="12696" xr:uid="{00000000-0005-0000-0000-00004F320000}"/>
    <cellStyle name="Standard 4 2 2 3 2 5 2 4 2" xfId="12697" xr:uid="{00000000-0005-0000-0000-000050320000}"/>
    <cellStyle name="Standard 4 2 2 3 2 5 2 5" xfId="12698" xr:uid="{00000000-0005-0000-0000-000051320000}"/>
    <cellStyle name="Standard 4 2 2 3 2 5 2 6" xfId="12699" xr:uid="{00000000-0005-0000-0000-000052320000}"/>
    <cellStyle name="Standard 4 2 2 3 2 5 3" xfId="12700" xr:uid="{00000000-0005-0000-0000-000053320000}"/>
    <cellStyle name="Standard 4 2 2 3 2 5 3 2" xfId="12701" xr:uid="{00000000-0005-0000-0000-000054320000}"/>
    <cellStyle name="Standard 4 2 2 3 2 5 3 3" xfId="12702" xr:uid="{00000000-0005-0000-0000-000055320000}"/>
    <cellStyle name="Standard 4 2 2 3 2 5 4" xfId="12703" xr:uid="{00000000-0005-0000-0000-000056320000}"/>
    <cellStyle name="Standard 4 2 2 3 2 5 4 2" xfId="12704" xr:uid="{00000000-0005-0000-0000-000057320000}"/>
    <cellStyle name="Standard 4 2 2 3 2 5 4 3" xfId="12705" xr:uid="{00000000-0005-0000-0000-000058320000}"/>
    <cellStyle name="Standard 4 2 2 3 2 5 5" xfId="12706" xr:uid="{00000000-0005-0000-0000-000059320000}"/>
    <cellStyle name="Standard 4 2 2 3 2 5 5 2" xfId="12707" xr:uid="{00000000-0005-0000-0000-00005A320000}"/>
    <cellStyle name="Standard 4 2 2 3 2 5 6" xfId="12708" xr:uid="{00000000-0005-0000-0000-00005B320000}"/>
    <cellStyle name="Standard 4 2 2 3 2 5 7" xfId="12709" xr:uid="{00000000-0005-0000-0000-00005C320000}"/>
    <cellStyle name="Standard 4 2 2 3 2 6" xfId="12710" xr:uid="{00000000-0005-0000-0000-00005D320000}"/>
    <cellStyle name="Standard 4 2 2 3 2 6 2" xfId="12711" xr:uid="{00000000-0005-0000-0000-00005E320000}"/>
    <cellStyle name="Standard 4 2 2 3 2 6 2 2" xfId="12712" xr:uid="{00000000-0005-0000-0000-00005F320000}"/>
    <cellStyle name="Standard 4 2 2 3 2 6 2 3" xfId="12713" xr:uid="{00000000-0005-0000-0000-000060320000}"/>
    <cellStyle name="Standard 4 2 2 3 2 6 3" xfId="12714" xr:uid="{00000000-0005-0000-0000-000061320000}"/>
    <cellStyle name="Standard 4 2 2 3 2 6 3 2" xfId="12715" xr:uid="{00000000-0005-0000-0000-000062320000}"/>
    <cellStyle name="Standard 4 2 2 3 2 6 3 3" xfId="12716" xr:uid="{00000000-0005-0000-0000-000063320000}"/>
    <cellStyle name="Standard 4 2 2 3 2 6 4" xfId="12717" xr:uid="{00000000-0005-0000-0000-000064320000}"/>
    <cellStyle name="Standard 4 2 2 3 2 6 4 2" xfId="12718" xr:uid="{00000000-0005-0000-0000-000065320000}"/>
    <cellStyle name="Standard 4 2 2 3 2 6 5" xfId="12719" xr:uid="{00000000-0005-0000-0000-000066320000}"/>
    <cellStyle name="Standard 4 2 2 3 2 6 6" xfId="12720" xr:uid="{00000000-0005-0000-0000-000067320000}"/>
    <cellStyle name="Standard 4 2 2 3 2 7" xfId="12721" xr:uid="{00000000-0005-0000-0000-000068320000}"/>
    <cellStyle name="Standard 4 2 2 3 2 7 2" xfId="12722" xr:uid="{00000000-0005-0000-0000-000069320000}"/>
    <cellStyle name="Standard 4 2 2 3 2 7 3" xfId="12723" xr:uid="{00000000-0005-0000-0000-00006A320000}"/>
    <cellStyle name="Standard 4 2 2 3 2 8" xfId="12724" xr:uid="{00000000-0005-0000-0000-00006B320000}"/>
    <cellStyle name="Standard 4 2 2 3 2 8 2" xfId="12725" xr:uid="{00000000-0005-0000-0000-00006C320000}"/>
    <cellStyle name="Standard 4 2 2 3 2 8 3" xfId="12726" xr:uid="{00000000-0005-0000-0000-00006D320000}"/>
    <cellStyle name="Standard 4 2 2 3 2 9" xfId="12727" xr:uid="{00000000-0005-0000-0000-00006E320000}"/>
    <cellStyle name="Standard 4 2 2 3 2 9 2" xfId="12728" xr:uid="{00000000-0005-0000-0000-00006F320000}"/>
    <cellStyle name="Standard 4 2 2 3 3" xfId="12729" xr:uid="{00000000-0005-0000-0000-000070320000}"/>
    <cellStyle name="Standard 4 2 2 3 3 10" xfId="12730" xr:uid="{00000000-0005-0000-0000-000071320000}"/>
    <cellStyle name="Standard 4 2 2 3 3 11" xfId="12731" xr:uid="{00000000-0005-0000-0000-000072320000}"/>
    <cellStyle name="Standard 4 2 2 3 3 2" xfId="12732" xr:uid="{00000000-0005-0000-0000-000073320000}"/>
    <cellStyle name="Standard 4 2 2 3 3 2 10" xfId="12733" xr:uid="{00000000-0005-0000-0000-000074320000}"/>
    <cellStyle name="Standard 4 2 2 3 3 2 2" xfId="12734" xr:uid="{00000000-0005-0000-0000-000075320000}"/>
    <cellStyle name="Standard 4 2 2 3 3 2 2 2" xfId="12735" xr:uid="{00000000-0005-0000-0000-000076320000}"/>
    <cellStyle name="Standard 4 2 2 3 3 2 2 2 2" xfId="12736" xr:uid="{00000000-0005-0000-0000-000077320000}"/>
    <cellStyle name="Standard 4 2 2 3 3 2 2 2 2 2" xfId="12737" xr:uid="{00000000-0005-0000-0000-000078320000}"/>
    <cellStyle name="Standard 4 2 2 3 3 2 2 2 2 2 2" xfId="12738" xr:uid="{00000000-0005-0000-0000-000079320000}"/>
    <cellStyle name="Standard 4 2 2 3 3 2 2 2 2 2 3" xfId="12739" xr:uid="{00000000-0005-0000-0000-00007A320000}"/>
    <cellStyle name="Standard 4 2 2 3 3 2 2 2 2 3" xfId="12740" xr:uid="{00000000-0005-0000-0000-00007B320000}"/>
    <cellStyle name="Standard 4 2 2 3 3 2 2 2 2 3 2" xfId="12741" xr:uid="{00000000-0005-0000-0000-00007C320000}"/>
    <cellStyle name="Standard 4 2 2 3 3 2 2 2 2 3 3" xfId="12742" xr:uid="{00000000-0005-0000-0000-00007D320000}"/>
    <cellStyle name="Standard 4 2 2 3 3 2 2 2 2 4" xfId="12743" xr:uid="{00000000-0005-0000-0000-00007E320000}"/>
    <cellStyle name="Standard 4 2 2 3 3 2 2 2 2 4 2" xfId="12744" xr:uid="{00000000-0005-0000-0000-00007F320000}"/>
    <cellStyle name="Standard 4 2 2 3 3 2 2 2 2 5" xfId="12745" xr:uid="{00000000-0005-0000-0000-000080320000}"/>
    <cellStyle name="Standard 4 2 2 3 3 2 2 2 2 6" xfId="12746" xr:uid="{00000000-0005-0000-0000-000081320000}"/>
    <cellStyle name="Standard 4 2 2 3 3 2 2 2 3" xfId="12747" xr:uid="{00000000-0005-0000-0000-000082320000}"/>
    <cellStyle name="Standard 4 2 2 3 3 2 2 2 3 2" xfId="12748" xr:uid="{00000000-0005-0000-0000-000083320000}"/>
    <cellStyle name="Standard 4 2 2 3 3 2 2 2 3 3" xfId="12749" xr:uid="{00000000-0005-0000-0000-000084320000}"/>
    <cellStyle name="Standard 4 2 2 3 3 2 2 2 4" xfId="12750" xr:uid="{00000000-0005-0000-0000-000085320000}"/>
    <cellStyle name="Standard 4 2 2 3 3 2 2 2 4 2" xfId="12751" xr:uid="{00000000-0005-0000-0000-000086320000}"/>
    <cellStyle name="Standard 4 2 2 3 3 2 2 2 4 3" xfId="12752" xr:uid="{00000000-0005-0000-0000-000087320000}"/>
    <cellStyle name="Standard 4 2 2 3 3 2 2 2 5" xfId="12753" xr:uid="{00000000-0005-0000-0000-000088320000}"/>
    <cellStyle name="Standard 4 2 2 3 3 2 2 2 5 2" xfId="12754" xr:uid="{00000000-0005-0000-0000-000089320000}"/>
    <cellStyle name="Standard 4 2 2 3 3 2 2 2 6" xfId="12755" xr:uid="{00000000-0005-0000-0000-00008A320000}"/>
    <cellStyle name="Standard 4 2 2 3 3 2 2 2 7" xfId="12756" xr:uid="{00000000-0005-0000-0000-00008B320000}"/>
    <cellStyle name="Standard 4 2 2 3 3 2 2 3" xfId="12757" xr:uid="{00000000-0005-0000-0000-00008C320000}"/>
    <cellStyle name="Standard 4 2 2 3 3 2 2 3 2" xfId="12758" xr:uid="{00000000-0005-0000-0000-00008D320000}"/>
    <cellStyle name="Standard 4 2 2 3 3 2 2 3 2 2" xfId="12759" xr:uid="{00000000-0005-0000-0000-00008E320000}"/>
    <cellStyle name="Standard 4 2 2 3 3 2 2 3 2 3" xfId="12760" xr:uid="{00000000-0005-0000-0000-00008F320000}"/>
    <cellStyle name="Standard 4 2 2 3 3 2 2 3 3" xfId="12761" xr:uid="{00000000-0005-0000-0000-000090320000}"/>
    <cellStyle name="Standard 4 2 2 3 3 2 2 3 3 2" xfId="12762" xr:uid="{00000000-0005-0000-0000-000091320000}"/>
    <cellStyle name="Standard 4 2 2 3 3 2 2 3 3 3" xfId="12763" xr:uid="{00000000-0005-0000-0000-000092320000}"/>
    <cellStyle name="Standard 4 2 2 3 3 2 2 3 4" xfId="12764" xr:uid="{00000000-0005-0000-0000-000093320000}"/>
    <cellStyle name="Standard 4 2 2 3 3 2 2 3 4 2" xfId="12765" xr:uid="{00000000-0005-0000-0000-000094320000}"/>
    <cellStyle name="Standard 4 2 2 3 3 2 2 3 5" xfId="12766" xr:uid="{00000000-0005-0000-0000-000095320000}"/>
    <cellStyle name="Standard 4 2 2 3 3 2 2 3 6" xfId="12767" xr:uid="{00000000-0005-0000-0000-000096320000}"/>
    <cellStyle name="Standard 4 2 2 3 3 2 2 4" xfId="12768" xr:uid="{00000000-0005-0000-0000-000097320000}"/>
    <cellStyle name="Standard 4 2 2 3 3 2 2 4 2" xfId="12769" xr:uid="{00000000-0005-0000-0000-000098320000}"/>
    <cellStyle name="Standard 4 2 2 3 3 2 2 4 3" xfId="12770" xr:uid="{00000000-0005-0000-0000-000099320000}"/>
    <cellStyle name="Standard 4 2 2 3 3 2 2 5" xfId="12771" xr:uid="{00000000-0005-0000-0000-00009A320000}"/>
    <cellStyle name="Standard 4 2 2 3 3 2 2 5 2" xfId="12772" xr:uid="{00000000-0005-0000-0000-00009B320000}"/>
    <cellStyle name="Standard 4 2 2 3 3 2 2 5 3" xfId="12773" xr:uid="{00000000-0005-0000-0000-00009C320000}"/>
    <cellStyle name="Standard 4 2 2 3 3 2 2 6" xfId="12774" xr:uid="{00000000-0005-0000-0000-00009D320000}"/>
    <cellStyle name="Standard 4 2 2 3 3 2 2 6 2" xfId="12775" xr:uid="{00000000-0005-0000-0000-00009E320000}"/>
    <cellStyle name="Standard 4 2 2 3 3 2 2 7" xfId="12776" xr:uid="{00000000-0005-0000-0000-00009F320000}"/>
    <cellStyle name="Standard 4 2 2 3 3 2 2 8" xfId="12777" xr:uid="{00000000-0005-0000-0000-0000A0320000}"/>
    <cellStyle name="Standard 4 2 2 3 3 2 3" xfId="12778" xr:uid="{00000000-0005-0000-0000-0000A1320000}"/>
    <cellStyle name="Standard 4 2 2 3 3 2 3 2" xfId="12779" xr:uid="{00000000-0005-0000-0000-0000A2320000}"/>
    <cellStyle name="Standard 4 2 2 3 3 2 3 2 2" xfId="12780" xr:uid="{00000000-0005-0000-0000-0000A3320000}"/>
    <cellStyle name="Standard 4 2 2 3 3 2 3 2 2 2" xfId="12781" xr:uid="{00000000-0005-0000-0000-0000A4320000}"/>
    <cellStyle name="Standard 4 2 2 3 3 2 3 2 2 2 2" xfId="12782" xr:uid="{00000000-0005-0000-0000-0000A5320000}"/>
    <cellStyle name="Standard 4 2 2 3 3 2 3 2 2 2 3" xfId="12783" xr:uid="{00000000-0005-0000-0000-0000A6320000}"/>
    <cellStyle name="Standard 4 2 2 3 3 2 3 2 2 3" xfId="12784" xr:uid="{00000000-0005-0000-0000-0000A7320000}"/>
    <cellStyle name="Standard 4 2 2 3 3 2 3 2 2 3 2" xfId="12785" xr:uid="{00000000-0005-0000-0000-0000A8320000}"/>
    <cellStyle name="Standard 4 2 2 3 3 2 3 2 2 3 3" xfId="12786" xr:uid="{00000000-0005-0000-0000-0000A9320000}"/>
    <cellStyle name="Standard 4 2 2 3 3 2 3 2 2 4" xfId="12787" xr:uid="{00000000-0005-0000-0000-0000AA320000}"/>
    <cellStyle name="Standard 4 2 2 3 3 2 3 2 2 4 2" xfId="12788" xr:uid="{00000000-0005-0000-0000-0000AB320000}"/>
    <cellStyle name="Standard 4 2 2 3 3 2 3 2 2 5" xfId="12789" xr:uid="{00000000-0005-0000-0000-0000AC320000}"/>
    <cellStyle name="Standard 4 2 2 3 3 2 3 2 2 6" xfId="12790" xr:uid="{00000000-0005-0000-0000-0000AD320000}"/>
    <cellStyle name="Standard 4 2 2 3 3 2 3 2 3" xfId="12791" xr:uid="{00000000-0005-0000-0000-0000AE320000}"/>
    <cellStyle name="Standard 4 2 2 3 3 2 3 2 3 2" xfId="12792" xr:uid="{00000000-0005-0000-0000-0000AF320000}"/>
    <cellStyle name="Standard 4 2 2 3 3 2 3 2 3 3" xfId="12793" xr:uid="{00000000-0005-0000-0000-0000B0320000}"/>
    <cellStyle name="Standard 4 2 2 3 3 2 3 2 4" xfId="12794" xr:uid="{00000000-0005-0000-0000-0000B1320000}"/>
    <cellStyle name="Standard 4 2 2 3 3 2 3 2 4 2" xfId="12795" xr:uid="{00000000-0005-0000-0000-0000B2320000}"/>
    <cellStyle name="Standard 4 2 2 3 3 2 3 2 4 3" xfId="12796" xr:uid="{00000000-0005-0000-0000-0000B3320000}"/>
    <cellStyle name="Standard 4 2 2 3 3 2 3 2 5" xfId="12797" xr:uid="{00000000-0005-0000-0000-0000B4320000}"/>
    <cellStyle name="Standard 4 2 2 3 3 2 3 2 5 2" xfId="12798" xr:uid="{00000000-0005-0000-0000-0000B5320000}"/>
    <cellStyle name="Standard 4 2 2 3 3 2 3 2 6" xfId="12799" xr:uid="{00000000-0005-0000-0000-0000B6320000}"/>
    <cellStyle name="Standard 4 2 2 3 3 2 3 2 7" xfId="12800" xr:uid="{00000000-0005-0000-0000-0000B7320000}"/>
    <cellStyle name="Standard 4 2 2 3 3 2 3 3" xfId="12801" xr:uid="{00000000-0005-0000-0000-0000B8320000}"/>
    <cellStyle name="Standard 4 2 2 3 3 2 3 3 2" xfId="12802" xr:uid="{00000000-0005-0000-0000-0000B9320000}"/>
    <cellStyle name="Standard 4 2 2 3 3 2 3 3 2 2" xfId="12803" xr:uid="{00000000-0005-0000-0000-0000BA320000}"/>
    <cellStyle name="Standard 4 2 2 3 3 2 3 3 2 3" xfId="12804" xr:uid="{00000000-0005-0000-0000-0000BB320000}"/>
    <cellStyle name="Standard 4 2 2 3 3 2 3 3 3" xfId="12805" xr:uid="{00000000-0005-0000-0000-0000BC320000}"/>
    <cellStyle name="Standard 4 2 2 3 3 2 3 3 3 2" xfId="12806" xr:uid="{00000000-0005-0000-0000-0000BD320000}"/>
    <cellStyle name="Standard 4 2 2 3 3 2 3 3 3 3" xfId="12807" xr:uid="{00000000-0005-0000-0000-0000BE320000}"/>
    <cellStyle name="Standard 4 2 2 3 3 2 3 3 4" xfId="12808" xr:uid="{00000000-0005-0000-0000-0000BF320000}"/>
    <cellStyle name="Standard 4 2 2 3 3 2 3 3 4 2" xfId="12809" xr:uid="{00000000-0005-0000-0000-0000C0320000}"/>
    <cellStyle name="Standard 4 2 2 3 3 2 3 3 5" xfId="12810" xr:uid="{00000000-0005-0000-0000-0000C1320000}"/>
    <cellStyle name="Standard 4 2 2 3 3 2 3 3 6" xfId="12811" xr:uid="{00000000-0005-0000-0000-0000C2320000}"/>
    <cellStyle name="Standard 4 2 2 3 3 2 3 4" xfId="12812" xr:uid="{00000000-0005-0000-0000-0000C3320000}"/>
    <cellStyle name="Standard 4 2 2 3 3 2 3 4 2" xfId="12813" xr:uid="{00000000-0005-0000-0000-0000C4320000}"/>
    <cellStyle name="Standard 4 2 2 3 3 2 3 4 3" xfId="12814" xr:uid="{00000000-0005-0000-0000-0000C5320000}"/>
    <cellStyle name="Standard 4 2 2 3 3 2 3 5" xfId="12815" xr:uid="{00000000-0005-0000-0000-0000C6320000}"/>
    <cellStyle name="Standard 4 2 2 3 3 2 3 5 2" xfId="12816" xr:uid="{00000000-0005-0000-0000-0000C7320000}"/>
    <cellStyle name="Standard 4 2 2 3 3 2 3 5 3" xfId="12817" xr:uid="{00000000-0005-0000-0000-0000C8320000}"/>
    <cellStyle name="Standard 4 2 2 3 3 2 3 6" xfId="12818" xr:uid="{00000000-0005-0000-0000-0000C9320000}"/>
    <cellStyle name="Standard 4 2 2 3 3 2 3 6 2" xfId="12819" xr:uid="{00000000-0005-0000-0000-0000CA320000}"/>
    <cellStyle name="Standard 4 2 2 3 3 2 3 7" xfId="12820" xr:uid="{00000000-0005-0000-0000-0000CB320000}"/>
    <cellStyle name="Standard 4 2 2 3 3 2 3 8" xfId="12821" xr:uid="{00000000-0005-0000-0000-0000CC320000}"/>
    <cellStyle name="Standard 4 2 2 3 3 2 4" xfId="12822" xr:uid="{00000000-0005-0000-0000-0000CD320000}"/>
    <cellStyle name="Standard 4 2 2 3 3 2 4 2" xfId="12823" xr:uid="{00000000-0005-0000-0000-0000CE320000}"/>
    <cellStyle name="Standard 4 2 2 3 3 2 4 2 2" xfId="12824" xr:uid="{00000000-0005-0000-0000-0000CF320000}"/>
    <cellStyle name="Standard 4 2 2 3 3 2 4 2 2 2" xfId="12825" xr:uid="{00000000-0005-0000-0000-0000D0320000}"/>
    <cellStyle name="Standard 4 2 2 3 3 2 4 2 2 3" xfId="12826" xr:uid="{00000000-0005-0000-0000-0000D1320000}"/>
    <cellStyle name="Standard 4 2 2 3 3 2 4 2 3" xfId="12827" xr:uid="{00000000-0005-0000-0000-0000D2320000}"/>
    <cellStyle name="Standard 4 2 2 3 3 2 4 2 3 2" xfId="12828" xr:uid="{00000000-0005-0000-0000-0000D3320000}"/>
    <cellStyle name="Standard 4 2 2 3 3 2 4 2 3 3" xfId="12829" xr:uid="{00000000-0005-0000-0000-0000D4320000}"/>
    <cellStyle name="Standard 4 2 2 3 3 2 4 2 4" xfId="12830" xr:uid="{00000000-0005-0000-0000-0000D5320000}"/>
    <cellStyle name="Standard 4 2 2 3 3 2 4 2 4 2" xfId="12831" xr:uid="{00000000-0005-0000-0000-0000D6320000}"/>
    <cellStyle name="Standard 4 2 2 3 3 2 4 2 5" xfId="12832" xr:uid="{00000000-0005-0000-0000-0000D7320000}"/>
    <cellStyle name="Standard 4 2 2 3 3 2 4 2 6" xfId="12833" xr:uid="{00000000-0005-0000-0000-0000D8320000}"/>
    <cellStyle name="Standard 4 2 2 3 3 2 4 3" xfId="12834" xr:uid="{00000000-0005-0000-0000-0000D9320000}"/>
    <cellStyle name="Standard 4 2 2 3 3 2 4 3 2" xfId="12835" xr:uid="{00000000-0005-0000-0000-0000DA320000}"/>
    <cellStyle name="Standard 4 2 2 3 3 2 4 3 3" xfId="12836" xr:uid="{00000000-0005-0000-0000-0000DB320000}"/>
    <cellStyle name="Standard 4 2 2 3 3 2 4 4" xfId="12837" xr:uid="{00000000-0005-0000-0000-0000DC320000}"/>
    <cellStyle name="Standard 4 2 2 3 3 2 4 4 2" xfId="12838" xr:uid="{00000000-0005-0000-0000-0000DD320000}"/>
    <cellStyle name="Standard 4 2 2 3 3 2 4 4 3" xfId="12839" xr:uid="{00000000-0005-0000-0000-0000DE320000}"/>
    <cellStyle name="Standard 4 2 2 3 3 2 4 5" xfId="12840" xr:uid="{00000000-0005-0000-0000-0000DF320000}"/>
    <cellStyle name="Standard 4 2 2 3 3 2 4 5 2" xfId="12841" xr:uid="{00000000-0005-0000-0000-0000E0320000}"/>
    <cellStyle name="Standard 4 2 2 3 3 2 4 6" xfId="12842" xr:uid="{00000000-0005-0000-0000-0000E1320000}"/>
    <cellStyle name="Standard 4 2 2 3 3 2 4 7" xfId="12843" xr:uid="{00000000-0005-0000-0000-0000E2320000}"/>
    <cellStyle name="Standard 4 2 2 3 3 2 5" xfId="12844" xr:uid="{00000000-0005-0000-0000-0000E3320000}"/>
    <cellStyle name="Standard 4 2 2 3 3 2 5 2" xfId="12845" xr:uid="{00000000-0005-0000-0000-0000E4320000}"/>
    <cellStyle name="Standard 4 2 2 3 3 2 5 2 2" xfId="12846" xr:uid="{00000000-0005-0000-0000-0000E5320000}"/>
    <cellStyle name="Standard 4 2 2 3 3 2 5 2 3" xfId="12847" xr:uid="{00000000-0005-0000-0000-0000E6320000}"/>
    <cellStyle name="Standard 4 2 2 3 3 2 5 3" xfId="12848" xr:uid="{00000000-0005-0000-0000-0000E7320000}"/>
    <cellStyle name="Standard 4 2 2 3 3 2 5 3 2" xfId="12849" xr:uid="{00000000-0005-0000-0000-0000E8320000}"/>
    <cellStyle name="Standard 4 2 2 3 3 2 5 3 3" xfId="12850" xr:uid="{00000000-0005-0000-0000-0000E9320000}"/>
    <cellStyle name="Standard 4 2 2 3 3 2 5 4" xfId="12851" xr:uid="{00000000-0005-0000-0000-0000EA320000}"/>
    <cellStyle name="Standard 4 2 2 3 3 2 5 4 2" xfId="12852" xr:uid="{00000000-0005-0000-0000-0000EB320000}"/>
    <cellStyle name="Standard 4 2 2 3 3 2 5 5" xfId="12853" xr:uid="{00000000-0005-0000-0000-0000EC320000}"/>
    <cellStyle name="Standard 4 2 2 3 3 2 5 6" xfId="12854" xr:uid="{00000000-0005-0000-0000-0000ED320000}"/>
    <cellStyle name="Standard 4 2 2 3 3 2 6" xfId="12855" xr:uid="{00000000-0005-0000-0000-0000EE320000}"/>
    <cellStyle name="Standard 4 2 2 3 3 2 6 2" xfId="12856" xr:uid="{00000000-0005-0000-0000-0000EF320000}"/>
    <cellStyle name="Standard 4 2 2 3 3 2 6 3" xfId="12857" xr:uid="{00000000-0005-0000-0000-0000F0320000}"/>
    <cellStyle name="Standard 4 2 2 3 3 2 7" xfId="12858" xr:uid="{00000000-0005-0000-0000-0000F1320000}"/>
    <cellStyle name="Standard 4 2 2 3 3 2 7 2" xfId="12859" xr:uid="{00000000-0005-0000-0000-0000F2320000}"/>
    <cellStyle name="Standard 4 2 2 3 3 2 7 3" xfId="12860" xr:uid="{00000000-0005-0000-0000-0000F3320000}"/>
    <cellStyle name="Standard 4 2 2 3 3 2 8" xfId="12861" xr:uid="{00000000-0005-0000-0000-0000F4320000}"/>
    <cellStyle name="Standard 4 2 2 3 3 2 8 2" xfId="12862" xr:uid="{00000000-0005-0000-0000-0000F5320000}"/>
    <cellStyle name="Standard 4 2 2 3 3 2 9" xfId="12863" xr:uid="{00000000-0005-0000-0000-0000F6320000}"/>
    <cellStyle name="Standard 4 2 2 3 3 3" xfId="12864" xr:uid="{00000000-0005-0000-0000-0000F7320000}"/>
    <cellStyle name="Standard 4 2 2 3 3 3 2" xfId="12865" xr:uid="{00000000-0005-0000-0000-0000F8320000}"/>
    <cellStyle name="Standard 4 2 2 3 3 3 2 2" xfId="12866" xr:uid="{00000000-0005-0000-0000-0000F9320000}"/>
    <cellStyle name="Standard 4 2 2 3 3 3 2 2 2" xfId="12867" xr:uid="{00000000-0005-0000-0000-0000FA320000}"/>
    <cellStyle name="Standard 4 2 2 3 3 3 2 2 2 2" xfId="12868" xr:uid="{00000000-0005-0000-0000-0000FB320000}"/>
    <cellStyle name="Standard 4 2 2 3 3 3 2 2 2 3" xfId="12869" xr:uid="{00000000-0005-0000-0000-0000FC320000}"/>
    <cellStyle name="Standard 4 2 2 3 3 3 2 2 3" xfId="12870" xr:uid="{00000000-0005-0000-0000-0000FD320000}"/>
    <cellStyle name="Standard 4 2 2 3 3 3 2 2 3 2" xfId="12871" xr:uid="{00000000-0005-0000-0000-0000FE320000}"/>
    <cellStyle name="Standard 4 2 2 3 3 3 2 2 3 3" xfId="12872" xr:uid="{00000000-0005-0000-0000-0000FF320000}"/>
    <cellStyle name="Standard 4 2 2 3 3 3 2 2 4" xfId="12873" xr:uid="{00000000-0005-0000-0000-000000330000}"/>
    <cellStyle name="Standard 4 2 2 3 3 3 2 2 4 2" xfId="12874" xr:uid="{00000000-0005-0000-0000-000001330000}"/>
    <cellStyle name="Standard 4 2 2 3 3 3 2 2 5" xfId="12875" xr:uid="{00000000-0005-0000-0000-000002330000}"/>
    <cellStyle name="Standard 4 2 2 3 3 3 2 2 6" xfId="12876" xr:uid="{00000000-0005-0000-0000-000003330000}"/>
    <cellStyle name="Standard 4 2 2 3 3 3 2 3" xfId="12877" xr:uid="{00000000-0005-0000-0000-000004330000}"/>
    <cellStyle name="Standard 4 2 2 3 3 3 2 3 2" xfId="12878" xr:uid="{00000000-0005-0000-0000-000005330000}"/>
    <cellStyle name="Standard 4 2 2 3 3 3 2 3 3" xfId="12879" xr:uid="{00000000-0005-0000-0000-000006330000}"/>
    <cellStyle name="Standard 4 2 2 3 3 3 2 4" xfId="12880" xr:uid="{00000000-0005-0000-0000-000007330000}"/>
    <cellStyle name="Standard 4 2 2 3 3 3 2 4 2" xfId="12881" xr:uid="{00000000-0005-0000-0000-000008330000}"/>
    <cellStyle name="Standard 4 2 2 3 3 3 2 4 3" xfId="12882" xr:uid="{00000000-0005-0000-0000-000009330000}"/>
    <cellStyle name="Standard 4 2 2 3 3 3 2 5" xfId="12883" xr:uid="{00000000-0005-0000-0000-00000A330000}"/>
    <cellStyle name="Standard 4 2 2 3 3 3 2 5 2" xfId="12884" xr:uid="{00000000-0005-0000-0000-00000B330000}"/>
    <cellStyle name="Standard 4 2 2 3 3 3 2 6" xfId="12885" xr:uid="{00000000-0005-0000-0000-00000C330000}"/>
    <cellStyle name="Standard 4 2 2 3 3 3 2 7" xfId="12886" xr:uid="{00000000-0005-0000-0000-00000D330000}"/>
    <cellStyle name="Standard 4 2 2 3 3 3 3" xfId="12887" xr:uid="{00000000-0005-0000-0000-00000E330000}"/>
    <cellStyle name="Standard 4 2 2 3 3 3 3 2" xfId="12888" xr:uid="{00000000-0005-0000-0000-00000F330000}"/>
    <cellStyle name="Standard 4 2 2 3 3 3 3 2 2" xfId="12889" xr:uid="{00000000-0005-0000-0000-000010330000}"/>
    <cellStyle name="Standard 4 2 2 3 3 3 3 2 3" xfId="12890" xr:uid="{00000000-0005-0000-0000-000011330000}"/>
    <cellStyle name="Standard 4 2 2 3 3 3 3 3" xfId="12891" xr:uid="{00000000-0005-0000-0000-000012330000}"/>
    <cellStyle name="Standard 4 2 2 3 3 3 3 3 2" xfId="12892" xr:uid="{00000000-0005-0000-0000-000013330000}"/>
    <cellStyle name="Standard 4 2 2 3 3 3 3 3 3" xfId="12893" xr:uid="{00000000-0005-0000-0000-000014330000}"/>
    <cellStyle name="Standard 4 2 2 3 3 3 3 4" xfId="12894" xr:uid="{00000000-0005-0000-0000-000015330000}"/>
    <cellStyle name="Standard 4 2 2 3 3 3 3 4 2" xfId="12895" xr:uid="{00000000-0005-0000-0000-000016330000}"/>
    <cellStyle name="Standard 4 2 2 3 3 3 3 5" xfId="12896" xr:uid="{00000000-0005-0000-0000-000017330000}"/>
    <cellStyle name="Standard 4 2 2 3 3 3 3 6" xfId="12897" xr:uid="{00000000-0005-0000-0000-000018330000}"/>
    <cellStyle name="Standard 4 2 2 3 3 3 4" xfId="12898" xr:uid="{00000000-0005-0000-0000-000019330000}"/>
    <cellStyle name="Standard 4 2 2 3 3 3 4 2" xfId="12899" xr:uid="{00000000-0005-0000-0000-00001A330000}"/>
    <cellStyle name="Standard 4 2 2 3 3 3 4 3" xfId="12900" xr:uid="{00000000-0005-0000-0000-00001B330000}"/>
    <cellStyle name="Standard 4 2 2 3 3 3 5" xfId="12901" xr:uid="{00000000-0005-0000-0000-00001C330000}"/>
    <cellStyle name="Standard 4 2 2 3 3 3 5 2" xfId="12902" xr:uid="{00000000-0005-0000-0000-00001D330000}"/>
    <cellStyle name="Standard 4 2 2 3 3 3 5 3" xfId="12903" xr:uid="{00000000-0005-0000-0000-00001E330000}"/>
    <cellStyle name="Standard 4 2 2 3 3 3 6" xfId="12904" xr:uid="{00000000-0005-0000-0000-00001F330000}"/>
    <cellStyle name="Standard 4 2 2 3 3 3 6 2" xfId="12905" xr:uid="{00000000-0005-0000-0000-000020330000}"/>
    <cellStyle name="Standard 4 2 2 3 3 3 7" xfId="12906" xr:uid="{00000000-0005-0000-0000-000021330000}"/>
    <cellStyle name="Standard 4 2 2 3 3 3 8" xfId="12907" xr:uid="{00000000-0005-0000-0000-000022330000}"/>
    <cellStyle name="Standard 4 2 2 3 3 4" xfId="12908" xr:uid="{00000000-0005-0000-0000-000023330000}"/>
    <cellStyle name="Standard 4 2 2 3 3 4 2" xfId="12909" xr:uid="{00000000-0005-0000-0000-000024330000}"/>
    <cellStyle name="Standard 4 2 2 3 3 4 2 2" xfId="12910" xr:uid="{00000000-0005-0000-0000-000025330000}"/>
    <cellStyle name="Standard 4 2 2 3 3 4 2 2 2" xfId="12911" xr:uid="{00000000-0005-0000-0000-000026330000}"/>
    <cellStyle name="Standard 4 2 2 3 3 4 2 2 2 2" xfId="12912" xr:uid="{00000000-0005-0000-0000-000027330000}"/>
    <cellStyle name="Standard 4 2 2 3 3 4 2 2 2 3" xfId="12913" xr:uid="{00000000-0005-0000-0000-000028330000}"/>
    <cellStyle name="Standard 4 2 2 3 3 4 2 2 3" xfId="12914" xr:uid="{00000000-0005-0000-0000-000029330000}"/>
    <cellStyle name="Standard 4 2 2 3 3 4 2 2 3 2" xfId="12915" xr:uid="{00000000-0005-0000-0000-00002A330000}"/>
    <cellStyle name="Standard 4 2 2 3 3 4 2 2 3 3" xfId="12916" xr:uid="{00000000-0005-0000-0000-00002B330000}"/>
    <cellStyle name="Standard 4 2 2 3 3 4 2 2 4" xfId="12917" xr:uid="{00000000-0005-0000-0000-00002C330000}"/>
    <cellStyle name="Standard 4 2 2 3 3 4 2 2 4 2" xfId="12918" xr:uid="{00000000-0005-0000-0000-00002D330000}"/>
    <cellStyle name="Standard 4 2 2 3 3 4 2 2 5" xfId="12919" xr:uid="{00000000-0005-0000-0000-00002E330000}"/>
    <cellStyle name="Standard 4 2 2 3 3 4 2 2 6" xfId="12920" xr:uid="{00000000-0005-0000-0000-00002F330000}"/>
    <cellStyle name="Standard 4 2 2 3 3 4 2 3" xfId="12921" xr:uid="{00000000-0005-0000-0000-000030330000}"/>
    <cellStyle name="Standard 4 2 2 3 3 4 2 3 2" xfId="12922" xr:uid="{00000000-0005-0000-0000-000031330000}"/>
    <cellStyle name="Standard 4 2 2 3 3 4 2 3 3" xfId="12923" xr:uid="{00000000-0005-0000-0000-000032330000}"/>
    <cellStyle name="Standard 4 2 2 3 3 4 2 4" xfId="12924" xr:uid="{00000000-0005-0000-0000-000033330000}"/>
    <cellStyle name="Standard 4 2 2 3 3 4 2 4 2" xfId="12925" xr:uid="{00000000-0005-0000-0000-000034330000}"/>
    <cellStyle name="Standard 4 2 2 3 3 4 2 4 3" xfId="12926" xr:uid="{00000000-0005-0000-0000-000035330000}"/>
    <cellStyle name="Standard 4 2 2 3 3 4 2 5" xfId="12927" xr:uid="{00000000-0005-0000-0000-000036330000}"/>
    <cellStyle name="Standard 4 2 2 3 3 4 2 5 2" xfId="12928" xr:uid="{00000000-0005-0000-0000-000037330000}"/>
    <cellStyle name="Standard 4 2 2 3 3 4 2 6" xfId="12929" xr:uid="{00000000-0005-0000-0000-000038330000}"/>
    <cellStyle name="Standard 4 2 2 3 3 4 2 7" xfId="12930" xr:uid="{00000000-0005-0000-0000-000039330000}"/>
    <cellStyle name="Standard 4 2 2 3 3 4 3" xfId="12931" xr:uid="{00000000-0005-0000-0000-00003A330000}"/>
    <cellStyle name="Standard 4 2 2 3 3 4 3 2" xfId="12932" xr:uid="{00000000-0005-0000-0000-00003B330000}"/>
    <cellStyle name="Standard 4 2 2 3 3 4 3 2 2" xfId="12933" xr:uid="{00000000-0005-0000-0000-00003C330000}"/>
    <cellStyle name="Standard 4 2 2 3 3 4 3 2 3" xfId="12934" xr:uid="{00000000-0005-0000-0000-00003D330000}"/>
    <cellStyle name="Standard 4 2 2 3 3 4 3 3" xfId="12935" xr:uid="{00000000-0005-0000-0000-00003E330000}"/>
    <cellStyle name="Standard 4 2 2 3 3 4 3 3 2" xfId="12936" xr:uid="{00000000-0005-0000-0000-00003F330000}"/>
    <cellStyle name="Standard 4 2 2 3 3 4 3 3 3" xfId="12937" xr:uid="{00000000-0005-0000-0000-000040330000}"/>
    <cellStyle name="Standard 4 2 2 3 3 4 3 4" xfId="12938" xr:uid="{00000000-0005-0000-0000-000041330000}"/>
    <cellStyle name="Standard 4 2 2 3 3 4 3 4 2" xfId="12939" xr:uid="{00000000-0005-0000-0000-000042330000}"/>
    <cellStyle name="Standard 4 2 2 3 3 4 3 5" xfId="12940" xr:uid="{00000000-0005-0000-0000-000043330000}"/>
    <cellStyle name="Standard 4 2 2 3 3 4 3 6" xfId="12941" xr:uid="{00000000-0005-0000-0000-000044330000}"/>
    <cellStyle name="Standard 4 2 2 3 3 4 4" xfId="12942" xr:uid="{00000000-0005-0000-0000-000045330000}"/>
    <cellStyle name="Standard 4 2 2 3 3 4 4 2" xfId="12943" xr:uid="{00000000-0005-0000-0000-000046330000}"/>
    <cellStyle name="Standard 4 2 2 3 3 4 4 3" xfId="12944" xr:uid="{00000000-0005-0000-0000-000047330000}"/>
    <cellStyle name="Standard 4 2 2 3 3 4 5" xfId="12945" xr:uid="{00000000-0005-0000-0000-000048330000}"/>
    <cellStyle name="Standard 4 2 2 3 3 4 5 2" xfId="12946" xr:uid="{00000000-0005-0000-0000-000049330000}"/>
    <cellStyle name="Standard 4 2 2 3 3 4 5 3" xfId="12947" xr:uid="{00000000-0005-0000-0000-00004A330000}"/>
    <cellStyle name="Standard 4 2 2 3 3 4 6" xfId="12948" xr:uid="{00000000-0005-0000-0000-00004B330000}"/>
    <cellStyle name="Standard 4 2 2 3 3 4 6 2" xfId="12949" xr:uid="{00000000-0005-0000-0000-00004C330000}"/>
    <cellStyle name="Standard 4 2 2 3 3 4 7" xfId="12950" xr:uid="{00000000-0005-0000-0000-00004D330000}"/>
    <cellStyle name="Standard 4 2 2 3 3 4 8" xfId="12951" xr:uid="{00000000-0005-0000-0000-00004E330000}"/>
    <cellStyle name="Standard 4 2 2 3 3 5" xfId="12952" xr:uid="{00000000-0005-0000-0000-00004F330000}"/>
    <cellStyle name="Standard 4 2 2 3 3 5 2" xfId="12953" xr:uid="{00000000-0005-0000-0000-000050330000}"/>
    <cellStyle name="Standard 4 2 2 3 3 5 2 2" xfId="12954" xr:uid="{00000000-0005-0000-0000-000051330000}"/>
    <cellStyle name="Standard 4 2 2 3 3 5 2 2 2" xfId="12955" xr:uid="{00000000-0005-0000-0000-000052330000}"/>
    <cellStyle name="Standard 4 2 2 3 3 5 2 2 3" xfId="12956" xr:uid="{00000000-0005-0000-0000-000053330000}"/>
    <cellStyle name="Standard 4 2 2 3 3 5 2 3" xfId="12957" xr:uid="{00000000-0005-0000-0000-000054330000}"/>
    <cellStyle name="Standard 4 2 2 3 3 5 2 3 2" xfId="12958" xr:uid="{00000000-0005-0000-0000-000055330000}"/>
    <cellStyle name="Standard 4 2 2 3 3 5 2 3 3" xfId="12959" xr:uid="{00000000-0005-0000-0000-000056330000}"/>
    <cellStyle name="Standard 4 2 2 3 3 5 2 4" xfId="12960" xr:uid="{00000000-0005-0000-0000-000057330000}"/>
    <cellStyle name="Standard 4 2 2 3 3 5 2 4 2" xfId="12961" xr:uid="{00000000-0005-0000-0000-000058330000}"/>
    <cellStyle name="Standard 4 2 2 3 3 5 2 5" xfId="12962" xr:uid="{00000000-0005-0000-0000-000059330000}"/>
    <cellStyle name="Standard 4 2 2 3 3 5 2 6" xfId="12963" xr:uid="{00000000-0005-0000-0000-00005A330000}"/>
    <cellStyle name="Standard 4 2 2 3 3 5 3" xfId="12964" xr:uid="{00000000-0005-0000-0000-00005B330000}"/>
    <cellStyle name="Standard 4 2 2 3 3 5 3 2" xfId="12965" xr:uid="{00000000-0005-0000-0000-00005C330000}"/>
    <cellStyle name="Standard 4 2 2 3 3 5 3 3" xfId="12966" xr:uid="{00000000-0005-0000-0000-00005D330000}"/>
    <cellStyle name="Standard 4 2 2 3 3 5 4" xfId="12967" xr:uid="{00000000-0005-0000-0000-00005E330000}"/>
    <cellStyle name="Standard 4 2 2 3 3 5 4 2" xfId="12968" xr:uid="{00000000-0005-0000-0000-00005F330000}"/>
    <cellStyle name="Standard 4 2 2 3 3 5 4 3" xfId="12969" xr:uid="{00000000-0005-0000-0000-000060330000}"/>
    <cellStyle name="Standard 4 2 2 3 3 5 5" xfId="12970" xr:uid="{00000000-0005-0000-0000-000061330000}"/>
    <cellStyle name="Standard 4 2 2 3 3 5 5 2" xfId="12971" xr:uid="{00000000-0005-0000-0000-000062330000}"/>
    <cellStyle name="Standard 4 2 2 3 3 5 6" xfId="12972" xr:uid="{00000000-0005-0000-0000-000063330000}"/>
    <cellStyle name="Standard 4 2 2 3 3 5 7" xfId="12973" xr:uid="{00000000-0005-0000-0000-000064330000}"/>
    <cellStyle name="Standard 4 2 2 3 3 6" xfId="12974" xr:uid="{00000000-0005-0000-0000-000065330000}"/>
    <cellStyle name="Standard 4 2 2 3 3 6 2" xfId="12975" xr:uid="{00000000-0005-0000-0000-000066330000}"/>
    <cellStyle name="Standard 4 2 2 3 3 6 2 2" xfId="12976" xr:uid="{00000000-0005-0000-0000-000067330000}"/>
    <cellStyle name="Standard 4 2 2 3 3 6 2 3" xfId="12977" xr:uid="{00000000-0005-0000-0000-000068330000}"/>
    <cellStyle name="Standard 4 2 2 3 3 6 3" xfId="12978" xr:uid="{00000000-0005-0000-0000-000069330000}"/>
    <cellStyle name="Standard 4 2 2 3 3 6 3 2" xfId="12979" xr:uid="{00000000-0005-0000-0000-00006A330000}"/>
    <cellStyle name="Standard 4 2 2 3 3 6 3 3" xfId="12980" xr:uid="{00000000-0005-0000-0000-00006B330000}"/>
    <cellStyle name="Standard 4 2 2 3 3 6 4" xfId="12981" xr:uid="{00000000-0005-0000-0000-00006C330000}"/>
    <cellStyle name="Standard 4 2 2 3 3 6 4 2" xfId="12982" xr:uid="{00000000-0005-0000-0000-00006D330000}"/>
    <cellStyle name="Standard 4 2 2 3 3 6 5" xfId="12983" xr:uid="{00000000-0005-0000-0000-00006E330000}"/>
    <cellStyle name="Standard 4 2 2 3 3 6 6" xfId="12984" xr:uid="{00000000-0005-0000-0000-00006F330000}"/>
    <cellStyle name="Standard 4 2 2 3 3 7" xfId="12985" xr:uid="{00000000-0005-0000-0000-000070330000}"/>
    <cellStyle name="Standard 4 2 2 3 3 7 2" xfId="12986" xr:uid="{00000000-0005-0000-0000-000071330000}"/>
    <cellStyle name="Standard 4 2 2 3 3 7 3" xfId="12987" xr:uid="{00000000-0005-0000-0000-000072330000}"/>
    <cellStyle name="Standard 4 2 2 3 3 8" xfId="12988" xr:uid="{00000000-0005-0000-0000-000073330000}"/>
    <cellStyle name="Standard 4 2 2 3 3 8 2" xfId="12989" xr:uid="{00000000-0005-0000-0000-000074330000}"/>
    <cellStyle name="Standard 4 2 2 3 3 8 3" xfId="12990" xr:uid="{00000000-0005-0000-0000-000075330000}"/>
    <cellStyle name="Standard 4 2 2 3 3 9" xfId="12991" xr:uid="{00000000-0005-0000-0000-000076330000}"/>
    <cellStyle name="Standard 4 2 2 3 3 9 2" xfId="12992" xr:uid="{00000000-0005-0000-0000-000077330000}"/>
    <cellStyle name="Standard 4 2 2 3 4" xfId="12993" xr:uid="{00000000-0005-0000-0000-000078330000}"/>
    <cellStyle name="Standard 4 2 2 3 4 10" xfId="12994" xr:uid="{00000000-0005-0000-0000-000079330000}"/>
    <cellStyle name="Standard 4 2 2 3 4 2" xfId="12995" xr:uid="{00000000-0005-0000-0000-00007A330000}"/>
    <cellStyle name="Standard 4 2 2 3 4 2 2" xfId="12996" xr:uid="{00000000-0005-0000-0000-00007B330000}"/>
    <cellStyle name="Standard 4 2 2 3 4 2 2 2" xfId="12997" xr:uid="{00000000-0005-0000-0000-00007C330000}"/>
    <cellStyle name="Standard 4 2 2 3 4 2 2 2 2" xfId="12998" xr:uid="{00000000-0005-0000-0000-00007D330000}"/>
    <cellStyle name="Standard 4 2 2 3 4 2 2 2 2 2" xfId="12999" xr:uid="{00000000-0005-0000-0000-00007E330000}"/>
    <cellStyle name="Standard 4 2 2 3 4 2 2 2 2 3" xfId="13000" xr:uid="{00000000-0005-0000-0000-00007F330000}"/>
    <cellStyle name="Standard 4 2 2 3 4 2 2 2 3" xfId="13001" xr:uid="{00000000-0005-0000-0000-000080330000}"/>
    <cellStyle name="Standard 4 2 2 3 4 2 2 2 3 2" xfId="13002" xr:uid="{00000000-0005-0000-0000-000081330000}"/>
    <cellStyle name="Standard 4 2 2 3 4 2 2 2 3 3" xfId="13003" xr:uid="{00000000-0005-0000-0000-000082330000}"/>
    <cellStyle name="Standard 4 2 2 3 4 2 2 2 4" xfId="13004" xr:uid="{00000000-0005-0000-0000-000083330000}"/>
    <cellStyle name="Standard 4 2 2 3 4 2 2 2 4 2" xfId="13005" xr:uid="{00000000-0005-0000-0000-000084330000}"/>
    <cellStyle name="Standard 4 2 2 3 4 2 2 2 5" xfId="13006" xr:uid="{00000000-0005-0000-0000-000085330000}"/>
    <cellStyle name="Standard 4 2 2 3 4 2 2 2 6" xfId="13007" xr:uid="{00000000-0005-0000-0000-000086330000}"/>
    <cellStyle name="Standard 4 2 2 3 4 2 2 3" xfId="13008" xr:uid="{00000000-0005-0000-0000-000087330000}"/>
    <cellStyle name="Standard 4 2 2 3 4 2 2 3 2" xfId="13009" xr:uid="{00000000-0005-0000-0000-000088330000}"/>
    <cellStyle name="Standard 4 2 2 3 4 2 2 3 3" xfId="13010" xr:uid="{00000000-0005-0000-0000-000089330000}"/>
    <cellStyle name="Standard 4 2 2 3 4 2 2 4" xfId="13011" xr:uid="{00000000-0005-0000-0000-00008A330000}"/>
    <cellStyle name="Standard 4 2 2 3 4 2 2 4 2" xfId="13012" xr:uid="{00000000-0005-0000-0000-00008B330000}"/>
    <cellStyle name="Standard 4 2 2 3 4 2 2 4 3" xfId="13013" xr:uid="{00000000-0005-0000-0000-00008C330000}"/>
    <cellStyle name="Standard 4 2 2 3 4 2 2 5" xfId="13014" xr:uid="{00000000-0005-0000-0000-00008D330000}"/>
    <cellStyle name="Standard 4 2 2 3 4 2 2 5 2" xfId="13015" xr:uid="{00000000-0005-0000-0000-00008E330000}"/>
    <cellStyle name="Standard 4 2 2 3 4 2 2 6" xfId="13016" xr:uid="{00000000-0005-0000-0000-00008F330000}"/>
    <cellStyle name="Standard 4 2 2 3 4 2 2 7" xfId="13017" xr:uid="{00000000-0005-0000-0000-000090330000}"/>
    <cellStyle name="Standard 4 2 2 3 4 2 3" xfId="13018" xr:uid="{00000000-0005-0000-0000-000091330000}"/>
    <cellStyle name="Standard 4 2 2 3 4 2 3 2" xfId="13019" xr:uid="{00000000-0005-0000-0000-000092330000}"/>
    <cellStyle name="Standard 4 2 2 3 4 2 3 2 2" xfId="13020" xr:uid="{00000000-0005-0000-0000-000093330000}"/>
    <cellStyle name="Standard 4 2 2 3 4 2 3 2 3" xfId="13021" xr:uid="{00000000-0005-0000-0000-000094330000}"/>
    <cellStyle name="Standard 4 2 2 3 4 2 3 3" xfId="13022" xr:uid="{00000000-0005-0000-0000-000095330000}"/>
    <cellStyle name="Standard 4 2 2 3 4 2 3 3 2" xfId="13023" xr:uid="{00000000-0005-0000-0000-000096330000}"/>
    <cellStyle name="Standard 4 2 2 3 4 2 3 3 3" xfId="13024" xr:uid="{00000000-0005-0000-0000-000097330000}"/>
    <cellStyle name="Standard 4 2 2 3 4 2 3 4" xfId="13025" xr:uid="{00000000-0005-0000-0000-000098330000}"/>
    <cellStyle name="Standard 4 2 2 3 4 2 3 4 2" xfId="13026" xr:uid="{00000000-0005-0000-0000-000099330000}"/>
    <cellStyle name="Standard 4 2 2 3 4 2 3 5" xfId="13027" xr:uid="{00000000-0005-0000-0000-00009A330000}"/>
    <cellStyle name="Standard 4 2 2 3 4 2 3 6" xfId="13028" xr:uid="{00000000-0005-0000-0000-00009B330000}"/>
    <cellStyle name="Standard 4 2 2 3 4 2 4" xfId="13029" xr:uid="{00000000-0005-0000-0000-00009C330000}"/>
    <cellStyle name="Standard 4 2 2 3 4 2 4 2" xfId="13030" xr:uid="{00000000-0005-0000-0000-00009D330000}"/>
    <cellStyle name="Standard 4 2 2 3 4 2 4 3" xfId="13031" xr:uid="{00000000-0005-0000-0000-00009E330000}"/>
    <cellStyle name="Standard 4 2 2 3 4 2 5" xfId="13032" xr:uid="{00000000-0005-0000-0000-00009F330000}"/>
    <cellStyle name="Standard 4 2 2 3 4 2 5 2" xfId="13033" xr:uid="{00000000-0005-0000-0000-0000A0330000}"/>
    <cellStyle name="Standard 4 2 2 3 4 2 5 3" xfId="13034" xr:uid="{00000000-0005-0000-0000-0000A1330000}"/>
    <cellStyle name="Standard 4 2 2 3 4 2 6" xfId="13035" xr:uid="{00000000-0005-0000-0000-0000A2330000}"/>
    <cellStyle name="Standard 4 2 2 3 4 2 6 2" xfId="13036" xr:uid="{00000000-0005-0000-0000-0000A3330000}"/>
    <cellStyle name="Standard 4 2 2 3 4 2 7" xfId="13037" xr:uid="{00000000-0005-0000-0000-0000A4330000}"/>
    <cellStyle name="Standard 4 2 2 3 4 2 8" xfId="13038" xr:uid="{00000000-0005-0000-0000-0000A5330000}"/>
    <cellStyle name="Standard 4 2 2 3 4 3" xfId="13039" xr:uid="{00000000-0005-0000-0000-0000A6330000}"/>
    <cellStyle name="Standard 4 2 2 3 4 3 2" xfId="13040" xr:uid="{00000000-0005-0000-0000-0000A7330000}"/>
    <cellStyle name="Standard 4 2 2 3 4 3 2 2" xfId="13041" xr:uid="{00000000-0005-0000-0000-0000A8330000}"/>
    <cellStyle name="Standard 4 2 2 3 4 3 2 2 2" xfId="13042" xr:uid="{00000000-0005-0000-0000-0000A9330000}"/>
    <cellStyle name="Standard 4 2 2 3 4 3 2 2 2 2" xfId="13043" xr:uid="{00000000-0005-0000-0000-0000AA330000}"/>
    <cellStyle name="Standard 4 2 2 3 4 3 2 2 2 3" xfId="13044" xr:uid="{00000000-0005-0000-0000-0000AB330000}"/>
    <cellStyle name="Standard 4 2 2 3 4 3 2 2 3" xfId="13045" xr:uid="{00000000-0005-0000-0000-0000AC330000}"/>
    <cellStyle name="Standard 4 2 2 3 4 3 2 2 3 2" xfId="13046" xr:uid="{00000000-0005-0000-0000-0000AD330000}"/>
    <cellStyle name="Standard 4 2 2 3 4 3 2 2 3 3" xfId="13047" xr:uid="{00000000-0005-0000-0000-0000AE330000}"/>
    <cellStyle name="Standard 4 2 2 3 4 3 2 2 4" xfId="13048" xr:uid="{00000000-0005-0000-0000-0000AF330000}"/>
    <cellStyle name="Standard 4 2 2 3 4 3 2 2 4 2" xfId="13049" xr:uid="{00000000-0005-0000-0000-0000B0330000}"/>
    <cellStyle name="Standard 4 2 2 3 4 3 2 2 5" xfId="13050" xr:uid="{00000000-0005-0000-0000-0000B1330000}"/>
    <cellStyle name="Standard 4 2 2 3 4 3 2 2 6" xfId="13051" xr:uid="{00000000-0005-0000-0000-0000B2330000}"/>
    <cellStyle name="Standard 4 2 2 3 4 3 2 3" xfId="13052" xr:uid="{00000000-0005-0000-0000-0000B3330000}"/>
    <cellStyle name="Standard 4 2 2 3 4 3 2 3 2" xfId="13053" xr:uid="{00000000-0005-0000-0000-0000B4330000}"/>
    <cellStyle name="Standard 4 2 2 3 4 3 2 3 3" xfId="13054" xr:uid="{00000000-0005-0000-0000-0000B5330000}"/>
    <cellStyle name="Standard 4 2 2 3 4 3 2 4" xfId="13055" xr:uid="{00000000-0005-0000-0000-0000B6330000}"/>
    <cellStyle name="Standard 4 2 2 3 4 3 2 4 2" xfId="13056" xr:uid="{00000000-0005-0000-0000-0000B7330000}"/>
    <cellStyle name="Standard 4 2 2 3 4 3 2 4 3" xfId="13057" xr:uid="{00000000-0005-0000-0000-0000B8330000}"/>
    <cellStyle name="Standard 4 2 2 3 4 3 2 5" xfId="13058" xr:uid="{00000000-0005-0000-0000-0000B9330000}"/>
    <cellStyle name="Standard 4 2 2 3 4 3 2 5 2" xfId="13059" xr:uid="{00000000-0005-0000-0000-0000BA330000}"/>
    <cellStyle name="Standard 4 2 2 3 4 3 2 6" xfId="13060" xr:uid="{00000000-0005-0000-0000-0000BB330000}"/>
    <cellStyle name="Standard 4 2 2 3 4 3 2 7" xfId="13061" xr:uid="{00000000-0005-0000-0000-0000BC330000}"/>
    <cellStyle name="Standard 4 2 2 3 4 3 3" xfId="13062" xr:uid="{00000000-0005-0000-0000-0000BD330000}"/>
    <cellStyle name="Standard 4 2 2 3 4 3 3 2" xfId="13063" xr:uid="{00000000-0005-0000-0000-0000BE330000}"/>
    <cellStyle name="Standard 4 2 2 3 4 3 3 2 2" xfId="13064" xr:uid="{00000000-0005-0000-0000-0000BF330000}"/>
    <cellStyle name="Standard 4 2 2 3 4 3 3 2 3" xfId="13065" xr:uid="{00000000-0005-0000-0000-0000C0330000}"/>
    <cellStyle name="Standard 4 2 2 3 4 3 3 3" xfId="13066" xr:uid="{00000000-0005-0000-0000-0000C1330000}"/>
    <cellStyle name="Standard 4 2 2 3 4 3 3 3 2" xfId="13067" xr:uid="{00000000-0005-0000-0000-0000C2330000}"/>
    <cellStyle name="Standard 4 2 2 3 4 3 3 3 3" xfId="13068" xr:uid="{00000000-0005-0000-0000-0000C3330000}"/>
    <cellStyle name="Standard 4 2 2 3 4 3 3 4" xfId="13069" xr:uid="{00000000-0005-0000-0000-0000C4330000}"/>
    <cellStyle name="Standard 4 2 2 3 4 3 3 4 2" xfId="13070" xr:uid="{00000000-0005-0000-0000-0000C5330000}"/>
    <cellStyle name="Standard 4 2 2 3 4 3 3 5" xfId="13071" xr:uid="{00000000-0005-0000-0000-0000C6330000}"/>
    <cellStyle name="Standard 4 2 2 3 4 3 3 6" xfId="13072" xr:uid="{00000000-0005-0000-0000-0000C7330000}"/>
    <cellStyle name="Standard 4 2 2 3 4 3 4" xfId="13073" xr:uid="{00000000-0005-0000-0000-0000C8330000}"/>
    <cellStyle name="Standard 4 2 2 3 4 3 4 2" xfId="13074" xr:uid="{00000000-0005-0000-0000-0000C9330000}"/>
    <cellStyle name="Standard 4 2 2 3 4 3 4 3" xfId="13075" xr:uid="{00000000-0005-0000-0000-0000CA330000}"/>
    <cellStyle name="Standard 4 2 2 3 4 3 5" xfId="13076" xr:uid="{00000000-0005-0000-0000-0000CB330000}"/>
    <cellStyle name="Standard 4 2 2 3 4 3 5 2" xfId="13077" xr:uid="{00000000-0005-0000-0000-0000CC330000}"/>
    <cellStyle name="Standard 4 2 2 3 4 3 5 3" xfId="13078" xr:uid="{00000000-0005-0000-0000-0000CD330000}"/>
    <cellStyle name="Standard 4 2 2 3 4 3 6" xfId="13079" xr:uid="{00000000-0005-0000-0000-0000CE330000}"/>
    <cellStyle name="Standard 4 2 2 3 4 3 6 2" xfId="13080" xr:uid="{00000000-0005-0000-0000-0000CF330000}"/>
    <cellStyle name="Standard 4 2 2 3 4 3 7" xfId="13081" xr:uid="{00000000-0005-0000-0000-0000D0330000}"/>
    <cellStyle name="Standard 4 2 2 3 4 3 8" xfId="13082" xr:uid="{00000000-0005-0000-0000-0000D1330000}"/>
    <cellStyle name="Standard 4 2 2 3 4 4" xfId="13083" xr:uid="{00000000-0005-0000-0000-0000D2330000}"/>
    <cellStyle name="Standard 4 2 2 3 4 4 2" xfId="13084" xr:uid="{00000000-0005-0000-0000-0000D3330000}"/>
    <cellStyle name="Standard 4 2 2 3 4 4 2 2" xfId="13085" xr:uid="{00000000-0005-0000-0000-0000D4330000}"/>
    <cellStyle name="Standard 4 2 2 3 4 4 2 2 2" xfId="13086" xr:uid="{00000000-0005-0000-0000-0000D5330000}"/>
    <cellStyle name="Standard 4 2 2 3 4 4 2 2 3" xfId="13087" xr:uid="{00000000-0005-0000-0000-0000D6330000}"/>
    <cellStyle name="Standard 4 2 2 3 4 4 2 3" xfId="13088" xr:uid="{00000000-0005-0000-0000-0000D7330000}"/>
    <cellStyle name="Standard 4 2 2 3 4 4 2 3 2" xfId="13089" xr:uid="{00000000-0005-0000-0000-0000D8330000}"/>
    <cellStyle name="Standard 4 2 2 3 4 4 2 3 3" xfId="13090" xr:uid="{00000000-0005-0000-0000-0000D9330000}"/>
    <cellStyle name="Standard 4 2 2 3 4 4 2 4" xfId="13091" xr:uid="{00000000-0005-0000-0000-0000DA330000}"/>
    <cellStyle name="Standard 4 2 2 3 4 4 2 4 2" xfId="13092" xr:uid="{00000000-0005-0000-0000-0000DB330000}"/>
    <cellStyle name="Standard 4 2 2 3 4 4 2 5" xfId="13093" xr:uid="{00000000-0005-0000-0000-0000DC330000}"/>
    <cellStyle name="Standard 4 2 2 3 4 4 2 6" xfId="13094" xr:uid="{00000000-0005-0000-0000-0000DD330000}"/>
    <cellStyle name="Standard 4 2 2 3 4 4 3" xfId="13095" xr:uid="{00000000-0005-0000-0000-0000DE330000}"/>
    <cellStyle name="Standard 4 2 2 3 4 4 3 2" xfId="13096" xr:uid="{00000000-0005-0000-0000-0000DF330000}"/>
    <cellStyle name="Standard 4 2 2 3 4 4 3 3" xfId="13097" xr:uid="{00000000-0005-0000-0000-0000E0330000}"/>
    <cellStyle name="Standard 4 2 2 3 4 4 4" xfId="13098" xr:uid="{00000000-0005-0000-0000-0000E1330000}"/>
    <cellStyle name="Standard 4 2 2 3 4 4 4 2" xfId="13099" xr:uid="{00000000-0005-0000-0000-0000E2330000}"/>
    <cellStyle name="Standard 4 2 2 3 4 4 4 3" xfId="13100" xr:uid="{00000000-0005-0000-0000-0000E3330000}"/>
    <cellStyle name="Standard 4 2 2 3 4 4 5" xfId="13101" xr:uid="{00000000-0005-0000-0000-0000E4330000}"/>
    <cellStyle name="Standard 4 2 2 3 4 4 5 2" xfId="13102" xr:uid="{00000000-0005-0000-0000-0000E5330000}"/>
    <cellStyle name="Standard 4 2 2 3 4 4 6" xfId="13103" xr:uid="{00000000-0005-0000-0000-0000E6330000}"/>
    <cellStyle name="Standard 4 2 2 3 4 4 7" xfId="13104" xr:uid="{00000000-0005-0000-0000-0000E7330000}"/>
    <cellStyle name="Standard 4 2 2 3 4 5" xfId="13105" xr:uid="{00000000-0005-0000-0000-0000E8330000}"/>
    <cellStyle name="Standard 4 2 2 3 4 5 2" xfId="13106" xr:uid="{00000000-0005-0000-0000-0000E9330000}"/>
    <cellStyle name="Standard 4 2 2 3 4 5 2 2" xfId="13107" xr:uid="{00000000-0005-0000-0000-0000EA330000}"/>
    <cellStyle name="Standard 4 2 2 3 4 5 2 3" xfId="13108" xr:uid="{00000000-0005-0000-0000-0000EB330000}"/>
    <cellStyle name="Standard 4 2 2 3 4 5 3" xfId="13109" xr:uid="{00000000-0005-0000-0000-0000EC330000}"/>
    <cellStyle name="Standard 4 2 2 3 4 5 3 2" xfId="13110" xr:uid="{00000000-0005-0000-0000-0000ED330000}"/>
    <cellStyle name="Standard 4 2 2 3 4 5 3 3" xfId="13111" xr:uid="{00000000-0005-0000-0000-0000EE330000}"/>
    <cellStyle name="Standard 4 2 2 3 4 5 4" xfId="13112" xr:uid="{00000000-0005-0000-0000-0000EF330000}"/>
    <cellStyle name="Standard 4 2 2 3 4 5 4 2" xfId="13113" xr:uid="{00000000-0005-0000-0000-0000F0330000}"/>
    <cellStyle name="Standard 4 2 2 3 4 5 5" xfId="13114" xr:uid="{00000000-0005-0000-0000-0000F1330000}"/>
    <cellStyle name="Standard 4 2 2 3 4 5 6" xfId="13115" xr:uid="{00000000-0005-0000-0000-0000F2330000}"/>
    <cellStyle name="Standard 4 2 2 3 4 6" xfId="13116" xr:uid="{00000000-0005-0000-0000-0000F3330000}"/>
    <cellStyle name="Standard 4 2 2 3 4 6 2" xfId="13117" xr:uid="{00000000-0005-0000-0000-0000F4330000}"/>
    <cellStyle name="Standard 4 2 2 3 4 6 3" xfId="13118" xr:uid="{00000000-0005-0000-0000-0000F5330000}"/>
    <cellStyle name="Standard 4 2 2 3 4 7" xfId="13119" xr:uid="{00000000-0005-0000-0000-0000F6330000}"/>
    <cellStyle name="Standard 4 2 2 3 4 7 2" xfId="13120" xr:uid="{00000000-0005-0000-0000-0000F7330000}"/>
    <cellStyle name="Standard 4 2 2 3 4 7 3" xfId="13121" xr:uid="{00000000-0005-0000-0000-0000F8330000}"/>
    <cellStyle name="Standard 4 2 2 3 4 8" xfId="13122" xr:uid="{00000000-0005-0000-0000-0000F9330000}"/>
    <cellStyle name="Standard 4 2 2 3 4 8 2" xfId="13123" xr:uid="{00000000-0005-0000-0000-0000FA330000}"/>
    <cellStyle name="Standard 4 2 2 3 4 9" xfId="13124" xr:uid="{00000000-0005-0000-0000-0000FB330000}"/>
    <cellStyle name="Standard 4 2 2 3 5" xfId="13125" xr:uid="{00000000-0005-0000-0000-0000FC330000}"/>
    <cellStyle name="Standard 4 2 2 3 5 2" xfId="13126" xr:uid="{00000000-0005-0000-0000-0000FD330000}"/>
    <cellStyle name="Standard 4 2 2 3 5 2 2" xfId="13127" xr:uid="{00000000-0005-0000-0000-0000FE330000}"/>
    <cellStyle name="Standard 4 2 2 3 5 2 2 2" xfId="13128" xr:uid="{00000000-0005-0000-0000-0000FF330000}"/>
    <cellStyle name="Standard 4 2 2 3 5 2 2 2 2" xfId="13129" xr:uid="{00000000-0005-0000-0000-000000340000}"/>
    <cellStyle name="Standard 4 2 2 3 5 2 2 2 3" xfId="13130" xr:uid="{00000000-0005-0000-0000-000001340000}"/>
    <cellStyle name="Standard 4 2 2 3 5 2 2 3" xfId="13131" xr:uid="{00000000-0005-0000-0000-000002340000}"/>
    <cellStyle name="Standard 4 2 2 3 5 2 2 3 2" xfId="13132" xr:uid="{00000000-0005-0000-0000-000003340000}"/>
    <cellStyle name="Standard 4 2 2 3 5 2 2 3 3" xfId="13133" xr:uid="{00000000-0005-0000-0000-000004340000}"/>
    <cellStyle name="Standard 4 2 2 3 5 2 2 4" xfId="13134" xr:uid="{00000000-0005-0000-0000-000005340000}"/>
    <cellStyle name="Standard 4 2 2 3 5 2 2 4 2" xfId="13135" xr:uid="{00000000-0005-0000-0000-000006340000}"/>
    <cellStyle name="Standard 4 2 2 3 5 2 2 5" xfId="13136" xr:uid="{00000000-0005-0000-0000-000007340000}"/>
    <cellStyle name="Standard 4 2 2 3 5 2 2 6" xfId="13137" xr:uid="{00000000-0005-0000-0000-000008340000}"/>
    <cellStyle name="Standard 4 2 2 3 5 2 3" xfId="13138" xr:uid="{00000000-0005-0000-0000-000009340000}"/>
    <cellStyle name="Standard 4 2 2 3 5 2 3 2" xfId="13139" xr:uid="{00000000-0005-0000-0000-00000A340000}"/>
    <cellStyle name="Standard 4 2 2 3 5 2 3 3" xfId="13140" xr:uid="{00000000-0005-0000-0000-00000B340000}"/>
    <cellStyle name="Standard 4 2 2 3 5 2 4" xfId="13141" xr:uid="{00000000-0005-0000-0000-00000C340000}"/>
    <cellStyle name="Standard 4 2 2 3 5 2 4 2" xfId="13142" xr:uid="{00000000-0005-0000-0000-00000D340000}"/>
    <cellStyle name="Standard 4 2 2 3 5 2 4 3" xfId="13143" xr:uid="{00000000-0005-0000-0000-00000E340000}"/>
    <cellStyle name="Standard 4 2 2 3 5 2 5" xfId="13144" xr:uid="{00000000-0005-0000-0000-00000F340000}"/>
    <cellStyle name="Standard 4 2 2 3 5 2 5 2" xfId="13145" xr:uid="{00000000-0005-0000-0000-000010340000}"/>
    <cellStyle name="Standard 4 2 2 3 5 2 6" xfId="13146" xr:uid="{00000000-0005-0000-0000-000011340000}"/>
    <cellStyle name="Standard 4 2 2 3 5 2 7" xfId="13147" xr:uid="{00000000-0005-0000-0000-000012340000}"/>
    <cellStyle name="Standard 4 2 2 3 5 3" xfId="13148" xr:uid="{00000000-0005-0000-0000-000013340000}"/>
    <cellStyle name="Standard 4 2 2 3 5 3 2" xfId="13149" xr:uid="{00000000-0005-0000-0000-000014340000}"/>
    <cellStyle name="Standard 4 2 2 3 5 3 2 2" xfId="13150" xr:uid="{00000000-0005-0000-0000-000015340000}"/>
    <cellStyle name="Standard 4 2 2 3 5 3 2 3" xfId="13151" xr:uid="{00000000-0005-0000-0000-000016340000}"/>
    <cellStyle name="Standard 4 2 2 3 5 3 3" xfId="13152" xr:uid="{00000000-0005-0000-0000-000017340000}"/>
    <cellStyle name="Standard 4 2 2 3 5 3 3 2" xfId="13153" xr:uid="{00000000-0005-0000-0000-000018340000}"/>
    <cellStyle name="Standard 4 2 2 3 5 3 3 3" xfId="13154" xr:uid="{00000000-0005-0000-0000-000019340000}"/>
    <cellStyle name="Standard 4 2 2 3 5 3 4" xfId="13155" xr:uid="{00000000-0005-0000-0000-00001A340000}"/>
    <cellStyle name="Standard 4 2 2 3 5 3 4 2" xfId="13156" xr:uid="{00000000-0005-0000-0000-00001B340000}"/>
    <cellStyle name="Standard 4 2 2 3 5 3 5" xfId="13157" xr:uid="{00000000-0005-0000-0000-00001C340000}"/>
    <cellStyle name="Standard 4 2 2 3 5 3 6" xfId="13158" xr:uid="{00000000-0005-0000-0000-00001D340000}"/>
    <cellStyle name="Standard 4 2 2 3 5 4" xfId="13159" xr:uid="{00000000-0005-0000-0000-00001E340000}"/>
    <cellStyle name="Standard 4 2 2 3 5 4 2" xfId="13160" xr:uid="{00000000-0005-0000-0000-00001F340000}"/>
    <cellStyle name="Standard 4 2 2 3 5 4 3" xfId="13161" xr:uid="{00000000-0005-0000-0000-000020340000}"/>
    <cellStyle name="Standard 4 2 2 3 5 5" xfId="13162" xr:uid="{00000000-0005-0000-0000-000021340000}"/>
    <cellStyle name="Standard 4 2 2 3 5 5 2" xfId="13163" xr:uid="{00000000-0005-0000-0000-000022340000}"/>
    <cellStyle name="Standard 4 2 2 3 5 5 3" xfId="13164" xr:uid="{00000000-0005-0000-0000-000023340000}"/>
    <cellStyle name="Standard 4 2 2 3 5 6" xfId="13165" xr:uid="{00000000-0005-0000-0000-000024340000}"/>
    <cellStyle name="Standard 4 2 2 3 5 6 2" xfId="13166" xr:uid="{00000000-0005-0000-0000-000025340000}"/>
    <cellStyle name="Standard 4 2 2 3 5 7" xfId="13167" xr:uid="{00000000-0005-0000-0000-000026340000}"/>
    <cellStyle name="Standard 4 2 2 3 5 8" xfId="13168" xr:uid="{00000000-0005-0000-0000-000027340000}"/>
    <cellStyle name="Standard 4 2 2 3 6" xfId="13169" xr:uid="{00000000-0005-0000-0000-000028340000}"/>
    <cellStyle name="Standard 4 2 2 3 6 2" xfId="13170" xr:uid="{00000000-0005-0000-0000-000029340000}"/>
    <cellStyle name="Standard 4 2 2 3 6 2 2" xfId="13171" xr:uid="{00000000-0005-0000-0000-00002A340000}"/>
    <cellStyle name="Standard 4 2 2 3 6 2 2 2" xfId="13172" xr:uid="{00000000-0005-0000-0000-00002B340000}"/>
    <cellStyle name="Standard 4 2 2 3 6 2 2 2 2" xfId="13173" xr:uid="{00000000-0005-0000-0000-00002C340000}"/>
    <cellStyle name="Standard 4 2 2 3 6 2 2 2 3" xfId="13174" xr:uid="{00000000-0005-0000-0000-00002D340000}"/>
    <cellStyle name="Standard 4 2 2 3 6 2 2 3" xfId="13175" xr:uid="{00000000-0005-0000-0000-00002E340000}"/>
    <cellStyle name="Standard 4 2 2 3 6 2 2 3 2" xfId="13176" xr:uid="{00000000-0005-0000-0000-00002F340000}"/>
    <cellStyle name="Standard 4 2 2 3 6 2 2 3 3" xfId="13177" xr:uid="{00000000-0005-0000-0000-000030340000}"/>
    <cellStyle name="Standard 4 2 2 3 6 2 2 4" xfId="13178" xr:uid="{00000000-0005-0000-0000-000031340000}"/>
    <cellStyle name="Standard 4 2 2 3 6 2 2 4 2" xfId="13179" xr:uid="{00000000-0005-0000-0000-000032340000}"/>
    <cellStyle name="Standard 4 2 2 3 6 2 2 5" xfId="13180" xr:uid="{00000000-0005-0000-0000-000033340000}"/>
    <cellStyle name="Standard 4 2 2 3 6 2 2 6" xfId="13181" xr:uid="{00000000-0005-0000-0000-000034340000}"/>
    <cellStyle name="Standard 4 2 2 3 6 2 3" xfId="13182" xr:uid="{00000000-0005-0000-0000-000035340000}"/>
    <cellStyle name="Standard 4 2 2 3 6 2 3 2" xfId="13183" xr:uid="{00000000-0005-0000-0000-000036340000}"/>
    <cellStyle name="Standard 4 2 2 3 6 2 3 3" xfId="13184" xr:uid="{00000000-0005-0000-0000-000037340000}"/>
    <cellStyle name="Standard 4 2 2 3 6 2 4" xfId="13185" xr:uid="{00000000-0005-0000-0000-000038340000}"/>
    <cellStyle name="Standard 4 2 2 3 6 2 4 2" xfId="13186" xr:uid="{00000000-0005-0000-0000-000039340000}"/>
    <cellStyle name="Standard 4 2 2 3 6 2 4 3" xfId="13187" xr:uid="{00000000-0005-0000-0000-00003A340000}"/>
    <cellStyle name="Standard 4 2 2 3 6 2 5" xfId="13188" xr:uid="{00000000-0005-0000-0000-00003B340000}"/>
    <cellStyle name="Standard 4 2 2 3 6 2 5 2" xfId="13189" xr:uid="{00000000-0005-0000-0000-00003C340000}"/>
    <cellStyle name="Standard 4 2 2 3 6 2 6" xfId="13190" xr:uid="{00000000-0005-0000-0000-00003D340000}"/>
    <cellStyle name="Standard 4 2 2 3 6 2 7" xfId="13191" xr:uid="{00000000-0005-0000-0000-00003E340000}"/>
    <cellStyle name="Standard 4 2 2 3 6 3" xfId="13192" xr:uid="{00000000-0005-0000-0000-00003F340000}"/>
    <cellStyle name="Standard 4 2 2 3 6 3 2" xfId="13193" xr:uid="{00000000-0005-0000-0000-000040340000}"/>
    <cellStyle name="Standard 4 2 2 3 6 3 2 2" xfId="13194" xr:uid="{00000000-0005-0000-0000-000041340000}"/>
    <cellStyle name="Standard 4 2 2 3 6 3 2 3" xfId="13195" xr:uid="{00000000-0005-0000-0000-000042340000}"/>
    <cellStyle name="Standard 4 2 2 3 6 3 3" xfId="13196" xr:uid="{00000000-0005-0000-0000-000043340000}"/>
    <cellStyle name="Standard 4 2 2 3 6 3 3 2" xfId="13197" xr:uid="{00000000-0005-0000-0000-000044340000}"/>
    <cellStyle name="Standard 4 2 2 3 6 3 3 3" xfId="13198" xr:uid="{00000000-0005-0000-0000-000045340000}"/>
    <cellStyle name="Standard 4 2 2 3 6 3 4" xfId="13199" xr:uid="{00000000-0005-0000-0000-000046340000}"/>
    <cellStyle name="Standard 4 2 2 3 6 3 4 2" xfId="13200" xr:uid="{00000000-0005-0000-0000-000047340000}"/>
    <cellStyle name="Standard 4 2 2 3 6 3 5" xfId="13201" xr:uid="{00000000-0005-0000-0000-000048340000}"/>
    <cellStyle name="Standard 4 2 2 3 6 3 6" xfId="13202" xr:uid="{00000000-0005-0000-0000-000049340000}"/>
    <cellStyle name="Standard 4 2 2 3 6 4" xfId="13203" xr:uid="{00000000-0005-0000-0000-00004A340000}"/>
    <cellStyle name="Standard 4 2 2 3 6 4 2" xfId="13204" xr:uid="{00000000-0005-0000-0000-00004B340000}"/>
    <cellStyle name="Standard 4 2 2 3 6 4 3" xfId="13205" xr:uid="{00000000-0005-0000-0000-00004C340000}"/>
    <cellStyle name="Standard 4 2 2 3 6 5" xfId="13206" xr:uid="{00000000-0005-0000-0000-00004D340000}"/>
    <cellStyle name="Standard 4 2 2 3 6 5 2" xfId="13207" xr:uid="{00000000-0005-0000-0000-00004E340000}"/>
    <cellStyle name="Standard 4 2 2 3 6 5 3" xfId="13208" xr:uid="{00000000-0005-0000-0000-00004F340000}"/>
    <cellStyle name="Standard 4 2 2 3 6 6" xfId="13209" xr:uid="{00000000-0005-0000-0000-000050340000}"/>
    <cellStyle name="Standard 4 2 2 3 6 6 2" xfId="13210" xr:uid="{00000000-0005-0000-0000-000051340000}"/>
    <cellStyle name="Standard 4 2 2 3 6 7" xfId="13211" xr:uid="{00000000-0005-0000-0000-000052340000}"/>
    <cellStyle name="Standard 4 2 2 3 6 8" xfId="13212" xr:uid="{00000000-0005-0000-0000-000053340000}"/>
    <cellStyle name="Standard 4 2 2 3 7" xfId="13213" xr:uid="{00000000-0005-0000-0000-000054340000}"/>
    <cellStyle name="Standard 4 2 2 3 7 2" xfId="13214" xr:uid="{00000000-0005-0000-0000-000055340000}"/>
    <cellStyle name="Standard 4 2 2 3 7 2 2" xfId="13215" xr:uid="{00000000-0005-0000-0000-000056340000}"/>
    <cellStyle name="Standard 4 2 2 3 7 2 2 2" xfId="13216" xr:uid="{00000000-0005-0000-0000-000057340000}"/>
    <cellStyle name="Standard 4 2 2 3 7 2 2 3" xfId="13217" xr:uid="{00000000-0005-0000-0000-000058340000}"/>
    <cellStyle name="Standard 4 2 2 3 7 2 3" xfId="13218" xr:uid="{00000000-0005-0000-0000-000059340000}"/>
    <cellStyle name="Standard 4 2 2 3 7 2 3 2" xfId="13219" xr:uid="{00000000-0005-0000-0000-00005A340000}"/>
    <cellStyle name="Standard 4 2 2 3 7 2 3 3" xfId="13220" xr:uid="{00000000-0005-0000-0000-00005B340000}"/>
    <cellStyle name="Standard 4 2 2 3 7 2 4" xfId="13221" xr:uid="{00000000-0005-0000-0000-00005C340000}"/>
    <cellStyle name="Standard 4 2 2 3 7 2 4 2" xfId="13222" xr:uid="{00000000-0005-0000-0000-00005D340000}"/>
    <cellStyle name="Standard 4 2 2 3 7 2 5" xfId="13223" xr:uid="{00000000-0005-0000-0000-00005E340000}"/>
    <cellStyle name="Standard 4 2 2 3 7 2 6" xfId="13224" xr:uid="{00000000-0005-0000-0000-00005F340000}"/>
    <cellStyle name="Standard 4 2 2 3 7 3" xfId="13225" xr:uid="{00000000-0005-0000-0000-000060340000}"/>
    <cellStyle name="Standard 4 2 2 3 7 3 2" xfId="13226" xr:uid="{00000000-0005-0000-0000-000061340000}"/>
    <cellStyle name="Standard 4 2 2 3 7 3 3" xfId="13227" xr:uid="{00000000-0005-0000-0000-000062340000}"/>
    <cellStyle name="Standard 4 2 2 3 7 4" xfId="13228" xr:uid="{00000000-0005-0000-0000-000063340000}"/>
    <cellStyle name="Standard 4 2 2 3 7 4 2" xfId="13229" xr:uid="{00000000-0005-0000-0000-000064340000}"/>
    <cellStyle name="Standard 4 2 2 3 7 4 3" xfId="13230" xr:uid="{00000000-0005-0000-0000-000065340000}"/>
    <cellStyle name="Standard 4 2 2 3 7 5" xfId="13231" xr:uid="{00000000-0005-0000-0000-000066340000}"/>
    <cellStyle name="Standard 4 2 2 3 7 5 2" xfId="13232" xr:uid="{00000000-0005-0000-0000-000067340000}"/>
    <cellStyle name="Standard 4 2 2 3 7 6" xfId="13233" xr:uid="{00000000-0005-0000-0000-000068340000}"/>
    <cellStyle name="Standard 4 2 2 3 7 7" xfId="13234" xr:uid="{00000000-0005-0000-0000-000069340000}"/>
    <cellStyle name="Standard 4 2 2 3 8" xfId="13235" xr:uid="{00000000-0005-0000-0000-00006A340000}"/>
    <cellStyle name="Standard 4 2 2 3 8 2" xfId="13236" xr:uid="{00000000-0005-0000-0000-00006B340000}"/>
    <cellStyle name="Standard 4 2 2 3 8 2 2" xfId="13237" xr:uid="{00000000-0005-0000-0000-00006C340000}"/>
    <cellStyle name="Standard 4 2 2 3 8 2 3" xfId="13238" xr:uid="{00000000-0005-0000-0000-00006D340000}"/>
    <cellStyle name="Standard 4 2 2 3 8 3" xfId="13239" xr:uid="{00000000-0005-0000-0000-00006E340000}"/>
    <cellStyle name="Standard 4 2 2 3 8 3 2" xfId="13240" xr:uid="{00000000-0005-0000-0000-00006F340000}"/>
    <cellStyle name="Standard 4 2 2 3 8 3 3" xfId="13241" xr:uid="{00000000-0005-0000-0000-000070340000}"/>
    <cellStyle name="Standard 4 2 2 3 8 4" xfId="13242" xr:uid="{00000000-0005-0000-0000-000071340000}"/>
    <cellStyle name="Standard 4 2 2 3 8 4 2" xfId="13243" xr:uid="{00000000-0005-0000-0000-000072340000}"/>
    <cellStyle name="Standard 4 2 2 3 8 5" xfId="13244" xr:uid="{00000000-0005-0000-0000-000073340000}"/>
    <cellStyle name="Standard 4 2 2 3 8 6" xfId="13245" xr:uid="{00000000-0005-0000-0000-000074340000}"/>
    <cellStyle name="Standard 4 2 2 3 9" xfId="13246" xr:uid="{00000000-0005-0000-0000-000075340000}"/>
    <cellStyle name="Standard 4 2 2 3 9 2" xfId="13247" xr:uid="{00000000-0005-0000-0000-000076340000}"/>
    <cellStyle name="Standard 4 2 2 3 9 3" xfId="13248" xr:uid="{00000000-0005-0000-0000-000077340000}"/>
    <cellStyle name="Standard 4 2 2 4" xfId="13249" xr:uid="{00000000-0005-0000-0000-000078340000}"/>
    <cellStyle name="Standard 4 2 2 4 10" xfId="13250" xr:uid="{00000000-0005-0000-0000-000079340000}"/>
    <cellStyle name="Standard 4 2 2 4 10 2" xfId="13251" xr:uid="{00000000-0005-0000-0000-00007A340000}"/>
    <cellStyle name="Standard 4 2 2 4 11" xfId="13252" xr:uid="{00000000-0005-0000-0000-00007B340000}"/>
    <cellStyle name="Standard 4 2 2 4 12" xfId="13253" xr:uid="{00000000-0005-0000-0000-00007C340000}"/>
    <cellStyle name="Standard 4 2 2 4 2" xfId="13254" xr:uid="{00000000-0005-0000-0000-00007D340000}"/>
    <cellStyle name="Standard 4 2 2 4 2 10" xfId="13255" xr:uid="{00000000-0005-0000-0000-00007E340000}"/>
    <cellStyle name="Standard 4 2 2 4 2 11" xfId="13256" xr:uid="{00000000-0005-0000-0000-00007F340000}"/>
    <cellStyle name="Standard 4 2 2 4 2 2" xfId="13257" xr:uid="{00000000-0005-0000-0000-000080340000}"/>
    <cellStyle name="Standard 4 2 2 4 2 2 10" xfId="13258" xr:uid="{00000000-0005-0000-0000-000081340000}"/>
    <cellStyle name="Standard 4 2 2 4 2 2 2" xfId="13259" xr:uid="{00000000-0005-0000-0000-000082340000}"/>
    <cellStyle name="Standard 4 2 2 4 2 2 2 2" xfId="13260" xr:uid="{00000000-0005-0000-0000-000083340000}"/>
    <cellStyle name="Standard 4 2 2 4 2 2 2 2 2" xfId="13261" xr:uid="{00000000-0005-0000-0000-000084340000}"/>
    <cellStyle name="Standard 4 2 2 4 2 2 2 2 2 2" xfId="13262" xr:uid="{00000000-0005-0000-0000-000085340000}"/>
    <cellStyle name="Standard 4 2 2 4 2 2 2 2 2 2 2" xfId="13263" xr:uid="{00000000-0005-0000-0000-000086340000}"/>
    <cellStyle name="Standard 4 2 2 4 2 2 2 2 2 2 3" xfId="13264" xr:uid="{00000000-0005-0000-0000-000087340000}"/>
    <cellStyle name="Standard 4 2 2 4 2 2 2 2 2 3" xfId="13265" xr:uid="{00000000-0005-0000-0000-000088340000}"/>
    <cellStyle name="Standard 4 2 2 4 2 2 2 2 2 3 2" xfId="13266" xr:uid="{00000000-0005-0000-0000-000089340000}"/>
    <cellStyle name="Standard 4 2 2 4 2 2 2 2 2 3 3" xfId="13267" xr:uid="{00000000-0005-0000-0000-00008A340000}"/>
    <cellStyle name="Standard 4 2 2 4 2 2 2 2 2 4" xfId="13268" xr:uid="{00000000-0005-0000-0000-00008B340000}"/>
    <cellStyle name="Standard 4 2 2 4 2 2 2 2 2 4 2" xfId="13269" xr:uid="{00000000-0005-0000-0000-00008C340000}"/>
    <cellStyle name="Standard 4 2 2 4 2 2 2 2 2 5" xfId="13270" xr:uid="{00000000-0005-0000-0000-00008D340000}"/>
    <cellStyle name="Standard 4 2 2 4 2 2 2 2 2 6" xfId="13271" xr:uid="{00000000-0005-0000-0000-00008E340000}"/>
    <cellStyle name="Standard 4 2 2 4 2 2 2 2 3" xfId="13272" xr:uid="{00000000-0005-0000-0000-00008F340000}"/>
    <cellStyle name="Standard 4 2 2 4 2 2 2 2 3 2" xfId="13273" xr:uid="{00000000-0005-0000-0000-000090340000}"/>
    <cellStyle name="Standard 4 2 2 4 2 2 2 2 3 3" xfId="13274" xr:uid="{00000000-0005-0000-0000-000091340000}"/>
    <cellStyle name="Standard 4 2 2 4 2 2 2 2 4" xfId="13275" xr:uid="{00000000-0005-0000-0000-000092340000}"/>
    <cellStyle name="Standard 4 2 2 4 2 2 2 2 4 2" xfId="13276" xr:uid="{00000000-0005-0000-0000-000093340000}"/>
    <cellStyle name="Standard 4 2 2 4 2 2 2 2 4 3" xfId="13277" xr:uid="{00000000-0005-0000-0000-000094340000}"/>
    <cellStyle name="Standard 4 2 2 4 2 2 2 2 5" xfId="13278" xr:uid="{00000000-0005-0000-0000-000095340000}"/>
    <cellStyle name="Standard 4 2 2 4 2 2 2 2 5 2" xfId="13279" xr:uid="{00000000-0005-0000-0000-000096340000}"/>
    <cellStyle name="Standard 4 2 2 4 2 2 2 2 6" xfId="13280" xr:uid="{00000000-0005-0000-0000-000097340000}"/>
    <cellStyle name="Standard 4 2 2 4 2 2 2 2 7" xfId="13281" xr:uid="{00000000-0005-0000-0000-000098340000}"/>
    <cellStyle name="Standard 4 2 2 4 2 2 2 3" xfId="13282" xr:uid="{00000000-0005-0000-0000-000099340000}"/>
    <cellStyle name="Standard 4 2 2 4 2 2 2 3 2" xfId="13283" xr:uid="{00000000-0005-0000-0000-00009A340000}"/>
    <cellStyle name="Standard 4 2 2 4 2 2 2 3 2 2" xfId="13284" xr:uid="{00000000-0005-0000-0000-00009B340000}"/>
    <cellStyle name="Standard 4 2 2 4 2 2 2 3 2 3" xfId="13285" xr:uid="{00000000-0005-0000-0000-00009C340000}"/>
    <cellStyle name="Standard 4 2 2 4 2 2 2 3 3" xfId="13286" xr:uid="{00000000-0005-0000-0000-00009D340000}"/>
    <cellStyle name="Standard 4 2 2 4 2 2 2 3 3 2" xfId="13287" xr:uid="{00000000-0005-0000-0000-00009E340000}"/>
    <cellStyle name="Standard 4 2 2 4 2 2 2 3 3 3" xfId="13288" xr:uid="{00000000-0005-0000-0000-00009F340000}"/>
    <cellStyle name="Standard 4 2 2 4 2 2 2 3 4" xfId="13289" xr:uid="{00000000-0005-0000-0000-0000A0340000}"/>
    <cellStyle name="Standard 4 2 2 4 2 2 2 3 4 2" xfId="13290" xr:uid="{00000000-0005-0000-0000-0000A1340000}"/>
    <cellStyle name="Standard 4 2 2 4 2 2 2 3 5" xfId="13291" xr:uid="{00000000-0005-0000-0000-0000A2340000}"/>
    <cellStyle name="Standard 4 2 2 4 2 2 2 3 6" xfId="13292" xr:uid="{00000000-0005-0000-0000-0000A3340000}"/>
    <cellStyle name="Standard 4 2 2 4 2 2 2 4" xfId="13293" xr:uid="{00000000-0005-0000-0000-0000A4340000}"/>
    <cellStyle name="Standard 4 2 2 4 2 2 2 4 2" xfId="13294" xr:uid="{00000000-0005-0000-0000-0000A5340000}"/>
    <cellStyle name="Standard 4 2 2 4 2 2 2 4 3" xfId="13295" xr:uid="{00000000-0005-0000-0000-0000A6340000}"/>
    <cellStyle name="Standard 4 2 2 4 2 2 2 5" xfId="13296" xr:uid="{00000000-0005-0000-0000-0000A7340000}"/>
    <cellStyle name="Standard 4 2 2 4 2 2 2 5 2" xfId="13297" xr:uid="{00000000-0005-0000-0000-0000A8340000}"/>
    <cellStyle name="Standard 4 2 2 4 2 2 2 5 3" xfId="13298" xr:uid="{00000000-0005-0000-0000-0000A9340000}"/>
    <cellStyle name="Standard 4 2 2 4 2 2 2 6" xfId="13299" xr:uid="{00000000-0005-0000-0000-0000AA340000}"/>
    <cellStyle name="Standard 4 2 2 4 2 2 2 6 2" xfId="13300" xr:uid="{00000000-0005-0000-0000-0000AB340000}"/>
    <cellStyle name="Standard 4 2 2 4 2 2 2 7" xfId="13301" xr:uid="{00000000-0005-0000-0000-0000AC340000}"/>
    <cellStyle name="Standard 4 2 2 4 2 2 2 8" xfId="13302" xr:uid="{00000000-0005-0000-0000-0000AD340000}"/>
    <cellStyle name="Standard 4 2 2 4 2 2 3" xfId="13303" xr:uid="{00000000-0005-0000-0000-0000AE340000}"/>
    <cellStyle name="Standard 4 2 2 4 2 2 3 2" xfId="13304" xr:uid="{00000000-0005-0000-0000-0000AF340000}"/>
    <cellStyle name="Standard 4 2 2 4 2 2 3 2 2" xfId="13305" xr:uid="{00000000-0005-0000-0000-0000B0340000}"/>
    <cellStyle name="Standard 4 2 2 4 2 2 3 2 2 2" xfId="13306" xr:uid="{00000000-0005-0000-0000-0000B1340000}"/>
    <cellStyle name="Standard 4 2 2 4 2 2 3 2 2 2 2" xfId="13307" xr:uid="{00000000-0005-0000-0000-0000B2340000}"/>
    <cellStyle name="Standard 4 2 2 4 2 2 3 2 2 2 3" xfId="13308" xr:uid="{00000000-0005-0000-0000-0000B3340000}"/>
    <cellStyle name="Standard 4 2 2 4 2 2 3 2 2 3" xfId="13309" xr:uid="{00000000-0005-0000-0000-0000B4340000}"/>
    <cellStyle name="Standard 4 2 2 4 2 2 3 2 2 3 2" xfId="13310" xr:uid="{00000000-0005-0000-0000-0000B5340000}"/>
    <cellStyle name="Standard 4 2 2 4 2 2 3 2 2 3 3" xfId="13311" xr:uid="{00000000-0005-0000-0000-0000B6340000}"/>
    <cellStyle name="Standard 4 2 2 4 2 2 3 2 2 4" xfId="13312" xr:uid="{00000000-0005-0000-0000-0000B7340000}"/>
    <cellStyle name="Standard 4 2 2 4 2 2 3 2 2 4 2" xfId="13313" xr:uid="{00000000-0005-0000-0000-0000B8340000}"/>
    <cellStyle name="Standard 4 2 2 4 2 2 3 2 2 5" xfId="13314" xr:uid="{00000000-0005-0000-0000-0000B9340000}"/>
    <cellStyle name="Standard 4 2 2 4 2 2 3 2 2 6" xfId="13315" xr:uid="{00000000-0005-0000-0000-0000BA340000}"/>
    <cellStyle name="Standard 4 2 2 4 2 2 3 2 3" xfId="13316" xr:uid="{00000000-0005-0000-0000-0000BB340000}"/>
    <cellStyle name="Standard 4 2 2 4 2 2 3 2 3 2" xfId="13317" xr:uid="{00000000-0005-0000-0000-0000BC340000}"/>
    <cellStyle name="Standard 4 2 2 4 2 2 3 2 3 3" xfId="13318" xr:uid="{00000000-0005-0000-0000-0000BD340000}"/>
    <cellStyle name="Standard 4 2 2 4 2 2 3 2 4" xfId="13319" xr:uid="{00000000-0005-0000-0000-0000BE340000}"/>
    <cellStyle name="Standard 4 2 2 4 2 2 3 2 4 2" xfId="13320" xr:uid="{00000000-0005-0000-0000-0000BF340000}"/>
    <cellStyle name="Standard 4 2 2 4 2 2 3 2 4 3" xfId="13321" xr:uid="{00000000-0005-0000-0000-0000C0340000}"/>
    <cellStyle name="Standard 4 2 2 4 2 2 3 2 5" xfId="13322" xr:uid="{00000000-0005-0000-0000-0000C1340000}"/>
    <cellStyle name="Standard 4 2 2 4 2 2 3 2 5 2" xfId="13323" xr:uid="{00000000-0005-0000-0000-0000C2340000}"/>
    <cellStyle name="Standard 4 2 2 4 2 2 3 2 6" xfId="13324" xr:uid="{00000000-0005-0000-0000-0000C3340000}"/>
    <cellStyle name="Standard 4 2 2 4 2 2 3 2 7" xfId="13325" xr:uid="{00000000-0005-0000-0000-0000C4340000}"/>
    <cellStyle name="Standard 4 2 2 4 2 2 3 3" xfId="13326" xr:uid="{00000000-0005-0000-0000-0000C5340000}"/>
    <cellStyle name="Standard 4 2 2 4 2 2 3 3 2" xfId="13327" xr:uid="{00000000-0005-0000-0000-0000C6340000}"/>
    <cellStyle name="Standard 4 2 2 4 2 2 3 3 2 2" xfId="13328" xr:uid="{00000000-0005-0000-0000-0000C7340000}"/>
    <cellStyle name="Standard 4 2 2 4 2 2 3 3 2 3" xfId="13329" xr:uid="{00000000-0005-0000-0000-0000C8340000}"/>
    <cellStyle name="Standard 4 2 2 4 2 2 3 3 3" xfId="13330" xr:uid="{00000000-0005-0000-0000-0000C9340000}"/>
    <cellStyle name="Standard 4 2 2 4 2 2 3 3 3 2" xfId="13331" xr:uid="{00000000-0005-0000-0000-0000CA340000}"/>
    <cellStyle name="Standard 4 2 2 4 2 2 3 3 3 3" xfId="13332" xr:uid="{00000000-0005-0000-0000-0000CB340000}"/>
    <cellStyle name="Standard 4 2 2 4 2 2 3 3 4" xfId="13333" xr:uid="{00000000-0005-0000-0000-0000CC340000}"/>
    <cellStyle name="Standard 4 2 2 4 2 2 3 3 4 2" xfId="13334" xr:uid="{00000000-0005-0000-0000-0000CD340000}"/>
    <cellStyle name="Standard 4 2 2 4 2 2 3 3 5" xfId="13335" xr:uid="{00000000-0005-0000-0000-0000CE340000}"/>
    <cellStyle name="Standard 4 2 2 4 2 2 3 3 6" xfId="13336" xr:uid="{00000000-0005-0000-0000-0000CF340000}"/>
    <cellStyle name="Standard 4 2 2 4 2 2 3 4" xfId="13337" xr:uid="{00000000-0005-0000-0000-0000D0340000}"/>
    <cellStyle name="Standard 4 2 2 4 2 2 3 4 2" xfId="13338" xr:uid="{00000000-0005-0000-0000-0000D1340000}"/>
    <cellStyle name="Standard 4 2 2 4 2 2 3 4 3" xfId="13339" xr:uid="{00000000-0005-0000-0000-0000D2340000}"/>
    <cellStyle name="Standard 4 2 2 4 2 2 3 5" xfId="13340" xr:uid="{00000000-0005-0000-0000-0000D3340000}"/>
    <cellStyle name="Standard 4 2 2 4 2 2 3 5 2" xfId="13341" xr:uid="{00000000-0005-0000-0000-0000D4340000}"/>
    <cellStyle name="Standard 4 2 2 4 2 2 3 5 3" xfId="13342" xr:uid="{00000000-0005-0000-0000-0000D5340000}"/>
    <cellStyle name="Standard 4 2 2 4 2 2 3 6" xfId="13343" xr:uid="{00000000-0005-0000-0000-0000D6340000}"/>
    <cellStyle name="Standard 4 2 2 4 2 2 3 6 2" xfId="13344" xr:uid="{00000000-0005-0000-0000-0000D7340000}"/>
    <cellStyle name="Standard 4 2 2 4 2 2 3 7" xfId="13345" xr:uid="{00000000-0005-0000-0000-0000D8340000}"/>
    <cellStyle name="Standard 4 2 2 4 2 2 3 8" xfId="13346" xr:uid="{00000000-0005-0000-0000-0000D9340000}"/>
    <cellStyle name="Standard 4 2 2 4 2 2 4" xfId="13347" xr:uid="{00000000-0005-0000-0000-0000DA340000}"/>
    <cellStyle name="Standard 4 2 2 4 2 2 4 2" xfId="13348" xr:uid="{00000000-0005-0000-0000-0000DB340000}"/>
    <cellStyle name="Standard 4 2 2 4 2 2 4 2 2" xfId="13349" xr:uid="{00000000-0005-0000-0000-0000DC340000}"/>
    <cellStyle name="Standard 4 2 2 4 2 2 4 2 2 2" xfId="13350" xr:uid="{00000000-0005-0000-0000-0000DD340000}"/>
    <cellStyle name="Standard 4 2 2 4 2 2 4 2 2 3" xfId="13351" xr:uid="{00000000-0005-0000-0000-0000DE340000}"/>
    <cellStyle name="Standard 4 2 2 4 2 2 4 2 3" xfId="13352" xr:uid="{00000000-0005-0000-0000-0000DF340000}"/>
    <cellStyle name="Standard 4 2 2 4 2 2 4 2 3 2" xfId="13353" xr:uid="{00000000-0005-0000-0000-0000E0340000}"/>
    <cellStyle name="Standard 4 2 2 4 2 2 4 2 3 3" xfId="13354" xr:uid="{00000000-0005-0000-0000-0000E1340000}"/>
    <cellStyle name="Standard 4 2 2 4 2 2 4 2 4" xfId="13355" xr:uid="{00000000-0005-0000-0000-0000E2340000}"/>
    <cellStyle name="Standard 4 2 2 4 2 2 4 2 4 2" xfId="13356" xr:uid="{00000000-0005-0000-0000-0000E3340000}"/>
    <cellStyle name="Standard 4 2 2 4 2 2 4 2 5" xfId="13357" xr:uid="{00000000-0005-0000-0000-0000E4340000}"/>
    <cellStyle name="Standard 4 2 2 4 2 2 4 2 6" xfId="13358" xr:uid="{00000000-0005-0000-0000-0000E5340000}"/>
    <cellStyle name="Standard 4 2 2 4 2 2 4 3" xfId="13359" xr:uid="{00000000-0005-0000-0000-0000E6340000}"/>
    <cellStyle name="Standard 4 2 2 4 2 2 4 3 2" xfId="13360" xr:uid="{00000000-0005-0000-0000-0000E7340000}"/>
    <cellStyle name="Standard 4 2 2 4 2 2 4 3 3" xfId="13361" xr:uid="{00000000-0005-0000-0000-0000E8340000}"/>
    <cellStyle name="Standard 4 2 2 4 2 2 4 4" xfId="13362" xr:uid="{00000000-0005-0000-0000-0000E9340000}"/>
    <cellStyle name="Standard 4 2 2 4 2 2 4 4 2" xfId="13363" xr:uid="{00000000-0005-0000-0000-0000EA340000}"/>
    <cellStyle name="Standard 4 2 2 4 2 2 4 4 3" xfId="13364" xr:uid="{00000000-0005-0000-0000-0000EB340000}"/>
    <cellStyle name="Standard 4 2 2 4 2 2 4 5" xfId="13365" xr:uid="{00000000-0005-0000-0000-0000EC340000}"/>
    <cellStyle name="Standard 4 2 2 4 2 2 4 5 2" xfId="13366" xr:uid="{00000000-0005-0000-0000-0000ED340000}"/>
    <cellStyle name="Standard 4 2 2 4 2 2 4 6" xfId="13367" xr:uid="{00000000-0005-0000-0000-0000EE340000}"/>
    <cellStyle name="Standard 4 2 2 4 2 2 4 7" xfId="13368" xr:uid="{00000000-0005-0000-0000-0000EF340000}"/>
    <cellStyle name="Standard 4 2 2 4 2 2 5" xfId="13369" xr:uid="{00000000-0005-0000-0000-0000F0340000}"/>
    <cellStyle name="Standard 4 2 2 4 2 2 5 2" xfId="13370" xr:uid="{00000000-0005-0000-0000-0000F1340000}"/>
    <cellStyle name="Standard 4 2 2 4 2 2 5 2 2" xfId="13371" xr:uid="{00000000-0005-0000-0000-0000F2340000}"/>
    <cellStyle name="Standard 4 2 2 4 2 2 5 2 3" xfId="13372" xr:uid="{00000000-0005-0000-0000-0000F3340000}"/>
    <cellStyle name="Standard 4 2 2 4 2 2 5 3" xfId="13373" xr:uid="{00000000-0005-0000-0000-0000F4340000}"/>
    <cellStyle name="Standard 4 2 2 4 2 2 5 3 2" xfId="13374" xr:uid="{00000000-0005-0000-0000-0000F5340000}"/>
    <cellStyle name="Standard 4 2 2 4 2 2 5 3 3" xfId="13375" xr:uid="{00000000-0005-0000-0000-0000F6340000}"/>
    <cellStyle name="Standard 4 2 2 4 2 2 5 4" xfId="13376" xr:uid="{00000000-0005-0000-0000-0000F7340000}"/>
    <cellStyle name="Standard 4 2 2 4 2 2 5 4 2" xfId="13377" xr:uid="{00000000-0005-0000-0000-0000F8340000}"/>
    <cellStyle name="Standard 4 2 2 4 2 2 5 5" xfId="13378" xr:uid="{00000000-0005-0000-0000-0000F9340000}"/>
    <cellStyle name="Standard 4 2 2 4 2 2 5 6" xfId="13379" xr:uid="{00000000-0005-0000-0000-0000FA340000}"/>
    <cellStyle name="Standard 4 2 2 4 2 2 6" xfId="13380" xr:uid="{00000000-0005-0000-0000-0000FB340000}"/>
    <cellStyle name="Standard 4 2 2 4 2 2 6 2" xfId="13381" xr:uid="{00000000-0005-0000-0000-0000FC340000}"/>
    <cellStyle name="Standard 4 2 2 4 2 2 6 3" xfId="13382" xr:uid="{00000000-0005-0000-0000-0000FD340000}"/>
    <cellStyle name="Standard 4 2 2 4 2 2 7" xfId="13383" xr:uid="{00000000-0005-0000-0000-0000FE340000}"/>
    <cellStyle name="Standard 4 2 2 4 2 2 7 2" xfId="13384" xr:uid="{00000000-0005-0000-0000-0000FF340000}"/>
    <cellStyle name="Standard 4 2 2 4 2 2 7 3" xfId="13385" xr:uid="{00000000-0005-0000-0000-000000350000}"/>
    <cellStyle name="Standard 4 2 2 4 2 2 8" xfId="13386" xr:uid="{00000000-0005-0000-0000-000001350000}"/>
    <cellStyle name="Standard 4 2 2 4 2 2 8 2" xfId="13387" xr:uid="{00000000-0005-0000-0000-000002350000}"/>
    <cellStyle name="Standard 4 2 2 4 2 2 9" xfId="13388" xr:uid="{00000000-0005-0000-0000-000003350000}"/>
    <cellStyle name="Standard 4 2 2 4 2 3" xfId="13389" xr:uid="{00000000-0005-0000-0000-000004350000}"/>
    <cellStyle name="Standard 4 2 2 4 2 3 2" xfId="13390" xr:uid="{00000000-0005-0000-0000-000005350000}"/>
    <cellStyle name="Standard 4 2 2 4 2 3 2 2" xfId="13391" xr:uid="{00000000-0005-0000-0000-000006350000}"/>
    <cellStyle name="Standard 4 2 2 4 2 3 2 2 2" xfId="13392" xr:uid="{00000000-0005-0000-0000-000007350000}"/>
    <cellStyle name="Standard 4 2 2 4 2 3 2 2 2 2" xfId="13393" xr:uid="{00000000-0005-0000-0000-000008350000}"/>
    <cellStyle name="Standard 4 2 2 4 2 3 2 2 2 3" xfId="13394" xr:uid="{00000000-0005-0000-0000-000009350000}"/>
    <cellStyle name="Standard 4 2 2 4 2 3 2 2 3" xfId="13395" xr:uid="{00000000-0005-0000-0000-00000A350000}"/>
    <cellStyle name="Standard 4 2 2 4 2 3 2 2 3 2" xfId="13396" xr:uid="{00000000-0005-0000-0000-00000B350000}"/>
    <cellStyle name="Standard 4 2 2 4 2 3 2 2 3 3" xfId="13397" xr:uid="{00000000-0005-0000-0000-00000C350000}"/>
    <cellStyle name="Standard 4 2 2 4 2 3 2 2 4" xfId="13398" xr:uid="{00000000-0005-0000-0000-00000D350000}"/>
    <cellStyle name="Standard 4 2 2 4 2 3 2 2 4 2" xfId="13399" xr:uid="{00000000-0005-0000-0000-00000E350000}"/>
    <cellStyle name="Standard 4 2 2 4 2 3 2 2 5" xfId="13400" xr:uid="{00000000-0005-0000-0000-00000F350000}"/>
    <cellStyle name="Standard 4 2 2 4 2 3 2 2 6" xfId="13401" xr:uid="{00000000-0005-0000-0000-000010350000}"/>
    <cellStyle name="Standard 4 2 2 4 2 3 2 3" xfId="13402" xr:uid="{00000000-0005-0000-0000-000011350000}"/>
    <cellStyle name="Standard 4 2 2 4 2 3 2 3 2" xfId="13403" xr:uid="{00000000-0005-0000-0000-000012350000}"/>
    <cellStyle name="Standard 4 2 2 4 2 3 2 3 3" xfId="13404" xr:uid="{00000000-0005-0000-0000-000013350000}"/>
    <cellStyle name="Standard 4 2 2 4 2 3 2 4" xfId="13405" xr:uid="{00000000-0005-0000-0000-000014350000}"/>
    <cellStyle name="Standard 4 2 2 4 2 3 2 4 2" xfId="13406" xr:uid="{00000000-0005-0000-0000-000015350000}"/>
    <cellStyle name="Standard 4 2 2 4 2 3 2 4 3" xfId="13407" xr:uid="{00000000-0005-0000-0000-000016350000}"/>
    <cellStyle name="Standard 4 2 2 4 2 3 2 5" xfId="13408" xr:uid="{00000000-0005-0000-0000-000017350000}"/>
    <cellStyle name="Standard 4 2 2 4 2 3 2 5 2" xfId="13409" xr:uid="{00000000-0005-0000-0000-000018350000}"/>
    <cellStyle name="Standard 4 2 2 4 2 3 2 6" xfId="13410" xr:uid="{00000000-0005-0000-0000-000019350000}"/>
    <cellStyle name="Standard 4 2 2 4 2 3 2 7" xfId="13411" xr:uid="{00000000-0005-0000-0000-00001A350000}"/>
    <cellStyle name="Standard 4 2 2 4 2 3 3" xfId="13412" xr:uid="{00000000-0005-0000-0000-00001B350000}"/>
    <cellStyle name="Standard 4 2 2 4 2 3 3 2" xfId="13413" xr:uid="{00000000-0005-0000-0000-00001C350000}"/>
    <cellStyle name="Standard 4 2 2 4 2 3 3 2 2" xfId="13414" xr:uid="{00000000-0005-0000-0000-00001D350000}"/>
    <cellStyle name="Standard 4 2 2 4 2 3 3 2 3" xfId="13415" xr:uid="{00000000-0005-0000-0000-00001E350000}"/>
    <cellStyle name="Standard 4 2 2 4 2 3 3 3" xfId="13416" xr:uid="{00000000-0005-0000-0000-00001F350000}"/>
    <cellStyle name="Standard 4 2 2 4 2 3 3 3 2" xfId="13417" xr:uid="{00000000-0005-0000-0000-000020350000}"/>
    <cellStyle name="Standard 4 2 2 4 2 3 3 3 3" xfId="13418" xr:uid="{00000000-0005-0000-0000-000021350000}"/>
    <cellStyle name="Standard 4 2 2 4 2 3 3 4" xfId="13419" xr:uid="{00000000-0005-0000-0000-000022350000}"/>
    <cellStyle name="Standard 4 2 2 4 2 3 3 4 2" xfId="13420" xr:uid="{00000000-0005-0000-0000-000023350000}"/>
    <cellStyle name="Standard 4 2 2 4 2 3 3 5" xfId="13421" xr:uid="{00000000-0005-0000-0000-000024350000}"/>
    <cellStyle name="Standard 4 2 2 4 2 3 3 6" xfId="13422" xr:uid="{00000000-0005-0000-0000-000025350000}"/>
    <cellStyle name="Standard 4 2 2 4 2 3 4" xfId="13423" xr:uid="{00000000-0005-0000-0000-000026350000}"/>
    <cellStyle name="Standard 4 2 2 4 2 3 4 2" xfId="13424" xr:uid="{00000000-0005-0000-0000-000027350000}"/>
    <cellStyle name="Standard 4 2 2 4 2 3 4 3" xfId="13425" xr:uid="{00000000-0005-0000-0000-000028350000}"/>
    <cellStyle name="Standard 4 2 2 4 2 3 5" xfId="13426" xr:uid="{00000000-0005-0000-0000-000029350000}"/>
    <cellStyle name="Standard 4 2 2 4 2 3 5 2" xfId="13427" xr:uid="{00000000-0005-0000-0000-00002A350000}"/>
    <cellStyle name="Standard 4 2 2 4 2 3 5 3" xfId="13428" xr:uid="{00000000-0005-0000-0000-00002B350000}"/>
    <cellStyle name="Standard 4 2 2 4 2 3 6" xfId="13429" xr:uid="{00000000-0005-0000-0000-00002C350000}"/>
    <cellStyle name="Standard 4 2 2 4 2 3 6 2" xfId="13430" xr:uid="{00000000-0005-0000-0000-00002D350000}"/>
    <cellStyle name="Standard 4 2 2 4 2 3 7" xfId="13431" xr:uid="{00000000-0005-0000-0000-00002E350000}"/>
    <cellStyle name="Standard 4 2 2 4 2 3 8" xfId="13432" xr:uid="{00000000-0005-0000-0000-00002F350000}"/>
    <cellStyle name="Standard 4 2 2 4 2 4" xfId="13433" xr:uid="{00000000-0005-0000-0000-000030350000}"/>
    <cellStyle name="Standard 4 2 2 4 2 4 2" xfId="13434" xr:uid="{00000000-0005-0000-0000-000031350000}"/>
    <cellStyle name="Standard 4 2 2 4 2 4 2 2" xfId="13435" xr:uid="{00000000-0005-0000-0000-000032350000}"/>
    <cellStyle name="Standard 4 2 2 4 2 4 2 2 2" xfId="13436" xr:uid="{00000000-0005-0000-0000-000033350000}"/>
    <cellStyle name="Standard 4 2 2 4 2 4 2 2 2 2" xfId="13437" xr:uid="{00000000-0005-0000-0000-000034350000}"/>
    <cellStyle name="Standard 4 2 2 4 2 4 2 2 2 3" xfId="13438" xr:uid="{00000000-0005-0000-0000-000035350000}"/>
    <cellStyle name="Standard 4 2 2 4 2 4 2 2 3" xfId="13439" xr:uid="{00000000-0005-0000-0000-000036350000}"/>
    <cellStyle name="Standard 4 2 2 4 2 4 2 2 3 2" xfId="13440" xr:uid="{00000000-0005-0000-0000-000037350000}"/>
    <cellStyle name="Standard 4 2 2 4 2 4 2 2 3 3" xfId="13441" xr:uid="{00000000-0005-0000-0000-000038350000}"/>
    <cellStyle name="Standard 4 2 2 4 2 4 2 2 4" xfId="13442" xr:uid="{00000000-0005-0000-0000-000039350000}"/>
    <cellStyle name="Standard 4 2 2 4 2 4 2 2 4 2" xfId="13443" xr:uid="{00000000-0005-0000-0000-00003A350000}"/>
    <cellStyle name="Standard 4 2 2 4 2 4 2 2 5" xfId="13444" xr:uid="{00000000-0005-0000-0000-00003B350000}"/>
    <cellStyle name="Standard 4 2 2 4 2 4 2 2 6" xfId="13445" xr:uid="{00000000-0005-0000-0000-00003C350000}"/>
    <cellStyle name="Standard 4 2 2 4 2 4 2 3" xfId="13446" xr:uid="{00000000-0005-0000-0000-00003D350000}"/>
    <cellStyle name="Standard 4 2 2 4 2 4 2 3 2" xfId="13447" xr:uid="{00000000-0005-0000-0000-00003E350000}"/>
    <cellStyle name="Standard 4 2 2 4 2 4 2 3 3" xfId="13448" xr:uid="{00000000-0005-0000-0000-00003F350000}"/>
    <cellStyle name="Standard 4 2 2 4 2 4 2 4" xfId="13449" xr:uid="{00000000-0005-0000-0000-000040350000}"/>
    <cellStyle name="Standard 4 2 2 4 2 4 2 4 2" xfId="13450" xr:uid="{00000000-0005-0000-0000-000041350000}"/>
    <cellStyle name="Standard 4 2 2 4 2 4 2 4 3" xfId="13451" xr:uid="{00000000-0005-0000-0000-000042350000}"/>
    <cellStyle name="Standard 4 2 2 4 2 4 2 5" xfId="13452" xr:uid="{00000000-0005-0000-0000-000043350000}"/>
    <cellStyle name="Standard 4 2 2 4 2 4 2 5 2" xfId="13453" xr:uid="{00000000-0005-0000-0000-000044350000}"/>
    <cellStyle name="Standard 4 2 2 4 2 4 2 6" xfId="13454" xr:uid="{00000000-0005-0000-0000-000045350000}"/>
    <cellStyle name="Standard 4 2 2 4 2 4 2 7" xfId="13455" xr:uid="{00000000-0005-0000-0000-000046350000}"/>
    <cellStyle name="Standard 4 2 2 4 2 4 3" xfId="13456" xr:uid="{00000000-0005-0000-0000-000047350000}"/>
    <cellStyle name="Standard 4 2 2 4 2 4 3 2" xfId="13457" xr:uid="{00000000-0005-0000-0000-000048350000}"/>
    <cellStyle name="Standard 4 2 2 4 2 4 3 2 2" xfId="13458" xr:uid="{00000000-0005-0000-0000-000049350000}"/>
    <cellStyle name="Standard 4 2 2 4 2 4 3 2 3" xfId="13459" xr:uid="{00000000-0005-0000-0000-00004A350000}"/>
    <cellStyle name="Standard 4 2 2 4 2 4 3 3" xfId="13460" xr:uid="{00000000-0005-0000-0000-00004B350000}"/>
    <cellStyle name="Standard 4 2 2 4 2 4 3 3 2" xfId="13461" xr:uid="{00000000-0005-0000-0000-00004C350000}"/>
    <cellStyle name="Standard 4 2 2 4 2 4 3 3 3" xfId="13462" xr:uid="{00000000-0005-0000-0000-00004D350000}"/>
    <cellStyle name="Standard 4 2 2 4 2 4 3 4" xfId="13463" xr:uid="{00000000-0005-0000-0000-00004E350000}"/>
    <cellStyle name="Standard 4 2 2 4 2 4 3 4 2" xfId="13464" xr:uid="{00000000-0005-0000-0000-00004F350000}"/>
    <cellStyle name="Standard 4 2 2 4 2 4 3 5" xfId="13465" xr:uid="{00000000-0005-0000-0000-000050350000}"/>
    <cellStyle name="Standard 4 2 2 4 2 4 3 6" xfId="13466" xr:uid="{00000000-0005-0000-0000-000051350000}"/>
    <cellStyle name="Standard 4 2 2 4 2 4 4" xfId="13467" xr:uid="{00000000-0005-0000-0000-000052350000}"/>
    <cellStyle name="Standard 4 2 2 4 2 4 4 2" xfId="13468" xr:uid="{00000000-0005-0000-0000-000053350000}"/>
    <cellStyle name="Standard 4 2 2 4 2 4 4 3" xfId="13469" xr:uid="{00000000-0005-0000-0000-000054350000}"/>
    <cellStyle name="Standard 4 2 2 4 2 4 5" xfId="13470" xr:uid="{00000000-0005-0000-0000-000055350000}"/>
    <cellStyle name="Standard 4 2 2 4 2 4 5 2" xfId="13471" xr:uid="{00000000-0005-0000-0000-000056350000}"/>
    <cellStyle name="Standard 4 2 2 4 2 4 5 3" xfId="13472" xr:uid="{00000000-0005-0000-0000-000057350000}"/>
    <cellStyle name="Standard 4 2 2 4 2 4 6" xfId="13473" xr:uid="{00000000-0005-0000-0000-000058350000}"/>
    <cellStyle name="Standard 4 2 2 4 2 4 6 2" xfId="13474" xr:uid="{00000000-0005-0000-0000-000059350000}"/>
    <cellStyle name="Standard 4 2 2 4 2 4 7" xfId="13475" xr:uid="{00000000-0005-0000-0000-00005A350000}"/>
    <cellStyle name="Standard 4 2 2 4 2 4 8" xfId="13476" xr:uid="{00000000-0005-0000-0000-00005B350000}"/>
    <cellStyle name="Standard 4 2 2 4 2 5" xfId="13477" xr:uid="{00000000-0005-0000-0000-00005C350000}"/>
    <cellStyle name="Standard 4 2 2 4 2 5 2" xfId="13478" xr:uid="{00000000-0005-0000-0000-00005D350000}"/>
    <cellStyle name="Standard 4 2 2 4 2 5 2 2" xfId="13479" xr:uid="{00000000-0005-0000-0000-00005E350000}"/>
    <cellStyle name="Standard 4 2 2 4 2 5 2 2 2" xfId="13480" xr:uid="{00000000-0005-0000-0000-00005F350000}"/>
    <cellStyle name="Standard 4 2 2 4 2 5 2 2 3" xfId="13481" xr:uid="{00000000-0005-0000-0000-000060350000}"/>
    <cellStyle name="Standard 4 2 2 4 2 5 2 3" xfId="13482" xr:uid="{00000000-0005-0000-0000-000061350000}"/>
    <cellStyle name="Standard 4 2 2 4 2 5 2 3 2" xfId="13483" xr:uid="{00000000-0005-0000-0000-000062350000}"/>
    <cellStyle name="Standard 4 2 2 4 2 5 2 3 3" xfId="13484" xr:uid="{00000000-0005-0000-0000-000063350000}"/>
    <cellStyle name="Standard 4 2 2 4 2 5 2 4" xfId="13485" xr:uid="{00000000-0005-0000-0000-000064350000}"/>
    <cellStyle name="Standard 4 2 2 4 2 5 2 4 2" xfId="13486" xr:uid="{00000000-0005-0000-0000-000065350000}"/>
    <cellStyle name="Standard 4 2 2 4 2 5 2 5" xfId="13487" xr:uid="{00000000-0005-0000-0000-000066350000}"/>
    <cellStyle name="Standard 4 2 2 4 2 5 2 6" xfId="13488" xr:uid="{00000000-0005-0000-0000-000067350000}"/>
    <cellStyle name="Standard 4 2 2 4 2 5 3" xfId="13489" xr:uid="{00000000-0005-0000-0000-000068350000}"/>
    <cellStyle name="Standard 4 2 2 4 2 5 3 2" xfId="13490" xr:uid="{00000000-0005-0000-0000-000069350000}"/>
    <cellStyle name="Standard 4 2 2 4 2 5 3 3" xfId="13491" xr:uid="{00000000-0005-0000-0000-00006A350000}"/>
    <cellStyle name="Standard 4 2 2 4 2 5 4" xfId="13492" xr:uid="{00000000-0005-0000-0000-00006B350000}"/>
    <cellStyle name="Standard 4 2 2 4 2 5 4 2" xfId="13493" xr:uid="{00000000-0005-0000-0000-00006C350000}"/>
    <cellStyle name="Standard 4 2 2 4 2 5 4 3" xfId="13494" xr:uid="{00000000-0005-0000-0000-00006D350000}"/>
    <cellStyle name="Standard 4 2 2 4 2 5 5" xfId="13495" xr:uid="{00000000-0005-0000-0000-00006E350000}"/>
    <cellStyle name="Standard 4 2 2 4 2 5 5 2" xfId="13496" xr:uid="{00000000-0005-0000-0000-00006F350000}"/>
    <cellStyle name="Standard 4 2 2 4 2 5 6" xfId="13497" xr:uid="{00000000-0005-0000-0000-000070350000}"/>
    <cellStyle name="Standard 4 2 2 4 2 5 7" xfId="13498" xr:uid="{00000000-0005-0000-0000-000071350000}"/>
    <cellStyle name="Standard 4 2 2 4 2 6" xfId="13499" xr:uid="{00000000-0005-0000-0000-000072350000}"/>
    <cellStyle name="Standard 4 2 2 4 2 6 2" xfId="13500" xr:uid="{00000000-0005-0000-0000-000073350000}"/>
    <cellStyle name="Standard 4 2 2 4 2 6 2 2" xfId="13501" xr:uid="{00000000-0005-0000-0000-000074350000}"/>
    <cellStyle name="Standard 4 2 2 4 2 6 2 3" xfId="13502" xr:uid="{00000000-0005-0000-0000-000075350000}"/>
    <cellStyle name="Standard 4 2 2 4 2 6 3" xfId="13503" xr:uid="{00000000-0005-0000-0000-000076350000}"/>
    <cellStyle name="Standard 4 2 2 4 2 6 3 2" xfId="13504" xr:uid="{00000000-0005-0000-0000-000077350000}"/>
    <cellStyle name="Standard 4 2 2 4 2 6 3 3" xfId="13505" xr:uid="{00000000-0005-0000-0000-000078350000}"/>
    <cellStyle name="Standard 4 2 2 4 2 6 4" xfId="13506" xr:uid="{00000000-0005-0000-0000-000079350000}"/>
    <cellStyle name="Standard 4 2 2 4 2 6 4 2" xfId="13507" xr:uid="{00000000-0005-0000-0000-00007A350000}"/>
    <cellStyle name="Standard 4 2 2 4 2 6 5" xfId="13508" xr:uid="{00000000-0005-0000-0000-00007B350000}"/>
    <cellStyle name="Standard 4 2 2 4 2 6 6" xfId="13509" xr:uid="{00000000-0005-0000-0000-00007C350000}"/>
    <cellStyle name="Standard 4 2 2 4 2 7" xfId="13510" xr:uid="{00000000-0005-0000-0000-00007D350000}"/>
    <cellStyle name="Standard 4 2 2 4 2 7 2" xfId="13511" xr:uid="{00000000-0005-0000-0000-00007E350000}"/>
    <cellStyle name="Standard 4 2 2 4 2 7 3" xfId="13512" xr:uid="{00000000-0005-0000-0000-00007F350000}"/>
    <cellStyle name="Standard 4 2 2 4 2 8" xfId="13513" xr:uid="{00000000-0005-0000-0000-000080350000}"/>
    <cellStyle name="Standard 4 2 2 4 2 8 2" xfId="13514" xr:uid="{00000000-0005-0000-0000-000081350000}"/>
    <cellStyle name="Standard 4 2 2 4 2 8 3" xfId="13515" xr:uid="{00000000-0005-0000-0000-000082350000}"/>
    <cellStyle name="Standard 4 2 2 4 2 9" xfId="13516" xr:uid="{00000000-0005-0000-0000-000083350000}"/>
    <cellStyle name="Standard 4 2 2 4 2 9 2" xfId="13517" xr:uid="{00000000-0005-0000-0000-000084350000}"/>
    <cellStyle name="Standard 4 2 2 4 3" xfId="13518" xr:uid="{00000000-0005-0000-0000-000085350000}"/>
    <cellStyle name="Standard 4 2 2 4 3 10" xfId="13519" xr:uid="{00000000-0005-0000-0000-000086350000}"/>
    <cellStyle name="Standard 4 2 2 4 3 2" xfId="13520" xr:uid="{00000000-0005-0000-0000-000087350000}"/>
    <cellStyle name="Standard 4 2 2 4 3 2 2" xfId="13521" xr:uid="{00000000-0005-0000-0000-000088350000}"/>
    <cellStyle name="Standard 4 2 2 4 3 2 2 2" xfId="13522" xr:uid="{00000000-0005-0000-0000-000089350000}"/>
    <cellStyle name="Standard 4 2 2 4 3 2 2 2 2" xfId="13523" xr:uid="{00000000-0005-0000-0000-00008A350000}"/>
    <cellStyle name="Standard 4 2 2 4 3 2 2 2 2 2" xfId="13524" xr:uid="{00000000-0005-0000-0000-00008B350000}"/>
    <cellStyle name="Standard 4 2 2 4 3 2 2 2 2 3" xfId="13525" xr:uid="{00000000-0005-0000-0000-00008C350000}"/>
    <cellStyle name="Standard 4 2 2 4 3 2 2 2 3" xfId="13526" xr:uid="{00000000-0005-0000-0000-00008D350000}"/>
    <cellStyle name="Standard 4 2 2 4 3 2 2 2 3 2" xfId="13527" xr:uid="{00000000-0005-0000-0000-00008E350000}"/>
    <cellStyle name="Standard 4 2 2 4 3 2 2 2 3 3" xfId="13528" xr:uid="{00000000-0005-0000-0000-00008F350000}"/>
    <cellStyle name="Standard 4 2 2 4 3 2 2 2 4" xfId="13529" xr:uid="{00000000-0005-0000-0000-000090350000}"/>
    <cellStyle name="Standard 4 2 2 4 3 2 2 2 4 2" xfId="13530" xr:uid="{00000000-0005-0000-0000-000091350000}"/>
    <cellStyle name="Standard 4 2 2 4 3 2 2 2 5" xfId="13531" xr:uid="{00000000-0005-0000-0000-000092350000}"/>
    <cellStyle name="Standard 4 2 2 4 3 2 2 2 6" xfId="13532" xr:uid="{00000000-0005-0000-0000-000093350000}"/>
    <cellStyle name="Standard 4 2 2 4 3 2 2 3" xfId="13533" xr:uid="{00000000-0005-0000-0000-000094350000}"/>
    <cellStyle name="Standard 4 2 2 4 3 2 2 3 2" xfId="13534" xr:uid="{00000000-0005-0000-0000-000095350000}"/>
    <cellStyle name="Standard 4 2 2 4 3 2 2 3 3" xfId="13535" xr:uid="{00000000-0005-0000-0000-000096350000}"/>
    <cellStyle name="Standard 4 2 2 4 3 2 2 4" xfId="13536" xr:uid="{00000000-0005-0000-0000-000097350000}"/>
    <cellStyle name="Standard 4 2 2 4 3 2 2 4 2" xfId="13537" xr:uid="{00000000-0005-0000-0000-000098350000}"/>
    <cellStyle name="Standard 4 2 2 4 3 2 2 4 3" xfId="13538" xr:uid="{00000000-0005-0000-0000-000099350000}"/>
    <cellStyle name="Standard 4 2 2 4 3 2 2 5" xfId="13539" xr:uid="{00000000-0005-0000-0000-00009A350000}"/>
    <cellStyle name="Standard 4 2 2 4 3 2 2 5 2" xfId="13540" xr:uid="{00000000-0005-0000-0000-00009B350000}"/>
    <cellStyle name="Standard 4 2 2 4 3 2 2 6" xfId="13541" xr:uid="{00000000-0005-0000-0000-00009C350000}"/>
    <cellStyle name="Standard 4 2 2 4 3 2 2 7" xfId="13542" xr:uid="{00000000-0005-0000-0000-00009D350000}"/>
    <cellStyle name="Standard 4 2 2 4 3 2 3" xfId="13543" xr:uid="{00000000-0005-0000-0000-00009E350000}"/>
    <cellStyle name="Standard 4 2 2 4 3 2 3 2" xfId="13544" xr:uid="{00000000-0005-0000-0000-00009F350000}"/>
    <cellStyle name="Standard 4 2 2 4 3 2 3 2 2" xfId="13545" xr:uid="{00000000-0005-0000-0000-0000A0350000}"/>
    <cellStyle name="Standard 4 2 2 4 3 2 3 2 3" xfId="13546" xr:uid="{00000000-0005-0000-0000-0000A1350000}"/>
    <cellStyle name="Standard 4 2 2 4 3 2 3 3" xfId="13547" xr:uid="{00000000-0005-0000-0000-0000A2350000}"/>
    <cellStyle name="Standard 4 2 2 4 3 2 3 3 2" xfId="13548" xr:uid="{00000000-0005-0000-0000-0000A3350000}"/>
    <cellStyle name="Standard 4 2 2 4 3 2 3 3 3" xfId="13549" xr:uid="{00000000-0005-0000-0000-0000A4350000}"/>
    <cellStyle name="Standard 4 2 2 4 3 2 3 4" xfId="13550" xr:uid="{00000000-0005-0000-0000-0000A5350000}"/>
    <cellStyle name="Standard 4 2 2 4 3 2 3 4 2" xfId="13551" xr:uid="{00000000-0005-0000-0000-0000A6350000}"/>
    <cellStyle name="Standard 4 2 2 4 3 2 3 5" xfId="13552" xr:uid="{00000000-0005-0000-0000-0000A7350000}"/>
    <cellStyle name="Standard 4 2 2 4 3 2 3 6" xfId="13553" xr:uid="{00000000-0005-0000-0000-0000A8350000}"/>
    <cellStyle name="Standard 4 2 2 4 3 2 4" xfId="13554" xr:uid="{00000000-0005-0000-0000-0000A9350000}"/>
    <cellStyle name="Standard 4 2 2 4 3 2 4 2" xfId="13555" xr:uid="{00000000-0005-0000-0000-0000AA350000}"/>
    <cellStyle name="Standard 4 2 2 4 3 2 4 3" xfId="13556" xr:uid="{00000000-0005-0000-0000-0000AB350000}"/>
    <cellStyle name="Standard 4 2 2 4 3 2 5" xfId="13557" xr:uid="{00000000-0005-0000-0000-0000AC350000}"/>
    <cellStyle name="Standard 4 2 2 4 3 2 5 2" xfId="13558" xr:uid="{00000000-0005-0000-0000-0000AD350000}"/>
    <cellStyle name="Standard 4 2 2 4 3 2 5 3" xfId="13559" xr:uid="{00000000-0005-0000-0000-0000AE350000}"/>
    <cellStyle name="Standard 4 2 2 4 3 2 6" xfId="13560" xr:uid="{00000000-0005-0000-0000-0000AF350000}"/>
    <cellStyle name="Standard 4 2 2 4 3 2 6 2" xfId="13561" xr:uid="{00000000-0005-0000-0000-0000B0350000}"/>
    <cellStyle name="Standard 4 2 2 4 3 2 7" xfId="13562" xr:uid="{00000000-0005-0000-0000-0000B1350000}"/>
    <cellStyle name="Standard 4 2 2 4 3 2 8" xfId="13563" xr:uid="{00000000-0005-0000-0000-0000B2350000}"/>
    <cellStyle name="Standard 4 2 2 4 3 3" xfId="13564" xr:uid="{00000000-0005-0000-0000-0000B3350000}"/>
    <cellStyle name="Standard 4 2 2 4 3 3 2" xfId="13565" xr:uid="{00000000-0005-0000-0000-0000B4350000}"/>
    <cellStyle name="Standard 4 2 2 4 3 3 2 2" xfId="13566" xr:uid="{00000000-0005-0000-0000-0000B5350000}"/>
    <cellStyle name="Standard 4 2 2 4 3 3 2 2 2" xfId="13567" xr:uid="{00000000-0005-0000-0000-0000B6350000}"/>
    <cellStyle name="Standard 4 2 2 4 3 3 2 2 2 2" xfId="13568" xr:uid="{00000000-0005-0000-0000-0000B7350000}"/>
    <cellStyle name="Standard 4 2 2 4 3 3 2 2 2 3" xfId="13569" xr:uid="{00000000-0005-0000-0000-0000B8350000}"/>
    <cellStyle name="Standard 4 2 2 4 3 3 2 2 3" xfId="13570" xr:uid="{00000000-0005-0000-0000-0000B9350000}"/>
    <cellStyle name="Standard 4 2 2 4 3 3 2 2 3 2" xfId="13571" xr:uid="{00000000-0005-0000-0000-0000BA350000}"/>
    <cellStyle name="Standard 4 2 2 4 3 3 2 2 3 3" xfId="13572" xr:uid="{00000000-0005-0000-0000-0000BB350000}"/>
    <cellStyle name="Standard 4 2 2 4 3 3 2 2 4" xfId="13573" xr:uid="{00000000-0005-0000-0000-0000BC350000}"/>
    <cellStyle name="Standard 4 2 2 4 3 3 2 2 4 2" xfId="13574" xr:uid="{00000000-0005-0000-0000-0000BD350000}"/>
    <cellStyle name="Standard 4 2 2 4 3 3 2 2 5" xfId="13575" xr:uid="{00000000-0005-0000-0000-0000BE350000}"/>
    <cellStyle name="Standard 4 2 2 4 3 3 2 2 6" xfId="13576" xr:uid="{00000000-0005-0000-0000-0000BF350000}"/>
    <cellStyle name="Standard 4 2 2 4 3 3 2 3" xfId="13577" xr:uid="{00000000-0005-0000-0000-0000C0350000}"/>
    <cellStyle name="Standard 4 2 2 4 3 3 2 3 2" xfId="13578" xr:uid="{00000000-0005-0000-0000-0000C1350000}"/>
    <cellStyle name="Standard 4 2 2 4 3 3 2 3 3" xfId="13579" xr:uid="{00000000-0005-0000-0000-0000C2350000}"/>
    <cellStyle name="Standard 4 2 2 4 3 3 2 4" xfId="13580" xr:uid="{00000000-0005-0000-0000-0000C3350000}"/>
    <cellStyle name="Standard 4 2 2 4 3 3 2 4 2" xfId="13581" xr:uid="{00000000-0005-0000-0000-0000C4350000}"/>
    <cellStyle name="Standard 4 2 2 4 3 3 2 4 3" xfId="13582" xr:uid="{00000000-0005-0000-0000-0000C5350000}"/>
    <cellStyle name="Standard 4 2 2 4 3 3 2 5" xfId="13583" xr:uid="{00000000-0005-0000-0000-0000C6350000}"/>
    <cellStyle name="Standard 4 2 2 4 3 3 2 5 2" xfId="13584" xr:uid="{00000000-0005-0000-0000-0000C7350000}"/>
    <cellStyle name="Standard 4 2 2 4 3 3 2 6" xfId="13585" xr:uid="{00000000-0005-0000-0000-0000C8350000}"/>
    <cellStyle name="Standard 4 2 2 4 3 3 2 7" xfId="13586" xr:uid="{00000000-0005-0000-0000-0000C9350000}"/>
    <cellStyle name="Standard 4 2 2 4 3 3 3" xfId="13587" xr:uid="{00000000-0005-0000-0000-0000CA350000}"/>
    <cellStyle name="Standard 4 2 2 4 3 3 3 2" xfId="13588" xr:uid="{00000000-0005-0000-0000-0000CB350000}"/>
    <cellStyle name="Standard 4 2 2 4 3 3 3 2 2" xfId="13589" xr:uid="{00000000-0005-0000-0000-0000CC350000}"/>
    <cellStyle name="Standard 4 2 2 4 3 3 3 2 3" xfId="13590" xr:uid="{00000000-0005-0000-0000-0000CD350000}"/>
    <cellStyle name="Standard 4 2 2 4 3 3 3 3" xfId="13591" xr:uid="{00000000-0005-0000-0000-0000CE350000}"/>
    <cellStyle name="Standard 4 2 2 4 3 3 3 3 2" xfId="13592" xr:uid="{00000000-0005-0000-0000-0000CF350000}"/>
    <cellStyle name="Standard 4 2 2 4 3 3 3 3 3" xfId="13593" xr:uid="{00000000-0005-0000-0000-0000D0350000}"/>
    <cellStyle name="Standard 4 2 2 4 3 3 3 4" xfId="13594" xr:uid="{00000000-0005-0000-0000-0000D1350000}"/>
    <cellStyle name="Standard 4 2 2 4 3 3 3 4 2" xfId="13595" xr:uid="{00000000-0005-0000-0000-0000D2350000}"/>
    <cellStyle name="Standard 4 2 2 4 3 3 3 5" xfId="13596" xr:uid="{00000000-0005-0000-0000-0000D3350000}"/>
    <cellStyle name="Standard 4 2 2 4 3 3 3 6" xfId="13597" xr:uid="{00000000-0005-0000-0000-0000D4350000}"/>
    <cellStyle name="Standard 4 2 2 4 3 3 4" xfId="13598" xr:uid="{00000000-0005-0000-0000-0000D5350000}"/>
    <cellStyle name="Standard 4 2 2 4 3 3 4 2" xfId="13599" xr:uid="{00000000-0005-0000-0000-0000D6350000}"/>
    <cellStyle name="Standard 4 2 2 4 3 3 4 3" xfId="13600" xr:uid="{00000000-0005-0000-0000-0000D7350000}"/>
    <cellStyle name="Standard 4 2 2 4 3 3 5" xfId="13601" xr:uid="{00000000-0005-0000-0000-0000D8350000}"/>
    <cellStyle name="Standard 4 2 2 4 3 3 5 2" xfId="13602" xr:uid="{00000000-0005-0000-0000-0000D9350000}"/>
    <cellStyle name="Standard 4 2 2 4 3 3 5 3" xfId="13603" xr:uid="{00000000-0005-0000-0000-0000DA350000}"/>
    <cellStyle name="Standard 4 2 2 4 3 3 6" xfId="13604" xr:uid="{00000000-0005-0000-0000-0000DB350000}"/>
    <cellStyle name="Standard 4 2 2 4 3 3 6 2" xfId="13605" xr:uid="{00000000-0005-0000-0000-0000DC350000}"/>
    <cellStyle name="Standard 4 2 2 4 3 3 7" xfId="13606" xr:uid="{00000000-0005-0000-0000-0000DD350000}"/>
    <cellStyle name="Standard 4 2 2 4 3 3 8" xfId="13607" xr:uid="{00000000-0005-0000-0000-0000DE350000}"/>
    <cellStyle name="Standard 4 2 2 4 3 4" xfId="13608" xr:uid="{00000000-0005-0000-0000-0000DF350000}"/>
    <cellStyle name="Standard 4 2 2 4 3 4 2" xfId="13609" xr:uid="{00000000-0005-0000-0000-0000E0350000}"/>
    <cellStyle name="Standard 4 2 2 4 3 4 2 2" xfId="13610" xr:uid="{00000000-0005-0000-0000-0000E1350000}"/>
    <cellStyle name="Standard 4 2 2 4 3 4 2 2 2" xfId="13611" xr:uid="{00000000-0005-0000-0000-0000E2350000}"/>
    <cellStyle name="Standard 4 2 2 4 3 4 2 2 3" xfId="13612" xr:uid="{00000000-0005-0000-0000-0000E3350000}"/>
    <cellStyle name="Standard 4 2 2 4 3 4 2 3" xfId="13613" xr:uid="{00000000-0005-0000-0000-0000E4350000}"/>
    <cellStyle name="Standard 4 2 2 4 3 4 2 3 2" xfId="13614" xr:uid="{00000000-0005-0000-0000-0000E5350000}"/>
    <cellStyle name="Standard 4 2 2 4 3 4 2 3 3" xfId="13615" xr:uid="{00000000-0005-0000-0000-0000E6350000}"/>
    <cellStyle name="Standard 4 2 2 4 3 4 2 4" xfId="13616" xr:uid="{00000000-0005-0000-0000-0000E7350000}"/>
    <cellStyle name="Standard 4 2 2 4 3 4 2 4 2" xfId="13617" xr:uid="{00000000-0005-0000-0000-0000E8350000}"/>
    <cellStyle name="Standard 4 2 2 4 3 4 2 5" xfId="13618" xr:uid="{00000000-0005-0000-0000-0000E9350000}"/>
    <cellStyle name="Standard 4 2 2 4 3 4 2 6" xfId="13619" xr:uid="{00000000-0005-0000-0000-0000EA350000}"/>
    <cellStyle name="Standard 4 2 2 4 3 4 3" xfId="13620" xr:uid="{00000000-0005-0000-0000-0000EB350000}"/>
    <cellStyle name="Standard 4 2 2 4 3 4 3 2" xfId="13621" xr:uid="{00000000-0005-0000-0000-0000EC350000}"/>
    <cellStyle name="Standard 4 2 2 4 3 4 3 3" xfId="13622" xr:uid="{00000000-0005-0000-0000-0000ED350000}"/>
    <cellStyle name="Standard 4 2 2 4 3 4 4" xfId="13623" xr:uid="{00000000-0005-0000-0000-0000EE350000}"/>
    <cellStyle name="Standard 4 2 2 4 3 4 4 2" xfId="13624" xr:uid="{00000000-0005-0000-0000-0000EF350000}"/>
    <cellStyle name="Standard 4 2 2 4 3 4 4 3" xfId="13625" xr:uid="{00000000-0005-0000-0000-0000F0350000}"/>
    <cellStyle name="Standard 4 2 2 4 3 4 5" xfId="13626" xr:uid="{00000000-0005-0000-0000-0000F1350000}"/>
    <cellStyle name="Standard 4 2 2 4 3 4 5 2" xfId="13627" xr:uid="{00000000-0005-0000-0000-0000F2350000}"/>
    <cellStyle name="Standard 4 2 2 4 3 4 6" xfId="13628" xr:uid="{00000000-0005-0000-0000-0000F3350000}"/>
    <cellStyle name="Standard 4 2 2 4 3 4 7" xfId="13629" xr:uid="{00000000-0005-0000-0000-0000F4350000}"/>
    <cellStyle name="Standard 4 2 2 4 3 5" xfId="13630" xr:uid="{00000000-0005-0000-0000-0000F5350000}"/>
    <cellStyle name="Standard 4 2 2 4 3 5 2" xfId="13631" xr:uid="{00000000-0005-0000-0000-0000F6350000}"/>
    <cellStyle name="Standard 4 2 2 4 3 5 2 2" xfId="13632" xr:uid="{00000000-0005-0000-0000-0000F7350000}"/>
    <cellStyle name="Standard 4 2 2 4 3 5 2 3" xfId="13633" xr:uid="{00000000-0005-0000-0000-0000F8350000}"/>
    <cellStyle name="Standard 4 2 2 4 3 5 3" xfId="13634" xr:uid="{00000000-0005-0000-0000-0000F9350000}"/>
    <cellStyle name="Standard 4 2 2 4 3 5 3 2" xfId="13635" xr:uid="{00000000-0005-0000-0000-0000FA350000}"/>
    <cellStyle name="Standard 4 2 2 4 3 5 3 3" xfId="13636" xr:uid="{00000000-0005-0000-0000-0000FB350000}"/>
    <cellStyle name="Standard 4 2 2 4 3 5 4" xfId="13637" xr:uid="{00000000-0005-0000-0000-0000FC350000}"/>
    <cellStyle name="Standard 4 2 2 4 3 5 4 2" xfId="13638" xr:uid="{00000000-0005-0000-0000-0000FD350000}"/>
    <cellStyle name="Standard 4 2 2 4 3 5 5" xfId="13639" xr:uid="{00000000-0005-0000-0000-0000FE350000}"/>
    <cellStyle name="Standard 4 2 2 4 3 5 6" xfId="13640" xr:uid="{00000000-0005-0000-0000-0000FF350000}"/>
    <cellStyle name="Standard 4 2 2 4 3 6" xfId="13641" xr:uid="{00000000-0005-0000-0000-000000360000}"/>
    <cellStyle name="Standard 4 2 2 4 3 6 2" xfId="13642" xr:uid="{00000000-0005-0000-0000-000001360000}"/>
    <cellStyle name="Standard 4 2 2 4 3 6 3" xfId="13643" xr:uid="{00000000-0005-0000-0000-000002360000}"/>
    <cellStyle name="Standard 4 2 2 4 3 7" xfId="13644" xr:uid="{00000000-0005-0000-0000-000003360000}"/>
    <cellStyle name="Standard 4 2 2 4 3 7 2" xfId="13645" xr:uid="{00000000-0005-0000-0000-000004360000}"/>
    <cellStyle name="Standard 4 2 2 4 3 7 3" xfId="13646" xr:uid="{00000000-0005-0000-0000-000005360000}"/>
    <cellStyle name="Standard 4 2 2 4 3 8" xfId="13647" xr:uid="{00000000-0005-0000-0000-000006360000}"/>
    <cellStyle name="Standard 4 2 2 4 3 8 2" xfId="13648" xr:uid="{00000000-0005-0000-0000-000007360000}"/>
    <cellStyle name="Standard 4 2 2 4 3 9" xfId="13649" xr:uid="{00000000-0005-0000-0000-000008360000}"/>
    <cellStyle name="Standard 4 2 2 4 4" xfId="13650" xr:uid="{00000000-0005-0000-0000-000009360000}"/>
    <cellStyle name="Standard 4 2 2 4 4 2" xfId="13651" xr:uid="{00000000-0005-0000-0000-00000A360000}"/>
    <cellStyle name="Standard 4 2 2 4 4 2 2" xfId="13652" xr:uid="{00000000-0005-0000-0000-00000B360000}"/>
    <cellStyle name="Standard 4 2 2 4 4 2 2 2" xfId="13653" xr:uid="{00000000-0005-0000-0000-00000C360000}"/>
    <cellStyle name="Standard 4 2 2 4 4 2 2 2 2" xfId="13654" xr:uid="{00000000-0005-0000-0000-00000D360000}"/>
    <cellStyle name="Standard 4 2 2 4 4 2 2 2 3" xfId="13655" xr:uid="{00000000-0005-0000-0000-00000E360000}"/>
    <cellStyle name="Standard 4 2 2 4 4 2 2 3" xfId="13656" xr:uid="{00000000-0005-0000-0000-00000F360000}"/>
    <cellStyle name="Standard 4 2 2 4 4 2 2 3 2" xfId="13657" xr:uid="{00000000-0005-0000-0000-000010360000}"/>
    <cellStyle name="Standard 4 2 2 4 4 2 2 3 3" xfId="13658" xr:uid="{00000000-0005-0000-0000-000011360000}"/>
    <cellStyle name="Standard 4 2 2 4 4 2 2 4" xfId="13659" xr:uid="{00000000-0005-0000-0000-000012360000}"/>
    <cellStyle name="Standard 4 2 2 4 4 2 2 4 2" xfId="13660" xr:uid="{00000000-0005-0000-0000-000013360000}"/>
    <cellStyle name="Standard 4 2 2 4 4 2 2 5" xfId="13661" xr:uid="{00000000-0005-0000-0000-000014360000}"/>
    <cellStyle name="Standard 4 2 2 4 4 2 2 6" xfId="13662" xr:uid="{00000000-0005-0000-0000-000015360000}"/>
    <cellStyle name="Standard 4 2 2 4 4 2 3" xfId="13663" xr:uid="{00000000-0005-0000-0000-000016360000}"/>
    <cellStyle name="Standard 4 2 2 4 4 2 3 2" xfId="13664" xr:uid="{00000000-0005-0000-0000-000017360000}"/>
    <cellStyle name="Standard 4 2 2 4 4 2 3 3" xfId="13665" xr:uid="{00000000-0005-0000-0000-000018360000}"/>
    <cellStyle name="Standard 4 2 2 4 4 2 4" xfId="13666" xr:uid="{00000000-0005-0000-0000-000019360000}"/>
    <cellStyle name="Standard 4 2 2 4 4 2 4 2" xfId="13667" xr:uid="{00000000-0005-0000-0000-00001A360000}"/>
    <cellStyle name="Standard 4 2 2 4 4 2 4 3" xfId="13668" xr:uid="{00000000-0005-0000-0000-00001B360000}"/>
    <cellStyle name="Standard 4 2 2 4 4 2 5" xfId="13669" xr:uid="{00000000-0005-0000-0000-00001C360000}"/>
    <cellStyle name="Standard 4 2 2 4 4 2 5 2" xfId="13670" xr:uid="{00000000-0005-0000-0000-00001D360000}"/>
    <cellStyle name="Standard 4 2 2 4 4 2 6" xfId="13671" xr:uid="{00000000-0005-0000-0000-00001E360000}"/>
    <cellStyle name="Standard 4 2 2 4 4 2 7" xfId="13672" xr:uid="{00000000-0005-0000-0000-00001F360000}"/>
    <cellStyle name="Standard 4 2 2 4 4 3" xfId="13673" xr:uid="{00000000-0005-0000-0000-000020360000}"/>
    <cellStyle name="Standard 4 2 2 4 4 3 2" xfId="13674" xr:uid="{00000000-0005-0000-0000-000021360000}"/>
    <cellStyle name="Standard 4 2 2 4 4 3 2 2" xfId="13675" xr:uid="{00000000-0005-0000-0000-000022360000}"/>
    <cellStyle name="Standard 4 2 2 4 4 3 2 3" xfId="13676" xr:uid="{00000000-0005-0000-0000-000023360000}"/>
    <cellStyle name="Standard 4 2 2 4 4 3 3" xfId="13677" xr:uid="{00000000-0005-0000-0000-000024360000}"/>
    <cellStyle name="Standard 4 2 2 4 4 3 3 2" xfId="13678" xr:uid="{00000000-0005-0000-0000-000025360000}"/>
    <cellStyle name="Standard 4 2 2 4 4 3 3 3" xfId="13679" xr:uid="{00000000-0005-0000-0000-000026360000}"/>
    <cellStyle name="Standard 4 2 2 4 4 3 4" xfId="13680" xr:uid="{00000000-0005-0000-0000-000027360000}"/>
    <cellStyle name="Standard 4 2 2 4 4 3 4 2" xfId="13681" xr:uid="{00000000-0005-0000-0000-000028360000}"/>
    <cellStyle name="Standard 4 2 2 4 4 3 5" xfId="13682" xr:uid="{00000000-0005-0000-0000-000029360000}"/>
    <cellStyle name="Standard 4 2 2 4 4 3 6" xfId="13683" xr:uid="{00000000-0005-0000-0000-00002A360000}"/>
    <cellStyle name="Standard 4 2 2 4 4 4" xfId="13684" xr:uid="{00000000-0005-0000-0000-00002B360000}"/>
    <cellStyle name="Standard 4 2 2 4 4 4 2" xfId="13685" xr:uid="{00000000-0005-0000-0000-00002C360000}"/>
    <cellStyle name="Standard 4 2 2 4 4 4 3" xfId="13686" xr:uid="{00000000-0005-0000-0000-00002D360000}"/>
    <cellStyle name="Standard 4 2 2 4 4 5" xfId="13687" xr:uid="{00000000-0005-0000-0000-00002E360000}"/>
    <cellStyle name="Standard 4 2 2 4 4 5 2" xfId="13688" xr:uid="{00000000-0005-0000-0000-00002F360000}"/>
    <cellStyle name="Standard 4 2 2 4 4 5 3" xfId="13689" xr:uid="{00000000-0005-0000-0000-000030360000}"/>
    <cellStyle name="Standard 4 2 2 4 4 6" xfId="13690" xr:uid="{00000000-0005-0000-0000-000031360000}"/>
    <cellStyle name="Standard 4 2 2 4 4 6 2" xfId="13691" xr:uid="{00000000-0005-0000-0000-000032360000}"/>
    <cellStyle name="Standard 4 2 2 4 4 7" xfId="13692" xr:uid="{00000000-0005-0000-0000-000033360000}"/>
    <cellStyle name="Standard 4 2 2 4 4 8" xfId="13693" xr:uid="{00000000-0005-0000-0000-000034360000}"/>
    <cellStyle name="Standard 4 2 2 4 5" xfId="13694" xr:uid="{00000000-0005-0000-0000-000035360000}"/>
    <cellStyle name="Standard 4 2 2 4 5 2" xfId="13695" xr:uid="{00000000-0005-0000-0000-000036360000}"/>
    <cellStyle name="Standard 4 2 2 4 5 2 2" xfId="13696" xr:uid="{00000000-0005-0000-0000-000037360000}"/>
    <cellStyle name="Standard 4 2 2 4 5 2 2 2" xfId="13697" xr:uid="{00000000-0005-0000-0000-000038360000}"/>
    <cellStyle name="Standard 4 2 2 4 5 2 2 2 2" xfId="13698" xr:uid="{00000000-0005-0000-0000-000039360000}"/>
    <cellStyle name="Standard 4 2 2 4 5 2 2 2 3" xfId="13699" xr:uid="{00000000-0005-0000-0000-00003A360000}"/>
    <cellStyle name="Standard 4 2 2 4 5 2 2 3" xfId="13700" xr:uid="{00000000-0005-0000-0000-00003B360000}"/>
    <cellStyle name="Standard 4 2 2 4 5 2 2 3 2" xfId="13701" xr:uid="{00000000-0005-0000-0000-00003C360000}"/>
    <cellStyle name="Standard 4 2 2 4 5 2 2 3 3" xfId="13702" xr:uid="{00000000-0005-0000-0000-00003D360000}"/>
    <cellStyle name="Standard 4 2 2 4 5 2 2 4" xfId="13703" xr:uid="{00000000-0005-0000-0000-00003E360000}"/>
    <cellStyle name="Standard 4 2 2 4 5 2 2 4 2" xfId="13704" xr:uid="{00000000-0005-0000-0000-00003F360000}"/>
    <cellStyle name="Standard 4 2 2 4 5 2 2 5" xfId="13705" xr:uid="{00000000-0005-0000-0000-000040360000}"/>
    <cellStyle name="Standard 4 2 2 4 5 2 2 6" xfId="13706" xr:uid="{00000000-0005-0000-0000-000041360000}"/>
    <cellStyle name="Standard 4 2 2 4 5 2 3" xfId="13707" xr:uid="{00000000-0005-0000-0000-000042360000}"/>
    <cellStyle name="Standard 4 2 2 4 5 2 3 2" xfId="13708" xr:uid="{00000000-0005-0000-0000-000043360000}"/>
    <cellStyle name="Standard 4 2 2 4 5 2 3 3" xfId="13709" xr:uid="{00000000-0005-0000-0000-000044360000}"/>
    <cellStyle name="Standard 4 2 2 4 5 2 4" xfId="13710" xr:uid="{00000000-0005-0000-0000-000045360000}"/>
    <cellStyle name="Standard 4 2 2 4 5 2 4 2" xfId="13711" xr:uid="{00000000-0005-0000-0000-000046360000}"/>
    <cellStyle name="Standard 4 2 2 4 5 2 4 3" xfId="13712" xr:uid="{00000000-0005-0000-0000-000047360000}"/>
    <cellStyle name="Standard 4 2 2 4 5 2 5" xfId="13713" xr:uid="{00000000-0005-0000-0000-000048360000}"/>
    <cellStyle name="Standard 4 2 2 4 5 2 5 2" xfId="13714" xr:uid="{00000000-0005-0000-0000-000049360000}"/>
    <cellStyle name="Standard 4 2 2 4 5 2 6" xfId="13715" xr:uid="{00000000-0005-0000-0000-00004A360000}"/>
    <cellStyle name="Standard 4 2 2 4 5 2 7" xfId="13716" xr:uid="{00000000-0005-0000-0000-00004B360000}"/>
    <cellStyle name="Standard 4 2 2 4 5 3" xfId="13717" xr:uid="{00000000-0005-0000-0000-00004C360000}"/>
    <cellStyle name="Standard 4 2 2 4 5 3 2" xfId="13718" xr:uid="{00000000-0005-0000-0000-00004D360000}"/>
    <cellStyle name="Standard 4 2 2 4 5 3 2 2" xfId="13719" xr:uid="{00000000-0005-0000-0000-00004E360000}"/>
    <cellStyle name="Standard 4 2 2 4 5 3 2 3" xfId="13720" xr:uid="{00000000-0005-0000-0000-00004F360000}"/>
    <cellStyle name="Standard 4 2 2 4 5 3 3" xfId="13721" xr:uid="{00000000-0005-0000-0000-000050360000}"/>
    <cellStyle name="Standard 4 2 2 4 5 3 3 2" xfId="13722" xr:uid="{00000000-0005-0000-0000-000051360000}"/>
    <cellStyle name="Standard 4 2 2 4 5 3 3 3" xfId="13723" xr:uid="{00000000-0005-0000-0000-000052360000}"/>
    <cellStyle name="Standard 4 2 2 4 5 3 4" xfId="13724" xr:uid="{00000000-0005-0000-0000-000053360000}"/>
    <cellStyle name="Standard 4 2 2 4 5 3 4 2" xfId="13725" xr:uid="{00000000-0005-0000-0000-000054360000}"/>
    <cellStyle name="Standard 4 2 2 4 5 3 5" xfId="13726" xr:uid="{00000000-0005-0000-0000-000055360000}"/>
    <cellStyle name="Standard 4 2 2 4 5 3 6" xfId="13727" xr:uid="{00000000-0005-0000-0000-000056360000}"/>
    <cellStyle name="Standard 4 2 2 4 5 4" xfId="13728" xr:uid="{00000000-0005-0000-0000-000057360000}"/>
    <cellStyle name="Standard 4 2 2 4 5 4 2" xfId="13729" xr:uid="{00000000-0005-0000-0000-000058360000}"/>
    <cellStyle name="Standard 4 2 2 4 5 4 3" xfId="13730" xr:uid="{00000000-0005-0000-0000-000059360000}"/>
    <cellStyle name="Standard 4 2 2 4 5 5" xfId="13731" xr:uid="{00000000-0005-0000-0000-00005A360000}"/>
    <cellStyle name="Standard 4 2 2 4 5 5 2" xfId="13732" xr:uid="{00000000-0005-0000-0000-00005B360000}"/>
    <cellStyle name="Standard 4 2 2 4 5 5 3" xfId="13733" xr:uid="{00000000-0005-0000-0000-00005C360000}"/>
    <cellStyle name="Standard 4 2 2 4 5 6" xfId="13734" xr:uid="{00000000-0005-0000-0000-00005D360000}"/>
    <cellStyle name="Standard 4 2 2 4 5 6 2" xfId="13735" xr:uid="{00000000-0005-0000-0000-00005E360000}"/>
    <cellStyle name="Standard 4 2 2 4 5 7" xfId="13736" xr:uid="{00000000-0005-0000-0000-00005F360000}"/>
    <cellStyle name="Standard 4 2 2 4 5 8" xfId="13737" xr:uid="{00000000-0005-0000-0000-000060360000}"/>
    <cellStyle name="Standard 4 2 2 4 6" xfId="13738" xr:uid="{00000000-0005-0000-0000-000061360000}"/>
    <cellStyle name="Standard 4 2 2 4 6 2" xfId="13739" xr:uid="{00000000-0005-0000-0000-000062360000}"/>
    <cellStyle name="Standard 4 2 2 4 6 2 2" xfId="13740" xr:uid="{00000000-0005-0000-0000-000063360000}"/>
    <cellStyle name="Standard 4 2 2 4 6 2 2 2" xfId="13741" xr:uid="{00000000-0005-0000-0000-000064360000}"/>
    <cellStyle name="Standard 4 2 2 4 6 2 2 3" xfId="13742" xr:uid="{00000000-0005-0000-0000-000065360000}"/>
    <cellStyle name="Standard 4 2 2 4 6 2 3" xfId="13743" xr:uid="{00000000-0005-0000-0000-000066360000}"/>
    <cellStyle name="Standard 4 2 2 4 6 2 3 2" xfId="13744" xr:uid="{00000000-0005-0000-0000-000067360000}"/>
    <cellStyle name="Standard 4 2 2 4 6 2 3 3" xfId="13745" xr:uid="{00000000-0005-0000-0000-000068360000}"/>
    <cellStyle name="Standard 4 2 2 4 6 2 4" xfId="13746" xr:uid="{00000000-0005-0000-0000-000069360000}"/>
    <cellStyle name="Standard 4 2 2 4 6 2 4 2" xfId="13747" xr:uid="{00000000-0005-0000-0000-00006A360000}"/>
    <cellStyle name="Standard 4 2 2 4 6 2 5" xfId="13748" xr:uid="{00000000-0005-0000-0000-00006B360000}"/>
    <cellStyle name="Standard 4 2 2 4 6 2 6" xfId="13749" xr:uid="{00000000-0005-0000-0000-00006C360000}"/>
    <cellStyle name="Standard 4 2 2 4 6 3" xfId="13750" xr:uid="{00000000-0005-0000-0000-00006D360000}"/>
    <cellStyle name="Standard 4 2 2 4 6 3 2" xfId="13751" xr:uid="{00000000-0005-0000-0000-00006E360000}"/>
    <cellStyle name="Standard 4 2 2 4 6 3 3" xfId="13752" xr:uid="{00000000-0005-0000-0000-00006F360000}"/>
    <cellStyle name="Standard 4 2 2 4 6 4" xfId="13753" xr:uid="{00000000-0005-0000-0000-000070360000}"/>
    <cellStyle name="Standard 4 2 2 4 6 4 2" xfId="13754" xr:uid="{00000000-0005-0000-0000-000071360000}"/>
    <cellStyle name="Standard 4 2 2 4 6 4 3" xfId="13755" xr:uid="{00000000-0005-0000-0000-000072360000}"/>
    <cellStyle name="Standard 4 2 2 4 6 5" xfId="13756" xr:uid="{00000000-0005-0000-0000-000073360000}"/>
    <cellStyle name="Standard 4 2 2 4 6 5 2" xfId="13757" xr:uid="{00000000-0005-0000-0000-000074360000}"/>
    <cellStyle name="Standard 4 2 2 4 6 6" xfId="13758" xr:uid="{00000000-0005-0000-0000-000075360000}"/>
    <cellStyle name="Standard 4 2 2 4 6 7" xfId="13759" xr:uid="{00000000-0005-0000-0000-000076360000}"/>
    <cellStyle name="Standard 4 2 2 4 7" xfId="13760" xr:uid="{00000000-0005-0000-0000-000077360000}"/>
    <cellStyle name="Standard 4 2 2 4 7 2" xfId="13761" xr:uid="{00000000-0005-0000-0000-000078360000}"/>
    <cellStyle name="Standard 4 2 2 4 7 2 2" xfId="13762" xr:uid="{00000000-0005-0000-0000-000079360000}"/>
    <cellStyle name="Standard 4 2 2 4 7 2 3" xfId="13763" xr:uid="{00000000-0005-0000-0000-00007A360000}"/>
    <cellStyle name="Standard 4 2 2 4 7 3" xfId="13764" xr:uid="{00000000-0005-0000-0000-00007B360000}"/>
    <cellStyle name="Standard 4 2 2 4 7 3 2" xfId="13765" xr:uid="{00000000-0005-0000-0000-00007C360000}"/>
    <cellStyle name="Standard 4 2 2 4 7 3 3" xfId="13766" xr:uid="{00000000-0005-0000-0000-00007D360000}"/>
    <cellStyle name="Standard 4 2 2 4 7 4" xfId="13767" xr:uid="{00000000-0005-0000-0000-00007E360000}"/>
    <cellStyle name="Standard 4 2 2 4 7 4 2" xfId="13768" xr:uid="{00000000-0005-0000-0000-00007F360000}"/>
    <cellStyle name="Standard 4 2 2 4 7 5" xfId="13769" xr:uid="{00000000-0005-0000-0000-000080360000}"/>
    <cellStyle name="Standard 4 2 2 4 7 6" xfId="13770" xr:uid="{00000000-0005-0000-0000-000081360000}"/>
    <cellStyle name="Standard 4 2 2 4 8" xfId="13771" xr:uid="{00000000-0005-0000-0000-000082360000}"/>
    <cellStyle name="Standard 4 2 2 4 8 2" xfId="13772" xr:uid="{00000000-0005-0000-0000-000083360000}"/>
    <cellStyle name="Standard 4 2 2 4 8 3" xfId="13773" xr:uid="{00000000-0005-0000-0000-000084360000}"/>
    <cellStyle name="Standard 4 2 2 4 9" xfId="13774" xr:uid="{00000000-0005-0000-0000-000085360000}"/>
    <cellStyle name="Standard 4 2 2 4 9 2" xfId="13775" xr:uid="{00000000-0005-0000-0000-000086360000}"/>
    <cellStyle name="Standard 4 2 2 4 9 3" xfId="13776" xr:uid="{00000000-0005-0000-0000-000087360000}"/>
    <cellStyle name="Standard 4 2 2 5" xfId="13777" xr:uid="{00000000-0005-0000-0000-000088360000}"/>
    <cellStyle name="Standard 4 2 2 5 10" xfId="13778" xr:uid="{00000000-0005-0000-0000-000089360000}"/>
    <cellStyle name="Standard 4 2 2 5 11" xfId="13779" xr:uid="{00000000-0005-0000-0000-00008A360000}"/>
    <cellStyle name="Standard 4 2 2 5 2" xfId="13780" xr:uid="{00000000-0005-0000-0000-00008B360000}"/>
    <cellStyle name="Standard 4 2 2 5 2 10" xfId="13781" xr:uid="{00000000-0005-0000-0000-00008C360000}"/>
    <cellStyle name="Standard 4 2 2 5 2 2" xfId="13782" xr:uid="{00000000-0005-0000-0000-00008D360000}"/>
    <cellStyle name="Standard 4 2 2 5 2 2 2" xfId="13783" xr:uid="{00000000-0005-0000-0000-00008E360000}"/>
    <cellStyle name="Standard 4 2 2 5 2 2 2 2" xfId="13784" xr:uid="{00000000-0005-0000-0000-00008F360000}"/>
    <cellStyle name="Standard 4 2 2 5 2 2 2 2 2" xfId="13785" xr:uid="{00000000-0005-0000-0000-000090360000}"/>
    <cellStyle name="Standard 4 2 2 5 2 2 2 2 2 2" xfId="13786" xr:uid="{00000000-0005-0000-0000-000091360000}"/>
    <cellStyle name="Standard 4 2 2 5 2 2 2 2 2 3" xfId="13787" xr:uid="{00000000-0005-0000-0000-000092360000}"/>
    <cellStyle name="Standard 4 2 2 5 2 2 2 2 3" xfId="13788" xr:uid="{00000000-0005-0000-0000-000093360000}"/>
    <cellStyle name="Standard 4 2 2 5 2 2 2 2 3 2" xfId="13789" xr:uid="{00000000-0005-0000-0000-000094360000}"/>
    <cellStyle name="Standard 4 2 2 5 2 2 2 2 3 3" xfId="13790" xr:uid="{00000000-0005-0000-0000-000095360000}"/>
    <cellStyle name="Standard 4 2 2 5 2 2 2 2 4" xfId="13791" xr:uid="{00000000-0005-0000-0000-000096360000}"/>
    <cellStyle name="Standard 4 2 2 5 2 2 2 2 4 2" xfId="13792" xr:uid="{00000000-0005-0000-0000-000097360000}"/>
    <cellStyle name="Standard 4 2 2 5 2 2 2 2 5" xfId="13793" xr:uid="{00000000-0005-0000-0000-000098360000}"/>
    <cellStyle name="Standard 4 2 2 5 2 2 2 2 6" xfId="13794" xr:uid="{00000000-0005-0000-0000-000099360000}"/>
    <cellStyle name="Standard 4 2 2 5 2 2 2 3" xfId="13795" xr:uid="{00000000-0005-0000-0000-00009A360000}"/>
    <cellStyle name="Standard 4 2 2 5 2 2 2 3 2" xfId="13796" xr:uid="{00000000-0005-0000-0000-00009B360000}"/>
    <cellStyle name="Standard 4 2 2 5 2 2 2 3 3" xfId="13797" xr:uid="{00000000-0005-0000-0000-00009C360000}"/>
    <cellStyle name="Standard 4 2 2 5 2 2 2 4" xfId="13798" xr:uid="{00000000-0005-0000-0000-00009D360000}"/>
    <cellStyle name="Standard 4 2 2 5 2 2 2 4 2" xfId="13799" xr:uid="{00000000-0005-0000-0000-00009E360000}"/>
    <cellStyle name="Standard 4 2 2 5 2 2 2 4 3" xfId="13800" xr:uid="{00000000-0005-0000-0000-00009F360000}"/>
    <cellStyle name="Standard 4 2 2 5 2 2 2 5" xfId="13801" xr:uid="{00000000-0005-0000-0000-0000A0360000}"/>
    <cellStyle name="Standard 4 2 2 5 2 2 2 5 2" xfId="13802" xr:uid="{00000000-0005-0000-0000-0000A1360000}"/>
    <cellStyle name="Standard 4 2 2 5 2 2 2 6" xfId="13803" xr:uid="{00000000-0005-0000-0000-0000A2360000}"/>
    <cellStyle name="Standard 4 2 2 5 2 2 2 7" xfId="13804" xr:uid="{00000000-0005-0000-0000-0000A3360000}"/>
    <cellStyle name="Standard 4 2 2 5 2 2 3" xfId="13805" xr:uid="{00000000-0005-0000-0000-0000A4360000}"/>
    <cellStyle name="Standard 4 2 2 5 2 2 3 2" xfId="13806" xr:uid="{00000000-0005-0000-0000-0000A5360000}"/>
    <cellStyle name="Standard 4 2 2 5 2 2 3 2 2" xfId="13807" xr:uid="{00000000-0005-0000-0000-0000A6360000}"/>
    <cellStyle name="Standard 4 2 2 5 2 2 3 2 3" xfId="13808" xr:uid="{00000000-0005-0000-0000-0000A7360000}"/>
    <cellStyle name="Standard 4 2 2 5 2 2 3 3" xfId="13809" xr:uid="{00000000-0005-0000-0000-0000A8360000}"/>
    <cellStyle name="Standard 4 2 2 5 2 2 3 3 2" xfId="13810" xr:uid="{00000000-0005-0000-0000-0000A9360000}"/>
    <cellStyle name="Standard 4 2 2 5 2 2 3 3 3" xfId="13811" xr:uid="{00000000-0005-0000-0000-0000AA360000}"/>
    <cellStyle name="Standard 4 2 2 5 2 2 3 4" xfId="13812" xr:uid="{00000000-0005-0000-0000-0000AB360000}"/>
    <cellStyle name="Standard 4 2 2 5 2 2 3 4 2" xfId="13813" xr:uid="{00000000-0005-0000-0000-0000AC360000}"/>
    <cellStyle name="Standard 4 2 2 5 2 2 3 5" xfId="13814" xr:uid="{00000000-0005-0000-0000-0000AD360000}"/>
    <cellStyle name="Standard 4 2 2 5 2 2 3 6" xfId="13815" xr:uid="{00000000-0005-0000-0000-0000AE360000}"/>
    <cellStyle name="Standard 4 2 2 5 2 2 4" xfId="13816" xr:uid="{00000000-0005-0000-0000-0000AF360000}"/>
    <cellStyle name="Standard 4 2 2 5 2 2 4 2" xfId="13817" xr:uid="{00000000-0005-0000-0000-0000B0360000}"/>
    <cellStyle name="Standard 4 2 2 5 2 2 4 3" xfId="13818" xr:uid="{00000000-0005-0000-0000-0000B1360000}"/>
    <cellStyle name="Standard 4 2 2 5 2 2 5" xfId="13819" xr:uid="{00000000-0005-0000-0000-0000B2360000}"/>
    <cellStyle name="Standard 4 2 2 5 2 2 5 2" xfId="13820" xr:uid="{00000000-0005-0000-0000-0000B3360000}"/>
    <cellStyle name="Standard 4 2 2 5 2 2 5 3" xfId="13821" xr:uid="{00000000-0005-0000-0000-0000B4360000}"/>
    <cellStyle name="Standard 4 2 2 5 2 2 6" xfId="13822" xr:uid="{00000000-0005-0000-0000-0000B5360000}"/>
    <cellStyle name="Standard 4 2 2 5 2 2 6 2" xfId="13823" xr:uid="{00000000-0005-0000-0000-0000B6360000}"/>
    <cellStyle name="Standard 4 2 2 5 2 2 7" xfId="13824" xr:uid="{00000000-0005-0000-0000-0000B7360000}"/>
    <cellStyle name="Standard 4 2 2 5 2 2 8" xfId="13825" xr:uid="{00000000-0005-0000-0000-0000B8360000}"/>
    <cellStyle name="Standard 4 2 2 5 2 3" xfId="13826" xr:uid="{00000000-0005-0000-0000-0000B9360000}"/>
    <cellStyle name="Standard 4 2 2 5 2 3 2" xfId="13827" xr:uid="{00000000-0005-0000-0000-0000BA360000}"/>
    <cellStyle name="Standard 4 2 2 5 2 3 2 2" xfId="13828" xr:uid="{00000000-0005-0000-0000-0000BB360000}"/>
    <cellStyle name="Standard 4 2 2 5 2 3 2 2 2" xfId="13829" xr:uid="{00000000-0005-0000-0000-0000BC360000}"/>
    <cellStyle name="Standard 4 2 2 5 2 3 2 2 2 2" xfId="13830" xr:uid="{00000000-0005-0000-0000-0000BD360000}"/>
    <cellStyle name="Standard 4 2 2 5 2 3 2 2 2 3" xfId="13831" xr:uid="{00000000-0005-0000-0000-0000BE360000}"/>
    <cellStyle name="Standard 4 2 2 5 2 3 2 2 3" xfId="13832" xr:uid="{00000000-0005-0000-0000-0000BF360000}"/>
    <cellStyle name="Standard 4 2 2 5 2 3 2 2 3 2" xfId="13833" xr:uid="{00000000-0005-0000-0000-0000C0360000}"/>
    <cellStyle name="Standard 4 2 2 5 2 3 2 2 3 3" xfId="13834" xr:uid="{00000000-0005-0000-0000-0000C1360000}"/>
    <cellStyle name="Standard 4 2 2 5 2 3 2 2 4" xfId="13835" xr:uid="{00000000-0005-0000-0000-0000C2360000}"/>
    <cellStyle name="Standard 4 2 2 5 2 3 2 2 4 2" xfId="13836" xr:uid="{00000000-0005-0000-0000-0000C3360000}"/>
    <cellStyle name="Standard 4 2 2 5 2 3 2 2 5" xfId="13837" xr:uid="{00000000-0005-0000-0000-0000C4360000}"/>
    <cellStyle name="Standard 4 2 2 5 2 3 2 2 6" xfId="13838" xr:uid="{00000000-0005-0000-0000-0000C5360000}"/>
    <cellStyle name="Standard 4 2 2 5 2 3 2 3" xfId="13839" xr:uid="{00000000-0005-0000-0000-0000C6360000}"/>
    <cellStyle name="Standard 4 2 2 5 2 3 2 3 2" xfId="13840" xr:uid="{00000000-0005-0000-0000-0000C7360000}"/>
    <cellStyle name="Standard 4 2 2 5 2 3 2 3 3" xfId="13841" xr:uid="{00000000-0005-0000-0000-0000C8360000}"/>
    <cellStyle name="Standard 4 2 2 5 2 3 2 4" xfId="13842" xr:uid="{00000000-0005-0000-0000-0000C9360000}"/>
    <cellStyle name="Standard 4 2 2 5 2 3 2 4 2" xfId="13843" xr:uid="{00000000-0005-0000-0000-0000CA360000}"/>
    <cellStyle name="Standard 4 2 2 5 2 3 2 4 3" xfId="13844" xr:uid="{00000000-0005-0000-0000-0000CB360000}"/>
    <cellStyle name="Standard 4 2 2 5 2 3 2 5" xfId="13845" xr:uid="{00000000-0005-0000-0000-0000CC360000}"/>
    <cellStyle name="Standard 4 2 2 5 2 3 2 5 2" xfId="13846" xr:uid="{00000000-0005-0000-0000-0000CD360000}"/>
    <cellStyle name="Standard 4 2 2 5 2 3 2 6" xfId="13847" xr:uid="{00000000-0005-0000-0000-0000CE360000}"/>
    <cellStyle name="Standard 4 2 2 5 2 3 2 7" xfId="13848" xr:uid="{00000000-0005-0000-0000-0000CF360000}"/>
    <cellStyle name="Standard 4 2 2 5 2 3 3" xfId="13849" xr:uid="{00000000-0005-0000-0000-0000D0360000}"/>
    <cellStyle name="Standard 4 2 2 5 2 3 3 2" xfId="13850" xr:uid="{00000000-0005-0000-0000-0000D1360000}"/>
    <cellStyle name="Standard 4 2 2 5 2 3 3 2 2" xfId="13851" xr:uid="{00000000-0005-0000-0000-0000D2360000}"/>
    <cellStyle name="Standard 4 2 2 5 2 3 3 2 3" xfId="13852" xr:uid="{00000000-0005-0000-0000-0000D3360000}"/>
    <cellStyle name="Standard 4 2 2 5 2 3 3 3" xfId="13853" xr:uid="{00000000-0005-0000-0000-0000D4360000}"/>
    <cellStyle name="Standard 4 2 2 5 2 3 3 3 2" xfId="13854" xr:uid="{00000000-0005-0000-0000-0000D5360000}"/>
    <cellStyle name="Standard 4 2 2 5 2 3 3 3 3" xfId="13855" xr:uid="{00000000-0005-0000-0000-0000D6360000}"/>
    <cellStyle name="Standard 4 2 2 5 2 3 3 4" xfId="13856" xr:uid="{00000000-0005-0000-0000-0000D7360000}"/>
    <cellStyle name="Standard 4 2 2 5 2 3 3 4 2" xfId="13857" xr:uid="{00000000-0005-0000-0000-0000D8360000}"/>
    <cellStyle name="Standard 4 2 2 5 2 3 3 5" xfId="13858" xr:uid="{00000000-0005-0000-0000-0000D9360000}"/>
    <cellStyle name="Standard 4 2 2 5 2 3 3 6" xfId="13859" xr:uid="{00000000-0005-0000-0000-0000DA360000}"/>
    <cellStyle name="Standard 4 2 2 5 2 3 4" xfId="13860" xr:uid="{00000000-0005-0000-0000-0000DB360000}"/>
    <cellStyle name="Standard 4 2 2 5 2 3 4 2" xfId="13861" xr:uid="{00000000-0005-0000-0000-0000DC360000}"/>
    <cellStyle name="Standard 4 2 2 5 2 3 4 3" xfId="13862" xr:uid="{00000000-0005-0000-0000-0000DD360000}"/>
    <cellStyle name="Standard 4 2 2 5 2 3 5" xfId="13863" xr:uid="{00000000-0005-0000-0000-0000DE360000}"/>
    <cellStyle name="Standard 4 2 2 5 2 3 5 2" xfId="13864" xr:uid="{00000000-0005-0000-0000-0000DF360000}"/>
    <cellStyle name="Standard 4 2 2 5 2 3 5 3" xfId="13865" xr:uid="{00000000-0005-0000-0000-0000E0360000}"/>
    <cellStyle name="Standard 4 2 2 5 2 3 6" xfId="13866" xr:uid="{00000000-0005-0000-0000-0000E1360000}"/>
    <cellStyle name="Standard 4 2 2 5 2 3 6 2" xfId="13867" xr:uid="{00000000-0005-0000-0000-0000E2360000}"/>
    <cellStyle name="Standard 4 2 2 5 2 3 7" xfId="13868" xr:uid="{00000000-0005-0000-0000-0000E3360000}"/>
    <cellStyle name="Standard 4 2 2 5 2 3 8" xfId="13869" xr:uid="{00000000-0005-0000-0000-0000E4360000}"/>
    <cellStyle name="Standard 4 2 2 5 2 4" xfId="13870" xr:uid="{00000000-0005-0000-0000-0000E5360000}"/>
    <cellStyle name="Standard 4 2 2 5 2 4 2" xfId="13871" xr:uid="{00000000-0005-0000-0000-0000E6360000}"/>
    <cellStyle name="Standard 4 2 2 5 2 4 2 2" xfId="13872" xr:uid="{00000000-0005-0000-0000-0000E7360000}"/>
    <cellStyle name="Standard 4 2 2 5 2 4 2 2 2" xfId="13873" xr:uid="{00000000-0005-0000-0000-0000E8360000}"/>
    <cellStyle name="Standard 4 2 2 5 2 4 2 2 3" xfId="13874" xr:uid="{00000000-0005-0000-0000-0000E9360000}"/>
    <cellStyle name="Standard 4 2 2 5 2 4 2 3" xfId="13875" xr:uid="{00000000-0005-0000-0000-0000EA360000}"/>
    <cellStyle name="Standard 4 2 2 5 2 4 2 3 2" xfId="13876" xr:uid="{00000000-0005-0000-0000-0000EB360000}"/>
    <cellStyle name="Standard 4 2 2 5 2 4 2 3 3" xfId="13877" xr:uid="{00000000-0005-0000-0000-0000EC360000}"/>
    <cellStyle name="Standard 4 2 2 5 2 4 2 4" xfId="13878" xr:uid="{00000000-0005-0000-0000-0000ED360000}"/>
    <cellStyle name="Standard 4 2 2 5 2 4 2 4 2" xfId="13879" xr:uid="{00000000-0005-0000-0000-0000EE360000}"/>
    <cellStyle name="Standard 4 2 2 5 2 4 2 5" xfId="13880" xr:uid="{00000000-0005-0000-0000-0000EF360000}"/>
    <cellStyle name="Standard 4 2 2 5 2 4 2 6" xfId="13881" xr:uid="{00000000-0005-0000-0000-0000F0360000}"/>
    <cellStyle name="Standard 4 2 2 5 2 4 3" xfId="13882" xr:uid="{00000000-0005-0000-0000-0000F1360000}"/>
    <cellStyle name="Standard 4 2 2 5 2 4 3 2" xfId="13883" xr:uid="{00000000-0005-0000-0000-0000F2360000}"/>
    <cellStyle name="Standard 4 2 2 5 2 4 3 3" xfId="13884" xr:uid="{00000000-0005-0000-0000-0000F3360000}"/>
    <cellStyle name="Standard 4 2 2 5 2 4 4" xfId="13885" xr:uid="{00000000-0005-0000-0000-0000F4360000}"/>
    <cellStyle name="Standard 4 2 2 5 2 4 4 2" xfId="13886" xr:uid="{00000000-0005-0000-0000-0000F5360000}"/>
    <cellStyle name="Standard 4 2 2 5 2 4 4 3" xfId="13887" xr:uid="{00000000-0005-0000-0000-0000F6360000}"/>
    <cellStyle name="Standard 4 2 2 5 2 4 5" xfId="13888" xr:uid="{00000000-0005-0000-0000-0000F7360000}"/>
    <cellStyle name="Standard 4 2 2 5 2 4 5 2" xfId="13889" xr:uid="{00000000-0005-0000-0000-0000F8360000}"/>
    <cellStyle name="Standard 4 2 2 5 2 4 6" xfId="13890" xr:uid="{00000000-0005-0000-0000-0000F9360000}"/>
    <cellStyle name="Standard 4 2 2 5 2 4 7" xfId="13891" xr:uid="{00000000-0005-0000-0000-0000FA360000}"/>
    <cellStyle name="Standard 4 2 2 5 2 5" xfId="13892" xr:uid="{00000000-0005-0000-0000-0000FB360000}"/>
    <cellStyle name="Standard 4 2 2 5 2 5 2" xfId="13893" xr:uid="{00000000-0005-0000-0000-0000FC360000}"/>
    <cellStyle name="Standard 4 2 2 5 2 5 2 2" xfId="13894" xr:uid="{00000000-0005-0000-0000-0000FD360000}"/>
    <cellStyle name="Standard 4 2 2 5 2 5 2 3" xfId="13895" xr:uid="{00000000-0005-0000-0000-0000FE360000}"/>
    <cellStyle name="Standard 4 2 2 5 2 5 3" xfId="13896" xr:uid="{00000000-0005-0000-0000-0000FF360000}"/>
    <cellStyle name="Standard 4 2 2 5 2 5 3 2" xfId="13897" xr:uid="{00000000-0005-0000-0000-000000370000}"/>
    <cellStyle name="Standard 4 2 2 5 2 5 3 3" xfId="13898" xr:uid="{00000000-0005-0000-0000-000001370000}"/>
    <cellStyle name="Standard 4 2 2 5 2 5 4" xfId="13899" xr:uid="{00000000-0005-0000-0000-000002370000}"/>
    <cellStyle name="Standard 4 2 2 5 2 5 4 2" xfId="13900" xr:uid="{00000000-0005-0000-0000-000003370000}"/>
    <cellStyle name="Standard 4 2 2 5 2 5 5" xfId="13901" xr:uid="{00000000-0005-0000-0000-000004370000}"/>
    <cellStyle name="Standard 4 2 2 5 2 5 6" xfId="13902" xr:uid="{00000000-0005-0000-0000-000005370000}"/>
    <cellStyle name="Standard 4 2 2 5 2 6" xfId="13903" xr:uid="{00000000-0005-0000-0000-000006370000}"/>
    <cellStyle name="Standard 4 2 2 5 2 6 2" xfId="13904" xr:uid="{00000000-0005-0000-0000-000007370000}"/>
    <cellStyle name="Standard 4 2 2 5 2 6 3" xfId="13905" xr:uid="{00000000-0005-0000-0000-000008370000}"/>
    <cellStyle name="Standard 4 2 2 5 2 7" xfId="13906" xr:uid="{00000000-0005-0000-0000-000009370000}"/>
    <cellStyle name="Standard 4 2 2 5 2 7 2" xfId="13907" xr:uid="{00000000-0005-0000-0000-00000A370000}"/>
    <cellStyle name="Standard 4 2 2 5 2 7 3" xfId="13908" xr:uid="{00000000-0005-0000-0000-00000B370000}"/>
    <cellStyle name="Standard 4 2 2 5 2 8" xfId="13909" xr:uid="{00000000-0005-0000-0000-00000C370000}"/>
    <cellStyle name="Standard 4 2 2 5 2 8 2" xfId="13910" xr:uid="{00000000-0005-0000-0000-00000D370000}"/>
    <cellStyle name="Standard 4 2 2 5 2 9" xfId="13911" xr:uid="{00000000-0005-0000-0000-00000E370000}"/>
    <cellStyle name="Standard 4 2 2 5 3" xfId="13912" xr:uid="{00000000-0005-0000-0000-00000F370000}"/>
    <cellStyle name="Standard 4 2 2 5 3 2" xfId="13913" xr:uid="{00000000-0005-0000-0000-000010370000}"/>
    <cellStyle name="Standard 4 2 2 5 3 2 2" xfId="13914" xr:uid="{00000000-0005-0000-0000-000011370000}"/>
    <cellStyle name="Standard 4 2 2 5 3 2 2 2" xfId="13915" xr:uid="{00000000-0005-0000-0000-000012370000}"/>
    <cellStyle name="Standard 4 2 2 5 3 2 2 2 2" xfId="13916" xr:uid="{00000000-0005-0000-0000-000013370000}"/>
    <cellStyle name="Standard 4 2 2 5 3 2 2 2 3" xfId="13917" xr:uid="{00000000-0005-0000-0000-000014370000}"/>
    <cellStyle name="Standard 4 2 2 5 3 2 2 3" xfId="13918" xr:uid="{00000000-0005-0000-0000-000015370000}"/>
    <cellStyle name="Standard 4 2 2 5 3 2 2 3 2" xfId="13919" xr:uid="{00000000-0005-0000-0000-000016370000}"/>
    <cellStyle name="Standard 4 2 2 5 3 2 2 3 3" xfId="13920" xr:uid="{00000000-0005-0000-0000-000017370000}"/>
    <cellStyle name="Standard 4 2 2 5 3 2 2 4" xfId="13921" xr:uid="{00000000-0005-0000-0000-000018370000}"/>
    <cellStyle name="Standard 4 2 2 5 3 2 2 4 2" xfId="13922" xr:uid="{00000000-0005-0000-0000-000019370000}"/>
    <cellStyle name="Standard 4 2 2 5 3 2 2 5" xfId="13923" xr:uid="{00000000-0005-0000-0000-00001A370000}"/>
    <cellStyle name="Standard 4 2 2 5 3 2 2 6" xfId="13924" xr:uid="{00000000-0005-0000-0000-00001B370000}"/>
    <cellStyle name="Standard 4 2 2 5 3 2 3" xfId="13925" xr:uid="{00000000-0005-0000-0000-00001C370000}"/>
    <cellStyle name="Standard 4 2 2 5 3 2 3 2" xfId="13926" xr:uid="{00000000-0005-0000-0000-00001D370000}"/>
    <cellStyle name="Standard 4 2 2 5 3 2 3 3" xfId="13927" xr:uid="{00000000-0005-0000-0000-00001E370000}"/>
    <cellStyle name="Standard 4 2 2 5 3 2 4" xfId="13928" xr:uid="{00000000-0005-0000-0000-00001F370000}"/>
    <cellStyle name="Standard 4 2 2 5 3 2 4 2" xfId="13929" xr:uid="{00000000-0005-0000-0000-000020370000}"/>
    <cellStyle name="Standard 4 2 2 5 3 2 4 3" xfId="13930" xr:uid="{00000000-0005-0000-0000-000021370000}"/>
    <cellStyle name="Standard 4 2 2 5 3 2 5" xfId="13931" xr:uid="{00000000-0005-0000-0000-000022370000}"/>
    <cellStyle name="Standard 4 2 2 5 3 2 5 2" xfId="13932" xr:uid="{00000000-0005-0000-0000-000023370000}"/>
    <cellStyle name="Standard 4 2 2 5 3 2 6" xfId="13933" xr:uid="{00000000-0005-0000-0000-000024370000}"/>
    <cellStyle name="Standard 4 2 2 5 3 2 7" xfId="13934" xr:uid="{00000000-0005-0000-0000-000025370000}"/>
    <cellStyle name="Standard 4 2 2 5 3 3" xfId="13935" xr:uid="{00000000-0005-0000-0000-000026370000}"/>
    <cellStyle name="Standard 4 2 2 5 3 3 2" xfId="13936" xr:uid="{00000000-0005-0000-0000-000027370000}"/>
    <cellStyle name="Standard 4 2 2 5 3 3 2 2" xfId="13937" xr:uid="{00000000-0005-0000-0000-000028370000}"/>
    <cellStyle name="Standard 4 2 2 5 3 3 2 3" xfId="13938" xr:uid="{00000000-0005-0000-0000-000029370000}"/>
    <cellStyle name="Standard 4 2 2 5 3 3 3" xfId="13939" xr:uid="{00000000-0005-0000-0000-00002A370000}"/>
    <cellStyle name="Standard 4 2 2 5 3 3 3 2" xfId="13940" xr:uid="{00000000-0005-0000-0000-00002B370000}"/>
    <cellStyle name="Standard 4 2 2 5 3 3 3 3" xfId="13941" xr:uid="{00000000-0005-0000-0000-00002C370000}"/>
    <cellStyle name="Standard 4 2 2 5 3 3 4" xfId="13942" xr:uid="{00000000-0005-0000-0000-00002D370000}"/>
    <cellStyle name="Standard 4 2 2 5 3 3 4 2" xfId="13943" xr:uid="{00000000-0005-0000-0000-00002E370000}"/>
    <cellStyle name="Standard 4 2 2 5 3 3 5" xfId="13944" xr:uid="{00000000-0005-0000-0000-00002F370000}"/>
    <cellStyle name="Standard 4 2 2 5 3 3 6" xfId="13945" xr:uid="{00000000-0005-0000-0000-000030370000}"/>
    <cellStyle name="Standard 4 2 2 5 3 4" xfId="13946" xr:uid="{00000000-0005-0000-0000-000031370000}"/>
    <cellStyle name="Standard 4 2 2 5 3 4 2" xfId="13947" xr:uid="{00000000-0005-0000-0000-000032370000}"/>
    <cellStyle name="Standard 4 2 2 5 3 4 3" xfId="13948" xr:uid="{00000000-0005-0000-0000-000033370000}"/>
    <cellStyle name="Standard 4 2 2 5 3 5" xfId="13949" xr:uid="{00000000-0005-0000-0000-000034370000}"/>
    <cellStyle name="Standard 4 2 2 5 3 5 2" xfId="13950" xr:uid="{00000000-0005-0000-0000-000035370000}"/>
    <cellStyle name="Standard 4 2 2 5 3 5 3" xfId="13951" xr:uid="{00000000-0005-0000-0000-000036370000}"/>
    <cellStyle name="Standard 4 2 2 5 3 6" xfId="13952" xr:uid="{00000000-0005-0000-0000-000037370000}"/>
    <cellStyle name="Standard 4 2 2 5 3 6 2" xfId="13953" xr:uid="{00000000-0005-0000-0000-000038370000}"/>
    <cellStyle name="Standard 4 2 2 5 3 7" xfId="13954" xr:uid="{00000000-0005-0000-0000-000039370000}"/>
    <cellStyle name="Standard 4 2 2 5 3 8" xfId="13955" xr:uid="{00000000-0005-0000-0000-00003A370000}"/>
    <cellStyle name="Standard 4 2 2 5 4" xfId="13956" xr:uid="{00000000-0005-0000-0000-00003B370000}"/>
    <cellStyle name="Standard 4 2 2 5 4 2" xfId="13957" xr:uid="{00000000-0005-0000-0000-00003C370000}"/>
    <cellStyle name="Standard 4 2 2 5 4 2 2" xfId="13958" xr:uid="{00000000-0005-0000-0000-00003D370000}"/>
    <cellStyle name="Standard 4 2 2 5 4 2 2 2" xfId="13959" xr:uid="{00000000-0005-0000-0000-00003E370000}"/>
    <cellStyle name="Standard 4 2 2 5 4 2 2 2 2" xfId="13960" xr:uid="{00000000-0005-0000-0000-00003F370000}"/>
    <cellStyle name="Standard 4 2 2 5 4 2 2 2 3" xfId="13961" xr:uid="{00000000-0005-0000-0000-000040370000}"/>
    <cellStyle name="Standard 4 2 2 5 4 2 2 3" xfId="13962" xr:uid="{00000000-0005-0000-0000-000041370000}"/>
    <cellStyle name="Standard 4 2 2 5 4 2 2 3 2" xfId="13963" xr:uid="{00000000-0005-0000-0000-000042370000}"/>
    <cellStyle name="Standard 4 2 2 5 4 2 2 3 3" xfId="13964" xr:uid="{00000000-0005-0000-0000-000043370000}"/>
    <cellStyle name="Standard 4 2 2 5 4 2 2 4" xfId="13965" xr:uid="{00000000-0005-0000-0000-000044370000}"/>
    <cellStyle name="Standard 4 2 2 5 4 2 2 4 2" xfId="13966" xr:uid="{00000000-0005-0000-0000-000045370000}"/>
    <cellStyle name="Standard 4 2 2 5 4 2 2 5" xfId="13967" xr:uid="{00000000-0005-0000-0000-000046370000}"/>
    <cellStyle name="Standard 4 2 2 5 4 2 2 6" xfId="13968" xr:uid="{00000000-0005-0000-0000-000047370000}"/>
    <cellStyle name="Standard 4 2 2 5 4 2 3" xfId="13969" xr:uid="{00000000-0005-0000-0000-000048370000}"/>
    <cellStyle name="Standard 4 2 2 5 4 2 3 2" xfId="13970" xr:uid="{00000000-0005-0000-0000-000049370000}"/>
    <cellStyle name="Standard 4 2 2 5 4 2 3 3" xfId="13971" xr:uid="{00000000-0005-0000-0000-00004A370000}"/>
    <cellStyle name="Standard 4 2 2 5 4 2 4" xfId="13972" xr:uid="{00000000-0005-0000-0000-00004B370000}"/>
    <cellStyle name="Standard 4 2 2 5 4 2 4 2" xfId="13973" xr:uid="{00000000-0005-0000-0000-00004C370000}"/>
    <cellStyle name="Standard 4 2 2 5 4 2 4 3" xfId="13974" xr:uid="{00000000-0005-0000-0000-00004D370000}"/>
    <cellStyle name="Standard 4 2 2 5 4 2 5" xfId="13975" xr:uid="{00000000-0005-0000-0000-00004E370000}"/>
    <cellStyle name="Standard 4 2 2 5 4 2 5 2" xfId="13976" xr:uid="{00000000-0005-0000-0000-00004F370000}"/>
    <cellStyle name="Standard 4 2 2 5 4 2 6" xfId="13977" xr:uid="{00000000-0005-0000-0000-000050370000}"/>
    <cellStyle name="Standard 4 2 2 5 4 2 7" xfId="13978" xr:uid="{00000000-0005-0000-0000-000051370000}"/>
    <cellStyle name="Standard 4 2 2 5 4 3" xfId="13979" xr:uid="{00000000-0005-0000-0000-000052370000}"/>
    <cellStyle name="Standard 4 2 2 5 4 3 2" xfId="13980" xr:uid="{00000000-0005-0000-0000-000053370000}"/>
    <cellStyle name="Standard 4 2 2 5 4 3 2 2" xfId="13981" xr:uid="{00000000-0005-0000-0000-000054370000}"/>
    <cellStyle name="Standard 4 2 2 5 4 3 2 3" xfId="13982" xr:uid="{00000000-0005-0000-0000-000055370000}"/>
    <cellStyle name="Standard 4 2 2 5 4 3 3" xfId="13983" xr:uid="{00000000-0005-0000-0000-000056370000}"/>
    <cellStyle name="Standard 4 2 2 5 4 3 3 2" xfId="13984" xr:uid="{00000000-0005-0000-0000-000057370000}"/>
    <cellStyle name="Standard 4 2 2 5 4 3 3 3" xfId="13985" xr:uid="{00000000-0005-0000-0000-000058370000}"/>
    <cellStyle name="Standard 4 2 2 5 4 3 4" xfId="13986" xr:uid="{00000000-0005-0000-0000-000059370000}"/>
    <cellStyle name="Standard 4 2 2 5 4 3 4 2" xfId="13987" xr:uid="{00000000-0005-0000-0000-00005A370000}"/>
    <cellStyle name="Standard 4 2 2 5 4 3 5" xfId="13988" xr:uid="{00000000-0005-0000-0000-00005B370000}"/>
    <cellStyle name="Standard 4 2 2 5 4 3 6" xfId="13989" xr:uid="{00000000-0005-0000-0000-00005C370000}"/>
    <cellStyle name="Standard 4 2 2 5 4 4" xfId="13990" xr:uid="{00000000-0005-0000-0000-00005D370000}"/>
    <cellStyle name="Standard 4 2 2 5 4 4 2" xfId="13991" xr:uid="{00000000-0005-0000-0000-00005E370000}"/>
    <cellStyle name="Standard 4 2 2 5 4 4 3" xfId="13992" xr:uid="{00000000-0005-0000-0000-00005F370000}"/>
    <cellStyle name="Standard 4 2 2 5 4 5" xfId="13993" xr:uid="{00000000-0005-0000-0000-000060370000}"/>
    <cellStyle name="Standard 4 2 2 5 4 5 2" xfId="13994" xr:uid="{00000000-0005-0000-0000-000061370000}"/>
    <cellStyle name="Standard 4 2 2 5 4 5 3" xfId="13995" xr:uid="{00000000-0005-0000-0000-000062370000}"/>
    <cellStyle name="Standard 4 2 2 5 4 6" xfId="13996" xr:uid="{00000000-0005-0000-0000-000063370000}"/>
    <cellStyle name="Standard 4 2 2 5 4 6 2" xfId="13997" xr:uid="{00000000-0005-0000-0000-000064370000}"/>
    <cellStyle name="Standard 4 2 2 5 4 7" xfId="13998" xr:uid="{00000000-0005-0000-0000-000065370000}"/>
    <cellStyle name="Standard 4 2 2 5 4 8" xfId="13999" xr:uid="{00000000-0005-0000-0000-000066370000}"/>
    <cellStyle name="Standard 4 2 2 5 5" xfId="14000" xr:uid="{00000000-0005-0000-0000-000067370000}"/>
    <cellStyle name="Standard 4 2 2 5 5 2" xfId="14001" xr:uid="{00000000-0005-0000-0000-000068370000}"/>
    <cellStyle name="Standard 4 2 2 5 5 2 2" xfId="14002" xr:uid="{00000000-0005-0000-0000-000069370000}"/>
    <cellStyle name="Standard 4 2 2 5 5 2 2 2" xfId="14003" xr:uid="{00000000-0005-0000-0000-00006A370000}"/>
    <cellStyle name="Standard 4 2 2 5 5 2 2 3" xfId="14004" xr:uid="{00000000-0005-0000-0000-00006B370000}"/>
    <cellStyle name="Standard 4 2 2 5 5 2 3" xfId="14005" xr:uid="{00000000-0005-0000-0000-00006C370000}"/>
    <cellStyle name="Standard 4 2 2 5 5 2 3 2" xfId="14006" xr:uid="{00000000-0005-0000-0000-00006D370000}"/>
    <cellStyle name="Standard 4 2 2 5 5 2 3 3" xfId="14007" xr:uid="{00000000-0005-0000-0000-00006E370000}"/>
    <cellStyle name="Standard 4 2 2 5 5 2 4" xfId="14008" xr:uid="{00000000-0005-0000-0000-00006F370000}"/>
    <cellStyle name="Standard 4 2 2 5 5 2 4 2" xfId="14009" xr:uid="{00000000-0005-0000-0000-000070370000}"/>
    <cellStyle name="Standard 4 2 2 5 5 2 5" xfId="14010" xr:uid="{00000000-0005-0000-0000-000071370000}"/>
    <cellStyle name="Standard 4 2 2 5 5 2 6" xfId="14011" xr:uid="{00000000-0005-0000-0000-000072370000}"/>
    <cellStyle name="Standard 4 2 2 5 5 3" xfId="14012" xr:uid="{00000000-0005-0000-0000-000073370000}"/>
    <cellStyle name="Standard 4 2 2 5 5 3 2" xfId="14013" xr:uid="{00000000-0005-0000-0000-000074370000}"/>
    <cellStyle name="Standard 4 2 2 5 5 3 3" xfId="14014" xr:uid="{00000000-0005-0000-0000-000075370000}"/>
    <cellStyle name="Standard 4 2 2 5 5 4" xfId="14015" xr:uid="{00000000-0005-0000-0000-000076370000}"/>
    <cellStyle name="Standard 4 2 2 5 5 4 2" xfId="14016" xr:uid="{00000000-0005-0000-0000-000077370000}"/>
    <cellStyle name="Standard 4 2 2 5 5 4 3" xfId="14017" xr:uid="{00000000-0005-0000-0000-000078370000}"/>
    <cellStyle name="Standard 4 2 2 5 5 5" xfId="14018" xr:uid="{00000000-0005-0000-0000-000079370000}"/>
    <cellStyle name="Standard 4 2 2 5 5 5 2" xfId="14019" xr:uid="{00000000-0005-0000-0000-00007A370000}"/>
    <cellStyle name="Standard 4 2 2 5 5 6" xfId="14020" xr:uid="{00000000-0005-0000-0000-00007B370000}"/>
    <cellStyle name="Standard 4 2 2 5 5 7" xfId="14021" xr:uid="{00000000-0005-0000-0000-00007C370000}"/>
    <cellStyle name="Standard 4 2 2 5 6" xfId="14022" xr:uid="{00000000-0005-0000-0000-00007D370000}"/>
    <cellStyle name="Standard 4 2 2 5 6 2" xfId="14023" xr:uid="{00000000-0005-0000-0000-00007E370000}"/>
    <cellStyle name="Standard 4 2 2 5 6 2 2" xfId="14024" xr:uid="{00000000-0005-0000-0000-00007F370000}"/>
    <cellStyle name="Standard 4 2 2 5 6 2 3" xfId="14025" xr:uid="{00000000-0005-0000-0000-000080370000}"/>
    <cellStyle name="Standard 4 2 2 5 6 3" xfId="14026" xr:uid="{00000000-0005-0000-0000-000081370000}"/>
    <cellStyle name="Standard 4 2 2 5 6 3 2" xfId="14027" xr:uid="{00000000-0005-0000-0000-000082370000}"/>
    <cellStyle name="Standard 4 2 2 5 6 3 3" xfId="14028" xr:uid="{00000000-0005-0000-0000-000083370000}"/>
    <cellStyle name="Standard 4 2 2 5 6 4" xfId="14029" xr:uid="{00000000-0005-0000-0000-000084370000}"/>
    <cellStyle name="Standard 4 2 2 5 6 4 2" xfId="14030" xr:uid="{00000000-0005-0000-0000-000085370000}"/>
    <cellStyle name="Standard 4 2 2 5 6 5" xfId="14031" xr:uid="{00000000-0005-0000-0000-000086370000}"/>
    <cellStyle name="Standard 4 2 2 5 6 6" xfId="14032" xr:uid="{00000000-0005-0000-0000-000087370000}"/>
    <cellStyle name="Standard 4 2 2 5 7" xfId="14033" xr:uid="{00000000-0005-0000-0000-000088370000}"/>
    <cellStyle name="Standard 4 2 2 5 7 2" xfId="14034" xr:uid="{00000000-0005-0000-0000-000089370000}"/>
    <cellStyle name="Standard 4 2 2 5 7 3" xfId="14035" xr:uid="{00000000-0005-0000-0000-00008A370000}"/>
    <cellStyle name="Standard 4 2 2 5 8" xfId="14036" xr:uid="{00000000-0005-0000-0000-00008B370000}"/>
    <cellStyle name="Standard 4 2 2 5 8 2" xfId="14037" xr:uid="{00000000-0005-0000-0000-00008C370000}"/>
    <cellStyle name="Standard 4 2 2 5 8 3" xfId="14038" xr:uid="{00000000-0005-0000-0000-00008D370000}"/>
    <cellStyle name="Standard 4 2 2 5 9" xfId="14039" xr:uid="{00000000-0005-0000-0000-00008E370000}"/>
    <cellStyle name="Standard 4 2 2 5 9 2" xfId="14040" xr:uid="{00000000-0005-0000-0000-00008F370000}"/>
    <cellStyle name="Standard 4 2 2 6" xfId="14041" xr:uid="{00000000-0005-0000-0000-000090370000}"/>
    <cellStyle name="Standard 4 2 2 6 10" xfId="14042" xr:uid="{00000000-0005-0000-0000-000091370000}"/>
    <cellStyle name="Standard 4 2 2 6 11" xfId="14043" xr:uid="{00000000-0005-0000-0000-000092370000}"/>
    <cellStyle name="Standard 4 2 2 6 2" xfId="14044" xr:uid="{00000000-0005-0000-0000-000093370000}"/>
    <cellStyle name="Standard 4 2 2 6 2 10" xfId="14045" xr:uid="{00000000-0005-0000-0000-000094370000}"/>
    <cellStyle name="Standard 4 2 2 6 2 2" xfId="14046" xr:uid="{00000000-0005-0000-0000-000095370000}"/>
    <cellStyle name="Standard 4 2 2 6 2 2 2" xfId="14047" xr:uid="{00000000-0005-0000-0000-000096370000}"/>
    <cellStyle name="Standard 4 2 2 6 2 2 2 2" xfId="14048" xr:uid="{00000000-0005-0000-0000-000097370000}"/>
    <cellStyle name="Standard 4 2 2 6 2 2 2 2 2" xfId="14049" xr:uid="{00000000-0005-0000-0000-000098370000}"/>
    <cellStyle name="Standard 4 2 2 6 2 2 2 2 2 2" xfId="14050" xr:uid="{00000000-0005-0000-0000-000099370000}"/>
    <cellStyle name="Standard 4 2 2 6 2 2 2 2 2 3" xfId="14051" xr:uid="{00000000-0005-0000-0000-00009A370000}"/>
    <cellStyle name="Standard 4 2 2 6 2 2 2 2 3" xfId="14052" xr:uid="{00000000-0005-0000-0000-00009B370000}"/>
    <cellStyle name="Standard 4 2 2 6 2 2 2 2 3 2" xfId="14053" xr:uid="{00000000-0005-0000-0000-00009C370000}"/>
    <cellStyle name="Standard 4 2 2 6 2 2 2 2 3 3" xfId="14054" xr:uid="{00000000-0005-0000-0000-00009D370000}"/>
    <cellStyle name="Standard 4 2 2 6 2 2 2 2 4" xfId="14055" xr:uid="{00000000-0005-0000-0000-00009E370000}"/>
    <cellStyle name="Standard 4 2 2 6 2 2 2 2 4 2" xfId="14056" xr:uid="{00000000-0005-0000-0000-00009F370000}"/>
    <cellStyle name="Standard 4 2 2 6 2 2 2 2 5" xfId="14057" xr:uid="{00000000-0005-0000-0000-0000A0370000}"/>
    <cellStyle name="Standard 4 2 2 6 2 2 2 2 6" xfId="14058" xr:uid="{00000000-0005-0000-0000-0000A1370000}"/>
    <cellStyle name="Standard 4 2 2 6 2 2 2 3" xfId="14059" xr:uid="{00000000-0005-0000-0000-0000A2370000}"/>
    <cellStyle name="Standard 4 2 2 6 2 2 2 3 2" xfId="14060" xr:uid="{00000000-0005-0000-0000-0000A3370000}"/>
    <cellStyle name="Standard 4 2 2 6 2 2 2 3 3" xfId="14061" xr:uid="{00000000-0005-0000-0000-0000A4370000}"/>
    <cellStyle name="Standard 4 2 2 6 2 2 2 4" xfId="14062" xr:uid="{00000000-0005-0000-0000-0000A5370000}"/>
    <cellStyle name="Standard 4 2 2 6 2 2 2 4 2" xfId="14063" xr:uid="{00000000-0005-0000-0000-0000A6370000}"/>
    <cellStyle name="Standard 4 2 2 6 2 2 2 4 3" xfId="14064" xr:uid="{00000000-0005-0000-0000-0000A7370000}"/>
    <cellStyle name="Standard 4 2 2 6 2 2 2 5" xfId="14065" xr:uid="{00000000-0005-0000-0000-0000A8370000}"/>
    <cellStyle name="Standard 4 2 2 6 2 2 2 5 2" xfId="14066" xr:uid="{00000000-0005-0000-0000-0000A9370000}"/>
    <cellStyle name="Standard 4 2 2 6 2 2 2 6" xfId="14067" xr:uid="{00000000-0005-0000-0000-0000AA370000}"/>
    <cellStyle name="Standard 4 2 2 6 2 2 2 7" xfId="14068" xr:uid="{00000000-0005-0000-0000-0000AB370000}"/>
    <cellStyle name="Standard 4 2 2 6 2 2 3" xfId="14069" xr:uid="{00000000-0005-0000-0000-0000AC370000}"/>
    <cellStyle name="Standard 4 2 2 6 2 2 3 2" xfId="14070" xr:uid="{00000000-0005-0000-0000-0000AD370000}"/>
    <cellStyle name="Standard 4 2 2 6 2 2 3 2 2" xfId="14071" xr:uid="{00000000-0005-0000-0000-0000AE370000}"/>
    <cellStyle name="Standard 4 2 2 6 2 2 3 2 3" xfId="14072" xr:uid="{00000000-0005-0000-0000-0000AF370000}"/>
    <cellStyle name="Standard 4 2 2 6 2 2 3 3" xfId="14073" xr:uid="{00000000-0005-0000-0000-0000B0370000}"/>
    <cellStyle name="Standard 4 2 2 6 2 2 3 3 2" xfId="14074" xr:uid="{00000000-0005-0000-0000-0000B1370000}"/>
    <cellStyle name="Standard 4 2 2 6 2 2 3 3 3" xfId="14075" xr:uid="{00000000-0005-0000-0000-0000B2370000}"/>
    <cellStyle name="Standard 4 2 2 6 2 2 3 4" xfId="14076" xr:uid="{00000000-0005-0000-0000-0000B3370000}"/>
    <cellStyle name="Standard 4 2 2 6 2 2 3 4 2" xfId="14077" xr:uid="{00000000-0005-0000-0000-0000B4370000}"/>
    <cellStyle name="Standard 4 2 2 6 2 2 3 5" xfId="14078" xr:uid="{00000000-0005-0000-0000-0000B5370000}"/>
    <cellStyle name="Standard 4 2 2 6 2 2 3 6" xfId="14079" xr:uid="{00000000-0005-0000-0000-0000B6370000}"/>
    <cellStyle name="Standard 4 2 2 6 2 2 4" xfId="14080" xr:uid="{00000000-0005-0000-0000-0000B7370000}"/>
    <cellStyle name="Standard 4 2 2 6 2 2 4 2" xfId="14081" xr:uid="{00000000-0005-0000-0000-0000B8370000}"/>
    <cellStyle name="Standard 4 2 2 6 2 2 4 3" xfId="14082" xr:uid="{00000000-0005-0000-0000-0000B9370000}"/>
    <cellStyle name="Standard 4 2 2 6 2 2 5" xfId="14083" xr:uid="{00000000-0005-0000-0000-0000BA370000}"/>
    <cellStyle name="Standard 4 2 2 6 2 2 5 2" xfId="14084" xr:uid="{00000000-0005-0000-0000-0000BB370000}"/>
    <cellStyle name="Standard 4 2 2 6 2 2 5 3" xfId="14085" xr:uid="{00000000-0005-0000-0000-0000BC370000}"/>
    <cellStyle name="Standard 4 2 2 6 2 2 6" xfId="14086" xr:uid="{00000000-0005-0000-0000-0000BD370000}"/>
    <cellStyle name="Standard 4 2 2 6 2 2 6 2" xfId="14087" xr:uid="{00000000-0005-0000-0000-0000BE370000}"/>
    <cellStyle name="Standard 4 2 2 6 2 2 7" xfId="14088" xr:uid="{00000000-0005-0000-0000-0000BF370000}"/>
    <cellStyle name="Standard 4 2 2 6 2 2 8" xfId="14089" xr:uid="{00000000-0005-0000-0000-0000C0370000}"/>
    <cellStyle name="Standard 4 2 2 6 2 3" xfId="14090" xr:uid="{00000000-0005-0000-0000-0000C1370000}"/>
    <cellStyle name="Standard 4 2 2 6 2 3 2" xfId="14091" xr:uid="{00000000-0005-0000-0000-0000C2370000}"/>
    <cellStyle name="Standard 4 2 2 6 2 3 2 2" xfId="14092" xr:uid="{00000000-0005-0000-0000-0000C3370000}"/>
    <cellStyle name="Standard 4 2 2 6 2 3 2 2 2" xfId="14093" xr:uid="{00000000-0005-0000-0000-0000C4370000}"/>
    <cellStyle name="Standard 4 2 2 6 2 3 2 2 2 2" xfId="14094" xr:uid="{00000000-0005-0000-0000-0000C5370000}"/>
    <cellStyle name="Standard 4 2 2 6 2 3 2 2 2 3" xfId="14095" xr:uid="{00000000-0005-0000-0000-0000C6370000}"/>
    <cellStyle name="Standard 4 2 2 6 2 3 2 2 3" xfId="14096" xr:uid="{00000000-0005-0000-0000-0000C7370000}"/>
    <cellStyle name="Standard 4 2 2 6 2 3 2 2 3 2" xfId="14097" xr:uid="{00000000-0005-0000-0000-0000C8370000}"/>
    <cellStyle name="Standard 4 2 2 6 2 3 2 2 3 3" xfId="14098" xr:uid="{00000000-0005-0000-0000-0000C9370000}"/>
    <cellStyle name="Standard 4 2 2 6 2 3 2 2 4" xfId="14099" xr:uid="{00000000-0005-0000-0000-0000CA370000}"/>
    <cellStyle name="Standard 4 2 2 6 2 3 2 2 4 2" xfId="14100" xr:uid="{00000000-0005-0000-0000-0000CB370000}"/>
    <cellStyle name="Standard 4 2 2 6 2 3 2 2 5" xfId="14101" xr:uid="{00000000-0005-0000-0000-0000CC370000}"/>
    <cellStyle name="Standard 4 2 2 6 2 3 2 2 6" xfId="14102" xr:uid="{00000000-0005-0000-0000-0000CD370000}"/>
    <cellStyle name="Standard 4 2 2 6 2 3 2 3" xfId="14103" xr:uid="{00000000-0005-0000-0000-0000CE370000}"/>
    <cellStyle name="Standard 4 2 2 6 2 3 2 3 2" xfId="14104" xr:uid="{00000000-0005-0000-0000-0000CF370000}"/>
    <cellStyle name="Standard 4 2 2 6 2 3 2 3 3" xfId="14105" xr:uid="{00000000-0005-0000-0000-0000D0370000}"/>
    <cellStyle name="Standard 4 2 2 6 2 3 2 4" xfId="14106" xr:uid="{00000000-0005-0000-0000-0000D1370000}"/>
    <cellStyle name="Standard 4 2 2 6 2 3 2 4 2" xfId="14107" xr:uid="{00000000-0005-0000-0000-0000D2370000}"/>
    <cellStyle name="Standard 4 2 2 6 2 3 2 4 3" xfId="14108" xr:uid="{00000000-0005-0000-0000-0000D3370000}"/>
    <cellStyle name="Standard 4 2 2 6 2 3 2 5" xfId="14109" xr:uid="{00000000-0005-0000-0000-0000D4370000}"/>
    <cellStyle name="Standard 4 2 2 6 2 3 2 5 2" xfId="14110" xr:uid="{00000000-0005-0000-0000-0000D5370000}"/>
    <cellStyle name="Standard 4 2 2 6 2 3 2 6" xfId="14111" xr:uid="{00000000-0005-0000-0000-0000D6370000}"/>
    <cellStyle name="Standard 4 2 2 6 2 3 2 7" xfId="14112" xr:uid="{00000000-0005-0000-0000-0000D7370000}"/>
    <cellStyle name="Standard 4 2 2 6 2 3 3" xfId="14113" xr:uid="{00000000-0005-0000-0000-0000D8370000}"/>
    <cellStyle name="Standard 4 2 2 6 2 3 3 2" xfId="14114" xr:uid="{00000000-0005-0000-0000-0000D9370000}"/>
    <cellStyle name="Standard 4 2 2 6 2 3 3 2 2" xfId="14115" xr:uid="{00000000-0005-0000-0000-0000DA370000}"/>
    <cellStyle name="Standard 4 2 2 6 2 3 3 2 3" xfId="14116" xr:uid="{00000000-0005-0000-0000-0000DB370000}"/>
    <cellStyle name="Standard 4 2 2 6 2 3 3 3" xfId="14117" xr:uid="{00000000-0005-0000-0000-0000DC370000}"/>
    <cellStyle name="Standard 4 2 2 6 2 3 3 3 2" xfId="14118" xr:uid="{00000000-0005-0000-0000-0000DD370000}"/>
    <cellStyle name="Standard 4 2 2 6 2 3 3 3 3" xfId="14119" xr:uid="{00000000-0005-0000-0000-0000DE370000}"/>
    <cellStyle name="Standard 4 2 2 6 2 3 3 4" xfId="14120" xr:uid="{00000000-0005-0000-0000-0000DF370000}"/>
    <cellStyle name="Standard 4 2 2 6 2 3 3 4 2" xfId="14121" xr:uid="{00000000-0005-0000-0000-0000E0370000}"/>
    <cellStyle name="Standard 4 2 2 6 2 3 3 5" xfId="14122" xr:uid="{00000000-0005-0000-0000-0000E1370000}"/>
    <cellStyle name="Standard 4 2 2 6 2 3 3 6" xfId="14123" xr:uid="{00000000-0005-0000-0000-0000E2370000}"/>
    <cellStyle name="Standard 4 2 2 6 2 3 4" xfId="14124" xr:uid="{00000000-0005-0000-0000-0000E3370000}"/>
    <cellStyle name="Standard 4 2 2 6 2 3 4 2" xfId="14125" xr:uid="{00000000-0005-0000-0000-0000E4370000}"/>
    <cellStyle name="Standard 4 2 2 6 2 3 4 3" xfId="14126" xr:uid="{00000000-0005-0000-0000-0000E5370000}"/>
    <cellStyle name="Standard 4 2 2 6 2 3 5" xfId="14127" xr:uid="{00000000-0005-0000-0000-0000E6370000}"/>
    <cellStyle name="Standard 4 2 2 6 2 3 5 2" xfId="14128" xr:uid="{00000000-0005-0000-0000-0000E7370000}"/>
    <cellStyle name="Standard 4 2 2 6 2 3 5 3" xfId="14129" xr:uid="{00000000-0005-0000-0000-0000E8370000}"/>
    <cellStyle name="Standard 4 2 2 6 2 3 6" xfId="14130" xr:uid="{00000000-0005-0000-0000-0000E9370000}"/>
    <cellStyle name="Standard 4 2 2 6 2 3 6 2" xfId="14131" xr:uid="{00000000-0005-0000-0000-0000EA370000}"/>
    <cellStyle name="Standard 4 2 2 6 2 3 7" xfId="14132" xr:uid="{00000000-0005-0000-0000-0000EB370000}"/>
    <cellStyle name="Standard 4 2 2 6 2 3 8" xfId="14133" xr:uid="{00000000-0005-0000-0000-0000EC370000}"/>
    <cellStyle name="Standard 4 2 2 6 2 4" xfId="14134" xr:uid="{00000000-0005-0000-0000-0000ED370000}"/>
    <cellStyle name="Standard 4 2 2 6 2 4 2" xfId="14135" xr:uid="{00000000-0005-0000-0000-0000EE370000}"/>
    <cellStyle name="Standard 4 2 2 6 2 4 2 2" xfId="14136" xr:uid="{00000000-0005-0000-0000-0000EF370000}"/>
    <cellStyle name="Standard 4 2 2 6 2 4 2 2 2" xfId="14137" xr:uid="{00000000-0005-0000-0000-0000F0370000}"/>
    <cellStyle name="Standard 4 2 2 6 2 4 2 2 3" xfId="14138" xr:uid="{00000000-0005-0000-0000-0000F1370000}"/>
    <cellStyle name="Standard 4 2 2 6 2 4 2 3" xfId="14139" xr:uid="{00000000-0005-0000-0000-0000F2370000}"/>
    <cellStyle name="Standard 4 2 2 6 2 4 2 3 2" xfId="14140" xr:uid="{00000000-0005-0000-0000-0000F3370000}"/>
    <cellStyle name="Standard 4 2 2 6 2 4 2 3 3" xfId="14141" xr:uid="{00000000-0005-0000-0000-0000F4370000}"/>
    <cellStyle name="Standard 4 2 2 6 2 4 2 4" xfId="14142" xr:uid="{00000000-0005-0000-0000-0000F5370000}"/>
    <cellStyle name="Standard 4 2 2 6 2 4 2 4 2" xfId="14143" xr:uid="{00000000-0005-0000-0000-0000F6370000}"/>
    <cellStyle name="Standard 4 2 2 6 2 4 2 5" xfId="14144" xr:uid="{00000000-0005-0000-0000-0000F7370000}"/>
    <cellStyle name="Standard 4 2 2 6 2 4 2 6" xfId="14145" xr:uid="{00000000-0005-0000-0000-0000F8370000}"/>
    <cellStyle name="Standard 4 2 2 6 2 4 3" xfId="14146" xr:uid="{00000000-0005-0000-0000-0000F9370000}"/>
    <cellStyle name="Standard 4 2 2 6 2 4 3 2" xfId="14147" xr:uid="{00000000-0005-0000-0000-0000FA370000}"/>
    <cellStyle name="Standard 4 2 2 6 2 4 3 3" xfId="14148" xr:uid="{00000000-0005-0000-0000-0000FB370000}"/>
    <cellStyle name="Standard 4 2 2 6 2 4 4" xfId="14149" xr:uid="{00000000-0005-0000-0000-0000FC370000}"/>
    <cellStyle name="Standard 4 2 2 6 2 4 4 2" xfId="14150" xr:uid="{00000000-0005-0000-0000-0000FD370000}"/>
    <cellStyle name="Standard 4 2 2 6 2 4 4 3" xfId="14151" xr:uid="{00000000-0005-0000-0000-0000FE370000}"/>
    <cellStyle name="Standard 4 2 2 6 2 4 5" xfId="14152" xr:uid="{00000000-0005-0000-0000-0000FF370000}"/>
    <cellStyle name="Standard 4 2 2 6 2 4 5 2" xfId="14153" xr:uid="{00000000-0005-0000-0000-000000380000}"/>
    <cellStyle name="Standard 4 2 2 6 2 4 6" xfId="14154" xr:uid="{00000000-0005-0000-0000-000001380000}"/>
    <cellStyle name="Standard 4 2 2 6 2 4 7" xfId="14155" xr:uid="{00000000-0005-0000-0000-000002380000}"/>
    <cellStyle name="Standard 4 2 2 6 2 5" xfId="14156" xr:uid="{00000000-0005-0000-0000-000003380000}"/>
    <cellStyle name="Standard 4 2 2 6 2 5 2" xfId="14157" xr:uid="{00000000-0005-0000-0000-000004380000}"/>
    <cellStyle name="Standard 4 2 2 6 2 5 2 2" xfId="14158" xr:uid="{00000000-0005-0000-0000-000005380000}"/>
    <cellStyle name="Standard 4 2 2 6 2 5 2 3" xfId="14159" xr:uid="{00000000-0005-0000-0000-000006380000}"/>
    <cellStyle name="Standard 4 2 2 6 2 5 3" xfId="14160" xr:uid="{00000000-0005-0000-0000-000007380000}"/>
    <cellStyle name="Standard 4 2 2 6 2 5 3 2" xfId="14161" xr:uid="{00000000-0005-0000-0000-000008380000}"/>
    <cellStyle name="Standard 4 2 2 6 2 5 3 3" xfId="14162" xr:uid="{00000000-0005-0000-0000-000009380000}"/>
    <cellStyle name="Standard 4 2 2 6 2 5 4" xfId="14163" xr:uid="{00000000-0005-0000-0000-00000A380000}"/>
    <cellStyle name="Standard 4 2 2 6 2 5 4 2" xfId="14164" xr:uid="{00000000-0005-0000-0000-00000B380000}"/>
    <cellStyle name="Standard 4 2 2 6 2 5 5" xfId="14165" xr:uid="{00000000-0005-0000-0000-00000C380000}"/>
    <cellStyle name="Standard 4 2 2 6 2 5 6" xfId="14166" xr:uid="{00000000-0005-0000-0000-00000D380000}"/>
    <cellStyle name="Standard 4 2 2 6 2 6" xfId="14167" xr:uid="{00000000-0005-0000-0000-00000E380000}"/>
    <cellStyle name="Standard 4 2 2 6 2 6 2" xfId="14168" xr:uid="{00000000-0005-0000-0000-00000F380000}"/>
    <cellStyle name="Standard 4 2 2 6 2 6 3" xfId="14169" xr:uid="{00000000-0005-0000-0000-000010380000}"/>
    <cellStyle name="Standard 4 2 2 6 2 7" xfId="14170" xr:uid="{00000000-0005-0000-0000-000011380000}"/>
    <cellStyle name="Standard 4 2 2 6 2 7 2" xfId="14171" xr:uid="{00000000-0005-0000-0000-000012380000}"/>
    <cellStyle name="Standard 4 2 2 6 2 7 3" xfId="14172" xr:uid="{00000000-0005-0000-0000-000013380000}"/>
    <cellStyle name="Standard 4 2 2 6 2 8" xfId="14173" xr:uid="{00000000-0005-0000-0000-000014380000}"/>
    <cellStyle name="Standard 4 2 2 6 2 8 2" xfId="14174" xr:uid="{00000000-0005-0000-0000-000015380000}"/>
    <cellStyle name="Standard 4 2 2 6 2 9" xfId="14175" xr:uid="{00000000-0005-0000-0000-000016380000}"/>
    <cellStyle name="Standard 4 2 2 6 3" xfId="14176" xr:uid="{00000000-0005-0000-0000-000017380000}"/>
    <cellStyle name="Standard 4 2 2 6 3 2" xfId="14177" xr:uid="{00000000-0005-0000-0000-000018380000}"/>
    <cellStyle name="Standard 4 2 2 6 3 2 2" xfId="14178" xr:uid="{00000000-0005-0000-0000-000019380000}"/>
    <cellStyle name="Standard 4 2 2 6 3 2 2 2" xfId="14179" xr:uid="{00000000-0005-0000-0000-00001A380000}"/>
    <cellStyle name="Standard 4 2 2 6 3 2 2 2 2" xfId="14180" xr:uid="{00000000-0005-0000-0000-00001B380000}"/>
    <cellStyle name="Standard 4 2 2 6 3 2 2 2 3" xfId="14181" xr:uid="{00000000-0005-0000-0000-00001C380000}"/>
    <cellStyle name="Standard 4 2 2 6 3 2 2 3" xfId="14182" xr:uid="{00000000-0005-0000-0000-00001D380000}"/>
    <cellStyle name="Standard 4 2 2 6 3 2 2 3 2" xfId="14183" xr:uid="{00000000-0005-0000-0000-00001E380000}"/>
    <cellStyle name="Standard 4 2 2 6 3 2 2 3 3" xfId="14184" xr:uid="{00000000-0005-0000-0000-00001F380000}"/>
    <cellStyle name="Standard 4 2 2 6 3 2 2 4" xfId="14185" xr:uid="{00000000-0005-0000-0000-000020380000}"/>
    <cellStyle name="Standard 4 2 2 6 3 2 2 4 2" xfId="14186" xr:uid="{00000000-0005-0000-0000-000021380000}"/>
    <cellStyle name="Standard 4 2 2 6 3 2 2 5" xfId="14187" xr:uid="{00000000-0005-0000-0000-000022380000}"/>
    <cellStyle name="Standard 4 2 2 6 3 2 2 6" xfId="14188" xr:uid="{00000000-0005-0000-0000-000023380000}"/>
    <cellStyle name="Standard 4 2 2 6 3 2 3" xfId="14189" xr:uid="{00000000-0005-0000-0000-000024380000}"/>
    <cellStyle name="Standard 4 2 2 6 3 2 3 2" xfId="14190" xr:uid="{00000000-0005-0000-0000-000025380000}"/>
    <cellStyle name="Standard 4 2 2 6 3 2 3 3" xfId="14191" xr:uid="{00000000-0005-0000-0000-000026380000}"/>
    <cellStyle name="Standard 4 2 2 6 3 2 4" xfId="14192" xr:uid="{00000000-0005-0000-0000-000027380000}"/>
    <cellStyle name="Standard 4 2 2 6 3 2 4 2" xfId="14193" xr:uid="{00000000-0005-0000-0000-000028380000}"/>
    <cellStyle name="Standard 4 2 2 6 3 2 4 3" xfId="14194" xr:uid="{00000000-0005-0000-0000-000029380000}"/>
    <cellStyle name="Standard 4 2 2 6 3 2 5" xfId="14195" xr:uid="{00000000-0005-0000-0000-00002A380000}"/>
    <cellStyle name="Standard 4 2 2 6 3 2 5 2" xfId="14196" xr:uid="{00000000-0005-0000-0000-00002B380000}"/>
    <cellStyle name="Standard 4 2 2 6 3 2 6" xfId="14197" xr:uid="{00000000-0005-0000-0000-00002C380000}"/>
    <cellStyle name="Standard 4 2 2 6 3 2 7" xfId="14198" xr:uid="{00000000-0005-0000-0000-00002D380000}"/>
    <cellStyle name="Standard 4 2 2 6 3 3" xfId="14199" xr:uid="{00000000-0005-0000-0000-00002E380000}"/>
    <cellStyle name="Standard 4 2 2 6 3 3 2" xfId="14200" xr:uid="{00000000-0005-0000-0000-00002F380000}"/>
    <cellStyle name="Standard 4 2 2 6 3 3 2 2" xfId="14201" xr:uid="{00000000-0005-0000-0000-000030380000}"/>
    <cellStyle name="Standard 4 2 2 6 3 3 2 3" xfId="14202" xr:uid="{00000000-0005-0000-0000-000031380000}"/>
    <cellStyle name="Standard 4 2 2 6 3 3 3" xfId="14203" xr:uid="{00000000-0005-0000-0000-000032380000}"/>
    <cellStyle name="Standard 4 2 2 6 3 3 3 2" xfId="14204" xr:uid="{00000000-0005-0000-0000-000033380000}"/>
    <cellStyle name="Standard 4 2 2 6 3 3 3 3" xfId="14205" xr:uid="{00000000-0005-0000-0000-000034380000}"/>
    <cellStyle name="Standard 4 2 2 6 3 3 4" xfId="14206" xr:uid="{00000000-0005-0000-0000-000035380000}"/>
    <cellStyle name="Standard 4 2 2 6 3 3 4 2" xfId="14207" xr:uid="{00000000-0005-0000-0000-000036380000}"/>
    <cellStyle name="Standard 4 2 2 6 3 3 5" xfId="14208" xr:uid="{00000000-0005-0000-0000-000037380000}"/>
    <cellStyle name="Standard 4 2 2 6 3 3 6" xfId="14209" xr:uid="{00000000-0005-0000-0000-000038380000}"/>
    <cellStyle name="Standard 4 2 2 6 3 4" xfId="14210" xr:uid="{00000000-0005-0000-0000-000039380000}"/>
    <cellStyle name="Standard 4 2 2 6 3 4 2" xfId="14211" xr:uid="{00000000-0005-0000-0000-00003A380000}"/>
    <cellStyle name="Standard 4 2 2 6 3 4 3" xfId="14212" xr:uid="{00000000-0005-0000-0000-00003B380000}"/>
    <cellStyle name="Standard 4 2 2 6 3 5" xfId="14213" xr:uid="{00000000-0005-0000-0000-00003C380000}"/>
    <cellStyle name="Standard 4 2 2 6 3 5 2" xfId="14214" xr:uid="{00000000-0005-0000-0000-00003D380000}"/>
    <cellStyle name="Standard 4 2 2 6 3 5 3" xfId="14215" xr:uid="{00000000-0005-0000-0000-00003E380000}"/>
    <cellStyle name="Standard 4 2 2 6 3 6" xfId="14216" xr:uid="{00000000-0005-0000-0000-00003F380000}"/>
    <cellStyle name="Standard 4 2 2 6 3 6 2" xfId="14217" xr:uid="{00000000-0005-0000-0000-000040380000}"/>
    <cellStyle name="Standard 4 2 2 6 3 7" xfId="14218" xr:uid="{00000000-0005-0000-0000-000041380000}"/>
    <cellStyle name="Standard 4 2 2 6 3 8" xfId="14219" xr:uid="{00000000-0005-0000-0000-000042380000}"/>
    <cellStyle name="Standard 4 2 2 6 4" xfId="14220" xr:uid="{00000000-0005-0000-0000-000043380000}"/>
    <cellStyle name="Standard 4 2 2 6 4 2" xfId="14221" xr:uid="{00000000-0005-0000-0000-000044380000}"/>
    <cellStyle name="Standard 4 2 2 6 4 2 2" xfId="14222" xr:uid="{00000000-0005-0000-0000-000045380000}"/>
    <cellStyle name="Standard 4 2 2 6 4 2 2 2" xfId="14223" xr:uid="{00000000-0005-0000-0000-000046380000}"/>
    <cellStyle name="Standard 4 2 2 6 4 2 2 2 2" xfId="14224" xr:uid="{00000000-0005-0000-0000-000047380000}"/>
    <cellStyle name="Standard 4 2 2 6 4 2 2 2 3" xfId="14225" xr:uid="{00000000-0005-0000-0000-000048380000}"/>
    <cellStyle name="Standard 4 2 2 6 4 2 2 3" xfId="14226" xr:uid="{00000000-0005-0000-0000-000049380000}"/>
    <cellStyle name="Standard 4 2 2 6 4 2 2 3 2" xfId="14227" xr:uid="{00000000-0005-0000-0000-00004A380000}"/>
    <cellStyle name="Standard 4 2 2 6 4 2 2 3 3" xfId="14228" xr:uid="{00000000-0005-0000-0000-00004B380000}"/>
    <cellStyle name="Standard 4 2 2 6 4 2 2 4" xfId="14229" xr:uid="{00000000-0005-0000-0000-00004C380000}"/>
    <cellStyle name="Standard 4 2 2 6 4 2 2 4 2" xfId="14230" xr:uid="{00000000-0005-0000-0000-00004D380000}"/>
    <cellStyle name="Standard 4 2 2 6 4 2 2 5" xfId="14231" xr:uid="{00000000-0005-0000-0000-00004E380000}"/>
    <cellStyle name="Standard 4 2 2 6 4 2 2 6" xfId="14232" xr:uid="{00000000-0005-0000-0000-00004F380000}"/>
    <cellStyle name="Standard 4 2 2 6 4 2 3" xfId="14233" xr:uid="{00000000-0005-0000-0000-000050380000}"/>
    <cellStyle name="Standard 4 2 2 6 4 2 3 2" xfId="14234" xr:uid="{00000000-0005-0000-0000-000051380000}"/>
    <cellStyle name="Standard 4 2 2 6 4 2 3 3" xfId="14235" xr:uid="{00000000-0005-0000-0000-000052380000}"/>
    <cellStyle name="Standard 4 2 2 6 4 2 4" xfId="14236" xr:uid="{00000000-0005-0000-0000-000053380000}"/>
    <cellStyle name="Standard 4 2 2 6 4 2 4 2" xfId="14237" xr:uid="{00000000-0005-0000-0000-000054380000}"/>
    <cellStyle name="Standard 4 2 2 6 4 2 4 3" xfId="14238" xr:uid="{00000000-0005-0000-0000-000055380000}"/>
    <cellStyle name="Standard 4 2 2 6 4 2 5" xfId="14239" xr:uid="{00000000-0005-0000-0000-000056380000}"/>
    <cellStyle name="Standard 4 2 2 6 4 2 5 2" xfId="14240" xr:uid="{00000000-0005-0000-0000-000057380000}"/>
    <cellStyle name="Standard 4 2 2 6 4 2 6" xfId="14241" xr:uid="{00000000-0005-0000-0000-000058380000}"/>
    <cellStyle name="Standard 4 2 2 6 4 2 7" xfId="14242" xr:uid="{00000000-0005-0000-0000-000059380000}"/>
    <cellStyle name="Standard 4 2 2 6 4 3" xfId="14243" xr:uid="{00000000-0005-0000-0000-00005A380000}"/>
    <cellStyle name="Standard 4 2 2 6 4 3 2" xfId="14244" xr:uid="{00000000-0005-0000-0000-00005B380000}"/>
    <cellStyle name="Standard 4 2 2 6 4 3 2 2" xfId="14245" xr:uid="{00000000-0005-0000-0000-00005C380000}"/>
    <cellStyle name="Standard 4 2 2 6 4 3 2 3" xfId="14246" xr:uid="{00000000-0005-0000-0000-00005D380000}"/>
    <cellStyle name="Standard 4 2 2 6 4 3 3" xfId="14247" xr:uid="{00000000-0005-0000-0000-00005E380000}"/>
    <cellStyle name="Standard 4 2 2 6 4 3 3 2" xfId="14248" xr:uid="{00000000-0005-0000-0000-00005F380000}"/>
    <cellStyle name="Standard 4 2 2 6 4 3 3 3" xfId="14249" xr:uid="{00000000-0005-0000-0000-000060380000}"/>
    <cellStyle name="Standard 4 2 2 6 4 3 4" xfId="14250" xr:uid="{00000000-0005-0000-0000-000061380000}"/>
    <cellStyle name="Standard 4 2 2 6 4 3 4 2" xfId="14251" xr:uid="{00000000-0005-0000-0000-000062380000}"/>
    <cellStyle name="Standard 4 2 2 6 4 3 5" xfId="14252" xr:uid="{00000000-0005-0000-0000-000063380000}"/>
    <cellStyle name="Standard 4 2 2 6 4 3 6" xfId="14253" xr:uid="{00000000-0005-0000-0000-000064380000}"/>
    <cellStyle name="Standard 4 2 2 6 4 4" xfId="14254" xr:uid="{00000000-0005-0000-0000-000065380000}"/>
    <cellStyle name="Standard 4 2 2 6 4 4 2" xfId="14255" xr:uid="{00000000-0005-0000-0000-000066380000}"/>
    <cellStyle name="Standard 4 2 2 6 4 4 3" xfId="14256" xr:uid="{00000000-0005-0000-0000-000067380000}"/>
    <cellStyle name="Standard 4 2 2 6 4 5" xfId="14257" xr:uid="{00000000-0005-0000-0000-000068380000}"/>
    <cellStyle name="Standard 4 2 2 6 4 5 2" xfId="14258" xr:uid="{00000000-0005-0000-0000-000069380000}"/>
    <cellStyle name="Standard 4 2 2 6 4 5 3" xfId="14259" xr:uid="{00000000-0005-0000-0000-00006A380000}"/>
    <cellStyle name="Standard 4 2 2 6 4 6" xfId="14260" xr:uid="{00000000-0005-0000-0000-00006B380000}"/>
    <cellStyle name="Standard 4 2 2 6 4 6 2" xfId="14261" xr:uid="{00000000-0005-0000-0000-00006C380000}"/>
    <cellStyle name="Standard 4 2 2 6 4 7" xfId="14262" xr:uid="{00000000-0005-0000-0000-00006D380000}"/>
    <cellStyle name="Standard 4 2 2 6 4 8" xfId="14263" xr:uid="{00000000-0005-0000-0000-00006E380000}"/>
    <cellStyle name="Standard 4 2 2 6 5" xfId="14264" xr:uid="{00000000-0005-0000-0000-00006F380000}"/>
    <cellStyle name="Standard 4 2 2 6 5 2" xfId="14265" xr:uid="{00000000-0005-0000-0000-000070380000}"/>
    <cellStyle name="Standard 4 2 2 6 5 2 2" xfId="14266" xr:uid="{00000000-0005-0000-0000-000071380000}"/>
    <cellStyle name="Standard 4 2 2 6 5 2 2 2" xfId="14267" xr:uid="{00000000-0005-0000-0000-000072380000}"/>
    <cellStyle name="Standard 4 2 2 6 5 2 2 3" xfId="14268" xr:uid="{00000000-0005-0000-0000-000073380000}"/>
    <cellStyle name="Standard 4 2 2 6 5 2 3" xfId="14269" xr:uid="{00000000-0005-0000-0000-000074380000}"/>
    <cellStyle name="Standard 4 2 2 6 5 2 3 2" xfId="14270" xr:uid="{00000000-0005-0000-0000-000075380000}"/>
    <cellStyle name="Standard 4 2 2 6 5 2 3 3" xfId="14271" xr:uid="{00000000-0005-0000-0000-000076380000}"/>
    <cellStyle name="Standard 4 2 2 6 5 2 4" xfId="14272" xr:uid="{00000000-0005-0000-0000-000077380000}"/>
    <cellStyle name="Standard 4 2 2 6 5 2 4 2" xfId="14273" xr:uid="{00000000-0005-0000-0000-000078380000}"/>
    <cellStyle name="Standard 4 2 2 6 5 2 5" xfId="14274" xr:uid="{00000000-0005-0000-0000-000079380000}"/>
    <cellStyle name="Standard 4 2 2 6 5 2 6" xfId="14275" xr:uid="{00000000-0005-0000-0000-00007A380000}"/>
    <cellStyle name="Standard 4 2 2 6 5 3" xfId="14276" xr:uid="{00000000-0005-0000-0000-00007B380000}"/>
    <cellStyle name="Standard 4 2 2 6 5 3 2" xfId="14277" xr:uid="{00000000-0005-0000-0000-00007C380000}"/>
    <cellStyle name="Standard 4 2 2 6 5 3 3" xfId="14278" xr:uid="{00000000-0005-0000-0000-00007D380000}"/>
    <cellStyle name="Standard 4 2 2 6 5 4" xfId="14279" xr:uid="{00000000-0005-0000-0000-00007E380000}"/>
    <cellStyle name="Standard 4 2 2 6 5 4 2" xfId="14280" xr:uid="{00000000-0005-0000-0000-00007F380000}"/>
    <cellStyle name="Standard 4 2 2 6 5 4 3" xfId="14281" xr:uid="{00000000-0005-0000-0000-000080380000}"/>
    <cellStyle name="Standard 4 2 2 6 5 5" xfId="14282" xr:uid="{00000000-0005-0000-0000-000081380000}"/>
    <cellStyle name="Standard 4 2 2 6 5 5 2" xfId="14283" xr:uid="{00000000-0005-0000-0000-000082380000}"/>
    <cellStyle name="Standard 4 2 2 6 5 6" xfId="14284" xr:uid="{00000000-0005-0000-0000-000083380000}"/>
    <cellStyle name="Standard 4 2 2 6 5 7" xfId="14285" xr:uid="{00000000-0005-0000-0000-000084380000}"/>
    <cellStyle name="Standard 4 2 2 6 6" xfId="14286" xr:uid="{00000000-0005-0000-0000-000085380000}"/>
    <cellStyle name="Standard 4 2 2 6 6 2" xfId="14287" xr:uid="{00000000-0005-0000-0000-000086380000}"/>
    <cellStyle name="Standard 4 2 2 6 6 2 2" xfId="14288" xr:uid="{00000000-0005-0000-0000-000087380000}"/>
    <cellStyle name="Standard 4 2 2 6 6 2 3" xfId="14289" xr:uid="{00000000-0005-0000-0000-000088380000}"/>
    <cellStyle name="Standard 4 2 2 6 6 3" xfId="14290" xr:uid="{00000000-0005-0000-0000-000089380000}"/>
    <cellStyle name="Standard 4 2 2 6 6 3 2" xfId="14291" xr:uid="{00000000-0005-0000-0000-00008A380000}"/>
    <cellStyle name="Standard 4 2 2 6 6 3 3" xfId="14292" xr:uid="{00000000-0005-0000-0000-00008B380000}"/>
    <cellStyle name="Standard 4 2 2 6 6 4" xfId="14293" xr:uid="{00000000-0005-0000-0000-00008C380000}"/>
    <cellStyle name="Standard 4 2 2 6 6 4 2" xfId="14294" xr:uid="{00000000-0005-0000-0000-00008D380000}"/>
    <cellStyle name="Standard 4 2 2 6 6 5" xfId="14295" xr:uid="{00000000-0005-0000-0000-00008E380000}"/>
    <cellStyle name="Standard 4 2 2 6 6 6" xfId="14296" xr:uid="{00000000-0005-0000-0000-00008F380000}"/>
    <cellStyle name="Standard 4 2 2 6 7" xfId="14297" xr:uid="{00000000-0005-0000-0000-000090380000}"/>
    <cellStyle name="Standard 4 2 2 6 7 2" xfId="14298" xr:uid="{00000000-0005-0000-0000-000091380000}"/>
    <cellStyle name="Standard 4 2 2 6 7 3" xfId="14299" xr:uid="{00000000-0005-0000-0000-000092380000}"/>
    <cellStyle name="Standard 4 2 2 6 8" xfId="14300" xr:uid="{00000000-0005-0000-0000-000093380000}"/>
    <cellStyle name="Standard 4 2 2 6 8 2" xfId="14301" xr:uid="{00000000-0005-0000-0000-000094380000}"/>
    <cellStyle name="Standard 4 2 2 6 8 3" xfId="14302" xr:uid="{00000000-0005-0000-0000-000095380000}"/>
    <cellStyle name="Standard 4 2 2 6 9" xfId="14303" xr:uid="{00000000-0005-0000-0000-000096380000}"/>
    <cellStyle name="Standard 4 2 2 6 9 2" xfId="14304" xr:uid="{00000000-0005-0000-0000-000097380000}"/>
    <cellStyle name="Standard 4 2 2 7" xfId="14305" xr:uid="{00000000-0005-0000-0000-000098380000}"/>
    <cellStyle name="Standard 4 2 2 7 10" xfId="14306" xr:uid="{00000000-0005-0000-0000-000099380000}"/>
    <cellStyle name="Standard 4 2 2 7 2" xfId="14307" xr:uid="{00000000-0005-0000-0000-00009A380000}"/>
    <cellStyle name="Standard 4 2 2 7 2 2" xfId="14308" xr:uid="{00000000-0005-0000-0000-00009B380000}"/>
    <cellStyle name="Standard 4 2 2 7 2 2 2" xfId="14309" xr:uid="{00000000-0005-0000-0000-00009C380000}"/>
    <cellStyle name="Standard 4 2 2 7 2 2 2 2" xfId="14310" xr:uid="{00000000-0005-0000-0000-00009D380000}"/>
    <cellStyle name="Standard 4 2 2 7 2 2 2 2 2" xfId="14311" xr:uid="{00000000-0005-0000-0000-00009E380000}"/>
    <cellStyle name="Standard 4 2 2 7 2 2 2 2 3" xfId="14312" xr:uid="{00000000-0005-0000-0000-00009F380000}"/>
    <cellStyle name="Standard 4 2 2 7 2 2 2 3" xfId="14313" xr:uid="{00000000-0005-0000-0000-0000A0380000}"/>
    <cellStyle name="Standard 4 2 2 7 2 2 2 3 2" xfId="14314" xr:uid="{00000000-0005-0000-0000-0000A1380000}"/>
    <cellStyle name="Standard 4 2 2 7 2 2 2 3 3" xfId="14315" xr:uid="{00000000-0005-0000-0000-0000A2380000}"/>
    <cellStyle name="Standard 4 2 2 7 2 2 2 4" xfId="14316" xr:uid="{00000000-0005-0000-0000-0000A3380000}"/>
    <cellStyle name="Standard 4 2 2 7 2 2 2 4 2" xfId="14317" xr:uid="{00000000-0005-0000-0000-0000A4380000}"/>
    <cellStyle name="Standard 4 2 2 7 2 2 2 5" xfId="14318" xr:uid="{00000000-0005-0000-0000-0000A5380000}"/>
    <cellStyle name="Standard 4 2 2 7 2 2 2 6" xfId="14319" xr:uid="{00000000-0005-0000-0000-0000A6380000}"/>
    <cellStyle name="Standard 4 2 2 7 2 2 3" xfId="14320" xr:uid="{00000000-0005-0000-0000-0000A7380000}"/>
    <cellStyle name="Standard 4 2 2 7 2 2 3 2" xfId="14321" xr:uid="{00000000-0005-0000-0000-0000A8380000}"/>
    <cellStyle name="Standard 4 2 2 7 2 2 3 3" xfId="14322" xr:uid="{00000000-0005-0000-0000-0000A9380000}"/>
    <cellStyle name="Standard 4 2 2 7 2 2 4" xfId="14323" xr:uid="{00000000-0005-0000-0000-0000AA380000}"/>
    <cellStyle name="Standard 4 2 2 7 2 2 4 2" xfId="14324" xr:uid="{00000000-0005-0000-0000-0000AB380000}"/>
    <cellStyle name="Standard 4 2 2 7 2 2 4 3" xfId="14325" xr:uid="{00000000-0005-0000-0000-0000AC380000}"/>
    <cellStyle name="Standard 4 2 2 7 2 2 5" xfId="14326" xr:uid="{00000000-0005-0000-0000-0000AD380000}"/>
    <cellStyle name="Standard 4 2 2 7 2 2 5 2" xfId="14327" xr:uid="{00000000-0005-0000-0000-0000AE380000}"/>
    <cellStyle name="Standard 4 2 2 7 2 2 6" xfId="14328" xr:uid="{00000000-0005-0000-0000-0000AF380000}"/>
    <cellStyle name="Standard 4 2 2 7 2 2 7" xfId="14329" xr:uid="{00000000-0005-0000-0000-0000B0380000}"/>
    <cellStyle name="Standard 4 2 2 7 2 3" xfId="14330" xr:uid="{00000000-0005-0000-0000-0000B1380000}"/>
    <cellStyle name="Standard 4 2 2 7 2 3 2" xfId="14331" xr:uid="{00000000-0005-0000-0000-0000B2380000}"/>
    <cellStyle name="Standard 4 2 2 7 2 3 2 2" xfId="14332" xr:uid="{00000000-0005-0000-0000-0000B3380000}"/>
    <cellStyle name="Standard 4 2 2 7 2 3 2 3" xfId="14333" xr:uid="{00000000-0005-0000-0000-0000B4380000}"/>
    <cellStyle name="Standard 4 2 2 7 2 3 3" xfId="14334" xr:uid="{00000000-0005-0000-0000-0000B5380000}"/>
    <cellStyle name="Standard 4 2 2 7 2 3 3 2" xfId="14335" xr:uid="{00000000-0005-0000-0000-0000B6380000}"/>
    <cellStyle name="Standard 4 2 2 7 2 3 3 3" xfId="14336" xr:uid="{00000000-0005-0000-0000-0000B7380000}"/>
    <cellStyle name="Standard 4 2 2 7 2 3 4" xfId="14337" xr:uid="{00000000-0005-0000-0000-0000B8380000}"/>
    <cellStyle name="Standard 4 2 2 7 2 3 4 2" xfId="14338" xr:uid="{00000000-0005-0000-0000-0000B9380000}"/>
    <cellStyle name="Standard 4 2 2 7 2 3 5" xfId="14339" xr:uid="{00000000-0005-0000-0000-0000BA380000}"/>
    <cellStyle name="Standard 4 2 2 7 2 3 6" xfId="14340" xr:uid="{00000000-0005-0000-0000-0000BB380000}"/>
    <cellStyle name="Standard 4 2 2 7 2 4" xfId="14341" xr:uid="{00000000-0005-0000-0000-0000BC380000}"/>
    <cellStyle name="Standard 4 2 2 7 2 4 2" xfId="14342" xr:uid="{00000000-0005-0000-0000-0000BD380000}"/>
    <cellStyle name="Standard 4 2 2 7 2 4 3" xfId="14343" xr:uid="{00000000-0005-0000-0000-0000BE380000}"/>
    <cellStyle name="Standard 4 2 2 7 2 5" xfId="14344" xr:uid="{00000000-0005-0000-0000-0000BF380000}"/>
    <cellStyle name="Standard 4 2 2 7 2 5 2" xfId="14345" xr:uid="{00000000-0005-0000-0000-0000C0380000}"/>
    <cellStyle name="Standard 4 2 2 7 2 5 3" xfId="14346" xr:uid="{00000000-0005-0000-0000-0000C1380000}"/>
    <cellStyle name="Standard 4 2 2 7 2 6" xfId="14347" xr:uid="{00000000-0005-0000-0000-0000C2380000}"/>
    <cellStyle name="Standard 4 2 2 7 2 6 2" xfId="14348" xr:uid="{00000000-0005-0000-0000-0000C3380000}"/>
    <cellStyle name="Standard 4 2 2 7 2 7" xfId="14349" xr:uid="{00000000-0005-0000-0000-0000C4380000}"/>
    <cellStyle name="Standard 4 2 2 7 2 8" xfId="14350" xr:uid="{00000000-0005-0000-0000-0000C5380000}"/>
    <cellStyle name="Standard 4 2 2 7 3" xfId="14351" xr:uid="{00000000-0005-0000-0000-0000C6380000}"/>
    <cellStyle name="Standard 4 2 2 7 3 2" xfId="14352" xr:uid="{00000000-0005-0000-0000-0000C7380000}"/>
    <cellStyle name="Standard 4 2 2 7 3 2 2" xfId="14353" xr:uid="{00000000-0005-0000-0000-0000C8380000}"/>
    <cellStyle name="Standard 4 2 2 7 3 2 2 2" xfId="14354" xr:uid="{00000000-0005-0000-0000-0000C9380000}"/>
    <cellStyle name="Standard 4 2 2 7 3 2 2 2 2" xfId="14355" xr:uid="{00000000-0005-0000-0000-0000CA380000}"/>
    <cellStyle name="Standard 4 2 2 7 3 2 2 2 3" xfId="14356" xr:uid="{00000000-0005-0000-0000-0000CB380000}"/>
    <cellStyle name="Standard 4 2 2 7 3 2 2 3" xfId="14357" xr:uid="{00000000-0005-0000-0000-0000CC380000}"/>
    <cellStyle name="Standard 4 2 2 7 3 2 2 3 2" xfId="14358" xr:uid="{00000000-0005-0000-0000-0000CD380000}"/>
    <cellStyle name="Standard 4 2 2 7 3 2 2 3 3" xfId="14359" xr:uid="{00000000-0005-0000-0000-0000CE380000}"/>
    <cellStyle name="Standard 4 2 2 7 3 2 2 4" xfId="14360" xr:uid="{00000000-0005-0000-0000-0000CF380000}"/>
    <cellStyle name="Standard 4 2 2 7 3 2 2 4 2" xfId="14361" xr:uid="{00000000-0005-0000-0000-0000D0380000}"/>
    <cellStyle name="Standard 4 2 2 7 3 2 2 5" xfId="14362" xr:uid="{00000000-0005-0000-0000-0000D1380000}"/>
    <cellStyle name="Standard 4 2 2 7 3 2 2 6" xfId="14363" xr:uid="{00000000-0005-0000-0000-0000D2380000}"/>
    <cellStyle name="Standard 4 2 2 7 3 2 3" xfId="14364" xr:uid="{00000000-0005-0000-0000-0000D3380000}"/>
    <cellStyle name="Standard 4 2 2 7 3 2 3 2" xfId="14365" xr:uid="{00000000-0005-0000-0000-0000D4380000}"/>
    <cellStyle name="Standard 4 2 2 7 3 2 3 3" xfId="14366" xr:uid="{00000000-0005-0000-0000-0000D5380000}"/>
    <cellStyle name="Standard 4 2 2 7 3 2 4" xfId="14367" xr:uid="{00000000-0005-0000-0000-0000D6380000}"/>
    <cellStyle name="Standard 4 2 2 7 3 2 4 2" xfId="14368" xr:uid="{00000000-0005-0000-0000-0000D7380000}"/>
    <cellStyle name="Standard 4 2 2 7 3 2 4 3" xfId="14369" xr:uid="{00000000-0005-0000-0000-0000D8380000}"/>
    <cellStyle name="Standard 4 2 2 7 3 2 5" xfId="14370" xr:uid="{00000000-0005-0000-0000-0000D9380000}"/>
    <cellStyle name="Standard 4 2 2 7 3 2 5 2" xfId="14371" xr:uid="{00000000-0005-0000-0000-0000DA380000}"/>
    <cellStyle name="Standard 4 2 2 7 3 2 6" xfId="14372" xr:uid="{00000000-0005-0000-0000-0000DB380000}"/>
    <cellStyle name="Standard 4 2 2 7 3 2 7" xfId="14373" xr:uid="{00000000-0005-0000-0000-0000DC380000}"/>
    <cellStyle name="Standard 4 2 2 7 3 3" xfId="14374" xr:uid="{00000000-0005-0000-0000-0000DD380000}"/>
    <cellStyle name="Standard 4 2 2 7 3 3 2" xfId="14375" xr:uid="{00000000-0005-0000-0000-0000DE380000}"/>
    <cellStyle name="Standard 4 2 2 7 3 3 2 2" xfId="14376" xr:uid="{00000000-0005-0000-0000-0000DF380000}"/>
    <cellStyle name="Standard 4 2 2 7 3 3 2 3" xfId="14377" xr:uid="{00000000-0005-0000-0000-0000E0380000}"/>
    <cellStyle name="Standard 4 2 2 7 3 3 3" xfId="14378" xr:uid="{00000000-0005-0000-0000-0000E1380000}"/>
    <cellStyle name="Standard 4 2 2 7 3 3 3 2" xfId="14379" xr:uid="{00000000-0005-0000-0000-0000E2380000}"/>
    <cellStyle name="Standard 4 2 2 7 3 3 3 3" xfId="14380" xr:uid="{00000000-0005-0000-0000-0000E3380000}"/>
    <cellStyle name="Standard 4 2 2 7 3 3 4" xfId="14381" xr:uid="{00000000-0005-0000-0000-0000E4380000}"/>
    <cellStyle name="Standard 4 2 2 7 3 3 4 2" xfId="14382" xr:uid="{00000000-0005-0000-0000-0000E5380000}"/>
    <cellStyle name="Standard 4 2 2 7 3 3 5" xfId="14383" xr:uid="{00000000-0005-0000-0000-0000E6380000}"/>
    <cellStyle name="Standard 4 2 2 7 3 3 6" xfId="14384" xr:uid="{00000000-0005-0000-0000-0000E7380000}"/>
    <cellStyle name="Standard 4 2 2 7 3 4" xfId="14385" xr:uid="{00000000-0005-0000-0000-0000E8380000}"/>
    <cellStyle name="Standard 4 2 2 7 3 4 2" xfId="14386" xr:uid="{00000000-0005-0000-0000-0000E9380000}"/>
    <cellStyle name="Standard 4 2 2 7 3 4 3" xfId="14387" xr:uid="{00000000-0005-0000-0000-0000EA380000}"/>
    <cellStyle name="Standard 4 2 2 7 3 5" xfId="14388" xr:uid="{00000000-0005-0000-0000-0000EB380000}"/>
    <cellStyle name="Standard 4 2 2 7 3 5 2" xfId="14389" xr:uid="{00000000-0005-0000-0000-0000EC380000}"/>
    <cellStyle name="Standard 4 2 2 7 3 5 3" xfId="14390" xr:uid="{00000000-0005-0000-0000-0000ED380000}"/>
    <cellStyle name="Standard 4 2 2 7 3 6" xfId="14391" xr:uid="{00000000-0005-0000-0000-0000EE380000}"/>
    <cellStyle name="Standard 4 2 2 7 3 6 2" xfId="14392" xr:uid="{00000000-0005-0000-0000-0000EF380000}"/>
    <cellStyle name="Standard 4 2 2 7 3 7" xfId="14393" xr:uid="{00000000-0005-0000-0000-0000F0380000}"/>
    <cellStyle name="Standard 4 2 2 7 3 8" xfId="14394" xr:uid="{00000000-0005-0000-0000-0000F1380000}"/>
    <cellStyle name="Standard 4 2 2 7 4" xfId="14395" xr:uid="{00000000-0005-0000-0000-0000F2380000}"/>
    <cellStyle name="Standard 4 2 2 7 4 2" xfId="14396" xr:uid="{00000000-0005-0000-0000-0000F3380000}"/>
    <cellStyle name="Standard 4 2 2 7 4 2 2" xfId="14397" xr:uid="{00000000-0005-0000-0000-0000F4380000}"/>
    <cellStyle name="Standard 4 2 2 7 4 2 2 2" xfId="14398" xr:uid="{00000000-0005-0000-0000-0000F5380000}"/>
    <cellStyle name="Standard 4 2 2 7 4 2 2 3" xfId="14399" xr:uid="{00000000-0005-0000-0000-0000F6380000}"/>
    <cellStyle name="Standard 4 2 2 7 4 2 3" xfId="14400" xr:uid="{00000000-0005-0000-0000-0000F7380000}"/>
    <cellStyle name="Standard 4 2 2 7 4 2 3 2" xfId="14401" xr:uid="{00000000-0005-0000-0000-0000F8380000}"/>
    <cellStyle name="Standard 4 2 2 7 4 2 3 3" xfId="14402" xr:uid="{00000000-0005-0000-0000-0000F9380000}"/>
    <cellStyle name="Standard 4 2 2 7 4 2 4" xfId="14403" xr:uid="{00000000-0005-0000-0000-0000FA380000}"/>
    <cellStyle name="Standard 4 2 2 7 4 2 4 2" xfId="14404" xr:uid="{00000000-0005-0000-0000-0000FB380000}"/>
    <cellStyle name="Standard 4 2 2 7 4 2 5" xfId="14405" xr:uid="{00000000-0005-0000-0000-0000FC380000}"/>
    <cellStyle name="Standard 4 2 2 7 4 2 6" xfId="14406" xr:uid="{00000000-0005-0000-0000-0000FD380000}"/>
    <cellStyle name="Standard 4 2 2 7 4 3" xfId="14407" xr:uid="{00000000-0005-0000-0000-0000FE380000}"/>
    <cellStyle name="Standard 4 2 2 7 4 3 2" xfId="14408" xr:uid="{00000000-0005-0000-0000-0000FF380000}"/>
    <cellStyle name="Standard 4 2 2 7 4 3 3" xfId="14409" xr:uid="{00000000-0005-0000-0000-000000390000}"/>
    <cellStyle name="Standard 4 2 2 7 4 4" xfId="14410" xr:uid="{00000000-0005-0000-0000-000001390000}"/>
    <cellStyle name="Standard 4 2 2 7 4 4 2" xfId="14411" xr:uid="{00000000-0005-0000-0000-000002390000}"/>
    <cellStyle name="Standard 4 2 2 7 4 4 3" xfId="14412" xr:uid="{00000000-0005-0000-0000-000003390000}"/>
    <cellStyle name="Standard 4 2 2 7 4 5" xfId="14413" xr:uid="{00000000-0005-0000-0000-000004390000}"/>
    <cellStyle name="Standard 4 2 2 7 4 5 2" xfId="14414" xr:uid="{00000000-0005-0000-0000-000005390000}"/>
    <cellStyle name="Standard 4 2 2 7 4 6" xfId="14415" xr:uid="{00000000-0005-0000-0000-000006390000}"/>
    <cellStyle name="Standard 4 2 2 7 4 7" xfId="14416" xr:uid="{00000000-0005-0000-0000-000007390000}"/>
    <cellStyle name="Standard 4 2 2 7 5" xfId="14417" xr:uid="{00000000-0005-0000-0000-000008390000}"/>
    <cellStyle name="Standard 4 2 2 7 5 2" xfId="14418" xr:uid="{00000000-0005-0000-0000-000009390000}"/>
    <cellStyle name="Standard 4 2 2 7 5 2 2" xfId="14419" xr:uid="{00000000-0005-0000-0000-00000A390000}"/>
    <cellStyle name="Standard 4 2 2 7 5 2 3" xfId="14420" xr:uid="{00000000-0005-0000-0000-00000B390000}"/>
    <cellStyle name="Standard 4 2 2 7 5 3" xfId="14421" xr:uid="{00000000-0005-0000-0000-00000C390000}"/>
    <cellStyle name="Standard 4 2 2 7 5 3 2" xfId="14422" xr:uid="{00000000-0005-0000-0000-00000D390000}"/>
    <cellStyle name="Standard 4 2 2 7 5 3 3" xfId="14423" xr:uid="{00000000-0005-0000-0000-00000E390000}"/>
    <cellStyle name="Standard 4 2 2 7 5 4" xfId="14424" xr:uid="{00000000-0005-0000-0000-00000F390000}"/>
    <cellStyle name="Standard 4 2 2 7 5 4 2" xfId="14425" xr:uid="{00000000-0005-0000-0000-000010390000}"/>
    <cellStyle name="Standard 4 2 2 7 5 5" xfId="14426" xr:uid="{00000000-0005-0000-0000-000011390000}"/>
    <cellStyle name="Standard 4 2 2 7 5 6" xfId="14427" xr:uid="{00000000-0005-0000-0000-000012390000}"/>
    <cellStyle name="Standard 4 2 2 7 6" xfId="14428" xr:uid="{00000000-0005-0000-0000-000013390000}"/>
    <cellStyle name="Standard 4 2 2 7 6 2" xfId="14429" xr:uid="{00000000-0005-0000-0000-000014390000}"/>
    <cellStyle name="Standard 4 2 2 7 6 3" xfId="14430" xr:uid="{00000000-0005-0000-0000-000015390000}"/>
    <cellStyle name="Standard 4 2 2 7 7" xfId="14431" xr:uid="{00000000-0005-0000-0000-000016390000}"/>
    <cellStyle name="Standard 4 2 2 7 7 2" xfId="14432" xr:uid="{00000000-0005-0000-0000-000017390000}"/>
    <cellStyle name="Standard 4 2 2 7 7 3" xfId="14433" xr:uid="{00000000-0005-0000-0000-000018390000}"/>
    <cellStyle name="Standard 4 2 2 7 8" xfId="14434" xr:uid="{00000000-0005-0000-0000-000019390000}"/>
    <cellStyle name="Standard 4 2 2 7 8 2" xfId="14435" xr:uid="{00000000-0005-0000-0000-00001A390000}"/>
    <cellStyle name="Standard 4 2 2 7 9" xfId="14436" xr:uid="{00000000-0005-0000-0000-00001B390000}"/>
    <cellStyle name="Standard 4 2 2 8" xfId="14437" xr:uid="{00000000-0005-0000-0000-00001C390000}"/>
    <cellStyle name="Standard 4 2 2 8 2" xfId="14438" xr:uid="{00000000-0005-0000-0000-00001D390000}"/>
    <cellStyle name="Standard 4 2 2 8 2 2" xfId="14439" xr:uid="{00000000-0005-0000-0000-00001E390000}"/>
    <cellStyle name="Standard 4 2 2 8 2 2 2" xfId="14440" xr:uid="{00000000-0005-0000-0000-00001F390000}"/>
    <cellStyle name="Standard 4 2 2 8 2 2 2 2" xfId="14441" xr:uid="{00000000-0005-0000-0000-000020390000}"/>
    <cellStyle name="Standard 4 2 2 8 2 2 2 2 2" xfId="14442" xr:uid="{00000000-0005-0000-0000-000021390000}"/>
    <cellStyle name="Standard 4 2 2 8 2 2 2 2 3" xfId="14443" xr:uid="{00000000-0005-0000-0000-000022390000}"/>
    <cellStyle name="Standard 4 2 2 8 2 2 2 3" xfId="14444" xr:uid="{00000000-0005-0000-0000-000023390000}"/>
    <cellStyle name="Standard 4 2 2 8 2 2 2 3 2" xfId="14445" xr:uid="{00000000-0005-0000-0000-000024390000}"/>
    <cellStyle name="Standard 4 2 2 8 2 2 2 3 3" xfId="14446" xr:uid="{00000000-0005-0000-0000-000025390000}"/>
    <cellStyle name="Standard 4 2 2 8 2 2 2 4" xfId="14447" xr:uid="{00000000-0005-0000-0000-000026390000}"/>
    <cellStyle name="Standard 4 2 2 8 2 2 2 4 2" xfId="14448" xr:uid="{00000000-0005-0000-0000-000027390000}"/>
    <cellStyle name="Standard 4 2 2 8 2 2 2 5" xfId="14449" xr:uid="{00000000-0005-0000-0000-000028390000}"/>
    <cellStyle name="Standard 4 2 2 8 2 2 2 6" xfId="14450" xr:uid="{00000000-0005-0000-0000-000029390000}"/>
    <cellStyle name="Standard 4 2 2 8 2 2 3" xfId="14451" xr:uid="{00000000-0005-0000-0000-00002A390000}"/>
    <cellStyle name="Standard 4 2 2 8 2 2 3 2" xfId="14452" xr:uid="{00000000-0005-0000-0000-00002B390000}"/>
    <cellStyle name="Standard 4 2 2 8 2 2 3 3" xfId="14453" xr:uid="{00000000-0005-0000-0000-00002C390000}"/>
    <cellStyle name="Standard 4 2 2 8 2 2 4" xfId="14454" xr:uid="{00000000-0005-0000-0000-00002D390000}"/>
    <cellStyle name="Standard 4 2 2 8 2 2 4 2" xfId="14455" xr:uid="{00000000-0005-0000-0000-00002E390000}"/>
    <cellStyle name="Standard 4 2 2 8 2 2 4 3" xfId="14456" xr:uid="{00000000-0005-0000-0000-00002F390000}"/>
    <cellStyle name="Standard 4 2 2 8 2 2 5" xfId="14457" xr:uid="{00000000-0005-0000-0000-000030390000}"/>
    <cellStyle name="Standard 4 2 2 8 2 2 5 2" xfId="14458" xr:uid="{00000000-0005-0000-0000-000031390000}"/>
    <cellStyle name="Standard 4 2 2 8 2 2 6" xfId="14459" xr:uid="{00000000-0005-0000-0000-000032390000}"/>
    <cellStyle name="Standard 4 2 2 8 2 2 7" xfId="14460" xr:uid="{00000000-0005-0000-0000-000033390000}"/>
    <cellStyle name="Standard 4 2 2 8 2 3" xfId="14461" xr:uid="{00000000-0005-0000-0000-000034390000}"/>
    <cellStyle name="Standard 4 2 2 8 2 3 2" xfId="14462" xr:uid="{00000000-0005-0000-0000-000035390000}"/>
    <cellStyle name="Standard 4 2 2 8 2 3 2 2" xfId="14463" xr:uid="{00000000-0005-0000-0000-000036390000}"/>
    <cellStyle name="Standard 4 2 2 8 2 3 2 3" xfId="14464" xr:uid="{00000000-0005-0000-0000-000037390000}"/>
    <cellStyle name="Standard 4 2 2 8 2 3 3" xfId="14465" xr:uid="{00000000-0005-0000-0000-000038390000}"/>
    <cellStyle name="Standard 4 2 2 8 2 3 3 2" xfId="14466" xr:uid="{00000000-0005-0000-0000-000039390000}"/>
    <cellStyle name="Standard 4 2 2 8 2 3 3 3" xfId="14467" xr:uid="{00000000-0005-0000-0000-00003A390000}"/>
    <cellStyle name="Standard 4 2 2 8 2 3 4" xfId="14468" xr:uid="{00000000-0005-0000-0000-00003B390000}"/>
    <cellStyle name="Standard 4 2 2 8 2 3 4 2" xfId="14469" xr:uid="{00000000-0005-0000-0000-00003C390000}"/>
    <cellStyle name="Standard 4 2 2 8 2 3 5" xfId="14470" xr:uid="{00000000-0005-0000-0000-00003D390000}"/>
    <cellStyle name="Standard 4 2 2 8 2 3 6" xfId="14471" xr:uid="{00000000-0005-0000-0000-00003E390000}"/>
    <cellStyle name="Standard 4 2 2 8 2 4" xfId="14472" xr:uid="{00000000-0005-0000-0000-00003F390000}"/>
    <cellStyle name="Standard 4 2 2 8 2 4 2" xfId="14473" xr:uid="{00000000-0005-0000-0000-000040390000}"/>
    <cellStyle name="Standard 4 2 2 8 2 4 3" xfId="14474" xr:uid="{00000000-0005-0000-0000-000041390000}"/>
    <cellStyle name="Standard 4 2 2 8 2 5" xfId="14475" xr:uid="{00000000-0005-0000-0000-000042390000}"/>
    <cellStyle name="Standard 4 2 2 8 2 5 2" xfId="14476" xr:uid="{00000000-0005-0000-0000-000043390000}"/>
    <cellStyle name="Standard 4 2 2 8 2 5 3" xfId="14477" xr:uid="{00000000-0005-0000-0000-000044390000}"/>
    <cellStyle name="Standard 4 2 2 8 2 6" xfId="14478" xr:uid="{00000000-0005-0000-0000-000045390000}"/>
    <cellStyle name="Standard 4 2 2 8 2 6 2" xfId="14479" xr:uid="{00000000-0005-0000-0000-000046390000}"/>
    <cellStyle name="Standard 4 2 2 8 2 7" xfId="14480" xr:uid="{00000000-0005-0000-0000-000047390000}"/>
    <cellStyle name="Standard 4 2 2 8 2 8" xfId="14481" xr:uid="{00000000-0005-0000-0000-000048390000}"/>
    <cellStyle name="Standard 4 2 2 8 3" xfId="14482" xr:uid="{00000000-0005-0000-0000-000049390000}"/>
    <cellStyle name="Standard 4 2 2 8 3 2" xfId="14483" xr:uid="{00000000-0005-0000-0000-00004A390000}"/>
    <cellStyle name="Standard 4 2 2 8 3 2 2" xfId="14484" xr:uid="{00000000-0005-0000-0000-00004B390000}"/>
    <cellStyle name="Standard 4 2 2 8 3 2 2 2" xfId="14485" xr:uid="{00000000-0005-0000-0000-00004C390000}"/>
    <cellStyle name="Standard 4 2 2 8 3 2 2 3" xfId="14486" xr:uid="{00000000-0005-0000-0000-00004D390000}"/>
    <cellStyle name="Standard 4 2 2 8 3 2 3" xfId="14487" xr:uid="{00000000-0005-0000-0000-00004E390000}"/>
    <cellStyle name="Standard 4 2 2 8 3 2 3 2" xfId="14488" xr:uid="{00000000-0005-0000-0000-00004F390000}"/>
    <cellStyle name="Standard 4 2 2 8 3 2 3 3" xfId="14489" xr:uid="{00000000-0005-0000-0000-000050390000}"/>
    <cellStyle name="Standard 4 2 2 8 3 2 4" xfId="14490" xr:uid="{00000000-0005-0000-0000-000051390000}"/>
    <cellStyle name="Standard 4 2 2 8 3 2 4 2" xfId="14491" xr:uid="{00000000-0005-0000-0000-000052390000}"/>
    <cellStyle name="Standard 4 2 2 8 3 2 5" xfId="14492" xr:uid="{00000000-0005-0000-0000-000053390000}"/>
    <cellStyle name="Standard 4 2 2 8 3 2 6" xfId="14493" xr:uid="{00000000-0005-0000-0000-000054390000}"/>
    <cellStyle name="Standard 4 2 2 8 3 3" xfId="14494" xr:uid="{00000000-0005-0000-0000-000055390000}"/>
    <cellStyle name="Standard 4 2 2 8 3 3 2" xfId="14495" xr:uid="{00000000-0005-0000-0000-000056390000}"/>
    <cellStyle name="Standard 4 2 2 8 3 3 3" xfId="14496" xr:uid="{00000000-0005-0000-0000-000057390000}"/>
    <cellStyle name="Standard 4 2 2 8 3 4" xfId="14497" xr:uid="{00000000-0005-0000-0000-000058390000}"/>
    <cellStyle name="Standard 4 2 2 8 3 4 2" xfId="14498" xr:uid="{00000000-0005-0000-0000-000059390000}"/>
    <cellStyle name="Standard 4 2 2 8 3 4 3" xfId="14499" xr:uid="{00000000-0005-0000-0000-00005A390000}"/>
    <cellStyle name="Standard 4 2 2 8 3 5" xfId="14500" xr:uid="{00000000-0005-0000-0000-00005B390000}"/>
    <cellStyle name="Standard 4 2 2 8 3 5 2" xfId="14501" xr:uid="{00000000-0005-0000-0000-00005C390000}"/>
    <cellStyle name="Standard 4 2 2 8 3 6" xfId="14502" xr:uid="{00000000-0005-0000-0000-00005D390000}"/>
    <cellStyle name="Standard 4 2 2 8 3 7" xfId="14503" xr:uid="{00000000-0005-0000-0000-00005E390000}"/>
    <cellStyle name="Standard 4 2 2 8 4" xfId="14504" xr:uid="{00000000-0005-0000-0000-00005F390000}"/>
    <cellStyle name="Standard 4 2 2 8 4 2" xfId="14505" xr:uid="{00000000-0005-0000-0000-000060390000}"/>
    <cellStyle name="Standard 4 2 2 8 4 2 2" xfId="14506" xr:uid="{00000000-0005-0000-0000-000061390000}"/>
    <cellStyle name="Standard 4 2 2 8 4 2 3" xfId="14507" xr:uid="{00000000-0005-0000-0000-000062390000}"/>
    <cellStyle name="Standard 4 2 2 8 4 3" xfId="14508" xr:uid="{00000000-0005-0000-0000-000063390000}"/>
    <cellStyle name="Standard 4 2 2 8 4 3 2" xfId="14509" xr:uid="{00000000-0005-0000-0000-000064390000}"/>
    <cellStyle name="Standard 4 2 2 8 4 3 3" xfId="14510" xr:uid="{00000000-0005-0000-0000-000065390000}"/>
    <cellStyle name="Standard 4 2 2 8 4 4" xfId="14511" xr:uid="{00000000-0005-0000-0000-000066390000}"/>
    <cellStyle name="Standard 4 2 2 8 4 4 2" xfId="14512" xr:uid="{00000000-0005-0000-0000-000067390000}"/>
    <cellStyle name="Standard 4 2 2 8 4 5" xfId="14513" xr:uid="{00000000-0005-0000-0000-000068390000}"/>
    <cellStyle name="Standard 4 2 2 8 4 6" xfId="14514" xr:uid="{00000000-0005-0000-0000-000069390000}"/>
    <cellStyle name="Standard 4 2 2 8 5" xfId="14515" xr:uid="{00000000-0005-0000-0000-00006A390000}"/>
    <cellStyle name="Standard 4 2 2 8 5 2" xfId="14516" xr:uid="{00000000-0005-0000-0000-00006B390000}"/>
    <cellStyle name="Standard 4 2 2 8 5 3" xfId="14517" xr:uid="{00000000-0005-0000-0000-00006C390000}"/>
    <cellStyle name="Standard 4 2 2 8 6" xfId="14518" xr:uid="{00000000-0005-0000-0000-00006D390000}"/>
    <cellStyle name="Standard 4 2 2 8 6 2" xfId="14519" xr:uid="{00000000-0005-0000-0000-00006E390000}"/>
    <cellStyle name="Standard 4 2 2 8 6 3" xfId="14520" xr:uid="{00000000-0005-0000-0000-00006F390000}"/>
    <cellStyle name="Standard 4 2 2 8 7" xfId="14521" xr:uid="{00000000-0005-0000-0000-000070390000}"/>
    <cellStyle name="Standard 4 2 2 8 7 2" xfId="14522" xr:uid="{00000000-0005-0000-0000-000071390000}"/>
    <cellStyle name="Standard 4 2 2 8 8" xfId="14523" xr:uid="{00000000-0005-0000-0000-000072390000}"/>
    <cellStyle name="Standard 4 2 2 8 9" xfId="14524" xr:uid="{00000000-0005-0000-0000-000073390000}"/>
    <cellStyle name="Standard 4 2 2 9" xfId="14525" xr:uid="{00000000-0005-0000-0000-000074390000}"/>
    <cellStyle name="Standard 4 2 2 9 2" xfId="14526" xr:uid="{00000000-0005-0000-0000-000075390000}"/>
    <cellStyle name="Standard 4 2 2 9 2 2" xfId="14527" xr:uid="{00000000-0005-0000-0000-000076390000}"/>
    <cellStyle name="Standard 4 2 2 9 2 2 2" xfId="14528" xr:uid="{00000000-0005-0000-0000-000077390000}"/>
    <cellStyle name="Standard 4 2 2 9 2 2 2 2" xfId="14529" xr:uid="{00000000-0005-0000-0000-000078390000}"/>
    <cellStyle name="Standard 4 2 2 9 2 2 2 3" xfId="14530" xr:uid="{00000000-0005-0000-0000-000079390000}"/>
    <cellStyle name="Standard 4 2 2 9 2 2 3" xfId="14531" xr:uid="{00000000-0005-0000-0000-00007A390000}"/>
    <cellStyle name="Standard 4 2 2 9 2 2 3 2" xfId="14532" xr:uid="{00000000-0005-0000-0000-00007B390000}"/>
    <cellStyle name="Standard 4 2 2 9 2 2 3 3" xfId="14533" xr:uid="{00000000-0005-0000-0000-00007C390000}"/>
    <cellStyle name="Standard 4 2 2 9 2 2 4" xfId="14534" xr:uid="{00000000-0005-0000-0000-00007D390000}"/>
    <cellStyle name="Standard 4 2 2 9 2 2 4 2" xfId="14535" xr:uid="{00000000-0005-0000-0000-00007E390000}"/>
    <cellStyle name="Standard 4 2 2 9 2 2 5" xfId="14536" xr:uid="{00000000-0005-0000-0000-00007F390000}"/>
    <cellStyle name="Standard 4 2 2 9 2 2 6" xfId="14537" xr:uid="{00000000-0005-0000-0000-000080390000}"/>
    <cellStyle name="Standard 4 2 2 9 2 3" xfId="14538" xr:uid="{00000000-0005-0000-0000-000081390000}"/>
    <cellStyle name="Standard 4 2 2 9 2 3 2" xfId="14539" xr:uid="{00000000-0005-0000-0000-000082390000}"/>
    <cellStyle name="Standard 4 2 2 9 2 3 3" xfId="14540" xr:uid="{00000000-0005-0000-0000-000083390000}"/>
    <cellStyle name="Standard 4 2 2 9 2 4" xfId="14541" xr:uid="{00000000-0005-0000-0000-000084390000}"/>
    <cellStyle name="Standard 4 2 2 9 2 4 2" xfId="14542" xr:uid="{00000000-0005-0000-0000-000085390000}"/>
    <cellStyle name="Standard 4 2 2 9 2 4 3" xfId="14543" xr:uid="{00000000-0005-0000-0000-000086390000}"/>
    <cellStyle name="Standard 4 2 2 9 2 5" xfId="14544" xr:uid="{00000000-0005-0000-0000-000087390000}"/>
    <cellStyle name="Standard 4 2 2 9 2 5 2" xfId="14545" xr:uid="{00000000-0005-0000-0000-000088390000}"/>
    <cellStyle name="Standard 4 2 2 9 2 6" xfId="14546" xr:uid="{00000000-0005-0000-0000-000089390000}"/>
    <cellStyle name="Standard 4 2 2 9 2 7" xfId="14547" xr:uid="{00000000-0005-0000-0000-00008A390000}"/>
    <cellStyle name="Standard 4 2 2 9 3" xfId="14548" xr:uid="{00000000-0005-0000-0000-00008B390000}"/>
    <cellStyle name="Standard 4 2 2 9 3 2" xfId="14549" xr:uid="{00000000-0005-0000-0000-00008C390000}"/>
    <cellStyle name="Standard 4 2 2 9 3 2 2" xfId="14550" xr:uid="{00000000-0005-0000-0000-00008D390000}"/>
    <cellStyle name="Standard 4 2 2 9 3 2 3" xfId="14551" xr:uid="{00000000-0005-0000-0000-00008E390000}"/>
    <cellStyle name="Standard 4 2 2 9 3 3" xfId="14552" xr:uid="{00000000-0005-0000-0000-00008F390000}"/>
    <cellStyle name="Standard 4 2 2 9 3 3 2" xfId="14553" xr:uid="{00000000-0005-0000-0000-000090390000}"/>
    <cellStyle name="Standard 4 2 2 9 3 3 3" xfId="14554" xr:uid="{00000000-0005-0000-0000-000091390000}"/>
    <cellStyle name="Standard 4 2 2 9 3 4" xfId="14555" xr:uid="{00000000-0005-0000-0000-000092390000}"/>
    <cellStyle name="Standard 4 2 2 9 3 4 2" xfId="14556" xr:uid="{00000000-0005-0000-0000-000093390000}"/>
    <cellStyle name="Standard 4 2 2 9 3 5" xfId="14557" xr:uid="{00000000-0005-0000-0000-000094390000}"/>
    <cellStyle name="Standard 4 2 2 9 3 6" xfId="14558" xr:uid="{00000000-0005-0000-0000-000095390000}"/>
    <cellStyle name="Standard 4 2 2 9 4" xfId="14559" xr:uid="{00000000-0005-0000-0000-000096390000}"/>
    <cellStyle name="Standard 4 2 2 9 4 2" xfId="14560" xr:uid="{00000000-0005-0000-0000-000097390000}"/>
    <cellStyle name="Standard 4 2 2 9 4 3" xfId="14561" xr:uid="{00000000-0005-0000-0000-000098390000}"/>
    <cellStyle name="Standard 4 2 2 9 5" xfId="14562" xr:uid="{00000000-0005-0000-0000-000099390000}"/>
    <cellStyle name="Standard 4 2 2 9 5 2" xfId="14563" xr:uid="{00000000-0005-0000-0000-00009A390000}"/>
    <cellStyle name="Standard 4 2 2 9 5 3" xfId="14564" xr:uid="{00000000-0005-0000-0000-00009B390000}"/>
    <cellStyle name="Standard 4 2 2 9 6" xfId="14565" xr:uid="{00000000-0005-0000-0000-00009C390000}"/>
    <cellStyle name="Standard 4 2 2 9 6 2" xfId="14566" xr:uid="{00000000-0005-0000-0000-00009D390000}"/>
    <cellStyle name="Standard 4 2 2 9 7" xfId="14567" xr:uid="{00000000-0005-0000-0000-00009E390000}"/>
    <cellStyle name="Standard 4 2 2 9 8" xfId="14568" xr:uid="{00000000-0005-0000-0000-00009F390000}"/>
    <cellStyle name="Standard 4 2 3" xfId="14569" xr:uid="{00000000-0005-0000-0000-0000A0390000}"/>
    <cellStyle name="Standard 4 2 3 10" xfId="14570" xr:uid="{00000000-0005-0000-0000-0000A1390000}"/>
    <cellStyle name="Standard 4 2 3 10 2" xfId="14571" xr:uid="{00000000-0005-0000-0000-0000A2390000}"/>
    <cellStyle name="Standard 4 2 3 10 3" xfId="14572" xr:uid="{00000000-0005-0000-0000-0000A3390000}"/>
    <cellStyle name="Standard 4 2 3 11" xfId="14573" xr:uid="{00000000-0005-0000-0000-0000A4390000}"/>
    <cellStyle name="Standard 4 2 3 11 2" xfId="14574" xr:uid="{00000000-0005-0000-0000-0000A5390000}"/>
    <cellStyle name="Standard 4 2 3 11 3" xfId="14575" xr:uid="{00000000-0005-0000-0000-0000A6390000}"/>
    <cellStyle name="Standard 4 2 3 12" xfId="14576" xr:uid="{00000000-0005-0000-0000-0000A7390000}"/>
    <cellStyle name="Standard 4 2 3 12 2" xfId="14577" xr:uid="{00000000-0005-0000-0000-0000A8390000}"/>
    <cellStyle name="Standard 4 2 3 13" xfId="14578" xr:uid="{00000000-0005-0000-0000-0000A9390000}"/>
    <cellStyle name="Standard 4 2 3 14" xfId="14579" xr:uid="{00000000-0005-0000-0000-0000AA390000}"/>
    <cellStyle name="Standard 4 2 3 15" xfId="33459" xr:uid="{00000000-0005-0000-0000-0000AB390000}"/>
    <cellStyle name="Standard 4 2 3 2" xfId="14580" xr:uid="{00000000-0005-0000-0000-0000AC390000}"/>
    <cellStyle name="Standard 4 2 3 2 10" xfId="14581" xr:uid="{00000000-0005-0000-0000-0000AD390000}"/>
    <cellStyle name="Standard 4 2 3 2 10 2" xfId="14582" xr:uid="{00000000-0005-0000-0000-0000AE390000}"/>
    <cellStyle name="Standard 4 2 3 2 11" xfId="14583" xr:uid="{00000000-0005-0000-0000-0000AF390000}"/>
    <cellStyle name="Standard 4 2 3 2 12" xfId="14584" xr:uid="{00000000-0005-0000-0000-0000B0390000}"/>
    <cellStyle name="Standard 4 2 3 2 13" xfId="33460" xr:uid="{00000000-0005-0000-0000-0000B1390000}"/>
    <cellStyle name="Standard 4 2 3 2 2" xfId="14585" xr:uid="{00000000-0005-0000-0000-0000B2390000}"/>
    <cellStyle name="Standard 4 2 3 2 2 10" xfId="14586" xr:uid="{00000000-0005-0000-0000-0000B3390000}"/>
    <cellStyle name="Standard 4 2 3 2 2 11" xfId="14587" xr:uid="{00000000-0005-0000-0000-0000B4390000}"/>
    <cellStyle name="Standard 4 2 3 2 2 12" xfId="33461" xr:uid="{00000000-0005-0000-0000-0000B5390000}"/>
    <cellStyle name="Standard 4 2 3 2 2 2" xfId="14588" xr:uid="{00000000-0005-0000-0000-0000B6390000}"/>
    <cellStyle name="Standard 4 2 3 2 2 2 10" xfId="14589" xr:uid="{00000000-0005-0000-0000-0000B7390000}"/>
    <cellStyle name="Standard 4 2 3 2 2 2 2" xfId="14590" xr:uid="{00000000-0005-0000-0000-0000B8390000}"/>
    <cellStyle name="Standard 4 2 3 2 2 2 2 2" xfId="14591" xr:uid="{00000000-0005-0000-0000-0000B9390000}"/>
    <cellStyle name="Standard 4 2 3 2 2 2 2 2 2" xfId="14592" xr:uid="{00000000-0005-0000-0000-0000BA390000}"/>
    <cellStyle name="Standard 4 2 3 2 2 2 2 2 2 2" xfId="14593" xr:uid="{00000000-0005-0000-0000-0000BB390000}"/>
    <cellStyle name="Standard 4 2 3 2 2 2 2 2 2 2 2" xfId="14594" xr:uid="{00000000-0005-0000-0000-0000BC390000}"/>
    <cellStyle name="Standard 4 2 3 2 2 2 2 2 2 2 3" xfId="14595" xr:uid="{00000000-0005-0000-0000-0000BD390000}"/>
    <cellStyle name="Standard 4 2 3 2 2 2 2 2 2 3" xfId="14596" xr:uid="{00000000-0005-0000-0000-0000BE390000}"/>
    <cellStyle name="Standard 4 2 3 2 2 2 2 2 2 3 2" xfId="14597" xr:uid="{00000000-0005-0000-0000-0000BF390000}"/>
    <cellStyle name="Standard 4 2 3 2 2 2 2 2 2 3 3" xfId="14598" xr:uid="{00000000-0005-0000-0000-0000C0390000}"/>
    <cellStyle name="Standard 4 2 3 2 2 2 2 2 2 4" xfId="14599" xr:uid="{00000000-0005-0000-0000-0000C1390000}"/>
    <cellStyle name="Standard 4 2 3 2 2 2 2 2 2 4 2" xfId="14600" xr:uid="{00000000-0005-0000-0000-0000C2390000}"/>
    <cellStyle name="Standard 4 2 3 2 2 2 2 2 2 5" xfId="14601" xr:uid="{00000000-0005-0000-0000-0000C3390000}"/>
    <cellStyle name="Standard 4 2 3 2 2 2 2 2 2 6" xfId="14602" xr:uid="{00000000-0005-0000-0000-0000C4390000}"/>
    <cellStyle name="Standard 4 2 3 2 2 2 2 2 3" xfId="14603" xr:uid="{00000000-0005-0000-0000-0000C5390000}"/>
    <cellStyle name="Standard 4 2 3 2 2 2 2 2 3 2" xfId="14604" xr:uid="{00000000-0005-0000-0000-0000C6390000}"/>
    <cellStyle name="Standard 4 2 3 2 2 2 2 2 3 3" xfId="14605" xr:uid="{00000000-0005-0000-0000-0000C7390000}"/>
    <cellStyle name="Standard 4 2 3 2 2 2 2 2 4" xfId="14606" xr:uid="{00000000-0005-0000-0000-0000C8390000}"/>
    <cellStyle name="Standard 4 2 3 2 2 2 2 2 4 2" xfId="14607" xr:uid="{00000000-0005-0000-0000-0000C9390000}"/>
    <cellStyle name="Standard 4 2 3 2 2 2 2 2 4 3" xfId="14608" xr:uid="{00000000-0005-0000-0000-0000CA390000}"/>
    <cellStyle name="Standard 4 2 3 2 2 2 2 2 5" xfId="14609" xr:uid="{00000000-0005-0000-0000-0000CB390000}"/>
    <cellStyle name="Standard 4 2 3 2 2 2 2 2 5 2" xfId="14610" xr:uid="{00000000-0005-0000-0000-0000CC390000}"/>
    <cellStyle name="Standard 4 2 3 2 2 2 2 2 6" xfId="14611" xr:uid="{00000000-0005-0000-0000-0000CD390000}"/>
    <cellStyle name="Standard 4 2 3 2 2 2 2 2 7" xfId="14612" xr:uid="{00000000-0005-0000-0000-0000CE390000}"/>
    <cellStyle name="Standard 4 2 3 2 2 2 2 3" xfId="14613" xr:uid="{00000000-0005-0000-0000-0000CF390000}"/>
    <cellStyle name="Standard 4 2 3 2 2 2 2 3 2" xfId="14614" xr:uid="{00000000-0005-0000-0000-0000D0390000}"/>
    <cellStyle name="Standard 4 2 3 2 2 2 2 3 2 2" xfId="14615" xr:uid="{00000000-0005-0000-0000-0000D1390000}"/>
    <cellStyle name="Standard 4 2 3 2 2 2 2 3 2 3" xfId="14616" xr:uid="{00000000-0005-0000-0000-0000D2390000}"/>
    <cellStyle name="Standard 4 2 3 2 2 2 2 3 3" xfId="14617" xr:uid="{00000000-0005-0000-0000-0000D3390000}"/>
    <cellStyle name="Standard 4 2 3 2 2 2 2 3 3 2" xfId="14618" xr:uid="{00000000-0005-0000-0000-0000D4390000}"/>
    <cellStyle name="Standard 4 2 3 2 2 2 2 3 3 3" xfId="14619" xr:uid="{00000000-0005-0000-0000-0000D5390000}"/>
    <cellStyle name="Standard 4 2 3 2 2 2 2 3 4" xfId="14620" xr:uid="{00000000-0005-0000-0000-0000D6390000}"/>
    <cellStyle name="Standard 4 2 3 2 2 2 2 3 4 2" xfId="14621" xr:uid="{00000000-0005-0000-0000-0000D7390000}"/>
    <cellStyle name="Standard 4 2 3 2 2 2 2 3 5" xfId="14622" xr:uid="{00000000-0005-0000-0000-0000D8390000}"/>
    <cellStyle name="Standard 4 2 3 2 2 2 2 3 6" xfId="14623" xr:uid="{00000000-0005-0000-0000-0000D9390000}"/>
    <cellStyle name="Standard 4 2 3 2 2 2 2 4" xfId="14624" xr:uid="{00000000-0005-0000-0000-0000DA390000}"/>
    <cellStyle name="Standard 4 2 3 2 2 2 2 4 2" xfId="14625" xr:uid="{00000000-0005-0000-0000-0000DB390000}"/>
    <cellStyle name="Standard 4 2 3 2 2 2 2 4 3" xfId="14626" xr:uid="{00000000-0005-0000-0000-0000DC390000}"/>
    <cellStyle name="Standard 4 2 3 2 2 2 2 5" xfId="14627" xr:uid="{00000000-0005-0000-0000-0000DD390000}"/>
    <cellStyle name="Standard 4 2 3 2 2 2 2 5 2" xfId="14628" xr:uid="{00000000-0005-0000-0000-0000DE390000}"/>
    <cellStyle name="Standard 4 2 3 2 2 2 2 5 3" xfId="14629" xr:uid="{00000000-0005-0000-0000-0000DF390000}"/>
    <cellStyle name="Standard 4 2 3 2 2 2 2 6" xfId="14630" xr:uid="{00000000-0005-0000-0000-0000E0390000}"/>
    <cellStyle name="Standard 4 2 3 2 2 2 2 6 2" xfId="14631" xr:uid="{00000000-0005-0000-0000-0000E1390000}"/>
    <cellStyle name="Standard 4 2 3 2 2 2 2 7" xfId="14632" xr:uid="{00000000-0005-0000-0000-0000E2390000}"/>
    <cellStyle name="Standard 4 2 3 2 2 2 2 8" xfId="14633" xr:uid="{00000000-0005-0000-0000-0000E3390000}"/>
    <cellStyle name="Standard 4 2 3 2 2 2 3" xfId="14634" xr:uid="{00000000-0005-0000-0000-0000E4390000}"/>
    <cellStyle name="Standard 4 2 3 2 2 2 3 2" xfId="14635" xr:uid="{00000000-0005-0000-0000-0000E5390000}"/>
    <cellStyle name="Standard 4 2 3 2 2 2 3 2 2" xfId="14636" xr:uid="{00000000-0005-0000-0000-0000E6390000}"/>
    <cellStyle name="Standard 4 2 3 2 2 2 3 2 2 2" xfId="14637" xr:uid="{00000000-0005-0000-0000-0000E7390000}"/>
    <cellStyle name="Standard 4 2 3 2 2 2 3 2 2 2 2" xfId="14638" xr:uid="{00000000-0005-0000-0000-0000E8390000}"/>
    <cellStyle name="Standard 4 2 3 2 2 2 3 2 2 2 3" xfId="14639" xr:uid="{00000000-0005-0000-0000-0000E9390000}"/>
    <cellStyle name="Standard 4 2 3 2 2 2 3 2 2 3" xfId="14640" xr:uid="{00000000-0005-0000-0000-0000EA390000}"/>
    <cellStyle name="Standard 4 2 3 2 2 2 3 2 2 3 2" xfId="14641" xr:uid="{00000000-0005-0000-0000-0000EB390000}"/>
    <cellStyle name="Standard 4 2 3 2 2 2 3 2 2 3 3" xfId="14642" xr:uid="{00000000-0005-0000-0000-0000EC390000}"/>
    <cellStyle name="Standard 4 2 3 2 2 2 3 2 2 4" xfId="14643" xr:uid="{00000000-0005-0000-0000-0000ED390000}"/>
    <cellStyle name="Standard 4 2 3 2 2 2 3 2 2 4 2" xfId="14644" xr:uid="{00000000-0005-0000-0000-0000EE390000}"/>
    <cellStyle name="Standard 4 2 3 2 2 2 3 2 2 5" xfId="14645" xr:uid="{00000000-0005-0000-0000-0000EF390000}"/>
    <cellStyle name="Standard 4 2 3 2 2 2 3 2 2 6" xfId="14646" xr:uid="{00000000-0005-0000-0000-0000F0390000}"/>
    <cellStyle name="Standard 4 2 3 2 2 2 3 2 3" xfId="14647" xr:uid="{00000000-0005-0000-0000-0000F1390000}"/>
    <cellStyle name="Standard 4 2 3 2 2 2 3 2 3 2" xfId="14648" xr:uid="{00000000-0005-0000-0000-0000F2390000}"/>
    <cellStyle name="Standard 4 2 3 2 2 2 3 2 3 3" xfId="14649" xr:uid="{00000000-0005-0000-0000-0000F3390000}"/>
    <cellStyle name="Standard 4 2 3 2 2 2 3 2 4" xfId="14650" xr:uid="{00000000-0005-0000-0000-0000F4390000}"/>
    <cellStyle name="Standard 4 2 3 2 2 2 3 2 4 2" xfId="14651" xr:uid="{00000000-0005-0000-0000-0000F5390000}"/>
    <cellStyle name="Standard 4 2 3 2 2 2 3 2 4 3" xfId="14652" xr:uid="{00000000-0005-0000-0000-0000F6390000}"/>
    <cellStyle name="Standard 4 2 3 2 2 2 3 2 5" xfId="14653" xr:uid="{00000000-0005-0000-0000-0000F7390000}"/>
    <cellStyle name="Standard 4 2 3 2 2 2 3 2 5 2" xfId="14654" xr:uid="{00000000-0005-0000-0000-0000F8390000}"/>
    <cellStyle name="Standard 4 2 3 2 2 2 3 2 6" xfId="14655" xr:uid="{00000000-0005-0000-0000-0000F9390000}"/>
    <cellStyle name="Standard 4 2 3 2 2 2 3 2 7" xfId="14656" xr:uid="{00000000-0005-0000-0000-0000FA390000}"/>
    <cellStyle name="Standard 4 2 3 2 2 2 3 3" xfId="14657" xr:uid="{00000000-0005-0000-0000-0000FB390000}"/>
    <cellStyle name="Standard 4 2 3 2 2 2 3 3 2" xfId="14658" xr:uid="{00000000-0005-0000-0000-0000FC390000}"/>
    <cellStyle name="Standard 4 2 3 2 2 2 3 3 2 2" xfId="14659" xr:uid="{00000000-0005-0000-0000-0000FD390000}"/>
    <cellStyle name="Standard 4 2 3 2 2 2 3 3 2 3" xfId="14660" xr:uid="{00000000-0005-0000-0000-0000FE390000}"/>
    <cellStyle name="Standard 4 2 3 2 2 2 3 3 3" xfId="14661" xr:uid="{00000000-0005-0000-0000-0000FF390000}"/>
    <cellStyle name="Standard 4 2 3 2 2 2 3 3 3 2" xfId="14662" xr:uid="{00000000-0005-0000-0000-0000003A0000}"/>
    <cellStyle name="Standard 4 2 3 2 2 2 3 3 3 3" xfId="14663" xr:uid="{00000000-0005-0000-0000-0000013A0000}"/>
    <cellStyle name="Standard 4 2 3 2 2 2 3 3 4" xfId="14664" xr:uid="{00000000-0005-0000-0000-0000023A0000}"/>
    <cellStyle name="Standard 4 2 3 2 2 2 3 3 4 2" xfId="14665" xr:uid="{00000000-0005-0000-0000-0000033A0000}"/>
    <cellStyle name="Standard 4 2 3 2 2 2 3 3 5" xfId="14666" xr:uid="{00000000-0005-0000-0000-0000043A0000}"/>
    <cellStyle name="Standard 4 2 3 2 2 2 3 3 6" xfId="14667" xr:uid="{00000000-0005-0000-0000-0000053A0000}"/>
    <cellStyle name="Standard 4 2 3 2 2 2 3 4" xfId="14668" xr:uid="{00000000-0005-0000-0000-0000063A0000}"/>
    <cellStyle name="Standard 4 2 3 2 2 2 3 4 2" xfId="14669" xr:uid="{00000000-0005-0000-0000-0000073A0000}"/>
    <cellStyle name="Standard 4 2 3 2 2 2 3 4 3" xfId="14670" xr:uid="{00000000-0005-0000-0000-0000083A0000}"/>
    <cellStyle name="Standard 4 2 3 2 2 2 3 5" xfId="14671" xr:uid="{00000000-0005-0000-0000-0000093A0000}"/>
    <cellStyle name="Standard 4 2 3 2 2 2 3 5 2" xfId="14672" xr:uid="{00000000-0005-0000-0000-00000A3A0000}"/>
    <cellStyle name="Standard 4 2 3 2 2 2 3 5 3" xfId="14673" xr:uid="{00000000-0005-0000-0000-00000B3A0000}"/>
    <cellStyle name="Standard 4 2 3 2 2 2 3 6" xfId="14674" xr:uid="{00000000-0005-0000-0000-00000C3A0000}"/>
    <cellStyle name="Standard 4 2 3 2 2 2 3 6 2" xfId="14675" xr:uid="{00000000-0005-0000-0000-00000D3A0000}"/>
    <cellStyle name="Standard 4 2 3 2 2 2 3 7" xfId="14676" xr:uid="{00000000-0005-0000-0000-00000E3A0000}"/>
    <cellStyle name="Standard 4 2 3 2 2 2 3 8" xfId="14677" xr:uid="{00000000-0005-0000-0000-00000F3A0000}"/>
    <cellStyle name="Standard 4 2 3 2 2 2 4" xfId="14678" xr:uid="{00000000-0005-0000-0000-0000103A0000}"/>
    <cellStyle name="Standard 4 2 3 2 2 2 4 2" xfId="14679" xr:uid="{00000000-0005-0000-0000-0000113A0000}"/>
    <cellStyle name="Standard 4 2 3 2 2 2 4 2 2" xfId="14680" xr:uid="{00000000-0005-0000-0000-0000123A0000}"/>
    <cellStyle name="Standard 4 2 3 2 2 2 4 2 2 2" xfId="14681" xr:uid="{00000000-0005-0000-0000-0000133A0000}"/>
    <cellStyle name="Standard 4 2 3 2 2 2 4 2 2 3" xfId="14682" xr:uid="{00000000-0005-0000-0000-0000143A0000}"/>
    <cellStyle name="Standard 4 2 3 2 2 2 4 2 3" xfId="14683" xr:uid="{00000000-0005-0000-0000-0000153A0000}"/>
    <cellStyle name="Standard 4 2 3 2 2 2 4 2 3 2" xfId="14684" xr:uid="{00000000-0005-0000-0000-0000163A0000}"/>
    <cellStyle name="Standard 4 2 3 2 2 2 4 2 3 3" xfId="14685" xr:uid="{00000000-0005-0000-0000-0000173A0000}"/>
    <cellStyle name="Standard 4 2 3 2 2 2 4 2 4" xfId="14686" xr:uid="{00000000-0005-0000-0000-0000183A0000}"/>
    <cellStyle name="Standard 4 2 3 2 2 2 4 2 4 2" xfId="14687" xr:uid="{00000000-0005-0000-0000-0000193A0000}"/>
    <cellStyle name="Standard 4 2 3 2 2 2 4 2 5" xfId="14688" xr:uid="{00000000-0005-0000-0000-00001A3A0000}"/>
    <cellStyle name="Standard 4 2 3 2 2 2 4 2 6" xfId="14689" xr:uid="{00000000-0005-0000-0000-00001B3A0000}"/>
    <cellStyle name="Standard 4 2 3 2 2 2 4 3" xfId="14690" xr:uid="{00000000-0005-0000-0000-00001C3A0000}"/>
    <cellStyle name="Standard 4 2 3 2 2 2 4 3 2" xfId="14691" xr:uid="{00000000-0005-0000-0000-00001D3A0000}"/>
    <cellStyle name="Standard 4 2 3 2 2 2 4 3 3" xfId="14692" xr:uid="{00000000-0005-0000-0000-00001E3A0000}"/>
    <cellStyle name="Standard 4 2 3 2 2 2 4 4" xfId="14693" xr:uid="{00000000-0005-0000-0000-00001F3A0000}"/>
    <cellStyle name="Standard 4 2 3 2 2 2 4 4 2" xfId="14694" xr:uid="{00000000-0005-0000-0000-0000203A0000}"/>
    <cellStyle name="Standard 4 2 3 2 2 2 4 4 3" xfId="14695" xr:uid="{00000000-0005-0000-0000-0000213A0000}"/>
    <cellStyle name="Standard 4 2 3 2 2 2 4 5" xfId="14696" xr:uid="{00000000-0005-0000-0000-0000223A0000}"/>
    <cellStyle name="Standard 4 2 3 2 2 2 4 5 2" xfId="14697" xr:uid="{00000000-0005-0000-0000-0000233A0000}"/>
    <cellStyle name="Standard 4 2 3 2 2 2 4 6" xfId="14698" xr:uid="{00000000-0005-0000-0000-0000243A0000}"/>
    <cellStyle name="Standard 4 2 3 2 2 2 4 7" xfId="14699" xr:uid="{00000000-0005-0000-0000-0000253A0000}"/>
    <cellStyle name="Standard 4 2 3 2 2 2 5" xfId="14700" xr:uid="{00000000-0005-0000-0000-0000263A0000}"/>
    <cellStyle name="Standard 4 2 3 2 2 2 5 2" xfId="14701" xr:uid="{00000000-0005-0000-0000-0000273A0000}"/>
    <cellStyle name="Standard 4 2 3 2 2 2 5 2 2" xfId="14702" xr:uid="{00000000-0005-0000-0000-0000283A0000}"/>
    <cellStyle name="Standard 4 2 3 2 2 2 5 2 3" xfId="14703" xr:uid="{00000000-0005-0000-0000-0000293A0000}"/>
    <cellStyle name="Standard 4 2 3 2 2 2 5 3" xfId="14704" xr:uid="{00000000-0005-0000-0000-00002A3A0000}"/>
    <cellStyle name="Standard 4 2 3 2 2 2 5 3 2" xfId="14705" xr:uid="{00000000-0005-0000-0000-00002B3A0000}"/>
    <cellStyle name="Standard 4 2 3 2 2 2 5 3 3" xfId="14706" xr:uid="{00000000-0005-0000-0000-00002C3A0000}"/>
    <cellStyle name="Standard 4 2 3 2 2 2 5 4" xfId="14707" xr:uid="{00000000-0005-0000-0000-00002D3A0000}"/>
    <cellStyle name="Standard 4 2 3 2 2 2 5 4 2" xfId="14708" xr:uid="{00000000-0005-0000-0000-00002E3A0000}"/>
    <cellStyle name="Standard 4 2 3 2 2 2 5 5" xfId="14709" xr:uid="{00000000-0005-0000-0000-00002F3A0000}"/>
    <cellStyle name="Standard 4 2 3 2 2 2 5 6" xfId="14710" xr:uid="{00000000-0005-0000-0000-0000303A0000}"/>
    <cellStyle name="Standard 4 2 3 2 2 2 6" xfId="14711" xr:uid="{00000000-0005-0000-0000-0000313A0000}"/>
    <cellStyle name="Standard 4 2 3 2 2 2 6 2" xfId="14712" xr:uid="{00000000-0005-0000-0000-0000323A0000}"/>
    <cellStyle name="Standard 4 2 3 2 2 2 6 3" xfId="14713" xr:uid="{00000000-0005-0000-0000-0000333A0000}"/>
    <cellStyle name="Standard 4 2 3 2 2 2 7" xfId="14714" xr:uid="{00000000-0005-0000-0000-0000343A0000}"/>
    <cellStyle name="Standard 4 2 3 2 2 2 7 2" xfId="14715" xr:uid="{00000000-0005-0000-0000-0000353A0000}"/>
    <cellStyle name="Standard 4 2 3 2 2 2 7 3" xfId="14716" xr:uid="{00000000-0005-0000-0000-0000363A0000}"/>
    <cellStyle name="Standard 4 2 3 2 2 2 8" xfId="14717" xr:uid="{00000000-0005-0000-0000-0000373A0000}"/>
    <cellStyle name="Standard 4 2 3 2 2 2 8 2" xfId="14718" xr:uid="{00000000-0005-0000-0000-0000383A0000}"/>
    <cellStyle name="Standard 4 2 3 2 2 2 9" xfId="14719" xr:uid="{00000000-0005-0000-0000-0000393A0000}"/>
    <cellStyle name="Standard 4 2 3 2 2 3" xfId="14720" xr:uid="{00000000-0005-0000-0000-00003A3A0000}"/>
    <cellStyle name="Standard 4 2 3 2 2 3 2" xfId="14721" xr:uid="{00000000-0005-0000-0000-00003B3A0000}"/>
    <cellStyle name="Standard 4 2 3 2 2 3 2 2" xfId="14722" xr:uid="{00000000-0005-0000-0000-00003C3A0000}"/>
    <cellStyle name="Standard 4 2 3 2 2 3 2 2 2" xfId="14723" xr:uid="{00000000-0005-0000-0000-00003D3A0000}"/>
    <cellStyle name="Standard 4 2 3 2 2 3 2 2 2 2" xfId="14724" xr:uid="{00000000-0005-0000-0000-00003E3A0000}"/>
    <cellStyle name="Standard 4 2 3 2 2 3 2 2 2 3" xfId="14725" xr:uid="{00000000-0005-0000-0000-00003F3A0000}"/>
    <cellStyle name="Standard 4 2 3 2 2 3 2 2 3" xfId="14726" xr:uid="{00000000-0005-0000-0000-0000403A0000}"/>
    <cellStyle name="Standard 4 2 3 2 2 3 2 2 3 2" xfId="14727" xr:uid="{00000000-0005-0000-0000-0000413A0000}"/>
    <cellStyle name="Standard 4 2 3 2 2 3 2 2 3 3" xfId="14728" xr:uid="{00000000-0005-0000-0000-0000423A0000}"/>
    <cellStyle name="Standard 4 2 3 2 2 3 2 2 4" xfId="14729" xr:uid="{00000000-0005-0000-0000-0000433A0000}"/>
    <cellStyle name="Standard 4 2 3 2 2 3 2 2 4 2" xfId="14730" xr:uid="{00000000-0005-0000-0000-0000443A0000}"/>
    <cellStyle name="Standard 4 2 3 2 2 3 2 2 5" xfId="14731" xr:uid="{00000000-0005-0000-0000-0000453A0000}"/>
    <cellStyle name="Standard 4 2 3 2 2 3 2 2 6" xfId="14732" xr:uid="{00000000-0005-0000-0000-0000463A0000}"/>
    <cellStyle name="Standard 4 2 3 2 2 3 2 3" xfId="14733" xr:uid="{00000000-0005-0000-0000-0000473A0000}"/>
    <cellStyle name="Standard 4 2 3 2 2 3 2 3 2" xfId="14734" xr:uid="{00000000-0005-0000-0000-0000483A0000}"/>
    <cellStyle name="Standard 4 2 3 2 2 3 2 3 3" xfId="14735" xr:uid="{00000000-0005-0000-0000-0000493A0000}"/>
    <cellStyle name="Standard 4 2 3 2 2 3 2 4" xfId="14736" xr:uid="{00000000-0005-0000-0000-00004A3A0000}"/>
    <cellStyle name="Standard 4 2 3 2 2 3 2 4 2" xfId="14737" xr:uid="{00000000-0005-0000-0000-00004B3A0000}"/>
    <cellStyle name="Standard 4 2 3 2 2 3 2 4 3" xfId="14738" xr:uid="{00000000-0005-0000-0000-00004C3A0000}"/>
    <cellStyle name="Standard 4 2 3 2 2 3 2 5" xfId="14739" xr:uid="{00000000-0005-0000-0000-00004D3A0000}"/>
    <cellStyle name="Standard 4 2 3 2 2 3 2 5 2" xfId="14740" xr:uid="{00000000-0005-0000-0000-00004E3A0000}"/>
    <cellStyle name="Standard 4 2 3 2 2 3 2 6" xfId="14741" xr:uid="{00000000-0005-0000-0000-00004F3A0000}"/>
    <cellStyle name="Standard 4 2 3 2 2 3 2 7" xfId="14742" xr:uid="{00000000-0005-0000-0000-0000503A0000}"/>
    <cellStyle name="Standard 4 2 3 2 2 3 3" xfId="14743" xr:uid="{00000000-0005-0000-0000-0000513A0000}"/>
    <cellStyle name="Standard 4 2 3 2 2 3 3 2" xfId="14744" xr:uid="{00000000-0005-0000-0000-0000523A0000}"/>
    <cellStyle name="Standard 4 2 3 2 2 3 3 2 2" xfId="14745" xr:uid="{00000000-0005-0000-0000-0000533A0000}"/>
    <cellStyle name="Standard 4 2 3 2 2 3 3 2 3" xfId="14746" xr:uid="{00000000-0005-0000-0000-0000543A0000}"/>
    <cellStyle name="Standard 4 2 3 2 2 3 3 3" xfId="14747" xr:uid="{00000000-0005-0000-0000-0000553A0000}"/>
    <cellStyle name="Standard 4 2 3 2 2 3 3 3 2" xfId="14748" xr:uid="{00000000-0005-0000-0000-0000563A0000}"/>
    <cellStyle name="Standard 4 2 3 2 2 3 3 3 3" xfId="14749" xr:uid="{00000000-0005-0000-0000-0000573A0000}"/>
    <cellStyle name="Standard 4 2 3 2 2 3 3 4" xfId="14750" xr:uid="{00000000-0005-0000-0000-0000583A0000}"/>
    <cellStyle name="Standard 4 2 3 2 2 3 3 4 2" xfId="14751" xr:uid="{00000000-0005-0000-0000-0000593A0000}"/>
    <cellStyle name="Standard 4 2 3 2 2 3 3 5" xfId="14752" xr:uid="{00000000-0005-0000-0000-00005A3A0000}"/>
    <cellStyle name="Standard 4 2 3 2 2 3 3 6" xfId="14753" xr:uid="{00000000-0005-0000-0000-00005B3A0000}"/>
    <cellStyle name="Standard 4 2 3 2 2 3 4" xfId="14754" xr:uid="{00000000-0005-0000-0000-00005C3A0000}"/>
    <cellStyle name="Standard 4 2 3 2 2 3 4 2" xfId="14755" xr:uid="{00000000-0005-0000-0000-00005D3A0000}"/>
    <cellStyle name="Standard 4 2 3 2 2 3 4 3" xfId="14756" xr:uid="{00000000-0005-0000-0000-00005E3A0000}"/>
    <cellStyle name="Standard 4 2 3 2 2 3 5" xfId="14757" xr:uid="{00000000-0005-0000-0000-00005F3A0000}"/>
    <cellStyle name="Standard 4 2 3 2 2 3 5 2" xfId="14758" xr:uid="{00000000-0005-0000-0000-0000603A0000}"/>
    <cellStyle name="Standard 4 2 3 2 2 3 5 3" xfId="14759" xr:uid="{00000000-0005-0000-0000-0000613A0000}"/>
    <cellStyle name="Standard 4 2 3 2 2 3 6" xfId="14760" xr:uid="{00000000-0005-0000-0000-0000623A0000}"/>
    <cellStyle name="Standard 4 2 3 2 2 3 6 2" xfId="14761" xr:uid="{00000000-0005-0000-0000-0000633A0000}"/>
    <cellStyle name="Standard 4 2 3 2 2 3 7" xfId="14762" xr:uid="{00000000-0005-0000-0000-0000643A0000}"/>
    <cellStyle name="Standard 4 2 3 2 2 3 8" xfId="14763" xr:uid="{00000000-0005-0000-0000-0000653A0000}"/>
    <cellStyle name="Standard 4 2 3 2 2 4" xfId="14764" xr:uid="{00000000-0005-0000-0000-0000663A0000}"/>
    <cellStyle name="Standard 4 2 3 2 2 4 2" xfId="14765" xr:uid="{00000000-0005-0000-0000-0000673A0000}"/>
    <cellStyle name="Standard 4 2 3 2 2 4 2 2" xfId="14766" xr:uid="{00000000-0005-0000-0000-0000683A0000}"/>
    <cellStyle name="Standard 4 2 3 2 2 4 2 2 2" xfId="14767" xr:uid="{00000000-0005-0000-0000-0000693A0000}"/>
    <cellStyle name="Standard 4 2 3 2 2 4 2 2 2 2" xfId="14768" xr:uid="{00000000-0005-0000-0000-00006A3A0000}"/>
    <cellStyle name="Standard 4 2 3 2 2 4 2 2 2 3" xfId="14769" xr:uid="{00000000-0005-0000-0000-00006B3A0000}"/>
    <cellStyle name="Standard 4 2 3 2 2 4 2 2 3" xfId="14770" xr:uid="{00000000-0005-0000-0000-00006C3A0000}"/>
    <cellStyle name="Standard 4 2 3 2 2 4 2 2 3 2" xfId="14771" xr:uid="{00000000-0005-0000-0000-00006D3A0000}"/>
    <cellStyle name="Standard 4 2 3 2 2 4 2 2 3 3" xfId="14772" xr:uid="{00000000-0005-0000-0000-00006E3A0000}"/>
    <cellStyle name="Standard 4 2 3 2 2 4 2 2 4" xfId="14773" xr:uid="{00000000-0005-0000-0000-00006F3A0000}"/>
    <cellStyle name="Standard 4 2 3 2 2 4 2 2 4 2" xfId="14774" xr:uid="{00000000-0005-0000-0000-0000703A0000}"/>
    <cellStyle name="Standard 4 2 3 2 2 4 2 2 5" xfId="14775" xr:uid="{00000000-0005-0000-0000-0000713A0000}"/>
    <cellStyle name="Standard 4 2 3 2 2 4 2 2 6" xfId="14776" xr:uid="{00000000-0005-0000-0000-0000723A0000}"/>
    <cellStyle name="Standard 4 2 3 2 2 4 2 3" xfId="14777" xr:uid="{00000000-0005-0000-0000-0000733A0000}"/>
    <cellStyle name="Standard 4 2 3 2 2 4 2 3 2" xfId="14778" xr:uid="{00000000-0005-0000-0000-0000743A0000}"/>
    <cellStyle name="Standard 4 2 3 2 2 4 2 3 3" xfId="14779" xr:uid="{00000000-0005-0000-0000-0000753A0000}"/>
    <cellStyle name="Standard 4 2 3 2 2 4 2 4" xfId="14780" xr:uid="{00000000-0005-0000-0000-0000763A0000}"/>
    <cellStyle name="Standard 4 2 3 2 2 4 2 4 2" xfId="14781" xr:uid="{00000000-0005-0000-0000-0000773A0000}"/>
    <cellStyle name="Standard 4 2 3 2 2 4 2 4 3" xfId="14782" xr:uid="{00000000-0005-0000-0000-0000783A0000}"/>
    <cellStyle name="Standard 4 2 3 2 2 4 2 5" xfId="14783" xr:uid="{00000000-0005-0000-0000-0000793A0000}"/>
    <cellStyle name="Standard 4 2 3 2 2 4 2 5 2" xfId="14784" xr:uid="{00000000-0005-0000-0000-00007A3A0000}"/>
    <cellStyle name="Standard 4 2 3 2 2 4 2 6" xfId="14785" xr:uid="{00000000-0005-0000-0000-00007B3A0000}"/>
    <cellStyle name="Standard 4 2 3 2 2 4 2 7" xfId="14786" xr:uid="{00000000-0005-0000-0000-00007C3A0000}"/>
    <cellStyle name="Standard 4 2 3 2 2 4 3" xfId="14787" xr:uid="{00000000-0005-0000-0000-00007D3A0000}"/>
    <cellStyle name="Standard 4 2 3 2 2 4 3 2" xfId="14788" xr:uid="{00000000-0005-0000-0000-00007E3A0000}"/>
    <cellStyle name="Standard 4 2 3 2 2 4 3 2 2" xfId="14789" xr:uid="{00000000-0005-0000-0000-00007F3A0000}"/>
    <cellStyle name="Standard 4 2 3 2 2 4 3 2 3" xfId="14790" xr:uid="{00000000-0005-0000-0000-0000803A0000}"/>
    <cellStyle name="Standard 4 2 3 2 2 4 3 3" xfId="14791" xr:uid="{00000000-0005-0000-0000-0000813A0000}"/>
    <cellStyle name="Standard 4 2 3 2 2 4 3 3 2" xfId="14792" xr:uid="{00000000-0005-0000-0000-0000823A0000}"/>
    <cellStyle name="Standard 4 2 3 2 2 4 3 3 3" xfId="14793" xr:uid="{00000000-0005-0000-0000-0000833A0000}"/>
    <cellStyle name="Standard 4 2 3 2 2 4 3 4" xfId="14794" xr:uid="{00000000-0005-0000-0000-0000843A0000}"/>
    <cellStyle name="Standard 4 2 3 2 2 4 3 4 2" xfId="14795" xr:uid="{00000000-0005-0000-0000-0000853A0000}"/>
    <cellStyle name="Standard 4 2 3 2 2 4 3 5" xfId="14796" xr:uid="{00000000-0005-0000-0000-0000863A0000}"/>
    <cellStyle name="Standard 4 2 3 2 2 4 3 6" xfId="14797" xr:uid="{00000000-0005-0000-0000-0000873A0000}"/>
    <cellStyle name="Standard 4 2 3 2 2 4 4" xfId="14798" xr:uid="{00000000-0005-0000-0000-0000883A0000}"/>
    <cellStyle name="Standard 4 2 3 2 2 4 4 2" xfId="14799" xr:uid="{00000000-0005-0000-0000-0000893A0000}"/>
    <cellStyle name="Standard 4 2 3 2 2 4 4 3" xfId="14800" xr:uid="{00000000-0005-0000-0000-00008A3A0000}"/>
    <cellStyle name="Standard 4 2 3 2 2 4 5" xfId="14801" xr:uid="{00000000-0005-0000-0000-00008B3A0000}"/>
    <cellStyle name="Standard 4 2 3 2 2 4 5 2" xfId="14802" xr:uid="{00000000-0005-0000-0000-00008C3A0000}"/>
    <cellStyle name="Standard 4 2 3 2 2 4 5 3" xfId="14803" xr:uid="{00000000-0005-0000-0000-00008D3A0000}"/>
    <cellStyle name="Standard 4 2 3 2 2 4 6" xfId="14804" xr:uid="{00000000-0005-0000-0000-00008E3A0000}"/>
    <cellStyle name="Standard 4 2 3 2 2 4 6 2" xfId="14805" xr:uid="{00000000-0005-0000-0000-00008F3A0000}"/>
    <cellStyle name="Standard 4 2 3 2 2 4 7" xfId="14806" xr:uid="{00000000-0005-0000-0000-0000903A0000}"/>
    <cellStyle name="Standard 4 2 3 2 2 4 8" xfId="14807" xr:uid="{00000000-0005-0000-0000-0000913A0000}"/>
    <cellStyle name="Standard 4 2 3 2 2 5" xfId="14808" xr:uid="{00000000-0005-0000-0000-0000923A0000}"/>
    <cellStyle name="Standard 4 2 3 2 2 5 2" xfId="14809" xr:uid="{00000000-0005-0000-0000-0000933A0000}"/>
    <cellStyle name="Standard 4 2 3 2 2 5 2 2" xfId="14810" xr:uid="{00000000-0005-0000-0000-0000943A0000}"/>
    <cellStyle name="Standard 4 2 3 2 2 5 2 2 2" xfId="14811" xr:uid="{00000000-0005-0000-0000-0000953A0000}"/>
    <cellStyle name="Standard 4 2 3 2 2 5 2 2 3" xfId="14812" xr:uid="{00000000-0005-0000-0000-0000963A0000}"/>
    <cellStyle name="Standard 4 2 3 2 2 5 2 3" xfId="14813" xr:uid="{00000000-0005-0000-0000-0000973A0000}"/>
    <cellStyle name="Standard 4 2 3 2 2 5 2 3 2" xfId="14814" xr:uid="{00000000-0005-0000-0000-0000983A0000}"/>
    <cellStyle name="Standard 4 2 3 2 2 5 2 3 3" xfId="14815" xr:uid="{00000000-0005-0000-0000-0000993A0000}"/>
    <cellStyle name="Standard 4 2 3 2 2 5 2 4" xfId="14816" xr:uid="{00000000-0005-0000-0000-00009A3A0000}"/>
    <cellStyle name="Standard 4 2 3 2 2 5 2 4 2" xfId="14817" xr:uid="{00000000-0005-0000-0000-00009B3A0000}"/>
    <cellStyle name="Standard 4 2 3 2 2 5 2 5" xfId="14818" xr:uid="{00000000-0005-0000-0000-00009C3A0000}"/>
    <cellStyle name="Standard 4 2 3 2 2 5 2 6" xfId="14819" xr:uid="{00000000-0005-0000-0000-00009D3A0000}"/>
    <cellStyle name="Standard 4 2 3 2 2 5 3" xfId="14820" xr:uid="{00000000-0005-0000-0000-00009E3A0000}"/>
    <cellStyle name="Standard 4 2 3 2 2 5 3 2" xfId="14821" xr:uid="{00000000-0005-0000-0000-00009F3A0000}"/>
    <cellStyle name="Standard 4 2 3 2 2 5 3 3" xfId="14822" xr:uid="{00000000-0005-0000-0000-0000A03A0000}"/>
    <cellStyle name="Standard 4 2 3 2 2 5 4" xfId="14823" xr:uid="{00000000-0005-0000-0000-0000A13A0000}"/>
    <cellStyle name="Standard 4 2 3 2 2 5 4 2" xfId="14824" xr:uid="{00000000-0005-0000-0000-0000A23A0000}"/>
    <cellStyle name="Standard 4 2 3 2 2 5 4 3" xfId="14825" xr:uid="{00000000-0005-0000-0000-0000A33A0000}"/>
    <cellStyle name="Standard 4 2 3 2 2 5 5" xfId="14826" xr:uid="{00000000-0005-0000-0000-0000A43A0000}"/>
    <cellStyle name="Standard 4 2 3 2 2 5 5 2" xfId="14827" xr:uid="{00000000-0005-0000-0000-0000A53A0000}"/>
    <cellStyle name="Standard 4 2 3 2 2 5 6" xfId="14828" xr:uid="{00000000-0005-0000-0000-0000A63A0000}"/>
    <cellStyle name="Standard 4 2 3 2 2 5 7" xfId="14829" xr:uid="{00000000-0005-0000-0000-0000A73A0000}"/>
    <cellStyle name="Standard 4 2 3 2 2 6" xfId="14830" xr:uid="{00000000-0005-0000-0000-0000A83A0000}"/>
    <cellStyle name="Standard 4 2 3 2 2 6 2" xfId="14831" xr:uid="{00000000-0005-0000-0000-0000A93A0000}"/>
    <cellStyle name="Standard 4 2 3 2 2 6 2 2" xfId="14832" xr:uid="{00000000-0005-0000-0000-0000AA3A0000}"/>
    <cellStyle name="Standard 4 2 3 2 2 6 2 3" xfId="14833" xr:uid="{00000000-0005-0000-0000-0000AB3A0000}"/>
    <cellStyle name="Standard 4 2 3 2 2 6 3" xfId="14834" xr:uid="{00000000-0005-0000-0000-0000AC3A0000}"/>
    <cellStyle name="Standard 4 2 3 2 2 6 3 2" xfId="14835" xr:uid="{00000000-0005-0000-0000-0000AD3A0000}"/>
    <cellStyle name="Standard 4 2 3 2 2 6 3 3" xfId="14836" xr:uid="{00000000-0005-0000-0000-0000AE3A0000}"/>
    <cellStyle name="Standard 4 2 3 2 2 6 4" xfId="14837" xr:uid="{00000000-0005-0000-0000-0000AF3A0000}"/>
    <cellStyle name="Standard 4 2 3 2 2 6 4 2" xfId="14838" xr:uid="{00000000-0005-0000-0000-0000B03A0000}"/>
    <cellStyle name="Standard 4 2 3 2 2 6 5" xfId="14839" xr:uid="{00000000-0005-0000-0000-0000B13A0000}"/>
    <cellStyle name="Standard 4 2 3 2 2 6 6" xfId="14840" xr:uid="{00000000-0005-0000-0000-0000B23A0000}"/>
    <cellStyle name="Standard 4 2 3 2 2 7" xfId="14841" xr:uid="{00000000-0005-0000-0000-0000B33A0000}"/>
    <cellStyle name="Standard 4 2 3 2 2 7 2" xfId="14842" xr:uid="{00000000-0005-0000-0000-0000B43A0000}"/>
    <cellStyle name="Standard 4 2 3 2 2 7 3" xfId="14843" xr:uid="{00000000-0005-0000-0000-0000B53A0000}"/>
    <cellStyle name="Standard 4 2 3 2 2 8" xfId="14844" xr:uid="{00000000-0005-0000-0000-0000B63A0000}"/>
    <cellStyle name="Standard 4 2 3 2 2 8 2" xfId="14845" xr:uid="{00000000-0005-0000-0000-0000B73A0000}"/>
    <cellStyle name="Standard 4 2 3 2 2 8 3" xfId="14846" xr:uid="{00000000-0005-0000-0000-0000B83A0000}"/>
    <cellStyle name="Standard 4 2 3 2 2 9" xfId="14847" xr:uid="{00000000-0005-0000-0000-0000B93A0000}"/>
    <cellStyle name="Standard 4 2 3 2 2 9 2" xfId="14848" xr:uid="{00000000-0005-0000-0000-0000BA3A0000}"/>
    <cellStyle name="Standard 4 2 3 2 3" xfId="14849" xr:uid="{00000000-0005-0000-0000-0000BB3A0000}"/>
    <cellStyle name="Standard 4 2 3 2 3 10" xfId="14850" xr:uid="{00000000-0005-0000-0000-0000BC3A0000}"/>
    <cellStyle name="Standard 4 2 3 2 3 2" xfId="14851" xr:uid="{00000000-0005-0000-0000-0000BD3A0000}"/>
    <cellStyle name="Standard 4 2 3 2 3 2 2" xfId="14852" xr:uid="{00000000-0005-0000-0000-0000BE3A0000}"/>
    <cellStyle name="Standard 4 2 3 2 3 2 2 2" xfId="14853" xr:uid="{00000000-0005-0000-0000-0000BF3A0000}"/>
    <cellStyle name="Standard 4 2 3 2 3 2 2 2 2" xfId="14854" xr:uid="{00000000-0005-0000-0000-0000C03A0000}"/>
    <cellStyle name="Standard 4 2 3 2 3 2 2 2 2 2" xfId="14855" xr:uid="{00000000-0005-0000-0000-0000C13A0000}"/>
    <cellStyle name="Standard 4 2 3 2 3 2 2 2 2 3" xfId="14856" xr:uid="{00000000-0005-0000-0000-0000C23A0000}"/>
    <cellStyle name="Standard 4 2 3 2 3 2 2 2 3" xfId="14857" xr:uid="{00000000-0005-0000-0000-0000C33A0000}"/>
    <cellStyle name="Standard 4 2 3 2 3 2 2 2 3 2" xfId="14858" xr:uid="{00000000-0005-0000-0000-0000C43A0000}"/>
    <cellStyle name="Standard 4 2 3 2 3 2 2 2 3 3" xfId="14859" xr:uid="{00000000-0005-0000-0000-0000C53A0000}"/>
    <cellStyle name="Standard 4 2 3 2 3 2 2 2 4" xfId="14860" xr:uid="{00000000-0005-0000-0000-0000C63A0000}"/>
    <cellStyle name="Standard 4 2 3 2 3 2 2 2 4 2" xfId="14861" xr:uid="{00000000-0005-0000-0000-0000C73A0000}"/>
    <cellStyle name="Standard 4 2 3 2 3 2 2 2 5" xfId="14862" xr:uid="{00000000-0005-0000-0000-0000C83A0000}"/>
    <cellStyle name="Standard 4 2 3 2 3 2 2 2 6" xfId="14863" xr:uid="{00000000-0005-0000-0000-0000C93A0000}"/>
    <cellStyle name="Standard 4 2 3 2 3 2 2 3" xfId="14864" xr:uid="{00000000-0005-0000-0000-0000CA3A0000}"/>
    <cellStyle name="Standard 4 2 3 2 3 2 2 3 2" xfId="14865" xr:uid="{00000000-0005-0000-0000-0000CB3A0000}"/>
    <cellStyle name="Standard 4 2 3 2 3 2 2 3 3" xfId="14866" xr:uid="{00000000-0005-0000-0000-0000CC3A0000}"/>
    <cellStyle name="Standard 4 2 3 2 3 2 2 4" xfId="14867" xr:uid="{00000000-0005-0000-0000-0000CD3A0000}"/>
    <cellStyle name="Standard 4 2 3 2 3 2 2 4 2" xfId="14868" xr:uid="{00000000-0005-0000-0000-0000CE3A0000}"/>
    <cellStyle name="Standard 4 2 3 2 3 2 2 4 3" xfId="14869" xr:uid="{00000000-0005-0000-0000-0000CF3A0000}"/>
    <cellStyle name="Standard 4 2 3 2 3 2 2 5" xfId="14870" xr:uid="{00000000-0005-0000-0000-0000D03A0000}"/>
    <cellStyle name="Standard 4 2 3 2 3 2 2 5 2" xfId="14871" xr:uid="{00000000-0005-0000-0000-0000D13A0000}"/>
    <cellStyle name="Standard 4 2 3 2 3 2 2 6" xfId="14872" xr:uid="{00000000-0005-0000-0000-0000D23A0000}"/>
    <cellStyle name="Standard 4 2 3 2 3 2 2 7" xfId="14873" xr:uid="{00000000-0005-0000-0000-0000D33A0000}"/>
    <cellStyle name="Standard 4 2 3 2 3 2 3" xfId="14874" xr:uid="{00000000-0005-0000-0000-0000D43A0000}"/>
    <cellStyle name="Standard 4 2 3 2 3 2 3 2" xfId="14875" xr:uid="{00000000-0005-0000-0000-0000D53A0000}"/>
    <cellStyle name="Standard 4 2 3 2 3 2 3 2 2" xfId="14876" xr:uid="{00000000-0005-0000-0000-0000D63A0000}"/>
    <cellStyle name="Standard 4 2 3 2 3 2 3 2 3" xfId="14877" xr:uid="{00000000-0005-0000-0000-0000D73A0000}"/>
    <cellStyle name="Standard 4 2 3 2 3 2 3 3" xfId="14878" xr:uid="{00000000-0005-0000-0000-0000D83A0000}"/>
    <cellStyle name="Standard 4 2 3 2 3 2 3 3 2" xfId="14879" xr:uid="{00000000-0005-0000-0000-0000D93A0000}"/>
    <cellStyle name="Standard 4 2 3 2 3 2 3 3 3" xfId="14880" xr:uid="{00000000-0005-0000-0000-0000DA3A0000}"/>
    <cellStyle name="Standard 4 2 3 2 3 2 3 4" xfId="14881" xr:uid="{00000000-0005-0000-0000-0000DB3A0000}"/>
    <cellStyle name="Standard 4 2 3 2 3 2 3 4 2" xfId="14882" xr:uid="{00000000-0005-0000-0000-0000DC3A0000}"/>
    <cellStyle name="Standard 4 2 3 2 3 2 3 5" xfId="14883" xr:uid="{00000000-0005-0000-0000-0000DD3A0000}"/>
    <cellStyle name="Standard 4 2 3 2 3 2 3 6" xfId="14884" xr:uid="{00000000-0005-0000-0000-0000DE3A0000}"/>
    <cellStyle name="Standard 4 2 3 2 3 2 4" xfId="14885" xr:uid="{00000000-0005-0000-0000-0000DF3A0000}"/>
    <cellStyle name="Standard 4 2 3 2 3 2 4 2" xfId="14886" xr:uid="{00000000-0005-0000-0000-0000E03A0000}"/>
    <cellStyle name="Standard 4 2 3 2 3 2 4 3" xfId="14887" xr:uid="{00000000-0005-0000-0000-0000E13A0000}"/>
    <cellStyle name="Standard 4 2 3 2 3 2 5" xfId="14888" xr:uid="{00000000-0005-0000-0000-0000E23A0000}"/>
    <cellStyle name="Standard 4 2 3 2 3 2 5 2" xfId="14889" xr:uid="{00000000-0005-0000-0000-0000E33A0000}"/>
    <cellStyle name="Standard 4 2 3 2 3 2 5 3" xfId="14890" xr:uid="{00000000-0005-0000-0000-0000E43A0000}"/>
    <cellStyle name="Standard 4 2 3 2 3 2 6" xfId="14891" xr:uid="{00000000-0005-0000-0000-0000E53A0000}"/>
    <cellStyle name="Standard 4 2 3 2 3 2 6 2" xfId="14892" xr:uid="{00000000-0005-0000-0000-0000E63A0000}"/>
    <cellStyle name="Standard 4 2 3 2 3 2 7" xfId="14893" xr:uid="{00000000-0005-0000-0000-0000E73A0000}"/>
    <cellStyle name="Standard 4 2 3 2 3 2 8" xfId="14894" xr:uid="{00000000-0005-0000-0000-0000E83A0000}"/>
    <cellStyle name="Standard 4 2 3 2 3 3" xfId="14895" xr:uid="{00000000-0005-0000-0000-0000E93A0000}"/>
    <cellStyle name="Standard 4 2 3 2 3 3 2" xfId="14896" xr:uid="{00000000-0005-0000-0000-0000EA3A0000}"/>
    <cellStyle name="Standard 4 2 3 2 3 3 2 2" xfId="14897" xr:uid="{00000000-0005-0000-0000-0000EB3A0000}"/>
    <cellStyle name="Standard 4 2 3 2 3 3 2 2 2" xfId="14898" xr:uid="{00000000-0005-0000-0000-0000EC3A0000}"/>
    <cellStyle name="Standard 4 2 3 2 3 3 2 2 2 2" xfId="14899" xr:uid="{00000000-0005-0000-0000-0000ED3A0000}"/>
    <cellStyle name="Standard 4 2 3 2 3 3 2 2 2 3" xfId="14900" xr:uid="{00000000-0005-0000-0000-0000EE3A0000}"/>
    <cellStyle name="Standard 4 2 3 2 3 3 2 2 3" xfId="14901" xr:uid="{00000000-0005-0000-0000-0000EF3A0000}"/>
    <cellStyle name="Standard 4 2 3 2 3 3 2 2 3 2" xfId="14902" xr:uid="{00000000-0005-0000-0000-0000F03A0000}"/>
    <cellStyle name="Standard 4 2 3 2 3 3 2 2 3 3" xfId="14903" xr:uid="{00000000-0005-0000-0000-0000F13A0000}"/>
    <cellStyle name="Standard 4 2 3 2 3 3 2 2 4" xfId="14904" xr:uid="{00000000-0005-0000-0000-0000F23A0000}"/>
    <cellStyle name="Standard 4 2 3 2 3 3 2 2 4 2" xfId="14905" xr:uid="{00000000-0005-0000-0000-0000F33A0000}"/>
    <cellStyle name="Standard 4 2 3 2 3 3 2 2 5" xfId="14906" xr:uid="{00000000-0005-0000-0000-0000F43A0000}"/>
    <cellStyle name="Standard 4 2 3 2 3 3 2 2 6" xfId="14907" xr:uid="{00000000-0005-0000-0000-0000F53A0000}"/>
    <cellStyle name="Standard 4 2 3 2 3 3 2 3" xfId="14908" xr:uid="{00000000-0005-0000-0000-0000F63A0000}"/>
    <cellStyle name="Standard 4 2 3 2 3 3 2 3 2" xfId="14909" xr:uid="{00000000-0005-0000-0000-0000F73A0000}"/>
    <cellStyle name="Standard 4 2 3 2 3 3 2 3 3" xfId="14910" xr:uid="{00000000-0005-0000-0000-0000F83A0000}"/>
    <cellStyle name="Standard 4 2 3 2 3 3 2 4" xfId="14911" xr:uid="{00000000-0005-0000-0000-0000F93A0000}"/>
    <cellStyle name="Standard 4 2 3 2 3 3 2 4 2" xfId="14912" xr:uid="{00000000-0005-0000-0000-0000FA3A0000}"/>
    <cellStyle name="Standard 4 2 3 2 3 3 2 4 3" xfId="14913" xr:uid="{00000000-0005-0000-0000-0000FB3A0000}"/>
    <cellStyle name="Standard 4 2 3 2 3 3 2 5" xfId="14914" xr:uid="{00000000-0005-0000-0000-0000FC3A0000}"/>
    <cellStyle name="Standard 4 2 3 2 3 3 2 5 2" xfId="14915" xr:uid="{00000000-0005-0000-0000-0000FD3A0000}"/>
    <cellStyle name="Standard 4 2 3 2 3 3 2 6" xfId="14916" xr:uid="{00000000-0005-0000-0000-0000FE3A0000}"/>
    <cellStyle name="Standard 4 2 3 2 3 3 2 7" xfId="14917" xr:uid="{00000000-0005-0000-0000-0000FF3A0000}"/>
    <cellStyle name="Standard 4 2 3 2 3 3 3" xfId="14918" xr:uid="{00000000-0005-0000-0000-0000003B0000}"/>
    <cellStyle name="Standard 4 2 3 2 3 3 3 2" xfId="14919" xr:uid="{00000000-0005-0000-0000-0000013B0000}"/>
    <cellStyle name="Standard 4 2 3 2 3 3 3 2 2" xfId="14920" xr:uid="{00000000-0005-0000-0000-0000023B0000}"/>
    <cellStyle name="Standard 4 2 3 2 3 3 3 2 3" xfId="14921" xr:uid="{00000000-0005-0000-0000-0000033B0000}"/>
    <cellStyle name="Standard 4 2 3 2 3 3 3 3" xfId="14922" xr:uid="{00000000-0005-0000-0000-0000043B0000}"/>
    <cellStyle name="Standard 4 2 3 2 3 3 3 3 2" xfId="14923" xr:uid="{00000000-0005-0000-0000-0000053B0000}"/>
    <cellStyle name="Standard 4 2 3 2 3 3 3 3 3" xfId="14924" xr:uid="{00000000-0005-0000-0000-0000063B0000}"/>
    <cellStyle name="Standard 4 2 3 2 3 3 3 4" xfId="14925" xr:uid="{00000000-0005-0000-0000-0000073B0000}"/>
    <cellStyle name="Standard 4 2 3 2 3 3 3 4 2" xfId="14926" xr:uid="{00000000-0005-0000-0000-0000083B0000}"/>
    <cellStyle name="Standard 4 2 3 2 3 3 3 5" xfId="14927" xr:uid="{00000000-0005-0000-0000-0000093B0000}"/>
    <cellStyle name="Standard 4 2 3 2 3 3 3 6" xfId="14928" xr:uid="{00000000-0005-0000-0000-00000A3B0000}"/>
    <cellStyle name="Standard 4 2 3 2 3 3 4" xfId="14929" xr:uid="{00000000-0005-0000-0000-00000B3B0000}"/>
    <cellStyle name="Standard 4 2 3 2 3 3 4 2" xfId="14930" xr:uid="{00000000-0005-0000-0000-00000C3B0000}"/>
    <cellStyle name="Standard 4 2 3 2 3 3 4 3" xfId="14931" xr:uid="{00000000-0005-0000-0000-00000D3B0000}"/>
    <cellStyle name="Standard 4 2 3 2 3 3 5" xfId="14932" xr:uid="{00000000-0005-0000-0000-00000E3B0000}"/>
    <cellStyle name="Standard 4 2 3 2 3 3 5 2" xfId="14933" xr:uid="{00000000-0005-0000-0000-00000F3B0000}"/>
    <cellStyle name="Standard 4 2 3 2 3 3 5 3" xfId="14934" xr:uid="{00000000-0005-0000-0000-0000103B0000}"/>
    <cellStyle name="Standard 4 2 3 2 3 3 6" xfId="14935" xr:uid="{00000000-0005-0000-0000-0000113B0000}"/>
    <cellStyle name="Standard 4 2 3 2 3 3 6 2" xfId="14936" xr:uid="{00000000-0005-0000-0000-0000123B0000}"/>
    <cellStyle name="Standard 4 2 3 2 3 3 7" xfId="14937" xr:uid="{00000000-0005-0000-0000-0000133B0000}"/>
    <cellStyle name="Standard 4 2 3 2 3 3 8" xfId="14938" xr:uid="{00000000-0005-0000-0000-0000143B0000}"/>
    <cellStyle name="Standard 4 2 3 2 3 4" xfId="14939" xr:uid="{00000000-0005-0000-0000-0000153B0000}"/>
    <cellStyle name="Standard 4 2 3 2 3 4 2" xfId="14940" xr:uid="{00000000-0005-0000-0000-0000163B0000}"/>
    <cellStyle name="Standard 4 2 3 2 3 4 2 2" xfId="14941" xr:uid="{00000000-0005-0000-0000-0000173B0000}"/>
    <cellStyle name="Standard 4 2 3 2 3 4 2 2 2" xfId="14942" xr:uid="{00000000-0005-0000-0000-0000183B0000}"/>
    <cellStyle name="Standard 4 2 3 2 3 4 2 2 3" xfId="14943" xr:uid="{00000000-0005-0000-0000-0000193B0000}"/>
    <cellStyle name="Standard 4 2 3 2 3 4 2 3" xfId="14944" xr:uid="{00000000-0005-0000-0000-00001A3B0000}"/>
    <cellStyle name="Standard 4 2 3 2 3 4 2 3 2" xfId="14945" xr:uid="{00000000-0005-0000-0000-00001B3B0000}"/>
    <cellStyle name="Standard 4 2 3 2 3 4 2 3 3" xfId="14946" xr:uid="{00000000-0005-0000-0000-00001C3B0000}"/>
    <cellStyle name="Standard 4 2 3 2 3 4 2 4" xfId="14947" xr:uid="{00000000-0005-0000-0000-00001D3B0000}"/>
    <cellStyle name="Standard 4 2 3 2 3 4 2 4 2" xfId="14948" xr:uid="{00000000-0005-0000-0000-00001E3B0000}"/>
    <cellStyle name="Standard 4 2 3 2 3 4 2 5" xfId="14949" xr:uid="{00000000-0005-0000-0000-00001F3B0000}"/>
    <cellStyle name="Standard 4 2 3 2 3 4 2 6" xfId="14950" xr:uid="{00000000-0005-0000-0000-0000203B0000}"/>
    <cellStyle name="Standard 4 2 3 2 3 4 3" xfId="14951" xr:uid="{00000000-0005-0000-0000-0000213B0000}"/>
    <cellStyle name="Standard 4 2 3 2 3 4 3 2" xfId="14952" xr:uid="{00000000-0005-0000-0000-0000223B0000}"/>
    <cellStyle name="Standard 4 2 3 2 3 4 3 3" xfId="14953" xr:uid="{00000000-0005-0000-0000-0000233B0000}"/>
    <cellStyle name="Standard 4 2 3 2 3 4 4" xfId="14954" xr:uid="{00000000-0005-0000-0000-0000243B0000}"/>
    <cellStyle name="Standard 4 2 3 2 3 4 4 2" xfId="14955" xr:uid="{00000000-0005-0000-0000-0000253B0000}"/>
    <cellStyle name="Standard 4 2 3 2 3 4 4 3" xfId="14956" xr:uid="{00000000-0005-0000-0000-0000263B0000}"/>
    <cellStyle name="Standard 4 2 3 2 3 4 5" xfId="14957" xr:uid="{00000000-0005-0000-0000-0000273B0000}"/>
    <cellStyle name="Standard 4 2 3 2 3 4 5 2" xfId="14958" xr:uid="{00000000-0005-0000-0000-0000283B0000}"/>
    <cellStyle name="Standard 4 2 3 2 3 4 6" xfId="14959" xr:uid="{00000000-0005-0000-0000-0000293B0000}"/>
    <cellStyle name="Standard 4 2 3 2 3 4 7" xfId="14960" xr:uid="{00000000-0005-0000-0000-00002A3B0000}"/>
    <cellStyle name="Standard 4 2 3 2 3 5" xfId="14961" xr:uid="{00000000-0005-0000-0000-00002B3B0000}"/>
    <cellStyle name="Standard 4 2 3 2 3 5 2" xfId="14962" xr:uid="{00000000-0005-0000-0000-00002C3B0000}"/>
    <cellStyle name="Standard 4 2 3 2 3 5 2 2" xfId="14963" xr:uid="{00000000-0005-0000-0000-00002D3B0000}"/>
    <cellStyle name="Standard 4 2 3 2 3 5 2 3" xfId="14964" xr:uid="{00000000-0005-0000-0000-00002E3B0000}"/>
    <cellStyle name="Standard 4 2 3 2 3 5 3" xfId="14965" xr:uid="{00000000-0005-0000-0000-00002F3B0000}"/>
    <cellStyle name="Standard 4 2 3 2 3 5 3 2" xfId="14966" xr:uid="{00000000-0005-0000-0000-0000303B0000}"/>
    <cellStyle name="Standard 4 2 3 2 3 5 3 3" xfId="14967" xr:uid="{00000000-0005-0000-0000-0000313B0000}"/>
    <cellStyle name="Standard 4 2 3 2 3 5 4" xfId="14968" xr:uid="{00000000-0005-0000-0000-0000323B0000}"/>
    <cellStyle name="Standard 4 2 3 2 3 5 4 2" xfId="14969" xr:uid="{00000000-0005-0000-0000-0000333B0000}"/>
    <cellStyle name="Standard 4 2 3 2 3 5 5" xfId="14970" xr:uid="{00000000-0005-0000-0000-0000343B0000}"/>
    <cellStyle name="Standard 4 2 3 2 3 5 6" xfId="14971" xr:uid="{00000000-0005-0000-0000-0000353B0000}"/>
    <cellStyle name="Standard 4 2 3 2 3 6" xfId="14972" xr:uid="{00000000-0005-0000-0000-0000363B0000}"/>
    <cellStyle name="Standard 4 2 3 2 3 6 2" xfId="14973" xr:uid="{00000000-0005-0000-0000-0000373B0000}"/>
    <cellStyle name="Standard 4 2 3 2 3 6 3" xfId="14974" xr:uid="{00000000-0005-0000-0000-0000383B0000}"/>
    <cellStyle name="Standard 4 2 3 2 3 7" xfId="14975" xr:uid="{00000000-0005-0000-0000-0000393B0000}"/>
    <cellStyle name="Standard 4 2 3 2 3 7 2" xfId="14976" xr:uid="{00000000-0005-0000-0000-00003A3B0000}"/>
    <cellStyle name="Standard 4 2 3 2 3 7 3" xfId="14977" xr:uid="{00000000-0005-0000-0000-00003B3B0000}"/>
    <cellStyle name="Standard 4 2 3 2 3 8" xfId="14978" xr:uid="{00000000-0005-0000-0000-00003C3B0000}"/>
    <cellStyle name="Standard 4 2 3 2 3 8 2" xfId="14979" xr:uid="{00000000-0005-0000-0000-00003D3B0000}"/>
    <cellStyle name="Standard 4 2 3 2 3 9" xfId="14980" xr:uid="{00000000-0005-0000-0000-00003E3B0000}"/>
    <cellStyle name="Standard 4 2 3 2 4" xfId="14981" xr:uid="{00000000-0005-0000-0000-00003F3B0000}"/>
    <cellStyle name="Standard 4 2 3 2 4 2" xfId="14982" xr:uid="{00000000-0005-0000-0000-0000403B0000}"/>
    <cellStyle name="Standard 4 2 3 2 4 2 2" xfId="14983" xr:uid="{00000000-0005-0000-0000-0000413B0000}"/>
    <cellStyle name="Standard 4 2 3 2 4 2 2 2" xfId="14984" xr:uid="{00000000-0005-0000-0000-0000423B0000}"/>
    <cellStyle name="Standard 4 2 3 2 4 2 2 2 2" xfId="14985" xr:uid="{00000000-0005-0000-0000-0000433B0000}"/>
    <cellStyle name="Standard 4 2 3 2 4 2 2 2 3" xfId="14986" xr:uid="{00000000-0005-0000-0000-0000443B0000}"/>
    <cellStyle name="Standard 4 2 3 2 4 2 2 3" xfId="14987" xr:uid="{00000000-0005-0000-0000-0000453B0000}"/>
    <cellStyle name="Standard 4 2 3 2 4 2 2 3 2" xfId="14988" xr:uid="{00000000-0005-0000-0000-0000463B0000}"/>
    <cellStyle name="Standard 4 2 3 2 4 2 2 3 3" xfId="14989" xr:uid="{00000000-0005-0000-0000-0000473B0000}"/>
    <cellStyle name="Standard 4 2 3 2 4 2 2 4" xfId="14990" xr:uid="{00000000-0005-0000-0000-0000483B0000}"/>
    <cellStyle name="Standard 4 2 3 2 4 2 2 4 2" xfId="14991" xr:uid="{00000000-0005-0000-0000-0000493B0000}"/>
    <cellStyle name="Standard 4 2 3 2 4 2 2 5" xfId="14992" xr:uid="{00000000-0005-0000-0000-00004A3B0000}"/>
    <cellStyle name="Standard 4 2 3 2 4 2 2 6" xfId="14993" xr:uid="{00000000-0005-0000-0000-00004B3B0000}"/>
    <cellStyle name="Standard 4 2 3 2 4 2 3" xfId="14994" xr:uid="{00000000-0005-0000-0000-00004C3B0000}"/>
    <cellStyle name="Standard 4 2 3 2 4 2 3 2" xfId="14995" xr:uid="{00000000-0005-0000-0000-00004D3B0000}"/>
    <cellStyle name="Standard 4 2 3 2 4 2 3 3" xfId="14996" xr:uid="{00000000-0005-0000-0000-00004E3B0000}"/>
    <cellStyle name="Standard 4 2 3 2 4 2 4" xfId="14997" xr:uid="{00000000-0005-0000-0000-00004F3B0000}"/>
    <cellStyle name="Standard 4 2 3 2 4 2 4 2" xfId="14998" xr:uid="{00000000-0005-0000-0000-0000503B0000}"/>
    <cellStyle name="Standard 4 2 3 2 4 2 4 3" xfId="14999" xr:uid="{00000000-0005-0000-0000-0000513B0000}"/>
    <cellStyle name="Standard 4 2 3 2 4 2 5" xfId="15000" xr:uid="{00000000-0005-0000-0000-0000523B0000}"/>
    <cellStyle name="Standard 4 2 3 2 4 2 5 2" xfId="15001" xr:uid="{00000000-0005-0000-0000-0000533B0000}"/>
    <cellStyle name="Standard 4 2 3 2 4 2 6" xfId="15002" xr:uid="{00000000-0005-0000-0000-0000543B0000}"/>
    <cellStyle name="Standard 4 2 3 2 4 2 7" xfId="15003" xr:uid="{00000000-0005-0000-0000-0000553B0000}"/>
    <cellStyle name="Standard 4 2 3 2 4 3" xfId="15004" xr:uid="{00000000-0005-0000-0000-0000563B0000}"/>
    <cellStyle name="Standard 4 2 3 2 4 3 2" xfId="15005" xr:uid="{00000000-0005-0000-0000-0000573B0000}"/>
    <cellStyle name="Standard 4 2 3 2 4 3 2 2" xfId="15006" xr:uid="{00000000-0005-0000-0000-0000583B0000}"/>
    <cellStyle name="Standard 4 2 3 2 4 3 2 3" xfId="15007" xr:uid="{00000000-0005-0000-0000-0000593B0000}"/>
    <cellStyle name="Standard 4 2 3 2 4 3 3" xfId="15008" xr:uid="{00000000-0005-0000-0000-00005A3B0000}"/>
    <cellStyle name="Standard 4 2 3 2 4 3 3 2" xfId="15009" xr:uid="{00000000-0005-0000-0000-00005B3B0000}"/>
    <cellStyle name="Standard 4 2 3 2 4 3 3 3" xfId="15010" xr:uid="{00000000-0005-0000-0000-00005C3B0000}"/>
    <cellStyle name="Standard 4 2 3 2 4 3 4" xfId="15011" xr:uid="{00000000-0005-0000-0000-00005D3B0000}"/>
    <cellStyle name="Standard 4 2 3 2 4 3 4 2" xfId="15012" xr:uid="{00000000-0005-0000-0000-00005E3B0000}"/>
    <cellStyle name="Standard 4 2 3 2 4 3 5" xfId="15013" xr:uid="{00000000-0005-0000-0000-00005F3B0000}"/>
    <cellStyle name="Standard 4 2 3 2 4 3 6" xfId="15014" xr:uid="{00000000-0005-0000-0000-0000603B0000}"/>
    <cellStyle name="Standard 4 2 3 2 4 4" xfId="15015" xr:uid="{00000000-0005-0000-0000-0000613B0000}"/>
    <cellStyle name="Standard 4 2 3 2 4 4 2" xfId="15016" xr:uid="{00000000-0005-0000-0000-0000623B0000}"/>
    <cellStyle name="Standard 4 2 3 2 4 4 3" xfId="15017" xr:uid="{00000000-0005-0000-0000-0000633B0000}"/>
    <cellStyle name="Standard 4 2 3 2 4 5" xfId="15018" xr:uid="{00000000-0005-0000-0000-0000643B0000}"/>
    <cellStyle name="Standard 4 2 3 2 4 5 2" xfId="15019" xr:uid="{00000000-0005-0000-0000-0000653B0000}"/>
    <cellStyle name="Standard 4 2 3 2 4 5 3" xfId="15020" xr:uid="{00000000-0005-0000-0000-0000663B0000}"/>
    <cellStyle name="Standard 4 2 3 2 4 6" xfId="15021" xr:uid="{00000000-0005-0000-0000-0000673B0000}"/>
    <cellStyle name="Standard 4 2 3 2 4 6 2" xfId="15022" xr:uid="{00000000-0005-0000-0000-0000683B0000}"/>
    <cellStyle name="Standard 4 2 3 2 4 7" xfId="15023" xr:uid="{00000000-0005-0000-0000-0000693B0000}"/>
    <cellStyle name="Standard 4 2 3 2 4 8" xfId="15024" xr:uid="{00000000-0005-0000-0000-00006A3B0000}"/>
    <cellStyle name="Standard 4 2 3 2 5" xfId="15025" xr:uid="{00000000-0005-0000-0000-00006B3B0000}"/>
    <cellStyle name="Standard 4 2 3 2 5 2" xfId="15026" xr:uid="{00000000-0005-0000-0000-00006C3B0000}"/>
    <cellStyle name="Standard 4 2 3 2 5 2 2" xfId="15027" xr:uid="{00000000-0005-0000-0000-00006D3B0000}"/>
    <cellStyle name="Standard 4 2 3 2 5 2 2 2" xfId="15028" xr:uid="{00000000-0005-0000-0000-00006E3B0000}"/>
    <cellStyle name="Standard 4 2 3 2 5 2 2 2 2" xfId="15029" xr:uid="{00000000-0005-0000-0000-00006F3B0000}"/>
    <cellStyle name="Standard 4 2 3 2 5 2 2 2 3" xfId="15030" xr:uid="{00000000-0005-0000-0000-0000703B0000}"/>
    <cellStyle name="Standard 4 2 3 2 5 2 2 3" xfId="15031" xr:uid="{00000000-0005-0000-0000-0000713B0000}"/>
    <cellStyle name="Standard 4 2 3 2 5 2 2 3 2" xfId="15032" xr:uid="{00000000-0005-0000-0000-0000723B0000}"/>
    <cellStyle name="Standard 4 2 3 2 5 2 2 3 3" xfId="15033" xr:uid="{00000000-0005-0000-0000-0000733B0000}"/>
    <cellStyle name="Standard 4 2 3 2 5 2 2 4" xfId="15034" xr:uid="{00000000-0005-0000-0000-0000743B0000}"/>
    <cellStyle name="Standard 4 2 3 2 5 2 2 4 2" xfId="15035" xr:uid="{00000000-0005-0000-0000-0000753B0000}"/>
    <cellStyle name="Standard 4 2 3 2 5 2 2 5" xfId="15036" xr:uid="{00000000-0005-0000-0000-0000763B0000}"/>
    <cellStyle name="Standard 4 2 3 2 5 2 2 6" xfId="15037" xr:uid="{00000000-0005-0000-0000-0000773B0000}"/>
    <cellStyle name="Standard 4 2 3 2 5 2 3" xfId="15038" xr:uid="{00000000-0005-0000-0000-0000783B0000}"/>
    <cellStyle name="Standard 4 2 3 2 5 2 3 2" xfId="15039" xr:uid="{00000000-0005-0000-0000-0000793B0000}"/>
    <cellStyle name="Standard 4 2 3 2 5 2 3 3" xfId="15040" xr:uid="{00000000-0005-0000-0000-00007A3B0000}"/>
    <cellStyle name="Standard 4 2 3 2 5 2 4" xfId="15041" xr:uid="{00000000-0005-0000-0000-00007B3B0000}"/>
    <cellStyle name="Standard 4 2 3 2 5 2 4 2" xfId="15042" xr:uid="{00000000-0005-0000-0000-00007C3B0000}"/>
    <cellStyle name="Standard 4 2 3 2 5 2 4 3" xfId="15043" xr:uid="{00000000-0005-0000-0000-00007D3B0000}"/>
    <cellStyle name="Standard 4 2 3 2 5 2 5" xfId="15044" xr:uid="{00000000-0005-0000-0000-00007E3B0000}"/>
    <cellStyle name="Standard 4 2 3 2 5 2 5 2" xfId="15045" xr:uid="{00000000-0005-0000-0000-00007F3B0000}"/>
    <cellStyle name="Standard 4 2 3 2 5 2 6" xfId="15046" xr:uid="{00000000-0005-0000-0000-0000803B0000}"/>
    <cellStyle name="Standard 4 2 3 2 5 2 7" xfId="15047" xr:uid="{00000000-0005-0000-0000-0000813B0000}"/>
    <cellStyle name="Standard 4 2 3 2 5 3" xfId="15048" xr:uid="{00000000-0005-0000-0000-0000823B0000}"/>
    <cellStyle name="Standard 4 2 3 2 5 3 2" xfId="15049" xr:uid="{00000000-0005-0000-0000-0000833B0000}"/>
    <cellStyle name="Standard 4 2 3 2 5 3 2 2" xfId="15050" xr:uid="{00000000-0005-0000-0000-0000843B0000}"/>
    <cellStyle name="Standard 4 2 3 2 5 3 2 3" xfId="15051" xr:uid="{00000000-0005-0000-0000-0000853B0000}"/>
    <cellStyle name="Standard 4 2 3 2 5 3 3" xfId="15052" xr:uid="{00000000-0005-0000-0000-0000863B0000}"/>
    <cellStyle name="Standard 4 2 3 2 5 3 3 2" xfId="15053" xr:uid="{00000000-0005-0000-0000-0000873B0000}"/>
    <cellStyle name="Standard 4 2 3 2 5 3 3 3" xfId="15054" xr:uid="{00000000-0005-0000-0000-0000883B0000}"/>
    <cellStyle name="Standard 4 2 3 2 5 3 4" xfId="15055" xr:uid="{00000000-0005-0000-0000-0000893B0000}"/>
    <cellStyle name="Standard 4 2 3 2 5 3 4 2" xfId="15056" xr:uid="{00000000-0005-0000-0000-00008A3B0000}"/>
    <cellStyle name="Standard 4 2 3 2 5 3 5" xfId="15057" xr:uid="{00000000-0005-0000-0000-00008B3B0000}"/>
    <cellStyle name="Standard 4 2 3 2 5 3 6" xfId="15058" xr:uid="{00000000-0005-0000-0000-00008C3B0000}"/>
    <cellStyle name="Standard 4 2 3 2 5 4" xfId="15059" xr:uid="{00000000-0005-0000-0000-00008D3B0000}"/>
    <cellStyle name="Standard 4 2 3 2 5 4 2" xfId="15060" xr:uid="{00000000-0005-0000-0000-00008E3B0000}"/>
    <cellStyle name="Standard 4 2 3 2 5 4 3" xfId="15061" xr:uid="{00000000-0005-0000-0000-00008F3B0000}"/>
    <cellStyle name="Standard 4 2 3 2 5 5" xfId="15062" xr:uid="{00000000-0005-0000-0000-0000903B0000}"/>
    <cellStyle name="Standard 4 2 3 2 5 5 2" xfId="15063" xr:uid="{00000000-0005-0000-0000-0000913B0000}"/>
    <cellStyle name="Standard 4 2 3 2 5 5 3" xfId="15064" xr:uid="{00000000-0005-0000-0000-0000923B0000}"/>
    <cellStyle name="Standard 4 2 3 2 5 6" xfId="15065" xr:uid="{00000000-0005-0000-0000-0000933B0000}"/>
    <cellStyle name="Standard 4 2 3 2 5 6 2" xfId="15066" xr:uid="{00000000-0005-0000-0000-0000943B0000}"/>
    <cellStyle name="Standard 4 2 3 2 5 7" xfId="15067" xr:uid="{00000000-0005-0000-0000-0000953B0000}"/>
    <cellStyle name="Standard 4 2 3 2 5 8" xfId="15068" xr:uid="{00000000-0005-0000-0000-0000963B0000}"/>
    <cellStyle name="Standard 4 2 3 2 6" xfId="15069" xr:uid="{00000000-0005-0000-0000-0000973B0000}"/>
    <cellStyle name="Standard 4 2 3 2 6 2" xfId="15070" xr:uid="{00000000-0005-0000-0000-0000983B0000}"/>
    <cellStyle name="Standard 4 2 3 2 6 2 2" xfId="15071" xr:uid="{00000000-0005-0000-0000-0000993B0000}"/>
    <cellStyle name="Standard 4 2 3 2 6 2 2 2" xfId="15072" xr:uid="{00000000-0005-0000-0000-00009A3B0000}"/>
    <cellStyle name="Standard 4 2 3 2 6 2 2 3" xfId="15073" xr:uid="{00000000-0005-0000-0000-00009B3B0000}"/>
    <cellStyle name="Standard 4 2 3 2 6 2 3" xfId="15074" xr:uid="{00000000-0005-0000-0000-00009C3B0000}"/>
    <cellStyle name="Standard 4 2 3 2 6 2 3 2" xfId="15075" xr:uid="{00000000-0005-0000-0000-00009D3B0000}"/>
    <cellStyle name="Standard 4 2 3 2 6 2 3 3" xfId="15076" xr:uid="{00000000-0005-0000-0000-00009E3B0000}"/>
    <cellStyle name="Standard 4 2 3 2 6 2 4" xfId="15077" xr:uid="{00000000-0005-0000-0000-00009F3B0000}"/>
    <cellStyle name="Standard 4 2 3 2 6 2 4 2" xfId="15078" xr:uid="{00000000-0005-0000-0000-0000A03B0000}"/>
    <cellStyle name="Standard 4 2 3 2 6 2 5" xfId="15079" xr:uid="{00000000-0005-0000-0000-0000A13B0000}"/>
    <cellStyle name="Standard 4 2 3 2 6 2 6" xfId="15080" xr:uid="{00000000-0005-0000-0000-0000A23B0000}"/>
    <cellStyle name="Standard 4 2 3 2 6 3" xfId="15081" xr:uid="{00000000-0005-0000-0000-0000A33B0000}"/>
    <cellStyle name="Standard 4 2 3 2 6 3 2" xfId="15082" xr:uid="{00000000-0005-0000-0000-0000A43B0000}"/>
    <cellStyle name="Standard 4 2 3 2 6 3 3" xfId="15083" xr:uid="{00000000-0005-0000-0000-0000A53B0000}"/>
    <cellStyle name="Standard 4 2 3 2 6 4" xfId="15084" xr:uid="{00000000-0005-0000-0000-0000A63B0000}"/>
    <cellStyle name="Standard 4 2 3 2 6 4 2" xfId="15085" xr:uid="{00000000-0005-0000-0000-0000A73B0000}"/>
    <cellStyle name="Standard 4 2 3 2 6 4 3" xfId="15086" xr:uid="{00000000-0005-0000-0000-0000A83B0000}"/>
    <cellStyle name="Standard 4 2 3 2 6 5" xfId="15087" xr:uid="{00000000-0005-0000-0000-0000A93B0000}"/>
    <cellStyle name="Standard 4 2 3 2 6 5 2" xfId="15088" xr:uid="{00000000-0005-0000-0000-0000AA3B0000}"/>
    <cellStyle name="Standard 4 2 3 2 6 6" xfId="15089" xr:uid="{00000000-0005-0000-0000-0000AB3B0000}"/>
    <cellStyle name="Standard 4 2 3 2 6 7" xfId="15090" xr:uid="{00000000-0005-0000-0000-0000AC3B0000}"/>
    <cellStyle name="Standard 4 2 3 2 7" xfId="15091" xr:uid="{00000000-0005-0000-0000-0000AD3B0000}"/>
    <cellStyle name="Standard 4 2 3 2 7 2" xfId="15092" xr:uid="{00000000-0005-0000-0000-0000AE3B0000}"/>
    <cellStyle name="Standard 4 2 3 2 7 2 2" xfId="15093" xr:uid="{00000000-0005-0000-0000-0000AF3B0000}"/>
    <cellStyle name="Standard 4 2 3 2 7 2 3" xfId="15094" xr:uid="{00000000-0005-0000-0000-0000B03B0000}"/>
    <cellStyle name="Standard 4 2 3 2 7 3" xfId="15095" xr:uid="{00000000-0005-0000-0000-0000B13B0000}"/>
    <cellStyle name="Standard 4 2 3 2 7 3 2" xfId="15096" xr:uid="{00000000-0005-0000-0000-0000B23B0000}"/>
    <cellStyle name="Standard 4 2 3 2 7 3 3" xfId="15097" xr:uid="{00000000-0005-0000-0000-0000B33B0000}"/>
    <cellStyle name="Standard 4 2 3 2 7 4" xfId="15098" xr:uid="{00000000-0005-0000-0000-0000B43B0000}"/>
    <cellStyle name="Standard 4 2 3 2 7 4 2" xfId="15099" xr:uid="{00000000-0005-0000-0000-0000B53B0000}"/>
    <cellStyle name="Standard 4 2 3 2 7 5" xfId="15100" xr:uid="{00000000-0005-0000-0000-0000B63B0000}"/>
    <cellStyle name="Standard 4 2 3 2 7 6" xfId="15101" xr:uid="{00000000-0005-0000-0000-0000B73B0000}"/>
    <cellStyle name="Standard 4 2 3 2 8" xfId="15102" xr:uid="{00000000-0005-0000-0000-0000B83B0000}"/>
    <cellStyle name="Standard 4 2 3 2 8 2" xfId="15103" xr:uid="{00000000-0005-0000-0000-0000B93B0000}"/>
    <cellStyle name="Standard 4 2 3 2 8 3" xfId="15104" xr:uid="{00000000-0005-0000-0000-0000BA3B0000}"/>
    <cellStyle name="Standard 4 2 3 2 9" xfId="15105" xr:uid="{00000000-0005-0000-0000-0000BB3B0000}"/>
    <cellStyle name="Standard 4 2 3 2 9 2" xfId="15106" xr:uid="{00000000-0005-0000-0000-0000BC3B0000}"/>
    <cellStyle name="Standard 4 2 3 2 9 3" xfId="15107" xr:uid="{00000000-0005-0000-0000-0000BD3B0000}"/>
    <cellStyle name="Standard 4 2 3 3" xfId="15108" xr:uid="{00000000-0005-0000-0000-0000BE3B0000}"/>
    <cellStyle name="Standard 4 2 3 3 10" xfId="15109" xr:uid="{00000000-0005-0000-0000-0000BF3B0000}"/>
    <cellStyle name="Standard 4 2 3 3 11" xfId="15110" xr:uid="{00000000-0005-0000-0000-0000C03B0000}"/>
    <cellStyle name="Standard 4 2 3 3 12" xfId="33462" xr:uid="{00000000-0005-0000-0000-0000C13B0000}"/>
    <cellStyle name="Standard 4 2 3 3 2" xfId="15111" xr:uid="{00000000-0005-0000-0000-0000C23B0000}"/>
    <cellStyle name="Standard 4 2 3 3 2 10" xfId="15112" xr:uid="{00000000-0005-0000-0000-0000C33B0000}"/>
    <cellStyle name="Standard 4 2 3 3 2 2" xfId="15113" xr:uid="{00000000-0005-0000-0000-0000C43B0000}"/>
    <cellStyle name="Standard 4 2 3 3 2 2 2" xfId="15114" xr:uid="{00000000-0005-0000-0000-0000C53B0000}"/>
    <cellStyle name="Standard 4 2 3 3 2 2 2 2" xfId="15115" xr:uid="{00000000-0005-0000-0000-0000C63B0000}"/>
    <cellStyle name="Standard 4 2 3 3 2 2 2 2 2" xfId="15116" xr:uid="{00000000-0005-0000-0000-0000C73B0000}"/>
    <cellStyle name="Standard 4 2 3 3 2 2 2 2 2 2" xfId="15117" xr:uid="{00000000-0005-0000-0000-0000C83B0000}"/>
    <cellStyle name="Standard 4 2 3 3 2 2 2 2 2 3" xfId="15118" xr:uid="{00000000-0005-0000-0000-0000C93B0000}"/>
    <cellStyle name="Standard 4 2 3 3 2 2 2 2 3" xfId="15119" xr:uid="{00000000-0005-0000-0000-0000CA3B0000}"/>
    <cellStyle name="Standard 4 2 3 3 2 2 2 2 3 2" xfId="15120" xr:uid="{00000000-0005-0000-0000-0000CB3B0000}"/>
    <cellStyle name="Standard 4 2 3 3 2 2 2 2 3 3" xfId="15121" xr:uid="{00000000-0005-0000-0000-0000CC3B0000}"/>
    <cellStyle name="Standard 4 2 3 3 2 2 2 2 4" xfId="15122" xr:uid="{00000000-0005-0000-0000-0000CD3B0000}"/>
    <cellStyle name="Standard 4 2 3 3 2 2 2 2 4 2" xfId="15123" xr:uid="{00000000-0005-0000-0000-0000CE3B0000}"/>
    <cellStyle name="Standard 4 2 3 3 2 2 2 2 5" xfId="15124" xr:uid="{00000000-0005-0000-0000-0000CF3B0000}"/>
    <cellStyle name="Standard 4 2 3 3 2 2 2 2 6" xfId="15125" xr:uid="{00000000-0005-0000-0000-0000D03B0000}"/>
    <cellStyle name="Standard 4 2 3 3 2 2 2 3" xfId="15126" xr:uid="{00000000-0005-0000-0000-0000D13B0000}"/>
    <cellStyle name="Standard 4 2 3 3 2 2 2 3 2" xfId="15127" xr:uid="{00000000-0005-0000-0000-0000D23B0000}"/>
    <cellStyle name="Standard 4 2 3 3 2 2 2 3 3" xfId="15128" xr:uid="{00000000-0005-0000-0000-0000D33B0000}"/>
    <cellStyle name="Standard 4 2 3 3 2 2 2 4" xfId="15129" xr:uid="{00000000-0005-0000-0000-0000D43B0000}"/>
    <cellStyle name="Standard 4 2 3 3 2 2 2 4 2" xfId="15130" xr:uid="{00000000-0005-0000-0000-0000D53B0000}"/>
    <cellStyle name="Standard 4 2 3 3 2 2 2 4 3" xfId="15131" xr:uid="{00000000-0005-0000-0000-0000D63B0000}"/>
    <cellStyle name="Standard 4 2 3 3 2 2 2 5" xfId="15132" xr:uid="{00000000-0005-0000-0000-0000D73B0000}"/>
    <cellStyle name="Standard 4 2 3 3 2 2 2 5 2" xfId="15133" xr:uid="{00000000-0005-0000-0000-0000D83B0000}"/>
    <cellStyle name="Standard 4 2 3 3 2 2 2 6" xfId="15134" xr:uid="{00000000-0005-0000-0000-0000D93B0000}"/>
    <cellStyle name="Standard 4 2 3 3 2 2 2 7" xfId="15135" xr:uid="{00000000-0005-0000-0000-0000DA3B0000}"/>
    <cellStyle name="Standard 4 2 3 3 2 2 3" xfId="15136" xr:uid="{00000000-0005-0000-0000-0000DB3B0000}"/>
    <cellStyle name="Standard 4 2 3 3 2 2 3 2" xfId="15137" xr:uid="{00000000-0005-0000-0000-0000DC3B0000}"/>
    <cellStyle name="Standard 4 2 3 3 2 2 3 2 2" xfId="15138" xr:uid="{00000000-0005-0000-0000-0000DD3B0000}"/>
    <cellStyle name="Standard 4 2 3 3 2 2 3 2 3" xfId="15139" xr:uid="{00000000-0005-0000-0000-0000DE3B0000}"/>
    <cellStyle name="Standard 4 2 3 3 2 2 3 3" xfId="15140" xr:uid="{00000000-0005-0000-0000-0000DF3B0000}"/>
    <cellStyle name="Standard 4 2 3 3 2 2 3 3 2" xfId="15141" xr:uid="{00000000-0005-0000-0000-0000E03B0000}"/>
    <cellStyle name="Standard 4 2 3 3 2 2 3 3 3" xfId="15142" xr:uid="{00000000-0005-0000-0000-0000E13B0000}"/>
    <cellStyle name="Standard 4 2 3 3 2 2 3 4" xfId="15143" xr:uid="{00000000-0005-0000-0000-0000E23B0000}"/>
    <cellStyle name="Standard 4 2 3 3 2 2 3 4 2" xfId="15144" xr:uid="{00000000-0005-0000-0000-0000E33B0000}"/>
    <cellStyle name="Standard 4 2 3 3 2 2 3 5" xfId="15145" xr:uid="{00000000-0005-0000-0000-0000E43B0000}"/>
    <cellStyle name="Standard 4 2 3 3 2 2 3 6" xfId="15146" xr:uid="{00000000-0005-0000-0000-0000E53B0000}"/>
    <cellStyle name="Standard 4 2 3 3 2 2 4" xfId="15147" xr:uid="{00000000-0005-0000-0000-0000E63B0000}"/>
    <cellStyle name="Standard 4 2 3 3 2 2 4 2" xfId="15148" xr:uid="{00000000-0005-0000-0000-0000E73B0000}"/>
    <cellStyle name="Standard 4 2 3 3 2 2 4 3" xfId="15149" xr:uid="{00000000-0005-0000-0000-0000E83B0000}"/>
    <cellStyle name="Standard 4 2 3 3 2 2 5" xfId="15150" xr:uid="{00000000-0005-0000-0000-0000E93B0000}"/>
    <cellStyle name="Standard 4 2 3 3 2 2 5 2" xfId="15151" xr:uid="{00000000-0005-0000-0000-0000EA3B0000}"/>
    <cellStyle name="Standard 4 2 3 3 2 2 5 3" xfId="15152" xr:uid="{00000000-0005-0000-0000-0000EB3B0000}"/>
    <cellStyle name="Standard 4 2 3 3 2 2 6" xfId="15153" xr:uid="{00000000-0005-0000-0000-0000EC3B0000}"/>
    <cellStyle name="Standard 4 2 3 3 2 2 6 2" xfId="15154" xr:uid="{00000000-0005-0000-0000-0000ED3B0000}"/>
    <cellStyle name="Standard 4 2 3 3 2 2 7" xfId="15155" xr:uid="{00000000-0005-0000-0000-0000EE3B0000}"/>
    <cellStyle name="Standard 4 2 3 3 2 2 8" xfId="15156" xr:uid="{00000000-0005-0000-0000-0000EF3B0000}"/>
    <cellStyle name="Standard 4 2 3 3 2 3" xfId="15157" xr:uid="{00000000-0005-0000-0000-0000F03B0000}"/>
    <cellStyle name="Standard 4 2 3 3 2 3 2" xfId="15158" xr:uid="{00000000-0005-0000-0000-0000F13B0000}"/>
    <cellStyle name="Standard 4 2 3 3 2 3 2 2" xfId="15159" xr:uid="{00000000-0005-0000-0000-0000F23B0000}"/>
    <cellStyle name="Standard 4 2 3 3 2 3 2 2 2" xfId="15160" xr:uid="{00000000-0005-0000-0000-0000F33B0000}"/>
    <cellStyle name="Standard 4 2 3 3 2 3 2 2 2 2" xfId="15161" xr:uid="{00000000-0005-0000-0000-0000F43B0000}"/>
    <cellStyle name="Standard 4 2 3 3 2 3 2 2 2 3" xfId="15162" xr:uid="{00000000-0005-0000-0000-0000F53B0000}"/>
    <cellStyle name="Standard 4 2 3 3 2 3 2 2 3" xfId="15163" xr:uid="{00000000-0005-0000-0000-0000F63B0000}"/>
    <cellStyle name="Standard 4 2 3 3 2 3 2 2 3 2" xfId="15164" xr:uid="{00000000-0005-0000-0000-0000F73B0000}"/>
    <cellStyle name="Standard 4 2 3 3 2 3 2 2 3 3" xfId="15165" xr:uid="{00000000-0005-0000-0000-0000F83B0000}"/>
    <cellStyle name="Standard 4 2 3 3 2 3 2 2 4" xfId="15166" xr:uid="{00000000-0005-0000-0000-0000F93B0000}"/>
    <cellStyle name="Standard 4 2 3 3 2 3 2 2 4 2" xfId="15167" xr:uid="{00000000-0005-0000-0000-0000FA3B0000}"/>
    <cellStyle name="Standard 4 2 3 3 2 3 2 2 5" xfId="15168" xr:uid="{00000000-0005-0000-0000-0000FB3B0000}"/>
    <cellStyle name="Standard 4 2 3 3 2 3 2 2 6" xfId="15169" xr:uid="{00000000-0005-0000-0000-0000FC3B0000}"/>
    <cellStyle name="Standard 4 2 3 3 2 3 2 3" xfId="15170" xr:uid="{00000000-0005-0000-0000-0000FD3B0000}"/>
    <cellStyle name="Standard 4 2 3 3 2 3 2 3 2" xfId="15171" xr:uid="{00000000-0005-0000-0000-0000FE3B0000}"/>
    <cellStyle name="Standard 4 2 3 3 2 3 2 3 3" xfId="15172" xr:uid="{00000000-0005-0000-0000-0000FF3B0000}"/>
    <cellStyle name="Standard 4 2 3 3 2 3 2 4" xfId="15173" xr:uid="{00000000-0005-0000-0000-0000003C0000}"/>
    <cellStyle name="Standard 4 2 3 3 2 3 2 4 2" xfId="15174" xr:uid="{00000000-0005-0000-0000-0000013C0000}"/>
    <cellStyle name="Standard 4 2 3 3 2 3 2 4 3" xfId="15175" xr:uid="{00000000-0005-0000-0000-0000023C0000}"/>
    <cellStyle name="Standard 4 2 3 3 2 3 2 5" xfId="15176" xr:uid="{00000000-0005-0000-0000-0000033C0000}"/>
    <cellStyle name="Standard 4 2 3 3 2 3 2 5 2" xfId="15177" xr:uid="{00000000-0005-0000-0000-0000043C0000}"/>
    <cellStyle name="Standard 4 2 3 3 2 3 2 6" xfId="15178" xr:uid="{00000000-0005-0000-0000-0000053C0000}"/>
    <cellStyle name="Standard 4 2 3 3 2 3 2 7" xfId="15179" xr:uid="{00000000-0005-0000-0000-0000063C0000}"/>
    <cellStyle name="Standard 4 2 3 3 2 3 3" xfId="15180" xr:uid="{00000000-0005-0000-0000-0000073C0000}"/>
    <cellStyle name="Standard 4 2 3 3 2 3 3 2" xfId="15181" xr:uid="{00000000-0005-0000-0000-0000083C0000}"/>
    <cellStyle name="Standard 4 2 3 3 2 3 3 2 2" xfId="15182" xr:uid="{00000000-0005-0000-0000-0000093C0000}"/>
    <cellStyle name="Standard 4 2 3 3 2 3 3 2 3" xfId="15183" xr:uid="{00000000-0005-0000-0000-00000A3C0000}"/>
    <cellStyle name="Standard 4 2 3 3 2 3 3 3" xfId="15184" xr:uid="{00000000-0005-0000-0000-00000B3C0000}"/>
    <cellStyle name="Standard 4 2 3 3 2 3 3 3 2" xfId="15185" xr:uid="{00000000-0005-0000-0000-00000C3C0000}"/>
    <cellStyle name="Standard 4 2 3 3 2 3 3 3 3" xfId="15186" xr:uid="{00000000-0005-0000-0000-00000D3C0000}"/>
    <cellStyle name="Standard 4 2 3 3 2 3 3 4" xfId="15187" xr:uid="{00000000-0005-0000-0000-00000E3C0000}"/>
    <cellStyle name="Standard 4 2 3 3 2 3 3 4 2" xfId="15188" xr:uid="{00000000-0005-0000-0000-00000F3C0000}"/>
    <cellStyle name="Standard 4 2 3 3 2 3 3 5" xfId="15189" xr:uid="{00000000-0005-0000-0000-0000103C0000}"/>
    <cellStyle name="Standard 4 2 3 3 2 3 3 6" xfId="15190" xr:uid="{00000000-0005-0000-0000-0000113C0000}"/>
    <cellStyle name="Standard 4 2 3 3 2 3 4" xfId="15191" xr:uid="{00000000-0005-0000-0000-0000123C0000}"/>
    <cellStyle name="Standard 4 2 3 3 2 3 4 2" xfId="15192" xr:uid="{00000000-0005-0000-0000-0000133C0000}"/>
    <cellStyle name="Standard 4 2 3 3 2 3 4 3" xfId="15193" xr:uid="{00000000-0005-0000-0000-0000143C0000}"/>
    <cellStyle name="Standard 4 2 3 3 2 3 5" xfId="15194" xr:uid="{00000000-0005-0000-0000-0000153C0000}"/>
    <cellStyle name="Standard 4 2 3 3 2 3 5 2" xfId="15195" xr:uid="{00000000-0005-0000-0000-0000163C0000}"/>
    <cellStyle name="Standard 4 2 3 3 2 3 5 3" xfId="15196" xr:uid="{00000000-0005-0000-0000-0000173C0000}"/>
    <cellStyle name="Standard 4 2 3 3 2 3 6" xfId="15197" xr:uid="{00000000-0005-0000-0000-0000183C0000}"/>
    <cellStyle name="Standard 4 2 3 3 2 3 6 2" xfId="15198" xr:uid="{00000000-0005-0000-0000-0000193C0000}"/>
    <cellStyle name="Standard 4 2 3 3 2 3 7" xfId="15199" xr:uid="{00000000-0005-0000-0000-00001A3C0000}"/>
    <cellStyle name="Standard 4 2 3 3 2 3 8" xfId="15200" xr:uid="{00000000-0005-0000-0000-00001B3C0000}"/>
    <cellStyle name="Standard 4 2 3 3 2 4" xfId="15201" xr:uid="{00000000-0005-0000-0000-00001C3C0000}"/>
    <cellStyle name="Standard 4 2 3 3 2 4 2" xfId="15202" xr:uid="{00000000-0005-0000-0000-00001D3C0000}"/>
    <cellStyle name="Standard 4 2 3 3 2 4 2 2" xfId="15203" xr:uid="{00000000-0005-0000-0000-00001E3C0000}"/>
    <cellStyle name="Standard 4 2 3 3 2 4 2 2 2" xfId="15204" xr:uid="{00000000-0005-0000-0000-00001F3C0000}"/>
    <cellStyle name="Standard 4 2 3 3 2 4 2 2 3" xfId="15205" xr:uid="{00000000-0005-0000-0000-0000203C0000}"/>
    <cellStyle name="Standard 4 2 3 3 2 4 2 3" xfId="15206" xr:uid="{00000000-0005-0000-0000-0000213C0000}"/>
    <cellStyle name="Standard 4 2 3 3 2 4 2 3 2" xfId="15207" xr:uid="{00000000-0005-0000-0000-0000223C0000}"/>
    <cellStyle name="Standard 4 2 3 3 2 4 2 3 3" xfId="15208" xr:uid="{00000000-0005-0000-0000-0000233C0000}"/>
    <cellStyle name="Standard 4 2 3 3 2 4 2 4" xfId="15209" xr:uid="{00000000-0005-0000-0000-0000243C0000}"/>
    <cellStyle name="Standard 4 2 3 3 2 4 2 4 2" xfId="15210" xr:uid="{00000000-0005-0000-0000-0000253C0000}"/>
    <cellStyle name="Standard 4 2 3 3 2 4 2 5" xfId="15211" xr:uid="{00000000-0005-0000-0000-0000263C0000}"/>
    <cellStyle name="Standard 4 2 3 3 2 4 2 6" xfId="15212" xr:uid="{00000000-0005-0000-0000-0000273C0000}"/>
    <cellStyle name="Standard 4 2 3 3 2 4 3" xfId="15213" xr:uid="{00000000-0005-0000-0000-0000283C0000}"/>
    <cellStyle name="Standard 4 2 3 3 2 4 3 2" xfId="15214" xr:uid="{00000000-0005-0000-0000-0000293C0000}"/>
    <cellStyle name="Standard 4 2 3 3 2 4 3 3" xfId="15215" xr:uid="{00000000-0005-0000-0000-00002A3C0000}"/>
    <cellStyle name="Standard 4 2 3 3 2 4 4" xfId="15216" xr:uid="{00000000-0005-0000-0000-00002B3C0000}"/>
    <cellStyle name="Standard 4 2 3 3 2 4 4 2" xfId="15217" xr:uid="{00000000-0005-0000-0000-00002C3C0000}"/>
    <cellStyle name="Standard 4 2 3 3 2 4 4 3" xfId="15218" xr:uid="{00000000-0005-0000-0000-00002D3C0000}"/>
    <cellStyle name="Standard 4 2 3 3 2 4 5" xfId="15219" xr:uid="{00000000-0005-0000-0000-00002E3C0000}"/>
    <cellStyle name="Standard 4 2 3 3 2 4 5 2" xfId="15220" xr:uid="{00000000-0005-0000-0000-00002F3C0000}"/>
    <cellStyle name="Standard 4 2 3 3 2 4 6" xfId="15221" xr:uid="{00000000-0005-0000-0000-0000303C0000}"/>
    <cellStyle name="Standard 4 2 3 3 2 4 7" xfId="15222" xr:uid="{00000000-0005-0000-0000-0000313C0000}"/>
    <cellStyle name="Standard 4 2 3 3 2 5" xfId="15223" xr:uid="{00000000-0005-0000-0000-0000323C0000}"/>
    <cellStyle name="Standard 4 2 3 3 2 5 2" xfId="15224" xr:uid="{00000000-0005-0000-0000-0000333C0000}"/>
    <cellStyle name="Standard 4 2 3 3 2 5 2 2" xfId="15225" xr:uid="{00000000-0005-0000-0000-0000343C0000}"/>
    <cellStyle name="Standard 4 2 3 3 2 5 2 3" xfId="15226" xr:uid="{00000000-0005-0000-0000-0000353C0000}"/>
    <cellStyle name="Standard 4 2 3 3 2 5 3" xfId="15227" xr:uid="{00000000-0005-0000-0000-0000363C0000}"/>
    <cellStyle name="Standard 4 2 3 3 2 5 3 2" xfId="15228" xr:uid="{00000000-0005-0000-0000-0000373C0000}"/>
    <cellStyle name="Standard 4 2 3 3 2 5 3 3" xfId="15229" xr:uid="{00000000-0005-0000-0000-0000383C0000}"/>
    <cellStyle name="Standard 4 2 3 3 2 5 4" xfId="15230" xr:uid="{00000000-0005-0000-0000-0000393C0000}"/>
    <cellStyle name="Standard 4 2 3 3 2 5 4 2" xfId="15231" xr:uid="{00000000-0005-0000-0000-00003A3C0000}"/>
    <cellStyle name="Standard 4 2 3 3 2 5 5" xfId="15232" xr:uid="{00000000-0005-0000-0000-00003B3C0000}"/>
    <cellStyle name="Standard 4 2 3 3 2 5 6" xfId="15233" xr:uid="{00000000-0005-0000-0000-00003C3C0000}"/>
    <cellStyle name="Standard 4 2 3 3 2 6" xfId="15234" xr:uid="{00000000-0005-0000-0000-00003D3C0000}"/>
    <cellStyle name="Standard 4 2 3 3 2 6 2" xfId="15235" xr:uid="{00000000-0005-0000-0000-00003E3C0000}"/>
    <cellStyle name="Standard 4 2 3 3 2 6 3" xfId="15236" xr:uid="{00000000-0005-0000-0000-00003F3C0000}"/>
    <cellStyle name="Standard 4 2 3 3 2 7" xfId="15237" xr:uid="{00000000-0005-0000-0000-0000403C0000}"/>
    <cellStyle name="Standard 4 2 3 3 2 7 2" xfId="15238" xr:uid="{00000000-0005-0000-0000-0000413C0000}"/>
    <cellStyle name="Standard 4 2 3 3 2 7 3" xfId="15239" xr:uid="{00000000-0005-0000-0000-0000423C0000}"/>
    <cellStyle name="Standard 4 2 3 3 2 8" xfId="15240" xr:uid="{00000000-0005-0000-0000-0000433C0000}"/>
    <cellStyle name="Standard 4 2 3 3 2 8 2" xfId="15241" xr:uid="{00000000-0005-0000-0000-0000443C0000}"/>
    <cellStyle name="Standard 4 2 3 3 2 9" xfId="15242" xr:uid="{00000000-0005-0000-0000-0000453C0000}"/>
    <cellStyle name="Standard 4 2 3 3 3" xfId="15243" xr:uid="{00000000-0005-0000-0000-0000463C0000}"/>
    <cellStyle name="Standard 4 2 3 3 3 2" xfId="15244" xr:uid="{00000000-0005-0000-0000-0000473C0000}"/>
    <cellStyle name="Standard 4 2 3 3 3 2 2" xfId="15245" xr:uid="{00000000-0005-0000-0000-0000483C0000}"/>
    <cellStyle name="Standard 4 2 3 3 3 2 2 2" xfId="15246" xr:uid="{00000000-0005-0000-0000-0000493C0000}"/>
    <cellStyle name="Standard 4 2 3 3 3 2 2 2 2" xfId="15247" xr:uid="{00000000-0005-0000-0000-00004A3C0000}"/>
    <cellStyle name="Standard 4 2 3 3 3 2 2 2 3" xfId="15248" xr:uid="{00000000-0005-0000-0000-00004B3C0000}"/>
    <cellStyle name="Standard 4 2 3 3 3 2 2 3" xfId="15249" xr:uid="{00000000-0005-0000-0000-00004C3C0000}"/>
    <cellStyle name="Standard 4 2 3 3 3 2 2 3 2" xfId="15250" xr:uid="{00000000-0005-0000-0000-00004D3C0000}"/>
    <cellStyle name="Standard 4 2 3 3 3 2 2 3 3" xfId="15251" xr:uid="{00000000-0005-0000-0000-00004E3C0000}"/>
    <cellStyle name="Standard 4 2 3 3 3 2 2 4" xfId="15252" xr:uid="{00000000-0005-0000-0000-00004F3C0000}"/>
    <cellStyle name="Standard 4 2 3 3 3 2 2 4 2" xfId="15253" xr:uid="{00000000-0005-0000-0000-0000503C0000}"/>
    <cellStyle name="Standard 4 2 3 3 3 2 2 5" xfId="15254" xr:uid="{00000000-0005-0000-0000-0000513C0000}"/>
    <cellStyle name="Standard 4 2 3 3 3 2 2 6" xfId="15255" xr:uid="{00000000-0005-0000-0000-0000523C0000}"/>
    <cellStyle name="Standard 4 2 3 3 3 2 3" xfId="15256" xr:uid="{00000000-0005-0000-0000-0000533C0000}"/>
    <cellStyle name="Standard 4 2 3 3 3 2 3 2" xfId="15257" xr:uid="{00000000-0005-0000-0000-0000543C0000}"/>
    <cellStyle name="Standard 4 2 3 3 3 2 3 3" xfId="15258" xr:uid="{00000000-0005-0000-0000-0000553C0000}"/>
    <cellStyle name="Standard 4 2 3 3 3 2 4" xfId="15259" xr:uid="{00000000-0005-0000-0000-0000563C0000}"/>
    <cellStyle name="Standard 4 2 3 3 3 2 4 2" xfId="15260" xr:uid="{00000000-0005-0000-0000-0000573C0000}"/>
    <cellStyle name="Standard 4 2 3 3 3 2 4 3" xfId="15261" xr:uid="{00000000-0005-0000-0000-0000583C0000}"/>
    <cellStyle name="Standard 4 2 3 3 3 2 5" xfId="15262" xr:uid="{00000000-0005-0000-0000-0000593C0000}"/>
    <cellStyle name="Standard 4 2 3 3 3 2 5 2" xfId="15263" xr:uid="{00000000-0005-0000-0000-00005A3C0000}"/>
    <cellStyle name="Standard 4 2 3 3 3 2 6" xfId="15264" xr:uid="{00000000-0005-0000-0000-00005B3C0000}"/>
    <cellStyle name="Standard 4 2 3 3 3 2 7" xfId="15265" xr:uid="{00000000-0005-0000-0000-00005C3C0000}"/>
    <cellStyle name="Standard 4 2 3 3 3 3" xfId="15266" xr:uid="{00000000-0005-0000-0000-00005D3C0000}"/>
    <cellStyle name="Standard 4 2 3 3 3 3 2" xfId="15267" xr:uid="{00000000-0005-0000-0000-00005E3C0000}"/>
    <cellStyle name="Standard 4 2 3 3 3 3 2 2" xfId="15268" xr:uid="{00000000-0005-0000-0000-00005F3C0000}"/>
    <cellStyle name="Standard 4 2 3 3 3 3 2 3" xfId="15269" xr:uid="{00000000-0005-0000-0000-0000603C0000}"/>
    <cellStyle name="Standard 4 2 3 3 3 3 3" xfId="15270" xr:uid="{00000000-0005-0000-0000-0000613C0000}"/>
    <cellStyle name="Standard 4 2 3 3 3 3 3 2" xfId="15271" xr:uid="{00000000-0005-0000-0000-0000623C0000}"/>
    <cellStyle name="Standard 4 2 3 3 3 3 3 3" xfId="15272" xr:uid="{00000000-0005-0000-0000-0000633C0000}"/>
    <cellStyle name="Standard 4 2 3 3 3 3 4" xfId="15273" xr:uid="{00000000-0005-0000-0000-0000643C0000}"/>
    <cellStyle name="Standard 4 2 3 3 3 3 4 2" xfId="15274" xr:uid="{00000000-0005-0000-0000-0000653C0000}"/>
    <cellStyle name="Standard 4 2 3 3 3 3 5" xfId="15275" xr:uid="{00000000-0005-0000-0000-0000663C0000}"/>
    <cellStyle name="Standard 4 2 3 3 3 3 6" xfId="15276" xr:uid="{00000000-0005-0000-0000-0000673C0000}"/>
    <cellStyle name="Standard 4 2 3 3 3 4" xfId="15277" xr:uid="{00000000-0005-0000-0000-0000683C0000}"/>
    <cellStyle name="Standard 4 2 3 3 3 4 2" xfId="15278" xr:uid="{00000000-0005-0000-0000-0000693C0000}"/>
    <cellStyle name="Standard 4 2 3 3 3 4 3" xfId="15279" xr:uid="{00000000-0005-0000-0000-00006A3C0000}"/>
    <cellStyle name="Standard 4 2 3 3 3 5" xfId="15280" xr:uid="{00000000-0005-0000-0000-00006B3C0000}"/>
    <cellStyle name="Standard 4 2 3 3 3 5 2" xfId="15281" xr:uid="{00000000-0005-0000-0000-00006C3C0000}"/>
    <cellStyle name="Standard 4 2 3 3 3 5 3" xfId="15282" xr:uid="{00000000-0005-0000-0000-00006D3C0000}"/>
    <cellStyle name="Standard 4 2 3 3 3 6" xfId="15283" xr:uid="{00000000-0005-0000-0000-00006E3C0000}"/>
    <cellStyle name="Standard 4 2 3 3 3 6 2" xfId="15284" xr:uid="{00000000-0005-0000-0000-00006F3C0000}"/>
    <cellStyle name="Standard 4 2 3 3 3 7" xfId="15285" xr:uid="{00000000-0005-0000-0000-0000703C0000}"/>
    <cellStyle name="Standard 4 2 3 3 3 8" xfId="15286" xr:uid="{00000000-0005-0000-0000-0000713C0000}"/>
    <cellStyle name="Standard 4 2 3 3 4" xfId="15287" xr:uid="{00000000-0005-0000-0000-0000723C0000}"/>
    <cellStyle name="Standard 4 2 3 3 4 2" xfId="15288" xr:uid="{00000000-0005-0000-0000-0000733C0000}"/>
    <cellStyle name="Standard 4 2 3 3 4 2 2" xfId="15289" xr:uid="{00000000-0005-0000-0000-0000743C0000}"/>
    <cellStyle name="Standard 4 2 3 3 4 2 2 2" xfId="15290" xr:uid="{00000000-0005-0000-0000-0000753C0000}"/>
    <cellStyle name="Standard 4 2 3 3 4 2 2 2 2" xfId="15291" xr:uid="{00000000-0005-0000-0000-0000763C0000}"/>
    <cellStyle name="Standard 4 2 3 3 4 2 2 2 3" xfId="15292" xr:uid="{00000000-0005-0000-0000-0000773C0000}"/>
    <cellStyle name="Standard 4 2 3 3 4 2 2 3" xfId="15293" xr:uid="{00000000-0005-0000-0000-0000783C0000}"/>
    <cellStyle name="Standard 4 2 3 3 4 2 2 3 2" xfId="15294" xr:uid="{00000000-0005-0000-0000-0000793C0000}"/>
    <cellStyle name="Standard 4 2 3 3 4 2 2 3 3" xfId="15295" xr:uid="{00000000-0005-0000-0000-00007A3C0000}"/>
    <cellStyle name="Standard 4 2 3 3 4 2 2 4" xfId="15296" xr:uid="{00000000-0005-0000-0000-00007B3C0000}"/>
    <cellStyle name="Standard 4 2 3 3 4 2 2 4 2" xfId="15297" xr:uid="{00000000-0005-0000-0000-00007C3C0000}"/>
    <cellStyle name="Standard 4 2 3 3 4 2 2 5" xfId="15298" xr:uid="{00000000-0005-0000-0000-00007D3C0000}"/>
    <cellStyle name="Standard 4 2 3 3 4 2 2 6" xfId="15299" xr:uid="{00000000-0005-0000-0000-00007E3C0000}"/>
    <cellStyle name="Standard 4 2 3 3 4 2 3" xfId="15300" xr:uid="{00000000-0005-0000-0000-00007F3C0000}"/>
    <cellStyle name="Standard 4 2 3 3 4 2 3 2" xfId="15301" xr:uid="{00000000-0005-0000-0000-0000803C0000}"/>
    <cellStyle name="Standard 4 2 3 3 4 2 3 3" xfId="15302" xr:uid="{00000000-0005-0000-0000-0000813C0000}"/>
    <cellStyle name="Standard 4 2 3 3 4 2 4" xfId="15303" xr:uid="{00000000-0005-0000-0000-0000823C0000}"/>
    <cellStyle name="Standard 4 2 3 3 4 2 4 2" xfId="15304" xr:uid="{00000000-0005-0000-0000-0000833C0000}"/>
    <cellStyle name="Standard 4 2 3 3 4 2 4 3" xfId="15305" xr:uid="{00000000-0005-0000-0000-0000843C0000}"/>
    <cellStyle name="Standard 4 2 3 3 4 2 5" xfId="15306" xr:uid="{00000000-0005-0000-0000-0000853C0000}"/>
    <cellStyle name="Standard 4 2 3 3 4 2 5 2" xfId="15307" xr:uid="{00000000-0005-0000-0000-0000863C0000}"/>
    <cellStyle name="Standard 4 2 3 3 4 2 6" xfId="15308" xr:uid="{00000000-0005-0000-0000-0000873C0000}"/>
    <cellStyle name="Standard 4 2 3 3 4 2 7" xfId="15309" xr:uid="{00000000-0005-0000-0000-0000883C0000}"/>
    <cellStyle name="Standard 4 2 3 3 4 3" xfId="15310" xr:uid="{00000000-0005-0000-0000-0000893C0000}"/>
    <cellStyle name="Standard 4 2 3 3 4 3 2" xfId="15311" xr:uid="{00000000-0005-0000-0000-00008A3C0000}"/>
    <cellStyle name="Standard 4 2 3 3 4 3 2 2" xfId="15312" xr:uid="{00000000-0005-0000-0000-00008B3C0000}"/>
    <cellStyle name="Standard 4 2 3 3 4 3 2 3" xfId="15313" xr:uid="{00000000-0005-0000-0000-00008C3C0000}"/>
    <cellStyle name="Standard 4 2 3 3 4 3 3" xfId="15314" xr:uid="{00000000-0005-0000-0000-00008D3C0000}"/>
    <cellStyle name="Standard 4 2 3 3 4 3 3 2" xfId="15315" xr:uid="{00000000-0005-0000-0000-00008E3C0000}"/>
    <cellStyle name="Standard 4 2 3 3 4 3 3 3" xfId="15316" xr:uid="{00000000-0005-0000-0000-00008F3C0000}"/>
    <cellStyle name="Standard 4 2 3 3 4 3 4" xfId="15317" xr:uid="{00000000-0005-0000-0000-0000903C0000}"/>
    <cellStyle name="Standard 4 2 3 3 4 3 4 2" xfId="15318" xr:uid="{00000000-0005-0000-0000-0000913C0000}"/>
    <cellStyle name="Standard 4 2 3 3 4 3 5" xfId="15319" xr:uid="{00000000-0005-0000-0000-0000923C0000}"/>
    <cellStyle name="Standard 4 2 3 3 4 3 6" xfId="15320" xr:uid="{00000000-0005-0000-0000-0000933C0000}"/>
    <cellStyle name="Standard 4 2 3 3 4 4" xfId="15321" xr:uid="{00000000-0005-0000-0000-0000943C0000}"/>
    <cellStyle name="Standard 4 2 3 3 4 4 2" xfId="15322" xr:uid="{00000000-0005-0000-0000-0000953C0000}"/>
    <cellStyle name="Standard 4 2 3 3 4 4 3" xfId="15323" xr:uid="{00000000-0005-0000-0000-0000963C0000}"/>
    <cellStyle name="Standard 4 2 3 3 4 5" xfId="15324" xr:uid="{00000000-0005-0000-0000-0000973C0000}"/>
    <cellStyle name="Standard 4 2 3 3 4 5 2" xfId="15325" xr:uid="{00000000-0005-0000-0000-0000983C0000}"/>
    <cellStyle name="Standard 4 2 3 3 4 5 3" xfId="15326" xr:uid="{00000000-0005-0000-0000-0000993C0000}"/>
    <cellStyle name="Standard 4 2 3 3 4 6" xfId="15327" xr:uid="{00000000-0005-0000-0000-00009A3C0000}"/>
    <cellStyle name="Standard 4 2 3 3 4 6 2" xfId="15328" xr:uid="{00000000-0005-0000-0000-00009B3C0000}"/>
    <cellStyle name="Standard 4 2 3 3 4 7" xfId="15329" xr:uid="{00000000-0005-0000-0000-00009C3C0000}"/>
    <cellStyle name="Standard 4 2 3 3 4 8" xfId="15330" xr:uid="{00000000-0005-0000-0000-00009D3C0000}"/>
    <cellStyle name="Standard 4 2 3 3 5" xfId="15331" xr:uid="{00000000-0005-0000-0000-00009E3C0000}"/>
    <cellStyle name="Standard 4 2 3 3 5 2" xfId="15332" xr:uid="{00000000-0005-0000-0000-00009F3C0000}"/>
    <cellStyle name="Standard 4 2 3 3 5 2 2" xfId="15333" xr:uid="{00000000-0005-0000-0000-0000A03C0000}"/>
    <cellStyle name="Standard 4 2 3 3 5 2 2 2" xfId="15334" xr:uid="{00000000-0005-0000-0000-0000A13C0000}"/>
    <cellStyle name="Standard 4 2 3 3 5 2 2 3" xfId="15335" xr:uid="{00000000-0005-0000-0000-0000A23C0000}"/>
    <cellStyle name="Standard 4 2 3 3 5 2 3" xfId="15336" xr:uid="{00000000-0005-0000-0000-0000A33C0000}"/>
    <cellStyle name="Standard 4 2 3 3 5 2 3 2" xfId="15337" xr:uid="{00000000-0005-0000-0000-0000A43C0000}"/>
    <cellStyle name="Standard 4 2 3 3 5 2 3 3" xfId="15338" xr:uid="{00000000-0005-0000-0000-0000A53C0000}"/>
    <cellStyle name="Standard 4 2 3 3 5 2 4" xfId="15339" xr:uid="{00000000-0005-0000-0000-0000A63C0000}"/>
    <cellStyle name="Standard 4 2 3 3 5 2 4 2" xfId="15340" xr:uid="{00000000-0005-0000-0000-0000A73C0000}"/>
    <cellStyle name="Standard 4 2 3 3 5 2 5" xfId="15341" xr:uid="{00000000-0005-0000-0000-0000A83C0000}"/>
    <cellStyle name="Standard 4 2 3 3 5 2 6" xfId="15342" xr:uid="{00000000-0005-0000-0000-0000A93C0000}"/>
    <cellStyle name="Standard 4 2 3 3 5 3" xfId="15343" xr:uid="{00000000-0005-0000-0000-0000AA3C0000}"/>
    <cellStyle name="Standard 4 2 3 3 5 3 2" xfId="15344" xr:uid="{00000000-0005-0000-0000-0000AB3C0000}"/>
    <cellStyle name="Standard 4 2 3 3 5 3 3" xfId="15345" xr:uid="{00000000-0005-0000-0000-0000AC3C0000}"/>
    <cellStyle name="Standard 4 2 3 3 5 4" xfId="15346" xr:uid="{00000000-0005-0000-0000-0000AD3C0000}"/>
    <cellStyle name="Standard 4 2 3 3 5 4 2" xfId="15347" xr:uid="{00000000-0005-0000-0000-0000AE3C0000}"/>
    <cellStyle name="Standard 4 2 3 3 5 4 3" xfId="15348" xr:uid="{00000000-0005-0000-0000-0000AF3C0000}"/>
    <cellStyle name="Standard 4 2 3 3 5 5" xfId="15349" xr:uid="{00000000-0005-0000-0000-0000B03C0000}"/>
    <cellStyle name="Standard 4 2 3 3 5 5 2" xfId="15350" xr:uid="{00000000-0005-0000-0000-0000B13C0000}"/>
    <cellStyle name="Standard 4 2 3 3 5 6" xfId="15351" xr:uid="{00000000-0005-0000-0000-0000B23C0000}"/>
    <cellStyle name="Standard 4 2 3 3 5 7" xfId="15352" xr:uid="{00000000-0005-0000-0000-0000B33C0000}"/>
    <cellStyle name="Standard 4 2 3 3 6" xfId="15353" xr:uid="{00000000-0005-0000-0000-0000B43C0000}"/>
    <cellStyle name="Standard 4 2 3 3 6 2" xfId="15354" xr:uid="{00000000-0005-0000-0000-0000B53C0000}"/>
    <cellStyle name="Standard 4 2 3 3 6 2 2" xfId="15355" xr:uid="{00000000-0005-0000-0000-0000B63C0000}"/>
    <cellStyle name="Standard 4 2 3 3 6 2 3" xfId="15356" xr:uid="{00000000-0005-0000-0000-0000B73C0000}"/>
    <cellStyle name="Standard 4 2 3 3 6 3" xfId="15357" xr:uid="{00000000-0005-0000-0000-0000B83C0000}"/>
    <cellStyle name="Standard 4 2 3 3 6 3 2" xfId="15358" xr:uid="{00000000-0005-0000-0000-0000B93C0000}"/>
    <cellStyle name="Standard 4 2 3 3 6 3 3" xfId="15359" xr:uid="{00000000-0005-0000-0000-0000BA3C0000}"/>
    <cellStyle name="Standard 4 2 3 3 6 4" xfId="15360" xr:uid="{00000000-0005-0000-0000-0000BB3C0000}"/>
    <cellStyle name="Standard 4 2 3 3 6 4 2" xfId="15361" xr:uid="{00000000-0005-0000-0000-0000BC3C0000}"/>
    <cellStyle name="Standard 4 2 3 3 6 5" xfId="15362" xr:uid="{00000000-0005-0000-0000-0000BD3C0000}"/>
    <cellStyle name="Standard 4 2 3 3 6 6" xfId="15363" xr:uid="{00000000-0005-0000-0000-0000BE3C0000}"/>
    <cellStyle name="Standard 4 2 3 3 7" xfId="15364" xr:uid="{00000000-0005-0000-0000-0000BF3C0000}"/>
    <cellStyle name="Standard 4 2 3 3 7 2" xfId="15365" xr:uid="{00000000-0005-0000-0000-0000C03C0000}"/>
    <cellStyle name="Standard 4 2 3 3 7 3" xfId="15366" xr:uid="{00000000-0005-0000-0000-0000C13C0000}"/>
    <cellStyle name="Standard 4 2 3 3 8" xfId="15367" xr:uid="{00000000-0005-0000-0000-0000C23C0000}"/>
    <cellStyle name="Standard 4 2 3 3 8 2" xfId="15368" xr:uid="{00000000-0005-0000-0000-0000C33C0000}"/>
    <cellStyle name="Standard 4 2 3 3 8 3" xfId="15369" xr:uid="{00000000-0005-0000-0000-0000C43C0000}"/>
    <cellStyle name="Standard 4 2 3 3 9" xfId="15370" xr:uid="{00000000-0005-0000-0000-0000C53C0000}"/>
    <cellStyle name="Standard 4 2 3 3 9 2" xfId="15371" xr:uid="{00000000-0005-0000-0000-0000C63C0000}"/>
    <cellStyle name="Standard 4 2 3 4" xfId="15372" xr:uid="{00000000-0005-0000-0000-0000C73C0000}"/>
    <cellStyle name="Standard 4 2 3 4 10" xfId="15373" xr:uid="{00000000-0005-0000-0000-0000C83C0000}"/>
    <cellStyle name="Standard 4 2 3 4 11" xfId="15374" xr:uid="{00000000-0005-0000-0000-0000C93C0000}"/>
    <cellStyle name="Standard 4 2 3 4 2" xfId="15375" xr:uid="{00000000-0005-0000-0000-0000CA3C0000}"/>
    <cellStyle name="Standard 4 2 3 4 2 10" xfId="15376" xr:uid="{00000000-0005-0000-0000-0000CB3C0000}"/>
    <cellStyle name="Standard 4 2 3 4 2 2" xfId="15377" xr:uid="{00000000-0005-0000-0000-0000CC3C0000}"/>
    <cellStyle name="Standard 4 2 3 4 2 2 2" xfId="15378" xr:uid="{00000000-0005-0000-0000-0000CD3C0000}"/>
    <cellStyle name="Standard 4 2 3 4 2 2 2 2" xfId="15379" xr:uid="{00000000-0005-0000-0000-0000CE3C0000}"/>
    <cellStyle name="Standard 4 2 3 4 2 2 2 2 2" xfId="15380" xr:uid="{00000000-0005-0000-0000-0000CF3C0000}"/>
    <cellStyle name="Standard 4 2 3 4 2 2 2 2 2 2" xfId="15381" xr:uid="{00000000-0005-0000-0000-0000D03C0000}"/>
    <cellStyle name="Standard 4 2 3 4 2 2 2 2 2 3" xfId="15382" xr:uid="{00000000-0005-0000-0000-0000D13C0000}"/>
    <cellStyle name="Standard 4 2 3 4 2 2 2 2 3" xfId="15383" xr:uid="{00000000-0005-0000-0000-0000D23C0000}"/>
    <cellStyle name="Standard 4 2 3 4 2 2 2 2 3 2" xfId="15384" xr:uid="{00000000-0005-0000-0000-0000D33C0000}"/>
    <cellStyle name="Standard 4 2 3 4 2 2 2 2 3 3" xfId="15385" xr:uid="{00000000-0005-0000-0000-0000D43C0000}"/>
    <cellStyle name="Standard 4 2 3 4 2 2 2 2 4" xfId="15386" xr:uid="{00000000-0005-0000-0000-0000D53C0000}"/>
    <cellStyle name="Standard 4 2 3 4 2 2 2 2 4 2" xfId="15387" xr:uid="{00000000-0005-0000-0000-0000D63C0000}"/>
    <cellStyle name="Standard 4 2 3 4 2 2 2 2 5" xfId="15388" xr:uid="{00000000-0005-0000-0000-0000D73C0000}"/>
    <cellStyle name="Standard 4 2 3 4 2 2 2 2 6" xfId="15389" xr:uid="{00000000-0005-0000-0000-0000D83C0000}"/>
    <cellStyle name="Standard 4 2 3 4 2 2 2 3" xfId="15390" xr:uid="{00000000-0005-0000-0000-0000D93C0000}"/>
    <cellStyle name="Standard 4 2 3 4 2 2 2 3 2" xfId="15391" xr:uid="{00000000-0005-0000-0000-0000DA3C0000}"/>
    <cellStyle name="Standard 4 2 3 4 2 2 2 3 3" xfId="15392" xr:uid="{00000000-0005-0000-0000-0000DB3C0000}"/>
    <cellStyle name="Standard 4 2 3 4 2 2 2 4" xfId="15393" xr:uid="{00000000-0005-0000-0000-0000DC3C0000}"/>
    <cellStyle name="Standard 4 2 3 4 2 2 2 4 2" xfId="15394" xr:uid="{00000000-0005-0000-0000-0000DD3C0000}"/>
    <cellStyle name="Standard 4 2 3 4 2 2 2 4 3" xfId="15395" xr:uid="{00000000-0005-0000-0000-0000DE3C0000}"/>
    <cellStyle name="Standard 4 2 3 4 2 2 2 5" xfId="15396" xr:uid="{00000000-0005-0000-0000-0000DF3C0000}"/>
    <cellStyle name="Standard 4 2 3 4 2 2 2 5 2" xfId="15397" xr:uid="{00000000-0005-0000-0000-0000E03C0000}"/>
    <cellStyle name="Standard 4 2 3 4 2 2 2 6" xfId="15398" xr:uid="{00000000-0005-0000-0000-0000E13C0000}"/>
    <cellStyle name="Standard 4 2 3 4 2 2 2 7" xfId="15399" xr:uid="{00000000-0005-0000-0000-0000E23C0000}"/>
    <cellStyle name="Standard 4 2 3 4 2 2 3" xfId="15400" xr:uid="{00000000-0005-0000-0000-0000E33C0000}"/>
    <cellStyle name="Standard 4 2 3 4 2 2 3 2" xfId="15401" xr:uid="{00000000-0005-0000-0000-0000E43C0000}"/>
    <cellStyle name="Standard 4 2 3 4 2 2 3 2 2" xfId="15402" xr:uid="{00000000-0005-0000-0000-0000E53C0000}"/>
    <cellStyle name="Standard 4 2 3 4 2 2 3 2 3" xfId="15403" xr:uid="{00000000-0005-0000-0000-0000E63C0000}"/>
    <cellStyle name="Standard 4 2 3 4 2 2 3 3" xfId="15404" xr:uid="{00000000-0005-0000-0000-0000E73C0000}"/>
    <cellStyle name="Standard 4 2 3 4 2 2 3 3 2" xfId="15405" xr:uid="{00000000-0005-0000-0000-0000E83C0000}"/>
    <cellStyle name="Standard 4 2 3 4 2 2 3 3 3" xfId="15406" xr:uid="{00000000-0005-0000-0000-0000E93C0000}"/>
    <cellStyle name="Standard 4 2 3 4 2 2 3 4" xfId="15407" xr:uid="{00000000-0005-0000-0000-0000EA3C0000}"/>
    <cellStyle name="Standard 4 2 3 4 2 2 3 4 2" xfId="15408" xr:uid="{00000000-0005-0000-0000-0000EB3C0000}"/>
    <cellStyle name="Standard 4 2 3 4 2 2 3 5" xfId="15409" xr:uid="{00000000-0005-0000-0000-0000EC3C0000}"/>
    <cellStyle name="Standard 4 2 3 4 2 2 3 6" xfId="15410" xr:uid="{00000000-0005-0000-0000-0000ED3C0000}"/>
    <cellStyle name="Standard 4 2 3 4 2 2 4" xfId="15411" xr:uid="{00000000-0005-0000-0000-0000EE3C0000}"/>
    <cellStyle name="Standard 4 2 3 4 2 2 4 2" xfId="15412" xr:uid="{00000000-0005-0000-0000-0000EF3C0000}"/>
    <cellStyle name="Standard 4 2 3 4 2 2 4 3" xfId="15413" xr:uid="{00000000-0005-0000-0000-0000F03C0000}"/>
    <cellStyle name="Standard 4 2 3 4 2 2 5" xfId="15414" xr:uid="{00000000-0005-0000-0000-0000F13C0000}"/>
    <cellStyle name="Standard 4 2 3 4 2 2 5 2" xfId="15415" xr:uid="{00000000-0005-0000-0000-0000F23C0000}"/>
    <cellStyle name="Standard 4 2 3 4 2 2 5 3" xfId="15416" xr:uid="{00000000-0005-0000-0000-0000F33C0000}"/>
    <cellStyle name="Standard 4 2 3 4 2 2 6" xfId="15417" xr:uid="{00000000-0005-0000-0000-0000F43C0000}"/>
    <cellStyle name="Standard 4 2 3 4 2 2 6 2" xfId="15418" xr:uid="{00000000-0005-0000-0000-0000F53C0000}"/>
    <cellStyle name="Standard 4 2 3 4 2 2 7" xfId="15419" xr:uid="{00000000-0005-0000-0000-0000F63C0000}"/>
    <cellStyle name="Standard 4 2 3 4 2 2 8" xfId="15420" xr:uid="{00000000-0005-0000-0000-0000F73C0000}"/>
    <cellStyle name="Standard 4 2 3 4 2 3" xfId="15421" xr:uid="{00000000-0005-0000-0000-0000F83C0000}"/>
    <cellStyle name="Standard 4 2 3 4 2 3 2" xfId="15422" xr:uid="{00000000-0005-0000-0000-0000F93C0000}"/>
    <cellStyle name="Standard 4 2 3 4 2 3 2 2" xfId="15423" xr:uid="{00000000-0005-0000-0000-0000FA3C0000}"/>
    <cellStyle name="Standard 4 2 3 4 2 3 2 2 2" xfId="15424" xr:uid="{00000000-0005-0000-0000-0000FB3C0000}"/>
    <cellStyle name="Standard 4 2 3 4 2 3 2 2 2 2" xfId="15425" xr:uid="{00000000-0005-0000-0000-0000FC3C0000}"/>
    <cellStyle name="Standard 4 2 3 4 2 3 2 2 2 3" xfId="15426" xr:uid="{00000000-0005-0000-0000-0000FD3C0000}"/>
    <cellStyle name="Standard 4 2 3 4 2 3 2 2 3" xfId="15427" xr:uid="{00000000-0005-0000-0000-0000FE3C0000}"/>
    <cellStyle name="Standard 4 2 3 4 2 3 2 2 3 2" xfId="15428" xr:uid="{00000000-0005-0000-0000-0000FF3C0000}"/>
    <cellStyle name="Standard 4 2 3 4 2 3 2 2 3 3" xfId="15429" xr:uid="{00000000-0005-0000-0000-0000003D0000}"/>
    <cellStyle name="Standard 4 2 3 4 2 3 2 2 4" xfId="15430" xr:uid="{00000000-0005-0000-0000-0000013D0000}"/>
    <cellStyle name="Standard 4 2 3 4 2 3 2 2 4 2" xfId="15431" xr:uid="{00000000-0005-0000-0000-0000023D0000}"/>
    <cellStyle name="Standard 4 2 3 4 2 3 2 2 5" xfId="15432" xr:uid="{00000000-0005-0000-0000-0000033D0000}"/>
    <cellStyle name="Standard 4 2 3 4 2 3 2 2 6" xfId="15433" xr:uid="{00000000-0005-0000-0000-0000043D0000}"/>
    <cellStyle name="Standard 4 2 3 4 2 3 2 3" xfId="15434" xr:uid="{00000000-0005-0000-0000-0000053D0000}"/>
    <cellStyle name="Standard 4 2 3 4 2 3 2 3 2" xfId="15435" xr:uid="{00000000-0005-0000-0000-0000063D0000}"/>
    <cellStyle name="Standard 4 2 3 4 2 3 2 3 3" xfId="15436" xr:uid="{00000000-0005-0000-0000-0000073D0000}"/>
    <cellStyle name="Standard 4 2 3 4 2 3 2 4" xfId="15437" xr:uid="{00000000-0005-0000-0000-0000083D0000}"/>
    <cellStyle name="Standard 4 2 3 4 2 3 2 4 2" xfId="15438" xr:uid="{00000000-0005-0000-0000-0000093D0000}"/>
    <cellStyle name="Standard 4 2 3 4 2 3 2 4 3" xfId="15439" xr:uid="{00000000-0005-0000-0000-00000A3D0000}"/>
    <cellStyle name="Standard 4 2 3 4 2 3 2 5" xfId="15440" xr:uid="{00000000-0005-0000-0000-00000B3D0000}"/>
    <cellStyle name="Standard 4 2 3 4 2 3 2 5 2" xfId="15441" xr:uid="{00000000-0005-0000-0000-00000C3D0000}"/>
    <cellStyle name="Standard 4 2 3 4 2 3 2 6" xfId="15442" xr:uid="{00000000-0005-0000-0000-00000D3D0000}"/>
    <cellStyle name="Standard 4 2 3 4 2 3 2 7" xfId="15443" xr:uid="{00000000-0005-0000-0000-00000E3D0000}"/>
    <cellStyle name="Standard 4 2 3 4 2 3 3" xfId="15444" xr:uid="{00000000-0005-0000-0000-00000F3D0000}"/>
    <cellStyle name="Standard 4 2 3 4 2 3 3 2" xfId="15445" xr:uid="{00000000-0005-0000-0000-0000103D0000}"/>
    <cellStyle name="Standard 4 2 3 4 2 3 3 2 2" xfId="15446" xr:uid="{00000000-0005-0000-0000-0000113D0000}"/>
    <cellStyle name="Standard 4 2 3 4 2 3 3 2 3" xfId="15447" xr:uid="{00000000-0005-0000-0000-0000123D0000}"/>
    <cellStyle name="Standard 4 2 3 4 2 3 3 3" xfId="15448" xr:uid="{00000000-0005-0000-0000-0000133D0000}"/>
    <cellStyle name="Standard 4 2 3 4 2 3 3 3 2" xfId="15449" xr:uid="{00000000-0005-0000-0000-0000143D0000}"/>
    <cellStyle name="Standard 4 2 3 4 2 3 3 3 3" xfId="15450" xr:uid="{00000000-0005-0000-0000-0000153D0000}"/>
    <cellStyle name="Standard 4 2 3 4 2 3 3 4" xfId="15451" xr:uid="{00000000-0005-0000-0000-0000163D0000}"/>
    <cellStyle name="Standard 4 2 3 4 2 3 3 4 2" xfId="15452" xr:uid="{00000000-0005-0000-0000-0000173D0000}"/>
    <cellStyle name="Standard 4 2 3 4 2 3 3 5" xfId="15453" xr:uid="{00000000-0005-0000-0000-0000183D0000}"/>
    <cellStyle name="Standard 4 2 3 4 2 3 3 6" xfId="15454" xr:uid="{00000000-0005-0000-0000-0000193D0000}"/>
    <cellStyle name="Standard 4 2 3 4 2 3 4" xfId="15455" xr:uid="{00000000-0005-0000-0000-00001A3D0000}"/>
    <cellStyle name="Standard 4 2 3 4 2 3 4 2" xfId="15456" xr:uid="{00000000-0005-0000-0000-00001B3D0000}"/>
    <cellStyle name="Standard 4 2 3 4 2 3 4 3" xfId="15457" xr:uid="{00000000-0005-0000-0000-00001C3D0000}"/>
    <cellStyle name="Standard 4 2 3 4 2 3 5" xfId="15458" xr:uid="{00000000-0005-0000-0000-00001D3D0000}"/>
    <cellStyle name="Standard 4 2 3 4 2 3 5 2" xfId="15459" xr:uid="{00000000-0005-0000-0000-00001E3D0000}"/>
    <cellStyle name="Standard 4 2 3 4 2 3 5 3" xfId="15460" xr:uid="{00000000-0005-0000-0000-00001F3D0000}"/>
    <cellStyle name="Standard 4 2 3 4 2 3 6" xfId="15461" xr:uid="{00000000-0005-0000-0000-0000203D0000}"/>
    <cellStyle name="Standard 4 2 3 4 2 3 6 2" xfId="15462" xr:uid="{00000000-0005-0000-0000-0000213D0000}"/>
    <cellStyle name="Standard 4 2 3 4 2 3 7" xfId="15463" xr:uid="{00000000-0005-0000-0000-0000223D0000}"/>
    <cellStyle name="Standard 4 2 3 4 2 3 8" xfId="15464" xr:uid="{00000000-0005-0000-0000-0000233D0000}"/>
    <cellStyle name="Standard 4 2 3 4 2 4" xfId="15465" xr:uid="{00000000-0005-0000-0000-0000243D0000}"/>
    <cellStyle name="Standard 4 2 3 4 2 4 2" xfId="15466" xr:uid="{00000000-0005-0000-0000-0000253D0000}"/>
    <cellStyle name="Standard 4 2 3 4 2 4 2 2" xfId="15467" xr:uid="{00000000-0005-0000-0000-0000263D0000}"/>
    <cellStyle name="Standard 4 2 3 4 2 4 2 2 2" xfId="15468" xr:uid="{00000000-0005-0000-0000-0000273D0000}"/>
    <cellStyle name="Standard 4 2 3 4 2 4 2 2 3" xfId="15469" xr:uid="{00000000-0005-0000-0000-0000283D0000}"/>
    <cellStyle name="Standard 4 2 3 4 2 4 2 3" xfId="15470" xr:uid="{00000000-0005-0000-0000-0000293D0000}"/>
    <cellStyle name="Standard 4 2 3 4 2 4 2 3 2" xfId="15471" xr:uid="{00000000-0005-0000-0000-00002A3D0000}"/>
    <cellStyle name="Standard 4 2 3 4 2 4 2 3 3" xfId="15472" xr:uid="{00000000-0005-0000-0000-00002B3D0000}"/>
    <cellStyle name="Standard 4 2 3 4 2 4 2 4" xfId="15473" xr:uid="{00000000-0005-0000-0000-00002C3D0000}"/>
    <cellStyle name="Standard 4 2 3 4 2 4 2 4 2" xfId="15474" xr:uid="{00000000-0005-0000-0000-00002D3D0000}"/>
    <cellStyle name="Standard 4 2 3 4 2 4 2 5" xfId="15475" xr:uid="{00000000-0005-0000-0000-00002E3D0000}"/>
    <cellStyle name="Standard 4 2 3 4 2 4 2 6" xfId="15476" xr:uid="{00000000-0005-0000-0000-00002F3D0000}"/>
    <cellStyle name="Standard 4 2 3 4 2 4 3" xfId="15477" xr:uid="{00000000-0005-0000-0000-0000303D0000}"/>
    <cellStyle name="Standard 4 2 3 4 2 4 3 2" xfId="15478" xr:uid="{00000000-0005-0000-0000-0000313D0000}"/>
    <cellStyle name="Standard 4 2 3 4 2 4 3 3" xfId="15479" xr:uid="{00000000-0005-0000-0000-0000323D0000}"/>
    <cellStyle name="Standard 4 2 3 4 2 4 4" xfId="15480" xr:uid="{00000000-0005-0000-0000-0000333D0000}"/>
    <cellStyle name="Standard 4 2 3 4 2 4 4 2" xfId="15481" xr:uid="{00000000-0005-0000-0000-0000343D0000}"/>
    <cellStyle name="Standard 4 2 3 4 2 4 4 3" xfId="15482" xr:uid="{00000000-0005-0000-0000-0000353D0000}"/>
    <cellStyle name="Standard 4 2 3 4 2 4 5" xfId="15483" xr:uid="{00000000-0005-0000-0000-0000363D0000}"/>
    <cellStyle name="Standard 4 2 3 4 2 4 5 2" xfId="15484" xr:uid="{00000000-0005-0000-0000-0000373D0000}"/>
    <cellStyle name="Standard 4 2 3 4 2 4 6" xfId="15485" xr:uid="{00000000-0005-0000-0000-0000383D0000}"/>
    <cellStyle name="Standard 4 2 3 4 2 4 7" xfId="15486" xr:uid="{00000000-0005-0000-0000-0000393D0000}"/>
    <cellStyle name="Standard 4 2 3 4 2 5" xfId="15487" xr:uid="{00000000-0005-0000-0000-00003A3D0000}"/>
    <cellStyle name="Standard 4 2 3 4 2 5 2" xfId="15488" xr:uid="{00000000-0005-0000-0000-00003B3D0000}"/>
    <cellStyle name="Standard 4 2 3 4 2 5 2 2" xfId="15489" xr:uid="{00000000-0005-0000-0000-00003C3D0000}"/>
    <cellStyle name="Standard 4 2 3 4 2 5 2 3" xfId="15490" xr:uid="{00000000-0005-0000-0000-00003D3D0000}"/>
    <cellStyle name="Standard 4 2 3 4 2 5 3" xfId="15491" xr:uid="{00000000-0005-0000-0000-00003E3D0000}"/>
    <cellStyle name="Standard 4 2 3 4 2 5 3 2" xfId="15492" xr:uid="{00000000-0005-0000-0000-00003F3D0000}"/>
    <cellStyle name="Standard 4 2 3 4 2 5 3 3" xfId="15493" xr:uid="{00000000-0005-0000-0000-0000403D0000}"/>
    <cellStyle name="Standard 4 2 3 4 2 5 4" xfId="15494" xr:uid="{00000000-0005-0000-0000-0000413D0000}"/>
    <cellStyle name="Standard 4 2 3 4 2 5 4 2" xfId="15495" xr:uid="{00000000-0005-0000-0000-0000423D0000}"/>
    <cellStyle name="Standard 4 2 3 4 2 5 5" xfId="15496" xr:uid="{00000000-0005-0000-0000-0000433D0000}"/>
    <cellStyle name="Standard 4 2 3 4 2 5 6" xfId="15497" xr:uid="{00000000-0005-0000-0000-0000443D0000}"/>
    <cellStyle name="Standard 4 2 3 4 2 6" xfId="15498" xr:uid="{00000000-0005-0000-0000-0000453D0000}"/>
    <cellStyle name="Standard 4 2 3 4 2 6 2" xfId="15499" xr:uid="{00000000-0005-0000-0000-0000463D0000}"/>
    <cellStyle name="Standard 4 2 3 4 2 6 3" xfId="15500" xr:uid="{00000000-0005-0000-0000-0000473D0000}"/>
    <cellStyle name="Standard 4 2 3 4 2 7" xfId="15501" xr:uid="{00000000-0005-0000-0000-0000483D0000}"/>
    <cellStyle name="Standard 4 2 3 4 2 7 2" xfId="15502" xr:uid="{00000000-0005-0000-0000-0000493D0000}"/>
    <cellStyle name="Standard 4 2 3 4 2 7 3" xfId="15503" xr:uid="{00000000-0005-0000-0000-00004A3D0000}"/>
    <cellStyle name="Standard 4 2 3 4 2 8" xfId="15504" xr:uid="{00000000-0005-0000-0000-00004B3D0000}"/>
    <cellStyle name="Standard 4 2 3 4 2 8 2" xfId="15505" xr:uid="{00000000-0005-0000-0000-00004C3D0000}"/>
    <cellStyle name="Standard 4 2 3 4 2 9" xfId="15506" xr:uid="{00000000-0005-0000-0000-00004D3D0000}"/>
    <cellStyle name="Standard 4 2 3 4 3" xfId="15507" xr:uid="{00000000-0005-0000-0000-00004E3D0000}"/>
    <cellStyle name="Standard 4 2 3 4 3 2" xfId="15508" xr:uid="{00000000-0005-0000-0000-00004F3D0000}"/>
    <cellStyle name="Standard 4 2 3 4 3 2 2" xfId="15509" xr:uid="{00000000-0005-0000-0000-0000503D0000}"/>
    <cellStyle name="Standard 4 2 3 4 3 2 2 2" xfId="15510" xr:uid="{00000000-0005-0000-0000-0000513D0000}"/>
    <cellStyle name="Standard 4 2 3 4 3 2 2 2 2" xfId="15511" xr:uid="{00000000-0005-0000-0000-0000523D0000}"/>
    <cellStyle name="Standard 4 2 3 4 3 2 2 2 3" xfId="15512" xr:uid="{00000000-0005-0000-0000-0000533D0000}"/>
    <cellStyle name="Standard 4 2 3 4 3 2 2 3" xfId="15513" xr:uid="{00000000-0005-0000-0000-0000543D0000}"/>
    <cellStyle name="Standard 4 2 3 4 3 2 2 3 2" xfId="15514" xr:uid="{00000000-0005-0000-0000-0000553D0000}"/>
    <cellStyle name="Standard 4 2 3 4 3 2 2 3 3" xfId="15515" xr:uid="{00000000-0005-0000-0000-0000563D0000}"/>
    <cellStyle name="Standard 4 2 3 4 3 2 2 4" xfId="15516" xr:uid="{00000000-0005-0000-0000-0000573D0000}"/>
    <cellStyle name="Standard 4 2 3 4 3 2 2 4 2" xfId="15517" xr:uid="{00000000-0005-0000-0000-0000583D0000}"/>
    <cellStyle name="Standard 4 2 3 4 3 2 2 5" xfId="15518" xr:uid="{00000000-0005-0000-0000-0000593D0000}"/>
    <cellStyle name="Standard 4 2 3 4 3 2 2 6" xfId="15519" xr:uid="{00000000-0005-0000-0000-00005A3D0000}"/>
    <cellStyle name="Standard 4 2 3 4 3 2 3" xfId="15520" xr:uid="{00000000-0005-0000-0000-00005B3D0000}"/>
    <cellStyle name="Standard 4 2 3 4 3 2 3 2" xfId="15521" xr:uid="{00000000-0005-0000-0000-00005C3D0000}"/>
    <cellStyle name="Standard 4 2 3 4 3 2 3 3" xfId="15522" xr:uid="{00000000-0005-0000-0000-00005D3D0000}"/>
    <cellStyle name="Standard 4 2 3 4 3 2 4" xfId="15523" xr:uid="{00000000-0005-0000-0000-00005E3D0000}"/>
    <cellStyle name="Standard 4 2 3 4 3 2 4 2" xfId="15524" xr:uid="{00000000-0005-0000-0000-00005F3D0000}"/>
    <cellStyle name="Standard 4 2 3 4 3 2 4 3" xfId="15525" xr:uid="{00000000-0005-0000-0000-0000603D0000}"/>
    <cellStyle name="Standard 4 2 3 4 3 2 5" xfId="15526" xr:uid="{00000000-0005-0000-0000-0000613D0000}"/>
    <cellStyle name="Standard 4 2 3 4 3 2 5 2" xfId="15527" xr:uid="{00000000-0005-0000-0000-0000623D0000}"/>
    <cellStyle name="Standard 4 2 3 4 3 2 6" xfId="15528" xr:uid="{00000000-0005-0000-0000-0000633D0000}"/>
    <cellStyle name="Standard 4 2 3 4 3 2 7" xfId="15529" xr:uid="{00000000-0005-0000-0000-0000643D0000}"/>
    <cellStyle name="Standard 4 2 3 4 3 3" xfId="15530" xr:uid="{00000000-0005-0000-0000-0000653D0000}"/>
    <cellStyle name="Standard 4 2 3 4 3 3 2" xfId="15531" xr:uid="{00000000-0005-0000-0000-0000663D0000}"/>
    <cellStyle name="Standard 4 2 3 4 3 3 2 2" xfId="15532" xr:uid="{00000000-0005-0000-0000-0000673D0000}"/>
    <cellStyle name="Standard 4 2 3 4 3 3 2 3" xfId="15533" xr:uid="{00000000-0005-0000-0000-0000683D0000}"/>
    <cellStyle name="Standard 4 2 3 4 3 3 3" xfId="15534" xr:uid="{00000000-0005-0000-0000-0000693D0000}"/>
    <cellStyle name="Standard 4 2 3 4 3 3 3 2" xfId="15535" xr:uid="{00000000-0005-0000-0000-00006A3D0000}"/>
    <cellStyle name="Standard 4 2 3 4 3 3 3 3" xfId="15536" xr:uid="{00000000-0005-0000-0000-00006B3D0000}"/>
    <cellStyle name="Standard 4 2 3 4 3 3 4" xfId="15537" xr:uid="{00000000-0005-0000-0000-00006C3D0000}"/>
    <cellStyle name="Standard 4 2 3 4 3 3 4 2" xfId="15538" xr:uid="{00000000-0005-0000-0000-00006D3D0000}"/>
    <cellStyle name="Standard 4 2 3 4 3 3 5" xfId="15539" xr:uid="{00000000-0005-0000-0000-00006E3D0000}"/>
    <cellStyle name="Standard 4 2 3 4 3 3 6" xfId="15540" xr:uid="{00000000-0005-0000-0000-00006F3D0000}"/>
    <cellStyle name="Standard 4 2 3 4 3 4" xfId="15541" xr:uid="{00000000-0005-0000-0000-0000703D0000}"/>
    <cellStyle name="Standard 4 2 3 4 3 4 2" xfId="15542" xr:uid="{00000000-0005-0000-0000-0000713D0000}"/>
    <cellStyle name="Standard 4 2 3 4 3 4 3" xfId="15543" xr:uid="{00000000-0005-0000-0000-0000723D0000}"/>
    <cellStyle name="Standard 4 2 3 4 3 5" xfId="15544" xr:uid="{00000000-0005-0000-0000-0000733D0000}"/>
    <cellStyle name="Standard 4 2 3 4 3 5 2" xfId="15545" xr:uid="{00000000-0005-0000-0000-0000743D0000}"/>
    <cellStyle name="Standard 4 2 3 4 3 5 3" xfId="15546" xr:uid="{00000000-0005-0000-0000-0000753D0000}"/>
    <cellStyle name="Standard 4 2 3 4 3 6" xfId="15547" xr:uid="{00000000-0005-0000-0000-0000763D0000}"/>
    <cellStyle name="Standard 4 2 3 4 3 6 2" xfId="15548" xr:uid="{00000000-0005-0000-0000-0000773D0000}"/>
    <cellStyle name="Standard 4 2 3 4 3 7" xfId="15549" xr:uid="{00000000-0005-0000-0000-0000783D0000}"/>
    <cellStyle name="Standard 4 2 3 4 3 8" xfId="15550" xr:uid="{00000000-0005-0000-0000-0000793D0000}"/>
    <cellStyle name="Standard 4 2 3 4 4" xfId="15551" xr:uid="{00000000-0005-0000-0000-00007A3D0000}"/>
    <cellStyle name="Standard 4 2 3 4 4 2" xfId="15552" xr:uid="{00000000-0005-0000-0000-00007B3D0000}"/>
    <cellStyle name="Standard 4 2 3 4 4 2 2" xfId="15553" xr:uid="{00000000-0005-0000-0000-00007C3D0000}"/>
    <cellStyle name="Standard 4 2 3 4 4 2 2 2" xfId="15554" xr:uid="{00000000-0005-0000-0000-00007D3D0000}"/>
    <cellStyle name="Standard 4 2 3 4 4 2 2 2 2" xfId="15555" xr:uid="{00000000-0005-0000-0000-00007E3D0000}"/>
    <cellStyle name="Standard 4 2 3 4 4 2 2 2 3" xfId="15556" xr:uid="{00000000-0005-0000-0000-00007F3D0000}"/>
    <cellStyle name="Standard 4 2 3 4 4 2 2 3" xfId="15557" xr:uid="{00000000-0005-0000-0000-0000803D0000}"/>
    <cellStyle name="Standard 4 2 3 4 4 2 2 3 2" xfId="15558" xr:uid="{00000000-0005-0000-0000-0000813D0000}"/>
    <cellStyle name="Standard 4 2 3 4 4 2 2 3 3" xfId="15559" xr:uid="{00000000-0005-0000-0000-0000823D0000}"/>
    <cellStyle name="Standard 4 2 3 4 4 2 2 4" xfId="15560" xr:uid="{00000000-0005-0000-0000-0000833D0000}"/>
    <cellStyle name="Standard 4 2 3 4 4 2 2 4 2" xfId="15561" xr:uid="{00000000-0005-0000-0000-0000843D0000}"/>
    <cellStyle name="Standard 4 2 3 4 4 2 2 5" xfId="15562" xr:uid="{00000000-0005-0000-0000-0000853D0000}"/>
    <cellStyle name="Standard 4 2 3 4 4 2 2 6" xfId="15563" xr:uid="{00000000-0005-0000-0000-0000863D0000}"/>
    <cellStyle name="Standard 4 2 3 4 4 2 3" xfId="15564" xr:uid="{00000000-0005-0000-0000-0000873D0000}"/>
    <cellStyle name="Standard 4 2 3 4 4 2 3 2" xfId="15565" xr:uid="{00000000-0005-0000-0000-0000883D0000}"/>
    <cellStyle name="Standard 4 2 3 4 4 2 3 3" xfId="15566" xr:uid="{00000000-0005-0000-0000-0000893D0000}"/>
    <cellStyle name="Standard 4 2 3 4 4 2 4" xfId="15567" xr:uid="{00000000-0005-0000-0000-00008A3D0000}"/>
    <cellStyle name="Standard 4 2 3 4 4 2 4 2" xfId="15568" xr:uid="{00000000-0005-0000-0000-00008B3D0000}"/>
    <cellStyle name="Standard 4 2 3 4 4 2 4 3" xfId="15569" xr:uid="{00000000-0005-0000-0000-00008C3D0000}"/>
    <cellStyle name="Standard 4 2 3 4 4 2 5" xfId="15570" xr:uid="{00000000-0005-0000-0000-00008D3D0000}"/>
    <cellStyle name="Standard 4 2 3 4 4 2 5 2" xfId="15571" xr:uid="{00000000-0005-0000-0000-00008E3D0000}"/>
    <cellStyle name="Standard 4 2 3 4 4 2 6" xfId="15572" xr:uid="{00000000-0005-0000-0000-00008F3D0000}"/>
    <cellStyle name="Standard 4 2 3 4 4 2 7" xfId="15573" xr:uid="{00000000-0005-0000-0000-0000903D0000}"/>
    <cellStyle name="Standard 4 2 3 4 4 3" xfId="15574" xr:uid="{00000000-0005-0000-0000-0000913D0000}"/>
    <cellStyle name="Standard 4 2 3 4 4 3 2" xfId="15575" xr:uid="{00000000-0005-0000-0000-0000923D0000}"/>
    <cellStyle name="Standard 4 2 3 4 4 3 2 2" xfId="15576" xr:uid="{00000000-0005-0000-0000-0000933D0000}"/>
    <cellStyle name="Standard 4 2 3 4 4 3 2 3" xfId="15577" xr:uid="{00000000-0005-0000-0000-0000943D0000}"/>
    <cellStyle name="Standard 4 2 3 4 4 3 3" xfId="15578" xr:uid="{00000000-0005-0000-0000-0000953D0000}"/>
    <cellStyle name="Standard 4 2 3 4 4 3 3 2" xfId="15579" xr:uid="{00000000-0005-0000-0000-0000963D0000}"/>
    <cellStyle name="Standard 4 2 3 4 4 3 3 3" xfId="15580" xr:uid="{00000000-0005-0000-0000-0000973D0000}"/>
    <cellStyle name="Standard 4 2 3 4 4 3 4" xfId="15581" xr:uid="{00000000-0005-0000-0000-0000983D0000}"/>
    <cellStyle name="Standard 4 2 3 4 4 3 4 2" xfId="15582" xr:uid="{00000000-0005-0000-0000-0000993D0000}"/>
    <cellStyle name="Standard 4 2 3 4 4 3 5" xfId="15583" xr:uid="{00000000-0005-0000-0000-00009A3D0000}"/>
    <cellStyle name="Standard 4 2 3 4 4 3 6" xfId="15584" xr:uid="{00000000-0005-0000-0000-00009B3D0000}"/>
    <cellStyle name="Standard 4 2 3 4 4 4" xfId="15585" xr:uid="{00000000-0005-0000-0000-00009C3D0000}"/>
    <cellStyle name="Standard 4 2 3 4 4 4 2" xfId="15586" xr:uid="{00000000-0005-0000-0000-00009D3D0000}"/>
    <cellStyle name="Standard 4 2 3 4 4 4 3" xfId="15587" xr:uid="{00000000-0005-0000-0000-00009E3D0000}"/>
    <cellStyle name="Standard 4 2 3 4 4 5" xfId="15588" xr:uid="{00000000-0005-0000-0000-00009F3D0000}"/>
    <cellStyle name="Standard 4 2 3 4 4 5 2" xfId="15589" xr:uid="{00000000-0005-0000-0000-0000A03D0000}"/>
    <cellStyle name="Standard 4 2 3 4 4 5 3" xfId="15590" xr:uid="{00000000-0005-0000-0000-0000A13D0000}"/>
    <cellStyle name="Standard 4 2 3 4 4 6" xfId="15591" xr:uid="{00000000-0005-0000-0000-0000A23D0000}"/>
    <cellStyle name="Standard 4 2 3 4 4 6 2" xfId="15592" xr:uid="{00000000-0005-0000-0000-0000A33D0000}"/>
    <cellStyle name="Standard 4 2 3 4 4 7" xfId="15593" xr:uid="{00000000-0005-0000-0000-0000A43D0000}"/>
    <cellStyle name="Standard 4 2 3 4 4 8" xfId="15594" xr:uid="{00000000-0005-0000-0000-0000A53D0000}"/>
    <cellStyle name="Standard 4 2 3 4 5" xfId="15595" xr:uid="{00000000-0005-0000-0000-0000A63D0000}"/>
    <cellStyle name="Standard 4 2 3 4 5 2" xfId="15596" xr:uid="{00000000-0005-0000-0000-0000A73D0000}"/>
    <cellStyle name="Standard 4 2 3 4 5 2 2" xfId="15597" xr:uid="{00000000-0005-0000-0000-0000A83D0000}"/>
    <cellStyle name="Standard 4 2 3 4 5 2 2 2" xfId="15598" xr:uid="{00000000-0005-0000-0000-0000A93D0000}"/>
    <cellStyle name="Standard 4 2 3 4 5 2 2 3" xfId="15599" xr:uid="{00000000-0005-0000-0000-0000AA3D0000}"/>
    <cellStyle name="Standard 4 2 3 4 5 2 3" xfId="15600" xr:uid="{00000000-0005-0000-0000-0000AB3D0000}"/>
    <cellStyle name="Standard 4 2 3 4 5 2 3 2" xfId="15601" xr:uid="{00000000-0005-0000-0000-0000AC3D0000}"/>
    <cellStyle name="Standard 4 2 3 4 5 2 3 3" xfId="15602" xr:uid="{00000000-0005-0000-0000-0000AD3D0000}"/>
    <cellStyle name="Standard 4 2 3 4 5 2 4" xfId="15603" xr:uid="{00000000-0005-0000-0000-0000AE3D0000}"/>
    <cellStyle name="Standard 4 2 3 4 5 2 4 2" xfId="15604" xr:uid="{00000000-0005-0000-0000-0000AF3D0000}"/>
    <cellStyle name="Standard 4 2 3 4 5 2 5" xfId="15605" xr:uid="{00000000-0005-0000-0000-0000B03D0000}"/>
    <cellStyle name="Standard 4 2 3 4 5 2 6" xfId="15606" xr:uid="{00000000-0005-0000-0000-0000B13D0000}"/>
    <cellStyle name="Standard 4 2 3 4 5 3" xfId="15607" xr:uid="{00000000-0005-0000-0000-0000B23D0000}"/>
    <cellStyle name="Standard 4 2 3 4 5 3 2" xfId="15608" xr:uid="{00000000-0005-0000-0000-0000B33D0000}"/>
    <cellStyle name="Standard 4 2 3 4 5 3 3" xfId="15609" xr:uid="{00000000-0005-0000-0000-0000B43D0000}"/>
    <cellStyle name="Standard 4 2 3 4 5 4" xfId="15610" xr:uid="{00000000-0005-0000-0000-0000B53D0000}"/>
    <cellStyle name="Standard 4 2 3 4 5 4 2" xfId="15611" xr:uid="{00000000-0005-0000-0000-0000B63D0000}"/>
    <cellStyle name="Standard 4 2 3 4 5 4 3" xfId="15612" xr:uid="{00000000-0005-0000-0000-0000B73D0000}"/>
    <cellStyle name="Standard 4 2 3 4 5 5" xfId="15613" xr:uid="{00000000-0005-0000-0000-0000B83D0000}"/>
    <cellStyle name="Standard 4 2 3 4 5 5 2" xfId="15614" xr:uid="{00000000-0005-0000-0000-0000B93D0000}"/>
    <cellStyle name="Standard 4 2 3 4 5 6" xfId="15615" xr:uid="{00000000-0005-0000-0000-0000BA3D0000}"/>
    <cellStyle name="Standard 4 2 3 4 5 7" xfId="15616" xr:uid="{00000000-0005-0000-0000-0000BB3D0000}"/>
    <cellStyle name="Standard 4 2 3 4 6" xfId="15617" xr:uid="{00000000-0005-0000-0000-0000BC3D0000}"/>
    <cellStyle name="Standard 4 2 3 4 6 2" xfId="15618" xr:uid="{00000000-0005-0000-0000-0000BD3D0000}"/>
    <cellStyle name="Standard 4 2 3 4 6 2 2" xfId="15619" xr:uid="{00000000-0005-0000-0000-0000BE3D0000}"/>
    <cellStyle name="Standard 4 2 3 4 6 2 3" xfId="15620" xr:uid="{00000000-0005-0000-0000-0000BF3D0000}"/>
    <cellStyle name="Standard 4 2 3 4 6 3" xfId="15621" xr:uid="{00000000-0005-0000-0000-0000C03D0000}"/>
    <cellStyle name="Standard 4 2 3 4 6 3 2" xfId="15622" xr:uid="{00000000-0005-0000-0000-0000C13D0000}"/>
    <cellStyle name="Standard 4 2 3 4 6 3 3" xfId="15623" xr:uid="{00000000-0005-0000-0000-0000C23D0000}"/>
    <cellStyle name="Standard 4 2 3 4 6 4" xfId="15624" xr:uid="{00000000-0005-0000-0000-0000C33D0000}"/>
    <cellStyle name="Standard 4 2 3 4 6 4 2" xfId="15625" xr:uid="{00000000-0005-0000-0000-0000C43D0000}"/>
    <cellStyle name="Standard 4 2 3 4 6 5" xfId="15626" xr:uid="{00000000-0005-0000-0000-0000C53D0000}"/>
    <cellStyle name="Standard 4 2 3 4 6 6" xfId="15627" xr:uid="{00000000-0005-0000-0000-0000C63D0000}"/>
    <cellStyle name="Standard 4 2 3 4 7" xfId="15628" xr:uid="{00000000-0005-0000-0000-0000C73D0000}"/>
    <cellStyle name="Standard 4 2 3 4 7 2" xfId="15629" xr:uid="{00000000-0005-0000-0000-0000C83D0000}"/>
    <cellStyle name="Standard 4 2 3 4 7 3" xfId="15630" xr:uid="{00000000-0005-0000-0000-0000C93D0000}"/>
    <cellStyle name="Standard 4 2 3 4 8" xfId="15631" xr:uid="{00000000-0005-0000-0000-0000CA3D0000}"/>
    <cellStyle name="Standard 4 2 3 4 8 2" xfId="15632" xr:uid="{00000000-0005-0000-0000-0000CB3D0000}"/>
    <cellStyle name="Standard 4 2 3 4 8 3" xfId="15633" xr:uid="{00000000-0005-0000-0000-0000CC3D0000}"/>
    <cellStyle name="Standard 4 2 3 4 9" xfId="15634" xr:uid="{00000000-0005-0000-0000-0000CD3D0000}"/>
    <cellStyle name="Standard 4 2 3 4 9 2" xfId="15635" xr:uid="{00000000-0005-0000-0000-0000CE3D0000}"/>
    <cellStyle name="Standard 4 2 3 5" xfId="15636" xr:uid="{00000000-0005-0000-0000-0000CF3D0000}"/>
    <cellStyle name="Standard 4 2 3 5 10" xfId="15637" xr:uid="{00000000-0005-0000-0000-0000D03D0000}"/>
    <cellStyle name="Standard 4 2 3 5 2" xfId="15638" xr:uid="{00000000-0005-0000-0000-0000D13D0000}"/>
    <cellStyle name="Standard 4 2 3 5 2 2" xfId="15639" xr:uid="{00000000-0005-0000-0000-0000D23D0000}"/>
    <cellStyle name="Standard 4 2 3 5 2 2 2" xfId="15640" xr:uid="{00000000-0005-0000-0000-0000D33D0000}"/>
    <cellStyle name="Standard 4 2 3 5 2 2 2 2" xfId="15641" xr:uid="{00000000-0005-0000-0000-0000D43D0000}"/>
    <cellStyle name="Standard 4 2 3 5 2 2 2 2 2" xfId="15642" xr:uid="{00000000-0005-0000-0000-0000D53D0000}"/>
    <cellStyle name="Standard 4 2 3 5 2 2 2 2 3" xfId="15643" xr:uid="{00000000-0005-0000-0000-0000D63D0000}"/>
    <cellStyle name="Standard 4 2 3 5 2 2 2 3" xfId="15644" xr:uid="{00000000-0005-0000-0000-0000D73D0000}"/>
    <cellStyle name="Standard 4 2 3 5 2 2 2 3 2" xfId="15645" xr:uid="{00000000-0005-0000-0000-0000D83D0000}"/>
    <cellStyle name="Standard 4 2 3 5 2 2 2 3 3" xfId="15646" xr:uid="{00000000-0005-0000-0000-0000D93D0000}"/>
    <cellStyle name="Standard 4 2 3 5 2 2 2 4" xfId="15647" xr:uid="{00000000-0005-0000-0000-0000DA3D0000}"/>
    <cellStyle name="Standard 4 2 3 5 2 2 2 4 2" xfId="15648" xr:uid="{00000000-0005-0000-0000-0000DB3D0000}"/>
    <cellStyle name="Standard 4 2 3 5 2 2 2 5" xfId="15649" xr:uid="{00000000-0005-0000-0000-0000DC3D0000}"/>
    <cellStyle name="Standard 4 2 3 5 2 2 2 6" xfId="15650" xr:uid="{00000000-0005-0000-0000-0000DD3D0000}"/>
    <cellStyle name="Standard 4 2 3 5 2 2 3" xfId="15651" xr:uid="{00000000-0005-0000-0000-0000DE3D0000}"/>
    <cellStyle name="Standard 4 2 3 5 2 2 3 2" xfId="15652" xr:uid="{00000000-0005-0000-0000-0000DF3D0000}"/>
    <cellStyle name="Standard 4 2 3 5 2 2 3 3" xfId="15653" xr:uid="{00000000-0005-0000-0000-0000E03D0000}"/>
    <cellStyle name="Standard 4 2 3 5 2 2 4" xfId="15654" xr:uid="{00000000-0005-0000-0000-0000E13D0000}"/>
    <cellStyle name="Standard 4 2 3 5 2 2 4 2" xfId="15655" xr:uid="{00000000-0005-0000-0000-0000E23D0000}"/>
    <cellStyle name="Standard 4 2 3 5 2 2 4 3" xfId="15656" xr:uid="{00000000-0005-0000-0000-0000E33D0000}"/>
    <cellStyle name="Standard 4 2 3 5 2 2 5" xfId="15657" xr:uid="{00000000-0005-0000-0000-0000E43D0000}"/>
    <cellStyle name="Standard 4 2 3 5 2 2 5 2" xfId="15658" xr:uid="{00000000-0005-0000-0000-0000E53D0000}"/>
    <cellStyle name="Standard 4 2 3 5 2 2 6" xfId="15659" xr:uid="{00000000-0005-0000-0000-0000E63D0000}"/>
    <cellStyle name="Standard 4 2 3 5 2 2 7" xfId="15660" xr:uid="{00000000-0005-0000-0000-0000E73D0000}"/>
    <cellStyle name="Standard 4 2 3 5 2 3" xfId="15661" xr:uid="{00000000-0005-0000-0000-0000E83D0000}"/>
    <cellStyle name="Standard 4 2 3 5 2 3 2" xfId="15662" xr:uid="{00000000-0005-0000-0000-0000E93D0000}"/>
    <cellStyle name="Standard 4 2 3 5 2 3 2 2" xfId="15663" xr:uid="{00000000-0005-0000-0000-0000EA3D0000}"/>
    <cellStyle name="Standard 4 2 3 5 2 3 2 3" xfId="15664" xr:uid="{00000000-0005-0000-0000-0000EB3D0000}"/>
    <cellStyle name="Standard 4 2 3 5 2 3 3" xfId="15665" xr:uid="{00000000-0005-0000-0000-0000EC3D0000}"/>
    <cellStyle name="Standard 4 2 3 5 2 3 3 2" xfId="15666" xr:uid="{00000000-0005-0000-0000-0000ED3D0000}"/>
    <cellStyle name="Standard 4 2 3 5 2 3 3 3" xfId="15667" xr:uid="{00000000-0005-0000-0000-0000EE3D0000}"/>
    <cellStyle name="Standard 4 2 3 5 2 3 4" xfId="15668" xr:uid="{00000000-0005-0000-0000-0000EF3D0000}"/>
    <cellStyle name="Standard 4 2 3 5 2 3 4 2" xfId="15669" xr:uid="{00000000-0005-0000-0000-0000F03D0000}"/>
    <cellStyle name="Standard 4 2 3 5 2 3 5" xfId="15670" xr:uid="{00000000-0005-0000-0000-0000F13D0000}"/>
    <cellStyle name="Standard 4 2 3 5 2 3 6" xfId="15671" xr:uid="{00000000-0005-0000-0000-0000F23D0000}"/>
    <cellStyle name="Standard 4 2 3 5 2 4" xfId="15672" xr:uid="{00000000-0005-0000-0000-0000F33D0000}"/>
    <cellStyle name="Standard 4 2 3 5 2 4 2" xfId="15673" xr:uid="{00000000-0005-0000-0000-0000F43D0000}"/>
    <cellStyle name="Standard 4 2 3 5 2 4 3" xfId="15674" xr:uid="{00000000-0005-0000-0000-0000F53D0000}"/>
    <cellStyle name="Standard 4 2 3 5 2 5" xfId="15675" xr:uid="{00000000-0005-0000-0000-0000F63D0000}"/>
    <cellStyle name="Standard 4 2 3 5 2 5 2" xfId="15676" xr:uid="{00000000-0005-0000-0000-0000F73D0000}"/>
    <cellStyle name="Standard 4 2 3 5 2 5 3" xfId="15677" xr:uid="{00000000-0005-0000-0000-0000F83D0000}"/>
    <cellStyle name="Standard 4 2 3 5 2 6" xfId="15678" xr:uid="{00000000-0005-0000-0000-0000F93D0000}"/>
    <cellStyle name="Standard 4 2 3 5 2 6 2" xfId="15679" xr:uid="{00000000-0005-0000-0000-0000FA3D0000}"/>
    <cellStyle name="Standard 4 2 3 5 2 7" xfId="15680" xr:uid="{00000000-0005-0000-0000-0000FB3D0000}"/>
    <cellStyle name="Standard 4 2 3 5 2 8" xfId="15681" xr:uid="{00000000-0005-0000-0000-0000FC3D0000}"/>
    <cellStyle name="Standard 4 2 3 5 3" xfId="15682" xr:uid="{00000000-0005-0000-0000-0000FD3D0000}"/>
    <cellStyle name="Standard 4 2 3 5 3 2" xfId="15683" xr:uid="{00000000-0005-0000-0000-0000FE3D0000}"/>
    <cellStyle name="Standard 4 2 3 5 3 2 2" xfId="15684" xr:uid="{00000000-0005-0000-0000-0000FF3D0000}"/>
    <cellStyle name="Standard 4 2 3 5 3 2 2 2" xfId="15685" xr:uid="{00000000-0005-0000-0000-0000003E0000}"/>
    <cellStyle name="Standard 4 2 3 5 3 2 2 2 2" xfId="15686" xr:uid="{00000000-0005-0000-0000-0000013E0000}"/>
    <cellStyle name="Standard 4 2 3 5 3 2 2 2 3" xfId="15687" xr:uid="{00000000-0005-0000-0000-0000023E0000}"/>
    <cellStyle name="Standard 4 2 3 5 3 2 2 3" xfId="15688" xr:uid="{00000000-0005-0000-0000-0000033E0000}"/>
    <cellStyle name="Standard 4 2 3 5 3 2 2 3 2" xfId="15689" xr:uid="{00000000-0005-0000-0000-0000043E0000}"/>
    <cellStyle name="Standard 4 2 3 5 3 2 2 3 3" xfId="15690" xr:uid="{00000000-0005-0000-0000-0000053E0000}"/>
    <cellStyle name="Standard 4 2 3 5 3 2 2 4" xfId="15691" xr:uid="{00000000-0005-0000-0000-0000063E0000}"/>
    <cellStyle name="Standard 4 2 3 5 3 2 2 4 2" xfId="15692" xr:uid="{00000000-0005-0000-0000-0000073E0000}"/>
    <cellStyle name="Standard 4 2 3 5 3 2 2 5" xfId="15693" xr:uid="{00000000-0005-0000-0000-0000083E0000}"/>
    <cellStyle name="Standard 4 2 3 5 3 2 2 6" xfId="15694" xr:uid="{00000000-0005-0000-0000-0000093E0000}"/>
    <cellStyle name="Standard 4 2 3 5 3 2 3" xfId="15695" xr:uid="{00000000-0005-0000-0000-00000A3E0000}"/>
    <cellStyle name="Standard 4 2 3 5 3 2 3 2" xfId="15696" xr:uid="{00000000-0005-0000-0000-00000B3E0000}"/>
    <cellStyle name="Standard 4 2 3 5 3 2 3 3" xfId="15697" xr:uid="{00000000-0005-0000-0000-00000C3E0000}"/>
    <cellStyle name="Standard 4 2 3 5 3 2 4" xfId="15698" xr:uid="{00000000-0005-0000-0000-00000D3E0000}"/>
    <cellStyle name="Standard 4 2 3 5 3 2 4 2" xfId="15699" xr:uid="{00000000-0005-0000-0000-00000E3E0000}"/>
    <cellStyle name="Standard 4 2 3 5 3 2 4 3" xfId="15700" xr:uid="{00000000-0005-0000-0000-00000F3E0000}"/>
    <cellStyle name="Standard 4 2 3 5 3 2 5" xfId="15701" xr:uid="{00000000-0005-0000-0000-0000103E0000}"/>
    <cellStyle name="Standard 4 2 3 5 3 2 5 2" xfId="15702" xr:uid="{00000000-0005-0000-0000-0000113E0000}"/>
    <cellStyle name="Standard 4 2 3 5 3 2 6" xfId="15703" xr:uid="{00000000-0005-0000-0000-0000123E0000}"/>
    <cellStyle name="Standard 4 2 3 5 3 2 7" xfId="15704" xr:uid="{00000000-0005-0000-0000-0000133E0000}"/>
    <cellStyle name="Standard 4 2 3 5 3 3" xfId="15705" xr:uid="{00000000-0005-0000-0000-0000143E0000}"/>
    <cellStyle name="Standard 4 2 3 5 3 3 2" xfId="15706" xr:uid="{00000000-0005-0000-0000-0000153E0000}"/>
    <cellStyle name="Standard 4 2 3 5 3 3 2 2" xfId="15707" xr:uid="{00000000-0005-0000-0000-0000163E0000}"/>
    <cellStyle name="Standard 4 2 3 5 3 3 2 3" xfId="15708" xr:uid="{00000000-0005-0000-0000-0000173E0000}"/>
    <cellStyle name="Standard 4 2 3 5 3 3 3" xfId="15709" xr:uid="{00000000-0005-0000-0000-0000183E0000}"/>
    <cellStyle name="Standard 4 2 3 5 3 3 3 2" xfId="15710" xr:uid="{00000000-0005-0000-0000-0000193E0000}"/>
    <cellStyle name="Standard 4 2 3 5 3 3 3 3" xfId="15711" xr:uid="{00000000-0005-0000-0000-00001A3E0000}"/>
    <cellStyle name="Standard 4 2 3 5 3 3 4" xfId="15712" xr:uid="{00000000-0005-0000-0000-00001B3E0000}"/>
    <cellStyle name="Standard 4 2 3 5 3 3 4 2" xfId="15713" xr:uid="{00000000-0005-0000-0000-00001C3E0000}"/>
    <cellStyle name="Standard 4 2 3 5 3 3 5" xfId="15714" xr:uid="{00000000-0005-0000-0000-00001D3E0000}"/>
    <cellStyle name="Standard 4 2 3 5 3 3 6" xfId="15715" xr:uid="{00000000-0005-0000-0000-00001E3E0000}"/>
    <cellStyle name="Standard 4 2 3 5 3 4" xfId="15716" xr:uid="{00000000-0005-0000-0000-00001F3E0000}"/>
    <cellStyle name="Standard 4 2 3 5 3 4 2" xfId="15717" xr:uid="{00000000-0005-0000-0000-0000203E0000}"/>
    <cellStyle name="Standard 4 2 3 5 3 4 3" xfId="15718" xr:uid="{00000000-0005-0000-0000-0000213E0000}"/>
    <cellStyle name="Standard 4 2 3 5 3 5" xfId="15719" xr:uid="{00000000-0005-0000-0000-0000223E0000}"/>
    <cellStyle name="Standard 4 2 3 5 3 5 2" xfId="15720" xr:uid="{00000000-0005-0000-0000-0000233E0000}"/>
    <cellStyle name="Standard 4 2 3 5 3 5 3" xfId="15721" xr:uid="{00000000-0005-0000-0000-0000243E0000}"/>
    <cellStyle name="Standard 4 2 3 5 3 6" xfId="15722" xr:uid="{00000000-0005-0000-0000-0000253E0000}"/>
    <cellStyle name="Standard 4 2 3 5 3 6 2" xfId="15723" xr:uid="{00000000-0005-0000-0000-0000263E0000}"/>
    <cellStyle name="Standard 4 2 3 5 3 7" xfId="15724" xr:uid="{00000000-0005-0000-0000-0000273E0000}"/>
    <cellStyle name="Standard 4 2 3 5 3 8" xfId="15725" xr:uid="{00000000-0005-0000-0000-0000283E0000}"/>
    <cellStyle name="Standard 4 2 3 5 4" xfId="15726" xr:uid="{00000000-0005-0000-0000-0000293E0000}"/>
    <cellStyle name="Standard 4 2 3 5 4 2" xfId="15727" xr:uid="{00000000-0005-0000-0000-00002A3E0000}"/>
    <cellStyle name="Standard 4 2 3 5 4 2 2" xfId="15728" xr:uid="{00000000-0005-0000-0000-00002B3E0000}"/>
    <cellStyle name="Standard 4 2 3 5 4 2 2 2" xfId="15729" xr:uid="{00000000-0005-0000-0000-00002C3E0000}"/>
    <cellStyle name="Standard 4 2 3 5 4 2 2 3" xfId="15730" xr:uid="{00000000-0005-0000-0000-00002D3E0000}"/>
    <cellStyle name="Standard 4 2 3 5 4 2 3" xfId="15731" xr:uid="{00000000-0005-0000-0000-00002E3E0000}"/>
    <cellStyle name="Standard 4 2 3 5 4 2 3 2" xfId="15732" xr:uid="{00000000-0005-0000-0000-00002F3E0000}"/>
    <cellStyle name="Standard 4 2 3 5 4 2 3 3" xfId="15733" xr:uid="{00000000-0005-0000-0000-0000303E0000}"/>
    <cellStyle name="Standard 4 2 3 5 4 2 4" xfId="15734" xr:uid="{00000000-0005-0000-0000-0000313E0000}"/>
    <cellStyle name="Standard 4 2 3 5 4 2 4 2" xfId="15735" xr:uid="{00000000-0005-0000-0000-0000323E0000}"/>
    <cellStyle name="Standard 4 2 3 5 4 2 5" xfId="15736" xr:uid="{00000000-0005-0000-0000-0000333E0000}"/>
    <cellStyle name="Standard 4 2 3 5 4 2 6" xfId="15737" xr:uid="{00000000-0005-0000-0000-0000343E0000}"/>
    <cellStyle name="Standard 4 2 3 5 4 3" xfId="15738" xr:uid="{00000000-0005-0000-0000-0000353E0000}"/>
    <cellStyle name="Standard 4 2 3 5 4 3 2" xfId="15739" xr:uid="{00000000-0005-0000-0000-0000363E0000}"/>
    <cellStyle name="Standard 4 2 3 5 4 3 3" xfId="15740" xr:uid="{00000000-0005-0000-0000-0000373E0000}"/>
    <cellStyle name="Standard 4 2 3 5 4 4" xfId="15741" xr:uid="{00000000-0005-0000-0000-0000383E0000}"/>
    <cellStyle name="Standard 4 2 3 5 4 4 2" xfId="15742" xr:uid="{00000000-0005-0000-0000-0000393E0000}"/>
    <cellStyle name="Standard 4 2 3 5 4 4 3" xfId="15743" xr:uid="{00000000-0005-0000-0000-00003A3E0000}"/>
    <cellStyle name="Standard 4 2 3 5 4 5" xfId="15744" xr:uid="{00000000-0005-0000-0000-00003B3E0000}"/>
    <cellStyle name="Standard 4 2 3 5 4 5 2" xfId="15745" xr:uid="{00000000-0005-0000-0000-00003C3E0000}"/>
    <cellStyle name="Standard 4 2 3 5 4 6" xfId="15746" xr:uid="{00000000-0005-0000-0000-00003D3E0000}"/>
    <cellStyle name="Standard 4 2 3 5 4 7" xfId="15747" xr:uid="{00000000-0005-0000-0000-00003E3E0000}"/>
    <cellStyle name="Standard 4 2 3 5 5" xfId="15748" xr:uid="{00000000-0005-0000-0000-00003F3E0000}"/>
    <cellStyle name="Standard 4 2 3 5 5 2" xfId="15749" xr:uid="{00000000-0005-0000-0000-0000403E0000}"/>
    <cellStyle name="Standard 4 2 3 5 5 2 2" xfId="15750" xr:uid="{00000000-0005-0000-0000-0000413E0000}"/>
    <cellStyle name="Standard 4 2 3 5 5 2 3" xfId="15751" xr:uid="{00000000-0005-0000-0000-0000423E0000}"/>
    <cellStyle name="Standard 4 2 3 5 5 3" xfId="15752" xr:uid="{00000000-0005-0000-0000-0000433E0000}"/>
    <cellStyle name="Standard 4 2 3 5 5 3 2" xfId="15753" xr:uid="{00000000-0005-0000-0000-0000443E0000}"/>
    <cellStyle name="Standard 4 2 3 5 5 3 3" xfId="15754" xr:uid="{00000000-0005-0000-0000-0000453E0000}"/>
    <cellStyle name="Standard 4 2 3 5 5 4" xfId="15755" xr:uid="{00000000-0005-0000-0000-0000463E0000}"/>
    <cellStyle name="Standard 4 2 3 5 5 4 2" xfId="15756" xr:uid="{00000000-0005-0000-0000-0000473E0000}"/>
    <cellStyle name="Standard 4 2 3 5 5 5" xfId="15757" xr:uid="{00000000-0005-0000-0000-0000483E0000}"/>
    <cellStyle name="Standard 4 2 3 5 5 6" xfId="15758" xr:uid="{00000000-0005-0000-0000-0000493E0000}"/>
    <cellStyle name="Standard 4 2 3 5 6" xfId="15759" xr:uid="{00000000-0005-0000-0000-00004A3E0000}"/>
    <cellStyle name="Standard 4 2 3 5 6 2" xfId="15760" xr:uid="{00000000-0005-0000-0000-00004B3E0000}"/>
    <cellStyle name="Standard 4 2 3 5 6 3" xfId="15761" xr:uid="{00000000-0005-0000-0000-00004C3E0000}"/>
    <cellStyle name="Standard 4 2 3 5 7" xfId="15762" xr:uid="{00000000-0005-0000-0000-00004D3E0000}"/>
    <cellStyle name="Standard 4 2 3 5 7 2" xfId="15763" xr:uid="{00000000-0005-0000-0000-00004E3E0000}"/>
    <cellStyle name="Standard 4 2 3 5 7 3" xfId="15764" xr:uid="{00000000-0005-0000-0000-00004F3E0000}"/>
    <cellStyle name="Standard 4 2 3 5 8" xfId="15765" xr:uid="{00000000-0005-0000-0000-0000503E0000}"/>
    <cellStyle name="Standard 4 2 3 5 8 2" xfId="15766" xr:uid="{00000000-0005-0000-0000-0000513E0000}"/>
    <cellStyle name="Standard 4 2 3 5 9" xfId="15767" xr:uid="{00000000-0005-0000-0000-0000523E0000}"/>
    <cellStyle name="Standard 4 2 3 6" xfId="15768" xr:uid="{00000000-0005-0000-0000-0000533E0000}"/>
    <cellStyle name="Standard 4 2 3 6 2" xfId="15769" xr:uid="{00000000-0005-0000-0000-0000543E0000}"/>
    <cellStyle name="Standard 4 2 3 6 2 2" xfId="15770" xr:uid="{00000000-0005-0000-0000-0000553E0000}"/>
    <cellStyle name="Standard 4 2 3 6 2 2 2" xfId="15771" xr:uid="{00000000-0005-0000-0000-0000563E0000}"/>
    <cellStyle name="Standard 4 2 3 6 2 2 2 2" xfId="15772" xr:uid="{00000000-0005-0000-0000-0000573E0000}"/>
    <cellStyle name="Standard 4 2 3 6 2 2 2 3" xfId="15773" xr:uid="{00000000-0005-0000-0000-0000583E0000}"/>
    <cellStyle name="Standard 4 2 3 6 2 2 3" xfId="15774" xr:uid="{00000000-0005-0000-0000-0000593E0000}"/>
    <cellStyle name="Standard 4 2 3 6 2 2 3 2" xfId="15775" xr:uid="{00000000-0005-0000-0000-00005A3E0000}"/>
    <cellStyle name="Standard 4 2 3 6 2 2 3 3" xfId="15776" xr:uid="{00000000-0005-0000-0000-00005B3E0000}"/>
    <cellStyle name="Standard 4 2 3 6 2 2 4" xfId="15777" xr:uid="{00000000-0005-0000-0000-00005C3E0000}"/>
    <cellStyle name="Standard 4 2 3 6 2 2 4 2" xfId="15778" xr:uid="{00000000-0005-0000-0000-00005D3E0000}"/>
    <cellStyle name="Standard 4 2 3 6 2 2 5" xfId="15779" xr:uid="{00000000-0005-0000-0000-00005E3E0000}"/>
    <cellStyle name="Standard 4 2 3 6 2 2 6" xfId="15780" xr:uid="{00000000-0005-0000-0000-00005F3E0000}"/>
    <cellStyle name="Standard 4 2 3 6 2 3" xfId="15781" xr:uid="{00000000-0005-0000-0000-0000603E0000}"/>
    <cellStyle name="Standard 4 2 3 6 2 3 2" xfId="15782" xr:uid="{00000000-0005-0000-0000-0000613E0000}"/>
    <cellStyle name="Standard 4 2 3 6 2 3 3" xfId="15783" xr:uid="{00000000-0005-0000-0000-0000623E0000}"/>
    <cellStyle name="Standard 4 2 3 6 2 4" xfId="15784" xr:uid="{00000000-0005-0000-0000-0000633E0000}"/>
    <cellStyle name="Standard 4 2 3 6 2 4 2" xfId="15785" xr:uid="{00000000-0005-0000-0000-0000643E0000}"/>
    <cellStyle name="Standard 4 2 3 6 2 4 3" xfId="15786" xr:uid="{00000000-0005-0000-0000-0000653E0000}"/>
    <cellStyle name="Standard 4 2 3 6 2 5" xfId="15787" xr:uid="{00000000-0005-0000-0000-0000663E0000}"/>
    <cellStyle name="Standard 4 2 3 6 2 5 2" xfId="15788" xr:uid="{00000000-0005-0000-0000-0000673E0000}"/>
    <cellStyle name="Standard 4 2 3 6 2 6" xfId="15789" xr:uid="{00000000-0005-0000-0000-0000683E0000}"/>
    <cellStyle name="Standard 4 2 3 6 2 7" xfId="15790" xr:uid="{00000000-0005-0000-0000-0000693E0000}"/>
    <cellStyle name="Standard 4 2 3 6 3" xfId="15791" xr:uid="{00000000-0005-0000-0000-00006A3E0000}"/>
    <cellStyle name="Standard 4 2 3 6 3 2" xfId="15792" xr:uid="{00000000-0005-0000-0000-00006B3E0000}"/>
    <cellStyle name="Standard 4 2 3 6 3 2 2" xfId="15793" xr:uid="{00000000-0005-0000-0000-00006C3E0000}"/>
    <cellStyle name="Standard 4 2 3 6 3 2 3" xfId="15794" xr:uid="{00000000-0005-0000-0000-00006D3E0000}"/>
    <cellStyle name="Standard 4 2 3 6 3 3" xfId="15795" xr:uid="{00000000-0005-0000-0000-00006E3E0000}"/>
    <cellStyle name="Standard 4 2 3 6 3 3 2" xfId="15796" xr:uid="{00000000-0005-0000-0000-00006F3E0000}"/>
    <cellStyle name="Standard 4 2 3 6 3 3 3" xfId="15797" xr:uid="{00000000-0005-0000-0000-0000703E0000}"/>
    <cellStyle name="Standard 4 2 3 6 3 4" xfId="15798" xr:uid="{00000000-0005-0000-0000-0000713E0000}"/>
    <cellStyle name="Standard 4 2 3 6 3 4 2" xfId="15799" xr:uid="{00000000-0005-0000-0000-0000723E0000}"/>
    <cellStyle name="Standard 4 2 3 6 3 5" xfId="15800" xr:uid="{00000000-0005-0000-0000-0000733E0000}"/>
    <cellStyle name="Standard 4 2 3 6 3 6" xfId="15801" xr:uid="{00000000-0005-0000-0000-0000743E0000}"/>
    <cellStyle name="Standard 4 2 3 6 4" xfId="15802" xr:uid="{00000000-0005-0000-0000-0000753E0000}"/>
    <cellStyle name="Standard 4 2 3 6 4 2" xfId="15803" xr:uid="{00000000-0005-0000-0000-0000763E0000}"/>
    <cellStyle name="Standard 4 2 3 6 4 3" xfId="15804" xr:uid="{00000000-0005-0000-0000-0000773E0000}"/>
    <cellStyle name="Standard 4 2 3 6 5" xfId="15805" xr:uid="{00000000-0005-0000-0000-0000783E0000}"/>
    <cellStyle name="Standard 4 2 3 6 5 2" xfId="15806" xr:uid="{00000000-0005-0000-0000-0000793E0000}"/>
    <cellStyle name="Standard 4 2 3 6 5 3" xfId="15807" xr:uid="{00000000-0005-0000-0000-00007A3E0000}"/>
    <cellStyle name="Standard 4 2 3 6 6" xfId="15808" xr:uid="{00000000-0005-0000-0000-00007B3E0000}"/>
    <cellStyle name="Standard 4 2 3 6 6 2" xfId="15809" xr:uid="{00000000-0005-0000-0000-00007C3E0000}"/>
    <cellStyle name="Standard 4 2 3 6 7" xfId="15810" xr:uid="{00000000-0005-0000-0000-00007D3E0000}"/>
    <cellStyle name="Standard 4 2 3 6 8" xfId="15811" xr:uid="{00000000-0005-0000-0000-00007E3E0000}"/>
    <cellStyle name="Standard 4 2 3 7" xfId="15812" xr:uid="{00000000-0005-0000-0000-00007F3E0000}"/>
    <cellStyle name="Standard 4 2 3 7 2" xfId="15813" xr:uid="{00000000-0005-0000-0000-0000803E0000}"/>
    <cellStyle name="Standard 4 2 3 7 2 2" xfId="15814" xr:uid="{00000000-0005-0000-0000-0000813E0000}"/>
    <cellStyle name="Standard 4 2 3 7 2 2 2" xfId="15815" xr:uid="{00000000-0005-0000-0000-0000823E0000}"/>
    <cellStyle name="Standard 4 2 3 7 2 2 2 2" xfId="15816" xr:uid="{00000000-0005-0000-0000-0000833E0000}"/>
    <cellStyle name="Standard 4 2 3 7 2 2 2 3" xfId="15817" xr:uid="{00000000-0005-0000-0000-0000843E0000}"/>
    <cellStyle name="Standard 4 2 3 7 2 2 3" xfId="15818" xr:uid="{00000000-0005-0000-0000-0000853E0000}"/>
    <cellStyle name="Standard 4 2 3 7 2 2 3 2" xfId="15819" xr:uid="{00000000-0005-0000-0000-0000863E0000}"/>
    <cellStyle name="Standard 4 2 3 7 2 2 3 3" xfId="15820" xr:uid="{00000000-0005-0000-0000-0000873E0000}"/>
    <cellStyle name="Standard 4 2 3 7 2 2 4" xfId="15821" xr:uid="{00000000-0005-0000-0000-0000883E0000}"/>
    <cellStyle name="Standard 4 2 3 7 2 2 4 2" xfId="15822" xr:uid="{00000000-0005-0000-0000-0000893E0000}"/>
    <cellStyle name="Standard 4 2 3 7 2 2 5" xfId="15823" xr:uid="{00000000-0005-0000-0000-00008A3E0000}"/>
    <cellStyle name="Standard 4 2 3 7 2 2 6" xfId="15824" xr:uid="{00000000-0005-0000-0000-00008B3E0000}"/>
    <cellStyle name="Standard 4 2 3 7 2 3" xfId="15825" xr:uid="{00000000-0005-0000-0000-00008C3E0000}"/>
    <cellStyle name="Standard 4 2 3 7 2 3 2" xfId="15826" xr:uid="{00000000-0005-0000-0000-00008D3E0000}"/>
    <cellStyle name="Standard 4 2 3 7 2 3 3" xfId="15827" xr:uid="{00000000-0005-0000-0000-00008E3E0000}"/>
    <cellStyle name="Standard 4 2 3 7 2 4" xfId="15828" xr:uid="{00000000-0005-0000-0000-00008F3E0000}"/>
    <cellStyle name="Standard 4 2 3 7 2 4 2" xfId="15829" xr:uid="{00000000-0005-0000-0000-0000903E0000}"/>
    <cellStyle name="Standard 4 2 3 7 2 4 3" xfId="15830" xr:uid="{00000000-0005-0000-0000-0000913E0000}"/>
    <cellStyle name="Standard 4 2 3 7 2 5" xfId="15831" xr:uid="{00000000-0005-0000-0000-0000923E0000}"/>
    <cellStyle name="Standard 4 2 3 7 2 5 2" xfId="15832" xr:uid="{00000000-0005-0000-0000-0000933E0000}"/>
    <cellStyle name="Standard 4 2 3 7 2 6" xfId="15833" xr:uid="{00000000-0005-0000-0000-0000943E0000}"/>
    <cellStyle name="Standard 4 2 3 7 2 7" xfId="15834" xr:uid="{00000000-0005-0000-0000-0000953E0000}"/>
    <cellStyle name="Standard 4 2 3 7 3" xfId="15835" xr:uid="{00000000-0005-0000-0000-0000963E0000}"/>
    <cellStyle name="Standard 4 2 3 7 3 2" xfId="15836" xr:uid="{00000000-0005-0000-0000-0000973E0000}"/>
    <cellStyle name="Standard 4 2 3 7 3 2 2" xfId="15837" xr:uid="{00000000-0005-0000-0000-0000983E0000}"/>
    <cellStyle name="Standard 4 2 3 7 3 2 3" xfId="15838" xr:uid="{00000000-0005-0000-0000-0000993E0000}"/>
    <cellStyle name="Standard 4 2 3 7 3 3" xfId="15839" xr:uid="{00000000-0005-0000-0000-00009A3E0000}"/>
    <cellStyle name="Standard 4 2 3 7 3 3 2" xfId="15840" xr:uid="{00000000-0005-0000-0000-00009B3E0000}"/>
    <cellStyle name="Standard 4 2 3 7 3 3 3" xfId="15841" xr:uid="{00000000-0005-0000-0000-00009C3E0000}"/>
    <cellStyle name="Standard 4 2 3 7 3 4" xfId="15842" xr:uid="{00000000-0005-0000-0000-00009D3E0000}"/>
    <cellStyle name="Standard 4 2 3 7 3 4 2" xfId="15843" xr:uid="{00000000-0005-0000-0000-00009E3E0000}"/>
    <cellStyle name="Standard 4 2 3 7 3 5" xfId="15844" xr:uid="{00000000-0005-0000-0000-00009F3E0000}"/>
    <cellStyle name="Standard 4 2 3 7 3 6" xfId="15845" xr:uid="{00000000-0005-0000-0000-0000A03E0000}"/>
    <cellStyle name="Standard 4 2 3 7 4" xfId="15846" xr:uid="{00000000-0005-0000-0000-0000A13E0000}"/>
    <cellStyle name="Standard 4 2 3 7 4 2" xfId="15847" xr:uid="{00000000-0005-0000-0000-0000A23E0000}"/>
    <cellStyle name="Standard 4 2 3 7 4 3" xfId="15848" xr:uid="{00000000-0005-0000-0000-0000A33E0000}"/>
    <cellStyle name="Standard 4 2 3 7 5" xfId="15849" xr:uid="{00000000-0005-0000-0000-0000A43E0000}"/>
    <cellStyle name="Standard 4 2 3 7 5 2" xfId="15850" xr:uid="{00000000-0005-0000-0000-0000A53E0000}"/>
    <cellStyle name="Standard 4 2 3 7 5 3" xfId="15851" xr:uid="{00000000-0005-0000-0000-0000A63E0000}"/>
    <cellStyle name="Standard 4 2 3 7 6" xfId="15852" xr:uid="{00000000-0005-0000-0000-0000A73E0000}"/>
    <cellStyle name="Standard 4 2 3 7 6 2" xfId="15853" xr:uid="{00000000-0005-0000-0000-0000A83E0000}"/>
    <cellStyle name="Standard 4 2 3 7 7" xfId="15854" xr:uid="{00000000-0005-0000-0000-0000A93E0000}"/>
    <cellStyle name="Standard 4 2 3 7 8" xfId="15855" xr:uid="{00000000-0005-0000-0000-0000AA3E0000}"/>
    <cellStyle name="Standard 4 2 3 8" xfId="15856" xr:uid="{00000000-0005-0000-0000-0000AB3E0000}"/>
    <cellStyle name="Standard 4 2 3 8 2" xfId="15857" xr:uid="{00000000-0005-0000-0000-0000AC3E0000}"/>
    <cellStyle name="Standard 4 2 3 8 2 2" xfId="15858" xr:uid="{00000000-0005-0000-0000-0000AD3E0000}"/>
    <cellStyle name="Standard 4 2 3 8 2 2 2" xfId="15859" xr:uid="{00000000-0005-0000-0000-0000AE3E0000}"/>
    <cellStyle name="Standard 4 2 3 8 2 2 3" xfId="15860" xr:uid="{00000000-0005-0000-0000-0000AF3E0000}"/>
    <cellStyle name="Standard 4 2 3 8 2 3" xfId="15861" xr:uid="{00000000-0005-0000-0000-0000B03E0000}"/>
    <cellStyle name="Standard 4 2 3 8 2 3 2" xfId="15862" xr:uid="{00000000-0005-0000-0000-0000B13E0000}"/>
    <cellStyle name="Standard 4 2 3 8 2 3 3" xfId="15863" xr:uid="{00000000-0005-0000-0000-0000B23E0000}"/>
    <cellStyle name="Standard 4 2 3 8 2 4" xfId="15864" xr:uid="{00000000-0005-0000-0000-0000B33E0000}"/>
    <cellStyle name="Standard 4 2 3 8 2 4 2" xfId="15865" xr:uid="{00000000-0005-0000-0000-0000B43E0000}"/>
    <cellStyle name="Standard 4 2 3 8 2 5" xfId="15866" xr:uid="{00000000-0005-0000-0000-0000B53E0000}"/>
    <cellStyle name="Standard 4 2 3 8 2 6" xfId="15867" xr:uid="{00000000-0005-0000-0000-0000B63E0000}"/>
    <cellStyle name="Standard 4 2 3 8 3" xfId="15868" xr:uid="{00000000-0005-0000-0000-0000B73E0000}"/>
    <cellStyle name="Standard 4 2 3 8 3 2" xfId="15869" xr:uid="{00000000-0005-0000-0000-0000B83E0000}"/>
    <cellStyle name="Standard 4 2 3 8 3 3" xfId="15870" xr:uid="{00000000-0005-0000-0000-0000B93E0000}"/>
    <cellStyle name="Standard 4 2 3 8 4" xfId="15871" xr:uid="{00000000-0005-0000-0000-0000BA3E0000}"/>
    <cellStyle name="Standard 4 2 3 8 4 2" xfId="15872" xr:uid="{00000000-0005-0000-0000-0000BB3E0000}"/>
    <cellStyle name="Standard 4 2 3 8 4 3" xfId="15873" xr:uid="{00000000-0005-0000-0000-0000BC3E0000}"/>
    <cellStyle name="Standard 4 2 3 8 5" xfId="15874" xr:uid="{00000000-0005-0000-0000-0000BD3E0000}"/>
    <cellStyle name="Standard 4 2 3 8 5 2" xfId="15875" xr:uid="{00000000-0005-0000-0000-0000BE3E0000}"/>
    <cellStyle name="Standard 4 2 3 8 6" xfId="15876" xr:uid="{00000000-0005-0000-0000-0000BF3E0000}"/>
    <cellStyle name="Standard 4 2 3 8 7" xfId="15877" xr:uid="{00000000-0005-0000-0000-0000C03E0000}"/>
    <cellStyle name="Standard 4 2 3 9" xfId="15878" xr:uid="{00000000-0005-0000-0000-0000C13E0000}"/>
    <cellStyle name="Standard 4 2 3 9 2" xfId="15879" xr:uid="{00000000-0005-0000-0000-0000C23E0000}"/>
    <cellStyle name="Standard 4 2 3 9 2 2" xfId="15880" xr:uid="{00000000-0005-0000-0000-0000C33E0000}"/>
    <cellStyle name="Standard 4 2 3 9 2 3" xfId="15881" xr:uid="{00000000-0005-0000-0000-0000C43E0000}"/>
    <cellStyle name="Standard 4 2 3 9 3" xfId="15882" xr:uid="{00000000-0005-0000-0000-0000C53E0000}"/>
    <cellStyle name="Standard 4 2 3 9 3 2" xfId="15883" xr:uid="{00000000-0005-0000-0000-0000C63E0000}"/>
    <cellStyle name="Standard 4 2 3 9 3 3" xfId="15884" xr:uid="{00000000-0005-0000-0000-0000C73E0000}"/>
    <cellStyle name="Standard 4 2 3 9 4" xfId="15885" xr:uid="{00000000-0005-0000-0000-0000C83E0000}"/>
    <cellStyle name="Standard 4 2 3 9 4 2" xfId="15886" xr:uid="{00000000-0005-0000-0000-0000C93E0000}"/>
    <cellStyle name="Standard 4 2 3 9 5" xfId="15887" xr:uid="{00000000-0005-0000-0000-0000CA3E0000}"/>
    <cellStyle name="Standard 4 2 3 9 6" xfId="15888" xr:uid="{00000000-0005-0000-0000-0000CB3E0000}"/>
    <cellStyle name="Standard 4 2 4" xfId="15889" xr:uid="{00000000-0005-0000-0000-0000CC3E0000}"/>
    <cellStyle name="Standard 4 2 4 10" xfId="15890" xr:uid="{00000000-0005-0000-0000-0000CD3E0000}"/>
    <cellStyle name="Standard 4 2 4 10 2" xfId="15891" xr:uid="{00000000-0005-0000-0000-0000CE3E0000}"/>
    <cellStyle name="Standard 4 2 4 10 3" xfId="15892" xr:uid="{00000000-0005-0000-0000-0000CF3E0000}"/>
    <cellStyle name="Standard 4 2 4 11" xfId="15893" xr:uid="{00000000-0005-0000-0000-0000D03E0000}"/>
    <cellStyle name="Standard 4 2 4 11 2" xfId="15894" xr:uid="{00000000-0005-0000-0000-0000D13E0000}"/>
    <cellStyle name="Standard 4 2 4 12" xfId="15895" xr:uid="{00000000-0005-0000-0000-0000D23E0000}"/>
    <cellStyle name="Standard 4 2 4 13" xfId="15896" xr:uid="{00000000-0005-0000-0000-0000D33E0000}"/>
    <cellStyle name="Standard 4 2 4 2" xfId="15897" xr:uid="{00000000-0005-0000-0000-0000D43E0000}"/>
    <cellStyle name="Standard 4 2 4 2 10" xfId="15898" xr:uid="{00000000-0005-0000-0000-0000D53E0000}"/>
    <cellStyle name="Standard 4 2 4 2 11" xfId="15899" xr:uid="{00000000-0005-0000-0000-0000D63E0000}"/>
    <cellStyle name="Standard 4 2 4 2 2" xfId="15900" xr:uid="{00000000-0005-0000-0000-0000D73E0000}"/>
    <cellStyle name="Standard 4 2 4 2 2 10" xfId="15901" xr:uid="{00000000-0005-0000-0000-0000D83E0000}"/>
    <cellStyle name="Standard 4 2 4 2 2 2" xfId="15902" xr:uid="{00000000-0005-0000-0000-0000D93E0000}"/>
    <cellStyle name="Standard 4 2 4 2 2 2 2" xfId="15903" xr:uid="{00000000-0005-0000-0000-0000DA3E0000}"/>
    <cellStyle name="Standard 4 2 4 2 2 2 2 2" xfId="15904" xr:uid="{00000000-0005-0000-0000-0000DB3E0000}"/>
    <cellStyle name="Standard 4 2 4 2 2 2 2 2 2" xfId="15905" xr:uid="{00000000-0005-0000-0000-0000DC3E0000}"/>
    <cellStyle name="Standard 4 2 4 2 2 2 2 2 2 2" xfId="15906" xr:uid="{00000000-0005-0000-0000-0000DD3E0000}"/>
    <cellStyle name="Standard 4 2 4 2 2 2 2 2 2 3" xfId="15907" xr:uid="{00000000-0005-0000-0000-0000DE3E0000}"/>
    <cellStyle name="Standard 4 2 4 2 2 2 2 2 3" xfId="15908" xr:uid="{00000000-0005-0000-0000-0000DF3E0000}"/>
    <cellStyle name="Standard 4 2 4 2 2 2 2 2 3 2" xfId="15909" xr:uid="{00000000-0005-0000-0000-0000E03E0000}"/>
    <cellStyle name="Standard 4 2 4 2 2 2 2 2 3 3" xfId="15910" xr:uid="{00000000-0005-0000-0000-0000E13E0000}"/>
    <cellStyle name="Standard 4 2 4 2 2 2 2 2 4" xfId="15911" xr:uid="{00000000-0005-0000-0000-0000E23E0000}"/>
    <cellStyle name="Standard 4 2 4 2 2 2 2 2 4 2" xfId="15912" xr:uid="{00000000-0005-0000-0000-0000E33E0000}"/>
    <cellStyle name="Standard 4 2 4 2 2 2 2 2 5" xfId="15913" xr:uid="{00000000-0005-0000-0000-0000E43E0000}"/>
    <cellStyle name="Standard 4 2 4 2 2 2 2 2 6" xfId="15914" xr:uid="{00000000-0005-0000-0000-0000E53E0000}"/>
    <cellStyle name="Standard 4 2 4 2 2 2 2 3" xfId="15915" xr:uid="{00000000-0005-0000-0000-0000E63E0000}"/>
    <cellStyle name="Standard 4 2 4 2 2 2 2 3 2" xfId="15916" xr:uid="{00000000-0005-0000-0000-0000E73E0000}"/>
    <cellStyle name="Standard 4 2 4 2 2 2 2 3 3" xfId="15917" xr:uid="{00000000-0005-0000-0000-0000E83E0000}"/>
    <cellStyle name="Standard 4 2 4 2 2 2 2 4" xfId="15918" xr:uid="{00000000-0005-0000-0000-0000E93E0000}"/>
    <cellStyle name="Standard 4 2 4 2 2 2 2 4 2" xfId="15919" xr:uid="{00000000-0005-0000-0000-0000EA3E0000}"/>
    <cellStyle name="Standard 4 2 4 2 2 2 2 4 3" xfId="15920" xr:uid="{00000000-0005-0000-0000-0000EB3E0000}"/>
    <cellStyle name="Standard 4 2 4 2 2 2 2 5" xfId="15921" xr:uid="{00000000-0005-0000-0000-0000EC3E0000}"/>
    <cellStyle name="Standard 4 2 4 2 2 2 2 5 2" xfId="15922" xr:uid="{00000000-0005-0000-0000-0000ED3E0000}"/>
    <cellStyle name="Standard 4 2 4 2 2 2 2 6" xfId="15923" xr:uid="{00000000-0005-0000-0000-0000EE3E0000}"/>
    <cellStyle name="Standard 4 2 4 2 2 2 2 7" xfId="15924" xr:uid="{00000000-0005-0000-0000-0000EF3E0000}"/>
    <cellStyle name="Standard 4 2 4 2 2 2 3" xfId="15925" xr:uid="{00000000-0005-0000-0000-0000F03E0000}"/>
    <cellStyle name="Standard 4 2 4 2 2 2 3 2" xfId="15926" xr:uid="{00000000-0005-0000-0000-0000F13E0000}"/>
    <cellStyle name="Standard 4 2 4 2 2 2 3 2 2" xfId="15927" xr:uid="{00000000-0005-0000-0000-0000F23E0000}"/>
    <cellStyle name="Standard 4 2 4 2 2 2 3 2 3" xfId="15928" xr:uid="{00000000-0005-0000-0000-0000F33E0000}"/>
    <cellStyle name="Standard 4 2 4 2 2 2 3 3" xfId="15929" xr:uid="{00000000-0005-0000-0000-0000F43E0000}"/>
    <cellStyle name="Standard 4 2 4 2 2 2 3 3 2" xfId="15930" xr:uid="{00000000-0005-0000-0000-0000F53E0000}"/>
    <cellStyle name="Standard 4 2 4 2 2 2 3 3 3" xfId="15931" xr:uid="{00000000-0005-0000-0000-0000F63E0000}"/>
    <cellStyle name="Standard 4 2 4 2 2 2 3 4" xfId="15932" xr:uid="{00000000-0005-0000-0000-0000F73E0000}"/>
    <cellStyle name="Standard 4 2 4 2 2 2 3 4 2" xfId="15933" xr:uid="{00000000-0005-0000-0000-0000F83E0000}"/>
    <cellStyle name="Standard 4 2 4 2 2 2 3 5" xfId="15934" xr:uid="{00000000-0005-0000-0000-0000F93E0000}"/>
    <cellStyle name="Standard 4 2 4 2 2 2 3 6" xfId="15935" xr:uid="{00000000-0005-0000-0000-0000FA3E0000}"/>
    <cellStyle name="Standard 4 2 4 2 2 2 4" xfId="15936" xr:uid="{00000000-0005-0000-0000-0000FB3E0000}"/>
    <cellStyle name="Standard 4 2 4 2 2 2 4 2" xfId="15937" xr:uid="{00000000-0005-0000-0000-0000FC3E0000}"/>
    <cellStyle name="Standard 4 2 4 2 2 2 4 3" xfId="15938" xr:uid="{00000000-0005-0000-0000-0000FD3E0000}"/>
    <cellStyle name="Standard 4 2 4 2 2 2 5" xfId="15939" xr:uid="{00000000-0005-0000-0000-0000FE3E0000}"/>
    <cellStyle name="Standard 4 2 4 2 2 2 5 2" xfId="15940" xr:uid="{00000000-0005-0000-0000-0000FF3E0000}"/>
    <cellStyle name="Standard 4 2 4 2 2 2 5 3" xfId="15941" xr:uid="{00000000-0005-0000-0000-0000003F0000}"/>
    <cellStyle name="Standard 4 2 4 2 2 2 6" xfId="15942" xr:uid="{00000000-0005-0000-0000-0000013F0000}"/>
    <cellStyle name="Standard 4 2 4 2 2 2 6 2" xfId="15943" xr:uid="{00000000-0005-0000-0000-0000023F0000}"/>
    <cellStyle name="Standard 4 2 4 2 2 2 7" xfId="15944" xr:uid="{00000000-0005-0000-0000-0000033F0000}"/>
    <cellStyle name="Standard 4 2 4 2 2 2 8" xfId="15945" xr:uid="{00000000-0005-0000-0000-0000043F0000}"/>
    <cellStyle name="Standard 4 2 4 2 2 3" xfId="15946" xr:uid="{00000000-0005-0000-0000-0000053F0000}"/>
    <cellStyle name="Standard 4 2 4 2 2 3 2" xfId="15947" xr:uid="{00000000-0005-0000-0000-0000063F0000}"/>
    <cellStyle name="Standard 4 2 4 2 2 3 2 2" xfId="15948" xr:uid="{00000000-0005-0000-0000-0000073F0000}"/>
    <cellStyle name="Standard 4 2 4 2 2 3 2 2 2" xfId="15949" xr:uid="{00000000-0005-0000-0000-0000083F0000}"/>
    <cellStyle name="Standard 4 2 4 2 2 3 2 2 2 2" xfId="15950" xr:uid="{00000000-0005-0000-0000-0000093F0000}"/>
    <cellStyle name="Standard 4 2 4 2 2 3 2 2 2 3" xfId="15951" xr:uid="{00000000-0005-0000-0000-00000A3F0000}"/>
    <cellStyle name="Standard 4 2 4 2 2 3 2 2 3" xfId="15952" xr:uid="{00000000-0005-0000-0000-00000B3F0000}"/>
    <cellStyle name="Standard 4 2 4 2 2 3 2 2 3 2" xfId="15953" xr:uid="{00000000-0005-0000-0000-00000C3F0000}"/>
    <cellStyle name="Standard 4 2 4 2 2 3 2 2 3 3" xfId="15954" xr:uid="{00000000-0005-0000-0000-00000D3F0000}"/>
    <cellStyle name="Standard 4 2 4 2 2 3 2 2 4" xfId="15955" xr:uid="{00000000-0005-0000-0000-00000E3F0000}"/>
    <cellStyle name="Standard 4 2 4 2 2 3 2 2 4 2" xfId="15956" xr:uid="{00000000-0005-0000-0000-00000F3F0000}"/>
    <cellStyle name="Standard 4 2 4 2 2 3 2 2 5" xfId="15957" xr:uid="{00000000-0005-0000-0000-0000103F0000}"/>
    <cellStyle name="Standard 4 2 4 2 2 3 2 2 6" xfId="15958" xr:uid="{00000000-0005-0000-0000-0000113F0000}"/>
    <cellStyle name="Standard 4 2 4 2 2 3 2 3" xfId="15959" xr:uid="{00000000-0005-0000-0000-0000123F0000}"/>
    <cellStyle name="Standard 4 2 4 2 2 3 2 3 2" xfId="15960" xr:uid="{00000000-0005-0000-0000-0000133F0000}"/>
    <cellStyle name="Standard 4 2 4 2 2 3 2 3 3" xfId="15961" xr:uid="{00000000-0005-0000-0000-0000143F0000}"/>
    <cellStyle name="Standard 4 2 4 2 2 3 2 4" xfId="15962" xr:uid="{00000000-0005-0000-0000-0000153F0000}"/>
    <cellStyle name="Standard 4 2 4 2 2 3 2 4 2" xfId="15963" xr:uid="{00000000-0005-0000-0000-0000163F0000}"/>
    <cellStyle name="Standard 4 2 4 2 2 3 2 4 3" xfId="15964" xr:uid="{00000000-0005-0000-0000-0000173F0000}"/>
    <cellStyle name="Standard 4 2 4 2 2 3 2 5" xfId="15965" xr:uid="{00000000-0005-0000-0000-0000183F0000}"/>
    <cellStyle name="Standard 4 2 4 2 2 3 2 5 2" xfId="15966" xr:uid="{00000000-0005-0000-0000-0000193F0000}"/>
    <cellStyle name="Standard 4 2 4 2 2 3 2 6" xfId="15967" xr:uid="{00000000-0005-0000-0000-00001A3F0000}"/>
    <cellStyle name="Standard 4 2 4 2 2 3 2 7" xfId="15968" xr:uid="{00000000-0005-0000-0000-00001B3F0000}"/>
    <cellStyle name="Standard 4 2 4 2 2 3 3" xfId="15969" xr:uid="{00000000-0005-0000-0000-00001C3F0000}"/>
    <cellStyle name="Standard 4 2 4 2 2 3 3 2" xfId="15970" xr:uid="{00000000-0005-0000-0000-00001D3F0000}"/>
    <cellStyle name="Standard 4 2 4 2 2 3 3 2 2" xfId="15971" xr:uid="{00000000-0005-0000-0000-00001E3F0000}"/>
    <cellStyle name="Standard 4 2 4 2 2 3 3 2 3" xfId="15972" xr:uid="{00000000-0005-0000-0000-00001F3F0000}"/>
    <cellStyle name="Standard 4 2 4 2 2 3 3 3" xfId="15973" xr:uid="{00000000-0005-0000-0000-0000203F0000}"/>
    <cellStyle name="Standard 4 2 4 2 2 3 3 3 2" xfId="15974" xr:uid="{00000000-0005-0000-0000-0000213F0000}"/>
    <cellStyle name="Standard 4 2 4 2 2 3 3 3 3" xfId="15975" xr:uid="{00000000-0005-0000-0000-0000223F0000}"/>
    <cellStyle name="Standard 4 2 4 2 2 3 3 4" xfId="15976" xr:uid="{00000000-0005-0000-0000-0000233F0000}"/>
    <cellStyle name="Standard 4 2 4 2 2 3 3 4 2" xfId="15977" xr:uid="{00000000-0005-0000-0000-0000243F0000}"/>
    <cellStyle name="Standard 4 2 4 2 2 3 3 5" xfId="15978" xr:uid="{00000000-0005-0000-0000-0000253F0000}"/>
    <cellStyle name="Standard 4 2 4 2 2 3 3 6" xfId="15979" xr:uid="{00000000-0005-0000-0000-0000263F0000}"/>
    <cellStyle name="Standard 4 2 4 2 2 3 4" xfId="15980" xr:uid="{00000000-0005-0000-0000-0000273F0000}"/>
    <cellStyle name="Standard 4 2 4 2 2 3 4 2" xfId="15981" xr:uid="{00000000-0005-0000-0000-0000283F0000}"/>
    <cellStyle name="Standard 4 2 4 2 2 3 4 3" xfId="15982" xr:uid="{00000000-0005-0000-0000-0000293F0000}"/>
    <cellStyle name="Standard 4 2 4 2 2 3 5" xfId="15983" xr:uid="{00000000-0005-0000-0000-00002A3F0000}"/>
    <cellStyle name="Standard 4 2 4 2 2 3 5 2" xfId="15984" xr:uid="{00000000-0005-0000-0000-00002B3F0000}"/>
    <cellStyle name="Standard 4 2 4 2 2 3 5 3" xfId="15985" xr:uid="{00000000-0005-0000-0000-00002C3F0000}"/>
    <cellStyle name="Standard 4 2 4 2 2 3 6" xfId="15986" xr:uid="{00000000-0005-0000-0000-00002D3F0000}"/>
    <cellStyle name="Standard 4 2 4 2 2 3 6 2" xfId="15987" xr:uid="{00000000-0005-0000-0000-00002E3F0000}"/>
    <cellStyle name="Standard 4 2 4 2 2 3 7" xfId="15988" xr:uid="{00000000-0005-0000-0000-00002F3F0000}"/>
    <cellStyle name="Standard 4 2 4 2 2 3 8" xfId="15989" xr:uid="{00000000-0005-0000-0000-0000303F0000}"/>
    <cellStyle name="Standard 4 2 4 2 2 4" xfId="15990" xr:uid="{00000000-0005-0000-0000-0000313F0000}"/>
    <cellStyle name="Standard 4 2 4 2 2 4 2" xfId="15991" xr:uid="{00000000-0005-0000-0000-0000323F0000}"/>
    <cellStyle name="Standard 4 2 4 2 2 4 2 2" xfId="15992" xr:uid="{00000000-0005-0000-0000-0000333F0000}"/>
    <cellStyle name="Standard 4 2 4 2 2 4 2 2 2" xfId="15993" xr:uid="{00000000-0005-0000-0000-0000343F0000}"/>
    <cellStyle name="Standard 4 2 4 2 2 4 2 2 3" xfId="15994" xr:uid="{00000000-0005-0000-0000-0000353F0000}"/>
    <cellStyle name="Standard 4 2 4 2 2 4 2 3" xfId="15995" xr:uid="{00000000-0005-0000-0000-0000363F0000}"/>
    <cellStyle name="Standard 4 2 4 2 2 4 2 3 2" xfId="15996" xr:uid="{00000000-0005-0000-0000-0000373F0000}"/>
    <cellStyle name="Standard 4 2 4 2 2 4 2 3 3" xfId="15997" xr:uid="{00000000-0005-0000-0000-0000383F0000}"/>
    <cellStyle name="Standard 4 2 4 2 2 4 2 4" xfId="15998" xr:uid="{00000000-0005-0000-0000-0000393F0000}"/>
    <cellStyle name="Standard 4 2 4 2 2 4 2 4 2" xfId="15999" xr:uid="{00000000-0005-0000-0000-00003A3F0000}"/>
    <cellStyle name="Standard 4 2 4 2 2 4 2 5" xfId="16000" xr:uid="{00000000-0005-0000-0000-00003B3F0000}"/>
    <cellStyle name="Standard 4 2 4 2 2 4 2 6" xfId="16001" xr:uid="{00000000-0005-0000-0000-00003C3F0000}"/>
    <cellStyle name="Standard 4 2 4 2 2 4 3" xfId="16002" xr:uid="{00000000-0005-0000-0000-00003D3F0000}"/>
    <cellStyle name="Standard 4 2 4 2 2 4 3 2" xfId="16003" xr:uid="{00000000-0005-0000-0000-00003E3F0000}"/>
    <cellStyle name="Standard 4 2 4 2 2 4 3 3" xfId="16004" xr:uid="{00000000-0005-0000-0000-00003F3F0000}"/>
    <cellStyle name="Standard 4 2 4 2 2 4 4" xfId="16005" xr:uid="{00000000-0005-0000-0000-0000403F0000}"/>
    <cellStyle name="Standard 4 2 4 2 2 4 4 2" xfId="16006" xr:uid="{00000000-0005-0000-0000-0000413F0000}"/>
    <cellStyle name="Standard 4 2 4 2 2 4 4 3" xfId="16007" xr:uid="{00000000-0005-0000-0000-0000423F0000}"/>
    <cellStyle name="Standard 4 2 4 2 2 4 5" xfId="16008" xr:uid="{00000000-0005-0000-0000-0000433F0000}"/>
    <cellStyle name="Standard 4 2 4 2 2 4 5 2" xfId="16009" xr:uid="{00000000-0005-0000-0000-0000443F0000}"/>
    <cellStyle name="Standard 4 2 4 2 2 4 6" xfId="16010" xr:uid="{00000000-0005-0000-0000-0000453F0000}"/>
    <cellStyle name="Standard 4 2 4 2 2 4 7" xfId="16011" xr:uid="{00000000-0005-0000-0000-0000463F0000}"/>
    <cellStyle name="Standard 4 2 4 2 2 5" xfId="16012" xr:uid="{00000000-0005-0000-0000-0000473F0000}"/>
    <cellStyle name="Standard 4 2 4 2 2 5 2" xfId="16013" xr:uid="{00000000-0005-0000-0000-0000483F0000}"/>
    <cellStyle name="Standard 4 2 4 2 2 5 2 2" xfId="16014" xr:uid="{00000000-0005-0000-0000-0000493F0000}"/>
    <cellStyle name="Standard 4 2 4 2 2 5 2 3" xfId="16015" xr:uid="{00000000-0005-0000-0000-00004A3F0000}"/>
    <cellStyle name="Standard 4 2 4 2 2 5 3" xfId="16016" xr:uid="{00000000-0005-0000-0000-00004B3F0000}"/>
    <cellStyle name="Standard 4 2 4 2 2 5 3 2" xfId="16017" xr:uid="{00000000-0005-0000-0000-00004C3F0000}"/>
    <cellStyle name="Standard 4 2 4 2 2 5 3 3" xfId="16018" xr:uid="{00000000-0005-0000-0000-00004D3F0000}"/>
    <cellStyle name="Standard 4 2 4 2 2 5 4" xfId="16019" xr:uid="{00000000-0005-0000-0000-00004E3F0000}"/>
    <cellStyle name="Standard 4 2 4 2 2 5 4 2" xfId="16020" xr:uid="{00000000-0005-0000-0000-00004F3F0000}"/>
    <cellStyle name="Standard 4 2 4 2 2 5 5" xfId="16021" xr:uid="{00000000-0005-0000-0000-0000503F0000}"/>
    <cellStyle name="Standard 4 2 4 2 2 5 6" xfId="16022" xr:uid="{00000000-0005-0000-0000-0000513F0000}"/>
    <cellStyle name="Standard 4 2 4 2 2 6" xfId="16023" xr:uid="{00000000-0005-0000-0000-0000523F0000}"/>
    <cellStyle name="Standard 4 2 4 2 2 6 2" xfId="16024" xr:uid="{00000000-0005-0000-0000-0000533F0000}"/>
    <cellStyle name="Standard 4 2 4 2 2 6 3" xfId="16025" xr:uid="{00000000-0005-0000-0000-0000543F0000}"/>
    <cellStyle name="Standard 4 2 4 2 2 7" xfId="16026" xr:uid="{00000000-0005-0000-0000-0000553F0000}"/>
    <cellStyle name="Standard 4 2 4 2 2 7 2" xfId="16027" xr:uid="{00000000-0005-0000-0000-0000563F0000}"/>
    <cellStyle name="Standard 4 2 4 2 2 7 3" xfId="16028" xr:uid="{00000000-0005-0000-0000-0000573F0000}"/>
    <cellStyle name="Standard 4 2 4 2 2 8" xfId="16029" xr:uid="{00000000-0005-0000-0000-0000583F0000}"/>
    <cellStyle name="Standard 4 2 4 2 2 8 2" xfId="16030" xr:uid="{00000000-0005-0000-0000-0000593F0000}"/>
    <cellStyle name="Standard 4 2 4 2 2 9" xfId="16031" xr:uid="{00000000-0005-0000-0000-00005A3F0000}"/>
    <cellStyle name="Standard 4 2 4 2 3" xfId="16032" xr:uid="{00000000-0005-0000-0000-00005B3F0000}"/>
    <cellStyle name="Standard 4 2 4 2 3 2" xfId="16033" xr:uid="{00000000-0005-0000-0000-00005C3F0000}"/>
    <cellStyle name="Standard 4 2 4 2 3 2 2" xfId="16034" xr:uid="{00000000-0005-0000-0000-00005D3F0000}"/>
    <cellStyle name="Standard 4 2 4 2 3 2 2 2" xfId="16035" xr:uid="{00000000-0005-0000-0000-00005E3F0000}"/>
    <cellStyle name="Standard 4 2 4 2 3 2 2 2 2" xfId="16036" xr:uid="{00000000-0005-0000-0000-00005F3F0000}"/>
    <cellStyle name="Standard 4 2 4 2 3 2 2 2 3" xfId="16037" xr:uid="{00000000-0005-0000-0000-0000603F0000}"/>
    <cellStyle name="Standard 4 2 4 2 3 2 2 3" xfId="16038" xr:uid="{00000000-0005-0000-0000-0000613F0000}"/>
    <cellStyle name="Standard 4 2 4 2 3 2 2 3 2" xfId="16039" xr:uid="{00000000-0005-0000-0000-0000623F0000}"/>
    <cellStyle name="Standard 4 2 4 2 3 2 2 3 3" xfId="16040" xr:uid="{00000000-0005-0000-0000-0000633F0000}"/>
    <cellStyle name="Standard 4 2 4 2 3 2 2 4" xfId="16041" xr:uid="{00000000-0005-0000-0000-0000643F0000}"/>
    <cellStyle name="Standard 4 2 4 2 3 2 2 4 2" xfId="16042" xr:uid="{00000000-0005-0000-0000-0000653F0000}"/>
    <cellStyle name="Standard 4 2 4 2 3 2 2 5" xfId="16043" xr:uid="{00000000-0005-0000-0000-0000663F0000}"/>
    <cellStyle name="Standard 4 2 4 2 3 2 2 6" xfId="16044" xr:uid="{00000000-0005-0000-0000-0000673F0000}"/>
    <cellStyle name="Standard 4 2 4 2 3 2 3" xfId="16045" xr:uid="{00000000-0005-0000-0000-0000683F0000}"/>
    <cellStyle name="Standard 4 2 4 2 3 2 3 2" xfId="16046" xr:uid="{00000000-0005-0000-0000-0000693F0000}"/>
    <cellStyle name="Standard 4 2 4 2 3 2 3 3" xfId="16047" xr:uid="{00000000-0005-0000-0000-00006A3F0000}"/>
    <cellStyle name="Standard 4 2 4 2 3 2 4" xfId="16048" xr:uid="{00000000-0005-0000-0000-00006B3F0000}"/>
    <cellStyle name="Standard 4 2 4 2 3 2 4 2" xfId="16049" xr:uid="{00000000-0005-0000-0000-00006C3F0000}"/>
    <cellStyle name="Standard 4 2 4 2 3 2 4 3" xfId="16050" xr:uid="{00000000-0005-0000-0000-00006D3F0000}"/>
    <cellStyle name="Standard 4 2 4 2 3 2 5" xfId="16051" xr:uid="{00000000-0005-0000-0000-00006E3F0000}"/>
    <cellStyle name="Standard 4 2 4 2 3 2 5 2" xfId="16052" xr:uid="{00000000-0005-0000-0000-00006F3F0000}"/>
    <cellStyle name="Standard 4 2 4 2 3 2 6" xfId="16053" xr:uid="{00000000-0005-0000-0000-0000703F0000}"/>
    <cellStyle name="Standard 4 2 4 2 3 2 7" xfId="16054" xr:uid="{00000000-0005-0000-0000-0000713F0000}"/>
    <cellStyle name="Standard 4 2 4 2 3 3" xfId="16055" xr:uid="{00000000-0005-0000-0000-0000723F0000}"/>
    <cellStyle name="Standard 4 2 4 2 3 3 2" xfId="16056" xr:uid="{00000000-0005-0000-0000-0000733F0000}"/>
    <cellStyle name="Standard 4 2 4 2 3 3 2 2" xfId="16057" xr:uid="{00000000-0005-0000-0000-0000743F0000}"/>
    <cellStyle name="Standard 4 2 4 2 3 3 2 3" xfId="16058" xr:uid="{00000000-0005-0000-0000-0000753F0000}"/>
    <cellStyle name="Standard 4 2 4 2 3 3 3" xfId="16059" xr:uid="{00000000-0005-0000-0000-0000763F0000}"/>
    <cellStyle name="Standard 4 2 4 2 3 3 3 2" xfId="16060" xr:uid="{00000000-0005-0000-0000-0000773F0000}"/>
    <cellStyle name="Standard 4 2 4 2 3 3 3 3" xfId="16061" xr:uid="{00000000-0005-0000-0000-0000783F0000}"/>
    <cellStyle name="Standard 4 2 4 2 3 3 4" xfId="16062" xr:uid="{00000000-0005-0000-0000-0000793F0000}"/>
    <cellStyle name="Standard 4 2 4 2 3 3 4 2" xfId="16063" xr:uid="{00000000-0005-0000-0000-00007A3F0000}"/>
    <cellStyle name="Standard 4 2 4 2 3 3 5" xfId="16064" xr:uid="{00000000-0005-0000-0000-00007B3F0000}"/>
    <cellStyle name="Standard 4 2 4 2 3 3 6" xfId="16065" xr:uid="{00000000-0005-0000-0000-00007C3F0000}"/>
    <cellStyle name="Standard 4 2 4 2 3 4" xfId="16066" xr:uid="{00000000-0005-0000-0000-00007D3F0000}"/>
    <cellStyle name="Standard 4 2 4 2 3 4 2" xfId="16067" xr:uid="{00000000-0005-0000-0000-00007E3F0000}"/>
    <cellStyle name="Standard 4 2 4 2 3 4 3" xfId="16068" xr:uid="{00000000-0005-0000-0000-00007F3F0000}"/>
    <cellStyle name="Standard 4 2 4 2 3 5" xfId="16069" xr:uid="{00000000-0005-0000-0000-0000803F0000}"/>
    <cellStyle name="Standard 4 2 4 2 3 5 2" xfId="16070" xr:uid="{00000000-0005-0000-0000-0000813F0000}"/>
    <cellStyle name="Standard 4 2 4 2 3 5 3" xfId="16071" xr:uid="{00000000-0005-0000-0000-0000823F0000}"/>
    <cellStyle name="Standard 4 2 4 2 3 6" xfId="16072" xr:uid="{00000000-0005-0000-0000-0000833F0000}"/>
    <cellStyle name="Standard 4 2 4 2 3 6 2" xfId="16073" xr:uid="{00000000-0005-0000-0000-0000843F0000}"/>
    <cellStyle name="Standard 4 2 4 2 3 7" xfId="16074" xr:uid="{00000000-0005-0000-0000-0000853F0000}"/>
    <cellStyle name="Standard 4 2 4 2 3 8" xfId="16075" xr:uid="{00000000-0005-0000-0000-0000863F0000}"/>
    <cellStyle name="Standard 4 2 4 2 4" xfId="16076" xr:uid="{00000000-0005-0000-0000-0000873F0000}"/>
    <cellStyle name="Standard 4 2 4 2 4 2" xfId="16077" xr:uid="{00000000-0005-0000-0000-0000883F0000}"/>
    <cellStyle name="Standard 4 2 4 2 4 2 2" xfId="16078" xr:uid="{00000000-0005-0000-0000-0000893F0000}"/>
    <cellStyle name="Standard 4 2 4 2 4 2 2 2" xfId="16079" xr:uid="{00000000-0005-0000-0000-00008A3F0000}"/>
    <cellStyle name="Standard 4 2 4 2 4 2 2 2 2" xfId="16080" xr:uid="{00000000-0005-0000-0000-00008B3F0000}"/>
    <cellStyle name="Standard 4 2 4 2 4 2 2 2 3" xfId="16081" xr:uid="{00000000-0005-0000-0000-00008C3F0000}"/>
    <cellStyle name="Standard 4 2 4 2 4 2 2 3" xfId="16082" xr:uid="{00000000-0005-0000-0000-00008D3F0000}"/>
    <cellStyle name="Standard 4 2 4 2 4 2 2 3 2" xfId="16083" xr:uid="{00000000-0005-0000-0000-00008E3F0000}"/>
    <cellStyle name="Standard 4 2 4 2 4 2 2 3 3" xfId="16084" xr:uid="{00000000-0005-0000-0000-00008F3F0000}"/>
    <cellStyle name="Standard 4 2 4 2 4 2 2 4" xfId="16085" xr:uid="{00000000-0005-0000-0000-0000903F0000}"/>
    <cellStyle name="Standard 4 2 4 2 4 2 2 4 2" xfId="16086" xr:uid="{00000000-0005-0000-0000-0000913F0000}"/>
    <cellStyle name="Standard 4 2 4 2 4 2 2 5" xfId="16087" xr:uid="{00000000-0005-0000-0000-0000923F0000}"/>
    <cellStyle name="Standard 4 2 4 2 4 2 2 6" xfId="16088" xr:uid="{00000000-0005-0000-0000-0000933F0000}"/>
    <cellStyle name="Standard 4 2 4 2 4 2 3" xfId="16089" xr:uid="{00000000-0005-0000-0000-0000943F0000}"/>
    <cellStyle name="Standard 4 2 4 2 4 2 3 2" xfId="16090" xr:uid="{00000000-0005-0000-0000-0000953F0000}"/>
    <cellStyle name="Standard 4 2 4 2 4 2 3 3" xfId="16091" xr:uid="{00000000-0005-0000-0000-0000963F0000}"/>
    <cellStyle name="Standard 4 2 4 2 4 2 4" xfId="16092" xr:uid="{00000000-0005-0000-0000-0000973F0000}"/>
    <cellStyle name="Standard 4 2 4 2 4 2 4 2" xfId="16093" xr:uid="{00000000-0005-0000-0000-0000983F0000}"/>
    <cellStyle name="Standard 4 2 4 2 4 2 4 3" xfId="16094" xr:uid="{00000000-0005-0000-0000-0000993F0000}"/>
    <cellStyle name="Standard 4 2 4 2 4 2 5" xfId="16095" xr:uid="{00000000-0005-0000-0000-00009A3F0000}"/>
    <cellStyle name="Standard 4 2 4 2 4 2 5 2" xfId="16096" xr:uid="{00000000-0005-0000-0000-00009B3F0000}"/>
    <cellStyle name="Standard 4 2 4 2 4 2 6" xfId="16097" xr:uid="{00000000-0005-0000-0000-00009C3F0000}"/>
    <cellStyle name="Standard 4 2 4 2 4 2 7" xfId="16098" xr:uid="{00000000-0005-0000-0000-00009D3F0000}"/>
    <cellStyle name="Standard 4 2 4 2 4 3" xfId="16099" xr:uid="{00000000-0005-0000-0000-00009E3F0000}"/>
    <cellStyle name="Standard 4 2 4 2 4 3 2" xfId="16100" xr:uid="{00000000-0005-0000-0000-00009F3F0000}"/>
    <cellStyle name="Standard 4 2 4 2 4 3 2 2" xfId="16101" xr:uid="{00000000-0005-0000-0000-0000A03F0000}"/>
    <cellStyle name="Standard 4 2 4 2 4 3 2 3" xfId="16102" xr:uid="{00000000-0005-0000-0000-0000A13F0000}"/>
    <cellStyle name="Standard 4 2 4 2 4 3 3" xfId="16103" xr:uid="{00000000-0005-0000-0000-0000A23F0000}"/>
    <cellStyle name="Standard 4 2 4 2 4 3 3 2" xfId="16104" xr:uid="{00000000-0005-0000-0000-0000A33F0000}"/>
    <cellStyle name="Standard 4 2 4 2 4 3 3 3" xfId="16105" xr:uid="{00000000-0005-0000-0000-0000A43F0000}"/>
    <cellStyle name="Standard 4 2 4 2 4 3 4" xfId="16106" xr:uid="{00000000-0005-0000-0000-0000A53F0000}"/>
    <cellStyle name="Standard 4 2 4 2 4 3 4 2" xfId="16107" xr:uid="{00000000-0005-0000-0000-0000A63F0000}"/>
    <cellStyle name="Standard 4 2 4 2 4 3 5" xfId="16108" xr:uid="{00000000-0005-0000-0000-0000A73F0000}"/>
    <cellStyle name="Standard 4 2 4 2 4 3 6" xfId="16109" xr:uid="{00000000-0005-0000-0000-0000A83F0000}"/>
    <cellStyle name="Standard 4 2 4 2 4 4" xfId="16110" xr:uid="{00000000-0005-0000-0000-0000A93F0000}"/>
    <cellStyle name="Standard 4 2 4 2 4 4 2" xfId="16111" xr:uid="{00000000-0005-0000-0000-0000AA3F0000}"/>
    <cellStyle name="Standard 4 2 4 2 4 4 3" xfId="16112" xr:uid="{00000000-0005-0000-0000-0000AB3F0000}"/>
    <cellStyle name="Standard 4 2 4 2 4 5" xfId="16113" xr:uid="{00000000-0005-0000-0000-0000AC3F0000}"/>
    <cellStyle name="Standard 4 2 4 2 4 5 2" xfId="16114" xr:uid="{00000000-0005-0000-0000-0000AD3F0000}"/>
    <cellStyle name="Standard 4 2 4 2 4 5 3" xfId="16115" xr:uid="{00000000-0005-0000-0000-0000AE3F0000}"/>
    <cellStyle name="Standard 4 2 4 2 4 6" xfId="16116" xr:uid="{00000000-0005-0000-0000-0000AF3F0000}"/>
    <cellStyle name="Standard 4 2 4 2 4 6 2" xfId="16117" xr:uid="{00000000-0005-0000-0000-0000B03F0000}"/>
    <cellStyle name="Standard 4 2 4 2 4 7" xfId="16118" xr:uid="{00000000-0005-0000-0000-0000B13F0000}"/>
    <cellStyle name="Standard 4 2 4 2 4 8" xfId="16119" xr:uid="{00000000-0005-0000-0000-0000B23F0000}"/>
    <cellStyle name="Standard 4 2 4 2 5" xfId="16120" xr:uid="{00000000-0005-0000-0000-0000B33F0000}"/>
    <cellStyle name="Standard 4 2 4 2 5 2" xfId="16121" xr:uid="{00000000-0005-0000-0000-0000B43F0000}"/>
    <cellStyle name="Standard 4 2 4 2 5 2 2" xfId="16122" xr:uid="{00000000-0005-0000-0000-0000B53F0000}"/>
    <cellStyle name="Standard 4 2 4 2 5 2 2 2" xfId="16123" xr:uid="{00000000-0005-0000-0000-0000B63F0000}"/>
    <cellStyle name="Standard 4 2 4 2 5 2 2 3" xfId="16124" xr:uid="{00000000-0005-0000-0000-0000B73F0000}"/>
    <cellStyle name="Standard 4 2 4 2 5 2 3" xfId="16125" xr:uid="{00000000-0005-0000-0000-0000B83F0000}"/>
    <cellStyle name="Standard 4 2 4 2 5 2 3 2" xfId="16126" xr:uid="{00000000-0005-0000-0000-0000B93F0000}"/>
    <cellStyle name="Standard 4 2 4 2 5 2 3 3" xfId="16127" xr:uid="{00000000-0005-0000-0000-0000BA3F0000}"/>
    <cellStyle name="Standard 4 2 4 2 5 2 4" xfId="16128" xr:uid="{00000000-0005-0000-0000-0000BB3F0000}"/>
    <cellStyle name="Standard 4 2 4 2 5 2 4 2" xfId="16129" xr:uid="{00000000-0005-0000-0000-0000BC3F0000}"/>
    <cellStyle name="Standard 4 2 4 2 5 2 5" xfId="16130" xr:uid="{00000000-0005-0000-0000-0000BD3F0000}"/>
    <cellStyle name="Standard 4 2 4 2 5 2 6" xfId="16131" xr:uid="{00000000-0005-0000-0000-0000BE3F0000}"/>
    <cellStyle name="Standard 4 2 4 2 5 3" xfId="16132" xr:uid="{00000000-0005-0000-0000-0000BF3F0000}"/>
    <cellStyle name="Standard 4 2 4 2 5 3 2" xfId="16133" xr:uid="{00000000-0005-0000-0000-0000C03F0000}"/>
    <cellStyle name="Standard 4 2 4 2 5 3 3" xfId="16134" xr:uid="{00000000-0005-0000-0000-0000C13F0000}"/>
    <cellStyle name="Standard 4 2 4 2 5 4" xfId="16135" xr:uid="{00000000-0005-0000-0000-0000C23F0000}"/>
    <cellStyle name="Standard 4 2 4 2 5 4 2" xfId="16136" xr:uid="{00000000-0005-0000-0000-0000C33F0000}"/>
    <cellStyle name="Standard 4 2 4 2 5 4 3" xfId="16137" xr:uid="{00000000-0005-0000-0000-0000C43F0000}"/>
    <cellStyle name="Standard 4 2 4 2 5 5" xfId="16138" xr:uid="{00000000-0005-0000-0000-0000C53F0000}"/>
    <cellStyle name="Standard 4 2 4 2 5 5 2" xfId="16139" xr:uid="{00000000-0005-0000-0000-0000C63F0000}"/>
    <cellStyle name="Standard 4 2 4 2 5 6" xfId="16140" xr:uid="{00000000-0005-0000-0000-0000C73F0000}"/>
    <cellStyle name="Standard 4 2 4 2 5 7" xfId="16141" xr:uid="{00000000-0005-0000-0000-0000C83F0000}"/>
    <cellStyle name="Standard 4 2 4 2 6" xfId="16142" xr:uid="{00000000-0005-0000-0000-0000C93F0000}"/>
    <cellStyle name="Standard 4 2 4 2 6 2" xfId="16143" xr:uid="{00000000-0005-0000-0000-0000CA3F0000}"/>
    <cellStyle name="Standard 4 2 4 2 6 2 2" xfId="16144" xr:uid="{00000000-0005-0000-0000-0000CB3F0000}"/>
    <cellStyle name="Standard 4 2 4 2 6 2 3" xfId="16145" xr:uid="{00000000-0005-0000-0000-0000CC3F0000}"/>
    <cellStyle name="Standard 4 2 4 2 6 3" xfId="16146" xr:uid="{00000000-0005-0000-0000-0000CD3F0000}"/>
    <cellStyle name="Standard 4 2 4 2 6 3 2" xfId="16147" xr:uid="{00000000-0005-0000-0000-0000CE3F0000}"/>
    <cellStyle name="Standard 4 2 4 2 6 3 3" xfId="16148" xr:uid="{00000000-0005-0000-0000-0000CF3F0000}"/>
    <cellStyle name="Standard 4 2 4 2 6 4" xfId="16149" xr:uid="{00000000-0005-0000-0000-0000D03F0000}"/>
    <cellStyle name="Standard 4 2 4 2 6 4 2" xfId="16150" xr:uid="{00000000-0005-0000-0000-0000D13F0000}"/>
    <cellStyle name="Standard 4 2 4 2 6 5" xfId="16151" xr:uid="{00000000-0005-0000-0000-0000D23F0000}"/>
    <cellStyle name="Standard 4 2 4 2 6 6" xfId="16152" xr:uid="{00000000-0005-0000-0000-0000D33F0000}"/>
    <cellStyle name="Standard 4 2 4 2 7" xfId="16153" xr:uid="{00000000-0005-0000-0000-0000D43F0000}"/>
    <cellStyle name="Standard 4 2 4 2 7 2" xfId="16154" xr:uid="{00000000-0005-0000-0000-0000D53F0000}"/>
    <cellStyle name="Standard 4 2 4 2 7 3" xfId="16155" xr:uid="{00000000-0005-0000-0000-0000D63F0000}"/>
    <cellStyle name="Standard 4 2 4 2 8" xfId="16156" xr:uid="{00000000-0005-0000-0000-0000D73F0000}"/>
    <cellStyle name="Standard 4 2 4 2 8 2" xfId="16157" xr:uid="{00000000-0005-0000-0000-0000D83F0000}"/>
    <cellStyle name="Standard 4 2 4 2 8 3" xfId="16158" xr:uid="{00000000-0005-0000-0000-0000D93F0000}"/>
    <cellStyle name="Standard 4 2 4 2 9" xfId="16159" xr:uid="{00000000-0005-0000-0000-0000DA3F0000}"/>
    <cellStyle name="Standard 4 2 4 2 9 2" xfId="16160" xr:uid="{00000000-0005-0000-0000-0000DB3F0000}"/>
    <cellStyle name="Standard 4 2 4 3" xfId="16161" xr:uid="{00000000-0005-0000-0000-0000DC3F0000}"/>
    <cellStyle name="Standard 4 2 4 3 10" xfId="16162" xr:uid="{00000000-0005-0000-0000-0000DD3F0000}"/>
    <cellStyle name="Standard 4 2 4 3 11" xfId="16163" xr:uid="{00000000-0005-0000-0000-0000DE3F0000}"/>
    <cellStyle name="Standard 4 2 4 3 2" xfId="16164" xr:uid="{00000000-0005-0000-0000-0000DF3F0000}"/>
    <cellStyle name="Standard 4 2 4 3 2 10" xfId="16165" xr:uid="{00000000-0005-0000-0000-0000E03F0000}"/>
    <cellStyle name="Standard 4 2 4 3 2 2" xfId="16166" xr:uid="{00000000-0005-0000-0000-0000E13F0000}"/>
    <cellStyle name="Standard 4 2 4 3 2 2 2" xfId="16167" xr:uid="{00000000-0005-0000-0000-0000E23F0000}"/>
    <cellStyle name="Standard 4 2 4 3 2 2 2 2" xfId="16168" xr:uid="{00000000-0005-0000-0000-0000E33F0000}"/>
    <cellStyle name="Standard 4 2 4 3 2 2 2 2 2" xfId="16169" xr:uid="{00000000-0005-0000-0000-0000E43F0000}"/>
    <cellStyle name="Standard 4 2 4 3 2 2 2 2 2 2" xfId="16170" xr:uid="{00000000-0005-0000-0000-0000E53F0000}"/>
    <cellStyle name="Standard 4 2 4 3 2 2 2 2 2 3" xfId="16171" xr:uid="{00000000-0005-0000-0000-0000E63F0000}"/>
    <cellStyle name="Standard 4 2 4 3 2 2 2 2 3" xfId="16172" xr:uid="{00000000-0005-0000-0000-0000E73F0000}"/>
    <cellStyle name="Standard 4 2 4 3 2 2 2 2 3 2" xfId="16173" xr:uid="{00000000-0005-0000-0000-0000E83F0000}"/>
    <cellStyle name="Standard 4 2 4 3 2 2 2 2 3 3" xfId="16174" xr:uid="{00000000-0005-0000-0000-0000E93F0000}"/>
    <cellStyle name="Standard 4 2 4 3 2 2 2 2 4" xfId="16175" xr:uid="{00000000-0005-0000-0000-0000EA3F0000}"/>
    <cellStyle name="Standard 4 2 4 3 2 2 2 2 4 2" xfId="16176" xr:uid="{00000000-0005-0000-0000-0000EB3F0000}"/>
    <cellStyle name="Standard 4 2 4 3 2 2 2 2 5" xfId="16177" xr:uid="{00000000-0005-0000-0000-0000EC3F0000}"/>
    <cellStyle name="Standard 4 2 4 3 2 2 2 2 6" xfId="16178" xr:uid="{00000000-0005-0000-0000-0000ED3F0000}"/>
    <cellStyle name="Standard 4 2 4 3 2 2 2 3" xfId="16179" xr:uid="{00000000-0005-0000-0000-0000EE3F0000}"/>
    <cellStyle name="Standard 4 2 4 3 2 2 2 3 2" xfId="16180" xr:uid="{00000000-0005-0000-0000-0000EF3F0000}"/>
    <cellStyle name="Standard 4 2 4 3 2 2 2 3 3" xfId="16181" xr:uid="{00000000-0005-0000-0000-0000F03F0000}"/>
    <cellStyle name="Standard 4 2 4 3 2 2 2 4" xfId="16182" xr:uid="{00000000-0005-0000-0000-0000F13F0000}"/>
    <cellStyle name="Standard 4 2 4 3 2 2 2 4 2" xfId="16183" xr:uid="{00000000-0005-0000-0000-0000F23F0000}"/>
    <cellStyle name="Standard 4 2 4 3 2 2 2 4 3" xfId="16184" xr:uid="{00000000-0005-0000-0000-0000F33F0000}"/>
    <cellStyle name="Standard 4 2 4 3 2 2 2 5" xfId="16185" xr:uid="{00000000-0005-0000-0000-0000F43F0000}"/>
    <cellStyle name="Standard 4 2 4 3 2 2 2 5 2" xfId="16186" xr:uid="{00000000-0005-0000-0000-0000F53F0000}"/>
    <cellStyle name="Standard 4 2 4 3 2 2 2 6" xfId="16187" xr:uid="{00000000-0005-0000-0000-0000F63F0000}"/>
    <cellStyle name="Standard 4 2 4 3 2 2 2 7" xfId="16188" xr:uid="{00000000-0005-0000-0000-0000F73F0000}"/>
    <cellStyle name="Standard 4 2 4 3 2 2 3" xfId="16189" xr:uid="{00000000-0005-0000-0000-0000F83F0000}"/>
    <cellStyle name="Standard 4 2 4 3 2 2 3 2" xfId="16190" xr:uid="{00000000-0005-0000-0000-0000F93F0000}"/>
    <cellStyle name="Standard 4 2 4 3 2 2 3 2 2" xfId="16191" xr:uid="{00000000-0005-0000-0000-0000FA3F0000}"/>
    <cellStyle name="Standard 4 2 4 3 2 2 3 2 3" xfId="16192" xr:uid="{00000000-0005-0000-0000-0000FB3F0000}"/>
    <cellStyle name="Standard 4 2 4 3 2 2 3 3" xfId="16193" xr:uid="{00000000-0005-0000-0000-0000FC3F0000}"/>
    <cellStyle name="Standard 4 2 4 3 2 2 3 3 2" xfId="16194" xr:uid="{00000000-0005-0000-0000-0000FD3F0000}"/>
    <cellStyle name="Standard 4 2 4 3 2 2 3 3 3" xfId="16195" xr:uid="{00000000-0005-0000-0000-0000FE3F0000}"/>
    <cellStyle name="Standard 4 2 4 3 2 2 3 4" xfId="16196" xr:uid="{00000000-0005-0000-0000-0000FF3F0000}"/>
    <cellStyle name="Standard 4 2 4 3 2 2 3 4 2" xfId="16197" xr:uid="{00000000-0005-0000-0000-000000400000}"/>
    <cellStyle name="Standard 4 2 4 3 2 2 3 5" xfId="16198" xr:uid="{00000000-0005-0000-0000-000001400000}"/>
    <cellStyle name="Standard 4 2 4 3 2 2 3 6" xfId="16199" xr:uid="{00000000-0005-0000-0000-000002400000}"/>
    <cellStyle name="Standard 4 2 4 3 2 2 4" xfId="16200" xr:uid="{00000000-0005-0000-0000-000003400000}"/>
    <cellStyle name="Standard 4 2 4 3 2 2 4 2" xfId="16201" xr:uid="{00000000-0005-0000-0000-000004400000}"/>
    <cellStyle name="Standard 4 2 4 3 2 2 4 3" xfId="16202" xr:uid="{00000000-0005-0000-0000-000005400000}"/>
    <cellStyle name="Standard 4 2 4 3 2 2 5" xfId="16203" xr:uid="{00000000-0005-0000-0000-000006400000}"/>
    <cellStyle name="Standard 4 2 4 3 2 2 5 2" xfId="16204" xr:uid="{00000000-0005-0000-0000-000007400000}"/>
    <cellStyle name="Standard 4 2 4 3 2 2 5 3" xfId="16205" xr:uid="{00000000-0005-0000-0000-000008400000}"/>
    <cellStyle name="Standard 4 2 4 3 2 2 6" xfId="16206" xr:uid="{00000000-0005-0000-0000-000009400000}"/>
    <cellStyle name="Standard 4 2 4 3 2 2 6 2" xfId="16207" xr:uid="{00000000-0005-0000-0000-00000A400000}"/>
    <cellStyle name="Standard 4 2 4 3 2 2 7" xfId="16208" xr:uid="{00000000-0005-0000-0000-00000B400000}"/>
    <cellStyle name="Standard 4 2 4 3 2 2 8" xfId="16209" xr:uid="{00000000-0005-0000-0000-00000C400000}"/>
    <cellStyle name="Standard 4 2 4 3 2 3" xfId="16210" xr:uid="{00000000-0005-0000-0000-00000D400000}"/>
    <cellStyle name="Standard 4 2 4 3 2 3 2" xfId="16211" xr:uid="{00000000-0005-0000-0000-00000E400000}"/>
    <cellStyle name="Standard 4 2 4 3 2 3 2 2" xfId="16212" xr:uid="{00000000-0005-0000-0000-00000F400000}"/>
    <cellStyle name="Standard 4 2 4 3 2 3 2 2 2" xfId="16213" xr:uid="{00000000-0005-0000-0000-000010400000}"/>
    <cellStyle name="Standard 4 2 4 3 2 3 2 2 2 2" xfId="16214" xr:uid="{00000000-0005-0000-0000-000011400000}"/>
    <cellStyle name="Standard 4 2 4 3 2 3 2 2 2 3" xfId="16215" xr:uid="{00000000-0005-0000-0000-000012400000}"/>
    <cellStyle name="Standard 4 2 4 3 2 3 2 2 3" xfId="16216" xr:uid="{00000000-0005-0000-0000-000013400000}"/>
    <cellStyle name="Standard 4 2 4 3 2 3 2 2 3 2" xfId="16217" xr:uid="{00000000-0005-0000-0000-000014400000}"/>
    <cellStyle name="Standard 4 2 4 3 2 3 2 2 3 3" xfId="16218" xr:uid="{00000000-0005-0000-0000-000015400000}"/>
    <cellStyle name="Standard 4 2 4 3 2 3 2 2 4" xfId="16219" xr:uid="{00000000-0005-0000-0000-000016400000}"/>
    <cellStyle name="Standard 4 2 4 3 2 3 2 2 4 2" xfId="16220" xr:uid="{00000000-0005-0000-0000-000017400000}"/>
    <cellStyle name="Standard 4 2 4 3 2 3 2 2 5" xfId="16221" xr:uid="{00000000-0005-0000-0000-000018400000}"/>
    <cellStyle name="Standard 4 2 4 3 2 3 2 2 6" xfId="16222" xr:uid="{00000000-0005-0000-0000-000019400000}"/>
    <cellStyle name="Standard 4 2 4 3 2 3 2 3" xfId="16223" xr:uid="{00000000-0005-0000-0000-00001A400000}"/>
    <cellStyle name="Standard 4 2 4 3 2 3 2 3 2" xfId="16224" xr:uid="{00000000-0005-0000-0000-00001B400000}"/>
    <cellStyle name="Standard 4 2 4 3 2 3 2 3 3" xfId="16225" xr:uid="{00000000-0005-0000-0000-00001C400000}"/>
    <cellStyle name="Standard 4 2 4 3 2 3 2 4" xfId="16226" xr:uid="{00000000-0005-0000-0000-00001D400000}"/>
    <cellStyle name="Standard 4 2 4 3 2 3 2 4 2" xfId="16227" xr:uid="{00000000-0005-0000-0000-00001E400000}"/>
    <cellStyle name="Standard 4 2 4 3 2 3 2 4 3" xfId="16228" xr:uid="{00000000-0005-0000-0000-00001F400000}"/>
    <cellStyle name="Standard 4 2 4 3 2 3 2 5" xfId="16229" xr:uid="{00000000-0005-0000-0000-000020400000}"/>
    <cellStyle name="Standard 4 2 4 3 2 3 2 5 2" xfId="16230" xr:uid="{00000000-0005-0000-0000-000021400000}"/>
    <cellStyle name="Standard 4 2 4 3 2 3 2 6" xfId="16231" xr:uid="{00000000-0005-0000-0000-000022400000}"/>
    <cellStyle name="Standard 4 2 4 3 2 3 2 7" xfId="16232" xr:uid="{00000000-0005-0000-0000-000023400000}"/>
    <cellStyle name="Standard 4 2 4 3 2 3 3" xfId="16233" xr:uid="{00000000-0005-0000-0000-000024400000}"/>
    <cellStyle name="Standard 4 2 4 3 2 3 3 2" xfId="16234" xr:uid="{00000000-0005-0000-0000-000025400000}"/>
    <cellStyle name="Standard 4 2 4 3 2 3 3 2 2" xfId="16235" xr:uid="{00000000-0005-0000-0000-000026400000}"/>
    <cellStyle name="Standard 4 2 4 3 2 3 3 2 3" xfId="16236" xr:uid="{00000000-0005-0000-0000-000027400000}"/>
    <cellStyle name="Standard 4 2 4 3 2 3 3 3" xfId="16237" xr:uid="{00000000-0005-0000-0000-000028400000}"/>
    <cellStyle name="Standard 4 2 4 3 2 3 3 3 2" xfId="16238" xr:uid="{00000000-0005-0000-0000-000029400000}"/>
    <cellStyle name="Standard 4 2 4 3 2 3 3 3 3" xfId="16239" xr:uid="{00000000-0005-0000-0000-00002A400000}"/>
    <cellStyle name="Standard 4 2 4 3 2 3 3 4" xfId="16240" xr:uid="{00000000-0005-0000-0000-00002B400000}"/>
    <cellStyle name="Standard 4 2 4 3 2 3 3 4 2" xfId="16241" xr:uid="{00000000-0005-0000-0000-00002C400000}"/>
    <cellStyle name="Standard 4 2 4 3 2 3 3 5" xfId="16242" xr:uid="{00000000-0005-0000-0000-00002D400000}"/>
    <cellStyle name="Standard 4 2 4 3 2 3 3 6" xfId="16243" xr:uid="{00000000-0005-0000-0000-00002E400000}"/>
    <cellStyle name="Standard 4 2 4 3 2 3 4" xfId="16244" xr:uid="{00000000-0005-0000-0000-00002F400000}"/>
    <cellStyle name="Standard 4 2 4 3 2 3 4 2" xfId="16245" xr:uid="{00000000-0005-0000-0000-000030400000}"/>
    <cellStyle name="Standard 4 2 4 3 2 3 4 3" xfId="16246" xr:uid="{00000000-0005-0000-0000-000031400000}"/>
    <cellStyle name="Standard 4 2 4 3 2 3 5" xfId="16247" xr:uid="{00000000-0005-0000-0000-000032400000}"/>
    <cellStyle name="Standard 4 2 4 3 2 3 5 2" xfId="16248" xr:uid="{00000000-0005-0000-0000-000033400000}"/>
    <cellStyle name="Standard 4 2 4 3 2 3 5 3" xfId="16249" xr:uid="{00000000-0005-0000-0000-000034400000}"/>
    <cellStyle name="Standard 4 2 4 3 2 3 6" xfId="16250" xr:uid="{00000000-0005-0000-0000-000035400000}"/>
    <cellStyle name="Standard 4 2 4 3 2 3 6 2" xfId="16251" xr:uid="{00000000-0005-0000-0000-000036400000}"/>
    <cellStyle name="Standard 4 2 4 3 2 3 7" xfId="16252" xr:uid="{00000000-0005-0000-0000-000037400000}"/>
    <cellStyle name="Standard 4 2 4 3 2 3 8" xfId="16253" xr:uid="{00000000-0005-0000-0000-000038400000}"/>
    <cellStyle name="Standard 4 2 4 3 2 4" xfId="16254" xr:uid="{00000000-0005-0000-0000-000039400000}"/>
    <cellStyle name="Standard 4 2 4 3 2 4 2" xfId="16255" xr:uid="{00000000-0005-0000-0000-00003A400000}"/>
    <cellStyle name="Standard 4 2 4 3 2 4 2 2" xfId="16256" xr:uid="{00000000-0005-0000-0000-00003B400000}"/>
    <cellStyle name="Standard 4 2 4 3 2 4 2 2 2" xfId="16257" xr:uid="{00000000-0005-0000-0000-00003C400000}"/>
    <cellStyle name="Standard 4 2 4 3 2 4 2 2 3" xfId="16258" xr:uid="{00000000-0005-0000-0000-00003D400000}"/>
    <cellStyle name="Standard 4 2 4 3 2 4 2 3" xfId="16259" xr:uid="{00000000-0005-0000-0000-00003E400000}"/>
    <cellStyle name="Standard 4 2 4 3 2 4 2 3 2" xfId="16260" xr:uid="{00000000-0005-0000-0000-00003F400000}"/>
    <cellStyle name="Standard 4 2 4 3 2 4 2 3 3" xfId="16261" xr:uid="{00000000-0005-0000-0000-000040400000}"/>
    <cellStyle name="Standard 4 2 4 3 2 4 2 4" xfId="16262" xr:uid="{00000000-0005-0000-0000-000041400000}"/>
    <cellStyle name="Standard 4 2 4 3 2 4 2 4 2" xfId="16263" xr:uid="{00000000-0005-0000-0000-000042400000}"/>
    <cellStyle name="Standard 4 2 4 3 2 4 2 5" xfId="16264" xr:uid="{00000000-0005-0000-0000-000043400000}"/>
    <cellStyle name="Standard 4 2 4 3 2 4 2 6" xfId="16265" xr:uid="{00000000-0005-0000-0000-000044400000}"/>
    <cellStyle name="Standard 4 2 4 3 2 4 3" xfId="16266" xr:uid="{00000000-0005-0000-0000-000045400000}"/>
    <cellStyle name="Standard 4 2 4 3 2 4 3 2" xfId="16267" xr:uid="{00000000-0005-0000-0000-000046400000}"/>
    <cellStyle name="Standard 4 2 4 3 2 4 3 3" xfId="16268" xr:uid="{00000000-0005-0000-0000-000047400000}"/>
    <cellStyle name="Standard 4 2 4 3 2 4 4" xfId="16269" xr:uid="{00000000-0005-0000-0000-000048400000}"/>
    <cellStyle name="Standard 4 2 4 3 2 4 4 2" xfId="16270" xr:uid="{00000000-0005-0000-0000-000049400000}"/>
    <cellStyle name="Standard 4 2 4 3 2 4 4 3" xfId="16271" xr:uid="{00000000-0005-0000-0000-00004A400000}"/>
    <cellStyle name="Standard 4 2 4 3 2 4 5" xfId="16272" xr:uid="{00000000-0005-0000-0000-00004B400000}"/>
    <cellStyle name="Standard 4 2 4 3 2 4 5 2" xfId="16273" xr:uid="{00000000-0005-0000-0000-00004C400000}"/>
    <cellStyle name="Standard 4 2 4 3 2 4 6" xfId="16274" xr:uid="{00000000-0005-0000-0000-00004D400000}"/>
    <cellStyle name="Standard 4 2 4 3 2 4 7" xfId="16275" xr:uid="{00000000-0005-0000-0000-00004E400000}"/>
    <cellStyle name="Standard 4 2 4 3 2 5" xfId="16276" xr:uid="{00000000-0005-0000-0000-00004F400000}"/>
    <cellStyle name="Standard 4 2 4 3 2 5 2" xfId="16277" xr:uid="{00000000-0005-0000-0000-000050400000}"/>
    <cellStyle name="Standard 4 2 4 3 2 5 2 2" xfId="16278" xr:uid="{00000000-0005-0000-0000-000051400000}"/>
    <cellStyle name="Standard 4 2 4 3 2 5 2 3" xfId="16279" xr:uid="{00000000-0005-0000-0000-000052400000}"/>
    <cellStyle name="Standard 4 2 4 3 2 5 3" xfId="16280" xr:uid="{00000000-0005-0000-0000-000053400000}"/>
    <cellStyle name="Standard 4 2 4 3 2 5 3 2" xfId="16281" xr:uid="{00000000-0005-0000-0000-000054400000}"/>
    <cellStyle name="Standard 4 2 4 3 2 5 3 3" xfId="16282" xr:uid="{00000000-0005-0000-0000-000055400000}"/>
    <cellStyle name="Standard 4 2 4 3 2 5 4" xfId="16283" xr:uid="{00000000-0005-0000-0000-000056400000}"/>
    <cellStyle name="Standard 4 2 4 3 2 5 4 2" xfId="16284" xr:uid="{00000000-0005-0000-0000-000057400000}"/>
    <cellStyle name="Standard 4 2 4 3 2 5 5" xfId="16285" xr:uid="{00000000-0005-0000-0000-000058400000}"/>
    <cellStyle name="Standard 4 2 4 3 2 5 6" xfId="16286" xr:uid="{00000000-0005-0000-0000-000059400000}"/>
    <cellStyle name="Standard 4 2 4 3 2 6" xfId="16287" xr:uid="{00000000-0005-0000-0000-00005A400000}"/>
    <cellStyle name="Standard 4 2 4 3 2 6 2" xfId="16288" xr:uid="{00000000-0005-0000-0000-00005B400000}"/>
    <cellStyle name="Standard 4 2 4 3 2 6 3" xfId="16289" xr:uid="{00000000-0005-0000-0000-00005C400000}"/>
    <cellStyle name="Standard 4 2 4 3 2 7" xfId="16290" xr:uid="{00000000-0005-0000-0000-00005D400000}"/>
    <cellStyle name="Standard 4 2 4 3 2 7 2" xfId="16291" xr:uid="{00000000-0005-0000-0000-00005E400000}"/>
    <cellStyle name="Standard 4 2 4 3 2 7 3" xfId="16292" xr:uid="{00000000-0005-0000-0000-00005F400000}"/>
    <cellStyle name="Standard 4 2 4 3 2 8" xfId="16293" xr:uid="{00000000-0005-0000-0000-000060400000}"/>
    <cellStyle name="Standard 4 2 4 3 2 8 2" xfId="16294" xr:uid="{00000000-0005-0000-0000-000061400000}"/>
    <cellStyle name="Standard 4 2 4 3 2 9" xfId="16295" xr:uid="{00000000-0005-0000-0000-000062400000}"/>
    <cellStyle name="Standard 4 2 4 3 3" xfId="16296" xr:uid="{00000000-0005-0000-0000-000063400000}"/>
    <cellStyle name="Standard 4 2 4 3 3 2" xfId="16297" xr:uid="{00000000-0005-0000-0000-000064400000}"/>
    <cellStyle name="Standard 4 2 4 3 3 2 2" xfId="16298" xr:uid="{00000000-0005-0000-0000-000065400000}"/>
    <cellStyle name="Standard 4 2 4 3 3 2 2 2" xfId="16299" xr:uid="{00000000-0005-0000-0000-000066400000}"/>
    <cellStyle name="Standard 4 2 4 3 3 2 2 2 2" xfId="16300" xr:uid="{00000000-0005-0000-0000-000067400000}"/>
    <cellStyle name="Standard 4 2 4 3 3 2 2 2 3" xfId="16301" xr:uid="{00000000-0005-0000-0000-000068400000}"/>
    <cellStyle name="Standard 4 2 4 3 3 2 2 3" xfId="16302" xr:uid="{00000000-0005-0000-0000-000069400000}"/>
    <cellStyle name="Standard 4 2 4 3 3 2 2 3 2" xfId="16303" xr:uid="{00000000-0005-0000-0000-00006A400000}"/>
    <cellStyle name="Standard 4 2 4 3 3 2 2 3 3" xfId="16304" xr:uid="{00000000-0005-0000-0000-00006B400000}"/>
    <cellStyle name="Standard 4 2 4 3 3 2 2 4" xfId="16305" xr:uid="{00000000-0005-0000-0000-00006C400000}"/>
    <cellStyle name="Standard 4 2 4 3 3 2 2 4 2" xfId="16306" xr:uid="{00000000-0005-0000-0000-00006D400000}"/>
    <cellStyle name="Standard 4 2 4 3 3 2 2 5" xfId="16307" xr:uid="{00000000-0005-0000-0000-00006E400000}"/>
    <cellStyle name="Standard 4 2 4 3 3 2 2 6" xfId="16308" xr:uid="{00000000-0005-0000-0000-00006F400000}"/>
    <cellStyle name="Standard 4 2 4 3 3 2 3" xfId="16309" xr:uid="{00000000-0005-0000-0000-000070400000}"/>
    <cellStyle name="Standard 4 2 4 3 3 2 3 2" xfId="16310" xr:uid="{00000000-0005-0000-0000-000071400000}"/>
    <cellStyle name="Standard 4 2 4 3 3 2 3 3" xfId="16311" xr:uid="{00000000-0005-0000-0000-000072400000}"/>
    <cellStyle name="Standard 4 2 4 3 3 2 4" xfId="16312" xr:uid="{00000000-0005-0000-0000-000073400000}"/>
    <cellStyle name="Standard 4 2 4 3 3 2 4 2" xfId="16313" xr:uid="{00000000-0005-0000-0000-000074400000}"/>
    <cellStyle name="Standard 4 2 4 3 3 2 4 3" xfId="16314" xr:uid="{00000000-0005-0000-0000-000075400000}"/>
    <cellStyle name="Standard 4 2 4 3 3 2 5" xfId="16315" xr:uid="{00000000-0005-0000-0000-000076400000}"/>
    <cellStyle name="Standard 4 2 4 3 3 2 5 2" xfId="16316" xr:uid="{00000000-0005-0000-0000-000077400000}"/>
    <cellStyle name="Standard 4 2 4 3 3 2 6" xfId="16317" xr:uid="{00000000-0005-0000-0000-000078400000}"/>
    <cellStyle name="Standard 4 2 4 3 3 2 7" xfId="16318" xr:uid="{00000000-0005-0000-0000-000079400000}"/>
    <cellStyle name="Standard 4 2 4 3 3 3" xfId="16319" xr:uid="{00000000-0005-0000-0000-00007A400000}"/>
    <cellStyle name="Standard 4 2 4 3 3 3 2" xfId="16320" xr:uid="{00000000-0005-0000-0000-00007B400000}"/>
    <cellStyle name="Standard 4 2 4 3 3 3 2 2" xfId="16321" xr:uid="{00000000-0005-0000-0000-00007C400000}"/>
    <cellStyle name="Standard 4 2 4 3 3 3 2 3" xfId="16322" xr:uid="{00000000-0005-0000-0000-00007D400000}"/>
    <cellStyle name="Standard 4 2 4 3 3 3 3" xfId="16323" xr:uid="{00000000-0005-0000-0000-00007E400000}"/>
    <cellStyle name="Standard 4 2 4 3 3 3 3 2" xfId="16324" xr:uid="{00000000-0005-0000-0000-00007F400000}"/>
    <cellStyle name="Standard 4 2 4 3 3 3 3 3" xfId="16325" xr:uid="{00000000-0005-0000-0000-000080400000}"/>
    <cellStyle name="Standard 4 2 4 3 3 3 4" xfId="16326" xr:uid="{00000000-0005-0000-0000-000081400000}"/>
    <cellStyle name="Standard 4 2 4 3 3 3 4 2" xfId="16327" xr:uid="{00000000-0005-0000-0000-000082400000}"/>
    <cellStyle name="Standard 4 2 4 3 3 3 5" xfId="16328" xr:uid="{00000000-0005-0000-0000-000083400000}"/>
    <cellStyle name="Standard 4 2 4 3 3 3 6" xfId="16329" xr:uid="{00000000-0005-0000-0000-000084400000}"/>
    <cellStyle name="Standard 4 2 4 3 3 4" xfId="16330" xr:uid="{00000000-0005-0000-0000-000085400000}"/>
    <cellStyle name="Standard 4 2 4 3 3 4 2" xfId="16331" xr:uid="{00000000-0005-0000-0000-000086400000}"/>
    <cellStyle name="Standard 4 2 4 3 3 4 3" xfId="16332" xr:uid="{00000000-0005-0000-0000-000087400000}"/>
    <cellStyle name="Standard 4 2 4 3 3 5" xfId="16333" xr:uid="{00000000-0005-0000-0000-000088400000}"/>
    <cellStyle name="Standard 4 2 4 3 3 5 2" xfId="16334" xr:uid="{00000000-0005-0000-0000-000089400000}"/>
    <cellStyle name="Standard 4 2 4 3 3 5 3" xfId="16335" xr:uid="{00000000-0005-0000-0000-00008A400000}"/>
    <cellStyle name="Standard 4 2 4 3 3 6" xfId="16336" xr:uid="{00000000-0005-0000-0000-00008B400000}"/>
    <cellStyle name="Standard 4 2 4 3 3 6 2" xfId="16337" xr:uid="{00000000-0005-0000-0000-00008C400000}"/>
    <cellStyle name="Standard 4 2 4 3 3 7" xfId="16338" xr:uid="{00000000-0005-0000-0000-00008D400000}"/>
    <cellStyle name="Standard 4 2 4 3 3 8" xfId="16339" xr:uid="{00000000-0005-0000-0000-00008E400000}"/>
    <cellStyle name="Standard 4 2 4 3 4" xfId="16340" xr:uid="{00000000-0005-0000-0000-00008F400000}"/>
    <cellStyle name="Standard 4 2 4 3 4 2" xfId="16341" xr:uid="{00000000-0005-0000-0000-000090400000}"/>
    <cellStyle name="Standard 4 2 4 3 4 2 2" xfId="16342" xr:uid="{00000000-0005-0000-0000-000091400000}"/>
    <cellStyle name="Standard 4 2 4 3 4 2 2 2" xfId="16343" xr:uid="{00000000-0005-0000-0000-000092400000}"/>
    <cellStyle name="Standard 4 2 4 3 4 2 2 2 2" xfId="16344" xr:uid="{00000000-0005-0000-0000-000093400000}"/>
    <cellStyle name="Standard 4 2 4 3 4 2 2 2 3" xfId="16345" xr:uid="{00000000-0005-0000-0000-000094400000}"/>
    <cellStyle name="Standard 4 2 4 3 4 2 2 3" xfId="16346" xr:uid="{00000000-0005-0000-0000-000095400000}"/>
    <cellStyle name="Standard 4 2 4 3 4 2 2 3 2" xfId="16347" xr:uid="{00000000-0005-0000-0000-000096400000}"/>
    <cellStyle name="Standard 4 2 4 3 4 2 2 3 3" xfId="16348" xr:uid="{00000000-0005-0000-0000-000097400000}"/>
    <cellStyle name="Standard 4 2 4 3 4 2 2 4" xfId="16349" xr:uid="{00000000-0005-0000-0000-000098400000}"/>
    <cellStyle name="Standard 4 2 4 3 4 2 2 4 2" xfId="16350" xr:uid="{00000000-0005-0000-0000-000099400000}"/>
    <cellStyle name="Standard 4 2 4 3 4 2 2 5" xfId="16351" xr:uid="{00000000-0005-0000-0000-00009A400000}"/>
    <cellStyle name="Standard 4 2 4 3 4 2 2 6" xfId="16352" xr:uid="{00000000-0005-0000-0000-00009B400000}"/>
    <cellStyle name="Standard 4 2 4 3 4 2 3" xfId="16353" xr:uid="{00000000-0005-0000-0000-00009C400000}"/>
    <cellStyle name="Standard 4 2 4 3 4 2 3 2" xfId="16354" xr:uid="{00000000-0005-0000-0000-00009D400000}"/>
    <cellStyle name="Standard 4 2 4 3 4 2 3 3" xfId="16355" xr:uid="{00000000-0005-0000-0000-00009E400000}"/>
    <cellStyle name="Standard 4 2 4 3 4 2 4" xfId="16356" xr:uid="{00000000-0005-0000-0000-00009F400000}"/>
    <cellStyle name="Standard 4 2 4 3 4 2 4 2" xfId="16357" xr:uid="{00000000-0005-0000-0000-0000A0400000}"/>
    <cellStyle name="Standard 4 2 4 3 4 2 4 3" xfId="16358" xr:uid="{00000000-0005-0000-0000-0000A1400000}"/>
    <cellStyle name="Standard 4 2 4 3 4 2 5" xfId="16359" xr:uid="{00000000-0005-0000-0000-0000A2400000}"/>
    <cellStyle name="Standard 4 2 4 3 4 2 5 2" xfId="16360" xr:uid="{00000000-0005-0000-0000-0000A3400000}"/>
    <cellStyle name="Standard 4 2 4 3 4 2 6" xfId="16361" xr:uid="{00000000-0005-0000-0000-0000A4400000}"/>
    <cellStyle name="Standard 4 2 4 3 4 2 7" xfId="16362" xr:uid="{00000000-0005-0000-0000-0000A5400000}"/>
    <cellStyle name="Standard 4 2 4 3 4 3" xfId="16363" xr:uid="{00000000-0005-0000-0000-0000A6400000}"/>
    <cellStyle name="Standard 4 2 4 3 4 3 2" xfId="16364" xr:uid="{00000000-0005-0000-0000-0000A7400000}"/>
    <cellStyle name="Standard 4 2 4 3 4 3 2 2" xfId="16365" xr:uid="{00000000-0005-0000-0000-0000A8400000}"/>
    <cellStyle name="Standard 4 2 4 3 4 3 2 3" xfId="16366" xr:uid="{00000000-0005-0000-0000-0000A9400000}"/>
    <cellStyle name="Standard 4 2 4 3 4 3 3" xfId="16367" xr:uid="{00000000-0005-0000-0000-0000AA400000}"/>
    <cellStyle name="Standard 4 2 4 3 4 3 3 2" xfId="16368" xr:uid="{00000000-0005-0000-0000-0000AB400000}"/>
    <cellStyle name="Standard 4 2 4 3 4 3 3 3" xfId="16369" xr:uid="{00000000-0005-0000-0000-0000AC400000}"/>
    <cellStyle name="Standard 4 2 4 3 4 3 4" xfId="16370" xr:uid="{00000000-0005-0000-0000-0000AD400000}"/>
    <cellStyle name="Standard 4 2 4 3 4 3 4 2" xfId="16371" xr:uid="{00000000-0005-0000-0000-0000AE400000}"/>
    <cellStyle name="Standard 4 2 4 3 4 3 5" xfId="16372" xr:uid="{00000000-0005-0000-0000-0000AF400000}"/>
    <cellStyle name="Standard 4 2 4 3 4 3 6" xfId="16373" xr:uid="{00000000-0005-0000-0000-0000B0400000}"/>
    <cellStyle name="Standard 4 2 4 3 4 4" xfId="16374" xr:uid="{00000000-0005-0000-0000-0000B1400000}"/>
    <cellStyle name="Standard 4 2 4 3 4 4 2" xfId="16375" xr:uid="{00000000-0005-0000-0000-0000B2400000}"/>
    <cellStyle name="Standard 4 2 4 3 4 4 3" xfId="16376" xr:uid="{00000000-0005-0000-0000-0000B3400000}"/>
    <cellStyle name="Standard 4 2 4 3 4 5" xfId="16377" xr:uid="{00000000-0005-0000-0000-0000B4400000}"/>
    <cellStyle name="Standard 4 2 4 3 4 5 2" xfId="16378" xr:uid="{00000000-0005-0000-0000-0000B5400000}"/>
    <cellStyle name="Standard 4 2 4 3 4 5 3" xfId="16379" xr:uid="{00000000-0005-0000-0000-0000B6400000}"/>
    <cellStyle name="Standard 4 2 4 3 4 6" xfId="16380" xr:uid="{00000000-0005-0000-0000-0000B7400000}"/>
    <cellStyle name="Standard 4 2 4 3 4 6 2" xfId="16381" xr:uid="{00000000-0005-0000-0000-0000B8400000}"/>
    <cellStyle name="Standard 4 2 4 3 4 7" xfId="16382" xr:uid="{00000000-0005-0000-0000-0000B9400000}"/>
    <cellStyle name="Standard 4 2 4 3 4 8" xfId="16383" xr:uid="{00000000-0005-0000-0000-0000BA400000}"/>
    <cellStyle name="Standard 4 2 4 3 5" xfId="16384" xr:uid="{00000000-0005-0000-0000-0000BB400000}"/>
    <cellStyle name="Standard 4 2 4 3 5 2" xfId="16385" xr:uid="{00000000-0005-0000-0000-0000BC400000}"/>
    <cellStyle name="Standard 4 2 4 3 5 2 2" xfId="16386" xr:uid="{00000000-0005-0000-0000-0000BD400000}"/>
    <cellStyle name="Standard 4 2 4 3 5 2 2 2" xfId="16387" xr:uid="{00000000-0005-0000-0000-0000BE400000}"/>
    <cellStyle name="Standard 4 2 4 3 5 2 2 3" xfId="16388" xr:uid="{00000000-0005-0000-0000-0000BF400000}"/>
    <cellStyle name="Standard 4 2 4 3 5 2 3" xfId="16389" xr:uid="{00000000-0005-0000-0000-0000C0400000}"/>
    <cellStyle name="Standard 4 2 4 3 5 2 3 2" xfId="16390" xr:uid="{00000000-0005-0000-0000-0000C1400000}"/>
    <cellStyle name="Standard 4 2 4 3 5 2 3 3" xfId="16391" xr:uid="{00000000-0005-0000-0000-0000C2400000}"/>
    <cellStyle name="Standard 4 2 4 3 5 2 4" xfId="16392" xr:uid="{00000000-0005-0000-0000-0000C3400000}"/>
    <cellStyle name="Standard 4 2 4 3 5 2 4 2" xfId="16393" xr:uid="{00000000-0005-0000-0000-0000C4400000}"/>
    <cellStyle name="Standard 4 2 4 3 5 2 5" xfId="16394" xr:uid="{00000000-0005-0000-0000-0000C5400000}"/>
    <cellStyle name="Standard 4 2 4 3 5 2 6" xfId="16395" xr:uid="{00000000-0005-0000-0000-0000C6400000}"/>
    <cellStyle name="Standard 4 2 4 3 5 3" xfId="16396" xr:uid="{00000000-0005-0000-0000-0000C7400000}"/>
    <cellStyle name="Standard 4 2 4 3 5 3 2" xfId="16397" xr:uid="{00000000-0005-0000-0000-0000C8400000}"/>
    <cellStyle name="Standard 4 2 4 3 5 3 3" xfId="16398" xr:uid="{00000000-0005-0000-0000-0000C9400000}"/>
    <cellStyle name="Standard 4 2 4 3 5 4" xfId="16399" xr:uid="{00000000-0005-0000-0000-0000CA400000}"/>
    <cellStyle name="Standard 4 2 4 3 5 4 2" xfId="16400" xr:uid="{00000000-0005-0000-0000-0000CB400000}"/>
    <cellStyle name="Standard 4 2 4 3 5 4 3" xfId="16401" xr:uid="{00000000-0005-0000-0000-0000CC400000}"/>
    <cellStyle name="Standard 4 2 4 3 5 5" xfId="16402" xr:uid="{00000000-0005-0000-0000-0000CD400000}"/>
    <cellStyle name="Standard 4 2 4 3 5 5 2" xfId="16403" xr:uid="{00000000-0005-0000-0000-0000CE400000}"/>
    <cellStyle name="Standard 4 2 4 3 5 6" xfId="16404" xr:uid="{00000000-0005-0000-0000-0000CF400000}"/>
    <cellStyle name="Standard 4 2 4 3 5 7" xfId="16405" xr:uid="{00000000-0005-0000-0000-0000D0400000}"/>
    <cellStyle name="Standard 4 2 4 3 6" xfId="16406" xr:uid="{00000000-0005-0000-0000-0000D1400000}"/>
    <cellStyle name="Standard 4 2 4 3 6 2" xfId="16407" xr:uid="{00000000-0005-0000-0000-0000D2400000}"/>
    <cellStyle name="Standard 4 2 4 3 6 2 2" xfId="16408" xr:uid="{00000000-0005-0000-0000-0000D3400000}"/>
    <cellStyle name="Standard 4 2 4 3 6 2 3" xfId="16409" xr:uid="{00000000-0005-0000-0000-0000D4400000}"/>
    <cellStyle name="Standard 4 2 4 3 6 3" xfId="16410" xr:uid="{00000000-0005-0000-0000-0000D5400000}"/>
    <cellStyle name="Standard 4 2 4 3 6 3 2" xfId="16411" xr:uid="{00000000-0005-0000-0000-0000D6400000}"/>
    <cellStyle name="Standard 4 2 4 3 6 3 3" xfId="16412" xr:uid="{00000000-0005-0000-0000-0000D7400000}"/>
    <cellStyle name="Standard 4 2 4 3 6 4" xfId="16413" xr:uid="{00000000-0005-0000-0000-0000D8400000}"/>
    <cellStyle name="Standard 4 2 4 3 6 4 2" xfId="16414" xr:uid="{00000000-0005-0000-0000-0000D9400000}"/>
    <cellStyle name="Standard 4 2 4 3 6 5" xfId="16415" xr:uid="{00000000-0005-0000-0000-0000DA400000}"/>
    <cellStyle name="Standard 4 2 4 3 6 6" xfId="16416" xr:uid="{00000000-0005-0000-0000-0000DB400000}"/>
    <cellStyle name="Standard 4 2 4 3 7" xfId="16417" xr:uid="{00000000-0005-0000-0000-0000DC400000}"/>
    <cellStyle name="Standard 4 2 4 3 7 2" xfId="16418" xr:uid="{00000000-0005-0000-0000-0000DD400000}"/>
    <cellStyle name="Standard 4 2 4 3 7 3" xfId="16419" xr:uid="{00000000-0005-0000-0000-0000DE400000}"/>
    <cellStyle name="Standard 4 2 4 3 8" xfId="16420" xr:uid="{00000000-0005-0000-0000-0000DF400000}"/>
    <cellStyle name="Standard 4 2 4 3 8 2" xfId="16421" xr:uid="{00000000-0005-0000-0000-0000E0400000}"/>
    <cellStyle name="Standard 4 2 4 3 8 3" xfId="16422" xr:uid="{00000000-0005-0000-0000-0000E1400000}"/>
    <cellStyle name="Standard 4 2 4 3 9" xfId="16423" xr:uid="{00000000-0005-0000-0000-0000E2400000}"/>
    <cellStyle name="Standard 4 2 4 3 9 2" xfId="16424" xr:uid="{00000000-0005-0000-0000-0000E3400000}"/>
    <cellStyle name="Standard 4 2 4 4" xfId="16425" xr:uid="{00000000-0005-0000-0000-0000E4400000}"/>
    <cellStyle name="Standard 4 2 4 4 10" xfId="16426" xr:uid="{00000000-0005-0000-0000-0000E5400000}"/>
    <cellStyle name="Standard 4 2 4 4 2" xfId="16427" xr:uid="{00000000-0005-0000-0000-0000E6400000}"/>
    <cellStyle name="Standard 4 2 4 4 2 2" xfId="16428" xr:uid="{00000000-0005-0000-0000-0000E7400000}"/>
    <cellStyle name="Standard 4 2 4 4 2 2 2" xfId="16429" xr:uid="{00000000-0005-0000-0000-0000E8400000}"/>
    <cellStyle name="Standard 4 2 4 4 2 2 2 2" xfId="16430" xr:uid="{00000000-0005-0000-0000-0000E9400000}"/>
    <cellStyle name="Standard 4 2 4 4 2 2 2 2 2" xfId="16431" xr:uid="{00000000-0005-0000-0000-0000EA400000}"/>
    <cellStyle name="Standard 4 2 4 4 2 2 2 2 3" xfId="16432" xr:uid="{00000000-0005-0000-0000-0000EB400000}"/>
    <cellStyle name="Standard 4 2 4 4 2 2 2 3" xfId="16433" xr:uid="{00000000-0005-0000-0000-0000EC400000}"/>
    <cellStyle name="Standard 4 2 4 4 2 2 2 3 2" xfId="16434" xr:uid="{00000000-0005-0000-0000-0000ED400000}"/>
    <cellStyle name="Standard 4 2 4 4 2 2 2 3 3" xfId="16435" xr:uid="{00000000-0005-0000-0000-0000EE400000}"/>
    <cellStyle name="Standard 4 2 4 4 2 2 2 4" xfId="16436" xr:uid="{00000000-0005-0000-0000-0000EF400000}"/>
    <cellStyle name="Standard 4 2 4 4 2 2 2 4 2" xfId="16437" xr:uid="{00000000-0005-0000-0000-0000F0400000}"/>
    <cellStyle name="Standard 4 2 4 4 2 2 2 5" xfId="16438" xr:uid="{00000000-0005-0000-0000-0000F1400000}"/>
    <cellStyle name="Standard 4 2 4 4 2 2 2 6" xfId="16439" xr:uid="{00000000-0005-0000-0000-0000F2400000}"/>
    <cellStyle name="Standard 4 2 4 4 2 2 3" xfId="16440" xr:uid="{00000000-0005-0000-0000-0000F3400000}"/>
    <cellStyle name="Standard 4 2 4 4 2 2 3 2" xfId="16441" xr:uid="{00000000-0005-0000-0000-0000F4400000}"/>
    <cellStyle name="Standard 4 2 4 4 2 2 3 3" xfId="16442" xr:uid="{00000000-0005-0000-0000-0000F5400000}"/>
    <cellStyle name="Standard 4 2 4 4 2 2 4" xfId="16443" xr:uid="{00000000-0005-0000-0000-0000F6400000}"/>
    <cellStyle name="Standard 4 2 4 4 2 2 4 2" xfId="16444" xr:uid="{00000000-0005-0000-0000-0000F7400000}"/>
    <cellStyle name="Standard 4 2 4 4 2 2 4 3" xfId="16445" xr:uid="{00000000-0005-0000-0000-0000F8400000}"/>
    <cellStyle name="Standard 4 2 4 4 2 2 5" xfId="16446" xr:uid="{00000000-0005-0000-0000-0000F9400000}"/>
    <cellStyle name="Standard 4 2 4 4 2 2 5 2" xfId="16447" xr:uid="{00000000-0005-0000-0000-0000FA400000}"/>
    <cellStyle name="Standard 4 2 4 4 2 2 6" xfId="16448" xr:uid="{00000000-0005-0000-0000-0000FB400000}"/>
    <cellStyle name="Standard 4 2 4 4 2 2 7" xfId="16449" xr:uid="{00000000-0005-0000-0000-0000FC400000}"/>
    <cellStyle name="Standard 4 2 4 4 2 3" xfId="16450" xr:uid="{00000000-0005-0000-0000-0000FD400000}"/>
    <cellStyle name="Standard 4 2 4 4 2 3 2" xfId="16451" xr:uid="{00000000-0005-0000-0000-0000FE400000}"/>
    <cellStyle name="Standard 4 2 4 4 2 3 2 2" xfId="16452" xr:uid="{00000000-0005-0000-0000-0000FF400000}"/>
    <cellStyle name="Standard 4 2 4 4 2 3 2 3" xfId="16453" xr:uid="{00000000-0005-0000-0000-000000410000}"/>
    <cellStyle name="Standard 4 2 4 4 2 3 3" xfId="16454" xr:uid="{00000000-0005-0000-0000-000001410000}"/>
    <cellStyle name="Standard 4 2 4 4 2 3 3 2" xfId="16455" xr:uid="{00000000-0005-0000-0000-000002410000}"/>
    <cellStyle name="Standard 4 2 4 4 2 3 3 3" xfId="16456" xr:uid="{00000000-0005-0000-0000-000003410000}"/>
    <cellStyle name="Standard 4 2 4 4 2 3 4" xfId="16457" xr:uid="{00000000-0005-0000-0000-000004410000}"/>
    <cellStyle name="Standard 4 2 4 4 2 3 4 2" xfId="16458" xr:uid="{00000000-0005-0000-0000-000005410000}"/>
    <cellStyle name="Standard 4 2 4 4 2 3 5" xfId="16459" xr:uid="{00000000-0005-0000-0000-000006410000}"/>
    <cellStyle name="Standard 4 2 4 4 2 3 6" xfId="16460" xr:uid="{00000000-0005-0000-0000-000007410000}"/>
    <cellStyle name="Standard 4 2 4 4 2 4" xfId="16461" xr:uid="{00000000-0005-0000-0000-000008410000}"/>
    <cellStyle name="Standard 4 2 4 4 2 4 2" xfId="16462" xr:uid="{00000000-0005-0000-0000-000009410000}"/>
    <cellStyle name="Standard 4 2 4 4 2 4 3" xfId="16463" xr:uid="{00000000-0005-0000-0000-00000A410000}"/>
    <cellStyle name="Standard 4 2 4 4 2 5" xfId="16464" xr:uid="{00000000-0005-0000-0000-00000B410000}"/>
    <cellStyle name="Standard 4 2 4 4 2 5 2" xfId="16465" xr:uid="{00000000-0005-0000-0000-00000C410000}"/>
    <cellStyle name="Standard 4 2 4 4 2 5 3" xfId="16466" xr:uid="{00000000-0005-0000-0000-00000D410000}"/>
    <cellStyle name="Standard 4 2 4 4 2 6" xfId="16467" xr:uid="{00000000-0005-0000-0000-00000E410000}"/>
    <cellStyle name="Standard 4 2 4 4 2 6 2" xfId="16468" xr:uid="{00000000-0005-0000-0000-00000F410000}"/>
    <cellStyle name="Standard 4 2 4 4 2 7" xfId="16469" xr:uid="{00000000-0005-0000-0000-000010410000}"/>
    <cellStyle name="Standard 4 2 4 4 2 8" xfId="16470" xr:uid="{00000000-0005-0000-0000-000011410000}"/>
    <cellStyle name="Standard 4 2 4 4 3" xfId="16471" xr:uid="{00000000-0005-0000-0000-000012410000}"/>
    <cellStyle name="Standard 4 2 4 4 3 2" xfId="16472" xr:uid="{00000000-0005-0000-0000-000013410000}"/>
    <cellStyle name="Standard 4 2 4 4 3 2 2" xfId="16473" xr:uid="{00000000-0005-0000-0000-000014410000}"/>
    <cellStyle name="Standard 4 2 4 4 3 2 2 2" xfId="16474" xr:uid="{00000000-0005-0000-0000-000015410000}"/>
    <cellStyle name="Standard 4 2 4 4 3 2 2 2 2" xfId="16475" xr:uid="{00000000-0005-0000-0000-000016410000}"/>
    <cellStyle name="Standard 4 2 4 4 3 2 2 2 3" xfId="16476" xr:uid="{00000000-0005-0000-0000-000017410000}"/>
    <cellStyle name="Standard 4 2 4 4 3 2 2 3" xfId="16477" xr:uid="{00000000-0005-0000-0000-000018410000}"/>
    <cellStyle name="Standard 4 2 4 4 3 2 2 3 2" xfId="16478" xr:uid="{00000000-0005-0000-0000-000019410000}"/>
    <cellStyle name="Standard 4 2 4 4 3 2 2 3 3" xfId="16479" xr:uid="{00000000-0005-0000-0000-00001A410000}"/>
    <cellStyle name="Standard 4 2 4 4 3 2 2 4" xfId="16480" xr:uid="{00000000-0005-0000-0000-00001B410000}"/>
    <cellStyle name="Standard 4 2 4 4 3 2 2 4 2" xfId="16481" xr:uid="{00000000-0005-0000-0000-00001C410000}"/>
    <cellStyle name="Standard 4 2 4 4 3 2 2 5" xfId="16482" xr:uid="{00000000-0005-0000-0000-00001D410000}"/>
    <cellStyle name="Standard 4 2 4 4 3 2 2 6" xfId="16483" xr:uid="{00000000-0005-0000-0000-00001E410000}"/>
    <cellStyle name="Standard 4 2 4 4 3 2 3" xfId="16484" xr:uid="{00000000-0005-0000-0000-00001F410000}"/>
    <cellStyle name="Standard 4 2 4 4 3 2 3 2" xfId="16485" xr:uid="{00000000-0005-0000-0000-000020410000}"/>
    <cellStyle name="Standard 4 2 4 4 3 2 3 3" xfId="16486" xr:uid="{00000000-0005-0000-0000-000021410000}"/>
    <cellStyle name="Standard 4 2 4 4 3 2 4" xfId="16487" xr:uid="{00000000-0005-0000-0000-000022410000}"/>
    <cellStyle name="Standard 4 2 4 4 3 2 4 2" xfId="16488" xr:uid="{00000000-0005-0000-0000-000023410000}"/>
    <cellStyle name="Standard 4 2 4 4 3 2 4 3" xfId="16489" xr:uid="{00000000-0005-0000-0000-000024410000}"/>
    <cellStyle name="Standard 4 2 4 4 3 2 5" xfId="16490" xr:uid="{00000000-0005-0000-0000-000025410000}"/>
    <cellStyle name="Standard 4 2 4 4 3 2 5 2" xfId="16491" xr:uid="{00000000-0005-0000-0000-000026410000}"/>
    <cellStyle name="Standard 4 2 4 4 3 2 6" xfId="16492" xr:uid="{00000000-0005-0000-0000-000027410000}"/>
    <cellStyle name="Standard 4 2 4 4 3 2 7" xfId="16493" xr:uid="{00000000-0005-0000-0000-000028410000}"/>
    <cellStyle name="Standard 4 2 4 4 3 3" xfId="16494" xr:uid="{00000000-0005-0000-0000-000029410000}"/>
    <cellStyle name="Standard 4 2 4 4 3 3 2" xfId="16495" xr:uid="{00000000-0005-0000-0000-00002A410000}"/>
    <cellStyle name="Standard 4 2 4 4 3 3 2 2" xfId="16496" xr:uid="{00000000-0005-0000-0000-00002B410000}"/>
    <cellStyle name="Standard 4 2 4 4 3 3 2 3" xfId="16497" xr:uid="{00000000-0005-0000-0000-00002C410000}"/>
    <cellStyle name="Standard 4 2 4 4 3 3 3" xfId="16498" xr:uid="{00000000-0005-0000-0000-00002D410000}"/>
    <cellStyle name="Standard 4 2 4 4 3 3 3 2" xfId="16499" xr:uid="{00000000-0005-0000-0000-00002E410000}"/>
    <cellStyle name="Standard 4 2 4 4 3 3 3 3" xfId="16500" xr:uid="{00000000-0005-0000-0000-00002F410000}"/>
    <cellStyle name="Standard 4 2 4 4 3 3 4" xfId="16501" xr:uid="{00000000-0005-0000-0000-000030410000}"/>
    <cellStyle name="Standard 4 2 4 4 3 3 4 2" xfId="16502" xr:uid="{00000000-0005-0000-0000-000031410000}"/>
    <cellStyle name="Standard 4 2 4 4 3 3 5" xfId="16503" xr:uid="{00000000-0005-0000-0000-000032410000}"/>
    <cellStyle name="Standard 4 2 4 4 3 3 6" xfId="16504" xr:uid="{00000000-0005-0000-0000-000033410000}"/>
    <cellStyle name="Standard 4 2 4 4 3 4" xfId="16505" xr:uid="{00000000-0005-0000-0000-000034410000}"/>
    <cellStyle name="Standard 4 2 4 4 3 4 2" xfId="16506" xr:uid="{00000000-0005-0000-0000-000035410000}"/>
    <cellStyle name="Standard 4 2 4 4 3 4 3" xfId="16507" xr:uid="{00000000-0005-0000-0000-000036410000}"/>
    <cellStyle name="Standard 4 2 4 4 3 5" xfId="16508" xr:uid="{00000000-0005-0000-0000-000037410000}"/>
    <cellStyle name="Standard 4 2 4 4 3 5 2" xfId="16509" xr:uid="{00000000-0005-0000-0000-000038410000}"/>
    <cellStyle name="Standard 4 2 4 4 3 5 3" xfId="16510" xr:uid="{00000000-0005-0000-0000-000039410000}"/>
    <cellStyle name="Standard 4 2 4 4 3 6" xfId="16511" xr:uid="{00000000-0005-0000-0000-00003A410000}"/>
    <cellStyle name="Standard 4 2 4 4 3 6 2" xfId="16512" xr:uid="{00000000-0005-0000-0000-00003B410000}"/>
    <cellStyle name="Standard 4 2 4 4 3 7" xfId="16513" xr:uid="{00000000-0005-0000-0000-00003C410000}"/>
    <cellStyle name="Standard 4 2 4 4 3 8" xfId="16514" xr:uid="{00000000-0005-0000-0000-00003D410000}"/>
    <cellStyle name="Standard 4 2 4 4 4" xfId="16515" xr:uid="{00000000-0005-0000-0000-00003E410000}"/>
    <cellStyle name="Standard 4 2 4 4 4 2" xfId="16516" xr:uid="{00000000-0005-0000-0000-00003F410000}"/>
    <cellStyle name="Standard 4 2 4 4 4 2 2" xfId="16517" xr:uid="{00000000-0005-0000-0000-000040410000}"/>
    <cellStyle name="Standard 4 2 4 4 4 2 2 2" xfId="16518" xr:uid="{00000000-0005-0000-0000-000041410000}"/>
    <cellStyle name="Standard 4 2 4 4 4 2 2 3" xfId="16519" xr:uid="{00000000-0005-0000-0000-000042410000}"/>
    <cellStyle name="Standard 4 2 4 4 4 2 3" xfId="16520" xr:uid="{00000000-0005-0000-0000-000043410000}"/>
    <cellStyle name="Standard 4 2 4 4 4 2 3 2" xfId="16521" xr:uid="{00000000-0005-0000-0000-000044410000}"/>
    <cellStyle name="Standard 4 2 4 4 4 2 3 3" xfId="16522" xr:uid="{00000000-0005-0000-0000-000045410000}"/>
    <cellStyle name="Standard 4 2 4 4 4 2 4" xfId="16523" xr:uid="{00000000-0005-0000-0000-000046410000}"/>
    <cellStyle name="Standard 4 2 4 4 4 2 4 2" xfId="16524" xr:uid="{00000000-0005-0000-0000-000047410000}"/>
    <cellStyle name="Standard 4 2 4 4 4 2 5" xfId="16525" xr:uid="{00000000-0005-0000-0000-000048410000}"/>
    <cellStyle name="Standard 4 2 4 4 4 2 6" xfId="16526" xr:uid="{00000000-0005-0000-0000-000049410000}"/>
    <cellStyle name="Standard 4 2 4 4 4 3" xfId="16527" xr:uid="{00000000-0005-0000-0000-00004A410000}"/>
    <cellStyle name="Standard 4 2 4 4 4 3 2" xfId="16528" xr:uid="{00000000-0005-0000-0000-00004B410000}"/>
    <cellStyle name="Standard 4 2 4 4 4 3 3" xfId="16529" xr:uid="{00000000-0005-0000-0000-00004C410000}"/>
    <cellStyle name="Standard 4 2 4 4 4 4" xfId="16530" xr:uid="{00000000-0005-0000-0000-00004D410000}"/>
    <cellStyle name="Standard 4 2 4 4 4 4 2" xfId="16531" xr:uid="{00000000-0005-0000-0000-00004E410000}"/>
    <cellStyle name="Standard 4 2 4 4 4 4 3" xfId="16532" xr:uid="{00000000-0005-0000-0000-00004F410000}"/>
    <cellStyle name="Standard 4 2 4 4 4 5" xfId="16533" xr:uid="{00000000-0005-0000-0000-000050410000}"/>
    <cellStyle name="Standard 4 2 4 4 4 5 2" xfId="16534" xr:uid="{00000000-0005-0000-0000-000051410000}"/>
    <cellStyle name="Standard 4 2 4 4 4 6" xfId="16535" xr:uid="{00000000-0005-0000-0000-000052410000}"/>
    <cellStyle name="Standard 4 2 4 4 4 7" xfId="16536" xr:uid="{00000000-0005-0000-0000-000053410000}"/>
    <cellStyle name="Standard 4 2 4 4 5" xfId="16537" xr:uid="{00000000-0005-0000-0000-000054410000}"/>
    <cellStyle name="Standard 4 2 4 4 5 2" xfId="16538" xr:uid="{00000000-0005-0000-0000-000055410000}"/>
    <cellStyle name="Standard 4 2 4 4 5 2 2" xfId="16539" xr:uid="{00000000-0005-0000-0000-000056410000}"/>
    <cellStyle name="Standard 4 2 4 4 5 2 3" xfId="16540" xr:uid="{00000000-0005-0000-0000-000057410000}"/>
    <cellStyle name="Standard 4 2 4 4 5 3" xfId="16541" xr:uid="{00000000-0005-0000-0000-000058410000}"/>
    <cellStyle name="Standard 4 2 4 4 5 3 2" xfId="16542" xr:uid="{00000000-0005-0000-0000-000059410000}"/>
    <cellStyle name="Standard 4 2 4 4 5 3 3" xfId="16543" xr:uid="{00000000-0005-0000-0000-00005A410000}"/>
    <cellStyle name="Standard 4 2 4 4 5 4" xfId="16544" xr:uid="{00000000-0005-0000-0000-00005B410000}"/>
    <cellStyle name="Standard 4 2 4 4 5 4 2" xfId="16545" xr:uid="{00000000-0005-0000-0000-00005C410000}"/>
    <cellStyle name="Standard 4 2 4 4 5 5" xfId="16546" xr:uid="{00000000-0005-0000-0000-00005D410000}"/>
    <cellStyle name="Standard 4 2 4 4 5 6" xfId="16547" xr:uid="{00000000-0005-0000-0000-00005E410000}"/>
    <cellStyle name="Standard 4 2 4 4 6" xfId="16548" xr:uid="{00000000-0005-0000-0000-00005F410000}"/>
    <cellStyle name="Standard 4 2 4 4 6 2" xfId="16549" xr:uid="{00000000-0005-0000-0000-000060410000}"/>
    <cellStyle name="Standard 4 2 4 4 6 3" xfId="16550" xr:uid="{00000000-0005-0000-0000-000061410000}"/>
    <cellStyle name="Standard 4 2 4 4 7" xfId="16551" xr:uid="{00000000-0005-0000-0000-000062410000}"/>
    <cellStyle name="Standard 4 2 4 4 7 2" xfId="16552" xr:uid="{00000000-0005-0000-0000-000063410000}"/>
    <cellStyle name="Standard 4 2 4 4 7 3" xfId="16553" xr:uid="{00000000-0005-0000-0000-000064410000}"/>
    <cellStyle name="Standard 4 2 4 4 8" xfId="16554" xr:uid="{00000000-0005-0000-0000-000065410000}"/>
    <cellStyle name="Standard 4 2 4 4 8 2" xfId="16555" xr:uid="{00000000-0005-0000-0000-000066410000}"/>
    <cellStyle name="Standard 4 2 4 4 9" xfId="16556" xr:uid="{00000000-0005-0000-0000-000067410000}"/>
    <cellStyle name="Standard 4 2 4 5" xfId="16557" xr:uid="{00000000-0005-0000-0000-000068410000}"/>
    <cellStyle name="Standard 4 2 4 5 2" xfId="16558" xr:uid="{00000000-0005-0000-0000-000069410000}"/>
    <cellStyle name="Standard 4 2 4 5 2 2" xfId="16559" xr:uid="{00000000-0005-0000-0000-00006A410000}"/>
    <cellStyle name="Standard 4 2 4 5 2 2 2" xfId="16560" xr:uid="{00000000-0005-0000-0000-00006B410000}"/>
    <cellStyle name="Standard 4 2 4 5 2 2 2 2" xfId="16561" xr:uid="{00000000-0005-0000-0000-00006C410000}"/>
    <cellStyle name="Standard 4 2 4 5 2 2 2 3" xfId="16562" xr:uid="{00000000-0005-0000-0000-00006D410000}"/>
    <cellStyle name="Standard 4 2 4 5 2 2 3" xfId="16563" xr:uid="{00000000-0005-0000-0000-00006E410000}"/>
    <cellStyle name="Standard 4 2 4 5 2 2 3 2" xfId="16564" xr:uid="{00000000-0005-0000-0000-00006F410000}"/>
    <cellStyle name="Standard 4 2 4 5 2 2 3 3" xfId="16565" xr:uid="{00000000-0005-0000-0000-000070410000}"/>
    <cellStyle name="Standard 4 2 4 5 2 2 4" xfId="16566" xr:uid="{00000000-0005-0000-0000-000071410000}"/>
    <cellStyle name="Standard 4 2 4 5 2 2 4 2" xfId="16567" xr:uid="{00000000-0005-0000-0000-000072410000}"/>
    <cellStyle name="Standard 4 2 4 5 2 2 5" xfId="16568" xr:uid="{00000000-0005-0000-0000-000073410000}"/>
    <cellStyle name="Standard 4 2 4 5 2 2 6" xfId="16569" xr:uid="{00000000-0005-0000-0000-000074410000}"/>
    <cellStyle name="Standard 4 2 4 5 2 3" xfId="16570" xr:uid="{00000000-0005-0000-0000-000075410000}"/>
    <cellStyle name="Standard 4 2 4 5 2 3 2" xfId="16571" xr:uid="{00000000-0005-0000-0000-000076410000}"/>
    <cellStyle name="Standard 4 2 4 5 2 3 3" xfId="16572" xr:uid="{00000000-0005-0000-0000-000077410000}"/>
    <cellStyle name="Standard 4 2 4 5 2 4" xfId="16573" xr:uid="{00000000-0005-0000-0000-000078410000}"/>
    <cellStyle name="Standard 4 2 4 5 2 4 2" xfId="16574" xr:uid="{00000000-0005-0000-0000-000079410000}"/>
    <cellStyle name="Standard 4 2 4 5 2 4 3" xfId="16575" xr:uid="{00000000-0005-0000-0000-00007A410000}"/>
    <cellStyle name="Standard 4 2 4 5 2 5" xfId="16576" xr:uid="{00000000-0005-0000-0000-00007B410000}"/>
    <cellStyle name="Standard 4 2 4 5 2 5 2" xfId="16577" xr:uid="{00000000-0005-0000-0000-00007C410000}"/>
    <cellStyle name="Standard 4 2 4 5 2 6" xfId="16578" xr:uid="{00000000-0005-0000-0000-00007D410000}"/>
    <cellStyle name="Standard 4 2 4 5 2 7" xfId="16579" xr:uid="{00000000-0005-0000-0000-00007E410000}"/>
    <cellStyle name="Standard 4 2 4 5 3" xfId="16580" xr:uid="{00000000-0005-0000-0000-00007F410000}"/>
    <cellStyle name="Standard 4 2 4 5 3 2" xfId="16581" xr:uid="{00000000-0005-0000-0000-000080410000}"/>
    <cellStyle name="Standard 4 2 4 5 3 2 2" xfId="16582" xr:uid="{00000000-0005-0000-0000-000081410000}"/>
    <cellStyle name="Standard 4 2 4 5 3 2 3" xfId="16583" xr:uid="{00000000-0005-0000-0000-000082410000}"/>
    <cellStyle name="Standard 4 2 4 5 3 3" xfId="16584" xr:uid="{00000000-0005-0000-0000-000083410000}"/>
    <cellStyle name="Standard 4 2 4 5 3 3 2" xfId="16585" xr:uid="{00000000-0005-0000-0000-000084410000}"/>
    <cellStyle name="Standard 4 2 4 5 3 3 3" xfId="16586" xr:uid="{00000000-0005-0000-0000-000085410000}"/>
    <cellStyle name="Standard 4 2 4 5 3 4" xfId="16587" xr:uid="{00000000-0005-0000-0000-000086410000}"/>
    <cellStyle name="Standard 4 2 4 5 3 4 2" xfId="16588" xr:uid="{00000000-0005-0000-0000-000087410000}"/>
    <cellStyle name="Standard 4 2 4 5 3 5" xfId="16589" xr:uid="{00000000-0005-0000-0000-000088410000}"/>
    <cellStyle name="Standard 4 2 4 5 3 6" xfId="16590" xr:uid="{00000000-0005-0000-0000-000089410000}"/>
    <cellStyle name="Standard 4 2 4 5 4" xfId="16591" xr:uid="{00000000-0005-0000-0000-00008A410000}"/>
    <cellStyle name="Standard 4 2 4 5 4 2" xfId="16592" xr:uid="{00000000-0005-0000-0000-00008B410000}"/>
    <cellStyle name="Standard 4 2 4 5 4 3" xfId="16593" xr:uid="{00000000-0005-0000-0000-00008C410000}"/>
    <cellStyle name="Standard 4 2 4 5 5" xfId="16594" xr:uid="{00000000-0005-0000-0000-00008D410000}"/>
    <cellStyle name="Standard 4 2 4 5 5 2" xfId="16595" xr:uid="{00000000-0005-0000-0000-00008E410000}"/>
    <cellStyle name="Standard 4 2 4 5 5 3" xfId="16596" xr:uid="{00000000-0005-0000-0000-00008F410000}"/>
    <cellStyle name="Standard 4 2 4 5 6" xfId="16597" xr:uid="{00000000-0005-0000-0000-000090410000}"/>
    <cellStyle name="Standard 4 2 4 5 6 2" xfId="16598" xr:uid="{00000000-0005-0000-0000-000091410000}"/>
    <cellStyle name="Standard 4 2 4 5 7" xfId="16599" xr:uid="{00000000-0005-0000-0000-000092410000}"/>
    <cellStyle name="Standard 4 2 4 5 8" xfId="16600" xr:uid="{00000000-0005-0000-0000-000093410000}"/>
    <cellStyle name="Standard 4 2 4 6" xfId="16601" xr:uid="{00000000-0005-0000-0000-000094410000}"/>
    <cellStyle name="Standard 4 2 4 6 2" xfId="16602" xr:uid="{00000000-0005-0000-0000-000095410000}"/>
    <cellStyle name="Standard 4 2 4 6 2 2" xfId="16603" xr:uid="{00000000-0005-0000-0000-000096410000}"/>
    <cellStyle name="Standard 4 2 4 6 2 2 2" xfId="16604" xr:uid="{00000000-0005-0000-0000-000097410000}"/>
    <cellStyle name="Standard 4 2 4 6 2 2 2 2" xfId="16605" xr:uid="{00000000-0005-0000-0000-000098410000}"/>
    <cellStyle name="Standard 4 2 4 6 2 2 2 3" xfId="16606" xr:uid="{00000000-0005-0000-0000-000099410000}"/>
    <cellStyle name="Standard 4 2 4 6 2 2 3" xfId="16607" xr:uid="{00000000-0005-0000-0000-00009A410000}"/>
    <cellStyle name="Standard 4 2 4 6 2 2 3 2" xfId="16608" xr:uid="{00000000-0005-0000-0000-00009B410000}"/>
    <cellStyle name="Standard 4 2 4 6 2 2 3 3" xfId="16609" xr:uid="{00000000-0005-0000-0000-00009C410000}"/>
    <cellStyle name="Standard 4 2 4 6 2 2 4" xfId="16610" xr:uid="{00000000-0005-0000-0000-00009D410000}"/>
    <cellStyle name="Standard 4 2 4 6 2 2 4 2" xfId="16611" xr:uid="{00000000-0005-0000-0000-00009E410000}"/>
    <cellStyle name="Standard 4 2 4 6 2 2 5" xfId="16612" xr:uid="{00000000-0005-0000-0000-00009F410000}"/>
    <cellStyle name="Standard 4 2 4 6 2 2 6" xfId="16613" xr:uid="{00000000-0005-0000-0000-0000A0410000}"/>
    <cellStyle name="Standard 4 2 4 6 2 3" xfId="16614" xr:uid="{00000000-0005-0000-0000-0000A1410000}"/>
    <cellStyle name="Standard 4 2 4 6 2 3 2" xfId="16615" xr:uid="{00000000-0005-0000-0000-0000A2410000}"/>
    <cellStyle name="Standard 4 2 4 6 2 3 3" xfId="16616" xr:uid="{00000000-0005-0000-0000-0000A3410000}"/>
    <cellStyle name="Standard 4 2 4 6 2 4" xfId="16617" xr:uid="{00000000-0005-0000-0000-0000A4410000}"/>
    <cellStyle name="Standard 4 2 4 6 2 4 2" xfId="16618" xr:uid="{00000000-0005-0000-0000-0000A5410000}"/>
    <cellStyle name="Standard 4 2 4 6 2 4 3" xfId="16619" xr:uid="{00000000-0005-0000-0000-0000A6410000}"/>
    <cellStyle name="Standard 4 2 4 6 2 5" xfId="16620" xr:uid="{00000000-0005-0000-0000-0000A7410000}"/>
    <cellStyle name="Standard 4 2 4 6 2 5 2" xfId="16621" xr:uid="{00000000-0005-0000-0000-0000A8410000}"/>
    <cellStyle name="Standard 4 2 4 6 2 6" xfId="16622" xr:uid="{00000000-0005-0000-0000-0000A9410000}"/>
    <cellStyle name="Standard 4 2 4 6 2 7" xfId="16623" xr:uid="{00000000-0005-0000-0000-0000AA410000}"/>
    <cellStyle name="Standard 4 2 4 6 3" xfId="16624" xr:uid="{00000000-0005-0000-0000-0000AB410000}"/>
    <cellStyle name="Standard 4 2 4 6 3 2" xfId="16625" xr:uid="{00000000-0005-0000-0000-0000AC410000}"/>
    <cellStyle name="Standard 4 2 4 6 3 2 2" xfId="16626" xr:uid="{00000000-0005-0000-0000-0000AD410000}"/>
    <cellStyle name="Standard 4 2 4 6 3 2 3" xfId="16627" xr:uid="{00000000-0005-0000-0000-0000AE410000}"/>
    <cellStyle name="Standard 4 2 4 6 3 3" xfId="16628" xr:uid="{00000000-0005-0000-0000-0000AF410000}"/>
    <cellStyle name="Standard 4 2 4 6 3 3 2" xfId="16629" xr:uid="{00000000-0005-0000-0000-0000B0410000}"/>
    <cellStyle name="Standard 4 2 4 6 3 3 3" xfId="16630" xr:uid="{00000000-0005-0000-0000-0000B1410000}"/>
    <cellStyle name="Standard 4 2 4 6 3 4" xfId="16631" xr:uid="{00000000-0005-0000-0000-0000B2410000}"/>
    <cellStyle name="Standard 4 2 4 6 3 4 2" xfId="16632" xr:uid="{00000000-0005-0000-0000-0000B3410000}"/>
    <cellStyle name="Standard 4 2 4 6 3 5" xfId="16633" xr:uid="{00000000-0005-0000-0000-0000B4410000}"/>
    <cellStyle name="Standard 4 2 4 6 3 6" xfId="16634" xr:uid="{00000000-0005-0000-0000-0000B5410000}"/>
    <cellStyle name="Standard 4 2 4 6 4" xfId="16635" xr:uid="{00000000-0005-0000-0000-0000B6410000}"/>
    <cellStyle name="Standard 4 2 4 6 4 2" xfId="16636" xr:uid="{00000000-0005-0000-0000-0000B7410000}"/>
    <cellStyle name="Standard 4 2 4 6 4 3" xfId="16637" xr:uid="{00000000-0005-0000-0000-0000B8410000}"/>
    <cellStyle name="Standard 4 2 4 6 5" xfId="16638" xr:uid="{00000000-0005-0000-0000-0000B9410000}"/>
    <cellStyle name="Standard 4 2 4 6 5 2" xfId="16639" xr:uid="{00000000-0005-0000-0000-0000BA410000}"/>
    <cellStyle name="Standard 4 2 4 6 5 3" xfId="16640" xr:uid="{00000000-0005-0000-0000-0000BB410000}"/>
    <cellStyle name="Standard 4 2 4 6 6" xfId="16641" xr:uid="{00000000-0005-0000-0000-0000BC410000}"/>
    <cellStyle name="Standard 4 2 4 6 6 2" xfId="16642" xr:uid="{00000000-0005-0000-0000-0000BD410000}"/>
    <cellStyle name="Standard 4 2 4 6 7" xfId="16643" xr:uid="{00000000-0005-0000-0000-0000BE410000}"/>
    <cellStyle name="Standard 4 2 4 6 8" xfId="16644" xr:uid="{00000000-0005-0000-0000-0000BF410000}"/>
    <cellStyle name="Standard 4 2 4 7" xfId="16645" xr:uid="{00000000-0005-0000-0000-0000C0410000}"/>
    <cellStyle name="Standard 4 2 4 7 2" xfId="16646" xr:uid="{00000000-0005-0000-0000-0000C1410000}"/>
    <cellStyle name="Standard 4 2 4 7 2 2" xfId="16647" xr:uid="{00000000-0005-0000-0000-0000C2410000}"/>
    <cellStyle name="Standard 4 2 4 7 2 2 2" xfId="16648" xr:uid="{00000000-0005-0000-0000-0000C3410000}"/>
    <cellStyle name="Standard 4 2 4 7 2 2 3" xfId="16649" xr:uid="{00000000-0005-0000-0000-0000C4410000}"/>
    <cellStyle name="Standard 4 2 4 7 2 3" xfId="16650" xr:uid="{00000000-0005-0000-0000-0000C5410000}"/>
    <cellStyle name="Standard 4 2 4 7 2 3 2" xfId="16651" xr:uid="{00000000-0005-0000-0000-0000C6410000}"/>
    <cellStyle name="Standard 4 2 4 7 2 3 3" xfId="16652" xr:uid="{00000000-0005-0000-0000-0000C7410000}"/>
    <cellStyle name="Standard 4 2 4 7 2 4" xfId="16653" xr:uid="{00000000-0005-0000-0000-0000C8410000}"/>
    <cellStyle name="Standard 4 2 4 7 2 4 2" xfId="16654" xr:uid="{00000000-0005-0000-0000-0000C9410000}"/>
    <cellStyle name="Standard 4 2 4 7 2 5" xfId="16655" xr:uid="{00000000-0005-0000-0000-0000CA410000}"/>
    <cellStyle name="Standard 4 2 4 7 2 6" xfId="16656" xr:uid="{00000000-0005-0000-0000-0000CB410000}"/>
    <cellStyle name="Standard 4 2 4 7 3" xfId="16657" xr:uid="{00000000-0005-0000-0000-0000CC410000}"/>
    <cellStyle name="Standard 4 2 4 7 3 2" xfId="16658" xr:uid="{00000000-0005-0000-0000-0000CD410000}"/>
    <cellStyle name="Standard 4 2 4 7 3 3" xfId="16659" xr:uid="{00000000-0005-0000-0000-0000CE410000}"/>
    <cellStyle name="Standard 4 2 4 7 4" xfId="16660" xr:uid="{00000000-0005-0000-0000-0000CF410000}"/>
    <cellStyle name="Standard 4 2 4 7 4 2" xfId="16661" xr:uid="{00000000-0005-0000-0000-0000D0410000}"/>
    <cellStyle name="Standard 4 2 4 7 4 3" xfId="16662" xr:uid="{00000000-0005-0000-0000-0000D1410000}"/>
    <cellStyle name="Standard 4 2 4 7 5" xfId="16663" xr:uid="{00000000-0005-0000-0000-0000D2410000}"/>
    <cellStyle name="Standard 4 2 4 7 5 2" xfId="16664" xr:uid="{00000000-0005-0000-0000-0000D3410000}"/>
    <cellStyle name="Standard 4 2 4 7 6" xfId="16665" xr:uid="{00000000-0005-0000-0000-0000D4410000}"/>
    <cellStyle name="Standard 4 2 4 7 7" xfId="16666" xr:uid="{00000000-0005-0000-0000-0000D5410000}"/>
    <cellStyle name="Standard 4 2 4 8" xfId="16667" xr:uid="{00000000-0005-0000-0000-0000D6410000}"/>
    <cellStyle name="Standard 4 2 4 8 2" xfId="16668" xr:uid="{00000000-0005-0000-0000-0000D7410000}"/>
    <cellStyle name="Standard 4 2 4 8 2 2" xfId="16669" xr:uid="{00000000-0005-0000-0000-0000D8410000}"/>
    <cellStyle name="Standard 4 2 4 8 2 3" xfId="16670" xr:uid="{00000000-0005-0000-0000-0000D9410000}"/>
    <cellStyle name="Standard 4 2 4 8 3" xfId="16671" xr:uid="{00000000-0005-0000-0000-0000DA410000}"/>
    <cellStyle name="Standard 4 2 4 8 3 2" xfId="16672" xr:uid="{00000000-0005-0000-0000-0000DB410000}"/>
    <cellStyle name="Standard 4 2 4 8 3 3" xfId="16673" xr:uid="{00000000-0005-0000-0000-0000DC410000}"/>
    <cellStyle name="Standard 4 2 4 8 4" xfId="16674" xr:uid="{00000000-0005-0000-0000-0000DD410000}"/>
    <cellStyle name="Standard 4 2 4 8 4 2" xfId="16675" xr:uid="{00000000-0005-0000-0000-0000DE410000}"/>
    <cellStyle name="Standard 4 2 4 8 5" xfId="16676" xr:uid="{00000000-0005-0000-0000-0000DF410000}"/>
    <cellStyle name="Standard 4 2 4 8 6" xfId="16677" xr:uid="{00000000-0005-0000-0000-0000E0410000}"/>
    <cellStyle name="Standard 4 2 4 9" xfId="16678" xr:uid="{00000000-0005-0000-0000-0000E1410000}"/>
    <cellStyle name="Standard 4 2 4 9 2" xfId="16679" xr:uid="{00000000-0005-0000-0000-0000E2410000}"/>
    <cellStyle name="Standard 4 2 4 9 3" xfId="16680" xr:uid="{00000000-0005-0000-0000-0000E3410000}"/>
    <cellStyle name="Standard 4 2 5" xfId="16681" xr:uid="{00000000-0005-0000-0000-0000E4410000}"/>
    <cellStyle name="Standard 4 2 5 10" xfId="16682" xr:uid="{00000000-0005-0000-0000-0000E5410000}"/>
    <cellStyle name="Standard 4 2 5 10 2" xfId="16683" xr:uid="{00000000-0005-0000-0000-0000E6410000}"/>
    <cellStyle name="Standard 4 2 5 11" xfId="16684" xr:uid="{00000000-0005-0000-0000-0000E7410000}"/>
    <cellStyle name="Standard 4 2 5 12" xfId="16685" xr:uid="{00000000-0005-0000-0000-0000E8410000}"/>
    <cellStyle name="Standard 4 2 5 2" xfId="16686" xr:uid="{00000000-0005-0000-0000-0000E9410000}"/>
    <cellStyle name="Standard 4 2 5 2 10" xfId="16687" xr:uid="{00000000-0005-0000-0000-0000EA410000}"/>
    <cellStyle name="Standard 4 2 5 2 11" xfId="16688" xr:uid="{00000000-0005-0000-0000-0000EB410000}"/>
    <cellStyle name="Standard 4 2 5 2 2" xfId="16689" xr:uid="{00000000-0005-0000-0000-0000EC410000}"/>
    <cellStyle name="Standard 4 2 5 2 2 10" xfId="16690" xr:uid="{00000000-0005-0000-0000-0000ED410000}"/>
    <cellStyle name="Standard 4 2 5 2 2 2" xfId="16691" xr:uid="{00000000-0005-0000-0000-0000EE410000}"/>
    <cellStyle name="Standard 4 2 5 2 2 2 2" xfId="16692" xr:uid="{00000000-0005-0000-0000-0000EF410000}"/>
    <cellStyle name="Standard 4 2 5 2 2 2 2 2" xfId="16693" xr:uid="{00000000-0005-0000-0000-0000F0410000}"/>
    <cellStyle name="Standard 4 2 5 2 2 2 2 2 2" xfId="16694" xr:uid="{00000000-0005-0000-0000-0000F1410000}"/>
    <cellStyle name="Standard 4 2 5 2 2 2 2 2 2 2" xfId="16695" xr:uid="{00000000-0005-0000-0000-0000F2410000}"/>
    <cellStyle name="Standard 4 2 5 2 2 2 2 2 2 3" xfId="16696" xr:uid="{00000000-0005-0000-0000-0000F3410000}"/>
    <cellStyle name="Standard 4 2 5 2 2 2 2 2 3" xfId="16697" xr:uid="{00000000-0005-0000-0000-0000F4410000}"/>
    <cellStyle name="Standard 4 2 5 2 2 2 2 2 3 2" xfId="16698" xr:uid="{00000000-0005-0000-0000-0000F5410000}"/>
    <cellStyle name="Standard 4 2 5 2 2 2 2 2 3 3" xfId="16699" xr:uid="{00000000-0005-0000-0000-0000F6410000}"/>
    <cellStyle name="Standard 4 2 5 2 2 2 2 2 4" xfId="16700" xr:uid="{00000000-0005-0000-0000-0000F7410000}"/>
    <cellStyle name="Standard 4 2 5 2 2 2 2 2 4 2" xfId="16701" xr:uid="{00000000-0005-0000-0000-0000F8410000}"/>
    <cellStyle name="Standard 4 2 5 2 2 2 2 2 5" xfId="16702" xr:uid="{00000000-0005-0000-0000-0000F9410000}"/>
    <cellStyle name="Standard 4 2 5 2 2 2 2 2 6" xfId="16703" xr:uid="{00000000-0005-0000-0000-0000FA410000}"/>
    <cellStyle name="Standard 4 2 5 2 2 2 2 3" xfId="16704" xr:uid="{00000000-0005-0000-0000-0000FB410000}"/>
    <cellStyle name="Standard 4 2 5 2 2 2 2 3 2" xfId="16705" xr:uid="{00000000-0005-0000-0000-0000FC410000}"/>
    <cellStyle name="Standard 4 2 5 2 2 2 2 3 3" xfId="16706" xr:uid="{00000000-0005-0000-0000-0000FD410000}"/>
    <cellStyle name="Standard 4 2 5 2 2 2 2 4" xfId="16707" xr:uid="{00000000-0005-0000-0000-0000FE410000}"/>
    <cellStyle name="Standard 4 2 5 2 2 2 2 4 2" xfId="16708" xr:uid="{00000000-0005-0000-0000-0000FF410000}"/>
    <cellStyle name="Standard 4 2 5 2 2 2 2 4 3" xfId="16709" xr:uid="{00000000-0005-0000-0000-000000420000}"/>
    <cellStyle name="Standard 4 2 5 2 2 2 2 5" xfId="16710" xr:uid="{00000000-0005-0000-0000-000001420000}"/>
    <cellStyle name="Standard 4 2 5 2 2 2 2 5 2" xfId="16711" xr:uid="{00000000-0005-0000-0000-000002420000}"/>
    <cellStyle name="Standard 4 2 5 2 2 2 2 6" xfId="16712" xr:uid="{00000000-0005-0000-0000-000003420000}"/>
    <cellStyle name="Standard 4 2 5 2 2 2 2 7" xfId="16713" xr:uid="{00000000-0005-0000-0000-000004420000}"/>
    <cellStyle name="Standard 4 2 5 2 2 2 3" xfId="16714" xr:uid="{00000000-0005-0000-0000-000005420000}"/>
    <cellStyle name="Standard 4 2 5 2 2 2 3 2" xfId="16715" xr:uid="{00000000-0005-0000-0000-000006420000}"/>
    <cellStyle name="Standard 4 2 5 2 2 2 3 2 2" xfId="16716" xr:uid="{00000000-0005-0000-0000-000007420000}"/>
    <cellStyle name="Standard 4 2 5 2 2 2 3 2 3" xfId="16717" xr:uid="{00000000-0005-0000-0000-000008420000}"/>
    <cellStyle name="Standard 4 2 5 2 2 2 3 3" xfId="16718" xr:uid="{00000000-0005-0000-0000-000009420000}"/>
    <cellStyle name="Standard 4 2 5 2 2 2 3 3 2" xfId="16719" xr:uid="{00000000-0005-0000-0000-00000A420000}"/>
    <cellStyle name="Standard 4 2 5 2 2 2 3 3 3" xfId="16720" xr:uid="{00000000-0005-0000-0000-00000B420000}"/>
    <cellStyle name="Standard 4 2 5 2 2 2 3 4" xfId="16721" xr:uid="{00000000-0005-0000-0000-00000C420000}"/>
    <cellStyle name="Standard 4 2 5 2 2 2 3 4 2" xfId="16722" xr:uid="{00000000-0005-0000-0000-00000D420000}"/>
    <cellStyle name="Standard 4 2 5 2 2 2 3 5" xfId="16723" xr:uid="{00000000-0005-0000-0000-00000E420000}"/>
    <cellStyle name="Standard 4 2 5 2 2 2 3 6" xfId="16724" xr:uid="{00000000-0005-0000-0000-00000F420000}"/>
    <cellStyle name="Standard 4 2 5 2 2 2 4" xfId="16725" xr:uid="{00000000-0005-0000-0000-000010420000}"/>
    <cellStyle name="Standard 4 2 5 2 2 2 4 2" xfId="16726" xr:uid="{00000000-0005-0000-0000-000011420000}"/>
    <cellStyle name="Standard 4 2 5 2 2 2 4 3" xfId="16727" xr:uid="{00000000-0005-0000-0000-000012420000}"/>
    <cellStyle name="Standard 4 2 5 2 2 2 5" xfId="16728" xr:uid="{00000000-0005-0000-0000-000013420000}"/>
    <cellStyle name="Standard 4 2 5 2 2 2 5 2" xfId="16729" xr:uid="{00000000-0005-0000-0000-000014420000}"/>
    <cellStyle name="Standard 4 2 5 2 2 2 5 3" xfId="16730" xr:uid="{00000000-0005-0000-0000-000015420000}"/>
    <cellStyle name="Standard 4 2 5 2 2 2 6" xfId="16731" xr:uid="{00000000-0005-0000-0000-000016420000}"/>
    <cellStyle name="Standard 4 2 5 2 2 2 6 2" xfId="16732" xr:uid="{00000000-0005-0000-0000-000017420000}"/>
    <cellStyle name="Standard 4 2 5 2 2 2 7" xfId="16733" xr:uid="{00000000-0005-0000-0000-000018420000}"/>
    <cellStyle name="Standard 4 2 5 2 2 2 8" xfId="16734" xr:uid="{00000000-0005-0000-0000-000019420000}"/>
    <cellStyle name="Standard 4 2 5 2 2 3" xfId="16735" xr:uid="{00000000-0005-0000-0000-00001A420000}"/>
    <cellStyle name="Standard 4 2 5 2 2 3 2" xfId="16736" xr:uid="{00000000-0005-0000-0000-00001B420000}"/>
    <cellStyle name="Standard 4 2 5 2 2 3 2 2" xfId="16737" xr:uid="{00000000-0005-0000-0000-00001C420000}"/>
    <cellStyle name="Standard 4 2 5 2 2 3 2 2 2" xfId="16738" xr:uid="{00000000-0005-0000-0000-00001D420000}"/>
    <cellStyle name="Standard 4 2 5 2 2 3 2 2 2 2" xfId="16739" xr:uid="{00000000-0005-0000-0000-00001E420000}"/>
    <cellStyle name="Standard 4 2 5 2 2 3 2 2 2 3" xfId="16740" xr:uid="{00000000-0005-0000-0000-00001F420000}"/>
    <cellStyle name="Standard 4 2 5 2 2 3 2 2 3" xfId="16741" xr:uid="{00000000-0005-0000-0000-000020420000}"/>
    <cellStyle name="Standard 4 2 5 2 2 3 2 2 3 2" xfId="16742" xr:uid="{00000000-0005-0000-0000-000021420000}"/>
    <cellStyle name="Standard 4 2 5 2 2 3 2 2 3 3" xfId="16743" xr:uid="{00000000-0005-0000-0000-000022420000}"/>
    <cellStyle name="Standard 4 2 5 2 2 3 2 2 4" xfId="16744" xr:uid="{00000000-0005-0000-0000-000023420000}"/>
    <cellStyle name="Standard 4 2 5 2 2 3 2 2 4 2" xfId="16745" xr:uid="{00000000-0005-0000-0000-000024420000}"/>
    <cellStyle name="Standard 4 2 5 2 2 3 2 2 5" xfId="16746" xr:uid="{00000000-0005-0000-0000-000025420000}"/>
    <cellStyle name="Standard 4 2 5 2 2 3 2 2 6" xfId="16747" xr:uid="{00000000-0005-0000-0000-000026420000}"/>
    <cellStyle name="Standard 4 2 5 2 2 3 2 3" xfId="16748" xr:uid="{00000000-0005-0000-0000-000027420000}"/>
    <cellStyle name="Standard 4 2 5 2 2 3 2 3 2" xfId="16749" xr:uid="{00000000-0005-0000-0000-000028420000}"/>
    <cellStyle name="Standard 4 2 5 2 2 3 2 3 3" xfId="16750" xr:uid="{00000000-0005-0000-0000-000029420000}"/>
    <cellStyle name="Standard 4 2 5 2 2 3 2 4" xfId="16751" xr:uid="{00000000-0005-0000-0000-00002A420000}"/>
    <cellStyle name="Standard 4 2 5 2 2 3 2 4 2" xfId="16752" xr:uid="{00000000-0005-0000-0000-00002B420000}"/>
    <cellStyle name="Standard 4 2 5 2 2 3 2 4 3" xfId="16753" xr:uid="{00000000-0005-0000-0000-00002C420000}"/>
    <cellStyle name="Standard 4 2 5 2 2 3 2 5" xfId="16754" xr:uid="{00000000-0005-0000-0000-00002D420000}"/>
    <cellStyle name="Standard 4 2 5 2 2 3 2 5 2" xfId="16755" xr:uid="{00000000-0005-0000-0000-00002E420000}"/>
    <cellStyle name="Standard 4 2 5 2 2 3 2 6" xfId="16756" xr:uid="{00000000-0005-0000-0000-00002F420000}"/>
    <cellStyle name="Standard 4 2 5 2 2 3 2 7" xfId="16757" xr:uid="{00000000-0005-0000-0000-000030420000}"/>
    <cellStyle name="Standard 4 2 5 2 2 3 3" xfId="16758" xr:uid="{00000000-0005-0000-0000-000031420000}"/>
    <cellStyle name="Standard 4 2 5 2 2 3 3 2" xfId="16759" xr:uid="{00000000-0005-0000-0000-000032420000}"/>
    <cellStyle name="Standard 4 2 5 2 2 3 3 2 2" xfId="16760" xr:uid="{00000000-0005-0000-0000-000033420000}"/>
    <cellStyle name="Standard 4 2 5 2 2 3 3 2 3" xfId="16761" xr:uid="{00000000-0005-0000-0000-000034420000}"/>
    <cellStyle name="Standard 4 2 5 2 2 3 3 3" xfId="16762" xr:uid="{00000000-0005-0000-0000-000035420000}"/>
    <cellStyle name="Standard 4 2 5 2 2 3 3 3 2" xfId="16763" xr:uid="{00000000-0005-0000-0000-000036420000}"/>
    <cellStyle name="Standard 4 2 5 2 2 3 3 3 3" xfId="16764" xr:uid="{00000000-0005-0000-0000-000037420000}"/>
    <cellStyle name="Standard 4 2 5 2 2 3 3 4" xfId="16765" xr:uid="{00000000-0005-0000-0000-000038420000}"/>
    <cellStyle name="Standard 4 2 5 2 2 3 3 4 2" xfId="16766" xr:uid="{00000000-0005-0000-0000-000039420000}"/>
    <cellStyle name="Standard 4 2 5 2 2 3 3 5" xfId="16767" xr:uid="{00000000-0005-0000-0000-00003A420000}"/>
    <cellStyle name="Standard 4 2 5 2 2 3 3 6" xfId="16768" xr:uid="{00000000-0005-0000-0000-00003B420000}"/>
    <cellStyle name="Standard 4 2 5 2 2 3 4" xfId="16769" xr:uid="{00000000-0005-0000-0000-00003C420000}"/>
    <cellStyle name="Standard 4 2 5 2 2 3 4 2" xfId="16770" xr:uid="{00000000-0005-0000-0000-00003D420000}"/>
    <cellStyle name="Standard 4 2 5 2 2 3 4 3" xfId="16771" xr:uid="{00000000-0005-0000-0000-00003E420000}"/>
    <cellStyle name="Standard 4 2 5 2 2 3 5" xfId="16772" xr:uid="{00000000-0005-0000-0000-00003F420000}"/>
    <cellStyle name="Standard 4 2 5 2 2 3 5 2" xfId="16773" xr:uid="{00000000-0005-0000-0000-000040420000}"/>
    <cellStyle name="Standard 4 2 5 2 2 3 5 3" xfId="16774" xr:uid="{00000000-0005-0000-0000-000041420000}"/>
    <cellStyle name="Standard 4 2 5 2 2 3 6" xfId="16775" xr:uid="{00000000-0005-0000-0000-000042420000}"/>
    <cellStyle name="Standard 4 2 5 2 2 3 6 2" xfId="16776" xr:uid="{00000000-0005-0000-0000-000043420000}"/>
    <cellStyle name="Standard 4 2 5 2 2 3 7" xfId="16777" xr:uid="{00000000-0005-0000-0000-000044420000}"/>
    <cellStyle name="Standard 4 2 5 2 2 3 8" xfId="16778" xr:uid="{00000000-0005-0000-0000-000045420000}"/>
    <cellStyle name="Standard 4 2 5 2 2 4" xfId="16779" xr:uid="{00000000-0005-0000-0000-000046420000}"/>
    <cellStyle name="Standard 4 2 5 2 2 4 2" xfId="16780" xr:uid="{00000000-0005-0000-0000-000047420000}"/>
    <cellStyle name="Standard 4 2 5 2 2 4 2 2" xfId="16781" xr:uid="{00000000-0005-0000-0000-000048420000}"/>
    <cellStyle name="Standard 4 2 5 2 2 4 2 2 2" xfId="16782" xr:uid="{00000000-0005-0000-0000-000049420000}"/>
    <cellStyle name="Standard 4 2 5 2 2 4 2 2 3" xfId="16783" xr:uid="{00000000-0005-0000-0000-00004A420000}"/>
    <cellStyle name="Standard 4 2 5 2 2 4 2 3" xfId="16784" xr:uid="{00000000-0005-0000-0000-00004B420000}"/>
    <cellStyle name="Standard 4 2 5 2 2 4 2 3 2" xfId="16785" xr:uid="{00000000-0005-0000-0000-00004C420000}"/>
    <cellStyle name="Standard 4 2 5 2 2 4 2 3 3" xfId="16786" xr:uid="{00000000-0005-0000-0000-00004D420000}"/>
    <cellStyle name="Standard 4 2 5 2 2 4 2 4" xfId="16787" xr:uid="{00000000-0005-0000-0000-00004E420000}"/>
    <cellStyle name="Standard 4 2 5 2 2 4 2 4 2" xfId="16788" xr:uid="{00000000-0005-0000-0000-00004F420000}"/>
    <cellStyle name="Standard 4 2 5 2 2 4 2 5" xfId="16789" xr:uid="{00000000-0005-0000-0000-000050420000}"/>
    <cellStyle name="Standard 4 2 5 2 2 4 2 6" xfId="16790" xr:uid="{00000000-0005-0000-0000-000051420000}"/>
    <cellStyle name="Standard 4 2 5 2 2 4 3" xfId="16791" xr:uid="{00000000-0005-0000-0000-000052420000}"/>
    <cellStyle name="Standard 4 2 5 2 2 4 3 2" xfId="16792" xr:uid="{00000000-0005-0000-0000-000053420000}"/>
    <cellStyle name="Standard 4 2 5 2 2 4 3 3" xfId="16793" xr:uid="{00000000-0005-0000-0000-000054420000}"/>
    <cellStyle name="Standard 4 2 5 2 2 4 4" xfId="16794" xr:uid="{00000000-0005-0000-0000-000055420000}"/>
    <cellStyle name="Standard 4 2 5 2 2 4 4 2" xfId="16795" xr:uid="{00000000-0005-0000-0000-000056420000}"/>
    <cellStyle name="Standard 4 2 5 2 2 4 4 3" xfId="16796" xr:uid="{00000000-0005-0000-0000-000057420000}"/>
    <cellStyle name="Standard 4 2 5 2 2 4 5" xfId="16797" xr:uid="{00000000-0005-0000-0000-000058420000}"/>
    <cellStyle name="Standard 4 2 5 2 2 4 5 2" xfId="16798" xr:uid="{00000000-0005-0000-0000-000059420000}"/>
    <cellStyle name="Standard 4 2 5 2 2 4 6" xfId="16799" xr:uid="{00000000-0005-0000-0000-00005A420000}"/>
    <cellStyle name="Standard 4 2 5 2 2 4 7" xfId="16800" xr:uid="{00000000-0005-0000-0000-00005B420000}"/>
    <cellStyle name="Standard 4 2 5 2 2 5" xfId="16801" xr:uid="{00000000-0005-0000-0000-00005C420000}"/>
    <cellStyle name="Standard 4 2 5 2 2 5 2" xfId="16802" xr:uid="{00000000-0005-0000-0000-00005D420000}"/>
    <cellStyle name="Standard 4 2 5 2 2 5 2 2" xfId="16803" xr:uid="{00000000-0005-0000-0000-00005E420000}"/>
    <cellStyle name="Standard 4 2 5 2 2 5 2 3" xfId="16804" xr:uid="{00000000-0005-0000-0000-00005F420000}"/>
    <cellStyle name="Standard 4 2 5 2 2 5 3" xfId="16805" xr:uid="{00000000-0005-0000-0000-000060420000}"/>
    <cellStyle name="Standard 4 2 5 2 2 5 3 2" xfId="16806" xr:uid="{00000000-0005-0000-0000-000061420000}"/>
    <cellStyle name="Standard 4 2 5 2 2 5 3 3" xfId="16807" xr:uid="{00000000-0005-0000-0000-000062420000}"/>
    <cellStyle name="Standard 4 2 5 2 2 5 4" xfId="16808" xr:uid="{00000000-0005-0000-0000-000063420000}"/>
    <cellStyle name="Standard 4 2 5 2 2 5 4 2" xfId="16809" xr:uid="{00000000-0005-0000-0000-000064420000}"/>
    <cellStyle name="Standard 4 2 5 2 2 5 5" xfId="16810" xr:uid="{00000000-0005-0000-0000-000065420000}"/>
    <cellStyle name="Standard 4 2 5 2 2 5 6" xfId="16811" xr:uid="{00000000-0005-0000-0000-000066420000}"/>
    <cellStyle name="Standard 4 2 5 2 2 6" xfId="16812" xr:uid="{00000000-0005-0000-0000-000067420000}"/>
    <cellStyle name="Standard 4 2 5 2 2 6 2" xfId="16813" xr:uid="{00000000-0005-0000-0000-000068420000}"/>
    <cellStyle name="Standard 4 2 5 2 2 6 3" xfId="16814" xr:uid="{00000000-0005-0000-0000-000069420000}"/>
    <cellStyle name="Standard 4 2 5 2 2 7" xfId="16815" xr:uid="{00000000-0005-0000-0000-00006A420000}"/>
    <cellStyle name="Standard 4 2 5 2 2 7 2" xfId="16816" xr:uid="{00000000-0005-0000-0000-00006B420000}"/>
    <cellStyle name="Standard 4 2 5 2 2 7 3" xfId="16817" xr:uid="{00000000-0005-0000-0000-00006C420000}"/>
    <cellStyle name="Standard 4 2 5 2 2 8" xfId="16818" xr:uid="{00000000-0005-0000-0000-00006D420000}"/>
    <cellStyle name="Standard 4 2 5 2 2 8 2" xfId="16819" xr:uid="{00000000-0005-0000-0000-00006E420000}"/>
    <cellStyle name="Standard 4 2 5 2 2 9" xfId="16820" xr:uid="{00000000-0005-0000-0000-00006F420000}"/>
    <cellStyle name="Standard 4 2 5 2 3" xfId="16821" xr:uid="{00000000-0005-0000-0000-000070420000}"/>
    <cellStyle name="Standard 4 2 5 2 3 2" xfId="16822" xr:uid="{00000000-0005-0000-0000-000071420000}"/>
    <cellStyle name="Standard 4 2 5 2 3 2 2" xfId="16823" xr:uid="{00000000-0005-0000-0000-000072420000}"/>
    <cellStyle name="Standard 4 2 5 2 3 2 2 2" xfId="16824" xr:uid="{00000000-0005-0000-0000-000073420000}"/>
    <cellStyle name="Standard 4 2 5 2 3 2 2 2 2" xfId="16825" xr:uid="{00000000-0005-0000-0000-000074420000}"/>
    <cellStyle name="Standard 4 2 5 2 3 2 2 2 3" xfId="16826" xr:uid="{00000000-0005-0000-0000-000075420000}"/>
    <cellStyle name="Standard 4 2 5 2 3 2 2 3" xfId="16827" xr:uid="{00000000-0005-0000-0000-000076420000}"/>
    <cellStyle name="Standard 4 2 5 2 3 2 2 3 2" xfId="16828" xr:uid="{00000000-0005-0000-0000-000077420000}"/>
    <cellStyle name="Standard 4 2 5 2 3 2 2 3 3" xfId="16829" xr:uid="{00000000-0005-0000-0000-000078420000}"/>
    <cellStyle name="Standard 4 2 5 2 3 2 2 4" xfId="16830" xr:uid="{00000000-0005-0000-0000-000079420000}"/>
    <cellStyle name="Standard 4 2 5 2 3 2 2 4 2" xfId="16831" xr:uid="{00000000-0005-0000-0000-00007A420000}"/>
    <cellStyle name="Standard 4 2 5 2 3 2 2 5" xfId="16832" xr:uid="{00000000-0005-0000-0000-00007B420000}"/>
    <cellStyle name="Standard 4 2 5 2 3 2 2 6" xfId="16833" xr:uid="{00000000-0005-0000-0000-00007C420000}"/>
    <cellStyle name="Standard 4 2 5 2 3 2 3" xfId="16834" xr:uid="{00000000-0005-0000-0000-00007D420000}"/>
    <cellStyle name="Standard 4 2 5 2 3 2 3 2" xfId="16835" xr:uid="{00000000-0005-0000-0000-00007E420000}"/>
    <cellStyle name="Standard 4 2 5 2 3 2 3 3" xfId="16836" xr:uid="{00000000-0005-0000-0000-00007F420000}"/>
    <cellStyle name="Standard 4 2 5 2 3 2 4" xfId="16837" xr:uid="{00000000-0005-0000-0000-000080420000}"/>
    <cellStyle name="Standard 4 2 5 2 3 2 4 2" xfId="16838" xr:uid="{00000000-0005-0000-0000-000081420000}"/>
    <cellStyle name="Standard 4 2 5 2 3 2 4 3" xfId="16839" xr:uid="{00000000-0005-0000-0000-000082420000}"/>
    <cellStyle name="Standard 4 2 5 2 3 2 5" xfId="16840" xr:uid="{00000000-0005-0000-0000-000083420000}"/>
    <cellStyle name="Standard 4 2 5 2 3 2 5 2" xfId="16841" xr:uid="{00000000-0005-0000-0000-000084420000}"/>
    <cellStyle name="Standard 4 2 5 2 3 2 6" xfId="16842" xr:uid="{00000000-0005-0000-0000-000085420000}"/>
    <cellStyle name="Standard 4 2 5 2 3 2 7" xfId="16843" xr:uid="{00000000-0005-0000-0000-000086420000}"/>
    <cellStyle name="Standard 4 2 5 2 3 3" xfId="16844" xr:uid="{00000000-0005-0000-0000-000087420000}"/>
    <cellStyle name="Standard 4 2 5 2 3 3 2" xfId="16845" xr:uid="{00000000-0005-0000-0000-000088420000}"/>
    <cellStyle name="Standard 4 2 5 2 3 3 2 2" xfId="16846" xr:uid="{00000000-0005-0000-0000-000089420000}"/>
    <cellStyle name="Standard 4 2 5 2 3 3 2 3" xfId="16847" xr:uid="{00000000-0005-0000-0000-00008A420000}"/>
    <cellStyle name="Standard 4 2 5 2 3 3 3" xfId="16848" xr:uid="{00000000-0005-0000-0000-00008B420000}"/>
    <cellStyle name="Standard 4 2 5 2 3 3 3 2" xfId="16849" xr:uid="{00000000-0005-0000-0000-00008C420000}"/>
    <cellStyle name="Standard 4 2 5 2 3 3 3 3" xfId="16850" xr:uid="{00000000-0005-0000-0000-00008D420000}"/>
    <cellStyle name="Standard 4 2 5 2 3 3 4" xfId="16851" xr:uid="{00000000-0005-0000-0000-00008E420000}"/>
    <cellStyle name="Standard 4 2 5 2 3 3 4 2" xfId="16852" xr:uid="{00000000-0005-0000-0000-00008F420000}"/>
    <cellStyle name="Standard 4 2 5 2 3 3 5" xfId="16853" xr:uid="{00000000-0005-0000-0000-000090420000}"/>
    <cellStyle name="Standard 4 2 5 2 3 3 6" xfId="16854" xr:uid="{00000000-0005-0000-0000-000091420000}"/>
    <cellStyle name="Standard 4 2 5 2 3 4" xfId="16855" xr:uid="{00000000-0005-0000-0000-000092420000}"/>
    <cellStyle name="Standard 4 2 5 2 3 4 2" xfId="16856" xr:uid="{00000000-0005-0000-0000-000093420000}"/>
    <cellStyle name="Standard 4 2 5 2 3 4 3" xfId="16857" xr:uid="{00000000-0005-0000-0000-000094420000}"/>
    <cellStyle name="Standard 4 2 5 2 3 5" xfId="16858" xr:uid="{00000000-0005-0000-0000-000095420000}"/>
    <cellStyle name="Standard 4 2 5 2 3 5 2" xfId="16859" xr:uid="{00000000-0005-0000-0000-000096420000}"/>
    <cellStyle name="Standard 4 2 5 2 3 5 3" xfId="16860" xr:uid="{00000000-0005-0000-0000-000097420000}"/>
    <cellStyle name="Standard 4 2 5 2 3 6" xfId="16861" xr:uid="{00000000-0005-0000-0000-000098420000}"/>
    <cellStyle name="Standard 4 2 5 2 3 6 2" xfId="16862" xr:uid="{00000000-0005-0000-0000-000099420000}"/>
    <cellStyle name="Standard 4 2 5 2 3 7" xfId="16863" xr:uid="{00000000-0005-0000-0000-00009A420000}"/>
    <cellStyle name="Standard 4 2 5 2 3 8" xfId="16864" xr:uid="{00000000-0005-0000-0000-00009B420000}"/>
    <cellStyle name="Standard 4 2 5 2 4" xfId="16865" xr:uid="{00000000-0005-0000-0000-00009C420000}"/>
    <cellStyle name="Standard 4 2 5 2 4 2" xfId="16866" xr:uid="{00000000-0005-0000-0000-00009D420000}"/>
    <cellStyle name="Standard 4 2 5 2 4 2 2" xfId="16867" xr:uid="{00000000-0005-0000-0000-00009E420000}"/>
    <cellStyle name="Standard 4 2 5 2 4 2 2 2" xfId="16868" xr:uid="{00000000-0005-0000-0000-00009F420000}"/>
    <cellStyle name="Standard 4 2 5 2 4 2 2 2 2" xfId="16869" xr:uid="{00000000-0005-0000-0000-0000A0420000}"/>
    <cellStyle name="Standard 4 2 5 2 4 2 2 2 3" xfId="16870" xr:uid="{00000000-0005-0000-0000-0000A1420000}"/>
    <cellStyle name="Standard 4 2 5 2 4 2 2 3" xfId="16871" xr:uid="{00000000-0005-0000-0000-0000A2420000}"/>
    <cellStyle name="Standard 4 2 5 2 4 2 2 3 2" xfId="16872" xr:uid="{00000000-0005-0000-0000-0000A3420000}"/>
    <cellStyle name="Standard 4 2 5 2 4 2 2 3 3" xfId="16873" xr:uid="{00000000-0005-0000-0000-0000A4420000}"/>
    <cellStyle name="Standard 4 2 5 2 4 2 2 4" xfId="16874" xr:uid="{00000000-0005-0000-0000-0000A5420000}"/>
    <cellStyle name="Standard 4 2 5 2 4 2 2 4 2" xfId="16875" xr:uid="{00000000-0005-0000-0000-0000A6420000}"/>
    <cellStyle name="Standard 4 2 5 2 4 2 2 5" xfId="16876" xr:uid="{00000000-0005-0000-0000-0000A7420000}"/>
    <cellStyle name="Standard 4 2 5 2 4 2 2 6" xfId="16877" xr:uid="{00000000-0005-0000-0000-0000A8420000}"/>
    <cellStyle name="Standard 4 2 5 2 4 2 3" xfId="16878" xr:uid="{00000000-0005-0000-0000-0000A9420000}"/>
    <cellStyle name="Standard 4 2 5 2 4 2 3 2" xfId="16879" xr:uid="{00000000-0005-0000-0000-0000AA420000}"/>
    <cellStyle name="Standard 4 2 5 2 4 2 3 3" xfId="16880" xr:uid="{00000000-0005-0000-0000-0000AB420000}"/>
    <cellStyle name="Standard 4 2 5 2 4 2 4" xfId="16881" xr:uid="{00000000-0005-0000-0000-0000AC420000}"/>
    <cellStyle name="Standard 4 2 5 2 4 2 4 2" xfId="16882" xr:uid="{00000000-0005-0000-0000-0000AD420000}"/>
    <cellStyle name="Standard 4 2 5 2 4 2 4 3" xfId="16883" xr:uid="{00000000-0005-0000-0000-0000AE420000}"/>
    <cellStyle name="Standard 4 2 5 2 4 2 5" xfId="16884" xr:uid="{00000000-0005-0000-0000-0000AF420000}"/>
    <cellStyle name="Standard 4 2 5 2 4 2 5 2" xfId="16885" xr:uid="{00000000-0005-0000-0000-0000B0420000}"/>
    <cellStyle name="Standard 4 2 5 2 4 2 6" xfId="16886" xr:uid="{00000000-0005-0000-0000-0000B1420000}"/>
    <cellStyle name="Standard 4 2 5 2 4 2 7" xfId="16887" xr:uid="{00000000-0005-0000-0000-0000B2420000}"/>
    <cellStyle name="Standard 4 2 5 2 4 3" xfId="16888" xr:uid="{00000000-0005-0000-0000-0000B3420000}"/>
    <cellStyle name="Standard 4 2 5 2 4 3 2" xfId="16889" xr:uid="{00000000-0005-0000-0000-0000B4420000}"/>
    <cellStyle name="Standard 4 2 5 2 4 3 2 2" xfId="16890" xr:uid="{00000000-0005-0000-0000-0000B5420000}"/>
    <cellStyle name="Standard 4 2 5 2 4 3 2 3" xfId="16891" xr:uid="{00000000-0005-0000-0000-0000B6420000}"/>
    <cellStyle name="Standard 4 2 5 2 4 3 3" xfId="16892" xr:uid="{00000000-0005-0000-0000-0000B7420000}"/>
    <cellStyle name="Standard 4 2 5 2 4 3 3 2" xfId="16893" xr:uid="{00000000-0005-0000-0000-0000B8420000}"/>
    <cellStyle name="Standard 4 2 5 2 4 3 3 3" xfId="16894" xr:uid="{00000000-0005-0000-0000-0000B9420000}"/>
    <cellStyle name="Standard 4 2 5 2 4 3 4" xfId="16895" xr:uid="{00000000-0005-0000-0000-0000BA420000}"/>
    <cellStyle name="Standard 4 2 5 2 4 3 4 2" xfId="16896" xr:uid="{00000000-0005-0000-0000-0000BB420000}"/>
    <cellStyle name="Standard 4 2 5 2 4 3 5" xfId="16897" xr:uid="{00000000-0005-0000-0000-0000BC420000}"/>
    <cellStyle name="Standard 4 2 5 2 4 3 6" xfId="16898" xr:uid="{00000000-0005-0000-0000-0000BD420000}"/>
    <cellStyle name="Standard 4 2 5 2 4 4" xfId="16899" xr:uid="{00000000-0005-0000-0000-0000BE420000}"/>
    <cellStyle name="Standard 4 2 5 2 4 4 2" xfId="16900" xr:uid="{00000000-0005-0000-0000-0000BF420000}"/>
    <cellStyle name="Standard 4 2 5 2 4 4 3" xfId="16901" xr:uid="{00000000-0005-0000-0000-0000C0420000}"/>
    <cellStyle name="Standard 4 2 5 2 4 5" xfId="16902" xr:uid="{00000000-0005-0000-0000-0000C1420000}"/>
    <cellStyle name="Standard 4 2 5 2 4 5 2" xfId="16903" xr:uid="{00000000-0005-0000-0000-0000C2420000}"/>
    <cellStyle name="Standard 4 2 5 2 4 5 3" xfId="16904" xr:uid="{00000000-0005-0000-0000-0000C3420000}"/>
    <cellStyle name="Standard 4 2 5 2 4 6" xfId="16905" xr:uid="{00000000-0005-0000-0000-0000C4420000}"/>
    <cellStyle name="Standard 4 2 5 2 4 6 2" xfId="16906" xr:uid="{00000000-0005-0000-0000-0000C5420000}"/>
    <cellStyle name="Standard 4 2 5 2 4 7" xfId="16907" xr:uid="{00000000-0005-0000-0000-0000C6420000}"/>
    <cellStyle name="Standard 4 2 5 2 4 8" xfId="16908" xr:uid="{00000000-0005-0000-0000-0000C7420000}"/>
    <cellStyle name="Standard 4 2 5 2 5" xfId="16909" xr:uid="{00000000-0005-0000-0000-0000C8420000}"/>
    <cellStyle name="Standard 4 2 5 2 5 2" xfId="16910" xr:uid="{00000000-0005-0000-0000-0000C9420000}"/>
    <cellStyle name="Standard 4 2 5 2 5 2 2" xfId="16911" xr:uid="{00000000-0005-0000-0000-0000CA420000}"/>
    <cellStyle name="Standard 4 2 5 2 5 2 2 2" xfId="16912" xr:uid="{00000000-0005-0000-0000-0000CB420000}"/>
    <cellStyle name="Standard 4 2 5 2 5 2 2 3" xfId="16913" xr:uid="{00000000-0005-0000-0000-0000CC420000}"/>
    <cellStyle name="Standard 4 2 5 2 5 2 3" xfId="16914" xr:uid="{00000000-0005-0000-0000-0000CD420000}"/>
    <cellStyle name="Standard 4 2 5 2 5 2 3 2" xfId="16915" xr:uid="{00000000-0005-0000-0000-0000CE420000}"/>
    <cellStyle name="Standard 4 2 5 2 5 2 3 3" xfId="16916" xr:uid="{00000000-0005-0000-0000-0000CF420000}"/>
    <cellStyle name="Standard 4 2 5 2 5 2 4" xfId="16917" xr:uid="{00000000-0005-0000-0000-0000D0420000}"/>
    <cellStyle name="Standard 4 2 5 2 5 2 4 2" xfId="16918" xr:uid="{00000000-0005-0000-0000-0000D1420000}"/>
    <cellStyle name="Standard 4 2 5 2 5 2 5" xfId="16919" xr:uid="{00000000-0005-0000-0000-0000D2420000}"/>
    <cellStyle name="Standard 4 2 5 2 5 2 6" xfId="16920" xr:uid="{00000000-0005-0000-0000-0000D3420000}"/>
    <cellStyle name="Standard 4 2 5 2 5 3" xfId="16921" xr:uid="{00000000-0005-0000-0000-0000D4420000}"/>
    <cellStyle name="Standard 4 2 5 2 5 3 2" xfId="16922" xr:uid="{00000000-0005-0000-0000-0000D5420000}"/>
    <cellStyle name="Standard 4 2 5 2 5 3 3" xfId="16923" xr:uid="{00000000-0005-0000-0000-0000D6420000}"/>
    <cellStyle name="Standard 4 2 5 2 5 4" xfId="16924" xr:uid="{00000000-0005-0000-0000-0000D7420000}"/>
    <cellStyle name="Standard 4 2 5 2 5 4 2" xfId="16925" xr:uid="{00000000-0005-0000-0000-0000D8420000}"/>
    <cellStyle name="Standard 4 2 5 2 5 4 3" xfId="16926" xr:uid="{00000000-0005-0000-0000-0000D9420000}"/>
    <cellStyle name="Standard 4 2 5 2 5 5" xfId="16927" xr:uid="{00000000-0005-0000-0000-0000DA420000}"/>
    <cellStyle name="Standard 4 2 5 2 5 5 2" xfId="16928" xr:uid="{00000000-0005-0000-0000-0000DB420000}"/>
    <cellStyle name="Standard 4 2 5 2 5 6" xfId="16929" xr:uid="{00000000-0005-0000-0000-0000DC420000}"/>
    <cellStyle name="Standard 4 2 5 2 5 7" xfId="16930" xr:uid="{00000000-0005-0000-0000-0000DD420000}"/>
    <cellStyle name="Standard 4 2 5 2 6" xfId="16931" xr:uid="{00000000-0005-0000-0000-0000DE420000}"/>
    <cellStyle name="Standard 4 2 5 2 6 2" xfId="16932" xr:uid="{00000000-0005-0000-0000-0000DF420000}"/>
    <cellStyle name="Standard 4 2 5 2 6 2 2" xfId="16933" xr:uid="{00000000-0005-0000-0000-0000E0420000}"/>
    <cellStyle name="Standard 4 2 5 2 6 2 3" xfId="16934" xr:uid="{00000000-0005-0000-0000-0000E1420000}"/>
    <cellStyle name="Standard 4 2 5 2 6 3" xfId="16935" xr:uid="{00000000-0005-0000-0000-0000E2420000}"/>
    <cellStyle name="Standard 4 2 5 2 6 3 2" xfId="16936" xr:uid="{00000000-0005-0000-0000-0000E3420000}"/>
    <cellStyle name="Standard 4 2 5 2 6 3 3" xfId="16937" xr:uid="{00000000-0005-0000-0000-0000E4420000}"/>
    <cellStyle name="Standard 4 2 5 2 6 4" xfId="16938" xr:uid="{00000000-0005-0000-0000-0000E5420000}"/>
    <cellStyle name="Standard 4 2 5 2 6 4 2" xfId="16939" xr:uid="{00000000-0005-0000-0000-0000E6420000}"/>
    <cellStyle name="Standard 4 2 5 2 6 5" xfId="16940" xr:uid="{00000000-0005-0000-0000-0000E7420000}"/>
    <cellStyle name="Standard 4 2 5 2 6 6" xfId="16941" xr:uid="{00000000-0005-0000-0000-0000E8420000}"/>
    <cellStyle name="Standard 4 2 5 2 7" xfId="16942" xr:uid="{00000000-0005-0000-0000-0000E9420000}"/>
    <cellStyle name="Standard 4 2 5 2 7 2" xfId="16943" xr:uid="{00000000-0005-0000-0000-0000EA420000}"/>
    <cellStyle name="Standard 4 2 5 2 7 3" xfId="16944" xr:uid="{00000000-0005-0000-0000-0000EB420000}"/>
    <cellStyle name="Standard 4 2 5 2 8" xfId="16945" xr:uid="{00000000-0005-0000-0000-0000EC420000}"/>
    <cellStyle name="Standard 4 2 5 2 8 2" xfId="16946" xr:uid="{00000000-0005-0000-0000-0000ED420000}"/>
    <cellStyle name="Standard 4 2 5 2 8 3" xfId="16947" xr:uid="{00000000-0005-0000-0000-0000EE420000}"/>
    <cellStyle name="Standard 4 2 5 2 9" xfId="16948" xr:uid="{00000000-0005-0000-0000-0000EF420000}"/>
    <cellStyle name="Standard 4 2 5 2 9 2" xfId="16949" xr:uid="{00000000-0005-0000-0000-0000F0420000}"/>
    <cellStyle name="Standard 4 2 5 3" xfId="16950" xr:uid="{00000000-0005-0000-0000-0000F1420000}"/>
    <cellStyle name="Standard 4 2 5 3 10" xfId="16951" xr:uid="{00000000-0005-0000-0000-0000F2420000}"/>
    <cellStyle name="Standard 4 2 5 3 2" xfId="16952" xr:uid="{00000000-0005-0000-0000-0000F3420000}"/>
    <cellStyle name="Standard 4 2 5 3 2 2" xfId="16953" xr:uid="{00000000-0005-0000-0000-0000F4420000}"/>
    <cellStyle name="Standard 4 2 5 3 2 2 2" xfId="16954" xr:uid="{00000000-0005-0000-0000-0000F5420000}"/>
    <cellStyle name="Standard 4 2 5 3 2 2 2 2" xfId="16955" xr:uid="{00000000-0005-0000-0000-0000F6420000}"/>
    <cellStyle name="Standard 4 2 5 3 2 2 2 2 2" xfId="16956" xr:uid="{00000000-0005-0000-0000-0000F7420000}"/>
    <cellStyle name="Standard 4 2 5 3 2 2 2 2 3" xfId="16957" xr:uid="{00000000-0005-0000-0000-0000F8420000}"/>
    <cellStyle name="Standard 4 2 5 3 2 2 2 3" xfId="16958" xr:uid="{00000000-0005-0000-0000-0000F9420000}"/>
    <cellStyle name="Standard 4 2 5 3 2 2 2 3 2" xfId="16959" xr:uid="{00000000-0005-0000-0000-0000FA420000}"/>
    <cellStyle name="Standard 4 2 5 3 2 2 2 3 3" xfId="16960" xr:uid="{00000000-0005-0000-0000-0000FB420000}"/>
    <cellStyle name="Standard 4 2 5 3 2 2 2 4" xfId="16961" xr:uid="{00000000-0005-0000-0000-0000FC420000}"/>
    <cellStyle name="Standard 4 2 5 3 2 2 2 4 2" xfId="16962" xr:uid="{00000000-0005-0000-0000-0000FD420000}"/>
    <cellStyle name="Standard 4 2 5 3 2 2 2 5" xfId="16963" xr:uid="{00000000-0005-0000-0000-0000FE420000}"/>
    <cellStyle name="Standard 4 2 5 3 2 2 2 6" xfId="16964" xr:uid="{00000000-0005-0000-0000-0000FF420000}"/>
    <cellStyle name="Standard 4 2 5 3 2 2 3" xfId="16965" xr:uid="{00000000-0005-0000-0000-000000430000}"/>
    <cellStyle name="Standard 4 2 5 3 2 2 3 2" xfId="16966" xr:uid="{00000000-0005-0000-0000-000001430000}"/>
    <cellStyle name="Standard 4 2 5 3 2 2 3 3" xfId="16967" xr:uid="{00000000-0005-0000-0000-000002430000}"/>
    <cellStyle name="Standard 4 2 5 3 2 2 4" xfId="16968" xr:uid="{00000000-0005-0000-0000-000003430000}"/>
    <cellStyle name="Standard 4 2 5 3 2 2 4 2" xfId="16969" xr:uid="{00000000-0005-0000-0000-000004430000}"/>
    <cellStyle name="Standard 4 2 5 3 2 2 4 3" xfId="16970" xr:uid="{00000000-0005-0000-0000-000005430000}"/>
    <cellStyle name="Standard 4 2 5 3 2 2 5" xfId="16971" xr:uid="{00000000-0005-0000-0000-000006430000}"/>
    <cellStyle name="Standard 4 2 5 3 2 2 5 2" xfId="16972" xr:uid="{00000000-0005-0000-0000-000007430000}"/>
    <cellStyle name="Standard 4 2 5 3 2 2 6" xfId="16973" xr:uid="{00000000-0005-0000-0000-000008430000}"/>
    <cellStyle name="Standard 4 2 5 3 2 2 7" xfId="16974" xr:uid="{00000000-0005-0000-0000-000009430000}"/>
    <cellStyle name="Standard 4 2 5 3 2 3" xfId="16975" xr:uid="{00000000-0005-0000-0000-00000A430000}"/>
    <cellStyle name="Standard 4 2 5 3 2 3 2" xfId="16976" xr:uid="{00000000-0005-0000-0000-00000B430000}"/>
    <cellStyle name="Standard 4 2 5 3 2 3 2 2" xfId="16977" xr:uid="{00000000-0005-0000-0000-00000C430000}"/>
    <cellStyle name="Standard 4 2 5 3 2 3 2 3" xfId="16978" xr:uid="{00000000-0005-0000-0000-00000D430000}"/>
    <cellStyle name="Standard 4 2 5 3 2 3 3" xfId="16979" xr:uid="{00000000-0005-0000-0000-00000E430000}"/>
    <cellStyle name="Standard 4 2 5 3 2 3 3 2" xfId="16980" xr:uid="{00000000-0005-0000-0000-00000F430000}"/>
    <cellStyle name="Standard 4 2 5 3 2 3 3 3" xfId="16981" xr:uid="{00000000-0005-0000-0000-000010430000}"/>
    <cellStyle name="Standard 4 2 5 3 2 3 4" xfId="16982" xr:uid="{00000000-0005-0000-0000-000011430000}"/>
    <cellStyle name="Standard 4 2 5 3 2 3 4 2" xfId="16983" xr:uid="{00000000-0005-0000-0000-000012430000}"/>
    <cellStyle name="Standard 4 2 5 3 2 3 5" xfId="16984" xr:uid="{00000000-0005-0000-0000-000013430000}"/>
    <cellStyle name="Standard 4 2 5 3 2 3 6" xfId="16985" xr:uid="{00000000-0005-0000-0000-000014430000}"/>
    <cellStyle name="Standard 4 2 5 3 2 4" xfId="16986" xr:uid="{00000000-0005-0000-0000-000015430000}"/>
    <cellStyle name="Standard 4 2 5 3 2 4 2" xfId="16987" xr:uid="{00000000-0005-0000-0000-000016430000}"/>
    <cellStyle name="Standard 4 2 5 3 2 4 3" xfId="16988" xr:uid="{00000000-0005-0000-0000-000017430000}"/>
    <cellStyle name="Standard 4 2 5 3 2 5" xfId="16989" xr:uid="{00000000-0005-0000-0000-000018430000}"/>
    <cellStyle name="Standard 4 2 5 3 2 5 2" xfId="16990" xr:uid="{00000000-0005-0000-0000-000019430000}"/>
    <cellStyle name="Standard 4 2 5 3 2 5 3" xfId="16991" xr:uid="{00000000-0005-0000-0000-00001A430000}"/>
    <cellStyle name="Standard 4 2 5 3 2 6" xfId="16992" xr:uid="{00000000-0005-0000-0000-00001B430000}"/>
    <cellStyle name="Standard 4 2 5 3 2 6 2" xfId="16993" xr:uid="{00000000-0005-0000-0000-00001C430000}"/>
    <cellStyle name="Standard 4 2 5 3 2 7" xfId="16994" xr:uid="{00000000-0005-0000-0000-00001D430000}"/>
    <cellStyle name="Standard 4 2 5 3 2 8" xfId="16995" xr:uid="{00000000-0005-0000-0000-00001E430000}"/>
    <cellStyle name="Standard 4 2 5 3 3" xfId="16996" xr:uid="{00000000-0005-0000-0000-00001F430000}"/>
    <cellStyle name="Standard 4 2 5 3 3 2" xfId="16997" xr:uid="{00000000-0005-0000-0000-000020430000}"/>
    <cellStyle name="Standard 4 2 5 3 3 2 2" xfId="16998" xr:uid="{00000000-0005-0000-0000-000021430000}"/>
    <cellStyle name="Standard 4 2 5 3 3 2 2 2" xfId="16999" xr:uid="{00000000-0005-0000-0000-000022430000}"/>
    <cellStyle name="Standard 4 2 5 3 3 2 2 2 2" xfId="17000" xr:uid="{00000000-0005-0000-0000-000023430000}"/>
    <cellStyle name="Standard 4 2 5 3 3 2 2 2 3" xfId="17001" xr:uid="{00000000-0005-0000-0000-000024430000}"/>
    <cellStyle name="Standard 4 2 5 3 3 2 2 3" xfId="17002" xr:uid="{00000000-0005-0000-0000-000025430000}"/>
    <cellStyle name="Standard 4 2 5 3 3 2 2 3 2" xfId="17003" xr:uid="{00000000-0005-0000-0000-000026430000}"/>
    <cellStyle name="Standard 4 2 5 3 3 2 2 3 3" xfId="17004" xr:uid="{00000000-0005-0000-0000-000027430000}"/>
    <cellStyle name="Standard 4 2 5 3 3 2 2 4" xfId="17005" xr:uid="{00000000-0005-0000-0000-000028430000}"/>
    <cellStyle name="Standard 4 2 5 3 3 2 2 4 2" xfId="17006" xr:uid="{00000000-0005-0000-0000-000029430000}"/>
    <cellStyle name="Standard 4 2 5 3 3 2 2 5" xfId="17007" xr:uid="{00000000-0005-0000-0000-00002A430000}"/>
    <cellStyle name="Standard 4 2 5 3 3 2 2 6" xfId="17008" xr:uid="{00000000-0005-0000-0000-00002B430000}"/>
    <cellStyle name="Standard 4 2 5 3 3 2 3" xfId="17009" xr:uid="{00000000-0005-0000-0000-00002C430000}"/>
    <cellStyle name="Standard 4 2 5 3 3 2 3 2" xfId="17010" xr:uid="{00000000-0005-0000-0000-00002D430000}"/>
    <cellStyle name="Standard 4 2 5 3 3 2 3 3" xfId="17011" xr:uid="{00000000-0005-0000-0000-00002E430000}"/>
    <cellStyle name="Standard 4 2 5 3 3 2 4" xfId="17012" xr:uid="{00000000-0005-0000-0000-00002F430000}"/>
    <cellStyle name="Standard 4 2 5 3 3 2 4 2" xfId="17013" xr:uid="{00000000-0005-0000-0000-000030430000}"/>
    <cellStyle name="Standard 4 2 5 3 3 2 4 3" xfId="17014" xr:uid="{00000000-0005-0000-0000-000031430000}"/>
    <cellStyle name="Standard 4 2 5 3 3 2 5" xfId="17015" xr:uid="{00000000-0005-0000-0000-000032430000}"/>
    <cellStyle name="Standard 4 2 5 3 3 2 5 2" xfId="17016" xr:uid="{00000000-0005-0000-0000-000033430000}"/>
    <cellStyle name="Standard 4 2 5 3 3 2 6" xfId="17017" xr:uid="{00000000-0005-0000-0000-000034430000}"/>
    <cellStyle name="Standard 4 2 5 3 3 2 7" xfId="17018" xr:uid="{00000000-0005-0000-0000-000035430000}"/>
    <cellStyle name="Standard 4 2 5 3 3 3" xfId="17019" xr:uid="{00000000-0005-0000-0000-000036430000}"/>
    <cellStyle name="Standard 4 2 5 3 3 3 2" xfId="17020" xr:uid="{00000000-0005-0000-0000-000037430000}"/>
    <cellStyle name="Standard 4 2 5 3 3 3 2 2" xfId="17021" xr:uid="{00000000-0005-0000-0000-000038430000}"/>
    <cellStyle name="Standard 4 2 5 3 3 3 2 3" xfId="17022" xr:uid="{00000000-0005-0000-0000-000039430000}"/>
    <cellStyle name="Standard 4 2 5 3 3 3 3" xfId="17023" xr:uid="{00000000-0005-0000-0000-00003A430000}"/>
    <cellStyle name="Standard 4 2 5 3 3 3 3 2" xfId="17024" xr:uid="{00000000-0005-0000-0000-00003B430000}"/>
    <cellStyle name="Standard 4 2 5 3 3 3 3 3" xfId="17025" xr:uid="{00000000-0005-0000-0000-00003C430000}"/>
    <cellStyle name="Standard 4 2 5 3 3 3 4" xfId="17026" xr:uid="{00000000-0005-0000-0000-00003D430000}"/>
    <cellStyle name="Standard 4 2 5 3 3 3 4 2" xfId="17027" xr:uid="{00000000-0005-0000-0000-00003E430000}"/>
    <cellStyle name="Standard 4 2 5 3 3 3 5" xfId="17028" xr:uid="{00000000-0005-0000-0000-00003F430000}"/>
    <cellStyle name="Standard 4 2 5 3 3 3 6" xfId="17029" xr:uid="{00000000-0005-0000-0000-000040430000}"/>
    <cellStyle name="Standard 4 2 5 3 3 4" xfId="17030" xr:uid="{00000000-0005-0000-0000-000041430000}"/>
    <cellStyle name="Standard 4 2 5 3 3 4 2" xfId="17031" xr:uid="{00000000-0005-0000-0000-000042430000}"/>
    <cellStyle name="Standard 4 2 5 3 3 4 3" xfId="17032" xr:uid="{00000000-0005-0000-0000-000043430000}"/>
    <cellStyle name="Standard 4 2 5 3 3 5" xfId="17033" xr:uid="{00000000-0005-0000-0000-000044430000}"/>
    <cellStyle name="Standard 4 2 5 3 3 5 2" xfId="17034" xr:uid="{00000000-0005-0000-0000-000045430000}"/>
    <cellStyle name="Standard 4 2 5 3 3 5 3" xfId="17035" xr:uid="{00000000-0005-0000-0000-000046430000}"/>
    <cellStyle name="Standard 4 2 5 3 3 6" xfId="17036" xr:uid="{00000000-0005-0000-0000-000047430000}"/>
    <cellStyle name="Standard 4 2 5 3 3 6 2" xfId="17037" xr:uid="{00000000-0005-0000-0000-000048430000}"/>
    <cellStyle name="Standard 4 2 5 3 3 7" xfId="17038" xr:uid="{00000000-0005-0000-0000-000049430000}"/>
    <cellStyle name="Standard 4 2 5 3 3 8" xfId="17039" xr:uid="{00000000-0005-0000-0000-00004A430000}"/>
    <cellStyle name="Standard 4 2 5 3 4" xfId="17040" xr:uid="{00000000-0005-0000-0000-00004B430000}"/>
    <cellStyle name="Standard 4 2 5 3 4 2" xfId="17041" xr:uid="{00000000-0005-0000-0000-00004C430000}"/>
    <cellStyle name="Standard 4 2 5 3 4 2 2" xfId="17042" xr:uid="{00000000-0005-0000-0000-00004D430000}"/>
    <cellStyle name="Standard 4 2 5 3 4 2 2 2" xfId="17043" xr:uid="{00000000-0005-0000-0000-00004E430000}"/>
    <cellStyle name="Standard 4 2 5 3 4 2 2 3" xfId="17044" xr:uid="{00000000-0005-0000-0000-00004F430000}"/>
    <cellStyle name="Standard 4 2 5 3 4 2 3" xfId="17045" xr:uid="{00000000-0005-0000-0000-000050430000}"/>
    <cellStyle name="Standard 4 2 5 3 4 2 3 2" xfId="17046" xr:uid="{00000000-0005-0000-0000-000051430000}"/>
    <cellStyle name="Standard 4 2 5 3 4 2 3 3" xfId="17047" xr:uid="{00000000-0005-0000-0000-000052430000}"/>
    <cellStyle name="Standard 4 2 5 3 4 2 4" xfId="17048" xr:uid="{00000000-0005-0000-0000-000053430000}"/>
    <cellStyle name="Standard 4 2 5 3 4 2 4 2" xfId="17049" xr:uid="{00000000-0005-0000-0000-000054430000}"/>
    <cellStyle name="Standard 4 2 5 3 4 2 5" xfId="17050" xr:uid="{00000000-0005-0000-0000-000055430000}"/>
    <cellStyle name="Standard 4 2 5 3 4 2 6" xfId="17051" xr:uid="{00000000-0005-0000-0000-000056430000}"/>
    <cellStyle name="Standard 4 2 5 3 4 3" xfId="17052" xr:uid="{00000000-0005-0000-0000-000057430000}"/>
    <cellStyle name="Standard 4 2 5 3 4 3 2" xfId="17053" xr:uid="{00000000-0005-0000-0000-000058430000}"/>
    <cellStyle name="Standard 4 2 5 3 4 3 3" xfId="17054" xr:uid="{00000000-0005-0000-0000-000059430000}"/>
    <cellStyle name="Standard 4 2 5 3 4 4" xfId="17055" xr:uid="{00000000-0005-0000-0000-00005A430000}"/>
    <cellStyle name="Standard 4 2 5 3 4 4 2" xfId="17056" xr:uid="{00000000-0005-0000-0000-00005B430000}"/>
    <cellStyle name="Standard 4 2 5 3 4 4 3" xfId="17057" xr:uid="{00000000-0005-0000-0000-00005C430000}"/>
    <cellStyle name="Standard 4 2 5 3 4 5" xfId="17058" xr:uid="{00000000-0005-0000-0000-00005D430000}"/>
    <cellStyle name="Standard 4 2 5 3 4 5 2" xfId="17059" xr:uid="{00000000-0005-0000-0000-00005E430000}"/>
    <cellStyle name="Standard 4 2 5 3 4 6" xfId="17060" xr:uid="{00000000-0005-0000-0000-00005F430000}"/>
    <cellStyle name="Standard 4 2 5 3 4 7" xfId="17061" xr:uid="{00000000-0005-0000-0000-000060430000}"/>
    <cellStyle name="Standard 4 2 5 3 5" xfId="17062" xr:uid="{00000000-0005-0000-0000-000061430000}"/>
    <cellStyle name="Standard 4 2 5 3 5 2" xfId="17063" xr:uid="{00000000-0005-0000-0000-000062430000}"/>
    <cellStyle name="Standard 4 2 5 3 5 2 2" xfId="17064" xr:uid="{00000000-0005-0000-0000-000063430000}"/>
    <cellStyle name="Standard 4 2 5 3 5 2 3" xfId="17065" xr:uid="{00000000-0005-0000-0000-000064430000}"/>
    <cellStyle name="Standard 4 2 5 3 5 3" xfId="17066" xr:uid="{00000000-0005-0000-0000-000065430000}"/>
    <cellStyle name="Standard 4 2 5 3 5 3 2" xfId="17067" xr:uid="{00000000-0005-0000-0000-000066430000}"/>
    <cellStyle name="Standard 4 2 5 3 5 3 3" xfId="17068" xr:uid="{00000000-0005-0000-0000-000067430000}"/>
    <cellStyle name="Standard 4 2 5 3 5 4" xfId="17069" xr:uid="{00000000-0005-0000-0000-000068430000}"/>
    <cellStyle name="Standard 4 2 5 3 5 4 2" xfId="17070" xr:uid="{00000000-0005-0000-0000-000069430000}"/>
    <cellStyle name="Standard 4 2 5 3 5 5" xfId="17071" xr:uid="{00000000-0005-0000-0000-00006A430000}"/>
    <cellStyle name="Standard 4 2 5 3 5 6" xfId="17072" xr:uid="{00000000-0005-0000-0000-00006B430000}"/>
    <cellStyle name="Standard 4 2 5 3 6" xfId="17073" xr:uid="{00000000-0005-0000-0000-00006C430000}"/>
    <cellStyle name="Standard 4 2 5 3 6 2" xfId="17074" xr:uid="{00000000-0005-0000-0000-00006D430000}"/>
    <cellStyle name="Standard 4 2 5 3 6 3" xfId="17075" xr:uid="{00000000-0005-0000-0000-00006E430000}"/>
    <cellStyle name="Standard 4 2 5 3 7" xfId="17076" xr:uid="{00000000-0005-0000-0000-00006F430000}"/>
    <cellStyle name="Standard 4 2 5 3 7 2" xfId="17077" xr:uid="{00000000-0005-0000-0000-000070430000}"/>
    <cellStyle name="Standard 4 2 5 3 7 3" xfId="17078" xr:uid="{00000000-0005-0000-0000-000071430000}"/>
    <cellStyle name="Standard 4 2 5 3 8" xfId="17079" xr:uid="{00000000-0005-0000-0000-000072430000}"/>
    <cellStyle name="Standard 4 2 5 3 8 2" xfId="17080" xr:uid="{00000000-0005-0000-0000-000073430000}"/>
    <cellStyle name="Standard 4 2 5 3 9" xfId="17081" xr:uid="{00000000-0005-0000-0000-000074430000}"/>
    <cellStyle name="Standard 4 2 5 4" xfId="17082" xr:uid="{00000000-0005-0000-0000-000075430000}"/>
    <cellStyle name="Standard 4 2 5 4 2" xfId="17083" xr:uid="{00000000-0005-0000-0000-000076430000}"/>
    <cellStyle name="Standard 4 2 5 4 2 2" xfId="17084" xr:uid="{00000000-0005-0000-0000-000077430000}"/>
    <cellStyle name="Standard 4 2 5 4 2 2 2" xfId="17085" xr:uid="{00000000-0005-0000-0000-000078430000}"/>
    <cellStyle name="Standard 4 2 5 4 2 2 2 2" xfId="17086" xr:uid="{00000000-0005-0000-0000-000079430000}"/>
    <cellStyle name="Standard 4 2 5 4 2 2 2 3" xfId="17087" xr:uid="{00000000-0005-0000-0000-00007A430000}"/>
    <cellStyle name="Standard 4 2 5 4 2 2 3" xfId="17088" xr:uid="{00000000-0005-0000-0000-00007B430000}"/>
    <cellStyle name="Standard 4 2 5 4 2 2 3 2" xfId="17089" xr:uid="{00000000-0005-0000-0000-00007C430000}"/>
    <cellStyle name="Standard 4 2 5 4 2 2 3 3" xfId="17090" xr:uid="{00000000-0005-0000-0000-00007D430000}"/>
    <cellStyle name="Standard 4 2 5 4 2 2 4" xfId="17091" xr:uid="{00000000-0005-0000-0000-00007E430000}"/>
    <cellStyle name="Standard 4 2 5 4 2 2 4 2" xfId="17092" xr:uid="{00000000-0005-0000-0000-00007F430000}"/>
    <cellStyle name="Standard 4 2 5 4 2 2 5" xfId="17093" xr:uid="{00000000-0005-0000-0000-000080430000}"/>
    <cellStyle name="Standard 4 2 5 4 2 2 6" xfId="17094" xr:uid="{00000000-0005-0000-0000-000081430000}"/>
    <cellStyle name="Standard 4 2 5 4 2 3" xfId="17095" xr:uid="{00000000-0005-0000-0000-000082430000}"/>
    <cellStyle name="Standard 4 2 5 4 2 3 2" xfId="17096" xr:uid="{00000000-0005-0000-0000-000083430000}"/>
    <cellStyle name="Standard 4 2 5 4 2 3 3" xfId="17097" xr:uid="{00000000-0005-0000-0000-000084430000}"/>
    <cellStyle name="Standard 4 2 5 4 2 4" xfId="17098" xr:uid="{00000000-0005-0000-0000-000085430000}"/>
    <cellStyle name="Standard 4 2 5 4 2 4 2" xfId="17099" xr:uid="{00000000-0005-0000-0000-000086430000}"/>
    <cellStyle name="Standard 4 2 5 4 2 4 3" xfId="17100" xr:uid="{00000000-0005-0000-0000-000087430000}"/>
    <cellStyle name="Standard 4 2 5 4 2 5" xfId="17101" xr:uid="{00000000-0005-0000-0000-000088430000}"/>
    <cellStyle name="Standard 4 2 5 4 2 5 2" xfId="17102" xr:uid="{00000000-0005-0000-0000-000089430000}"/>
    <cellStyle name="Standard 4 2 5 4 2 6" xfId="17103" xr:uid="{00000000-0005-0000-0000-00008A430000}"/>
    <cellStyle name="Standard 4 2 5 4 2 7" xfId="17104" xr:uid="{00000000-0005-0000-0000-00008B430000}"/>
    <cellStyle name="Standard 4 2 5 4 3" xfId="17105" xr:uid="{00000000-0005-0000-0000-00008C430000}"/>
    <cellStyle name="Standard 4 2 5 4 3 2" xfId="17106" xr:uid="{00000000-0005-0000-0000-00008D430000}"/>
    <cellStyle name="Standard 4 2 5 4 3 2 2" xfId="17107" xr:uid="{00000000-0005-0000-0000-00008E430000}"/>
    <cellStyle name="Standard 4 2 5 4 3 2 3" xfId="17108" xr:uid="{00000000-0005-0000-0000-00008F430000}"/>
    <cellStyle name="Standard 4 2 5 4 3 3" xfId="17109" xr:uid="{00000000-0005-0000-0000-000090430000}"/>
    <cellStyle name="Standard 4 2 5 4 3 3 2" xfId="17110" xr:uid="{00000000-0005-0000-0000-000091430000}"/>
    <cellStyle name="Standard 4 2 5 4 3 3 3" xfId="17111" xr:uid="{00000000-0005-0000-0000-000092430000}"/>
    <cellStyle name="Standard 4 2 5 4 3 4" xfId="17112" xr:uid="{00000000-0005-0000-0000-000093430000}"/>
    <cellStyle name="Standard 4 2 5 4 3 4 2" xfId="17113" xr:uid="{00000000-0005-0000-0000-000094430000}"/>
    <cellStyle name="Standard 4 2 5 4 3 5" xfId="17114" xr:uid="{00000000-0005-0000-0000-000095430000}"/>
    <cellStyle name="Standard 4 2 5 4 3 6" xfId="17115" xr:uid="{00000000-0005-0000-0000-000096430000}"/>
    <cellStyle name="Standard 4 2 5 4 4" xfId="17116" xr:uid="{00000000-0005-0000-0000-000097430000}"/>
    <cellStyle name="Standard 4 2 5 4 4 2" xfId="17117" xr:uid="{00000000-0005-0000-0000-000098430000}"/>
    <cellStyle name="Standard 4 2 5 4 4 3" xfId="17118" xr:uid="{00000000-0005-0000-0000-000099430000}"/>
    <cellStyle name="Standard 4 2 5 4 5" xfId="17119" xr:uid="{00000000-0005-0000-0000-00009A430000}"/>
    <cellStyle name="Standard 4 2 5 4 5 2" xfId="17120" xr:uid="{00000000-0005-0000-0000-00009B430000}"/>
    <cellStyle name="Standard 4 2 5 4 5 3" xfId="17121" xr:uid="{00000000-0005-0000-0000-00009C430000}"/>
    <cellStyle name="Standard 4 2 5 4 6" xfId="17122" xr:uid="{00000000-0005-0000-0000-00009D430000}"/>
    <cellStyle name="Standard 4 2 5 4 6 2" xfId="17123" xr:uid="{00000000-0005-0000-0000-00009E430000}"/>
    <cellStyle name="Standard 4 2 5 4 7" xfId="17124" xr:uid="{00000000-0005-0000-0000-00009F430000}"/>
    <cellStyle name="Standard 4 2 5 4 8" xfId="17125" xr:uid="{00000000-0005-0000-0000-0000A0430000}"/>
    <cellStyle name="Standard 4 2 5 5" xfId="17126" xr:uid="{00000000-0005-0000-0000-0000A1430000}"/>
    <cellStyle name="Standard 4 2 5 5 2" xfId="17127" xr:uid="{00000000-0005-0000-0000-0000A2430000}"/>
    <cellStyle name="Standard 4 2 5 5 2 2" xfId="17128" xr:uid="{00000000-0005-0000-0000-0000A3430000}"/>
    <cellStyle name="Standard 4 2 5 5 2 2 2" xfId="17129" xr:uid="{00000000-0005-0000-0000-0000A4430000}"/>
    <cellStyle name="Standard 4 2 5 5 2 2 2 2" xfId="17130" xr:uid="{00000000-0005-0000-0000-0000A5430000}"/>
    <cellStyle name="Standard 4 2 5 5 2 2 2 3" xfId="17131" xr:uid="{00000000-0005-0000-0000-0000A6430000}"/>
    <cellStyle name="Standard 4 2 5 5 2 2 3" xfId="17132" xr:uid="{00000000-0005-0000-0000-0000A7430000}"/>
    <cellStyle name="Standard 4 2 5 5 2 2 3 2" xfId="17133" xr:uid="{00000000-0005-0000-0000-0000A8430000}"/>
    <cellStyle name="Standard 4 2 5 5 2 2 3 3" xfId="17134" xr:uid="{00000000-0005-0000-0000-0000A9430000}"/>
    <cellStyle name="Standard 4 2 5 5 2 2 4" xfId="17135" xr:uid="{00000000-0005-0000-0000-0000AA430000}"/>
    <cellStyle name="Standard 4 2 5 5 2 2 4 2" xfId="17136" xr:uid="{00000000-0005-0000-0000-0000AB430000}"/>
    <cellStyle name="Standard 4 2 5 5 2 2 5" xfId="17137" xr:uid="{00000000-0005-0000-0000-0000AC430000}"/>
    <cellStyle name="Standard 4 2 5 5 2 2 6" xfId="17138" xr:uid="{00000000-0005-0000-0000-0000AD430000}"/>
    <cellStyle name="Standard 4 2 5 5 2 3" xfId="17139" xr:uid="{00000000-0005-0000-0000-0000AE430000}"/>
    <cellStyle name="Standard 4 2 5 5 2 3 2" xfId="17140" xr:uid="{00000000-0005-0000-0000-0000AF430000}"/>
    <cellStyle name="Standard 4 2 5 5 2 3 3" xfId="17141" xr:uid="{00000000-0005-0000-0000-0000B0430000}"/>
    <cellStyle name="Standard 4 2 5 5 2 4" xfId="17142" xr:uid="{00000000-0005-0000-0000-0000B1430000}"/>
    <cellStyle name="Standard 4 2 5 5 2 4 2" xfId="17143" xr:uid="{00000000-0005-0000-0000-0000B2430000}"/>
    <cellStyle name="Standard 4 2 5 5 2 4 3" xfId="17144" xr:uid="{00000000-0005-0000-0000-0000B3430000}"/>
    <cellStyle name="Standard 4 2 5 5 2 5" xfId="17145" xr:uid="{00000000-0005-0000-0000-0000B4430000}"/>
    <cellStyle name="Standard 4 2 5 5 2 5 2" xfId="17146" xr:uid="{00000000-0005-0000-0000-0000B5430000}"/>
    <cellStyle name="Standard 4 2 5 5 2 6" xfId="17147" xr:uid="{00000000-0005-0000-0000-0000B6430000}"/>
    <cellStyle name="Standard 4 2 5 5 2 7" xfId="17148" xr:uid="{00000000-0005-0000-0000-0000B7430000}"/>
    <cellStyle name="Standard 4 2 5 5 3" xfId="17149" xr:uid="{00000000-0005-0000-0000-0000B8430000}"/>
    <cellStyle name="Standard 4 2 5 5 3 2" xfId="17150" xr:uid="{00000000-0005-0000-0000-0000B9430000}"/>
    <cellStyle name="Standard 4 2 5 5 3 2 2" xfId="17151" xr:uid="{00000000-0005-0000-0000-0000BA430000}"/>
    <cellStyle name="Standard 4 2 5 5 3 2 3" xfId="17152" xr:uid="{00000000-0005-0000-0000-0000BB430000}"/>
    <cellStyle name="Standard 4 2 5 5 3 3" xfId="17153" xr:uid="{00000000-0005-0000-0000-0000BC430000}"/>
    <cellStyle name="Standard 4 2 5 5 3 3 2" xfId="17154" xr:uid="{00000000-0005-0000-0000-0000BD430000}"/>
    <cellStyle name="Standard 4 2 5 5 3 3 3" xfId="17155" xr:uid="{00000000-0005-0000-0000-0000BE430000}"/>
    <cellStyle name="Standard 4 2 5 5 3 4" xfId="17156" xr:uid="{00000000-0005-0000-0000-0000BF430000}"/>
    <cellStyle name="Standard 4 2 5 5 3 4 2" xfId="17157" xr:uid="{00000000-0005-0000-0000-0000C0430000}"/>
    <cellStyle name="Standard 4 2 5 5 3 5" xfId="17158" xr:uid="{00000000-0005-0000-0000-0000C1430000}"/>
    <cellStyle name="Standard 4 2 5 5 3 6" xfId="17159" xr:uid="{00000000-0005-0000-0000-0000C2430000}"/>
    <cellStyle name="Standard 4 2 5 5 4" xfId="17160" xr:uid="{00000000-0005-0000-0000-0000C3430000}"/>
    <cellStyle name="Standard 4 2 5 5 4 2" xfId="17161" xr:uid="{00000000-0005-0000-0000-0000C4430000}"/>
    <cellStyle name="Standard 4 2 5 5 4 3" xfId="17162" xr:uid="{00000000-0005-0000-0000-0000C5430000}"/>
    <cellStyle name="Standard 4 2 5 5 5" xfId="17163" xr:uid="{00000000-0005-0000-0000-0000C6430000}"/>
    <cellStyle name="Standard 4 2 5 5 5 2" xfId="17164" xr:uid="{00000000-0005-0000-0000-0000C7430000}"/>
    <cellStyle name="Standard 4 2 5 5 5 3" xfId="17165" xr:uid="{00000000-0005-0000-0000-0000C8430000}"/>
    <cellStyle name="Standard 4 2 5 5 6" xfId="17166" xr:uid="{00000000-0005-0000-0000-0000C9430000}"/>
    <cellStyle name="Standard 4 2 5 5 6 2" xfId="17167" xr:uid="{00000000-0005-0000-0000-0000CA430000}"/>
    <cellStyle name="Standard 4 2 5 5 7" xfId="17168" xr:uid="{00000000-0005-0000-0000-0000CB430000}"/>
    <cellStyle name="Standard 4 2 5 5 8" xfId="17169" xr:uid="{00000000-0005-0000-0000-0000CC430000}"/>
    <cellStyle name="Standard 4 2 5 6" xfId="17170" xr:uid="{00000000-0005-0000-0000-0000CD430000}"/>
    <cellStyle name="Standard 4 2 5 6 2" xfId="17171" xr:uid="{00000000-0005-0000-0000-0000CE430000}"/>
    <cellStyle name="Standard 4 2 5 6 2 2" xfId="17172" xr:uid="{00000000-0005-0000-0000-0000CF430000}"/>
    <cellStyle name="Standard 4 2 5 6 2 2 2" xfId="17173" xr:uid="{00000000-0005-0000-0000-0000D0430000}"/>
    <cellStyle name="Standard 4 2 5 6 2 2 3" xfId="17174" xr:uid="{00000000-0005-0000-0000-0000D1430000}"/>
    <cellStyle name="Standard 4 2 5 6 2 3" xfId="17175" xr:uid="{00000000-0005-0000-0000-0000D2430000}"/>
    <cellStyle name="Standard 4 2 5 6 2 3 2" xfId="17176" xr:uid="{00000000-0005-0000-0000-0000D3430000}"/>
    <cellStyle name="Standard 4 2 5 6 2 3 3" xfId="17177" xr:uid="{00000000-0005-0000-0000-0000D4430000}"/>
    <cellStyle name="Standard 4 2 5 6 2 4" xfId="17178" xr:uid="{00000000-0005-0000-0000-0000D5430000}"/>
    <cellStyle name="Standard 4 2 5 6 2 4 2" xfId="17179" xr:uid="{00000000-0005-0000-0000-0000D6430000}"/>
    <cellStyle name="Standard 4 2 5 6 2 5" xfId="17180" xr:uid="{00000000-0005-0000-0000-0000D7430000}"/>
    <cellStyle name="Standard 4 2 5 6 2 6" xfId="17181" xr:uid="{00000000-0005-0000-0000-0000D8430000}"/>
    <cellStyle name="Standard 4 2 5 6 3" xfId="17182" xr:uid="{00000000-0005-0000-0000-0000D9430000}"/>
    <cellStyle name="Standard 4 2 5 6 3 2" xfId="17183" xr:uid="{00000000-0005-0000-0000-0000DA430000}"/>
    <cellStyle name="Standard 4 2 5 6 3 3" xfId="17184" xr:uid="{00000000-0005-0000-0000-0000DB430000}"/>
    <cellStyle name="Standard 4 2 5 6 4" xfId="17185" xr:uid="{00000000-0005-0000-0000-0000DC430000}"/>
    <cellStyle name="Standard 4 2 5 6 4 2" xfId="17186" xr:uid="{00000000-0005-0000-0000-0000DD430000}"/>
    <cellStyle name="Standard 4 2 5 6 4 3" xfId="17187" xr:uid="{00000000-0005-0000-0000-0000DE430000}"/>
    <cellStyle name="Standard 4 2 5 6 5" xfId="17188" xr:uid="{00000000-0005-0000-0000-0000DF430000}"/>
    <cellStyle name="Standard 4 2 5 6 5 2" xfId="17189" xr:uid="{00000000-0005-0000-0000-0000E0430000}"/>
    <cellStyle name="Standard 4 2 5 6 6" xfId="17190" xr:uid="{00000000-0005-0000-0000-0000E1430000}"/>
    <cellStyle name="Standard 4 2 5 6 7" xfId="17191" xr:uid="{00000000-0005-0000-0000-0000E2430000}"/>
    <cellStyle name="Standard 4 2 5 7" xfId="17192" xr:uid="{00000000-0005-0000-0000-0000E3430000}"/>
    <cellStyle name="Standard 4 2 5 7 2" xfId="17193" xr:uid="{00000000-0005-0000-0000-0000E4430000}"/>
    <cellStyle name="Standard 4 2 5 7 2 2" xfId="17194" xr:uid="{00000000-0005-0000-0000-0000E5430000}"/>
    <cellStyle name="Standard 4 2 5 7 2 3" xfId="17195" xr:uid="{00000000-0005-0000-0000-0000E6430000}"/>
    <cellStyle name="Standard 4 2 5 7 3" xfId="17196" xr:uid="{00000000-0005-0000-0000-0000E7430000}"/>
    <cellStyle name="Standard 4 2 5 7 3 2" xfId="17197" xr:uid="{00000000-0005-0000-0000-0000E8430000}"/>
    <cellStyle name="Standard 4 2 5 7 3 3" xfId="17198" xr:uid="{00000000-0005-0000-0000-0000E9430000}"/>
    <cellStyle name="Standard 4 2 5 7 4" xfId="17199" xr:uid="{00000000-0005-0000-0000-0000EA430000}"/>
    <cellStyle name="Standard 4 2 5 7 4 2" xfId="17200" xr:uid="{00000000-0005-0000-0000-0000EB430000}"/>
    <cellStyle name="Standard 4 2 5 7 5" xfId="17201" xr:uid="{00000000-0005-0000-0000-0000EC430000}"/>
    <cellStyle name="Standard 4 2 5 7 6" xfId="17202" xr:uid="{00000000-0005-0000-0000-0000ED430000}"/>
    <cellStyle name="Standard 4 2 5 8" xfId="17203" xr:uid="{00000000-0005-0000-0000-0000EE430000}"/>
    <cellStyle name="Standard 4 2 5 8 2" xfId="17204" xr:uid="{00000000-0005-0000-0000-0000EF430000}"/>
    <cellStyle name="Standard 4 2 5 8 3" xfId="17205" xr:uid="{00000000-0005-0000-0000-0000F0430000}"/>
    <cellStyle name="Standard 4 2 5 9" xfId="17206" xr:uid="{00000000-0005-0000-0000-0000F1430000}"/>
    <cellStyle name="Standard 4 2 5 9 2" xfId="17207" xr:uid="{00000000-0005-0000-0000-0000F2430000}"/>
    <cellStyle name="Standard 4 2 5 9 3" xfId="17208" xr:uid="{00000000-0005-0000-0000-0000F3430000}"/>
    <cellStyle name="Standard 4 2 6" xfId="17209" xr:uid="{00000000-0005-0000-0000-0000F4430000}"/>
    <cellStyle name="Standard 4 2 6 10" xfId="17210" xr:uid="{00000000-0005-0000-0000-0000F5430000}"/>
    <cellStyle name="Standard 4 2 6 11" xfId="17211" xr:uid="{00000000-0005-0000-0000-0000F6430000}"/>
    <cellStyle name="Standard 4 2 6 2" xfId="17212" xr:uid="{00000000-0005-0000-0000-0000F7430000}"/>
    <cellStyle name="Standard 4 2 6 2 10" xfId="17213" xr:uid="{00000000-0005-0000-0000-0000F8430000}"/>
    <cellStyle name="Standard 4 2 6 2 2" xfId="17214" xr:uid="{00000000-0005-0000-0000-0000F9430000}"/>
    <cellStyle name="Standard 4 2 6 2 2 2" xfId="17215" xr:uid="{00000000-0005-0000-0000-0000FA430000}"/>
    <cellStyle name="Standard 4 2 6 2 2 2 2" xfId="17216" xr:uid="{00000000-0005-0000-0000-0000FB430000}"/>
    <cellStyle name="Standard 4 2 6 2 2 2 2 2" xfId="17217" xr:uid="{00000000-0005-0000-0000-0000FC430000}"/>
    <cellStyle name="Standard 4 2 6 2 2 2 2 2 2" xfId="17218" xr:uid="{00000000-0005-0000-0000-0000FD430000}"/>
    <cellStyle name="Standard 4 2 6 2 2 2 2 2 3" xfId="17219" xr:uid="{00000000-0005-0000-0000-0000FE430000}"/>
    <cellStyle name="Standard 4 2 6 2 2 2 2 3" xfId="17220" xr:uid="{00000000-0005-0000-0000-0000FF430000}"/>
    <cellStyle name="Standard 4 2 6 2 2 2 2 3 2" xfId="17221" xr:uid="{00000000-0005-0000-0000-000000440000}"/>
    <cellStyle name="Standard 4 2 6 2 2 2 2 3 3" xfId="17222" xr:uid="{00000000-0005-0000-0000-000001440000}"/>
    <cellStyle name="Standard 4 2 6 2 2 2 2 4" xfId="17223" xr:uid="{00000000-0005-0000-0000-000002440000}"/>
    <cellStyle name="Standard 4 2 6 2 2 2 2 4 2" xfId="17224" xr:uid="{00000000-0005-0000-0000-000003440000}"/>
    <cellStyle name="Standard 4 2 6 2 2 2 2 5" xfId="17225" xr:uid="{00000000-0005-0000-0000-000004440000}"/>
    <cellStyle name="Standard 4 2 6 2 2 2 2 6" xfId="17226" xr:uid="{00000000-0005-0000-0000-000005440000}"/>
    <cellStyle name="Standard 4 2 6 2 2 2 3" xfId="17227" xr:uid="{00000000-0005-0000-0000-000006440000}"/>
    <cellStyle name="Standard 4 2 6 2 2 2 3 2" xfId="17228" xr:uid="{00000000-0005-0000-0000-000007440000}"/>
    <cellStyle name="Standard 4 2 6 2 2 2 3 3" xfId="17229" xr:uid="{00000000-0005-0000-0000-000008440000}"/>
    <cellStyle name="Standard 4 2 6 2 2 2 4" xfId="17230" xr:uid="{00000000-0005-0000-0000-000009440000}"/>
    <cellStyle name="Standard 4 2 6 2 2 2 4 2" xfId="17231" xr:uid="{00000000-0005-0000-0000-00000A440000}"/>
    <cellStyle name="Standard 4 2 6 2 2 2 4 3" xfId="17232" xr:uid="{00000000-0005-0000-0000-00000B440000}"/>
    <cellStyle name="Standard 4 2 6 2 2 2 5" xfId="17233" xr:uid="{00000000-0005-0000-0000-00000C440000}"/>
    <cellStyle name="Standard 4 2 6 2 2 2 5 2" xfId="17234" xr:uid="{00000000-0005-0000-0000-00000D440000}"/>
    <cellStyle name="Standard 4 2 6 2 2 2 6" xfId="17235" xr:uid="{00000000-0005-0000-0000-00000E440000}"/>
    <cellStyle name="Standard 4 2 6 2 2 2 7" xfId="17236" xr:uid="{00000000-0005-0000-0000-00000F440000}"/>
    <cellStyle name="Standard 4 2 6 2 2 3" xfId="17237" xr:uid="{00000000-0005-0000-0000-000010440000}"/>
    <cellStyle name="Standard 4 2 6 2 2 3 2" xfId="17238" xr:uid="{00000000-0005-0000-0000-000011440000}"/>
    <cellStyle name="Standard 4 2 6 2 2 3 2 2" xfId="17239" xr:uid="{00000000-0005-0000-0000-000012440000}"/>
    <cellStyle name="Standard 4 2 6 2 2 3 2 3" xfId="17240" xr:uid="{00000000-0005-0000-0000-000013440000}"/>
    <cellStyle name="Standard 4 2 6 2 2 3 3" xfId="17241" xr:uid="{00000000-0005-0000-0000-000014440000}"/>
    <cellStyle name="Standard 4 2 6 2 2 3 3 2" xfId="17242" xr:uid="{00000000-0005-0000-0000-000015440000}"/>
    <cellStyle name="Standard 4 2 6 2 2 3 3 3" xfId="17243" xr:uid="{00000000-0005-0000-0000-000016440000}"/>
    <cellStyle name="Standard 4 2 6 2 2 3 4" xfId="17244" xr:uid="{00000000-0005-0000-0000-000017440000}"/>
    <cellStyle name="Standard 4 2 6 2 2 3 4 2" xfId="17245" xr:uid="{00000000-0005-0000-0000-000018440000}"/>
    <cellStyle name="Standard 4 2 6 2 2 3 5" xfId="17246" xr:uid="{00000000-0005-0000-0000-000019440000}"/>
    <cellStyle name="Standard 4 2 6 2 2 3 6" xfId="17247" xr:uid="{00000000-0005-0000-0000-00001A440000}"/>
    <cellStyle name="Standard 4 2 6 2 2 4" xfId="17248" xr:uid="{00000000-0005-0000-0000-00001B440000}"/>
    <cellStyle name="Standard 4 2 6 2 2 4 2" xfId="17249" xr:uid="{00000000-0005-0000-0000-00001C440000}"/>
    <cellStyle name="Standard 4 2 6 2 2 4 3" xfId="17250" xr:uid="{00000000-0005-0000-0000-00001D440000}"/>
    <cellStyle name="Standard 4 2 6 2 2 5" xfId="17251" xr:uid="{00000000-0005-0000-0000-00001E440000}"/>
    <cellStyle name="Standard 4 2 6 2 2 5 2" xfId="17252" xr:uid="{00000000-0005-0000-0000-00001F440000}"/>
    <cellStyle name="Standard 4 2 6 2 2 5 3" xfId="17253" xr:uid="{00000000-0005-0000-0000-000020440000}"/>
    <cellStyle name="Standard 4 2 6 2 2 6" xfId="17254" xr:uid="{00000000-0005-0000-0000-000021440000}"/>
    <cellStyle name="Standard 4 2 6 2 2 6 2" xfId="17255" xr:uid="{00000000-0005-0000-0000-000022440000}"/>
    <cellStyle name="Standard 4 2 6 2 2 7" xfId="17256" xr:uid="{00000000-0005-0000-0000-000023440000}"/>
    <cellStyle name="Standard 4 2 6 2 2 8" xfId="17257" xr:uid="{00000000-0005-0000-0000-000024440000}"/>
    <cellStyle name="Standard 4 2 6 2 3" xfId="17258" xr:uid="{00000000-0005-0000-0000-000025440000}"/>
    <cellStyle name="Standard 4 2 6 2 3 2" xfId="17259" xr:uid="{00000000-0005-0000-0000-000026440000}"/>
    <cellStyle name="Standard 4 2 6 2 3 2 2" xfId="17260" xr:uid="{00000000-0005-0000-0000-000027440000}"/>
    <cellStyle name="Standard 4 2 6 2 3 2 2 2" xfId="17261" xr:uid="{00000000-0005-0000-0000-000028440000}"/>
    <cellStyle name="Standard 4 2 6 2 3 2 2 2 2" xfId="17262" xr:uid="{00000000-0005-0000-0000-000029440000}"/>
    <cellStyle name="Standard 4 2 6 2 3 2 2 2 3" xfId="17263" xr:uid="{00000000-0005-0000-0000-00002A440000}"/>
    <cellStyle name="Standard 4 2 6 2 3 2 2 3" xfId="17264" xr:uid="{00000000-0005-0000-0000-00002B440000}"/>
    <cellStyle name="Standard 4 2 6 2 3 2 2 3 2" xfId="17265" xr:uid="{00000000-0005-0000-0000-00002C440000}"/>
    <cellStyle name="Standard 4 2 6 2 3 2 2 3 3" xfId="17266" xr:uid="{00000000-0005-0000-0000-00002D440000}"/>
    <cellStyle name="Standard 4 2 6 2 3 2 2 4" xfId="17267" xr:uid="{00000000-0005-0000-0000-00002E440000}"/>
    <cellStyle name="Standard 4 2 6 2 3 2 2 4 2" xfId="17268" xr:uid="{00000000-0005-0000-0000-00002F440000}"/>
    <cellStyle name="Standard 4 2 6 2 3 2 2 5" xfId="17269" xr:uid="{00000000-0005-0000-0000-000030440000}"/>
    <cellStyle name="Standard 4 2 6 2 3 2 2 6" xfId="17270" xr:uid="{00000000-0005-0000-0000-000031440000}"/>
    <cellStyle name="Standard 4 2 6 2 3 2 3" xfId="17271" xr:uid="{00000000-0005-0000-0000-000032440000}"/>
    <cellStyle name="Standard 4 2 6 2 3 2 3 2" xfId="17272" xr:uid="{00000000-0005-0000-0000-000033440000}"/>
    <cellStyle name="Standard 4 2 6 2 3 2 3 3" xfId="17273" xr:uid="{00000000-0005-0000-0000-000034440000}"/>
    <cellStyle name="Standard 4 2 6 2 3 2 4" xfId="17274" xr:uid="{00000000-0005-0000-0000-000035440000}"/>
    <cellStyle name="Standard 4 2 6 2 3 2 4 2" xfId="17275" xr:uid="{00000000-0005-0000-0000-000036440000}"/>
    <cellStyle name="Standard 4 2 6 2 3 2 4 3" xfId="17276" xr:uid="{00000000-0005-0000-0000-000037440000}"/>
    <cellStyle name="Standard 4 2 6 2 3 2 5" xfId="17277" xr:uid="{00000000-0005-0000-0000-000038440000}"/>
    <cellStyle name="Standard 4 2 6 2 3 2 5 2" xfId="17278" xr:uid="{00000000-0005-0000-0000-000039440000}"/>
    <cellStyle name="Standard 4 2 6 2 3 2 6" xfId="17279" xr:uid="{00000000-0005-0000-0000-00003A440000}"/>
    <cellStyle name="Standard 4 2 6 2 3 2 7" xfId="17280" xr:uid="{00000000-0005-0000-0000-00003B440000}"/>
    <cellStyle name="Standard 4 2 6 2 3 3" xfId="17281" xr:uid="{00000000-0005-0000-0000-00003C440000}"/>
    <cellStyle name="Standard 4 2 6 2 3 3 2" xfId="17282" xr:uid="{00000000-0005-0000-0000-00003D440000}"/>
    <cellStyle name="Standard 4 2 6 2 3 3 2 2" xfId="17283" xr:uid="{00000000-0005-0000-0000-00003E440000}"/>
    <cellStyle name="Standard 4 2 6 2 3 3 2 3" xfId="17284" xr:uid="{00000000-0005-0000-0000-00003F440000}"/>
    <cellStyle name="Standard 4 2 6 2 3 3 3" xfId="17285" xr:uid="{00000000-0005-0000-0000-000040440000}"/>
    <cellStyle name="Standard 4 2 6 2 3 3 3 2" xfId="17286" xr:uid="{00000000-0005-0000-0000-000041440000}"/>
    <cellStyle name="Standard 4 2 6 2 3 3 3 3" xfId="17287" xr:uid="{00000000-0005-0000-0000-000042440000}"/>
    <cellStyle name="Standard 4 2 6 2 3 3 4" xfId="17288" xr:uid="{00000000-0005-0000-0000-000043440000}"/>
    <cellStyle name="Standard 4 2 6 2 3 3 4 2" xfId="17289" xr:uid="{00000000-0005-0000-0000-000044440000}"/>
    <cellStyle name="Standard 4 2 6 2 3 3 5" xfId="17290" xr:uid="{00000000-0005-0000-0000-000045440000}"/>
    <cellStyle name="Standard 4 2 6 2 3 3 6" xfId="17291" xr:uid="{00000000-0005-0000-0000-000046440000}"/>
    <cellStyle name="Standard 4 2 6 2 3 4" xfId="17292" xr:uid="{00000000-0005-0000-0000-000047440000}"/>
    <cellStyle name="Standard 4 2 6 2 3 4 2" xfId="17293" xr:uid="{00000000-0005-0000-0000-000048440000}"/>
    <cellStyle name="Standard 4 2 6 2 3 4 3" xfId="17294" xr:uid="{00000000-0005-0000-0000-000049440000}"/>
    <cellStyle name="Standard 4 2 6 2 3 5" xfId="17295" xr:uid="{00000000-0005-0000-0000-00004A440000}"/>
    <cellStyle name="Standard 4 2 6 2 3 5 2" xfId="17296" xr:uid="{00000000-0005-0000-0000-00004B440000}"/>
    <cellStyle name="Standard 4 2 6 2 3 5 3" xfId="17297" xr:uid="{00000000-0005-0000-0000-00004C440000}"/>
    <cellStyle name="Standard 4 2 6 2 3 6" xfId="17298" xr:uid="{00000000-0005-0000-0000-00004D440000}"/>
    <cellStyle name="Standard 4 2 6 2 3 6 2" xfId="17299" xr:uid="{00000000-0005-0000-0000-00004E440000}"/>
    <cellStyle name="Standard 4 2 6 2 3 7" xfId="17300" xr:uid="{00000000-0005-0000-0000-00004F440000}"/>
    <cellStyle name="Standard 4 2 6 2 3 8" xfId="17301" xr:uid="{00000000-0005-0000-0000-000050440000}"/>
    <cellStyle name="Standard 4 2 6 2 4" xfId="17302" xr:uid="{00000000-0005-0000-0000-000051440000}"/>
    <cellStyle name="Standard 4 2 6 2 4 2" xfId="17303" xr:uid="{00000000-0005-0000-0000-000052440000}"/>
    <cellStyle name="Standard 4 2 6 2 4 2 2" xfId="17304" xr:uid="{00000000-0005-0000-0000-000053440000}"/>
    <cellStyle name="Standard 4 2 6 2 4 2 2 2" xfId="17305" xr:uid="{00000000-0005-0000-0000-000054440000}"/>
    <cellStyle name="Standard 4 2 6 2 4 2 2 3" xfId="17306" xr:uid="{00000000-0005-0000-0000-000055440000}"/>
    <cellStyle name="Standard 4 2 6 2 4 2 3" xfId="17307" xr:uid="{00000000-0005-0000-0000-000056440000}"/>
    <cellStyle name="Standard 4 2 6 2 4 2 3 2" xfId="17308" xr:uid="{00000000-0005-0000-0000-000057440000}"/>
    <cellStyle name="Standard 4 2 6 2 4 2 3 3" xfId="17309" xr:uid="{00000000-0005-0000-0000-000058440000}"/>
    <cellStyle name="Standard 4 2 6 2 4 2 4" xfId="17310" xr:uid="{00000000-0005-0000-0000-000059440000}"/>
    <cellStyle name="Standard 4 2 6 2 4 2 4 2" xfId="17311" xr:uid="{00000000-0005-0000-0000-00005A440000}"/>
    <cellStyle name="Standard 4 2 6 2 4 2 5" xfId="17312" xr:uid="{00000000-0005-0000-0000-00005B440000}"/>
    <cellStyle name="Standard 4 2 6 2 4 2 6" xfId="17313" xr:uid="{00000000-0005-0000-0000-00005C440000}"/>
    <cellStyle name="Standard 4 2 6 2 4 3" xfId="17314" xr:uid="{00000000-0005-0000-0000-00005D440000}"/>
    <cellStyle name="Standard 4 2 6 2 4 3 2" xfId="17315" xr:uid="{00000000-0005-0000-0000-00005E440000}"/>
    <cellStyle name="Standard 4 2 6 2 4 3 3" xfId="17316" xr:uid="{00000000-0005-0000-0000-00005F440000}"/>
    <cellStyle name="Standard 4 2 6 2 4 4" xfId="17317" xr:uid="{00000000-0005-0000-0000-000060440000}"/>
    <cellStyle name="Standard 4 2 6 2 4 4 2" xfId="17318" xr:uid="{00000000-0005-0000-0000-000061440000}"/>
    <cellStyle name="Standard 4 2 6 2 4 4 3" xfId="17319" xr:uid="{00000000-0005-0000-0000-000062440000}"/>
    <cellStyle name="Standard 4 2 6 2 4 5" xfId="17320" xr:uid="{00000000-0005-0000-0000-000063440000}"/>
    <cellStyle name="Standard 4 2 6 2 4 5 2" xfId="17321" xr:uid="{00000000-0005-0000-0000-000064440000}"/>
    <cellStyle name="Standard 4 2 6 2 4 6" xfId="17322" xr:uid="{00000000-0005-0000-0000-000065440000}"/>
    <cellStyle name="Standard 4 2 6 2 4 7" xfId="17323" xr:uid="{00000000-0005-0000-0000-000066440000}"/>
    <cellStyle name="Standard 4 2 6 2 5" xfId="17324" xr:uid="{00000000-0005-0000-0000-000067440000}"/>
    <cellStyle name="Standard 4 2 6 2 5 2" xfId="17325" xr:uid="{00000000-0005-0000-0000-000068440000}"/>
    <cellStyle name="Standard 4 2 6 2 5 2 2" xfId="17326" xr:uid="{00000000-0005-0000-0000-000069440000}"/>
    <cellStyle name="Standard 4 2 6 2 5 2 3" xfId="17327" xr:uid="{00000000-0005-0000-0000-00006A440000}"/>
    <cellStyle name="Standard 4 2 6 2 5 3" xfId="17328" xr:uid="{00000000-0005-0000-0000-00006B440000}"/>
    <cellStyle name="Standard 4 2 6 2 5 3 2" xfId="17329" xr:uid="{00000000-0005-0000-0000-00006C440000}"/>
    <cellStyle name="Standard 4 2 6 2 5 3 3" xfId="17330" xr:uid="{00000000-0005-0000-0000-00006D440000}"/>
    <cellStyle name="Standard 4 2 6 2 5 4" xfId="17331" xr:uid="{00000000-0005-0000-0000-00006E440000}"/>
    <cellStyle name="Standard 4 2 6 2 5 4 2" xfId="17332" xr:uid="{00000000-0005-0000-0000-00006F440000}"/>
    <cellStyle name="Standard 4 2 6 2 5 5" xfId="17333" xr:uid="{00000000-0005-0000-0000-000070440000}"/>
    <cellStyle name="Standard 4 2 6 2 5 6" xfId="17334" xr:uid="{00000000-0005-0000-0000-000071440000}"/>
    <cellStyle name="Standard 4 2 6 2 6" xfId="17335" xr:uid="{00000000-0005-0000-0000-000072440000}"/>
    <cellStyle name="Standard 4 2 6 2 6 2" xfId="17336" xr:uid="{00000000-0005-0000-0000-000073440000}"/>
    <cellStyle name="Standard 4 2 6 2 6 3" xfId="17337" xr:uid="{00000000-0005-0000-0000-000074440000}"/>
    <cellStyle name="Standard 4 2 6 2 7" xfId="17338" xr:uid="{00000000-0005-0000-0000-000075440000}"/>
    <cellStyle name="Standard 4 2 6 2 7 2" xfId="17339" xr:uid="{00000000-0005-0000-0000-000076440000}"/>
    <cellStyle name="Standard 4 2 6 2 7 3" xfId="17340" xr:uid="{00000000-0005-0000-0000-000077440000}"/>
    <cellStyle name="Standard 4 2 6 2 8" xfId="17341" xr:uid="{00000000-0005-0000-0000-000078440000}"/>
    <cellStyle name="Standard 4 2 6 2 8 2" xfId="17342" xr:uid="{00000000-0005-0000-0000-000079440000}"/>
    <cellStyle name="Standard 4 2 6 2 9" xfId="17343" xr:uid="{00000000-0005-0000-0000-00007A440000}"/>
    <cellStyle name="Standard 4 2 6 3" xfId="17344" xr:uid="{00000000-0005-0000-0000-00007B440000}"/>
    <cellStyle name="Standard 4 2 6 3 2" xfId="17345" xr:uid="{00000000-0005-0000-0000-00007C440000}"/>
    <cellStyle name="Standard 4 2 6 3 2 2" xfId="17346" xr:uid="{00000000-0005-0000-0000-00007D440000}"/>
    <cellStyle name="Standard 4 2 6 3 2 2 2" xfId="17347" xr:uid="{00000000-0005-0000-0000-00007E440000}"/>
    <cellStyle name="Standard 4 2 6 3 2 2 2 2" xfId="17348" xr:uid="{00000000-0005-0000-0000-00007F440000}"/>
    <cellStyle name="Standard 4 2 6 3 2 2 2 3" xfId="17349" xr:uid="{00000000-0005-0000-0000-000080440000}"/>
    <cellStyle name="Standard 4 2 6 3 2 2 3" xfId="17350" xr:uid="{00000000-0005-0000-0000-000081440000}"/>
    <cellStyle name="Standard 4 2 6 3 2 2 3 2" xfId="17351" xr:uid="{00000000-0005-0000-0000-000082440000}"/>
    <cellStyle name="Standard 4 2 6 3 2 2 3 3" xfId="17352" xr:uid="{00000000-0005-0000-0000-000083440000}"/>
    <cellStyle name="Standard 4 2 6 3 2 2 4" xfId="17353" xr:uid="{00000000-0005-0000-0000-000084440000}"/>
    <cellStyle name="Standard 4 2 6 3 2 2 4 2" xfId="17354" xr:uid="{00000000-0005-0000-0000-000085440000}"/>
    <cellStyle name="Standard 4 2 6 3 2 2 5" xfId="17355" xr:uid="{00000000-0005-0000-0000-000086440000}"/>
    <cellStyle name="Standard 4 2 6 3 2 2 6" xfId="17356" xr:uid="{00000000-0005-0000-0000-000087440000}"/>
    <cellStyle name="Standard 4 2 6 3 2 3" xfId="17357" xr:uid="{00000000-0005-0000-0000-000088440000}"/>
    <cellStyle name="Standard 4 2 6 3 2 3 2" xfId="17358" xr:uid="{00000000-0005-0000-0000-000089440000}"/>
    <cellStyle name="Standard 4 2 6 3 2 3 3" xfId="17359" xr:uid="{00000000-0005-0000-0000-00008A440000}"/>
    <cellStyle name="Standard 4 2 6 3 2 4" xfId="17360" xr:uid="{00000000-0005-0000-0000-00008B440000}"/>
    <cellStyle name="Standard 4 2 6 3 2 4 2" xfId="17361" xr:uid="{00000000-0005-0000-0000-00008C440000}"/>
    <cellStyle name="Standard 4 2 6 3 2 4 3" xfId="17362" xr:uid="{00000000-0005-0000-0000-00008D440000}"/>
    <cellStyle name="Standard 4 2 6 3 2 5" xfId="17363" xr:uid="{00000000-0005-0000-0000-00008E440000}"/>
    <cellStyle name="Standard 4 2 6 3 2 5 2" xfId="17364" xr:uid="{00000000-0005-0000-0000-00008F440000}"/>
    <cellStyle name="Standard 4 2 6 3 2 6" xfId="17365" xr:uid="{00000000-0005-0000-0000-000090440000}"/>
    <cellStyle name="Standard 4 2 6 3 2 7" xfId="17366" xr:uid="{00000000-0005-0000-0000-000091440000}"/>
    <cellStyle name="Standard 4 2 6 3 3" xfId="17367" xr:uid="{00000000-0005-0000-0000-000092440000}"/>
    <cellStyle name="Standard 4 2 6 3 3 2" xfId="17368" xr:uid="{00000000-0005-0000-0000-000093440000}"/>
    <cellStyle name="Standard 4 2 6 3 3 2 2" xfId="17369" xr:uid="{00000000-0005-0000-0000-000094440000}"/>
    <cellStyle name="Standard 4 2 6 3 3 2 3" xfId="17370" xr:uid="{00000000-0005-0000-0000-000095440000}"/>
    <cellStyle name="Standard 4 2 6 3 3 3" xfId="17371" xr:uid="{00000000-0005-0000-0000-000096440000}"/>
    <cellStyle name="Standard 4 2 6 3 3 3 2" xfId="17372" xr:uid="{00000000-0005-0000-0000-000097440000}"/>
    <cellStyle name="Standard 4 2 6 3 3 3 3" xfId="17373" xr:uid="{00000000-0005-0000-0000-000098440000}"/>
    <cellStyle name="Standard 4 2 6 3 3 4" xfId="17374" xr:uid="{00000000-0005-0000-0000-000099440000}"/>
    <cellStyle name="Standard 4 2 6 3 3 4 2" xfId="17375" xr:uid="{00000000-0005-0000-0000-00009A440000}"/>
    <cellStyle name="Standard 4 2 6 3 3 5" xfId="17376" xr:uid="{00000000-0005-0000-0000-00009B440000}"/>
    <cellStyle name="Standard 4 2 6 3 3 6" xfId="17377" xr:uid="{00000000-0005-0000-0000-00009C440000}"/>
    <cellStyle name="Standard 4 2 6 3 4" xfId="17378" xr:uid="{00000000-0005-0000-0000-00009D440000}"/>
    <cellStyle name="Standard 4 2 6 3 4 2" xfId="17379" xr:uid="{00000000-0005-0000-0000-00009E440000}"/>
    <cellStyle name="Standard 4 2 6 3 4 3" xfId="17380" xr:uid="{00000000-0005-0000-0000-00009F440000}"/>
    <cellStyle name="Standard 4 2 6 3 5" xfId="17381" xr:uid="{00000000-0005-0000-0000-0000A0440000}"/>
    <cellStyle name="Standard 4 2 6 3 5 2" xfId="17382" xr:uid="{00000000-0005-0000-0000-0000A1440000}"/>
    <cellStyle name="Standard 4 2 6 3 5 3" xfId="17383" xr:uid="{00000000-0005-0000-0000-0000A2440000}"/>
    <cellStyle name="Standard 4 2 6 3 6" xfId="17384" xr:uid="{00000000-0005-0000-0000-0000A3440000}"/>
    <cellStyle name="Standard 4 2 6 3 6 2" xfId="17385" xr:uid="{00000000-0005-0000-0000-0000A4440000}"/>
    <cellStyle name="Standard 4 2 6 3 7" xfId="17386" xr:uid="{00000000-0005-0000-0000-0000A5440000}"/>
    <cellStyle name="Standard 4 2 6 3 8" xfId="17387" xr:uid="{00000000-0005-0000-0000-0000A6440000}"/>
    <cellStyle name="Standard 4 2 6 4" xfId="17388" xr:uid="{00000000-0005-0000-0000-0000A7440000}"/>
    <cellStyle name="Standard 4 2 6 4 2" xfId="17389" xr:uid="{00000000-0005-0000-0000-0000A8440000}"/>
    <cellStyle name="Standard 4 2 6 4 2 2" xfId="17390" xr:uid="{00000000-0005-0000-0000-0000A9440000}"/>
    <cellStyle name="Standard 4 2 6 4 2 2 2" xfId="17391" xr:uid="{00000000-0005-0000-0000-0000AA440000}"/>
    <cellStyle name="Standard 4 2 6 4 2 2 2 2" xfId="17392" xr:uid="{00000000-0005-0000-0000-0000AB440000}"/>
    <cellStyle name="Standard 4 2 6 4 2 2 2 3" xfId="17393" xr:uid="{00000000-0005-0000-0000-0000AC440000}"/>
    <cellStyle name="Standard 4 2 6 4 2 2 3" xfId="17394" xr:uid="{00000000-0005-0000-0000-0000AD440000}"/>
    <cellStyle name="Standard 4 2 6 4 2 2 3 2" xfId="17395" xr:uid="{00000000-0005-0000-0000-0000AE440000}"/>
    <cellStyle name="Standard 4 2 6 4 2 2 3 3" xfId="17396" xr:uid="{00000000-0005-0000-0000-0000AF440000}"/>
    <cellStyle name="Standard 4 2 6 4 2 2 4" xfId="17397" xr:uid="{00000000-0005-0000-0000-0000B0440000}"/>
    <cellStyle name="Standard 4 2 6 4 2 2 4 2" xfId="17398" xr:uid="{00000000-0005-0000-0000-0000B1440000}"/>
    <cellStyle name="Standard 4 2 6 4 2 2 5" xfId="17399" xr:uid="{00000000-0005-0000-0000-0000B2440000}"/>
    <cellStyle name="Standard 4 2 6 4 2 2 6" xfId="17400" xr:uid="{00000000-0005-0000-0000-0000B3440000}"/>
    <cellStyle name="Standard 4 2 6 4 2 3" xfId="17401" xr:uid="{00000000-0005-0000-0000-0000B4440000}"/>
    <cellStyle name="Standard 4 2 6 4 2 3 2" xfId="17402" xr:uid="{00000000-0005-0000-0000-0000B5440000}"/>
    <cellStyle name="Standard 4 2 6 4 2 3 3" xfId="17403" xr:uid="{00000000-0005-0000-0000-0000B6440000}"/>
    <cellStyle name="Standard 4 2 6 4 2 4" xfId="17404" xr:uid="{00000000-0005-0000-0000-0000B7440000}"/>
    <cellStyle name="Standard 4 2 6 4 2 4 2" xfId="17405" xr:uid="{00000000-0005-0000-0000-0000B8440000}"/>
    <cellStyle name="Standard 4 2 6 4 2 4 3" xfId="17406" xr:uid="{00000000-0005-0000-0000-0000B9440000}"/>
    <cellStyle name="Standard 4 2 6 4 2 5" xfId="17407" xr:uid="{00000000-0005-0000-0000-0000BA440000}"/>
    <cellStyle name="Standard 4 2 6 4 2 5 2" xfId="17408" xr:uid="{00000000-0005-0000-0000-0000BB440000}"/>
    <cellStyle name="Standard 4 2 6 4 2 6" xfId="17409" xr:uid="{00000000-0005-0000-0000-0000BC440000}"/>
    <cellStyle name="Standard 4 2 6 4 2 7" xfId="17410" xr:uid="{00000000-0005-0000-0000-0000BD440000}"/>
    <cellStyle name="Standard 4 2 6 4 3" xfId="17411" xr:uid="{00000000-0005-0000-0000-0000BE440000}"/>
    <cellStyle name="Standard 4 2 6 4 3 2" xfId="17412" xr:uid="{00000000-0005-0000-0000-0000BF440000}"/>
    <cellStyle name="Standard 4 2 6 4 3 2 2" xfId="17413" xr:uid="{00000000-0005-0000-0000-0000C0440000}"/>
    <cellStyle name="Standard 4 2 6 4 3 2 3" xfId="17414" xr:uid="{00000000-0005-0000-0000-0000C1440000}"/>
    <cellStyle name="Standard 4 2 6 4 3 3" xfId="17415" xr:uid="{00000000-0005-0000-0000-0000C2440000}"/>
    <cellStyle name="Standard 4 2 6 4 3 3 2" xfId="17416" xr:uid="{00000000-0005-0000-0000-0000C3440000}"/>
    <cellStyle name="Standard 4 2 6 4 3 3 3" xfId="17417" xr:uid="{00000000-0005-0000-0000-0000C4440000}"/>
    <cellStyle name="Standard 4 2 6 4 3 4" xfId="17418" xr:uid="{00000000-0005-0000-0000-0000C5440000}"/>
    <cellStyle name="Standard 4 2 6 4 3 4 2" xfId="17419" xr:uid="{00000000-0005-0000-0000-0000C6440000}"/>
    <cellStyle name="Standard 4 2 6 4 3 5" xfId="17420" xr:uid="{00000000-0005-0000-0000-0000C7440000}"/>
    <cellStyle name="Standard 4 2 6 4 3 6" xfId="17421" xr:uid="{00000000-0005-0000-0000-0000C8440000}"/>
    <cellStyle name="Standard 4 2 6 4 4" xfId="17422" xr:uid="{00000000-0005-0000-0000-0000C9440000}"/>
    <cellStyle name="Standard 4 2 6 4 4 2" xfId="17423" xr:uid="{00000000-0005-0000-0000-0000CA440000}"/>
    <cellStyle name="Standard 4 2 6 4 4 3" xfId="17424" xr:uid="{00000000-0005-0000-0000-0000CB440000}"/>
    <cellStyle name="Standard 4 2 6 4 5" xfId="17425" xr:uid="{00000000-0005-0000-0000-0000CC440000}"/>
    <cellStyle name="Standard 4 2 6 4 5 2" xfId="17426" xr:uid="{00000000-0005-0000-0000-0000CD440000}"/>
    <cellStyle name="Standard 4 2 6 4 5 3" xfId="17427" xr:uid="{00000000-0005-0000-0000-0000CE440000}"/>
    <cellStyle name="Standard 4 2 6 4 6" xfId="17428" xr:uid="{00000000-0005-0000-0000-0000CF440000}"/>
    <cellStyle name="Standard 4 2 6 4 6 2" xfId="17429" xr:uid="{00000000-0005-0000-0000-0000D0440000}"/>
    <cellStyle name="Standard 4 2 6 4 7" xfId="17430" xr:uid="{00000000-0005-0000-0000-0000D1440000}"/>
    <cellStyle name="Standard 4 2 6 4 8" xfId="17431" xr:uid="{00000000-0005-0000-0000-0000D2440000}"/>
    <cellStyle name="Standard 4 2 6 5" xfId="17432" xr:uid="{00000000-0005-0000-0000-0000D3440000}"/>
    <cellStyle name="Standard 4 2 6 5 2" xfId="17433" xr:uid="{00000000-0005-0000-0000-0000D4440000}"/>
    <cellStyle name="Standard 4 2 6 5 2 2" xfId="17434" xr:uid="{00000000-0005-0000-0000-0000D5440000}"/>
    <cellStyle name="Standard 4 2 6 5 2 2 2" xfId="17435" xr:uid="{00000000-0005-0000-0000-0000D6440000}"/>
    <cellStyle name="Standard 4 2 6 5 2 2 3" xfId="17436" xr:uid="{00000000-0005-0000-0000-0000D7440000}"/>
    <cellStyle name="Standard 4 2 6 5 2 3" xfId="17437" xr:uid="{00000000-0005-0000-0000-0000D8440000}"/>
    <cellStyle name="Standard 4 2 6 5 2 3 2" xfId="17438" xr:uid="{00000000-0005-0000-0000-0000D9440000}"/>
    <cellStyle name="Standard 4 2 6 5 2 3 3" xfId="17439" xr:uid="{00000000-0005-0000-0000-0000DA440000}"/>
    <cellStyle name="Standard 4 2 6 5 2 4" xfId="17440" xr:uid="{00000000-0005-0000-0000-0000DB440000}"/>
    <cellStyle name="Standard 4 2 6 5 2 4 2" xfId="17441" xr:uid="{00000000-0005-0000-0000-0000DC440000}"/>
    <cellStyle name="Standard 4 2 6 5 2 5" xfId="17442" xr:uid="{00000000-0005-0000-0000-0000DD440000}"/>
    <cellStyle name="Standard 4 2 6 5 2 6" xfId="17443" xr:uid="{00000000-0005-0000-0000-0000DE440000}"/>
    <cellStyle name="Standard 4 2 6 5 3" xfId="17444" xr:uid="{00000000-0005-0000-0000-0000DF440000}"/>
    <cellStyle name="Standard 4 2 6 5 3 2" xfId="17445" xr:uid="{00000000-0005-0000-0000-0000E0440000}"/>
    <cellStyle name="Standard 4 2 6 5 3 3" xfId="17446" xr:uid="{00000000-0005-0000-0000-0000E1440000}"/>
    <cellStyle name="Standard 4 2 6 5 4" xfId="17447" xr:uid="{00000000-0005-0000-0000-0000E2440000}"/>
    <cellStyle name="Standard 4 2 6 5 4 2" xfId="17448" xr:uid="{00000000-0005-0000-0000-0000E3440000}"/>
    <cellStyle name="Standard 4 2 6 5 4 3" xfId="17449" xr:uid="{00000000-0005-0000-0000-0000E4440000}"/>
    <cellStyle name="Standard 4 2 6 5 5" xfId="17450" xr:uid="{00000000-0005-0000-0000-0000E5440000}"/>
    <cellStyle name="Standard 4 2 6 5 5 2" xfId="17451" xr:uid="{00000000-0005-0000-0000-0000E6440000}"/>
    <cellStyle name="Standard 4 2 6 5 6" xfId="17452" xr:uid="{00000000-0005-0000-0000-0000E7440000}"/>
    <cellStyle name="Standard 4 2 6 5 7" xfId="17453" xr:uid="{00000000-0005-0000-0000-0000E8440000}"/>
    <cellStyle name="Standard 4 2 6 6" xfId="17454" xr:uid="{00000000-0005-0000-0000-0000E9440000}"/>
    <cellStyle name="Standard 4 2 6 6 2" xfId="17455" xr:uid="{00000000-0005-0000-0000-0000EA440000}"/>
    <cellStyle name="Standard 4 2 6 6 2 2" xfId="17456" xr:uid="{00000000-0005-0000-0000-0000EB440000}"/>
    <cellStyle name="Standard 4 2 6 6 2 3" xfId="17457" xr:uid="{00000000-0005-0000-0000-0000EC440000}"/>
    <cellStyle name="Standard 4 2 6 6 3" xfId="17458" xr:uid="{00000000-0005-0000-0000-0000ED440000}"/>
    <cellStyle name="Standard 4 2 6 6 3 2" xfId="17459" xr:uid="{00000000-0005-0000-0000-0000EE440000}"/>
    <cellStyle name="Standard 4 2 6 6 3 3" xfId="17460" xr:uid="{00000000-0005-0000-0000-0000EF440000}"/>
    <cellStyle name="Standard 4 2 6 6 4" xfId="17461" xr:uid="{00000000-0005-0000-0000-0000F0440000}"/>
    <cellStyle name="Standard 4 2 6 6 4 2" xfId="17462" xr:uid="{00000000-0005-0000-0000-0000F1440000}"/>
    <cellStyle name="Standard 4 2 6 6 5" xfId="17463" xr:uid="{00000000-0005-0000-0000-0000F2440000}"/>
    <cellStyle name="Standard 4 2 6 6 6" xfId="17464" xr:uid="{00000000-0005-0000-0000-0000F3440000}"/>
    <cellStyle name="Standard 4 2 6 7" xfId="17465" xr:uid="{00000000-0005-0000-0000-0000F4440000}"/>
    <cellStyle name="Standard 4 2 6 7 2" xfId="17466" xr:uid="{00000000-0005-0000-0000-0000F5440000}"/>
    <cellStyle name="Standard 4 2 6 7 3" xfId="17467" xr:uid="{00000000-0005-0000-0000-0000F6440000}"/>
    <cellStyle name="Standard 4 2 6 8" xfId="17468" xr:uid="{00000000-0005-0000-0000-0000F7440000}"/>
    <cellStyle name="Standard 4 2 6 8 2" xfId="17469" xr:uid="{00000000-0005-0000-0000-0000F8440000}"/>
    <cellStyle name="Standard 4 2 6 8 3" xfId="17470" xr:uid="{00000000-0005-0000-0000-0000F9440000}"/>
    <cellStyle name="Standard 4 2 6 9" xfId="17471" xr:uid="{00000000-0005-0000-0000-0000FA440000}"/>
    <cellStyle name="Standard 4 2 6 9 2" xfId="17472" xr:uid="{00000000-0005-0000-0000-0000FB440000}"/>
    <cellStyle name="Standard 4 2 7" xfId="17473" xr:uid="{00000000-0005-0000-0000-0000FC440000}"/>
    <cellStyle name="Standard 4 2 7 10" xfId="17474" xr:uid="{00000000-0005-0000-0000-0000FD440000}"/>
    <cellStyle name="Standard 4 2 7 11" xfId="17475" xr:uid="{00000000-0005-0000-0000-0000FE440000}"/>
    <cellStyle name="Standard 4 2 7 2" xfId="17476" xr:uid="{00000000-0005-0000-0000-0000FF440000}"/>
    <cellStyle name="Standard 4 2 7 2 10" xfId="17477" xr:uid="{00000000-0005-0000-0000-000000450000}"/>
    <cellStyle name="Standard 4 2 7 2 2" xfId="17478" xr:uid="{00000000-0005-0000-0000-000001450000}"/>
    <cellStyle name="Standard 4 2 7 2 2 2" xfId="17479" xr:uid="{00000000-0005-0000-0000-000002450000}"/>
    <cellStyle name="Standard 4 2 7 2 2 2 2" xfId="17480" xr:uid="{00000000-0005-0000-0000-000003450000}"/>
    <cellStyle name="Standard 4 2 7 2 2 2 2 2" xfId="17481" xr:uid="{00000000-0005-0000-0000-000004450000}"/>
    <cellStyle name="Standard 4 2 7 2 2 2 2 2 2" xfId="17482" xr:uid="{00000000-0005-0000-0000-000005450000}"/>
    <cellStyle name="Standard 4 2 7 2 2 2 2 2 3" xfId="17483" xr:uid="{00000000-0005-0000-0000-000006450000}"/>
    <cellStyle name="Standard 4 2 7 2 2 2 2 3" xfId="17484" xr:uid="{00000000-0005-0000-0000-000007450000}"/>
    <cellStyle name="Standard 4 2 7 2 2 2 2 3 2" xfId="17485" xr:uid="{00000000-0005-0000-0000-000008450000}"/>
    <cellStyle name="Standard 4 2 7 2 2 2 2 3 3" xfId="17486" xr:uid="{00000000-0005-0000-0000-000009450000}"/>
    <cellStyle name="Standard 4 2 7 2 2 2 2 4" xfId="17487" xr:uid="{00000000-0005-0000-0000-00000A450000}"/>
    <cellStyle name="Standard 4 2 7 2 2 2 2 4 2" xfId="17488" xr:uid="{00000000-0005-0000-0000-00000B450000}"/>
    <cellStyle name="Standard 4 2 7 2 2 2 2 5" xfId="17489" xr:uid="{00000000-0005-0000-0000-00000C450000}"/>
    <cellStyle name="Standard 4 2 7 2 2 2 2 6" xfId="17490" xr:uid="{00000000-0005-0000-0000-00000D450000}"/>
    <cellStyle name="Standard 4 2 7 2 2 2 3" xfId="17491" xr:uid="{00000000-0005-0000-0000-00000E450000}"/>
    <cellStyle name="Standard 4 2 7 2 2 2 3 2" xfId="17492" xr:uid="{00000000-0005-0000-0000-00000F450000}"/>
    <cellStyle name="Standard 4 2 7 2 2 2 3 3" xfId="17493" xr:uid="{00000000-0005-0000-0000-000010450000}"/>
    <cellStyle name="Standard 4 2 7 2 2 2 4" xfId="17494" xr:uid="{00000000-0005-0000-0000-000011450000}"/>
    <cellStyle name="Standard 4 2 7 2 2 2 4 2" xfId="17495" xr:uid="{00000000-0005-0000-0000-000012450000}"/>
    <cellStyle name="Standard 4 2 7 2 2 2 4 3" xfId="17496" xr:uid="{00000000-0005-0000-0000-000013450000}"/>
    <cellStyle name="Standard 4 2 7 2 2 2 5" xfId="17497" xr:uid="{00000000-0005-0000-0000-000014450000}"/>
    <cellStyle name="Standard 4 2 7 2 2 2 5 2" xfId="17498" xr:uid="{00000000-0005-0000-0000-000015450000}"/>
    <cellStyle name="Standard 4 2 7 2 2 2 6" xfId="17499" xr:uid="{00000000-0005-0000-0000-000016450000}"/>
    <cellStyle name="Standard 4 2 7 2 2 2 7" xfId="17500" xr:uid="{00000000-0005-0000-0000-000017450000}"/>
    <cellStyle name="Standard 4 2 7 2 2 3" xfId="17501" xr:uid="{00000000-0005-0000-0000-000018450000}"/>
    <cellStyle name="Standard 4 2 7 2 2 3 2" xfId="17502" xr:uid="{00000000-0005-0000-0000-000019450000}"/>
    <cellStyle name="Standard 4 2 7 2 2 3 2 2" xfId="17503" xr:uid="{00000000-0005-0000-0000-00001A450000}"/>
    <cellStyle name="Standard 4 2 7 2 2 3 2 3" xfId="17504" xr:uid="{00000000-0005-0000-0000-00001B450000}"/>
    <cellStyle name="Standard 4 2 7 2 2 3 3" xfId="17505" xr:uid="{00000000-0005-0000-0000-00001C450000}"/>
    <cellStyle name="Standard 4 2 7 2 2 3 3 2" xfId="17506" xr:uid="{00000000-0005-0000-0000-00001D450000}"/>
    <cellStyle name="Standard 4 2 7 2 2 3 3 3" xfId="17507" xr:uid="{00000000-0005-0000-0000-00001E450000}"/>
    <cellStyle name="Standard 4 2 7 2 2 3 4" xfId="17508" xr:uid="{00000000-0005-0000-0000-00001F450000}"/>
    <cellStyle name="Standard 4 2 7 2 2 3 4 2" xfId="17509" xr:uid="{00000000-0005-0000-0000-000020450000}"/>
    <cellStyle name="Standard 4 2 7 2 2 3 5" xfId="17510" xr:uid="{00000000-0005-0000-0000-000021450000}"/>
    <cellStyle name="Standard 4 2 7 2 2 3 6" xfId="17511" xr:uid="{00000000-0005-0000-0000-000022450000}"/>
    <cellStyle name="Standard 4 2 7 2 2 4" xfId="17512" xr:uid="{00000000-0005-0000-0000-000023450000}"/>
    <cellStyle name="Standard 4 2 7 2 2 4 2" xfId="17513" xr:uid="{00000000-0005-0000-0000-000024450000}"/>
    <cellStyle name="Standard 4 2 7 2 2 4 3" xfId="17514" xr:uid="{00000000-0005-0000-0000-000025450000}"/>
    <cellStyle name="Standard 4 2 7 2 2 5" xfId="17515" xr:uid="{00000000-0005-0000-0000-000026450000}"/>
    <cellStyle name="Standard 4 2 7 2 2 5 2" xfId="17516" xr:uid="{00000000-0005-0000-0000-000027450000}"/>
    <cellStyle name="Standard 4 2 7 2 2 5 3" xfId="17517" xr:uid="{00000000-0005-0000-0000-000028450000}"/>
    <cellStyle name="Standard 4 2 7 2 2 6" xfId="17518" xr:uid="{00000000-0005-0000-0000-000029450000}"/>
    <cellStyle name="Standard 4 2 7 2 2 6 2" xfId="17519" xr:uid="{00000000-0005-0000-0000-00002A450000}"/>
    <cellStyle name="Standard 4 2 7 2 2 7" xfId="17520" xr:uid="{00000000-0005-0000-0000-00002B450000}"/>
    <cellStyle name="Standard 4 2 7 2 2 8" xfId="17521" xr:uid="{00000000-0005-0000-0000-00002C450000}"/>
    <cellStyle name="Standard 4 2 7 2 3" xfId="17522" xr:uid="{00000000-0005-0000-0000-00002D450000}"/>
    <cellStyle name="Standard 4 2 7 2 3 2" xfId="17523" xr:uid="{00000000-0005-0000-0000-00002E450000}"/>
    <cellStyle name="Standard 4 2 7 2 3 2 2" xfId="17524" xr:uid="{00000000-0005-0000-0000-00002F450000}"/>
    <cellStyle name="Standard 4 2 7 2 3 2 2 2" xfId="17525" xr:uid="{00000000-0005-0000-0000-000030450000}"/>
    <cellStyle name="Standard 4 2 7 2 3 2 2 2 2" xfId="17526" xr:uid="{00000000-0005-0000-0000-000031450000}"/>
    <cellStyle name="Standard 4 2 7 2 3 2 2 2 3" xfId="17527" xr:uid="{00000000-0005-0000-0000-000032450000}"/>
    <cellStyle name="Standard 4 2 7 2 3 2 2 3" xfId="17528" xr:uid="{00000000-0005-0000-0000-000033450000}"/>
    <cellStyle name="Standard 4 2 7 2 3 2 2 3 2" xfId="17529" xr:uid="{00000000-0005-0000-0000-000034450000}"/>
    <cellStyle name="Standard 4 2 7 2 3 2 2 3 3" xfId="17530" xr:uid="{00000000-0005-0000-0000-000035450000}"/>
    <cellStyle name="Standard 4 2 7 2 3 2 2 4" xfId="17531" xr:uid="{00000000-0005-0000-0000-000036450000}"/>
    <cellStyle name="Standard 4 2 7 2 3 2 2 4 2" xfId="17532" xr:uid="{00000000-0005-0000-0000-000037450000}"/>
    <cellStyle name="Standard 4 2 7 2 3 2 2 5" xfId="17533" xr:uid="{00000000-0005-0000-0000-000038450000}"/>
    <cellStyle name="Standard 4 2 7 2 3 2 2 6" xfId="17534" xr:uid="{00000000-0005-0000-0000-000039450000}"/>
    <cellStyle name="Standard 4 2 7 2 3 2 3" xfId="17535" xr:uid="{00000000-0005-0000-0000-00003A450000}"/>
    <cellStyle name="Standard 4 2 7 2 3 2 3 2" xfId="17536" xr:uid="{00000000-0005-0000-0000-00003B450000}"/>
    <cellStyle name="Standard 4 2 7 2 3 2 3 3" xfId="17537" xr:uid="{00000000-0005-0000-0000-00003C450000}"/>
    <cellStyle name="Standard 4 2 7 2 3 2 4" xfId="17538" xr:uid="{00000000-0005-0000-0000-00003D450000}"/>
    <cellStyle name="Standard 4 2 7 2 3 2 4 2" xfId="17539" xr:uid="{00000000-0005-0000-0000-00003E450000}"/>
    <cellStyle name="Standard 4 2 7 2 3 2 4 3" xfId="17540" xr:uid="{00000000-0005-0000-0000-00003F450000}"/>
    <cellStyle name="Standard 4 2 7 2 3 2 5" xfId="17541" xr:uid="{00000000-0005-0000-0000-000040450000}"/>
    <cellStyle name="Standard 4 2 7 2 3 2 5 2" xfId="17542" xr:uid="{00000000-0005-0000-0000-000041450000}"/>
    <cellStyle name="Standard 4 2 7 2 3 2 6" xfId="17543" xr:uid="{00000000-0005-0000-0000-000042450000}"/>
    <cellStyle name="Standard 4 2 7 2 3 2 7" xfId="17544" xr:uid="{00000000-0005-0000-0000-000043450000}"/>
    <cellStyle name="Standard 4 2 7 2 3 3" xfId="17545" xr:uid="{00000000-0005-0000-0000-000044450000}"/>
    <cellStyle name="Standard 4 2 7 2 3 3 2" xfId="17546" xr:uid="{00000000-0005-0000-0000-000045450000}"/>
    <cellStyle name="Standard 4 2 7 2 3 3 2 2" xfId="17547" xr:uid="{00000000-0005-0000-0000-000046450000}"/>
    <cellStyle name="Standard 4 2 7 2 3 3 2 3" xfId="17548" xr:uid="{00000000-0005-0000-0000-000047450000}"/>
    <cellStyle name="Standard 4 2 7 2 3 3 3" xfId="17549" xr:uid="{00000000-0005-0000-0000-000048450000}"/>
    <cellStyle name="Standard 4 2 7 2 3 3 3 2" xfId="17550" xr:uid="{00000000-0005-0000-0000-000049450000}"/>
    <cellStyle name="Standard 4 2 7 2 3 3 3 3" xfId="17551" xr:uid="{00000000-0005-0000-0000-00004A450000}"/>
    <cellStyle name="Standard 4 2 7 2 3 3 4" xfId="17552" xr:uid="{00000000-0005-0000-0000-00004B450000}"/>
    <cellStyle name="Standard 4 2 7 2 3 3 4 2" xfId="17553" xr:uid="{00000000-0005-0000-0000-00004C450000}"/>
    <cellStyle name="Standard 4 2 7 2 3 3 5" xfId="17554" xr:uid="{00000000-0005-0000-0000-00004D450000}"/>
    <cellStyle name="Standard 4 2 7 2 3 3 6" xfId="17555" xr:uid="{00000000-0005-0000-0000-00004E450000}"/>
    <cellStyle name="Standard 4 2 7 2 3 4" xfId="17556" xr:uid="{00000000-0005-0000-0000-00004F450000}"/>
    <cellStyle name="Standard 4 2 7 2 3 4 2" xfId="17557" xr:uid="{00000000-0005-0000-0000-000050450000}"/>
    <cellStyle name="Standard 4 2 7 2 3 4 3" xfId="17558" xr:uid="{00000000-0005-0000-0000-000051450000}"/>
    <cellStyle name="Standard 4 2 7 2 3 5" xfId="17559" xr:uid="{00000000-0005-0000-0000-000052450000}"/>
    <cellStyle name="Standard 4 2 7 2 3 5 2" xfId="17560" xr:uid="{00000000-0005-0000-0000-000053450000}"/>
    <cellStyle name="Standard 4 2 7 2 3 5 3" xfId="17561" xr:uid="{00000000-0005-0000-0000-000054450000}"/>
    <cellStyle name="Standard 4 2 7 2 3 6" xfId="17562" xr:uid="{00000000-0005-0000-0000-000055450000}"/>
    <cellStyle name="Standard 4 2 7 2 3 6 2" xfId="17563" xr:uid="{00000000-0005-0000-0000-000056450000}"/>
    <cellStyle name="Standard 4 2 7 2 3 7" xfId="17564" xr:uid="{00000000-0005-0000-0000-000057450000}"/>
    <cellStyle name="Standard 4 2 7 2 3 8" xfId="17565" xr:uid="{00000000-0005-0000-0000-000058450000}"/>
    <cellStyle name="Standard 4 2 7 2 4" xfId="17566" xr:uid="{00000000-0005-0000-0000-000059450000}"/>
    <cellStyle name="Standard 4 2 7 2 4 2" xfId="17567" xr:uid="{00000000-0005-0000-0000-00005A450000}"/>
    <cellStyle name="Standard 4 2 7 2 4 2 2" xfId="17568" xr:uid="{00000000-0005-0000-0000-00005B450000}"/>
    <cellStyle name="Standard 4 2 7 2 4 2 2 2" xfId="17569" xr:uid="{00000000-0005-0000-0000-00005C450000}"/>
    <cellStyle name="Standard 4 2 7 2 4 2 2 3" xfId="17570" xr:uid="{00000000-0005-0000-0000-00005D450000}"/>
    <cellStyle name="Standard 4 2 7 2 4 2 3" xfId="17571" xr:uid="{00000000-0005-0000-0000-00005E450000}"/>
    <cellStyle name="Standard 4 2 7 2 4 2 3 2" xfId="17572" xr:uid="{00000000-0005-0000-0000-00005F450000}"/>
    <cellStyle name="Standard 4 2 7 2 4 2 3 3" xfId="17573" xr:uid="{00000000-0005-0000-0000-000060450000}"/>
    <cellStyle name="Standard 4 2 7 2 4 2 4" xfId="17574" xr:uid="{00000000-0005-0000-0000-000061450000}"/>
    <cellStyle name="Standard 4 2 7 2 4 2 4 2" xfId="17575" xr:uid="{00000000-0005-0000-0000-000062450000}"/>
    <cellStyle name="Standard 4 2 7 2 4 2 5" xfId="17576" xr:uid="{00000000-0005-0000-0000-000063450000}"/>
    <cellStyle name="Standard 4 2 7 2 4 2 6" xfId="17577" xr:uid="{00000000-0005-0000-0000-000064450000}"/>
    <cellStyle name="Standard 4 2 7 2 4 3" xfId="17578" xr:uid="{00000000-0005-0000-0000-000065450000}"/>
    <cellStyle name="Standard 4 2 7 2 4 3 2" xfId="17579" xr:uid="{00000000-0005-0000-0000-000066450000}"/>
    <cellStyle name="Standard 4 2 7 2 4 3 3" xfId="17580" xr:uid="{00000000-0005-0000-0000-000067450000}"/>
    <cellStyle name="Standard 4 2 7 2 4 4" xfId="17581" xr:uid="{00000000-0005-0000-0000-000068450000}"/>
    <cellStyle name="Standard 4 2 7 2 4 4 2" xfId="17582" xr:uid="{00000000-0005-0000-0000-000069450000}"/>
    <cellStyle name="Standard 4 2 7 2 4 4 3" xfId="17583" xr:uid="{00000000-0005-0000-0000-00006A450000}"/>
    <cellStyle name="Standard 4 2 7 2 4 5" xfId="17584" xr:uid="{00000000-0005-0000-0000-00006B450000}"/>
    <cellStyle name="Standard 4 2 7 2 4 5 2" xfId="17585" xr:uid="{00000000-0005-0000-0000-00006C450000}"/>
    <cellStyle name="Standard 4 2 7 2 4 6" xfId="17586" xr:uid="{00000000-0005-0000-0000-00006D450000}"/>
    <cellStyle name="Standard 4 2 7 2 4 7" xfId="17587" xr:uid="{00000000-0005-0000-0000-00006E450000}"/>
    <cellStyle name="Standard 4 2 7 2 5" xfId="17588" xr:uid="{00000000-0005-0000-0000-00006F450000}"/>
    <cellStyle name="Standard 4 2 7 2 5 2" xfId="17589" xr:uid="{00000000-0005-0000-0000-000070450000}"/>
    <cellStyle name="Standard 4 2 7 2 5 2 2" xfId="17590" xr:uid="{00000000-0005-0000-0000-000071450000}"/>
    <cellStyle name="Standard 4 2 7 2 5 2 3" xfId="17591" xr:uid="{00000000-0005-0000-0000-000072450000}"/>
    <cellStyle name="Standard 4 2 7 2 5 3" xfId="17592" xr:uid="{00000000-0005-0000-0000-000073450000}"/>
    <cellStyle name="Standard 4 2 7 2 5 3 2" xfId="17593" xr:uid="{00000000-0005-0000-0000-000074450000}"/>
    <cellStyle name="Standard 4 2 7 2 5 3 3" xfId="17594" xr:uid="{00000000-0005-0000-0000-000075450000}"/>
    <cellStyle name="Standard 4 2 7 2 5 4" xfId="17595" xr:uid="{00000000-0005-0000-0000-000076450000}"/>
    <cellStyle name="Standard 4 2 7 2 5 4 2" xfId="17596" xr:uid="{00000000-0005-0000-0000-000077450000}"/>
    <cellStyle name="Standard 4 2 7 2 5 5" xfId="17597" xr:uid="{00000000-0005-0000-0000-000078450000}"/>
    <cellStyle name="Standard 4 2 7 2 5 6" xfId="17598" xr:uid="{00000000-0005-0000-0000-000079450000}"/>
    <cellStyle name="Standard 4 2 7 2 6" xfId="17599" xr:uid="{00000000-0005-0000-0000-00007A450000}"/>
    <cellStyle name="Standard 4 2 7 2 6 2" xfId="17600" xr:uid="{00000000-0005-0000-0000-00007B450000}"/>
    <cellStyle name="Standard 4 2 7 2 6 3" xfId="17601" xr:uid="{00000000-0005-0000-0000-00007C450000}"/>
    <cellStyle name="Standard 4 2 7 2 7" xfId="17602" xr:uid="{00000000-0005-0000-0000-00007D450000}"/>
    <cellStyle name="Standard 4 2 7 2 7 2" xfId="17603" xr:uid="{00000000-0005-0000-0000-00007E450000}"/>
    <cellStyle name="Standard 4 2 7 2 7 3" xfId="17604" xr:uid="{00000000-0005-0000-0000-00007F450000}"/>
    <cellStyle name="Standard 4 2 7 2 8" xfId="17605" xr:uid="{00000000-0005-0000-0000-000080450000}"/>
    <cellStyle name="Standard 4 2 7 2 8 2" xfId="17606" xr:uid="{00000000-0005-0000-0000-000081450000}"/>
    <cellStyle name="Standard 4 2 7 2 9" xfId="17607" xr:uid="{00000000-0005-0000-0000-000082450000}"/>
    <cellStyle name="Standard 4 2 7 3" xfId="17608" xr:uid="{00000000-0005-0000-0000-000083450000}"/>
    <cellStyle name="Standard 4 2 7 3 2" xfId="17609" xr:uid="{00000000-0005-0000-0000-000084450000}"/>
    <cellStyle name="Standard 4 2 7 3 2 2" xfId="17610" xr:uid="{00000000-0005-0000-0000-000085450000}"/>
    <cellStyle name="Standard 4 2 7 3 2 2 2" xfId="17611" xr:uid="{00000000-0005-0000-0000-000086450000}"/>
    <cellStyle name="Standard 4 2 7 3 2 2 2 2" xfId="17612" xr:uid="{00000000-0005-0000-0000-000087450000}"/>
    <cellStyle name="Standard 4 2 7 3 2 2 2 3" xfId="17613" xr:uid="{00000000-0005-0000-0000-000088450000}"/>
    <cellStyle name="Standard 4 2 7 3 2 2 3" xfId="17614" xr:uid="{00000000-0005-0000-0000-000089450000}"/>
    <cellStyle name="Standard 4 2 7 3 2 2 3 2" xfId="17615" xr:uid="{00000000-0005-0000-0000-00008A450000}"/>
    <cellStyle name="Standard 4 2 7 3 2 2 3 3" xfId="17616" xr:uid="{00000000-0005-0000-0000-00008B450000}"/>
    <cellStyle name="Standard 4 2 7 3 2 2 4" xfId="17617" xr:uid="{00000000-0005-0000-0000-00008C450000}"/>
    <cellStyle name="Standard 4 2 7 3 2 2 4 2" xfId="17618" xr:uid="{00000000-0005-0000-0000-00008D450000}"/>
    <cellStyle name="Standard 4 2 7 3 2 2 5" xfId="17619" xr:uid="{00000000-0005-0000-0000-00008E450000}"/>
    <cellStyle name="Standard 4 2 7 3 2 2 6" xfId="17620" xr:uid="{00000000-0005-0000-0000-00008F450000}"/>
    <cellStyle name="Standard 4 2 7 3 2 3" xfId="17621" xr:uid="{00000000-0005-0000-0000-000090450000}"/>
    <cellStyle name="Standard 4 2 7 3 2 3 2" xfId="17622" xr:uid="{00000000-0005-0000-0000-000091450000}"/>
    <cellStyle name="Standard 4 2 7 3 2 3 3" xfId="17623" xr:uid="{00000000-0005-0000-0000-000092450000}"/>
    <cellStyle name="Standard 4 2 7 3 2 4" xfId="17624" xr:uid="{00000000-0005-0000-0000-000093450000}"/>
    <cellStyle name="Standard 4 2 7 3 2 4 2" xfId="17625" xr:uid="{00000000-0005-0000-0000-000094450000}"/>
    <cellStyle name="Standard 4 2 7 3 2 4 3" xfId="17626" xr:uid="{00000000-0005-0000-0000-000095450000}"/>
    <cellStyle name="Standard 4 2 7 3 2 5" xfId="17627" xr:uid="{00000000-0005-0000-0000-000096450000}"/>
    <cellStyle name="Standard 4 2 7 3 2 5 2" xfId="17628" xr:uid="{00000000-0005-0000-0000-000097450000}"/>
    <cellStyle name="Standard 4 2 7 3 2 6" xfId="17629" xr:uid="{00000000-0005-0000-0000-000098450000}"/>
    <cellStyle name="Standard 4 2 7 3 2 7" xfId="17630" xr:uid="{00000000-0005-0000-0000-000099450000}"/>
    <cellStyle name="Standard 4 2 7 3 3" xfId="17631" xr:uid="{00000000-0005-0000-0000-00009A450000}"/>
    <cellStyle name="Standard 4 2 7 3 3 2" xfId="17632" xr:uid="{00000000-0005-0000-0000-00009B450000}"/>
    <cellStyle name="Standard 4 2 7 3 3 2 2" xfId="17633" xr:uid="{00000000-0005-0000-0000-00009C450000}"/>
    <cellStyle name="Standard 4 2 7 3 3 2 3" xfId="17634" xr:uid="{00000000-0005-0000-0000-00009D450000}"/>
    <cellStyle name="Standard 4 2 7 3 3 3" xfId="17635" xr:uid="{00000000-0005-0000-0000-00009E450000}"/>
    <cellStyle name="Standard 4 2 7 3 3 3 2" xfId="17636" xr:uid="{00000000-0005-0000-0000-00009F450000}"/>
    <cellStyle name="Standard 4 2 7 3 3 3 3" xfId="17637" xr:uid="{00000000-0005-0000-0000-0000A0450000}"/>
    <cellStyle name="Standard 4 2 7 3 3 4" xfId="17638" xr:uid="{00000000-0005-0000-0000-0000A1450000}"/>
    <cellStyle name="Standard 4 2 7 3 3 4 2" xfId="17639" xr:uid="{00000000-0005-0000-0000-0000A2450000}"/>
    <cellStyle name="Standard 4 2 7 3 3 5" xfId="17640" xr:uid="{00000000-0005-0000-0000-0000A3450000}"/>
    <cellStyle name="Standard 4 2 7 3 3 6" xfId="17641" xr:uid="{00000000-0005-0000-0000-0000A4450000}"/>
    <cellStyle name="Standard 4 2 7 3 4" xfId="17642" xr:uid="{00000000-0005-0000-0000-0000A5450000}"/>
    <cellStyle name="Standard 4 2 7 3 4 2" xfId="17643" xr:uid="{00000000-0005-0000-0000-0000A6450000}"/>
    <cellStyle name="Standard 4 2 7 3 4 3" xfId="17644" xr:uid="{00000000-0005-0000-0000-0000A7450000}"/>
    <cellStyle name="Standard 4 2 7 3 5" xfId="17645" xr:uid="{00000000-0005-0000-0000-0000A8450000}"/>
    <cellStyle name="Standard 4 2 7 3 5 2" xfId="17646" xr:uid="{00000000-0005-0000-0000-0000A9450000}"/>
    <cellStyle name="Standard 4 2 7 3 5 3" xfId="17647" xr:uid="{00000000-0005-0000-0000-0000AA450000}"/>
    <cellStyle name="Standard 4 2 7 3 6" xfId="17648" xr:uid="{00000000-0005-0000-0000-0000AB450000}"/>
    <cellStyle name="Standard 4 2 7 3 6 2" xfId="17649" xr:uid="{00000000-0005-0000-0000-0000AC450000}"/>
    <cellStyle name="Standard 4 2 7 3 7" xfId="17650" xr:uid="{00000000-0005-0000-0000-0000AD450000}"/>
    <cellStyle name="Standard 4 2 7 3 8" xfId="17651" xr:uid="{00000000-0005-0000-0000-0000AE450000}"/>
    <cellStyle name="Standard 4 2 7 4" xfId="17652" xr:uid="{00000000-0005-0000-0000-0000AF450000}"/>
    <cellStyle name="Standard 4 2 7 4 2" xfId="17653" xr:uid="{00000000-0005-0000-0000-0000B0450000}"/>
    <cellStyle name="Standard 4 2 7 4 2 2" xfId="17654" xr:uid="{00000000-0005-0000-0000-0000B1450000}"/>
    <cellStyle name="Standard 4 2 7 4 2 2 2" xfId="17655" xr:uid="{00000000-0005-0000-0000-0000B2450000}"/>
    <cellStyle name="Standard 4 2 7 4 2 2 2 2" xfId="17656" xr:uid="{00000000-0005-0000-0000-0000B3450000}"/>
    <cellStyle name="Standard 4 2 7 4 2 2 2 3" xfId="17657" xr:uid="{00000000-0005-0000-0000-0000B4450000}"/>
    <cellStyle name="Standard 4 2 7 4 2 2 3" xfId="17658" xr:uid="{00000000-0005-0000-0000-0000B5450000}"/>
    <cellStyle name="Standard 4 2 7 4 2 2 3 2" xfId="17659" xr:uid="{00000000-0005-0000-0000-0000B6450000}"/>
    <cellStyle name="Standard 4 2 7 4 2 2 3 3" xfId="17660" xr:uid="{00000000-0005-0000-0000-0000B7450000}"/>
    <cellStyle name="Standard 4 2 7 4 2 2 4" xfId="17661" xr:uid="{00000000-0005-0000-0000-0000B8450000}"/>
    <cellStyle name="Standard 4 2 7 4 2 2 4 2" xfId="17662" xr:uid="{00000000-0005-0000-0000-0000B9450000}"/>
    <cellStyle name="Standard 4 2 7 4 2 2 5" xfId="17663" xr:uid="{00000000-0005-0000-0000-0000BA450000}"/>
    <cellStyle name="Standard 4 2 7 4 2 2 6" xfId="17664" xr:uid="{00000000-0005-0000-0000-0000BB450000}"/>
    <cellStyle name="Standard 4 2 7 4 2 3" xfId="17665" xr:uid="{00000000-0005-0000-0000-0000BC450000}"/>
    <cellStyle name="Standard 4 2 7 4 2 3 2" xfId="17666" xr:uid="{00000000-0005-0000-0000-0000BD450000}"/>
    <cellStyle name="Standard 4 2 7 4 2 3 3" xfId="17667" xr:uid="{00000000-0005-0000-0000-0000BE450000}"/>
    <cellStyle name="Standard 4 2 7 4 2 4" xfId="17668" xr:uid="{00000000-0005-0000-0000-0000BF450000}"/>
    <cellStyle name="Standard 4 2 7 4 2 4 2" xfId="17669" xr:uid="{00000000-0005-0000-0000-0000C0450000}"/>
    <cellStyle name="Standard 4 2 7 4 2 4 3" xfId="17670" xr:uid="{00000000-0005-0000-0000-0000C1450000}"/>
    <cellStyle name="Standard 4 2 7 4 2 5" xfId="17671" xr:uid="{00000000-0005-0000-0000-0000C2450000}"/>
    <cellStyle name="Standard 4 2 7 4 2 5 2" xfId="17672" xr:uid="{00000000-0005-0000-0000-0000C3450000}"/>
    <cellStyle name="Standard 4 2 7 4 2 6" xfId="17673" xr:uid="{00000000-0005-0000-0000-0000C4450000}"/>
    <cellStyle name="Standard 4 2 7 4 2 7" xfId="17674" xr:uid="{00000000-0005-0000-0000-0000C5450000}"/>
    <cellStyle name="Standard 4 2 7 4 3" xfId="17675" xr:uid="{00000000-0005-0000-0000-0000C6450000}"/>
    <cellStyle name="Standard 4 2 7 4 3 2" xfId="17676" xr:uid="{00000000-0005-0000-0000-0000C7450000}"/>
    <cellStyle name="Standard 4 2 7 4 3 2 2" xfId="17677" xr:uid="{00000000-0005-0000-0000-0000C8450000}"/>
    <cellStyle name="Standard 4 2 7 4 3 2 3" xfId="17678" xr:uid="{00000000-0005-0000-0000-0000C9450000}"/>
    <cellStyle name="Standard 4 2 7 4 3 3" xfId="17679" xr:uid="{00000000-0005-0000-0000-0000CA450000}"/>
    <cellStyle name="Standard 4 2 7 4 3 3 2" xfId="17680" xr:uid="{00000000-0005-0000-0000-0000CB450000}"/>
    <cellStyle name="Standard 4 2 7 4 3 3 3" xfId="17681" xr:uid="{00000000-0005-0000-0000-0000CC450000}"/>
    <cellStyle name="Standard 4 2 7 4 3 4" xfId="17682" xr:uid="{00000000-0005-0000-0000-0000CD450000}"/>
    <cellStyle name="Standard 4 2 7 4 3 4 2" xfId="17683" xr:uid="{00000000-0005-0000-0000-0000CE450000}"/>
    <cellStyle name="Standard 4 2 7 4 3 5" xfId="17684" xr:uid="{00000000-0005-0000-0000-0000CF450000}"/>
    <cellStyle name="Standard 4 2 7 4 3 6" xfId="17685" xr:uid="{00000000-0005-0000-0000-0000D0450000}"/>
    <cellStyle name="Standard 4 2 7 4 4" xfId="17686" xr:uid="{00000000-0005-0000-0000-0000D1450000}"/>
    <cellStyle name="Standard 4 2 7 4 4 2" xfId="17687" xr:uid="{00000000-0005-0000-0000-0000D2450000}"/>
    <cellStyle name="Standard 4 2 7 4 4 3" xfId="17688" xr:uid="{00000000-0005-0000-0000-0000D3450000}"/>
    <cellStyle name="Standard 4 2 7 4 5" xfId="17689" xr:uid="{00000000-0005-0000-0000-0000D4450000}"/>
    <cellStyle name="Standard 4 2 7 4 5 2" xfId="17690" xr:uid="{00000000-0005-0000-0000-0000D5450000}"/>
    <cellStyle name="Standard 4 2 7 4 5 3" xfId="17691" xr:uid="{00000000-0005-0000-0000-0000D6450000}"/>
    <cellStyle name="Standard 4 2 7 4 6" xfId="17692" xr:uid="{00000000-0005-0000-0000-0000D7450000}"/>
    <cellStyle name="Standard 4 2 7 4 6 2" xfId="17693" xr:uid="{00000000-0005-0000-0000-0000D8450000}"/>
    <cellStyle name="Standard 4 2 7 4 7" xfId="17694" xr:uid="{00000000-0005-0000-0000-0000D9450000}"/>
    <cellStyle name="Standard 4 2 7 4 8" xfId="17695" xr:uid="{00000000-0005-0000-0000-0000DA450000}"/>
    <cellStyle name="Standard 4 2 7 5" xfId="17696" xr:uid="{00000000-0005-0000-0000-0000DB450000}"/>
    <cellStyle name="Standard 4 2 7 5 2" xfId="17697" xr:uid="{00000000-0005-0000-0000-0000DC450000}"/>
    <cellStyle name="Standard 4 2 7 5 2 2" xfId="17698" xr:uid="{00000000-0005-0000-0000-0000DD450000}"/>
    <cellStyle name="Standard 4 2 7 5 2 2 2" xfId="17699" xr:uid="{00000000-0005-0000-0000-0000DE450000}"/>
    <cellStyle name="Standard 4 2 7 5 2 2 3" xfId="17700" xr:uid="{00000000-0005-0000-0000-0000DF450000}"/>
    <cellStyle name="Standard 4 2 7 5 2 3" xfId="17701" xr:uid="{00000000-0005-0000-0000-0000E0450000}"/>
    <cellStyle name="Standard 4 2 7 5 2 3 2" xfId="17702" xr:uid="{00000000-0005-0000-0000-0000E1450000}"/>
    <cellStyle name="Standard 4 2 7 5 2 3 3" xfId="17703" xr:uid="{00000000-0005-0000-0000-0000E2450000}"/>
    <cellStyle name="Standard 4 2 7 5 2 4" xfId="17704" xr:uid="{00000000-0005-0000-0000-0000E3450000}"/>
    <cellStyle name="Standard 4 2 7 5 2 4 2" xfId="17705" xr:uid="{00000000-0005-0000-0000-0000E4450000}"/>
    <cellStyle name="Standard 4 2 7 5 2 5" xfId="17706" xr:uid="{00000000-0005-0000-0000-0000E5450000}"/>
    <cellStyle name="Standard 4 2 7 5 2 6" xfId="17707" xr:uid="{00000000-0005-0000-0000-0000E6450000}"/>
    <cellStyle name="Standard 4 2 7 5 3" xfId="17708" xr:uid="{00000000-0005-0000-0000-0000E7450000}"/>
    <cellStyle name="Standard 4 2 7 5 3 2" xfId="17709" xr:uid="{00000000-0005-0000-0000-0000E8450000}"/>
    <cellStyle name="Standard 4 2 7 5 3 3" xfId="17710" xr:uid="{00000000-0005-0000-0000-0000E9450000}"/>
    <cellStyle name="Standard 4 2 7 5 4" xfId="17711" xr:uid="{00000000-0005-0000-0000-0000EA450000}"/>
    <cellStyle name="Standard 4 2 7 5 4 2" xfId="17712" xr:uid="{00000000-0005-0000-0000-0000EB450000}"/>
    <cellStyle name="Standard 4 2 7 5 4 3" xfId="17713" xr:uid="{00000000-0005-0000-0000-0000EC450000}"/>
    <cellStyle name="Standard 4 2 7 5 5" xfId="17714" xr:uid="{00000000-0005-0000-0000-0000ED450000}"/>
    <cellStyle name="Standard 4 2 7 5 5 2" xfId="17715" xr:uid="{00000000-0005-0000-0000-0000EE450000}"/>
    <cellStyle name="Standard 4 2 7 5 6" xfId="17716" xr:uid="{00000000-0005-0000-0000-0000EF450000}"/>
    <cellStyle name="Standard 4 2 7 5 7" xfId="17717" xr:uid="{00000000-0005-0000-0000-0000F0450000}"/>
    <cellStyle name="Standard 4 2 7 6" xfId="17718" xr:uid="{00000000-0005-0000-0000-0000F1450000}"/>
    <cellStyle name="Standard 4 2 7 6 2" xfId="17719" xr:uid="{00000000-0005-0000-0000-0000F2450000}"/>
    <cellStyle name="Standard 4 2 7 6 2 2" xfId="17720" xr:uid="{00000000-0005-0000-0000-0000F3450000}"/>
    <cellStyle name="Standard 4 2 7 6 2 3" xfId="17721" xr:uid="{00000000-0005-0000-0000-0000F4450000}"/>
    <cellStyle name="Standard 4 2 7 6 3" xfId="17722" xr:uid="{00000000-0005-0000-0000-0000F5450000}"/>
    <cellStyle name="Standard 4 2 7 6 3 2" xfId="17723" xr:uid="{00000000-0005-0000-0000-0000F6450000}"/>
    <cellStyle name="Standard 4 2 7 6 3 3" xfId="17724" xr:uid="{00000000-0005-0000-0000-0000F7450000}"/>
    <cellStyle name="Standard 4 2 7 6 4" xfId="17725" xr:uid="{00000000-0005-0000-0000-0000F8450000}"/>
    <cellStyle name="Standard 4 2 7 6 4 2" xfId="17726" xr:uid="{00000000-0005-0000-0000-0000F9450000}"/>
    <cellStyle name="Standard 4 2 7 6 5" xfId="17727" xr:uid="{00000000-0005-0000-0000-0000FA450000}"/>
    <cellStyle name="Standard 4 2 7 6 6" xfId="17728" xr:uid="{00000000-0005-0000-0000-0000FB450000}"/>
    <cellStyle name="Standard 4 2 7 7" xfId="17729" xr:uid="{00000000-0005-0000-0000-0000FC450000}"/>
    <cellStyle name="Standard 4 2 7 7 2" xfId="17730" xr:uid="{00000000-0005-0000-0000-0000FD450000}"/>
    <cellStyle name="Standard 4 2 7 7 3" xfId="17731" xr:uid="{00000000-0005-0000-0000-0000FE450000}"/>
    <cellStyle name="Standard 4 2 7 8" xfId="17732" xr:uid="{00000000-0005-0000-0000-0000FF450000}"/>
    <cellStyle name="Standard 4 2 7 8 2" xfId="17733" xr:uid="{00000000-0005-0000-0000-000000460000}"/>
    <cellStyle name="Standard 4 2 7 8 3" xfId="17734" xr:uid="{00000000-0005-0000-0000-000001460000}"/>
    <cellStyle name="Standard 4 2 7 9" xfId="17735" xr:uid="{00000000-0005-0000-0000-000002460000}"/>
    <cellStyle name="Standard 4 2 7 9 2" xfId="17736" xr:uid="{00000000-0005-0000-0000-000003460000}"/>
    <cellStyle name="Standard 4 2 8" xfId="17737" xr:uid="{00000000-0005-0000-0000-000004460000}"/>
    <cellStyle name="Standard 4 2 8 10" xfId="17738" xr:uid="{00000000-0005-0000-0000-000005460000}"/>
    <cellStyle name="Standard 4 2 8 2" xfId="17739" xr:uid="{00000000-0005-0000-0000-000006460000}"/>
    <cellStyle name="Standard 4 2 8 2 2" xfId="17740" xr:uid="{00000000-0005-0000-0000-000007460000}"/>
    <cellStyle name="Standard 4 2 8 2 2 2" xfId="17741" xr:uid="{00000000-0005-0000-0000-000008460000}"/>
    <cellStyle name="Standard 4 2 8 2 2 2 2" xfId="17742" xr:uid="{00000000-0005-0000-0000-000009460000}"/>
    <cellStyle name="Standard 4 2 8 2 2 2 2 2" xfId="17743" xr:uid="{00000000-0005-0000-0000-00000A460000}"/>
    <cellStyle name="Standard 4 2 8 2 2 2 2 3" xfId="17744" xr:uid="{00000000-0005-0000-0000-00000B460000}"/>
    <cellStyle name="Standard 4 2 8 2 2 2 3" xfId="17745" xr:uid="{00000000-0005-0000-0000-00000C460000}"/>
    <cellStyle name="Standard 4 2 8 2 2 2 3 2" xfId="17746" xr:uid="{00000000-0005-0000-0000-00000D460000}"/>
    <cellStyle name="Standard 4 2 8 2 2 2 3 3" xfId="17747" xr:uid="{00000000-0005-0000-0000-00000E460000}"/>
    <cellStyle name="Standard 4 2 8 2 2 2 4" xfId="17748" xr:uid="{00000000-0005-0000-0000-00000F460000}"/>
    <cellStyle name="Standard 4 2 8 2 2 2 4 2" xfId="17749" xr:uid="{00000000-0005-0000-0000-000010460000}"/>
    <cellStyle name="Standard 4 2 8 2 2 2 5" xfId="17750" xr:uid="{00000000-0005-0000-0000-000011460000}"/>
    <cellStyle name="Standard 4 2 8 2 2 2 6" xfId="17751" xr:uid="{00000000-0005-0000-0000-000012460000}"/>
    <cellStyle name="Standard 4 2 8 2 2 3" xfId="17752" xr:uid="{00000000-0005-0000-0000-000013460000}"/>
    <cellStyle name="Standard 4 2 8 2 2 3 2" xfId="17753" xr:uid="{00000000-0005-0000-0000-000014460000}"/>
    <cellStyle name="Standard 4 2 8 2 2 3 3" xfId="17754" xr:uid="{00000000-0005-0000-0000-000015460000}"/>
    <cellStyle name="Standard 4 2 8 2 2 4" xfId="17755" xr:uid="{00000000-0005-0000-0000-000016460000}"/>
    <cellStyle name="Standard 4 2 8 2 2 4 2" xfId="17756" xr:uid="{00000000-0005-0000-0000-000017460000}"/>
    <cellStyle name="Standard 4 2 8 2 2 4 3" xfId="17757" xr:uid="{00000000-0005-0000-0000-000018460000}"/>
    <cellStyle name="Standard 4 2 8 2 2 5" xfId="17758" xr:uid="{00000000-0005-0000-0000-000019460000}"/>
    <cellStyle name="Standard 4 2 8 2 2 5 2" xfId="17759" xr:uid="{00000000-0005-0000-0000-00001A460000}"/>
    <cellStyle name="Standard 4 2 8 2 2 6" xfId="17760" xr:uid="{00000000-0005-0000-0000-00001B460000}"/>
    <cellStyle name="Standard 4 2 8 2 2 7" xfId="17761" xr:uid="{00000000-0005-0000-0000-00001C460000}"/>
    <cellStyle name="Standard 4 2 8 2 3" xfId="17762" xr:uid="{00000000-0005-0000-0000-00001D460000}"/>
    <cellStyle name="Standard 4 2 8 2 3 2" xfId="17763" xr:uid="{00000000-0005-0000-0000-00001E460000}"/>
    <cellStyle name="Standard 4 2 8 2 3 2 2" xfId="17764" xr:uid="{00000000-0005-0000-0000-00001F460000}"/>
    <cellStyle name="Standard 4 2 8 2 3 2 3" xfId="17765" xr:uid="{00000000-0005-0000-0000-000020460000}"/>
    <cellStyle name="Standard 4 2 8 2 3 3" xfId="17766" xr:uid="{00000000-0005-0000-0000-000021460000}"/>
    <cellStyle name="Standard 4 2 8 2 3 3 2" xfId="17767" xr:uid="{00000000-0005-0000-0000-000022460000}"/>
    <cellStyle name="Standard 4 2 8 2 3 3 3" xfId="17768" xr:uid="{00000000-0005-0000-0000-000023460000}"/>
    <cellStyle name="Standard 4 2 8 2 3 4" xfId="17769" xr:uid="{00000000-0005-0000-0000-000024460000}"/>
    <cellStyle name="Standard 4 2 8 2 3 4 2" xfId="17770" xr:uid="{00000000-0005-0000-0000-000025460000}"/>
    <cellStyle name="Standard 4 2 8 2 3 5" xfId="17771" xr:uid="{00000000-0005-0000-0000-000026460000}"/>
    <cellStyle name="Standard 4 2 8 2 3 6" xfId="17772" xr:uid="{00000000-0005-0000-0000-000027460000}"/>
    <cellStyle name="Standard 4 2 8 2 4" xfId="17773" xr:uid="{00000000-0005-0000-0000-000028460000}"/>
    <cellStyle name="Standard 4 2 8 2 4 2" xfId="17774" xr:uid="{00000000-0005-0000-0000-000029460000}"/>
    <cellStyle name="Standard 4 2 8 2 4 3" xfId="17775" xr:uid="{00000000-0005-0000-0000-00002A460000}"/>
    <cellStyle name="Standard 4 2 8 2 5" xfId="17776" xr:uid="{00000000-0005-0000-0000-00002B460000}"/>
    <cellStyle name="Standard 4 2 8 2 5 2" xfId="17777" xr:uid="{00000000-0005-0000-0000-00002C460000}"/>
    <cellStyle name="Standard 4 2 8 2 5 3" xfId="17778" xr:uid="{00000000-0005-0000-0000-00002D460000}"/>
    <cellStyle name="Standard 4 2 8 2 6" xfId="17779" xr:uid="{00000000-0005-0000-0000-00002E460000}"/>
    <cellStyle name="Standard 4 2 8 2 6 2" xfId="17780" xr:uid="{00000000-0005-0000-0000-00002F460000}"/>
    <cellStyle name="Standard 4 2 8 2 7" xfId="17781" xr:uid="{00000000-0005-0000-0000-000030460000}"/>
    <cellStyle name="Standard 4 2 8 2 8" xfId="17782" xr:uid="{00000000-0005-0000-0000-000031460000}"/>
    <cellStyle name="Standard 4 2 8 3" xfId="17783" xr:uid="{00000000-0005-0000-0000-000032460000}"/>
    <cellStyle name="Standard 4 2 8 3 2" xfId="17784" xr:uid="{00000000-0005-0000-0000-000033460000}"/>
    <cellStyle name="Standard 4 2 8 3 2 2" xfId="17785" xr:uid="{00000000-0005-0000-0000-000034460000}"/>
    <cellStyle name="Standard 4 2 8 3 2 2 2" xfId="17786" xr:uid="{00000000-0005-0000-0000-000035460000}"/>
    <cellStyle name="Standard 4 2 8 3 2 2 2 2" xfId="17787" xr:uid="{00000000-0005-0000-0000-000036460000}"/>
    <cellStyle name="Standard 4 2 8 3 2 2 2 3" xfId="17788" xr:uid="{00000000-0005-0000-0000-000037460000}"/>
    <cellStyle name="Standard 4 2 8 3 2 2 3" xfId="17789" xr:uid="{00000000-0005-0000-0000-000038460000}"/>
    <cellStyle name="Standard 4 2 8 3 2 2 3 2" xfId="17790" xr:uid="{00000000-0005-0000-0000-000039460000}"/>
    <cellStyle name="Standard 4 2 8 3 2 2 3 3" xfId="17791" xr:uid="{00000000-0005-0000-0000-00003A460000}"/>
    <cellStyle name="Standard 4 2 8 3 2 2 4" xfId="17792" xr:uid="{00000000-0005-0000-0000-00003B460000}"/>
    <cellStyle name="Standard 4 2 8 3 2 2 4 2" xfId="17793" xr:uid="{00000000-0005-0000-0000-00003C460000}"/>
    <cellStyle name="Standard 4 2 8 3 2 2 5" xfId="17794" xr:uid="{00000000-0005-0000-0000-00003D460000}"/>
    <cellStyle name="Standard 4 2 8 3 2 2 6" xfId="17795" xr:uid="{00000000-0005-0000-0000-00003E460000}"/>
    <cellStyle name="Standard 4 2 8 3 2 3" xfId="17796" xr:uid="{00000000-0005-0000-0000-00003F460000}"/>
    <cellStyle name="Standard 4 2 8 3 2 3 2" xfId="17797" xr:uid="{00000000-0005-0000-0000-000040460000}"/>
    <cellStyle name="Standard 4 2 8 3 2 3 3" xfId="17798" xr:uid="{00000000-0005-0000-0000-000041460000}"/>
    <cellStyle name="Standard 4 2 8 3 2 4" xfId="17799" xr:uid="{00000000-0005-0000-0000-000042460000}"/>
    <cellStyle name="Standard 4 2 8 3 2 4 2" xfId="17800" xr:uid="{00000000-0005-0000-0000-000043460000}"/>
    <cellStyle name="Standard 4 2 8 3 2 4 3" xfId="17801" xr:uid="{00000000-0005-0000-0000-000044460000}"/>
    <cellStyle name="Standard 4 2 8 3 2 5" xfId="17802" xr:uid="{00000000-0005-0000-0000-000045460000}"/>
    <cellStyle name="Standard 4 2 8 3 2 5 2" xfId="17803" xr:uid="{00000000-0005-0000-0000-000046460000}"/>
    <cellStyle name="Standard 4 2 8 3 2 6" xfId="17804" xr:uid="{00000000-0005-0000-0000-000047460000}"/>
    <cellStyle name="Standard 4 2 8 3 2 7" xfId="17805" xr:uid="{00000000-0005-0000-0000-000048460000}"/>
    <cellStyle name="Standard 4 2 8 3 3" xfId="17806" xr:uid="{00000000-0005-0000-0000-000049460000}"/>
    <cellStyle name="Standard 4 2 8 3 3 2" xfId="17807" xr:uid="{00000000-0005-0000-0000-00004A460000}"/>
    <cellStyle name="Standard 4 2 8 3 3 2 2" xfId="17808" xr:uid="{00000000-0005-0000-0000-00004B460000}"/>
    <cellStyle name="Standard 4 2 8 3 3 2 3" xfId="17809" xr:uid="{00000000-0005-0000-0000-00004C460000}"/>
    <cellStyle name="Standard 4 2 8 3 3 3" xfId="17810" xr:uid="{00000000-0005-0000-0000-00004D460000}"/>
    <cellStyle name="Standard 4 2 8 3 3 3 2" xfId="17811" xr:uid="{00000000-0005-0000-0000-00004E460000}"/>
    <cellStyle name="Standard 4 2 8 3 3 3 3" xfId="17812" xr:uid="{00000000-0005-0000-0000-00004F460000}"/>
    <cellStyle name="Standard 4 2 8 3 3 4" xfId="17813" xr:uid="{00000000-0005-0000-0000-000050460000}"/>
    <cellStyle name="Standard 4 2 8 3 3 4 2" xfId="17814" xr:uid="{00000000-0005-0000-0000-000051460000}"/>
    <cellStyle name="Standard 4 2 8 3 3 5" xfId="17815" xr:uid="{00000000-0005-0000-0000-000052460000}"/>
    <cellStyle name="Standard 4 2 8 3 3 6" xfId="17816" xr:uid="{00000000-0005-0000-0000-000053460000}"/>
    <cellStyle name="Standard 4 2 8 3 4" xfId="17817" xr:uid="{00000000-0005-0000-0000-000054460000}"/>
    <cellStyle name="Standard 4 2 8 3 4 2" xfId="17818" xr:uid="{00000000-0005-0000-0000-000055460000}"/>
    <cellStyle name="Standard 4 2 8 3 4 3" xfId="17819" xr:uid="{00000000-0005-0000-0000-000056460000}"/>
    <cellStyle name="Standard 4 2 8 3 5" xfId="17820" xr:uid="{00000000-0005-0000-0000-000057460000}"/>
    <cellStyle name="Standard 4 2 8 3 5 2" xfId="17821" xr:uid="{00000000-0005-0000-0000-000058460000}"/>
    <cellStyle name="Standard 4 2 8 3 5 3" xfId="17822" xr:uid="{00000000-0005-0000-0000-000059460000}"/>
    <cellStyle name="Standard 4 2 8 3 6" xfId="17823" xr:uid="{00000000-0005-0000-0000-00005A460000}"/>
    <cellStyle name="Standard 4 2 8 3 6 2" xfId="17824" xr:uid="{00000000-0005-0000-0000-00005B460000}"/>
    <cellStyle name="Standard 4 2 8 3 7" xfId="17825" xr:uid="{00000000-0005-0000-0000-00005C460000}"/>
    <cellStyle name="Standard 4 2 8 3 8" xfId="17826" xr:uid="{00000000-0005-0000-0000-00005D460000}"/>
    <cellStyle name="Standard 4 2 8 4" xfId="17827" xr:uid="{00000000-0005-0000-0000-00005E460000}"/>
    <cellStyle name="Standard 4 2 8 4 2" xfId="17828" xr:uid="{00000000-0005-0000-0000-00005F460000}"/>
    <cellStyle name="Standard 4 2 8 4 2 2" xfId="17829" xr:uid="{00000000-0005-0000-0000-000060460000}"/>
    <cellStyle name="Standard 4 2 8 4 2 2 2" xfId="17830" xr:uid="{00000000-0005-0000-0000-000061460000}"/>
    <cellStyle name="Standard 4 2 8 4 2 2 3" xfId="17831" xr:uid="{00000000-0005-0000-0000-000062460000}"/>
    <cellStyle name="Standard 4 2 8 4 2 3" xfId="17832" xr:uid="{00000000-0005-0000-0000-000063460000}"/>
    <cellStyle name="Standard 4 2 8 4 2 3 2" xfId="17833" xr:uid="{00000000-0005-0000-0000-000064460000}"/>
    <cellStyle name="Standard 4 2 8 4 2 3 3" xfId="17834" xr:uid="{00000000-0005-0000-0000-000065460000}"/>
    <cellStyle name="Standard 4 2 8 4 2 4" xfId="17835" xr:uid="{00000000-0005-0000-0000-000066460000}"/>
    <cellStyle name="Standard 4 2 8 4 2 4 2" xfId="17836" xr:uid="{00000000-0005-0000-0000-000067460000}"/>
    <cellStyle name="Standard 4 2 8 4 2 5" xfId="17837" xr:uid="{00000000-0005-0000-0000-000068460000}"/>
    <cellStyle name="Standard 4 2 8 4 2 6" xfId="17838" xr:uid="{00000000-0005-0000-0000-000069460000}"/>
    <cellStyle name="Standard 4 2 8 4 3" xfId="17839" xr:uid="{00000000-0005-0000-0000-00006A460000}"/>
    <cellStyle name="Standard 4 2 8 4 3 2" xfId="17840" xr:uid="{00000000-0005-0000-0000-00006B460000}"/>
    <cellStyle name="Standard 4 2 8 4 3 3" xfId="17841" xr:uid="{00000000-0005-0000-0000-00006C460000}"/>
    <cellStyle name="Standard 4 2 8 4 4" xfId="17842" xr:uid="{00000000-0005-0000-0000-00006D460000}"/>
    <cellStyle name="Standard 4 2 8 4 4 2" xfId="17843" xr:uid="{00000000-0005-0000-0000-00006E460000}"/>
    <cellStyle name="Standard 4 2 8 4 4 3" xfId="17844" xr:uid="{00000000-0005-0000-0000-00006F460000}"/>
    <cellStyle name="Standard 4 2 8 4 5" xfId="17845" xr:uid="{00000000-0005-0000-0000-000070460000}"/>
    <cellStyle name="Standard 4 2 8 4 5 2" xfId="17846" xr:uid="{00000000-0005-0000-0000-000071460000}"/>
    <cellStyle name="Standard 4 2 8 4 6" xfId="17847" xr:uid="{00000000-0005-0000-0000-000072460000}"/>
    <cellStyle name="Standard 4 2 8 4 7" xfId="17848" xr:uid="{00000000-0005-0000-0000-000073460000}"/>
    <cellStyle name="Standard 4 2 8 5" xfId="17849" xr:uid="{00000000-0005-0000-0000-000074460000}"/>
    <cellStyle name="Standard 4 2 8 5 2" xfId="17850" xr:uid="{00000000-0005-0000-0000-000075460000}"/>
    <cellStyle name="Standard 4 2 8 5 2 2" xfId="17851" xr:uid="{00000000-0005-0000-0000-000076460000}"/>
    <cellStyle name="Standard 4 2 8 5 2 3" xfId="17852" xr:uid="{00000000-0005-0000-0000-000077460000}"/>
    <cellStyle name="Standard 4 2 8 5 3" xfId="17853" xr:uid="{00000000-0005-0000-0000-000078460000}"/>
    <cellStyle name="Standard 4 2 8 5 3 2" xfId="17854" xr:uid="{00000000-0005-0000-0000-000079460000}"/>
    <cellStyle name="Standard 4 2 8 5 3 3" xfId="17855" xr:uid="{00000000-0005-0000-0000-00007A460000}"/>
    <cellStyle name="Standard 4 2 8 5 4" xfId="17856" xr:uid="{00000000-0005-0000-0000-00007B460000}"/>
    <cellStyle name="Standard 4 2 8 5 4 2" xfId="17857" xr:uid="{00000000-0005-0000-0000-00007C460000}"/>
    <cellStyle name="Standard 4 2 8 5 5" xfId="17858" xr:uid="{00000000-0005-0000-0000-00007D460000}"/>
    <cellStyle name="Standard 4 2 8 5 6" xfId="17859" xr:uid="{00000000-0005-0000-0000-00007E460000}"/>
    <cellStyle name="Standard 4 2 8 6" xfId="17860" xr:uid="{00000000-0005-0000-0000-00007F460000}"/>
    <cellStyle name="Standard 4 2 8 6 2" xfId="17861" xr:uid="{00000000-0005-0000-0000-000080460000}"/>
    <cellStyle name="Standard 4 2 8 6 3" xfId="17862" xr:uid="{00000000-0005-0000-0000-000081460000}"/>
    <cellStyle name="Standard 4 2 8 7" xfId="17863" xr:uid="{00000000-0005-0000-0000-000082460000}"/>
    <cellStyle name="Standard 4 2 8 7 2" xfId="17864" xr:uid="{00000000-0005-0000-0000-000083460000}"/>
    <cellStyle name="Standard 4 2 8 7 3" xfId="17865" xr:uid="{00000000-0005-0000-0000-000084460000}"/>
    <cellStyle name="Standard 4 2 8 8" xfId="17866" xr:uid="{00000000-0005-0000-0000-000085460000}"/>
    <cellStyle name="Standard 4 2 8 8 2" xfId="17867" xr:uid="{00000000-0005-0000-0000-000086460000}"/>
    <cellStyle name="Standard 4 2 8 9" xfId="17868" xr:uid="{00000000-0005-0000-0000-000087460000}"/>
    <cellStyle name="Standard 4 2 9" xfId="17869" xr:uid="{00000000-0005-0000-0000-000088460000}"/>
    <cellStyle name="Standard 4 2 9 2" xfId="17870" xr:uid="{00000000-0005-0000-0000-000089460000}"/>
    <cellStyle name="Standard 4 2 9 2 2" xfId="17871" xr:uid="{00000000-0005-0000-0000-00008A460000}"/>
    <cellStyle name="Standard 4 2 9 2 2 2" xfId="17872" xr:uid="{00000000-0005-0000-0000-00008B460000}"/>
    <cellStyle name="Standard 4 2 9 2 2 2 2" xfId="17873" xr:uid="{00000000-0005-0000-0000-00008C460000}"/>
    <cellStyle name="Standard 4 2 9 2 2 2 2 2" xfId="17874" xr:uid="{00000000-0005-0000-0000-00008D460000}"/>
    <cellStyle name="Standard 4 2 9 2 2 2 2 3" xfId="17875" xr:uid="{00000000-0005-0000-0000-00008E460000}"/>
    <cellStyle name="Standard 4 2 9 2 2 2 3" xfId="17876" xr:uid="{00000000-0005-0000-0000-00008F460000}"/>
    <cellStyle name="Standard 4 2 9 2 2 2 3 2" xfId="17877" xr:uid="{00000000-0005-0000-0000-000090460000}"/>
    <cellStyle name="Standard 4 2 9 2 2 2 3 3" xfId="17878" xr:uid="{00000000-0005-0000-0000-000091460000}"/>
    <cellStyle name="Standard 4 2 9 2 2 2 4" xfId="17879" xr:uid="{00000000-0005-0000-0000-000092460000}"/>
    <cellStyle name="Standard 4 2 9 2 2 2 4 2" xfId="17880" xr:uid="{00000000-0005-0000-0000-000093460000}"/>
    <cellStyle name="Standard 4 2 9 2 2 2 5" xfId="17881" xr:uid="{00000000-0005-0000-0000-000094460000}"/>
    <cellStyle name="Standard 4 2 9 2 2 2 6" xfId="17882" xr:uid="{00000000-0005-0000-0000-000095460000}"/>
    <cellStyle name="Standard 4 2 9 2 2 3" xfId="17883" xr:uid="{00000000-0005-0000-0000-000096460000}"/>
    <cellStyle name="Standard 4 2 9 2 2 3 2" xfId="17884" xr:uid="{00000000-0005-0000-0000-000097460000}"/>
    <cellStyle name="Standard 4 2 9 2 2 3 3" xfId="17885" xr:uid="{00000000-0005-0000-0000-000098460000}"/>
    <cellStyle name="Standard 4 2 9 2 2 4" xfId="17886" xr:uid="{00000000-0005-0000-0000-000099460000}"/>
    <cellStyle name="Standard 4 2 9 2 2 4 2" xfId="17887" xr:uid="{00000000-0005-0000-0000-00009A460000}"/>
    <cellStyle name="Standard 4 2 9 2 2 4 3" xfId="17888" xr:uid="{00000000-0005-0000-0000-00009B460000}"/>
    <cellStyle name="Standard 4 2 9 2 2 5" xfId="17889" xr:uid="{00000000-0005-0000-0000-00009C460000}"/>
    <cellStyle name="Standard 4 2 9 2 2 5 2" xfId="17890" xr:uid="{00000000-0005-0000-0000-00009D460000}"/>
    <cellStyle name="Standard 4 2 9 2 2 6" xfId="17891" xr:uid="{00000000-0005-0000-0000-00009E460000}"/>
    <cellStyle name="Standard 4 2 9 2 2 7" xfId="17892" xr:uid="{00000000-0005-0000-0000-00009F460000}"/>
    <cellStyle name="Standard 4 2 9 2 3" xfId="17893" xr:uid="{00000000-0005-0000-0000-0000A0460000}"/>
    <cellStyle name="Standard 4 2 9 2 3 2" xfId="17894" xr:uid="{00000000-0005-0000-0000-0000A1460000}"/>
    <cellStyle name="Standard 4 2 9 2 3 2 2" xfId="17895" xr:uid="{00000000-0005-0000-0000-0000A2460000}"/>
    <cellStyle name="Standard 4 2 9 2 3 2 3" xfId="17896" xr:uid="{00000000-0005-0000-0000-0000A3460000}"/>
    <cellStyle name="Standard 4 2 9 2 3 3" xfId="17897" xr:uid="{00000000-0005-0000-0000-0000A4460000}"/>
    <cellStyle name="Standard 4 2 9 2 3 3 2" xfId="17898" xr:uid="{00000000-0005-0000-0000-0000A5460000}"/>
    <cellStyle name="Standard 4 2 9 2 3 3 3" xfId="17899" xr:uid="{00000000-0005-0000-0000-0000A6460000}"/>
    <cellStyle name="Standard 4 2 9 2 3 4" xfId="17900" xr:uid="{00000000-0005-0000-0000-0000A7460000}"/>
    <cellStyle name="Standard 4 2 9 2 3 4 2" xfId="17901" xr:uid="{00000000-0005-0000-0000-0000A8460000}"/>
    <cellStyle name="Standard 4 2 9 2 3 5" xfId="17902" xr:uid="{00000000-0005-0000-0000-0000A9460000}"/>
    <cellStyle name="Standard 4 2 9 2 3 6" xfId="17903" xr:uid="{00000000-0005-0000-0000-0000AA460000}"/>
    <cellStyle name="Standard 4 2 9 2 4" xfId="17904" xr:uid="{00000000-0005-0000-0000-0000AB460000}"/>
    <cellStyle name="Standard 4 2 9 2 4 2" xfId="17905" xr:uid="{00000000-0005-0000-0000-0000AC460000}"/>
    <cellStyle name="Standard 4 2 9 2 4 3" xfId="17906" xr:uid="{00000000-0005-0000-0000-0000AD460000}"/>
    <cellStyle name="Standard 4 2 9 2 5" xfId="17907" xr:uid="{00000000-0005-0000-0000-0000AE460000}"/>
    <cellStyle name="Standard 4 2 9 2 5 2" xfId="17908" xr:uid="{00000000-0005-0000-0000-0000AF460000}"/>
    <cellStyle name="Standard 4 2 9 2 5 3" xfId="17909" xr:uid="{00000000-0005-0000-0000-0000B0460000}"/>
    <cellStyle name="Standard 4 2 9 2 6" xfId="17910" xr:uid="{00000000-0005-0000-0000-0000B1460000}"/>
    <cellStyle name="Standard 4 2 9 2 6 2" xfId="17911" xr:uid="{00000000-0005-0000-0000-0000B2460000}"/>
    <cellStyle name="Standard 4 2 9 2 7" xfId="17912" xr:uid="{00000000-0005-0000-0000-0000B3460000}"/>
    <cellStyle name="Standard 4 2 9 2 8" xfId="17913" xr:uid="{00000000-0005-0000-0000-0000B4460000}"/>
    <cellStyle name="Standard 4 2 9 3" xfId="17914" xr:uid="{00000000-0005-0000-0000-0000B5460000}"/>
    <cellStyle name="Standard 4 2 9 3 2" xfId="17915" xr:uid="{00000000-0005-0000-0000-0000B6460000}"/>
    <cellStyle name="Standard 4 2 9 3 2 2" xfId="17916" xr:uid="{00000000-0005-0000-0000-0000B7460000}"/>
    <cellStyle name="Standard 4 2 9 3 2 2 2" xfId="17917" xr:uid="{00000000-0005-0000-0000-0000B8460000}"/>
    <cellStyle name="Standard 4 2 9 3 2 2 3" xfId="17918" xr:uid="{00000000-0005-0000-0000-0000B9460000}"/>
    <cellStyle name="Standard 4 2 9 3 2 3" xfId="17919" xr:uid="{00000000-0005-0000-0000-0000BA460000}"/>
    <cellStyle name="Standard 4 2 9 3 2 3 2" xfId="17920" xr:uid="{00000000-0005-0000-0000-0000BB460000}"/>
    <cellStyle name="Standard 4 2 9 3 2 3 3" xfId="17921" xr:uid="{00000000-0005-0000-0000-0000BC460000}"/>
    <cellStyle name="Standard 4 2 9 3 2 4" xfId="17922" xr:uid="{00000000-0005-0000-0000-0000BD460000}"/>
    <cellStyle name="Standard 4 2 9 3 2 4 2" xfId="17923" xr:uid="{00000000-0005-0000-0000-0000BE460000}"/>
    <cellStyle name="Standard 4 2 9 3 2 5" xfId="17924" xr:uid="{00000000-0005-0000-0000-0000BF460000}"/>
    <cellStyle name="Standard 4 2 9 3 2 6" xfId="17925" xr:uid="{00000000-0005-0000-0000-0000C0460000}"/>
    <cellStyle name="Standard 4 2 9 3 3" xfId="17926" xr:uid="{00000000-0005-0000-0000-0000C1460000}"/>
    <cellStyle name="Standard 4 2 9 3 3 2" xfId="17927" xr:uid="{00000000-0005-0000-0000-0000C2460000}"/>
    <cellStyle name="Standard 4 2 9 3 3 3" xfId="17928" xr:uid="{00000000-0005-0000-0000-0000C3460000}"/>
    <cellStyle name="Standard 4 2 9 3 4" xfId="17929" xr:uid="{00000000-0005-0000-0000-0000C4460000}"/>
    <cellStyle name="Standard 4 2 9 3 4 2" xfId="17930" xr:uid="{00000000-0005-0000-0000-0000C5460000}"/>
    <cellStyle name="Standard 4 2 9 3 4 3" xfId="17931" xr:uid="{00000000-0005-0000-0000-0000C6460000}"/>
    <cellStyle name="Standard 4 2 9 3 5" xfId="17932" xr:uid="{00000000-0005-0000-0000-0000C7460000}"/>
    <cellStyle name="Standard 4 2 9 3 5 2" xfId="17933" xr:uid="{00000000-0005-0000-0000-0000C8460000}"/>
    <cellStyle name="Standard 4 2 9 3 6" xfId="17934" xr:uid="{00000000-0005-0000-0000-0000C9460000}"/>
    <cellStyle name="Standard 4 2 9 3 7" xfId="17935" xr:uid="{00000000-0005-0000-0000-0000CA460000}"/>
    <cellStyle name="Standard 4 2 9 4" xfId="17936" xr:uid="{00000000-0005-0000-0000-0000CB460000}"/>
    <cellStyle name="Standard 4 2 9 4 2" xfId="17937" xr:uid="{00000000-0005-0000-0000-0000CC460000}"/>
    <cellStyle name="Standard 4 2 9 4 2 2" xfId="17938" xr:uid="{00000000-0005-0000-0000-0000CD460000}"/>
    <cellStyle name="Standard 4 2 9 4 2 3" xfId="17939" xr:uid="{00000000-0005-0000-0000-0000CE460000}"/>
    <cellStyle name="Standard 4 2 9 4 3" xfId="17940" xr:uid="{00000000-0005-0000-0000-0000CF460000}"/>
    <cellStyle name="Standard 4 2 9 4 3 2" xfId="17941" xr:uid="{00000000-0005-0000-0000-0000D0460000}"/>
    <cellStyle name="Standard 4 2 9 4 3 3" xfId="17942" xr:uid="{00000000-0005-0000-0000-0000D1460000}"/>
    <cellStyle name="Standard 4 2 9 4 4" xfId="17943" xr:uid="{00000000-0005-0000-0000-0000D2460000}"/>
    <cellStyle name="Standard 4 2 9 4 4 2" xfId="17944" xr:uid="{00000000-0005-0000-0000-0000D3460000}"/>
    <cellStyle name="Standard 4 2 9 4 5" xfId="17945" xr:uid="{00000000-0005-0000-0000-0000D4460000}"/>
    <cellStyle name="Standard 4 2 9 4 6" xfId="17946" xr:uid="{00000000-0005-0000-0000-0000D5460000}"/>
    <cellStyle name="Standard 4 2 9 5" xfId="17947" xr:uid="{00000000-0005-0000-0000-0000D6460000}"/>
    <cellStyle name="Standard 4 2 9 5 2" xfId="17948" xr:uid="{00000000-0005-0000-0000-0000D7460000}"/>
    <cellStyle name="Standard 4 2 9 5 3" xfId="17949" xr:uid="{00000000-0005-0000-0000-0000D8460000}"/>
    <cellStyle name="Standard 4 2 9 6" xfId="17950" xr:uid="{00000000-0005-0000-0000-0000D9460000}"/>
    <cellStyle name="Standard 4 2 9 6 2" xfId="17951" xr:uid="{00000000-0005-0000-0000-0000DA460000}"/>
    <cellStyle name="Standard 4 2 9 6 3" xfId="17952" xr:uid="{00000000-0005-0000-0000-0000DB460000}"/>
    <cellStyle name="Standard 4 2 9 7" xfId="17953" xr:uid="{00000000-0005-0000-0000-0000DC460000}"/>
    <cellStyle name="Standard 4 2 9 7 2" xfId="17954" xr:uid="{00000000-0005-0000-0000-0000DD460000}"/>
    <cellStyle name="Standard 4 2 9 8" xfId="17955" xr:uid="{00000000-0005-0000-0000-0000DE460000}"/>
    <cellStyle name="Standard 4 2 9 9" xfId="17956" xr:uid="{00000000-0005-0000-0000-0000DF460000}"/>
    <cellStyle name="Standard 4 20" xfId="17957" xr:uid="{00000000-0005-0000-0000-0000E0460000}"/>
    <cellStyle name="Standard 4 21" xfId="17958" xr:uid="{00000000-0005-0000-0000-0000E1460000}"/>
    <cellStyle name="Standard 4 22" xfId="33114" xr:uid="{00000000-0005-0000-0000-0000E2460000}"/>
    <cellStyle name="Standard 4 23" xfId="33189" xr:uid="{00000000-0005-0000-0000-0000E3460000}"/>
    <cellStyle name="Standard 4 24" xfId="33264" xr:uid="{00000000-0005-0000-0000-0000E4460000}"/>
    <cellStyle name="Standard 4 25" xfId="33339" xr:uid="{00000000-0005-0000-0000-0000E5460000}"/>
    <cellStyle name="Standard 4 3" xfId="586" xr:uid="{00000000-0005-0000-0000-0000E6460000}"/>
    <cellStyle name="Standard 4 3 10" xfId="17959" xr:uid="{00000000-0005-0000-0000-0000E7460000}"/>
    <cellStyle name="Standard 4 3 10 2" xfId="17960" xr:uid="{00000000-0005-0000-0000-0000E8460000}"/>
    <cellStyle name="Standard 4 3 10 2 2" xfId="17961" xr:uid="{00000000-0005-0000-0000-0000E9460000}"/>
    <cellStyle name="Standard 4 3 10 2 2 2" xfId="17962" xr:uid="{00000000-0005-0000-0000-0000EA460000}"/>
    <cellStyle name="Standard 4 3 10 2 2 2 2" xfId="17963" xr:uid="{00000000-0005-0000-0000-0000EB460000}"/>
    <cellStyle name="Standard 4 3 10 2 2 2 3" xfId="17964" xr:uid="{00000000-0005-0000-0000-0000EC460000}"/>
    <cellStyle name="Standard 4 3 10 2 2 3" xfId="17965" xr:uid="{00000000-0005-0000-0000-0000ED460000}"/>
    <cellStyle name="Standard 4 3 10 2 2 3 2" xfId="17966" xr:uid="{00000000-0005-0000-0000-0000EE460000}"/>
    <cellStyle name="Standard 4 3 10 2 2 3 3" xfId="17967" xr:uid="{00000000-0005-0000-0000-0000EF460000}"/>
    <cellStyle name="Standard 4 3 10 2 2 4" xfId="17968" xr:uid="{00000000-0005-0000-0000-0000F0460000}"/>
    <cellStyle name="Standard 4 3 10 2 2 4 2" xfId="17969" xr:uid="{00000000-0005-0000-0000-0000F1460000}"/>
    <cellStyle name="Standard 4 3 10 2 2 5" xfId="17970" xr:uid="{00000000-0005-0000-0000-0000F2460000}"/>
    <cellStyle name="Standard 4 3 10 2 2 6" xfId="17971" xr:uid="{00000000-0005-0000-0000-0000F3460000}"/>
    <cellStyle name="Standard 4 3 10 2 3" xfId="17972" xr:uid="{00000000-0005-0000-0000-0000F4460000}"/>
    <cellStyle name="Standard 4 3 10 2 3 2" xfId="17973" xr:uid="{00000000-0005-0000-0000-0000F5460000}"/>
    <cellStyle name="Standard 4 3 10 2 3 3" xfId="17974" xr:uid="{00000000-0005-0000-0000-0000F6460000}"/>
    <cellStyle name="Standard 4 3 10 2 4" xfId="17975" xr:uid="{00000000-0005-0000-0000-0000F7460000}"/>
    <cellStyle name="Standard 4 3 10 2 4 2" xfId="17976" xr:uid="{00000000-0005-0000-0000-0000F8460000}"/>
    <cellStyle name="Standard 4 3 10 2 4 3" xfId="17977" xr:uid="{00000000-0005-0000-0000-0000F9460000}"/>
    <cellStyle name="Standard 4 3 10 2 5" xfId="17978" xr:uid="{00000000-0005-0000-0000-0000FA460000}"/>
    <cellStyle name="Standard 4 3 10 2 5 2" xfId="17979" xr:uid="{00000000-0005-0000-0000-0000FB460000}"/>
    <cellStyle name="Standard 4 3 10 2 6" xfId="17980" xr:uid="{00000000-0005-0000-0000-0000FC460000}"/>
    <cellStyle name="Standard 4 3 10 2 7" xfId="17981" xr:uid="{00000000-0005-0000-0000-0000FD460000}"/>
    <cellStyle name="Standard 4 3 10 3" xfId="17982" xr:uid="{00000000-0005-0000-0000-0000FE460000}"/>
    <cellStyle name="Standard 4 3 10 3 2" xfId="17983" xr:uid="{00000000-0005-0000-0000-0000FF460000}"/>
    <cellStyle name="Standard 4 3 10 3 2 2" xfId="17984" xr:uid="{00000000-0005-0000-0000-000000470000}"/>
    <cellStyle name="Standard 4 3 10 3 2 3" xfId="17985" xr:uid="{00000000-0005-0000-0000-000001470000}"/>
    <cellStyle name="Standard 4 3 10 3 3" xfId="17986" xr:uid="{00000000-0005-0000-0000-000002470000}"/>
    <cellStyle name="Standard 4 3 10 3 3 2" xfId="17987" xr:uid="{00000000-0005-0000-0000-000003470000}"/>
    <cellStyle name="Standard 4 3 10 3 3 3" xfId="17988" xr:uid="{00000000-0005-0000-0000-000004470000}"/>
    <cellStyle name="Standard 4 3 10 3 4" xfId="17989" xr:uid="{00000000-0005-0000-0000-000005470000}"/>
    <cellStyle name="Standard 4 3 10 3 4 2" xfId="17990" xr:uid="{00000000-0005-0000-0000-000006470000}"/>
    <cellStyle name="Standard 4 3 10 3 5" xfId="17991" xr:uid="{00000000-0005-0000-0000-000007470000}"/>
    <cellStyle name="Standard 4 3 10 3 6" xfId="17992" xr:uid="{00000000-0005-0000-0000-000008470000}"/>
    <cellStyle name="Standard 4 3 10 4" xfId="17993" xr:uid="{00000000-0005-0000-0000-000009470000}"/>
    <cellStyle name="Standard 4 3 10 4 2" xfId="17994" xr:uid="{00000000-0005-0000-0000-00000A470000}"/>
    <cellStyle name="Standard 4 3 10 4 3" xfId="17995" xr:uid="{00000000-0005-0000-0000-00000B470000}"/>
    <cellStyle name="Standard 4 3 10 5" xfId="17996" xr:uid="{00000000-0005-0000-0000-00000C470000}"/>
    <cellStyle name="Standard 4 3 10 5 2" xfId="17997" xr:uid="{00000000-0005-0000-0000-00000D470000}"/>
    <cellStyle name="Standard 4 3 10 5 3" xfId="17998" xr:uid="{00000000-0005-0000-0000-00000E470000}"/>
    <cellStyle name="Standard 4 3 10 6" xfId="17999" xr:uid="{00000000-0005-0000-0000-00000F470000}"/>
    <cellStyle name="Standard 4 3 10 6 2" xfId="18000" xr:uid="{00000000-0005-0000-0000-000010470000}"/>
    <cellStyle name="Standard 4 3 10 7" xfId="18001" xr:uid="{00000000-0005-0000-0000-000011470000}"/>
    <cellStyle name="Standard 4 3 10 8" xfId="18002" xr:uid="{00000000-0005-0000-0000-000012470000}"/>
    <cellStyle name="Standard 4 3 11" xfId="18003" xr:uid="{00000000-0005-0000-0000-000013470000}"/>
    <cellStyle name="Standard 4 3 11 2" xfId="18004" xr:uid="{00000000-0005-0000-0000-000014470000}"/>
    <cellStyle name="Standard 4 3 11 2 2" xfId="18005" xr:uid="{00000000-0005-0000-0000-000015470000}"/>
    <cellStyle name="Standard 4 3 11 2 2 2" xfId="18006" xr:uid="{00000000-0005-0000-0000-000016470000}"/>
    <cellStyle name="Standard 4 3 11 2 2 3" xfId="18007" xr:uid="{00000000-0005-0000-0000-000017470000}"/>
    <cellStyle name="Standard 4 3 11 2 3" xfId="18008" xr:uid="{00000000-0005-0000-0000-000018470000}"/>
    <cellStyle name="Standard 4 3 11 2 3 2" xfId="18009" xr:uid="{00000000-0005-0000-0000-000019470000}"/>
    <cellStyle name="Standard 4 3 11 2 3 3" xfId="18010" xr:uid="{00000000-0005-0000-0000-00001A470000}"/>
    <cellStyle name="Standard 4 3 11 2 4" xfId="18011" xr:uid="{00000000-0005-0000-0000-00001B470000}"/>
    <cellStyle name="Standard 4 3 11 2 4 2" xfId="18012" xr:uid="{00000000-0005-0000-0000-00001C470000}"/>
    <cellStyle name="Standard 4 3 11 2 5" xfId="18013" xr:uid="{00000000-0005-0000-0000-00001D470000}"/>
    <cellStyle name="Standard 4 3 11 2 6" xfId="18014" xr:uid="{00000000-0005-0000-0000-00001E470000}"/>
    <cellStyle name="Standard 4 3 11 3" xfId="18015" xr:uid="{00000000-0005-0000-0000-00001F470000}"/>
    <cellStyle name="Standard 4 3 11 3 2" xfId="18016" xr:uid="{00000000-0005-0000-0000-000020470000}"/>
    <cellStyle name="Standard 4 3 11 3 3" xfId="18017" xr:uid="{00000000-0005-0000-0000-000021470000}"/>
    <cellStyle name="Standard 4 3 11 4" xfId="18018" xr:uid="{00000000-0005-0000-0000-000022470000}"/>
    <cellStyle name="Standard 4 3 11 4 2" xfId="18019" xr:uid="{00000000-0005-0000-0000-000023470000}"/>
    <cellStyle name="Standard 4 3 11 4 3" xfId="18020" xr:uid="{00000000-0005-0000-0000-000024470000}"/>
    <cellStyle name="Standard 4 3 11 5" xfId="18021" xr:uid="{00000000-0005-0000-0000-000025470000}"/>
    <cellStyle name="Standard 4 3 11 5 2" xfId="18022" xr:uid="{00000000-0005-0000-0000-000026470000}"/>
    <cellStyle name="Standard 4 3 11 6" xfId="18023" xr:uid="{00000000-0005-0000-0000-000027470000}"/>
    <cellStyle name="Standard 4 3 11 7" xfId="18024" xr:uid="{00000000-0005-0000-0000-000028470000}"/>
    <cellStyle name="Standard 4 3 12" xfId="18025" xr:uid="{00000000-0005-0000-0000-000029470000}"/>
    <cellStyle name="Standard 4 3 12 2" xfId="18026" xr:uid="{00000000-0005-0000-0000-00002A470000}"/>
    <cellStyle name="Standard 4 3 12 2 2" xfId="18027" xr:uid="{00000000-0005-0000-0000-00002B470000}"/>
    <cellStyle name="Standard 4 3 12 2 3" xfId="18028" xr:uid="{00000000-0005-0000-0000-00002C470000}"/>
    <cellStyle name="Standard 4 3 12 3" xfId="18029" xr:uid="{00000000-0005-0000-0000-00002D470000}"/>
    <cellStyle name="Standard 4 3 12 3 2" xfId="18030" xr:uid="{00000000-0005-0000-0000-00002E470000}"/>
    <cellStyle name="Standard 4 3 12 3 3" xfId="18031" xr:uid="{00000000-0005-0000-0000-00002F470000}"/>
    <cellStyle name="Standard 4 3 12 4" xfId="18032" xr:uid="{00000000-0005-0000-0000-000030470000}"/>
    <cellStyle name="Standard 4 3 12 4 2" xfId="18033" xr:uid="{00000000-0005-0000-0000-000031470000}"/>
    <cellStyle name="Standard 4 3 12 5" xfId="18034" xr:uid="{00000000-0005-0000-0000-000032470000}"/>
    <cellStyle name="Standard 4 3 12 6" xfId="18035" xr:uid="{00000000-0005-0000-0000-000033470000}"/>
    <cellStyle name="Standard 4 3 13" xfId="18036" xr:uid="{00000000-0005-0000-0000-000034470000}"/>
    <cellStyle name="Standard 4 3 13 2" xfId="18037" xr:uid="{00000000-0005-0000-0000-000035470000}"/>
    <cellStyle name="Standard 4 3 13 3" xfId="18038" xr:uid="{00000000-0005-0000-0000-000036470000}"/>
    <cellStyle name="Standard 4 3 14" xfId="18039" xr:uid="{00000000-0005-0000-0000-000037470000}"/>
    <cellStyle name="Standard 4 3 14 2" xfId="18040" xr:uid="{00000000-0005-0000-0000-000038470000}"/>
    <cellStyle name="Standard 4 3 14 3" xfId="18041" xr:uid="{00000000-0005-0000-0000-000039470000}"/>
    <cellStyle name="Standard 4 3 15" xfId="18042" xr:uid="{00000000-0005-0000-0000-00003A470000}"/>
    <cellStyle name="Standard 4 3 15 2" xfId="18043" xr:uid="{00000000-0005-0000-0000-00003B470000}"/>
    <cellStyle name="Standard 4 3 16" xfId="18044" xr:uid="{00000000-0005-0000-0000-00003C470000}"/>
    <cellStyle name="Standard 4 3 17" xfId="18045" xr:uid="{00000000-0005-0000-0000-00003D470000}"/>
    <cellStyle name="Standard 4 3 2" xfId="587" xr:uid="{00000000-0005-0000-0000-00003E470000}"/>
    <cellStyle name="Standard 4 3 2 10" xfId="18046" xr:uid="{00000000-0005-0000-0000-00003F470000}"/>
    <cellStyle name="Standard 4 3 2 10 2" xfId="18047" xr:uid="{00000000-0005-0000-0000-000040470000}"/>
    <cellStyle name="Standard 4 3 2 10 2 2" xfId="18048" xr:uid="{00000000-0005-0000-0000-000041470000}"/>
    <cellStyle name="Standard 4 3 2 10 2 2 2" xfId="18049" xr:uid="{00000000-0005-0000-0000-000042470000}"/>
    <cellStyle name="Standard 4 3 2 10 2 2 3" xfId="18050" xr:uid="{00000000-0005-0000-0000-000043470000}"/>
    <cellStyle name="Standard 4 3 2 10 2 3" xfId="18051" xr:uid="{00000000-0005-0000-0000-000044470000}"/>
    <cellStyle name="Standard 4 3 2 10 2 3 2" xfId="18052" xr:uid="{00000000-0005-0000-0000-000045470000}"/>
    <cellStyle name="Standard 4 3 2 10 2 3 3" xfId="18053" xr:uid="{00000000-0005-0000-0000-000046470000}"/>
    <cellStyle name="Standard 4 3 2 10 2 4" xfId="18054" xr:uid="{00000000-0005-0000-0000-000047470000}"/>
    <cellStyle name="Standard 4 3 2 10 2 4 2" xfId="18055" xr:uid="{00000000-0005-0000-0000-000048470000}"/>
    <cellStyle name="Standard 4 3 2 10 2 5" xfId="18056" xr:uid="{00000000-0005-0000-0000-000049470000}"/>
    <cellStyle name="Standard 4 3 2 10 2 6" xfId="18057" xr:uid="{00000000-0005-0000-0000-00004A470000}"/>
    <cellStyle name="Standard 4 3 2 10 3" xfId="18058" xr:uid="{00000000-0005-0000-0000-00004B470000}"/>
    <cellStyle name="Standard 4 3 2 10 3 2" xfId="18059" xr:uid="{00000000-0005-0000-0000-00004C470000}"/>
    <cellStyle name="Standard 4 3 2 10 3 3" xfId="18060" xr:uid="{00000000-0005-0000-0000-00004D470000}"/>
    <cellStyle name="Standard 4 3 2 10 4" xfId="18061" xr:uid="{00000000-0005-0000-0000-00004E470000}"/>
    <cellStyle name="Standard 4 3 2 10 4 2" xfId="18062" xr:uid="{00000000-0005-0000-0000-00004F470000}"/>
    <cellStyle name="Standard 4 3 2 10 4 3" xfId="18063" xr:uid="{00000000-0005-0000-0000-000050470000}"/>
    <cellStyle name="Standard 4 3 2 10 5" xfId="18064" xr:uid="{00000000-0005-0000-0000-000051470000}"/>
    <cellStyle name="Standard 4 3 2 10 5 2" xfId="18065" xr:uid="{00000000-0005-0000-0000-000052470000}"/>
    <cellStyle name="Standard 4 3 2 10 6" xfId="18066" xr:uid="{00000000-0005-0000-0000-000053470000}"/>
    <cellStyle name="Standard 4 3 2 10 7" xfId="18067" xr:uid="{00000000-0005-0000-0000-000054470000}"/>
    <cellStyle name="Standard 4 3 2 11" xfId="18068" xr:uid="{00000000-0005-0000-0000-000055470000}"/>
    <cellStyle name="Standard 4 3 2 11 2" xfId="18069" xr:uid="{00000000-0005-0000-0000-000056470000}"/>
    <cellStyle name="Standard 4 3 2 11 2 2" xfId="18070" xr:uid="{00000000-0005-0000-0000-000057470000}"/>
    <cellStyle name="Standard 4 3 2 11 2 3" xfId="18071" xr:uid="{00000000-0005-0000-0000-000058470000}"/>
    <cellStyle name="Standard 4 3 2 11 3" xfId="18072" xr:uid="{00000000-0005-0000-0000-000059470000}"/>
    <cellStyle name="Standard 4 3 2 11 3 2" xfId="18073" xr:uid="{00000000-0005-0000-0000-00005A470000}"/>
    <cellStyle name="Standard 4 3 2 11 3 3" xfId="18074" xr:uid="{00000000-0005-0000-0000-00005B470000}"/>
    <cellStyle name="Standard 4 3 2 11 4" xfId="18075" xr:uid="{00000000-0005-0000-0000-00005C470000}"/>
    <cellStyle name="Standard 4 3 2 11 4 2" xfId="18076" xr:uid="{00000000-0005-0000-0000-00005D470000}"/>
    <cellStyle name="Standard 4 3 2 11 5" xfId="18077" xr:uid="{00000000-0005-0000-0000-00005E470000}"/>
    <cellStyle name="Standard 4 3 2 11 6" xfId="18078" xr:uid="{00000000-0005-0000-0000-00005F470000}"/>
    <cellStyle name="Standard 4 3 2 12" xfId="18079" xr:uid="{00000000-0005-0000-0000-000060470000}"/>
    <cellStyle name="Standard 4 3 2 12 2" xfId="18080" xr:uid="{00000000-0005-0000-0000-000061470000}"/>
    <cellStyle name="Standard 4 3 2 12 3" xfId="18081" xr:uid="{00000000-0005-0000-0000-000062470000}"/>
    <cellStyle name="Standard 4 3 2 13" xfId="18082" xr:uid="{00000000-0005-0000-0000-000063470000}"/>
    <cellStyle name="Standard 4 3 2 13 2" xfId="18083" xr:uid="{00000000-0005-0000-0000-000064470000}"/>
    <cellStyle name="Standard 4 3 2 13 3" xfId="18084" xr:uid="{00000000-0005-0000-0000-000065470000}"/>
    <cellStyle name="Standard 4 3 2 14" xfId="18085" xr:uid="{00000000-0005-0000-0000-000066470000}"/>
    <cellStyle name="Standard 4 3 2 14 2" xfId="18086" xr:uid="{00000000-0005-0000-0000-000067470000}"/>
    <cellStyle name="Standard 4 3 2 15" xfId="18087" xr:uid="{00000000-0005-0000-0000-000068470000}"/>
    <cellStyle name="Standard 4 3 2 16" xfId="18088" xr:uid="{00000000-0005-0000-0000-000069470000}"/>
    <cellStyle name="Standard 4 3 2 17" xfId="33463" xr:uid="{00000000-0005-0000-0000-00006A470000}"/>
    <cellStyle name="Standard 4 3 2 2" xfId="18089" xr:uid="{00000000-0005-0000-0000-00006B470000}"/>
    <cellStyle name="Standard 4 3 2 2 10" xfId="18090" xr:uid="{00000000-0005-0000-0000-00006C470000}"/>
    <cellStyle name="Standard 4 3 2 2 10 2" xfId="18091" xr:uid="{00000000-0005-0000-0000-00006D470000}"/>
    <cellStyle name="Standard 4 3 2 2 10 3" xfId="18092" xr:uid="{00000000-0005-0000-0000-00006E470000}"/>
    <cellStyle name="Standard 4 3 2 2 11" xfId="18093" xr:uid="{00000000-0005-0000-0000-00006F470000}"/>
    <cellStyle name="Standard 4 3 2 2 11 2" xfId="18094" xr:uid="{00000000-0005-0000-0000-000070470000}"/>
    <cellStyle name="Standard 4 3 2 2 11 3" xfId="18095" xr:uid="{00000000-0005-0000-0000-000071470000}"/>
    <cellStyle name="Standard 4 3 2 2 12" xfId="18096" xr:uid="{00000000-0005-0000-0000-000072470000}"/>
    <cellStyle name="Standard 4 3 2 2 12 2" xfId="18097" xr:uid="{00000000-0005-0000-0000-000073470000}"/>
    <cellStyle name="Standard 4 3 2 2 13" xfId="18098" xr:uid="{00000000-0005-0000-0000-000074470000}"/>
    <cellStyle name="Standard 4 3 2 2 14" xfId="18099" xr:uid="{00000000-0005-0000-0000-000075470000}"/>
    <cellStyle name="Standard 4 3 2 2 15" xfId="33464" xr:uid="{00000000-0005-0000-0000-000076470000}"/>
    <cellStyle name="Standard 4 3 2 2 2" xfId="18100" xr:uid="{00000000-0005-0000-0000-000077470000}"/>
    <cellStyle name="Standard 4 3 2 2 2 10" xfId="18101" xr:uid="{00000000-0005-0000-0000-000078470000}"/>
    <cellStyle name="Standard 4 3 2 2 2 10 2" xfId="18102" xr:uid="{00000000-0005-0000-0000-000079470000}"/>
    <cellStyle name="Standard 4 3 2 2 2 11" xfId="18103" xr:uid="{00000000-0005-0000-0000-00007A470000}"/>
    <cellStyle name="Standard 4 3 2 2 2 12" xfId="18104" xr:uid="{00000000-0005-0000-0000-00007B470000}"/>
    <cellStyle name="Standard 4 3 2 2 2 13" xfId="33465" xr:uid="{00000000-0005-0000-0000-00007C470000}"/>
    <cellStyle name="Standard 4 3 2 2 2 2" xfId="18105" xr:uid="{00000000-0005-0000-0000-00007D470000}"/>
    <cellStyle name="Standard 4 3 2 2 2 2 10" xfId="18106" xr:uid="{00000000-0005-0000-0000-00007E470000}"/>
    <cellStyle name="Standard 4 3 2 2 2 2 11" xfId="18107" xr:uid="{00000000-0005-0000-0000-00007F470000}"/>
    <cellStyle name="Standard 4 3 2 2 2 2 2" xfId="18108" xr:uid="{00000000-0005-0000-0000-000080470000}"/>
    <cellStyle name="Standard 4 3 2 2 2 2 2 10" xfId="18109" xr:uid="{00000000-0005-0000-0000-000081470000}"/>
    <cellStyle name="Standard 4 3 2 2 2 2 2 2" xfId="18110" xr:uid="{00000000-0005-0000-0000-000082470000}"/>
    <cellStyle name="Standard 4 3 2 2 2 2 2 2 2" xfId="18111" xr:uid="{00000000-0005-0000-0000-000083470000}"/>
    <cellStyle name="Standard 4 3 2 2 2 2 2 2 2 2" xfId="18112" xr:uid="{00000000-0005-0000-0000-000084470000}"/>
    <cellStyle name="Standard 4 3 2 2 2 2 2 2 2 2 2" xfId="18113" xr:uid="{00000000-0005-0000-0000-000085470000}"/>
    <cellStyle name="Standard 4 3 2 2 2 2 2 2 2 2 2 2" xfId="18114" xr:uid="{00000000-0005-0000-0000-000086470000}"/>
    <cellStyle name="Standard 4 3 2 2 2 2 2 2 2 2 2 3" xfId="18115" xr:uid="{00000000-0005-0000-0000-000087470000}"/>
    <cellStyle name="Standard 4 3 2 2 2 2 2 2 2 2 3" xfId="18116" xr:uid="{00000000-0005-0000-0000-000088470000}"/>
    <cellStyle name="Standard 4 3 2 2 2 2 2 2 2 2 3 2" xfId="18117" xr:uid="{00000000-0005-0000-0000-000089470000}"/>
    <cellStyle name="Standard 4 3 2 2 2 2 2 2 2 2 3 3" xfId="18118" xr:uid="{00000000-0005-0000-0000-00008A470000}"/>
    <cellStyle name="Standard 4 3 2 2 2 2 2 2 2 2 4" xfId="18119" xr:uid="{00000000-0005-0000-0000-00008B470000}"/>
    <cellStyle name="Standard 4 3 2 2 2 2 2 2 2 2 4 2" xfId="18120" xr:uid="{00000000-0005-0000-0000-00008C470000}"/>
    <cellStyle name="Standard 4 3 2 2 2 2 2 2 2 2 5" xfId="18121" xr:uid="{00000000-0005-0000-0000-00008D470000}"/>
    <cellStyle name="Standard 4 3 2 2 2 2 2 2 2 2 6" xfId="18122" xr:uid="{00000000-0005-0000-0000-00008E470000}"/>
    <cellStyle name="Standard 4 3 2 2 2 2 2 2 2 3" xfId="18123" xr:uid="{00000000-0005-0000-0000-00008F470000}"/>
    <cellStyle name="Standard 4 3 2 2 2 2 2 2 2 3 2" xfId="18124" xr:uid="{00000000-0005-0000-0000-000090470000}"/>
    <cellStyle name="Standard 4 3 2 2 2 2 2 2 2 3 3" xfId="18125" xr:uid="{00000000-0005-0000-0000-000091470000}"/>
    <cellStyle name="Standard 4 3 2 2 2 2 2 2 2 4" xfId="18126" xr:uid="{00000000-0005-0000-0000-000092470000}"/>
    <cellStyle name="Standard 4 3 2 2 2 2 2 2 2 4 2" xfId="18127" xr:uid="{00000000-0005-0000-0000-000093470000}"/>
    <cellStyle name="Standard 4 3 2 2 2 2 2 2 2 4 3" xfId="18128" xr:uid="{00000000-0005-0000-0000-000094470000}"/>
    <cellStyle name="Standard 4 3 2 2 2 2 2 2 2 5" xfId="18129" xr:uid="{00000000-0005-0000-0000-000095470000}"/>
    <cellStyle name="Standard 4 3 2 2 2 2 2 2 2 5 2" xfId="18130" xr:uid="{00000000-0005-0000-0000-000096470000}"/>
    <cellStyle name="Standard 4 3 2 2 2 2 2 2 2 6" xfId="18131" xr:uid="{00000000-0005-0000-0000-000097470000}"/>
    <cellStyle name="Standard 4 3 2 2 2 2 2 2 2 7" xfId="18132" xr:uid="{00000000-0005-0000-0000-000098470000}"/>
    <cellStyle name="Standard 4 3 2 2 2 2 2 2 3" xfId="18133" xr:uid="{00000000-0005-0000-0000-000099470000}"/>
    <cellStyle name="Standard 4 3 2 2 2 2 2 2 3 2" xfId="18134" xr:uid="{00000000-0005-0000-0000-00009A470000}"/>
    <cellStyle name="Standard 4 3 2 2 2 2 2 2 3 2 2" xfId="18135" xr:uid="{00000000-0005-0000-0000-00009B470000}"/>
    <cellStyle name="Standard 4 3 2 2 2 2 2 2 3 2 3" xfId="18136" xr:uid="{00000000-0005-0000-0000-00009C470000}"/>
    <cellStyle name="Standard 4 3 2 2 2 2 2 2 3 3" xfId="18137" xr:uid="{00000000-0005-0000-0000-00009D470000}"/>
    <cellStyle name="Standard 4 3 2 2 2 2 2 2 3 3 2" xfId="18138" xr:uid="{00000000-0005-0000-0000-00009E470000}"/>
    <cellStyle name="Standard 4 3 2 2 2 2 2 2 3 3 3" xfId="18139" xr:uid="{00000000-0005-0000-0000-00009F470000}"/>
    <cellStyle name="Standard 4 3 2 2 2 2 2 2 3 4" xfId="18140" xr:uid="{00000000-0005-0000-0000-0000A0470000}"/>
    <cellStyle name="Standard 4 3 2 2 2 2 2 2 3 4 2" xfId="18141" xr:uid="{00000000-0005-0000-0000-0000A1470000}"/>
    <cellStyle name="Standard 4 3 2 2 2 2 2 2 3 5" xfId="18142" xr:uid="{00000000-0005-0000-0000-0000A2470000}"/>
    <cellStyle name="Standard 4 3 2 2 2 2 2 2 3 6" xfId="18143" xr:uid="{00000000-0005-0000-0000-0000A3470000}"/>
    <cellStyle name="Standard 4 3 2 2 2 2 2 2 4" xfId="18144" xr:uid="{00000000-0005-0000-0000-0000A4470000}"/>
    <cellStyle name="Standard 4 3 2 2 2 2 2 2 4 2" xfId="18145" xr:uid="{00000000-0005-0000-0000-0000A5470000}"/>
    <cellStyle name="Standard 4 3 2 2 2 2 2 2 4 3" xfId="18146" xr:uid="{00000000-0005-0000-0000-0000A6470000}"/>
    <cellStyle name="Standard 4 3 2 2 2 2 2 2 5" xfId="18147" xr:uid="{00000000-0005-0000-0000-0000A7470000}"/>
    <cellStyle name="Standard 4 3 2 2 2 2 2 2 5 2" xfId="18148" xr:uid="{00000000-0005-0000-0000-0000A8470000}"/>
    <cellStyle name="Standard 4 3 2 2 2 2 2 2 5 3" xfId="18149" xr:uid="{00000000-0005-0000-0000-0000A9470000}"/>
    <cellStyle name="Standard 4 3 2 2 2 2 2 2 6" xfId="18150" xr:uid="{00000000-0005-0000-0000-0000AA470000}"/>
    <cellStyle name="Standard 4 3 2 2 2 2 2 2 6 2" xfId="18151" xr:uid="{00000000-0005-0000-0000-0000AB470000}"/>
    <cellStyle name="Standard 4 3 2 2 2 2 2 2 7" xfId="18152" xr:uid="{00000000-0005-0000-0000-0000AC470000}"/>
    <cellStyle name="Standard 4 3 2 2 2 2 2 2 8" xfId="18153" xr:uid="{00000000-0005-0000-0000-0000AD470000}"/>
    <cellStyle name="Standard 4 3 2 2 2 2 2 3" xfId="18154" xr:uid="{00000000-0005-0000-0000-0000AE470000}"/>
    <cellStyle name="Standard 4 3 2 2 2 2 2 3 2" xfId="18155" xr:uid="{00000000-0005-0000-0000-0000AF470000}"/>
    <cellStyle name="Standard 4 3 2 2 2 2 2 3 2 2" xfId="18156" xr:uid="{00000000-0005-0000-0000-0000B0470000}"/>
    <cellStyle name="Standard 4 3 2 2 2 2 2 3 2 2 2" xfId="18157" xr:uid="{00000000-0005-0000-0000-0000B1470000}"/>
    <cellStyle name="Standard 4 3 2 2 2 2 2 3 2 2 2 2" xfId="18158" xr:uid="{00000000-0005-0000-0000-0000B2470000}"/>
    <cellStyle name="Standard 4 3 2 2 2 2 2 3 2 2 2 3" xfId="18159" xr:uid="{00000000-0005-0000-0000-0000B3470000}"/>
    <cellStyle name="Standard 4 3 2 2 2 2 2 3 2 2 3" xfId="18160" xr:uid="{00000000-0005-0000-0000-0000B4470000}"/>
    <cellStyle name="Standard 4 3 2 2 2 2 2 3 2 2 3 2" xfId="18161" xr:uid="{00000000-0005-0000-0000-0000B5470000}"/>
    <cellStyle name="Standard 4 3 2 2 2 2 2 3 2 2 3 3" xfId="18162" xr:uid="{00000000-0005-0000-0000-0000B6470000}"/>
    <cellStyle name="Standard 4 3 2 2 2 2 2 3 2 2 4" xfId="18163" xr:uid="{00000000-0005-0000-0000-0000B7470000}"/>
    <cellStyle name="Standard 4 3 2 2 2 2 2 3 2 2 4 2" xfId="18164" xr:uid="{00000000-0005-0000-0000-0000B8470000}"/>
    <cellStyle name="Standard 4 3 2 2 2 2 2 3 2 2 5" xfId="18165" xr:uid="{00000000-0005-0000-0000-0000B9470000}"/>
    <cellStyle name="Standard 4 3 2 2 2 2 2 3 2 2 6" xfId="18166" xr:uid="{00000000-0005-0000-0000-0000BA470000}"/>
    <cellStyle name="Standard 4 3 2 2 2 2 2 3 2 3" xfId="18167" xr:uid="{00000000-0005-0000-0000-0000BB470000}"/>
    <cellStyle name="Standard 4 3 2 2 2 2 2 3 2 3 2" xfId="18168" xr:uid="{00000000-0005-0000-0000-0000BC470000}"/>
    <cellStyle name="Standard 4 3 2 2 2 2 2 3 2 3 3" xfId="18169" xr:uid="{00000000-0005-0000-0000-0000BD470000}"/>
    <cellStyle name="Standard 4 3 2 2 2 2 2 3 2 4" xfId="18170" xr:uid="{00000000-0005-0000-0000-0000BE470000}"/>
    <cellStyle name="Standard 4 3 2 2 2 2 2 3 2 4 2" xfId="18171" xr:uid="{00000000-0005-0000-0000-0000BF470000}"/>
    <cellStyle name="Standard 4 3 2 2 2 2 2 3 2 4 3" xfId="18172" xr:uid="{00000000-0005-0000-0000-0000C0470000}"/>
    <cellStyle name="Standard 4 3 2 2 2 2 2 3 2 5" xfId="18173" xr:uid="{00000000-0005-0000-0000-0000C1470000}"/>
    <cellStyle name="Standard 4 3 2 2 2 2 2 3 2 5 2" xfId="18174" xr:uid="{00000000-0005-0000-0000-0000C2470000}"/>
    <cellStyle name="Standard 4 3 2 2 2 2 2 3 2 6" xfId="18175" xr:uid="{00000000-0005-0000-0000-0000C3470000}"/>
    <cellStyle name="Standard 4 3 2 2 2 2 2 3 2 7" xfId="18176" xr:uid="{00000000-0005-0000-0000-0000C4470000}"/>
    <cellStyle name="Standard 4 3 2 2 2 2 2 3 3" xfId="18177" xr:uid="{00000000-0005-0000-0000-0000C5470000}"/>
    <cellStyle name="Standard 4 3 2 2 2 2 2 3 3 2" xfId="18178" xr:uid="{00000000-0005-0000-0000-0000C6470000}"/>
    <cellStyle name="Standard 4 3 2 2 2 2 2 3 3 2 2" xfId="18179" xr:uid="{00000000-0005-0000-0000-0000C7470000}"/>
    <cellStyle name="Standard 4 3 2 2 2 2 2 3 3 2 3" xfId="18180" xr:uid="{00000000-0005-0000-0000-0000C8470000}"/>
    <cellStyle name="Standard 4 3 2 2 2 2 2 3 3 3" xfId="18181" xr:uid="{00000000-0005-0000-0000-0000C9470000}"/>
    <cellStyle name="Standard 4 3 2 2 2 2 2 3 3 3 2" xfId="18182" xr:uid="{00000000-0005-0000-0000-0000CA470000}"/>
    <cellStyle name="Standard 4 3 2 2 2 2 2 3 3 3 3" xfId="18183" xr:uid="{00000000-0005-0000-0000-0000CB470000}"/>
    <cellStyle name="Standard 4 3 2 2 2 2 2 3 3 4" xfId="18184" xr:uid="{00000000-0005-0000-0000-0000CC470000}"/>
    <cellStyle name="Standard 4 3 2 2 2 2 2 3 3 4 2" xfId="18185" xr:uid="{00000000-0005-0000-0000-0000CD470000}"/>
    <cellStyle name="Standard 4 3 2 2 2 2 2 3 3 5" xfId="18186" xr:uid="{00000000-0005-0000-0000-0000CE470000}"/>
    <cellStyle name="Standard 4 3 2 2 2 2 2 3 3 6" xfId="18187" xr:uid="{00000000-0005-0000-0000-0000CF470000}"/>
    <cellStyle name="Standard 4 3 2 2 2 2 2 3 4" xfId="18188" xr:uid="{00000000-0005-0000-0000-0000D0470000}"/>
    <cellStyle name="Standard 4 3 2 2 2 2 2 3 4 2" xfId="18189" xr:uid="{00000000-0005-0000-0000-0000D1470000}"/>
    <cellStyle name="Standard 4 3 2 2 2 2 2 3 4 3" xfId="18190" xr:uid="{00000000-0005-0000-0000-0000D2470000}"/>
    <cellStyle name="Standard 4 3 2 2 2 2 2 3 5" xfId="18191" xr:uid="{00000000-0005-0000-0000-0000D3470000}"/>
    <cellStyle name="Standard 4 3 2 2 2 2 2 3 5 2" xfId="18192" xr:uid="{00000000-0005-0000-0000-0000D4470000}"/>
    <cellStyle name="Standard 4 3 2 2 2 2 2 3 5 3" xfId="18193" xr:uid="{00000000-0005-0000-0000-0000D5470000}"/>
    <cellStyle name="Standard 4 3 2 2 2 2 2 3 6" xfId="18194" xr:uid="{00000000-0005-0000-0000-0000D6470000}"/>
    <cellStyle name="Standard 4 3 2 2 2 2 2 3 6 2" xfId="18195" xr:uid="{00000000-0005-0000-0000-0000D7470000}"/>
    <cellStyle name="Standard 4 3 2 2 2 2 2 3 7" xfId="18196" xr:uid="{00000000-0005-0000-0000-0000D8470000}"/>
    <cellStyle name="Standard 4 3 2 2 2 2 2 3 8" xfId="18197" xr:uid="{00000000-0005-0000-0000-0000D9470000}"/>
    <cellStyle name="Standard 4 3 2 2 2 2 2 4" xfId="18198" xr:uid="{00000000-0005-0000-0000-0000DA470000}"/>
    <cellStyle name="Standard 4 3 2 2 2 2 2 4 2" xfId="18199" xr:uid="{00000000-0005-0000-0000-0000DB470000}"/>
    <cellStyle name="Standard 4 3 2 2 2 2 2 4 2 2" xfId="18200" xr:uid="{00000000-0005-0000-0000-0000DC470000}"/>
    <cellStyle name="Standard 4 3 2 2 2 2 2 4 2 2 2" xfId="18201" xr:uid="{00000000-0005-0000-0000-0000DD470000}"/>
    <cellStyle name="Standard 4 3 2 2 2 2 2 4 2 2 3" xfId="18202" xr:uid="{00000000-0005-0000-0000-0000DE470000}"/>
    <cellStyle name="Standard 4 3 2 2 2 2 2 4 2 3" xfId="18203" xr:uid="{00000000-0005-0000-0000-0000DF470000}"/>
    <cellStyle name="Standard 4 3 2 2 2 2 2 4 2 3 2" xfId="18204" xr:uid="{00000000-0005-0000-0000-0000E0470000}"/>
    <cellStyle name="Standard 4 3 2 2 2 2 2 4 2 3 3" xfId="18205" xr:uid="{00000000-0005-0000-0000-0000E1470000}"/>
    <cellStyle name="Standard 4 3 2 2 2 2 2 4 2 4" xfId="18206" xr:uid="{00000000-0005-0000-0000-0000E2470000}"/>
    <cellStyle name="Standard 4 3 2 2 2 2 2 4 2 4 2" xfId="18207" xr:uid="{00000000-0005-0000-0000-0000E3470000}"/>
    <cellStyle name="Standard 4 3 2 2 2 2 2 4 2 5" xfId="18208" xr:uid="{00000000-0005-0000-0000-0000E4470000}"/>
    <cellStyle name="Standard 4 3 2 2 2 2 2 4 2 6" xfId="18209" xr:uid="{00000000-0005-0000-0000-0000E5470000}"/>
    <cellStyle name="Standard 4 3 2 2 2 2 2 4 3" xfId="18210" xr:uid="{00000000-0005-0000-0000-0000E6470000}"/>
    <cellStyle name="Standard 4 3 2 2 2 2 2 4 3 2" xfId="18211" xr:uid="{00000000-0005-0000-0000-0000E7470000}"/>
    <cellStyle name="Standard 4 3 2 2 2 2 2 4 3 3" xfId="18212" xr:uid="{00000000-0005-0000-0000-0000E8470000}"/>
    <cellStyle name="Standard 4 3 2 2 2 2 2 4 4" xfId="18213" xr:uid="{00000000-0005-0000-0000-0000E9470000}"/>
    <cellStyle name="Standard 4 3 2 2 2 2 2 4 4 2" xfId="18214" xr:uid="{00000000-0005-0000-0000-0000EA470000}"/>
    <cellStyle name="Standard 4 3 2 2 2 2 2 4 4 3" xfId="18215" xr:uid="{00000000-0005-0000-0000-0000EB470000}"/>
    <cellStyle name="Standard 4 3 2 2 2 2 2 4 5" xfId="18216" xr:uid="{00000000-0005-0000-0000-0000EC470000}"/>
    <cellStyle name="Standard 4 3 2 2 2 2 2 4 5 2" xfId="18217" xr:uid="{00000000-0005-0000-0000-0000ED470000}"/>
    <cellStyle name="Standard 4 3 2 2 2 2 2 4 6" xfId="18218" xr:uid="{00000000-0005-0000-0000-0000EE470000}"/>
    <cellStyle name="Standard 4 3 2 2 2 2 2 4 7" xfId="18219" xr:uid="{00000000-0005-0000-0000-0000EF470000}"/>
    <cellStyle name="Standard 4 3 2 2 2 2 2 5" xfId="18220" xr:uid="{00000000-0005-0000-0000-0000F0470000}"/>
    <cellStyle name="Standard 4 3 2 2 2 2 2 5 2" xfId="18221" xr:uid="{00000000-0005-0000-0000-0000F1470000}"/>
    <cellStyle name="Standard 4 3 2 2 2 2 2 5 2 2" xfId="18222" xr:uid="{00000000-0005-0000-0000-0000F2470000}"/>
    <cellStyle name="Standard 4 3 2 2 2 2 2 5 2 3" xfId="18223" xr:uid="{00000000-0005-0000-0000-0000F3470000}"/>
    <cellStyle name="Standard 4 3 2 2 2 2 2 5 3" xfId="18224" xr:uid="{00000000-0005-0000-0000-0000F4470000}"/>
    <cellStyle name="Standard 4 3 2 2 2 2 2 5 3 2" xfId="18225" xr:uid="{00000000-0005-0000-0000-0000F5470000}"/>
    <cellStyle name="Standard 4 3 2 2 2 2 2 5 3 3" xfId="18226" xr:uid="{00000000-0005-0000-0000-0000F6470000}"/>
    <cellStyle name="Standard 4 3 2 2 2 2 2 5 4" xfId="18227" xr:uid="{00000000-0005-0000-0000-0000F7470000}"/>
    <cellStyle name="Standard 4 3 2 2 2 2 2 5 4 2" xfId="18228" xr:uid="{00000000-0005-0000-0000-0000F8470000}"/>
    <cellStyle name="Standard 4 3 2 2 2 2 2 5 5" xfId="18229" xr:uid="{00000000-0005-0000-0000-0000F9470000}"/>
    <cellStyle name="Standard 4 3 2 2 2 2 2 5 6" xfId="18230" xr:uid="{00000000-0005-0000-0000-0000FA470000}"/>
    <cellStyle name="Standard 4 3 2 2 2 2 2 6" xfId="18231" xr:uid="{00000000-0005-0000-0000-0000FB470000}"/>
    <cellStyle name="Standard 4 3 2 2 2 2 2 6 2" xfId="18232" xr:uid="{00000000-0005-0000-0000-0000FC470000}"/>
    <cellStyle name="Standard 4 3 2 2 2 2 2 6 3" xfId="18233" xr:uid="{00000000-0005-0000-0000-0000FD470000}"/>
    <cellStyle name="Standard 4 3 2 2 2 2 2 7" xfId="18234" xr:uid="{00000000-0005-0000-0000-0000FE470000}"/>
    <cellStyle name="Standard 4 3 2 2 2 2 2 7 2" xfId="18235" xr:uid="{00000000-0005-0000-0000-0000FF470000}"/>
    <cellStyle name="Standard 4 3 2 2 2 2 2 7 3" xfId="18236" xr:uid="{00000000-0005-0000-0000-000000480000}"/>
    <cellStyle name="Standard 4 3 2 2 2 2 2 8" xfId="18237" xr:uid="{00000000-0005-0000-0000-000001480000}"/>
    <cellStyle name="Standard 4 3 2 2 2 2 2 8 2" xfId="18238" xr:uid="{00000000-0005-0000-0000-000002480000}"/>
    <cellStyle name="Standard 4 3 2 2 2 2 2 9" xfId="18239" xr:uid="{00000000-0005-0000-0000-000003480000}"/>
    <cellStyle name="Standard 4 3 2 2 2 2 3" xfId="18240" xr:uid="{00000000-0005-0000-0000-000004480000}"/>
    <cellStyle name="Standard 4 3 2 2 2 2 3 2" xfId="18241" xr:uid="{00000000-0005-0000-0000-000005480000}"/>
    <cellStyle name="Standard 4 3 2 2 2 2 3 2 2" xfId="18242" xr:uid="{00000000-0005-0000-0000-000006480000}"/>
    <cellStyle name="Standard 4 3 2 2 2 2 3 2 2 2" xfId="18243" xr:uid="{00000000-0005-0000-0000-000007480000}"/>
    <cellStyle name="Standard 4 3 2 2 2 2 3 2 2 2 2" xfId="18244" xr:uid="{00000000-0005-0000-0000-000008480000}"/>
    <cellStyle name="Standard 4 3 2 2 2 2 3 2 2 2 3" xfId="18245" xr:uid="{00000000-0005-0000-0000-000009480000}"/>
    <cellStyle name="Standard 4 3 2 2 2 2 3 2 2 3" xfId="18246" xr:uid="{00000000-0005-0000-0000-00000A480000}"/>
    <cellStyle name="Standard 4 3 2 2 2 2 3 2 2 3 2" xfId="18247" xr:uid="{00000000-0005-0000-0000-00000B480000}"/>
    <cellStyle name="Standard 4 3 2 2 2 2 3 2 2 3 3" xfId="18248" xr:uid="{00000000-0005-0000-0000-00000C480000}"/>
    <cellStyle name="Standard 4 3 2 2 2 2 3 2 2 4" xfId="18249" xr:uid="{00000000-0005-0000-0000-00000D480000}"/>
    <cellStyle name="Standard 4 3 2 2 2 2 3 2 2 4 2" xfId="18250" xr:uid="{00000000-0005-0000-0000-00000E480000}"/>
    <cellStyle name="Standard 4 3 2 2 2 2 3 2 2 5" xfId="18251" xr:uid="{00000000-0005-0000-0000-00000F480000}"/>
    <cellStyle name="Standard 4 3 2 2 2 2 3 2 2 6" xfId="18252" xr:uid="{00000000-0005-0000-0000-000010480000}"/>
    <cellStyle name="Standard 4 3 2 2 2 2 3 2 3" xfId="18253" xr:uid="{00000000-0005-0000-0000-000011480000}"/>
    <cellStyle name="Standard 4 3 2 2 2 2 3 2 3 2" xfId="18254" xr:uid="{00000000-0005-0000-0000-000012480000}"/>
    <cellStyle name="Standard 4 3 2 2 2 2 3 2 3 3" xfId="18255" xr:uid="{00000000-0005-0000-0000-000013480000}"/>
    <cellStyle name="Standard 4 3 2 2 2 2 3 2 4" xfId="18256" xr:uid="{00000000-0005-0000-0000-000014480000}"/>
    <cellStyle name="Standard 4 3 2 2 2 2 3 2 4 2" xfId="18257" xr:uid="{00000000-0005-0000-0000-000015480000}"/>
    <cellStyle name="Standard 4 3 2 2 2 2 3 2 4 3" xfId="18258" xr:uid="{00000000-0005-0000-0000-000016480000}"/>
    <cellStyle name="Standard 4 3 2 2 2 2 3 2 5" xfId="18259" xr:uid="{00000000-0005-0000-0000-000017480000}"/>
    <cellStyle name="Standard 4 3 2 2 2 2 3 2 5 2" xfId="18260" xr:uid="{00000000-0005-0000-0000-000018480000}"/>
    <cellStyle name="Standard 4 3 2 2 2 2 3 2 6" xfId="18261" xr:uid="{00000000-0005-0000-0000-000019480000}"/>
    <cellStyle name="Standard 4 3 2 2 2 2 3 2 7" xfId="18262" xr:uid="{00000000-0005-0000-0000-00001A480000}"/>
    <cellStyle name="Standard 4 3 2 2 2 2 3 3" xfId="18263" xr:uid="{00000000-0005-0000-0000-00001B480000}"/>
    <cellStyle name="Standard 4 3 2 2 2 2 3 3 2" xfId="18264" xr:uid="{00000000-0005-0000-0000-00001C480000}"/>
    <cellStyle name="Standard 4 3 2 2 2 2 3 3 2 2" xfId="18265" xr:uid="{00000000-0005-0000-0000-00001D480000}"/>
    <cellStyle name="Standard 4 3 2 2 2 2 3 3 2 3" xfId="18266" xr:uid="{00000000-0005-0000-0000-00001E480000}"/>
    <cellStyle name="Standard 4 3 2 2 2 2 3 3 3" xfId="18267" xr:uid="{00000000-0005-0000-0000-00001F480000}"/>
    <cellStyle name="Standard 4 3 2 2 2 2 3 3 3 2" xfId="18268" xr:uid="{00000000-0005-0000-0000-000020480000}"/>
    <cellStyle name="Standard 4 3 2 2 2 2 3 3 3 3" xfId="18269" xr:uid="{00000000-0005-0000-0000-000021480000}"/>
    <cellStyle name="Standard 4 3 2 2 2 2 3 3 4" xfId="18270" xr:uid="{00000000-0005-0000-0000-000022480000}"/>
    <cellStyle name="Standard 4 3 2 2 2 2 3 3 4 2" xfId="18271" xr:uid="{00000000-0005-0000-0000-000023480000}"/>
    <cellStyle name="Standard 4 3 2 2 2 2 3 3 5" xfId="18272" xr:uid="{00000000-0005-0000-0000-000024480000}"/>
    <cellStyle name="Standard 4 3 2 2 2 2 3 3 6" xfId="18273" xr:uid="{00000000-0005-0000-0000-000025480000}"/>
    <cellStyle name="Standard 4 3 2 2 2 2 3 4" xfId="18274" xr:uid="{00000000-0005-0000-0000-000026480000}"/>
    <cellStyle name="Standard 4 3 2 2 2 2 3 4 2" xfId="18275" xr:uid="{00000000-0005-0000-0000-000027480000}"/>
    <cellStyle name="Standard 4 3 2 2 2 2 3 4 3" xfId="18276" xr:uid="{00000000-0005-0000-0000-000028480000}"/>
    <cellStyle name="Standard 4 3 2 2 2 2 3 5" xfId="18277" xr:uid="{00000000-0005-0000-0000-000029480000}"/>
    <cellStyle name="Standard 4 3 2 2 2 2 3 5 2" xfId="18278" xr:uid="{00000000-0005-0000-0000-00002A480000}"/>
    <cellStyle name="Standard 4 3 2 2 2 2 3 5 3" xfId="18279" xr:uid="{00000000-0005-0000-0000-00002B480000}"/>
    <cellStyle name="Standard 4 3 2 2 2 2 3 6" xfId="18280" xr:uid="{00000000-0005-0000-0000-00002C480000}"/>
    <cellStyle name="Standard 4 3 2 2 2 2 3 6 2" xfId="18281" xr:uid="{00000000-0005-0000-0000-00002D480000}"/>
    <cellStyle name="Standard 4 3 2 2 2 2 3 7" xfId="18282" xr:uid="{00000000-0005-0000-0000-00002E480000}"/>
    <cellStyle name="Standard 4 3 2 2 2 2 3 8" xfId="18283" xr:uid="{00000000-0005-0000-0000-00002F480000}"/>
    <cellStyle name="Standard 4 3 2 2 2 2 4" xfId="18284" xr:uid="{00000000-0005-0000-0000-000030480000}"/>
    <cellStyle name="Standard 4 3 2 2 2 2 4 2" xfId="18285" xr:uid="{00000000-0005-0000-0000-000031480000}"/>
    <cellStyle name="Standard 4 3 2 2 2 2 4 2 2" xfId="18286" xr:uid="{00000000-0005-0000-0000-000032480000}"/>
    <cellStyle name="Standard 4 3 2 2 2 2 4 2 2 2" xfId="18287" xr:uid="{00000000-0005-0000-0000-000033480000}"/>
    <cellStyle name="Standard 4 3 2 2 2 2 4 2 2 2 2" xfId="18288" xr:uid="{00000000-0005-0000-0000-000034480000}"/>
    <cellStyle name="Standard 4 3 2 2 2 2 4 2 2 2 3" xfId="18289" xr:uid="{00000000-0005-0000-0000-000035480000}"/>
    <cellStyle name="Standard 4 3 2 2 2 2 4 2 2 3" xfId="18290" xr:uid="{00000000-0005-0000-0000-000036480000}"/>
    <cellStyle name="Standard 4 3 2 2 2 2 4 2 2 3 2" xfId="18291" xr:uid="{00000000-0005-0000-0000-000037480000}"/>
    <cellStyle name="Standard 4 3 2 2 2 2 4 2 2 3 3" xfId="18292" xr:uid="{00000000-0005-0000-0000-000038480000}"/>
    <cellStyle name="Standard 4 3 2 2 2 2 4 2 2 4" xfId="18293" xr:uid="{00000000-0005-0000-0000-000039480000}"/>
    <cellStyle name="Standard 4 3 2 2 2 2 4 2 2 4 2" xfId="18294" xr:uid="{00000000-0005-0000-0000-00003A480000}"/>
    <cellStyle name="Standard 4 3 2 2 2 2 4 2 2 5" xfId="18295" xr:uid="{00000000-0005-0000-0000-00003B480000}"/>
    <cellStyle name="Standard 4 3 2 2 2 2 4 2 2 6" xfId="18296" xr:uid="{00000000-0005-0000-0000-00003C480000}"/>
    <cellStyle name="Standard 4 3 2 2 2 2 4 2 3" xfId="18297" xr:uid="{00000000-0005-0000-0000-00003D480000}"/>
    <cellStyle name="Standard 4 3 2 2 2 2 4 2 3 2" xfId="18298" xr:uid="{00000000-0005-0000-0000-00003E480000}"/>
    <cellStyle name="Standard 4 3 2 2 2 2 4 2 3 3" xfId="18299" xr:uid="{00000000-0005-0000-0000-00003F480000}"/>
    <cellStyle name="Standard 4 3 2 2 2 2 4 2 4" xfId="18300" xr:uid="{00000000-0005-0000-0000-000040480000}"/>
    <cellStyle name="Standard 4 3 2 2 2 2 4 2 4 2" xfId="18301" xr:uid="{00000000-0005-0000-0000-000041480000}"/>
    <cellStyle name="Standard 4 3 2 2 2 2 4 2 4 3" xfId="18302" xr:uid="{00000000-0005-0000-0000-000042480000}"/>
    <cellStyle name="Standard 4 3 2 2 2 2 4 2 5" xfId="18303" xr:uid="{00000000-0005-0000-0000-000043480000}"/>
    <cellStyle name="Standard 4 3 2 2 2 2 4 2 5 2" xfId="18304" xr:uid="{00000000-0005-0000-0000-000044480000}"/>
    <cellStyle name="Standard 4 3 2 2 2 2 4 2 6" xfId="18305" xr:uid="{00000000-0005-0000-0000-000045480000}"/>
    <cellStyle name="Standard 4 3 2 2 2 2 4 2 7" xfId="18306" xr:uid="{00000000-0005-0000-0000-000046480000}"/>
    <cellStyle name="Standard 4 3 2 2 2 2 4 3" xfId="18307" xr:uid="{00000000-0005-0000-0000-000047480000}"/>
    <cellStyle name="Standard 4 3 2 2 2 2 4 3 2" xfId="18308" xr:uid="{00000000-0005-0000-0000-000048480000}"/>
    <cellStyle name="Standard 4 3 2 2 2 2 4 3 2 2" xfId="18309" xr:uid="{00000000-0005-0000-0000-000049480000}"/>
    <cellStyle name="Standard 4 3 2 2 2 2 4 3 2 3" xfId="18310" xr:uid="{00000000-0005-0000-0000-00004A480000}"/>
    <cellStyle name="Standard 4 3 2 2 2 2 4 3 3" xfId="18311" xr:uid="{00000000-0005-0000-0000-00004B480000}"/>
    <cellStyle name="Standard 4 3 2 2 2 2 4 3 3 2" xfId="18312" xr:uid="{00000000-0005-0000-0000-00004C480000}"/>
    <cellStyle name="Standard 4 3 2 2 2 2 4 3 3 3" xfId="18313" xr:uid="{00000000-0005-0000-0000-00004D480000}"/>
    <cellStyle name="Standard 4 3 2 2 2 2 4 3 4" xfId="18314" xr:uid="{00000000-0005-0000-0000-00004E480000}"/>
    <cellStyle name="Standard 4 3 2 2 2 2 4 3 4 2" xfId="18315" xr:uid="{00000000-0005-0000-0000-00004F480000}"/>
    <cellStyle name="Standard 4 3 2 2 2 2 4 3 5" xfId="18316" xr:uid="{00000000-0005-0000-0000-000050480000}"/>
    <cellStyle name="Standard 4 3 2 2 2 2 4 3 6" xfId="18317" xr:uid="{00000000-0005-0000-0000-000051480000}"/>
    <cellStyle name="Standard 4 3 2 2 2 2 4 4" xfId="18318" xr:uid="{00000000-0005-0000-0000-000052480000}"/>
    <cellStyle name="Standard 4 3 2 2 2 2 4 4 2" xfId="18319" xr:uid="{00000000-0005-0000-0000-000053480000}"/>
    <cellStyle name="Standard 4 3 2 2 2 2 4 4 3" xfId="18320" xr:uid="{00000000-0005-0000-0000-000054480000}"/>
    <cellStyle name="Standard 4 3 2 2 2 2 4 5" xfId="18321" xr:uid="{00000000-0005-0000-0000-000055480000}"/>
    <cellStyle name="Standard 4 3 2 2 2 2 4 5 2" xfId="18322" xr:uid="{00000000-0005-0000-0000-000056480000}"/>
    <cellStyle name="Standard 4 3 2 2 2 2 4 5 3" xfId="18323" xr:uid="{00000000-0005-0000-0000-000057480000}"/>
    <cellStyle name="Standard 4 3 2 2 2 2 4 6" xfId="18324" xr:uid="{00000000-0005-0000-0000-000058480000}"/>
    <cellStyle name="Standard 4 3 2 2 2 2 4 6 2" xfId="18325" xr:uid="{00000000-0005-0000-0000-000059480000}"/>
    <cellStyle name="Standard 4 3 2 2 2 2 4 7" xfId="18326" xr:uid="{00000000-0005-0000-0000-00005A480000}"/>
    <cellStyle name="Standard 4 3 2 2 2 2 4 8" xfId="18327" xr:uid="{00000000-0005-0000-0000-00005B480000}"/>
    <cellStyle name="Standard 4 3 2 2 2 2 5" xfId="18328" xr:uid="{00000000-0005-0000-0000-00005C480000}"/>
    <cellStyle name="Standard 4 3 2 2 2 2 5 2" xfId="18329" xr:uid="{00000000-0005-0000-0000-00005D480000}"/>
    <cellStyle name="Standard 4 3 2 2 2 2 5 2 2" xfId="18330" xr:uid="{00000000-0005-0000-0000-00005E480000}"/>
    <cellStyle name="Standard 4 3 2 2 2 2 5 2 2 2" xfId="18331" xr:uid="{00000000-0005-0000-0000-00005F480000}"/>
    <cellStyle name="Standard 4 3 2 2 2 2 5 2 2 3" xfId="18332" xr:uid="{00000000-0005-0000-0000-000060480000}"/>
    <cellStyle name="Standard 4 3 2 2 2 2 5 2 3" xfId="18333" xr:uid="{00000000-0005-0000-0000-000061480000}"/>
    <cellStyle name="Standard 4 3 2 2 2 2 5 2 3 2" xfId="18334" xr:uid="{00000000-0005-0000-0000-000062480000}"/>
    <cellStyle name="Standard 4 3 2 2 2 2 5 2 3 3" xfId="18335" xr:uid="{00000000-0005-0000-0000-000063480000}"/>
    <cellStyle name="Standard 4 3 2 2 2 2 5 2 4" xfId="18336" xr:uid="{00000000-0005-0000-0000-000064480000}"/>
    <cellStyle name="Standard 4 3 2 2 2 2 5 2 4 2" xfId="18337" xr:uid="{00000000-0005-0000-0000-000065480000}"/>
    <cellStyle name="Standard 4 3 2 2 2 2 5 2 5" xfId="18338" xr:uid="{00000000-0005-0000-0000-000066480000}"/>
    <cellStyle name="Standard 4 3 2 2 2 2 5 2 6" xfId="18339" xr:uid="{00000000-0005-0000-0000-000067480000}"/>
    <cellStyle name="Standard 4 3 2 2 2 2 5 3" xfId="18340" xr:uid="{00000000-0005-0000-0000-000068480000}"/>
    <cellStyle name="Standard 4 3 2 2 2 2 5 3 2" xfId="18341" xr:uid="{00000000-0005-0000-0000-000069480000}"/>
    <cellStyle name="Standard 4 3 2 2 2 2 5 3 3" xfId="18342" xr:uid="{00000000-0005-0000-0000-00006A480000}"/>
    <cellStyle name="Standard 4 3 2 2 2 2 5 4" xfId="18343" xr:uid="{00000000-0005-0000-0000-00006B480000}"/>
    <cellStyle name="Standard 4 3 2 2 2 2 5 4 2" xfId="18344" xr:uid="{00000000-0005-0000-0000-00006C480000}"/>
    <cellStyle name="Standard 4 3 2 2 2 2 5 4 3" xfId="18345" xr:uid="{00000000-0005-0000-0000-00006D480000}"/>
    <cellStyle name="Standard 4 3 2 2 2 2 5 5" xfId="18346" xr:uid="{00000000-0005-0000-0000-00006E480000}"/>
    <cellStyle name="Standard 4 3 2 2 2 2 5 5 2" xfId="18347" xr:uid="{00000000-0005-0000-0000-00006F480000}"/>
    <cellStyle name="Standard 4 3 2 2 2 2 5 6" xfId="18348" xr:uid="{00000000-0005-0000-0000-000070480000}"/>
    <cellStyle name="Standard 4 3 2 2 2 2 5 7" xfId="18349" xr:uid="{00000000-0005-0000-0000-000071480000}"/>
    <cellStyle name="Standard 4 3 2 2 2 2 6" xfId="18350" xr:uid="{00000000-0005-0000-0000-000072480000}"/>
    <cellStyle name="Standard 4 3 2 2 2 2 6 2" xfId="18351" xr:uid="{00000000-0005-0000-0000-000073480000}"/>
    <cellStyle name="Standard 4 3 2 2 2 2 6 2 2" xfId="18352" xr:uid="{00000000-0005-0000-0000-000074480000}"/>
    <cellStyle name="Standard 4 3 2 2 2 2 6 2 3" xfId="18353" xr:uid="{00000000-0005-0000-0000-000075480000}"/>
    <cellStyle name="Standard 4 3 2 2 2 2 6 3" xfId="18354" xr:uid="{00000000-0005-0000-0000-000076480000}"/>
    <cellStyle name="Standard 4 3 2 2 2 2 6 3 2" xfId="18355" xr:uid="{00000000-0005-0000-0000-000077480000}"/>
    <cellStyle name="Standard 4 3 2 2 2 2 6 3 3" xfId="18356" xr:uid="{00000000-0005-0000-0000-000078480000}"/>
    <cellStyle name="Standard 4 3 2 2 2 2 6 4" xfId="18357" xr:uid="{00000000-0005-0000-0000-000079480000}"/>
    <cellStyle name="Standard 4 3 2 2 2 2 6 4 2" xfId="18358" xr:uid="{00000000-0005-0000-0000-00007A480000}"/>
    <cellStyle name="Standard 4 3 2 2 2 2 6 5" xfId="18359" xr:uid="{00000000-0005-0000-0000-00007B480000}"/>
    <cellStyle name="Standard 4 3 2 2 2 2 6 6" xfId="18360" xr:uid="{00000000-0005-0000-0000-00007C480000}"/>
    <cellStyle name="Standard 4 3 2 2 2 2 7" xfId="18361" xr:uid="{00000000-0005-0000-0000-00007D480000}"/>
    <cellStyle name="Standard 4 3 2 2 2 2 7 2" xfId="18362" xr:uid="{00000000-0005-0000-0000-00007E480000}"/>
    <cellStyle name="Standard 4 3 2 2 2 2 7 3" xfId="18363" xr:uid="{00000000-0005-0000-0000-00007F480000}"/>
    <cellStyle name="Standard 4 3 2 2 2 2 8" xfId="18364" xr:uid="{00000000-0005-0000-0000-000080480000}"/>
    <cellStyle name="Standard 4 3 2 2 2 2 8 2" xfId="18365" xr:uid="{00000000-0005-0000-0000-000081480000}"/>
    <cellStyle name="Standard 4 3 2 2 2 2 8 3" xfId="18366" xr:uid="{00000000-0005-0000-0000-000082480000}"/>
    <cellStyle name="Standard 4 3 2 2 2 2 9" xfId="18367" xr:uid="{00000000-0005-0000-0000-000083480000}"/>
    <cellStyle name="Standard 4 3 2 2 2 2 9 2" xfId="18368" xr:uid="{00000000-0005-0000-0000-000084480000}"/>
    <cellStyle name="Standard 4 3 2 2 2 3" xfId="18369" xr:uid="{00000000-0005-0000-0000-000085480000}"/>
    <cellStyle name="Standard 4 3 2 2 2 3 10" xfId="18370" xr:uid="{00000000-0005-0000-0000-000086480000}"/>
    <cellStyle name="Standard 4 3 2 2 2 3 2" xfId="18371" xr:uid="{00000000-0005-0000-0000-000087480000}"/>
    <cellStyle name="Standard 4 3 2 2 2 3 2 2" xfId="18372" xr:uid="{00000000-0005-0000-0000-000088480000}"/>
    <cellStyle name="Standard 4 3 2 2 2 3 2 2 2" xfId="18373" xr:uid="{00000000-0005-0000-0000-000089480000}"/>
    <cellStyle name="Standard 4 3 2 2 2 3 2 2 2 2" xfId="18374" xr:uid="{00000000-0005-0000-0000-00008A480000}"/>
    <cellStyle name="Standard 4 3 2 2 2 3 2 2 2 2 2" xfId="18375" xr:uid="{00000000-0005-0000-0000-00008B480000}"/>
    <cellStyle name="Standard 4 3 2 2 2 3 2 2 2 2 3" xfId="18376" xr:uid="{00000000-0005-0000-0000-00008C480000}"/>
    <cellStyle name="Standard 4 3 2 2 2 3 2 2 2 3" xfId="18377" xr:uid="{00000000-0005-0000-0000-00008D480000}"/>
    <cellStyle name="Standard 4 3 2 2 2 3 2 2 2 3 2" xfId="18378" xr:uid="{00000000-0005-0000-0000-00008E480000}"/>
    <cellStyle name="Standard 4 3 2 2 2 3 2 2 2 3 3" xfId="18379" xr:uid="{00000000-0005-0000-0000-00008F480000}"/>
    <cellStyle name="Standard 4 3 2 2 2 3 2 2 2 4" xfId="18380" xr:uid="{00000000-0005-0000-0000-000090480000}"/>
    <cellStyle name="Standard 4 3 2 2 2 3 2 2 2 4 2" xfId="18381" xr:uid="{00000000-0005-0000-0000-000091480000}"/>
    <cellStyle name="Standard 4 3 2 2 2 3 2 2 2 5" xfId="18382" xr:uid="{00000000-0005-0000-0000-000092480000}"/>
    <cellStyle name="Standard 4 3 2 2 2 3 2 2 2 6" xfId="18383" xr:uid="{00000000-0005-0000-0000-000093480000}"/>
    <cellStyle name="Standard 4 3 2 2 2 3 2 2 3" xfId="18384" xr:uid="{00000000-0005-0000-0000-000094480000}"/>
    <cellStyle name="Standard 4 3 2 2 2 3 2 2 3 2" xfId="18385" xr:uid="{00000000-0005-0000-0000-000095480000}"/>
    <cellStyle name="Standard 4 3 2 2 2 3 2 2 3 3" xfId="18386" xr:uid="{00000000-0005-0000-0000-000096480000}"/>
    <cellStyle name="Standard 4 3 2 2 2 3 2 2 4" xfId="18387" xr:uid="{00000000-0005-0000-0000-000097480000}"/>
    <cellStyle name="Standard 4 3 2 2 2 3 2 2 4 2" xfId="18388" xr:uid="{00000000-0005-0000-0000-000098480000}"/>
    <cellStyle name="Standard 4 3 2 2 2 3 2 2 4 3" xfId="18389" xr:uid="{00000000-0005-0000-0000-000099480000}"/>
    <cellStyle name="Standard 4 3 2 2 2 3 2 2 5" xfId="18390" xr:uid="{00000000-0005-0000-0000-00009A480000}"/>
    <cellStyle name="Standard 4 3 2 2 2 3 2 2 5 2" xfId="18391" xr:uid="{00000000-0005-0000-0000-00009B480000}"/>
    <cellStyle name="Standard 4 3 2 2 2 3 2 2 6" xfId="18392" xr:uid="{00000000-0005-0000-0000-00009C480000}"/>
    <cellStyle name="Standard 4 3 2 2 2 3 2 2 7" xfId="18393" xr:uid="{00000000-0005-0000-0000-00009D480000}"/>
    <cellStyle name="Standard 4 3 2 2 2 3 2 3" xfId="18394" xr:uid="{00000000-0005-0000-0000-00009E480000}"/>
    <cellStyle name="Standard 4 3 2 2 2 3 2 3 2" xfId="18395" xr:uid="{00000000-0005-0000-0000-00009F480000}"/>
    <cellStyle name="Standard 4 3 2 2 2 3 2 3 2 2" xfId="18396" xr:uid="{00000000-0005-0000-0000-0000A0480000}"/>
    <cellStyle name="Standard 4 3 2 2 2 3 2 3 2 3" xfId="18397" xr:uid="{00000000-0005-0000-0000-0000A1480000}"/>
    <cellStyle name="Standard 4 3 2 2 2 3 2 3 3" xfId="18398" xr:uid="{00000000-0005-0000-0000-0000A2480000}"/>
    <cellStyle name="Standard 4 3 2 2 2 3 2 3 3 2" xfId="18399" xr:uid="{00000000-0005-0000-0000-0000A3480000}"/>
    <cellStyle name="Standard 4 3 2 2 2 3 2 3 3 3" xfId="18400" xr:uid="{00000000-0005-0000-0000-0000A4480000}"/>
    <cellStyle name="Standard 4 3 2 2 2 3 2 3 4" xfId="18401" xr:uid="{00000000-0005-0000-0000-0000A5480000}"/>
    <cellStyle name="Standard 4 3 2 2 2 3 2 3 4 2" xfId="18402" xr:uid="{00000000-0005-0000-0000-0000A6480000}"/>
    <cellStyle name="Standard 4 3 2 2 2 3 2 3 5" xfId="18403" xr:uid="{00000000-0005-0000-0000-0000A7480000}"/>
    <cellStyle name="Standard 4 3 2 2 2 3 2 3 6" xfId="18404" xr:uid="{00000000-0005-0000-0000-0000A8480000}"/>
    <cellStyle name="Standard 4 3 2 2 2 3 2 4" xfId="18405" xr:uid="{00000000-0005-0000-0000-0000A9480000}"/>
    <cellStyle name="Standard 4 3 2 2 2 3 2 4 2" xfId="18406" xr:uid="{00000000-0005-0000-0000-0000AA480000}"/>
    <cellStyle name="Standard 4 3 2 2 2 3 2 4 3" xfId="18407" xr:uid="{00000000-0005-0000-0000-0000AB480000}"/>
    <cellStyle name="Standard 4 3 2 2 2 3 2 5" xfId="18408" xr:uid="{00000000-0005-0000-0000-0000AC480000}"/>
    <cellStyle name="Standard 4 3 2 2 2 3 2 5 2" xfId="18409" xr:uid="{00000000-0005-0000-0000-0000AD480000}"/>
    <cellStyle name="Standard 4 3 2 2 2 3 2 5 3" xfId="18410" xr:uid="{00000000-0005-0000-0000-0000AE480000}"/>
    <cellStyle name="Standard 4 3 2 2 2 3 2 6" xfId="18411" xr:uid="{00000000-0005-0000-0000-0000AF480000}"/>
    <cellStyle name="Standard 4 3 2 2 2 3 2 6 2" xfId="18412" xr:uid="{00000000-0005-0000-0000-0000B0480000}"/>
    <cellStyle name="Standard 4 3 2 2 2 3 2 7" xfId="18413" xr:uid="{00000000-0005-0000-0000-0000B1480000}"/>
    <cellStyle name="Standard 4 3 2 2 2 3 2 8" xfId="18414" xr:uid="{00000000-0005-0000-0000-0000B2480000}"/>
    <cellStyle name="Standard 4 3 2 2 2 3 3" xfId="18415" xr:uid="{00000000-0005-0000-0000-0000B3480000}"/>
    <cellStyle name="Standard 4 3 2 2 2 3 3 2" xfId="18416" xr:uid="{00000000-0005-0000-0000-0000B4480000}"/>
    <cellStyle name="Standard 4 3 2 2 2 3 3 2 2" xfId="18417" xr:uid="{00000000-0005-0000-0000-0000B5480000}"/>
    <cellStyle name="Standard 4 3 2 2 2 3 3 2 2 2" xfId="18418" xr:uid="{00000000-0005-0000-0000-0000B6480000}"/>
    <cellStyle name="Standard 4 3 2 2 2 3 3 2 2 2 2" xfId="18419" xr:uid="{00000000-0005-0000-0000-0000B7480000}"/>
    <cellStyle name="Standard 4 3 2 2 2 3 3 2 2 2 3" xfId="18420" xr:uid="{00000000-0005-0000-0000-0000B8480000}"/>
    <cellStyle name="Standard 4 3 2 2 2 3 3 2 2 3" xfId="18421" xr:uid="{00000000-0005-0000-0000-0000B9480000}"/>
    <cellStyle name="Standard 4 3 2 2 2 3 3 2 2 3 2" xfId="18422" xr:uid="{00000000-0005-0000-0000-0000BA480000}"/>
    <cellStyle name="Standard 4 3 2 2 2 3 3 2 2 3 3" xfId="18423" xr:uid="{00000000-0005-0000-0000-0000BB480000}"/>
    <cellStyle name="Standard 4 3 2 2 2 3 3 2 2 4" xfId="18424" xr:uid="{00000000-0005-0000-0000-0000BC480000}"/>
    <cellStyle name="Standard 4 3 2 2 2 3 3 2 2 4 2" xfId="18425" xr:uid="{00000000-0005-0000-0000-0000BD480000}"/>
    <cellStyle name="Standard 4 3 2 2 2 3 3 2 2 5" xfId="18426" xr:uid="{00000000-0005-0000-0000-0000BE480000}"/>
    <cellStyle name="Standard 4 3 2 2 2 3 3 2 2 6" xfId="18427" xr:uid="{00000000-0005-0000-0000-0000BF480000}"/>
    <cellStyle name="Standard 4 3 2 2 2 3 3 2 3" xfId="18428" xr:uid="{00000000-0005-0000-0000-0000C0480000}"/>
    <cellStyle name="Standard 4 3 2 2 2 3 3 2 3 2" xfId="18429" xr:uid="{00000000-0005-0000-0000-0000C1480000}"/>
    <cellStyle name="Standard 4 3 2 2 2 3 3 2 3 3" xfId="18430" xr:uid="{00000000-0005-0000-0000-0000C2480000}"/>
    <cellStyle name="Standard 4 3 2 2 2 3 3 2 4" xfId="18431" xr:uid="{00000000-0005-0000-0000-0000C3480000}"/>
    <cellStyle name="Standard 4 3 2 2 2 3 3 2 4 2" xfId="18432" xr:uid="{00000000-0005-0000-0000-0000C4480000}"/>
    <cellStyle name="Standard 4 3 2 2 2 3 3 2 4 3" xfId="18433" xr:uid="{00000000-0005-0000-0000-0000C5480000}"/>
    <cellStyle name="Standard 4 3 2 2 2 3 3 2 5" xfId="18434" xr:uid="{00000000-0005-0000-0000-0000C6480000}"/>
    <cellStyle name="Standard 4 3 2 2 2 3 3 2 5 2" xfId="18435" xr:uid="{00000000-0005-0000-0000-0000C7480000}"/>
    <cellStyle name="Standard 4 3 2 2 2 3 3 2 6" xfId="18436" xr:uid="{00000000-0005-0000-0000-0000C8480000}"/>
    <cellStyle name="Standard 4 3 2 2 2 3 3 2 7" xfId="18437" xr:uid="{00000000-0005-0000-0000-0000C9480000}"/>
    <cellStyle name="Standard 4 3 2 2 2 3 3 3" xfId="18438" xr:uid="{00000000-0005-0000-0000-0000CA480000}"/>
    <cellStyle name="Standard 4 3 2 2 2 3 3 3 2" xfId="18439" xr:uid="{00000000-0005-0000-0000-0000CB480000}"/>
    <cellStyle name="Standard 4 3 2 2 2 3 3 3 2 2" xfId="18440" xr:uid="{00000000-0005-0000-0000-0000CC480000}"/>
    <cellStyle name="Standard 4 3 2 2 2 3 3 3 2 3" xfId="18441" xr:uid="{00000000-0005-0000-0000-0000CD480000}"/>
    <cellStyle name="Standard 4 3 2 2 2 3 3 3 3" xfId="18442" xr:uid="{00000000-0005-0000-0000-0000CE480000}"/>
    <cellStyle name="Standard 4 3 2 2 2 3 3 3 3 2" xfId="18443" xr:uid="{00000000-0005-0000-0000-0000CF480000}"/>
    <cellStyle name="Standard 4 3 2 2 2 3 3 3 3 3" xfId="18444" xr:uid="{00000000-0005-0000-0000-0000D0480000}"/>
    <cellStyle name="Standard 4 3 2 2 2 3 3 3 4" xfId="18445" xr:uid="{00000000-0005-0000-0000-0000D1480000}"/>
    <cellStyle name="Standard 4 3 2 2 2 3 3 3 4 2" xfId="18446" xr:uid="{00000000-0005-0000-0000-0000D2480000}"/>
    <cellStyle name="Standard 4 3 2 2 2 3 3 3 5" xfId="18447" xr:uid="{00000000-0005-0000-0000-0000D3480000}"/>
    <cellStyle name="Standard 4 3 2 2 2 3 3 3 6" xfId="18448" xr:uid="{00000000-0005-0000-0000-0000D4480000}"/>
    <cellStyle name="Standard 4 3 2 2 2 3 3 4" xfId="18449" xr:uid="{00000000-0005-0000-0000-0000D5480000}"/>
    <cellStyle name="Standard 4 3 2 2 2 3 3 4 2" xfId="18450" xr:uid="{00000000-0005-0000-0000-0000D6480000}"/>
    <cellStyle name="Standard 4 3 2 2 2 3 3 4 3" xfId="18451" xr:uid="{00000000-0005-0000-0000-0000D7480000}"/>
    <cellStyle name="Standard 4 3 2 2 2 3 3 5" xfId="18452" xr:uid="{00000000-0005-0000-0000-0000D8480000}"/>
    <cellStyle name="Standard 4 3 2 2 2 3 3 5 2" xfId="18453" xr:uid="{00000000-0005-0000-0000-0000D9480000}"/>
    <cellStyle name="Standard 4 3 2 2 2 3 3 5 3" xfId="18454" xr:uid="{00000000-0005-0000-0000-0000DA480000}"/>
    <cellStyle name="Standard 4 3 2 2 2 3 3 6" xfId="18455" xr:uid="{00000000-0005-0000-0000-0000DB480000}"/>
    <cellStyle name="Standard 4 3 2 2 2 3 3 6 2" xfId="18456" xr:uid="{00000000-0005-0000-0000-0000DC480000}"/>
    <cellStyle name="Standard 4 3 2 2 2 3 3 7" xfId="18457" xr:uid="{00000000-0005-0000-0000-0000DD480000}"/>
    <cellStyle name="Standard 4 3 2 2 2 3 3 8" xfId="18458" xr:uid="{00000000-0005-0000-0000-0000DE480000}"/>
    <cellStyle name="Standard 4 3 2 2 2 3 4" xfId="18459" xr:uid="{00000000-0005-0000-0000-0000DF480000}"/>
    <cellStyle name="Standard 4 3 2 2 2 3 4 2" xfId="18460" xr:uid="{00000000-0005-0000-0000-0000E0480000}"/>
    <cellStyle name="Standard 4 3 2 2 2 3 4 2 2" xfId="18461" xr:uid="{00000000-0005-0000-0000-0000E1480000}"/>
    <cellStyle name="Standard 4 3 2 2 2 3 4 2 2 2" xfId="18462" xr:uid="{00000000-0005-0000-0000-0000E2480000}"/>
    <cellStyle name="Standard 4 3 2 2 2 3 4 2 2 3" xfId="18463" xr:uid="{00000000-0005-0000-0000-0000E3480000}"/>
    <cellStyle name="Standard 4 3 2 2 2 3 4 2 3" xfId="18464" xr:uid="{00000000-0005-0000-0000-0000E4480000}"/>
    <cellStyle name="Standard 4 3 2 2 2 3 4 2 3 2" xfId="18465" xr:uid="{00000000-0005-0000-0000-0000E5480000}"/>
    <cellStyle name="Standard 4 3 2 2 2 3 4 2 3 3" xfId="18466" xr:uid="{00000000-0005-0000-0000-0000E6480000}"/>
    <cellStyle name="Standard 4 3 2 2 2 3 4 2 4" xfId="18467" xr:uid="{00000000-0005-0000-0000-0000E7480000}"/>
    <cellStyle name="Standard 4 3 2 2 2 3 4 2 4 2" xfId="18468" xr:uid="{00000000-0005-0000-0000-0000E8480000}"/>
    <cellStyle name="Standard 4 3 2 2 2 3 4 2 5" xfId="18469" xr:uid="{00000000-0005-0000-0000-0000E9480000}"/>
    <cellStyle name="Standard 4 3 2 2 2 3 4 2 6" xfId="18470" xr:uid="{00000000-0005-0000-0000-0000EA480000}"/>
    <cellStyle name="Standard 4 3 2 2 2 3 4 3" xfId="18471" xr:uid="{00000000-0005-0000-0000-0000EB480000}"/>
    <cellStyle name="Standard 4 3 2 2 2 3 4 3 2" xfId="18472" xr:uid="{00000000-0005-0000-0000-0000EC480000}"/>
    <cellStyle name="Standard 4 3 2 2 2 3 4 3 3" xfId="18473" xr:uid="{00000000-0005-0000-0000-0000ED480000}"/>
    <cellStyle name="Standard 4 3 2 2 2 3 4 4" xfId="18474" xr:uid="{00000000-0005-0000-0000-0000EE480000}"/>
    <cellStyle name="Standard 4 3 2 2 2 3 4 4 2" xfId="18475" xr:uid="{00000000-0005-0000-0000-0000EF480000}"/>
    <cellStyle name="Standard 4 3 2 2 2 3 4 4 3" xfId="18476" xr:uid="{00000000-0005-0000-0000-0000F0480000}"/>
    <cellStyle name="Standard 4 3 2 2 2 3 4 5" xfId="18477" xr:uid="{00000000-0005-0000-0000-0000F1480000}"/>
    <cellStyle name="Standard 4 3 2 2 2 3 4 5 2" xfId="18478" xr:uid="{00000000-0005-0000-0000-0000F2480000}"/>
    <cellStyle name="Standard 4 3 2 2 2 3 4 6" xfId="18479" xr:uid="{00000000-0005-0000-0000-0000F3480000}"/>
    <cellStyle name="Standard 4 3 2 2 2 3 4 7" xfId="18480" xr:uid="{00000000-0005-0000-0000-0000F4480000}"/>
    <cellStyle name="Standard 4 3 2 2 2 3 5" xfId="18481" xr:uid="{00000000-0005-0000-0000-0000F5480000}"/>
    <cellStyle name="Standard 4 3 2 2 2 3 5 2" xfId="18482" xr:uid="{00000000-0005-0000-0000-0000F6480000}"/>
    <cellStyle name="Standard 4 3 2 2 2 3 5 2 2" xfId="18483" xr:uid="{00000000-0005-0000-0000-0000F7480000}"/>
    <cellStyle name="Standard 4 3 2 2 2 3 5 2 3" xfId="18484" xr:uid="{00000000-0005-0000-0000-0000F8480000}"/>
    <cellStyle name="Standard 4 3 2 2 2 3 5 3" xfId="18485" xr:uid="{00000000-0005-0000-0000-0000F9480000}"/>
    <cellStyle name="Standard 4 3 2 2 2 3 5 3 2" xfId="18486" xr:uid="{00000000-0005-0000-0000-0000FA480000}"/>
    <cellStyle name="Standard 4 3 2 2 2 3 5 3 3" xfId="18487" xr:uid="{00000000-0005-0000-0000-0000FB480000}"/>
    <cellStyle name="Standard 4 3 2 2 2 3 5 4" xfId="18488" xr:uid="{00000000-0005-0000-0000-0000FC480000}"/>
    <cellStyle name="Standard 4 3 2 2 2 3 5 4 2" xfId="18489" xr:uid="{00000000-0005-0000-0000-0000FD480000}"/>
    <cellStyle name="Standard 4 3 2 2 2 3 5 5" xfId="18490" xr:uid="{00000000-0005-0000-0000-0000FE480000}"/>
    <cellStyle name="Standard 4 3 2 2 2 3 5 6" xfId="18491" xr:uid="{00000000-0005-0000-0000-0000FF480000}"/>
    <cellStyle name="Standard 4 3 2 2 2 3 6" xfId="18492" xr:uid="{00000000-0005-0000-0000-000000490000}"/>
    <cellStyle name="Standard 4 3 2 2 2 3 6 2" xfId="18493" xr:uid="{00000000-0005-0000-0000-000001490000}"/>
    <cellStyle name="Standard 4 3 2 2 2 3 6 3" xfId="18494" xr:uid="{00000000-0005-0000-0000-000002490000}"/>
    <cellStyle name="Standard 4 3 2 2 2 3 7" xfId="18495" xr:uid="{00000000-0005-0000-0000-000003490000}"/>
    <cellStyle name="Standard 4 3 2 2 2 3 7 2" xfId="18496" xr:uid="{00000000-0005-0000-0000-000004490000}"/>
    <cellStyle name="Standard 4 3 2 2 2 3 7 3" xfId="18497" xr:uid="{00000000-0005-0000-0000-000005490000}"/>
    <cellStyle name="Standard 4 3 2 2 2 3 8" xfId="18498" xr:uid="{00000000-0005-0000-0000-000006490000}"/>
    <cellStyle name="Standard 4 3 2 2 2 3 8 2" xfId="18499" xr:uid="{00000000-0005-0000-0000-000007490000}"/>
    <cellStyle name="Standard 4 3 2 2 2 3 9" xfId="18500" xr:uid="{00000000-0005-0000-0000-000008490000}"/>
    <cellStyle name="Standard 4 3 2 2 2 4" xfId="18501" xr:uid="{00000000-0005-0000-0000-000009490000}"/>
    <cellStyle name="Standard 4 3 2 2 2 4 2" xfId="18502" xr:uid="{00000000-0005-0000-0000-00000A490000}"/>
    <cellStyle name="Standard 4 3 2 2 2 4 2 2" xfId="18503" xr:uid="{00000000-0005-0000-0000-00000B490000}"/>
    <cellStyle name="Standard 4 3 2 2 2 4 2 2 2" xfId="18504" xr:uid="{00000000-0005-0000-0000-00000C490000}"/>
    <cellStyle name="Standard 4 3 2 2 2 4 2 2 2 2" xfId="18505" xr:uid="{00000000-0005-0000-0000-00000D490000}"/>
    <cellStyle name="Standard 4 3 2 2 2 4 2 2 2 3" xfId="18506" xr:uid="{00000000-0005-0000-0000-00000E490000}"/>
    <cellStyle name="Standard 4 3 2 2 2 4 2 2 3" xfId="18507" xr:uid="{00000000-0005-0000-0000-00000F490000}"/>
    <cellStyle name="Standard 4 3 2 2 2 4 2 2 3 2" xfId="18508" xr:uid="{00000000-0005-0000-0000-000010490000}"/>
    <cellStyle name="Standard 4 3 2 2 2 4 2 2 3 3" xfId="18509" xr:uid="{00000000-0005-0000-0000-000011490000}"/>
    <cellStyle name="Standard 4 3 2 2 2 4 2 2 4" xfId="18510" xr:uid="{00000000-0005-0000-0000-000012490000}"/>
    <cellStyle name="Standard 4 3 2 2 2 4 2 2 4 2" xfId="18511" xr:uid="{00000000-0005-0000-0000-000013490000}"/>
    <cellStyle name="Standard 4 3 2 2 2 4 2 2 5" xfId="18512" xr:uid="{00000000-0005-0000-0000-000014490000}"/>
    <cellStyle name="Standard 4 3 2 2 2 4 2 2 6" xfId="18513" xr:uid="{00000000-0005-0000-0000-000015490000}"/>
    <cellStyle name="Standard 4 3 2 2 2 4 2 3" xfId="18514" xr:uid="{00000000-0005-0000-0000-000016490000}"/>
    <cellStyle name="Standard 4 3 2 2 2 4 2 3 2" xfId="18515" xr:uid="{00000000-0005-0000-0000-000017490000}"/>
    <cellStyle name="Standard 4 3 2 2 2 4 2 3 3" xfId="18516" xr:uid="{00000000-0005-0000-0000-000018490000}"/>
    <cellStyle name="Standard 4 3 2 2 2 4 2 4" xfId="18517" xr:uid="{00000000-0005-0000-0000-000019490000}"/>
    <cellStyle name="Standard 4 3 2 2 2 4 2 4 2" xfId="18518" xr:uid="{00000000-0005-0000-0000-00001A490000}"/>
    <cellStyle name="Standard 4 3 2 2 2 4 2 4 3" xfId="18519" xr:uid="{00000000-0005-0000-0000-00001B490000}"/>
    <cellStyle name="Standard 4 3 2 2 2 4 2 5" xfId="18520" xr:uid="{00000000-0005-0000-0000-00001C490000}"/>
    <cellStyle name="Standard 4 3 2 2 2 4 2 5 2" xfId="18521" xr:uid="{00000000-0005-0000-0000-00001D490000}"/>
    <cellStyle name="Standard 4 3 2 2 2 4 2 6" xfId="18522" xr:uid="{00000000-0005-0000-0000-00001E490000}"/>
    <cellStyle name="Standard 4 3 2 2 2 4 2 7" xfId="18523" xr:uid="{00000000-0005-0000-0000-00001F490000}"/>
    <cellStyle name="Standard 4 3 2 2 2 4 3" xfId="18524" xr:uid="{00000000-0005-0000-0000-000020490000}"/>
    <cellStyle name="Standard 4 3 2 2 2 4 3 2" xfId="18525" xr:uid="{00000000-0005-0000-0000-000021490000}"/>
    <cellStyle name="Standard 4 3 2 2 2 4 3 2 2" xfId="18526" xr:uid="{00000000-0005-0000-0000-000022490000}"/>
    <cellStyle name="Standard 4 3 2 2 2 4 3 2 3" xfId="18527" xr:uid="{00000000-0005-0000-0000-000023490000}"/>
    <cellStyle name="Standard 4 3 2 2 2 4 3 3" xfId="18528" xr:uid="{00000000-0005-0000-0000-000024490000}"/>
    <cellStyle name="Standard 4 3 2 2 2 4 3 3 2" xfId="18529" xr:uid="{00000000-0005-0000-0000-000025490000}"/>
    <cellStyle name="Standard 4 3 2 2 2 4 3 3 3" xfId="18530" xr:uid="{00000000-0005-0000-0000-000026490000}"/>
    <cellStyle name="Standard 4 3 2 2 2 4 3 4" xfId="18531" xr:uid="{00000000-0005-0000-0000-000027490000}"/>
    <cellStyle name="Standard 4 3 2 2 2 4 3 4 2" xfId="18532" xr:uid="{00000000-0005-0000-0000-000028490000}"/>
    <cellStyle name="Standard 4 3 2 2 2 4 3 5" xfId="18533" xr:uid="{00000000-0005-0000-0000-000029490000}"/>
    <cellStyle name="Standard 4 3 2 2 2 4 3 6" xfId="18534" xr:uid="{00000000-0005-0000-0000-00002A490000}"/>
    <cellStyle name="Standard 4 3 2 2 2 4 4" xfId="18535" xr:uid="{00000000-0005-0000-0000-00002B490000}"/>
    <cellStyle name="Standard 4 3 2 2 2 4 4 2" xfId="18536" xr:uid="{00000000-0005-0000-0000-00002C490000}"/>
    <cellStyle name="Standard 4 3 2 2 2 4 4 3" xfId="18537" xr:uid="{00000000-0005-0000-0000-00002D490000}"/>
    <cellStyle name="Standard 4 3 2 2 2 4 5" xfId="18538" xr:uid="{00000000-0005-0000-0000-00002E490000}"/>
    <cellStyle name="Standard 4 3 2 2 2 4 5 2" xfId="18539" xr:uid="{00000000-0005-0000-0000-00002F490000}"/>
    <cellStyle name="Standard 4 3 2 2 2 4 5 3" xfId="18540" xr:uid="{00000000-0005-0000-0000-000030490000}"/>
    <cellStyle name="Standard 4 3 2 2 2 4 6" xfId="18541" xr:uid="{00000000-0005-0000-0000-000031490000}"/>
    <cellStyle name="Standard 4 3 2 2 2 4 6 2" xfId="18542" xr:uid="{00000000-0005-0000-0000-000032490000}"/>
    <cellStyle name="Standard 4 3 2 2 2 4 7" xfId="18543" xr:uid="{00000000-0005-0000-0000-000033490000}"/>
    <cellStyle name="Standard 4 3 2 2 2 4 8" xfId="18544" xr:uid="{00000000-0005-0000-0000-000034490000}"/>
    <cellStyle name="Standard 4 3 2 2 2 5" xfId="18545" xr:uid="{00000000-0005-0000-0000-000035490000}"/>
    <cellStyle name="Standard 4 3 2 2 2 5 2" xfId="18546" xr:uid="{00000000-0005-0000-0000-000036490000}"/>
    <cellStyle name="Standard 4 3 2 2 2 5 2 2" xfId="18547" xr:uid="{00000000-0005-0000-0000-000037490000}"/>
    <cellStyle name="Standard 4 3 2 2 2 5 2 2 2" xfId="18548" xr:uid="{00000000-0005-0000-0000-000038490000}"/>
    <cellStyle name="Standard 4 3 2 2 2 5 2 2 2 2" xfId="18549" xr:uid="{00000000-0005-0000-0000-000039490000}"/>
    <cellStyle name="Standard 4 3 2 2 2 5 2 2 2 3" xfId="18550" xr:uid="{00000000-0005-0000-0000-00003A490000}"/>
    <cellStyle name="Standard 4 3 2 2 2 5 2 2 3" xfId="18551" xr:uid="{00000000-0005-0000-0000-00003B490000}"/>
    <cellStyle name="Standard 4 3 2 2 2 5 2 2 3 2" xfId="18552" xr:uid="{00000000-0005-0000-0000-00003C490000}"/>
    <cellStyle name="Standard 4 3 2 2 2 5 2 2 3 3" xfId="18553" xr:uid="{00000000-0005-0000-0000-00003D490000}"/>
    <cellStyle name="Standard 4 3 2 2 2 5 2 2 4" xfId="18554" xr:uid="{00000000-0005-0000-0000-00003E490000}"/>
    <cellStyle name="Standard 4 3 2 2 2 5 2 2 4 2" xfId="18555" xr:uid="{00000000-0005-0000-0000-00003F490000}"/>
    <cellStyle name="Standard 4 3 2 2 2 5 2 2 5" xfId="18556" xr:uid="{00000000-0005-0000-0000-000040490000}"/>
    <cellStyle name="Standard 4 3 2 2 2 5 2 2 6" xfId="18557" xr:uid="{00000000-0005-0000-0000-000041490000}"/>
    <cellStyle name="Standard 4 3 2 2 2 5 2 3" xfId="18558" xr:uid="{00000000-0005-0000-0000-000042490000}"/>
    <cellStyle name="Standard 4 3 2 2 2 5 2 3 2" xfId="18559" xr:uid="{00000000-0005-0000-0000-000043490000}"/>
    <cellStyle name="Standard 4 3 2 2 2 5 2 3 3" xfId="18560" xr:uid="{00000000-0005-0000-0000-000044490000}"/>
    <cellStyle name="Standard 4 3 2 2 2 5 2 4" xfId="18561" xr:uid="{00000000-0005-0000-0000-000045490000}"/>
    <cellStyle name="Standard 4 3 2 2 2 5 2 4 2" xfId="18562" xr:uid="{00000000-0005-0000-0000-000046490000}"/>
    <cellStyle name="Standard 4 3 2 2 2 5 2 4 3" xfId="18563" xr:uid="{00000000-0005-0000-0000-000047490000}"/>
    <cellStyle name="Standard 4 3 2 2 2 5 2 5" xfId="18564" xr:uid="{00000000-0005-0000-0000-000048490000}"/>
    <cellStyle name="Standard 4 3 2 2 2 5 2 5 2" xfId="18565" xr:uid="{00000000-0005-0000-0000-000049490000}"/>
    <cellStyle name="Standard 4 3 2 2 2 5 2 6" xfId="18566" xr:uid="{00000000-0005-0000-0000-00004A490000}"/>
    <cellStyle name="Standard 4 3 2 2 2 5 2 7" xfId="18567" xr:uid="{00000000-0005-0000-0000-00004B490000}"/>
    <cellStyle name="Standard 4 3 2 2 2 5 3" xfId="18568" xr:uid="{00000000-0005-0000-0000-00004C490000}"/>
    <cellStyle name="Standard 4 3 2 2 2 5 3 2" xfId="18569" xr:uid="{00000000-0005-0000-0000-00004D490000}"/>
    <cellStyle name="Standard 4 3 2 2 2 5 3 2 2" xfId="18570" xr:uid="{00000000-0005-0000-0000-00004E490000}"/>
    <cellStyle name="Standard 4 3 2 2 2 5 3 2 3" xfId="18571" xr:uid="{00000000-0005-0000-0000-00004F490000}"/>
    <cellStyle name="Standard 4 3 2 2 2 5 3 3" xfId="18572" xr:uid="{00000000-0005-0000-0000-000050490000}"/>
    <cellStyle name="Standard 4 3 2 2 2 5 3 3 2" xfId="18573" xr:uid="{00000000-0005-0000-0000-000051490000}"/>
    <cellStyle name="Standard 4 3 2 2 2 5 3 3 3" xfId="18574" xr:uid="{00000000-0005-0000-0000-000052490000}"/>
    <cellStyle name="Standard 4 3 2 2 2 5 3 4" xfId="18575" xr:uid="{00000000-0005-0000-0000-000053490000}"/>
    <cellStyle name="Standard 4 3 2 2 2 5 3 4 2" xfId="18576" xr:uid="{00000000-0005-0000-0000-000054490000}"/>
    <cellStyle name="Standard 4 3 2 2 2 5 3 5" xfId="18577" xr:uid="{00000000-0005-0000-0000-000055490000}"/>
    <cellStyle name="Standard 4 3 2 2 2 5 3 6" xfId="18578" xr:uid="{00000000-0005-0000-0000-000056490000}"/>
    <cellStyle name="Standard 4 3 2 2 2 5 4" xfId="18579" xr:uid="{00000000-0005-0000-0000-000057490000}"/>
    <cellStyle name="Standard 4 3 2 2 2 5 4 2" xfId="18580" xr:uid="{00000000-0005-0000-0000-000058490000}"/>
    <cellStyle name="Standard 4 3 2 2 2 5 4 3" xfId="18581" xr:uid="{00000000-0005-0000-0000-000059490000}"/>
    <cellStyle name="Standard 4 3 2 2 2 5 5" xfId="18582" xr:uid="{00000000-0005-0000-0000-00005A490000}"/>
    <cellStyle name="Standard 4 3 2 2 2 5 5 2" xfId="18583" xr:uid="{00000000-0005-0000-0000-00005B490000}"/>
    <cellStyle name="Standard 4 3 2 2 2 5 5 3" xfId="18584" xr:uid="{00000000-0005-0000-0000-00005C490000}"/>
    <cellStyle name="Standard 4 3 2 2 2 5 6" xfId="18585" xr:uid="{00000000-0005-0000-0000-00005D490000}"/>
    <cellStyle name="Standard 4 3 2 2 2 5 6 2" xfId="18586" xr:uid="{00000000-0005-0000-0000-00005E490000}"/>
    <cellStyle name="Standard 4 3 2 2 2 5 7" xfId="18587" xr:uid="{00000000-0005-0000-0000-00005F490000}"/>
    <cellStyle name="Standard 4 3 2 2 2 5 8" xfId="18588" xr:uid="{00000000-0005-0000-0000-000060490000}"/>
    <cellStyle name="Standard 4 3 2 2 2 6" xfId="18589" xr:uid="{00000000-0005-0000-0000-000061490000}"/>
    <cellStyle name="Standard 4 3 2 2 2 6 2" xfId="18590" xr:uid="{00000000-0005-0000-0000-000062490000}"/>
    <cellStyle name="Standard 4 3 2 2 2 6 2 2" xfId="18591" xr:uid="{00000000-0005-0000-0000-000063490000}"/>
    <cellStyle name="Standard 4 3 2 2 2 6 2 2 2" xfId="18592" xr:uid="{00000000-0005-0000-0000-000064490000}"/>
    <cellStyle name="Standard 4 3 2 2 2 6 2 2 3" xfId="18593" xr:uid="{00000000-0005-0000-0000-000065490000}"/>
    <cellStyle name="Standard 4 3 2 2 2 6 2 3" xfId="18594" xr:uid="{00000000-0005-0000-0000-000066490000}"/>
    <cellStyle name="Standard 4 3 2 2 2 6 2 3 2" xfId="18595" xr:uid="{00000000-0005-0000-0000-000067490000}"/>
    <cellStyle name="Standard 4 3 2 2 2 6 2 3 3" xfId="18596" xr:uid="{00000000-0005-0000-0000-000068490000}"/>
    <cellStyle name="Standard 4 3 2 2 2 6 2 4" xfId="18597" xr:uid="{00000000-0005-0000-0000-000069490000}"/>
    <cellStyle name="Standard 4 3 2 2 2 6 2 4 2" xfId="18598" xr:uid="{00000000-0005-0000-0000-00006A490000}"/>
    <cellStyle name="Standard 4 3 2 2 2 6 2 5" xfId="18599" xr:uid="{00000000-0005-0000-0000-00006B490000}"/>
    <cellStyle name="Standard 4 3 2 2 2 6 2 6" xfId="18600" xr:uid="{00000000-0005-0000-0000-00006C490000}"/>
    <cellStyle name="Standard 4 3 2 2 2 6 3" xfId="18601" xr:uid="{00000000-0005-0000-0000-00006D490000}"/>
    <cellStyle name="Standard 4 3 2 2 2 6 3 2" xfId="18602" xr:uid="{00000000-0005-0000-0000-00006E490000}"/>
    <cellStyle name="Standard 4 3 2 2 2 6 3 3" xfId="18603" xr:uid="{00000000-0005-0000-0000-00006F490000}"/>
    <cellStyle name="Standard 4 3 2 2 2 6 4" xfId="18604" xr:uid="{00000000-0005-0000-0000-000070490000}"/>
    <cellStyle name="Standard 4 3 2 2 2 6 4 2" xfId="18605" xr:uid="{00000000-0005-0000-0000-000071490000}"/>
    <cellStyle name="Standard 4 3 2 2 2 6 4 3" xfId="18606" xr:uid="{00000000-0005-0000-0000-000072490000}"/>
    <cellStyle name="Standard 4 3 2 2 2 6 5" xfId="18607" xr:uid="{00000000-0005-0000-0000-000073490000}"/>
    <cellStyle name="Standard 4 3 2 2 2 6 5 2" xfId="18608" xr:uid="{00000000-0005-0000-0000-000074490000}"/>
    <cellStyle name="Standard 4 3 2 2 2 6 6" xfId="18609" xr:uid="{00000000-0005-0000-0000-000075490000}"/>
    <cellStyle name="Standard 4 3 2 2 2 6 7" xfId="18610" xr:uid="{00000000-0005-0000-0000-000076490000}"/>
    <cellStyle name="Standard 4 3 2 2 2 7" xfId="18611" xr:uid="{00000000-0005-0000-0000-000077490000}"/>
    <cellStyle name="Standard 4 3 2 2 2 7 2" xfId="18612" xr:uid="{00000000-0005-0000-0000-000078490000}"/>
    <cellStyle name="Standard 4 3 2 2 2 7 2 2" xfId="18613" xr:uid="{00000000-0005-0000-0000-000079490000}"/>
    <cellStyle name="Standard 4 3 2 2 2 7 2 3" xfId="18614" xr:uid="{00000000-0005-0000-0000-00007A490000}"/>
    <cellStyle name="Standard 4 3 2 2 2 7 3" xfId="18615" xr:uid="{00000000-0005-0000-0000-00007B490000}"/>
    <cellStyle name="Standard 4 3 2 2 2 7 3 2" xfId="18616" xr:uid="{00000000-0005-0000-0000-00007C490000}"/>
    <cellStyle name="Standard 4 3 2 2 2 7 3 3" xfId="18617" xr:uid="{00000000-0005-0000-0000-00007D490000}"/>
    <cellStyle name="Standard 4 3 2 2 2 7 4" xfId="18618" xr:uid="{00000000-0005-0000-0000-00007E490000}"/>
    <cellStyle name="Standard 4 3 2 2 2 7 4 2" xfId="18619" xr:uid="{00000000-0005-0000-0000-00007F490000}"/>
    <cellStyle name="Standard 4 3 2 2 2 7 5" xfId="18620" xr:uid="{00000000-0005-0000-0000-000080490000}"/>
    <cellStyle name="Standard 4 3 2 2 2 7 6" xfId="18621" xr:uid="{00000000-0005-0000-0000-000081490000}"/>
    <cellStyle name="Standard 4 3 2 2 2 8" xfId="18622" xr:uid="{00000000-0005-0000-0000-000082490000}"/>
    <cellStyle name="Standard 4 3 2 2 2 8 2" xfId="18623" xr:uid="{00000000-0005-0000-0000-000083490000}"/>
    <cellStyle name="Standard 4 3 2 2 2 8 3" xfId="18624" xr:uid="{00000000-0005-0000-0000-000084490000}"/>
    <cellStyle name="Standard 4 3 2 2 2 9" xfId="18625" xr:uid="{00000000-0005-0000-0000-000085490000}"/>
    <cellStyle name="Standard 4 3 2 2 2 9 2" xfId="18626" xr:uid="{00000000-0005-0000-0000-000086490000}"/>
    <cellStyle name="Standard 4 3 2 2 2 9 3" xfId="18627" xr:uid="{00000000-0005-0000-0000-000087490000}"/>
    <cellStyle name="Standard 4 3 2 2 3" xfId="18628" xr:uid="{00000000-0005-0000-0000-000088490000}"/>
    <cellStyle name="Standard 4 3 2 2 3 10" xfId="18629" xr:uid="{00000000-0005-0000-0000-000089490000}"/>
    <cellStyle name="Standard 4 3 2 2 3 11" xfId="18630" xr:uid="{00000000-0005-0000-0000-00008A490000}"/>
    <cellStyle name="Standard 4 3 2 2 3 2" xfId="18631" xr:uid="{00000000-0005-0000-0000-00008B490000}"/>
    <cellStyle name="Standard 4 3 2 2 3 2 10" xfId="18632" xr:uid="{00000000-0005-0000-0000-00008C490000}"/>
    <cellStyle name="Standard 4 3 2 2 3 2 2" xfId="18633" xr:uid="{00000000-0005-0000-0000-00008D490000}"/>
    <cellStyle name="Standard 4 3 2 2 3 2 2 2" xfId="18634" xr:uid="{00000000-0005-0000-0000-00008E490000}"/>
    <cellStyle name="Standard 4 3 2 2 3 2 2 2 2" xfId="18635" xr:uid="{00000000-0005-0000-0000-00008F490000}"/>
    <cellStyle name="Standard 4 3 2 2 3 2 2 2 2 2" xfId="18636" xr:uid="{00000000-0005-0000-0000-000090490000}"/>
    <cellStyle name="Standard 4 3 2 2 3 2 2 2 2 2 2" xfId="18637" xr:uid="{00000000-0005-0000-0000-000091490000}"/>
    <cellStyle name="Standard 4 3 2 2 3 2 2 2 2 2 3" xfId="18638" xr:uid="{00000000-0005-0000-0000-000092490000}"/>
    <cellStyle name="Standard 4 3 2 2 3 2 2 2 2 3" xfId="18639" xr:uid="{00000000-0005-0000-0000-000093490000}"/>
    <cellStyle name="Standard 4 3 2 2 3 2 2 2 2 3 2" xfId="18640" xr:uid="{00000000-0005-0000-0000-000094490000}"/>
    <cellStyle name="Standard 4 3 2 2 3 2 2 2 2 3 3" xfId="18641" xr:uid="{00000000-0005-0000-0000-000095490000}"/>
    <cellStyle name="Standard 4 3 2 2 3 2 2 2 2 4" xfId="18642" xr:uid="{00000000-0005-0000-0000-000096490000}"/>
    <cellStyle name="Standard 4 3 2 2 3 2 2 2 2 4 2" xfId="18643" xr:uid="{00000000-0005-0000-0000-000097490000}"/>
    <cellStyle name="Standard 4 3 2 2 3 2 2 2 2 5" xfId="18644" xr:uid="{00000000-0005-0000-0000-000098490000}"/>
    <cellStyle name="Standard 4 3 2 2 3 2 2 2 2 6" xfId="18645" xr:uid="{00000000-0005-0000-0000-000099490000}"/>
    <cellStyle name="Standard 4 3 2 2 3 2 2 2 3" xfId="18646" xr:uid="{00000000-0005-0000-0000-00009A490000}"/>
    <cellStyle name="Standard 4 3 2 2 3 2 2 2 3 2" xfId="18647" xr:uid="{00000000-0005-0000-0000-00009B490000}"/>
    <cellStyle name="Standard 4 3 2 2 3 2 2 2 3 3" xfId="18648" xr:uid="{00000000-0005-0000-0000-00009C490000}"/>
    <cellStyle name="Standard 4 3 2 2 3 2 2 2 4" xfId="18649" xr:uid="{00000000-0005-0000-0000-00009D490000}"/>
    <cellStyle name="Standard 4 3 2 2 3 2 2 2 4 2" xfId="18650" xr:uid="{00000000-0005-0000-0000-00009E490000}"/>
    <cellStyle name="Standard 4 3 2 2 3 2 2 2 4 3" xfId="18651" xr:uid="{00000000-0005-0000-0000-00009F490000}"/>
    <cellStyle name="Standard 4 3 2 2 3 2 2 2 5" xfId="18652" xr:uid="{00000000-0005-0000-0000-0000A0490000}"/>
    <cellStyle name="Standard 4 3 2 2 3 2 2 2 5 2" xfId="18653" xr:uid="{00000000-0005-0000-0000-0000A1490000}"/>
    <cellStyle name="Standard 4 3 2 2 3 2 2 2 6" xfId="18654" xr:uid="{00000000-0005-0000-0000-0000A2490000}"/>
    <cellStyle name="Standard 4 3 2 2 3 2 2 2 7" xfId="18655" xr:uid="{00000000-0005-0000-0000-0000A3490000}"/>
    <cellStyle name="Standard 4 3 2 2 3 2 2 3" xfId="18656" xr:uid="{00000000-0005-0000-0000-0000A4490000}"/>
    <cellStyle name="Standard 4 3 2 2 3 2 2 3 2" xfId="18657" xr:uid="{00000000-0005-0000-0000-0000A5490000}"/>
    <cellStyle name="Standard 4 3 2 2 3 2 2 3 2 2" xfId="18658" xr:uid="{00000000-0005-0000-0000-0000A6490000}"/>
    <cellStyle name="Standard 4 3 2 2 3 2 2 3 2 3" xfId="18659" xr:uid="{00000000-0005-0000-0000-0000A7490000}"/>
    <cellStyle name="Standard 4 3 2 2 3 2 2 3 3" xfId="18660" xr:uid="{00000000-0005-0000-0000-0000A8490000}"/>
    <cellStyle name="Standard 4 3 2 2 3 2 2 3 3 2" xfId="18661" xr:uid="{00000000-0005-0000-0000-0000A9490000}"/>
    <cellStyle name="Standard 4 3 2 2 3 2 2 3 3 3" xfId="18662" xr:uid="{00000000-0005-0000-0000-0000AA490000}"/>
    <cellStyle name="Standard 4 3 2 2 3 2 2 3 4" xfId="18663" xr:uid="{00000000-0005-0000-0000-0000AB490000}"/>
    <cellStyle name="Standard 4 3 2 2 3 2 2 3 4 2" xfId="18664" xr:uid="{00000000-0005-0000-0000-0000AC490000}"/>
    <cellStyle name="Standard 4 3 2 2 3 2 2 3 5" xfId="18665" xr:uid="{00000000-0005-0000-0000-0000AD490000}"/>
    <cellStyle name="Standard 4 3 2 2 3 2 2 3 6" xfId="18666" xr:uid="{00000000-0005-0000-0000-0000AE490000}"/>
    <cellStyle name="Standard 4 3 2 2 3 2 2 4" xfId="18667" xr:uid="{00000000-0005-0000-0000-0000AF490000}"/>
    <cellStyle name="Standard 4 3 2 2 3 2 2 4 2" xfId="18668" xr:uid="{00000000-0005-0000-0000-0000B0490000}"/>
    <cellStyle name="Standard 4 3 2 2 3 2 2 4 3" xfId="18669" xr:uid="{00000000-0005-0000-0000-0000B1490000}"/>
    <cellStyle name="Standard 4 3 2 2 3 2 2 5" xfId="18670" xr:uid="{00000000-0005-0000-0000-0000B2490000}"/>
    <cellStyle name="Standard 4 3 2 2 3 2 2 5 2" xfId="18671" xr:uid="{00000000-0005-0000-0000-0000B3490000}"/>
    <cellStyle name="Standard 4 3 2 2 3 2 2 5 3" xfId="18672" xr:uid="{00000000-0005-0000-0000-0000B4490000}"/>
    <cellStyle name="Standard 4 3 2 2 3 2 2 6" xfId="18673" xr:uid="{00000000-0005-0000-0000-0000B5490000}"/>
    <cellStyle name="Standard 4 3 2 2 3 2 2 6 2" xfId="18674" xr:uid="{00000000-0005-0000-0000-0000B6490000}"/>
    <cellStyle name="Standard 4 3 2 2 3 2 2 7" xfId="18675" xr:uid="{00000000-0005-0000-0000-0000B7490000}"/>
    <cellStyle name="Standard 4 3 2 2 3 2 2 8" xfId="18676" xr:uid="{00000000-0005-0000-0000-0000B8490000}"/>
    <cellStyle name="Standard 4 3 2 2 3 2 3" xfId="18677" xr:uid="{00000000-0005-0000-0000-0000B9490000}"/>
    <cellStyle name="Standard 4 3 2 2 3 2 3 2" xfId="18678" xr:uid="{00000000-0005-0000-0000-0000BA490000}"/>
    <cellStyle name="Standard 4 3 2 2 3 2 3 2 2" xfId="18679" xr:uid="{00000000-0005-0000-0000-0000BB490000}"/>
    <cellStyle name="Standard 4 3 2 2 3 2 3 2 2 2" xfId="18680" xr:uid="{00000000-0005-0000-0000-0000BC490000}"/>
    <cellStyle name="Standard 4 3 2 2 3 2 3 2 2 2 2" xfId="18681" xr:uid="{00000000-0005-0000-0000-0000BD490000}"/>
    <cellStyle name="Standard 4 3 2 2 3 2 3 2 2 2 3" xfId="18682" xr:uid="{00000000-0005-0000-0000-0000BE490000}"/>
    <cellStyle name="Standard 4 3 2 2 3 2 3 2 2 3" xfId="18683" xr:uid="{00000000-0005-0000-0000-0000BF490000}"/>
    <cellStyle name="Standard 4 3 2 2 3 2 3 2 2 3 2" xfId="18684" xr:uid="{00000000-0005-0000-0000-0000C0490000}"/>
    <cellStyle name="Standard 4 3 2 2 3 2 3 2 2 3 3" xfId="18685" xr:uid="{00000000-0005-0000-0000-0000C1490000}"/>
    <cellStyle name="Standard 4 3 2 2 3 2 3 2 2 4" xfId="18686" xr:uid="{00000000-0005-0000-0000-0000C2490000}"/>
    <cellStyle name="Standard 4 3 2 2 3 2 3 2 2 4 2" xfId="18687" xr:uid="{00000000-0005-0000-0000-0000C3490000}"/>
    <cellStyle name="Standard 4 3 2 2 3 2 3 2 2 5" xfId="18688" xr:uid="{00000000-0005-0000-0000-0000C4490000}"/>
    <cellStyle name="Standard 4 3 2 2 3 2 3 2 2 6" xfId="18689" xr:uid="{00000000-0005-0000-0000-0000C5490000}"/>
    <cellStyle name="Standard 4 3 2 2 3 2 3 2 3" xfId="18690" xr:uid="{00000000-0005-0000-0000-0000C6490000}"/>
    <cellStyle name="Standard 4 3 2 2 3 2 3 2 3 2" xfId="18691" xr:uid="{00000000-0005-0000-0000-0000C7490000}"/>
    <cellStyle name="Standard 4 3 2 2 3 2 3 2 3 3" xfId="18692" xr:uid="{00000000-0005-0000-0000-0000C8490000}"/>
    <cellStyle name="Standard 4 3 2 2 3 2 3 2 4" xfId="18693" xr:uid="{00000000-0005-0000-0000-0000C9490000}"/>
    <cellStyle name="Standard 4 3 2 2 3 2 3 2 4 2" xfId="18694" xr:uid="{00000000-0005-0000-0000-0000CA490000}"/>
    <cellStyle name="Standard 4 3 2 2 3 2 3 2 4 3" xfId="18695" xr:uid="{00000000-0005-0000-0000-0000CB490000}"/>
    <cellStyle name="Standard 4 3 2 2 3 2 3 2 5" xfId="18696" xr:uid="{00000000-0005-0000-0000-0000CC490000}"/>
    <cellStyle name="Standard 4 3 2 2 3 2 3 2 5 2" xfId="18697" xr:uid="{00000000-0005-0000-0000-0000CD490000}"/>
    <cellStyle name="Standard 4 3 2 2 3 2 3 2 6" xfId="18698" xr:uid="{00000000-0005-0000-0000-0000CE490000}"/>
    <cellStyle name="Standard 4 3 2 2 3 2 3 2 7" xfId="18699" xr:uid="{00000000-0005-0000-0000-0000CF490000}"/>
    <cellStyle name="Standard 4 3 2 2 3 2 3 3" xfId="18700" xr:uid="{00000000-0005-0000-0000-0000D0490000}"/>
    <cellStyle name="Standard 4 3 2 2 3 2 3 3 2" xfId="18701" xr:uid="{00000000-0005-0000-0000-0000D1490000}"/>
    <cellStyle name="Standard 4 3 2 2 3 2 3 3 2 2" xfId="18702" xr:uid="{00000000-0005-0000-0000-0000D2490000}"/>
    <cellStyle name="Standard 4 3 2 2 3 2 3 3 2 3" xfId="18703" xr:uid="{00000000-0005-0000-0000-0000D3490000}"/>
    <cellStyle name="Standard 4 3 2 2 3 2 3 3 3" xfId="18704" xr:uid="{00000000-0005-0000-0000-0000D4490000}"/>
    <cellStyle name="Standard 4 3 2 2 3 2 3 3 3 2" xfId="18705" xr:uid="{00000000-0005-0000-0000-0000D5490000}"/>
    <cellStyle name="Standard 4 3 2 2 3 2 3 3 3 3" xfId="18706" xr:uid="{00000000-0005-0000-0000-0000D6490000}"/>
    <cellStyle name="Standard 4 3 2 2 3 2 3 3 4" xfId="18707" xr:uid="{00000000-0005-0000-0000-0000D7490000}"/>
    <cellStyle name="Standard 4 3 2 2 3 2 3 3 4 2" xfId="18708" xr:uid="{00000000-0005-0000-0000-0000D8490000}"/>
    <cellStyle name="Standard 4 3 2 2 3 2 3 3 5" xfId="18709" xr:uid="{00000000-0005-0000-0000-0000D9490000}"/>
    <cellStyle name="Standard 4 3 2 2 3 2 3 3 6" xfId="18710" xr:uid="{00000000-0005-0000-0000-0000DA490000}"/>
    <cellStyle name="Standard 4 3 2 2 3 2 3 4" xfId="18711" xr:uid="{00000000-0005-0000-0000-0000DB490000}"/>
    <cellStyle name="Standard 4 3 2 2 3 2 3 4 2" xfId="18712" xr:uid="{00000000-0005-0000-0000-0000DC490000}"/>
    <cellStyle name="Standard 4 3 2 2 3 2 3 4 3" xfId="18713" xr:uid="{00000000-0005-0000-0000-0000DD490000}"/>
    <cellStyle name="Standard 4 3 2 2 3 2 3 5" xfId="18714" xr:uid="{00000000-0005-0000-0000-0000DE490000}"/>
    <cellStyle name="Standard 4 3 2 2 3 2 3 5 2" xfId="18715" xr:uid="{00000000-0005-0000-0000-0000DF490000}"/>
    <cellStyle name="Standard 4 3 2 2 3 2 3 5 3" xfId="18716" xr:uid="{00000000-0005-0000-0000-0000E0490000}"/>
    <cellStyle name="Standard 4 3 2 2 3 2 3 6" xfId="18717" xr:uid="{00000000-0005-0000-0000-0000E1490000}"/>
    <cellStyle name="Standard 4 3 2 2 3 2 3 6 2" xfId="18718" xr:uid="{00000000-0005-0000-0000-0000E2490000}"/>
    <cellStyle name="Standard 4 3 2 2 3 2 3 7" xfId="18719" xr:uid="{00000000-0005-0000-0000-0000E3490000}"/>
    <cellStyle name="Standard 4 3 2 2 3 2 3 8" xfId="18720" xr:uid="{00000000-0005-0000-0000-0000E4490000}"/>
    <cellStyle name="Standard 4 3 2 2 3 2 4" xfId="18721" xr:uid="{00000000-0005-0000-0000-0000E5490000}"/>
    <cellStyle name="Standard 4 3 2 2 3 2 4 2" xfId="18722" xr:uid="{00000000-0005-0000-0000-0000E6490000}"/>
    <cellStyle name="Standard 4 3 2 2 3 2 4 2 2" xfId="18723" xr:uid="{00000000-0005-0000-0000-0000E7490000}"/>
    <cellStyle name="Standard 4 3 2 2 3 2 4 2 2 2" xfId="18724" xr:uid="{00000000-0005-0000-0000-0000E8490000}"/>
    <cellStyle name="Standard 4 3 2 2 3 2 4 2 2 3" xfId="18725" xr:uid="{00000000-0005-0000-0000-0000E9490000}"/>
    <cellStyle name="Standard 4 3 2 2 3 2 4 2 3" xfId="18726" xr:uid="{00000000-0005-0000-0000-0000EA490000}"/>
    <cellStyle name="Standard 4 3 2 2 3 2 4 2 3 2" xfId="18727" xr:uid="{00000000-0005-0000-0000-0000EB490000}"/>
    <cellStyle name="Standard 4 3 2 2 3 2 4 2 3 3" xfId="18728" xr:uid="{00000000-0005-0000-0000-0000EC490000}"/>
    <cellStyle name="Standard 4 3 2 2 3 2 4 2 4" xfId="18729" xr:uid="{00000000-0005-0000-0000-0000ED490000}"/>
    <cellStyle name="Standard 4 3 2 2 3 2 4 2 4 2" xfId="18730" xr:uid="{00000000-0005-0000-0000-0000EE490000}"/>
    <cellStyle name="Standard 4 3 2 2 3 2 4 2 5" xfId="18731" xr:uid="{00000000-0005-0000-0000-0000EF490000}"/>
    <cellStyle name="Standard 4 3 2 2 3 2 4 2 6" xfId="18732" xr:uid="{00000000-0005-0000-0000-0000F0490000}"/>
    <cellStyle name="Standard 4 3 2 2 3 2 4 3" xfId="18733" xr:uid="{00000000-0005-0000-0000-0000F1490000}"/>
    <cellStyle name="Standard 4 3 2 2 3 2 4 3 2" xfId="18734" xr:uid="{00000000-0005-0000-0000-0000F2490000}"/>
    <cellStyle name="Standard 4 3 2 2 3 2 4 3 3" xfId="18735" xr:uid="{00000000-0005-0000-0000-0000F3490000}"/>
    <cellStyle name="Standard 4 3 2 2 3 2 4 4" xfId="18736" xr:uid="{00000000-0005-0000-0000-0000F4490000}"/>
    <cellStyle name="Standard 4 3 2 2 3 2 4 4 2" xfId="18737" xr:uid="{00000000-0005-0000-0000-0000F5490000}"/>
    <cellStyle name="Standard 4 3 2 2 3 2 4 4 3" xfId="18738" xr:uid="{00000000-0005-0000-0000-0000F6490000}"/>
    <cellStyle name="Standard 4 3 2 2 3 2 4 5" xfId="18739" xr:uid="{00000000-0005-0000-0000-0000F7490000}"/>
    <cellStyle name="Standard 4 3 2 2 3 2 4 5 2" xfId="18740" xr:uid="{00000000-0005-0000-0000-0000F8490000}"/>
    <cellStyle name="Standard 4 3 2 2 3 2 4 6" xfId="18741" xr:uid="{00000000-0005-0000-0000-0000F9490000}"/>
    <cellStyle name="Standard 4 3 2 2 3 2 4 7" xfId="18742" xr:uid="{00000000-0005-0000-0000-0000FA490000}"/>
    <cellStyle name="Standard 4 3 2 2 3 2 5" xfId="18743" xr:uid="{00000000-0005-0000-0000-0000FB490000}"/>
    <cellStyle name="Standard 4 3 2 2 3 2 5 2" xfId="18744" xr:uid="{00000000-0005-0000-0000-0000FC490000}"/>
    <cellStyle name="Standard 4 3 2 2 3 2 5 2 2" xfId="18745" xr:uid="{00000000-0005-0000-0000-0000FD490000}"/>
    <cellStyle name="Standard 4 3 2 2 3 2 5 2 3" xfId="18746" xr:uid="{00000000-0005-0000-0000-0000FE490000}"/>
    <cellStyle name="Standard 4 3 2 2 3 2 5 3" xfId="18747" xr:uid="{00000000-0005-0000-0000-0000FF490000}"/>
    <cellStyle name="Standard 4 3 2 2 3 2 5 3 2" xfId="18748" xr:uid="{00000000-0005-0000-0000-0000004A0000}"/>
    <cellStyle name="Standard 4 3 2 2 3 2 5 3 3" xfId="18749" xr:uid="{00000000-0005-0000-0000-0000014A0000}"/>
    <cellStyle name="Standard 4 3 2 2 3 2 5 4" xfId="18750" xr:uid="{00000000-0005-0000-0000-0000024A0000}"/>
    <cellStyle name="Standard 4 3 2 2 3 2 5 4 2" xfId="18751" xr:uid="{00000000-0005-0000-0000-0000034A0000}"/>
    <cellStyle name="Standard 4 3 2 2 3 2 5 5" xfId="18752" xr:uid="{00000000-0005-0000-0000-0000044A0000}"/>
    <cellStyle name="Standard 4 3 2 2 3 2 5 6" xfId="18753" xr:uid="{00000000-0005-0000-0000-0000054A0000}"/>
    <cellStyle name="Standard 4 3 2 2 3 2 6" xfId="18754" xr:uid="{00000000-0005-0000-0000-0000064A0000}"/>
    <cellStyle name="Standard 4 3 2 2 3 2 6 2" xfId="18755" xr:uid="{00000000-0005-0000-0000-0000074A0000}"/>
    <cellStyle name="Standard 4 3 2 2 3 2 6 3" xfId="18756" xr:uid="{00000000-0005-0000-0000-0000084A0000}"/>
    <cellStyle name="Standard 4 3 2 2 3 2 7" xfId="18757" xr:uid="{00000000-0005-0000-0000-0000094A0000}"/>
    <cellStyle name="Standard 4 3 2 2 3 2 7 2" xfId="18758" xr:uid="{00000000-0005-0000-0000-00000A4A0000}"/>
    <cellStyle name="Standard 4 3 2 2 3 2 7 3" xfId="18759" xr:uid="{00000000-0005-0000-0000-00000B4A0000}"/>
    <cellStyle name="Standard 4 3 2 2 3 2 8" xfId="18760" xr:uid="{00000000-0005-0000-0000-00000C4A0000}"/>
    <cellStyle name="Standard 4 3 2 2 3 2 8 2" xfId="18761" xr:uid="{00000000-0005-0000-0000-00000D4A0000}"/>
    <cellStyle name="Standard 4 3 2 2 3 2 9" xfId="18762" xr:uid="{00000000-0005-0000-0000-00000E4A0000}"/>
    <cellStyle name="Standard 4 3 2 2 3 3" xfId="18763" xr:uid="{00000000-0005-0000-0000-00000F4A0000}"/>
    <cellStyle name="Standard 4 3 2 2 3 3 2" xfId="18764" xr:uid="{00000000-0005-0000-0000-0000104A0000}"/>
    <cellStyle name="Standard 4 3 2 2 3 3 2 2" xfId="18765" xr:uid="{00000000-0005-0000-0000-0000114A0000}"/>
    <cellStyle name="Standard 4 3 2 2 3 3 2 2 2" xfId="18766" xr:uid="{00000000-0005-0000-0000-0000124A0000}"/>
    <cellStyle name="Standard 4 3 2 2 3 3 2 2 2 2" xfId="18767" xr:uid="{00000000-0005-0000-0000-0000134A0000}"/>
    <cellStyle name="Standard 4 3 2 2 3 3 2 2 2 3" xfId="18768" xr:uid="{00000000-0005-0000-0000-0000144A0000}"/>
    <cellStyle name="Standard 4 3 2 2 3 3 2 2 3" xfId="18769" xr:uid="{00000000-0005-0000-0000-0000154A0000}"/>
    <cellStyle name="Standard 4 3 2 2 3 3 2 2 3 2" xfId="18770" xr:uid="{00000000-0005-0000-0000-0000164A0000}"/>
    <cellStyle name="Standard 4 3 2 2 3 3 2 2 3 3" xfId="18771" xr:uid="{00000000-0005-0000-0000-0000174A0000}"/>
    <cellStyle name="Standard 4 3 2 2 3 3 2 2 4" xfId="18772" xr:uid="{00000000-0005-0000-0000-0000184A0000}"/>
    <cellStyle name="Standard 4 3 2 2 3 3 2 2 4 2" xfId="18773" xr:uid="{00000000-0005-0000-0000-0000194A0000}"/>
    <cellStyle name="Standard 4 3 2 2 3 3 2 2 5" xfId="18774" xr:uid="{00000000-0005-0000-0000-00001A4A0000}"/>
    <cellStyle name="Standard 4 3 2 2 3 3 2 2 6" xfId="18775" xr:uid="{00000000-0005-0000-0000-00001B4A0000}"/>
    <cellStyle name="Standard 4 3 2 2 3 3 2 3" xfId="18776" xr:uid="{00000000-0005-0000-0000-00001C4A0000}"/>
    <cellStyle name="Standard 4 3 2 2 3 3 2 3 2" xfId="18777" xr:uid="{00000000-0005-0000-0000-00001D4A0000}"/>
    <cellStyle name="Standard 4 3 2 2 3 3 2 3 3" xfId="18778" xr:uid="{00000000-0005-0000-0000-00001E4A0000}"/>
    <cellStyle name="Standard 4 3 2 2 3 3 2 4" xfId="18779" xr:uid="{00000000-0005-0000-0000-00001F4A0000}"/>
    <cellStyle name="Standard 4 3 2 2 3 3 2 4 2" xfId="18780" xr:uid="{00000000-0005-0000-0000-0000204A0000}"/>
    <cellStyle name="Standard 4 3 2 2 3 3 2 4 3" xfId="18781" xr:uid="{00000000-0005-0000-0000-0000214A0000}"/>
    <cellStyle name="Standard 4 3 2 2 3 3 2 5" xfId="18782" xr:uid="{00000000-0005-0000-0000-0000224A0000}"/>
    <cellStyle name="Standard 4 3 2 2 3 3 2 5 2" xfId="18783" xr:uid="{00000000-0005-0000-0000-0000234A0000}"/>
    <cellStyle name="Standard 4 3 2 2 3 3 2 6" xfId="18784" xr:uid="{00000000-0005-0000-0000-0000244A0000}"/>
    <cellStyle name="Standard 4 3 2 2 3 3 2 7" xfId="18785" xr:uid="{00000000-0005-0000-0000-0000254A0000}"/>
    <cellStyle name="Standard 4 3 2 2 3 3 3" xfId="18786" xr:uid="{00000000-0005-0000-0000-0000264A0000}"/>
    <cellStyle name="Standard 4 3 2 2 3 3 3 2" xfId="18787" xr:uid="{00000000-0005-0000-0000-0000274A0000}"/>
    <cellStyle name="Standard 4 3 2 2 3 3 3 2 2" xfId="18788" xr:uid="{00000000-0005-0000-0000-0000284A0000}"/>
    <cellStyle name="Standard 4 3 2 2 3 3 3 2 3" xfId="18789" xr:uid="{00000000-0005-0000-0000-0000294A0000}"/>
    <cellStyle name="Standard 4 3 2 2 3 3 3 3" xfId="18790" xr:uid="{00000000-0005-0000-0000-00002A4A0000}"/>
    <cellStyle name="Standard 4 3 2 2 3 3 3 3 2" xfId="18791" xr:uid="{00000000-0005-0000-0000-00002B4A0000}"/>
    <cellStyle name="Standard 4 3 2 2 3 3 3 3 3" xfId="18792" xr:uid="{00000000-0005-0000-0000-00002C4A0000}"/>
    <cellStyle name="Standard 4 3 2 2 3 3 3 4" xfId="18793" xr:uid="{00000000-0005-0000-0000-00002D4A0000}"/>
    <cellStyle name="Standard 4 3 2 2 3 3 3 4 2" xfId="18794" xr:uid="{00000000-0005-0000-0000-00002E4A0000}"/>
    <cellStyle name="Standard 4 3 2 2 3 3 3 5" xfId="18795" xr:uid="{00000000-0005-0000-0000-00002F4A0000}"/>
    <cellStyle name="Standard 4 3 2 2 3 3 3 6" xfId="18796" xr:uid="{00000000-0005-0000-0000-0000304A0000}"/>
    <cellStyle name="Standard 4 3 2 2 3 3 4" xfId="18797" xr:uid="{00000000-0005-0000-0000-0000314A0000}"/>
    <cellStyle name="Standard 4 3 2 2 3 3 4 2" xfId="18798" xr:uid="{00000000-0005-0000-0000-0000324A0000}"/>
    <cellStyle name="Standard 4 3 2 2 3 3 4 3" xfId="18799" xr:uid="{00000000-0005-0000-0000-0000334A0000}"/>
    <cellStyle name="Standard 4 3 2 2 3 3 5" xfId="18800" xr:uid="{00000000-0005-0000-0000-0000344A0000}"/>
    <cellStyle name="Standard 4 3 2 2 3 3 5 2" xfId="18801" xr:uid="{00000000-0005-0000-0000-0000354A0000}"/>
    <cellStyle name="Standard 4 3 2 2 3 3 5 3" xfId="18802" xr:uid="{00000000-0005-0000-0000-0000364A0000}"/>
    <cellStyle name="Standard 4 3 2 2 3 3 6" xfId="18803" xr:uid="{00000000-0005-0000-0000-0000374A0000}"/>
    <cellStyle name="Standard 4 3 2 2 3 3 6 2" xfId="18804" xr:uid="{00000000-0005-0000-0000-0000384A0000}"/>
    <cellStyle name="Standard 4 3 2 2 3 3 7" xfId="18805" xr:uid="{00000000-0005-0000-0000-0000394A0000}"/>
    <cellStyle name="Standard 4 3 2 2 3 3 8" xfId="18806" xr:uid="{00000000-0005-0000-0000-00003A4A0000}"/>
    <cellStyle name="Standard 4 3 2 2 3 4" xfId="18807" xr:uid="{00000000-0005-0000-0000-00003B4A0000}"/>
    <cellStyle name="Standard 4 3 2 2 3 4 2" xfId="18808" xr:uid="{00000000-0005-0000-0000-00003C4A0000}"/>
    <cellStyle name="Standard 4 3 2 2 3 4 2 2" xfId="18809" xr:uid="{00000000-0005-0000-0000-00003D4A0000}"/>
    <cellStyle name="Standard 4 3 2 2 3 4 2 2 2" xfId="18810" xr:uid="{00000000-0005-0000-0000-00003E4A0000}"/>
    <cellStyle name="Standard 4 3 2 2 3 4 2 2 2 2" xfId="18811" xr:uid="{00000000-0005-0000-0000-00003F4A0000}"/>
    <cellStyle name="Standard 4 3 2 2 3 4 2 2 2 3" xfId="18812" xr:uid="{00000000-0005-0000-0000-0000404A0000}"/>
    <cellStyle name="Standard 4 3 2 2 3 4 2 2 3" xfId="18813" xr:uid="{00000000-0005-0000-0000-0000414A0000}"/>
    <cellStyle name="Standard 4 3 2 2 3 4 2 2 3 2" xfId="18814" xr:uid="{00000000-0005-0000-0000-0000424A0000}"/>
    <cellStyle name="Standard 4 3 2 2 3 4 2 2 3 3" xfId="18815" xr:uid="{00000000-0005-0000-0000-0000434A0000}"/>
    <cellStyle name="Standard 4 3 2 2 3 4 2 2 4" xfId="18816" xr:uid="{00000000-0005-0000-0000-0000444A0000}"/>
    <cellStyle name="Standard 4 3 2 2 3 4 2 2 4 2" xfId="18817" xr:uid="{00000000-0005-0000-0000-0000454A0000}"/>
    <cellStyle name="Standard 4 3 2 2 3 4 2 2 5" xfId="18818" xr:uid="{00000000-0005-0000-0000-0000464A0000}"/>
    <cellStyle name="Standard 4 3 2 2 3 4 2 2 6" xfId="18819" xr:uid="{00000000-0005-0000-0000-0000474A0000}"/>
    <cellStyle name="Standard 4 3 2 2 3 4 2 3" xfId="18820" xr:uid="{00000000-0005-0000-0000-0000484A0000}"/>
    <cellStyle name="Standard 4 3 2 2 3 4 2 3 2" xfId="18821" xr:uid="{00000000-0005-0000-0000-0000494A0000}"/>
    <cellStyle name="Standard 4 3 2 2 3 4 2 3 3" xfId="18822" xr:uid="{00000000-0005-0000-0000-00004A4A0000}"/>
    <cellStyle name="Standard 4 3 2 2 3 4 2 4" xfId="18823" xr:uid="{00000000-0005-0000-0000-00004B4A0000}"/>
    <cellStyle name="Standard 4 3 2 2 3 4 2 4 2" xfId="18824" xr:uid="{00000000-0005-0000-0000-00004C4A0000}"/>
    <cellStyle name="Standard 4 3 2 2 3 4 2 4 3" xfId="18825" xr:uid="{00000000-0005-0000-0000-00004D4A0000}"/>
    <cellStyle name="Standard 4 3 2 2 3 4 2 5" xfId="18826" xr:uid="{00000000-0005-0000-0000-00004E4A0000}"/>
    <cellStyle name="Standard 4 3 2 2 3 4 2 5 2" xfId="18827" xr:uid="{00000000-0005-0000-0000-00004F4A0000}"/>
    <cellStyle name="Standard 4 3 2 2 3 4 2 6" xfId="18828" xr:uid="{00000000-0005-0000-0000-0000504A0000}"/>
    <cellStyle name="Standard 4 3 2 2 3 4 2 7" xfId="18829" xr:uid="{00000000-0005-0000-0000-0000514A0000}"/>
    <cellStyle name="Standard 4 3 2 2 3 4 3" xfId="18830" xr:uid="{00000000-0005-0000-0000-0000524A0000}"/>
    <cellStyle name="Standard 4 3 2 2 3 4 3 2" xfId="18831" xr:uid="{00000000-0005-0000-0000-0000534A0000}"/>
    <cellStyle name="Standard 4 3 2 2 3 4 3 2 2" xfId="18832" xr:uid="{00000000-0005-0000-0000-0000544A0000}"/>
    <cellStyle name="Standard 4 3 2 2 3 4 3 2 3" xfId="18833" xr:uid="{00000000-0005-0000-0000-0000554A0000}"/>
    <cellStyle name="Standard 4 3 2 2 3 4 3 3" xfId="18834" xr:uid="{00000000-0005-0000-0000-0000564A0000}"/>
    <cellStyle name="Standard 4 3 2 2 3 4 3 3 2" xfId="18835" xr:uid="{00000000-0005-0000-0000-0000574A0000}"/>
    <cellStyle name="Standard 4 3 2 2 3 4 3 3 3" xfId="18836" xr:uid="{00000000-0005-0000-0000-0000584A0000}"/>
    <cellStyle name="Standard 4 3 2 2 3 4 3 4" xfId="18837" xr:uid="{00000000-0005-0000-0000-0000594A0000}"/>
    <cellStyle name="Standard 4 3 2 2 3 4 3 4 2" xfId="18838" xr:uid="{00000000-0005-0000-0000-00005A4A0000}"/>
    <cellStyle name="Standard 4 3 2 2 3 4 3 5" xfId="18839" xr:uid="{00000000-0005-0000-0000-00005B4A0000}"/>
    <cellStyle name="Standard 4 3 2 2 3 4 3 6" xfId="18840" xr:uid="{00000000-0005-0000-0000-00005C4A0000}"/>
    <cellStyle name="Standard 4 3 2 2 3 4 4" xfId="18841" xr:uid="{00000000-0005-0000-0000-00005D4A0000}"/>
    <cellStyle name="Standard 4 3 2 2 3 4 4 2" xfId="18842" xr:uid="{00000000-0005-0000-0000-00005E4A0000}"/>
    <cellStyle name="Standard 4 3 2 2 3 4 4 3" xfId="18843" xr:uid="{00000000-0005-0000-0000-00005F4A0000}"/>
    <cellStyle name="Standard 4 3 2 2 3 4 5" xfId="18844" xr:uid="{00000000-0005-0000-0000-0000604A0000}"/>
    <cellStyle name="Standard 4 3 2 2 3 4 5 2" xfId="18845" xr:uid="{00000000-0005-0000-0000-0000614A0000}"/>
    <cellStyle name="Standard 4 3 2 2 3 4 5 3" xfId="18846" xr:uid="{00000000-0005-0000-0000-0000624A0000}"/>
    <cellStyle name="Standard 4 3 2 2 3 4 6" xfId="18847" xr:uid="{00000000-0005-0000-0000-0000634A0000}"/>
    <cellStyle name="Standard 4 3 2 2 3 4 6 2" xfId="18848" xr:uid="{00000000-0005-0000-0000-0000644A0000}"/>
    <cellStyle name="Standard 4 3 2 2 3 4 7" xfId="18849" xr:uid="{00000000-0005-0000-0000-0000654A0000}"/>
    <cellStyle name="Standard 4 3 2 2 3 4 8" xfId="18850" xr:uid="{00000000-0005-0000-0000-0000664A0000}"/>
    <cellStyle name="Standard 4 3 2 2 3 5" xfId="18851" xr:uid="{00000000-0005-0000-0000-0000674A0000}"/>
    <cellStyle name="Standard 4 3 2 2 3 5 2" xfId="18852" xr:uid="{00000000-0005-0000-0000-0000684A0000}"/>
    <cellStyle name="Standard 4 3 2 2 3 5 2 2" xfId="18853" xr:uid="{00000000-0005-0000-0000-0000694A0000}"/>
    <cellStyle name="Standard 4 3 2 2 3 5 2 2 2" xfId="18854" xr:uid="{00000000-0005-0000-0000-00006A4A0000}"/>
    <cellStyle name="Standard 4 3 2 2 3 5 2 2 3" xfId="18855" xr:uid="{00000000-0005-0000-0000-00006B4A0000}"/>
    <cellStyle name="Standard 4 3 2 2 3 5 2 3" xfId="18856" xr:uid="{00000000-0005-0000-0000-00006C4A0000}"/>
    <cellStyle name="Standard 4 3 2 2 3 5 2 3 2" xfId="18857" xr:uid="{00000000-0005-0000-0000-00006D4A0000}"/>
    <cellStyle name="Standard 4 3 2 2 3 5 2 3 3" xfId="18858" xr:uid="{00000000-0005-0000-0000-00006E4A0000}"/>
    <cellStyle name="Standard 4 3 2 2 3 5 2 4" xfId="18859" xr:uid="{00000000-0005-0000-0000-00006F4A0000}"/>
    <cellStyle name="Standard 4 3 2 2 3 5 2 4 2" xfId="18860" xr:uid="{00000000-0005-0000-0000-0000704A0000}"/>
    <cellStyle name="Standard 4 3 2 2 3 5 2 5" xfId="18861" xr:uid="{00000000-0005-0000-0000-0000714A0000}"/>
    <cellStyle name="Standard 4 3 2 2 3 5 2 6" xfId="18862" xr:uid="{00000000-0005-0000-0000-0000724A0000}"/>
    <cellStyle name="Standard 4 3 2 2 3 5 3" xfId="18863" xr:uid="{00000000-0005-0000-0000-0000734A0000}"/>
    <cellStyle name="Standard 4 3 2 2 3 5 3 2" xfId="18864" xr:uid="{00000000-0005-0000-0000-0000744A0000}"/>
    <cellStyle name="Standard 4 3 2 2 3 5 3 3" xfId="18865" xr:uid="{00000000-0005-0000-0000-0000754A0000}"/>
    <cellStyle name="Standard 4 3 2 2 3 5 4" xfId="18866" xr:uid="{00000000-0005-0000-0000-0000764A0000}"/>
    <cellStyle name="Standard 4 3 2 2 3 5 4 2" xfId="18867" xr:uid="{00000000-0005-0000-0000-0000774A0000}"/>
    <cellStyle name="Standard 4 3 2 2 3 5 4 3" xfId="18868" xr:uid="{00000000-0005-0000-0000-0000784A0000}"/>
    <cellStyle name="Standard 4 3 2 2 3 5 5" xfId="18869" xr:uid="{00000000-0005-0000-0000-0000794A0000}"/>
    <cellStyle name="Standard 4 3 2 2 3 5 5 2" xfId="18870" xr:uid="{00000000-0005-0000-0000-00007A4A0000}"/>
    <cellStyle name="Standard 4 3 2 2 3 5 6" xfId="18871" xr:uid="{00000000-0005-0000-0000-00007B4A0000}"/>
    <cellStyle name="Standard 4 3 2 2 3 5 7" xfId="18872" xr:uid="{00000000-0005-0000-0000-00007C4A0000}"/>
    <cellStyle name="Standard 4 3 2 2 3 6" xfId="18873" xr:uid="{00000000-0005-0000-0000-00007D4A0000}"/>
    <cellStyle name="Standard 4 3 2 2 3 6 2" xfId="18874" xr:uid="{00000000-0005-0000-0000-00007E4A0000}"/>
    <cellStyle name="Standard 4 3 2 2 3 6 2 2" xfId="18875" xr:uid="{00000000-0005-0000-0000-00007F4A0000}"/>
    <cellStyle name="Standard 4 3 2 2 3 6 2 3" xfId="18876" xr:uid="{00000000-0005-0000-0000-0000804A0000}"/>
    <cellStyle name="Standard 4 3 2 2 3 6 3" xfId="18877" xr:uid="{00000000-0005-0000-0000-0000814A0000}"/>
    <cellStyle name="Standard 4 3 2 2 3 6 3 2" xfId="18878" xr:uid="{00000000-0005-0000-0000-0000824A0000}"/>
    <cellStyle name="Standard 4 3 2 2 3 6 3 3" xfId="18879" xr:uid="{00000000-0005-0000-0000-0000834A0000}"/>
    <cellStyle name="Standard 4 3 2 2 3 6 4" xfId="18880" xr:uid="{00000000-0005-0000-0000-0000844A0000}"/>
    <cellStyle name="Standard 4 3 2 2 3 6 4 2" xfId="18881" xr:uid="{00000000-0005-0000-0000-0000854A0000}"/>
    <cellStyle name="Standard 4 3 2 2 3 6 5" xfId="18882" xr:uid="{00000000-0005-0000-0000-0000864A0000}"/>
    <cellStyle name="Standard 4 3 2 2 3 6 6" xfId="18883" xr:uid="{00000000-0005-0000-0000-0000874A0000}"/>
    <cellStyle name="Standard 4 3 2 2 3 7" xfId="18884" xr:uid="{00000000-0005-0000-0000-0000884A0000}"/>
    <cellStyle name="Standard 4 3 2 2 3 7 2" xfId="18885" xr:uid="{00000000-0005-0000-0000-0000894A0000}"/>
    <cellStyle name="Standard 4 3 2 2 3 7 3" xfId="18886" xr:uid="{00000000-0005-0000-0000-00008A4A0000}"/>
    <cellStyle name="Standard 4 3 2 2 3 8" xfId="18887" xr:uid="{00000000-0005-0000-0000-00008B4A0000}"/>
    <cellStyle name="Standard 4 3 2 2 3 8 2" xfId="18888" xr:uid="{00000000-0005-0000-0000-00008C4A0000}"/>
    <cellStyle name="Standard 4 3 2 2 3 8 3" xfId="18889" xr:uid="{00000000-0005-0000-0000-00008D4A0000}"/>
    <cellStyle name="Standard 4 3 2 2 3 9" xfId="18890" xr:uid="{00000000-0005-0000-0000-00008E4A0000}"/>
    <cellStyle name="Standard 4 3 2 2 3 9 2" xfId="18891" xr:uid="{00000000-0005-0000-0000-00008F4A0000}"/>
    <cellStyle name="Standard 4 3 2 2 4" xfId="18892" xr:uid="{00000000-0005-0000-0000-0000904A0000}"/>
    <cellStyle name="Standard 4 3 2 2 4 10" xfId="18893" xr:uid="{00000000-0005-0000-0000-0000914A0000}"/>
    <cellStyle name="Standard 4 3 2 2 4 11" xfId="18894" xr:uid="{00000000-0005-0000-0000-0000924A0000}"/>
    <cellStyle name="Standard 4 3 2 2 4 2" xfId="18895" xr:uid="{00000000-0005-0000-0000-0000934A0000}"/>
    <cellStyle name="Standard 4 3 2 2 4 2 10" xfId="18896" xr:uid="{00000000-0005-0000-0000-0000944A0000}"/>
    <cellStyle name="Standard 4 3 2 2 4 2 2" xfId="18897" xr:uid="{00000000-0005-0000-0000-0000954A0000}"/>
    <cellStyle name="Standard 4 3 2 2 4 2 2 2" xfId="18898" xr:uid="{00000000-0005-0000-0000-0000964A0000}"/>
    <cellStyle name="Standard 4 3 2 2 4 2 2 2 2" xfId="18899" xr:uid="{00000000-0005-0000-0000-0000974A0000}"/>
    <cellStyle name="Standard 4 3 2 2 4 2 2 2 2 2" xfId="18900" xr:uid="{00000000-0005-0000-0000-0000984A0000}"/>
    <cellStyle name="Standard 4 3 2 2 4 2 2 2 2 2 2" xfId="18901" xr:uid="{00000000-0005-0000-0000-0000994A0000}"/>
    <cellStyle name="Standard 4 3 2 2 4 2 2 2 2 2 3" xfId="18902" xr:uid="{00000000-0005-0000-0000-00009A4A0000}"/>
    <cellStyle name="Standard 4 3 2 2 4 2 2 2 2 3" xfId="18903" xr:uid="{00000000-0005-0000-0000-00009B4A0000}"/>
    <cellStyle name="Standard 4 3 2 2 4 2 2 2 2 3 2" xfId="18904" xr:uid="{00000000-0005-0000-0000-00009C4A0000}"/>
    <cellStyle name="Standard 4 3 2 2 4 2 2 2 2 3 3" xfId="18905" xr:uid="{00000000-0005-0000-0000-00009D4A0000}"/>
    <cellStyle name="Standard 4 3 2 2 4 2 2 2 2 4" xfId="18906" xr:uid="{00000000-0005-0000-0000-00009E4A0000}"/>
    <cellStyle name="Standard 4 3 2 2 4 2 2 2 2 4 2" xfId="18907" xr:uid="{00000000-0005-0000-0000-00009F4A0000}"/>
    <cellStyle name="Standard 4 3 2 2 4 2 2 2 2 5" xfId="18908" xr:uid="{00000000-0005-0000-0000-0000A04A0000}"/>
    <cellStyle name="Standard 4 3 2 2 4 2 2 2 2 6" xfId="18909" xr:uid="{00000000-0005-0000-0000-0000A14A0000}"/>
    <cellStyle name="Standard 4 3 2 2 4 2 2 2 3" xfId="18910" xr:uid="{00000000-0005-0000-0000-0000A24A0000}"/>
    <cellStyle name="Standard 4 3 2 2 4 2 2 2 3 2" xfId="18911" xr:uid="{00000000-0005-0000-0000-0000A34A0000}"/>
    <cellStyle name="Standard 4 3 2 2 4 2 2 2 3 3" xfId="18912" xr:uid="{00000000-0005-0000-0000-0000A44A0000}"/>
    <cellStyle name="Standard 4 3 2 2 4 2 2 2 4" xfId="18913" xr:uid="{00000000-0005-0000-0000-0000A54A0000}"/>
    <cellStyle name="Standard 4 3 2 2 4 2 2 2 4 2" xfId="18914" xr:uid="{00000000-0005-0000-0000-0000A64A0000}"/>
    <cellStyle name="Standard 4 3 2 2 4 2 2 2 4 3" xfId="18915" xr:uid="{00000000-0005-0000-0000-0000A74A0000}"/>
    <cellStyle name="Standard 4 3 2 2 4 2 2 2 5" xfId="18916" xr:uid="{00000000-0005-0000-0000-0000A84A0000}"/>
    <cellStyle name="Standard 4 3 2 2 4 2 2 2 5 2" xfId="18917" xr:uid="{00000000-0005-0000-0000-0000A94A0000}"/>
    <cellStyle name="Standard 4 3 2 2 4 2 2 2 6" xfId="18918" xr:uid="{00000000-0005-0000-0000-0000AA4A0000}"/>
    <cellStyle name="Standard 4 3 2 2 4 2 2 2 7" xfId="18919" xr:uid="{00000000-0005-0000-0000-0000AB4A0000}"/>
    <cellStyle name="Standard 4 3 2 2 4 2 2 3" xfId="18920" xr:uid="{00000000-0005-0000-0000-0000AC4A0000}"/>
    <cellStyle name="Standard 4 3 2 2 4 2 2 3 2" xfId="18921" xr:uid="{00000000-0005-0000-0000-0000AD4A0000}"/>
    <cellStyle name="Standard 4 3 2 2 4 2 2 3 2 2" xfId="18922" xr:uid="{00000000-0005-0000-0000-0000AE4A0000}"/>
    <cellStyle name="Standard 4 3 2 2 4 2 2 3 2 3" xfId="18923" xr:uid="{00000000-0005-0000-0000-0000AF4A0000}"/>
    <cellStyle name="Standard 4 3 2 2 4 2 2 3 3" xfId="18924" xr:uid="{00000000-0005-0000-0000-0000B04A0000}"/>
    <cellStyle name="Standard 4 3 2 2 4 2 2 3 3 2" xfId="18925" xr:uid="{00000000-0005-0000-0000-0000B14A0000}"/>
    <cellStyle name="Standard 4 3 2 2 4 2 2 3 3 3" xfId="18926" xr:uid="{00000000-0005-0000-0000-0000B24A0000}"/>
    <cellStyle name="Standard 4 3 2 2 4 2 2 3 4" xfId="18927" xr:uid="{00000000-0005-0000-0000-0000B34A0000}"/>
    <cellStyle name="Standard 4 3 2 2 4 2 2 3 4 2" xfId="18928" xr:uid="{00000000-0005-0000-0000-0000B44A0000}"/>
    <cellStyle name="Standard 4 3 2 2 4 2 2 3 5" xfId="18929" xr:uid="{00000000-0005-0000-0000-0000B54A0000}"/>
    <cellStyle name="Standard 4 3 2 2 4 2 2 3 6" xfId="18930" xr:uid="{00000000-0005-0000-0000-0000B64A0000}"/>
    <cellStyle name="Standard 4 3 2 2 4 2 2 4" xfId="18931" xr:uid="{00000000-0005-0000-0000-0000B74A0000}"/>
    <cellStyle name="Standard 4 3 2 2 4 2 2 4 2" xfId="18932" xr:uid="{00000000-0005-0000-0000-0000B84A0000}"/>
    <cellStyle name="Standard 4 3 2 2 4 2 2 4 3" xfId="18933" xr:uid="{00000000-0005-0000-0000-0000B94A0000}"/>
    <cellStyle name="Standard 4 3 2 2 4 2 2 5" xfId="18934" xr:uid="{00000000-0005-0000-0000-0000BA4A0000}"/>
    <cellStyle name="Standard 4 3 2 2 4 2 2 5 2" xfId="18935" xr:uid="{00000000-0005-0000-0000-0000BB4A0000}"/>
    <cellStyle name="Standard 4 3 2 2 4 2 2 5 3" xfId="18936" xr:uid="{00000000-0005-0000-0000-0000BC4A0000}"/>
    <cellStyle name="Standard 4 3 2 2 4 2 2 6" xfId="18937" xr:uid="{00000000-0005-0000-0000-0000BD4A0000}"/>
    <cellStyle name="Standard 4 3 2 2 4 2 2 6 2" xfId="18938" xr:uid="{00000000-0005-0000-0000-0000BE4A0000}"/>
    <cellStyle name="Standard 4 3 2 2 4 2 2 7" xfId="18939" xr:uid="{00000000-0005-0000-0000-0000BF4A0000}"/>
    <cellStyle name="Standard 4 3 2 2 4 2 2 8" xfId="18940" xr:uid="{00000000-0005-0000-0000-0000C04A0000}"/>
    <cellStyle name="Standard 4 3 2 2 4 2 3" xfId="18941" xr:uid="{00000000-0005-0000-0000-0000C14A0000}"/>
    <cellStyle name="Standard 4 3 2 2 4 2 3 2" xfId="18942" xr:uid="{00000000-0005-0000-0000-0000C24A0000}"/>
    <cellStyle name="Standard 4 3 2 2 4 2 3 2 2" xfId="18943" xr:uid="{00000000-0005-0000-0000-0000C34A0000}"/>
    <cellStyle name="Standard 4 3 2 2 4 2 3 2 2 2" xfId="18944" xr:uid="{00000000-0005-0000-0000-0000C44A0000}"/>
    <cellStyle name="Standard 4 3 2 2 4 2 3 2 2 2 2" xfId="18945" xr:uid="{00000000-0005-0000-0000-0000C54A0000}"/>
    <cellStyle name="Standard 4 3 2 2 4 2 3 2 2 2 3" xfId="18946" xr:uid="{00000000-0005-0000-0000-0000C64A0000}"/>
    <cellStyle name="Standard 4 3 2 2 4 2 3 2 2 3" xfId="18947" xr:uid="{00000000-0005-0000-0000-0000C74A0000}"/>
    <cellStyle name="Standard 4 3 2 2 4 2 3 2 2 3 2" xfId="18948" xr:uid="{00000000-0005-0000-0000-0000C84A0000}"/>
    <cellStyle name="Standard 4 3 2 2 4 2 3 2 2 3 3" xfId="18949" xr:uid="{00000000-0005-0000-0000-0000C94A0000}"/>
    <cellStyle name="Standard 4 3 2 2 4 2 3 2 2 4" xfId="18950" xr:uid="{00000000-0005-0000-0000-0000CA4A0000}"/>
    <cellStyle name="Standard 4 3 2 2 4 2 3 2 2 4 2" xfId="18951" xr:uid="{00000000-0005-0000-0000-0000CB4A0000}"/>
    <cellStyle name="Standard 4 3 2 2 4 2 3 2 2 5" xfId="18952" xr:uid="{00000000-0005-0000-0000-0000CC4A0000}"/>
    <cellStyle name="Standard 4 3 2 2 4 2 3 2 2 6" xfId="18953" xr:uid="{00000000-0005-0000-0000-0000CD4A0000}"/>
    <cellStyle name="Standard 4 3 2 2 4 2 3 2 3" xfId="18954" xr:uid="{00000000-0005-0000-0000-0000CE4A0000}"/>
    <cellStyle name="Standard 4 3 2 2 4 2 3 2 3 2" xfId="18955" xr:uid="{00000000-0005-0000-0000-0000CF4A0000}"/>
    <cellStyle name="Standard 4 3 2 2 4 2 3 2 3 3" xfId="18956" xr:uid="{00000000-0005-0000-0000-0000D04A0000}"/>
    <cellStyle name="Standard 4 3 2 2 4 2 3 2 4" xfId="18957" xr:uid="{00000000-0005-0000-0000-0000D14A0000}"/>
    <cellStyle name="Standard 4 3 2 2 4 2 3 2 4 2" xfId="18958" xr:uid="{00000000-0005-0000-0000-0000D24A0000}"/>
    <cellStyle name="Standard 4 3 2 2 4 2 3 2 4 3" xfId="18959" xr:uid="{00000000-0005-0000-0000-0000D34A0000}"/>
    <cellStyle name="Standard 4 3 2 2 4 2 3 2 5" xfId="18960" xr:uid="{00000000-0005-0000-0000-0000D44A0000}"/>
    <cellStyle name="Standard 4 3 2 2 4 2 3 2 5 2" xfId="18961" xr:uid="{00000000-0005-0000-0000-0000D54A0000}"/>
    <cellStyle name="Standard 4 3 2 2 4 2 3 2 6" xfId="18962" xr:uid="{00000000-0005-0000-0000-0000D64A0000}"/>
    <cellStyle name="Standard 4 3 2 2 4 2 3 2 7" xfId="18963" xr:uid="{00000000-0005-0000-0000-0000D74A0000}"/>
    <cellStyle name="Standard 4 3 2 2 4 2 3 3" xfId="18964" xr:uid="{00000000-0005-0000-0000-0000D84A0000}"/>
    <cellStyle name="Standard 4 3 2 2 4 2 3 3 2" xfId="18965" xr:uid="{00000000-0005-0000-0000-0000D94A0000}"/>
    <cellStyle name="Standard 4 3 2 2 4 2 3 3 2 2" xfId="18966" xr:uid="{00000000-0005-0000-0000-0000DA4A0000}"/>
    <cellStyle name="Standard 4 3 2 2 4 2 3 3 2 3" xfId="18967" xr:uid="{00000000-0005-0000-0000-0000DB4A0000}"/>
    <cellStyle name="Standard 4 3 2 2 4 2 3 3 3" xfId="18968" xr:uid="{00000000-0005-0000-0000-0000DC4A0000}"/>
    <cellStyle name="Standard 4 3 2 2 4 2 3 3 3 2" xfId="18969" xr:uid="{00000000-0005-0000-0000-0000DD4A0000}"/>
    <cellStyle name="Standard 4 3 2 2 4 2 3 3 3 3" xfId="18970" xr:uid="{00000000-0005-0000-0000-0000DE4A0000}"/>
    <cellStyle name="Standard 4 3 2 2 4 2 3 3 4" xfId="18971" xr:uid="{00000000-0005-0000-0000-0000DF4A0000}"/>
    <cellStyle name="Standard 4 3 2 2 4 2 3 3 4 2" xfId="18972" xr:uid="{00000000-0005-0000-0000-0000E04A0000}"/>
    <cellStyle name="Standard 4 3 2 2 4 2 3 3 5" xfId="18973" xr:uid="{00000000-0005-0000-0000-0000E14A0000}"/>
    <cellStyle name="Standard 4 3 2 2 4 2 3 3 6" xfId="18974" xr:uid="{00000000-0005-0000-0000-0000E24A0000}"/>
    <cellStyle name="Standard 4 3 2 2 4 2 3 4" xfId="18975" xr:uid="{00000000-0005-0000-0000-0000E34A0000}"/>
    <cellStyle name="Standard 4 3 2 2 4 2 3 4 2" xfId="18976" xr:uid="{00000000-0005-0000-0000-0000E44A0000}"/>
    <cellStyle name="Standard 4 3 2 2 4 2 3 4 3" xfId="18977" xr:uid="{00000000-0005-0000-0000-0000E54A0000}"/>
    <cellStyle name="Standard 4 3 2 2 4 2 3 5" xfId="18978" xr:uid="{00000000-0005-0000-0000-0000E64A0000}"/>
    <cellStyle name="Standard 4 3 2 2 4 2 3 5 2" xfId="18979" xr:uid="{00000000-0005-0000-0000-0000E74A0000}"/>
    <cellStyle name="Standard 4 3 2 2 4 2 3 5 3" xfId="18980" xr:uid="{00000000-0005-0000-0000-0000E84A0000}"/>
    <cellStyle name="Standard 4 3 2 2 4 2 3 6" xfId="18981" xr:uid="{00000000-0005-0000-0000-0000E94A0000}"/>
    <cellStyle name="Standard 4 3 2 2 4 2 3 6 2" xfId="18982" xr:uid="{00000000-0005-0000-0000-0000EA4A0000}"/>
    <cellStyle name="Standard 4 3 2 2 4 2 3 7" xfId="18983" xr:uid="{00000000-0005-0000-0000-0000EB4A0000}"/>
    <cellStyle name="Standard 4 3 2 2 4 2 3 8" xfId="18984" xr:uid="{00000000-0005-0000-0000-0000EC4A0000}"/>
    <cellStyle name="Standard 4 3 2 2 4 2 4" xfId="18985" xr:uid="{00000000-0005-0000-0000-0000ED4A0000}"/>
    <cellStyle name="Standard 4 3 2 2 4 2 4 2" xfId="18986" xr:uid="{00000000-0005-0000-0000-0000EE4A0000}"/>
    <cellStyle name="Standard 4 3 2 2 4 2 4 2 2" xfId="18987" xr:uid="{00000000-0005-0000-0000-0000EF4A0000}"/>
    <cellStyle name="Standard 4 3 2 2 4 2 4 2 2 2" xfId="18988" xr:uid="{00000000-0005-0000-0000-0000F04A0000}"/>
    <cellStyle name="Standard 4 3 2 2 4 2 4 2 2 3" xfId="18989" xr:uid="{00000000-0005-0000-0000-0000F14A0000}"/>
    <cellStyle name="Standard 4 3 2 2 4 2 4 2 3" xfId="18990" xr:uid="{00000000-0005-0000-0000-0000F24A0000}"/>
    <cellStyle name="Standard 4 3 2 2 4 2 4 2 3 2" xfId="18991" xr:uid="{00000000-0005-0000-0000-0000F34A0000}"/>
    <cellStyle name="Standard 4 3 2 2 4 2 4 2 3 3" xfId="18992" xr:uid="{00000000-0005-0000-0000-0000F44A0000}"/>
    <cellStyle name="Standard 4 3 2 2 4 2 4 2 4" xfId="18993" xr:uid="{00000000-0005-0000-0000-0000F54A0000}"/>
    <cellStyle name="Standard 4 3 2 2 4 2 4 2 4 2" xfId="18994" xr:uid="{00000000-0005-0000-0000-0000F64A0000}"/>
    <cellStyle name="Standard 4 3 2 2 4 2 4 2 5" xfId="18995" xr:uid="{00000000-0005-0000-0000-0000F74A0000}"/>
    <cellStyle name="Standard 4 3 2 2 4 2 4 2 6" xfId="18996" xr:uid="{00000000-0005-0000-0000-0000F84A0000}"/>
    <cellStyle name="Standard 4 3 2 2 4 2 4 3" xfId="18997" xr:uid="{00000000-0005-0000-0000-0000F94A0000}"/>
    <cellStyle name="Standard 4 3 2 2 4 2 4 3 2" xfId="18998" xr:uid="{00000000-0005-0000-0000-0000FA4A0000}"/>
    <cellStyle name="Standard 4 3 2 2 4 2 4 3 3" xfId="18999" xr:uid="{00000000-0005-0000-0000-0000FB4A0000}"/>
    <cellStyle name="Standard 4 3 2 2 4 2 4 4" xfId="19000" xr:uid="{00000000-0005-0000-0000-0000FC4A0000}"/>
    <cellStyle name="Standard 4 3 2 2 4 2 4 4 2" xfId="19001" xr:uid="{00000000-0005-0000-0000-0000FD4A0000}"/>
    <cellStyle name="Standard 4 3 2 2 4 2 4 4 3" xfId="19002" xr:uid="{00000000-0005-0000-0000-0000FE4A0000}"/>
    <cellStyle name="Standard 4 3 2 2 4 2 4 5" xfId="19003" xr:uid="{00000000-0005-0000-0000-0000FF4A0000}"/>
    <cellStyle name="Standard 4 3 2 2 4 2 4 5 2" xfId="19004" xr:uid="{00000000-0005-0000-0000-0000004B0000}"/>
    <cellStyle name="Standard 4 3 2 2 4 2 4 6" xfId="19005" xr:uid="{00000000-0005-0000-0000-0000014B0000}"/>
    <cellStyle name="Standard 4 3 2 2 4 2 4 7" xfId="19006" xr:uid="{00000000-0005-0000-0000-0000024B0000}"/>
    <cellStyle name="Standard 4 3 2 2 4 2 5" xfId="19007" xr:uid="{00000000-0005-0000-0000-0000034B0000}"/>
    <cellStyle name="Standard 4 3 2 2 4 2 5 2" xfId="19008" xr:uid="{00000000-0005-0000-0000-0000044B0000}"/>
    <cellStyle name="Standard 4 3 2 2 4 2 5 2 2" xfId="19009" xr:uid="{00000000-0005-0000-0000-0000054B0000}"/>
    <cellStyle name="Standard 4 3 2 2 4 2 5 2 3" xfId="19010" xr:uid="{00000000-0005-0000-0000-0000064B0000}"/>
    <cellStyle name="Standard 4 3 2 2 4 2 5 3" xfId="19011" xr:uid="{00000000-0005-0000-0000-0000074B0000}"/>
    <cellStyle name="Standard 4 3 2 2 4 2 5 3 2" xfId="19012" xr:uid="{00000000-0005-0000-0000-0000084B0000}"/>
    <cellStyle name="Standard 4 3 2 2 4 2 5 3 3" xfId="19013" xr:uid="{00000000-0005-0000-0000-0000094B0000}"/>
    <cellStyle name="Standard 4 3 2 2 4 2 5 4" xfId="19014" xr:uid="{00000000-0005-0000-0000-00000A4B0000}"/>
    <cellStyle name="Standard 4 3 2 2 4 2 5 4 2" xfId="19015" xr:uid="{00000000-0005-0000-0000-00000B4B0000}"/>
    <cellStyle name="Standard 4 3 2 2 4 2 5 5" xfId="19016" xr:uid="{00000000-0005-0000-0000-00000C4B0000}"/>
    <cellStyle name="Standard 4 3 2 2 4 2 5 6" xfId="19017" xr:uid="{00000000-0005-0000-0000-00000D4B0000}"/>
    <cellStyle name="Standard 4 3 2 2 4 2 6" xfId="19018" xr:uid="{00000000-0005-0000-0000-00000E4B0000}"/>
    <cellStyle name="Standard 4 3 2 2 4 2 6 2" xfId="19019" xr:uid="{00000000-0005-0000-0000-00000F4B0000}"/>
    <cellStyle name="Standard 4 3 2 2 4 2 6 3" xfId="19020" xr:uid="{00000000-0005-0000-0000-0000104B0000}"/>
    <cellStyle name="Standard 4 3 2 2 4 2 7" xfId="19021" xr:uid="{00000000-0005-0000-0000-0000114B0000}"/>
    <cellStyle name="Standard 4 3 2 2 4 2 7 2" xfId="19022" xr:uid="{00000000-0005-0000-0000-0000124B0000}"/>
    <cellStyle name="Standard 4 3 2 2 4 2 7 3" xfId="19023" xr:uid="{00000000-0005-0000-0000-0000134B0000}"/>
    <cellStyle name="Standard 4 3 2 2 4 2 8" xfId="19024" xr:uid="{00000000-0005-0000-0000-0000144B0000}"/>
    <cellStyle name="Standard 4 3 2 2 4 2 8 2" xfId="19025" xr:uid="{00000000-0005-0000-0000-0000154B0000}"/>
    <cellStyle name="Standard 4 3 2 2 4 2 9" xfId="19026" xr:uid="{00000000-0005-0000-0000-0000164B0000}"/>
    <cellStyle name="Standard 4 3 2 2 4 3" xfId="19027" xr:uid="{00000000-0005-0000-0000-0000174B0000}"/>
    <cellStyle name="Standard 4 3 2 2 4 3 2" xfId="19028" xr:uid="{00000000-0005-0000-0000-0000184B0000}"/>
    <cellStyle name="Standard 4 3 2 2 4 3 2 2" xfId="19029" xr:uid="{00000000-0005-0000-0000-0000194B0000}"/>
    <cellStyle name="Standard 4 3 2 2 4 3 2 2 2" xfId="19030" xr:uid="{00000000-0005-0000-0000-00001A4B0000}"/>
    <cellStyle name="Standard 4 3 2 2 4 3 2 2 2 2" xfId="19031" xr:uid="{00000000-0005-0000-0000-00001B4B0000}"/>
    <cellStyle name="Standard 4 3 2 2 4 3 2 2 2 3" xfId="19032" xr:uid="{00000000-0005-0000-0000-00001C4B0000}"/>
    <cellStyle name="Standard 4 3 2 2 4 3 2 2 3" xfId="19033" xr:uid="{00000000-0005-0000-0000-00001D4B0000}"/>
    <cellStyle name="Standard 4 3 2 2 4 3 2 2 3 2" xfId="19034" xr:uid="{00000000-0005-0000-0000-00001E4B0000}"/>
    <cellStyle name="Standard 4 3 2 2 4 3 2 2 3 3" xfId="19035" xr:uid="{00000000-0005-0000-0000-00001F4B0000}"/>
    <cellStyle name="Standard 4 3 2 2 4 3 2 2 4" xfId="19036" xr:uid="{00000000-0005-0000-0000-0000204B0000}"/>
    <cellStyle name="Standard 4 3 2 2 4 3 2 2 4 2" xfId="19037" xr:uid="{00000000-0005-0000-0000-0000214B0000}"/>
    <cellStyle name="Standard 4 3 2 2 4 3 2 2 5" xfId="19038" xr:uid="{00000000-0005-0000-0000-0000224B0000}"/>
    <cellStyle name="Standard 4 3 2 2 4 3 2 2 6" xfId="19039" xr:uid="{00000000-0005-0000-0000-0000234B0000}"/>
    <cellStyle name="Standard 4 3 2 2 4 3 2 3" xfId="19040" xr:uid="{00000000-0005-0000-0000-0000244B0000}"/>
    <cellStyle name="Standard 4 3 2 2 4 3 2 3 2" xfId="19041" xr:uid="{00000000-0005-0000-0000-0000254B0000}"/>
    <cellStyle name="Standard 4 3 2 2 4 3 2 3 3" xfId="19042" xr:uid="{00000000-0005-0000-0000-0000264B0000}"/>
    <cellStyle name="Standard 4 3 2 2 4 3 2 4" xfId="19043" xr:uid="{00000000-0005-0000-0000-0000274B0000}"/>
    <cellStyle name="Standard 4 3 2 2 4 3 2 4 2" xfId="19044" xr:uid="{00000000-0005-0000-0000-0000284B0000}"/>
    <cellStyle name="Standard 4 3 2 2 4 3 2 4 3" xfId="19045" xr:uid="{00000000-0005-0000-0000-0000294B0000}"/>
    <cellStyle name="Standard 4 3 2 2 4 3 2 5" xfId="19046" xr:uid="{00000000-0005-0000-0000-00002A4B0000}"/>
    <cellStyle name="Standard 4 3 2 2 4 3 2 5 2" xfId="19047" xr:uid="{00000000-0005-0000-0000-00002B4B0000}"/>
    <cellStyle name="Standard 4 3 2 2 4 3 2 6" xfId="19048" xr:uid="{00000000-0005-0000-0000-00002C4B0000}"/>
    <cellStyle name="Standard 4 3 2 2 4 3 2 7" xfId="19049" xr:uid="{00000000-0005-0000-0000-00002D4B0000}"/>
    <cellStyle name="Standard 4 3 2 2 4 3 3" xfId="19050" xr:uid="{00000000-0005-0000-0000-00002E4B0000}"/>
    <cellStyle name="Standard 4 3 2 2 4 3 3 2" xfId="19051" xr:uid="{00000000-0005-0000-0000-00002F4B0000}"/>
    <cellStyle name="Standard 4 3 2 2 4 3 3 2 2" xfId="19052" xr:uid="{00000000-0005-0000-0000-0000304B0000}"/>
    <cellStyle name="Standard 4 3 2 2 4 3 3 2 3" xfId="19053" xr:uid="{00000000-0005-0000-0000-0000314B0000}"/>
    <cellStyle name="Standard 4 3 2 2 4 3 3 3" xfId="19054" xr:uid="{00000000-0005-0000-0000-0000324B0000}"/>
    <cellStyle name="Standard 4 3 2 2 4 3 3 3 2" xfId="19055" xr:uid="{00000000-0005-0000-0000-0000334B0000}"/>
    <cellStyle name="Standard 4 3 2 2 4 3 3 3 3" xfId="19056" xr:uid="{00000000-0005-0000-0000-0000344B0000}"/>
    <cellStyle name="Standard 4 3 2 2 4 3 3 4" xfId="19057" xr:uid="{00000000-0005-0000-0000-0000354B0000}"/>
    <cellStyle name="Standard 4 3 2 2 4 3 3 4 2" xfId="19058" xr:uid="{00000000-0005-0000-0000-0000364B0000}"/>
    <cellStyle name="Standard 4 3 2 2 4 3 3 5" xfId="19059" xr:uid="{00000000-0005-0000-0000-0000374B0000}"/>
    <cellStyle name="Standard 4 3 2 2 4 3 3 6" xfId="19060" xr:uid="{00000000-0005-0000-0000-0000384B0000}"/>
    <cellStyle name="Standard 4 3 2 2 4 3 4" xfId="19061" xr:uid="{00000000-0005-0000-0000-0000394B0000}"/>
    <cellStyle name="Standard 4 3 2 2 4 3 4 2" xfId="19062" xr:uid="{00000000-0005-0000-0000-00003A4B0000}"/>
    <cellStyle name="Standard 4 3 2 2 4 3 4 3" xfId="19063" xr:uid="{00000000-0005-0000-0000-00003B4B0000}"/>
    <cellStyle name="Standard 4 3 2 2 4 3 5" xfId="19064" xr:uid="{00000000-0005-0000-0000-00003C4B0000}"/>
    <cellStyle name="Standard 4 3 2 2 4 3 5 2" xfId="19065" xr:uid="{00000000-0005-0000-0000-00003D4B0000}"/>
    <cellStyle name="Standard 4 3 2 2 4 3 5 3" xfId="19066" xr:uid="{00000000-0005-0000-0000-00003E4B0000}"/>
    <cellStyle name="Standard 4 3 2 2 4 3 6" xfId="19067" xr:uid="{00000000-0005-0000-0000-00003F4B0000}"/>
    <cellStyle name="Standard 4 3 2 2 4 3 6 2" xfId="19068" xr:uid="{00000000-0005-0000-0000-0000404B0000}"/>
    <cellStyle name="Standard 4 3 2 2 4 3 7" xfId="19069" xr:uid="{00000000-0005-0000-0000-0000414B0000}"/>
    <cellStyle name="Standard 4 3 2 2 4 3 8" xfId="19070" xr:uid="{00000000-0005-0000-0000-0000424B0000}"/>
    <cellStyle name="Standard 4 3 2 2 4 4" xfId="19071" xr:uid="{00000000-0005-0000-0000-0000434B0000}"/>
    <cellStyle name="Standard 4 3 2 2 4 4 2" xfId="19072" xr:uid="{00000000-0005-0000-0000-0000444B0000}"/>
    <cellStyle name="Standard 4 3 2 2 4 4 2 2" xfId="19073" xr:uid="{00000000-0005-0000-0000-0000454B0000}"/>
    <cellStyle name="Standard 4 3 2 2 4 4 2 2 2" xfId="19074" xr:uid="{00000000-0005-0000-0000-0000464B0000}"/>
    <cellStyle name="Standard 4 3 2 2 4 4 2 2 2 2" xfId="19075" xr:uid="{00000000-0005-0000-0000-0000474B0000}"/>
    <cellStyle name="Standard 4 3 2 2 4 4 2 2 2 3" xfId="19076" xr:uid="{00000000-0005-0000-0000-0000484B0000}"/>
    <cellStyle name="Standard 4 3 2 2 4 4 2 2 3" xfId="19077" xr:uid="{00000000-0005-0000-0000-0000494B0000}"/>
    <cellStyle name="Standard 4 3 2 2 4 4 2 2 3 2" xfId="19078" xr:uid="{00000000-0005-0000-0000-00004A4B0000}"/>
    <cellStyle name="Standard 4 3 2 2 4 4 2 2 3 3" xfId="19079" xr:uid="{00000000-0005-0000-0000-00004B4B0000}"/>
    <cellStyle name="Standard 4 3 2 2 4 4 2 2 4" xfId="19080" xr:uid="{00000000-0005-0000-0000-00004C4B0000}"/>
    <cellStyle name="Standard 4 3 2 2 4 4 2 2 4 2" xfId="19081" xr:uid="{00000000-0005-0000-0000-00004D4B0000}"/>
    <cellStyle name="Standard 4 3 2 2 4 4 2 2 5" xfId="19082" xr:uid="{00000000-0005-0000-0000-00004E4B0000}"/>
    <cellStyle name="Standard 4 3 2 2 4 4 2 2 6" xfId="19083" xr:uid="{00000000-0005-0000-0000-00004F4B0000}"/>
    <cellStyle name="Standard 4 3 2 2 4 4 2 3" xfId="19084" xr:uid="{00000000-0005-0000-0000-0000504B0000}"/>
    <cellStyle name="Standard 4 3 2 2 4 4 2 3 2" xfId="19085" xr:uid="{00000000-0005-0000-0000-0000514B0000}"/>
    <cellStyle name="Standard 4 3 2 2 4 4 2 3 3" xfId="19086" xr:uid="{00000000-0005-0000-0000-0000524B0000}"/>
    <cellStyle name="Standard 4 3 2 2 4 4 2 4" xfId="19087" xr:uid="{00000000-0005-0000-0000-0000534B0000}"/>
    <cellStyle name="Standard 4 3 2 2 4 4 2 4 2" xfId="19088" xr:uid="{00000000-0005-0000-0000-0000544B0000}"/>
    <cellStyle name="Standard 4 3 2 2 4 4 2 4 3" xfId="19089" xr:uid="{00000000-0005-0000-0000-0000554B0000}"/>
    <cellStyle name="Standard 4 3 2 2 4 4 2 5" xfId="19090" xr:uid="{00000000-0005-0000-0000-0000564B0000}"/>
    <cellStyle name="Standard 4 3 2 2 4 4 2 5 2" xfId="19091" xr:uid="{00000000-0005-0000-0000-0000574B0000}"/>
    <cellStyle name="Standard 4 3 2 2 4 4 2 6" xfId="19092" xr:uid="{00000000-0005-0000-0000-0000584B0000}"/>
    <cellStyle name="Standard 4 3 2 2 4 4 2 7" xfId="19093" xr:uid="{00000000-0005-0000-0000-0000594B0000}"/>
    <cellStyle name="Standard 4 3 2 2 4 4 3" xfId="19094" xr:uid="{00000000-0005-0000-0000-00005A4B0000}"/>
    <cellStyle name="Standard 4 3 2 2 4 4 3 2" xfId="19095" xr:uid="{00000000-0005-0000-0000-00005B4B0000}"/>
    <cellStyle name="Standard 4 3 2 2 4 4 3 2 2" xfId="19096" xr:uid="{00000000-0005-0000-0000-00005C4B0000}"/>
    <cellStyle name="Standard 4 3 2 2 4 4 3 2 3" xfId="19097" xr:uid="{00000000-0005-0000-0000-00005D4B0000}"/>
    <cellStyle name="Standard 4 3 2 2 4 4 3 3" xfId="19098" xr:uid="{00000000-0005-0000-0000-00005E4B0000}"/>
    <cellStyle name="Standard 4 3 2 2 4 4 3 3 2" xfId="19099" xr:uid="{00000000-0005-0000-0000-00005F4B0000}"/>
    <cellStyle name="Standard 4 3 2 2 4 4 3 3 3" xfId="19100" xr:uid="{00000000-0005-0000-0000-0000604B0000}"/>
    <cellStyle name="Standard 4 3 2 2 4 4 3 4" xfId="19101" xr:uid="{00000000-0005-0000-0000-0000614B0000}"/>
    <cellStyle name="Standard 4 3 2 2 4 4 3 4 2" xfId="19102" xr:uid="{00000000-0005-0000-0000-0000624B0000}"/>
    <cellStyle name="Standard 4 3 2 2 4 4 3 5" xfId="19103" xr:uid="{00000000-0005-0000-0000-0000634B0000}"/>
    <cellStyle name="Standard 4 3 2 2 4 4 3 6" xfId="19104" xr:uid="{00000000-0005-0000-0000-0000644B0000}"/>
    <cellStyle name="Standard 4 3 2 2 4 4 4" xfId="19105" xr:uid="{00000000-0005-0000-0000-0000654B0000}"/>
    <cellStyle name="Standard 4 3 2 2 4 4 4 2" xfId="19106" xr:uid="{00000000-0005-0000-0000-0000664B0000}"/>
    <cellStyle name="Standard 4 3 2 2 4 4 4 3" xfId="19107" xr:uid="{00000000-0005-0000-0000-0000674B0000}"/>
    <cellStyle name="Standard 4 3 2 2 4 4 5" xfId="19108" xr:uid="{00000000-0005-0000-0000-0000684B0000}"/>
    <cellStyle name="Standard 4 3 2 2 4 4 5 2" xfId="19109" xr:uid="{00000000-0005-0000-0000-0000694B0000}"/>
    <cellStyle name="Standard 4 3 2 2 4 4 5 3" xfId="19110" xr:uid="{00000000-0005-0000-0000-00006A4B0000}"/>
    <cellStyle name="Standard 4 3 2 2 4 4 6" xfId="19111" xr:uid="{00000000-0005-0000-0000-00006B4B0000}"/>
    <cellStyle name="Standard 4 3 2 2 4 4 6 2" xfId="19112" xr:uid="{00000000-0005-0000-0000-00006C4B0000}"/>
    <cellStyle name="Standard 4 3 2 2 4 4 7" xfId="19113" xr:uid="{00000000-0005-0000-0000-00006D4B0000}"/>
    <cellStyle name="Standard 4 3 2 2 4 4 8" xfId="19114" xr:uid="{00000000-0005-0000-0000-00006E4B0000}"/>
    <cellStyle name="Standard 4 3 2 2 4 5" xfId="19115" xr:uid="{00000000-0005-0000-0000-00006F4B0000}"/>
    <cellStyle name="Standard 4 3 2 2 4 5 2" xfId="19116" xr:uid="{00000000-0005-0000-0000-0000704B0000}"/>
    <cellStyle name="Standard 4 3 2 2 4 5 2 2" xfId="19117" xr:uid="{00000000-0005-0000-0000-0000714B0000}"/>
    <cellStyle name="Standard 4 3 2 2 4 5 2 2 2" xfId="19118" xr:uid="{00000000-0005-0000-0000-0000724B0000}"/>
    <cellStyle name="Standard 4 3 2 2 4 5 2 2 3" xfId="19119" xr:uid="{00000000-0005-0000-0000-0000734B0000}"/>
    <cellStyle name="Standard 4 3 2 2 4 5 2 3" xfId="19120" xr:uid="{00000000-0005-0000-0000-0000744B0000}"/>
    <cellStyle name="Standard 4 3 2 2 4 5 2 3 2" xfId="19121" xr:uid="{00000000-0005-0000-0000-0000754B0000}"/>
    <cellStyle name="Standard 4 3 2 2 4 5 2 3 3" xfId="19122" xr:uid="{00000000-0005-0000-0000-0000764B0000}"/>
    <cellStyle name="Standard 4 3 2 2 4 5 2 4" xfId="19123" xr:uid="{00000000-0005-0000-0000-0000774B0000}"/>
    <cellStyle name="Standard 4 3 2 2 4 5 2 4 2" xfId="19124" xr:uid="{00000000-0005-0000-0000-0000784B0000}"/>
    <cellStyle name="Standard 4 3 2 2 4 5 2 5" xfId="19125" xr:uid="{00000000-0005-0000-0000-0000794B0000}"/>
    <cellStyle name="Standard 4 3 2 2 4 5 2 6" xfId="19126" xr:uid="{00000000-0005-0000-0000-00007A4B0000}"/>
    <cellStyle name="Standard 4 3 2 2 4 5 3" xfId="19127" xr:uid="{00000000-0005-0000-0000-00007B4B0000}"/>
    <cellStyle name="Standard 4 3 2 2 4 5 3 2" xfId="19128" xr:uid="{00000000-0005-0000-0000-00007C4B0000}"/>
    <cellStyle name="Standard 4 3 2 2 4 5 3 3" xfId="19129" xr:uid="{00000000-0005-0000-0000-00007D4B0000}"/>
    <cellStyle name="Standard 4 3 2 2 4 5 4" xfId="19130" xr:uid="{00000000-0005-0000-0000-00007E4B0000}"/>
    <cellStyle name="Standard 4 3 2 2 4 5 4 2" xfId="19131" xr:uid="{00000000-0005-0000-0000-00007F4B0000}"/>
    <cellStyle name="Standard 4 3 2 2 4 5 4 3" xfId="19132" xr:uid="{00000000-0005-0000-0000-0000804B0000}"/>
    <cellStyle name="Standard 4 3 2 2 4 5 5" xfId="19133" xr:uid="{00000000-0005-0000-0000-0000814B0000}"/>
    <cellStyle name="Standard 4 3 2 2 4 5 5 2" xfId="19134" xr:uid="{00000000-0005-0000-0000-0000824B0000}"/>
    <cellStyle name="Standard 4 3 2 2 4 5 6" xfId="19135" xr:uid="{00000000-0005-0000-0000-0000834B0000}"/>
    <cellStyle name="Standard 4 3 2 2 4 5 7" xfId="19136" xr:uid="{00000000-0005-0000-0000-0000844B0000}"/>
    <cellStyle name="Standard 4 3 2 2 4 6" xfId="19137" xr:uid="{00000000-0005-0000-0000-0000854B0000}"/>
    <cellStyle name="Standard 4 3 2 2 4 6 2" xfId="19138" xr:uid="{00000000-0005-0000-0000-0000864B0000}"/>
    <cellStyle name="Standard 4 3 2 2 4 6 2 2" xfId="19139" xr:uid="{00000000-0005-0000-0000-0000874B0000}"/>
    <cellStyle name="Standard 4 3 2 2 4 6 2 3" xfId="19140" xr:uid="{00000000-0005-0000-0000-0000884B0000}"/>
    <cellStyle name="Standard 4 3 2 2 4 6 3" xfId="19141" xr:uid="{00000000-0005-0000-0000-0000894B0000}"/>
    <cellStyle name="Standard 4 3 2 2 4 6 3 2" xfId="19142" xr:uid="{00000000-0005-0000-0000-00008A4B0000}"/>
    <cellStyle name="Standard 4 3 2 2 4 6 3 3" xfId="19143" xr:uid="{00000000-0005-0000-0000-00008B4B0000}"/>
    <cellStyle name="Standard 4 3 2 2 4 6 4" xfId="19144" xr:uid="{00000000-0005-0000-0000-00008C4B0000}"/>
    <cellStyle name="Standard 4 3 2 2 4 6 4 2" xfId="19145" xr:uid="{00000000-0005-0000-0000-00008D4B0000}"/>
    <cellStyle name="Standard 4 3 2 2 4 6 5" xfId="19146" xr:uid="{00000000-0005-0000-0000-00008E4B0000}"/>
    <cellStyle name="Standard 4 3 2 2 4 6 6" xfId="19147" xr:uid="{00000000-0005-0000-0000-00008F4B0000}"/>
    <cellStyle name="Standard 4 3 2 2 4 7" xfId="19148" xr:uid="{00000000-0005-0000-0000-0000904B0000}"/>
    <cellStyle name="Standard 4 3 2 2 4 7 2" xfId="19149" xr:uid="{00000000-0005-0000-0000-0000914B0000}"/>
    <cellStyle name="Standard 4 3 2 2 4 7 3" xfId="19150" xr:uid="{00000000-0005-0000-0000-0000924B0000}"/>
    <cellStyle name="Standard 4 3 2 2 4 8" xfId="19151" xr:uid="{00000000-0005-0000-0000-0000934B0000}"/>
    <cellStyle name="Standard 4 3 2 2 4 8 2" xfId="19152" xr:uid="{00000000-0005-0000-0000-0000944B0000}"/>
    <cellStyle name="Standard 4 3 2 2 4 8 3" xfId="19153" xr:uid="{00000000-0005-0000-0000-0000954B0000}"/>
    <cellStyle name="Standard 4 3 2 2 4 9" xfId="19154" xr:uid="{00000000-0005-0000-0000-0000964B0000}"/>
    <cellStyle name="Standard 4 3 2 2 4 9 2" xfId="19155" xr:uid="{00000000-0005-0000-0000-0000974B0000}"/>
    <cellStyle name="Standard 4 3 2 2 5" xfId="19156" xr:uid="{00000000-0005-0000-0000-0000984B0000}"/>
    <cellStyle name="Standard 4 3 2 2 5 10" xfId="19157" xr:uid="{00000000-0005-0000-0000-0000994B0000}"/>
    <cellStyle name="Standard 4 3 2 2 5 2" xfId="19158" xr:uid="{00000000-0005-0000-0000-00009A4B0000}"/>
    <cellStyle name="Standard 4 3 2 2 5 2 2" xfId="19159" xr:uid="{00000000-0005-0000-0000-00009B4B0000}"/>
    <cellStyle name="Standard 4 3 2 2 5 2 2 2" xfId="19160" xr:uid="{00000000-0005-0000-0000-00009C4B0000}"/>
    <cellStyle name="Standard 4 3 2 2 5 2 2 2 2" xfId="19161" xr:uid="{00000000-0005-0000-0000-00009D4B0000}"/>
    <cellStyle name="Standard 4 3 2 2 5 2 2 2 2 2" xfId="19162" xr:uid="{00000000-0005-0000-0000-00009E4B0000}"/>
    <cellStyle name="Standard 4 3 2 2 5 2 2 2 2 3" xfId="19163" xr:uid="{00000000-0005-0000-0000-00009F4B0000}"/>
    <cellStyle name="Standard 4 3 2 2 5 2 2 2 3" xfId="19164" xr:uid="{00000000-0005-0000-0000-0000A04B0000}"/>
    <cellStyle name="Standard 4 3 2 2 5 2 2 2 3 2" xfId="19165" xr:uid="{00000000-0005-0000-0000-0000A14B0000}"/>
    <cellStyle name="Standard 4 3 2 2 5 2 2 2 3 3" xfId="19166" xr:uid="{00000000-0005-0000-0000-0000A24B0000}"/>
    <cellStyle name="Standard 4 3 2 2 5 2 2 2 4" xfId="19167" xr:uid="{00000000-0005-0000-0000-0000A34B0000}"/>
    <cellStyle name="Standard 4 3 2 2 5 2 2 2 4 2" xfId="19168" xr:uid="{00000000-0005-0000-0000-0000A44B0000}"/>
    <cellStyle name="Standard 4 3 2 2 5 2 2 2 5" xfId="19169" xr:uid="{00000000-0005-0000-0000-0000A54B0000}"/>
    <cellStyle name="Standard 4 3 2 2 5 2 2 2 6" xfId="19170" xr:uid="{00000000-0005-0000-0000-0000A64B0000}"/>
    <cellStyle name="Standard 4 3 2 2 5 2 2 3" xfId="19171" xr:uid="{00000000-0005-0000-0000-0000A74B0000}"/>
    <cellStyle name="Standard 4 3 2 2 5 2 2 3 2" xfId="19172" xr:uid="{00000000-0005-0000-0000-0000A84B0000}"/>
    <cellStyle name="Standard 4 3 2 2 5 2 2 3 3" xfId="19173" xr:uid="{00000000-0005-0000-0000-0000A94B0000}"/>
    <cellStyle name="Standard 4 3 2 2 5 2 2 4" xfId="19174" xr:uid="{00000000-0005-0000-0000-0000AA4B0000}"/>
    <cellStyle name="Standard 4 3 2 2 5 2 2 4 2" xfId="19175" xr:uid="{00000000-0005-0000-0000-0000AB4B0000}"/>
    <cellStyle name="Standard 4 3 2 2 5 2 2 4 3" xfId="19176" xr:uid="{00000000-0005-0000-0000-0000AC4B0000}"/>
    <cellStyle name="Standard 4 3 2 2 5 2 2 5" xfId="19177" xr:uid="{00000000-0005-0000-0000-0000AD4B0000}"/>
    <cellStyle name="Standard 4 3 2 2 5 2 2 5 2" xfId="19178" xr:uid="{00000000-0005-0000-0000-0000AE4B0000}"/>
    <cellStyle name="Standard 4 3 2 2 5 2 2 6" xfId="19179" xr:uid="{00000000-0005-0000-0000-0000AF4B0000}"/>
    <cellStyle name="Standard 4 3 2 2 5 2 2 7" xfId="19180" xr:uid="{00000000-0005-0000-0000-0000B04B0000}"/>
    <cellStyle name="Standard 4 3 2 2 5 2 3" xfId="19181" xr:uid="{00000000-0005-0000-0000-0000B14B0000}"/>
    <cellStyle name="Standard 4 3 2 2 5 2 3 2" xfId="19182" xr:uid="{00000000-0005-0000-0000-0000B24B0000}"/>
    <cellStyle name="Standard 4 3 2 2 5 2 3 2 2" xfId="19183" xr:uid="{00000000-0005-0000-0000-0000B34B0000}"/>
    <cellStyle name="Standard 4 3 2 2 5 2 3 2 3" xfId="19184" xr:uid="{00000000-0005-0000-0000-0000B44B0000}"/>
    <cellStyle name="Standard 4 3 2 2 5 2 3 3" xfId="19185" xr:uid="{00000000-0005-0000-0000-0000B54B0000}"/>
    <cellStyle name="Standard 4 3 2 2 5 2 3 3 2" xfId="19186" xr:uid="{00000000-0005-0000-0000-0000B64B0000}"/>
    <cellStyle name="Standard 4 3 2 2 5 2 3 3 3" xfId="19187" xr:uid="{00000000-0005-0000-0000-0000B74B0000}"/>
    <cellStyle name="Standard 4 3 2 2 5 2 3 4" xfId="19188" xr:uid="{00000000-0005-0000-0000-0000B84B0000}"/>
    <cellStyle name="Standard 4 3 2 2 5 2 3 4 2" xfId="19189" xr:uid="{00000000-0005-0000-0000-0000B94B0000}"/>
    <cellStyle name="Standard 4 3 2 2 5 2 3 5" xfId="19190" xr:uid="{00000000-0005-0000-0000-0000BA4B0000}"/>
    <cellStyle name="Standard 4 3 2 2 5 2 3 6" xfId="19191" xr:uid="{00000000-0005-0000-0000-0000BB4B0000}"/>
    <cellStyle name="Standard 4 3 2 2 5 2 4" xfId="19192" xr:uid="{00000000-0005-0000-0000-0000BC4B0000}"/>
    <cellStyle name="Standard 4 3 2 2 5 2 4 2" xfId="19193" xr:uid="{00000000-0005-0000-0000-0000BD4B0000}"/>
    <cellStyle name="Standard 4 3 2 2 5 2 4 3" xfId="19194" xr:uid="{00000000-0005-0000-0000-0000BE4B0000}"/>
    <cellStyle name="Standard 4 3 2 2 5 2 5" xfId="19195" xr:uid="{00000000-0005-0000-0000-0000BF4B0000}"/>
    <cellStyle name="Standard 4 3 2 2 5 2 5 2" xfId="19196" xr:uid="{00000000-0005-0000-0000-0000C04B0000}"/>
    <cellStyle name="Standard 4 3 2 2 5 2 5 3" xfId="19197" xr:uid="{00000000-0005-0000-0000-0000C14B0000}"/>
    <cellStyle name="Standard 4 3 2 2 5 2 6" xfId="19198" xr:uid="{00000000-0005-0000-0000-0000C24B0000}"/>
    <cellStyle name="Standard 4 3 2 2 5 2 6 2" xfId="19199" xr:uid="{00000000-0005-0000-0000-0000C34B0000}"/>
    <cellStyle name="Standard 4 3 2 2 5 2 7" xfId="19200" xr:uid="{00000000-0005-0000-0000-0000C44B0000}"/>
    <cellStyle name="Standard 4 3 2 2 5 2 8" xfId="19201" xr:uid="{00000000-0005-0000-0000-0000C54B0000}"/>
    <cellStyle name="Standard 4 3 2 2 5 3" xfId="19202" xr:uid="{00000000-0005-0000-0000-0000C64B0000}"/>
    <cellStyle name="Standard 4 3 2 2 5 3 2" xfId="19203" xr:uid="{00000000-0005-0000-0000-0000C74B0000}"/>
    <cellStyle name="Standard 4 3 2 2 5 3 2 2" xfId="19204" xr:uid="{00000000-0005-0000-0000-0000C84B0000}"/>
    <cellStyle name="Standard 4 3 2 2 5 3 2 2 2" xfId="19205" xr:uid="{00000000-0005-0000-0000-0000C94B0000}"/>
    <cellStyle name="Standard 4 3 2 2 5 3 2 2 2 2" xfId="19206" xr:uid="{00000000-0005-0000-0000-0000CA4B0000}"/>
    <cellStyle name="Standard 4 3 2 2 5 3 2 2 2 3" xfId="19207" xr:uid="{00000000-0005-0000-0000-0000CB4B0000}"/>
    <cellStyle name="Standard 4 3 2 2 5 3 2 2 3" xfId="19208" xr:uid="{00000000-0005-0000-0000-0000CC4B0000}"/>
    <cellStyle name="Standard 4 3 2 2 5 3 2 2 3 2" xfId="19209" xr:uid="{00000000-0005-0000-0000-0000CD4B0000}"/>
    <cellStyle name="Standard 4 3 2 2 5 3 2 2 3 3" xfId="19210" xr:uid="{00000000-0005-0000-0000-0000CE4B0000}"/>
    <cellStyle name="Standard 4 3 2 2 5 3 2 2 4" xfId="19211" xr:uid="{00000000-0005-0000-0000-0000CF4B0000}"/>
    <cellStyle name="Standard 4 3 2 2 5 3 2 2 4 2" xfId="19212" xr:uid="{00000000-0005-0000-0000-0000D04B0000}"/>
    <cellStyle name="Standard 4 3 2 2 5 3 2 2 5" xfId="19213" xr:uid="{00000000-0005-0000-0000-0000D14B0000}"/>
    <cellStyle name="Standard 4 3 2 2 5 3 2 2 6" xfId="19214" xr:uid="{00000000-0005-0000-0000-0000D24B0000}"/>
    <cellStyle name="Standard 4 3 2 2 5 3 2 3" xfId="19215" xr:uid="{00000000-0005-0000-0000-0000D34B0000}"/>
    <cellStyle name="Standard 4 3 2 2 5 3 2 3 2" xfId="19216" xr:uid="{00000000-0005-0000-0000-0000D44B0000}"/>
    <cellStyle name="Standard 4 3 2 2 5 3 2 3 3" xfId="19217" xr:uid="{00000000-0005-0000-0000-0000D54B0000}"/>
    <cellStyle name="Standard 4 3 2 2 5 3 2 4" xfId="19218" xr:uid="{00000000-0005-0000-0000-0000D64B0000}"/>
    <cellStyle name="Standard 4 3 2 2 5 3 2 4 2" xfId="19219" xr:uid="{00000000-0005-0000-0000-0000D74B0000}"/>
    <cellStyle name="Standard 4 3 2 2 5 3 2 4 3" xfId="19220" xr:uid="{00000000-0005-0000-0000-0000D84B0000}"/>
    <cellStyle name="Standard 4 3 2 2 5 3 2 5" xfId="19221" xr:uid="{00000000-0005-0000-0000-0000D94B0000}"/>
    <cellStyle name="Standard 4 3 2 2 5 3 2 5 2" xfId="19222" xr:uid="{00000000-0005-0000-0000-0000DA4B0000}"/>
    <cellStyle name="Standard 4 3 2 2 5 3 2 6" xfId="19223" xr:uid="{00000000-0005-0000-0000-0000DB4B0000}"/>
    <cellStyle name="Standard 4 3 2 2 5 3 2 7" xfId="19224" xr:uid="{00000000-0005-0000-0000-0000DC4B0000}"/>
    <cellStyle name="Standard 4 3 2 2 5 3 3" xfId="19225" xr:uid="{00000000-0005-0000-0000-0000DD4B0000}"/>
    <cellStyle name="Standard 4 3 2 2 5 3 3 2" xfId="19226" xr:uid="{00000000-0005-0000-0000-0000DE4B0000}"/>
    <cellStyle name="Standard 4 3 2 2 5 3 3 2 2" xfId="19227" xr:uid="{00000000-0005-0000-0000-0000DF4B0000}"/>
    <cellStyle name="Standard 4 3 2 2 5 3 3 2 3" xfId="19228" xr:uid="{00000000-0005-0000-0000-0000E04B0000}"/>
    <cellStyle name="Standard 4 3 2 2 5 3 3 3" xfId="19229" xr:uid="{00000000-0005-0000-0000-0000E14B0000}"/>
    <cellStyle name="Standard 4 3 2 2 5 3 3 3 2" xfId="19230" xr:uid="{00000000-0005-0000-0000-0000E24B0000}"/>
    <cellStyle name="Standard 4 3 2 2 5 3 3 3 3" xfId="19231" xr:uid="{00000000-0005-0000-0000-0000E34B0000}"/>
    <cellStyle name="Standard 4 3 2 2 5 3 3 4" xfId="19232" xr:uid="{00000000-0005-0000-0000-0000E44B0000}"/>
    <cellStyle name="Standard 4 3 2 2 5 3 3 4 2" xfId="19233" xr:uid="{00000000-0005-0000-0000-0000E54B0000}"/>
    <cellStyle name="Standard 4 3 2 2 5 3 3 5" xfId="19234" xr:uid="{00000000-0005-0000-0000-0000E64B0000}"/>
    <cellStyle name="Standard 4 3 2 2 5 3 3 6" xfId="19235" xr:uid="{00000000-0005-0000-0000-0000E74B0000}"/>
    <cellStyle name="Standard 4 3 2 2 5 3 4" xfId="19236" xr:uid="{00000000-0005-0000-0000-0000E84B0000}"/>
    <cellStyle name="Standard 4 3 2 2 5 3 4 2" xfId="19237" xr:uid="{00000000-0005-0000-0000-0000E94B0000}"/>
    <cellStyle name="Standard 4 3 2 2 5 3 4 3" xfId="19238" xr:uid="{00000000-0005-0000-0000-0000EA4B0000}"/>
    <cellStyle name="Standard 4 3 2 2 5 3 5" xfId="19239" xr:uid="{00000000-0005-0000-0000-0000EB4B0000}"/>
    <cellStyle name="Standard 4 3 2 2 5 3 5 2" xfId="19240" xr:uid="{00000000-0005-0000-0000-0000EC4B0000}"/>
    <cellStyle name="Standard 4 3 2 2 5 3 5 3" xfId="19241" xr:uid="{00000000-0005-0000-0000-0000ED4B0000}"/>
    <cellStyle name="Standard 4 3 2 2 5 3 6" xfId="19242" xr:uid="{00000000-0005-0000-0000-0000EE4B0000}"/>
    <cellStyle name="Standard 4 3 2 2 5 3 6 2" xfId="19243" xr:uid="{00000000-0005-0000-0000-0000EF4B0000}"/>
    <cellStyle name="Standard 4 3 2 2 5 3 7" xfId="19244" xr:uid="{00000000-0005-0000-0000-0000F04B0000}"/>
    <cellStyle name="Standard 4 3 2 2 5 3 8" xfId="19245" xr:uid="{00000000-0005-0000-0000-0000F14B0000}"/>
    <cellStyle name="Standard 4 3 2 2 5 4" xfId="19246" xr:uid="{00000000-0005-0000-0000-0000F24B0000}"/>
    <cellStyle name="Standard 4 3 2 2 5 4 2" xfId="19247" xr:uid="{00000000-0005-0000-0000-0000F34B0000}"/>
    <cellStyle name="Standard 4 3 2 2 5 4 2 2" xfId="19248" xr:uid="{00000000-0005-0000-0000-0000F44B0000}"/>
    <cellStyle name="Standard 4 3 2 2 5 4 2 2 2" xfId="19249" xr:uid="{00000000-0005-0000-0000-0000F54B0000}"/>
    <cellStyle name="Standard 4 3 2 2 5 4 2 2 3" xfId="19250" xr:uid="{00000000-0005-0000-0000-0000F64B0000}"/>
    <cellStyle name="Standard 4 3 2 2 5 4 2 3" xfId="19251" xr:uid="{00000000-0005-0000-0000-0000F74B0000}"/>
    <cellStyle name="Standard 4 3 2 2 5 4 2 3 2" xfId="19252" xr:uid="{00000000-0005-0000-0000-0000F84B0000}"/>
    <cellStyle name="Standard 4 3 2 2 5 4 2 3 3" xfId="19253" xr:uid="{00000000-0005-0000-0000-0000F94B0000}"/>
    <cellStyle name="Standard 4 3 2 2 5 4 2 4" xfId="19254" xr:uid="{00000000-0005-0000-0000-0000FA4B0000}"/>
    <cellStyle name="Standard 4 3 2 2 5 4 2 4 2" xfId="19255" xr:uid="{00000000-0005-0000-0000-0000FB4B0000}"/>
    <cellStyle name="Standard 4 3 2 2 5 4 2 5" xfId="19256" xr:uid="{00000000-0005-0000-0000-0000FC4B0000}"/>
    <cellStyle name="Standard 4 3 2 2 5 4 2 6" xfId="19257" xr:uid="{00000000-0005-0000-0000-0000FD4B0000}"/>
    <cellStyle name="Standard 4 3 2 2 5 4 3" xfId="19258" xr:uid="{00000000-0005-0000-0000-0000FE4B0000}"/>
    <cellStyle name="Standard 4 3 2 2 5 4 3 2" xfId="19259" xr:uid="{00000000-0005-0000-0000-0000FF4B0000}"/>
    <cellStyle name="Standard 4 3 2 2 5 4 3 3" xfId="19260" xr:uid="{00000000-0005-0000-0000-0000004C0000}"/>
    <cellStyle name="Standard 4 3 2 2 5 4 4" xfId="19261" xr:uid="{00000000-0005-0000-0000-0000014C0000}"/>
    <cellStyle name="Standard 4 3 2 2 5 4 4 2" xfId="19262" xr:uid="{00000000-0005-0000-0000-0000024C0000}"/>
    <cellStyle name="Standard 4 3 2 2 5 4 4 3" xfId="19263" xr:uid="{00000000-0005-0000-0000-0000034C0000}"/>
    <cellStyle name="Standard 4 3 2 2 5 4 5" xfId="19264" xr:uid="{00000000-0005-0000-0000-0000044C0000}"/>
    <cellStyle name="Standard 4 3 2 2 5 4 5 2" xfId="19265" xr:uid="{00000000-0005-0000-0000-0000054C0000}"/>
    <cellStyle name="Standard 4 3 2 2 5 4 6" xfId="19266" xr:uid="{00000000-0005-0000-0000-0000064C0000}"/>
    <cellStyle name="Standard 4 3 2 2 5 4 7" xfId="19267" xr:uid="{00000000-0005-0000-0000-0000074C0000}"/>
    <cellStyle name="Standard 4 3 2 2 5 5" xfId="19268" xr:uid="{00000000-0005-0000-0000-0000084C0000}"/>
    <cellStyle name="Standard 4 3 2 2 5 5 2" xfId="19269" xr:uid="{00000000-0005-0000-0000-0000094C0000}"/>
    <cellStyle name="Standard 4 3 2 2 5 5 2 2" xfId="19270" xr:uid="{00000000-0005-0000-0000-00000A4C0000}"/>
    <cellStyle name="Standard 4 3 2 2 5 5 2 3" xfId="19271" xr:uid="{00000000-0005-0000-0000-00000B4C0000}"/>
    <cellStyle name="Standard 4 3 2 2 5 5 3" xfId="19272" xr:uid="{00000000-0005-0000-0000-00000C4C0000}"/>
    <cellStyle name="Standard 4 3 2 2 5 5 3 2" xfId="19273" xr:uid="{00000000-0005-0000-0000-00000D4C0000}"/>
    <cellStyle name="Standard 4 3 2 2 5 5 3 3" xfId="19274" xr:uid="{00000000-0005-0000-0000-00000E4C0000}"/>
    <cellStyle name="Standard 4 3 2 2 5 5 4" xfId="19275" xr:uid="{00000000-0005-0000-0000-00000F4C0000}"/>
    <cellStyle name="Standard 4 3 2 2 5 5 4 2" xfId="19276" xr:uid="{00000000-0005-0000-0000-0000104C0000}"/>
    <cellStyle name="Standard 4 3 2 2 5 5 5" xfId="19277" xr:uid="{00000000-0005-0000-0000-0000114C0000}"/>
    <cellStyle name="Standard 4 3 2 2 5 5 6" xfId="19278" xr:uid="{00000000-0005-0000-0000-0000124C0000}"/>
    <cellStyle name="Standard 4 3 2 2 5 6" xfId="19279" xr:uid="{00000000-0005-0000-0000-0000134C0000}"/>
    <cellStyle name="Standard 4 3 2 2 5 6 2" xfId="19280" xr:uid="{00000000-0005-0000-0000-0000144C0000}"/>
    <cellStyle name="Standard 4 3 2 2 5 6 3" xfId="19281" xr:uid="{00000000-0005-0000-0000-0000154C0000}"/>
    <cellStyle name="Standard 4 3 2 2 5 7" xfId="19282" xr:uid="{00000000-0005-0000-0000-0000164C0000}"/>
    <cellStyle name="Standard 4 3 2 2 5 7 2" xfId="19283" xr:uid="{00000000-0005-0000-0000-0000174C0000}"/>
    <cellStyle name="Standard 4 3 2 2 5 7 3" xfId="19284" xr:uid="{00000000-0005-0000-0000-0000184C0000}"/>
    <cellStyle name="Standard 4 3 2 2 5 8" xfId="19285" xr:uid="{00000000-0005-0000-0000-0000194C0000}"/>
    <cellStyle name="Standard 4 3 2 2 5 8 2" xfId="19286" xr:uid="{00000000-0005-0000-0000-00001A4C0000}"/>
    <cellStyle name="Standard 4 3 2 2 5 9" xfId="19287" xr:uid="{00000000-0005-0000-0000-00001B4C0000}"/>
    <cellStyle name="Standard 4 3 2 2 6" xfId="19288" xr:uid="{00000000-0005-0000-0000-00001C4C0000}"/>
    <cellStyle name="Standard 4 3 2 2 6 2" xfId="19289" xr:uid="{00000000-0005-0000-0000-00001D4C0000}"/>
    <cellStyle name="Standard 4 3 2 2 6 2 2" xfId="19290" xr:uid="{00000000-0005-0000-0000-00001E4C0000}"/>
    <cellStyle name="Standard 4 3 2 2 6 2 2 2" xfId="19291" xr:uid="{00000000-0005-0000-0000-00001F4C0000}"/>
    <cellStyle name="Standard 4 3 2 2 6 2 2 2 2" xfId="19292" xr:uid="{00000000-0005-0000-0000-0000204C0000}"/>
    <cellStyle name="Standard 4 3 2 2 6 2 2 2 3" xfId="19293" xr:uid="{00000000-0005-0000-0000-0000214C0000}"/>
    <cellStyle name="Standard 4 3 2 2 6 2 2 3" xfId="19294" xr:uid="{00000000-0005-0000-0000-0000224C0000}"/>
    <cellStyle name="Standard 4 3 2 2 6 2 2 3 2" xfId="19295" xr:uid="{00000000-0005-0000-0000-0000234C0000}"/>
    <cellStyle name="Standard 4 3 2 2 6 2 2 3 3" xfId="19296" xr:uid="{00000000-0005-0000-0000-0000244C0000}"/>
    <cellStyle name="Standard 4 3 2 2 6 2 2 4" xfId="19297" xr:uid="{00000000-0005-0000-0000-0000254C0000}"/>
    <cellStyle name="Standard 4 3 2 2 6 2 2 4 2" xfId="19298" xr:uid="{00000000-0005-0000-0000-0000264C0000}"/>
    <cellStyle name="Standard 4 3 2 2 6 2 2 5" xfId="19299" xr:uid="{00000000-0005-0000-0000-0000274C0000}"/>
    <cellStyle name="Standard 4 3 2 2 6 2 2 6" xfId="19300" xr:uid="{00000000-0005-0000-0000-0000284C0000}"/>
    <cellStyle name="Standard 4 3 2 2 6 2 3" xfId="19301" xr:uid="{00000000-0005-0000-0000-0000294C0000}"/>
    <cellStyle name="Standard 4 3 2 2 6 2 3 2" xfId="19302" xr:uid="{00000000-0005-0000-0000-00002A4C0000}"/>
    <cellStyle name="Standard 4 3 2 2 6 2 3 3" xfId="19303" xr:uid="{00000000-0005-0000-0000-00002B4C0000}"/>
    <cellStyle name="Standard 4 3 2 2 6 2 4" xfId="19304" xr:uid="{00000000-0005-0000-0000-00002C4C0000}"/>
    <cellStyle name="Standard 4 3 2 2 6 2 4 2" xfId="19305" xr:uid="{00000000-0005-0000-0000-00002D4C0000}"/>
    <cellStyle name="Standard 4 3 2 2 6 2 4 3" xfId="19306" xr:uid="{00000000-0005-0000-0000-00002E4C0000}"/>
    <cellStyle name="Standard 4 3 2 2 6 2 5" xfId="19307" xr:uid="{00000000-0005-0000-0000-00002F4C0000}"/>
    <cellStyle name="Standard 4 3 2 2 6 2 5 2" xfId="19308" xr:uid="{00000000-0005-0000-0000-0000304C0000}"/>
    <cellStyle name="Standard 4 3 2 2 6 2 6" xfId="19309" xr:uid="{00000000-0005-0000-0000-0000314C0000}"/>
    <cellStyle name="Standard 4 3 2 2 6 2 7" xfId="19310" xr:uid="{00000000-0005-0000-0000-0000324C0000}"/>
    <cellStyle name="Standard 4 3 2 2 6 3" xfId="19311" xr:uid="{00000000-0005-0000-0000-0000334C0000}"/>
    <cellStyle name="Standard 4 3 2 2 6 3 2" xfId="19312" xr:uid="{00000000-0005-0000-0000-0000344C0000}"/>
    <cellStyle name="Standard 4 3 2 2 6 3 2 2" xfId="19313" xr:uid="{00000000-0005-0000-0000-0000354C0000}"/>
    <cellStyle name="Standard 4 3 2 2 6 3 2 3" xfId="19314" xr:uid="{00000000-0005-0000-0000-0000364C0000}"/>
    <cellStyle name="Standard 4 3 2 2 6 3 3" xfId="19315" xr:uid="{00000000-0005-0000-0000-0000374C0000}"/>
    <cellStyle name="Standard 4 3 2 2 6 3 3 2" xfId="19316" xr:uid="{00000000-0005-0000-0000-0000384C0000}"/>
    <cellStyle name="Standard 4 3 2 2 6 3 3 3" xfId="19317" xr:uid="{00000000-0005-0000-0000-0000394C0000}"/>
    <cellStyle name="Standard 4 3 2 2 6 3 4" xfId="19318" xr:uid="{00000000-0005-0000-0000-00003A4C0000}"/>
    <cellStyle name="Standard 4 3 2 2 6 3 4 2" xfId="19319" xr:uid="{00000000-0005-0000-0000-00003B4C0000}"/>
    <cellStyle name="Standard 4 3 2 2 6 3 5" xfId="19320" xr:uid="{00000000-0005-0000-0000-00003C4C0000}"/>
    <cellStyle name="Standard 4 3 2 2 6 3 6" xfId="19321" xr:uid="{00000000-0005-0000-0000-00003D4C0000}"/>
    <cellStyle name="Standard 4 3 2 2 6 4" xfId="19322" xr:uid="{00000000-0005-0000-0000-00003E4C0000}"/>
    <cellStyle name="Standard 4 3 2 2 6 4 2" xfId="19323" xr:uid="{00000000-0005-0000-0000-00003F4C0000}"/>
    <cellStyle name="Standard 4 3 2 2 6 4 3" xfId="19324" xr:uid="{00000000-0005-0000-0000-0000404C0000}"/>
    <cellStyle name="Standard 4 3 2 2 6 5" xfId="19325" xr:uid="{00000000-0005-0000-0000-0000414C0000}"/>
    <cellStyle name="Standard 4 3 2 2 6 5 2" xfId="19326" xr:uid="{00000000-0005-0000-0000-0000424C0000}"/>
    <cellStyle name="Standard 4 3 2 2 6 5 3" xfId="19327" xr:uid="{00000000-0005-0000-0000-0000434C0000}"/>
    <cellStyle name="Standard 4 3 2 2 6 6" xfId="19328" xr:uid="{00000000-0005-0000-0000-0000444C0000}"/>
    <cellStyle name="Standard 4 3 2 2 6 6 2" xfId="19329" xr:uid="{00000000-0005-0000-0000-0000454C0000}"/>
    <cellStyle name="Standard 4 3 2 2 6 7" xfId="19330" xr:uid="{00000000-0005-0000-0000-0000464C0000}"/>
    <cellStyle name="Standard 4 3 2 2 6 8" xfId="19331" xr:uid="{00000000-0005-0000-0000-0000474C0000}"/>
    <cellStyle name="Standard 4 3 2 2 7" xfId="19332" xr:uid="{00000000-0005-0000-0000-0000484C0000}"/>
    <cellStyle name="Standard 4 3 2 2 7 2" xfId="19333" xr:uid="{00000000-0005-0000-0000-0000494C0000}"/>
    <cellStyle name="Standard 4 3 2 2 7 2 2" xfId="19334" xr:uid="{00000000-0005-0000-0000-00004A4C0000}"/>
    <cellStyle name="Standard 4 3 2 2 7 2 2 2" xfId="19335" xr:uid="{00000000-0005-0000-0000-00004B4C0000}"/>
    <cellStyle name="Standard 4 3 2 2 7 2 2 2 2" xfId="19336" xr:uid="{00000000-0005-0000-0000-00004C4C0000}"/>
    <cellStyle name="Standard 4 3 2 2 7 2 2 2 3" xfId="19337" xr:uid="{00000000-0005-0000-0000-00004D4C0000}"/>
    <cellStyle name="Standard 4 3 2 2 7 2 2 3" xfId="19338" xr:uid="{00000000-0005-0000-0000-00004E4C0000}"/>
    <cellStyle name="Standard 4 3 2 2 7 2 2 3 2" xfId="19339" xr:uid="{00000000-0005-0000-0000-00004F4C0000}"/>
    <cellStyle name="Standard 4 3 2 2 7 2 2 3 3" xfId="19340" xr:uid="{00000000-0005-0000-0000-0000504C0000}"/>
    <cellStyle name="Standard 4 3 2 2 7 2 2 4" xfId="19341" xr:uid="{00000000-0005-0000-0000-0000514C0000}"/>
    <cellStyle name="Standard 4 3 2 2 7 2 2 4 2" xfId="19342" xr:uid="{00000000-0005-0000-0000-0000524C0000}"/>
    <cellStyle name="Standard 4 3 2 2 7 2 2 5" xfId="19343" xr:uid="{00000000-0005-0000-0000-0000534C0000}"/>
    <cellStyle name="Standard 4 3 2 2 7 2 2 6" xfId="19344" xr:uid="{00000000-0005-0000-0000-0000544C0000}"/>
    <cellStyle name="Standard 4 3 2 2 7 2 3" xfId="19345" xr:uid="{00000000-0005-0000-0000-0000554C0000}"/>
    <cellStyle name="Standard 4 3 2 2 7 2 3 2" xfId="19346" xr:uid="{00000000-0005-0000-0000-0000564C0000}"/>
    <cellStyle name="Standard 4 3 2 2 7 2 3 3" xfId="19347" xr:uid="{00000000-0005-0000-0000-0000574C0000}"/>
    <cellStyle name="Standard 4 3 2 2 7 2 4" xfId="19348" xr:uid="{00000000-0005-0000-0000-0000584C0000}"/>
    <cellStyle name="Standard 4 3 2 2 7 2 4 2" xfId="19349" xr:uid="{00000000-0005-0000-0000-0000594C0000}"/>
    <cellStyle name="Standard 4 3 2 2 7 2 4 3" xfId="19350" xr:uid="{00000000-0005-0000-0000-00005A4C0000}"/>
    <cellStyle name="Standard 4 3 2 2 7 2 5" xfId="19351" xr:uid="{00000000-0005-0000-0000-00005B4C0000}"/>
    <cellStyle name="Standard 4 3 2 2 7 2 5 2" xfId="19352" xr:uid="{00000000-0005-0000-0000-00005C4C0000}"/>
    <cellStyle name="Standard 4 3 2 2 7 2 6" xfId="19353" xr:uid="{00000000-0005-0000-0000-00005D4C0000}"/>
    <cellStyle name="Standard 4 3 2 2 7 2 7" xfId="19354" xr:uid="{00000000-0005-0000-0000-00005E4C0000}"/>
    <cellStyle name="Standard 4 3 2 2 7 3" xfId="19355" xr:uid="{00000000-0005-0000-0000-00005F4C0000}"/>
    <cellStyle name="Standard 4 3 2 2 7 3 2" xfId="19356" xr:uid="{00000000-0005-0000-0000-0000604C0000}"/>
    <cellStyle name="Standard 4 3 2 2 7 3 2 2" xfId="19357" xr:uid="{00000000-0005-0000-0000-0000614C0000}"/>
    <cellStyle name="Standard 4 3 2 2 7 3 2 3" xfId="19358" xr:uid="{00000000-0005-0000-0000-0000624C0000}"/>
    <cellStyle name="Standard 4 3 2 2 7 3 3" xfId="19359" xr:uid="{00000000-0005-0000-0000-0000634C0000}"/>
    <cellStyle name="Standard 4 3 2 2 7 3 3 2" xfId="19360" xr:uid="{00000000-0005-0000-0000-0000644C0000}"/>
    <cellStyle name="Standard 4 3 2 2 7 3 3 3" xfId="19361" xr:uid="{00000000-0005-0000-0000-0000654C0000}"/>
    <cellStyle name="Standard 4 3 2 2 7 3 4" xfId="19362" xr:uid="{00000000-0005-0000-0000-0000664C0000}"/>
    <cellStyle name="Standard 4 3 2 2 7 3 4 2" xfId="19363" xr:uid="{00000000-0005-0000-0000-0000674C0000}"/>
    <cellStyle name="Standard 4 3 2 2 7 3 5" xfId="19364" xr:uid="{00000000-0005-0000-0000-0000684C0000}"/>
    <cellStyle name="Standard 4 3 2 2 7 3 6" xfId="19365" xr:uid="{00000000-0005-0000-0000-0000694C0000}"/>
    <cellStyle name="Standard 4 3 2 2 7 4" xfId="19366" xr:uid="{00000000-0005-0000-0000-00006A4C0000}"/>
    <cellStyle name="Standard 4 3 2 2 7 4 2" xfId="19367" xr:uid="{00000000-0005-0000-0000-00006B4C0000}"/>
    <cellStyle name="Standard 4 3 2 2 7 4 3" xfId="19368" xr:uid="{00000000-0005-0000-0000-00006C4C0000}"/>
    <cellStyle name="Standard 4 3 2 2 7 5" xfId="19369" xr:uid="{00000000-0005-0000-0000-00006D4C0000}"/>
    <cellStyle name="Standard 4 3 2 2 7 5 2" xfId="19370" xr:uid="{00000000-0005-0000-0000-00006E4C0000}"/>
    <cellStyle name="Standard 4 3 2 2 7 5 3" xfId="19371" xr:uid="{00000000-0005-0000-0000-00006F4C0000}"/>
    <cellStyle name="Standard 4 3 2 2 7 6" xfId="19372" xr:uid="{00000000-0005-0000-0000-0000704C0000}"/>
    <cellStyle name="Standard 4 3 2 2 7 6 2" xfId="19373" xr:uid="{00000000-0005-0000-0000-0000714C0000}"/>
    <cellStyle name="Standard 4 3 2 2 7 7" xfId="19374" xr:uid="{00000000-0005-0000-0000-0000724C0000}"/>
    <cellStyle name="Standard 4 3 2 2 7 8" xfId="19375" xr:uid="{00000000-0005-0000-0000-0000734C0000}"/>
    <cellStyle name="Standard 4 3 2 2 8" xfId="19376" xr:uid="{00000000-0005-0000-0000-0000744C0000}"/>
    <cellStyle name="Standard 4 3 2 2 8 2" xfId="19377" xr:uid="{00000000-0005-0000-0000-0000754C0000}"/>
    <cellStyle name="Standard 4 3 2 2 8 2 2" xfId="19378" xr:uid="{00000000-0005-0000-0000-0000764C0000}"/>
    <cellStyle name="Standard 4 3 2 2 8 2 2 2" xfId="19379" xr:uid="{00000000-0005-0000-0000-0000774C0000}"/>
    <cellStyle name="Standard 4 3 2 2 8 2 2 3" xfId="19380" xr:uid="{00000000-0005-0000-0000-0000784C0000}"/>
    <cellStyle name="Standard 4 3 2 2 8 2 3" xfId="19381" xr:uid="{00000000-0005-0000-0000-0000794C0000}"/>
    <cellStyle name="Standard 4 3 2 2 8 2 3 2" xfId="19382" xr:uid="{00000000-0005-0000-0000-00007A4C0000}"/>
    <cellStyle name="Standard 4 3 2 2 8 2 3 3" xfId="19383" xr:uid="{00000000-0005-0000-0000-00007B4C0000}"/>
    <cellStyle name="Standard 4 3 2 2 8 2 4" xfId="19384" xr:uid="{00000000-0005-0000-0000-00007C4C0000}"/>
    <cellStyle name="Standard 4 3 2 2 8 2 4 2" xfId="19385" xr:uid="{00000000-0005-0000-0000-00007D4C0000}"/>
    <cellStyle name="Standard 4 3 2 2 8 2 5" xfId="19386" xr:uid="{00000000-0005-0000-0000-00007E4C0000}"/>
    <cellStyle name="Standard 4 3 2 2 8 2 6" xfId="19387" xr:uid="{00000000-0005-0000-0000-00007F4C0000}"/>
    <cellStyle name="Standard 4 3 2 2 8 3" xfId="19388" xr:uid="{00000000-0005-0000-0000-0000804C0000}"/>
    <cellStyle name="Standard 4 3 2 2 8 3 2" xfId="19389" xr:uid="{00000000-0005-0000-0000-0000814C0000}"/>
    <cellStyle name="Standard 4 3 2 2 8 3 3" xfId="19390" xr:uid="{00000000-0005-0000-0000-0000824C0000}"/>
    <cellStyle name="Standard 4 3 2 2 8 4" xfId="19391" xr:uid="{00000000-0005-0000-0000-0000834C0000}"/>
    <cellStyle name="Standard 4 3 2 2 8 4 2" xfId="19392" xr:uid="{00000000-0005-0000-0000-0000844C0000}"/>
    <cellStyle name="Standard 4 3 2 2 8 4 3" xfId="19393" xr:uid="{00000000-0005-0000-0000-0000854C0000}"/>
    <cellStyle name="Standard 4 3 2 2 8 5" xfId="19394" xr:uid="{00000000-0005-0000-0000-0000864C0000}"/>
    <cellStyle name="Standard 4 3 2 2 8 5 2" xfId="19395" xr:uid="{00000000-0005-0000-0000-0000874C0000}"/>
    <cellStyle name="Standard 4 3 2 2 8 6" xfId="19396" xr:uid="{00000000-0005-0000-0000-0000884C0000}"/>
    <cellStyle name="Standard 4 3 2 2 8 7" xfId="19397" xr:uid="{00000000-0005-0000-0000-0000894C0000}"/>
    <cellStyle name="Standard 4 3 2 2 9" xfId="19398" xr:uid="{00000000-0005-0000-0000-00008A4C0000}"/>
    <cellStyle name="Standard 4 3 2 2 9 2" xfId="19399" xr:uid="{00000000-0005-0000-0000-00008B4C0000}"/>
    <cellStyle name="Standard 4 3 2 2 9 2 2" xfId="19400" xr:uid="{00000000-0005-0000-0000-00008C4C0000}"/>
    <cellStyle name="Standard 4 3 2 2 9 2 3" xfId="19401" xr:uid="{00000000-0005-0000-0000-00008D4C0000}"/>
    <cellStyle name="Standard 4 3 2 2 9 3" xfId="19402" xr:uid="{00000000-0005-0000-0000-00008E4C0000}"/>
    <cellStyle name="Standard 4 3 2 2 9 3 2" xfId="19403" xr:uid="{00000000-0005-0000-0000-00008F4C0000}"/>
    <cellStyle name="Standard 4 3 2 2 9 3 3" xfId="19404" xr:uid="{00000000-0005-0000-0000-0000904C0000}"/>
    <cellStyle name="Standard 4 3 2 2 9 4" xfId="19405" xr:uid="{00000000-0005-0000-0000-0000914C0000}"/>
    <cellStyle name="Standard 4 3 2 2 9 4 2" xfId="19406" xr:uid="{00000000-0005-0000-0000-0000924C0000}"/>
    <cellStyle name="Standard 4 3 2 2 9 5" xfId="19407" xr:uid="{00000000-0005-0000-0000-0000934C0000}"/>
    <cellStyle name="Standard 4 3 2 2 9 6" xfId="19408" xr:uid="{00000000-0005-0000-0000-0000944C0000}"/>
    <cellStyle name="Standard 4 3 2 3" xfId="19409" xr:uid="{00000000-0005-0000-0000-0000954C0000}"/>
    <cellStyle name="Standard 4 3 2 3 10" xfId="19410" xr:uid="{00000000-0005-0000-0000-0000964C0000}"/>
    <cellStyle name="Standard 4 3 2 3 10 2" xfId="19411" xr:uid="{00000000-0005-0000-0000-0000974C0000}"/>
    <cellStyle name="Standard 4 3 2 3 10 3" xfId="19412" xr:uid="{00000000-0005-0000-0000-0000984C0000}"/>
    <cellStyle name="Standard 4 3 2 3 11" xfId="19413" xr:uid="{00000000-0005-0000-0000-0000994C0000}"/>
    <cellStyle name="Standard 4 3 2 3 11 2" xfId="19414" xr:uid="{00000000-0005-0000-0000-00009A4C0000}"/>
    <cellStyle name="Standard 4 3 2 3 12" xfId="19415" xr:uid="{00000000-0005-0000-0000-00009B4C0000}"/>
    <cellStyle name="Standard 4 3 2 3 13" xfId="19416" xr:uid="{00000000-0005-0000-0000-00009C4C0000}"/>
    <cellStyle name="Standard 4 3 2 3 14" xfId="33466" xr:uid="{00000000-0005-0000-0000-00009D4C0000}"/>
    <cellStyle name="Standard 4 3 2 3 2" xfId="19417" xr:uid="{00000000-0005-0000-0000-00009E4C0000}"/>
    <cellStyle name="Standard 4 3 2 3 2 10" xfId="19418" xr:uid="{00000000-0005-0000-0000-00009F4C0000}"/>
    <cellStyle name="Standard 4 3 2 3 2 11" xfId="19419" xr:uid="{00000000-0005-0000-0000-0000A04C0000}"/>
    <cellStyle name="Standard 4 3 2 3 2 2" xfId="19420" xr:uid="{00000000-0005-0000-0000-0000A14C0000}"/>
    <cellStyle name="Standard 4 3 2 3 2 2 10" xfId="19421" xr:uid="{00000000-0005-0000-0000-0000A24C0000}"/>
    <cellStyle name="Standard 4 3 2 3 2 2 2" xfId="19422" xr:uid="{00000000-0005-0000-0000-0000A34C0000}"/>
    <cellStyle name="Standard 4 3 2 3 2 2 2 2" xfId="19423" xr:uid="{00000000-0005-0000-0000-0000A44C0000}"/>
    <cellStyle name="Standard 4 3 2 3 2 2 2 2 2" xfId="19424" xr:uid="{00000000-0005-0000-0000-0000A54C0000}"/>
    <cellStyle name="Standard 4 3 2 3 2 2 2 2 2 2" xfId="19425" xr:uid="{00000000-0005-0000-0000-0000A64C0000}"/>
    <cellStyle name="Standard 4 3 2 3 2 2 2 2 2 2 2" xfId="19426" xr:uid="{00000000-0005-0000-0000-0000A74C0000}"/>
    <cellStyle name="Standard 4 3 2 3 2 2 2 2 2 2 3" xfId="19427" xr:uid="{00000000-0005-0000-0000-0000A84C0000}"/>
    <cellStyle name="Standard 4 3 2 3 2 2 2 2 2 3" xfId="19428" xr:uid="{00000000-0005-0000-0000-0000A94C0000}"/>
    <cellStyle name="Standard 4 3 2 3 2 2 2 2 2 3 2" xfId="19429" xr:uid="{00000000-0005-0000-0000-0000AA4C0000}"/>
    <cellStyle name="Standard 4 3 2 3 2 2 2 2 2 3 3" xfId="19430" xr:uid="{00000000-0005-0000-0000-0000AB4C0000}"/>
    <cellStyle name="Standard 4 3 2 3 2 2 2 2 2 4" xfId="19431" xr:uid="{00000000-0005-0000-0000-0000AC4C0000}"/>
    <cellStyle name="Standard 4 3 2 3 2 2 2 2 2 4 2" xfId="19432" xr:uid="{00000000-0005-0000-0000-0000AD4C0000}"/>
    <cellStyle name="Standard 4 3 2 3 2 2 2 2 2 5" xfId="19433" xr:uid="{00000000-0005-0000-0000-0000AE4C0000}"/>
    <cellStyle name="Standard 4 3 2 3 2 2 2 2 2 6" xfId="19434" xr:uid="{00000000-0005-0000-0000-0000AF4C0000}"/>
    <cellStyle name="Standard 4 3 2 3 2 2 2 2 3" xfId="19435" xr:uid="{00000000-0005-0000-0000-0000B04C0000}"/>
    <cellStyle name="Standard 4 3 2 3 2 2 2 2 3 2" xfId="19436" xr:uid="{00000000-0005-0000-0000-0000B14C0000}"/>
    <cellStyle name="Standard 4 3 2 3 2 2 2 2 3 3" xfId="19437" xr:uid="{00000000-0005-0000-0000-0000B24C0000}"/>
    <cellStyle name="Standard 4 3 2 3 2 2 2 2 4" xfId="19438" xr:uid="{00000000-0005-0000-0000-0000B34C0000}"/>
    <cellStyle name="Standard 4 3 2 3 2 2 2 2 4 2" xfId="19439" xr:uid="{00000000-0005-0000-0000-0000B44C0000}"/>
    <cellStyle name="Standard 4 3 2 3 2 2 2 2 4 3" xfId="19440" xr:uid="{00000000-0005-0000-0000-0000B54C0000}"/>
    <cellStyle name="Standard 4 3 2 3 2 2 2 2 5" xfId="19441" xr:uid="{00000000-0005-0000-0000-0000B64C0000}"/>
    <cellStyle name="Standard 4 3 2 3 2 2 2 2 5 2" xfId="19442" xr:uid="{00000000-0005-0000-0000-0000B74C0000}"/>
    <cellStyle name="Standard 4 3 2 3 2 2 2 2 6" xfId="19443" xr:uid="{00000000-0005-0000-0000-0000B84C0000}"/>
    <cellStyle name="Standard 4 3 2 3 2 2 2 2 7" xfId="19444" xr:uid="{00000000-0005-0000-0000-0000B94C0000}"/>
    <cellStyle name="Standard 4 3 2 3 2 2 2 3" xfId="19445" xr:uid="{00000000-0005-0000-0000-0000BA4C0000}"/>
    <cellStyle name="Standard 4 3 2 3 2 2 2 3 2" xfId="19446" xr:uid="{00000000-0005-0000-0000-0000BB4C0000}"/>
    <cellStyle name="Standard 4 3 2 3 2 2 2 3 2 2" xfId="19447" xr:uid="{00000000-0005-0000-0000-0000BC4C0000}"/>
    <cellStyle name="Standard 4 3 2 3 2 2 2 3 2 3" xfId="19448" xr:uid="{00000000-0005-0000-0000-0000BD4C0000}"/>
    <cellStyle name="Standard 4 3 2 3 2 2 2 3 3" xfId="19449" xr:uid="{00000000-0005-0000-0000-0000BE4C0000}"/>
    <cellStyle name="Standard 4 3 2 3 2 2 2 3 3 2" xfId="19450" xr:uid="{00000000-0005-0000-0000-0000BF4C0000}"/>
    <cellStyle name="Standard 4 3 2 3 2 2 2 3 3 3" xfId="19451" xr:uid="{00000000-0005-0000-0000-0000C04C0000}"/>
    <cellStyle name="Standard 4 3 2 3 2 2 2 3 4" xfId="19452" xr:uid="{00000000-0005-0000-0000-0000C14C0000}"/>
    <cellStyle name="Standard 4 3 2 3 2 2 2 3 4 2" xfId="19453" xr:uid="{00000000-0005-0000-0000-0000C24C0000}"/>
    <cellStyle name="Standard 4 3 2 3 2 2 2 3 5" xfId="19454" xr:uid="{00000000-0005-0000-0000-0000C34C0000}"/>
    <cellStyle name="Standard 4 3 2 3 2 2 2 3 6" xfId="19455" xr:uid="{00000000-0005-0000-0000-0000C44C0000}"/>
    <cellStyle name="Standard 4 3 2 3 2 2 2 4" xfId="19456" xr:uid="{00000000-0005-0000-0000-0000C54C0000}"/>
    <cellStyle name="Standard 4 3 2 3 2 2 2 4 2" xfId="19457" xr:uid="{00000000-0005-0000-0000-0000C64C0000}"/>
    <cellStyle name="Standard 4 3 2 3 2 2 2 4 3" xfId="19458" xr:uid="{00000000-0005-0000-0000-0000C74C0000}"/>
    <cellStyle name="Standard 4 3 2 3 2 2 2 5" xfId="19459" xr:uid="{00000000-0005-0000-0000-0000C84C0000}"/>
    <cellStyle name="Standard 4 3 2 3 2 2 2 5 2" xfId="19460" xr:uid="{00000000-0005-0000-0000-0000C94C0000}"/>
    <cellStyle name="Standard 4 3 2 3 2 2 2 5 3" xfId="19461" xr:uid="{00000000-0005-0000-0000-0000CA4C0000}"/>
    <cellStyle name="Standard 4 3 2 3 2 2 2 6" xfId="19462" xr:uid="{00000000-0005-0000-0000-0000CB4C0000}"/>
    <cellStyle name="Standard 4 3 2 3 2 2 2 6 2" xfId="19463" xr:uid="{00000000-0005-0000-0000-0000CC4C0000}"/>
    <cellStyle name="Standard 4 3 2 3 2 2 2 7" xfId="19464" xr:uid="{00000000-0005-0000-0000-0000CD4C0000}"/>
    <cellStyle name="Standard 4 3 2 3 2 2 2 8" xfId="19465" xr:uid="{00000000-0005-0000-0000-0000CE4C0000}"/>
    <cellStyle name="Standard 4 3 2 3 2 2 3" xfId="19466" xr:uid="{00000000-0005-0000-0000-0000CF4C0000}"/>
    <cellStyle name="Standard 4 3 2 3 2 2 3 2" xfId="19467" xr:uid="{00000000-0005-0000-0000-0000D04C0000}"/>
    <cellStyle name="Standard 4 3 2 3 2 2 3 2 2" xfId="19468" xr:uid="{00000000-0005-0000-0000-0000D14C0000}"/>
    <cellStyle name="Standard 4 3 2 3 2 2 3 2 2 2" xfId="19469" xr:uid="{00000000-0005-0000-0000-0000D24C0000}"/>
    <cellStyle name="Standard 4 3 2 3 2 2 3 2 2 2 2" xfId="19470" xr:uid="{00000000-0005-0000-0000-0000D34C0000}"/>
    <cellStyle name="Standard 4 3 2 3 2 2 3 2 2 2 3" xfId="19471" xr:uid="{00000000-0005-0000-0000-0000D44C0000}"/>
    <cellStyle name="Standard 4 3 2 3 2 2 3 2 2 3" xfId="19472" xr:uid="{00000000-0005-0000-0000-0000D54C0000}"/>
    <cellStyle name="Standard 4 3 2 3 2 2 3 2 2 3 2" xfId="19473" xr:uid="{00000000-0005-0000-0000-0000D64C0000}"/>
    <cellStyle name="Standard 4 3 2 3 2 2 3 2 2 3 3" xfId="19474" xr:uid="{00000000-0005-0000-0000-0000D74C0000}"/>
    <cellStyle name="Standard 4 3 2 3 2 2 3 2 2 4" xfId="19475" xr:uid="{00000000-0005-0000-0000-0000D84C0000}"/>
    <cellStyle name="Standard 4 3 2 3 2 2 3 2 2 4 2" xfId="19476" xr:uid="{00000000-0005-0000-0000-0000D94C0000}"/>
    <cellStyle name="Standard 4 3 2 3 2 2 3 2 2 5" xfId="19477" xr:uid="{00000000-0005-0000-0000-0000DA4C0000}"/>
    <cellStyle name="Standard 4 3 2 3 2 2 3 2 2 6" xfId="19478" xr:uid="{00000000-0005-0000-0000-0000DB4C0000}"/>
    <cellStyle name="Standard 4 3 2 3 2 2 3 2 3" xfId="19479" xr:uid="{00000000-0005-0000-0000-0000DC4C0000}"/>
    <cellStyle name="Standard 4 3 2 3 2 2 3 2 3 2" xfId="19480" xr:uid="{00000000-0005-0000-0000-0000DD4C0000}"/>
    <cellStyle name="Standard 4 3 2 3 2 2 3 2 3 3" xfId="19481" xr:uid="{00000000-0005-0000-0000-0000DE4C0000}"/>
    <cellStyle name="Standard 4 3 2 3 2 2 3 2 4" xfId="19482" xr:uid="{00000000-0005-0000-0000-0000DF4C0000}"/>
    <cellStyle name="Standard 4 3 2 3 2 2 3 2 4 2" xfId="19483" xr:uid="{00000000-0005-0000-0000-0000E04C0000}"/>
    <cellStyle name="Standard 4 3 2 3 2 2 3 2 4 3" xfId="19484" xr:uid="{00000000-0005-0000-0000-0000E14C0000}"/>
    <cellStyle name="Standard 4 3 2 3 2 2 3 2 5" xfId="19485" xr:uid="{00000000-0005-0000-0000-0000E24C0000}"/>
    <cellStyle name="Standard 4 3 2 3 2 2 3 2 5 2" xfId="19486" xr:uid="{00000000-0005-0000-0000-0000E34C0000}"/>
    <cellStyle name="Standard 4 3 2 3 2 2 3 2 6" xfId="19487" xr:uid="{00000000-0005-0000-0000-0000E44C0000}"/>
    <cellStyle name="Standard 4 3 2 3 2 2 3 2 7" xfId="19488" xr:uid="{00000000-0005-0000-0000-0000E54C0000}"/>
    <cellStyle name="Standard 4 3 2 3 2 2 3 3" xfId="19489" xr:uid="{00000000-0005-0000-0000-0000E64C0000}"/>
    <cellStyle name="Standard 4 3 2 3 2 2 3 3 2" xfId="19490" xr:uid="{00000000-0005-0000-0000-0000E74C0000}"/>
    <cellStyle name="Standard 4 3 2 3 2 2 3 3 2 2" xfId="19491" xr:uid="{00000000-0005-0000-0000-0000E84C0000}"/>
    <cellStyle name="Standard 4 3 2 3 2 2 3 3 2 3" xfId="19492" xr:uid="{00000000-0005-0000-0000-0000E94C0000}"/>
    <cellStyle name="Standard 4 3 2 3 2 2 3 3 3" xfId="19493" xr:uid="{00000000-0005-0000-0000-0000EA4C0000}"/>
    <cellStyle name="Standard 4 3 2 3 2 2 3 3 3 2" xfId="19494" xr:uid="{00000000-0005-0000-0000-0000EB4C0000}"/>
    <cellStyle name="Standard 4 3 2 3 2 2 3 3 3 3" xfId="19495" xr:uid="{00000000-0005-0000-0000-0000EC4C0000}"/>
    <cellStyle name="Standard 4 3 2 3 2 2 3 3 4" xfId="19496" xr:uid="{00000000-0005-0000-0000-0000ED4C0000}"/>
    <cellStyle name="Standard 4 3 2 3 2 2 3 3 4 2" xfId="19497" xr:uid="{00000000-0005-0000-0000-0000EE4C0000}"/>
    <cellStyle name="Standard 4 3 2 3 2 2 3 3 5" xfId="19498" xr:uid="{00000000-0005-0000-0000-0000EF4C0000}"/>
    <cellStyle name="Standard 4 3 2 3 2 2 3 3 6" xfId="19499" xr:uid="{00000000-0005-0000-0000-0000F04C0000}"/>
    <cellStyle name="Standard 4 3 2 3 2 2 3 4" xfId="19500" xr:uid="{00000000-0005-0000-0000-0000F14C0000}"/>
    <cellStyle name="Standard 4 3 2 3 2 2 3 4 2" xfId="19501" xr:uid="{00000000-0005-0000-0000-0000F24C0000}"/>
    <cellStyle name="Standard 4 3 2 3 2 2 3 4 3" xfId="19502" xr:uid="{00000000-0005-0000-0000-0000F34C0000}"/>
    <cellStyle name="Standard 4 3 2 3 2 2 3 5" xfId="19503" xr:uid="{00000000-0005-0000-0000-0000F44C0000}"/>
    <cellStyle name="Standard 4 3 2 3 2 2 3 5 2" xfId="19504" xr:uid="{00000000-0005-0000-0000-0000F54C0000}"/>
    <cellStyle name="Standard 4 3 2 3 2 2 3 5 3" xfId="19505" xr:uid="{00000000-0005-0000-0000-0000F64C0000}"/>
    <cellStyle name="Standard 4 3 2 3 2 2 3 6" xfId="19506" xr:uid="{00000000-0005-0000-0000-0000F74C0000}"/>
    <cellStyle name="Standard 4 3 2 3 2 2 3 6 2" xfId="19507" xr:uid="{00000000-0005-0000-0000-0000F84C0000}"/>
    <cellStyle name="Standard 4 3 2 3 2 2 3 7" xfId="19508" xr:uid="{00000000-0005-0000-0000-0000F94C0000}"/>
    <cellStyle name="Standard 4 3 2 3 2 2 3 8" xfId="19509" xr:uid="{00000000-0005-0000-0000-0000FA4C0000}"/>
    <cellStyle name="Standard 4 3 2 3 2 2 4" xfId="19510" xr:uid="{00000000-0005-0000-0000-0000FB4C0000}"/>
    <cellStyle name="Standard 4 3 2 3 2 2 4 2" xfId="19511" xr:uid="{00000000-0005-0000-0000-0000FC4C0000}"/>
    <cellStyle name="Standard 4 3 2 3 2 2 4 2 2" xfId="19512" xr:uid="{00000000-0005-0000-0000-0000FD4C0000}"/>
    <cellStyle name="Standard 4 3 2 3 2 2 4 2 2 2" xfId="19513" xr:uid="{00000000-0005-0000-0000-0000FE4C0000}"/>
    <cellStyle name="Standard 4 3 2 3 2 2 4 2 2 3" xfId="19514" xr:uid="{00000000-0005-0000-0000-0000FF4C0000}"/>
    <cellStyle name="Standard 4 3 2 3 2 2 4 2 3" xfId="19515" xr:uid="{00000000-0005-0000-0000-0000004D0000}"/>
    <cellStyle name="Standard 4 3 2 3 2 2 4 2 3 2" xfId="19516" xr:uid="{00000000-0005-0000-0000-0000014D0000}"/>
    <cellStyle name="Standard 4 3 2 3 2 2 4 2 3 3" xfId="19517" xr:uid="{00000000-0005-0000-0000-0000024D0000}"/>
    <cellStyle name="Standard 4 3 2 3 2 2 4 2 4" xfId="19518" xr:uid="{00000000-0005-0000-0000-0000034D0000}"/>
    <cellStyle name="Standard 4 3 2 3 2 2 4 2 4 2" xfId="19519" xr:uid="{00000000-0005-0000-0000-0000044D0000}"/>
    <cellStyle name="Standard 4 3 2 3 2 2 4 2 5" xfId="19520" xr:uid="{00000000-0005-0000-0000-0000054D0000}"/>
    <cellStyle name="Standard 4 3 2 3 2 2 4 2 6" xfId="19521" xr:uid="{00000000-0005-0000-0000-0000064D0000}"/>
    <cellStyle name="Standard 4 3 2 3 2 2 4 3" xfId="19522" xr:uid="{00000000-0005-0000-0000-0000074D0000}"/>
    <cellStyle name="Standard 4 3 2 3 2 2 4 3 2" xfId="19523" xr:uid="{00000000-0005-0000-0000-0000084D0000}"/>
    <cellStyle name="Standard 4 3 2 3 2 2 4 3 3" xfId="19524" xr:uid="{00000000-0005-0000-0000-0000094D0000}"/>
    <cellStyle name="Standard 4 3 2 3 2 2 4 4" xfId="19525" xr:uid="{00000000-0005-0000-0000-00000A4D0000}"/>
    <cellStyle name="Standard 4 3 2 3 2 2 4 4 2" xfId="19526" xr:uid="{00000000-0005-0000-0000-00000B4D0000}"/>
    <cellStyle name="Standard 4 3 2 3 2 2 4 4 3" xfId="19527" xr:uid="{00000000-0005-0000-0000-00000C4D0000}"/>
    <cellStyle name="Standard 4 3 2 3 2 2 4 5" xfId="19528" xr:uid="{00000000-0005-0000-0000-00000D4D0000}"/>
    <cellStyle name="Standard 4 3 2 3 2 2 4 5 2" xfId="19529" xr:uid="{00000000-0005-0000-0000-00000E4D0000}"/>
    <cellStyle name="Standard 4 3 2 3 2 2 4 6" xfId="19530" xr:uid="{00000000-0005-0000-0000-00000F4D0000}"/>
    <cellStyle name="Standard 4 3 2 3 2 2 4 7" xfId="19531" xr:uid="{00000000-0005-0000-0000-0000104D0000}"/>
    <cellStyle name="Standard 4 3 2 3 2 2 5" xfId="19532" xr:uid="{00000000-0005-0000-0000-0000114D0000}"/>
    <cellStyle name="Standard 4 3 2 3 2 2 5 2" xfId="19533" xr:uid="{00000000-0005-0000-0000-0000124D0000}"/>
    <cellStyle name="Standard 4 3 2 3 2 2 5 2 2" xfId="19534" xr:uid="{00000000-0005-0000-0000-0000134D0000}"/>
    <cellStyle name="Standard 4 3 2 3 2 2 5 2 3" xfId="19535" xr:uid="{00000000-0005-0000-0000-0000144D0000}"/>
    <cellStyle name="Standard 4 3 2 3 2 2 5 3" xfId="19536" xr:uid="{00000000-0005-0000-0000-0000154D0000}"/>
    <cellStyle name="Standard 4 3 2 3 2 2 5 3 2" xfId="19537" xr:uid="{00000000-0005-0000-0000-0000164D0000}"/>
    <cellStyle name="Standard 4 3 2 3 2 2 5 3 3" xfId="19538" xr:uid="{00000000-0005-0000-0000-0000174D0000}"/>
    <cellStyle name="Standard 4 3 2 3 2 2 5 4" xfId="19539" xr:uid="{00000000-0005-0000-0000-0000184D0000}"/>
    <cellStyle name="Standard 4 3 2 3 2 2 5 4 2" xfId="19540" xr:uid="{00000000-0005-0000-0000-0000194D0000}"/>
    <cellStyle name="Standard 4 3 2 3 2 2 5 5" xfId="19541" xr:uid="{00000000-0005-0000-0000-00001A4D0000}"/>
    <cellStyle name="Standard 4 3 2 3 2 2 5 6" xfId="19542" xr:uid="{00000000-0005-0000-0000-00001B4D0000}"/>
    <cellStyle name="Standard 4 3 2 3 2 2 6" xfId="19543" xr:uid="{00000000-0005-0000-0000-00001C4D0000}"/>
    <cellStyle name="Standard 4 3 2 3 2 2 6 2" xfId="19544" xr:uid="{00000000-0005-0000-0000-00001D4D0000}"/>
    <cellStyle name="Standard 4 3 2 3 2 2 6 3" xfId="19545" xr:uid="{00000000-0005-0000-0000-00001E4D0000}"/>
    <cellStyle name="Standard 4 3 2 3 2 2 7" xfId="19546" xr:uid="{00000000-0005-0000-0000-00001F4D0000}"/>
    <cellStyle name="Standard 4 3 2 3 2 2 7 2" xfId="19547" xr:uid="{00000000-0005-0000-0000-0000204D0000}"/>
    <cellStyle name="Standard 4 3 2 3 2 2 7 3" xfId="19548" xr:uid="{00000000-0005-0000-0000-0000214D0000}"/>
    <cellStyle name="Standard 4 3 2 3 2 2 8" xfId="19549" xr:uid="{00000000-0005-0000-0000-0000224D0000}"/>
    <cellStyle name="Standard 4 3 2 3 2 2 8 2" xfId="19550" xr:uid="{00000000-0005-0000-0000-0000234D0000}"/>
    <cellStyle name="Standard 4 3 2 3 2 2 9" xfId="19551" xr:uid="{00000000-0005-0000-0000-0000244D0000}"/>
    <cellStyle name="Standard 4 3 2 3 2 3" xfId="19552" xr:uid="{00000000-0005-0000-0000-0000254D0000}"/>
    <cellStyle name="Standard 4 3 2 3 2 3 2" xfId="19553" xr:uid="{00000000-0005-0000-0000-0000264D0000}"/>
    <cellStyle name="Standard 4 3 2 3 2 3 2 2" xfId="19554" xr:uid="{00000000-0005-0000-0000-0000274D0000}"/>
    <cellStyle name="Standard 4 3 2 3 2 3 2 2 2" xfId="19555" xr:uid="{00000000-0005-0000-0000-0000284D0000}"/>
    <cellStyle name="Standard 4 3 2 3 2 3 2 2 2 2" xfId="19556" xr:uid="{00000000-0005-0000-0000-0000294D0000}"/>
    <cellStyle name="Standard 4 3 2 3 2 3 2 2 2 3" xfId="19557" xr:uid="{00000000-0005-0000-0000-00002A4D0000}"/>
    <cellStyle name="Standard 4 3 2 3 2 3 2 2 3" xfId="19558" xr:uid="{00000000-0005-0000-0000-00002B4D0000}"/>
    <cellStyle name="Standard 4 3 2 3 2 3 2 2 3 2" xfId="19559" xr:uid="{00000000-0005-0000-0000-00002C4D0000}"/>
    <cellStyle name="Standard 4 3 2 3 2 3 2 2 3 3" xfId="19560" xr:uid="{00000000-0005-0000-0000-00002D4D0000}"/>
    <cellStyle name="Standard 4 3 2 3 2 3 2 2 4" xfId="19561" xr:uid="{00000000-0005-0000-0000-00002E4D0000}"/>
    <cellStyle name="Standard 4 3 2 3 2 3 2 2 4 2" xfId="19562" xr:uid="{00000000-0005-0000-0000-00002F4D0000}"/>
    <cellStyle name="Standard 4 3 2 3 2 3 2 2 5" xfId="19563" xr:uid="{00000000-0005-0000-0000-0000304D0000}"/>
    <cellStyle name="Standard 4 3 2 3 2 3 2 2 6" xfId="19564" xr:uid="{00000000-0005-0000-0000-0000314D0000}"/>
    <cellStyle name="Standard 4 3 2 3 2 3 2 3" xfId="19565" xr:uid="{00000000-0005-0000-0000-0000324D0000}"/>
    <cellStyle name="Standard 4 3 2 3 2 3 2 3 2" xfId="19566" xr:uid="{00000000-0005-0000-0000-0000334D0000}"/>
    <cellStyle name="Standard 4 3 2 3 2 3 2 3 3" xfId="19567" xr:uid="{00000000-0005-0000-0000-0000344D0000}"/>
    <cellStyle name="Standard 4 3 2 3 2 3 2 4" xfId="19568" xr:uid="{00000000-0005-0000-0000-0000354D0000}"/>
    <cellStyle name="Standard 4 3 2 3 2 3 2 4 2" xfId="19569" xr:uid="{00000000-0005-0000-0000-0000364D0000}"/>
    <cellStyle name="Standard 4 3 2 3 2 3 2 4 3" xfId="19570" xr:uid="{00000000-0005-0000-0000-0000374D0000}"/>
    <cellStyle name="Standard 4 3 2 3 2 3 2 5" xfId="19571" xr:uid="{00000000-0005-0000-0000-0000384D0000}"/>
    <cellStyle name="Standard 4 3 2 3 2 3 2 5 2" xfId="19572" xr:uid="{00000000-0005-0000-0000-0000394D0000}"/>
    <cellStyle name="Standard 4 3 2 3 2 3 2 6" xfId="19573" xr:uid="{00000000-0005-0000-0000-00003A4D0000}"/>
    <cellStyle name="Standard 4 3 2 3 2 3 2 7" xfId="19574" xr:uid="{00000000-0005-0000-0000-00003B4D0000}"/>
    <cellStyle name="Standard 4 3 2 3 2 3 3" xfId="19575" xr:uid="{00000000-0005-0000-0000-00003C4D0000}"/>
    <cellStyle name="Standard 4 3 2 3 2 3 3 2" xfId="19576" xr:uid="{00000000-0005-0000-0000-00003D4D0000}"/>
    <cellStyle name="Standard 4 3 2 3 2 3 3 2 2" xfId="19577" xr:uid="{00000000-0005-0000-0000-00003E4D0000}"/>
    <cellStyle name="Standard 4 3 2 3 2 3 3 2 3" xfId="19578" xr:uid="{00000000-0005-0000-0000-00003F4D0000}"/>
    <cellStyle name="Standard 4 3 2 3 2 3 3 3" xfId="19579" xr:uid="{00000000-0005-0000-0000-0000404D0000}"/>
    <cellStyle name="Standard 4 3 2 3 2 3 3 3 2" xfId="19580" xr:uid="{00000000-0005-0000-0000-0000414D0000}"/>
    <cellStyle name="Standard 4 3 2 3 2 3 3 3 3" xfId="19581" xr:uid="{00000000-0005-0000-0000-0000424D0000}"/>
    <cellStyle name="Standard 4 3 2 3 2 3 3 4" xfId="19582" xr:uid="{00000000-0005-0000-0000-0000434D0000}"/>
    <cellStyle name="Standard 4 3 2 3 2 3 3 4 2" xfId="19583" xr:uid="{00000000-0005-0000-0000-0000444D0000}"/>
    <cellStyle name="Standard 4 3 2 3 2 3 3 5" xfId="19584" xr:uid="{00000000-0005-0000-0000-0000454D0000}"/>
    <cellStyle name="Standard 4 3 2 3 2 3 3 6" xfId="19585" xr:uid="{00000000-0005-0000-0000-0000464D0000}"/>
    <cellStyle name="Standard 4 3 2 3 2 3 4" xfId="19586" xr:uid="{00000000-0005-0000-0000-0000474D0000}"/>
    <cellStyle name="Standard 4 3 2 3 2 3 4 2" xfId="19587" xr:uid="{00000000-0005-0000-0000-0000484D0000}"/>
    <cellStyle name="Standard 4 3 2 3 2 3 4 3" xfId="19588" xr:uid="{00000000-0005-0000-0000-0000494D0000}"/>
    <cellStyle name="Standard 4 3 2 3 2 3 5" xfId="19589" xr:uid="{00000000-0005-0000-0000-00004A4D0000}"/>
    <cellStyle name="Standard 4 3 2 3 2 3 5 2" xfId="19590" xr:uid="{00000000-0005-0000-0000-00004B4D0000}"/>
    <cellStyle name="Standard 4 3 2 3 2 3 5 3" xfId="19591" xr:uid="{00000000-0005-0000-0000-00004C4D0000}"/>
    <cellStyle name="Standard 4 3 2 3 2 3 6" xfId="19592" xr:uid="{00000000-0005-0000-0000-00004D4D0000}"/>
    <cellStyle name="Standard 4 3 2 3 2 3 6 2" xfId="19593" xr:uid="{00000000-0005-0000-0000-00004E4D0000}"/>
    <cellStyle name="Standard 4 3 2 3 2 3 7" xfId="19594" xr:uid="{00000000-0005-0000-0000-00004F4D0000}"/>
    <cellStyle name="Standard 4 3 2 3 2 3 8" xfId="19595" xr:uid="{00000000-0005-0000-0000-0000504D0000}"/>
    <cellStyle name="Standard 4 3 2 3 2 4" xfId="19596" xr:uid="{00000000-0005-0000-0000-0000514D0000}"/>
    <cellStyle name="Standard 4 3 2 3 2 4 2" xfId="19597" xr:uid="{00000000-0005-0000-0000-0000524D0000}"/>
    <cellStyle name="Standard 4 3 2 3 2 4 2 2" xfId="19598" xr:uid="{00000000-0005-0000-0000-0000534D0000}"/>
    <cellStyle name="Standard 4 3 2 3 2 4 2 2 2" xfId="19599" xr:uid="{00000000-0005-0000-0000-0000544D0000}"/>
    <cellStyle name="Standard 4 3 2 3 2 4 2 2 2 2" xfId="19600" xr:uid="{00000000-0005-0000-0000-0000554D0000}"/>
    <cellStyle name="Standard 4 3 2 3 2 4 2 2 2 3" xfId="19601" xr:uid="{00000000-0005-0000-0000-0000564D0000}"/>
    <cellStyle name="Standard 4 3 2 3 2 4 2 2 3" xfId="19602" xr:uid="{00000000-0005-0000-0000-0000574D0000}"/>
    <cellStyle name="Standard 4 3 2 3 2 4 2 2 3 2" xfId="19603" xr:uid="{00000000-0005-0000-0000-0000584D0000}"/>
    <cellStyle name="Standard 4 3 2 3 2 4 2 2 3 3" xfId="19604" xr:uid="{00000000-0005-0000-0000-0000594D0000}"/>
    <cellStyle name="Standard 4 3 2 3 2 4 2 2 4" xfId="19605" xr:uid="{00000000-0005-0000-0000-00005A4D0000}"/>
    <cellStyle name="Standard 4 3 2 3 2 4 2 2 4 2" xfId="19606" xr:uid="{00000000-0005-0000-0000-00005B4D0000}"/>
    <cellStyle name="Standard 4 3 2 3 2 4 2 2 5" xfId="19607" xr:uid="{00000000-0005-0000-0000-00005C4D0000}"/>
    <cellStyle name="Standard 4 3 2 3 2 4 2 2 6" xfId="19608" xr:uid="{00000000-0005-0000-0000-00005D4D0000}"/>
    <cellStyle name="Standard 4 3 2 3 2 4 2 3" xfId="19609" xr:uid="{00000000-0005-0000-0000-00005E4D0000}"/>
    <cellStyle name="Standard 4 3 2 3 2 4 2 3 2" xfId="19610" xr:uid="{00000000-0005-0000-0000-00005F4D0000}"/>
    <cellStyle name="Standard 4 3 2 3 2 4 2 3 3" xfId="19611" xr:uid="{00000000-0005-0000-0000-0000604D0000}"/>
    <cellStyle name="Standard 4 3 2 3 2 4 2 4" xfId="19612" xr:uid="{00000000-0005-0000-0000-0000614D0000}"/>
    <cellStyle name="Standard 4 3 2 3 2 4 2 4 2" xfId="19613" xr:uid="{00000000-0005-0000-0000-0000624D0000}"/>
    <cellStyle name="Standard 4 3 2 3 2 4 2 4 3" xfId="19614" xr:uid="{00000000-0005-0000-0000-0000634D0000}"/>
    <cellStyle name="Standard 4 3 2 3 2 4 2 5" xfId="19615" xr:uid="{00000000-0005-0000-0000-0000644D0000}"/>
    <cellStyle name="Standard 4 3 2 3 2 4 2 5 2" xfId="19616" xr:uid="{00000000-0005-0000-0000-0000654D0000}"/>
    <cellStyle name="Standard 4 3 2 3 2 4 2 6" xfId="19617" xr:uid="{00000000-0005-0000-0000-0000664D0000}"/>
    <cellStyle name="Standard 4 3 2 3 2 4 2 7" xfId="19618" xr:uid="{00000000-0005-0000-0000-0000674D0000}"/>
    <cellStyle name="Standard 4 3 2 3 2 4 3" xfId="19619" xr:uid="{00000000-0005-0000-0000-0000684D0000}"/>
    <cellStyle name="Standard 4 3 2 3 2 4 3 2" xfId="19620" xr:uid="{00000000-0005-0000-0000-0000694D0000}"/>
    <cellStyle name="Standard 4 3 2 3 2 4 3 2 2" xfId="19621" xr:uid="{00000000-0005-0000-0000-00006A4D0000}"/>
    <cellStyle name="Standard 4 3 2 3 2 4 3 2 3" xfId="19622" xr:uid="{00000000-0005-0000-0000-00006B4D0000}"/>
    <cellStyle name="Standard 4 3 2 3 2 4 3 3" xfId="19623" xr:uid="{00000000-0005-0000-0000-00006C4D0000}"/>
    <cellStyle name="Standard 4 3 2 3 2 4 3 3 2" xfId="19624" xr:uid="{00000000-0005-0000-0000-00006D4D0000}"/>
    <cellStyle name="Standard 4 3 2 3 2 4 3 3 3" xfId="19625" xr:uid="{00000000-0005-0000-0000-00006E4D0000}"/>
    <cellStyle name="Standard 4 3 2 3 2 4 3 4" xfId="19626" xr:uid="{00000000-0005-0000-0000-00006F4D0000}"/>
    <cellStyle name="Standard 4 3 2 3 2 4 3 4 2" xfId="19627" xr:uid="{00000000-0005-0000-0000-0000704D0000}"/>
    <cellStyle name="Standard 4 3 2 3 2 4 3 5" xfId="19628" xr:uid="{00000000-0005-0000-0000-0000714D0000}"/>
    <cellStyle name="Standard 4 3 2 3 2 4 3 6" xfId="19629" xr:uid="{00000000-0005-0000-0000-0000724D0000}"/>
    <cellStyle name="Standard 4 3 2 3 2 4 4" xfId="19630" xr:uid="{00000000-0005-0000-0000-0000734D0000}"/>
    <cellStyle name="Standard 4 3 2 3 2 4 4 2" xfId="19631" xr:uid="{00000000-0005-0000-0000-0000744D0000}"/>
    <cellStyle name="Standard 4 3 2 3 2 4 4 3" xfId="19632" xr:uid="{00000000-0005-0000-0000-0000754D0000}"/>
    <cellStyle name="Standard 4 3 2 3 2 4 5" xfId="19633" xr:uid="{00000000-0005-0000-0000-0000764D0000}"/>
    <cellStyle name="Standard 4 3 2 3 2 4 5 2" xfId="19634" xr:uid="{00000000-0005-0000-0000-0000774D0000}"/>
    <cellStyle name="Standard 4 3 2 3 2 4 5 3" xfId="19635" xr:uid="{00000000-0005-0000-0000-0000784D0000}"/>
    <cellStyle name="Standard 4 3 2 3 2 4 6" xfId="19636" xr:uid="{00000000-0005-0000-0000-0000794D0000}"/>
    <cellStyle name="Standard 4 3 2 3 2 4 6 2" xfId="19637" xr:uid="{00000000-0005-0000-0000-00007A4D0000}"/>
    <cellStyle name="Standard 4 3 2 3 2 4 7" xfId="19638" xr:uid="{00000000-0005-0000-0000-00007B4D0000}"/>
    <cellStyle name="Standard 4 3 2 3 2 4 8" xfId="19639" xr:uid="{00000000-0005-0000-0000-00007C4D0000}"/>
    <cellStyle name="Standard 4 3 2 3 2 5" xfId="19640" xr:uid="{00000000-0005-0000-0000-00007D4D0000}"/>
    <cellStyle name="Standard 4 3 2 3 2 5 2" xfId="19641" xr:uid="{00000000-0005-0000-0000-00007E4D0000}"/>
    <cellStyle name="Standard 4 3 2 3 2 5 2 2" xfId="19642" xr:uid="{00000000-0005-0000-0000-00007F4D0000}"/>
    <cellStyle name="Standard 4 3 2 3 2 5 2 2 2" xfId="19643" xr:uid="{00000000-0005-0000-0000-0000804D0000}"/>
    <cellStyle name="Standard 4 3 2 3 2 5 2 2 3" xfId="19644" xr:uid="{00000000-0005-0000-0000-0000814D0000}"/>
    <cellStyle name="Standard 4 3 2 3 2 5 2 3" xfId="19645" xr:uid="{00000000-0005-0000-0000-0000824D0000}"/>
    <cellStyle name="Standard 4 3 2 3 2 5 2 3 2" xfId="19646" xr:uid="{00000000-0005-0000-0000-0000834D0000}"/>
    <cellStyle name="Standard 4 3 2 3 2 5 2 3 3" xfId="19647" xr:uid="{00000000-0005-0000-0000-0000844D0000}"/>
    <cellStyle name="Standard 4 3 2 3 2 5 2 4" xfId="19648" xr:uid="{00000000-0005-0000-0000-0000854D0000}"/>
    <cellStyle name="Standard 4 3 2 3 2 5 2 4 2" xfId="19649" xr:uid="{00000000-0005-0000-0000-0000864D0000}"/>
    <cellStyle name="Standard 4 3 2 3 2 5 2 5" xfId="19650" xr:uid="{00000000-0005-0000-0000-0000874D0000}"/>
    <cellStyle name="Standard 4 3 2 3 2 5 2 6" xfId="19651" xr:uid="{00000000-0005-0000-0000-0000884D0000}"/>
    <cellStyle name="Standard 4 3 2 3 2 5 3" xfId="19652" xr:uid="{00000000-0005-0000-0000-0000894D0000}"/>
    <cellStyle name="Standard 4 3 2 3 2 5 3 2" xfId="19653" xr:uid="{00000000-0005-0000-0000-00008A4D0000}"/>
    <cellStyle name="Standard 4 3 2 3 2 5 3 3" xfId="19654" xr:uid="{00000000-0005-0000-0000-00008B4D0000}"/>
    <cellStyle name="Standard 4 3 2 3 2 5 4" xfId="19655" xr:uid="{00000000-0005-0000-0000-00008C4D0000}"/>
    <cellStyle name="Standard 4 3 2 3 2 5 4 2" xfId="19656" xr:uid="{00000000-0005-0000-0000-00008D4D0000}"/>
    <cellStyle name="Standard 4 3 2 3 2 5 4 3" xfId="19657" xr:uid="{00000000-0005-0000-0000-00008E4D0000}"/>
    <cellStyle name="Standard 4 3 2 3 2 5 5" xfId="19658" xr:uid="{00000000-0005-0000-0000-00008F4D0000}"/>
    <cellStyle name="Standard 4 3 2 3 2 5 5 2" xfId="19659" xr:uid="{00000000-0005-0000-0000-0000904D0000}"/>
    <cellStyle name="Standard 4 3 2 3 2 5 6" xfId="19660" xr:uid="{00000000-0005-0000-0000-0000914D0000}"/>
    <cellStyle name="Standard 4 3 2 3 2 5 7" xfId="19661" xr:uid="{00000000-0005-0000-0000-0000924D0000}"/>
    <cellStyle name="Standard 4 3 2 3 2 6" xfId="19662" xr:uid="{00000000-0005-0000-0000-0000934D0000}"/>
    <cellStyle name="Standard 4 3 2 3 2 6 2" xfId="19663" xr:uid="{00000000-0005-0000-0000-0000944D0000}"/>
    <cellStyle name="Standard 4 3 2 3 2 6 2 2" xfId="19664" xr:uid="{00000000-0005-0000-0000-0000954D0000}"/>
    <cellStyle name="Standard 4 3 2 3 2 6 2 3" xfId="19665" xr:uid="{00000000-0005-0000-0000-0000964D0000}"/>
    <cellStyle name="Standard 4 3 2 3 2 6 3" xfId="19666" xr:uid="{00000000-0005-0000-0000-0000974D0000}"/>
    <cellStyle name="Standard 4 3 2 3 2 6 3 2" xfId="19667" xr:uid="{00000000-0005-0000-0000-0000984D0000}"/>
    <cellStyle name="Standard 4 3 2 3 2 6 3 3" xfId="19668" xr:uid="{00000000-0005-0000-0000-0000994D0000}"/>
    <cellStyle name="Standard 4 3 2 3 2 6 4" xfId="19669" xr:uid="{00000000-0005-0000-0000-00009A4D0000}"/>
    <cellStyle name="Standard 4 3 2 3 2 6 4 2" xfId="19670" xr:uid="{00000000-0005-0000-0000-00009B4D0000}"/>
    <cellStyle name="Standard 4 3 2 3 2 6 5" xfId="19671" xr:uid="{00000000-0005-0000-0000-00009C4D0000}"/>
    <cellStyle name="Standard 4 3 2 3 2 6 6" xfId="19672" xr:uid="{00000000-0005-0000-0000-00009D4D0000}"/>
    <cellStyle name="Standard 4 3 2 3 2 7" xfId="19673" xr:uid="{00000000-0005-0000-0000-00009E4D0000}"/>
    <cellStyle name="Standard 4 3 2 3 2 7 2" xfId="19674" xr:uid="{00000000-0005-0000-0000-00009F4D0000}"/>
    <cellStyle name="Standard 4 3 2 3 2 7 3" xfId="19675" xr:uid="{00000000-0005-0000-0000-0000A04D0000}"/>
    <cellStyle name="Standard 4 3 2 3 2 8" xfId="19676" xr:uid="{00000000-0005-0000-0000-0000A14D0000}"/>
    <cellStyle name="Standard 4 3 2 3 2 8 2" xfId="19677" xr:uid="{00000000-0005-0000-0000-0000A24D0000}"/>
    <cellStyle name="Standard 4 3 2 3 2 8 3" xfId="19678" xr:uid="{00000000-0005-0000-0000-0000A34D0000}"/>
    <cellStyle name="Standard 4 3 2 3 2 9" xfId="19679" xr:uid="{00000000-0005-0000-0000-0000A44D0000}"/>
    <cellStyle name="Standard 4 3 2 3 2 9 2" xfId="19680" xr:uid="{00000000-0005-0000-0000-0000A54D0000}"/>
    <cellStyle name="Standard 4 3 2 3 3" xfId="19681" xr:uid="{00000000-0005-0000-0000-0000A64D0000}"/>
    <cellStyle name="Standard 4 3 2 3 3 10" xfId="19682" xr:uid="{00000000-0005-0000-0000-0000A74D0000}"/>
    <cellStyle name="Standard 4 3 2 3 3 11" xfId="19683" xr:uid="{00000000-0005-0000-0000-0000A84D0000}"/>
    <cellStyle name="Standard 4 3 2 3 3 2" xfId="19684" xr:uid="{00000000-0005-0000-0000-0000A94D0000}"/>
    <cellStyle name="Standard 4 3 2 3 3 2 10" xfId="19685" xr:uid="{00000000-0005-0000-0000-0000AA4D0000}"/>
    <cellStyle name="Standard 4 3 2 3 3 2 2" xfId="19686" xr:uid="{00000000-0005-0000-0000-0000AB4D0000}"/>
    <cellStyle name="Standard 4 3 2 3 3 2 2 2" xfId="19687" xr:uid="{00000000-0005-0000-0000-0000AC4D0000}"/>
    <cellStyle name="Standard 4 3 2 3 3 2 2 2 2" xfId="19688" xr:uid="{00000000-0005-0000-0000-0000AD4D0000}"/>
    <cellStyle name="Standard 4 3 2 3 3 2 2 2 2 2" xfId="19689" xr:uid="{00000000-0005-0000-0000-0000AE4D0000}"/>
    <cellStyle name="Standard 4 3 2 3 3 2 2 2 2 2 2" xfId="19690" xr:uid="{00000000-0005-0000-0000-0000AF4D0000}"/>
    <cellStyle name="Standard 4 3 2 3 3 2 2 2 2 2 3" xfId="19691" xr:uid="{00000000-0005-0000-0000-0000B04D0000}"/>
    <cellStyle name="Standard 4 3 2 3 3 2 2 2 2 3" xfId="19692" xr:uid="{00000000-0005-0000-0000-0000B14D0000}"/>
    <cellStyle name="Standard 4 3 2 3 3 2 2 2 2 3 2" xfId="19693" xr:uid="{00000000-0005-0000-0000-0000B24D0000}"/>
    <cellStyle name="Standard 4 3 2 3 3 2 2 2 2 3 3" xfId="19694" xr:uid="{00000000-0005-0000-0000-0000B34D0000}"/>
    <cellStyle name="Standard 4 3 2 3 3 2 2 2 2 4" xfId="19695" xr:uid="{00000000-0005-0000-0000-0000B44D0000}"/>
    <cellStyle name="Standard 4 3 2 3 3 2 2 2 2 4 2" xfId="19696" xr:uid="{00000000-0005-0000-0000-0000B54D0000}"/>
    <cellStyle name="Standard 4 3 2 3 3 2 2 2 2 5" xfId="19697" xr:uid="{00000000-0005-0000-0000-0000B64D0000}"/>
    <cellStyle name="Standard 4 3 2 3 3 2 2 2 2 6" xfId="19698" xr:uid="{00000000-0005-0000-0000-0000B74D0000}"/>
    <cellStyle name="Standard 4 3 2 3 3 2 2 2 3" xfId="19699" xr:uid="{00000000-0005-0000-0000-0000B84D0000}"/>
    <cellStyle name="Standard 4 3 2 3 3 2 2 2 3 2" xfId="19700" xr:uid="{00000000-0005-0000-0000-0000B94D0000}"/>
    <cellStyle name="Standard 4 3 2 3 3 2 2 2 3 3" xfId="19701" xr:uid="{00000000-0005-0000-0000-0000BA4D0000}"/>
    <cellStyle name="Standard 4 3 2 3 3 2 2 2 4" xfId="19702" xr:uid="{00000000-0005-0000-0000-0000BB4D0000}"/>
    <cellStyle name="Standard 4 3 2 3 3 2 2 2 4 2" xfId="19703" xr:uid="{00000000-0005-0000-0000-0000BC4D0000}"/>
    <cellStyle name="Standard 4 3 2 3 3 2 2 2 4 3" xfId="19704" xr:uid="{00000000-0005-0000-0000-0000BD4D0000}"/>
    <cellStyle name="Standard 4 3 2 3 3 2 2 2 5" xfId="19705" xr:uid="{00000000-0005-0000-0000-0000BE4D0000}"/>
    <cellStyle name="Standard 4 3 2 3 3 2 2 2 5 2" xfId="19706" xr:uid="{00000000-0005-0000-0000-0000BF4D0000}"/>
    <cellStyle name="Standard 4 3 2 3 3 2 2 2 6" xfId="19707" xr:uid="{00000000-0005-0000-0000-0000C04D0000}"/>
    <cellStyle name="Standard 4 3 2 3 3 2 2 2 7" xfId="19708" xr:uid="{00000000-0005-0000-0000-0000C14D0000}"/>
    <cellStyle name="Standard 4 3 2 3 3 2 2 3" xfId="19709" xr:uid="{00000000-0005-0000-0000-0000C24D0000}"/>
    <cellStyle name="Standard 4 3 2 3 3 2 2 3 2" xfId="19710" xr:uid="{00000000-0005-0000-0000-0000C34D0000}"/>
    <cellStyle name="Standard 4 3 2 3 3 2 2 3 2 2" xfId="19711" xr:uid="{00000000-0005-0000-0000-0000C44D0000}"/>
    <cellStyle name="Standard 4 3 2 3 3 2 2 3 2 3" xfId="19712" xr:uid="{00000000-0005-0000-0000-0000C54D0000}"/>
    <cellStyle name="Standard 4 3 2 3 3 2 2 3 3" xfId="19713" xr:uid="{00000000-0005-0000-0000-0000C64D0000}"/>
    <cellStyle name="Standard 4 3 2 3 3 2 2 3 3 2" xfId="19714" xr:uid="{00000000-0005-0000-0000-0000C74D0000}"/>
    <cellStyle name="Standard 4 3 2 3 3 2 2 3 3 3" xfId="19715" xr:uid="{00000000-0005-0000-0000-0000C84D0000}"/>
    <cellStyle name="Standard 4 3 2 3 3 2 2 3 4" xfId="19716" xr:uid="{00000000-0005-0000-0000-0000C94D0000}"/>
    <cellStyle name="Standard 4 3 2 3 3 2 2 3 4 2" xfId="19717" xr:uid="{00000000-0005-0000-0000-0000CA4D0000}"/>
    <cellStyle name="Standard 4 3 2 3 3 2 2 3 5" xfId="19718" xr:uid="{00000000-0005-0000-0000-0000CB4D0000}"/>
    <cellStyle name="Standard 4 3 2 3 3 2 2 3 6" xfId="19719" xr:uid="{00000000-0005-0000-0000-0000CC4D0000}"/>
    <cellStyle name="Standard 4 3 2 3 3 2 2 4" xfId="19720" xr:uid="{00000000-0005-0000-0000-0000CD4D0000}"/>
    <cellStyle name="Standard 4 3 2 3 3 2 2 4 2" xfId="19721" xr:uid="{00000000-0005-0000-0000-0000CE4D0000}"/>
    <cellStyle name="Standard 4 3 2 3 3 2 2 4 3" xfId="19722" xr:uid="{00000000-0005-0000-0000-0000CF4D0000}"/>
    <cellStyle name="Standard 4 3 2 3 3 2 2 5" xfId="19723" xr:uid="{00000000-0005-0000-0000-0000D04D0000}"/>
    <cellStyle name="Standard 4 3 2 3 3 2 2 5 2" xfId="19724" xr:uid="{00000000-0005-0000-0000-0000D14D0000}"/>
    <cellStyle name="Standard 4 3 2 3 3 2 2 5 3" xfId="19725" xr:uid="{00000000-0005-0000-0000-0000D24D0000}"/>
    <cellStyle name="Standard 4 3 2 3 3 2 2 6" xfId="19726" xr:uid="{00000000-0005-0000-0000-0000D34D0000}"/>
    <cellStyle name="Standard 4 3 2 3 3 2 2 6 2" xfId="19727" xr:uid="{00000000-0005-0000-0000-0000D44D0000}"/>
    <cellStyle name="Standard 4 3 2 3 3 2 2 7" xfId="19728" xr:uid="{00000000-0005-0000-0000-0000D54D0000}"/>
    <cellStyle name="Standard 4 3 2 3 3 2 2 8" xfId="19729" xr:uid="{00000000-0005-0000-0000-0000D64D0000}"/>
    <cellStyle name="Standard 4 3 2 3 3 2 3" xfId="19730" xr:uid="{00000000-0005-0000-0000-0000D74D0000}"/>
    <cellStyle name="Standard 4 3 2 3 3 2 3 2" xfId="19731" xr:uid="{00000000-0005-0000-0000-0000D84D0000}"/>
    <cellStyle name="Standard 4 3 2 3 3 2 3 2 2" xfId="19732" xr:uid="{00000000-0005-0000-0000-0000D94D0000}"/>
    <cellStyle name="Standard 4 3 2 3 3 2 3 2 2 2" xfId="19733" xr:uid="{00000000-0005-0000-0000-0000DA4D0000}"/>
    <cellStyle name="Standard 4 3 2 3 3 2 3 2 2 2 2" xfId="19734" xr:uid="{00000000-0005-0000-0000-0000DB4D0000}"/>
    <cellStyle name="Standard 4 3 2 3 3 2 3 2 2 2 3" xfId="19735" xr:uid="{00000000-0005-0000-0000-0000DC4D0000}"/>
    <cellStyle name="Standard 4 3 2 3 3 2 3 2 2 3" xfId="19736" xr:uid="{00000000-0005-0000-0000-0000DD4D0000}"/>
    <cellStyle name="Standard 4 3 2 3 3 2 3 2 2 3 2" xfId="19737" xr:uid="{00000000-0005-0000-0000-0000DE4D0000}"/>
    <cellStyle name="Standard 4 3 2 3 3 2 3 2 2 3 3" xfId="19738" xr:uid="{00000000-0005-0000-0000-0000DF4D0000}"/>
    <cellStyle name="Standard 4 3 2 3 3 2 3 2 2 4" xfId="19739" xr:uid="{00000000-0005-0000-0000-0000E04D0000}"/>
    <cellStyle name="Standard 4 3 2 3 3 2 3 2 2 4 2" xfId="19740" xr:uid="{00000000-0005-0000-0000-0000E14D0000}"/>
    <cellStyle name="Standard 4 3 2 3 3 2 3 2 2 5" xfId="19741" xr:uid="{00000000-0005-0000-0000-0000E24D0000}"/>
    <cellStyle name="Standard 4 3 2 3 3 2 3 2 2 6" xfId="19742" xr:uid="{00000000-0005-0000-0000-0000E34D0000}"/>
    <cellStyle name="Standard 4 3 2 3 3 2 3 2 3" xfId="19743" xr:uid="{00000000-0005-0000-0000-0000E44D0000}"/>
    <cellStyle name="Standard 4 3 2 3 3 2 3 2 3 2" xfId="19744" xr:uid="{00000000-0005-0000-0000-0000E54D0000}"/>
    <cellStyle name="Standard 4 3 2 3 3 2 3 2 3 3" xfId="19745" xr:uid="{00000000-0005-0000-0000-0000E64D0000}"/>
    <cellStyle name="Standard 4 3 2 3 3 2 3 2 4" xfId="19746" xr:uid="{00000000-0005-0000-0000-0000E74D0000}"/>
    <cellStyle name="Standard 4 3 2 3 3 2 3 2 4 2" xfId="19747" xr:uid="{00000000-0005-0000-0000-0000E84D0000}"/>
    <cellStyle name="Standard 4 3 2 3 3 2 3 2 4 3" xfId="19748" xr:uid="{00000000-0005-0000-0000-0000E94D0000}"/>
    <cellStyle name="Standard 4 3 2 3 3 2 3 2 5" xfId="19749" xr:uid="{00000000-0005-0000-0000-0000EA4D0000}"/>
    <cellStyle name="Standard 4 3 2 3 3 2 3 2 5 2" xfId="19750" xr:uid="{00000000-0005-0000-0000-0000EB4D0000}"/>
    <cellStyle name="Standard 4 3 2 3 3 2 3 2 6" xfId="19751" xr:uid="{00000000-0005-0000-0000-0000EC4D0000}"/>
    <cellStyle name="Standard 4 3 2 3 3 2 3 2 7" xfId="19752" xr:uid="{00000000-0005-0000-0000-0000ED4D0000}"/>
    <cellStyle name="Standard 4 3 2 3 3 2 3 3" xfId="19753" xr:uid="{00000000-0005-0000-0000-0000EE4D0000}"/>
    <cellStyle name="Standard 4 3 2 3 3 2 3 3 2" xfId="19754" xr:uid="{00000000-0005-0000-0000-0000EF4D0000}"/>
    <cellStyle name="Standard 4 3 2 3 3 2 3 3 2 2" xfId="19755" xr:uid="{00000000-0005-0000-0000-0000F04D0000}"/>
    <cellStyle name="Standard 4 3 2 3 3 2 3 3 2 3" xfId="19756" xr:uid="{00000000-0005-0000-0000-0000F14D0000}"/>
    <cellStyle name="Standard 4 3 2 3 3 2 3 3 3" xfId="19757" xr:uid="{00000000-0005-0000-0000-0000F24D0000}"/>
    <cellStyle name="Standard 4 3 2 3 3 2 3 3 3 2" xfId="19758" xr:uid="{00000000-0005-0000-0000-0000F34D0000}"/>
    <cellStyle name="Standard 4 3 2 3 3 2 3 3 3 3" xfId="19759" xr:uid="{00000000-0005-0000-0000-0000F44D0000}"/>
    <cellStyle name="Standard 4 3 2 3 3 2 3 3 4" xfId="19760" xr:uid="{00000000-0005-0000-0000-0000F54D0000}"/>
    <cellStyle name="Standard 4 3 2 3 3 2 3 3 4 2" xfId="19761" xr:uid="{00000000-0005-0000-0000-0000F64D0000}"/>
    <cellStyle name="Standard 4 3 2 3 3 2 3 3 5" xfId="19762" xr:uid="{00000000-0005-0000-0000-0000F74D0000}"/>
    <cellStyle name="Standard 4 3 2 3 3 2 3 3 6" xfId="19763" xr:uid="{00000000-0005-0000-0000-0000F84D0000}"/>
    <cellStyle name="Standard 4 3 2 3 3 2 3 4" xfId="19764" xr:uid="{00000000-0005-0000-0000-0000F94D0000}"/>
    <cellStyle name="Standard 4 3 2 3 3 2 3 4 2" xfId="19765" xr:uid="{00000000-0005-0000-0000-0000FA4D0000}"/>
    <cellStyle name="Standard 4 3 2 3 3 2 3 4 3" xfId="19766" xr:uid="{00000000-0005-0000-0000-0000FB4D0000}"/>
    <cellStyle name="Standard 4 3 2 3 3 2 3 5" xfId="19767" xr:uid="{00000000-0005-0000-0000-0000FC4D0000}"/>
    <cellStyle name="Standard 4 3 2 3 3 2 3 5 2" xfId="19768" xr:uid="{00000000-0005-0000-0000-0000FD4D0000}"/>
    <cellStyle name="Standard 4 3 2 3 3 2 3 5 3" xfId="19769" xr:uid="{00000000-0005-0000-0000-0000FE4D0000}"/>
    <cellStyle name="Standard 4 3 2 3 3 2 3 6" xfId="19770" xr:uid="{00000000-0005-0000-0000-0000FF4D0000}"/>
    <cellStyle name="Standard 4 3 2 3 3 2 3 6 2" xfId="19771" xr:uid="{00000000-0005-0000-0000-0000004E0000}"/>
    <cellStyle name="Standard 4 3 2 3 3 2 3 7" xfId="19772" xr:uid="{00000000-0005-0000-0000-0000014E0000}"/>
    <cellStyle name="Standard 4 3 2 3 3 2 3 8" xfId="19773" xr:uid="{00000000-0005-0000-0000-0000024E0000}"/>
    <cellStyle name="Standard 4 3 2 3 3 2 4" xfId="19774" xr:uid="{00000000-0005-0000-0000-0000034E0000}"/>
    <cellStyle name="Standard 4 3 2 3 3 2 4 2" xfId="19775" xr:uid="{00000000-0005-0000-0000-0000044E0000}"/>
    <cellStyle name="Standard 4 3 2 3 3 2 4 2 2" xfId="19776" xr:uid="{00000000-0005-0000-0000-0000054E0000}"/>
    <cellStyle name="Standard 4 3 2 3 3 2 4 2 2 2" xfId="19777" xr:uid="{00000000-0005-0000-0000-0000064E0000}"/>
    <cellStyle name="Standard 4 3 2 3 3 2 4 2 2 3" xfId="19778" xr:uid="{00000000-0005-0000-0000-0000074E0000}"/>
    <cellStyle name="Standard 4 3 2 3 3 2 4 2 3" xfId="19779" xr:uid="{00000000-0005-0000-0000-0000084E0000}"/>
    <cellStyle name="Standard 4 3 2 3 3 2 4 2 3 2" xfId="19780" xr:uid="{00000000-0005-0000-0000-0000094E0000}"/>
    <cellStyle name="Standard 4 3 2 3 3 2 4 2 3 3" xfId="19781" xr:uid="{00000000-0005-0000-0000-00000A4E0000}"/>
    <cellStyle name="Standard 4 3 2 3 3 2 4 2 4" xfId="19782" xr:uid="{00000000-0005-0000-0000-00000B4E0000}"/>
    <cellStyle name="Standard 4 3 2 3 3 2 4 2 4 2" xfId="19783" xr:uid="{00000000-0005-0000-0000-00000C4E0000}"/>
    <cellStyle name="Standard 4 3 2 3 3 2 4 2 5" xfId="19784" xr:uid="{00000000-0005-0000-0000-00000D4E0000}"/>
    <cellStyle name="Standard 4 3 2 3 3 2 4 2 6" xfId="19785" xr:uid="{00000000-0005-0000-0000-00000E4E0000}"/>
    <cellStyle name="Standard 4 3 2 3 3 2 4 3" xfId="19786" xr:uid="{00000000-0005-0000-0000-00000F4E0000}"/>
    <cellStyle name="Standard 4 3 2 3 3 2 4 3 2" xfId="19787" xr:uid="{00000000-0005-0000-0000-0000104E0000}"/>
    <cellStyle name="Standard 4 3 2 3 3 2 4 3 3" xfId="19788" xr:uid="{00000000-0005-0000-0000-0000114E0000}"/>
    <cellStyle name="Standard 4 3 2 3 3 2 4 4" xfId="19789" xr:uid="{00000000-0005-0000-0000-0000124E0000}"/>
    <cellStyle name="Standard 4 3 2 3 3 2 4 4 2" xfId="19790" xr:uid="{00000000-0005-0000-0000-0000134E0000}"/>
    <cellStyle name="Standard 4 3 2 3 3 2 4 4 3" xfId="19791" xr:uid="{00000000-0005-0000-0000-0000144E0000}"/>
    <cellStyle name="Standard 4 3 2 3 3 2 4 5" xfId="19792" xr:uid="{00000000-0005-0000-0000-0000154E0000}"/>
    <cellStyle name="Standard 4 3 2 3 3 2 4 5 2" xfId="19793" xr:uid="{00000000-0005-0000-0000-0000164E0000}"/>
    <cellStyle name="Standard 4 3 2 3 3 2 4 6" xfId="19794" xr:uid="{00000000-0005-0000-0000-0000174E0000}"/>
    <cellStyle name="Standard 4 3 2 3 3 2 4 7" xfId="19795" xr:uid="{00000000-0005-0000-0000-0000184E0000}"/>
    <cellStyle name="Standard 4 3 2 3 3 2 5" xfId="19796" xr:uid="{00000000-0005-0000-0000-0000194E0000}"/>
    <cellStyle name="Standard 4 3 2 3 3 2 5 2" xfId="19797" xr:uid="{00000000-0005-0000-0000-00001A4E0000}"/>
    <cellStyle name="Standard 4 3 2 3 3 2 5 2 2" xfId="19798" xr:uid="{00000000-0005-0000-0000-00001B4E0000}"/>
    <cellStyle name="Standard 4 3 2 3 3 2 5 2 3" xfId="19799" xr:uid="{00000000-0005-0000-0000-00001C4E0000}"/>
    <cellStyle name="Standard 4 3 2 3 3 2 5 3" xfId="19800" xr:uid="{00000000-0005-0000-0000-00001D4E0000}"/>
    <cellStyle name="Standard 4 3 2 3 3 2 5 3 2" xfId="19801" xr:uid="{00000000-0005-0000-0000-00001E4E0000}"/>
    <cellStyle name="Standard 4 3 2 3 3 2 5 3 3" xfId="19802" xr:uid="{00000000-0005-0000-0000-00001F4E0000}"/>
    <cellStyle name="Standard 4 3 2 3 3 2 5 4" xfId="19803" xr:uid="{00000000-0005-0000-0000-0000204E0000}"/>
    <cellStyle name="Standard 4 3 2 3 3 2 5 4 2" xfId="19804" xr:uid="{00000000-0005-0000-0000-0000214E0000}"/>
    <cellStyle name="Standard 4 3 2 3 3 2 5 5" xfId="19805" xr:uid="{00000000-0005-0000-0000-0000224E0000}"/>
    <cellStyle name="Standard 4 3 2 3 3 2 5 6" xfId="19806" xr:uid="{00000000-0005-0000-0000-0000234E0000}"/>
    <cellStyle name="Standard 4 3 2 3 3 2 6" xfId="19807" xr:uid="{00000000-0005-0000-0000-0000244E0000}"/>
    <cellStyle name="Standard 4 3 2 3 3 2 6 2" xfId="19808" xr:uid="{00000000-0005-0000-0000-0000254E0000}"/>
    <cellStyle name="Standard 4 3 2 3 3 2 6 3" xfId="19809" xr:uid="{00000000-0005-0000-0000-0000264E0000}"/>
    <cellStyle name="Standard 4 3 2 3 3 2 7" xfId="19810" xr:uid="{00000000-0005-0000-0000-0000274E0000}"/>
    <cellStyle name="Standard 4 3 2 3 3 2 7 2" xfId="19811" xr:uid="{00000000-0005-0000-0000-0000284E0000}"/>
    <cellStyle name="Standard 4 3 2 3 3 2 7 3" xfId="19812" xr:uid="{00000000-0005-0000-0000-0000294E0000}"/>
    <cellStyle name="Standard 4 3 2 3 3 2 8" xfId="19813" xr:uid="{00000000-0005-0000-0000-00002A4E0000}"/>
    <cellStyle name="Standard 4 3 2 3 3 2 8 2" xfId="19814" xr:uid="{00000000-0005-0000-0000-00002B4E0000}"/>
    <cellStyle name="Standard 4 3 2 3 3 2 9" xfId="19815" xr:uid="{00000000-0005-0000-0000-00002C4E0000}"/>
    <cellStyle name="Standard 4 3 2 3 3 3" xfId="19816" xr:uid="{00000000-0005-0000-0000-00002D4E0000}"/>
    <cellStyle name="Standard 4 3 2 3 3 3 2" xfId="19817" xr:uid="{00000000-0005-0000-0000-00002E4E0000}"/>
    <cellStyle name="Standard 4 3 2 3 3 3 2 2" xfId="19818" xr:uid="{00000000-0005-0000-0000-00002F4E0000}"/>
    <cellStyle name="Standard 4 3 2 3 3 3 2 2 2" xfId="19819" xr:uid="{00000000-0005-0000-0000-0000304E0000}"/>
    <cellStyle name="Standard 4 3 2 3 3 3 2 2 2 2" xfId="19820" xr:uid="{00000000-0005-0000-0000-0000314E0000}"/>
    <cellStyle name="Standard 4 3 2 3 3 3 2 2 2 3" xfId="19821" xr:uid="{00000000-0005-0000-0000-0000324E0000}"/>
    <cellStyle name="Standard 4 3 2 3 3 3 2 2 3" xfId="19822" xr:uid="{00000000-0005-0000-0000-0000334E0000}"/>
    <cellStyle name="Standard 4 3 2 3 3 3 2 2 3 2" xfId="19823" xr:uid="{00000000-0005-0000-0000-0000344E0000}"/>
    <cellStyle name="Standard 4 3 2 3 3 3 2 2 3 3" xfId="19824" xr:uid="{00000000-0005-0000-0000-0000354E0000}"/>
    <cellStyle name="Standard 4 3 2 3 3 3 2 2 4" xfId="19825" xr:uid="{00000000-0005-0000-0000-0000364E0000}"/>
    <cellStyle name="Standard 4 3 2 3 3 3 2 2 4 2" xfId="19826" xr:uid="{00000000-0005-0000-0000-0000374E0000}"/>
    <cellStyle name="Standard 4 3 2 3 3 3 2 2 5" xfId="19827" xr:uid="{00000000-0005-0000-0000-0000384E0000}"/>
    <cellStyle name="Standard 4 3 2 3 3 3 2 2 6" xfId="19828" xr:uid="{00000000-0005-0000-0000-0000394E0000}"/>
    <cellStyle name="Standard 4 3 2 3 3 3 2 3" xfId="19829" xr:uid="{00000000-0005-0000-0000-00003A4E0000}"/>
    <cellStyle name="Standard 4 3 2 3 3 3 2 3 2" xfId="19830" xr:uid="{00000000-0005-0000-0000-00003B4E0000}"/>
    <cellStyle name="Standard 4 3 2 3 3 3 2 3 3" xfId="19831" xr:uid="{00000000-0005-0000-0000-00003C4E0000}"/>
    <cellStyle name="Standard 4 3 2 3 3 3 2 4" xfId="19832" xr:uid="{00000000-0005-0000-0000-00003D4E0000}"/>
    <cellStyle name="Standard 4 3 2 3 3 3 2 4 2" xfId="19833" xr:uid="{00000000-0005-0000-0000-00003E4E0000}"/>
    <cellStyle name="Standard 4 3 2 3 3 3 2 4 3" xfId="19834" xr:uid="{00000000-0005-0000-0000-00003F4E0000}"/>
    <cellStyle name="Standard 4 3 2 3 3 3 2 5" xfId="19835" xr:uid="{00000000-0005-0000-0000-0000404E0000}"/>
    <cellStyle name="Standard 4 3 2 3 3 3 2 5 2" xfId="19836" xr:uid="{00000000-0005-0000-0000-0000414E0000}"/>
    <cellStyle name="Standard 4 3 2 3 3 3 2 6" xfId="19837" xr:uid="{00000000-0005-0000-0000-0000424E0000}"/>
    <cellStyle name="Standard 4 3 2 3 3 3 2 7" xfId="19838" xr:uid="{00000000-0005-0000-0000-0000434E0000}"/>
    <cellStyle name="Standard 4 3 2 3 3 3 3" xfId="19839" xr:uid="{00000000-0005-0000-0000-0000444E0000}"/>
    <cellStyle name="Standard 4 3 2 3 3 3 3 2" xfId="19840" xr:uid="{00000000-0005-0000-0000-0000454E0000}"/>
    <cellStyle name="Standard 4 3 2 3 3 3 3 2 2" xfId="19841" xr:uid="{00000000-0005-0000-0000-0000464E0000}"/>
    <cellStyle name="Standard 4 3 2 3 3 3 3 2 3" xfId="19842" xr:uid="{00000000-0005-0000-0000-0000474E0000}"/>
    <cellStyle name="Standard 4 3 2 3 3 3 3 3" xfId="19843" xr:uid="{00000000-0005-0000-0000-0000484E0000}"/>
    <cellStyle name="Standard 4 3 2 3 3 3 3 3 2" xfId="19844" xr:uid="{00000000-0005-0000-0000-0000494E0000}"/>
    <cellStyle name="Standard 4 3 2 3 3 3 3 3 3" xfId="19845" xr:uid="{00000000-0005-0000-0000-00004A4E0000}"/>
    <cellStyle name="Standard 4 3 2 3 3 3 3 4" xfId="19846" xr:uid="{00000000-0005-0000-0000-00004B4E0000}"/>
    <cellStyle name="Standard 4 3 2 3 3 3 3 4 2" xfId="19847" xr:uid="{00000000-0005-0000-0000-00004C4E0000}"/>
    <cellStyle name="Standard 4 3 2 3 3 3 3 5" xfId="19848" xr:uid="{00000000-0005-0000-0000-00004D4E0000}"/>
    <cellStyle name="Standard 4 3 2 3 3 3 3 6" xfId="19849" xr:uid="{00000000-0005-0000-0000-00004E4E0000}"/>
    <cellStyle name="Standard 4 3 2 3 3 3 4" xfId="19850" xr:uid="{00000000-0005-0000-0000-00004F4E0000}"/>
    <cellStyle name="Standard 4 3 2 3 3 3 4 2" xfId="19851" xr:uid="{00000000-0005-0000-0000-0000504E0000}"/>
    <cellStyle name="Standard 4 3 2 3 3 3 4 3" xfId="19852" xr:uid="{00000000-0005-0000-0000-0000514E0000}"/>
    <cellStyle name="Standard 4 3 2 3 3 3 5" xfId="19853" xr:uid="{00000000-0005-0000-0000-0000524E0000}"/>
    <cellStyle name="Standard 4 3 2 3 3 3 5 2" xfId="19854" xr:uid="{00000000-0005-0000-0000-0000534E0000}"/>
    <cellStyle name="Standard 4 3 2 3 3 3 5 3" xfId="19855" xr:uid="{00000000-0005-0000-0000-0000544E0000}"/>
    <cellStyle name="Standard 4 3 2 3 3 3 6" xfId="19856" xr:uid="{00000000-0005-0000-0000-0000554E0000}"/>
    <cellStyle name="Standard 4 3 2 3 3 3 6 2" xfId="19857" xr:uid="{00000000-0005-0000-0000-0000564E0000}"/>
    <cellStyle name="Standard 4 3 2 3 3 3 7" xfId="19858" xr:uid="{00000000-0005-0000-0000-0000574E0000}"/>
    <cellStyle name="Standard 4 3 2 3 3 3 8" xfId="19859" xr:uid="{00000000-0005-0000-0000-0000584E0000}"/>
    <cellStyle name="Standard 4 3 2 3 3 4" xfId="19860" xr:uid="{00000000-0005-0000-0000-0000594E0000}"/>
    <cellStyle name="Standard 4 3 2 3 3 4 2" xfId="19861" xr:uid="{00000000-0005-0000-0000-00005A4E0000}"/>
    <cellStyle name="Standard 4 3 2 3 3 4 2 2" xfId="19862" xr:uid="{00000000-0005-0000-0000-00005B4E0000}"/>
    <cellStyle name="Standard 4 3 2 3 3 4 2 2 2" xfId="19863" xr:uid="{00000000-0005-0000-0000-00005C4E0000}"/>
    <cellStyle name="Standard 4 3 2 3 3 4 2 2 2 2" xfId="19864" xr:uid="{00000000-0005-0000-0000-00005D4E0000}"/>
    <cellStyle name="Standard 4 3 2 3 3 4 2 2 2 3" xfId="19865" xr:uid="{00000000-0005-0000-0000-00005E4E0000}"/>
    <cellStyle name="Standard 4 3 2 3 3 4 2 2 3" xfId="19866" xr:uid="{00000000-0005-0000-0000-00005F4E0000}"/>
    <cellStyle name="Standard 4 3 2 3 3 4 2 2 3 2" xfId="19867" xr:uid="{00000000-0005-0000-0000-0000604E0000}"/>
    <cellStyle name="Standard 4 3 2 3 3 4 2 2 3 3" xfId="19868" xr:uid="{00000000-0005-0000-0000-0000614E0000}"/>
    <cellStyle name="Standard 4 3 2 3 3 4 2 2 4" xfId="19869" xr:uid="{00000000-0005-0000-0000-0000624E0000}"/>
    <cellStyle name="Standard 4 3 2 3 3 4 2 2 4 2" xfId="19870" xr:uid="{00000000-0005-0000-0000-0000634E0000}"/>
    <cellStyle name="Standard 4 3 2 3 3 4 2 2 5" xfId="19871" xr:uid="{00000000-0005-0000-0000-0000644E0000}"/>
    <cellStyle name="Standard 4 3 2 3 3 4 2 2 6" xfId="19872" xr:uid="{00000000-0005-0000-0000-0000654E0000}"/>
    <cellStyle name="Standard 4 3 2 3 3 4 2 3" xfId="19873" xr:uid="{00000000-0005-0000-0000-0000664E0000}"/>
    <cellStyle name="Standard 4 3 2 3 3 4 2 3 2" xfId="19874" xr:uid="{00000000-0005-0000-0000-0000674E0000}"/>
    <cellStyle name="Standard 4 3 2 3 3 4 2 3 3" xfId="19875" xr:uid="{00000000-0005-0000-0000-0000684E0000}"/>
    <cellStyle name="Standard 4 3 2 3 3 4 2 4" xfId="19876" xr:uid="{00000000-0005-0000-0000-0000694E0000}"/>
    <cellStyle name="Standard 4 3 2 3 3 4 2 4 2" xfId="19877" xr:uid="{00000000-0005-0000-0000-00006A4E0000}"/>
    <cellStyle name="Standard 4 3 2 3 3 4 2 4 3" xfId="19878" xr:uid="{00000000-0005-0000-0000-00006B4E0000}"/>
    <cellStyle name="Standard 4 3 2 3 3 4 2 5" xfId="19879" xr:uid="{00000000-0005-0000-0000-00006C4E0000}"/>
    <cellStyle name="Standard 4 3 2 3 3 4 2 5 2" xfId="19880" xr:uid="{00000000-0005-0000-0000-00006D4E0000}"/>
    <cellStyle name="Standard 4 3 2 3 3 4 2 6" xfId="19881" xr:uid="{00000000-0005-0000-0000-00006E4E0000}"/>
    <cellStyle name="Standard 4 3 2 3 3 4 2 7" xfId="19882" xr:uid="{00000000-0005-0000-0000-00006F4E0000}"/>
    <cellStyle name="Standard 4 3 2 3 3 4 3" xfId="19883" xr:uid="{00000000-0005-0000-0000-0000704E0000}"/>
    <cellStyle name="Standard 4 3 2 3 3 4 3 2" xfId="19884" xr:uid="{00000000-0005-0000-0000-0000714E0000}"/>
    <cellStyle name="Standard 4 3 2 3 3 4 3 2 2" xfId="19885" xr:uid="{00000000-0005-0000-0000-0000724E0000}"/>
    <cellStyle name="Standard 4 3 2 3 3 4 3 2 3" xfId="19886" xr:uid="{00000000-0005-0000-0000-0000734E0000}"/>
    <cellStyle name="Standard 4 3 2 3 3 4 3 3" xfId="19887" xr:uid="{00000000-0005-0000-0000-0000744E0000}"/>
    <cellStyle name="Standard 4 3 2 3 3 4 3 3 2" xfId="19888" xr:uid="{00000000-0005-0000-0000-0000754E0000}"/>
    <cellStyle name="Standard 4 3 2 3 3 4 3 3 3" xfId="19889" xr:uid="{00000000-0005-0000-0000-0000764E0000}"/>
    <cellStyle name="Standard 4 3 2 3 3 4 3 4" xfId="19890" xr:uid="{00000000-0005-0000-0000-0000774E0000}"/>
    <cellStyle name="Standard 4 3 2 3 3 4 3 4 2" xfId="19891" xr:uid="{00000000-0005-0000-0000-0000784E0000}"/>
    <cellStyle name="Standard 4 3 2 3 3 4 3 5" xfId="19892" xr:uid="{00000000-0005-0000-0000-0000794E0000}"/>
    <cellStyle name="Standard 4 3 2 3 3 4 3 6" xfId="19893" xr:uid="{00000000-0005-0000-0000-00007A4E0000}"/>
    <cellStyle name="Standard 4 3 2 3 3 4 4" xfId="19894" xr:uid="{00000000-0005-0000-0000-00007B4E0000}"/>
    <cellStyle name="Standard 4 3 2 3 3 4 4 2" xfId="19895" xr:uid="{00000000-0005-0000-0000-00007C4E0000}"/>
    <cellStyle name="Standard 4 3 2 3 3 4 4 3" xfId="19896" xr:uid="{00000000-0005-0000-0000-00007D4E0000}"/>
    <cellStyle name="Standard 4 3 2 3 3 4 5" xfId="19897" xr:uid="{00000000-0005-0000-0000-00007E4E0000}"/>
    <cellStyle name="Standard 4 3 2 3 3 4 5 2" xfId="19898" xr:uid="{00000000-0005-0000-0000-00007F4E0000}"/>
    <cellStyle name="Standard 4 3 2 3 3 4 5 3" xfId="19899" xr:uid="{00000000-0005-0000-0000-0000804E0000}"/>
    <cellStyle name="Standard 4 3 2 3 3 4 6" xfId="19900" xr:uid="{00000000-0005-0000-0000-0000814E0000}"/>
    <cellStyle name="Standard 4 3 2 3 3 4 6 2" xfId="19901" xr:uid="{00000000-0005-0000-0000-0000824E0000}"/>
    <cellStyle name="Standard 4 3 2 3 3 4 7" xfId="19902" xr:uid="{00000000-0005-0000-0000-0000834E0000}"/>
    <cellStyle name="Standard 4 3 2 3 3 4 8" xfId="19903" xr:uid="{00000000-0005-0000-0000-0000844E0000}"/>
    <cellStyle name="Standard 4 3 2 3 3 5" xfId="19904" xr:uid="{00000000-0005-0000-0000-0000854E0000}"/>
    <cellStyle name="Standard 4 3 2 3 3 5 2" xfId="19905" xr:uid="{00000000-0005-0000-0000-0000864E0000}"/>
    <cellStyle name="Standard 4 3 2 3 3 5 2 2" xfId="19906" xr:uid="{00000000-0005-0000-0000-0000874E0000}"/>
    <cellStyle name="Standard 4 3 2 3 3 5 2 2 2" xfId="19907" xr:uid="{00000000-0005-0000-0000-0000884E0000}"/>
    <cellStyle name="Standard 4 3 2 3 3 5 2 2 3" xfId="19908" xr:uid="{00000000-0005-0000-0000-0000894E0000}"/>
    <cellStyle name="Standard 4 3 2 3 3 5 2 3" xfId="19909" xr:uid="{00000000-0005-0000-0000-00008A4E0000}"/>
    <cellStyle name="Standard 4 3 2 3 3 5 2 3 2" xfId="19910" xr:uid="{00000000-0005-0000-0000-00008B4E0000}"/>
    <cellStyle name="Standard 4 3 2 3 3 5 2 3 3" xfId="19911" xr:uid="{00000000-0005-0000-0000-00008C4E0000}"/>
    <cellStyle name="Standard 4 3 2 3 3 5 2 4" xfId="19912" xr:uid="{00000000-0005-0000-0000-00008D4E0000}"/>
    <cellStyle name="Standard 4 3 2 3 3 5 2 4 2" xfId="19913" xr:uid="{00000000-0005-0000-0000-00008E4E0000}"/>
    <cellStyle name="Standard 4 3 2 3 3 5 2 5" xfId="19914" xr:uid="{00000000-0005-0000-0000-00008F4E0000}"/>
    <cellStyle name="Standard 4 3 2 3 3 5 2 6" xfId="19915" xr:uid="{00000000-0005-0000-0000-0000904E0000}"/>
    <cellStyle name="Standard 4 3 2 3 3 5 3" xfId="19916" xr:uid="{00000000-0005-0000-0000-0000914E0000}"/>
    <cellStyle name="Standard 4 3 2 3 3 5 3 2" xfId="19917" xr:uid="{00000000-0005-0000-0000-0000924E0000}"/>
    <cellStyle name="Standard 4 3 2 3 3 5 3 3" xfId="19918" xr:uid="{00000000-0005-0000-0000-0000934E0000}"/>
    <cellStyle name="Standard 4 3 2 3 3 5 4" xfId="19919" xr:uid="{00000000-0005-0000-0000-0000944E0000}"/>
    <cellStyle name="Standard 4 3 2 3 3 5 4 2" xfId="19920" xr:uid="{00000000-0005-0000-0000-0000954E0000}"/>
    <cellStyle name="Standard 4 3 2 3 3 5 4 3" xfId="19921" xr:uid="{00000000-0005-0000-0000-0000964E0000}"/>
    <cellStyle name="Standard 4 3 2 3 3 5 5" xfId="19922" xr:uid="{00000000-0005-0000-0000-0000974E0000}"/>
    <cellStyle name="Standard 4 3 2 3 3 5 5 2" xfId="19923" xr:uid="{00000000-0005-0000-0000-0000984E0000}"/>
    <cellStyle name="Standard 4 3 2 3 3 5 6" xfId="19924" xr:uid="{00000000-0005-0000-0000-0000994E0000}"/>
    <cellStyle name="Standard 4 3 2 3 3 5 7" xfId="19925" xr:uid="{00000000-0005-0000-0000-00009A4E0000}"/>
    <cellStyle name="Standard 4 3 2 3 3 6" xfId="19926" xr:uid="{00000000-0005-0000-0000-00009B4E0000}"/>
    <cellStyle name="Standard 4 3 2 3 3 6 2" xfId="19927" xr:uid="{00000000-0005-0000-0000-00009C4E0000}"/>
    <cellStyle name="Standard 4 3 2 3 3 6 2 2" xfId="19928" xr:uid="{00000000-0005-0000-0000-00009D4E0000}"/>
    <cellStyle name="Standard 4 3 2 3 3 6 2 3" xfId="19929" xr:uid="{00000000-0005-0000-0000-00009E4E0000}"/>
    <cellStyle name="Standard 4 3 2 3 3 6 3" xfId="19930" xr:uid="{00000000-0005-0000-0000-00009F4E0000}"/>
    <cellStyle name="Standard 4 3 2 3 3 6 3 2" xfId="19931" xr:uid="{00000000-0005-0000-0000-0000A04E0000}"/>
    <cellStyle name="Standard 4 3 2 3 3 6 3 3" xfId="19932" xr:uid="{00000000-0005-0000-0000-0000A14E0000}"/>
    <cellStyle name="Standard 4 3 2 3 3 6 4" xfId="19933" xr:uid="{00000000-0005-0000-0000-0000A24E0000}"/>
    <cellStyle name="Standard 4 3 2 3 3 6 4 2" xfId="19934" xr:uid="{00000000-0005-0000-0000-0000A34E0000}"/>
    <cellStyle name="Standard 4 3 2 3 3 6 5" xfId="19935" xr:uid="{00000000-0005-0000-0000-0000A44E0000}"/>
    <cellStyle name="Standard 4 3 2 3 3 6 6" xfId="19936" xr:uid="{00000000-0005-0000-0000-0000A54E0000}"/>
    <cellStyle name="Standard 4 3 2 3 3 7" xfId="19937" xr:uid="{00000000-0005-0000-0000-0000A64E0000}"/>
    <cellStyle name="Standard 4 3 2 3 3 7 2" xfId="19938" xr:uid="{00000000-0005-0000-0000-0000A74E0000}"/>
    <cellStyle name="Standard 4 3 2 3 3 7 3" xfId="19939" xr:uid="{00000000-0005-0000-0000-0000A84E0000}"/>
    <cellStyle name="Standard 4 3 2 3 3 8" xfId="19940" xr:uid="{00000000-0005-0000-0000-0000A94E0000}"/>
    <cellStyle name="Standard 4 3 2 3 3 8 2" xfId="19941" xr:uid="{00000000-0005-0000-0000-0000AA4E0000}"/>
    <cellStyle name="Standard 4 3 2 3 3 8 3" xfId="19942" xr:uid="{00000000-0005-0000-0000-0000AB4E0000}"/>
    <cellStyle name="Standard 4 3 2 3 3 9" xfId="19943" xr:uid="{00000000-0005-0000-0000-0000AC4E0000}"/>
    <cellStyle name="Standard 4 3 2 3 3 9 2" xfId="19944" xr:uid="{00000000-0005-0000-0000-0000AD4E0000}"/>
    <cellStyle name="Standard 4 3 2 3 4" xfId="19945" xr:uid="{00000000-0005-0000-0000-0000AE4E0000}"/>
    <cellStyle name="Standard 4 3 2 3 4 10" xfId="19946" xr:uid="{00000000-0005-0000-0000-0000AF4E0000}"/>
    <cellStyle name="Standard 4 3 2 3 4 2" xfId="19947" xr:uid="{00000000-0005-0000-0000-0000B04E0000}"/>
    <cellStyle name="Standard 4 3 2 3 4 2 2" xfId="19948" xr:uid="{00000000-0005-0000-0000-0000B14E0000}"/>
    <cellStyle name="Standard 4 3 2 3 4 2 2 2" xfId="19949" xr:uid="{00000000-0005-0000-0000-0000B24E0000}"/>
    <cellStyle name="Standard 4 3 2 3 4 2 2 2 2" xfId="19950" xr:uid="{00000000-0005-0000-0000-0000B34E0000}"/>
    <cellStyle name="Standard 4 3 2 3 4 2 2 2 2 2" xfId="19951" xr:uid="{00000000-0005-0000-0000-0000B44E0000}"/>
    <cellStyle name="Standard 4 3 2 3 4 2 2 2 2 3" xfId="19952" xr:uid="{00000000-0005-0000-0000-0000B54E0000}"/>
    <cellStyle name="Standard 4 3 2 3 4 2 2 2 3" xfId="19953" xr:uid="{00000000-0005-0000-0000-0000B64E0000}"/>
    <cellStyle name="Standard 4 3 2 3 4 2 2 2 3 2" xfId="19954" xr:uid="{00000000-0005-0000-0000-0000B74E0000}"/>
    <cellStyle name="Standard 4 3 2 3 4 2 2 2 3 3" xfId="19955" xr:uid="{00000000-0005-0000-0000-0000B84E0000}"/>
    <cellStyle name="Standard 4 3 2 3 4 2 2 2 4" xfId="19956" xr:uid="{00000000-0005-0000-0000-0000B94E0000}"/>
    <cellStyle name="Standard 4 3 2 3 4 2 2 2 4 2" xfId="19957" xr:uid="{00000000-0005-0000-0000-0000BA4E0000}"/>
    <cellStyle name="Standard 4 3 2 3 4 2 2 2 5" xfId="19958" xr:uid="{00000000-0005-0000-0000-0000BB4E0000}"/>
    <cellStyle name="Standard 4 3 2 3 4 2 2 2 6" xfId="19959" xr:uid="{00000000-0005-0000-0000-0000BC4E0000}"/>
    <cellStyle name="Standard 4 3 2 3 4 2 2 3" xfId="19960" xr:uid="{00000000-0005-0000-0000-0000BD4E0000}"/>
    <cellStyle name="Standard 4 3 2 3 4 2 2 3 2" xfId="19961" xr:uid="{00000000-0005-0000-0000-0000BE4E0000}"/>
    <cellStyle name="Standard 4 3 2 3 4 2 2 3 3" xfId="19962" xr:uid="{00000000-0005-0000-0000-0000BF4E0000}"/>
    <cellStyle name="Standard 4 3 2 3 4 2 2 4" xfId="19963" xr:uid="{00000000-0005-0000-0000-0000C04E0000}"/>
    <cellStyle name="Standard 4 3 2 3 4 2 2 4 2" xfId="19964" xr:uid="{00000000-0005-0000-0000-0000C14E0000}"/>
    <cellStyle name="Standard 4 3 2 3 4 2 2 4 3" xfId="19965" xr:uid="{00000000-0005-0000-0000-0000C24E0000}"/>
    <cellStyle name="Standard 4 3 2 3 4 2 2 5" xfId="19966" xr:uid="{00000000-0005-0000-0000-0000C34E0000}"/>
    <cellStyle name="Standard 4 3 2 3 4 2 2 5 2" xfId="19967" xr:uid="{00000000-0005-0000-0000-0000C44E0000}"/>
    <cellStyle name="Standard 4 3 2 3 4 2 2 6" xfId="19968" xr:uid="{00000000-0005-0000-0000-0000C54E0000}"/>
    <cellStyle name="Standard 4 3 2 3 4 2 2 7" xfId="19969" xr:uid="{00000000-0005-0000-0000-0000C64E0000}"/>
    <cellStyle name="Standard 4 3 2 3 4 2 3" xfId="19970" xr:uid="{00000000-0005-0000-0000-0000C74E0000}"/>
    <cellStyle name="Standard 4 3 2 3 4 2 3 2" xfId="19971" xr:uid="{00000000-0005-0000-0000-0000C84E0000}"/>
    <cellStyle name="Standard 4 3 2 3 4 2 3 2 2" xfId="19972" xr:uid="{00000000-0005-0000-0000-0000C94E0000}"/>
    <cellStyle name="Standard 4 3 2 3 4 2 3 2 3" xfId="19973" xr:uid="{00000000-0005-0000-0000-0000CA4E0000}"/>
    <cellStyle name="Standard 4 3 2 3 4 2 3 3" xfId="19974" xr:uid="{00000000-0005-0000-0000-0000CB4E0000}"/>
    <cellStyle name="Standard 4 3 2 3 4 2 3 3 2" xfId="19975" xr:uid="{00000000-0005-0000-0000-0000CC4E0000}"/>
    <cellStyle name="Standard 4 3 2 3 4 2 3 3 3" xfId="19976" xr:uid="{00000000-0005-0000-0000-0000CD4E0000}"/>
    <cellStyle name="Standard 4 3 2 3 4 2 3 4" xfId="19977" xr:uid="{00000000-0005-0000-0000-0000CE4E0000}"/>
    <cellStyle name="Standard 4 3 2 3 4 2 3 4 2" xfId="19978" xr:uid="{00000000-0005-0000-0000-0000CF4E0000}"/>
    <cellStyle name="Standard 4 3 2 3 4 2 3 5" xfId="19979" xr:uid="{00000000-0005-0000-0000-0000D04E0000}"/>
    <cellStyle name="Standard 4 3 2 3 4 2 3 6" xfId="19980" xr:uid="{00000000-0005-0000-0000-0000D14E0000}"/>
    <cellStyle name="Standard 4 3 2 3 4 2 4" xfId="19981" xr:uid="{00000000-0005-0000-0000-0000D24E0000}"/>
    <cellStyle name="Standard 4 3 2 3 4 2 4 2" xfId="19982" xr:uid="{00000000-0005-0000-0000-0000D34E0000}"/>
    <cellStyle name="Standard 4 3 2 3 4 2 4 3" xfId="19983" xr:uid="{00000000-0005-0000-0000-0000D44E0000}"/>
    <cellStyle name="Standard 4 3 2 3 4 2 5" xfId="19984" xr:uid="{00000000-0005-0000-0000-0000D54E0000}"/>
    <cellStyle name="Standard 4 3 2 3 4 2 5 2" xfId="19985" xr:uid="{00000000-0005-0000-0000-0000D64E0000}"/>
    <cellStyle name="Standard 4 3 2 3 4 2 5 3" xfId="19986" xr:uid="{00000000-0005-0000-0000-0000D74E0000}"/>
    <cellStyle name="Standard 4 3 2 3 4 2 6" xfId="19987" xr:uid="{00000000-0005-0000-0000-0000D84E0000}"/>
    <cellStyle name="Standard 4 3 2 3 4 2 6 2" xfId="19988" xr:uid="{00000000-0005-0000-0000-0000D94E0000}"/>
    <cellStyle name="Standard 4 3 2 3 4 2 7" xfId="19989" xr:uid="{00000000-0005-0000-0000-0000DA4E0000}"/>
    <cellStyle name="Standard 4 3 2 3 4 2 8" xfId="19990" xr:uid="{00000000-0005-0000-0000-0000DB4E0000}"/>
    <cellStyle name="Standard 4 3 2 3 4 3" xfId="19991" xr:uid="{00000000-0005-0000-0000-0000DC4E0000}"/>
    <cellStyle name="Standard 4 3 2 3 4 3 2" xfId="19992" xr:uid="{00000000-0005-0000-0000-0000DD4E0000}"/>
    <cellStyle name="Standard 4 3 2 3 4 3 2 2" xfId="19993" xr:uid="{00000000-0005-0000-0000-0000DE4E0000}"/>
    <cellStyle name="Standard 4 3 2 3 4 3 2 2 2" xfId="19994" xr:uid="{00000000-0005-0000-0000-0000DF4E0000}"/>
    <cellStyle name="Standard 4 3 2 3 4 3 2 2 2 2" xfId="19995" xr:uid="{00000000-0005-0000-0000-0000E04E0000}"/>
    <cellStyle name="Standard 4 3 2 3 4 3 2 2 2 3" xfId="19996" xr:uid="{00000000-0005-0000-0000-0000E14E0000}"/>
    <cellStyle name="Standard 4 3 2 3 4 3 2 2 3" xfId="19997" xr:uid="{00000000-0005-0000-0000-0000E24E0000}"/>
    <cellStyle name="Standard 4 3 2 3 4 3 2 2 3 2" xfId="19998" xr:uid="{00000000-0005-0000-0000-0000E34E0000}"/>
    <cellStyle name="Standard 4 3 2 3 4 3 2 2 3 3" xfId="19999" xr:uid="{00000000-0005-0000-0000-0000E44E0000}"/>
    <cellStyle name="Standard 4 3 2 3 4 3 2 2 4" xfId="20000" xr:uid="{00000000-0005-0000-0000-0000E54E0000}"/>
    <cellStyle name="Standard 4 3 2 3 4 3 2 2 4 2" xfId="20001" xr:uid="{00000000-0005-0000-0000-0000E64E0000}"/>
    <cellStyle name="Standard 4 3 2 3 4 3 2 2 5" xfId="20002" xr:uid="{00000000-0005-0000-0000-0000E74E0000}"/>
    <cellStyle name="Standard 4 3 2 3 4 3 2 2 6" xfId="20003" xr:uid="{00000000-0005-0000-0000-0000E84E0000}"/>
    <cellStyle name="Standard 4 3 2 3 4 3 2 3" xfId="20004" xr:uid="{00000000-0005-0000-0000-0000E94E0000}"/>
    <cellStyle name="Standard 4 3 2 3 4 3 2 3 2" xfId="20005" xr:uid="{00000000-0005-0000-0000-0000EA4E0000}"/>
    <cellStyle name="Standard 4 3 2 3 4 3 2 3 3" xfId="20006" xr:uid="{00000000-0005-0000-0000-0000EB4E0000}"/>
    <cellStyle name="Standard 4 3 2 3 4 3 2 4" xfId="20007" xr:uid="{00000000-0005-0000-0000-0000EC4E0000}"/>
    <cellStyle name="Standard 4 3 2 3 4 3 2 4 2" xfId="20008" xr:uid="{00000000-0005-0000-0000-0000ED4E0000}"/>
    <cellStyle name="Standard 4 3 2 3 4 3 2 4 3" xfId="20009" xr:uid="{00000000-0005-0000-0000-0000EE4E0000}"/>
    <cellStyle name="Standard 4 3 2 3 4 3 2 5" xfId="20010" xr:uid="{00000000-0005-0000-0000-0000EF4E0000}"/>
    <cellStyle name="Standard 4 3 2 3 4 3 2 5 2" xfId="20011" xr:uid="{00000000-0005-0000-0000-0000F04E0000}"/>
    <cellStyle name="Standard 4 3 2 3 4 3 2 6" xfId="20012" xr:uid="{00000000-0005-0000-0000-0000F14E0000}"/>
    <cellStyle name="Standard 4 3 2 3 4 3 2 7" xfId="20013" xr:uid="{00000000-0005-0000-0000-0000F24E0000}"/>
    <cellStyle name="Standard 4 3 2 3 4 3 3" xfId="20014" xr:uid="{00000000-0005-0000-0000-0000F34E0000}"/>
    <cellStyle name="Standard 4 3 2 3 4 3 3 2" xfId="20015" xr:uid="{00000000-0005-0000-0000-0000F44E0000}"/>
    <cellStyle name="Standard 4 3 2 3 4 3 3 2 2" xfId="20016" xr:uid="{00000000-0005-0000-0000-0000F54E0000}"/>
    <cellStyle name="Standard 4 3 2 3 4 3 3 2 3" xfId="20017" xr:uid="{00000000-0005-0000-0000-0000F64E0000}"/>
    <cellStyle name="Standard 4 3 2 3 4 3 3 3" xfId="20018" xr:uid="{00000000-0005-0000-0000-0000F74E0000}"/>
    <cellStyle name="Standard 4 3 2 3 4 3 3 3 2" xfId="20019" xr:uid="{00000000-0005-0000-0000-0000F84E0000}"/>
    <cellStyle name="Standard 4 3 2 3 4 3 3 3 3" xfId="20020" xr:uid="{00000000-0005-0000-0000-0000F94E0000}"/>
    <cellStyle name="Standard 4 3 2 3 4 3 3 4" xfId="20021" xr:uid="{00000000-0005-0000-0000-0000FA4E0000}"/>
    <cellStyle name="Standard 4 3 2 3 4 3 3 4 2" xfId="20022" xr:uid="{00000000-0005-0000-0000-0000FB4E0000}"/>
    <cellStyle name="Standard 4 3 2 3 4 3 3 5" xfId="20023" xr:uid="{00000000-0005-0000-0000-0000FC4E0000}"/>
    <cellStyle name="Standard 4 3 2 3 4 3 3 6" xfId="20024" xr:uid="{00000000-0005-0000-0000-0000FD4E0000}"/>
    <cellStyle name="Standard 4 3 2 3 4 3 4" xfId="20025" xr:uid="{00000000-0005-0000-0000-0000FE4E0000}"/>
    <cellStyle name="Standard 4 3 2 3 4 3 4 2" xfId="20026" xr:uid="{00000000-0005-0000-0000-0000FF4E0000}"/>
    <cellStyle name="Standard 4 3 2 3 4 3 4 3" xfId="20027" xr:uid="{00000000-0005-0000-0000-0000004F0000}"/>
    <cellStyle name="Standard 4 3 2 3 4 3 5" xfId="20028" xr:uid="{00000000-0005-0000-0000-0000014F0000}"/>
    <cellStyle name="Standard 4 3 2 3 4 3 5 2" xfId="20029" xr:uid="{00000000-0005-0000-0000-0000024F0000}"/>
    <cellStyle name="Standard 4 3 2 3 4 3 5 3" xfId="20030" xr:uid="{00000000-0005-0000-0000-0000034F0000}"/>
    <cellStyle name="Standard 4 3 2 3 4 3 6" xfId="20031" xr:uid="{00000000-0005-0000-0000-0000044F0000}"/>
    <cellStyle name="Standard 4 3 2 3 4 3 6 2" xfId="20032" xr:uid="{00000000-0005-0000-0000-0000054F0000}"/>
    <cellStyle name="Standard 4 3 2 3 4 3 7" xfId="20033" xr:uid="{00000000-0005-0000-0000-0000064F0000}"/>
    <cellStyle name="Standard 4 3 2 3 4 3 8" xfId="20034" xr:uid="{00000000-0005-0000-0000-0000074F0000}"/>
    <cellStyle name="Standard 4 3 2 3 4 4" xfId="20035" xr:uid="{00000000-0005-0000-0000-0000084F0000}"/>
    <cellStyle name="Standard 4 3 2 3 4 4 2" xfId="20036" xr:uid="{00000000-0005-0000-0000-0000094F0000}"/>
    <cellStyle name="Standard 4 3 2 3 4 4 2 2" xfId="20037" xr:uid="{00000000-0005-0000-0000-00000A4F0000}"/>
    <cellStyle name="Standard 4 3 2 3 4 4 2 2 2" xfId="20038" xr:uid="{00000000-0005-0000-0000-00000B4F0000}"/>
    <cellStyle name="Standard 4 3 2 3 4 4 2 2 3" xfId="20039" xr:uid="{00000000-0005-0000-0000-00000C4F0000}"/>
    <cellStyle name="Standard 4 3 2 3 4 4 2 3" xfId="20040" xr:uid="{00000000-0005-0000-0000-00000D4F0000}"/>
    <cellStyle name="Standard 4 3 2 3 4 4 2 3 2" xfId="20041" xr:uid="{00000000-0005-0000-0000-00000E4F0000}"/>
    <cellStyle name="Standard 4 3 2 3 4 4 2 3 3" xfId="20042" xr:uid="{00000000-0005-0000-0000-00000F4F0000}"/>
    <cellStyle name="Standard 4 3 2 3 4 4 2 4" xfId="20043" xr:uid="{00000000-0005-0000-0000-0000104F0000}"/>
    <cellStyle name="Standard 4 3 2 3 4 4 2 4 2" xfId="20044" xr:uid="{00000000-0005-0000-0000-0000114F0000}"/>
    <cellStyle name="Standard 4 3 2 3 4 4 2 5" xfId="20045" xr:uid="{00000000-0005-0000-0000-0000124F0000}"/>
    <cellStyle name="Standard 4 3 2 3 4 4 2 6" xfId="20046" xr:uid="{00000000-0005-0000-0000-0000134F0000}"/>
    <cellStyle name="Standard 4 3 2 3 4 4 3" xfId="20047" xr:uid="{00000000-0005-0000-0000-0000144F0000}"/>
    <cellStyle name="Standard 4 3 2 3 4 4 3 2" xfId="20048" xr:uid="{00000000-0005-0000-0000-0000154F0000}"/>
    <cellStyle name="Standard 4 3 2 3 4 4 3 3" xfId="20049" xr:uid="{00000000-0005-0000-0000-0000164F0000}"/>
    <cellStyle name="Standard 4 3 2 3 4 4 4" xfId="20050" xr:uid="{00000000-0005-0000-0000-0000174F0000}"/>
    <cellStyle name="Standard 4 3 2 3 4 4 4 2" xfId="20051" xr:uid="{00000000-0005-0000-0000-0000184F0000}"/>
    <cellStyle name="Standard 4 3 2 3 4 4 4 3" xfId="20052" xr:uid="{00000000-0005-0000-0000-0000194F0000}"/>
    <cellStyle name="Standard 4 3 2 3 4 4 5" xfId="20053" xr:uid="{00000000-0005-0000-0000-00001A4F0000}"/>
    <cellStyle name="Standard 4 3 2 3 4 4 5 2" xfId="20054" xr:uid="{00000000-0005-0000-0000-00001B4F0000}"/>
    <cellStyle name="Standard 4 3 2 3 4 4 6" xfId="20055" xr:uid="{00000000-0005-0000-0000-00001C4F0000}"/>
    <cellStyle name="Standard 4 3 2 3 4 4 7" xfId="20056" xr:uid="{00000000-0005-0000-0000-00001D4F0000}"/>
    <cellStyle name="Standard 4 3 2 3 4 5" xfId="20057" xr:uid="{00000000-0005-0000-0000-00001E4F0000}"/>
    <cellStyle name="Standard 4 3 2 3 4 5 2" xfId="20058" xr:uid="{00000000-0005-0000-0000-00001F4F0000}"/>
    <cellStyle name="Standard 4 3 2 3 4 5 2 2" xfId="20059" xr:uid="{00000000-0005-0000-0000-0000204F0000}"/>
    <cellStyle name="Standard 4 3 2 3 4 5 2 3" xfId="20060" xr:uid="{00000000-0005-0000-0000-0000214F0000}"/>
    <cellStyle name="Standard 4 3 2 3 4 5 3" xfId="20061" xr:uid="{00000000-0005-0000-0000-0000224F0000}"/>
    <cellStyle name="Standard 4 3 2 3 4 5 3 2" xfId="20062" xr:uid="{00000000-0005-0000-0000-0000234F0000}"/>
    <cellStyle name="Standard 4 3 2 3 4 5 3 3" xfId="20063" xr:uid="{00000000-0005-0000-0000-0000244F0000}"/>
    <cellStyle name="Standard 4 3 2 3 4 5 4" xfId="20064" xr:uid="{00000000-0005-0000-0000-0000254F0000}"/>
    <cellStyle name="Standard 4 3 2 3 4 5 4 2" xfId="20065" xr:uid="{00000000-0005-0000-0000-0000264F0000}"/>
    <cellStyle name="Standard 4 3 2 3 4 5 5" xfId="20066" xr:uid="{00000000-0005-0000-0000-0000274F0000}"/>
    <cellStyle name="Standard 4 3 2 3 4 5 6" xfId="20067" xr:uid="{00000000-0005-0000-0000-0000284F0000}"/>
    <cellStyle name="Standard 4 3 2 3 4 6" xfId="20068" xr:uid="{00000000-0005-0000-0000-0000294F0000}"/>
    <cellStyle name="Standard 4 3 2 3 4 6 2" xfId="20069" xr:uid="{00000000-0005-0000-0000-00002A4F0000}"/>
    <cellStyle name="Standard 4 3 2 3 4 6 3" xfId="20070" xr:uid="{00000000-0005-0000-0000-00002B4F0000}"/>
    <cellStyle name="Standard 4 3 2 3 4 7" xfId="20071" xr:uid="{00000000-0005-0000-0000-00002C4F0000}"/>
    <cellStyle name="Standard 4 3 2 3 4 7 2" xfId="20072" xr:uid="{00000000-0005-0000-0000-00002D4F0000}"/>
    <cellStyle name="Standard 4 3 2 3 4 7 3" xfId="20073" xr:uid="{00000000-0005-0000-0000-00002E4F0000}"/>
    <cellStyle name="Standard 4 3 2 3 4 8" xfId="20074" xr:uid="{00000000-0005-0000-0000-00002F4F0000}"/>
    <cellStyle name="Standard 4 3 2 3 4 8 2" xfId="20075" xr:uid="{00000000-0005-0000-0000-0000304F0000}"/>
    <cellStyle name="Standard 4 3 2 3 4 9" xfId="20076" xr:uid="{00000000-0005-0000-0000-0000314F0000}"/>
    <cellStyle name="Standard 4 3 2 3 5" xfId="20077" xr:uid="{00000000-0005-0000-0000-0000324F0000}"/>
    <cellStyle name="Standard 4 3 2 3 5 2" xfId="20078" xr:uid="{00000000-0005-0000-0000-0000334F0000}"/>
    <cellStyle name="Standard 4 3 2 3 5 2 2" xfId="20079" xr:uid="{00000000-0005-0000-0000-0000344F0000}"/>
    <cellStyle name="Standard 4 3 2 3 5 2 2 2" xfId="20080" xr:uid="{00000000-0005-0000-0000-0000354F0000}"/>
    <cellStyle name="Standard 4 3 2 3 5 2 2 2 2" xfId="20081" xr:uid="{00000000-0005-0000-0000-0000364F0000}"/>
    <cellStyle name="Standard 4 3 2 3 5 2 2 2 3" xfId="20082" xr:uid="{00000000-0005-0000-0000-0000374F0000}"/>
    <cellStyle name="Standard 4 3 2 3 5 2 2 3" xfId="20083" xr:uid="{00000000-0005-0000-0000-0000384F0000}"/>
    <cellStyle name="Standard 4 3 2 3 5 2 2 3 2" xfId="20084" xr:uid="{00000000-0005-0000-0000-0000394F0000}"/>
    <cellStyle name="Standard 4 3 2 3 5 2 2 3 3" xfId="20085" xr:uid="{00000000-0005-0000-0000-00003A4F0000}"/>
    <cellStyle name="Standard 4 3 2 3 5 2 2 4" xfId="20086" xr:uid="{00000000-0005-0000-0000-00003B4F0000}"/>
    <cellStyle name="Standard 4 3 2 3 5 2 2 4 2" xfId="20087" xr:uid="{00000000-0005-0000-0000-00003C4F0000}"/>
    <cellStyle name="Standard 4 3 2 3 5 2 2 5" xfId="20088" xr:uid="{00000000-0005-0000-0000-00003D4F0000}"/>
    <cellStyle name="Standard 4 3 2 3 5 2 2 6" xfId="20089" xr:uid="{00000000-0005-0000-0000-00003E4F0000}"/>
    <cellStyle name="Standard 4 3 2 3 5 2 3" xfId="20090" xr:uid="{00000000-0005-0000-0000-00003F4F0000}"/>
    <cellStyle name="Standard 4 3 2 3 5 2 3 2" xfId="20091" xr:uid="{00000000-0005-0000-0000-0000404F0000}"/>
    <cellStyle name="Standard 4 3 2 3 5 2 3 3" xfId="20092" xr:uid="{00000000-0005-0000-0000-0000414F0000}"/>
    <cellStyle name="Standard 4 3 2 3 5 2 4" xfId="20093" xr:uid="{00000000-0005-0000-0000-0000424F0000}"/>
    <cellStyle name="Standard 4 3 2 3 5 2 4 2" xfId="20094" xr:uid="{00000000-0005-0000-0000-0000434F0000}"/>
    <cellStyle name="Standard 4 3 2 3 5 2 4 3" xfId="20095" xr:uid="{00000000-0005-0000-0000-0000444F0000}"/>
    <cellStyle name="Standard 4 3 2 3 5 2 5" xfId="20096" xr:uid="{00000000-0005-0000-0000-0000454F0000}"/>
    <cellStyle name="Standard 4 3 2 3 5 2 5 2" xfId="20097" xr:uid="{00000000-0005-0000-0000-0000464F0000}"/>
    <cellStyle name="Standard 4 3 2 3 5 2 6" xfId="20098" xr:uid="{00000000-0005-0000-0000-0000474F0000}"/>
    <cellStyle name="Standard 4 3 2 3 5 2 7" xfId="20099" xr:uid="{00000000-0005-0000-0000-0000484F0000}"/>
    <cellStyle name="Standard 4 3 2 3 5 3" xfId="20100" xr:uid="{00000000-0005-0000-0000-0000494F0000}"/>
    <cellStyle name="Standard 4 3 2 3 5 3 2" xfId="20101" xr:uid="{00000000-0005-0000-0000-00004A4F0000}"/>
    <cellStyle name="Standard 4 3 2 3 5 3 2 2" xfId="20102" xr:uid="{00000000-0005-0000-0000-00004B4F0000}"/>
    <cellStyle name="Standard 4 3 2 3 5 3 2 3" xfId="20103" xr:uid="{00000000-0005-0000-0000-00004C4F0000}"/>
    <cellStyle name="Standard 4 3 2 3 5 3 3" xfId="20104" xr:uid="{00000000-0005-0000-0000-00004D4F0000}"/>
    <cellStyle name="Standard 4 3 2 3 5 3 3 2" xfId="20105" xr:uid="{00000000-0005-0000-0000-00004E4F0000}"/>
    <cellStyle name="Standard 4 3 2 3 5 3 3 3" xfId="20106" xr:uid="{00000000-0005-0000-0000-00004F4F0000}"/>
    <cellStyle name="Standard 4 3 2 3 5 3 4" xfId="20107" xr:uid="{00000000-0005-0000-0000-0000504F0000}"/>
    <cellStyle name="Standard 4 3 2 3 5 3 4 2" xfId="20108" xr:uid="{00000000-0005-0000-0000-0000514F0000}"/>
    <cellStyle name="Standard 4 3 2 3 5 3 5" xfId="20109" xr:uid="{00000000-0005-0000-0000-0000524F0000}"/>
    <cellStyle name="Standard 4 3 2 3 5 3 6" xfId="20110" xr:uid="{00000000-0005-0000-0000-0000534F0000}"/>
    <cellStyle name="Standard 4 3 2 3 5 4" xfId="20111" xr:uid="{00000000-0005-0000-0000-0000544F0000}"/>
    <cellStyle name="Standard 4 3 2 3 5 4 2" xfId="20112" xr:uid="{00000000-0005-0000-0000-0000554F0000}"/>
    <cellStyle name="Standard 4 3 2 3 5 4 3" xfId="20113" xr:uid="{00000000-0005-0000-0000-0000564F0000}"/>
    <cellStyle name="Standard 4 3 2 3 5 5" xfId="20114" xr:uid="{00000000-0005-0000-0000-0000574F0000}"/>
    <cellStyle name="Standard 4 3 2 3 5 5 2" xfId="20115" xr:uid="{00000000-0005-0000-0000-0000584F0000}"/>
    <cellStyle name="Standard 4 3 2 3 5 5 3" xfId="20116" xr:uid="{00000000-0005-0000-0000-0000594F0000}"/>
    <cellStyle name="Standard 4 3 2 3 5 6" xfId="20117" xr:uid="{00000000-0005-0000-0000-00005A4F0000}"/>
    <cellStyle name="Standard 4 3 2 3 5 6 2" xfId="20118" xr:uid="{00000000-0005-0000-0000-00005B4F0000}"/>
    <cellStyle name="Standard 4 3 2 3 5 7" xfId="20119" xr:uid="{00000000-0005-0000-0000-00005C4F0000}"/>
    <cellStyle name="Standard 4 3 2 3 5 8" xfId="20120" xr:uid="{00000000-0005-0000-0000-00005D4F0000}"/>
    <cellStyle name="Standard 4 3 2 3 6" xfId="20121" xr:uid="{00000000-0005-0000-0000-00005E4F0000}"/>
    <cellStyle name="Standard 4 3 2 3 6 2" xfId="20122" xr:uid="{00000000-0005-0000-0000-00005F4F0000}"/>
    <cellStyle name="Standard 4 3 2 3 6 2 2" xfId="20123" xr:uid="{00000000-0005-0000-0000-0000604F0000}"/>
    <cellStyle name="Standard 4 3 2 3 6 2 2 2" xfId="20124" xr:uid="{00000000-0005-0000-0000-0000614F0000}"/>
    <cellStyle name="Standard 4 3 2 3 6 2 2 2 2" xfId="20125" xr:uid="{00000000-0005-0000-0000-0000624F0000}"/>
    <cellStyle name="Standard 4 3 2 3 6 2 2 2 3" xfId="20126" xr:uid="{00000000-0005-0000-0000-0000634F0000}"/>
    <cellStyle name="Standard 4 3 2 3 6 2 2 3" xfId="20127" xr:uid="{00000000-0005-0000-0000-0000644F0000}"/>
    <cellStyle name="Standard 4 3 2 3 6 2 2 3 2" xfId="20128" xr:uid="{00000000-0005-0000-0000-0000654F0000}"/>
    <cellStyle name="Standard 4 3 2 3 6 2 2 3 3" xfId="20129" xr:uid="{00000000-0005-0000-0000-0000664F0000}"/>
    <cellStyle name="Standard 4 3 2 3 6 2 2 4" xfId="20130" xr:uid="{00000000-0005-0000-0000-0000674F0000}"/>
    <cellStyle name="Standard 4 3 2 3 6 2 2 4 2" xfId="20131" xr:uid="{00000000-0005-0000-0000-0000684F0000}"/>
    <cellStyle name="Standard 4 3 2 3 6 2 2 5" xfId="20132" xr:uid="{00000000-0005-0000-0000-0000694F0000}"/>
    <cellStyle name="Standard 4 3 2 3 6 2 2 6" xfId="20133" xr:uid="{00000000-0005-0000-0000-00006A4F0000}"/>
    <cellStyle name="Standard 4 3 2 3 6 2 3" xfId="20134" xr:uid="{00000000-0005-0000-0000-00006B4F0000}"/>
    <cellStyle name="Standard 4 3 2 3 6 2 3 2" xfId="20135" xr:uid="{00000000-0005-0000-0000-00006C4F0000}"/>
    <cellStyle name="Standard 4 3 2 3 6 2 3 3" xfId="20136" xr:uid="{00000000-0005-0000-0000-00006D4F0000}"/>
    <cellStyle name="Standard 4 3 2 3 6 2 4" xfId="20137" xr:uid="{00000000-0005-0000-0000-00006E4F0000}"/>
    <cellStyle name="Standard 4 3 2 3 6 2 4 2" xfId="20138" xr:uid="{00000000-0005-0000-0000-00006F4F0000}"/>
    <cellStyle name="Standard 4 3 2 3 6 2 4 3" xfId="20139" xr:uid="{00000000-0005-0000-0000-0000704F0000}"/>
    <cellStyle name="Standard 4 3 2 3 6 2 5" xfId="20140" xr:uid="{00000000-0005-0000-0000-0000714F0000}"/>
    <cellStyle name="Standard 4 3 2 3 6 2 5 2" xfId="20141" xr:uid="{00000000-0005-0000-0000-0000724F0000}"/>
    <cellStyle name="Standard 4 3 2 3 6 2 6" xfId="20142" xr:uid="{00000000-0005-0000-0000-0000734F0000}"/>
    <cellStyle name="Standard 4 3 2 3 6 2 7" xfId="20143" xr:uid="{00000000-0005-0000-0000-0000744F0000}"/>
    <cellStyle name="Standard 4 3 2 3 6 3" xfId="20144" xr:uid="{00000000-0005-0000-0000-0000754F0000}"/>
    <cellStyle name="Standard 4 3 2 3 6 3 2" xfId="20145" xr:uid="{00000000-0005-0000-0000-0000764F0000}"/>
    <cellStyle name="Standard 4 3 2 3 6 3 2 2" xfId="20146" xr:uid="{00000000-0005-0000-0000-0000774F0000}"/>
    <cellStyle name="Standard 4 3 2 3 6 3 2 3" xfId="20147" xr:uid="{00000000-0005-0000-0000-0000784F0000}"/>
    <cellStyle name="Standard 4 3 2 3 6 3 3" xfId="20148" xr:uid="{00000000-0005-0000-0000-0000794F0000}"/>
    <cellStyle name="Standard 4 3 2 3 6 3 3 2" xfId="20149" xr:uid="{00000000-0005-0000-0000-00007A4F0000}"/>
    <cellStyle name="Standard 4 3 2 3 6 3 3 3" xfId="20150" xr:uid="{00000000-0005-0000-0000-00007B4F0000}"/>
    <cellStyle name="Standard 4 3 2 3 6 3 4" xfId="20151" xr:uid="{00000000-0005-0000-0000-00007C4F0000}"/>
    <cellStyle name="Standard 4 3 2 3 6 3 4 2" xfId="20152" xr:uid="{00000000-0005-0000-0000-00007D4F0000}"/>
    <cellStyle name="Standard 4 3 2 3 6 3 5" xfId="20153" xr:uid="{00000000-0005-0000-0000-00007E4F0000}"/>
    <cellStyle name="Standard 4 3 2 3 6 3 6" xfId="20154" xr:uid="{00000000-0005-0000-0000-00007F4F0000}"/>
    <cellStyle name="Standard 4 3 2 3 6 4" xfId="20155" xr:uid="{00000000-0005-0000-0000-0000804F0000}"/>
    <cellStyle name="Standard 4 3 2 3 6 4 2" xfId="20156" xr:uid="{00000000-0005-0000-0000-0000814F0000}"/>
    <cellStyle name="Standard 4 3 2 3 6 4 3" xfId="20157" xr:uid="{00000000-0005-0000-0000-0000824F0000}"/>
    <cellStyle name="Standard 4 3 2 3 6 5" xfId="20158" xr:uid="{00000000-0005-0000-0000-0000834F0000}"/>
    <cellStyle name="Standard 4 3 2 3 6 5 2" xfId="20159" xr:uid="{00000000-0005-0000-0000-0000844F0000}"/>
    <cellStyle name="Standard 4 3 2 3 6 5 3" xfId="20160" xr:uid="{00000000-0005-0000-0000-0000854F0000}"/>
    <cellStyle name="Standard 4 3 2 3 6 6" xfId="20161" xr:uid="{00000000-0005-0000-0000-0000864F0000}"/>
    <cellStyle name="Standard 4 3 2 3 6 6 2" xfId="20162" xr:uid="{00000000-0005-0000-0000-0000874F0000}"/>
    <cellStyle name="Standard 4 3 2 3 6 7" xfId="20163" xr:uid="{00000000-0005-0000-0000-0000884F0000}"/>
    <cellStyle name="Standard 4 3 2 3 6 8" xfId="20164" xr:uid="{00000000-0005-0000-0000-0000894F0000}"/>
    <cellStyle name="Standard 4 3 2 3 7" xfId="20165" xr:uid="{00000000-0005-0000-0000-00008A4F0000}"/>
    <cellStyle name="Standard 4 3 2 3 7 2" xfId="20166" xr:uid="{00000000-0005-0000-0000-00008B4F0000}"/>
    <cellStyle name="Standard 4 3 2 3 7 2 2" xfId="20167" xr:uid="{00000000-0005-0000-0000-00008C4F0000}"/>
    <cellStyle name="Standard 4 3 2 3 7 2 2 2" xfId="20168" xr:uid="{00000000-0005-0000-0000-00008D4F0000}"/>
    <cellStyle name="Standard 4 3 2 3 7 2 2 3" xfId="20169" xr:uid="{00000000-0005-0000-0000-00008E4F0000}"/>
    <cellStyle name="Standard 4 3 2 3 7 2 3" xfId="20170" xr:uid="{00000000-0005-0000-0000-00008F4F0000}"/>
    <cellStyle name="Standard 4 3 2 3 7 2 3 2" xfId="20171" xr:uid="{00000000-0005-0000-0000-0000904F0000}"/>
    <cellStyle name="Standard 4 3 2 3 7 2 3 3" xfId="20172" xr:uid="{00000000-0005-0000-0000-0000914F0000}"/>
    <cellStyle name="Standard 4 3 2 3 7 2 4" xfId="20173" xr:uid="{00000000-0005-0000-0000-0000924F0000}"/>
    <cellStyle name="Standard 4 3 2 3 7 2 4 2" xfId="20174" xr:uid="{00000000-0005-0000-0000-0000934F0000}"/>
    <cellStyle name="Standard 4 3 2 3 7 2 5" xfId="20175" xr:uid="{00000000-0005-0000-0000-0000944F0000}"/>
    <cellStyle name="Standard 4 3 2 3 7 2 6" xfId="20176" xr:uid="{00000000-0005-0000-0000-0000954F0000}"/>
    <cellStyle name="Standard 4 3 2 3 7 3" xfId="20177" xr:uid="{00000000-0005-0000-0000-0000964F0000}"/>
    <cellStyle name="Standard 4 3 2 3 7 3 2" xfId="20178" xr:uid="{00000000-0005-0000-0000-0000974F0000}"/>
    <cellStyle name="Standard 4 3 2 3 7 3 3" xfId="20179" xr:uid="{00000000-0005-0000-0000-0000984F0000}"/>
    <cellStyle name="Standard 4 3 2 3 7 4" xfId="20180" xr:uid="{00000000-0005-0000-0000-0000994F0000}"/>
    <cellStyle name="Standard 4 3 2 3 7 4 2" xfId="20181" xr:uid="{00000000-0005-0000-0000-00009A4F0000}"/>
    <cellStyle name="Standard 4 3 2 3 7 4 3" xfId="20182" xr:uid="{00000000-0005-0000-0000-00009B4F0000}"/>
    <cellStyle name="Standard 4 3 2 3 7 5" xfId="20183" xr:uid="{00000000-0005-0000-0000-00009C4F0000}"/>
    <cellStyle name="Standard 4 3 2 3 7 5 2" xfId="20184" xr:uid="{00000000-0005-0000-0000-00009D4F0000}"/>
    <cellStyle name="Standard 4 3 2 3 7 6" xfId="20185" xr:uid="{00000000-0005-0000-0000-00009E4F0000}"/>
    <cellStyle name="Standard 4 3 2 3 7 7" xfId="20186" xr:uid="{00000000-0005-0000-0000-00009F4F0000}"/>
    <cellStyle name="Standard 4 3 2 3 8" xfId="20187" xr:uid="{00000000-0005-0000-0000-0000A04F0000}"/>
    <cellStyle name="Standard 4 3 2 3 8 2" xfId="20188" xr:uid="{00000000-0005-0000-0000-0000A14F0000}"/>
    <cellStyle name="Standard 4 3 2 3 8 2 2" xfId="20189" xr:uid="{00000000-0005-0000-0000-0000A24F0000}"/>
    <cellStyle name="Standard 4 3 2 3 8 2 3" xfId="20190" xr:uid="{00000000-0005-0000-0000-0000A34F0000}"/>
    <cellStyle name="Standard 4 3 2 3 8 3" xfId="20191" xr:uid="{00000000-0005-0000-0000-0000A44F0000}"/>
    <cellStyle name="Standard 4 3 2 3 8 3 2" xfId="20192" xr:uid="{00000000-0005-0000-0000-0000A54F0000}"/>
    <cellStyle name="Standard 4 3 2 3 8 3 3" xfId="20193" xr:uid="{00000000-0005-0000-0000-0000A64F0000}"/>
    <cellStyle name="Standard 4 3 2 3 8 4" xfId="20194" xr:uid="{00000000-0005-0000-0000-0000A74F0000}"/>
    <cellStyle name="Standard 4 3 2 3 8 4 2" xfId="20195" xr:uid="{00000000-0005-0000-0000-0000A84F0000}"/>
    <cellStyle name="Standard 4 3 2 3 8 5" xfId="20196" xr:uid="{00000000-0005-0000-0000-0000A94F0000}"/>
    <cellStyle name="Standard 4 3 2 3 8 6" xfId="20197" xr:uid="{00000000-0005-0000-0000-0000AA4F0000}"/>
    <cellStyle name="Standard 4 3 2 3 9" xfId="20198" xr:uid="{00000000-0005-0000-0000-0000AB4F0000}"/>
    <cellStyle name="Standard 4 3 2 3 9 2" xfId="20199" xr:uid="{00000000-0005-0000-0000-0000AC4F0000}"/>
    <cellStyle name="Standard 4 3 2 3 9 3" xfId="20200" xr:uid="{00000000-0005-0000-0000-0000AD4F0000}"/>
    <cellStyle name="Standard 4 3 2 4" xfId="20201" xr:uid="{00000000-0005-0000-0000-0000AE4F0000}"/>
    <cellStyle name="Standard 4 3 2 4 10" xfId="20202" xr:uid="{00000000-0005-0000-0000-0000AF4F0000}"/>
    <cellStyle name="Standard 4 3 2 4 10 2" xfId="20203" xr:uid="{00000000-0005-0000-0000-0000B04F0000}"/>
    <cellStyle name="Standard 4 3 2 4 11" xfId="20204" xr:uid="{00000000-0005-0000-0000-0000B14F0000}"/>
    <cellStyle name="Standard 4 3 2 4 12" xfId="20205" xr:uid="{00000000-0005-0000-0000-0000B24F0000}"/>
    <cellStyle name="Standard 4 3 2 4 2" xfId="20206" xr:uid="{00000000-0005-0000-0000-0000B34F0000}"/>
    <cellStyle name="Standard 4 3 2 4 2 10" xfId="20207" xr:uid="{00000000-0005-0000-0000-0000B44F0000}"/>
    <cellStyle name="Standard 4 3 2 4 2 11" xfId="20208" xr:uid="{00000000-0005-0000-0000-0000B54F0000}"/>
    <cellStyle name="Standard 4 3 2 4 2 2" xfId="20209" xr:uid="{00000000-0005-0000-0000-0000B64F0000}"/>
    <cellStyle name="Standard 4 3 2 4 2 2 10" xfId="20210" xr:uid="{00000000-0005-0000-0000-0000B74F0000}"/>
    <cellStyle name="Standard 4 3 2 4 2 2 2" xfId="20211" xr:uid="{00000000-0005-0000-0000-0000B84F0000}"/>
    <cellStyle name="Standard 4 3 2 4 2 2 2 2" xfId="20212" xr:uid="{00000000-0005-0000-0000-0000B94F0000}"/>
    <cellStyle name="Standard 4 3 2 4 2 2 2 2 2" xfId="20213" xr:uid="{00000000-0005-0000-0000-0000BA4F0000}"/>
    <cellStyle name="Standard 4 3 2 4 2 2 2 2 2 2" xfId="20214" xr:uid="{00000000-0005-0000-0000-0000BB4F0000}"/>
    <cellStyle name="Standard 4 3 2 4 2 2 2 2 2 2 2" xfId="20215" xr:uid="{00000000-0005-0000-0000-0000BC4F0000}"/>
    <cellStyle name="Standard 4 3 2 4 2 2 2 2 2 2 3" xfId="20216" xr:uid="{00000000-0005-0000-0000-0000BD4F0000}"/>
    <cellStyle name="Standard 4 3 2 4 2 2 2 2 2 3" xfId="20217" xr:uid="{00000000-0005-0000-0000-0000BE4F0000}"/>
    <cellStyle name="Standard 4 3 2 4 2 2 2 2 2 3 2" xfId="20218" xr:uid="{00000000-0005-0000-0000-0000BF4F0000}"/>
    <cellStyle name="Standard 4 3 2 4 2 2 2 2 2 3 3" xfId="20219" xr:uid="{00000000-0005-0000-0000-0000C04F0000}"/>
    <cellStyle name="Standard 4 3 2 4 2 2 2 2 2 4" xfId="20220" xr:uid="{00000000-0005-0000-0000-0000C14F0000}"/>
    <cellStyle name="Standard 4 3 2 4 2 2 2 2 2 4 2" xfId="20221" xr:uid="{00000000-0005-0000-0000-0000C24F0000}"/>
    <cellStyle name="Standard 4 3 2 4 2 2 2 2 2 5" xfId="20222" xr:uid="{00000000-0005-0000-0000-0000C34F0000}"/>
    <cellStyle name="Standard 4 3 2 4 2 2 2 2 2 6" xfId="20223" xr:uid="{00000000-0005-0000-0000-0000C44F0000}"/>
    <cellStyle name="Standard 4 3 2 4 2 2 2 2 3" xfId="20224" xr:uid="{00000000-0005-0000-0000-0000C54F0000}"/>
    <cellStyle name="Standard 4 3 2 4 2 2 2 2 3 2" xfId="20225" xr:uid="{00000000-0005-0000-0000-0000C64F0000}"/>
    <cellStyle name="Standard 4 3 2 4 2 2 2 2 3 3" xfId="20226" xr:uid="{00000000-0005-0000-0000-0000C74F0000}"/>
    <cellStyle name="Standard 4 3 2 4 2 2 2 2 4" xfId="20227" xr:uid="{00000000-0005-0000-0000-0000C84F0000}"/>
    <cellStyle name="Standard 4 3 2 4 2 2 2 2 4 2" xfId="20228" xr:uid="{00000000-0005-0000-0000-0000C94F0000}"/>
    <cellStyle name="Standard 4 3 2 4 2 2 2 2 4 3" xfId="20229" xr:uid="{00000000-0005-0000-0000-0000CA4F0000}"/>
    <cellStyle name="Standard 4 3 2 4 2 2 2 2 5" xfId="20230" xr:uid="{00000000-0005-0000-0000-0000CB4F0000}"/>
    <cellStyle name="Standard 4 3 2 4 2 2 2 2 5 2" xfId="20231" xr:uid="{00000000-0005-0000-0000-0000CC4F0000}"/>
    <cellStyle name="Standard 4 3 2 4 2 2 2 2 6" xfId="20232" xr:uid="{00000000-0005-0000-0000-0000CD4F0000}"/>
    <cellStyle name="Standard 4 3 2 4 2 2 2 2 7" xfId="20233" xr:uid="{00000000-0005-0000-0000-0000CE4F0000}"/>
    <cellStyle name="Standard 4 3 2 4 2 2 2 3" xfId="20234" xr:uid="{00000000-0005-0000-0000-0000CF4F0000}"/>
    <cellStyle name="Standard 4 3 2 4 2 2 2 3 2" xfId="20235" xr:uid="{00000000-0005-0000-0000-0000D04F0000}"/>
    <cellStyle name="Standard 4 3 2 4 2 2 2 3 2 2" xfId="20236" xr:uid="{00000000-0005-0000-0000-0000D14F0000}"/>
    <cellStyle name="Standard 4 3 2 4 2 2 2 3 2 3" xfId="20237" xr:uid="{00000000-0005-0000-0000-0000D24F0000}"/>
    <cellStyle name="Standard 4 3 2 4 2 2 2 3 3" xfId="20238" xr:uid="{00000000-0005-0000-0000-0000D34F0000}"/>
    <cellStyle name="Standard 4 3 2 4 2 2 2 3 3 2" xfId="20239" xr:uid="{00000000-0005-0000-0000-0000D44F0000}"/>
    <cellStyle name="Standard 4 3 2 4 2 2 2 3 3 3" xfId="20240" xr:uid="{00000000-0005-0000-0000-0000D54F0000}"/>
    <cellStyle name="Standard 4 3 2 4 2 2 2 3 4" xfId="20241" xr:uid="{00000000-0005-0000-0000-0000D64F0000}"/>
    <cellStyle name="Standard 4 3 2 4 2 2 2 3 4 2" xfId="20242" xr:uid="{00000000-0005-0000-0000-0000D74F0000}"/>
    <cellStyle name="Standard 4 3 2 4 2 2 2 3 5" xfId="20243" xr:uid="{00000000-0005-0000-0000-0000D84F0000}"/>
    <cellStyle name="Standard 4 3 2 4 2 2 2 3 6" xfId="20244" xr:uid="{00000000-0005-0000-0000-0000D94F0000}"/>
    <cellStyle name="Standard 4 3 2 4 2 2 2 4" xfId="20245" xr:uid="{00000000-0005-0000-0000-0000DA4F0000}"/>
    <cellStyle name="Standard 4 3 2 4 2 2 2 4 2" xfId="20246" xr:uid="{00000000-0005-0000-0000-0000DB4F0000}"/>
    <cellStyle name="Standard 4 3 2 4 2 2 2 4 3" xfId="20247" xr:uid="{00000000-0005-0000-0000-0000DC4F0000}"/>
    <cellStyle name="Standard 4 3 2 4 2 2 2 5" xfId="20248" xr:uid="{00000000-0005-0000-0000-0000DD4F0000}"/>
    <cellStyle name="Standard 4 3 2 4 2 2 2 5 2" xfId="20249" xr:uid="{00000000-0005-0000-0000-0000DE4F0000}"/>
    <cellStyle name="Standard 4 3 2 4 2 2 2 5 3" xfId="20250" xr:uid="{00000000-0005-0000-0000-0000DF4F0000}"/>
    <cellStyle name="Standard 4 3 2 4 2 2 2 6" xfId="20251" xr:uid="{00000000-0005-0000-0000-0000E04F0000}"/>
    <cellStyle name="Standard 4 3 2 4 2 2 2 6 2" xfId="20252" xr:uid="{00000000-0005-0000-0000-0000E14F0000}"/>
    <cellStyle name="Standard 4 3 2 4 2 2 2 7" xfId="20253" xr:uid="{00000000-0005-0000-0000-0000E24F0000}"/>
    <cellStyle name="Standard 4 3 2 4 2 2 2 8" xfId="20254" xr:uid="{00000000-0005-0000-0000-0000E34F0000}"/>
    <cellStyle name="Standard 4 3 2 4 2 2 3" xfId="20255" xr:uid="{00000000-0005-0000-0000-0000E44F0000}"/>
    <cellStyle name="Standard 4 3 2 4 2 2 3 2" xfId="20256" xr:uid="{00000000-0005-0000-0000-0000E54F0000}"/>
    <cellStyle name="Standard 4 3 2 4 2 2 3 2 2" xfId="20257" xr:uid="{00000000-0005-0000-0000-0000E64F0000}"/>
    <cellStyle name="Standard 4 3 2 4 2 2 3 2 2 2" xfId="20258" xr:uid="{00000000-0005-0000-0000-0000E74F0000}"/>
    <cellStyle name="Standard 4 3 2 4 2 2 3 2 2 2 2" xfId="20259" xr:uid="{00000000-0005-0000-0000-0000E84F0000}"/>
    <cellStyle name="Standard 4 3 2 4 2 2 3 2 2 2 3" xfId="20260" xr:uid="{00000000-0005-0000-0000-0000E94F0000}"/>
    <cellStyle name="Standard 4 3 2 4 2 2 3 2 2 3" xfId="20261" xr:uid="{00000000-0005-0000-0000-0000EA4F0000}"/>
    <cellStyle name="Standard 4 3 2 4 2 2 3 2 2 3 2" xfId="20262" xr:uid="{00000000-0005-0000-0000-0000EB4F0000}"/>
    <cellStyle name="Standard 4 3 2 4 2 2 3 2 2 3 3" xfId="20263" xr:uid="{00000000-0005-0000-0000-0000EC4F0000}"/>
    <cellStyle name="Standard 4 3 2 4 2 2 3 2 2 4" xfId="20264" xr:uid="{00000000-0005-0000-0000-0000ED4F0000}"/>
    <cellStyle name="Standard 4 3 2 4 2 2 3 2 2 4 2" xfId="20265" xr:uid="{00000000-0005-0000-0000-0000EE4F0000}"/>
    <cellStyle name="Standard 4 3 2 4 2 2 3 2 2 5" xfId="20266" xr:uid="{00000000-0005-0000-0000-0000EF4F0000}"/>
    <cellStyle name="Standard 4 3 2 4 2 2 3 2 2 6" xfId="20267" xr:uid="{00000000-0005-0000-0000-0000F04F0000}"/>
    <cellStyle name="Standard 4 3 2 4 2 2 3 2 3" xfId="20268" xr:uid="{00000000-0005-0000-0000-0000F14F0000}"/>
    <cellStyle name="Standard 4 3 2 4 2 2 3 2 3 2" xfId="20269" xr:uid="{00000000-0005-0000-0000-0000F24F0000}"/>
    <cellStyle name="Standard 4 3 2 4 2 2 3 2 3 3" xfId="20270" xr:uid="{00000000-0005-0000-0000-0000F34F0000}"/>
    <cellStyle name="Standard 4 3 2 4 2 2 3 2 4" xfId="20271" xr:uid="{00000000-0005-0000-0000-0000F44F0000}"/>
    <cellStyle name="Standard 4 3 2 4 2 2 3 2 4 2" xfId="20272" xr:uid="{00000000-0005-0000-0000-0000F54F0000}"/>
    <cellStyle name="Standard 4 3 2 4 2 2 3 2 4 3" xfId="20273" xr:uid="{00000000-0005-0000-0000-0000F64F0000}"/>
    <cellStyle name="Standard 4 3 2 4 2 2 3 2 5" xfId="20274" xr:uid="{00000000-0005-0000-0000-0000F74F0000}"/>
    <cellStyle name="Standard 4 3 2 4 2 2 3 2 5 2" xfId="20275" xr:uid="{00000000-0005-0000-0000-0000F84F0000}"/>
    <cellStyle name="Standard 4 3 2 4 2 2 3 2 6" xfId="20276" xr:uid="{00000000-0005-0000-0000-0000F94F0000}"/>
    <cellStyle name="Standard 4 3 2 4 2 2 3 2 7" xfId="20277" xr:uid="{00000000-0005-0000-0000-0000FA4F0000}"/>
    <cellStyle name="Standard 4 3 2 4 2 2 3 3" xfId="20278" xr:uid="{00000000-0005-0000-0000-0000FB4F0000}"/>
    <cellStyle name="Standard 4 3 2 4 2 2 3 3 2" xfId="20279" xr:uid="{00000000-0005-0000-0000-0000FC4F0000}"/>
    <cellStyle name="Standard 4 3 2 4 2 2 3 3 2 2" xfId="20280" xr:uid="{00000000-0005-0000-0000-0000FD4F0000}"/>
    <cellStyle name="Standard 4 3 2 4 2 2 3 3 2 3" xfId="20281" xr:uid="{00000000-0005-0000-0000-0000FE4F0000}"/>
    <cellStyle name="Standard 4 3 2 4 2 2 3 3 3" xfId="20282" xr:uid="{00000000-0005-0000-0000-0000FF4F0000}"/>
    <cellStyle name="Standard 4 3 2 4 2 2 3 3 3 2" xfId="20283" xr:uid="{00000000-0005-0000-0000-000000500000}"/>
    <cellStyle name="Standard 4 3 2 4 2 2 3 3 3 3" xfId="20284" xr:uid="{00000000-0005-0000-0000-000001500000}"/>
    <cellStyle name="Standard 4 3 2 4 2 2 3 3 4" xfId="20285" xr:uid="{00000000-0005-0000-0000-000002500000}"/>
    <cellStyle name="Standard 4 3 2 4 2 2 3 3 4 2" xfId="20286" xr:uid="{00000000-0005-0000-0000-000003500000}"/>
    <cellStyle name="Standard 4 3 2 4 2 2 3 3 5" xfId="20287" xr:uid="{00000000-0005-0000-0000-000004500000}"/>
    <cellStyle name="Standard 4 3 2 4 2 2 3 3 6" xfId="20288" xr:uid="{00000000-0005-0000-0000-000005500000}"/>
    <cellStyle name="Standard 4 3 2 4 2 2 3 4" xfId="20289" xr:uid="{00000000-0005-0000-0000-000006500000}"/>
    <cellStyle name="Standard 4 3 2 4 2 2 3 4 2" xfId="20290" xr:uid="{00000000-0005-0000-0000-000007500000}"/>
    <cellStyle name="Standard 4 3 2 4 2 2 3 4 3" xfId="20291" xr:uid="{00000000-0005-0000-0000-000008500000}"/>
    <cellStyle name="Standard 4 3 2 4 2 2 3 5" xfId="20292" xr:uid="{00000000-0005-0000-0000-000009500000}"/>
    <cellStyle name="Standard 4 3 2 4 2 2 3 5 2" xfId="20293" xr:uid="{00000000-0005-0000-0000-00000A500000}"/>
    <cellStyle name="Standard 4 3 2 4 2 2 3 5 3" xfId="20294" xr:uid="{00000000-0005-0000-0000-00000B500000}"/>
    <cellStyle name="Standard 4 3 2 4 2 2 3 6" xfId="20295" xr:uid="{00000000-0005-0000-0000-00000C500000}"/>
    <cellStyle name="Standard 4 3 2 4 2 2 3 6 2" xfId="20296" xr:uid="{00000000-0005-0000-0000-00000D500000}"/>
    <cellStyle name="Standard 4 3 2 4 2 2 3 7" xfId="20297" xr:uid="{00000000-0005-0000-0000-00000E500000}"/>
    <cellStyle name="Standard 4 3 2 4 2 2 3 8" xfId="20298" xr:uid="{00000000-0005-0000-0000-00000F500000}"/>
    <cellStyle name="Standard 4 3 2 4 2 2 4" xfId="20299" xr:uid="{00000000-0005-0000-0000-000010500000}"/>
    <cellStyle name="Standard 4 3 2 4 2 2 4 2" xfId="20300" xr:uid="{00000000-0005-0000-0000-000011500000}"/>
    <cellStyle name="Standard 4 3 2 4 2 2 4 2 2" xfId="20301" xr:uid="{00000000-0005-0000-0000-000012500000}"/>
    <cellStyle name="Standard 4 3 2 4 2 2 4 2 2 2" xfId="20302" xr:uid="{00000000-0005-0000-0000-000013500000}"/>
    <cellStyle name="Standard 4 3 2 4 2 2 4 2 2 3" xfId="20303" xr:uid="{00000000-0005-0000-0000-000014500000}"/>
    <cellStyle name="Standard 4 3 2 4 2 2 4 2 3" xfId="20304" xr:uid="{00000000-0005-0000-0000-000015500000}"/>
    <cellStyle name="Standard 4 3 2 4 2 2 4 2 3 2" xfId="20305" xr:uid="{00000000-0005-0000-0000-000016500000}"/>
    <cellStyle name="Standard 4 3 2 4 2 2 4 2 3 3" xfId="20306" xr:uid="{00000000-0005-0000-0000-000017500000}"/>
    <cellStyle name="Standard 4 3 2 4 2 2 4 2 4" xfId="20307" xr:uid="{00000000-0005-0000-0000-000018500000}"/>
    <cellStyle name="Standard 4 3 2 4 2 2 4 2 4 2" xfId="20308" xr:uid="{00000000-0005-0000-0000-000019500000}"/>
    <cellStyle name="Standard 4 3 2 4 2 2 4 2 5" xfId="20309" xr:uid="{00000000-0005-0000-0000-00001A500000}"/>
    <cellStyle name="Standard 4 3 2 4 2 2 4 2 6" xfId="20310" xr:uid="{00000000-0005-0000-0000-00001B500000}"/>
    <cellStyle name="Standard 4 3 2 4 2 2 4 3" xfId="20311" xr:uid="{00000000-0005-0000-0000-00001C500000}"/>
    <cellStyle name="Standard 4 3 2 4 2 2 4 3 2" xfId="20312" xr:uid="{00000000-0005-0000-0000-00001D500000}"/>
    <cellStyle name="Standard 4 3 2 4 2 2 4 3 3" xfId="20313" xr:uid="{00000000-0005-0000-0000-00001E500000}"/>
    <cellStyle name="Standard 4 3 2 4 2 2 4 4" xfId="20314" xr:uid="{00000000-0005-0000-0000-00001F500000}"/>
    <cellStyle name="Standard 4 3 2 4 2 2 4 4 2" xfId="20315" xr:uid="{00000000-0005-0000-0000-000020500000}"/>
    <cellStyle name="Standard 4 3 2 4 2 2 4 4 3" xfId="20316" xr:uid="{00000000-0005-0000-0000-000021500000}"/>
    <cellStyle name="Standard 4 3 2 4 2 2 4 5" xfId="20317" xr:uid="{00000000-0005-0000-0000-000022500000}"/>
    <cellStyle name="Standard 4 3 2 4 2 2 4 5 2" xfId="20318" xr:uid="{00000000-0005-0000-0000-000023500000}"/>
    <cellStyle name="Standard 4 3 2 4 2 2 4 6" xfId="20319" xr:uid="{00000000-0005-0000-0000-000024500000}"/>
    <cellStyle name="Standard 4 3 2 4 2 2 4 7" xfId="20320" xr:uid="{00000000-0005-0000-0000-000025500000}"/>
    <cellStyle name="Standard 4 3 2 4 2 2 5" xfId="20321" xr:uid="{00000000-0005-0000-0000-000026500000}"/>
    <cellStyle name="Standard 4 3 2 4 2 2 5 2" xfId="20322" xr:uid="{00000000-0005-0000-0000-000027500000}"/>
    <cellStyle name="Standard 4 3 2 4 2 2 5 2 2" xfId="20323" xr:uid="{00000000-0005-0000-0000-000028500000}"/>
    <cellStyle name="Standard 4 3 2 4 2 2 5 2 3" xfId="20324" xr:uid="{00000000-0005-0000-0000-000029500000}"/>
    <cellStyle name="Standard 4 3 2 4 2 2 5 3" xfId="20325" xr:uid="{00000000-0005-0000-0000-00002A500000}"/>
    <cellStyle name="Standard 4 3 2 4 2 2 5 3 2" xfId="20326" xr:uid="{00000000-0005-0000-0000-00002B500000}"/>
    <cellStyle name="Standard 4 3 2 4 2 2 5 3 3" xfId="20327" xr:uid="{00000000-0005-0000-0000-00002C500000}"/>
    <cellStyle name="Standard 4 3 2 4 2 2 5 4" xfId="20328" xr:uid="{00000000-0005-0000-0000-00002D500000}"/>
    <cellStyle name="Standard 4 3 2 4 2 2 5 4 2" xfId="20329" xr:uid="{00000000-0005-0000-0000-00002E500000}"/>
    <cellStyle name="Standard 4 3 2 4 2 2 5 5" xfId="20330" xr:uid="{00000000-0005-0000-0000-00002F500000}"/>
    <cellStyle name="Standard 4 3 2 4 2 2 5 6" xfId="20331" xr:uid="{00000000-0005-0000-0000-000030500000}"/>
    <cellStyle name="Standard 4 3 2 4 2 2 6" xfId="20332" xr:uid="{00000000-0005-0000-0000-000031500000}"/>
    <cellStyle name="Standard 4 3 2 4 2 2 6 2" xfId="20333" xr:uid="{00000000-0005-0000-0000-000032500000}"/>
    <cellStyle name="Standard 4 3 2 4 2 2 6 3" xfId="20334" xr:uid="{00000000-0005-0000-0000-000033500000}"/>
    <cellStyle name="Standard 4 3 2 4 2 2 7" xfId="20335" xr:uid="{00000000-0005-0000-0000-000034500000}"/>
    <cellStyle name="Standard 4 3 2 4 2 2 7 2" xfId="20336" xr:uid="{00000000-0005-0000-0000-000035500000}"/>
    <cellStyle name="Standard 4 3 2 4 2 2 7 3" xfId="20337" xr:uid="{00000000-0005-0000-0000-000036500000}"/>
    <cellStyle name="Standard 4 3 2 4 2 2 8" xfId="20338" xr:uid="{00000000-0005-0000-0000-000037500000}"/>
    <cellStyle name="Standard 4 3 2 4 2 2 8 2" xfId="20339" xr:uid="{00000000-0005-0000-0000-000038500000}"/>
    <cellStyle name="Standard 4 3 2 4 2 2 9" xfId="20340" xr:uid="{00000000-0005-0000-0000-000039500000}"/>
    <cellStyle name="Standard 4 3 2 4 2 3" xfId="20341" xr:uid="{00000000-0005-0000-0000-00003A500000}"/>
    <cellStyle name="Standard 4 3 2 4 2 3 2" xfId="20342" xr:uid="{00000000-0005-0000-0000-00003B500000}"/>
    <cellStyle name="Standard 4 3 2 4 2 3 2 2" xfId="20343" xr:uid="{00000000-0005-0000-0000-00003C500000}"/>
    <cellStyle name="Standard 4 3 2 4 2 3 2 2 2" xfId="20344" xr:uid="{00000000-0005-0000-0000-00003D500000}"/>
    <cellStyle name="Standard 4 3 2 4 2 3 2 2 2 2" xfId="20345" xr:uid="{00000000-0005-0000-0000-00003E500000}"/>
    <cellStyle name="Standard 4 3 2 4 2 3 2 2 2 3" xfId="20346" xr:uid="{00000000-0005-0000-0000-00003F500000}"/>
    <cellStyle name="Standard 4 3 2 4 2 3 2 2 3" xfId="20347" xr:uid="{00000000-0005-0000-0000-000040500000}"/>
    <cellStyle name="Standard 4 3 2 4 2 3 2 2 3 2" xfId="20348" xr:uid="{00000000-0005-0000-0000-000041500000}"/>
    <cellStyle name="Standard 4 3 2 4 2 3 2 2 3 3" xfId="20349" xr:uid="{00000000-0005-0000-0000-000042500000}"/>
    <cellStyle name="Standard 4 3 2 4 2 3 2 2 4" xfId="20350" xr:uid="{00000000-0005-0000-0000-000043500000}"/>
    <cellStyle name="Standard 4 3 2 4 2 3 2 2 4 2" xfId="20351" xr:uid="{00000000-0005-0000-0000-000044500000}"/>
    <cellStyle name="Standard 4 3 2 4 2 3 2 2 5" xfId="20352" xr:uid="{00000000-0005-0000-0000-000045500000}"/>
    <cellStyle name="Standard 4 3 2 4 2 3 2 2 6" xfId="20353" xr:uid="{00000000-0005-0000-0000-000046500000}"/>
    <cellStyle name="Standard 4 3 2 4 2 3 2 3" xfId="20354" xr:uid="{00000000-0005-0000-0000-000047500000}"/>
    <cellStyle name="Standard 4 3 2 4 2 3 2 3 2" xfId="20355" xr:uid="{00000000-0005-0000-0000-000048500000}"/>
    <cellStyle name="Standard 4 3 2 4 2 3 2 3 3" xfId="20356" xr:uid="{00000000-0005-0000-0000-000049500000}"/>
    <cellStyle name="Standard 4 3 2 4 2 3 2 4" xfId="20357" xr:uid="{00000000-0005-0000-0000-00004A500000}"/>
    <cellStyle name="Standard 4 3 2 4 2 3 2 4 2" xfId="20358" xr:uid="{00000000-0005-0000-0000-00004B500000}"/>
    <cellStyle name="Standard 4 3 2 4 2 3 2 4 3" xfId="20359" xr:uid="{00000000-0005-0000-0000-00004C500000}"/>
    <cellStyle name="Standard 4 3 2 4 2 3 2 5" xfId="20360" xr:uid="{00000000-0005-0000-0000-00004D500000}"/>
    <cellStyle name="Standard 4 3 2 4 2 3 2 5 2" xfId="20361" xr:uid="{00000000-0005-0000-0000-00004E500000}"/>
    <cellStyle name="Standard 4 3 2 4 2 3 2 6" xfId="20362" xr:uid="{00000000-0005-0000-0000-00004F500000}"/>
    <cellStyle name="Standard 4 3 2 4 2 3 2 7" xfId="20363" xr:uid="{00000000-0005-0000-0000-000050500000}"/>
    <cellStyle name="Standard 4 3 2 4 2 3 3" xfId="20364" xr:uid="{00000000-0005-0000-0000-000051500000}"/>
    <cellStyle name="Standard 4 3 2 4 2 3 3 2" xfId="20365" xr:uid="{00000000-0005-0000-0000-000052500000}"/>
    <cellStyle name="Standard 4 3 2 4 2 3 3 2 2" xfId="20366" xr:uid="{00000000-0005-0000-0000-000053500000}"/>
    <cellStyle name="Standard 4 3 2 4 2 3 3 2 3" xfId="20367" xr:uid="{00000000-0005-0000-0000-000054500000}"/>
    <cellStyle name="Standard 4 3 2 4 2 3 3 3" xfId="20368" xr:uid="{00000000-0005-0000-0000-000055500000}"/>
    <cellStyle name="Standard 4 3 2 4 2 3 3 3 2" xfId="20369" xr:uid="{00000000-0005-0000-0000-000056500000}"/>
    <cellStyle name="Standard 4 3 2 4 2 3 3 3 3" xfId="20370" xr:uid="{00000000-0005-0000-0000-000057500000}"/>
    <cellStyle name="Standard 4 3 2 4 2 3 3 4" xfId="20371" xr:uid="{00000000-0005-0000-0000-000058500000}"/>
    <cellStyle name="Standard 4 3 2 4 2 3 3 4 2" xfId="20372" xr:uid="{00000000-0005-0000-0000-000059500000}"/>
    <cellStyle name="Standard 4 3 2 4 2 3 3 5" xfId="20373" xr:uid="{00000000-0005-0000-0000-00005A500000}"/>
    <cellStyle name="Standard 4 3 2 4 2 3 3 6" xfId="20374" xr:uid="{00000000-0005-0000-0000-00005B500000}"/>
    <cellStyle name="Standard 4 3 2 4 2 3 4" xfId="20375" xr:uid="{00000000-0005-0000-0000-00005C500000}"/>
    <cellStyle name="Standard 4 3 2 4 2 3 4 2" xfId="20376" xr:uid="{00000000-0005-0000-0000-00005D500000}"/>
    <cellStyle name="Standard 4 3 2 4 2 3 4 3" xfId="20377" xr:uid="{00000000-0005-0000-0000-00005E500000}"/>
    <cellStyle name="Standard 4 3 2 4 2 3 5" xfId="20378" xr:uid="{00000000-0005-0000-0000-00005F500000}"/>
    <cellStyle name="Standard 4 3 2 4 2 3 5 2" xfId="20379" xr:uid="{00000000-0005-0000-0000-000060500000}"/>
    <cellStyle name="Standard 4 3 2 4 2 3 5 3" xfId="20380" xr:uid="{00000000-0005-0000-0000-000061500000}"/>
    <cellStyle name="Standard 4 3 2 4 2 3 6" xfId="20381" xr:uid="{00000000-0005-0000-0000-000062500000}"/>
    <cellStyle name="Standard 4 3 2 4 2 3 6 2" xfId="20382" xr:uid="{00000000-0005-0000-0000-000063500000}"/>
    <cellStyle name="Standard 4 3 2 4 2 3 7" xfId="20383" xr:uid="{00000000-0005-0000-0000-000064500000}"/>
    <cellStyle name="Standard 4 3 2 4 2 3 8" xfId="20384" xr:uid="{00000000-0005-0000-0000-000065500000}"/>
    <cellStyle name="Standard 4 3 2 4 2 4" xfId="20385" xr:uid="{00000000-0005-0000-0000-000066500000}"/>
    <cellStyle name="Standard 4 3 2 4 2 4 2" xfId="20386" xr:uid="{00000000-0005-0000-0000-000067500000}"/>
    <cellStyle name="Standard 4 3 2 4 2 4 2 2" xfId="20387" xr:uid="{00000000-0005-0000-0000-000068500000}"/>
    <cellStyle name="Standard 4 3 2 4 2 4 2 2 2" xfId="20388" xr:uid="{00000000-0005-0000-0000-000069500000}"/>
    <cellStyle name="Standard 4 3 2 4 2 4 2 2 2 2" xfId="20389" xr:uid="{00000000-0005-0000-0000-00006A500000}"/>
    <cellStyle name="Standard 4 3 2 4 2 4 2 2 2 3" xfId="20390" xr:uid="{00000000-0005-0000-0000-00006B500000}"/>
    <cellStyle name="Standard 4 3 2 4 2 4 2 2 3" xfId="20391" xr:uid="{00000000-0005-0000-0000-00006C500000}"/>
    <cellStyle name="Standard 4 3 2 4 2 4 2 2 3 2" xfId="20392" xr:uid="{00000000-0005-0000-0000-00006D500000}"/>
    <cellStyle name="Standard 4 3 2 4 2 4 2 2 3 3" xfId="20393" xr:uid="{00000000-0005-0000-0000-00006E500000}"/>
    <cellStyle name="Standard 4 3 2 4 2 4 2 2 4" xfId="20394" xr:uid="{00000000-0005-0000-0000-00006F500000}"/>
    <cellStyle name="Standard 4 3 2 4 2 4 2 2 4 2" xfId="20395" xr:uid="{00000000-0005-0000-0000-000070500000}"/>
    <cellStyle name="Standard 4 3 2 4 2 4 2 2 5" xfId="20396" xr:uid="{00000000-0005-0000-0000-000071500000}"/>
    <cellStyle name="Standard 4 3 2 4 2 4 2 2 6" xfId="20397" xr:uid="{00000000-0005-0000-0000-000072500000}"/>
    <cellStyle name="Standard 4 3 2 4 2 4 2 3" xfId="20398" xr:uid="{00000000-0005-0000-0000-000073500000}"/>
    <cellStyle name="Standard 4 3 2 4 2 4 2 3 2" xfId="20399" xr:uid="{00000000-0005-0000-0000-000074500000}"/>
    <cellStyle name="Standard 4 3 2 4 2 4 2 3 3" xfId="20400" xr:uid="{00000000-0005-0000-0000-000075500000}"/>
    <cellStyle name="Standard 4 3 2 4 2 4 2 4" xfId="20401" xr:uid="{00000000-0005-0000-0000-000076500000}"/>
    <cellStyle name="Standard 4 3 2 4 2 4 2 4 2" xfId="20402" xr:uid="{00000000-0005-0000-0000-000077500000}"/>
    <cellStyle name="Standard 4 3 2 4 2 4 2 4 3" xfId="20403" xr:uid="{00000000-0005-0000-0000-000078500000}"/>
    <cellStyle name="Standard 4 3 2 4 2 4 2 5" xfId="20404" xr:uid="{00000000-0005-0000-0000-000079500000}"/>
    <cellStyle name="Standard 4 3 2 4 2 4 2 5 2" xfId="20405" xr:uid="{00000000-0005-0000-0000-00007A500000}"/>
    <cellStyle name="Standard 4 3 2 4 2 4 2 6" xfId="20406" xr:uid="{00000000-0005-0000-0000-00007B500000}"/>
    <cellStyle name="Standard 4 3 2 4 2 4 2 7" xfId="20407" xr:uid="{00000000-0005-0000-0000-00007C500000}"/>
    <cellStyle name="Standard 4 3 2 4 2 4 3" xfId="20408" xr:uid="{00000000-0005-0000-0000-00007D500000}"/>
    <cellStyle name="Standard 4 3 2 4 2 4 3 2" xfId="20409" xr:uid="{00000000-0005-0000-0000-00007E500000}"/>
    <cellStyle name="Standard 4 3 2 4 2 4 3 2 2" xfId="20410" xr:uid="{00000000-0005-0000-0000-00007F500000}"/>
    <cellStyle name="Standard 4 3 2 4 2 4 3 2 3" xfId="20411" xr:uid="{00000000-0005-0000-0000-000080500000}"/>
    <cellStyle name="Standard 4 3 2 4 2 4 3 3" xfId="20412" xr:uid="{00000000-0005-0000-0000-000081500000}"/>
    <cellStyle name="Standard 4 3 2 4 2 4 3 3 2" xfId="20413" xr:uid="{00000000-0005-0000-0000-000082500000}"/>
    <cellStyle name="Standard 4 3 2 4 2 4 3 3 3" xfId="20414" xr:uid="{00000000-0005-0000-0000-000083500000}"/>
    <cellStyle name="Standard 4 3 2 4 2 4 3 4" xfId="20415" xr:uid="{00000000-0005-0000-0000-000084500000}"/>
    <cellStyle name="Standard 4 3 2 4 2 4 3 4 2" xfId="20416" xr:uid="{00000000-0005-0000-0000-000085500000}"/>
    <cellStyle name="Standard 4 3 2 4 2 4 3 5" xfId="20417" xr:uid="{00000000-0005-0000-0000-000086500000}"/>
    <cellStyle name="Standard 4 3 2 4 2 4 3 6" xfId="20418" xr:uid="{00000000-0005-0000-0000-000087500000}"/>
    <cellStyle name="Standard 4 3 2 4 2 4 4" xfId="20419" xr:uid="{00000000-0005-0000-0000-000088500000}"/>
    <cellStyle name="Standard 4 3 2 4 2 4 4 2" xfId="20420" xr:uid="{00000000-0005-0000-0000-000089500000}"/>
    <cellStyle name="Standard 4 3 2 4 2 4 4 3" xfId="20421" xr:uid="{00000000-0005-0000-0000-00008A500000}"/>
    <cellStyle name="Standard 4 3 2 4 2 4 5" xfId="20422" xr:uid="{00000000-0005-0000-0000-00008B500000}"/>
    <cellStyle name="Standard 4 3 2 4 2 4 5 2" xfId="20423" xr:uid="{00000000-0005-0000-0000-00008C500000}"/>
    <cellStyle name="Standard 4 3 2 4 2 4 5 3" xfId="20424" xr:uid="{00000000-0005-0000-0000-00008D500000}"/>
    <cellStyle name="Standard 4 3 2 4 2 4 6" xfId="20425" xr:uid="{00000000-0005-0000-0000-00008E500000}"/>
    <cellStyle name="Standard 4 3 2 4 2 4 6 2" xfId="20426" xr:uid="{00000000-0005-0000-0000-00008F500000}"/>
    <cellStyle name="Standard 4 3 2 4 2 4 7" xfId="20427" xr:uid="{00000000-0005-0000-0000-000090500000}"/>
    <cellStyle name="Standard 4 3 2 4 2 4 8" xfId="20428" xr:uid="{00000000-0005-0000-0000-000091500000}"/>
    <cellStyle name="Standard 4 3 2 4 2 5" xfId="20429" xr:uid="{00000000-0005-0000-0000-000092500000}"/>
    <cellStyle name="Standard 4 3 2 4 2 5 2" xfId="20430" xr:uid="{00000000-0005-0000-0000-000093500000}"/>
    <cellStyle name="Standard 4 3 2 4 2 5 2 2" xfId="20431" xr:uid="{00000000-0005-0000-0000-000094500000}"/>
    <cellStyle name="Standard 4 3 2 4 2 5 2 2 2" xfId="20432" xr:uid="{00000000-0005-0000-0000-000095500000}"/>
    <cellStyle name="Standard 4 3 2 4 2 5 2 2 3" xfId="20433" xr:uid="{00000000-0005-0000-0000-000096500000}"/>
    <cellStyle name="Standard 4 3 2 4 2 5 2 3" xfId="20434" xr:uid="{00000000-0005-0000-0000-000097500000}"/>
    <cellStyle name="Standard 4 3 2 4 2 5 2 3 2" xfId="20435" xr:uid="{00000000-0005-0000-0000-000098500000}"/>
    <cellStyle name="Standard 4 3 2 4 2 5 2 3 3" xfId="20436" xr:uid="{00000000-0005-0000-0000-000099500000}"/>
    <cellStyle name="Standard 4 3 2 4 2 5 2 4" xfId="20437" xr:uid="{00000000-0005-0000-0000-00009A500000}"/>
    <cellStyle name="Standard 4 3 2 4 2 5 2 4 2" xfId="20438" xr:uid="{00000000-0005-0000-0000-00009B500000}"/>
    <cellStyle name="Standard 4 3 2 4 2 5 2 5" xfId="20439" xr:uid="{00000000-0005-0000-0000-00009C500000}"/>
    <cellStyle name="Standard 4 3 2 4 2 5 2 6" xfId="20440" xr:uid="{00000000-0005-0000-0000-00009D500000}"/>
    <cellStyle name="Standard 4 3 2 4 2 5 3" xfId="20441" xr:uid="{00000000-0005-0000-0000-00009E500000}"/>
    <cellStyle name="Standard 4 3 2 4 2 5 3 2" xfId="20442" xr:uid="{00000000-0005-0000-0000-00009F500000}"/>
    <cellStyle name="Standard 4 3 2 4 2 5 3 3" xfId="20443" xr:uid="{00000000-0005-0000-0000-0000A0500000}"/>
    <cellStyle name="Standard 4 3 2 4 2 5 4" xfId="20444" xr:uid="{00000000-0005-0000-0000-0000A1500000}"/>
    <cellStyle name="Standard 4 3 2 4 2 5 4 2" xfId="20445" xr:uid="{00000000-0005-0000-0000-0000A2500000}"/>
    <cellStyle name="Standard 4 3 2 4 2 5 4 3" xfId="20446" xr:uid="{00000000-0005-0000-0000-0000A3500000}"/>
    <cellStyle name="Standard 4 3 2 4 2 5 5" xfId="20447" xr:uid="{00000000-0005-0000-0000-0000A4500000}"/>
    <cellStyle name="Standard 4 3 2 4 2 5 5 2" xfId="20448" xr:uid="{00000000-0005-0000-0000-0000A5500000}"/>
    <cellStyle name="Standard 4 3 2 4 2 5 6" xfId="20449" xr:uid="{00000000-0005-0000-0000-0000A6500000}"/>
    <cellStyle name="Standard 4 3 2 4 2 5 7" xfId="20450" xr:uid="{00000000-0005-0000-0000-0000A7500000}"/>
    <cellStyle name="Standard 4 3 2 4 2 6" xfId="20451" xr:uid="{00000000-0005-0000-0000-0000A8500000}"/>
    <cellStyle name="Standard 4 3 2 4 2 6 2" xfId="20452" xr:uid="{00000000-0005-0000-0000-0000A9500000}"/>
    <cellStyle name="Standard 4 3 2 4 2 6 2 2" xfId="20453" xr:uid="{00000000-0005-0000-0000-0000AA500000}"/>
    <cellStyle name="Standard 4 3 2 4 2 6 2 3" xfId="20454" xr:uid="{00000000-0005-0000-0000-0000AB500000}"/>
    <cellStyle name="Standard 4 3 2 4 2 6 3" xfId="20455" xr:uid="{00000000-0005-0000-0000-0000AC500000}"/>
    <cellStyle name="Standard 4 3 2 4 2 6 3 2" xfId="20456" xr:uid="{00000000-0005-0000-0000-0000AD500000}"/>
    <cellStyle name="Standard 4 3 2 4 2 6 3 3" xfId="20457" xr:uid="{00000000-0005-0000-0000-0000AE500000}"/>
    <cellStyle name="Standard 4 3 2 4 2 6 4" xfId="20458" xr:uid="{00000000-0005-0000-0000-0000AF500000}"/>
    <cellStyle name="Standard 4 3 2 4 2 6 4 2" xfId="20459" xr:uid="{00000000-0005-0000-0000-0000B0500000}"/>
    <cellStyle name="Standard 4 3 2 4 2 6 5" xfId="20460" xr:uid="{00000000-0005-0000-0000-0000B1500000}"/>
    <cellStyle name="Standard 4 3 2 4 2 6 6" xfId="20461" xr:uid="{00000000-0005-0000-0000-0000B2500000}"/>
    <cellStyle name="Standard 4 3 2 4 2 7" xfId="20462" xr:uid="{00000000-0005-0000-0000-0000B3500000}"/>
    <cellStyle name="Standard 4 3 2 4 2 7 2" xfId="20463" xr:uid="{00000000-0005-0000-0000-0000B4500000}"/>
    <cellStyle name="Standard 4 3 2 4 2 7 3" xfId="20464" xr:uid="{00000000-0005-0000-0000-0000B5500000}"/>
    <cellStyle name="Standard 4 3 2 4 2 8" xfId="20465" xr:uid="{00000000-0005-0000-0000-0000B6500000}"/>
    <cellStyle name="Standard 4 3 2 4 2 8 2" xfId="20466" xr:uid="{00000000-0005-0000-0000-0000B7500000}"/>
    <cellStyle name="Standard 4 3 2 4 2 8 3" xfId="20467" xr:uid="{00000000-0005-0000-0000-0000B8500000}"/>
    <cellStyle name="Standard 4 3 2 4 2 9" xfId="20468" xr:uid="{00000000-0005-0000-0000-0000B9500000}"/>
    <cellStyle name="Standard 4 3 2 4 2 9 2" xfId="20469" xr:uid="{00000000-0005-0000-0000-0000BA500000}"/>
    <cellStyle name="Standard 4 3 2 4 3" xfId="20470" xr:uid="{00000000-0005-0000-0000-0000BB500000}"/>
    <cellStyle name="Standard 4 3 2 4 3 10" xfId="20471" xr:uid="{00000000-0005-0000-0000-0000BC500000}"/>
    <cellStyle name="Standard 4 3 2 4 3 2" xfId="20472" xr:uid="{00000000-0005-0000-0000-0000BD500000}"/>
    <cellStyle name="Standard 4 3 2 4 3 2 2" xfId="20473" xr:uid="{00000000-0005-0000-0000-0000BE500000}"/>
    <cellStyle name="Standard 4 3 2 4 3 2 2 2" xfId="20474" xr:uid="{00000000-0005-0000-0000-0000BF500000}"/>
    <cellStyle name="Standard 4 3 2 4 3 2 2 2 2" xfId="20475" xr:uid="{00000000-0005-0000-0000-0000C0500000}"/>
    <cellStyle name="Standard 4 3 2 4 3 2 2 2 2 2" xfId="20476" xr:uid="{00000000-0005-0000-0000-0000C1500000}"/>
    <cellStyle name="Standard 4 3 2 4 3 2 2 2 2 3" xfId="20477" xr:uid="{00000000-0005-0000-0000-0000C2500000}"/>
    <cellStyle name="Standard 4 3 2 4 3 2 2 2 3" xfId="20478" xr:uid="{00000000-0005-0000-0000-0000C3500000}"/>
    <cellStyle name="Standard 4 3 2 4 3 2 2 2 3 2" xfId="20479" xr:uid="{00000000-0005-0000-0000-0000C4500000}"/>
    <cellStyle name="Standard 4 3 2 4 3 2 2 2 3 3" xfId="20480" xr:uid="{00000000-0005-0000-0000-0000C5500000}"/>
    <cellStyle name="Standard 4 3 2 4 3 2 2 2 4" xfId="20481" xr:uid="{00000000-0005-0000-0000-0000C6500000}"/>
    <cellStyle name="Standard 4 3 2 4 3 2 2 2 4 2" xfId="20482" xr:uid="{00000000-0005-0000-0000-0000C7500000}"/>
    <cellStyle name="Standard 4 3 2 4 3 2 2 2 5" xfId="20483" xr:uid="{00000000-0005-0000-0000-0000C8500000}"/>
    <cellStyle name="Standard 4 3 2 4 3 2 2 2 6" xfId="20484" xr:uid="{00000000-0005-0000-0000-0000C9500000}"/>
    <cellStyle name="Standard 4 3 2 4 3 2 2 3" xfId="20485" xr:uid="{00000000-0005-0000-0000-0000CA500000}"/>
    <cellStyle name="Standard 4 3 2 4 3 2 2 3 2" xfId="20486" xr:uid="{00000000-0005-0000-0000-0000CB500000}"/>
    <cellStyle name="Standard 4 3 2 4 3 2 2 3 3" xfId="20487" xr:uid="{00000000-0005-0000-0000-0000CC500000}"/>
    <cellStyle name="Standard 4 3 2 4 3 2 2 4" xfId="20488" xr:uid="{00000000-0005-0000-0000-0000CD500000}"/>
    <cellStyle name="Standard 4 3 2 4 3 2 2 4 2" xfId="20489" xr:uid="{00000000-0005-0000-0000-0000CE500000}"/>
    <cellStyle name="Standard 4 3 2 4 3 2 2 4 3" xfId="20490" xr:uid="{00000000-0005-0000-0000-0000CF500000}"/>
    <cellStyle name="Standard 4 3 2 4 3 2 2 5" xfId="20491" xr:uid="{00000000-0005-0000-0000-0000D0500000}"/>
    <cellStyle name="Standard 4 3 2 4 3 2 2 5 2" xfId="20492" xr:uid="{00000000-0005-0000-0000-0000D1500000}"/>
    <cellStyle name="Standard 4 3 2 4 3 2 2 6" xfId="20493" xr:uid="{00000000-0005-0000-0000-0000D2500000}"/>
    <cellStyle name="Standard 4 3 2 4 3 2 2 7" xfId="20494" xr:uid="{00000000-0005-0000-0000-0000D3500000}"/>
    <cellStyle name="Standard 4 3 2 4 3 2 3" xfId="20495" xr:uid="{00000000-0005-0000-0000-0000D4500000}"/>
    <cellStyle name="Standard 4 3 2 4 3 2 3 2" xfId="20496" xr:uid="{00000000-0005-0000-0000-0000D5500000}"/>
    <cellStyle name="Standard 4 3 2 4 3 2 3 2 2" xfId="20497" xr:uid="{00000000-0005-0000-0000-0000D6500000}"/>
    <cellStyle name="Standard 4 3 2 4 3 2 3 2 3" xfId="20498" xr:uid="{00000000-0005-0000-0000-0000D7500000}"/>
    <cellStyle name="Standard 4 3 2 4 3 2 3 3" xfId="20499" xr:uid="{00000000-0005-0000-0000-0000D8500000}"/>
    <cellStyle name="Standard 4 3 2 4 3 2 3 3 2" xfId="20500" xr:uid="{00000000-0005-0000-0000-0000D9500000}"/>
    <cellStyle name="Standard 4 3 2 4 3 2 3 3 3" xfId="20501" xr:uid="{00000000-0005-0000-0000-0000DA500000}"/>
    <cellStyle name="Standard 4 3 2 4 3 2 3 4" xfId="20502" xr:uid="{00000000-0005-0000-0000-0000DB500000}"/>
    <cellStyle name="Standard 4 3 2 4 3 2 3 4 2" xfId="20503" xr:uid="{00000000-0005-0000-0000-0000DC500000}"/>
    <cellStyle name="Standard 4 3 2 4 3 2 3 5" xfId="20504" xr:uid="{00000000-0005-0000-0000-0000DD500000}"/>
    <cellStyle name="Standard 4 3 2 4 3 2 3 6" xfId="20505" xr:uid="{00000000-0005-0000-0000-0000DE500000}"/>
    <cellStyle name="Standard 4 3 2 4 3 2 4" xfId="20506" xr:uid="{00000000-0005-0000-0000-0000DF500000}"/>
    <cellStyle name="Standard 4 3 2 4 3 2 4 2" xfId="20507" xr:uid="{00000000-0005-0000-0000-0000E0500000}"/>
    <cellStyle name="Standard 4 3 2 4 3 2 4 3" xfId="20508" xr:uid="{00000000-0005-0000-0000-0000E1500000}"/>
    <cellStyle name="Standard 4 3 2 4 3 2 5" xfId="20509" xr:uid="{00000000-0005-0000-0000-0000E2500000}"/>
    <cellStyle name="Standard 4 3 2 4 3 2 5 2" xfId="20510" xr:uid="{00000000-0005-0000-0000-0000E3500000}"/>
    <cellStyle name="Standard 4 3 2 4 3 2 5 3" xfId="20511" xr:uid="{00000000-0005-0000-0000-0000E4500000}"/>
    <cellStyle name="Standard 4 3 2 4 3 2 6" xfId="20512" xr:uid="{00000000-0005-0000-0000-0000E5500000}"/>
    <cellStyle name="Standard 4 3 2 4 3 2 6 2" xfId="20513" xr:uid="{00000000-0005-0000-0000-0000E6500000}"/>
    <cellStyle name="Standard 4 3 2 4 3 2 7" xfId="20514" xr:uid="{00000000-0005-0000-0000-0000E7500000}"/>
    <cellStyle name="Standard 4 3 2 4 3 2 8" xfId="20515" xr:uid="{00000000-0005-0000-0000-0000E8500000}"/>
    <cellStyle name="Standard 4 3 2 4 3 3" xfId="20516" xr:uid="{00000000-0005-0000-0000-0000E9500000}"/>
    <cellStyle name="Standard 4 3 2 4 3 3 2" xfId="20517" xr:uid="{00000000-0005-0000-0000-0000EA500000}"/>
    <cellStyle name="Standard 4 3 2 4 3 3 2 2" xfId="20518" xr:uid="{00000000-0005-0000-0000-0000EB500000}"/>
    <cellStyle name="Standard 4 3 2 4 3 3 2 2 2" xfId="20519" xr:uid="{00000000-0005-0000-0000-0000EC500000}"/>
    <cellStyle name="Standard 4 3 2 4 3 3 2 2 2 2" xfId="20520" xr:uid="{00000000-0005-0000-0000-0000ED500000}"/>
    <cellStyle name="Standard 4 3 2 4 3 3 2 2 2 3" xfId="20521" xr:uid="{00000000-0005-0000-0000-0000EE500000}"/>
    <cellStyle name="Standard 4 3 2 4 3 3 2 2 3" xfId="20522" xr:uid="{00000000-0005-0000-0000-0000EF500000}"/>
    <cellStyle name="Standard 4 3 2 4 3 3 2 2 3 2" xfId="20523" xr:uid="{00000000-0005-0000-0000-0000F0500000}"/>
    <cellStyle name="Standard 4 3 2 4 3 3 2 2 3 3" xfId="20524" xr:uid="{00000000-0005-0000-0000-0000F1500000}"/>
    <cellStyle name="Standard 4 3 2 4 3 3 2 2 4" xfId="20525" xr:uid="{00000000-0005-0000-0000-0000F2500000}"/>
    <cellStyle name="Standard 4 3 2 4 3 3 2 2 4 2" xfId="20526" xr:uid="{00000000-0005-0000-0000-0000F3500000}"/>
    <cellStyle name="Standard 4 3 2 4 3 3 2 2 5" xfId="20527" xr:uid="{00000000-0005-0000-0000-0000F4500000}"/>
    <cellStyle name="Standard 4 3 2 4 3 3 2 2 6" xfId="20528" xr:uid="{00000000-0005-0000-0000-0000F5500000}"/>
    <cellStyle name="Standard 4 3 2 4 3 3 2 3" xfId="20529" xr:uid="{00000000-0005-0000-0000-0000F6500000}"/>
    <cellStyle name="Standard 4 3 2 4 3 3 2 3 2" xfId="20530" xr:uid="{00000000-0005-0000-0000-0000F7500000}"/>
    <cellStyle name="Standard 4 3 2 4 3 3 2 3 3" xfId="20531" xr:uid="{00000000-0005-0000-0000-0000F8500000}"/>
    <cellStyle name="Standard 4 3 2 4 3 3 2 4" xfId="20532" xr:uid="{00000000-0005-0000-0000-0000F9500000}"/>
    <cellStyle name="Standard 4 3 2 4 3 3 2 4 2" xfId="20533" xr:uid="{00000000-0005-0000-0000-0000FA500000}"/>
    <cellStyle name="Standard 4 3 2 4 3 3 2 4 3" xfId="20534" xr:uid="{00000000-0005-0000-0000-0000FB500000}"/>
    <cellStyle name="Standard 4 3 2 4 3 3 2 5" xfId="20535" xr:uid="{00000000-0005-0000-0000-0000FC500000}"/>
    <cellStyle name="Standard 4 3 2 4 3 3 2 5 2" xfId="20536" xr:uid="{00000000-0005-0000-0000-0000FD500000}"/>
    <cellStyle name="Standard 4 3 2 4 3 3 2 6" xfId="20537" xr:uid="{00000000-0005-0000-0000-0000FE500000}"/>
    <cellStyle name="Standard 4 3 2 4 3 3 2 7" xfId="20538" xr:uid="{00000000-0005-0000-0000-0000FF500000}"/>
    <cellStyle name="Standard 4 3 2 4 3 3 3" xfId="20539" xr:uid="{00000000-0005-0000-0000-000000510000}"/>
    <cellStyle name="Standard 4 3 2 4 3 3 3 2" xfId="20540" xr:uid="{00000000-0005-0000-0000-000001510000}"/>
    <cellStyle name="Standard 4 3 2 4 3 3 3 2 2" xfId="20541" xr:uid="{00000000-0005-0000-0000-000002510000}"/>
    <cellStyle name="Standard 4 3 2 4 3 3 3 2 3" xfId="20542" xr:uid="{00000000-0005-0000-0000-000003510000}"/>
    <cellStyle name="Standard 4 3 2 4 3 3 3 3" xfId="20543" xr:uid="{00000000-0005-0000-0000-000004510000}"/>
    <cellStyle name="Standard 4 3 2 4 3 3 3 3 2" xfId="20544" xr:uid="{00000000-0005-0000-0000-000005510000}"/>
    <cellStyle name="Standard 4 3 2 4 3 3 3 3 3" xfId="20545" xr:uid="{00000000-0005-0000-0000-000006510000}"/>
    <cellStyle name="Standard 4 3 2 4 3 3 3 4" xfId="20546" xr:uid="{00000000-0005-0000-0000-000007510000}"/>
    <cellStyle name="Standard 4 3 2 4 3 3 3 4 2" xfId="20547" xr:uid="{00000000-0005-0000-0000-000008510000}"/>
    <cellStyle name="Standard 4 3 2 4 3 3 3 5" xfId="20548" xr:uid="{00000000-0005-0000-0000-000009510000}"/>
    <cellStyle name="Standard 4 3 2 4 3 3 3 6" xfId="20549" xr:uid="{00000000-0005-0000-0000-00000A510000}"/>
    <cellStyle name="Standard 4 3 2 4 3 3 4" xfId="20550" xr:uid="{00000000-0005-0000-0000-00000B510000}"/>
    <cellStyle name="Standard 4 3 2 4 3 3 4 2" xfId="20551" xr:uid="{00000000-0005-0000-0000-00000C510000}"/>
    <cellStyle name="Standard 4 3 2 4 3 3 4 3" xfId="20552" xr:uid="{00000000-0005-0000-0000-00000D510000}"/>
    <cellStyle name="Standard 4 3 2 4 3 3 5" xfId="20553" xr:uid="{00000000-0005-0000-0000-00000E510000}"/>
    <cellStyle name="Standard 4 3 2 4 3 3 5 2" xfId="20554" xr:uid="{00000000-0005-0000-0000-00000F510000}"/>
    <cellStyle name="Standard 4 3 2 4 3 3 5 3" xfId="20555" xr:uid="{00000000-0005-0000-0000-000010510000}"/>
    <cellStyle name="Standard 4 3 2 4 3 3 6" xfId="20556" xr:uid="{00000000-0005-0000-0000-000011510000}"/>
    <cellStyle name="Standard 4 3 2 4 3 3 6 2" xfId="20557" xr:uid="{00000000-0005-0000-0000-000012510000}"/>
    <cellStyle name="Standard 4 3 2 4 3 3 7" xfId="20558" xr:uid="{00000000-0005-0000-0000-000013510000}"/>
    <cellStyle name="Standard 4 3 2 4 3 3 8" xfId="20559" xr:uid="{00000000-0005-0000-0000-000014510000}"/>
    <cellStyle name="Standard 4 3 2 4 3 4" xfId="20560" xr:uid="{00000000-0005-0000-0000-000015510000}"/>
    <cellStyle name="Standard 4 3 2 4 3 4 2" xfId="20561" xr:uid="{00000000-0005-0000-0000-000016510000}"/>
    <cellStyle name="Standard 4 3 2 4 3 4 2 2" xfId="20562" xr:uid="{00000000-0005-0000-0000-000017510000}"/>
    <cellStyle name="Standard 4 3 2 4 3 4 2 2 2" xfId="20563" xr:uid="{00000000-0005-0000-0000-000018510000}"/>
    <cellStyle name="Standard 4 3 2 4 3 4 2 2 3" xfId="20564" xr:uid="{00000000-0005-0000-0000-000019510000}"/>
    <cellStyle name="Standard 4 3 2 4 3 4 2 3" xfId="20565" xr:uid="{00000000-0005-0000-0000-00001A510000}"/>
    <cellStyle name="Standard 4 3 2 4 3 4 2 3 2" xfId="20566" xr:uid="{00000000-0005-0000-0000-00001B510000}"/>
    <cellStyle name="Standard 4 3 2 4 3 4 2 3 3" xfId="20567" xr:uid="{00000000-0005-0000-0000-00001C510000}"/>
    <cellStyle name="Standard 4 3 2 4 3 4 2 4" xfId="20568" xr:uid="{00000000-0005-0000-0000-00001D510000}"/>
    <cellStyle name="Standard 4 3 2 4 3 4 2 4 2" xfId="20569" xr:uid="{00000000-0005-0000-0000-00001E510000}"/>
    <cellStyle name="Standard 4 3 2 4 3 4 2 5" xfId="20570" xr:uid="{00000000-0005-0000-0000-00001F510000}"/>
    <cellStyle name="Standard 4 3 2 4 3 4 2 6" xfId="20571" xr:uid="{00000000-0005-0000-0000-000020510000}"/>
    <cellStyle name="Standard 4 3 2 4 3 4 3" xfId="20572" xr:uid="{00000000-0005-0000-0000-000021510000}"/>
    <cellStyle name="Standard 4 3 2 4 3 4 3 2" xfId="20573" xr:uid="{00000000-0005-0000-0000-000022510000}"/>
    <cellStyle name="Standard 4 3 2 4 3 4 3 3" xfId="20574" xr:uid="{00000000-0005-0000-0000-000023510000}"/>
    <cellStyle name="Standard 4 3 2 4 3 4 4" xfId="20575" xr:uid="{00000000-0005-0000-0000-000024510000}"/>
    <cellStyle name="Standard 4 3 2 4 3 4 4 2" xfId="20576" xr:uid="{00000000-0005-0000-0000-000025510000}"/>
    <cellStyle name="Standard 4 3 2 4 3 4 4 3" xfId="20577" xr:uid="{00000000-0005-0000-0000-000026510000}"/>
    <cellStyle name="Standard 4 3 2 4 3 4 5" xfId="20578" xr:uid="{00000000-0005-0000-0000-000027510000}"/>
    <cellStyle name="Standard 4 3 2 4 3 4 5 2" xfId="20579" xr:uid="{00000000-0005-0000-0000-000028510000}"/>
    <cellStyle name="Standard 4 3 2 4 3 4 6" xfId="20580" xr:uid="{00000000-0005-0000-0000-000029510000}"/>
    <cellStyle name="Standard 4 3 2 4 3 4 7" xfId="20581" xr:uid="{00000000-0005-0000-0000-00002A510000}"/>
    <cellStyle name="Standard 4 3 2 4 3 5" xfId="20582" xr:uid="{00000000-0005-0000-0000-00002B510000}"/>
    <cellStyle name="Standard 4 3 2 4 3 5 2" xfId="20583" xr:uid="{00000000-0005-0000-0000-00002C510000}"/>
    <cellStyle name="Standard 4 3 2 4 3 5 2 2" xfId="20584" xr:uid="{00000000-0005-0000-0000-00002D510000}"/>
    <cellStyle name="Standard 4 3 2 4 3 5 2 3" xfId="20585" xr:uid="{00000000-0005-0000-0000-00002E510000}"/>
    <cellStyle name="Standard 4 3 2 4 3 5 3" xfId="20586" xr:uid="{00000000-0005-0000-0000-00002F510000}"/>
    <cellStyle name="Standard 4 3 2 4 3 5 3 2" xfId="20587" xr:uid="{00000000-0005-0000-0000-000030510000}"/>
    <cellStyle name="Standard 4 3 2 4 3 5 3 3" xfId="20588" xr:uid="{00000000-0005-0000-0000-000031510000}"/>
    <cellStyle name="Standard 4 3 2 4 3 5 4" xfId="20589" xr:uid="{00000000-0005-0000-0000-000032510000}"/>
    <cellStyle name="Standard 4 3 2 4 3 5 4 2" xfId="20590" xr:uid="{00000000-0005-0000-0000-000033510000}"/>
    <cellStyle name="Standard 4 3 2 4 3 5 5" xfId="20591" xr:uid="{00000000-0005-0000-0000-000034510000}"/>
    <cellStyle name="Standard 4 3 2 4 3 5 6" xfId="20592" xr:uid="{00000000-0005-0000-0000-000035510000}"/>
    <cellStyle name="Standard 4 3 2 4 3 6" xfId="20593" xr:uid="{00000000-0005-0000-0000-000036510000}"/>
    <cellStyle name="Standard 4 3 2 4 3 6 2" xfId="20594" xr:uid="{00000000-0005-0000-0000-000037510000}"/>
    <cellStyle name="Standard 4 3 2 4 3 6 3" xfId="20595" xr:uid="{00000000-0005-0000-0000-000038510000}"/>
    <cellStyle name="Standard 4 3 2 4 3 7" xfId="20596" xr:uid="{00000000-0005-0000-0000-000039510000}"/>
    <cellStyle name="Standard 4 3 2 4 3 7 2" xfId="20597" xr:uid="{00000000-0005-0000-0000-00003A510000}"/>
    <cellStyle name="Standard 4 3 2 4 3 7 3" xfId="20598" xr:uid="{00000000-0005-0000-0000-00003B510000}"/>
    <cellStyle name="Standard 4 3 2 4 3 8" xfId="20599" xr:uid="{00000000-0005-0000-0000-00003C510000}"/>
    <cellStyle name="Standard 4 3 2 4 3 8 2" xfId="20600" xr:uid="{00000000-0005-0000-0000-00003D510000}"/>
    <cellStyle name="Standard 4 3 2 4 3 9" xfId="20601" xr:uid="{00000000-0005-0000-0000-00003E510000}"/>
    <cellStyle name="Standard 4 3 2 4 4" xfId="20602" xr:uid="{00000000-0005-0000-0000-00003F510000}"/>
    <cellStyle name="Standard 4 3 2 4 4 2" xfId="20603" xr:uid="{00000000-0005-0000-0000-000040510000}"/>
    <cellStyle name="Standard 4 3 2 4 4 2 2" xfId="20604" xr:uid="{00000000-0005-0000-0000-000041510000}"/>
    <cellStyle name="Standard 4 3 2 4 4 2 2 2" xfId="20605" xr:uid="{00000000-0005-0000-0000-000042510000}"/>
    <cellStyle name="Standard 4 3 2 4 4 2 2 2 2" xfId="20606" xr:uid="{00000000-0005-0000-0000-000043510000}"/>
    <cellStyle name="Standard 4 3 2 4 4 2 2 2 3" xfId="20607" xr:uid="{00000000-0005-0000-0000-000044510000}"/>
    <cellStyle name="Standard 4 3 2 4 4 2 2 3" xfId="20608" xr:uid="{00000000-0005-0000-0000-000045510000}"/>
    <cellStyle name="Standard 4 3 2 4 4 2 2 3 2" xfId="20609" xr:uid="{00000000-0005-0000-0000-000046510000}"/>
    <cellStyle name="Standard 4 3 2 4 4 2 2 3 3" xfId="20610" xr:uid="{00000000-0005-0000-0000-000047510000}"/>
    <cellStyle name="Standard 4 3 2 4 4 2 2 4" xfId="20611" xr:uid="{00000000-0005-0000-0000-000048510000}"/>
    <cellStyle name="Standard 4 3 2 4 4 2 2 4 2" xfId="20612" xr:uid="{00000000-0005-0000-0000-000049510000}"/>
    <cellStyle name="Standard 4 3 2 4 4 2 2 5" xfId="20613" xr:uid="{00000000-0005-0000-0000-00004A510000}"/>
    <cellStyle name="Standard 4 3 2 4 4 2 2 6" xfId="20614" xr:uid="{00000000-0005-0000-0000-00004B510000}"/>
    <cellStyle name="Standard 4 3 2 4 4 2 3" xfId="20615" xr:uid="{00000000-0005-0000-0000-00004C510000}"/>
    <cellStyle name="Standard 4 3 2 4 4 2 3 2" xfId="20616" xr:uid="{00000000-0005-0000-0000-00004D510000}"/>
    <cellStyle name="Standard 4 3 2 4 4 2 3 3" xfId="20617" xr:uid="{00000000-0005-0000-0000-00004E510000}"/>
    <cellStyle name="Standard 4 3 2 4 4 2 4" xfId="20618" xr:uid="{00000000-0005-0000-0000-00004F510000}"/>
    <cellStyle name="Standard 4 3 2 4 4 2 4 2" xfId="20619" xr:uid="{00000000-0005-0000-0000-000050510000}"/>
    <cellStyle name="Standard 4 3 2 4 4 2 4 3" xfId="20620" xr:uid="{00000000-0005-0000-0000-000051510000}"/>
    <cellStyle name="Standard 4 3 2 4 4 2 5" xfId="20621" xr:uid="{00000000-0005-0000-0000-000052510000}"/>
    <cellStyle name="Standard 4 3 2 4 4 2 5 2" xfId="20622" xr:uid="{00000000-0005-0000-0000-000053510000}"/>
    <cellStyle name="Standard 4 3 2 4 4 2 6" xfId="20623" xr:uid="{00000000-0005-0000-0000-000054510000}"/>
    <cellStyle name="Standard 4 3 2 4 4 2 7" xfId="20624" xr:uid="{00000000-0005-0000-0000-000055510000}"/>
    <cellStyle name="Standard 4 3 2 4 4 3" xfId="20625" xr:uid="{00000000-0005-0000-0000-000056510000}"/>
    <cellStyle name="Standard 4 3 2 4 4 3 2" xfId="20626" xr:uid="{00000000-0005-0000-0000-000057510000}"/>
    <cellStyle name="Standard 4 3 2 4 4 3 2 2" xfId="20627" xr:uid="{00000000-0005-0000-0000-000058510000}"/>
    <cellStyle name="Standard 4 3 2 4 4 3 2 3" xfId="20628" xr:uid="{00000000-0005-0000-0000-000059510000}"/>
    <cellStyle name="Standard 4 3 2 4 4 3 3" xfId="20629" xr:uid="{00000000-0005-0000-0000-00005A510000}"/>
    <cellStyle name="Standard 4 3 2 4 4 3 3 2" xfId="20630" xr:uid="{00000000-0005-0000-0000-00005B510000}"/>
    <cellStyle name="Standard 4 3 2 4 4 3 3 3" xfId="20631" xr:uid="{00000000-0005-0000-0000-00005C510000}"/>
    <cellStyle name="Standard 4 3 2 4 4 3 4" xfId="20632" xr:uid="{00000000-0005-0000-0000-00005D510000}"/>
    <cellStyle name="Standard 4 3 2 4 4 3 4 2" xfId="20633" xr:uid="{00000000-0005-0000-0000-00005E510000}"/>
    <cellStyle name="Standard 4 3 2 4 4 3 5" xfId="20634" xr:uid="{00000000-0005-0000-0000-00005F510000}"/>
    <cellStyle name="Standard 4 3 2 4 4 3 6" xfId="20635" xr:uid="{00000000-0005-0000-0000-000060510000}"/>
    <cellStyle name="Standard 4 3 2 4 4 4" xfId="20636" xr:uid="{00000000-0005-0000-0000-000061510000}"/>
    <cellStyle name="Standard 4 3 2 4 4 4 2" xfId="20637" xr:uid="{00000000-0005-0000-0000-000062510000}"/>
    <cellStyle name="Standard 4 3 2 4 4 4 3" xfId="20638" xr:uid="{00000000-0005-0000-0000-000063510000}"/>
    <cellStyle name="Standard 4 3 2 4 4 5" xfId="20639" xr:uid="{00000000-0005-0000-0000-000064510000}"/>
    <cellStyle name="Standard 4 3 2 4 4 5 2" xfId="20640" xr:uid="{00000000-0005-0000-0000-000065510000}"/>
    <cellStyle name="Standard 4 3 2 4 4 5 3" xfId="20641" xr:uid="{00000000-0005-0000-0000-000066510000}"/>
    <cellStyle name="Standard 4 3 2 4 4 6" xfId="20642" xr:uid="{00000000-0005-0000-0000-000067510000}"/>
    <cellStyle name="Standard 4 3 2 4 4 6 2" xfId="20643" xr:uid="{00000000-0005-0000-0000-000068510000}"/>
    <cellStyle name="Standard 4 3 2 4 4 7" xfId="20644" xr:uid="{00000000-0005-0000-0000-000069510000}"/>
    <cellStyle name="Standard 4 3 2 4 4 8" xfId="20645" xr:uid="{00000000-0005-0000-0000-00006A510000}"/>
    <cellStyle name="Standard 4 3 2 4 5" xfId="20646" xr:uid="{00000000-0005-0000-0000-00006B510000}"/>
    <cellStyle name="Standard 4 3 2 4 5 2" xfId="20647" xr:uid="{00000000-0005-0000-0000-00006C510000}"/>
    <cellStyle name="Standard 4 3 2 4 5 2 2" xfId="20648" xr:uid="{00000000-0005-0000-0000-00006D510000}"/>
    <cellStyle name="Standard 4 3 2 4 5 2 2 2" xfId="20649" xr:uid="{00000000-0005-0000-0000-00006E510000}"/>
    <cellStyle name="Standard 4 3 2 4 5 2 2 2 2" xfId="20650" xr:uid="{00000000-0005-0000-0000-00006F510000}"/>
    <cellStyle name="Standard 4 3 2 4 5 2 2 2 3" xfId="20651" xr:uid="{00000000-0005-0000-0000-000070510000}"/>
    <cellStyle name="Standard 4 3 2 4 5 2 2 3" xfId="20652" xr:uid="{00000000-0005-0000-0000-000071510000}"/>
    <cellStyle name="Standard 4 3 2 4 5 2 2 3 2" xfId="20653" xr:uid="{00000000-0005-0000-0000-000072510000}"/>
    <cellStyle name="Standard 4 3 2 4 5 2 2 3 3" xfId="20654" xr:uid="{00000000-0005-0000-0000-000073510000}"/>
    <cellStyle name="Standard 4 3 2 4 5 2 2 4" xfId="20655" xr:uid="{00000000-0005-0000-0000-000074510000}"/>
    <cellStyle name="Standard 4 3 2 4 5 2 2 4 2" xfId="20656" xr:uid="{00000000-0005-0000-0000-000075510000}"/>
    <cellStyle name="Standard 4 3 2 4 5 2 2 5" xfId="20657" xr:uid="{00000000-0005-0000-0000-000076510000}"/>
    <cellStyle name="Standard 4 3 2 4 5 2 2 6" xfId="20658" xr:uid="{00000000-0005-0000-0000-000077510000}"/>
    <cellStyle name="Standard 4 3 2 4 5 2 3" xfId="20659" xr:uid="{00000000-0005-0000-0000-000078510000}"/>
    <cellStyle name="Standard 4 3 2 4 5 2 3 2" xfId="20660" xr:uid="{00000000-0005-0000-0000-000079510000}"/>
    <cellStyle name="Standard 4 3 2 4 5 2 3 3" xfId="20661" xr:uid="{00000000-0005-0000-0000-00007A510000}"/>
    <cellStyle name="Standard 4 3 2 4 5 2 4" xfId="20662" xr:uid="{00000000-0005-0000-0000-00007B510000}"/>
    <cellStyle name="Standard 4 3 2 4 5 2 4 2" xfId="20663" xr:uid="{00000000-0005-0000-0000-00007C510000}"/>
    <cellStyle name="Standard 4 3 2 4 5 2 4 3" xfId="20664" xr:uid="{00000000-0005-0000-0000-00007D510000}"/>
    <cellStyle name="Standard 4 3 2 4 5 2 5" xfId="20665" xr:uid="{00000000-0005-0000-0000-00007E510000}"/>
    <cellStyle name="Standard 4 3 2 4 5 2 5 2" xfId="20666" xr:uid="{00000000-0005-0000-0000-00007F510000}"/>
    <cellStyle name="Standard 4 3 2 4 5 2 6" xfId="20667" xr:uid="{00000000-0005-0000-0000-000080510000}"/>
    <cellStyle name="Standard 4 3 2 4 5 2 7" xfId="20668" xr:uid="{00000000-0005-0000-0000-000081510000}"/>
    <cellStyle name="Standard 4 3 2 4 5 3" xfId="20669" xr:uid="{00000000-0005-0000-0000-000082510000}"/>
    <cellStyle name="Standard 4 3 2 4 5 3 2" xfId="20670" xr:uid="{00000000-0005-0000-0000-000083510000}"/>
    <cellStyle name="Standard 4 3 2 4 5 3 2 2" xfId="20671" xr:uid="{00000000-0005-0000-0000-000084510000}"/>
    <cellStyle name="Standard 4 3 2 4 5 3 2 3" xfId="20672" xr:uid="{00000000-0005-0000-0000-000085510000}"/>
    <cellStyle name="Standard 4 3 2 4 5 3 3" xfId="20673" xr:uid="{00000000-0005-0000-0000-000086510000}"/>
    <cellStyle name="Standard 4 3 2 4 5 3 3 2" xfId="20674" xr:uid="{00000000-0005-0000-0000-000087510000}"/>
    <cellStyle name="Standard 4 3 2 4 5 3 3 3" xfId="20675" xr:uid="{00000000-0005-0000-0000-000088510000}"/>
    <cellStyle name="Standard 4 3 2 4 5 3 4" xfId="20676" xr:uid="{00000000-0005-0000-0000-000089510000}"/>
    <cellStyle name="Standard 4 3 2 4 5 3 4 2" xfId="20677" xr:uid="{00000000-0005-0000-0000-00008A510000}"/>
    <cellStyle name="Standard 4 3 2 4 5 3 5" xfId="20678" xr:uid="{00000000-0005-0000-0000-00008B510000}"/>
    <cellStyle name="Standard 4 3 2 4 5 3 6" xfId="20679" xr:uid="{00000000-0005-0000-0000-00008C510000}"/>
    <cellStyle name="Standard 4 3 2 4 5 4" xfId="20680" xr:uid="{00000000-0005-0000-0000-00008D510000}"/>
    <cellStyle name="Standard 4 3 2 4 5 4 2" xfId="20681" xr:uid="{00000000-0005-0000-0000-00008E510000}"/>
    <cellStyle name="Standard 4 3 2 4 5 4 3" xfId="20682" xr:uid="{00000000-0005-0000-0000-00008F510000}"/>
    <cellStyle name="Standard 4 3 2 4 5 5" xfId="20683" xr:uid="{00000000-0005-0000-0000-000090510000}"/>
    <cellStyle name="Standard 4 3 2 4 5 5 2" xfId="20684" xr:uid="{00000000-0005-0000-0000-000091510000}"/>
    <cellStyle name="Standard 4 3 2 4 5 5 3" xfId="20685" xr:uid="{00000000-0005-0000-0000-000092510000}"/>
    <cellStyle name="Standard 4 3 2 4 5 6" xfId="20686" xr:uid="{00000000-0005-0000-0000-000093510000}"/>
    <cellStyle name="Standard 4 3 2 4 5 6 2" xfId="20687" xr:uid="{00000000-0005-0000-0000-000094510000}"/>
    <cellStyle name="Standard 4 3 2 4 5 7" xfId="20688" xr:uid="{00000000-0005-0000-0000-000095510000}"/>
    <cellStyle name="Standard 4 3 2 4 5 8" xfId="20689" xr:uid="{00000000-0005-0000-0000-000096510000}"/>
    <cellStyle name="Standard 4 3 2 4 6" xfId="20690" xr:uid="{00000000-0005-0000-0000-000097510000}"/>
    <cellStyle name="Standard 4 3 2 4 6 2" xfId="20691" xr:uid="{00000000-0005-0000-0000-000098510000}"/>
    <cellStyle name="Standard 4 3 2 4 6 2 2" xfId="20692" xr:uid="{00000000-0005-0000-0000-000099510000}"/>
    <cellStyle name="Standard 4 3 2 4 6 2 2 2" xfId="20693" xr:uid="{00000000-0005-0000-0000-00009A510000}"/>
    <cellStyle name="Standard 4 3 2 4 6 2 2 3" xfId="20694" xr:uid="{00000000-0005-0000-0000-00009B510000}"/>
    <cellStyle name="Standard 4 3 2 4 6 2 3" xfId="20695" xr:uid="{00000000-0005-0000-0000-00009C510000}"/>
    <cellStyle name="Standard 4 3 2 4 6 2 3 2" xfId="20696" xr:uid="{00000000-0005-0000-0000-00009D510000}"/>
    <cellStyle name="Standard 4 3 2 4 6 2 3 3" xfId="20697" xr:uid="{00000000-0005-0000-0000-00009E510000}"/>
    <cellStyle name="Standard 4 3 2 4 6 2 4" xfId="20698" xr:uid="{00000000-0005-0000-0000-00009F510000}"/>
    <cellStyle name="Standard 4 3 2 4 6 2 4 2" xfId="20699" xr:uid="{00000000-0005-0000-0000-0000A0510000}"/>
    <cellStyle name="Standard 4 3 2 4 6 2 5" xfId="20700" xr:uid="{00000000-0005-0000-0000-0000A1510000}"/>
    <cellStyle name="Standard 4 3 2 4 6 2 6" xfId="20701" xr:uid="{00000000-0005-0000-0000-0000A2510000}"/>
    <cellStyle name="Standard 4 3 2 4 6 3" xfId="20702" xr:uid="{00000000-0005-0000-0000-0000A3510000}"/>
    <cellStyle name="Standard 4 3 2 4 6 3 2" xfId="20703" xr:uid="{00000000-0005-0000-0000-0000A4510000}"/>
    <cellStyle name="Standard 4 3 2 4 6 3 3" xfId="20704" xr:uid="{00000000-0005-0000-0000-0000A5510000}"/>
    <cellStyle name="Standard 4 3 2 4 6 4" xfId="20705" xr:uid="{00000000-0005-0000-0000-0000A6510000}"/>
    <cellStyle name="Standard 4 3 2 4 6 4 2" xfId="20706" xr:uid="{00000000-0005-0000-0000-0000A7510000}"/>
    <cellStyle name="Standard 4 3 2 4 6 4 3" xfId="20707" xr:uid="{00000000-0005-0000-0000-0000A8510000}"/>
    <cellStyle name="Standard 4 3 2 4 6 5" xfId="20708" xr:uid="{00000000-0005-0000-0000-0000A9510000}"/>
    <cellStyle name="Standard 4 3 2 4 6 5 2" xfId="20709" xr:uid="{00000000-0005-0000-0000-0000AA510000}"/>
    <cellStyle name="Standard 4 3 2 4 6 6" xfId="20710" xr:uid="{00000000-0005-0000-0000-0000AB510000}"/>
    <cellStyle name="Standard 4 3 2 4 6 7" xfId="20711" xr:uid="{00000000-0005-0000-0000-0000AC510000}"/>
    <cellStyle name="Standard 4 3 2 4 7" xfId="20712" xr:uid="{00000000-0005-0000-0000-0000AD510000}"/>
    <cellStyle name="Standard 4 3 2 4 7 2" xfId="20713" xr:uid="{00000000-0005-0000-0000-0000AE510000}"/>
    <cellStyle name="Standard 4 3 2 4 7 2 2" xfId="20714" xr:uid="{00000000-0005-0000-0000-0000AF510000}"/>
    <cellStyle name="Standard 4 3 2 4 7 2 3" xfId="20715" xr:uid="{00000000-0005-0000-0000-0000B0510000}"/>
    <cellStyle name="Standard 4 3 2 4 7 3" xfId="20716" xr:uid="{00000000-0005-0000-0000-0000B1510000}"/>
    <cellStyle name="Standard 4 3 2 4 7 3 2" xfId="20717" xr:uid="{00000000-0005-0000-0000-0000B2510000}"/>
    <cellStyle name="Standard 4 3 2 4 7 3 3" xfId="20718" xr:uid="{00000000-0005-0000-0000-0000B3510000}"/>
    <cellStyle name="Standard 4 3 2 4 7 4" xfId="20719" xr:uid="{00000000-0005-0000-0000-0000B4510000}"/>
    <cellStyle name="Standard 4 3 2 4 7 4 2" xfId="20720" xr:uid="{00000000-0005-0000-0000-0000B5510000}"/>
    <cellStyle name="Standard 4 3 2 4 7 5" xfId="20721" xr:uid="{00000000-0005-0000-0000-0000B6510000}"/>
    <cellStyle name="Standard 4 3 2 4 7 6" xfId="20722" xr:uid="{00000000-0005-0000-0000-0000B7510000}"/>
    <cellStyle name="Standard 4 3 2 4 8" xfId="20723" xr:uid="{00000000-0005-0000-0000-0000B8510000}"/>
    <cellStyle name="Standard 4 3 2 4 8 2" xfId="20724" xr:uid="{00000000-0005-0000-0000-0000B9510000}"/>
    <cellStyle name="Standard 4 3 2 4 8 3" xfId="20725" xr:uid="{00000000-0005-0000-0000-0000BA510000}"/>
    <cellStyle name="Standard 4 3 2 4 9" xfId="20726" xr:uid="{00000000-0005-0000-0000-0000BB510000}"/>
    <cellStyle name="Standard 4 3 2 4 9 2" xfId="20727" xr:uid="{00000000-0005-0000-0000-0000BC510000}"/>
    <cellStyle name="Standard 4 3 2 4 9 3" xfId="20728" xr:uid="{00000000-0005-0000-0000-0000BD510000}"/>
    <cellStyle name="Standard 4 3 2 5" xfId="20729" xr:uid="{00000000-0005-0000-0000-0000BE510000}"/>
    <cellStyle name="Standard 4 3 2 5 10" xfId="20730" xr:uid="{00000000-0005-0000-0000-0000BF510000}"/>
    <cellStyle name="Standard 4 3 2 5 11" xfId="20731" xr:uid="{00000000-0005-0000-0000-0000C0510000}"/>
    <cellStyle name="Standard 4 3 2 5 2" xfId="20732" xr:uid="{00000000-0005-0000-0000-0000C1510000}"/>
    <cellStyle name="Standard 4 3 2 5 2 10" xfId="20733" xr:uid="{00000000-0005-0000-0000-0000C2510000}"/>
    <cellStyle name="Standard 4 3 2 5 2 2" xfId="20734" xr:uid="{00000000-0005-0000-0000-0000C3510000}"/>
    <cellStyle name="Standard 4 3 2 5 2 2 2" xfId="20735" xr:uid="{00000000-0005-0000-0000-0000C4510000}"/>
    <cellStyle name="Standard 4 3 2 5 2 2 2 2" xfId="20736" xr:uid="{00000000-0005-0000-0000-0000C5510000}"/>
    <cellStyle name="Standard 4 3 2 5 2 2 2 2 2" xfId="20737" xr:uid="{00000000-0005-0000-0000-0000C6510000}"/>
    <cellStyle name="Standard 4 3 2 5 2 2 2 2 2 2" xfId="20738" xr:uid="{00000000-0005-0000-0000-0000C7510000}"/>
    <cellStyle name="Standard 4 3 2 5 2 2 2 2 2 3" xfId="20739" xr:uid="{00000000-0005-0000-0000-0000C8510000}"/>
    <cellStyle name="Standard 4 3 2 5 2 2 2 2 3" xfId="20740" xr:uid="{00000000-0005-0000-0000-0000C9510000}"/>
    <cellStyle name="Standard 4 3 2 5 2 2 2 2 3 2" xfId="20741" xr:uid="{00000000-0005-0000-0000-0000CA510000}"/>
    <cellStyle name="Standard 4 3 2 5 2 2 2 2 3 3" xfId="20742" xr:uid="{00000000-0005-0000-0000-0000CB510000}"/>
    <cellStyle name="Standard 4 3 2 5 2 2 2 2 4" xfId="20743" xr:uid="{00000000-0005-0000-0000-0000CC510000}"/>
    <cellStyle name="Standard 4 3 2 5 2 2 2 2 4 2" xfId="20744" xr:uid="{00000000-0005-0000-0000-0000CD510000}"/>
    <cellStyle name="Standard 4 3 2 5 2 2 2 2 5" xfId="20745" xr:uid="{00000000-0005-0000-0000-0000CE510000}"/>
    <cellStyle name="Standard 4 3 2 5 2 2 2 2 6" xfId="20746" xr:uid="{00000000-0005-0000-0000-0000CF510000}"/>
    <cellStyle name="Standard 4 3 2 5 2 2 2 3" xfId="20747" xr:uid="{00000000-0005-0000-0000-0000D0510000}"/>
    <cellStyle name="Standard 4 3 2 5 2 2 2 3 2" xfId="20748" xr:uid="{00000000-0005-0000-0000-0000D1510000}"/>
    <cellStyle name="Standard 4 3 2 5 2 2 2 3 3" xfId="20749" xr:uid="{00000000-0005-0000-0000-0000D2510000}"/>
    <cellStyle name="Standard 4 3 2 5 2 2 2 4" xfId="20750" xr:uid="{00000000-0005-0000-0000-0000D3510000}"/>
    <cellStyle name="Standard 4 3 2 5 2 2 2 4 2" xfId="20751" xr:uid="{00000000-0005-0000-0000-0000D4510000}"/>
    <cellStyle name="Standard 4 3 2 5 2 2 2 4 3" xfId="20752" xr:uid="{00000000-0005-0000-0000-0000D5510000}"/>
    <cellStyle name="Standard 4 3 2 5 2 2 2 5" xfId="20753" xr:uid="{00000000-0005-0000-0000-0000D6510000}"/>
    <cellStyle name="Standard 4 3 2 5 2 2 2 5 2" xfId="20754" xr:uid="{00000000-0005-0000-0000-0000D7510000}"/>
    <cellStyle name="Standard 4 3 2 5 2 2 2 6" xfId="20755" xr:uid="{00000000-0005-0000-0000-0000D8510000}"/>
    <cellStyle name="Standard 4 3 2 5 2 2 2 7" xfId="20756" xr:uid="{00000000-0005-0000-0000-0000D9510000}"/>
    <cellStyle name="Standard 4 3 2 5 2 2 3" xfId="20757" xr:uid="{00000000-0005-0000-0000-0000DA510000}"/>
    <cellStyle name="Standard 4 3 2 5 2 2 3 2" xfId="20758" xr:uid="{00000000-0005-0000-0000-0000DB510000}"/>
    <cellStyle name="Standard 4 3 2 5 2 2 3 2 2" xfId="20759" xr:uid="{00000000-0005-0000-0000-0000DC510000}"/>
    <cellStyle name="Standard 4 3 2 5 2 2 3 2 3" xfId="20760" xr:uid="{00000000-0005-0000-0000-0000DD510000}"/>
    <cellStyle name="Standard 4 3 2 5 2 2 3 3" xfId="20761" xr:uid="{00000000-0005-0000-0000-0000DE510000}"/>
    <cellStyle name="Standard 4 3 2 5 2 2 3 3 2" xfId="20762" xr:uid="{00000000-0005-0000-0000-0000DF510000}"/>
    <cellStyle name="Standard 4 3 2 5 2 2 3 3 3" xfId="20763" xr:uid="{00000000-0005-0000-0000-0000E0510000}"/>
    <cellStyle name="Standard 4 3 2 5 2 2 3 4" xfId="20764" xr:uid="{00000000-0005-0000-0000-0000E1510000}"/>
    <cellStyle name="Standard 4 3 2 5 2 2 3 4 2" xfId="20765" xr:uid="{00000000-0005-0000-0000-0000E2510000}"/>
    <cellStyle name="Standard 4 3 2 5 2 2 3 5" xfId="20766" xr:uid="{00000000-0005-0000-0000-0000E3510000}"/>
    <cellStyle name="Standard 4 3 2 5 2 2 3 6" xfId="20767" xr:uid="{00000000-0005-0000-0000-0000E4510000}"/>
    <cellStyle name="Standard 4 3 2 5 2 2 4" xfId="20768" xr:uid="{00000000-0005-0000-0000-0000E5510000}"/>
    <cellStyle name="Standard 4 3 2 5 2 2 4 2" xfId="20769" xr:uid="{00000000-0005-0000-0000-0000E6510000}"/>
    <cellStyle name="Standard 4 3 2 5 2 2 4 3" xfId="20770" xr:uid="{00000000-0005-0000-0000-0000E7510000}"/>
    <cellStyle name="Standard 4 3 2 5 2 2 5" xfId="20771" xr:uid="{00000000-0005-0000-0000-0000E8510000}"/>
    <cellStyle name="Standard 4 3 2 5 2 2 5 2" xfId="20772" xr:uid="{00000000-0005-0000-0000-0000E9510000}"/>
    <cellStyle name="Standard 4 3 2 5 2 2 5 3" xfId="20773" xr:uid="{00000000-0005-0000-0000-0000EA510000}"/>
    <cellStyle name="Standard 4 3 2 5 2 2 6" xfId="20774" xr:uid="{00000000-0005-0000-0000-0000EB510000}"/>
    <cellStyle name="Standard 4 3 2 5 2 2 6 2" xfId="20775" xr:uid="{00000000-0005-0000-0000-0000EC510000}"/>
    <cellStyle name="Standard 4 3 2 5 2 2 7" xfId="20776" xr:uid="{00000000-0005-0000-0000-0000ED510000}"/>
    <cellStyle name="Standard 4 3 2 5 2 2 8" xfId="20777" xr:uid="{00000000-0005-0000-0000-0000EE510000}"/>
    <cellStyle name="Standard 4 3 2 5 2 3" xfId="20778" xr:uid="{00000000-0005-0000-0000-0000EF510000}"/>
    <cellStyle name="Standard 4 3 2 5 2 3 2" xfId="20779" xr:uid="{00000000-0005-0000-0000-0000F0510000}"/>
    <cellStyle name="Standard 4 3 2 5 2 3 2 2" xfId="20780" xr:uid="{00000000-0005-0000-0000-0000F1510000}"/>
    <cellStyle name="Standard 4 3 2 5 2 3 2 2 2" xfId="20781" xr:uid="{00000000-0005-0000-0000-0000F2510000}"/>
    <cellStyle name="Standard 4 3 2 5 2 3 2 2 2 2" xfId="20782" xr:uid="{00000000-0005-0000-0000-0000F3510000}"/>
    <cellStyle name="Standard 4 3 2 5 2 3 2 2 2 3" xfId="20783" xr:uid="{00000000-0005-0000-0000-0000F4510000}"/>
    <cellStyle name="Standard 4 3 2 5 2 3 2 2 3" xfId="20784" xr:uid="{00000000-0005-0000-0000-0000F5510000}"/>
    <cellStyle name="Standard 4 3 2 5 2 3 2 2 3 2" xfId="20785" xr:uid="{00000000-0005-0000-0000-0000F6510000}"/>
    <cellStyle name="Standard 4 3 2 5 2 3 2 2 3 3" xfId="20786" xr:uid="{00000000-0005-0000-0000-0000F7510000}"/>
    <cellStyle name="Standard 4 3 2 5 2 3 2 2 4" xfId="20787" xr:uid="{00000000-0005-0000-0000-0000F8510000}"/>
    <cellStyle name="Standard 4 3 2 5 2 3 2 2 4 2" xfId="20788" xr:uid="{00000000-0005-0000-0000-0000F9510000}"/>
    <cellStyle name="Standard 4 3 2 5 2 3 2 2 5" xfId="20789" xr:uid="{00000000-0005-0000-0000-0000FA510000}"/>
    <cellStyle name="Standard 4 3 2 5 2 3 2 2 6" xfId="20790" xr:uid="{00000000-0005-0000-0000-0000FB510000}"/>
    <cellStyle name="Standard 4 3 2 5 2 3 2 3" xfId="20791" xr:uid="{00000000-0005-0000-0000-0000FC510000}"/>
    <cellStyle name="Standard 4 3 2 5 2 3 2 3 2" xfId="20792" xr:uid="{00000000-0005-0000-0000-0000FD510000}"/>
    <cellStyle name="Standard 4 3 2 5 2 3 2 3 3" xfId="20793" xr:uid="{00000000-0005-0000-0000-0000FE510000}"/>
    <cellStyle name="Standard 4 3 2 5 2 3 2 4" xfId="20794" xr:uid="{00000000-0005-0000-0000-0000FF510000}"/>
    <cellStyle name="Standard 4 3 2 5 2 3 2 4 2" xfId="20795" xr:uid="{00000000-0005-0000-0000-000000520000}"/>
    <cellStyle name="Standard 4 3 2 5 2 3 2 4 3" xfId="20796" xr:uid="{00000000-0005-0000-0000-000001520000}"/>
    <cellStyle name="Standard 4 3 2 5 2 3 2 5" xfId="20797" xr:uid="{00000000-0005-0000-0000-000002520000}"/>
    <cellStyle name="Standard 4 3 2 5 2 3 2 5 2" xfId="20798" xr:uid="{00000000-0005-0000-0000-000003520000}"/>
    <cellStyle name="Standard 4 3 2 5 2 3 2 6" xfId="20799" xr:uid="{00000000-0005-0000-0000-000004520000}"/>
    <cellStyle name="Standard 4 3 2 5 2 3 2 7" xfId="20800" xr:uid="{00000000-0005-0000-0000-000005520000}"/>
    <cellStyle name="Standard 4 3 2 5 2 3 3" xfId="20801" xr:uid="{00000000-0005-0000-0000-000006520000}"/>
    <cellStyle name="Standard 4 3 2 5 2 3 3 2" xfId="20802" xr:uid="{00000000-0005-0000-0000-000007520000}"/>
    <cellStyle name="Standard 4 3 2 5 2 3 3 2 2" xfId="20803" xr:uid="{00000000-0005-0000-0000-000008520000}"/>
    <cellStyle name="Standard 4 3 2 5 2 3 3 2 3" xfId="20804" xr:uid="{00000000-0005-0000-0000-000009520000}"/>
    <cellStyle name="Standard 4 3 2 5 2 3 3 3" xfId="20805" xr:uid="{00000000-0005-0000-0000-00000A520000}"/>
    <cellStyle name="Standard 4 3 2 5 2 3 3 3 2" xfId="20806" xr:uid="{00000000-0005-0000-0000-00000B520000}"/>
    <cellStyle name="Standard 4 3 2 5 2 3 3 3 3" xfId="20807" xr:uid="{00000000-0005-0000-0000-00000C520000}"/>
    <cellStyle name="Standard 4 3 2 5 2 3 3 4" xfId="20808" xr:uid="{00000000-0005-0000-0000-00000D520000}"/>
    <cellStyle name="Standard 4 3 2 5 2 3 3 4 2" xfId="20809" xr:uid="{00000000-0005-0000-0000-00000E520000}"/>
    <cellStyle name="Standard 4 3 2 5 2 3 3 5" xfId="20810" xr:uid="{00000000-0005-0000-0000-00000F520000}"/>
    <cellStyle name="Standard 4 3 2 5 2 3 3 6" xfId="20811" xr:uid="{00000000-0005-0000-0000-000010520000}"/>
    <cellStyle name="Standard 4 3 2 5 2 3 4" xfId="20812" xr:uid="{00000000-0005-0000-0000-000011520000}"/>
    <cellStyle name="Standard 4 3 2 5 2 3 4 2" xfId="20813" xr:uid="{00000000-0005-0000-0000-000012520000}"/>
    <cellStyle name="Standard 4 3 2 5 2 3 4 3" xfId="20814" xr:uid="{00000000-0005-0000-0000-000013520000}"/>
    <cellStyle name="Standard 4 3 2 5 2 3 5" xfId="20815" xr:uid="{00000000-0005-0000-0000-000014520000}"/>
    <cellStyle name="Standard 4 3 2 5 2 3 5 2" xfId="20816" xr:uid="{00000000-0005-0000-0000-000015520000}"/>
    <cellStyle name="Standard 4 3 2 5 2 3 5 3" xfId="20817" xr:uid="{00000000-0005-0000-0000-000016520000}"/>
    <cellStyle name="Standard 4 3 2 5 2 3 6" xfId="20818" xr:uid="{00000000-0005-0000-0000-000017520000}"/>
    <cellStyle name="Standard 4 3 2 5 2 3 6 2" xfId="20819" xr:uid="{00000000-0005-0000-0000-000018520000}"/>
    <cellStyle name="Standard 4 3 2 5 2 3 7" xfId="20820" xr:uid="{00000000-0005-0000-0000-000019520000}"/>
    <cellStyle name="Standard 4 3 2 5 2 3 8" xfId="20821" xr:uid="{00000000-0005-0000-0000-00001A520000}"/>
    <cellStyle name="Standard 4 3 2 5 2 4" xfId="20822" xr:uid="{00000000-0005-0000-0000-00001B520000}"/>
    <cellStyle name="Standard 4 3 2 5 2 4 2" xfId="20823" xr:uid="{00000000-0005-0000-0000-00001C520000}"/>
    <cellStyle name="Standard 4 3 2 5 2 4 2 2" xfId="20824" xr:uid="{00000000-0005-0000-0000-00001D520000}"/>
    <cellStyle name="Standard 4 3 2 5 2 4 2 2 2" xfId="20825" xr:uid="{00000000-0005-0000-0000-00001E520000}"/>
    <cellStyle name="Standard 4 3 2 5 2 4 2 2 3" xfId="20826" xr:uid="{00000000-0005-0000-0000-00001F520000}"/>
    <cellStyle name="Standard 4 3 2 5 2 4 2 3" xfId="20827" xr:uid="{00000000-0005-0000-0000-000020520000}"/>
    <cellStyle name="Standard 4 3 2 5 2 4 2 3 2" xfId="20828" xr:uid="{00000000-0005-0000-0000-000021520000}"/>
    <cellStyle name="Standard 4 3 2 5 2 4 2 3 3" xfId="20829" xr:uid="{00000000-0005-0000-0000-000022520000}"/>
    <cellStyle name="Standard 4 3 2 5 2 4 2 4" xfId="20830" xr:uid="{00000000-0005-0000-0000-000023520000}"/>
    <cellStyle name="Standard 4 3 2 5 2 4 2 4 2" xfId="20831" xr:uid="{00000000-0005-0000-0000-000024520000}"/>
    <cellStyle name="Standard 4 3 2 5 2 4 2 5" xfId="20832" xr:uid="{00000000-0005-0000-0000-000025520000}"/>
    <cellStyle name="Standard 4 3 2 5 2 4 2 6" xfId="20833" xr:uid="{00000000-0005-0000-0000-000026520000}"/>
    <cellStyle name="Standard 4 3 2 5 2 4 3" xfId="20834" xr:uid="{00000000-0005-0000-0000-000027520000}"/>
    <cellStyle name="Standard 4 3 2 5 2 4 3 2" xfId="20835" xr:uid="{00000000-0005-0000-0000-000028520000}"/>
    <cellStyle name="Standard 4 3 2 5 2 4 3 3" xfId="20836" xr:uid="{00000000-0005-0000-0000-000029520000}"/>
    <cellStyle name="Standard 4 3 2 5 2 4 4" xfId="20837" xr:uid="{00000000-0005-0000-0000-00002A520000}"/>
    <cellStyle name="Standard 4 3 2 5 2 4 4 2" xfId="20838" xr:uid="{00000000-0005-0000-0000-00002B520000}"/>
    <cellStyle name="Standard 4 3 2 5 2 4 4 3" xfId="20839" xr:uid="{00000000-0005-0000-0000-00002C520000}"/>
    <cellStyle name="Standard 4 3 2 5 2 4 5" xfId="20840" xr:uid="{00000000-0005-0000-0000-00002D520000}"/>
    <cellStyle name="Standard 4 3 2 5 2 4 5 2" xfId="20841" xr:uid="{00000000-0005-0000-0000-00002E520000}"/>
    <cellStyle name="Standard 4 3 2 5 2 4 6" xfId="20842" xr:uid="{00000000-0005-0000-0000-00002F520000}"/>
    <cellStyle name="Standard 4 3 2 5 2 4 7" xfId="20843" xr:uid="{00000000-0005-0000-0000-000030520000}"/>
    <cellStyle name="Standard 4 3 2 5 2 5" xfId="20844" xr:uid="{00000000-0005-0000-0000-000031520000}"/>
    <cellStyle name="Standard 4 3 2 5 2 5 2" xfId="20845" xr:uid="{00000000-0005-0000-0000-000032520000}"/>
    <cellStyle name="Standard 4 3 2 5 2 5 2 2" xfId="20846" xr:uid="{00000000-0005-0000-0000-000033520000}"/>
    <cellStyle name="Standard 4 3 2 5 2 5 2 3" xfId="20847" xr:uid="{00000000-0005-0000-0000-000034520000}"/>
    <cellStyle name="Standard 4 3 2 5 2 5 3" xfId="20848" xr:uid="{00000000-0005-0000-0000-000035520000}"/>
    <cellStyle name="Standard 4 3 2 5 2 5 3 2" xfId="20849" xr:uid="{00000000-0005-0000-0000-000036520000}"/>
    <cellStyle name="Standard 4 3 2 5 2 5 3 3" xfId="20850" xr:uid="{00000000-0005-0000-0000-000037520000}"/>
    <cellStyle name="Standard 4 3 2 5 2 5 4" xfId="20851" xr:uid="{00000000-0005-0000-0000-000038520000}"/>
    <cellStyle name="Standard 4 3 2 5 2 5 4 2" xfId="20852" xr:uid="{00000000-0005-0000-0000-000039520000}"/>
    <cellStyle name="Standard 4 3 2 5 2 5 5" xfId="20853" xr:uid="{00000000-0005-0000-0000-00003A520000}"/>
    <cellStyle name="Standard 4 3 2 5 2 5 6" xfId="20854" xr:uid="{00000000-0005-0000-0000-00003B520000}"/>
    <cellStyle name="Standard 4 3 2 5 2 6" xfId="20855" xr:uid="{00000000-0005-0000-0000-00003C520000}"/>
    <cellStyle name="Standard 4 3 2 5 2 6 2" xfId="20856" xr:uid="{00000000-0005-0000-0000-00003D520000}"/>
    <cellStyle name="Standard 4 3 2 5 2 6 3" xfId="20857" xr:uid="{00000000-0005-0000-0000-00003E520000}"/>
    <cellStyle name="Standard 4 3 2 5 2 7" xfId="20858" xr:uid="{00000000-0005-0000-0000-00003F520000}"/>
    <cellStyle name="Standard 4 3 2 5 2 7 2" xfId="20859" xr:uid="{00000000-0005-0000-0000-000040520000}"/>
    <cellStyle name="Standard 4 3 2 5 2 7 3" xfId="20860" xr:uid="{00000000-0005-0000-0000-000041520000}"/>
    <cellStyle name="Standard 4 3 2 5 2 8" xfId="20861" xr:uid="{00000000-0005-0000-0000-000042520000}"/>
    <cellStyle name="Standard 4 3 2 5 2 8 2" xfId="20862" xr:uid="{00000000-0005-0000-0000-000043520000}"/>
    <cellStyle name="Standard 4 3 2 5 2 9" xfId="20863" xr:uid="{00000000-0005-0000-0000-000044520000}"/>
    <cellStyle name="Standard 4 3 2 5 3" xfId="20864" xr:uid="{00000000-0005-0000-0000-000045520000}"/>
    <cellStyle name="Standard 4 3 2 5 3 2" xfId="20865" xr:uid="{00000000-0005-0000-0000-000046520000}"/>
    <cellStyle name="Standard 4 3 2 5 3 2 2" xfId="20866" xr:uid="{00000000-0005-0000-0000-000047520000}"/>
    <cellStyle name="Standard 4 3 2 5 3 2 2 2" xfId="20867" xr:uid="{00000000-0005-0000-0000-000048520000}"/>
    <cellStyle name="Standard 4 3 2 5 3 2 2 2 2" xfId="20868" xr:uid="{00000000-0005-0000-0000-000049520000}"/>
    <cellStyle name="Standard 4 3 2 5 3 2 2 2 3" xfId="20869" xr:uid="{00000000-0005-0000-0000-00004A520000}"/>
    <cellStyle name="Standard 4 3 2 5 3 2 2 3" xfId="20870" xr:uid="{00000000-0005-0000-0000-00004B520000}"/>
    <cellStyle name="Standard 4 3 2 5 3 2 2 3 2" xfId="20871" xr:uid="{00000000-0005-0000-0000-00004C520000}"/>
    <cellStyle name="Standard 4 3 2 5 3 2 2 3 3" xfId="20872" xr:uid="{00000000-0005-0000-0000-00004D520000}"/>
    <cellStyle name="Standard 4 3 2 5 3 2 2 4" xfId="20873" xr:uid="{00000000-0005-0000-0000-00004E520000}"/>
    <cellStyle name="Standard 4 3 2 5 3 2 2 4 2" xfId="20874" xr:uid="{00000000-0005-0000-0000-00004F520000}"/>
    <cellStyle name="Standard 4 3 2 5 3 2 2 5" xfId="20875" xr:uid="{00000000-0005-0000-0000-000050520000}"/>
    <cellStyle name="Standard 4 3 2 5 3 2 2 6" xfId="20876" xr:uid="{00000000-0005-0000-0000-000051520000}"/>
    <cellStyle name="Standard 4 3 2 5 3 2 3" xfId="20877" xr:uid="{00000000-0005-0000-0000-000052520000}"/>
    <cellStyle name="Standard 4 3 2 5 3 2 3 2" xfId="20878" xr:uid="{00000000-0005-0000-0000-000053520000}"/>
    <cellStyle name="Standard 4 3 2 5 3 2 3 3" xfId="20879" xr:uid="{00000000-0005-0000-0000-000054520000}"/>
    <cellStyle name="Standard 4 3 2 5 3 2 4" xfId="20880" xr:uid="{00000000-0005-0000-0000-000055520000}"/>
    <cellStyle name="Standard 4 3 2 5 3 2 4 2" xfId="20881" xr:uid="{00000000-0005-0000-0000-000056520000}"/>
    <cellStyle name="Standard 4 3 2 5 3 2 4 3" xfId="20882" xr:uid="{00000000-0005-0000-0000-000057520000}"/>
    <cellStyle name="Standard 4 3 2 5 3 2 5" xfId="20883" xr:uid="{00000000-0005-0000-0000-000058520000}"/>
    <cellStyle name="Standard 4 3 2 5 3 2 5 2" xfId="20884" xr:uid="{00000000-0005-0000-0000-000059520000}"/>
    <cellStyle name="Standard 4 3 2 5 3 2 6" xfId="20885" xr:uid="{00000000-0005-0000-0000-00005A520000}"/>
    <cellStyle name="Standard 4 3 2 5 3 2 7" xfId="20886" xr:uid="{00000000-0005-0000-0000-00005B520000}"/>
    <cellStyle name="Standard 4 3 2 5 3 3" xfId="20887" xr:uid="{00000000-0005-0000-0000-00005C520000}"/>
    <cellStyle name="Standard 4 3 2 5 3 3 2" xfId="20888" xr:uid="{00000000-0005-0000-0000-00005D520000}"/>
    <cellStyle name="Standard 4 3 2 5 3 3 2 2" xfId="20889" xr:uid="{00000000-0005-0000-0000-00005E520000}"/>
    <cellStyle name="Standard 4 3 2 5 3 3 2 3" xfId="20890" xr:uid="{00000000-0005-0000-0000-00005F520000}"/>
    <cellStyle name="Standard 4 3 2 5 3 3 3" xfId="20891" xr:uid="{00000000-0005-0000-0000-000060520000}"/>
    <cellStyle name="Standard 4 3 2 5 3 3 3 2" xfId="20892" xr:uid="{00000000-0005-0000-0000-000061520000}"/>
    <cellStyle name="Standard 4 3 2 5 3 3 3 3" xfId="20893" xr:uid="{00000000-0005-0000-0000-000062520000}"/>
    <cellStyle name="Standard 4 3 2 5 3 3 4" xfId="20894" xr:uid="{00000000-0005-0000-0000-000063520000}"/>
    <cellStyle name="Standard 4 3 2 5 3 3 4 2" xfId="20895" xr:uid="{00000000-0005-0000-0000-000064520000}"/>
    <cellStyle name="Standard 4 3 2 5 3 3 5" xfId="20896" xr:uid="{00000000-0005-0000-0000-000065520000}"/>
    <cellStyle name="Standard 4 3 2 5 3 3 6" xfId="20897" xr:uid="{00000000-0005-0000-0000-000066520000}"/>
    <cellStyle name="Standard 4 3 2 5 3 4" xfId="20898" xr:uid="{00000000-0005-0000-0000-000067520000}"/>
    <cellStyle name="Standard 4 3 2 5 3 4 2" xfId="20899" xr:uid="{00000000-0005-0000-0000-000068520000}"/>
    <cellStyle name="Standard 4 3 2 5 3 4 3" xfId="20900" xr:uid="{00000000-0005-0000-0000-000069520000}"/>
    <cellStyle name="Standard 4 3 2 5 3 5" xfId="20901" xr:uid="{00000000-0005-0000-0000-00006A520000}"/>
    <cellStyle name="Standard 4 3 2 5 3 5 2" xfId="20902" xr:uid="{00000000-0005-0000-0000-00006B520000}"/>
    <cellStyle name="Standard 4 3 2 5 3 5 3" xfId="20903" xr:uid="{00000000-0005-0000-0000-00006C520000}"/>
    <cellStyle name="Standard 4 3 2 5 3 6" xfId="20904" xr:uid="{00000000-0005-0000-0000-00006D520000}"/>
    <cellStyle name="Standard 4 3 2 5 3 6 2" xfId="20905" xr:uid="{00000000-0005-0000-0000-00006E520000}"/>
    <cellStyle name="Standard 4 3 2 5 3 7" xfId="20906" xr:uid="{00000000-0005-0000-0000-00006F520000}"/>
    <cellStyle name="Standard 4 3 2 5 3 8" xfId="20907" xr:uid="{00000000-0005-0000-0000-000070520000}"/>
    <cellStyle name="Standard 4 3 2 5 4" xfId="20908" xr:uid="{00000000-0005-0000-0000-000071520000}"/>
    <cellStyle name="Standard 4 3 2 5 4 2" xfId="20909" xr:uid="{00000000-0005-0000-0000-000072520000}"/>
    <cellStyle name="Standard 4 3 2 5 4 2 2" xfId="20910" xr:uid="{00000000-0005-0000-0000-000073520000}"/>
    <cellStyle name="Standard 4 3 2 5 4 2 2 2" xfId="20911" xr:uid="{00000000-0005-0000-0000-000074520000}"/>
    <cellStyle name="Standard 4 3 2 5 4 2 2 2 2" xfId="20912" xr:uid="{00000000-0005-0000-0000-000075520000}"/>
    <cellStyle name="Standard 4 3 2 5 4 2 2 2 3" xfId="20913" xr:uid="{00000000-0005-0000-0000-000076520000}"/>
    <cellStyle name="Standard 4 3 2 5 4 2 2 3" xfId="20914" xr:uid="{00000000-0005-0000-0000-000077520000}"/>
    <cellStyle name="Standard 4 3 2 5 4 2 2 3 2" xfId="20915" xr:uid="{00000000-0005-0000-0000-000078520000}"/>
    <cellStyle name="Standard 4 3 2 5 4 2 2 3 3" xfId="20916" xr:uid="{00000000-0005-0000-0000-000079520000}"/>
    <cellStyle name="Standard 4 3 2 5 4 2 2 4" xfId="20917" xr:uid="{00000000-0005-0000-0000-00007A520000}"/>
    <cellStyle name="Standard 4 3 2 5 4 2 2 4 2" xfId="20918" xr:uid="{00000000-0005-0000-0000-00007B520000}"/>
    <cellStyle name="Standard 4 3 2 5 4 2 2 5" xfId="20919" xr:uid="{00000000-0005-0000-0000-00007C520000}"/>
    <cellStyle name="Standard 4 3 2 5 4 2 2 6" xfId="20920" xr:uid="{00000000-0005-0000-0000-00007D520000}"/>
    <cellStyle name="Standard 4 3 2 5 4 2 3" xfId="20921" xr:uid="{00000000-0005-0000-0000-00007E520000}"/>
    <cellStyle name="Standard 4 3 2 5 4 2 3 2" xfId="20922" xr:uid="{00000000-0005-0000-0000-00007F520000}"/>
    <cellStyle name="Standard 4 3 2 5 4 2 3 3" xfId="20923" xr:uid="{00000000-0005-0000-0000-000080520000}"/>
    <cellStyle name="Standard 4 3 2 5 4 2 4" xfId="20924" xr:uid="{00000000-0005-0000-0000-000081520000}"/>
    <cellStyle name="Standard 4 3 2 5 4 2 4 2" xfId="20925" xr:uid="{00000000-0005-0000-0000-000082520000}"/>
    <cellStyle name="Standard 4 3 2 5 4 2 4 3" xfId="20926" xr:uid="{00000000-0005-0000-0000-000083520000}"/>
    <cellStyle name="Standard 4 3 2 5 4 2 5" xfId="20927" xr:uid="{00000000-0005-0000-0000-000084520000}"/>
    <cellStyle name="Standard 4 3 2 5 4 2 5 2" xfId="20928" xr:uid="{00000000-0005-0000-0000-000085520000}"/>
    <cellStyle name="Standard 4 3 2 5 4 2 6" xfId="20929" xr:uid="{00000000-0005-0000-0000-000086520000}"/>
    <cellStyle name="Standard 4 3 2 5 4 2 7" xfId="20930" xr:uid="{00000000-0005-0000-0000-000087520000}"/>
    <cellStyle name="Standard 4 3 2 5 4 3" xfId="20931" xr:uid="{00000000-0005-0000-0000-000088520000}"/>
    <cellStyle name="Standard 4 3 2 5 4 3 2" xfId="20932" xr:uid="{00000000-0005-0000-0000-000089520000}"/>
    <cellStyle name="Standard 4 3 2 5 4 3 2 2" xfId="20933" xr:uid="{00000000-0005-0000-0000-00008A520000}"/>
    <cellStyle name="Standard 4 3 2 5 4 3 2 3" xfId="20934" xr:uid="{00000000-0005-0000-0000-00008B520000}"/>
    <cellStyle name="Standard 4 3 2 5 4 3 3" xfId="20935" xr:uid="{00000000-0005-0000-0000-00008C520000}"/>
    <cellStyle name="Standard 4 3 2 5 4 3 3 2" xfId="20936" xr:uid="{00000000-0005-0000-0000-00008D520000}"/>
    <cellStyle name="Standard 4 3 2 5 4 3 3 3" xfId="20937" xr:uid="{00000000-0005-0000-0000-00008E520000}"/>
    <cellStyle name="Standard 4 3 2 5 4 3 4" xfId="20938" xr:uid="{00000000-0005-0000-0000-00008F520000}"/>
    <cellStyle name="Standard 4 3 2 5 4 3 4 2" xfId="20939" xr:uid="{00000000-0005-0000-0000-000090520000}"/>
    <cellStyle name="Standard 4 3 2 5 4 3 5" xfId="20940" xr:uid="{00000000-0005-0000-0000-000091520000}"/>
    <cellStyle name="Standard 4 3 2 5 4 3 6" xfId="20941" xr:uid="{00000000-0005-0000-0000-000092520000}"/>
    <cellStyle name="Standard 4 3 2 5 4 4" xfId="20942" xr:uid="{00000000-0005-0000-0000-000093520000}"/>
    <cellStyle name="Standard 4 3 2 5 4 4 2" xfId="20943" xr:uid="{00000000-0005-0000-0000-000094520000}"/>
    <cellStyle name="Standard 4 3 2 5 4 4 3" xfId="20944" xr:uid="{00000000-0005-0000-0000-000095520000}"/>
    <cellStyle name="Standard 4 3 2 5 4 5" xfId="20945" xr:uid="{00000000-0005-0000-0000-000096520000}"/>
    <cellStyle name="Standard 4 3 2 5 4 5 2" xfId="20946" xr:uid="{00000000-0005-0000-0000-000097520000}"/>
    <cellStyle name="Standard 4 3 2 5 4 5 3" xfId="20947" xr:uid="{00000000-0005-0000-0000-000098520000}"/>
    <cellStyle name="Standard 4 3 2 5 4 6" xfId="20948" xr:uid="{00000000-0005-0000-0000-000099520000}"/>
    <cellStyle name="Standard 4 3 2 5 4 6 2" xfId="20949" xr:uid="{00000000-0005-0000-0000-00009A520000}"/>
    <cellStyle name="Standard 4 3 2 5 4 7" xfId="20950" xr:uid="{00000000-0005-0000-0000-00009B520000}"/>
    <cellStyle name="Standard 4 3 2 5 4 8" xfId="20951" xr:uid="{00000000-0005-0000-0000-00009C520000}"/>
    <cellStyle name="Standard 4 3 2 5 5" xfId="20952" xr:uid="{00000000-0005-0000-0000-00009D520000}"/>
    <cellStyle name="Standard 4 3 2 5 5 2" xfId="20953" xr:uid="{00000000-0005-0000-0000-00009E520000}"/>
    <cellStyle name="Standard 4 3 2 5 5 2 2" xfId="20954" xr:uid="{00000000-0005-0000-0000-00009F520000}"/>
    <cellStyle name="Standard 4 3 2 5 5 2 2 2" xfId="20955" xr:uid="{00000000-0005-0000-0000-0000A0520000}"/>
    <cellStyle name="Standard 4 3 2 5 5 2 2 3" xfId="20956" xr:uid="{00000000-0005-0000-0000-0000A1520000}"/>
    <cellStyle name="Standard 4 3 2 5 5 2 3" xfId="20957" xr:uid="{00000000-0005-0000-0000-0000A2520000}"/>
    <cellStyle name="Standard 4 3 2 5 5 2 3 2" xfId="20958" xr:uid="{00000000-0005-0000-0000-0000A3520000}"/>
    <cellStyle name="Standard 4 3 2 5 5 2 3 3" xfId="20959" xr:uid="{00000000-0005-0000-0000-0000A4520000}"/>
    <cellStyle name="Standard 4 3 2 5 5 2 4" xfId="20960" xr:uid="{00000000-0005-0000-0000-0000A5520000}"/>
    <cellStyle name="Standard 4 3 2 5 5 2 4 2" xfId="20961" xr:uid="{00000000-0005-0000-0000-0000A6520000}"/>
    <cellStyle name="Standard 4 3 2 5 5 2 5" xfId="20962" xr:uid="{00000000-0005-0000-0000-0000A7520000}"/>
    <cellStyle name="Standard 4 3 2 5 5 2 6" xfId="20963" xr:uid="{00000000-0005-0000-0000-0000A8520000}"/>
    <cellStyle name="Standard 4 3 2 5 5 3" xfId="20964" xr:uid="{00000000-0005-0000-0000-0000A9520000}"/>
    <cellStyle name="Standard 4 3 2 5 5 3 2" xfId="20965" xr:uid="{00000000-0005-0000-0000-0000AA520000}"/>
    <cellStyle name="Standard 4 3 2 5 5 3 3" xfId="20966" xr:uid="{00000000-0005-0000-0000-0000AB520000}"/>
    <cellStyle name="Standard 4 3 2 5 5 4" xfId="20967" xr:uid="{00000000-0005-0000-0000-0000AC520000}"/>
    <cellStyle name="Standard 4 3 2 5 5 4 2" xfId="20968" xr:uid="{00000000-0005-0000-0000-0000AD520000}"/>
    <cellStyle name="Standard 4 3 2 5 5 4 3" xfId="20969" xr:uid="{00000000-0005-0000-0000-0000AE520000}"/>
    <cellStyle name="Standard 4 3 2 5 5 5" xfId="20970" xr:uid="{00000000-0005-0000-0000-0000AF520000}"/>
    <cellStyle name="Standard 4 3 2 5 5 5 2" xfId="20971" xr:uid="{00000000-0005-0000-0000-0000B0520000}"/>
    <cellStyle name="Standard 4 3 2 5 5 6" xfId="20972" xr:uid="{00000000-0005-0000-0000-0000B1520000}"/>
    <cellStyle name="Standard 4 3 2 5 5 7" xfId="20973" xr:uid="{00000000-0005-0000-0000-0000B2520000}"/>
    <cellStyle name="Standard 4 3 2 5 6" xfId="20974" xr:uid="{00000000-0005-0000-0000-0000B3520000}"/>
    <cellStyle name="Standard 4 3 2 5 6 2" xfId="20975" xr:uid="{00000000-0005-0000-0000-0000B4520000}"/>
    <cellStyle name="Standard 4 3 2 5 6 2 2" xfId="20976" xr:uid="{00000000-0005-0000-0000-0000B5520000}"/>
    <cellStyle name="Standard 4 3 2 5 6 2 3" xfId="20977" xr:uid="{00000000-0005-0000-0000-0000B6520000}"/>
    <cellStyle name="Standard 4 3 2 5 6 3" xfId="20978" xr:uid="{00000000-0005-0000-0000-0000B7520000}"/>
    <cellStyle name="Standard 4 3 2 5 6 3 2" xfId="20979" xr:uid="{00000000-0005-0000-0000-0000B8520000}"/>
    <cellStyle name="Standard 4 3 2 5 6 3 3" xfId="20980" xr:uid="{00000000-0005-0000-0000-0000B9520000}"/>
    <cellStyle name="Standard 4 3 2 5 6 4" xfId="20981" xr:uid="{00000000-0005-0000-0000-0000BA520000}"/>
    <cellStyle name="Standard 4 3 2 5 6 4 2" xfId="20982" xr:uid="{00000000-0005-0000-0000-0000BB520000}"/>
    <cellStyle name="Standard 4 3 2 5 6 5" xfId="20983" xr:uid="{00000000-0005-0000-0000-0000BC520000}"/>
    <cellStyle name="Standard 4 3 2 5 6 6" xfId="20984" xr:uid="{00000000-0005-0000-0000-0000BD520000}"/>
    <cellStyle name="Standard 4 3 2 5 7" xfId="20985" xr:uid="{00000000-0005-0000-0000-0000BE520000}"/>
    <cellStyle name="Standard 4 3 2 5 7 2" xfId="20986" xr:uid="{00000000-0005-0000-0000-0000BF520000}"/>
    <cellStyle name="Standard 4 3 2 5 7 3" xfId="20987" xr:uid="{00000000-0005-0000-0000-0000C0520000}"/>
    <cellStyle name="Standard 4 3 2 5 8" xfId="20988" xr:uid="{00000000-0005-0000-0000-0000C1520000}"/>
    <cellStyle name="Standard 4 3 2 5 8 2" xfId="20989" xr:uid="{00000000-0005-0000-0000-0000C2520000}"/>
    <cellStyle name="Standard 4 3 2 5 8 3" xfId="20990" xr:uid="{00000000-0005-0000-0000-0000C3520000}"/>
    <cellStyle name="Standard 4 3 2 5 9" xfId="20991" xr:uid="{00000000-0005-0000-0000-0000C4520000}"/>
    <cellStyle name="Standard 4 3 2 5 9 2" xfId="20992" xr:uid="{00000000-0005-0000-0000-0000C5520000}"/>
    <cellStyle name="Standard 4 3 2 6" xfId="20993" xr:uid="{00000000-0005-0000-0000-0000C6520000}"/>
    <cellStyle name="Standard 4 3 2 6 10" xfId="20994" xr:uid="{00000000-0005-0000-0000-0000C7520000}"/>
    <cellStyle name="Standard 4 3 2 6 11" xfId="20995" xr:uid="{00000000-0005-0000-0000-0000C8520000}"/>
    <cellStyle name="Standard 4 3 2 6 2" xfId="20996" xr:uid="{00000000-0005-0000-0000-0000C9520000}"/>
    <cellStyle name="Standard 4 3 2 6 2 10" xfId="20997" xr:uid="{00000000-0005-0000-0000-0000CA520000}"/>
    <cellStyle name="Standard 4 3 2 6 2 2" xfId="20998" xr:uid="{00000000-0005-0000-0000-0000CB520000}"/>
    <cellStyle name="Standard 4 3 2 6 2 2 2" xfId="20999" xr:uid="{00000000-0005-0000-0000-0000CC520000}"/>
    <cellStyle name="Standard 4 3 2 6 2 2 2 2" xfId="21000" xr:uid="{00000000-0005-0000-0000-0000CD520000}"/>
    <cellStyle name="Standard 4 3 2 6 2 2 2 2 2" xfId="21001" xr:uid="{00000000-0005-0000-0000-0000CE520000}"/>
    <cellStyle name="Standard 4 3 2 6 2 2 2 2 2 2" xfId="21002" xr:uid="{00000000-0005-0000-0000-0000CF520000}"/>
    <cellStyle name="Standard 4 3 2 6 2 2 2 2 2 3" xfId="21003" xr:uid="{00000000-0005-0000-0000-0000D0520000}"/>
    <cellStyle name="Standard 4 3 2 6 2 2 2 2 3" xfId="21004" xr:uid="{00000000-0005-0000-0000-0000D1520000}"/>
    <cellStyle name="Standard 4 3 2 6 2 2 2 2 3 2" xfId="21005" xr:uid="{00000000-0005-0000-0000-0000D2520000}"/>
    <cellStyle name="Standard 4 3 2 6 2 2 2 2 3 3" xfId="21006" xr:uid="{00000000-0005-0000-0000-0000D3520000}"/>
    <cellStyle name="Standard 4 3 2 6 2 2 2 2 4" xfId="21007" xr:uid="{00000000-0005-0000-0000-0000D4520000}"/>
    <cellStyle name="Standard 4 3 2 6 2 2 2 2 4 2" xfId="21008" xr:uid="{00000000-0005-0000-0000-0000D5520000}"/>
    <cellStyle name="Standard 4 3 2 6 2 2 2 2 5" xfId="21009" xr:uid="{00000000-0005-0000-0000-0000D6520000}"/>
    <cellStyle name="Standard 4 3 2 6 2 2 2 2 6" xfId="21010" xr:uid="{00000000-0005-0000-0000-0000D7520000}"/>
    <cellStyle name="Standard 4 3 2 6 2 2 2 3" xfId="21011" xr:uid="{00000000-0005-0000-0000-0000D8520000}"/>
    <cellStyle name="Standard 4 3 2 6 2 2 2 3 2" xfId="21012" xr:uid="{00000000-0005-0000-0000-0000D9520000}"/>
    <cellStyle name="Standard 4 3 2 6 2 2 2 3 3" xfId="21013" xr:uid="{00000000-0005-0000-0000-0000DA520000}"/>
    <cellStyle name="Standard 4 3 2 6 2 2 2 4" xfId="21014" xr:uid="{00000000-0005-0000-0000-0000DB520000}"/>
    <cellStyle name="Standard 4 3 2 6 2 2 2 4 2" xfId="21015" xr:uid="{00000000-0005-0000-0000-0000DC520000}"/>
    <cellStyle name="Standard 4 3 2 6 2 2 2 4 3" xfId="21016" xr:uid="{00000000-0005-0000-0000-0000DD520000}"/>
    <cellStyle name="Standard 4 3 2 6 2 2 2 5" xfId="21017" xr:uid="{00000000-0005-0000-0000-0000DE520000}"/>
    <cellStyle name="Standard 4 3 2 6 2 2 2 5 2" xfId="21018" xr:uid="{00000000-0005-0000-0000-0000DF520000}"/>
    <cellStyle name="Standard 4 3 2 6 2 2 2 6" xfId="21019" xr:uid="{00000000-0005-0000-0000-0000E0520000}"/>
    <cellStyle name="Standard 4 3 2 6 2 2 2 7" xfId="21020" xr:uid="{00000000-0005-0000-0000-0000E1520000}"/>
    <cellStyle name="Standard 4 3 2 6 2 2 3" xfId="21021" xr:uid="{00000000-0005-0000-0000-0000E2520000}"/>
    <cellStyle name="Standard 4 3 2 6 2 2 3 2" xfId="21022" xr:uid="{00000000-0005-0000-0000-0000E3520000}"/>
    <cellStyle name="Standard 4 3 2 6 2 2 3 2 2" xfId="21023" xr:uid="{00000000-0005-0000-0000-0000E4520000}"/>
    <cellStyle name="Standard 4 3 2 6 2 2 3 2 3" xfId="21024" xr:uid="{00000000-0005-0000-0000-0000E5520000}"/>
    <cellStyle name="Standard 4 3 2 6 2 2 3 3" xfId="21025" xr:uid="{00000000-0005-0000-0000-0000E6520000}"/>
    <cellStyle name="Standard 4 3 2 6 2 2 3 3 2" xfId="21026" xr:uid="{00000000-0005-0000-0000-0000E7520000}"/>
    <cellStyle name="Standard 4 3 2 6 2 2 3 3 3" xfId="21027" xr:uid="{00000000-0005-0000-0000-0000E8520000}"/>
    <cellStyle name="Standard 4 3 2 6 2 2 3 4" xfId="21028" xr:uid="{00000000-0005-0000-0000-0000E9520000}"/>
    <cellStyle name="Standard 4 3 2 6 2 2 3 4 2" xfId="21029" xr:uid="{00000000-0005-0000-0000-0000EA520000}"/>
    <cellStyle name="Standard 4 3 2 6 2 2 3 5" xfId="21030" xr:uid="{00000000-0005-0000-0000-0000EB520000}"/>
    <cellStyle name="Standard 4 3 2 6 2 2 3 6" xfId="21031" xr:uid="{00000000-0005-0000-0000-0000EC520000}"/>
    <cellStyle name="Standard 4 3 2 6 2 2 4" xfId="21032" xr:uid="{00000000-0005-0000-0000-0000ED520000}"/>
    <cellStyle name="Standard 4 3 2 6 2 2 4 2" xfId="21033" xr:uid="{00000000-0005-0000-0000-0000EE520000}"/>
    <cellStyle name="Standard 4 3 2 6 2 2 4 3" xfId="21034" xr:uid="{00000000-0005-0000-0000-0000EF520000}"/>
    <cellStyle name="Standard 4 3 2 6 2 2 5" xfId="21035" xr:uid="{00000000-0005-0000-0000-0000F0520000}"/>
    <cellStyle name="Standard 4 3 2 6 2 2 5 2" xfId="21036" xr:uid="{00000000-0005-0000-0000-0000F1520000}"/>
    <cellStyle name="Standard 4 3 2 6 2 2 5 3" xfId="21037" xr:uid="{00000000-0005-0000-0000-0000F2520000}"/>
    <cellStyle name="Standard 4 3 2 6 2 2 6" xfId="21038" xr:uid="{00000000-0005-0000-0000-0000F3520000}"/>
    <cellStyle name="Standard 4 3 2 6 2 2 6 2" xfId="21039" xr:uid="{00000000-0005-0000-0000-0000F4520000}"/>
    <cellStyle name="Standard 4 3 2 6 2 2 7" xfId="21040" xr:uid="{00000000-0005-0000-0000-0000F5520000}"/>
    <cellStyle name="Standard 4 3 2 6 2 2 8" xfId="21041" xr:uid="{00000000-0005-0000-0000-0000F6520000}"/>
    <cellStyle name="Standard 4 3 2 6 2 3" xfId="21042" xr:uid="{00000000-0005-0000-0000-0000F7520000}"/>
    <cellStyle name="Standard 4 3 2 6 2 3 2" xfId="21043" xr:uid="{00000000-0005-0000-0000-0000F8520000}"/>
    <cellStyle name="Standard 4 3 2 6 2 3 2 2" xfId="21044" xr:uid="{00000000-0005-0000-0000-0000F9520000}"/>
    <cellStyle name="Standard 4 3 2 6 2 3 2 2 2" xfId="21045" xr:uid="{00000000-0005-0000-0000-0000FA520000}"/>
    <cellStyle name="Standard 4 3 2 6 2 3 2 2 2 2" xfId="21046" xr:uid="{00000000-0005-0000-0000-0000FB520000}"/>
    <cellStyle name="Standard 4 3 2 6 2 3 2 2 2 3" xfId="21047" xr:uid="{00000000-0005-0000-0000-0000FC520000}"/>
    <cellStyle name="Standard 4 3 2 6 2 3 2 2 3" xfId="21048" xr:uid="{00000000-0005-0000-0000-0000FD520000}"/>
    <cellStyle name="Standard 4 3 2 6 2 3 2 2 3 2" xfId="21049" xr:uid="{00000000-0005-0000-0000-0000FE520000}"/>
    <cellStyle name="Standard 4 3 2 6 2 3 2 2 3 3" xfId="21050" xr:uid="{00000000-0005-0000-0000-0000FF520000}"/>
    <cellStyle name="Standard 4 3 2 6 2 3 2 2 4" xfId="21051" xr:uid="{00000000-0005-0000-0000-000000530000}"/>
    <cellStyle name="Standard 4 3 2 6 2 3 2 2 4 2" xfId="21052" xr:uid="{00000000-0005-0000-0000-000001530000}"/>
    <cellStyle name="Standard 4 3 2 6 2 3 2 2 5" xfId="21053" xr:uid="{00000000-0005-0000-0000-000002530000}"/>
    <cellStyle name="Standard 4 3 2 6 2 3 2 2 6" xfId="21054" xr:uid="{00000000-0005-0000-0000-000003530000}"/>
    <cellStyle name="Standard 4 3 2 6 2 3 2 3" xfId="21055" xr:uid="{00000000-0005-0000-0000-000004530000}"/>
    <cellStyle name="Standard 4 3 2 6 2 3 2 3 2" xfId="21056" xr:uid="{00000000-0005-0000-0000-000005530000}"/>
    <cellStyle name="Standard 4 3 2 6 2 3 2 3 3" xfId="21057" xr:uid="{00000000-0005-0000-0000-000006530000}"/>
    <cellStyle name="Standard 4 3 2 6 2 3 2 4" xfId="21058" xr:uid="{00000000-0005-0000-0000-000007530000}"/>
    <cellStyle name="Standard 4 3 2 6 2 3 2 4 2" xfId="21059" xr:uid="{00000000-0005-0000-0000-000008530000}"/>
    <cellStyle name="Standard 4 3 2 6 2 3 2 4 3" xfId="21060" xr:uid="{00000000-0005-0000-0000-000009530000}"/>
    <cellStyle name="Standard 4 3 2 6 2 3 2 5" xfId="21061" xr:uid="{00000000-0005-0000-0000-00000A530000}"/>
    <cellStyle name="Standard 4 3 2 6 2 3 2 5 2" xfId="21062" xr:uid="{00000000-0005-0000-0000-00000B530000}"/>
    <cellStyle name="Standard 4 3 2 6 2 3 2 6" xfId="21063" xr:uid="{00000000-0005-0000-0000-00000C530000}"/>
    <cellStyle name="Standard 4 3 2 6 2 3 2 7" xfId="21064" xr:uid="{00000000-0005-0000-0000-00000D530000}"/>
    <cellStyle name="Standard 4 3 2 6 2 3 3" xfId="21065" xr:uid="{00000000-0005-0000-0000-00000E530000}"/>
    <cellStyle name="Standard 4 3 2 6 2 3 3 2" xfId="21066" xr:uid="{00000000-0005-0000-0000-00000F530000}"/>
    <cellStyle name="Standard 4 3 2 6 2 3 3 2 2" xfId="21067" xr:uid="{00000000-0005-0000-0000-000010530000}"/>
    <cellStyle name="Standard 4 3 2 6 2 3 3 2 3" xfId="21068" xr:uid="{00000000-0005-0000-0000-000011530000}"/>
    <cellStyle name="Standard 4 3 2 6 2 3 3 3" xfId="21069" xr:uid="{00000000-0005-0000-0000-000012530000}"/>
    <cellStyle name="Standard 4 3 2 6 2 3 3 3 2" xfId="21070" xr:uid="{00000000-0005-0000-0000-000013530000}"/>
    <cellStyle name="Standard 4 3 2 6 2 3 3 3 3" xfId="21071" xr:uid="{00000000-0005-0000-0000-000014530000}"/>
    <cellStyle name="Standard 4 3 2 6 2 3 3 4" xfId="21072" xr:uid="{00000000-0005-0000-0000-000015530000}"/>
    <cellStyle name="Standard 4 3 2 6 2 3 3 4 2" xfId="21073" xr:uid="{00000000-0005-0000-0000-000016530000}"/>
    <cellStyle name="Standard 4 3 2 6 2 3 3 5" xfId="21074" xr:uid="{00000000-0005-0000-0000-000017530000}"/>
    <cellStyle name="Standard 4 3 2 6 2 3 3 6" xfId="21075" xr:uid="{00000000-0005-0000-0000-000018530000}"/>
    <cellStyle name="Standard 4 3 2 6 2 3 4" xfId="21076" xr:uid="{00000000-0005-0000-0000-000019530000}"/>
    <cellStyle name="Standard 4 3 2 6 2 3 4 2" xfId="21077" xr:uid="{00000000-0005-0000-0000-00001A530000}"/>
    <cellStyle name="Standard 4 3 2 6 2 3 4 3" xfId="21078" xr:uid="{00000000-0005-0000-0000-00001B530000}"/>
    <cellStyle name="Standard 4 3 2 6 2 3 5" xfId="21079" xr:uid="{00000000-0005-0000-0000-00001C530000}"/>
    <cellStyle name="Standard 4 3 2 6 2 3 5 2" xfId="21080" xr:uid="{00000000-0005-0000-0000-00001D530000}"/>
    <cellStyle name="Standard 4 3 2 6 2 3 5 3" xfId="21081" xr:uid="{00000000-0005-0000-0000-00001E530000}"/>
    <cellStyle name="Standard 4 3 2 6 2 3 6" xfId="21082" xr:uid="{00000000-0005-0000-0000-00001F530000}"/>
    <cellStyle name="Standard 4 3 2 6 2 3 6 2" xfId="21083" xr:uid="{00000000-0005-0000-0000-000020530000}"/>
    <cellStyle name="Standard 4 3 2 6 2 3 7" xfId="21084" xr:uid="{00000000-0005-0000-0000-000021530000}"/>
    <cellStyle name="Standard 4 3 2 6 2 3 8" xfId="21085" xr:uid="{00000000-0005-0000-0000-000022530000}"/>
    <cellStyle name="Standard 4 3 2 6 2 4" xfId="21086" xr:uid="{00000000-0005-0000-0000-000023530000}"/>
    <cellStyle name="Standard 4 3 2 6 2 4 2" xfId="21087" xr:uid="{00000000-0005-0000-0000-000024530000}"/>
    <cellStyle name="Standard 4 3 2 6 2 4 2 2" xfId="21088" xr:uid="{00000000-0005-0000-0000-000025530000}"/>
    <cellStyle name="Standard 4 3 2 6 2 4 2 2 2" xfId="21089" xr:uid="{00000000-0005-0000-0000-000026530000}"/>
    <cellStyle name="Standard 4 3 2 6 2 4 2 2 3" xfId="21090" xr:uid="{00000000-0005-0000-0000-000027530000}"/>
    <cellStyle name="Standard 4 3 2 6 2 4 2 3" xfId="21091" xr:uid="{00000000-0005-0000-0000-000028530000}"/>
    <cellStyle name="Standard 4 3 2 6 2 4 2 3 2" xfId="21092" xr:uid="{00000000-0005-0000-0000-000029530000}"/>
    <cellStyle name="Standard 4 3 2 6 2 4 2 3 3" xfId="21093" xr:uid="{00000000-0005-0000-0000-00002A530000}"/>
    <cellStyle name="Standard 4 3 2 6 2 4 2 4" xfId="21094" xr:uid="{00000000-0005-0000-0000-00002B530000}"/>
    <cellStyle name="Standard 4 3 2 6 2 4 2 4 2" xfId="21095" xr:uid="{00000000-0005-0000-0000-00002C530000}"/>
    <cellStyle name="Standard 4 3 2 6 2 4 2 5" xfId="21096" xr:uid="{00000000-0005-0000-0000-00002D530000}"/>
    <cellStyle name="Standard 4 3 2 6 2 4 2 6" xfId="21097" xr:uid="{00000000-0005-0000-0000-00002E530000}"/>
    <cellStyle name="Standard 4 3 2 6 2 4 3" xfId="21098" xr:uid="{00000000-0005-0000-0000-00002F530000}"/>
    <cellStyle name="Standard 4 3 2 6 2 4 3 2" xfId="21099" xr:uid="{00000000-0005-0000-0000-000030530000}"/>
    <cellStyle name="Standard 4 3 2 6 2 4 3 3" xfId="21100" xr:uid="{00000000-0005-0000-0000-000031530000}"/>
    <cellStyle name="Standard 4 3 2 6 2 4 4" xfId="21101" xr:uid="{00000000-0005-0000-0000-000032530000}"/>
    <cellStyle name="Standard 4 3 2 6 2 4 4 2" xfId="21102" xr:uid="{00000000-0005-0000-0000-000033530000}"/>
    <cellStyle name="Standard 4 3 2 6 2 4 4 3" xfId="21103" xr:uid="{00000000-0005-0000-0000-000034530000}"/>
    <cellStyle name="Standard 4 3 2 6 2 4 5" xfId="21104" xr:uid="{00000000-0005-0000-0000-000035530000}"/>
    <cellStyle name="Standard 4 3 2 6 2 4 5 2" xfId="21105" xr:uid="{00000000-0005-0000-0000-000036530000}"/>
    <cellStyle name="Standard 4 3 2 6 2 4 6" xfId="21106" xr:uid="{00000000-0005-0000-0000-000037530000}"/>
    <cellStyle name="Standard 4 3 2 6 2 4 7" xfId="21107" xr:uid="{00000000-0005-0000-0000-000038530000}"/>
    <cellStyle name="Standard 4 3 2 6 2 5" xfId="21108" xr:uid="{00000000-0005-0000-0000-000039530000}"/>
    <cellStyle name="Standard 4 3 2 6 2 5 2" xfId="21109" xr:uid="{00000000-0005-0000-0000-00003A530000}"/>
    <cellStyle name="Standard 4 3 2 6 2 5 2 2" xfId="21110" xr:uid="{00000000-0005-0000-0000-00003B530000}"/>
    <cellStyle name="Standard 4 3 2 6 2 5 2 3" xfId="21111" xr:uid="{00000000-0005-0000-0000-00003C530000}"/>
    <cellStyle name="Standard 4 3 2 6 2 5 3" xfId="21112" xr:uid="{00000000-0005-0000-0000-00003D530000}"/>
    <cellStyle name="Standard 4 3 2 6 2 5 3 2" xfId="21113" xr:uid="{00000000-0005-0000-0000-00003E530000}"/>
    <cellStyle name="Standard 4 3 2 6 2 5 3 3" xfId="21114" xr:uid="{00000000-0005-0000-0000-00003F530000}"/>
    <cellStyle name="Standard 4 3 2 6 2 5 4" xfId="21115" xr:uid="{00000000-0005-0000-0000-000040530000}"/>
    <cellStyle name="Standard 4 3 2 6 2 5 4 2" xfId="21116" xr:uid="{00000000-0005-0000-0000-000041530000}"/>
    <cellStyle name="Standard 4 3 2 6 2 5 5" xfId="21117" xr:uid="{00000000-0005-0000-0000-000042530000}"/>
    <cellStyle name="Standard 4 3 2 6 2 5 6" xfId="21118" xr:uid="{00000000-0005-0000-0000-000043530000}"/>
    <cellStyle name="Standard 4 3 2 6 2 6" xfId="21119" xr:uid="{00000000-0005-0000-0000-000044530000}"/>
    <cellStyle name="Standard 4 3 2 6 2 6 2" xfId="21120" xr:uid="{00000000-0005-0000-0000-000045530000}"/>
    <cellStyle name="Standard 4 3 2 6 2 6 3" xfId="21121" xr:uid="{00000000-0005-0000-0000-000046530000}"/>
    <cellStyle name="Standard 4 3 2 6 2 7" xfId="21122" xr:uid="{00000000-0005-0000-0000-000047530000}"/>
    <cellStyle name="Standard 4 3 2 6 2 7 2" xfId="21123" xr:uid="{00000000-0005-0000-0000-000048530000}"/>
    <cellStyle name="Standard 4 3 2 6 2 7 3" xfId="21124" xr:uid="{00000000-0005-0000-0000-000049530000}"/>
    <cellStyle name="Standard 4 3 2 6 2 8" xfId="21125" xr:uid="{00000000-0005-0000-0000-00004A530000}"/>
    <cellStyle name="Standard 4 3 2 6 2 8 2" xfId="21126" xr:uid="{00000000-0005-0000-0000-00004B530000}"/>
    <cellStyle name="Standard 4 3 2 6 2 9" xfId="21127" xr:uid="{00000000-0005-0000-0000-00004C530000}"/>
    <cellStyle name="Standard 4 3 2 6 3" xfId="21128" xr:uid="{00000000-0005-0000-0000-00004D530000}"/>
    <cellStyle name="Standard 4 3 2 6 3 2" xfId="21129" xr:uid="{00000000-0005-0000-0000-00004E530000}"/>
    <cellStyle name="Standard 4 3 2 6 3 2 2" xfId="21130" xr:uid="{00000000-0005-0000-0000-00004F530000}"/>
    <cellStyle name="Standard 4 3 2 6 3 2 2 2" xfId="21131" xr:uid="{00000000-0005-0000-0000-000050530000}"/>
    <cellStyle name="Standard 4 3 2 6 3 2 2 2 2" xfId="21132" xr:uid="{00000000-0005-0000-0000-000051530000}"/>
    <cellStyle name="Standard 4 3 2 6 3 2 2 2 3" xfId="21133" xr:uid="{00000000-0005-0000-0000-000052530000}"/>
    <cellStyle name="Standard 4 3 2 6 3 2 2 3" xfId="21134" xr:uid="{00000000-0005-0000-0000-000053530000}"/>
    <cellStyle name="Standard 4 3 2 6 3 2 2 3 2" xfId="21135" xr:uid="{00000000-0005-0000-0000-000054530000}"/>
    <cellStyle name="Standard 4 3 2 6 3 2 2 3 3" xfId="21136" xr:uid="{00000000-0005-0000-0000-000055530000}"/>
    <cellStyle name="Standard 4 3 2 6 3 2 2 4" xfId="21137" xr:uid="{00000000-0005-0000-0000-000056530000}"/>
    <cellStyle name="Standard 4 3 2 6 3 2 2 4 2" xfId="21138" xr:uid="{00000000-0005-0000-0000-000057530000}"/>
    <cellStyle name="Standard 4 3 2 6 3 2 2 5" xfId="21139" xr:uid="{00000000-0005-0000-0000-000058530000}"/>
    <cellStyle name="Standard 4 3 2 6 3 2 2 6" xfId="21140" xr:uid="{00000000-0005-0000-0000-000059530000}"/>
    <cellStyle name="Standard 4 3 2 6 3 2 3" xfId="21141" xr:uid="{00000000-0005-0000-0000-00005A530000}"/>
    <cellStyle name="Standard 4 3 2 6 3 2 3 2" xfId="21142" xr:uid="{00000000-0005-0000-0000-00005B530000}"/>
    <cellStyle name="Standard 4 3 2 6 3 2 3 3" xfId="21143" xr:uid="{00000000-0005-0000-0000-00005C530000}"/>
    <cellStyle name="Standard 4 3 2 6 3 2 4" xfId="21144" xr:uid="{00000000-0005-0000-0000-00005D530000}"/>
    <cellStyle name="Standard 4 3 2 6 3 2 4 2" xfId="21145" xr:uid="{00000000-0005-0000-0000-00005E530000}"/>
    <cellStyle name="Standard 4 3 2 6 3 2 4 3" xfId="21146" xr:uid="{00000000-0005-0000-0000-00005F530000}"/>
    <cellStyle name="Standard 4 3 2 6 3 2 5" xfId="21147" xr:uid="{00000000-0005-0000-0000-000060530000}"/>
    <cellStyle name="Standard 4 3 2 6 3 2 5 2" xfId="21148" xr:uid="{00000000-0005-0000-0000-000061530000}"/>
    <cellStyle name="Standard 4 3 2 6 3 2 6" xfId="21149" xr:uid="{00000000-0005-0000-0000-000062530000}"/>
    <cellStyle name="Standard 4 3 2 6 3 2 7" xfId="21150" xr:uid="{00000000-0005-0000-0000-000063530000}"/>
    <cellStyle name="Standard 4 3 2 6 3 3" xfId="21151" xr:uid="{00000000-0005-0000-0000-000064530000}"/>
    <cellStyle name="Standard 4 3 2 6 3 3 2" xfId="21152" xr:uid="{00000000-0005-0000-0000-000065530000}"/>
    <cellStyle name="Standard 4 3 2 6 3 3 2 2" xfId="21153" xr:uid="{00000000-0005-0000-0000-000066530000}"/>
    <cellStyle name="Standard 4 3 2 6 3 3 2 3" xfId="21154" xr:uid="{00000000-0005-0000-0000-000067530000}"/>
    <cellStyle name="Standard 4 3 2 6 3 3 3" xfId="21155" xr:uid="{00000000-0005-0000-0000-000068530000}"/>
    <cellStyle name="Standard 4 3 2 6 3 3 3 2" xfId="21156" xr:uid="{00000000-0005-0000-0000-000069530000}"/>
    <cellStyle name="Standard 4 3 2 6 3 3 3 3" xfId="21157" xr:uid="{00000000-0005-0000-0000-00006A530000}"/>
    <cellStyle name="Standard 4 3 2 6 3 3 4" xfId="21158" xr:uid="{00000000-0005-0000-0000-00006B530000}"/>
    <cellStyle name="Standard 4 3 2 6 3 3 4 2" xfId="21159" xr:uid="{00000000-0005-0000-0000-00006C530000}"/>
    <cellStyle name="Standard 4 3 2 6 3 3 5" xfId="21160" xr:uid="{00000000-0005-0000-0000-00006D530000}"/>
    <cellStyle name="Standard 4 3 2 6 3 3 6" xfId="21161" xr:uid="{00000000-0005-0000-0000-00006E530000}"/>
    <cellStyle name="Standard 4 3 2 6 3 4" xfId="21162" xr:uid="{00000000-0005-0000-0000-00006F530000}"/>
    <cellStyle name="Standard 4 3 2 6 3 4 2" xfId="21163" xr:uid="{00000000-0005-0000-0000-000070530000}"/>
    <cellStyle name="Standard 4 3 2 6 3 4 3" xfId="21164" xr:uid="{00000000-0005-0000-0000-000071530000}"/>
    <cellStyle name="Standard 4 3 2 6 3 5" xfId="21165" xr:uid="{00000000-0005-0000-0000-000072530000}"/>
    <cellStyle name="Standard 4 3 2 6 3 5 2" xfId="21166" xr:uid="{00000000-0005-0000-0000-000073530000}"/>
    <cellStyle name="Standard 4 3 2 6 3 5 3" xfId="21167" xr:uid="{00000000-0005-0000-0000-000074530000}"/>
    <cellStyle name="Standard 4 3 2 6 3 6" xfId="21168" xr:uid="{00000000-0005-0000-0000-000075530000}"/>
    <cellStyle name="Standard 4 3 2 6 3 6 2" xfId="21169" xr:uid="{00000000-0005-0000-0000-000076530000}"/>
    <cellStyle name="Standard 4 3 2 6 3 7" xfId="21170" xr:uid="{00000000-0005-0000-0000-000077530000}"/>
    <cellStyle name="Standard 4 3 2 6 3 8" xfId="21171" xr:uid="{00000000-0005-0000-0000-000078530000}"/>
    <cellStyle name="Standard 4 3 2 6 4" xfId="21172" xr:uid="{00000000-0005-0000-0000-000079530000}"/>
    <cellStyle name="Standard 4 3 2 6 4 2" xfId="21173" xr:uid="{00000000-0005-0000-0000-00007A530000}"/>
    <cellStyle name="Standard 4 3 2 6 4 2 2" xfId="21174" xr:uid="{00000000-0005-0000-0000-00007B530000}"/>
    <cellStyle name="Standard 4 3 2 6 4 2 2 2" xfId="21175" xr:uid="{00000000-0005-0000-0000-00007C530000}"/>
    <cellStyle name="Standard 4 3 2 6 4 2 2 2 2" xfId="21176" xr:uid="{00000000-0005-0000-0000-00007D530000}"/>
    <cellStyle name="Standard 4 3 2 6 4 2 2 2 3" xfId="21177" xr:uid="{00000000-0005-0000-0000-00007E530000}"/>
    <cellStyle name="Standard 4 3 2 6 4 2 2 3" xfId="21178" xr:uid="{00000000-0005-0000-0000-00007F530000}"/>
    <cellStyle name="Standard 4 3 2 6 4 2 2 3 2" xfId="21179" xr:uid="{00000000-0005-0000-0000-000080530000}"/>
    <cellStyle name="Standard 4 3 2 6 4 2 2 3 3" xfId="21180" xr:uid="{00000000-0005-0000-0000-000081530000}"/>
    <cellStyle name="Standard 4 3 2 6 4 2 2 4" xfId="21181" xr:uid="{00000000-0005-0000-0000-000082530000}"/>
    <cellStyle name="Standard 4 3 2 6 4 2 2 4 2" xfId="21182" xr:uid="{00000000-0005-0000-0000-000083530000}"/>
    <cellStyle name="Standard 4 3 2 6 4 2 2 5" xfId="21183" xr:uid="{00000000-0005-0000-0000-000084530000}"/>
    <cellStyle name="Standard 4 3 2 6 4 2 2 6" xfId="21184" xr:uid="{00000000-0005-0000-0000-000085530000}"/>
    <cellStyle name="Standard 4 3 2 6 4 2 3" xfId="21185" xr:uid="{00000000-0005-0000-0000-000086530000}"/>
    <cellStyle name="Standard 4 3 2 6 4 2 3 2" xfId="21186" xr:uid="{00000000-0005-0000-0000-000087530000}"/>
    <cellStyle name="Standard 4 3 2 6 4 2 3 3" xfId="21187" xr:uid="{00000000-0005-0000-0000-000088530000}"/>
    <cellStyle name="Standard 4 3 2 6 4 2 4" xfId="21188" xr:uid="{00000000-0005-0000-0000-000089530000}"/>
    <cellStyle name="Standard 4 3 2 6 4 2 4 2" xfId="21189" xr:uid="{00000000-0005-0000-0000-00008A530000}"/>
    <cellStyle name="Standard 4 3 2 6 4 2 4 3" xfId="21190" xr:uid="{00000000-0005-0000-0000-00008B530000}"/>
    <cellStyle name="Standard 4 3 2 6 4 2 5" xfId="21191" xr:uid="{00000000-0005-0000-0000-00008C530000}"/>
    <cellStyle name="Standard 4 3 2 6 4 2 5 2" xfId="21192" xr:uid="{00000000-0005-0000-0000-00008D530000}"/>
    <cellStyle name="Standard 4 3 2 6 4 2 6" xfId="21193" xr:uid="{00000000-0005-0000-0000-00008E530000}"/>
    <cellStyle name="Standard 4 3 2 6 4 2 7" xfId="21194" xr:uid="{00000000-0005-0000-0000-00008F530000}"/>
    <cellStyle name="Standard 4 3 2 6 4 3" xfId="21195" xr:uid="{00000000-0005-0000-0000-000090530000}"/>
    <cellStyle name="Standard 4 3 2 6 4 3 2" xfId="21196" xr:uid="{00000000-0005-0000-0000-000091530000}"/>
    <cellStyle name="Standard 4 3 2 6 4 3 2 2" xfId="21197" xr:uid="{00000000-0005-0000-0000-000092530000}"/>
    <cellStyle name="Standard 4 3 2 6 4 3 2 3" xfId="21198" xr:uid="{00000000-0005-0000-0000-000093530000}"/>
    <cellStyle name="Standard 4 3 2 6 4 3 3" xfId="21199" xr:uid="{00000000-0005-0000-0000-000094530000}"/>
    <cellStyle name="Standard 4 3 2 6 4 3 3 2" xfId="21200" xr:uid="{00000000-0005-0000-0000-000095530000}"/>
    <cellStyle name="Standard 4 3 2 6 4 3 3 3" xfId="21201" xr:uid="{00000000-0005-0000-0000-000096530000}"/>
    <cellStyle name="Standard 4 3 2 6 4 3 4" xfId="21202" xr:uid="{00000000-0005-0000-0000-000097530000}"/>
    <cellStyle name="Standard 4 3 2 6 4 3 4 2" xfId="21203" xr:uid="{00000000-0005-0000-0000-000098530000}"/>
    <cellStyle name="Standard 4 3 2 6 4 3 5" xfId="21204" xr:uid="{00000000-0005-0000-0000-000099530000}"/>
    <cellStyle name="Standard 4 3 2 6 4 3 6" xfId="21205" xr:uid="{00000000-0005-0000-0000-00009A530000}"/>
    <cellStyle name="Standard 4 3 2 6 4 4" xfId="21206" xr:uid="{00000000-0005-0000-0000-00009B530000}"/>
    <cellStyle name="Standard 4 3 2 6 4 4 2" xfId="21207" xr:uid="{00000000-0005-0000-0000-00009C530000}"/>
    <cellStyle name="Standard 4 3 2 6 4 4 3" xfId="21208" xr:uid="{00000000-0005-0000-0000-00009D530000}"/>
    <cellStyle name="Standard 4 3 2 6 4 5" xfId="21209" xr:uid="{00000000-0005-0000-0000-00009E530000}"/>
    <cellStyle name="Standard 4 3 2 6 4 5 2" xfId="21210" xr:uid="{00000000-0005-0000-0000-00009F530000}"/>
    <cellStyle name="Standard 4 3 2 6 4 5 3" xfId="21211" xr:uid="{00000000-0005-0000-0000-0000A0530000}"/>
    <cellStyle name="Standard 4 3 2 6 4 6" xfId="21212" xr:uid="{00000000-0005-0000-0000-0000A1530000}"/>
    <cellStyle name="Standard 4 3 2 6 4 6 2" xfId="21213" xr:uid="{00000000-0005-0000-0000-0000A2530000}"/>
    <cellStyle name="Standard 4 3 2 6 4 7" xfId="21214" xr:uid="{00000000-0005-0000-0000-0000A3530000}"/>
    <cellStyle name="Standard 4 3 2 6 4 8" xfId="21215" xr:uid="{00000000-0005-0000-0000-0000A4530000}"/>
    <cellStyle name="Standard 4 3 2 6 5" xfId="21216" xr:uid="{00000000-0005-0000-0000-0000A5530000}"/>
    <cellStyle name="Standard 4 3 2 6 5 2" xfId="21217" xr:uid="{00000000-0005-0000-0000-0000A6530000}"/>
    <cellStyle name="Standard 4 3 2 6 5 2 2" xfId="21218" xr:uid="{00000000-0005-0000-0000-0000A7530000}"/>
    <cellStyle name="Standard 4 3 2 6 5 2 2 2" xfId="21219" xr:uid="{00000000-0005-0000-0000-0000A8530000}"/>
    <cellStyle name="Standard 4 3 2 6 5 2 2 3" xfId="21220" xr:uid="{00000000-0005-0000-0000-0000A9530000}"/>
    <cellStyle name="Standard 4 3 2 6 5 2 3" xfId="21221" xr:uid="{00000000-0005-0000-0000-0000AA530000}"/>
    <cellStyle name="Standard 4 3 2 6 5 2 3 2" xfId="21222" xr:uid="{00000000-0005-0000-0000-0000AB530000}"/>
    <cellStyle name="Standard 4 3 2 6 5 2 3 3" xfId="21223" xr:uid="{00000000-0005-0000-0000-0000AC530000}"/>
    <cellStyle name="Standard 4 3 2 6 5 2 4" xfId="21224" xr:uid="{00000000-0005-0000-0000-0000AD530000}"/>
    <cellStyle name="Standard 4 3 2 6 5 2 4 2" xfId="21225" xr:uid="{00000000-0005-0000-0000-0000AE530000}"/>
    <cellStyle name="Standard 4 3 2 6 5 2 5" xfId="21226" xr:uid="{00000000-0005-0000-0000-0000AF530000}"/>
    <cellStyle name="Standard 4 3 2 6 5 2 6" xfId="21227" xr:uid="{00000000-0005-0000-0000-0000B0530000}"/>
    <cellStyle name="Standard 4 3 2 6 5 3" xfId="21228" xr:uid="{00000000-0005-0000-0000-0000B1530000}"/>
    <cellStyle name="Standard 4 3 2 6 5 3 2" xfId="21229" xr:uid="{00000000-0005-0000-0000-0000B2530000}"/>
    <cellStyle name="Standard 4 3 2 6 5 3 3" xfId="21230" xr:uid="{00000000-0005-0000-0000-0000B3530000}"/>
    <cellStyle name="Standard 4 3 2 6 5 4" xfId="21231" xr:uid="{00000000-0005-0000-0000-0000B4530000}"/>
    <cellStyle name="Standard 4 3 2 6 5 4 2" xfId="21232" xr:uid="{00000000-0005-0000-0000-0000B5530000}"/>
    <cellStyle name="Standard 4 3 2 6 5 4 3" xfId="21233" xr:uid="{00000000-0005-0000-0000-0000B6530000}"/>
    <cellStyle name="Standard 4 3 2 6 5 5" xfId="21234" xr:uid="{00000000-0005-0000-0000-0000B7530000}"/>
    <cellStyle name="Standard 4 3 2 6 5 5 2" xfId="21235" xr:uid="{00000000-0005-0000-0000-0000B8530000}"/>
    <cellStyle name="Standard 4 3 2 6 5 6" xfId="21236" xr:uid="{00000000-0005-0000-0000-0000B9530000}"/>
    <cellStyle name="Standard 4 3 2 6 5 7" xfId="21237" xr:uid="{00000000-0005-0000-0000-0000BA530000}"/>
    <cellStyle name="Standard 4 3 2 6 6" xfId="21238" xr:uid="{00000000-0005-0000-0000-0000BB530000}"/>
    <cellStyle name="Standard 4 3 2 6 6 2" xfId="21239" xr:uid="{00000000-0005-0000-0000-0000BC530000}"/>
    <cellStyle name="Standard 4 3 2 6 6 2 2" xfId="21240" xr:uid="{00000000-0005-0000-0000-0000BD530000}"/>
    <cellStyle name="Standard 4 3 2 6 6 2 3" xfId="21241" xr:uid="{00000000-0005-0000-0000-0000BE530000}"/>
    <cellStyle name="Standard 4 3 2 6 6 3" xfId="21242" xr:uid="{00000000-0005-0000-0000-0000BF530000}"/>
    <cellStyle name="Standard 4 3 2 6 6 3 2" xfId="21243" xr:uid="{00000000-0005-0000-0000-0000C0530000}"/>
    <cellStyle name="Standard 4 3 2 6 6 3 3" xfId="21244" xr:uid="{00000000-0005-0000-0000-0000C1530000}"/>
    <cellStyle name="Standard 4 3 2 6 6 4" xfId="21245" xr:uid="{00000000-0005-0000-0000-0000C2530000}"/>
    <cellStyle name="Standard 4 3 2 6 6 4 2" xfId="21246" xr:uid="{00000000-0005-0000-0000-0000C3530000}"/>
    <cellStyle name="Standard 4 3 2 6 6 5" xfId="21247" xr:uid="{00000000-0005-0000-0000-0000C4530000}"/>
    <cellStyle name="Standard 4 3 2 6 6 6" xfId="21248" xr:uid="{00000000-0005-0000-0000-0000C5530000}"/>
    <cellStyle name="Standard 4 3 2 6 7" xfId="21249" xr:uid="{00000000-0005-0000-0000-0000C6530000}"/>
    <cellStyle name="Standard 4 3 2 6 7 2" xfId="21250" xr:uid="{00000000-0005-0000-0000-0000C7530000}"/>
    <cellStyle name="Standard 4 3 2 6 7 3" xfId="21251" xr:uid="{00000000-0005-0000-0000-0000C8530000}"/>
    <cellStyle name="Standard 4 3 2 6 8" xfId="21252" xr:uid="{00000000-0005-0000-0000-0000C9530000}"/>
    <cellStyle name="Standard 4 3 2 6 8 2" xfId="21253" xr:uid="{00000000-0005-0000-0000-0000CA530000}"/>
    <cellStyle name="Standard 4 3 2 6 8 3" xfId="21254" xr:uid="{00000000-0005-0000-0000-0000CB530000}"/>
    <cellStyle name="Standard 4 3 2 6 9" xfId="21255" xr:uid="{00000000-0005-0000-0000-0000CC530000}"/>
    <cellStyle name="Standard 4 3 2 6 9 2" xfId="21256" xr:uid="{00000000-0005-0000-0000-0000CD530000}"/>
    <cellStyle name="Standard 4 3 2 7" xfId="21257" xr:uid="{00000000-0005-0000-0000-0000CE530000}"/>
    <cellStyle name="Standard 4 3 2 7 10" xfId="21258" xr:uid="{00000000-0005-0000-0000-0000CF530000}"/>
    <cellStyle name="Standard 4 3 2 7 2" xfId="21259" xr:uid="{00000000-0005-0000-0000-0000D0530000}"/>
    <cellStyle name="Standard 4 3 2 7 2 2" xfId="21260" xr:uid="{00000000-0005-0000-0000-0000D1530000}"/>
    <cellStyle name="Standard 4 3 2 7 2 2 2" xfId="21261" xr:uid="{00000000-0005-0000-0000-0000D2530000}"/>
    <cellStyle name="Standard 4 3 2 7 2 2 2 2" xfId="21262" xr:uid="{00000000-0005-0000-0000-0000D3530000}"/>
    <cellStyle name="Standard 4 3 2 7 2 2 2 2 2" xfId="21263" xr:uid="{00000000-0005-0000-0000-0000D4530000}"/>
    <cellStyle name="Standard 4 3 2 7 2 2 2 2 3" xfId="21264" xr:uid="{00000000-0005-0000-0000-0000D5530000}"/>
    <cellStyle name="Standard 4 3 2 7 2 2 2 3" xfId="21265" xr:uid="{00000000-0005-0000-0000-0000D6530000}"/>
    <cellStyle name="Standard 4 3 2 7 2 2 2 3 2" xfId="21266" xr:uid="{00000000-0005-0000-0000-0000D7530000}"/>
    <cellStyle name="Standard 4 3 2 7 2 2 2 3 3" xfId="21267" xr:uid="{00000000-0005-0000-0000-0000D8530000}"/>
    <cellStyle name="Standard 4 3 2 7 2 2 2 4" xfId="21268" xr:uid="{00000000-0005-0000-0000-0000D9530000}"/>
    <cellStyle name="Standard 4 3 2 7 2 2 2 4 2" xfId="21269" xr:uid="{00000000-0005-0000-0000-0000DA530000}"/>
    <cellStyle name="Standard 4 3 2 7 2 2 2 5" xfId="21270" xr:uid="{00000000-0005-0000-0000-0000DB530000}"/>
    <cellStyle name="Standard 4 3 2 7 2 2 2 6" xfId="21271" xr:uid="{00000000-0005-0000-0000-0000DC530000}"/>
    <cellStyle name="Standard 4 3 2 7 2 2 3" xfId="21272" xr:uid="{00000000-0005-0000-0000-0000DD530000}"/>
    <cellStyle name="Standard 4 3 2 7 2 2 3 2" xfId="21273" xr:uid="{00000000-0005-0000-0000-0000DE530000}"/>
    <cellStyle name="Standard 4 3 2 7 2 2 3 3" xfId="21274" xr:uid="{00000000-0005-0000-0000-0000DF530000}"/>
    <cellStyle name="Standard 4 3 2 7 2 2 4" xfId="21275" xr:uid="{00000000-0005-0000-0000-0000E0530000}"/>
    <cellStyle name="Standard 4 3 2 7 2 2 4 2" xfId="21276" xr:uid="{00000000-0005-0000-0000-0000E1530000}"/>
    <cellStyle name="Standard 4 3 2 7 2 2 4 3" xfId="21277" xr:uid="{00000000-0005-0000-0000-0000E2530000}"/>
    <cellStyle name="Standard 4 3 2 7 2 2 5" xfId="21278" xr:uid="{00000000-0005-0000-0000-0000E3530000}"/>
    <cellStyle name="Standard 4 3 2 7 2 2 5 2" xfId="21279" xr:uid="{00000000-0005-0000-0000-0000E4530000}"/>
    <cellStyle name="Standard 4 3 2 7 2 2 6" xfId="21280" xr:uid="{00000000-0005-0000-0000-0000E5530000}"/>
    <cellStyle name="Standard 4 3 2 7 2 2 7" xfId="21281" xr:uid="{00000000-0005-0000-0000-0000E6530000}"/>
    <cellStyle name="Standard 4 3 2 7 2 3" xfId="21282" xr:uid="{00000000-0005-0000-0000-0000E7530000}"/>
    <cellStyle name="Standard 4 3 2 7 2 3 2" xfId="21283" xr:uid="{00000000-0005-0000-0000-0000E8530000}"/>
    <cellStyle name="Standard 4 3 2 7 2 3 2 2" xfId="21284" xr:uid="{00000000-0005-0000-0000-0000E9530000}"/>
    <cellStyle name="Standard 4 3 2 7 2 3 2 3" xfId="21285" xr:uid="{00000000-0005-0000-0000-0000EA530000}"/>
    <cellStyle name="Standard 4 3 2 7 2 3 3" xfId="21286" xr:uid="{00000000-0005-0000-0000-0000EB530000}"/>
    <cellStyle name="Standard 4 3 2 7 2 3 3 2" xfId="21287" xr:uid="{00000000-0005-0000-0000-0000EC530000}"/>
    <cellStyle name="Standard 4 3 2 7 2 3 3 3" xfId="21288" xr:uid="{00000000-0005-0000-0000-0000ED530000}"/>
    <cellStyle name="Standard 4 3 2 7 2 3 4" xfId="21289" xr:uid="{00000000-0005-0000-0000-0000EE530000}"/>
    <cellStyle name="Standard 4 3 2 7 2 3 4 2" xfId="21290" xr:uid="{00000000-0005-0000-0000-0000EF530000}"/>
    <cellStyle name="Standard 4 3 2 7 2 3 5" xfId="21291" xr:uid="{00000000-0005-0000-0000-0000F0530000}"/>
    <cellStyle name="Standard 4 3 2 7 2 3 6" xfId="21292" xr:uid="{00000000-0005-0000-0000-0000F1530000}"/>
    <cellStyle name="Standard 4 3 2 7 2 4" xfId="21293" xr:uid="{00000000-0005-0000-0000-0000F2530000}"/>
    <cellStyle name="Standard 4 3 2 7 2 4 2" xfId="21294" xr:uid="{00000000-0005-0000-0000-0000F3530000}"/>
    <cellStyle name="Standard 4 3 2 7 2 4 3" xfId="21295" xr:uid="{00000000-0005-0000-0000-0000F4530000}"/>
    <cellStyle name="Standard 4 3 2 7 2 5" xfId="21296" xr:uid="{00000000-0005-0000-0000-0000F5530000}"/>
    <cellStyle name="Standard 4 3 2 7 2 5 2" xfId="21297" xr:uid="{00000000-0005-0000-0000-0000F6530000}"/>
    <cellStyle name="Standard 4 3 2 7 2 5 3" xfId="21298" xr:uid="{00000000-0005-0000-0000-0000F7530000}"/>
    <cellStyle name="Standard 4 3 2 7 2 6" xfId="21299" xr:uid="{00000000-0005-0000-0000-0000F8530000}"/>
    <cellStyle name="Standard 4 3 2 7 2 6 2" xfId="21300" xr:uid="{00000000-0005-0000-0000-0000F9530000}"/>
    <cellStyle name="Standard 4 3 2 7 2 7" xfId="21301" xr:uid="{00000000-0005-0000-0000-0000FA530000}"/>
    <cellStyle name="Standard 4 3 2 7 2 8" xfId="21302" xr:uid="{00000000-0005-0000-0000-0000FB530000}"/>
    <cellStyle name="Standard 4 3 2 7 3" xfId="21303" xr:uid="{00000000-0005-0000-0000-0000FC530000}"/>
    <cellStyle name="Standard 4 3 2 7 3 2" xfId="21304" xr:uid="{00000000-0005-0000-0000-0000FD530000}"/>
    <cellStyle name="Standard 4 3 2 7 3 2 2" xfId="21305" xr:uid="{00000000-0005-0000-0000-0000FE530000}"/>
    <cellStyle name="Standard 4 3 2 7 3 2 2 2" xfId="21306" xr:uid="{00000000-0005-0000-0000-0000FF530000}"/>
    <cellStyle name="Standard 4 3 2 7 3 2 2 2 2" xfId="21307" xr:uid="{00000000-0005-0000-0000-000000540000}"/>
    <cellStyle name="Standard 4 3 2 7 3 2 2 2 3" xfId="21308" xr:uid="{00000000-0005-0000-0000-000001540000}"/>
    <cellStyle name="Standard 4 3 2 7 3 2 2 3" xfId="21309" xr:uid="{00000000-0005-0000-0000-000002540000}"/>
    <cellStyle name="Standard 4 3 2 7 3 2 2 3 2" xfId="21310" xr:uid="{00000000-0005-0000-0000-000003540000}"/>
    <cellStyle name="Standard 4 3 2 7 3 2 2 3 3" xfId="21311" xr:uid="{00000000-0005-0000-0000-000004540000}"/>
    <cellStyle name="Standard 4 3 2 7 3 2 2 4" xfId="21312" xr:uid="{00000000-0005-0000-0000-000005540000}"/>
    <cellStyle name="Standard 4 3 2 7 3 2 2 4 2" xfId="21313" xr:uid="{00000000-0005-0000-0000-000006540000}"/>
    <cellStyle name="Standard 4 3 2 7 3 2 2 5" xfId="21314" xr:uid="{00000000-0005-0000-0000-000007540000}"/>
    <cellStyle name="Standard 4 3 2 7 3 2 2 6" xfId="21315" xr:uid="{00000000-0005-0000-0000-000008540000}"/>
    <cellStyle name="Standard 4 3 2 7 3 2 3" xfId="21316" xr:uid="{00000000-0005-0000-0000-000009540000}"/>
    <cellStyle name="Standard 4 3 2 7 3 2 3 2" xfId="21317" xr:uid="{00000000-0005-0000-0000-00000A540000}"/>
    <cellStyle name="Standard 4 3 2 7 3 2 3 3" xfId="21318" xr:uid="{00000000-0005-0000-0000-00000B540000}"/>
    <cellStyle name="Standard 4 3 2 7 3 2 4" xfId="21319" xr:uid="{00000000-0005-0000-0000-00000C540000}"/>
    <cellStyle name="Standard 4 3 2 7 3 2 4 2" xfId="21320" xr:uid="{00000000-0005-0000-0000-00000D540000}"/>
    <cellStyle name="Standard 4 3 2 7 3 2 4 3" xfId="21321" xr:uid="{00000000-0005-0000-0000-00000E540000}"/>
    <cellStyle name="Standard 4 3 2 7 3 2 5" xfId="21322" xr:uid="{00000000-0005-0000-0000-00000F540000}"/>
    <cellStyle name="Standard 4 3 2 7 3 2 5 2" xfId="21323" xr:uid="{00000000-0005-0000-0000-000010540000}"/>
    <cellStyle name="Standard 4 3 2 7 3 2 6" xfId="21324" xr:uid="{00000000-0005-0000-0000-000011540000}"/>
    <cellStyle name="Standard 4 3 2 7 3 2 7" xfId="21325" xr:uid="{00000000-0005-0000-0000-000012540000}"/>
    <cellStyle name="Standard 4 3 2 7 3 3" xfId="21326" xr:uid="{00000000-0005-0000-0000-000013540000}"/>
    <cellStyle name="Standard 4 3 2 7 3 3 2" xfId="21327" xr:uid="{00000000-0005-0000-0000-000014540000}"/>
    <cellStyle name="Standard 4 3 2 7 3 3 2 2" xfId="21328" xr:uid="{00000000-0005-0000-0000-000015540000}"/>
    <cellStyle name="Standard 4 3 2 7 3 3 2 3" xfId="21329" xr:uid="{00000000-0005-0000-0000-000016540000}"/>
    <cellStyle name="Standard 4 3 2 7 3 3 3" xfId="21330" xr:uid="{00000000-0005-0000-0000-000017540000}"/>
    <cellStyle name="Standard 4 3 2 7 3 3 3 2" xfId="21331" xr:uid="{00000000-0005-0000-0000-000018540000}"/>
    <cellStyle name="Standard 4 3 2 7 3 3 3 3" xfId="21332" xr:uid="{00000000-0005-0000-0000-000019540000}"/>
    <cellStyle name="Standard 4 3 2 7 3 3 4" xfId="21333" xr:uid="{00000000-0005-0000-0000-00001A540000}"/>
    <cellStyle name="Standard 4 3 2 7 3 3 4 2" xfId="21334" xr:uid="{00000000-0005-0000-0000-00001B540000}"/>
    <cellStyle name="Standard 4 3 2 7 3 3 5" xfId="21335" xr:uid="{00000000-0005-0000-0000-00001C540000}"/>
    <cellStyle name="Standard 4 3 2 7 3 3 6" xfId="21336" xr:uid="{00000000-0005-0000-0000-00001D540000}"/>
    <cellStyle name="Standard 4 3 2 7 3 4" xfId="21337" xr:uid="{00000000-0005-0000-0000-00001E540000}"/>
    <cellStyle name="Standard 4 3 2 7 3 4 2" xfId="21338" xr:uid="{00000000-0005-0000-0000-00001F540000}"/>
    <cellStyle name="Standard 4 3 2 7 3 4 3" xfId="21339" xr:uid="{00000000-0005-0000-0000-000020540000}"/>
    <cellStyle name="Standard 4 3 2 7 3 5" xfId="21340" xr:uid="{00000000-0005-0000-0000-000021540000}"/>
    <cellStyle name="Standard 4 3 2 7 3 5 2" xfId="21341" xr:uid="{00000000-0005-0000-0000-000022540000}"/>
    <cellStyle name="Standard 4 3 2 7 3 5 3" xfId="21342" xr:uid="{00000000-0005-0000-0000-000023540000}"/>
    <cellStyle name="Standard 4 3 2 7 3 6" xfId="21343" xr:uid="{00000000-0005-0000-0000-000024540000}"/>
    <cellStyle name="Standard 4 3 2 7 3 6 2" xfId="21344" xr:uid="{00000000-0005-0000-0000-000025540000}"/>
    <cellStyle name="Standard 4 3 2 7 3 7" xfId="21345" xr:uid="{00000000-0005-0000-0000-000026540000}"/>
    <cellStyle name="Standard 4 3 2 7 3 8" xfId="21346" xr:uid="{00000000-0005-0000-0000-000027540000}"/>
    <cellStyle name="Standard 4 3 2 7 4" xfId="21347" xr:uid="{00000000-0005-0000-0000-000028540000}"/>
    <cellStyle name="Standard 4 3 2 7 4 2" xfId="21348" xr:uid="{00000000-0005-0000-0000-000029540000}"/>
    <cellStyle name="Standard 4 3 2 7 4 2 2" xfId="21349" xr:uid="{00000000-0005-0000-0000-00002A540000}"/>
    <cellStyle name="Standard 4 3 2 7 4 2 2 2" xfId="21350" xr:uid="{00000000-0005-0000-0000-00002B540000}"/>
    <cellStyle name="Standard 4 3 2 7 4 2 2 3" xfId="21351" xr:uid="{00000000-0005-0000-0000-00002C540000}"/>
    <cellStyle name="Standard 4 3 2 7 4 2 3" xfId="21352" xr:uid="{00000000-0005-0000-0000-00002D540000}"/>
    <cellStyle name="Standard 4 3 2 7 4 2 3 2" xfId="21353" xr:uid="{00000000-0005-0000-0000-00002E540000}"/>
    <cellStyle name="Standard 4 3 2 7 4 2 3 3" xfId="21354" xr:uid="{00000000-0005-0000-0000-00002F540000}"/>
    <cellStyle name="Standard 4 3 2 7 4 2 4" xfId="21355" xr:uid="{00000000-0005-0000-0000-000030540000}"/>
    <cellStyle name="Standard 4 3 2 7 4 2 4 2" xfId="21356" xr:uid="{00000000-0005-0000-0000-000031540000}"/>
    <cellStyle name="Standard 4 3 2 7 4 2 5" xfId="21357" xr:uid="{00000000-0005-0000-0000-000032540000}"/>
    <cellStyle name="Standard 4 3 2 7 4 2 6" xfId="21358" xr:uid="{00000000-0005-0000-0000-000033540000}"/>
    <cellStyle name="Standard 4 3 2 7 4 3" xfId="21359" xr:uid="{00000000-0005-0000-0000-000034540000}"/>
    <cellStyle name="Standard 4 3 2 7 4 3 2" xfId="21360" xr:uid="{00000000-0005-0000-0000-000035540000}"/>
    <cellStyle name="Standard 4 3 2 7 4 3 3" xfId="21361" xr:uid="{00000000-0005-0000-0000-000036540000}"/>
    <cellStyle name="Standard 4 3 2 7 4 4" xfId="21362" xr:uid="{00000000-0005-0000-0000-000037540000}"/>
    <cellStyle name="Standard 4 3 2 7 4 4 2" xfId="21363" xr:uid="{00000000-0005-0000-0000-000038540000}"/>
    <cellStyle name="Standard 4 3 2 7 4 4 3" xfId="21364" xr:uid="{00000000-0005-0000-0000-000039540000}"/>
    <cellStyle name="Standard 4 3 2 7 4 5" xfId="21365" xr:uid="{00000000-0005-0000-0000-00003A540000}"/>
    <cellStyle name="Standard 4 3 2 7 4 5 2" xfId="21366" xr:uid="{00000000-0005-0000-0000-00003B540000}"/>
    <cellStyle name="Standard 4 3 2 7 4 6" xfId="21367" xr:uid="{00000000-0005-0000-0000-00003C540000}"/>
    <cellStyle name="Standard 4 3 2 7 4 7" xfId="21368" xr:uid="{00000000-0005-0000-0000-00003D540000}"/>
    <cellStyle name="Standard 4 3 2 7 5" xfId="21369" xr:uid="{00000000-0005-0000-0000-00003E540000}"/>
    <cellStyle name="Standard 4 3 2 7 5 2" xfId="21370" xr:uid="{00000000-0005-0000-0000-00003F540000}"/>
    <cellStyle name="Standard 4 3 2 7 5 2 2" xfId="21371" xr:uid="{00000000-0005-0000-0000-000040540000}"/>
    <cellStyle name="Standard 4 3 2 7 5 2 3" xfId="21372" xr:uid="{00000000-0005-0000-0000-000041540000}"/>
    <cellStyle name="Standard 4 3 2 7 5 3" xfId="21373" xr:uid="{00000000-0005-0000-0000-000042540000}"/>
    <cellStyle name="Standard 4 3 2 7 5 3 2" xfId="21374" xr:uid="{00000000-0005-0000-0000-000043540000}"/>
    <cellStyle name="Standard 4 3 2 7 5 3 3" xfId="21375" xr:uid="{00000000-0005-0000-0000-000044540000}"/>
    <cellStyle name="Standard 4 3 2 7 5 4" xfId="21376" xr:uid="{00000000-0005-0000-0000-000045540000}"/>
    <cellStyle name="Standard 4 3 2 7 5 4 2" xfId="21377" xr:uid="{00000000-0005-0000-0000-000046540000}"/>
    <cellStyle name="Standard 4 3 2 7 5 5" xfId="21378" xr:uid="{00000000-0005-0000-0000-000047540000}"/>
    <cellStyle name="Standard 4 3 2 7 5 6" xfId="21379" xr:uid="{00000000-0005-0000-0000-000048540000}"/>
    <cellStyle name="Standard 4 3 2 7 6" xfId="21380" xr:uid="{00000000-0005-0000-0000-000049540000}"/>
    <cellStyle name="Standard 4 3 2 7 6 2" xfId="21381" xr:uid="{00000000-0005-0000-0000-00004A540000}"/>
    <cellStyle name="Standard 4 3 2 7 6 3" xfId="21382" xr:uid="{00000000-0005-0000-0000-00004B540000}"/>
    <cellStyle name="Standard 4 3 2 7 7" xfId="21383" xr:uid="{00000000-0005-0000-0000-00004C540000}"/>
    <cellStyle name="Standard 4 3 2 7 7 2" xfId="21384" xr:uid="{00000000-0005-0000-0000-00004D540000}"/>
    <cellStyle name="Standard 4 3 2 7 7 3" xfId="21385" xr:uid="{00000000-0005-0000-0000-00004E540000}"/>
    <cellStyle name="Standard 4 3 2 7 8" xfId="21386" xr:uid="{00000000-0005-0000-0000-00004F540000}"/>
    <cellStyle name="Standard 4 3 2 7 8 2" xfId="21387" xr:uid="{00000000-0005-0000-0000-000050540000}"/>
    <cellStyle name="Standard 4 3 2 7 9" xfId="21388" xr:uid="{00000000-0005-0000-0000-000051540000}"/>
    <cellStyle name="Standard 4 3 2 8" xfId="21389" xr:uid="{00000000-0005-0000-0000-000052540000}"/>
    <cellStyle name="Standard 4 3 2 8 2" xfId="21390" xr:uid="{00000000-0005-0000-0000-000053540000}"/>
    <cellStyle name="Standard 4 3 2 8 2 2" xfId="21391" xr:uid="{00000000-0005-0000-0000-000054540000}"/>
    <cellStyle name="Standard 4 3 2 8 2 2 2" xfId="21392" xr:uid="{00000000-0005-0000-0000-000055540000}"/>
    <cellStyle name="Standard 4 3 2 8 2 2 2 2" xfId="21393" xr:uid="{00000000-0005-0000-0000-000056540000}"/>
    <cellStyle name="Standard 4 3 2 8 2 2 2 2 2" xfId="21394" xr:uid="{00000000-0005-0000-0000-000057540000}"/>
    <cellStyle name="Standard 4 3 2 8 2 2 2 2 3" xfId="21395" xr:uid="{00000000-0005-0000-0000-000058540000}"/>
    <cellStyle name="Standard 4 3 2 8 2 2 2 3" xfId="21396" xr:uid="{00000000-0005-0000-0000-000059540000}"/>
    <cellStyle name="Standard 4 3 2 8 2 2 2 3 2" xfId="21397" xr:uid="{00000000-0005-0000-0000-00005A540000}"/>
    <cellStyle name="Standard 4 3 2 8 2 2 2 3 3" xfId="21398" xr:uid="{00000000-0005-0000-0000-00005B540000}"/>
    <cellStyle name="Standard 4 3 2 8 2 2 2 4" xfId="21399" xr:uid="{00000000-0005-0000-0000-00005C540000}"/>
    <cellStyle name="Standard 4 3 2 8 2 2 2 4 2" xfId="21400" xr:uid="{00000000-0005-0000-0000-00005D540000}"/>
    <cellStyle name="Standard 4 3 2 8 2 2 2 5" xfId="21401" xr:uid="{00000000-0005-0000-0000-00005E540000}"/>
    <cellStyle name="Standard 4 3 2 8 2 2 2 6" xfId="21402" xr:uid="{00000000-0005-0000-0000-00005F540000}"/>
    <cellStyle name="Standard 4 3 2 8 2 2 3" xfId="21403" xr:uid="{00000000-0005-0000-0000-000060540000}"/>
    <cellStyle name="Standard 4 3 2 8 2 2 3 2" xfId="21404" xr:uid="{00000000-0005-0000-0000-000061540000}"/>
    <cellStyle name="Standard 4 3 2 8 2 2 3 3" xfId="21405" xr:uid="{00000000-0005-0000-0000-000062540000}"/>
    <cellStyle name="Standard 4 3 2 8 2 2 4" xfId="21406" xr:uid="{00000000-0005-0000-0000-000063540000}"/>
    <cellStyle name="Standard 4 3 2 8 2 2 4 2" xfId="21407" xr:uid="{00000000-0005-0000-0000-000064540000}"/>
    <cellStyle name="Standard 4 3 2 8 2 2 4 3" xfId="21408" xr:uid="{00000000-0005-0000-0000-000065540000}"/>
    <cellStyle name="Standard 4 3 2 8 2 2 5" xfId="21409" xr:uid="{00000000-0005-0000-0000-000066540000}"/>
    <cellStyle name="Standard 4 3 2 8 2 2 5 2" xfId="21410" xr:uid="{00000000-0005-0000-0000-000067540000}"/>
    <cellStyle name="Standard 4 3 2 8 2 2 6" xfId="21411" xr:uid="{00000000-0005-0000-0000-000068540000}"/>
    <cellStyle name="Standard 4 3 2 8 2 2 7" xfId="21412" xr:uid="{00000000-0005-0000-0000-000069540000}"/>
    <cellStyle name="Standard 4 3 2 8 2 3" xfId="21413" xr:uid="{00000000-0005-0000-0000-00006A540000}"/>
    <cellStyle name="Standard 4 3 2 8 2 3 2" xfId="21414" xr:uid="{00000000-0005-0000-0000-00006B540000}"/>
    <cellStyle name="Standard 4 3 2 8 2 3 2 2" xfId="21415" xr:uid="{00000000-0005-0000-0000-00006C540000}"/>
    <cellStyle name="Standard 4 3 2 8 2 3 2 3" xfId="21416" xr:uid="{00000000-0005-0000-0000-00006D540000}"/>
    <cellStyle name="Standard 4 3 2 8 2 3 3" xfId="21417" xr:uid="{00000000-0005-0000-0000-00006E540000}"/>
    <cellStyle name="Standard 4 3 2 8 2 3 3 2" xfId="21418" xr:uid="{00000000-0005-0000-0000-00006F540000}"/>
    <cellStyle name="Standard 4 3 2 8 2 3 3 3" xfId="21419" xr:uid="{00000000-0005-0000-0000-000070540000}"/>
    <cellStyle name="Standard 4 3 2 8 2 3 4" xfId="21420" xr:uid="{00000000-0005-0000-0000-000071540000}"/>
    <cellStyle name="Standard 4 3 2 8 2 3 4 2" xfId="21421" xr:uid="{00000000-0005-0000-0000-000072540000}"/>
    <cellStyle name="Standard 4 3 2 8 2 3 5" xfId="21422" xr:uid="{00000000-0005-0000-0000-000073540000}"/>
    <cellStyle name="Standard 4 3 2 8 2 3 6" xfId="21423" xr:uid="{00000000-0005-0000-0000-000074540000}"/>
    <cellStyle name="Standard 4 3 2 8 2 4" xfId="21424" xr:uid="{00000000-0005-0000-0000-000075540000}"/>
    <cellStyle name="Standard 4 3 2 8 2 4 2" xfId="21425" xr:uid="{00000000-0005-0000-0000-000076540000}"/>
    <cellStyle name="Standard 4 3 2 8 2 4 3" xfId="21426" xr:uid="{00000000-0005-0000-0000-000077540000}"/>
    <cellStyle name="Standard 4 3 2 8 2 5" xfId="21427" xr:uid="{00000000-0005-0000-0000-000078540000}"/>
    <cellStyle name="Standard 4 3 2 8 2 5 2" xfId="21428" xr:uid="{00000000-0005-0000-0000-000079540000}"/>
    <cellStyle name="Standard 4 3 2 8 2 5 3" xfId="21429" xr:uid="{00000000-0005-0000-0000-00007A540000}"/>
    <cellStyle name="Standard 4 3 2 8 2 6" xfId="21430" xr:uid="{00000000-0005-0000-0000-00007B540000}"/>
    <cellStyle name="Standard 4 3 2 8 2 6 2" xfId="21431" xr:uid="{00000000-0005-0000-0000-00007C540000}"/>
    <cellStyle name="Standard 4 3 2 8 2 7" xfId="21432" xr:uid="{00000000-0005-0000-0000-00007D540000}"/>
    <cellStyle name="Standard 4 3 2 8 2 8" xfId="21433" xr:uid="{00000000-0005-0000-0000-00007E540000}"/>
    <cellStyle name="Standard 4 3 2 8 3" xfId="21434" xr:uid="{00000000-0005-0000-0000-00007F540000}"/>
    <cellStyle name="Standard 4 3 2 8 3 2" xfId="21435" xr:uid="{00000000-0005-0000-0000-000080540000}"/>
    <cellStyle name="Standard 4 3 2 8 3 2 2" xfId="21436" xr:uid="{00000000-0005-0000-0000-000081540000}"/>
    <cellStyle name="Standard 4 3 2 8 3 2 2 2" xfId="21437" xr:uid="{00000000-0005-0000-0000-000082540000}"/>
    <cellStyle name="Standard 4 3 2 8 3 2 2 3" xfId="21438" xr:uid="{00000000-0005-0000-0000-000083540000}"/>
    <cellStyle name="Standard 4 3 2 8 3 2 3" xfId="21439" xr:uid="{00000000-0005-0000-0000-000084540000}"/>
    <cellStyle name="Standard 4 3 2 8 3 2 3 2" xfId="21440" xr:uid="{00000000-0005-0000-0000-000085540000}"/>
    <cellStyle name="Standard 4 3 2 8 3 2 3 3" xfId="21441" xr:uid="{00000000-0005-0000-0000-000086540000}"/>
    <cellStyle name="Standard 4 3 2 8 3 2 4" xfId="21442" xr:uid="{00000000-0005-0000-0000-000087540000}"/>
    <cellStyle name="Standard 4 3 2 8 3 2 4 2" xfId="21443" xr:uid="{00000000-0005-0000-0000-000088540000}"/>
    <cellStyle name="Standard 4 3 2 8 3 2 5" xfId="21444" xr:uid="{00000000-0005-0000-0000-000089540000}"/>
    <cellStyle name="Standard 4 3 2 8 3 2 6" xfId="21445" xr:uid="{00000000-0005-0000-0000-00008A540000}"/>
    <cellStyle name="Standard 4 3 2 8 3 3" xfId="21446" xr:uid="{00000000-0005-0000-0000-00008B540000}"/>
    <cellStyle name="Standard 4 3 2 8 3 3 2" xfId="21447" xr:uid="{00000000-0005-0000-0000-00008C540000}"/>
    <cellStyle name="Standard 4 3 2 8 3 3 3" xfId="21448" xr:uid="{00000000-0005-0000-0000-00008D540000}"/>
    <cellStyle name="Standard 4 3 2 8 3 4" xfId="21449" xr:uid="{00000000-0005-0000-0000-00008E540000}"/>
    <cellStyle name="Standard 4 3 2 8 3 4 2" xfId="21450" xr:uid="{00000000-0005-0000-0000-00008F540000}"/>
    <cellStyle name="Standard 4 3 2 8 3 4 3" xfId="21451" xr:uid="{00000000-0005-0000-0000-000090540000}"/>
    <cellStyle name="Standard 4 3 2 8 3 5" xfId="21452" xr:uid="{00000000-0005-0000-0000-000091540000}"/>
    <cellStyle name="Standard 4 3 2 8 3 5 2" xfId="21453" xr:uid="{00000000-0005-0000-0000-000092540000}"/>
    <cellStyle name="Standard 4 3 2 8 3 6" xfId="21454" xr:uid="{00000000-0005-0000-0000-000093540000}"/>
    <cellStyle name="Standard 4 3 2 8 3 7" xfId="21455" xr:uid="{00000000-0005-0000-0000-000094540000}"/>
    <cellStyle name="Standard 4 3 2 8 4" xfId="21456" xr:uid="{00000000-0005-0000-0000-000095540000}"/>
    <cellStyle name="Standard 4 3 2 8 4 2" xfId="21457" xr:uid="{00000000-0005-0000-0000-000096540000}"/>
    <cellStyle name="Standard 4 3 2 8 4 2 2" xfId="21458" xr:uid="{00000000-0005-0000-0000-000097540000}"/>
    <cellStyle name="Standard 4 3 2 8 4 2 3" xfId="21459" xr:uid="{00000000-0005-0000-0000-000098540000}"/>
    <cellStyle name="Standard 4 3 2 8 4 3" xfId="21460" xr:uid="{00000000-0005-0000-0000-000099540000}"/>
    <cellStyle name="Standard 4 3 2 8 4 3 2" xfId="21461" xr:uid="{00000000-0005-0000-0000-00009A540000}"/>
    <cellStyle name="Standard 4 3 2 8 4 3 3" xfId="21462" xr:uid="{00000000-0005-0000-0000-00009B540000}"/>
    <cellStyle name="Standard 4 3 2 8 4 4" xfId="21463" xr:uid="{00000000-0005-0000-0000-00009C540000}"/>
    <cellStyle name="Standard 4 3 2 8 4 4 2" xfId="21464" xr:uid="{00000000-0005-0000-0000-00009D540000}"/>
    <cellStyle name="Standard 4 3 2 8 4 5" xfId="21465" xr:uid="{00000000-0005-0000-0000-00009E540000}"/>
    <cellStyle name="Standard 4 3 2 8 4 6" xfId="21466" xr:uid="{00000000-0005-0000-0000-00009F540000}"/>
    <cellStyle name="Standard 4 3 2 8 5" xfId="21467" xr:uid="{00000000-0005-0000-0000-0000A0540000}"/>
    <cellStyle name="Standard 4 3 2 8 5 2" xfId="21468" xr:uid="{00000000-0005-0000-0000-0000A1540000}"/>
    <cellStyle name="Standard 4 3 2 8 5 3" xfId="21469" xr:uid="{00000000-0005-0000-0000-0000A2540000}"/>
    <cellStyle name="Standard 4 3 2 8 6" xfId="21470" xr:uid="{00000000-0005-0000-0000-0000A3540000}"/>
    <cellStyle name="Standard 4 3 2 8 6 2" xfId="21471" xr:uid="{00000000-0005-0000-0000-0000A4540000}"/>
    <cellStyle name="Standard 4 3 2 8 6 3" xfId="21472" xr:uid="{00000000-0005-0000-0000-0000A5540000}"/>
    <cellStyle name="Standard 4 3 2 8 7" xfId="21473" xr:uid="{00000000-0005-0000-0000-0000A6540000}"/>
    <cellStyle name="Standard 4 3 2 8 7 2" xfId="21474" xr:uid="{00000000-0005-0000-0000-0000A7540000}"/>
    <cellStyle name="Standard 4 3 2 8 8" xfId="21475" xr:uid="{00000000-0005-0000-0000-0000A8540000}"/>
    <cellStyle name="Standard 4 3 2 8 9" xfId="21476" xr:uid="{00000000-0005-0000-0000-0000A9540000}"/>
    <cellStyle name="Standard 4 3 2 9" xfId="21477" xr:uid="{00000000-0005-0000-0000-0000AA540000}"/>
    <cellStyle name="Standard 4 3 2 9 2" xfId="21478" xr:uid="{00000000-0005-0000-0000-0000AB540000}"/>
    <cellStyle name="Standard 4 3 2 9 2 2" xfId="21479" xr:uid="{00000000-0005-0000-0000-0000AC540000}"/>
    <cellStyle name="Standard 4 3 2 9 2 2 2" xfId="21480" xr:uid="{00000000-0005-0000-0000-0000AD540000}"/>
    <cellStyle name="Standard 4 3 2 9 2 2 2 2" xfId="21481" xr:uid="{00000000-0005-0000-0000-0000AE540000}"/>
    <cellStyle name="Standard 4 3 2 9 2 2 2 3" xfId="21482" xr:uid="{00000000-0005-0000-0000-0000AF540000}"/>
    <cellStyle name="Standard 4 3 2 9 2 2 3" xfId="21483" xr:uid="{00000000-0005-0000-0000-0000B0540000}"/>
    <cellStyle name="Standard 4 3 2 9 2 2 3 2" xfId="21484" xr:uid="{00000000-0005-0000-0000-0000B1540000}"/>
    <cellStyle name="Standard 4 3 2 9 2 2 3 3" xfId="21485" xr:uid="{00000000-0005-0000-0000-0000B2540000}"/>
    <cellStyle name="Standard 4 3 2 9 2 2 4" xfId="21486" xr:uid="{00000000-0005-0000-0000-0000B3540000}"/>
    <cellStyle name="Standard 4 3 2 9 2 2 4 2" xfId="21487" xr:uid="{00000000-0005-0000-0000-0000B4540000}"/>
    <cellStyle name="Standard 4 3 2 9 2 2 5" xfId="21488" xr:uid="{00000000-0005-0000-0000-0000B5540000}"/>
    <cellStyle name="Standard 4 3 2 9 2 2 6" xfId="21489" xr:uid="{00000000-0005-0000-0000-0000B6540000}"/>
    <cellStyle name="Standard 4 3 2 9 2 3" xfId="21490" xr:uid="{00000000-0005-0000-0000-0000B7540000}"/>
    <cellStyle name="Standard 4 3 2 9 2 3 2" xfId="21491" xr:uid="{00000000-0005-0000-0000-0000B8540000}"/>
    <cellStyle name="Standard 4 3 2 9 2 3 3" xfId="21492" xr:uid="{00000000-0005-0000-0000-0000B9540000}"/>
    <cellStyle name="Standard 4 3 2 9 2 4" xfId="21493" xr:uid="{00000000-0005-0000-0000-0000BA540000}"/>
    <cellStyle name="Standard 4 3 2 9 2 4 2" xfId="21494" xr:uid="{00000000-0005-0000-0000-0000BB540000}"/>
    <cellStyle name="Standard 4 3 2 9 2 4 3" xfId="21495" xr:uid="{00000000-0005-0000-0000-0000BC540000}"/>
    <cellStyle name="Standard 4 3 2 9 2 5" xfId="21496" xr:uid="{00000000-0005-0000-0000-0000BD540000}"/>
    <cellStyle name="Standard 4 3 2 9 2 5 2" xfId="21497" xr:uid="{00000000-0005-0000-0000-0000BE540000}"/>
    <cellStyle name="Standard 4 3 2 9 2 6" xfId="21498" xr:uid="{00000000-0005-0000-0000-0000BF540000}"/>
    <cellStyle name="Standard 4 3 2 9 2 7" xfId="21499" xr:uid="{00000000-0005-0000-0000-0000C0540000}"/>
    <cellStyle name="Standard 4 3 2 9 3" xfId="21500" xr:uid="{00000000-0005-0000-0000-0000C1540000}"/>
    <cellStyle name="Standard 4 3 2 9 3 2" xfId="21501" xr:uid="{00000000-0005-0000-0000-0000C2540000}"/>
    <cellStyle name="Standard 4 3 2 9 3 2 2" xfId="21502" xr:uid="{00000000-0005-0000-0000-0000C3540000}"/>
    <cellStyle name="Standard 4 3 2 9 3 2 3" xfId="21503" xr:uid="{00000000-0005-0000-0000-0000C4540000}"/>
    <cellStyle name="Standard 4 3 2 9 3 3" xfId="21504" xr:uid="{00000000-0005-0000-0000-0000C5540000}"/>
    <cellStyle name="Standard 4 3 2 9 3 3 2" xfId="21505" xr:uid="{00000000-0005-0000-0000-0000C6540000}"/>
    <cellStyle name="Standard 4 3 2 9 3 3 3" xfId="21506" xr:uid="{00000000-0005-0000-0000-0000C7540000}"/>
    <cellStyle name="Standard 4 3 2 9 3 4" xfId="21507" xr:uid="{00000000-0005-0000-0000-0000C8540000}"/>
    <cellStyle name="Standard 4 3 2 9 3 4 2" xfId="21508" xr:uid="{00000000-0005-0000-0000-0000C9540000}"/>
    <cellStyle name="Standard 4 3 2 9 3 5" xfId="21509" xr:uid="{00000000-0005-0000-0000-0000CA540000}"/>
    <cellStyle name="Standard 4 3 2 9 3 6" xfId="21510" xr:uid="{00000000-0005-0000-0000-0000CB540000}"/>
    <cellStyle name="Standard 4 3 2 9 4" xfId="21511" xr:uid="{00000000-0005-0000-0000-0000CC540000}"/>
    <cellStyle name="Standard 4 3 2 9 4 2" xfId="21512" xr:uid="{00000000-0005-0000-0000-0000CD540000}"/>
    <cellStyle name="Standard 4 3 2 9 4 3" xfId="21513" xr:uid="{00000000-0005-0000-0000-0000CE540000}"/>
    <cellStyle name="Standard 4 3 2 9 5" xfId="21514" xr:uid="{00000000-0005-0000-0000-0000CF540000}"/>
    <cellStyle name="Standard 4 3 2 9 5 2" xfId="21515" xr:uid="{00000000-0005-0000-0000-0000D0540000}"/>
    <cellStyle name="Standard 4 3 2 9 5 3" xfId="21516" xr:uid="{00000000-0005-0000-0000-0000D1540000}"/>
    <cellStyle name="Standard 4 3 2 9 6" xfId="21517" xr:uid="{00000000-0005-0000-0000-0000D2540000}"/>
    <cellStyle name="Standard 4 3 2 9 6 2" xfId="21518" xr:uid="{00000000-0005-0000-0000-0000D3540000}"/>
    <cellStyle name="Standard 4 3 2 9 7" xfId="21519" xr:uid="{00000000-0005-0000-0000-0000D4540000}"/>
    <cellStyle name="Standard 4 3 2 9 8" xfId="21520" xr:uid="{00000000-0005-0000-0000-0000D5540000}"/>
    <cellStyle name="Standard 4 3 3" xfId="21521" xr:uid="{00000000-0005-0000-0000-0000D6540000}"/>
    <cellStyle name="Standard 4 3 3 10" xfId="21522" xr:uid="{00000000-0005-0000-0000-0000D7540000}"/>
    <cellStyle name="Standard 4 3 3 10 2" xfId="21523" xr:uid="{00000000-0005-0000-0000-0000D8540000}"/>
    <cellStyle name="Standard 4 3 3 10 3" xfId="21524" xr:uid="{00000000-0005-0000-0000-0000D9540000}"/>
    <cellStyle name="Standard 4 3 3 11" xfId="21525" xr:uid="{00000000-0005-0000-0000-0000DA540000}"/>
    <cellStyle name="Standard 4 3 3 11 2" xfId="21526" xr:uid="{00000000-0005-0000-0000-0000DB540000}"/>
    <cellStyle name="Standard 4 3 3 11 3" xfId="21527" xr:uid="{00000000-0005-0000-0000-0000DC540000}"/>
    <cellStyle name="Standard 4 3 3 12" xfId="21528" xr:uid="{00000000-0005-0000-0000-0000DD540000}"/>
    <cellStyle name="Standard 4 3 3 12 2" xfId="21529" xr:uid="{00000000-0005-0000-0000-0000DE540000}"/>
    <cellStyle name="Standard 4 3 3 13" xfId="21530" xr:uid="{00000000-0005-0000-0000-0000DF540000}"/>
    <cellStyle name="Standard 4 3 3 14" xfId="21531" xr:uid="{00000000-0005-0000-0000-0000E0540000}"/>
    <cellStyle name="Standard 4 3 3 15" xfId="33467" xr:uid="{00000000-0005-0000-0000-0000E1540000}"/>
    <cellStyle name="Standard 4 3 3 2" xfId="21532" xr:uid="{00000000-0005-0000-0000-0000E2540000}"/>
    <cellStyle name="Standard 4 3 3 2 10" xfId="21533" xr:uid="{00000000-0005-0000-0000-0000E3540000}"/>
    <cellStyle name="Standard 4 3 3 2 10 2" xfId="21534" xr:uid="{00000000-0005-0000-0000-0000E4540000}"/>
    <cellStyle name="Standard 4 3 3 2 11" xfId="21535" xr:uid="{00000000-0005-0000-0000-0000E5540000}"/>
    <cellStyle name="Standard 4 3 3 2 12" xfId="21536" xr:uid="{00000000-0005-0000-0000-0000E6540000}"/>
    <cellStyle name="Standard 4 3 3 2 2" xfId="21537" xr:uid="{00000000-0005-0000-0000-0000E7540000}"/>
    <cellStyle name="Standard 4 3 3 2 2 10" xfId="21538" xr:uid="{00000000-0005-0000-0000-0000E8540000}"/>
    <cellStyle name="Standard 4 3 3 2 2 11" xfId="21539" xr:uid="{00000000-0005-0000-0000-0000E9540000}"/>
    <cellStyle name="Standard 4 3 3 2 2 2" xfId="21540" xr:uid="{00000000-0005-0000-0000-0000EA540000}"/>
    <cellStyle name="Standard 4 3 3 2 2 2 10" xfId="21541" xr:uid="{00000000-0005-0000-0000-0000EB540000}"/>
    <cellStyle name="Standard 4 3 3 2 2 2 2" xfId="21542" xr:uid="{00000000-0005-0000-0000-0000EC540000}"/>
    <cellStyle name="Standard 4 3 3 2 2 2 2 2" xfId="21543" xr:uid="{00000000-0005-0000-0000-0000ED540000}"/>
    <cellStyle name="Standard 4 3 3 2 2 2 2 2 2" xfId="21544" xr:uid="{00000000-0005-0000-0000-0000EE540000}"/>
    <cellStyle name="Standard 4 3 3 2 2 2 2 2 2 2" xfId="21545" xr:uid="{00000000-0005-0000-0000-0000EF540000}"/>
    <cellStyle name="Standard 4 3 3 2 2 2 2 2 2 2 2" xfId="21546" xr:uid="{00000000-0005-0000-0000-0000F0540000}"/>
    <cellStyle name="Standard 4 3 3 2 2 2 2 2 2 2 3" xfId="21547" xr:uid="{00000000-0005-0000-0000-0000F1540000}"/>
    <cellStyle name="Standard 4 3 3 2 2 2 2 2 2 3" xfId="21548" xr:uid="{00000000-0005-0000-0000-0000F2540000}"/>
    <cellStyle name="Standard 4 3 3 2 2 2 2 2 2 3 2" xfId="21549" xr:uid="{00000000-0005-0000-0000-0000F3540000}"/>
    <cellStyle name="Standard 4 3 3 2 2 2 2 2 2 3 3" xfId="21550" xr:uid="{00000000-0005-0000-0000-0000F4540000}"/>
    <cellStyle name="Standard 4 3 3 2 2 2 2 2 2 4" xfId="21551" xr:uid="{00000000-0005-0000-0000-0000F5540000}"/>
    <cellStyle name="Standard 4 3 3 2 2 2 2 2 2 4 2" xfId="21552" xr:uid="{00000000-0005-0000-0000-0000F6540000}"/>
    <cellStyle name="Standard 4 3 3 2 2 2 2 2 2 5" xfId="21553" xr:uid="{00000000-0005-0000-0000-0000F7540000}"/>
    <cellStyle name="Standard 4 3 3 2 2 2 2 2 2 6" xfId="21554" xr:uid="{00000000-0005-0000-0000-0000F8540000}"/>
    <cellStyle name="Standard 4 3 3 2 2 2 2 2 3" xfId="21555" xr:uid="{00000000-0005-0000-0000-0000F9540000}"/>
    <cellStyle name="Standard 4 3 3 2 2 2 2 2 3 2" xfId="21556" xr:uid="{00000000-0005-0000-0000-0000FA540000}"/>
    <cellStyle name="Standard 4 3 3 2 2 2 2 2 3 3" xfId="21557" xr:uid="{00000000-0005-0000-0000-0000FB540000}"/>
    <cellStyle name="Standard 4 3 3 2 2 2 2 2 4" xfId="21558" xr:uid="{00000000-0005-0000-0000-0000FC540000}"/>
    <cellStyle name="Standard 4 3 3 2 2 2 2 2 4 2" xfId="21559" xr:uid="{00000000-0005-0000-0000-0000FD540000}"/>
    <cellStyle name="Standard 4 3 3 2 2 2 2 2 4 3" xfId="21560" xr:uid="{00000000-0005-0000-0000-0000FE540000}"/>
    <cellStyle name="Standard 4 3 3 2 2 2 2 2 5" xfId="21561" xr:uid="{00000000-0005-0000-0000-0000FF540000}"/>
    <cellStyle name="Standard 4 3 3 2 2 2 2 2 5 2" xfId="21562" xr:uid="{00000000-0005-0000-0000-000000550000}"/>
    <cellStyle name="Standard 4 3 3 2 2 2 2 2 6" xfId="21563" xr:uid="{00000000-0005-0000-0000-000001550000}"/>
    <cellStyle name="Standard 4 3 3 2 2 2 2 2 7" xfId="21564" xr:uid="{00000000-0005-0000-0000-000002550000}"/>
    <cellStyle name="Standard 4 3 3 2 2 2 2 3" xfId="21565" xr:uid="{00000000-0005-0000-0000-000003550000}"/>
    <cellStyle name="Standard 4 3 3 2 2 2 2 3 2" xfId="21566" xr:uid="{00000000-0005-0000-0000-000004550000}"/>
    <cellStyle name="Standard 4 3 3 2 2 2 2 3 2 2" xfId="21567" xr:uid="{00000000-0005-0000-0000-000005550000}"/>
    <cellStyle name="Standard 4 3 3 2 2 2 2 3 2 3" xfId="21568" xr:uid="{00000000-0005-0000-0000-000006550000}"/>
    <cellStyle name="Standard 4 3 3 2 2 2 2 3 3" xfId="21569" xr:uid="{00000000-0005-0000-0000-000007550000}"/>
    <cellStyle name="Standard 4 3 3 2 2 2 2 3 3 2" xfId="21570" xr:uid="{00000000-0005-0000-0000-000008550000}"/>
    <cellStyle name="Standard 4 3 3 2 2 2 2 3 3 3" xfId="21571" xr:uid="{00000000-0005-0000-0000-000009550000}"/>
    <cellStyle name="Standard 4 3 3 2 2 2 2 3 4" xfId="21572" xr:uid="{00000000-0005-0000-0000-00000A550000}"/>
    <cellStyle name="Standard 4 3 3 2 2 2 2 3 4 2" xfId="21573" xr:uid="{00000000-0005-0000-0000-00000B550000}"/>
    <cellStyle name="Standard 4 3 3 2 2 2 2 3 5" xfId="21574" xr:uid="{00000000-0005-0000-0000-00000C550000}"/>
    <cellStyle name="Standard 4 3 3 2 2 2 2 3 6" xfId="21575" xr:uid="{00000000-0005-0000-0000-00000D550000}"/>
    <cellStyle name="Standard 4 3 3 2 2 2 2 4" xfId="21576" xr:uid="{00000000-0005-0000-0000-00000E550000}"/>
    <cellStyle name="Standard 4 3 3 2 2 2 2 4 2" xfId="21577" xr:uid="{00000000-0005-0000-0000-00000F550000}"/>
    <cellStyle name="Standard 4 3 3 2 2 2 2 4 3" xfId="21578" xr:uid="{00000000-0005-0000-0000-000010550000}"/>
    <cellStyle name="Standard 4 3 3 2 2 2 2 5" xfId="21579" xr:uid="{00000000-0005-0000-0000-000011550000}"/>
    <cellStyle name="Standard 4 3 3 2 2 2 2 5 2" xfId="21580" xr:uid="{00000000-0005-0000-0000-000012550000}"/>
    <cellStyle name="Standard 4 3 3 2 2 2 2 5 3" xfId="21581" xr:uid="{00000000-0005-0000-0000-000013550000}"/>
    <cellStyle name="Standard 4 3 3 2 2 2 2 6" xfId="21582" xr:uid="{00000000-0005-0000-0000-000014550000}"/>
    <cellStyle name="Standard 4 3 3 2 2 2 2 6 2" xfId="21583" xr:uid="{00000000-0005-0000-0000-000015550000}"/>
    <cellStyle name="Standard 4 3 3 2 2 2 2 7" xfId="21584" xr:uid="{00000000-0005-0000-0000-000016550000}"/>
    <cellStyle name="Standard 4 3 3 2 2 2 2 8" xfId="21585" xr:uid="{00000000-0005-0000-0000-000017550000}"/>
    <cellStyle name="Standard 4 3 3 2 2 2 3" xfId="21586" xr:uid="{00000000-0005-0000-0000-000018550000}"/>
    <cellStyle name="Standard 4 3 3 2 2 2 3 2" xfId="21587" xr:uid="{00000000-0005-0000-0000-000019550000}"/>
    <cellStyle name="Standard 4 3 3 2 2 2 3 2 2" xfId="21588" xr:uid="{00000000-0005-0000-0000-00001A550000}"/>
    <cellStyle name="Standard 4 3 3 2 2 2 3 2 2 2" xfId="21589" xr:uid="{00000000-0005-0000-0000-00001B550000}"/>
    <cellStyle name="Standard 4 3 3 2 2 2 3 2 2 2 2" xfId="21590" xr:uid="{00000000-0005-0000-0000-00001C550000}"/>
    <cellStyle name="Standard 4 3 3 2 2 2 3 2 2 2 3" xfId="21591" xr:uid="{00000000-0005-0000-0000-00001D550000}"/>
    <cellStyle name="Standard 4 3 3 2 2 2 3 2 2 3" xfId="21592" xr:uid="{00000000-0005-0000-0000-00001E550000}"/>
    <cellStyle name="Standard 4 3 3 2 2 2 3 2 2 3 2" xfId="21593" xr:uid="{00000000-0005-0000-0000-00001F550000}"/>
    <cellStyle name="Standard 4 3 3 2 2 2 3 2 2 3 3" xfId="21594" xr:uid="{00000000-0005-0000-0000-000020550000}"/>
    <cellStyle name="Standard 4 3 3 2 2 2 3 2 2 4" xfId="21595" xr:uid="{00000000-0005-0000-0000-000021550000}"/>
    <cellStyle name="Standard 4 3 3 2 2 2 3 2 2 4 2" xfId="21596" xr:uid="{00000000-0005-0000-0000-000022550000}"/>
    <cellStyle name="Standard 4 3 3 2 2 2 3 2 2 5" xfId="21597" xr:uid="{00000000-0005-0000-0000-000023550000}"/>
    <cellStyle name="Standard 4 3 3 2 2 2 3 2 2 6" xfId="21598" xr:uid="{00000000-0005-0000-0000-000024550000}"/>
    <cellStyle name="Standard 4 3 3 2 2 2 3 2 3" xfId="21599" xr:uid="{00000000-0005-0000-0000-000025550000}"/>
    <cellStyle name="Standard 4 3 3 2 2 2 3 2 3 2" xfId="21600" xr:uid="{00000000-0005-0000-0000-000026550000}"/>
    <cellStyle name="Standard 4 3 3 2 2 2 3 2 3 3" xfId="21601" xr:uid="{00000000-0005-0000-0000-000027550000}"/>
    <cellStyle name="Standard 4 3 3 2 2 2 3 2 4" xfId="21602" xr:uid="{00000000-0005-0000-0000-000028550000}"/>
    <cellStyle name="Standard 4 3 3 2 2 2 3 2 4 2" xfId="21603" xr:uid="{00000000-0005-0000-0000-000029550000}"/>
    <cellStyle name="Standard 4 3 3 2 2 2 3 2 4 3" xfId="21604" xr:uid="{00000000-0005-0000-0000-00002A550000}"/>
    <cellStyle name="Standard 4 3 3 2 2 2 3 2 5" xfId="21605" xr:uid="{00000000-0005-0000-0000-00002B550000}"/>
    <cellStyle name="Standard 4 3 3 2 2 2 3 2 5 2" xfId="21606" xr:uid="{00000000-0005-0000-0000-00002C550000}"/>
    <cellStyle name="Standard 4 3 3 2 2 2 3 2 6" xfId="21607" xr:uid="{00000000-0005-0000-0000-00002D550000}"/>
    <cellStyle name="Standard 4 3 3 2 2 2 3 2 7" xfId="21608" xr:uid="{00000000-0005-0000-0000-00002E550000}"/>
    <cellStyle name="Standard 4 3 3 2 2 2 3 3" xfId="21609" xr:uid="{00000000-0005-0000-0000-00002F550000}"/>
    <cellStyle name="Standard 4 3 3 2 2 2 3 3 2" xfId="21610" xr:uid="{00000000-0005-0000-0000-000030550000}"/>
    <cellStyle name="Standard 4 3 3 2 2 2 3 3 2 2" xfId="21611" xr:uid="{00000000-0005-0000-0000-000031550000}"/>
    <cellStyle name="Standard 4 3 3 2 2 2 3 3 2 3" xfId="21612" xr:uid="{00000000-0005-0000-0000-000032550000}"/>
    <cellStyle name="Standard 4 3 3 2 2 2 3 3 3" xfId="21613" xr:uid="{00000000-0005-0000-0000-000033550000}"/>
    <cellStyle name="Standard 4 3 3 2 2 2 3 3 3 2" xfId="21614" xr:uid="{00000000-0005-0000-0000-000034550000}"/>
    <cellStyle name="Standard 4 3 3 2 2 2 3 3 3 3" xfId="21615" xr:uid="{00000000-0005-0000-0000-000035550000}"/>
    <cellStyle name="Standard 4 3 3 2 2 2 3 3 4" xfId="21616" xr:uid="{00000000-0005-0000-0000-000036550000}"/>
    <cellStyle name="Standard 4 3 3 2 2 2 3 3 4 2" xfId="21617" xr:uid="{00000000-0005-0000-0000-000037550000}"/>
    <cellStyle name="Standard 4 3 3 2 2 2 3 3 5" xfId="21618" xr:uid="{00000000-0005-0000-0000-000038550000}"/>
    <cellStyle name="Standard 4 3 3 2 2 2 3 3 6" xfId="21619" xr:uid="{00000000-0005-0000-0000-000039550000}"/>
    <cellStyle name="Standard 4 3 3 2 2 2 3 4" xfId="21620" xr:uid="{00000000-0005-0000-0000-00003A550000}"/>
    <cellStyle name="Standard 4 3 3 2 2 2 3 4 2" xfId="21621" xr:uid="{00000000-0005-0000-0000-00003B550000}"/>
    <cellStyle name="Standard 4 3 3 2 2 2 3 4 3" xfId="21622" xr:uid="{00000000-0005-0000-0000-00003C550000}"/>
    <cellStyle name="Standard 4 3 3 2 2 2 3 5" xfId="21623" xr:uid="{00000000-0005-0000-0000-00003D550000}"/>
    <cellStyle name="Standard 4 3 3 2 2 2 3 5 2" xfId="21624" xr:uid="{00000000-0005-0000-0000-00003E550000}"/>
    <cellStyle name="Standard 4 3 3 2 2 2 3 5 3" xfId="21625" xr:uid="{00000000-0005-0000-0000-00003F550000}"/>
    <cellStyle name="Standard 4 3 3 2 2 2 3 6" xfId="21626" xr:uid="{00000000-0005-0000-0000-000040550000}"/>
    <cellStyle name="Standard 4 3 3 2 2 2 3 6 2" xfId="21627" xr:uid="{00000000-0005-0000-0000-000041550000}"/>
    <cellStyle name="Standard 4 3 3 2 2 2 3 7" xfId="21628" xr:uid="{00000000-0005-0000-0000-000042550000}"/>
    <cellStyle name="Standard 4 3 3 2 2 2 3 8" xfId="21629" xr:uid="{00000000-0005-0000-0000-000043550000}"/>
    <cellStyle name="Standard 4 3 3 2 2 2 4" xfId="21630" xr:uid="{00000000-0005-0000-0000-000044550000}"/>
    <cellStyle name="Standard 4 3 3 2 2 2 4 2" xfId="21631" xr:uid="{00000000-0005-0000-0000-000045550000}"/>
    <cellStyle name="Standard 4 3 3 2 2 2 4 2 2" xfId="21632" xr:uid="{00000000-0005-0000-0000-000046550000}"/>
    <cellStyle name="Standard 4 3 3 2 2 2 4 2 2 2" xfId="21633" xr:uid="{00000000-0005-0000-0000-000047550000}"/>
    <cellStyle name="Standard 4 3 3 2 2 2 4 2 2 3" xfId="21634" xr:uid="{00000000-0005-0000-0000-000048550000}"/>
    <cellStyle name="Standard 4 3 3 2 2 2 4 2 3" xfId="21635" xr:uid="{00000000-0005-0000-0000-000049550000}"/>
    <cellStyle name="Standard 4 3 3 2 2 2 4 2 3 2" xfId="21636" xr:uid="{00000000-0005-0000-0000-00004A550000}"/>
    <cellStyle name="Standard 4 3 3 2 2 2 4 2 3 3" xfId="21637" xr:uid="{00000000-0005-0000-0000-00004B550000}"/>
    <cellStyle name="Standard 4 3 3 2 2 2 4 2 4" xfId="21638" xr:uid="{00000000-0005-0000-0000-00004C550000}"/>
    <cellStyle name="Standard 4 3 3 2 2 2 4 2 4 2" xfId="21639" xr:uid="{00000000-0005-0000-0000-00004D550000}"/>
    <cellStyle name="Standard 4 3 3 2 2 2 4 2 5" xfId="21640" xr:uid="{00000000-0005-0000-0000-00004E550000}"/>
    <cellStyle name="Standard 4 3 3 2 2 2 4 2 6" xfId="21641" xr:uid="{00000000-0005-0000-0000-00004F550000}"/>
    <cellStyle name="Standard 4 3 3 2 2 2 4 3" xfId="21642" xr:uid="{00000000-0005-0000-0000-000050550000}"/>
    <cellStyle name="Standard 4 3 3 2 2 2 4 3 2" xfId="21643" xr:uid="{00000000-0005-0000-0000-000051550000}"/>
    <cellStyle name="Standard 4 3 3 2 2 2 4 3 3" xfId="21644" xr:uid="{00000000-0005-0000-0000-000052550000}"/>
    <cellStyle name="Standard 4 3 3 2 2 2 4 4" xfId="21645" xr:uid="{00000000-0005-0000-0000-000053550000}"/>
    <cellStyle name="Standard 4 3 3 2 2 2 4 4 2" xfId="21646" xr:uid="{00000000-0005-0000-0000-000054550000}"/>
    <cellStyle name="Standard 4 3 3 2 2 2 4 4 3" xfId="21647" xr:uid="{00000000-0005-0000-0000-000055550000}"/>
    <cellStyle name="Standard 4 3 3 2 2 2 4 5" xfId="21648" xr:uid="{00000000-0005-0000-0000-000056550000}"/>
    <cellStyle name="Standard 4 3 3 2 2 2 4 5 2" xfId="21649" xr:uid="{00000000-0005-0000-0000-000057550000}"/>
    <cellStyle name="Standard 4 3 3 2 2 2 4 6" xfId="21650" xr:uid="{00000000-0005-0000-0000-000058550000}"/>
    <cellStyle name="Standard 4 3 3 2 2 2 4 7" xfId="21651" xr:uid="{00000000-0005-0000-0000-000059550000}"/>
    <cellStyle name="Standard 4 3 3 2 2 2 5" xfId="21652" xr:uid="{00000000-0005-0000-0000-00005A550000}"/>
    <cellStyle name="Standard 4 3 3 2 2 2 5 2" xfId="21653" xr:uid="{00000000-0005-0000-0000-00005B550000}"/>
    <cellStyle name="Standard 4 3 3 2 2 2 5 2 2" xfId="21654" xr:uid="{00000000-0005-0000-0000-00005C550000}"/>
    <cellStyle name="Standard 4 3 3 2 2 2 5 2 3" xfId="21655" xr:uid="{00000000-0005-0000-0000-00005D550000}"/>
    <cellStyle name="Standard 4 3 3 2 2 2 5 3" xfId="21656" xr:uid="{00000000-0005-0000-0000-00005E550000}"/>
    <cellStyle name="Standard 4 3 3 2 2 2 5 3 2" xfId="21657" xr:uid="{00000000-0005-0000-0000-00005F550000}"/>
    <cellStyle name="Standard 4 3 3 2 2 2 5 3 3" xfId="21658" xr:uid="{00000000-0005-0000-0000-000060550000}"/>
    <cellStyle name="Standard 4 3 3 2 2 2 5 4" xfId="21659" xr:uid="{00000000-0005-0000-0000-000061550000}"/>
    <cellStyle name="Standard 4 3 3 2 2 2 5 4 2" xfId="21660" xr:uid="{00000000-0005-0000-0000-000062550000}"/>
    <cellStyle name="Standard 4 3 3 2 2 2 5 5" xfId="21661" xr:uid="{00000000-0005-0000-0000-000063550000}"/>
    <cellStyle name="Standard 4 3 3 2 2 2 5 6" xfId="21662" xr:uid="{00000000-0005-0000-0000-000064550000}"/>
    <cellStyle name="Standard 4 3 3 2 2 2 6" xfId="21663" xr:uid="{00000000-0005-0000-0000-000065550000}"/>
    <cellStyle name="Standard 4 3 3 2 2 2 6 2" xfId="21664" xr:uid="{00000000-0005-0000-0000-000066550000}"/>
    <cellStyle name="Standard 4 3 3 2 2 2 6 3" xfId="21665" xr:uid="{00000000-0005-0000-0000-000067550000}"/>
    <cellStyle name="Standard 4 3 3 2 2 2 7" xfId="21666" xr:uid="{00000000-0005-0000-0000-000068550000}"/>
    <cellStyle name="Standard 4 3 3 2 2 2 7 2" xfId="21667" xr:uid="{00000000-0005-0000-0000-000069550000}"/>
    <cellStyle name="Standard 4 3 3 2 2 2 7 3" xfId="21668" xr:uid="{00000000-0005-0000-0000-00006A550000}"/>
    <cellStyle name="Standard 4 3 3 2 2 2 8" xfId="21669" xr:uid="{00000000-0005-0000-0000-00006B550000}"/>
    <cellStyle name="Standard 4 3 3 2 2 2 8 2" xfId="21670" xr:uid="{00000000-0005-0000-0000-00006C550000}"/>
    <cellStyle name="Standard 4 3 3 2 2 2 9" xfId="21671" xr:uid="{00000000-0005-0000-0000-00006D550000}"/>
    <cellStyle name="Standard 4 3 3 2 2 3" xfId="21672" xr:uid="{00000000-0005-0000-0000-00006E550000}"/>
    <cellStyle name="Standard 4 3 3 2 2 3 2" xfId="21673" xr:uid="{00000000-0005-0000-0000-00006F550000}"/>
    <cellStyle name="Standard 4 3 3 2 2 3 2 2" xfId="21674" xr:uid="{00000000-0005-0000-0000-000070550000}"/>
    <cellStyle name="Standard 4 3 3 2 2 3 2 2 2" xfId="21675" xr:uid="{00000000-0005-0000-0000-000071550000}"/>
    <cellStyle name="Standard 4 3 3 2 2 3 2 2 2 2" xfId="21676" xr:uid="{00000000-0005-0000-0000-000072550000}"/>
    <cellStyle name="Standard 4 3 3 2 2 3 2 2 2 3" xfId="21677" xr:uid="{00000000-0005-0000-0000-000073550000}"/>
    <cellStyle name="Standard 4 3 3 2 2 3 2 2 3" xfId="21678" xr:uid="{00000000-0005-0000-0000-000074550000}"/>
    <cellStyle name="Standard 4 3 3 2 2 3 2 2 3 2" xfId="21679" xr:uid="{00000000-0005-0000-0000-000075550000}"/>
    <cellStyle name="Standard 4 3 3 2 2 3 2 2 3 3" xfId="21680" xr:uid="{00000000-0005-0000-0000-000076550000}"/>
    <cellStyle name="Standard 4 3 3 2 2 3 2 2 4" xfId="21681" xr:uid="{00000000-0005-0000-0000-000077550000}"/>
    <cellStyle name="Standard 4 3 3 2 2 3 2 2 4 2" xfId="21682" xr:uid="{00000000-0005-0000-0000-000078550000}"/>
    <cellStyle name="Standard 4 3 3 2 2 3 2 2 5" xfId="21683" xr:uid="{00000000-0005-0000-0000-000079550000}"/>
    <cellStyle name="Standard 4 3 3 2 2 3 2 2 6" xfId="21684" xr:uid="{00000000-0005-0000-0000-00007A550000}"/>
    <cellStyle name="Standard 4 3 3 2 2 3 2 3" xfId="21685" xr:uid="{00000000-0005-0000-0000-00007B550000}"/>
    <cellStyle name="Standard 4 3 3 2 2 3 2 3 2" xfId="21686" xr:uid="{00000000-0005-0000-0000-00007C550000}"/>
    <cellStyle name="Standard 4 3 3 2 2 3 2 3 3" xfId="21687" xr:uid="{00000000-0005-0000-0000-00007D550000}"/>
    <cellStyle name="Standard 4 3 3 2 2 3 2 4" xfId="21688" xr:uid="{00000000-0005-0000-0000-00007E550000}"/>
    <cellStyle name="Standard 4 3 3 2 2 3 2 4 2" xfId="21689" xr:uid="{00000000-0005-0000-0000-00007F550000}"/>
    <cellStyle name="Standard 4 3 3 2 2 3 2 4 3" xfId="21690" xr:uid="{00000000-0005-0000-0000-000080550000}"/>
    <cellStyle name="Standard 4 3 3 2 2 3 2 5" xfId="21691" xr:uid="{00000000-0005-0000-0000-000081550000}"/>
    <cellStyle name="Standard 4 3 3 2 2 3 2 5 2" xfId="21692" xr:uid="{00000000-0005-0000-0000-000082550000}"/>
    <cellStyle name="Standard 4 3 3 2 2 3 2 6" xfId="21693" xr:uid="{00000000-0005-0000-0000-000083550000}"/>
    <cellStyle name="Standard 4 3 3 2 2 3 2 7" xfId="21694" xr:uid="{00000000-0005-0000-0000-000084550000}"/>
    <cellStyle name="Standard 4 3 3 2 2 3 3" xfId="21695" xr:uid="{00000000-0005-0000-0000-000085550000}"/>
    <cellStyle name="Standard 4 3 3 2 2 3 3 2" xfId="21696" xr:uid="{00000000-0005-0000-0000-000086550000}"/>
    <cellStyle name="Standard 4 3 3 2 2 3 3 2 2" xfId="21697" xr:uid="{00000000-0005-0000-0000-000087550000}"/>
    <cellStyle name="Standard 4 3 3 2 2 3 3 2 3" xfId="21698" xr:uid="{00000000-0005-0000-0000-000088550000}"/>
    <cellStyle name="Standard 4 3 3 2 2 3 3 3" xfId="21699" xr:uid="{00000000-0005-0000-0000-000089550000}"/>
    <cellStyle name="Standard 4 3 3 2 2 3 3 3 2" xfId="21700" xr:uid="{00000000-0005-0000-0000-00008A550000}"/>
    <cellStyle name="Standard 4 3 3 2 2 3 3 3 3" xfId="21701" xr:uid="{00000000-0005-0000-0000-00008B550000}"/>
    <cellStyle name="Standard 4 3 3 2 2 3 3 4" xfId="21702" xr:uid="{00000000-0005-0000-0000-00008C550000}"/>
    <cellStyle name="Standard 4 3 3 2 2 3 3 4 2" xfId="21703" xr:uid="{00000000-0005-0000-0000-00008D550000}"/>
    <cellStyle name="Standard 4 3 3 2 2 3 3 5" xfId="21704" xr:uid="{00000000-0005-0000-0000-00008E550000}"/>
    <cellStyle name="Standard 4 3 3 2 2 3 3 6" xfId="21705" xr:uid="{00000000-0005-0000-0000-00008F550000}"/>
    <cellStyle name="Standard 4 3 3 2 2 3 4" xfId="21706" xr:uid="{00000000-0005-0000-0000-000090550000}"/>
    <cellStyle name="Standard 4 3 3 2 2 3 4 2" xfId="21707" xr:uid="{00000000-0005-0000-0000-000091550000}"/>
    <cellStyle name="Standard 4 3 3 2 2 3 4 3" xfId="21708" xr:uid="{00000000-0005-0000-0000-000092550000}"/>
    <cellStyle name="Standard 4 3 3 2 2 3 5" xfId="21709" xr:uid="{00000000-0005-0000-0000-000093550000}"/>
    <cellStyle name="Standard 4 3 3 2 2 3 5 2" xfId="21710" xr:uid="{00000000-0005-0000-0000-000094550000}"/>
    <cellStyle name="Standard 4 3 3 2 2 3 5 3" xfId="21711" xr:uid="{00000000-0005-0000-0000-000095550000}"/>
    <cellStyle name="Standard 4 3 3 2 2 3 6" xfId="21712" xr:uid="{00000000-0005-0000-0000-000096550000}"/>
    <cellStyle name="Standard 4 3 3 2 2 3 6 2" xfId="21713" xr:uid="{00000000-0005-0000-0000-000097550000}"/>
    <cellStyle name="Standard 4 3 3 2 2 3 7" xfId="21714" xr:uid="{00000000-0005-0000-0000-000098550000}"/>
    <cellStyle name="Standard 4 3 3 2 2 3 8" xfId="21715" xr:uid="{00000000-0005-0000-0000-000099550000}"/>
    <cellStyle name="Standard 4 3 3 2 2 4" xfId="21716" xr:uid="{00000000-0005-0000-0000-00009A550000}"/>
    <cellStyle name="Standard 4 3 3 2 2 4 2" xfId="21717" xr:uid="{00000000-0005-0000-0000-00009B550000}"/>
    <cellStyle name="Standard 4 3 3 2 2 4 2 2" xfId="21718" xr:uid="{00000000-0005-0000-0000-00009C550000}"/>
    <cellStyle name="Standard 4 3 3 2 2 4 2 2 2" xfId="21719" xr:uid="{00000000-0005-0000-0000-00009D550000}"/>
    <cellStyle name="Standard 4 3 3 2 2 4 2 2 2 2" xfId="21720" xr:uid="{00000000-0005-0000-0000-00009E550000}"/>
    <cellStyle name="Standard 4 3 3 2 2 4 2 2 2 3" xfId="21721" xr:uid="{00000000-0005-0000-0000-00009F550000}"/>
    <cellStyle name="Standard 4 3 3 2 2 4 2 2 3" xfId="21722" xr:uid="{00000000-0005-0000-0000-0000A0550000}"/>
    <cellStyle name="Standard 4 3 3 2 2 4 2 2 3 2" xfId="21723" xr:uid="{00000000-0005-0000-0000-0000A1550000}"/>
    <cellStyle name="Standard 4 3 3 2 2 4 2 2 3 3" xfId="21724" xr:uid="{00000000-0005-0000-0000-0000A2550000}"/>
    <cellStyle name="Standard 4 3 3 2 2 4 2 2 4" xfId="21725" xr:uid="{00000000-0005-0000-0000-0000A3550000}"/>
    <cellStyle name="Standard 4 3 3 2 2 4 2 2 4 2" xfId="21726" xr:uid="{00000000-0005-0000-0000-0000A4550000}"/>
    <cellStyle name="Standard 4 3 3 2 2 4 2 2 5" xfId="21727" xr:uid="{00000000-0005-0000-0000-0000A5550000}"/>
    <cellStyle name="Standard 4 3 3 2 2 4 2 2 6" xfId="21728" xr:uid="{00000000-0005-0000-0000-0000A6550000}"/>
    <cellStyle name="Standard 4 3 3 2 2 4 2 3" xfId="21729" xr:uid="{00000000-0005-0000-0000-0000A7550000}"/>
    <cellStyle name="Standard 4 3 3 2 2 4 2 3 2" xfId="21730" xr:uid="{00000000-0005-0000-0000-0000A8550000}"/>
    <cellStyle name="Standard 4 3 3 2 2 4 2 3 3" xfId="21731" xr:uid="{00000000-0005-0000-0000-0000A9550000}"/>
    <cellStyle name="Standard 4 3 3 2 2 4 2 4" xfId="21732" xr:uid="{00000000-0005-0000-0000-0000AA550000}"/>
    <cellStyle name="Standard 4 3 3 2 2 4 2 4 2" xfId="21733" xr:uid="{00000000-0005-0000-0000-0000AB550000}"/>
    <cellStyle name="Standard 4 3 3 2 2 4 2 4 3" xfId="21734" xr:uid="{00000000-0005-0000-0000-0000AC550000}"/>
    <cellStyle name="Standard 4 3 3 2 2 4 2 5" xfId="21735" xr:uid="{00000000-0005-0000-0000-0000AD550000}"/>
    <cellStyle name="Standard 4 3 3 2 2 4 2 5 2" xfId="21736" xr:uid="{00000000-0005-0000-0000-0000AE550000}"/>
    <cellStyle name="Standard 4 3 3 2 2 4 2 6" xfId="21737" xr:uid="{00000000-0005-0000-0000-0000AF550000}"/>
    <cellStyle name="Standard 4 3 3 2 2 4 2 7" xfId="21738" xr:uid="{00000000-0005-0000-0000-0000B0550000}"/>
    <cellStyle name="Standard 4 3 3 2 2 4 3" xfId="21739" xr:uid="{00000000-0005-0000-0000-0000B1550000}"/>
    <cellStyle name="Standard 4 3 3 2 2 4 3 2" xfId="21740" xr:uid="{00000000-0005-0000-0000-0000B2550000}"/>
    <cellStyle name="Standard 4 3 3 2 2 4 3 2 2" xfId="21741" xr:uid="{00000000-0005-0000-0000-0000B3550000}"/>
    <cellStyle name="Standard 4 3 3 2 2 4 3 2 3" xfId="21742" xr:uid="{00000000-0005-0000-0000-0000B4550000}"/>
    <cellStyle name="Standard 4 3 3 2 2 4 3 3" xfId="21743" xr:uid="{00000000-0005-0000-0000-0000B5550000}"/>
    <cellStyle name="Standard 4 3 3 2 2 4 3 3 2" xfId="21744" xr:uid="{00000000-0005-0000-0000-0000B6550000}"/>
    <cellStyle name="Standard 4 3 3 2 2 4 3 3 3" xfId="21745" xr:uid="{00000000-0005-0000-0000-0000B7550000}"/>
    <cellStyle name="Standard 4 3 3 2 2 4 3 4" xfId="21746" xr:uid="{00000000-0005-0000-0000-0000B8550000}"/>
    <cellStyle name="Standard 4 3 3 2 2 4 3 4 2" xfId="21747" xr:uid="{00000000-0005-0000-0000-0000B9550000}"/>
    <cellStyle name="Standard 4 3 3 2 2 4 3 5" xfId="21748" xr:uid="{00000000-0005-0000-0000-0000BA550000}"/>
    <cellStyle name="Standard 4 3 3 2 2 4 3 6" xfId="21749" xr:uid="{00000000-0005-0000-0000-0000BB550000}"/>
    <cellStyle name="Standard 4 3 3 2 2 4 4" xfId="21750" xr:uid="{00000000-0005-0000-0000-0000BC550000}"/>
    <cellStyle name="Standard 4 3 3 2 2 4 4 2" xfId="21751" xr:uid="{00000000-0005-0000-0000-0000BD550000}"/>
    <cellStyle name="Standard 4 3 3 2 2 4 4 3" xfId="21752" xr:uid="{00000000-0005-0000-0000-0000BE550000}"/>
    <cellStyle name="Standard 4 3 3 2 2 4 5" xfId="21753" xr:uid="{00000000-0005-0000-0000-0000BF550000}"/>
    <cellStyle name="Standard 4 3 3 2 2 4 5 2" xfId="21754" xr:uid="{00000000-0005-0000-0000-0000C0550000}"/>
    <cellStyle name="Standard 4 3 3 2 2 4 5 3" xfId="21755" xr:uid="{00000000-0005-0000-0000-0000C1550000}"/>
    <cellStyle name="Standard 4 3 3 2 2 4 6" xfId="21756" xr:uid="{00000000-0005-0000-0000-0000C2550000}"/>
    <cellStyle name="Standard 4 3 3 2 2 4 6 2" xfId="21757" xr:uid="{00000000-0005-0000-0000-0000C3550000}"/>
    <cellStyle name="Standard 4 3 3 2 2 4 7" xfId="21758" xr:uid="{00000000-0005-0000-0000-0000C4550000}"/>
    <cellStyle name="Standard 4 3 3 2 2 4 8" xfId="21759" xr:uid="{00000000-0005-0000-0000-0000C5550000}"/>
    <cellStyle name="Standard 4 3 3 2 2 5" xfId="21760" xr:uid="{00000000-0005-0000-0000-0000C6550000}"/>
    <cellStyle name="Standard 4 3 3 2 2 5 2" xfId="21761" xr:uid="{00000000-0005-0000-0000-0000C7550000}"/>
    <cellStyle name="Standard 4 3 3 2 2 5 2 2" xfId="21762" xr:uid="{00000000-0005-0000-0000-0000C8550000}"/>
    <cellStyle name="Standard 4 3 3 2 2 5 2 2 2" xfId="21763" xr:uid="{00000000-0005-0000-0000-0000C9550000}"/>
    <cellStyle name="Standard 4 3 3 2 2 5 2 2 3" xfId="21764" xr:uid="{00000000-0005-0000-0000-0000CA550000}"/>
    <cellStyle name="Standard 4 3 3 2 2 5 2 3" xfId="21765" xr:uid="{00000000-0005-0000-0000-0000CB550000}"/>
    <cellStyle name="Standard 4 3 3 2 2 5 2 3 2" xfId="21766" xr:uid="{00000000-0005-0000-0000-0000CC550000}"/>
    <cellStyle name="Standard 4 3 3 2 2 5 2 3 3" xfId="21767" xr:uid="{00000000-0005-0000-0000-0000CD550000}"/>
    <cellStyle name="Standard 4 3 3 2 2 5 2 4" xfId="21768" xr:uid="{00000000-0005-0000-0000-0000CE550000}"/>
    <cellStyle name="Standard 4 3 3 2 2 5 2 4 2" xfId="21769" xr:uid="{00000000-0005-0000-0000-0000CF550000}"/>
    <cellStyle name="Standard 4 3 3 2 2 5 2 5" xfId="21770" xr:uid="{00000000-0005-0000-0000-0000D0550000}"/>
    <cellStyle name="Standard 4 3 3 2 2 5 2 6" xfId="21771" xr:uid="{00000000-0005-0000-0000-0000D1550000}"/>
    <cellStyle name="Standard 4 3 3 2 2 5 3" xfId="21772" xr:uid="{00000000-0005-0000-0000-0000D2550000}"/>
    <cellStyle name="Standard 4 3 3 2 2 5 3 2" xfId="21773" xr:uid="{00000000-0005-0000-0000-0000D3550000}"/>
    <cellStyle name="Standard 4 3 3 2 2 5 3 3" xfId="21774" xr:uid="{00000000-0005-0000-0000-0000D4550000}"/>
    <cellStyle name="Standard 4 3 3 2 2 5 4" xfId="21775" xr:uid="{00000000-0005-0000-0000-0000D5550000}"/>
    <cellStyle name="Standard 4 3 3 2 2 5 4 2" xfId="21776" xr:uid="{00000000-0005-0000-0000-0000D6550000}"/>
    <cellStyle name="Standard 4 3 3 2 2 5 4 3" xfId="21777" xr:uid="{00000000-0005-0000-0000-0000D7550000}"/>
    <cellStyle name="Standard 4 3 3 2 2 5 5" xfId="21778" xr:uid="{00000000-0005-0000-0000-0000D8550000}"/>
    <cellStyle name="Standard 4 3 3 2 2 5 5 2" xfId="21779" xr:uid="{00000000-0005-0000-0000-0000D9550000}"/>
    <cellStyle name="Standard 4 3 3 2 2 5 6" xfId="21780" xr:uid="{00000000-0005-0000-0000-0000DA550000}"/>
    <cellStyle name="Standard 4 3 3 2 2 5 7" xfId="21781" xr:uid="{00000000-0005-0000-0000-0000DB550000}"/>
    <cellStyle name="Standard 4 3 3 2 2 6" xfId="21782" xr:uid="{00000000-0005-0000-0000-0000DC550000}"/>
    <cellStyle name="Standard 4 3 3 2 2 6 2" xfId="21783" xr:uid="{00000000-0005-0000-0000-0000DD550000}"/>
    <cellStyle name="Standard 4 3 3 2 2 6 2 2" xfId="21784" xr:uid="{00000000-0005-0000-0000-0000DE550000}"/>
    <cellStyle name="Standard 4 3 3 2 2 6 2 3" xfId="21785" xr:uid="{00000000-0005-0000-0000-0000DF550000}"/>
    <cellStyle name="Standard 4 3 3 2 2 6 3" xfId="21786" xr:uid="{00000000-0005-0000-0000-0000E0550000}"/>
    <cellStyle name="Standard 4 3 3 2 2 6 3 2" xfId="21787" xr:uid="{00000000-0005-0000-0000-0000E1550000}"/>
    <cellStyle name="Standard 4 3 3 2 2 6 3 3" xfId="21788" xr:uid="{00000000-0005-0000-0000-0000E2550000}"/>
    <cellStyle name="Standard 4 3 3 2 2 6 4" xfId="21789" xr:uid="{00000000-0005-0000-0000-0000E3550000}"/>
    <cellStyle name="Standard 4 3 3 2 2 6 4 2" xfId="21790" xr:uid="{00000000-0005-0000-0000-0000E4550000}"/>
    <cellStyle name="Standard 4 3 3 2 2 6 5" xfId="21791" xr:uid="{00000000-0005-0000-0000-0000E5550000}"/>
    <cellStyle name="Standard 4 3 3 2 2 6 6" xfId="21792" xr:uid="{00000000-0005-0000-0000-0000E6550000}"/>
    <cellStyle name="Standard 4 3 3 2 2 7" xfId="21793" xr:uid="{00000000-0005-0000-0000-0000E7550000}"/>
    <cellStyle name="Standard 4 3 3 2 2 7 2" xfId="21794" xr:uid="{00000000-0005-0000-0000-0000E8550000}"/>
    <cellStyle name="Standard 4 3 3 2 2 7 3" xfId="21795" xr:uid="{00000000-0005-0000-0000-0000E9550000}"/>
    <cellStyle name="Standard 4 3 3 2 2 8" xfId="21796" xr:uid="{00000000-0005-0000-0000-0000EA550000}"/>
    <cellStyle name="Standard 4 3 3 2 2 8 2" xfId="21797" xr:uid="{00000000-0005-0000-0000-0000EB550000}"/>
    <cellStyle name="Standard 4 3 3 2 2 8 3" xfId="21798" xr:uid="{00000000-0005-0000-0000-0000EC550000}"/>
    <cellStyle name="Standard 4 3 3 2 2 9" xfId="21799" xr:uid="{00000000-0005-0000-0000-0000ED550000}"/>
    <cellStyle name="Standard 4 3 3 2 2 9 2" xfId="21800" xr:uid="{00000000-0005-0000-0000-0000EE550000}"/>
    <cellStyle name="Standard 4 3 3 2 3" xfId="21801" xr:uid="{00000000-0005-0000-0000-0000EF550000}"/>
    <cellStyle name="Standard 4 3 3 2 3 10" xfId="21802" xr:uid="{00000000-0005-0000-0000-0000F0550000}"/>
    <cellStyle name="Standard 4 3 3 2 3 2" xfId="21803" xr:uid="{00000000-0005-0000-0000-0000F1550000}"/>
    <cellStyle name="Standard 4 3 3 2 3 2 2" xfId="21804" xr:uid="{00000000-0005-0000-0000-0000F2550000}"/>
    <cellStyle name="Standard 4 3 3 2 3 2 2 2" xfId="21805" xr:uid="{00000000-0005-0000-0000-0000F3550000}"/>
    <cellStyle name="Standard 4 3 3 2 3 2 2 2 2" xfId="21806" xr:uid="{00000000-0005-0000-0000-0000F4550000}"/>
    <cellStyle name="Standard 4 3 3 2 3 2 2 2 2 2" xfId="21807" xr:uid="{00000000-0005-0000-0000-0000F5550000}"/>
    <cellStyle name="Standard 4 3 3 2 3 2 2 2 2 3" xfId="21808" xr:uid="{00000000-0005-0000-0000-0000F6550000}"/>
    <cellStyle name="Standard 4 3 3 2 3 2 2 2 3" xfId="21809" xr:uid="{00000000-0005-0000-0000-0000F7550000}"/>
    <cellStyle name="Standard 4 3 3 2 3 2 2 2 3 2" xfId="21810" xr:uid="{00000000-0005-0000-0000-0000F8550000}"/>
    <cellStyle name="Standard 4 3 3 2 3 2 2 2 3 3" xfId="21811" xr:uid="{00000000-0005-0000-0000-0000F9550000}"/>
    <cellStyle name="Standard 4 3 3 2 3 2 2 2 4" xfId="21812" xr:uid="{00000000-0005-0000-0000-0000FA550000}"/>
    <cellStyle name="Standard 4 3 3 2 3 2 2 2 4 2" xfId="21813" xr:uid="{00000000-0005-0000-0000-0000FB550000}"/>
    <cellStyle name="Standard 4 3 3 2 3 2 2 2 5" xfId="21814" xr:uid="{00000000-0005-0000-0000-0000FC550000}"/>
    <cellStyle name="Standard 4 3 3 2 3 2 2 2 6" xfId="21815" xr:uid="{00000000-0005-0000-0000-0000FD550000}"/>
    <cellStyle name="Standard 4 3 3 2 3 2 2 3" xfId="21816" xr:uid="{00000000-0005-0000-0000-0000FE550000}"/>
    <cellStyle name="Standard 4 3 3 2 3 2 2 3 2" xfId="21817" xr:uid="{00000000-0005-0000-0000-0000FF550000}"/>
    <cellStyle name="Standard 4 3 3 2 3 2 2 3 3" xfId="21818" xr:uid="{00000000-0005-0000-0000-000000560000}"/>
    <cellStyle name="Standard 4 3 3 2 3 2 2 4" xfId="21819" xr:uid="{00000000-0005-0000-0000-000001560000}"/>
    <cellStyle name="Standard 4 3 3 2 3 2 2 4 2" xfId="21820" xr:uid="{00000000-0005-0000-0000-000002560000}"/>
    <cellStyle name="Standard 4 3 3 2 3 2 2 4 3" xfId="21821" xr:uid="{00000000-0005-0000-0000-000003560000}"/>
    <cellStyle name="Standard 4 3 3 2 3 2 2 5" xfId="21822" xr:uid="{00000000-0005-0000-0000-000004560000}"/>
    <cellStyle name="Standard 4 3 3 2 3 2 2 5 2" xfId="21823" xr:uid="{00000000-0005-0000-0000-000005560000}"/>
    <cellStyle name="Standard 4 3 3 2 3 2 2 6" xfId="21824" xr:uid="{00000000-0005-0000-0000-000006560000}"/>
    <cellStyle name="Standard 4 3 3 2 3 2 2 7" xfId="21825" xr:uid="{00000000-0005-0000-0000-000007560000}"/>
    <cellStyle name="Standard 4 3 3 2 3 2 3" xfId="21826" xr:uid="{00000000-0005-0000-0000-000008560000}"/>
    <cellStyle name="Standard 4 3 3 2 3 2 3 2" xfId="21827" xr:uid="{00000000-0005-0000-0000-000009560000}"/>
    <cellStyle name="Standard 4 3 3 2 3 2 3 2 2" xfId="21828" xr:uid="{00000000-0005-0000-0000-00000A560000}"/>
    <cellStyle name="Standard 4 3 3 2 3 2 3 2 3" xfId="21829" xr:uid="{00000000-0005-0000-0000-00000B560000}"/>
    <cellStyle name="Standard 4 3 3 2 3 2 3 3" xfId="21830" xr:uid="{00000000-0005-0000-0000-00000C560000}"/>
    <cellStyle name="Standard 4 3 3 2 3 2 3 3 2" xfId="21831" xr:uid="{00000000-0005-0000-0000-00000D560000}"/>
    <cellStyle name="Standard 4 3 3 2 3 2 3 3 3" xfId="21832" xr:uid="{00000000-0005-0000-0000-00000E560000}"/>
    <cellStyle name="Standard 4 3 3 2 3 2 3 4" xfId="21833" xr:uid="{00000000-0005-0000-0000-00000F560000}"/>
    <cellStyle name="Standard 4 3 3 2 3 2 3 4 2" xfId="21834" xr:uid="{00000000-0005-0000-0000-000010560000}"/>
    <cellStyle name="Standard 4 3 3 2 3 2 3 5" xfId="21835" xr:uid="{00000000-0005-0000-0000-000011560000}"/>
    <cellStyle name="Standard 4 3 3 2 3 2 3 6" xfId="21836" xr:uid="{00000000-0005-0000-0000-000012560000}"/>
    <cellStyle name="Standard 4 3 3 2 3 2 4" xfId="21837" xr:uid="{00000000-0005-0000-0000-000013560000}"/>
    <cellStyle name="Standard 4 3 3 2 3 2 4 2" xfId="21838" xr:uid="{00000000-0005-0000-0000-000014560000}"/>
    <cellStyle name="Standard 4 3 3 2 3 2 4 3" xfId="21839" xr:uid="{00000000-0005-0000-0000-000015560000}"/>
    <cellStyle name="Standard 4 3 3 2 3 2 5" xfId="21840" xr:uid="{00000000-0005-0000-0000-000016560000}"/>
    <cellStyle name="Standard 4 3 3 2 3 2 5 2" xfId="21841" xr:uid="{00000000-0005-0000-0000-000017560000}"/>
    <cellStyle name="Standard 4 3 3 2 3 2 5 3" xfId="21842" xr:uid="{00000000-0005-0000-0000-000018560000}"/>
    <cellStyle name="Standard 4 3 3 2 3 2 6" xfId="21843" xr:uid="{00000000-0005-0000-0000-000019560000}"/>
    <cellStyle name="Standard 4 3 3 2 3 2 6 2" xfId="21844" xr:uid="{00000000-0005-0000-0000-00001A560000}"/>
    <cellStyle name="Standard 4 3 3 2 3 2 7" xfId="21845" xr:uid="{00000000-0005-0000-0000-00001B560000}"/>
    <cellStyle name="Standard 4 3 3 2 3 2 8" xfId="21846" xr:uid="{00000000-0005-0000-0000-00001C560000}"/>
    <cellStyle name="Standard 4 3 3 2 3 3" xfId="21847" xr:uid="{00000000-0005-0000-0000-00001D560000}"/>
    <cellStyle name="Standard 4 3 3 2 3 3 2" xfId="21848" xr:uid="{00000000-0005-0000-0000-00001E560000}"/>
    <cellStyle name="Standard 4 3 3 2 3 3 2 2" xfId="21849" xr:uid="{00000000-0005-0000-0000-00001F560000}"/>
    <cellStyle name="Standard 4 3 3 2 3 3 2 2 2" xfId="21850" xr:uid="{00000000-0005-0000-0000-000020560000}"/>
    <cellStyle name="Standard 4 3 3 2 3 3 2 2 2 2" xfId="21851" xr:uid="{00000000-0005-0000-0000-000021560000}"/>
    <cellStyle name="Standard 4 3 3 2 3 3 2 2 2 3" xfId="21852" xr:uid="{00000000-0005-0000-0000-000022560000}"/>
    <cellStyle name="Standard 4 3 3 2 3 3 2 2 3" xfId="21853" xr:uid="{00000000-0005-0000-0000-000023560000}"/>
    <cellStyle name="Standard 4 3 3 2 3 3 2 2 3 2" xfId="21854" xr:uid="{00000000-0005-0000-0000-000024560000}"/>
    <cellStyle name="Standard 4 3 3 2 3 3 2 2 3 3" xfId="21855" xr:uid="{00000000-0005-0000-0000-000025560000}"/>
    <cellStyle name="Standard 4 3 3 2 3 3 2 2 4" xfId="21856" xr:uid="{00000000-0005-0000-0000-000026560000}"/>
    <cellStyle name="Standard 4 3 3 2 3 3 2 2 4 2" xfId="21857" xr:uid="{00000000-0005-0000-0000-000027560000}"/>
    <cellStyle name="Standard 4 3 3 2 3 3 2 2 5" xfId="21858" xr:uid="{00000000-0005-0000-0000-000028560000}"/>
    <cellStyle name="Standard 4 3 3 2 3 3 2 2 6" xfId="21859" xr:uid="{00000000-0005-0000-0000-000029560000}"/>
    <cellStyle name="Standard 4 3 3 2 3 3 2 3" xfId="21860" xr:uid="{00000000-0005-0000-0000-00002A560000}"/>
    <cellStyle name="Standard 4 3 3 2 3 3 2 3 2" xfId="21861" xr:uid="{00000000-0005-0000-0000-00002B560000}"/>
    <cellStyle name="Standard 4 3 3 2 3 3 2 3 3" xfId="21862" xr:uid="{00000000-0005-0000-0000-00002C560000}"/>
    <cellStyle name="Standard 4 3 3 2 3 3 2 4" xfId="21863" xr:uid="{00000000-0005-0000-0000-00002D560000}"/>
    <cellStyle name="Standard 4 3 3 2 3 3 2 4 2" xfId="21864" xr:uid="{00000000-0005-0000-0000-00002E560000}"/>
    <cellStyle name="Standard 4 3 3 2 3 3 2 4 3" xfId="21865" xr:uid="{00000000-0005-0000-0000-00002F560000}"/>
    <cellStyle name="Standard 4 3 3 2 3 3 2 5" xfId="21866" xr:uid="{00000000-0005-0000-0000-000030560000}"/>
    <cellStyle name="Standard 4 3 3 2 3 3 2 5 2" xfId="21867" xr:uid="{00000000-0005-0000-0000-000031560000}"/>
    <cellStyle name="Standard 4 3 3 2 3 3 2 6" xfId="21868" xr:uid="{00000000-0005-0000-0000-000032560000}"/>
    <cellStyle name="Standard 4 3 3 2 3 3 2 7" xfId="21869" xr:uid="{00000000-0005-0000-0000-000033560000}"/>
    <cellStyle name="Standard 4 3 3 2 3 3 3" xfId="21870" xr:uid="{00000000-0005-0000-0000-000034560000}"/>
    <cellStyle name="Standard 4 3 3 2 3 3 3 2" xfId="21871" xr:uid="{00000000-0005-0000-0000-000035560000}"/>
    <cellStyle name="Standard 4 3 3 2 3 3 3 2 2" xfId="21872" xr:uid="{00000000-0005-0000-0000-000036560000}"/>
    <cellStyle name="Standard 4 3 3 2 3 3 3 2 3" xfId="21873" xr:uid="{00000000-0005-0000-0000-000037560000}"/>
    <cellStyle name="Standard 4 3 3 2 3 3 3 3" xfId="21874" xr:uid="{00000000-0005-0000-0000-000038560000}"/>
    <cellStyle name="Standard 4 3 3 2 3 3 3 3 2" xfId="21875" xr:uid="{00000000-0005-0000-0000-000039560000}"/>
    <cellStyle name="Standard 4 3 3 2 3 3 3 3 3" xfId="21876" xr:uid="{00000000-0005-0000-0000-00003A560000}"/>
    <cellStyle name="Standard 4 3 3 2 3 3 3 4" xfId="21877" xr:uid="{00000000-0005-0000-0000-00003B560000}"/>
    <cellStyle name="Standard 4 3 3 2 3 3 3 4 2" xfId="21878" xr:uid="{00000000-0005-0000-0000-00003C560000}"/>
    <cellStyle name="Standard 4 3 3 2 3 3 3 5" xfId="21879" xr:uid="{00000000-0005-0000-0000-00003D560000}"/>
    <cellStyle name="Standard 4 3 3 2 3 3 3 6" xfId="21880" xr:uid="{00000000-0005-0000-0000-00003E560000}"/>
    <cellStyle name="Standard 4 3 3 2 3 3 4" xfId="21881" xr:uid="{00000000-0005-0000-0000-00003F560000}"/>
    <cellStyle name="Standard 4 3 3 2 3 3 4 2" xfId="21882" xr:uid="{00000000-0005-0000-0000-000040560000}"/>
    <cellStyle name="Standard 4 3 3 2 3 3 4 3" xfId="21883" xr:uid="{00000000-0005-0000-0000-000041560000}"/>
    <cellStyle name="Standard 4 3 3 2 3 3 5" xfId="21884" xr:uid="{00000000-0005-0000-0000-000042560000}"/>
    <cellStyle name="Standard 4 3 3 2 3 3 5 2" xfId="21885" xr:uid="{00000000-0005-0000-0000-000043560000}"/>
    <cellStyle name="Standard 4 3 3 2 3 3 5 3" xfId="21886" xr:uid="{00000000-0005-0000-0000-000044560000}"/>
    <cellStyle name="Standard 4 3 3 2 3 3 6" xfId="21887" xr:uid="{00000000-0005-0000-0000-000045560000}"/>
    <cellStyle name="Standard 4 3 3 2 3 3 6 2" xfId="21888" xr:uid="{00000000-0005-0000-0000-000046560000}"/>
    <cellStyle name="Standard 4 3 3 2 3 3 7" xfId="21889" xr:uid="{00000000-0005-0000-0000-000047560000}"/>
    <cellStyle name="Standard 4 3 3 2 3 3 8" xfId="21890" xr:uid="{00000000-0005-0000-0000-000048560000}"/>
    <cellStyle name="Standard 4 3 3 2 3 4" xfId="21891" xr:uid="{00000000-0005-0000-0000-000049560000}"/>
    <cellStyle name="Standard 4 3 3 2 3 4 2" xfId="21892" xr:uid="{00000000-0005-0000-0000-00004A560000}"/>
    <cellStyle name="Standard 4 3 3 2 3 4 2 2" xfId="21893" xr:uid="{00000000-0005-0000-0000-00004B560000}"/>
    <cellStyle name="Standard 4 3 3 2 3 4 2 2 2" xfId="21894" xr:uid="{00000000-0005-0000-0000-00004C560000}"/>
    <cellStyle name="Standard 4 3 3 2 3 4 2 2 3" xfId="21895" xr:uid="{00000000-0005-0000-0000-00004D560000}"/>
    <cellStyle name="Standard 4 3 3 2 3 4 2 3" xfId="21896" xr:uid="{00000000-0005-0000-0000-00004E560000}"/>
    <cellStyle name="Standard 4 3 3 2 3 4 2 3 2" xfId="21897" xr:uid="{00000000-0005-0000-0000-00004F560000}"/>
    <cellStyle name="Standard 4 3 3 2 3 4 2 3 3" xfId="21898" xr:uid="{00000000-0005-0000-0000-000050560000}"/>
    <cellStyle name="Standard 4 3 3 2 3 4 2 4" xfId="21899" xr:uid="{00000000-0005-0000-0000-000051560000}"/>
    <cellStyle name="Standard 4 3 3 2 3 4 2 4 2" xfId="21900" xr:uid="{00000000-0005-0000-0000-000052560000}"/>
    <cellStyle name="Standard 4 3 3 2 3 4 2 5" xfId="21901" xr:uid="{00000000-0005-0000-0000-000053560000}"/>
    <cellStyle name="Standard 4 3 3 2 3 4 2 6" xfId="21902" xr:uid="{00000000-0005-0000-0000-000054560000}"/>
    <cellStyle name="Standard 4 3 3 2 3 4 3" xfId="21903" xr:uid="{00000000-0005-0000-0000-000055560000}"/>
    <cellStyle name="Standard 4 3 3 2 3 4 3 2" xfId="21904" xr:uid="{00000000-0005-0000-0000-000056560000}"/>
    <cellStyle name="Standard 4 3 3 2 3 4 3 3" xfId="21905" xr:uid="{00000000-0005-0000-0000-000057560000}"/>
    <cellStyle name="Standard 4 3 3 2 3 4 4" xfId="21906" xr:uid="{00000000-0005-0000-0000-000058560000}"/>
    <cellStyle name="Standard 4 3 3 2 3 4 4 2" xfId="21907" xr:uid="{00000000-0005-0000-0000-000059560000}"/>
    <cellStyle name="Standard 4 3 3 2 3 4 4 3" xfId="21908" xr:uid="{00000000-0005-0000-0000-00005A560000}"/>
    <cellStyle name="Standard 4 3 3 2 3 4 5" xfId="21909" xr:uid="{00000000-0005-0000-0000-00005B560000}"/>
    <cellStyle name="Standard 4 3 3 2 3 4 5 2" xfId="21910" xr:uid="{00000000-0005-0000-0000-00005C560000}"/>
    <cellStyle name="Standard 4 3 3 2 3 4 6" xfId="21911" xr:uid="{00000000-0005-0000-0000-00005D560000}"/>
    <cellStyle name="Standard 4 3 3 2 3 4 7" xfId="21912" xr:uid="{00000000-0005-0000-0000-00005E560000}"/>
    <cellStyle name="Standard 4 3 3 2 3 5" xfId="21913" xr:uid="{00000000-0005-0000-0000-00005F560000}"/>
    <cellStyle name="Standard 4 3 3 2 3 5 2" xfId="21914" xr:uid="{00000000-0005-0000-0000-000060560000}"/>
    <cellStyle name="Standard 4 3 3 2 3 5 2 2" xfId="21915" xr:uid="{00000000-0005-0000-0000-000061560000}"/>
    <cellStyle name="Standard 4 3 3 2 3 5 2 3" xfId="21916" xr:uid="{00000000-0005-0000-0000-000062560000}"/>
    <cellStyle name="Standard 4 3 3 2 3 5 3" xfId="21917" xr:uid="{00000000-0005-0000-0000-000063560000}"/>
    <cellStyle name="Standard 4 3 3 2 3 5 3 2" xfId="21918" xr:uid="{00000000-0005-0000-0000-000064560000}"/>
    <cellStyle name="Standard 4 3 3 2 3 5 3 3" xfId="21919" xr:uid="{00000000-0005-0000-0000-000065560000}"/>
    <cellStyle name="Standard 4 3 3 2 3 5 4" xfId="21920" xr:uid="{00000000-0005-0000-0000-000066560000}"/>
    <cellStyle name="Standard 4 3 3 2 3 5 4 2" xfId="21921" xr:uid="{00000000-0005-0000-0000-000067560000}"/>
    <cellStyle name="Standard 4 3 3 2 3 5 5" xfId="21922" xr:uid="{00000000-0005-0000-0000-000068560000}"/>
    <cellStyle name="Standard 4 3 3 2 3 5 6" xfId="21923" xr:uid="{00000000-0005-0000-0000-000069560000}"/>
    <cellStyle name="Standard 4 3 3 2 3 6" xfId="21924" xr:uid="{00000000-0005-0000-0000-00006A560000}"/>
    <cellStyle name="Standard 4 3 3 2 3 6 2" xfId="21925" xr:uid="{00000000-0005-0000-0000-00006B560000}"/>
    <cellStyle name="Standard 4 3 3 2 3 6 3" xfId="21926" xr:uid="{00000000-0005-0000-0000-00006C560000}"/>
    <cellStyle name="Standard 4 3 3 2 3 7" xfId="21927" xr:uid="{00000000-0005-0000-0000-00006D560000}"/>
    <cellStyle name="Standard 4 3 3 2 3 7 2" xfId="21928" xr:uid="{00000000-0005-0000-0000-00006E560000}"/>
    <cellStyle name="Standard 4 3 3 2 3 7 3" xfId="21929" xr:uid="{00000000-0005-0000-0000-00006F560000}"/>
    <cellStyle name="Standard 4 3 3 2 3 8" xfId="21930" xr:uid="{00000000-0005-0000-0000-000070560000}"/>
    <cellStyle name="Standard 4 3 3 2 3 8 2" xfId="21931" xr:uid="{00000000-0005-0000-0000-000071560000}"/>
    <cellStyle name="Standard 4 3 3 2 3 9" xfId="21932" xr:uid="{00000000-0005-0000-0000-000072560000}"/>
    <cellStyle name="Standard 4 3 3 2 4" xfId="21933" xr:uid="{00000000-0005-0000-0000-000073560000}"/>
    <cellStyle name="Standard 4 3 3 2 4 2" xfId="21934" xr:uid="{00000000-0005-0000-0000-000074560000}"/>
    <cellStyle name="Standard 4 3 3 2 4 2 2" xfId="21935" xr:uid="{00000000-0005-0000-0000-000075560000}"/>
    <cellStyle name="Standard 4 3 3 2 4 2 2 2" xfId="21936" xr:uid="{00000000-0005-0000-0000-000076560000}"/>
    <cellStyle name="Standard 4 3 3 2 4 2 2 2 2" xfId="21937" xr:uid="{00000000-0005-0000-0000-000077560000}"/>
    <cellStyle name="Standard 4 3 3 2 4 2 2 2 3" xfId="21938" xr:uid="{00000000-0005-0000-0000-000078560000}"/>
    <cellStyle name="Standard 4 3 3 2 4 2 2 3" xfId="21939" xr:uid="{00000000-0005-0000-0000-000079560000}"/>
    <cellStyle name="Standard 4 3 3 2 4 2 2 3 2" xfId="21940" xr:uid="{00000000-0005-0000-0000-00007A560000}"/>
    <cellStyle name="Standard 4 3 3 2 4 2 2 3 3" xfId="21941" xr:uid="{00000000-0005-0000-0000-00007B560000}"/>
    <cellStyle name="Standard 4 3 3 2 4 2 2 4" xfId="21942" xr:uid="{00000000-0005-0000-0000-00007C560000}"/>
    <cellStyle name="Standard 4 3 3 2 4 2 2 4 2" xfId="21943" xr:uid="{00000000-0005-0000-0000-00007D560000}"/>
    <cellStyle name="Standard 4 3 3 2 4 2 2 5" xfId="21944" xr:uid="{00000000-0005-0000-0000-00007E560000}"/>
    <cellStyle name="Standard 4 3 3 2 4 2 2 6" xfId="21945" xr:uid="{00000000-0005-0000-0000-00007F560000}"/>
    <cellStyle name="Standard 4 3 3 2 4 2 3" xfId="21946" xr:uid="{00000000-0005-0000-0000-000080560000}"/>
    <cellStyle name="Standard 4 3 3 2 4 2 3 2" xfId="21947" xr:uid="{00000000-0005-0000-0000-000081560000}"/>
    <cellStyle name="Standard 4 3 3 2 4 2 3 3" xfId="21948" xr:uid="{00000000-0005-0000-0000-000082560000}"/>
    <cellStyle name="Standard 4 3 3 2 4 2 4" xfId="21949" xr:uid="{00000000-0005-0000-0000-000083560000}"/>
    <cellStyle name="Standard 4 3 3 2 4 2 4 2" xfId="21950" xr:uid="{00000000-0005-0000-0000-000084560000}"/>
    <cellStyle name="Standard 4 3 3 2 4 2 4 3" xfId="21951" xr:uid="{00000000-0005-0000-0000-000085560000}"/>
    <cellStyle name="Standard 4 3 3 2 4 2 5" xfId="21952" xr:uid="{00000000-0005-0000-0000-000086560000}"/>
    <cellStyle name="Standard 4 3 3 2 4 2 5 2" xfId="21953" xr:uid="{00000000-0005-0000-0000-000087560000}"/>
    <cellStyle name="Standard 4 3 3 2 4 2 6" xfId="21954" xr:uid="{00000000-0005-0000-0000-000088560000}"/>
    <cellStyle name="Standard 4 3 3 2 4 2 7" xfId="21955" xr:uid="{00000000-0005-0000-0000-000089560000}"/>
    <cellStyle name="Standard 4 3 3 2 4 3" xfId="21956" xr:uid="{00000000-0005-0000-0000-00008A560000}"/>
    <cellStyle name="Standard 4 3 3 2 4 3 2" xfId="21957" xr:uid="{00000000-0005-0000-0000-00008B560000}"/>
    <cellStyle name="Standard 4 3 3 2 4 3 2 2" xfId="21958" xr:uid="{00000000-0005-0000-0000-00008C560000}"/>
    <cellStyle name="Standard 4 3 3 2 4 3 2 3" xfId="21959" xr:uid="{00000000-0005-0000-0000-00008D560000}"/>
    <cellStyle name="Standard 4 3 3 2 4 3 3" xfId="21960" xr:uid="{00000000-0005-0000-0000-00008E560000}"/>
    <cellStyle name="Standard 4 3 3 2 4 3 3 2" xfId="21961" xr:uid="{00000000-0005-0000-0000-00008F560000}"/>
    <cellStyle name="Standard 4 3 3 2 4 3 3 3" xfId="21962" xr:uid="{00000000-0005-0000-0000-000090560000}"/>
    <cellStyle name="Standard 4 3 3 2 4 3 4" xfId="21963" xr:uid="{00000000-0005-0000-0000-000091560000}"/>
    <cellStyle name="Standard 4 3 3 2 4 3 4 2" xfId="21964" xr:uid="{00000000-0005-0000-0000-000092560000}"/>
    <cellStyle name="Standard 4 3 3 2 4 3 5" xfId="21965" xr:uid="{00000000-0005-0000-0000-000093560000}"/>
    <cellStyle name="Standard 4 3 3 2 4 3 6" xfId="21966" xr:uid="{00000000-0005-0000-0000-000094560000}"/>
    <cellStyle name="Standard 4 3 3 2 4 4" xfId="21967" xr:uid="{00000000-0005-0000-0000-000095560000}"/>
    <cellStyle name="Standard 4 3 3 2 4 4 2" xfId="21968" xr:uid="{00000000-0005-0000-0000-000096560000}"/>
    <cellStyle name="Standard 4 3 3 2 4 4 3" xfId="21969" xr:uid="{00000000-0005-0000-0000-000097560000}"/>
    <cellStyle name="Standard 4 3 3 2 4 5" xfId="21970" xr:uid="{00000000-0005-0000-0000-000098560000}"/>
    <cellStyle name="Standard 4 3 3 2 4 5 2" xfId="21971" xr:uid="{00000000-0005-0000-0000-000099560000}"/>
    <cellStyle name="Standard 4 3 3 2 4 5 3" xfId="21972" xr:uid="{00000000-0005-0000-0000-00009A560000}"/>
    <cellStyle name="Standard 4 3 3 2 4 6" xfId="21973" xr:uid="{00000000-0005-0000-0000-00009B560000}"/>
    <cellStyle name="Standard 4 3 3 2 4 6 2" xfId="21974" xr:uid="{00000000-0005-0000-0000-00009C560000}"/>
    <cellStyle name="Standard 4 3 3 2 4 7" xfId="21975" xr:uid="{00000000-0005-0000-0000-00009D560000}"/>
    <cellStyle name="Standard 4 3 3 2 4 8" xfId="21976" xr:uid="{00000000-0005-0000-0000-00009E560000}"/>
    <cellStyle name="Standard 4 3 3 2 5" xfId="21977" xr:uid="{00000000-0005-0000-0000-00009F560000}"/>
    <cellStyle name="Standard 4 3 3 2 5 2" xfId="21978" xr:uid="{00000000-0005-0000-0000-0000A0560000}"/>
    <cellStyle name="Standard 4 3 3 2 5 2 2" xfId="21979" xr:uid="{00000000-0005-0000-0000-0000A1560000}"/>
    <cellStyle name="Standard 4 3 3 2 5 2 2 2" xfId="21980" xr:uid="{00000000-0005-0000-0000-0000A2560000}"/>
    <cellStyle name="Standard 4 3 3 2 5 2 2 2 2" xfId="21981" xr:uid="{00000000-0005-0000-0000-0000A3560000}"/>
    <cellStyle name="Standard 4 3 3 2 5 2 2 2 3" xfId="21982" xr:uid="{00000000-0005-0000-0000-0000A4560000}"/>
    <cellStyle name="Standard 4 3 3 2 5 2 2 3" xfId="21983" xr:uid="{00000000-0005-0000-0000-0000A5560000}"/>
    <cellStyle name="Standard 4 3 3 2 5 2 2 3 2" xfId="21984" xr:uid="{00000000-0005-0000-0000-0000A6560000}"/>
    <cellStyle name="Standard 4 3 3 2 5 2 2 3 3" xfId="21985" xr:uid="{00000000-0005-0000-0000-0000A7560000}"/>
    <cellStyle name="Standard 4 3 3 2 5 2 2 4" xfId="21986" xr:uid="{00000000-0005-0000-0000-0000A8560000}"/>
    <cellStyle name="Standard 4 3 3 2 5 2 2 4 2" xfId="21987" xr:uid="{00000000-0005-0000-0000-0000A9560000}"/>
    <cellStyle name="Standard 4 3 3 2 5 2 2 5" xfId="21988" xr:uid="{00000000-0005-0000-0000-0000AA560000}"/>
    <cellStyle name="Standard 4 3 3 2 5 2 2 6" xfId="21989" xr:uid="{00000000-0005-0000-0000-0000AB560000}"/>
    <cellStyle name="Standard 4 3 3 2 5 2 3" xfId="21990" xr:uid="{00000000-0005-0000-0000-0000AC560000}"/>
    <cellStyle name="Standard 4 3 3 2 5 2 3 2" xfId="21991" xr:uid="{00000000-0005-0000-0000-0000AD560000}"/>
    <cellStyle name="Standard 4 3 3 2 5 2 3 3" xfId="21992" xr:uid="{00000000-0005-0000-0000-0000AE560000}"/>
    <cellStyle name="Standard 4 3 3 2 5 2 4" xfId="21993" xr:uid="{00000000-0005-0000-0000-0000AF560000}"/>
    <cellStyle name="Standard 4 3 3 2 5 2 4 2" xfId="21994" xr:uid="{00000000-0005-0000-0000-0000B0560000}"/>
    <cellStyle name="Standard 4 3 3 2 5 2 4 3" xfId="21995" xr:uid="{00000000-0005-0000-0000-0000B1560000}"/>
    <cellStyle name="Standard 4 3 3 2 5 2 5" xfId="21996" xr:uid="{00000000-0005-0000-0000-0000B2560000}"/>
    <cellStyle name="Standard 4 3 3 2 5 2 5 2" xfId="21997" xr:uid="{00000000-0005-0000-0000-0000B3560000}"/>
    <cellStyle name="Standard 4 3 3 2 5 2 6" xfId="21998" xr:uid="{00000000-0005-0000-0000-0000B4560000}"/>
    <cellStyle name="Standard 4 3 3 2 5 2 7" xfId="21999" xr:uid="{00000000-0005-0000-0000-0000B5560000}"/>
    <cellStyle name="Standard 4 3 3 2 5 3" xfId="22000" xr:uid="{00000000-0005-0000-0000-0000B6560000}"/>
    <cellStyle name="Standard 4 3 3 2 5 3 2" xfId="22001" xr:uid="{00000000-0005-0000-0000-0000B7560000}"/>
    <cellStyle name="Standard 4 3 3 2 5 3 2 2" xfId="22002" xr:uid="{00000000-0005-0000-0000-0000B8560000}"/>
    <cellStyle name="Standard 4 3 3 2 5 3 2 3" xfId="22003" xr:uid="{00000000-0005-0000-0000-0000B9560000}"/>
    <cellStyle name="Standard 4 3 3 2 5 3 3" xfId="22004" xr:uid="{00000000-0005-0000-0000-0000BA560000}"/>
    <cellStyle name="Standard 4 3 3 2 5 3 3 2" xfId="22005" xr:uid="{00000000-0005-0000-0000-0000BB560000}"/>
    <cellStyle name="Standard 4 3 3 2 5 3 3 3" xfId="22006" xr:uid="{00000000-0005-0000-0000-0000BC560000}"/>
    <cellStyle name="Standard 4 3 3 2 5 3 4" xfId="22007" xr:uid="{00000000-0005-0000-0000-0000BD560000}"/>
    <cellStyle name="Standard 4 3 3 2 5 3 4 2" xfId="22008" xr:uid="{00000000-0005-0000-0000-0000BE560000}"/>
    <cellStyle name="Standard 4 3 3 2 5 3 5" xfId="22009" xr:uid="{00000000-0005-0000-0000-0000BF560000}"/>
    <cellStyle name="Standard 4 3 3 2 5 3 6" xfId="22010" xr:uid="{00000000-0005-0000-0000-0000C0560000}"/>
    <cellStyle name="Standard 4 3 3 2 5 4" xfId="22011" xr:uid="{00000000-0005-0000-0000-0000C1560000}"/>
    <cellStyle name="Standard 4 3 3 2 5 4 2" xfId="22012" xr:uid="{00000000-0005-0000-0000-0000C2560000}"/>
    <cellStyle name="Standard 4 3 3 2 5 4 3" xfId="22013" xr:uid="{00000000-0005-0000-0000-0000C3560000}"/>
    <cellStyle name="Standard 4 3 3 2 5 5" xfId="22014" xr:uid="{00000000-0005-0000-0000-0000C4560000}"/>
    <cellStyle name="Standard 4 3 3 2 5 5 2" xfId="22015" xr:uid="{00000000-0005-0000-0000-0000C5560000}"/>
    <cellStyle name="Standard 4 3 3 2 5 5 3" xfId="22016" xr:uid="{00000000-0005-0000-0000-0000C6560000}"/>
    <cellStyle name="Standard 4 3 3 2 5 6" xfId="22017" xr:uid="{00000000-0005-0000-0000-0000C7560000}"/>
    <cellStyle name="Standard 4 3 3 2 5 6 2" xfId="22018" xr:uid="{00000000-0005-0000-0000-0000C8560000}"/>
    <cellStyle name="Standard 4 3 3 2 5 7" xfId="22019" xr:uid="{00000000-0005-0000-0000-0000C9560000}"/>
    <cellStyle name="Standard 4 3 3 2 5 8" xfId="22020" xr:uid="{00000000-0005-0000-0000-0000CA560000}"/>
    <cellStyle name="Standard 4 3 3 2 6" xfId="22021" xr:uid="{00000000-0005-0000-0000-0000CB560000}"/>
    <cellStyle name="Standard 4 3 3 2 6 2" xfId="22022" xr:uid="{00000000-0005-0000-0000-0000CC560000}"/>
    <cellStyle name="Standard 4 3 3 2 6 2 2" xfId="22023" xr:uid="{00000000-0005-0000-0000-0000CD560000}"/>
    <cellStyle name="Standard 4 3 3 2 6 2 2 2" xfId="22024" xr:uid="{00000000-0005-0000-0000-0000CE560000}"/>
    <cellStyle name="Standard 4 3 3 2 6 2 2 3" xfId="22025" xr:uid="{00000000-0005-0000-0000-0000CF560000}"/>
    <cellStyle name="Standard 4 3 3 2 6 2 3" xfId="22026" xr:uid="{00000000-0005-0000-0000-0000D0560000}"/>
    <cellStyle name="Standard 4 3 3 2 6 2 3 2" xfId="22027" xr:uid="{00000000-0005-0000-0000-0000D1560000}"/>
    <cellStyle name="Standard 4 3 3 2 6 2 3 3" xfId="22028" xr:uid="{00000000-0005-0000-0000-0000D2560000}"/>
    <cellStyle name="Standard 4 3 3 2 6 2 4" xfId="22029" xr:uid="{00000000-0005-0000-0000-0000D3560000}"/>
    <cellStyle name="Standard 4 3 3 2 6 2 4 2" xfId="22030" xr:uid="{00000000-0005-0000-0000-0000D4560000}"/>
    <cellStyle name="Standard 4 3 3 2 6 2 5" xfId="22031" xr:uid="{00000000-0005-0000-0000-0000D5560000}"/>
    <cellStyle name="Standard 4 3 3 2 6 2 6" xfId="22032" xr:uid="{00000000-0005-0000-0000-0000D6560000}"/>
    <cellStyle name="Standard 4 3 3 2 6 3" xfId="22033" xr:uid="{00000000-0005-0000-0000-0000D7560000}"/>
    <cellStyle name="Standard 4 3 3 2 6 3 2" xfId="22034" xr:uid="{00000000-0005-0000-0000-0000D8560000}"/>
    <cellStyle name="Standard 4 3 3 2 6 3 3" xfId="22035" xr:uid="{00000000-0005-0000-0000-0000D9560000}"/>
    <cellStyle name="Standard 4 3 3 2 6 4" xfId="22036" xr:uid="{00000000-0005-0000-0000-0000DA560000}"/>
    <cellStyle name="Standard 4 3 3 2 6 4 2" xfId="22037" xr:uid="{00000000-0005-0000-0000-0000DB560000}"/>
    <cellStyle name="Standard 4 3 3 2 6 4 3" xfId="22038" xr:uid="{00000000-0005-0000-0000-0000DC560000}"/>
    <cellStyle name="Standard 4 3 3 2 6 5" xfId="22039" xr:uid="{00000000-0005-0000-0000-0000DD560000}"/>
    <cellStyle name="Standard 4 3 3 2 6 5 2" xfId="22040" xr:uid="{00000000-0005-0000-0000-0000DE560000}"/>
    <cellStyle name="Standard 4 3 3 2 6 6" xfId="22041" xr:uid="{00000000-0005-0000-0000-0000DF560000}"/>
    <cellStyle name="Standard 4 3 3 2 6 7" xfId="22042" xr:uid="{00000000-0005-0000-0000-0000E0560000}"/>
    <cellStyle name="Standard 4 3 3 2 7" xfId="22043" xr:uid="{00000000-0005-0000-0000-0000E1560000}"/>
    <cellStyle name="Standard 4 3 3 2 7 2" xfId="22044" xr:uid="{00000000-0005-0000-0000-0000E2560000}"/>
    <cellStyle name="Standard 4 3 3 2 7 2 2" xfId="22045" xr:uid="{00000000-0005-0000-0000-0000E3560000}"/>
    <cellStyle name="Standard 4 3 3 2 7 2 3" xfId="22046" xr:uid="{00000000-0005-0000-0000-0000E4560000}"/>
    <cellStyle name="Standard 4 3 3 2 7 3" xfId="22047" xr:uid="{00000000-0005-0000-0000-0000E5560000}"/>
    <cellStyle name="Standard 4 3 3 2 7 3 2" xfId="22048" xr:uid="{00000000-0005-0000-0000-0000E6560000}"/>
    <cellStyle name="Standard 4 3 3 2 7 3 3" xfId="22049" xr:uid="{00000000-0005-0000-0000-0000E7560000}"/>
    <cellStyle name="Standard 4 3 3 2 7 4" xfId="22050" xr:uid="{00000000-0005-0000-0000-0000E8560000}"/>
    <cellStyle name="Standard 4 3 3 2 7 4 2" xfId="22051" xr:uid="{00000000-0005-0000-0000-0000E9560000}"/>
    <cellStyle name="Standard 4 3 3 2 7 5" xfId="22052" xr:uid="{00000000-0005-0000-0000-0000EA560000}"/>
    <cellStyle name="Standard 4 3 3 2 7 6" xfId="22053" xr:uid="{00000000-0005-0000-0000-0000EB560000}"/>
    <cellStyle name="Standard 4 3 3 2 8" xfId="22054" xr:uid="{00000000-0005-0000-0000-0000EC560000}"/>
    <cellStyle name="Standard 4 3 3 2 8 2" xfId="22055" xr:uid="{00000000-0005-0000-0000-0000ED560000}"/>
    <cellStyle name="Standard 4 3 3 2 8 3" xfId="22056" xr:uid="{00000000-0005-0000-0000-0000EE560000}"/>
    <cellStyle name="Standard 4 3 3 2 9" xfId="22057" xr:uid="{00000000-0005-0000-0000-0000EF560000}"/>
    <cellStyle name="Standard 4 3 3 2 9 2" xfId="22058" xr:uid="{00000000-0005-0000-0000-0000F0560000}"/>
    <cellStyle name="Standard 4 3 3 2 9 3" xfId="22059" xr:uid="{00000000-0005-0000-0000-0000F1560000}"/>
    <cellStyle name="Standard 4 3 3 3" xfId="22060" xr:uid="{00000000-0005-0000-0000-0000F2560000}"/>
    <cellStyle name="Standard 4 3 3 3 10" xfId="22061" xr:uid="{00000000-0005-0000-0000-0000F3560000}"/>
    <cellStyle name="Standard 4 3 3 3 11" xfId="22062" xr:uid="{00000000-0005-0000-0000-0000F4560000}"/>
    <cellStyle name="Standard 4 3 3 3 2" xfId="22063" xr:uid="{00000000-0005-0000-0000-0000F5560000}"/>
    <cellStyle name="Standard 4 3 3 3 2 10" xfId="22064" xr:uid="{00000000-0005-0000-0000-0000F6560000}"/>
    <cellStyle name="Standard 4 3 3 3 2 2" xfId="22065" xr:uid="{00000000-0005-0000-0000-0000F7560000}"/>
    <cellStyle name="Standard 4 3 3 3 2 2 2" xfId="22066" xr:uid="{00000000-0005-0000-0000-0000F8560000}"/>
    <cellStyle name="Standard 4 3 3 3 2 2 2 2" xfId="22067" xr:uid="{00000000-0005-0000-0000-0000F9560000}"/>
    <cellStyle name="Standard 4 3 3 3 2 2 2 2 2" xfId="22068" xr:uid="{00000000-0005-0000-0000-0000FA560000}"/>
    <cellStyle name="Standard 4 3 3 3 2 2 2 2 2 2" xfId="22069" xr:uid="{00000000-0005-0000-0000-0000FB560000}"/>
    <cellStyle name="Standard 4 3 3 3 2 2 2 2 2 3" xfId="22070" xr:uid="{00000000-0005-0000-0000-0000FC560000}"/>
    <cellStyle name="Standard 4 3 3 3 2 2 2 2 3" xfId="22071" xr:uid="{00000000-0005-0000-0000-0000FD560000}"/>
    <cellStyle name="Standard 4 3 3 3 2 2 2 2 3 2" xfId="22072" xr:uid="{00000000-0005-0000-0000-0000FE560000}"/>
    <cellStyle name="Standard 4 3 3 3 2 2 2 2 3 3" xfId="22073" xr:uid="{00000000-0005-0000-0000-0000FF560000}"/>
    <cellStyle name="Standard 4 3 3 3 2 2 2 2 4" xfId="22074" xr:uid="{00000000-0005-0000-0000-000000570000}"/>
    <cellStyle name="Standard 4 3 3 3 2 2 2 2 4 2" xfId="22075" xr:uid="{00000000-0005-0000-0000-000001570000}"/>
    <cellStyle name="Standard 4 3 3 3 2 2 2 2 5" xfId="22076" xr:uid="{00000000-0005-0000-0000-000002570000}"/>
    <cellStyle name="Standard 4 3 3 3 2 2 2 2 6" xfId="22077" xr:uid="{00000000-0005-0000-0000-000003570000}"/>
    <cellStyle name="Standard 4 3 3 3 2 2 2 3" xfId="22078" xr:uid="{00000000-0005-0000-0000-000004570000}"/>
    <cellStyle name="Standard 4 3 3 3 2 2 2 3 2" xfId="22079" xr:uid="{00000000-0005-0000-0000-000005570000}"/>
    <cellStyle name="Standard 4 3 3 3 2 2 2 3 3" xfId="22080" xr:uid="{00000000-0005-0000-0000-000006570000}"/>
    <cellStyle name="Standard 4 3 3 3 2 2 2 4" xfId="22081" xr:uid="{00000000-0005-0000-0000-000007570000}"/>
    <cellStyle name="Standard 4 3 3 3 2 2 2 4 2" xfId="22082" xr:uid="{00000000-0005-0000-0000-000008570000}"/>
    <cellStyle name="Standard 4 3 3 3 2 2 2 4 3" xfId="22083" xr:uid="{00000000-0005-0000-0000-000009570000}"/>
    <cellStyle name="Standard 4 3 3 3 2 2 2 5" xfId="22084" xr:uid="{00000000-0005-0000-0000-00000A570000}"/>
    <cellStyle name="Standard 4 3 3 3 2 2 2 5 2" xfId="22085" xr:uid="{00000000-0005-0000-0000-00000B570000}"/>
    <cellStyle name="Standard 4 3 3 3 2 2 2 6" xfId="22086" xr:uid="{00000000-0005-0000-0000-00000C570000}"/>
    <cellStyle name="Standard 4 3 3 3 2 2 2 7" xfId="22087" xr:uid="{00000000-0005-0000-0000-00000D570000}"/>
    <cellStyle name="Standard 4 3 3 3 2 2 3" xfId="22088" xr:uid="{00000000-0005-0000-0000-00000E570000}"/>
    <cellStyle name="Standard 4 3 3 3 2 2 3 2" xfId="22089" xr:uid="{00000000-0005-0000-0000-00000F570000}"/>
    <cellStyle name="Standard 4 3 3 3 2 2 3 2 2" xfId="22090" xr:uid="{00000000-0005-0000-0000-000010570000}"/>
    <cellStyle name="Standard 4 3 3 3 2 2 3 2 3" xfId="22091" xr:uid="{00000000-0005-0000-0000-000011570000}"/>
    <cellStyle name="Standard 4 3 3 3 2 2 3 3" xfId="22092" xr:uid="{00000000-0005-0000-0000-000012570000}"/>
    <cellStyle name="Standard 4 3 3 3 2 2 3 3 2" xfId="22093" xr:uid="{00000000-0005-0000-0000-000013570000}"/>
    <cellStyle name="Standard 4 3 3 3 2 2 3 3 3" xfId="22094" xr:uid="{00000000-0005-0000-0000-000014570000}"/>
    <cellStyle name="Standard 4 3 3 3 2 2 3 4" xfId="22095" xr:uid="{00000000-0005-0000-0000-000015570000}"/>
    <cellStyle name="Standard 4 3 3 3 2 2 3 4 2" xfId="22096" xr:uid="{00000000-0005-0000-0000-000016570000}"/>
    <cellStyle name="Standard 4 3 3 3 2 2 3 5" xfId="22097" xr:uid="{00000000-0005-0000-0000-000017570000}"/>
    <cellStyle name="Standard 4 3 3 3 2 2 3 6" xfId="22098" xr:uid="{00000000-0005-0000-0000-000018570000}"/>
    <cellStyle name="Standard 4 3 3 3 2 2 4" xfId="22099" xr:uid="{00000000-0005-0000-0000-000019570000}"/>
    <cellStyle name="Standard 4 3 3 3 2 2 4 2" xfId="22100" xr:uid="{00000000-0005-0000-0000-00001A570000}"/>
    <cellStyle name="Standard 4 3 3 3 2 2 4 3" xfId="22101" xr:uid="{00000000-0005-0000-0000-00001B570000}"/>
    <cellStyle name="Standard 4 3 3 3 2 2 5" xfId="22102" xr:uid="{00000000-0005-0000-0000-00001C570000}"/>
    <cellStyle name="Standard 4 3 3 3 2 2 5 2" xfId="22103" xr:uid="{00000000-0005-0000-0000-00001D570000}"/>
    <cellStyle name="Standard 4 3 3 3 2 2 5 3" xfId="22104" xr:uid="{00000000-0005-0000-0000-00001E570000}"/>
    <cellStyle name="Standard 4 3 3 3 2 2 6" xfId="22105" xr:uid="{00000000-0005-0000-0000-00001F570000}"/>
    <cellStyle name="Standard 4 3 3 3 2 2 6 2" xfId="22106" xr:uid="{00000000-0005-0000-0000-000020570000}"/>
    <cellStyle name="Standard 4 3 3 3 2 2 7" xfId="22107" xr:uid="{00000000-0005-0000-0000-000021570000}"/>
    <cellStyle name="Standard 4 3 3 3 2 2 8" xfId="22108" xr:uid="{00000000-0005-0000-0000-000022570000}"/>
    <cellStyle name="Standard 4 3 3 3 2 3" xfId="22109" xr:uid="{00000000-0005-0000-0000-000023570000}"/>
    <cellStyle name="Standard 4 3 3 3 2 3 2" xfId="22110" xr:uid="{00000000-0005-0000-0000-000024570000}"/>
    <cellStyle name="Standard 4 3 3 3 2 3 2 2" xfId="22111" xr:uid="{00000000-0005-0000-0000-000025570000}"/>
    <cellStyle name="Standard 4 3 3 3 2 3 2 2 2" xfId="22112" xr:uid="{00000000-0005-0000-0000-000026570000}"/>
    <cellStyle name="Standard 4 3 3 3 2 3 2 2 2 2" xfId="22113" xr:uid="{00000000-0005-0000-0000-000027570000}"/>
    <cellStyle name="Standard 4 3 3 3 2 3 2 2 2 3" xfId="22114" xr:uid="{00000000-0005-0000-0000-000028570000}"/>
    <cellStyle name="Standard 4 3 3 3 2 3 2 2 3" xfId="22115" xr:uid="{00000000-0005-0000-0000-000029570000}"/>
    <cellStyle name="Standard 4 3 3 3 2 3 2 2 3 2" xfId="22116" xr:uid="{00000000-0005-0000-0000-00002A570000}"/>
    <cellStyle name="Standard 4 3 3 3 2 3 2 2 3 3" xfId="22117" xr:uid="{00000000-0005-0000-0000-00002B570000}"/>
    <cellStyle name="Standard 4 3 3 3 2 3 2 2 4" xfId="22118" xr:uid="{00000000-0005-0000-0000-00002C570000}"/>
    <cellStyle name="Standard 4 3 3 3 2 3 2 2 4 2" xfId="22119" xr:uid="{00000000-0005-0000-0000-00002D570000}"/>
    <cellStyle name="Standard 4 3 3 3 2 3 2 2 5" xfId="22120" xr:uid="{00000000-0005-0000-0000-00002E570000}"/>
    <cellStyle name="Standard 4 3 3 3 2 3 2 2 6" xfId="22121" xr:uid="{00000000-0005-0000-0000-00002F570000}"/>
    <cellStyle name="Standard 4 3 3 3 2 3 2 3" xfId="22122" xr:uid="{00000000-0005-0000-0000-000030570000}"/>
    <cellStyle name="Standard 4 3 3 3 2 3 2 3 2" xfId="22123" xr:uid="{00000000-0005-0000-0000-000031570000}"/>
    <cellStyle name="Standard 4 3 3 3 2 3 2 3 3" xfId="22124" xr:uid="{00000000-0005-0000-0000-000032570000}"/>
    <cellStyle name="Standard 4 3 3 3 2 3 2 4" xfId="22125" xr:uid="{00000000-0005-0000-0000-000033570000}"/>
    <cellStyle name="Standard 4 3 3 3 2 3 2 4 2" xfId="22126" xr:uid="{00000000-0005-0000-0000-000034570000}"/>
    <cellStyle name="Standard 4 3 3 3 2 3 2 4 3" xfId="22127" xr:uid="{00000000-0005-0000-0000-000035570000}"/>
    <cellStyle name="Standard 4 3 3 3 2 3 2 5" xfId="22128" xr:uid="{00000000-0005-0000-0000-000036570000}"/>
    <cellStyle name="Standard 4 3 3 3 2 3 2 5 2" xfId="22129" xr:uid="{00000000-0005-0000-0000-000037570000}"/>
    <cellStyle name="Standard 4 3 3 3 2 3 2 6" xfId="22130" xr:uid="{00000000-0005-0000-0000-000038570000}"/>
    <cellStyle name="Standard 4 3 3 3 2 3 2 7" xfId="22131" xr:uid="{00000000-0005-0000-0000-000039570000}"/>
    <cellStyle name="Standard 4 3 3 3 2 3 3" xfId="22132" xr:uid="{00000000-0005-0000-0000-00003A570000}"/>
    <cellStyle name="Standard 4 3 3 3 2 3 3 2" xfId="22133" xr:uid="{00000000-0005-0000-0000-00003B570000}"/>
    <cellStyle name="Standard 4 3 3 3 2 3 3 2 2" xfId="22134" xr:uid="{00000000-0005-0000-0000-00003C570000}"/>
    <cellStyle name="Standard 4 3 3 3 2 3 3 2 3" xfId="22135" xr:uid="{00000000-0005-0000-0000-00003D570000}"/>
    <cellStyle name="Standard 4 3 3 3 2 3 3 3" xfId="22136" xr:uid="{00000000-0005-0000-0000-00003E570000}"/>
    <cellStyle name="Standard 4 3 3 3 2 3 3 3 2" xfId="22137" xr:uid="{00000000-0005-0000-0000-00003F570000}"/>
    <cellStyle name="Standard 4 3 3 3 2 3 3 3 3" xfId="22138" xr:uid="{00000000-0005-0000-0000-000040570000}"/>
    <cellStyle name="Standard 4 3 3 3 2 3 3 4" xfId="22139" xr:uid="{00000000-0005-0000-0000-000041570000}"/>
    <cellStyle name="Standard 4 3 3 3 2 3 3 4 2" xfId="22140" xr:uid="{00000000-0005-0000-0000-000042570000}"/>
    <cellStyle name="Standard 4 3 3 3 2 3 3 5" xfId="22141" xr:uid="{00000000-0005-0000-0000-000043570000}"/>
    <cellStyle name="Standard 4 3 3 3 2 3 3 6" xfId="22142" xr:uid="{00000000-0005-0000-0000-000044570000}"/>
    <cellStyle name="Standard 4 3 3 3 2 3 4" xfId="22143" xr:uid="{00000000-0005-0000-0000-000045570000}"/>
    <cellStyle name="Standard 4 3 3 3 2 3 4 2" xfId="22144" xr:uid="{00000000-0005-0000-0000-000046570000}"/>
    <cellStyle name="Standard 4 3 3 3 2 3 4 3" xfId="22145" xr:uid="{00000000-0005-0000-0000-000047570000}"/>
    <cellStyle name="Standard 4 3 3 3 2 3 5" xfId="22146" xr:uid="{00000000-0005-0000-0000-000048570000}"/>
    <cellStyle name="Standard 4 3 3 3 2 3 5 2" xfId="22147" xr:uid="{00000000-0005-0000-0000-000049570000}"/>
    <cellStyle name="Standard 4 3 3 3 2 3 5 3" xfId="22148" xr:uid="{00000000-0005-0000-0000-00004A570000}"/>
    <cellStyle name="Standard 4 3 3 3 2 3 6" xfId="22149" xr:uid="{00000000-0005-0000-0000-00004B570000}"/>
    <cellStyle name="Standard 4 3 3 3 2 3 6 2" xfId="22150" xr:uid="{00000000-0005-0000-0000-00004C570000}"/>
    <cellStyle name="Standard 4 3 3 3 2 3 7" xfId="22151" xr:uid="{00000000-0005-0000-0000-00004D570000}"/>
    <cellStyle name="Standard 4 3 3 3 2 3 8" xfId="22152" xr:uid="{00000000-0005-0000-0000-00004E570000}"/>
    <cellStyle name="Standard 4 3 3 3 2 4" xfId="22153" xr:uid="{00000000-0005-0000-0000-00004F570000}"/>
    <cellStyle name="Standard 4 3 3 3 2 4 2" xfId="22154" xr:uid="{00000000-0005-0000-0000-000050570000}"/>
    <cellStyle name="Standard 4 3 3 3 2 4 2 2" xfId="22155" xr:uid="{00000000-0005-0000-0000-000051570000}"/>
    <cellStyle name="Standard 4 3 3 3 2 4 2 2 2" xfId="22156" xr:uid="{00000000-0005-0000-0000-000052570000}"/>
    <cellStyle name="Standard 4 3 3 3 2 4 2 2 3" xfId="22157" xr:uid="{00000000-0005-0000-0000-000053570000}"/>
    <cellStyle name="Standard 4 3 3 3 2 4 2 3" xfId="22158" xr:uid="{00000000-0005-0000-0000-000054570000}"/>
    <cellStyle name="Standard 4 3 3 3 2 4 2 3 2" xfId="22159" xr:uid="{00000000-0005-0000-0000-000055570000}"/>
    <cellStyle name="Standard 4 3 3 3 2 4 2 3 3" xfId="22160" xr:uid="{00000000-0005-0000-0000-000056570000}"/>
    <cellStyle name="Standard 4 3 3 3 2 4 2 4" xfId="22161" xr:uid="{00000000-0005-0000-0000-000057570000}"/>
    <cellStyle name="Standard 4 3 3 3 2 4 2 4 2" xfId="22162" xr:uid="{00000000-0005-0000-0000-000058570000}"/>
    <cellStyle name="Standard 4 3 3 3 2 4 2 5" xfId="22163" xr:uid="{00000000-0005-0000-0000-000059570000}"/>
    <cellStyle name="Standard 4 3 3 3 2 4 2 6" xfId="22164" xr:uid="{00000000-0005-0000-0000-00005A570000}"/>
    <cellStyle name="Standard 4 3 3 3 2 4 3" xfId="22165" xr:uid="{00000000-0005-0000-0000-00005B570000}"/>
    <cellStyle name="Standard 4 3 3 3 2 4 3 2" xfId="22166" xr:uid="{00000000-0005-0000-0000-00005C570000}"/>
    <cellStyle name="Standard 4 3 3 3 2 4 3 3" xfId="22167" xr:uid="{00000000-0005-0000-0000-00005D570000}"/>
    <cellStyle name="Standard 4 3 3 3 2 4 4" xfId="22168" xr:uid="{00000000-0005-0000-0000-00005E570000}"/>
    <cellStyle name="Standard 4 3 3 3 2 4 4 2" xfId="22169" xr:uid="{00000000-0005-0000-0000-00005F570000}"/>
    <cellStyle name="Standard 4 3 3 3 2 4 4 3" xfId="22170" xr:uid="{00000000-0005-0000-0000-000060570000}"/>
    <cellStyle name="Standard 4 3 3 3 2 4 5" xfId="22171" xr:uid="{00000000-0005-0000-0000-000061570000}"/>
    <cellStyle name="Standard 4 3 3 3 2 4 5 2" xfId="22172" xr:uid="{00000000-0005-0000-0000-000062570000}"/>
    <cellStyle name="Standard 4 3 3 3 2 4 6" xfId="22173" xr:uid="{00000000-0005-0000-0000-000063570000}"/>
    <cellStyle name="Standard 4 3 3 3 2 4 7" xfId="22174" xr:uid="{00000000-0005-0000-0000-000064570000}"/>
    <cellStyle name="Standard 4 3 3 3 2 5" xfId="22175" xr:uid="{00000000-0005-0000-0000-000065570000}"/>
    <cellStyle name="Standard 4 3 3 3 2 5 2" xfId="22176" xr:uid="{00000000-0005-0000-0000-000066570000}"/>
    <cellStyle name="Standard 4 3 3 3 2 5 2 2" xfId="22177" xr:uid="{00000000-0005-0000-0000-000067570000}"/>
    <cellStyle name="Standard 4 3 3 3 2 5 2 3" xfId="22178" xr:uid="{00000000-0005-0000-0000-000068570000}"/>
    <cellStyle name="Standard 4 3 3 3 2 5 3" xfId="22179" xr:uid="{00000000-0005-0000-0000-000069570000}"/>
    <cellStyle name="Standard 4 3 3 3 2 5 3 2" xfId="22180" xr:uid="{00000000-0005-0000-0000-00006A570000}"/>
    <cellStyle name="Standard 4 3 3 3 2 5 3 3" xfId="22181" xr:uid="{00000000-0005-0000-0000-00006B570000}"/>
    <cellStyle name="Standard 4 3 3 3 2 5 4" xfId="22182" xr:uid="{00000000-0005-0000-0000-00006C570000}"/>
    <cellStyle name="Standard 4 3 3 3 2 5 4 2" xfId="22183" xr:uid="{00000000-0005-0000-0000-00006D570000}"/>
    <cellStyle name="Standard 4 3 3 3 2 5 5" xfId="22184" xr:uid="{00000000-0005-0000-0000-00006E570000}"/>
    <cellStyle name="Standard 4 3 3 3 2 5 6" xfId="22185" xr:uid="{00000000-0005-0000-0000-00006F570000}"/>
    <cellStyle name="Standard 4 3 3 3 2 6" xfId="22186" xr:uid="{00000000-0005-0000-0000-000070570000}"/>
    <cellStyle name="Standard 4 3 3 3 2 6 2" xfId="22187" xr:uid="{00000000-0005-0000-0000-000071570000}"/>
    <cellStyle name="Standard 4 3 3 3 2 6 3" xfId="22188" xr:uid="{00000000-0005-0000-0000-000072570000}"/>
    <cellStyle name="Standard 4 3 3 3 2 7" xfId="22189" xr:uid="{00000000-0005-0000-0000-000073570000}"/>
    <cellStyle name="Standard 4 3 3 3 2 7 2" xfId="22190" xr:uid="{00000000-0005-0000-0000-000074570000}"/>
    <cellStyle name="Standard 4 3 3 3 2 7 3" xfId="22191" xr:uid="{00000000-0005-0000-0000-000075570000}"/>
    <cellStyle name="Standard 4 3 3 3 2 8" xfId="22192" xr:uid="{00000000-0005-0000-0000-000076570000}"/>
    <cellStyle name="Standard 4 3 3 3 2 8 2" xfId="22193" xr:uid="{00000000-0005-0000-0000-000077570000}"/>
    <cellStyle name="Standard 4 3 3 3 2 9" xfId="22194" xr:uid="{00000000-0005-0000-0000-000078570000}"/>
    <cellStyle name="Standard 4 3 3 3 3" xfId="22195" xr:uid="{00000000-0005-0000-0000-000079570000}"/>
    <cellStyle name="Standard 4 3 3 3 3 2" xfId="22196" xr:uid="{00000000-0005-0000-0000-00007A570000}"/>
    <cellStyle name="Standard 4 3 3 3 3 2 2" xfId="22197" xr:uid="{00000000-0005-0000-0000-00007B570000}"/>
    <cellStyle name="Standard 4 3 3 3 3 2 2 2" xfId="22198" xr:uid="{00000000-0005-0000-0000-00007C570000}"/>
    <cellStyle name="Standard 4 3 3 3 3 2 2 2 2" xfId="22199" xr:uid="{00000000-0005-0000-0000-00007D570000}"/>
    <cellStyle name="Standard 4 3 3 3 3 2 2 2 3" xfId="22200" xr:uid="{00000000-0005-0000-0000-00007E570000}"/>
    <cellStyle name="Standard 4 3 3 3 3 2 2 3" xfId="22201" xr:uid="{00000000-0005-0000-0000-00007F570000}"/>
    <cellStyle name="Standard 4 3 3 3 3 2 2 3 2" xfId="22202" xr:uid="{00000000-0005-0000-0000-000080570000}"/>
    <cellStyle name="Standard 4 3 3 3 3 2 2 3 3" xfId="22203" xr:uid="{00000000-0005-0000-0000-000081570000}"/>
    <cellStyle name="Standard 4 3 3 3 3 2 2 4" xfId="22204" xr:uid="{00000000-0005-0000-0000-000082570000}"/>
    <cellStyle name="Standard 4 3 3 3 3 2 2 4 2" xfId="22205" xr:uid="{00000000-0005-0000-0000-000083570000}"/>
    <cellStyle name="Standard 4 3 3 3 3 2 2 5" xfId="22206" xr:uid="{00000000-0005-0000-0000-000084570000}"/>
    <cellStyle name="Standard 4 3 3 3 3 2 2 6" xfId="22207" xr:uid="{00000000-0005-0000-0000-000085570000}"/>
    <cellStyle name="Standard 4 3 3 3 3 2 3" xfId="22208" xr:uid="{00000000-0005-0000-0000-000086570000}"/>
    <cellStyle name="Standard 4 3 3 3 3 2 3 2" xfId="22209" xr:uid="{00000000-0005-0000-0000-000087570000}"/>
    <cellStyle name="Standard 4 3 3 3 3 2 3 3" xfId="22210" xr:uid="{00000000-0005-0000-0000-000088570000}"/>
    <cellStyle name="Standard 4 3 3 3 3 2 4" xfId="22211" xr:uid="{00000000-0005-0000-0000-000089570000}"/>
    <cellStyle name="Standard 4 3 3 3 3 2 4 2" xfId="22212" xr:uid="{00000000-0005-0000-0000-00008A570000}"/>
    <cellStyle name="Standard 4 3 3 3 3 2 4 3" xfId="22213" xr:uid="{00000000-0005-0000-0000-00008B570000}"/>
    <cellStyle name="Standard 4 3 3 3 3 2 5" xfId="22214" xr:uid="{00000000-0005-0000-0000-00008C570000}"/>
    <cellStyle name="Standard 4 3 3 3 3 2 5 2" xfId="22215" xr:uid="{00000000-0005-0000-0000-00008D570000}"/>
    <cellStyle name="Standard 4 3 3 3 3 2 6" xfId="22216" xr:uid="{00000000-0005-0000-0000-00008E570000}"/>
    <cellStyle name="Standard 4 3 3 3 3 2 7" xfId="22217" xr:uid="{00000000-0005-0000-0000-00008F570000}"/>
    <cellStyle name="Standard 4 3 3 3 3 3" xfId="22218" xr:uid="{00000000-0005-0000-0000-000090570000}"/>
    <cellStyle name="Standard 4 3 3 3 3 3 2" xfId="22219" xr:uid="{00000000-0005-0000-0000-000091570000}"/>
    <cellStyle name="Standard 4 3 3 3 3 3 2 2" xfId="22220" xr:uid="{00000000-0005-0000-0000-000092570000}"/>
    <cellStyle name="Standard 4 3 3 3 3 3 2 3" xfId="22221" xr:uid="{00000000-0005-0000-0000-000093570000}"/>
    <cellStyle name="Standard 4 3 3 3 3 3 3" xfId="22222" xr:uid="{00000000-0005-0000-0000-000094570000}"/>
    <cellStyle name="Standard 4 3 3 3 3 3 3 2" xfId="22223" xr:uid="{00000000-0005-0000-0000-000095570000}"/>
    <cellStyle name="Standard 4 3 3 3 3 3 3 3" xfId="22224" xr:uid="{00000000-0005-0000-0000-000096570000}"/>
    <cellStyle name="Standard 4 3 3 3 3 3 4" xfId="22225" xr:uid="{00000000-0005-0000-0000-000097570000}"/>
    <cellStyle name="Standard 4 3 3 3 3 3 4 2" xfId="22226" xr:uid="{00000000-0005-0000-0000-000098570000}"/>
    <cellStyle name="Standard 4 3 3 3 3 3 5" xfId="22227" xr:uid="{00000000-0005-0000-0000-000099570000}"/>
    <cellStyle name="Standard 4 3 3 3 3 3 6" xfId="22228" xr:uid="{00000000-0005-0000-0000-00009A570000}"/>
    <cellStyle name="Standard 4 3 3 3 3 4" xfId="22229" xr:uid="{00000000-0005-0000-0000-00009B570000}"/>
    <cellStyle name="Standard 4 3 3 3 3 4 2" xfId="22230" xr:uid="{00000000-0005-0000-0000-00009C570000}"/>
    <cellStyle name="Standard 4 3 3 3 3 4 3" xfId="22231" xr:uid="{00000000-0005-0000-0000-00009D570000}"/>
    <cellStyle name="Standard 4 3 3 3 3 5" xfId="22232" xr:uid="{00000000-0005-0000-0000-00009E570000}"/>
    <cellStyle name="Standard 4 3 3 3 3 5 2" xfId="22233" xr:uid="{00000000-0005-0000-0000-00009F570000}"/>
    <cellStyle name="Standard 4 3 3 3 3 5 3" xfId="22234" xr:uid="{00000000-0005-0000-0000-0000A0570000}"/>
    <cellStyle name="Standard 4 3 3 3 3 6" xfId="22235" xr:uid="{00000000-0005-0000-0000-0000A1570000}"/>
    <cellStyle name="Standard 4 3 3 3 3 6 2" xfId="22236" xr:uid="{00000000-0005-0000-0000-0000A2570000}"/>
    <cellStyle name="Standard 4 3 3 3 3 7" xfId="22237" xr:uid="{00000000-0005-0000-0000-0000A3570000}"/>
    <cellStyle name="Standard 4 3 3 3 3 8" xfId="22238" xr:uid="{00000000-0005-0000-0000-0000A4570000}"/>
    <cellStyle name="Standard 4 3 3 3 4" xfId="22239" xr:uid="{00000000-0005-0000-0000-0000A5570000}"/>
    <cellStyle name="Standard 4 3 3 3 4 2" xfId="22240" xr:uid="{00000000-0005-0000-0000-0000A6570000}"/>
    <cellStyle name="Standard 4 3 3 3 4 2 2" xfId="22241" xr:uid="{00000000-0005-0000-0000-0000A7570000}"/>
    <cellStyle name="Standard 4 3 3 3 4 2 2 2" xfId="22242" xr:uid="{00000000-0005-0000-0000-0000A8570000}"/>
    <cellStyle name="Standard 4 3 3 3 4 2 2 2 2" xfId="22243" xr:uid="{00000000-0005-0000-0000-0000A9570000}"/>
    <cellStyle name="Standard 4 3 3 3 4 2 2 2 3" xfId="22244" xr:uid="{00000000-0005-0000-0000-0000AA570000}"/>
    <cellStyle name="Standard 4 3 3 3 4 2 2 3" xfId="22245" xr:uid="{00000000-0005-0000-0000-0000AB570000}"/>
    <cellStyle name="Standard 4 3 3 3 4 2 2 3 2" xfId="22246" xr:uid="{00000000-0005-0000-0000-0000AC570000}"/>
    <cellStyle name="Standard 4 3 3 3 4 2 2 3 3" xfId="22247" xr:uid="{00000000-0005-0000-0000-0000AD570000}"/>
    <cellStyle name="Standard 4 3 3 3 4 2 2 4" xfId="22248" xr:uid="{00000000-0005-0000-0000-0000AE570000}"/>
    <cellStyle name="Standard 4 3 3 3 4 2 2 4 2" xfId="22249" xr:uid="{00000000-0005-0000-0000-0000AF570000}"/>
    <cellStyle name="Standard 4 3 3 3 4 2 2 5" xfId="22250" xr:uid="{00000000-0005-0000-0000-0000B0570000}"/>
    <cellStyle name="Standard 4 3 3 3 4 2 2 6" xfId="22251" xr:uid="{00000000-0005-0000-0000-0000B1570000}"/>
    <cellStyle name="Standard 4 3 3 3 4 2 3" xfId="22252" xr:uid="{00000000-0005-0000-0000-0000B2570000}"/>
    <cellStyle name="Standard 4 3 3 3 4 2 3 2" xfId="22253" xr:uid="{00000000-0005-0000-0000-0000B3570000}"/>
    <cellStyle name="Standard 4 3 3 3 4 2 3 3" xfId="22254" xr:uid="{00000000-0005-0000-0000-0000B4570000}"/>
    <cellStyle name="Standard 4 3 3 3 4 2 4" xfId="22255" xr:uid="{00000000-0005-0000-0000-0000B5570000}"/>
    <cellStyle name="Standard 4 3 3 3 4 2 4 2" xfId="22256" xr:uid="{00000000-0005-0000-0000-0000B6570000}"/>
    <cellStyle name="Standard 4 3 3 3 4 2 4 3" xfId="22257" xr:uid="{00000000-0005-0000-0000-0000B7570000}"/>
    <cellStyle name="Standard 4 3 3 3 4 2 5" xfId="22258" xr:uid="{00000000-0005-0000-0000-0000B8570000}"/>
    <cellStyle name="Standard 4 3 3 3 4 2 5 2" xfId="22259" xr:uid="{00000000-0005-0000-0000-0000B9570000}"/>
    <cellStyle name="Standard 4 3 3 3 4 2 6" xfId="22260" xr:uid="{00000000-0005-0000-0000-0000BA570000}"/>
    <cellStyle name="Standard 4 3 3 3 4 2 7" xfId="22261" xr:uid="{00000000-0005-0000-0000-0000BB570000}"/>
    <cellStyle name="Standard 4 3 3 3 4 3" xfId="22262" xr:uid="{00000000-0005-0000-0000-0000BC570000}"/>
    <cellStyle name="Standard 4 3 3 3 4 3 2" xfId="22263" xr:uid="{00000000-0005-0000-0000-0000BD570000}"/>
    <cellStyle name="Standard 4 3 3 3 4 3 2 2" xfId="22264" xr:uid="{00000000-0005-0000-0000-0000BE570000}"/>
    <cellStyle name="Standard 4 3 3 3 4 3 2 3" xfId="22265" xr:uid="{00000000-0005-0000-0000-0000BF570000}"/>
    <cellStyle name="Standard 4 3 3 3 4 3 3" xfId="22266" xr:uid="{00000000-0005-0000-0000-0000C0570000}"/>
    <cellStyle name="Standard 4 3 3 3 4 3 3 2" xfId="22267" xr:uid="{00000000-0005-0000-0000-0000C1570000}"/>
    <cellStyle name="Standard 4 3 3 3 4 3 3 3" xfId="22268" xr:uid="{00000000-0005-0000-0000-0000C2570000}"/>
    <cellStyle name="Standard 4 3 3 3 4 3 4" xfId="22269" xr:uid="{00000000-0005-0000-0000-0000C3570000}"/>
    <cellStyle name="Standard 4 3 3 3 4 3 4 2" xfId="22270" xr:uid="{00000000-0005-0000-0000-0000C4570000}"/>
    <cellStyle name="Standard 4 3 3 3 4 3 5" xfId="22271" xr:uid="{00000000-0005-0000-0000-0000C5570000}"/>
    <cellStyle name="Standard 4 3 3 3 4 3 6" xfId="22272" xr:uid="{00000000-0005-0000-0000-0000C6570000}"/>
    <cellStyle name="Standard 4 3 3 3 4 4" xfId="22273" xr:uid="{00000000-0005-0000-0000-0000C7570000}"/>
    <cellStyle name="Standard 4 3 3 3 4 4 2" xfId="22274" xr:uid="{00000000-0005-0000-0000-0000C8570000}"/>
    <cellStyle name="Standard 4 3 3 3 4 4 3" xfId="22275" xr:uid="{00000000-0005-0000-0000-0000C9570000}"/>
    <cellStyle name="Standard 4 3 3 3 4 5" xfId="22276" xr:uid="{00000000-0005-0000-0000-0000CA570000}"/>
    <cellStyle name="Standard 4 3 3 3 4 5 2" xfId="22277" xr:uid="{00000000-0005-0000-0000-0000CB570000}"/>
    <cellStyle name="Standard 4 3 3 3 4 5 3" xfId="22278" xr:uid="{00000000-0005-0000-0000-0000CC570000}"/>
    <cellStyle name="Standard 4 3 3 3 4 6" xfId="22279" xr:uid="{00000000-0005-0000-0000-0000CD570000}"/>
    <cellStyle name="Standard 4 3 3 3 4 6 2" xfId="22280" xr:uid="{00000000-0005-0000-0000-0000CE570000}"/>
    <cellStyle name="Standard 4 3 3 3 4 7" xfId="22281" xr:uid="{00000000-0005-0000-0000-0000CF570000}"/>
    <cellStyle name="Standard 4 3 3 3 4 8" xfId="22282" xr:uid="{00000000-0005-0000-0000-0000D0570000}"/>
    <cellStyle name="Standard 4 3 3 3 5" xfId="22283" xr:uid="{00000000-0005-0000-0000-0000D1570000}"/>
    <cellStyle name="Standard 4 3 3 3 5 2" xfId="22284" xr:uid="{00000000-0005-0000-0000-0000D2570000}"/>
    <cellStyle name="Standard 4 3 3 3 5 2 2" xfId="22285" xr:uid="{00000000-0005-0000-0000-0000D3570000}"/>
    <cellStyle name="Standard 4 3 3 3 5 2 2 2" xfId="22286" xr:uid="{00000000-0005-0000-0000-0000D4570000}"/>
    <cellStyle name="Standard 4 3 3 3 5 2 2 3" xfId="22287" xr:uid="{00000000-0005-0000-0000-0000D5570000}"/>
    <cellStyle name="Standard 4 3 3 3 5 2 3" xfId="22288" xr:uid="{00000000-0005-0000-0000-0000D6570000}"/>
    <cellStyle name="Standard 4 3 3 3 5 2 3 2" xfId="22289" xr:uid="{00000000-0005-0000-0000-0000D7570000}"/>
    <cellStyle name="Standard 4 3 3 3 5 2 3 3" xfId="22290" xr:uid="{00000000-0005-0000-0000-0000D8570000}"/>
    <cellStyle name="Standard 4 3 3 3 5 2 4" xfId="22291" xr:uid="{00000000-0005-0000-0000-0000D9570000}"/>
    <cellStyle name="Standard 4 3 3 3 5 2 4 2" xfId="22292" xr:uid="{00000000-0005-0000-0000-0000DA570000}"/>
    <cellStyle name="Standard 4 3 3 3 5 2 5" xfId="22293" xr:uid="{00000000-0005-0000-0000-0000DB570000}"/>
    <cellStyle name="Standard 4 3 3 3 5 2 6" xfId="22294" xr:uid="{00000000-0005-0000-0000-0000DC570000}"/>
    <cellStyle name="Standard 4 3 3 3 5 3" xfId="22295" xr:uid="{00000000-0005-0000-0000-0000DD570000}"/>
    <cellStyle name="Standard 4 3 3 3 5 3 2" xfId="22296" xr:uid="{00000000-0005-0000-0000-0000DE570000}"/>
    <cellStyle name="Standard 4 3 3 3 5 3 3" xfId="22297" xr:uid="{00000000-0005-0000-0000-0000DF570000}"/>
    <cellStyle name="Standard 4 3 3 3 5 4" xfId="22298" xr:uid="{00000000-0005-0000-0000-0000E0570000}"/>
    <cellStyle name="Standard 4 3 3 3 5 4 2" xfId="22299" xr:uid="{00000000-0005-0000-0000-0000E1570000}"/>
    <cellStyle name="Standard 4 3 3 3 5 4 3" xfId="22300" xr:uid="{00000000-0005-0000-0000-0000E2570000}"/>
    <cellStyle name="Standard 4 3 3 3 5 5" xfId="22301" xr:uid="{00000000-0005-0000-0000-0000E3570000}"/>
    <cellStyle name="Standard 4 3 3 3 5 5 2" xfId="22302" xr:uid="{00000000-0005-0000-0000-0000E4570000}"/>
    <cellStyle name="Standard 4 3 3 3 5 6" xfId="22303" xr:uid="{00000000-0005-0000-0000-0000E5570000}"/>
    <cellStyle name="Standard 4 3 3 3 5 7" xfId="22304" xr:uid="{00000000-0005-0000-0000-0000E6570000}"/>
    <cellStyle name="Standard 4 3 3 3 6" xfId="22305" xr:uid="{00000000-0005-0000-0000-0000E7570000}"/>
    <cellStyle name="Standard 4 3 3 3 6 2" xfId="22306" xr:uid="{00000000-0005-0000-0000-0000E8570000}"/>
    <cellStyle name="Standard 4 3 3 3 6 2 2" xfId="22307" xr:uid="{00000000-0005-0000-0000-0000E9570000}"/>
    <cellStyle name="Standard 4 3 3 3 6 2 3" xfId="22308" xr:uid="{00000000-0005-0000-0000-0000EA570000}"/>
    <cellStyle name="Standard 4 3 3 3 6 3" xfId="22309" xr:uid="{00000000-0005-0000-0000-0000EB570000}"/>
    <cellStyle name="Standard 4 3 3 3 6 3 2" xfId="22310" xr:uid="{00000000-0005-0000-0000-0000EC570000}"/>
    <cellStyle name="Standard 4 3 3 3 6 3 3" xfId="22311" xr:uid="{00000000-0005-0000-0000-0000ED570000}"/>
    <cellStyle name="Standard 4 3 3 3 6 4" xfId="22312" xr:uid="{00000000-0005-0000-0000-0000EE570000}"/>
    <cellStyle name="Standard 4 3 3 3 6 4 2" xfId="22313" xr:uid="{00000000-0005-0000-0000-0000EF570000}"/>
    <cellStyle name="Standard 4 3 3 3 6 5" xfId="22314" xr:uid="{00000000-0005-0000-0000-0000F0570000}"/>
    <cellStyle name="Standard 4 3 3 3 6 6" xfId="22315" xr:uid="{00000000-0005-0000-0000-0000F1570000}"/>
    <cellStyle name="Standard 4 3 3 3 7" xfId="22316" xr:uid="{00000000-0005-0000-0000-0000F2570000}"/>
    <cellStyle name="Standard 4 3 3 3 7 2" xfId="22317" xr:uid="{00000000-0005-0000-0000-0000F3570000}"/>
    <cellStyle name="Standard 4 3 3 3 7 3" xfId="22318" xr:uid="{00000000-0005-0000-0000-0000F4570000}"/>
    <cellStyle name="Standard 4 3 3 3 8" xfId="22319" xr:uid="{00000000-0005-0000-0000-0000F5570000}"/>
    <cellStyle name="Standard 4 3 3 3 8 2" xfId="22320" xr:uid="{00000000-0005-0000-0000-0000F6570000}"/>
    <cellStyle name="Standard 4 3 3 3 8 3" xfId="22321" xr:uid="{00000000-0005-0000-0000-0000F7570000}"/>
    <cellStyle name="Standard 4 3 3 3 9" xfId="22322" xr:uid="{00000000-0005-0000-0000-0000F8570000}"/>
    <cellStyle name="Standard 4 3 3 3 9 2" xfId="22323" xr:uid="{00000000-0005-0000-0000-0000F9570000}"/>
    <cellStyle name="Standard 4 3 3 4" xfId="22324" xr:uid="{00000000-0005-0000-0000-0000FA570000}"/>
    <cellStyle name="Standard 4 3 3 4 10" xfId="22325" xr:uid="{00000000-0005-0000-0000-0000FB570000}"/>
    <cellStyle name="Standard 4 3 3 4 11" xfId="22326" xr:uid="{00000000-0005-0000-0000-0000FC570000}"/>
    <cellStyle name="Standard 4 3 3 4 2" xfId="22327" xr:uid="{00000000-0005-0000-0000-0000FD570000}"/>
    <cellStyle name="Standard 4 3 3 4 2 10" xfId="22328" xr:uid="{00000000-0005-0000-0000-0000FE570000}"/>
    <cellStyle name="Standard 4 3 3 4 2 2" xfId="22329" xr:uid="{00000000-0005-0000-0000-0000FF570000}"/>
    <cellStyle name="Standard 4 3 3 4 2 2 2" xfId="22330" xr:uid="{00000000-0005-0000-0000-000000580000}"/>
    <cellStyle name="Standard 4 3 3 4 2 2 2 2" xfId="22331" xr:uid="{00000000-0005-0000-0000-000001580000}"/>
    <cellStyle name="Standard 4 3 3 4 2 2 2 2 2" xfId="22332" xr:uid="{00000000-0005-0000-0000-000002580000}"/>
    <cellStyle name="Standard 4 3 3 4 2 2 2 2 2 2" xfId="22333" xr:uid="{00000000-0005-0000-0000-000003580000}"/>
    <cellStyle name="Standard 4 3 3 4 2 2 2 2 2 3" xfId="22334" xr:uid="{00000000-0005-0000-0000-000004580000}"/>
    <cellStyle name="Standard 4 3 3 4 2 2 2 2 3" xfId="22335" xr:uid="{00000000-0005-0000-0000-000005580000}"/>
    <cellStyle name="Standard 4 3 3 4 2 2 2 2 3 2" xfId="22336" xr:uid="{00000000-0005-0000-0000-000006580000}"/>
    <cellStyle name="Standard 4 3 3 4 2 2 2 2 3 3" xfId="22337" xr:uid="{00000000-0005-0000-0000-000007580000}"/>
    <cellStyle name="Standard 4 3 3 4 2 2 2 2 4" xfId="22338" xr:uid="{00000000-0005-0000-0000-000008580000}"/>
    <cellStyle name="Standard 4 3 3 4 2 2 2 2 4 2" xfId="22339" xr:uid="{00000000-0005-0000-0000-000009580000}"/>
    <cellStyle name="Standard 4 3 3 4 2 2 2 2 5" xfId="22340" xr:uid="{00000000-0005-0000-0000-00000A580000}"/>
    <cellStyle name="Standard 4 3 3 4 2 2 2 2 6" xfId="22341" xr:uid="{00000000-0005-0000-0000-00000B580000}"/>
    <cellStyle name="Standard 4 3 3 4 2 2 2 3" xfId="22342" xr:uid="{00000000-0005-0000-0000-00000C580000}"/>
    <cellStyle name="Standard 4 3 3 4 2 2 2 3 2" xfId="22343" xr:uid="{00000000-0005-0000-0000-00000D580000}"/>
    <cellStyle name="Standard 4 3 3 4 2 2 2 3 3" xfId="22344" xr:uid="{00000000-0005-0000-0000-00000E580000}"/>
    <cellStyle name="Standard 4 3 3 4 2 2 2 4" xfId="22345" xr:uid="{00000000-0005-0000-0000-00000F580000}"/>
    <cellStyle name="Standard 4 3 3 4 2 2 2 4 2" xfId="22346" xr:uid="{00000000-0005-0000-0000-000010580000}"/>
    <cellStyle name="Standard 4 3 3 4 2 2 2 4 3" xfId="22347" xr:uid="{00000000-0005-0000-0000-000011580000}"/>
    <cellStyle name="Standard 4 3 3 4 2 2 2 5" xfId="22348" xr:uid="{00000000-0005-0000-0000-000012580000}"/>
    <cellStyle name="Standard 4 3 3 4 2 2 2 5 2" xfId="22349" xr:uid="{00000000-0005-0000-0000-000013580000}"/>
    <cellStyle name="Standard 4 3 3 4 2 2 2 6" xfId="22350" xr:uid="{00000000-0005-0000-0000-000014580000}"/>
    <cellStyle name="Standard 4 3 3 4 2 2 2 7" xfId="22351" xr:uid="{00000000-0005-0000-0000-000015580000}"/>
    <cellStyle name="Standard 4 3 3 4 2 2 3" xfId="22352" xr:uid="{00000000-0005-0000-0000-000016580000}"/>
    <cellStyle name="Standard 4 3 3 4 2 2 3 2" xfId="22353" xr:uid="{00000000-0005-0000-0000-000017580000}"/>
    <cellStyle name="Standard 4 3 3 4 2 2 3 2 2" xfId="22354" xr:uid="{00000000-0005-0000-0000-000018580000}"/>
    <cellStyle name="Standard 4 3 3 4 2 2 3 2 3" xfId="22355" xr:uid="{00000000-0005-0000-0000-000019580000}"/>
    <cellStyle name="Standard 4 3 3 4 2 2 3 3" xfId="22356" xr:uid="{00000000-0005-0000-0000-00001A580000}"/>
    <cellStyle name="Standard 4 3 3 4 2 2 3 3 2" xfId="22357" xr:uid="{00000000-0005-0000-0000-00001B580000}"/>
    <cellStyle name="Standard 4 3 3 4 2 2 3 3 3" xfId="22358" xr:uid="{00000000-0005-0000-0000-00001C580000}"/>
    <cellStyle name="Standard 4 3 3 4 2 2 3 4" xfId="22359" xr:uid="{00000000-0005-0000-0000-00001D580000}"/>
    <cellStyle name="Standard 4 3 3 4 2 2 3 4 2" xfId="22360" xr:uid="{00000000-0005-0000-0000-00001E580000}"/>
    <cellStyle name="Standard 4 3 3 4 2 2 3 5" xfId="22361" xr:uid="{00000000-0005-0000-0000-00001F580000}"/>
    <cellStyle name="Standard 4 3 3 4 2 2 3 6" xfId="22362" xr:uid="{00000000-0005-0000-0000-000020580000}"/>
    <cellStyle name="Standard 4 3 3 4 2 2 4" xfId="22363" xr:uid="{00000000-0005-0000-0000-000021580000}"/>
    <cellStyle name="Standard 4 3 3 4 2 2 4 2" xfId="22364" xr:uid="{00000000-0005-0000-0000-000022580000}"/>
    <cellStyle name="Standard 4 3 3 4 2 2 4 3" xfId="22365" xr:uid="{00000000-0005-0000-0000-000023580000}"/>
    <cellStyle name="Standard 4 3 3 4 2 2 5" xfId="22366" xr:uid="{00000000-0005-0000-0000-000024580000}"/>
    <cellStyle name="Standard 4 3 3 4 2 2 5 2" xfId="22367" xr:uid="{00000000-0005-0000-0000-000025580000}"/>
    <cellStyle name="Standard 4 3 3 4 2 2 5 3" xfId="22368" xr:uid="{00000000-0005-0000-0000-000026580000}"/>
    <cellStyle name="Standard 4 3 3 4 2 2 6" xfId="22369" xr:uid="{00000000-0005-0000-0000-000027580000}"/>
    <cellStyle name="Standard 4 3 3 4 2 2 6 2" xfId="22370" xr:uid="{00000000-0005-0000-0000-000028580000}"/>
    <cellStyle name="Standard 4 3 3 4 2 2 7" xfId="22371" xr:uid="{00000000-0005-0000-0000-000029580000}"/>
    <cellStyle name="Standard 4 3 3 4 2 2 8" xfId="22372" xr:uid="{00000000-0005-0000-0000-00002A580000}"/>
    <cellStyle name="Standard 4 3 3 4 2 3" xfId="22373" xr:uid="{00000000-0005-0000-0000-00002B580000}"/>
    <cellStyle name="Standard 4 3 3 4 2 3 2" xfId="22374" xr:uid="{00000000-0005-0000-0000-00002C580000}"/>
    <cellStyle name="Standard 4 3 3 4 2 3 2 2" xfId="22375" xr:uid="{00000000-0005-0000-0000-00002D580000}"/>
    <cellStyle name="Standard 4 3 3 4 2 3 2 2 2" xfId="22376" xr:uid="{00000000-0005-0000-0000-00002E580000}"/>
    <cellStyle name="Standard 4 3 3 4 2 3 2 2 2 2" xfId="22377" xr:uid="{00000000-0005-0000-0000-00002F580000}"/>
    <cellStyle name="Standard 4 3 3 4 2 3 2 2 2 3" xfId="22378" xr:uid="{00000000-0005-0000-0000-000030580000}"/>
    <cellStyle name="Standard 4 3 3 4 2 3 2 2 3" xfId="22379" xr:uid="{00000000-0005-0000-0000-000031580000}"/>
    <cellStyle name="Standard 4 3 3 4 2 3 2 2 3 2" xfId="22380" xr:uid="{00000000-0005-0000-0000-000032580000}"/>
    <cellStyle name="Standard 4 3 3 4 2 3 2 2 3 3" xfId="22381" xr:uid="{00000000-0005-0000-0000-000033580000}"/>
    <cellStyle name="Standard 4 3 3 4 2 3 2 2 4" xfId="22382" xr:uid="{00000000-0005-0000-0000-000034580000}"/>
    <cellStyle name="Standard 4 3 3 4 2 3 2 2 4 2" xfId="22383" xr:uid="{00000000-0005-0000-0000-000035580000}"/>
    <cellStyle name="Standard 4 3 3 4 2 3 2 2 5" xfId="22384" xr:uid="{00000000-0005-0000-0000-000036580000}"/>
    <cellStyle name="Standard 4 3 3 4 2 3 2 2 6" xfId="22385" xr:uid="{00000000-0005-0000-0000-000037580000}"/>
    <cellStyle name="Standard 4 3 3 4 2 3 2 3" xfId="22386" xr:uid="{00000000-0005-0000-0000-000038580000}"/>
    <cellStyle name="Standard 4 3 3 4 2 3 2 3 2" xfId="22387" xr:uid="{00000000-0005-0000-0000-000039580000}"/>
    <cellStyle name="Standard 4 3 3 4 2 3 2 3 3" xfId="22388" xr:uid="{00000000-0005-0000-0000-00003A580000}"/>
    <cellStyle name="Standard 4 3 3 4 2 3 2 4" xfId="22389" xr:uid="{00000000-0005-0000-0000-00003B580000}"/>
    <cellStyle name="Standard 4 3 3 4 2 3 2 4 2" xfId="22390" xr:uid="{00000000-0005-0000-0000-00003C580000}"/>
    <cellStyle name="Standard 4 3 3 4 2 3 2 4 3" xfId="22391" xr:uid="{00000000-0005-0000-0000-00003D580000}"/>
    <cellStyle name="Standard 4 3 3 4 2 3 2 5" xfId="22392" xr:uid="{00000000-0005-0000-0000-00003E580000}"/>
    <cellStyle name="Standard 4 3 3 4 2 3 2 5 2" xfId="22393" xr:uid="{00000000-0005-0000-0000-00003F580000}"/>
    <cellStyle name="Standard 4 3 3 4 2 3 2 6" xfId="22394" xr:uid="{00000000-0005-0000-0000-000040580000}"/>
    <cellStyle name="Standard 4 3 3 4 2 3 2 7" xfId="22395" xr:uid="{00000000-0005-0000-0000-000041580000}"/>
    <cellStyle name="Standard 4 3 3 4 2 3 3" xfId="22396" xr:uid="{00000000-0005-0000-0000-000042580000}"/>
    <cellStyle name="Standard 4 3 3 4 2 3 3 2" xfId="22397" xr:uid="{00000000-0005-0000-0000-000043580000}"/>
    <cellStyle name="Standard 4 3 3 4 2 3 3 2 2" xfId="22398" xr:uid="{00000000-0005-0000-0000-000044580000}"/>
    <cellStyle name="Standard 4 3 3 4 2 3 3 2 3" xfId="22399" xr:uid="{00000000-0005-0000-0000-000045580000}"/>
    <cellStyle name="Standard 4 3 3 4 2 3 3 3" xfId="22400" xr:uid="{00000000-0005-0000-0000-000046580000}"/>
    <cellStyle name="Standard 4 3 3 4 2 3 3 3 2" xfId="22401" xr:uid="{00000000-0005-0000-0000-000047580000}"/>
    <cellStyle name="Standard 4 3 3 4 2 3 3 3 3" xfId="22402" xr:uid="{00000000-0005-0000-0000-000048580000}"/>
    <cellStyle name="Standard 4 3 3 4 2 3 3 4" xfId="22403" xr:uid="{00000000-0005-0000-0000-000049580000}"/>
    <cellStyle name="Standard 4 3 3 4 2 3 3 4 2" xfId="22404" xr:uid="{00000000-0005-0000-0000-00004A580000}"/>
    <cellStyle name="Standard 4 3 3 4 2 3 3 5" xfId="22405" xr:uid="{00000000-0005-0000-0000-00004B580000}"/>
    <cellStyle name="Standard 4 3 3 4 2 3 3 6" xfId="22406" xr:uid="{00000000-0005-0000-0000-00004C580000}"/>
    <cellStyle name="Standard 4 3 3 4 2 3 4" xfId="22407" xr:uid="{00000000-0005-0000-0000-00004D580000}"/>
    <cellStyle name="Standard 4 3 3 4 2 3 4 2" xfId="22408" xr:uid="{00000000-0005-0000-0000-00004E580000}"/>
    <cellStyle name="Standard 4 3 3 4 2 3 4 3" xfId="22409" xr:uid="{00000000-0005-0000-0000-00004F580000}"/>
    <cellStyle name="Standard 4 3 3 4 2 3 5" xfId="22410" xr:uid="{00000000-0005-0000-0000-000050580000}"/>
    <cellStyle name="Standard 4 3 3 4 2 3 5 2" xfId="22411" xr:uid="{00000000-0005-0000-0000-000051580000}"/>
    <cellStyle name="Standard 4 3 3 4 2 3 5 3" xfId="22412" xr:uid="{00000000-0005-0000-0000-000052580000}"/>
    <cellStyle name="Standard 4 3 3 4 2 3 6" xfId="22413" xr:uid="{00000000-0005-0000-0000-000053580000}"/>
    <cellStyle name="Standard 4 3 3 4 2 3 6 2" xfId="22414" xr:uid="{00000000-0005-0000-0000-000054580000}"/>
    <cellStyle name="Standard 4 3 3 4 2 3 7" xfId="22415" xr:uid="{00000000-0005-0000-0000-000055580000}"/>
    <cellStyle name="Standard 4 3 3 4 2 3 8" xfId="22416" xr:uid="{00000000-0005-0000-0000-000056580000}"/>
    <cellStyle name="Standard 4 3 3 4 2 4" xfId="22417" xr:uid="{00000000-0005-0000-0000-000057580000}"/>
    <cellStyle name="Standard 4 3 3 4 2 4 2" xfId="22418" xr:uid="{00000000-0005-0000-0000-000058580000}"/>
    <cellStyle name="Standard 4 3 3 4 2 4 2 2" xfId="22419" xr:uid="{00000000-0005-0000-0000-000059580000}"/>
    <cellStyle name="Standard 4 3 3 4 2 4 2 2 2" xfId="22420" xr:uid="{00000000-0005-0000-0000-00005A580000}"/>
    <cellStyle name="Standard 4 3 3 4 2 4 2 2 3" xfId="22421" xr:uid="{00000000-0005-0000-0000-00005B580000}"/>
    <cellStyle name="Standard 4 3 3 4 2 4 2 3" xfId="22422" xr:uid="{00000000-0005-0000-0000-00005C580000}"/>
    <cellStyle name="Standard 4 3 3 4 2 4 2 3 2" xfId="22423" xr:uid="{00000000-0005-0000-0000-00005D580000}"/>
    <cellStyle name="Standard 4 3 3 4 2 4 2 3 3" xfId="22424" xr:uid="{00000000-0005-0000-0000-00005E580000}"/>
    <cellStyle name="Standard 4 3 3 4 2 4 2 4" xfId="22425" xr:uid="{00000000-0005-0000-0000-00005F580000}"/>
    <cellStyle name="Standard 4 3 3 4 2 4 2 4 2" xfId="22426" xr:uid="{00000000-0005-0000-0000-000060580000}"/>
    <cellStyle name="Standard 4 3 3 4 2 4 2 5" xfId="22427" xr:uid="{00000000-0005-0000-0000-000061580000}"/>
    <cellStyle name="Standard 4 3 3 4 2 4 2 6" xfId="22428" xr:uid="{00000000-0005-0000-0000-000062580000}"/>
    <cellStyle name="Standard 4 3 3 4 2 4 3" xfId="22429" xr:uid="{00000000-0005-0000-0000-000063580000}"/>
    <cellStyle name="Standard 4 3 3 4 2 4 3 2" xfId="22430" xr:uid="{00000000-0005-0000-0000-000064580000}"/>
    <cellStyle name="Standard 4 3 3 4 2 4 3 3" xfId="22431" xr:uid="{00000000-0005-0000-0000-000065580000}"/>
    <cellStyle name="Standard 4 3 3 4 2 4 4" xfId="22432" xr:uid="{00000000-0005-0000-0000-000066580000}"/>
    <cellStyle name="Standard 4 3 3 4 2 4 4 2" xfId="22433" xr:uid="{00000000-0005-0000-0000-000067580000}"/>
    <cellStyle name="Standard 4 3 3 4 2 4 4 3" xfId="22434" xr:uid="{00000000-0005-0000-0000-000068580000}"/>
    <cellStyle name="Standard 4 3 3 4 2 4 5" xfId="22435" xr:uid="{00000000-0005-0000-0000-000069580000}"/>
    <cellStyle name="Standard 4 3 3 4 2 4 5 2" xfId="22436" xr:uid="{00000000-0005-0000-0000-00006A580000}"/>
    <cellStyle name="Standard 4 3 3 4 2 4 6" xfId="22437" xr:uid="{00000000-0005-0000-0000-00006B580000}"/>
    <cellStyle name="Standard 4 3 3 4 2 4 7" xfId="22438" xr:uid="{00000000-0005-0000-0000-00006C580000}"/>
    <cellStyle name="Standard 4 3 3 4 2 5" xfId="22439" xr:uid="{00000000-0005-0000-0000-00006D580000}"/>
    <cellStyle name="Standard 4 3 3 4 2 5 2" xfId="22440" xr:uid="{00000000-0005-0000-0000-00006E580000}"/>
    <cellStyle name="Standard 4 3 3 4 2 5 2 2" xfId="22441" xr:uid="{00000000-0005-0000-0000-00006F580000}"/>
    <cellStyle name="Standard 4 3 3 4 2 5 2 3" xfId="22442" xr:uid="{00000000-0005-0000-0000-000070580000}"/>
    <cellStyle name="Standard 4 3 3 4 2 5 3" xfId="22443" xr:uid="{00000000-0005-0000-0000-000071580000}"/>
    <cellStyle name="Standard 4 3 3 4 2 5 3 2" xfId="22444" xr:uid="{00000000-0005-0000-0000-000072580000}"/>
    <cellStyle name="Standard 4 3 3 4 2 5 3 3" xfId="22445" xr:uid="{00000000-0005-0000-0000-000073580000}"/>
    <cellStyle name="Standard 4 3 3 4 2 5 4" xfId="22446" xr:uid="{00000000-0005-0000-0000-000074580000}"/>
    <cellStyle name="Standard 4 3 3 4 2 5 4 2" xfId="22447" xr:uid="{00000000-0005-0000-0000-000075580000}"/>
    <cellStyle name="Standard 4 3 3 4 2 5 5" xfId="22448" xr:uid="{00000000-0005-0000-0000-000076580000}"/>
    <cellStyle name="Standard 4 3 3 4 2 5 6" xfId="22449" xr:uid="{00000000-0005-0000-0000-000077580000}"/>
    <cellStyle name="Standard 4 3 3 4 2 6" xfId="22450" xr:uid="{00000000-0005-0000-0000-000078580000}"/>
    <cellStyle name="Standard 4 3 3 4 2 6 2" xfId="22451" xr:uid="{00000000-0005-0000-0000-000079580000}"/>
    <cellStyle name="Standard 4 3 3 4 2 6 3" xfId="22452" xr:uid="{00000000-0005-0000-0000-00007A580000}"/>
    <cellStyle name="Standard 4 3 3 4 2 7" xfId="22453" xr:uid="{00000000-0005-0000-0000-00007B580000}"/>
    <cellStyle name="Standard 4 3 3 4 2 7 2" xfId="22454" xr:uid="{00000000-0005-0000-0000-00007C580000}"/>
    <cellStyle name="Standard 4 3 3 4 2 7 3" xfId="22455" xr:uid="{00000000-0005-0000-0000-00007D580000}"/>
    <cellStyle name="Standard 4 3 3 4 2 8" xfId="22456" xr:uid="{00000000-0005-0000-0000-00007E580000}"/>
    <cellStyle name="Standard 4 3 3 4 2 8 2" xfId="22457" xr:uid="{00000000-0005-0000-0000-00007F580000}"/>
    <cellStyle name="Standard 4 3 3 4 2 9" xfId="22458" xr:uid="{00000000-0005-0000-0000-000080580000}"/>
    <cellStyle name="Standard 4 3 3 4 3" xfId="22459" xr:uid="{00000000-0005-0000-0000-000081580000}"/>
    <cellStyle name="Standard 4 3 3 4 3 2" xfId="22460" xr:uid="{00000000-0005-0000-0000-000082580000}"/>
    <cellStyle name="Standard 4 3 3 4 3 2 2" xfId="22461" xr:uid="{00000000-0005-0000-0000-000083580000}"/>
    <cellStyle name="Standard 4 3 3 4 3 2 2 2" xfId="22462" xr:uid="{00000000-0005-0000-0000-000084580000}"/>
    <cellStyle name="Standard 4 3 3 4 3 2 2 2 2" xfId="22463" xr:uid="{00000000-0005-0000-0000-000085580000}"/>
    <cellStyle name="Standard 4 3 3 4 3 2 2 2 3" xfId="22464" xr:uid="{00000000-0005-0000-0000-000086580000}"/>
    <cellStyle name="Standard 4 3 3 4 3 2 2 3" xfId="22465" xr:uid="{00000000-0005-0000-0000-000087580000}"/>
    <cellStyle name="Standard 4 3 3 4 3 2 2 3 2" xfId="22466" xr:uid="{00000000-0005-0000-0000-000088580000}"/>
    <cellStyle name="Standard 4 3 3 4 3 2 2 3 3" xfId="22467" xr:uid="{00000000-0005-0000-0000-000089580000}"/>
    <cellStyle name="Standard 4 3 3 4 3 2 2 4" xfId="22468" xr:uid="{00000000-0005-0000-0000-00008A580000}"/>
    <cellStyle name="Standard 4 3 3 4 3 2 2 4 2" xfId="22469" xr:uid="{00000000-0005-0000-0000-00008B580000}"/>
    <cellStyle name="Standard 4 3 3 4 3 2 2 5" xfId="22470" xr:uid="{00000000-0005-0000-0000-00008C580000}"/>
    <cellStyle name="Standard 4 3 3 4 3 2 2 6" xfId="22471" xr:uid="{00000000-0005-0000-0000-00008D580000}"/>
    <cellStyle name="Standard 4 3 3 4 3 2 3" xfId="22472" xr:uid="{00000000-0005-0000-0000-00008E580000}"/>
    <cellStyle name="Standard 4 3 3 4 3 2 3 2" xfId="22473" xr:uid="{00000000-0005-0000-0000-00008F580000}"/>
    <cellStyle name="Standard 4 3 3 4 3 2 3 3" xfId="22474" xr:uid="{00000000-0005-0000-0000-000090580000}"/>
    <cellStyle name="Standard 4 3 3 4 3 2 4" xfId="22475" xr:uid="{00000000-0005-0000-0000-000091580000}"/>
    <cellStyle name="Standard 4 3 3 4 3 2 4 2" xfId="22476" xr:uid="{00000000-0005-0000-0000-000092580000}"/>
    <cellStyle name="Standard 4 3 3 4 3 2 4 3" xfId="22477" xr:uid="{00000000-0005-0000-0000-000093580000}"/>
    <cellStyle name="Standard 4 3 3 4 3 2 5" xfId="22478" xr:uid="{00000000-0005-0000-0000-000094580000}"/>
    <cellStyle name="Standard 4 3 3 4 3 2 5 2" xfId="22479" xr:uid="{00000000-0005-0000-0000-000095580000}"/>
    <cellStyle name="Standard 4 3 3 4 3 2 6" xfId="22480" xr:uid="{00000000-0005-0000-0000-000096580000}"/>
    <cellStyle name="Standard 4 3 3 4 3 2 7" xfId="22481" xr:uid="{00000000-0005-0000-0000-000097580000}"/>
    <cellStyle name="Standard 4 3 3 4 3 3" xfId="22482" xr:uid="{00000000-0005-0000-0000-000098580000}"/>
    <cellStyle name="Standard 4 3 3 4 3 3 2" xfId="22483" xr:uid="{00000000-0005-0000-0000-000099580000}"/>
    <cellStyle name="Standard 4 3 3 4 3 3 2 2" xfId="22484" xr:uid="{00000000-0005-0000-0000-00009A580000}"/>
    <cellStyle name="Standard 4 3 3 4 3 3 2 3" xfId="22485" xr:uid="{00000000-0005-0000-0000-00009B580000}"/>
    <cellStyle name="Standard 4 3 3 4 3 3 3" xfId="22486" xr:uid="{00000000-0005-0000-0000-00009C580000}"/>
    <cellStyle name="Standard 4 3 3 4 3 3 3 2" xfId="22487" xr:uid="{00000000-0005-0000-0000-00009D580000}"/>
    <cellStyle name="Standard 4 3 3 4 3 3 3 3" xfId="22488" xr:uid="{00000000-0005-0000-0000-00009E580000}"/>
    <cellStyle name="Standard 4 3 3 4 3 3 4" xfId="22489" xr:uid="{00000000-0005-0000-0000-00009F580000}"/>
    <cellStyle name="Standard 4 3 3 4 3 3 4 2" xfId="22490" xr:uid="{00000000-0005-0000-0000-0000A0580000}"/>
    <cellStyle name="Standard 4 3 3 4 3 3 5" xfId="22491" xr:uid="{00000000-0005-0000-0000-0000A1580000}"/>
    <cellStyle name="Standard 4 3 3 4 3 3 6" xfId="22492" xr:uid="{00000000-0005-0000-0000-0000A2580000}"/>
    <cellStyle name="Standard 4 3 3 4 3 4" xfId="22493" xr:uid="{00000000-0005-0000-0000-0000A3580000}"/>
    <cellStyle name="Standard 4 3 3 4 3 4 2" xfId="22494" xr:uid="{00000000-0005-0000-0000-0000A4580000}"/>
    <cellStyle name="Standard 4 3 3 4 3 4 3" xfId="22495" xr:uid="{00000000-0005-0000-0000-0000A5580000}"/>
    <cellStyle name="Standard 4 3 3 4 3 5" xfId="22496" xr:uid="{00000000-0005-0000-0000-0000A6580000}"/>
    <cellStyle name="Standard 4 3 3 4 3 5 2" xfId="22497" xr:uid="{00000000-0005-0000-0000-0000A7580000}"/>
    <cellStyle name="Standard 4 3 3 4 3 5 3" xfId="22498" xr:uid="{00000000-0005-0000-0000-0000A8580000}"/>
    <cellStyle name="Standard 4 3 3 4 3 6" xfId="22499" xr:uid="{00000000-0005-0000-0000-0000A9580000}"/>
    <cellStyle name="Standard 4 3 3 4 3 6 2" xfId="22500" xr:uid="{00000000-0005-0000-0000-0000AA580000}"/>
    <cellStyle name="Standard 4 3 3 4 3 7" xfId="22501" xr:uid="{00000000-0005-0000-0000-0000AB580000}"/>
    <cellStyle name="Standard 4 3 3 4 3 8" xfId="22502" xr:uid="{00000000-0005-0000-0000-0000AC580000}"/>
    <cellStyle name="Standard 4 3 3 4 4" xfId="22503" xr:uid="{00000000-0005-0000-0000-0000AD580000}"/>
    <cellStyle name="Standard 4 3 3 4 4 2" xfId="22504" xr:uid="{00000000-0005-0000-0000-0000AE580000}"/>
    <cellStyle name="Standard 4 3 3 4 4 2 2" xfId="22505" xr:uid="{00000000-0005-0000-0000-0000AF580000}"/>
    <cellStyle name="Standard 4 3 3 4 4 2 2 2" xfId="22506" xr:uid="{00000000-0005-0000-0000-0000B0580000}"/>
    <cellStyle name="Standard 4 3 3 4 4 2 2 2 2" xfId="22507" xr:uid="{00000000-0005-0000-0000-0000B1580000}"/>
    <cellStyle name="Standard 4 3 3 4 4 2 2 2 3" xfId="22508" xr:uid="{00000000-0005-0000-0000-0000B2580000}"/>
    <cellStyle name="Standard 4 3 3 4 4 2 2 3" xfId="22509" xr:uid="{00000000-0005-0000-0000-0000B3580000}"/>
    <cellStyle name="Standard 4 3 3 4 4 2 2 3 2" xfId="22510" xr:uid="{00000000-0005-0000-0000-0000B4580000}"/>
    <cellStyle name="Standard 4 3 3 4 4 2 2 3 3" xfId="22511" xr:uid="{00000000-0005-0000-0000-0000B5580000}"/>
    <cellStyle name="Standard 4 3 3 4 4 2 2 4" xfId="22512" xr:uid="{00000000-0005-0000-0000-0000B6580000}"/>
    <cellStyle name="Standard 4 3 3 4 4 2 2 4 2" xfId="22513" xr:uid="{00000000-0005-0000-0000-0000B7580000}"/>
    <cellStyle name="Standard 4 3 3 4 4 2 2 5" xfId="22514" xr:uid="{00000000-0005-0000-0000-0000B8580000}"/>
    <cellStyle name="Standard 4 3 3 4 4 2 2 6" xfId="22515" xr:uid="{00000000-0005-0000-0000-0000B9580000}"/>
    <cellStyle name="Standard 4 3 3 4 4 2 3" xfId="22516" xr:uid="{00000000-0005-0000-0000-0000BA580000}"/>
    <cellStyle name="Standard 4 3 3 4 4 2 3 2" xfId="22517" xr:uid="{00000000-0005-0000-0000-0000BB580000}"/>
    <cellStyle name="Standard 4 3 3 4 4 2 3 3" xfId="22518" xr:uid="{00000000-0005-0000-0000-0000BC580000}"/>
    <cellStyle name="Standard 4 3 3 4 4 2 4" xfId="22519" xr:uid="{00000000-0005-0000-0000-0000BD580000}"/>
    <cellStyle name="Standard 4 3 3 4 4 2 4 2" xfId="22520" xr:uid="{00000000-0005-0000-0000-0000BE580000}"/>
    <cellStyle name="Standard 4 3 3 4 4 2 4 3" xfId="22521" xr:uid="{00000000-0005-0000-0000-0000BF580000}"/>
    <cellStyle name="Standard 4 3 3 4 4 2 5" xfId="22522" xr:uid="{00000000-0005-0000-0000-0000C0580000}"/>
    <cellStyle name="Standard 4 3 3 4 4 2 5 2" xfId="22523" xr:uid="{00000000-0005-0000-0000-0000C1580000}"/>
    <cellStyle name="Standard 4 3 3 4 4 2 6" xfId="22524" xr:uid="{00000000-0005-0000-0000-0000C2580000}"/>
    <cellStyle name="Standard 4 3 3 4 4 2 7" xfId="22525" xr:uid="{00000000-0005-0000-0000-0000C3580000}"/>
    <cellStyle name="Standard 4 3 3 4 4 3" xfId="22526" xr:uid="{00000000-0005-0000-0000-0000C4580000}"/>
    <cellStyle name="Standard 4 3 3 4 4 3 2" xfId="22527" xr:uid="{00000000-0005-0000-0000-0000C5580000}"/>
    <cellStyle name="Standard 4 3 3 4 4 3 2 2" xfId="22528" xr:uid="{00000000-0005-0000-0000-0000C6580000}"/>
    <cellStyle name="Standard 4 3 3 4 4 3 2 3" xfId="22529" xr:uid="{00000000-0005-0000-0000-0000C7580000}"/>
    <cellStyle name="Standard 4 3 3 4 4 3 3" xfId="22530" xr:uid="{00000000-0005-0000-0000-0000C8580000}"/>
    <cellStyle name="Standard 4 3 3 4 4 3 3 2" xfId="22531" xr:uid="{00000000-0005-0000-0000-0000C9580000}"/>
    <cellStyle name="Standard 4 3 3 4 4 3 3 3" xfId="22532" xr:uid="{00000000-0005-0000-0000-0000CA580000}"/>
    <cellStyle name="Standard 4 3 3 4 4 3 4" xfId="22533" xr:uid="{00000000-0005-0000-0000-0000CB580000}"/>
    <cellStyle name="Standard 4 3 3 4 4 3 4 2" xfId="22534" xr:uid="{00000000-0005-0000-0000-0000CC580000}"/>
    <cellStyle name="Standard 4 3 3 4 4 3 5" xfId="22535" xr:uid="{00000000-0005-0000-0000-0000CD580000}"/>
    <cellStyle name="Standard 4 3 3 4 4 3 6" xfId="22536" xr:uid="{00000000-0005-0000-0000-0000CE580000}"/>
    <cellStyle name="Standard 4 3 3 4 4 4" xfId="22537" xr:uid="{00000000-0005-0000-0000-0000CF580000}"/>
    <cellStyle name="Standard 4 3 3 4 4 4 2" xfId="22538" xr:uid="{00000000-0005-0000-0000-0000D0580000}"/>
    <cellStyle name="Standard 4 3 3 4 4 4 3" xfId="22539" xr:uid="{00000000-0005-0000-0000-0000D1580000}"/>
    <cellStyle name="Standard 4 3 3 4 4 5" xfId="22540" xr:uid="{00000000-0005-0000-0000-0000D2580000}"/>
    <cellStyle name="Standard 4 3 3 4 4 5 2" xfId="22541" xr:uid="{00000000-0005-0000-0000-0000D3580000}"/>
    <cellStyle name="Standard 4 3 3 4 4 5 3" xfId="22542" xr:uid="{00000000-0005-0000-0000-0000D4580000}"/>
    <cellStyle name="Standard 4 3 3 4 4 6" xfId="22543" xr:uid="{00000000-0005-0000-0000-0000D5580000}"/>
    <cellStyle name="Standard 4 3 3 4 4 6 2" xfId="22544" xr:uid="{00000000-0005-0000-0000-0000D6580000}"/>
    <cellStyle name="Standard 4 3 3 4 4 7" xfId="22545" xr:uid="{00000000-0005-0000-0000-0000D7580000}"/>
    <cellStyle name="Standard 4 3 3 4 4 8" xfId="22546" xr:uid="{00000000-0005-0000-0000-0000D8580000}"/>
    <cellStyle name="Standard 4 3 3 4 5" xfId="22547" xr:uid="{00000000-0005-0000-0000-0000D9580000}"/>
    <cellStyle name="Standard 4 3 3 4 5 2" xfId="22548" xr:uid="{00000000-0005-0000-0000-0000DA580000}"/>
    <cellStyle name="Standard 4 3 3 4 5 2 2" xfId="22549" xr:uid="{00000000-0005-0000-0000-0000DB580000}"/>
    <cellStyle name="Standard 4 3 3 4 5 2 2 2" xfId="22550" xr:uid="{00000000-0005-0000-0000-0000DC580000}"/>
    <cellStyle name="Standard 4 3 3 4 5 2 2 3" xfId="22551" xr:uid="{00000000-0005-0000-0000-0000DD580000}"/>
    <cellStyle name="Standard 4 3 3 4 5 2 3" xfId="22552" xr:uid="{00000000-0005-0000-0000-0000DE580000}"/>
    <cellStyle name="Standard 4 3 3 4 5 2 3 2" xfId="22553" xr:uid="{00000000-0005-0000-0000-0000DF580000}"/>
    <cellStyle name="Standard 4 3 3 4 5 2 3 3" xfId="22554" xr:uid="{00000000-0005-0000-0000-0000E0580000}"/>
    <cellStyle name="Standard 4 3 3 4 5 2 4" xfId="22555" xr:uid="{00000000-0005-0000-0000-0000E1580000}"/>
    <cellStyle name="Standard 4 3 3 4 5 2 4 2" xfId="22556" xr:uid="{00000000-0005-0000-0000-0000E2580000}"/>
    <cellStyle name="Standard 4 3 3 4 5 2 5" xfId="22557" xr:uid="{00000000-0005-0000-0000-0000E3580000}"/>
    <cellStyle name="Standard 4 3 3 4 5 2 6" xfId="22558" xr:uid="{00000000-0005-0000-0000-0000E4580000}"/>
    <cellStyle name="Standard 4 3 3 4 5 3" xfId="22559" xr:uid="{00000000-0005-0000-0000-0000E5580000}"/>
    <cellStyle name="Standard 4 3 3 4 5 3 2" xfId="22560" xr:uid="{00000000-0005-0000-0000-0000E6580000}"/>
    <cellStyle name="Standard 4 3 3 4 5 3 3" xfId="22561" xr:uid="{00000000-0005-0000-0000-0000E7580000}"/>
    <cellStyle name="Standard 4 3 3 4 5 4" xfId="22562" xr:uid="{00000000-0005-0000-0000-0000E8580000}"/>
    <cellStyle name="Standard 4 3 3 4 5 4 2" xfId="22563" xr:uid="{00000000-0005-0000-0000-0000E9580000}"/>
    <cellStyle name="Standard 4 3 3 4 5 4 3" xfId="22564" xr:uid="{00000000-0005-0000-0000-0000EA580000}"/>
    <cellStyle name="Standard 4 3 3 4 5 5" xfId="22565" xr:uid="{00000000-0005-0000-0000-0000EB580000}"/>
    <cellStyle name="Standard 4 3 3 4 5 5 2" xfId="22566" xr:uid="{00000000-0005-0000-0000-0000EC580000}"/>
    <cellStyle name="Standard 4 3 3 4 5 6" xfId="22567" xr:uid="{00000000-0005-0000-0000-0000ED580000}"/>
    <cellStyle name="Standard 4 3 3 4 5 7" xfId="22568" xr:uid="{00000000-0005-0000-0000-0000EE580000}"/>
    <cellStyle name="Standard 4 3 3 4 6" xfId="22569" xr:uid="{00000000-0005-0000-0000-0000EF580000}"/>
    <cellStyle name="Standard 4 3 3 4 6 2" xfId="22570" xr:uid="{00000000-0005-0000-0000-0000F0580000}"/>
    <cellStyle name="Standard 4 3 3 4 6 2 2" xfId="22571" xr:uid="{00000000-0005-0000-0000-0000F1580000}"/>
    <cellStyle name="Standard 4 3 3 4 6 2 3" xfId="22572" xr:uid="{00000000-0005-0000-0000-0000F2580000}"/>
    <cellStyle name="Standard 4 3 3 4 6 3" xfId="22573" xr:uid="{00000000-0005-0000-0000-0000F3580000}"/>
    <cellStyle name="Standard 4 3 3 4 6 3 2" xfId="22574" xr:uid="{00000000-0005-0000-0000-0000F4580000}"/>
    <cellStyle name="Standard 4 3 3 4 6 3 3" xfId="22575" xr:uid="{00000000-0005-0000-0000-0000F5580000}"/>
    <cellStyle name="Standard 4 3 3 4 6 4" xfId="22576" xr:uid="{00000000-0005-0000-0000-0000F6580000}"/>
    <cellStyle name="Standard 4 3 3 4 6 4 2" xfId="22577" xr:uid="{00000000-0005-0000-0000-0000F7580000}"/>
    <cellStyle name="Standard 4 3 3 4 6 5" xfId="22578" xr:uid="{00000000-0005-0000-0000-0000F8580000}"/>
    <cellStyle name="Standard 4 3 3 4 6 6" xfId="22579" xr:uid="{00000000-0005-0000-0000-0000F9580000}"/>
    <cellStyle name="Standard 4 3 3 4 7" xfId="22580" xr:uid="{00000000-0005-0000-0000-0000FA580000}"/>
    <cellStyle name="Standard 4 3 3 4 7 2" xfId="22581" xr:uid="{00000000-0005-0000-0000-0000FB580000}"/>
    <cellStyle name="Standard 4 3 3 4 7 3" xfId="22582" xr:uid="{00000000-0005-0000-0000-0000FC580000}"/>
    <cellStyle name="Standard 4 3 3 4 8" xfId="22583" xr:uid="{00000000-0005-0000-0000-0000FD580000}"/>
    <cellStyle name="Standard 4 3 3 4 8 2" xfId="22584" xr:uid="{00000000-0005-0000-0000-0000FE580000}"/>
    <cellStyle name="Standard 4 3 3 4 8 3" xfId="22585" xr:uid="{00000000-0005-0000-0000-0000FF580000}"/>
    <cellStyle name="Standard 4 3 3 4 9" xfId="22586" xr:uid="{00000000-0005-0000-0000-000000590000}"/>
    <cellStyle name="Standard 4 3 3 4 9 2" xfId="22587" xr:uid="{00000000-0005-0000-0000-000001590000}"/>
    <cellStyle name="Standard 4 3 3 5" xfId="22588" xr:uid="{00000000-0005-0000-0000-000002590000}"/>
    <cellStyle name="Standard 4 3 3 5 10" xfId="22589" xr:uid="{00000000-0005-0000-0000-000003590000}"/>
    <cellStyle name="Standard 4 3 3 5 2" xfId="22590" xr:uid="{00000000-0005-0000-0000-000004590000}"/>
    <cellStyle name="Standard 4 3 3 5 2 2" xfId="22591" xr:uid="{00000000-0005-0000-0000-000005590000}"/>
    <cellStyle name="Standard 4 3 3 5 2 2 2" xfId="22592" xr:uid="{00000000-0005-0000-0000-000006590000}"/>
    <cellStyle name="Standard 4 3 3 5 2 2 2 2" xfId="22593" xr:uid="{00000000-0005-0000-0000-000007590000}"/>
    <cellStyle name="Standard 4 3 3 5 2 2 2 2 2" xfId="22594" xr:uid="{00000000-0005-0000-0000-000008590000}"/>
    <cellStyle name="Standard 4 3 3 5 2 2 2 2 3" xfId="22595" xr:uid="{00000000-0005-0000-0000-000009590000}"/>
    <cellStyle name="Standard 4 3 3 5 2 2 2 3" xfId="22596" xr:uid="{00000000-0005-0000-0000-00000A590000}"/>
    <cellStyle name="Standard 4 3 3 5 2 2 2 3 2" xfId="22597" xr:uid="{00000000-0005-0000-0000-00000B590000}"/>
    <cellStyle name="Standard 4 3 3 5 2 2 2 3 3" xfId="22598" xr:uid="{00000000-0005-0000-0000-00000C590000}"/>
    <cellStyle name="Standard 4 3 3 5 2 2 2 4" xfId="22599" xr:uid="{00000000-0005-0000-0000-00000D590000}"/>
    <cellStyle name="Standard 4 3 3 5 2 2 2 4 2" xfId="22600" xr:uid="{00000000-0005-0000-0000-00000E590000}"/>
    <cellStyle name="Standard 4 3 3 5 2 2 2 5" xfId="22601" xr:uid="{00000000-0005-0000-0000-00000F590000}"/>
    <cellStyle name="Standard 4 3 3 5 2 2 2 6" xfId="22602" xr:uid="{00000000-0005-0000-0000-000010590000}"/>
    <cellStyle name="Standard 4 3 3 5 2 2 3" xfId="22603" xr:uid="{00000000-0005-0000-0000-000011590000}"/>
    <cellStyle name="Standard 4 3 3 5 2 2 3 2" xfId="22604" xr:uid="{00000000-0005-0000-0000-000012590000}"/>
    <cellStyle name="Standard 4 3 3 5 2 2 3 3" xfId="22605" xr:uid="{00000000-0005-0000-0000-000013590000}"/>
    <cellStyle name="Standard 4 3 3 5 2 2 4" xfId="22606" xr:uid="{00000000-0005-0000-0000-000014590000}"/>
    <cellStyle name="Standard 4 3 3 5 2 2 4 2" xfId="22607" xr:uid="{00000000-0005-0000-0000-000015590000}"/>
    <cellStyle name="Standard 4 3 3 5 2 2 4 3" xfId="22608" xr:uid="{00000000-0005-0000-0000-000016590000}"/>
    <cellStyle name="Standard 4 3 3 5 2 2 5" xfId="22609" xr:uid="{00000000-0005-0000-0000-000017590000}"/>
    <cellStyle name="Standard 4 3 3 5 2 2 5 2" xfId="22610" xr:uid="{00000000-0005-0000-0000-000018590000}"/>
    <cellStyle name="Standard 4 3 3 5 2 2 6" xfId="22611" xr:uid="{00000000-0005-0000-0000-000019590000}"/>
    <cellStyle name="Standard 4 3 3 5 2 2 7" xfId="22612" xr:uid="{00000000-0005-0000-0000-00001A590000}"/>
    <cellStyle name="Standard 4 3 3 5 2 3" xfId="22613" xr:uid="{00000000-0005-0000-0000-00001B590000}"/>
    <cellStyle name="Standard 4 3 3 5 2 3 2" xfId="22614" xr:uid="{00000000-0005-0000-0000-00001C590000}"/>
    <cellStyle name="Standard 4 3 3 5 2 3 2 2" xfId="22615" xr:uid="{00000000-0005-0000-0000-00001D590000}"/>
    <cellStyle name="Standard 4 3 3 5 2 3 2 3" xfId="22616" xr:uid="{00000000-0005-0000-0000-00001E590000}"/>
    <cellStyle name="Standard 4 3 3 5 2 3 3" xfId="22617" xr:uid="{00000000-0005-0000-0000-00001F590000}"/>
    <cellStyle name="Standard 4 3 3 5 2 3 3 2" xfId="22618" xr:uid="{00000000-0005-0000-0000-000020590000}"/>
    <cellStyle name="Standard 4 3 3 5 2 3 3 3" xfId="22619" xr:uid="{00000000-0005-0000-0000-000021590000}"/>
    <cellStyle name="Standard 4 3 3 5 2 3 4" xfId="22620" xr:uid="{00000000-0005-0000-0000-000022590000}"/>
    <cellStyle name="Standard 4 3 3 5 2 3 4 2" xfId="22621" xr:uid="{00000000-0005-0000-0000-000023590000}"/>
    <cellStyle name="Standard 4 3 3 5 2 3 5" xfId="22622" xr:uid="{00000000-0005-0000-0000-000024590000}"/>
    <cellStyle name="Standard 4 3 3 5 2 3 6" xfId="22623" xr:uid="{00000000-0005-0000-0000-000025590000}"/>
    <cellStyle name="Standard 4 3 3 5 2 4" xfId="22624" xr:uid="{00000000-0005-0000-0000-000026590000}"/>
    <cellStyle name="Standard 4 3 3 5 2 4 2" xfId="22625" xr:uid="{00000000-0005-0000-0000-000027590000}"/>
    <cellStyle name="Standard 4 3 3 5 2 4 3" xfId="22626" xr:uid="{00000000-0005-0000-0000-000028590000}"/>
    <cellStyle name="Standard 4 3 3 5 2 5" xfId="22627" xr:uid="{00000000-0005-0000-0000-000029590000}"/>
    <cellStyle name="Standard 4 3 3 5 2 5 2" xfId="22628" xr:uid="{00000000-0005-0000-0000-00002A590000}"/>
    <cellStyle name="Standard 4 3 3 5 2 5 3" xfId="22629" xr:uid="{00000000-0005-0000-0000-00002B590000}"/>
    <cellStyle name="Standard 4 3 3 5 2 6" xfId="22630" xr:uid="{00000000-0005-0000-0000-00002C590000}"/>
    <cellStyle name="Standard 4 3 3 5 2 6 2" xfId="22631" xr:uid="{00000000-0005-0000-0000-00002D590000}"/>
    <cellStyle name="Standard 4 3 3 5 2 7" xfId="22632" xr:uid="{00000000-0005-0000-0000-00002E590000}"/>
    <cellStyle name="Standard 4 3 3 5 2 8" xfId="22633" xr:uid="{00000000-0005-0000-0000-00002F590000}"/>
    <cellStyle name="Standard 4 3 3 5 3" xfId="22634" xr:uid="{00000000-0005-0000-0000-000030590000}"/>
    <cellStyle name="Standard 4 3 3 5 3 2" xfId="22635" xr:uid="{00000000-0005-0000-0000-000031590000}"/>
    <cellStyle name="Standard 4 3 3 5 3 2 2" xfId="22636" xr:uid="{00000000-0005-0000-0000-000032590000}"/>
    <cellStyle name="Standard 4 3 3 5 3 2 2 2" xfId="22637" xr:uid="{00000000-0005-0000-0000-000033590000}"/>
    <cellStyle name="Standard 4 3 3 5 3 2 2 2 2" xfId="22638" xr:uid="{00000000-0005-0000-0000-000034590000}"/>
    <cellStyle name="Standard 4 3 3 5 3 2 2 2 3" xfId="22639" xr:uid="{00000000-0005-0000-0000-000035590000}"/>
    <cellStyle name="Standard 4 3 3 5 3 2 2 3" xfId="22640" xr:uid="{00000000-0005-0000-0000-000036590000}"/>
    <cellStyle name="Standard 4 3 3 5 3 2 2 3 2" xfId="22641" xr:uid="{00000000-0005-0000-0000-000037590000}"/>
    <cellStyle name="Standard 4 3 3 5 3 2 2 3 3" xfId="22642" xr:uid="{00000000-0005-0000-0000-000038590000}"/>
    <cellStyle name="Standard 4 3 3 5 3 2 2 4" xfId="22643" xr:uid="{00000000-0005-0000-0000-000039590000}"/>
    <cellStyle name="Standard 4 3 3 5 3 2 2 4 2" xfId="22644" xr:uid="{00000000-0005-0000-0000-00003A590000}"/>
    <cellStyle name="Standard 4 3 3 5 3 2 2 5" xfId="22645" xr:uid="{00000000-0005-0000-0000-00003B590000}"/>
    <cellStyle name="Standard 4 3 3 5 3 2 2 6" xfId="22646" xr:uid="{00000000-0005-0000-0000-00003C590000}"/>
    <cellStyle name="Standard 4 3 3 5 3 2 3" xfId="22647" xr:uid="{00000000-0005-0000-0000-00003D590000}"/>
    <cellStyle name="Standard 4 3 3 5 3 2 3 2" xfId="22648" xr:uid="{00000000-0005-0000-0000-00003E590000}"/>
    <cellStyle name="Standard 4 3 3 5 3 2 3 3" xfId="22649" xr:uid="{00000000-0005-0000-0000-00003F590000}"/>
    <cellStyle name="Standard 4 3 3 5 3 2 4" xfId="22650" xr:uid="{00000000-0005-0000-0000-000040590000}"/>
    <cellStyle name="Standard 4 3 3 5 3 2 4 2" xfId="22651" xr:uid="{00000000-0005-0000-0000-000041590000}"/>
    <cellStyle name="Standard 4 3 3 5 3 2 4 3" xfId="22652" xr:uid="{00000000-0005-0000-0000-000042590000}"/>
    <cellStyle name="Standard 4 3 3 5 3 2 5" xfId="22653" xr:uid="{00000000-0005-0000-0000-000043590000}"/>
    <cellStyle name="Standard 4 3 3 5 3 2 5 2" xfId="22654" xr:uid="{00000000-0005-0000-0000-000044590000}"/>
    <cellStyle name="Standard 4 3 3 5 3 2 6" xfId="22655" xr:uid="{00000000-0005-0000-0000-000045590000}"/>
    <cellStyle name="Standard 4 3 3 5 3 2 7" xfId="22656" xr:uid="{00000000-0005-0000-0000-000046590000}"/>
    <cellStyle name="Standard 4 3 3 5 3 3" xfId="22657" xr:uid="{00000000-0005-0000-0000-000047590000}"/>
    <cellStyle name="Standard 4 3 3 5 3 3 2" xfId="22658" xr:uid="{00000000-0005-0000-0000-000048590000}"/>
    <cellStyle name="Standard 4 3 3 5 3 3 2 2" xfId="22659" xr:uid="{00000000-0005-0000-0000-000049590000}"/>
    <cellStyle name="Standard 4 3 3 5 3 3 2 3" xfId="22660" xr:uid="{00000000-0005-0000-0000-00004A590000}"/>
    <cellStyle name="Standard 4 3 3 5 3 3 3" xfId="22661" xr:uid="{00000000-0005-0000-0000-00004B590000}"/>
    <cellStyle name="Standard 4 3 3 5 3 3 3 2" xfId="22662" xr:uid="{00000000-0005-0000-0000-00004C590000}"/>
    <cellStyle name="Standard 4 3 3 5 3 3 3 3" xfId="22663" xr:uid="{00000000-0005-0000-0000-00004D590000}"/>
    <cellStyle name="Standard 4 3 3 5 3 3 4" xfId="22664" xr:uid="{00000000-0005-0000-0000-00004E590000}"/>
    <cellStyle name="Standard 4 3 3 5 3 3 4 2" xfId="22665" xr:uid="{00000000-0005-0000-0000-00004F590000}"/>
    <cellStyle name="Standard 4 3 3 5 3 3 5" xfId="22666" xr:uid="{00000000-0005-0000-0000-000050590000}"/>
    <cellStyle name="Standard 4 3 3 5 3 3 6" xfId="22667" xr:uid="{00000000-0005-0000-0000-000051590000}"/>
    <cellStyle name="Standard 4 3 3 5 3 4" xfId="22668" xr:uid="{00000000-0005-0000-0000-000052590000}"/>
    <cellStyle name="Standard 4 3 3 5 3 4 2" xfId="22669" xr:uid="{00000000-0005-0000-0000-000053590000}"/>
    <cellStyle name="Standard 4 3 3 5 3 4 3" xfId="22670" xr:uid="{00000000-0005-0000-0000-000054590000}"/>
    <cellStyle name="Standard 4 3 3 5 3 5" xfId="22671" xr:uid="{00000000-0005-0000-0000-000055590000}"/>
    <cellStyle name="Standard 4 3 3 5 3 5 2" xfId="22672" xr:uid="{00000000-0005-0000-0000-000056590000}"/>
    <cellStyle name="Standard 4 3 3 5 3 5 3" xfId="22673" xr:uid="{00000000-0005-0000-0000-000057590000}"/>
    <cellStyle name="Standard 4 3 3 5 3 6" xfId="22674" xr:uid="{00000000-0005-0000-0000-000058590000}"/>
    <cellStyle name="Standard 4 3 3 5 3 6 2" xfId="22675" xr:uid="{00000000-0005-0000-0000-000059590000}"/>
    <cellStyle name="Standard 4 3 3 5 3 7" xfId="22676" xr:uid="{00000000-0005-0000-0000-00005A590000}"/>
    <cellStyle name="Standard 4 3 3 5 3 8" xfId="22677" xr:uid="{00000000-0005-0000-0000-00005B590000}"/>
    <cellStyle name="Standard 4 3 3 5 4" xfId="22678" xr:uid="{00000000-0005-0000-0000-00005C590000}"/>
    <cellStyle name="Standard 4 3 3 5 4 2" xfId="22679" xr:uid="{00000000-0005-0000-0000-00005D590000}"/>
    <cellStyle name="Standard 4 3 3 5 4 2 2" xfId="22680" xr:uid="{00000000-0005-0000-0000-00005E590000}"/>
    <cellStyle name="Standard 4 3 3 5 4 2 2 2" xfId="22681" xr:uid="{00000000-0005-0000-0000-00005F590000}"/>
    <cellStyle name="Standard 4 3 3 5 4 2 2 3" xfId="22682" xr:uid="{00000000-0005-0000-0000-000060590000}"/>
    <cellStyle name="Standard 4 3 3 5 4 2 3" xfId="22683" xr:uid="{00000000-0005-0000-0000-000061590000}"/>
    <cellStyle name="Standard 4 3 3 5 4 2 3 2" xfId="22684" xr:uid="{00000000-0005-0000-0000-000062590000}"/>
    <cellStyle name="Standard 4 3 3 5 4 2 3 3" xfId="22685" xr:uid="{00000000-0005-0000-0000-000063590000}"/>
    <cellStyle name="Standard 4 3 3 5 4 2 4" xfId="22686" xr:uid="{00000000-0005-0000-0000-000064590000}"/>
    <cellStyle name="Standard 4 3 3 5 4 2 4 2" xfId="22687" xr:uid="{00000000-0005-0000-0000-000065590000}"/>
    <cellStyle name="Standard 4 3 3 5 4 2 5" xfId="22688" xr:uid="{00000000-0005-0000-0000-000066590000}"/>
    <cellStyle name="Standard 4 3 3 5 4 2 6" xfId="22689" xr:uid="{00000000-0005-0000-0000-000067590000}"/>
    <cellStyle name="Standard 4 3 3 5 4 3" xfId="22690" xr:uid="{00000000-0005-0000-0000-000068590000}"/>
    <cellStyle name="Standard 4 3 3 5 4 3 2" xfId="22691" xr:uid="{00000000-0005-0000-0000-000069590000}"/>
    <cellStyle name="Standard 4 3 3 5 4 3 3" xfId="22692" xr:uid="{00000000-0005-0000-0000-00006A590000}"/>
    <cellStyle name="Standard 4 3 3 5 4 4" xfId="22693" xr:uid="{00000000-0005-0000-0000-00006B590000}"/>
    <cellStyle name="Standard 4 3 3 5 4 4 2" xfId="22694" xr:uid="{00000000-0005-0000-0000-00006C590000}"/>
    <cellStyle name="Standard 4 3 3 5 4 4 3" xfId="22695" xr:uid="{00000000-0005-0000-0000-00006D590000}"/>
    <cellStyle name="Standard 4 3 3 5 4 5" xfId="22696" xr:uid="{00000000-0005-0000-0000-00006E590000}"/>
    <cellStyle name="Standard 4 3 3 5 4 5 2" xfId="22697" xr:uid="{00000000-0005-0000-0000-00006F590000}"/>
    <cellStyle name="Standard 4 3 3 5 4 6" xfId="22698" xr:uid="{00000000-0005-0000-0000-000070590000}"/>
    <cellStyle name="Standard 4 3 3 5 4 7" xfId="22699" xr:uid="{00000000-0005-0000-0000-000071590000}"/>
    <cellStyle name="Standard 4 3 3 5 5" xfId="22700" xr:uid="{00000000-0005-0000-0000-000072590000}"/>
    <cellStyle name="Standard 4 3 3 5 5 2" xfId="22701" xr:uid="{00000000-0005-0000-0000-000073590000}"/>
    <cellStyle name="Standard 4 3 3 5 5 2 2" xfId="22702" xr:uid="{00000000-0005-0000-0000-000074590000}"/>
    <cellStyle name="Standard 4 3 3 5 5 2 3" xfId="22703" xr:uid="{00000000-0005-0000-0000-000075590000}"/>
    <cellStyle name="Standard 4 3 3 5 5 3" xfId="22704" xr:uid="{00000000-0005-0000-0000-000076590000}"/>
    <cellStyle name="Standard 4 3 3 5 5 3 2" xfId="22705" xr:uid="{00000000-0005-0000-0000-000077590000}"/>
    <cellStyle name="Standard 4 3 3 5 5 3 3" xfId="22706" xr:uid="{00000000-0005-0000-0000-000078590000}"/>
    <cellStyle name="Standard 4 3 3 5 5 4" xfId="22707" xr:uid="{00000000-0005-0000-0000-000079590000}"/>
    <cellStyle name="Standard 4 3 3 5 5 4 2" xfId="22708" xr:uid="{00000000-0005-0000-0000-00007A590000}"/>
    <cellStyle name="Standard 4 3 3 5 5 5" xfId="22709" xr:uid="{00000000-0005-0000-0000-00007B590000}"/>
    <cellStyle name="Standard 4 3 3 5 5 6" xfId="22710" xr:uid="{00000000-0005-0000-0000-00007C590000}"/>
    <cellStyle name="Standard 4 3 3 5 6" xfId="22711" xr:uid="{00000000-0005-0000-0000-00007D590000}"/>
    <cellStyle name="Standard 4 3 3 5 6 2" xfId="22712" xr:uid="{00000000-0005-0000-0000-00007E590000}"/>
    <cellStyle name="Standard 4 3 3 5 6 3" xfId="22713" xr:uid="{00000000-0005-0000-0000-00007F590000}"/>
    <cellStyle name="Standard 4 3 3 5 7" xfId="22714" xr:uid="{00000000-0005-0000-0000-000080590000}"/>
    <cellStyle name="Standard 4 3 3 5 7 2" xfId="22715" xr:uid="{00000000-0005-0000-0000-000081590000}"/>
    <cellStyle name="Standard 4 3 3 5 7 3" xfId="22716" xr:uid="{00000000-0005-0000-0000-000082590000}"/>
    <cellStyle name="Standard 4 3 3 5 8" xfId="22717" xr:uid="{00000000-0005-0000-0000-000083590000}"/>
    <cellStyle name="Standard 4 3 3 5 8 2" xfId="22718" xr:uid="{00000000-0005-0000-0000-000084590000}"/>
    <cellStyle name="Standard 4 3 3 5 9" xfId="22719" xr:uid="{00000000-0005-0000-0000-000085590000}"/>
    <cellStyle name="Standard 4 3 3 6" xfId="22720" xr:uid="{00000000-0005-0000-0000-000086590000}"/>
    <cellStyle name="Standard 4 3 3 6 2" xfId="22721" xr:uid="{00000000-0005-0000-0000-000087590000}"/>
    <cellStyle name="Standard 4 3 3 6 2 2" xfId="22722" xr:uid="{00000000-0005-0000-0000-000088590000}"/>
    <cellStyle name="Standard 4 3 3 6 2 2 2" xfId="22723" xr:uid="{00000000-0005-0000-0000-000089590000}"/>
    <cellStyle name="Standard 4 3 3 6 2 2 2 2" xfId="22724" xr:uid="{00000000-0005-0000-0000-00008A590000}"/>
    <cellStyle name="Standard 4 3 3 6 2 2 2 3" xfId="22725" xr:uid="{00000000-0005-0000-0000-00008B590000}"/>
    <cellStyle name="Standard 4 3 3 6 2 2 3" xfId="22726" xr:uid="{00000000-0005-0000-0000-00008C590000}"/>
    <cellStyle name="Standard 4 3 3 6 2 2 3 2" xfId="22727" xr:uid="{00000000-0005-0000-0000-00008D590000}"/>
    <cellStyle name="Standard 4 3 3 6 2 2 3 3" xfId="22728" xr:uid="{00000000-0005-0000-0000-00008E590000}"/>
    <cellStyle name="Standard 4 3 3 6 2 2 4" xfId="22729" xr:uid="{00000000-0005-0000-0000-00008F590000}"/>
    <cellStyle name="Standard 4 3 3 6 2 2 4 2" xfId="22730" xr:uid="{00000000-0005-0000-0000-000090590000}"/>
    <cellStyle name="Standard 4 3 3 6 2 2 5" xfId="22731" xr:uid="{00000000-0005-0000-0000-000091590000}"/>
    <cellStyle name="Standard 4 3 3 6 2 2 6" xfId="22732" xr:uid="{00000000-0005-0000-0000-000092590000}"/>
    <cellStyle name="Standard 4 3 3 6 2 3" xfId="22733" xr:uid="{00000000-0005-0000-0000-000093590000}"/>
    <cellStyle name="Standard 4 3 3 6 2 3 2" xfId="22734" xr:uid="{00000000-0005-0000-0000-000094590000}"/>
    <cellStyle name="Standard 4 3 3 6 2 3 3" xfId="22735" xr:uid="{00000000-0005-0000-0000-000095590000}"/>
    <cellStyle name="Standard 4 3 3 6 2 4" xfId="22736" xr:uid="{00000000-0005-0000-0000-000096590000}"/>
    <cellStyle name="Standard 4 3 3 6 2 4 2" xfId="22737" xr:uid="{00000000-0005-0000-0000-000097590000}"/>
    <cellStyle name="Standard 4 3 3 6 2 4 3" xfId="22738" xr:uid="{00000000-0005-0000-0000-000098590000}"/>
    <cellStyle name="Standard 4 3 3 6 2 5" xfId="22739" xr:uid="{00000000-0005-0000-0000-000099590000}"/>
    <cellStyle name="Standard 4 3 3 6 2 5 2" xfId="22740" xr:uid="{00000000-0005-0000-0000-00009A590000}"/>
    <cellStyle name="Standard 4 3 3 6 2 6" xfId="22741" xr:uid="{00000000-0005-0000-0000-00009B590000}"/>
    <cellStyle name="Standard 4 3 3 6 2 7" xfId="22742" xr:uid="{00000000-0005-0000-0000-00009C590000}"/>
    <cellStyle name="Standard 4 3 3 6 3" xfId="22743" xr:uid="{00000000-0005-0000-0000-00009D590000}"/>
    <cellStyle name="Standard 4 3 3 6 3 2" xfId="22744" xr:uid="{00000000-0005-0000-0000-00009E590000}"/>
    <cellStyle name="Standard 4 3 3 6 3 2 2" xfId="22745" xr:uid="{00000000-0005-0000-0000-00009F590000}"/>
    <cellStyle name="Standard 4 3 3 6 3 2 3" xfId="22746" xr:uid="{00000000-0005-0000-0000-0000A0590000}"/>
    <cellStyle name="Standard 4 3 3 6 3 3" xfId="22747" xr:uid="{00000000-0005-0000-0000-0000A1590000}"/>
    <cellStyle name="Standard 4 3 3 6 3 3 2" xfId="22748" xr:uid="{00000000-0005-0000-0000-0000A2590000}"/>
    <cellStyle name="Standard 4 3 3 6 3 3 3" xfId="22749" xr:uid="{00000000-0005-0000-0000-0000A3590000}"/>
    <cellStyle name="Standard 4 3 3 6 3 4" xfId="22750" xr:uid="{00000000-0005-0000-0000-0000A4590000}"/>
    <cellStyle name="Standard 4 3 3 6 3 4 2" xfId="22751" xr:uid="{00000000-0005-0000-0000-0000A5590000}"/>
    <cellStyle name="Standard 4 3 3 6 3 5" xfId="22752" xr:uid="{00000000-0005-0000-0000-0000A6590000}"/>
    <cellStyle name="Standard 4 3 3 6 3 6" xfId="22753" xr:uid="{00000000-0005-0000-0000-0000A7590000}"/>
    <cellStyle name="Standard 4 3 3 6 4" xfId="22754" xr:uid="{00000000-0005-0000-0000-0000A8590000}"/>
    <cellStyle name="Standard 4 3 3 6 4 2" xfId="22755" xr:uid="{00000000-0005-0000-0000-0000A9590000}"/>
    <cellStyle name="Standard 4 3 3 6 4 3" xfId="22756" xr:uid="{00000000-0005-0000-0000-0000AA590000}"/>
    <cellStyle name="Standard 4 3 3 6 5" xfId="22757" xr:uid="{00000000-0005-0000-0000-0000AB590000}"/>
    <cellStyle name="Standard 4 3 3 6 5 2" xfId="22758" xr:uid="{00000000-0005-0000-0000-0000AC590000}"/>
    <cellStyle name="Standard 4 3 3 6 5 3" xfId="22759" xr:uid="{00000000-0005-0000-0000-0000AD590000}"/>
    <cellStyle name="Standard 4 3 3 6 6" xfId="22760" xr:uid="{00000000-0005-0000-0000-0000AE590000}"/>
    <cellStyle name="Standard 4 3 3 6 6 2" xfId="22761" xr:uid="{00000000-0005-0000-0000-0000AF590000}"/>
    <cellStyle name="Standard 4 3 3 6 7" xfId="22762" xr:uid="{00000000-0005-0000-0000-0000B0590000}"/>
    <cellStyle name="Standard 4 3 3 6 8" xfId="22763" xr:uid="{00000000-0005-0000-0000-0000B1590000}"/>
    <cellStyle name="Standard 4 3 3 7" xfId="22764" xr:uid="{00000000-0005-0000-0000-0000B2590000}"/>
    <cellStyle name="Standard 4 3 3 7 2" xfId="22765" xr:uid="{00000000-0005-0000-0000-0000B3590000}"/>
    <cellStyle name="Standard 4 3 3 7 2 2" xfId="22766" xr:uid="{00000000-0005-0000-0000-0000B4590000}"/>
    <cellStyle name="Standard 4 3 3 7 2 2 2" xfId="22767" xr:uid="{00000000-0005-0000-0000-0000B5590000}"/>
    <cellStyle name="Standard 4 3 3 7 2 2 2 2" xfId="22768" xr:uid="{00000000-0005-0000-0000-0000B6590000}"/>
    <cellStyle name="Standard 4 3 3 7 2 2 2 3" xfId="22769" xr:uid="{00000000-0005-0000-0000-0000B7590000}"/>
    <cellStyle name="Standard 4 3 3 7 2 2 3" xfId="22770" xr:uid="{00000000-0005-0000-0000-0000B8590000}"/>
    <cellStyle name="Standard 4 3 3 7 2 2 3 2" xfId="22771" xr:uid="{00000000-0005-0000-0000-0000B9590000}"/>
    <cellStyle name="Standard 4 3 3 7 2 2 3 3" xfId="22772" xr:uid="{00000000-0005-0000-0000-0000BA590000}"/>
    <cellStyle name="Standard 4 3 3 7 2 2 4" xfId="22773" xr:uid="{00000000-0005-0000-0000-0000BB590000}"/>
    <cellStyle name="Standard 4 3 3 7 2 2 4 2" xfId="22774" xr:uid="{00000000-0005-0000-0000-0000BC590000}"/>
    <cellStyle name="Standard 4 3 3 7 2 2 5" xfId="22775" xr:uid="{00000000-0005-0000-0000-0000BD590000}"/>
    <cellStyle name="Standard 4 3 3 7 2 2 6" xfId="22776" xr:uid="{00000000-0005-0000-0000-0000BE590000}"/>
    <cellStyle name="Standard 4 3 3 7 2 3" xfId="22777" xr:uid="{00000000-0005-0000-0000-0000BF590000}"/>
    <cellStyle name="Standard 4 3 3 7 2 3 2" xfId="22778" xr:uid="{00000000-0005-0000-0000-0000C0590000}"/>
    <cellStyle name="Standard 4 3 3 7 2 3 3" xfId="22779" xr:uid="{00000000-0005-0000-0000-0000C1590000}"/>
    <cellStyle name="Standard 4 3 3 7 2 4" xfId="22780" xr:uid="{00000000-0005-0000-0000-0000C2590000}"/>
    <cellStyle name="Standard 4 3 3 7 2 4 2" xfId="22781" xr:uid="{00000000-0005-0000-0000-0000C3590000}"/>
    <cellStyle name="Standard 4 3 3 7 2 4 3" xfId="22782" xr:uid="{00000000-0005-0000-0000-0000C4590000}"/>
    <cellStyle name="Standard 4 3 3 7 2 5" xfId="22783" xr:uid="{00000000-0005-0000-0000-0000C5590000}"/>
    <cellStyle name="Standard 4 3 3 7 2 5 2" xfId="22784" xr:uid="{00000000-0005-0000-0000-0000C6590000}"/>
    <cellStyle name="Standard 4 3 3 7 2 6" xfId="22785" xr:uid="{00000000-0005-0000-0000-0000C7590000}"/>
    <cellStyle name="Standard 4 3 3 7 2 7" xfId="22786" xr:uid="{00000000-0005-0000-0000-0000C8590000}"/>
    <cellStyle name="Standard 4 3 3 7 3" xfId="22787" xr:uid="{00000000-0005-0000-0000-0000C9590000}"/>
    <cellStyle name="Standard 4 3 3 7 3 2" xfId="22788" xr:uid="{00000000-0005-0000-0000-0000CA590000}"/>
    <cellStyle name="Standard 4 3 3 7 3 2 2" xfId="22789" xr:uid="{00000000-0005-0000-0000-0000CB590000}"/>
    <cellStyle name="Standard 4 3 3 7 3 2 3" xfId="22790" xr:uid="{00000000-0005-0000-0000-0000CC590000}"/>
    <cellStyle name="Standard 4 3 3 7 3 3" xfId="22791" xr:uid="{00000000-0005-0000-0000-0000CD590000}"/>
    <cellStyle name="Standard 4 3 3 7 3 3 2" xfId="22792" xr:uid="{00000000-0005-0000-0000-0000CE590000}"/>
    <cellStyle name="Standard 4 3 3 7 3 3 3" xfId="22793" xr:uid="{00000000-0005-0000-0000-0000CF590000}"/>
    <cellStyle name="Standard 4 3 3 7 3 4" xfId="22794" xr:uid="{00000000-0005-0000-0000-0000D0590000}"/>
    <cellStyle name="Standard 4 3 3 7 3 4 2" xfId="22795" xr:uid="{00000000-0005-0000-0000-0000D1590000}"/>
    <cellStyle name="Standard 4 3 3 7 3 5" xfId="22796" xr:uid="{00000000-0005-0000-0000-0000D2590000}"/>
    <cellStyle name="Standard 4 3 3 7 3 6" xfId="22797" xr:uid="{00000000-0005-0000-0000-0000D3590000}"/>
    <cellStyle name="Standard 4 3 3 7 4" xfId="22798" xr:uid="{00000000-0005-0000-0000-0000D4590000}"/>
    <cellStyle name="Standard 4 3 3 7 4 2" xfId="22799" xr:uid="{00000000-0005-0000-0000-0000D5590000}"/>
    <cellStyle name="Standard 4 3 3 7 4 3" xfId="22800" xr:uid="{00000000-0005-0000-0000-0000D6590000}"/>
    <cellStyle name="Standard 4 3 3 7 5" xfId="22801" xr:uid="{00000000-0005-0000-0000-0000D7590000}"/>
    <cellStyle name="Standard 4 3 3 7 5 2" xfId="22802" xr:uid="{00000000-0005-0000-0000-0000D8590000}"/>
    <cellStyle name="Standard 4 3 3 7 5 3" xfId="22803" xr:uid="{00000000-0005-0000-0000-0000D9590000}"/>
    <cellStyle name="Standard 4 3 3 7 6" xfId="22804" xr:uid="{00000000-0005-0000-0000-0000DA590000}"/>
    <cellStyle name="Standard 4 3 3 7 6 2" xfId="22805" xr:uid="{00000000-0005-0000-0000-0000DB590000}"/>
    <cellStyle name="Standard 4 3 3 7 7" xfId="22806" xr:uid="{00000000-0005-0000-0000-0000DC590000}"/>
    <cellStyle name="Standard 4 3 3 7 8" xfId="22807" xr:uid="{00000000-0005-0000-0000-0000DD590000}"/>
    <cellStyle name="Standard 4 3 3 8" xfId="22808" xr:uid="{00000000-0005-0000-0000-0000DE590000}"/>
    <cellStyle name="Standard 4 3 3 8 2" xfId="22809" xr:uid="{00000000-0005-0000-0000-0000DF590000}"/>
    <cellStyle name="Standard 4 3 3 8 2 2" xfId="22810" xr:uid="{00000000-0005-0000-0000-0000E0590000}"/>
    <cellStyle name="Standard 4 3 3 8 2 2 2" xfId="22811" xr:uid="{00000000-0005-0000-0000-0000E1590000}"/>
    <cellStyle name="Standard 4 3 3 8 2 2 3" xfId="22812" xr:uid="{00000000-0005-0000-0000-0000E2590000}"/>
    <cellStyle name="Standard 4 3 3 8 2 3" xfId="22813" xr:uid="{00000000-0005-0000-0000-0000E3590000}"/>
    <cellStyle name="Standard 4 3 3 8 2 3 2" xfId="22814" xr:uid="{00000000-0005-0000-0000-0000E4590000}"/>
    <cellStyle name="Standard 4 3 3 8 2 3 3" xfId="22815" xr:uid="{00000000-0005-0000-0000-0000E5590000}"/>
    <cellStyle name="Standard 4 3 3 8 2 4" xfId="22816" xr:uid="{00000000-0005-0000-0000-0000E6590000}"/>
    <cellStyle name="Standard 4 3 3 8 2 4 2" xfId="22817" xr:uid="{00000000-0005-0000-0000-0000E7590000}"/>
    <cellStyle name="Standard 4 3 3 8 2 5" xfId="22818" xr:uid="{00000000-0005-0000-0000-0000E8590000}"/>
    <cellStyle name="Standard 4 3 3 8 2 6" xfId="22819" xr:uid="{00000000-0005-0000-0000-0000E9590000}"/>
    <cellStyle name="Standard 4 3 3 8 3" xfId="22820" xr:uid="{00000000-0005-0000-0000-0000EA590000}"/>
    <cellStyle name="Standard 4 3 3 8 3 2" xfId="22821" xr:uid="{00000000-0005-0000-0000-0000EB590000}"/>
    <cellStyle name="Standard 4 3 3 8 3 3" xfId="22822" xr:uid="{00000000-0005-0000-0000-0000EC590000}"/>
    <cellStyle name="Standard 4 3 3 8 4" xfId="22823" xr:uid="{00000000-0005-0000-0000-0000ED590000}"/>
    <cellStyle name="Standard 4 3 3 8 4 2" xfId="22824" xr:uid="{00000000-0005-0000-0000-0000EE590000}"/>
    <cellStyle name="Standard 4 3 3 8 4 3" xfId="22825" xr:uid="{00000000-0005-0000-0000-0000EF590000}"/>
    <cellStyle name="Standard 4 3 3 8 5" xfId="22826" xr:uid="{00000000-0005-0000-0000-0000F0590000}"/>
    <cellStyle name="Standard 4 3 3 8 5 2" xfId="22827" xr:uid="{00000000-0005-0000-0000-0000F1590000}"/>
    <cellStyle name="Standard 4 3 3 8 6" xfId="22828" xr:uid="{00000000-0005-0000-0000-0000F2590000}"/>
    <cellStyle name="Standard 4 3 3 8 7" xfId="22829" xr:uid="{00000000-0005-0000-0000-0000F3590000}"/>
    <cellStyle name="Standard 4 3 3 9" xfId="22830" xr:uid="{00000000-0005-0000-0000-0000F4590000}"/>
    <cellStyle name="Standard 4 3 3 9 2" xfId="22831" xr:uid="{00000000-0005-0000-0000-0000F5590000}"/>
    <cellStyle name="Standard 4 3 3 9 2 2" xfId="22832" xr:uid="{00000000-0005-0000-0000-0000F6590000}"/>
    <cellStyle name="Standard 4 3 3 9 2 3" xfId="22833" xr:uid="{00000000-0005-0000-0000-0000F7590000}"/>
    <cellStyle name="Standard 4 3 3 9 3" xfId="22834" xr:uid="{00000000-0005-0000-0000-0000F8590000}"/>
    <cellStyle name="Standard 4 3 3 9 3 2" xfId="22835" xr:uid="{00000000-0005-0000-0000-0000F9590000}"/>
    <cellStyle name="Standard 4 3 3 9 3 3" xfId="22836" xr:uid="{00000000-0005-0000-0000-0000FA590000}"/>
    <cellStyle name="Standard 4 3 3 9 4" xfId="22837" xr:uid="{00000000-0005-0000-0000-0000FB590000}"/>
    <cellStyle name="Standard 4 3 3 9 4 2" xfId="22838" xr:uid="{00000000-0005-0000-0000-0000FC590000}"/>
    <cellStyle name="Standard 4 3 3 9 5" xfId="22839" xr:uid="{00000000-0005-0000-0000-0000FD590000}"/>
    <cellStyle name="Standard 4 3 3 9 6" xfId="22840" xr:uid="{00000000-0005-0000-0000-0000FE590000}"/>
    <cellStyle name="Standard 4 3 4" xfId="22841" xr:uid="{00000000-0005-0000-0000-0000FF590000}"/>
    <cellStyle name="Standard 4 3 4 10" xfId="22842" xr:uid="{00000000-0005-0000-0000-0000005A0000}"/>
    <cellStyle name="Standard 4 3 4 10 2" xfId="22843" xr:uid="{00000000-0005-0000-0000-0000015A0000}"/>
    <cellStyle name="Standard 4 3 4 10 3" xfId="22844" xr:uid="{00000000-0005-0000-0000-0000025A0000}"/>
    <cellStyle name="Standard 4 3 4 11" xfId="22845" xr:uid="{00000000-0005-0000-0000-0000035A0000}"/>
    <cellStyle name="Standard 4 3 4 11 2" xfId="22846" xr:uid="{00000000-0005-0000-0000-0000045A0000}"/>
    <cellStyle name="Standard 4 3 4 12" xfId="22847" xr:uid="{00000000-0005-0000-0000-0000055A0000}"/>
    <cellStyle name="Standard 4 3 4 13" xfId="22848" xr:uid="{00000000-0005-0000-0000-0000065A0000}"/>
    <cellStyle name="Standard 4 3 4 14" xfId="33468" xr:uid="{00000000-0005-0000-0000-0000075A0000}"/>
    <cellStyle name="Standard 4 3 4 2" xfId="22849" xr:uid="{00000000-0005-0000-0000-0000085A0000}"/>
    <cellStyle name="Standard 4 3 4 2 10" xfId="22850" xr:uid="{00000000-0005-0000-0000-0000095A0000}"/>
    <cellStyle name="Standard 4 3 4 2 11" xfId="22851" xr:uid="{00000000-0005-0000-0000-00000A5A0000}"/>
    <cellStyle name="Standard 4 3 4 2 2" xfId="22852" xr:uid="{00000000-0005-0000-0000-00000B5A0000}"/>
    <cellStyle name="Standard 4 3 4 2 2 10" xfId="22853" xr:uid="{00000000-0005-0000-0000-00000C5A0000}"/>
    <cellStyle name="Standard 4 3 4 2 2 2" xfId="22854" xr:uid="{00000000-0005-0000-0000-00000D5A0000}"/>
    <cellStyle name="Standard 4 3 4 2 2 2 2" xfId="22855" xr:uid="{00000000-0005-0000-0000-00000E5A0000}"/>
    <cellStyle name="Standard 4 3 4 2 2 2 2 2" xfId="22856" xr:uid="{00000000-0005-0000-0000-00000F5A0000}"/>
    <cellStyle name="Standard 4 3 4 2 2 2 2 2 2" xfId="22857" xr:uid="{00000000-0005-0000-0000-0000105A0000}"/>
    <cellStyle name="Standard 4 3 4 2 2 2 2 2 2 2" xfId="22858" xr:uid="{00000000-0005-0000-0000-0000115A0000}"/>
    <cellStyle name="Standard 4 3 4 2 2 2 2 2 2 3" xfId="22859" xr:uid="{00000000-0005-0000-0000-0000125A0000}"/>
    <cellStyle name="Standard 4 3 4 2 2 2 2 2 3" xfId="22860" xr:uid="{00000000-0005-0000-0000-0000135A0000}"/>
    <cellStyle name="Standard 4 3 4 2 2 2 2 2 3 2" xfId="22861" xr:uid="{00000000-0005-0000-0000-0000145A0000}"/>
    <cellStyle name="Standard 4 3 4 2 2 2 2 2 3 3" xfId="22862" xr:uid="{00000000-0005-0000-0000-0000155A0000}"/>
    <cellStyle name="Standard 4 3 4 2 2 2 2 2 4" xfId="22863" xr:uid="{00000000-0005-0000-0000-0000165A0000}"/>
    <cellStyle name="Standard 4 3 4 2 2 2 2 2 4 2" xfId="22864" xr:uid="{00000000-0005-0000-0000-0000175A0000}"/>
    <cellStyle name="Standard 4 3 4 2 2 2 2 2 5" xfId="22865" xr:uid="{00000000-0005-0000-0000-0000185A0000}"/>
    <cellStyle name="Standard 4 3 4 2 2 2 2 2 6" xfId="22866" xr:uid="{00000000-0005-0000-0000-0000195A0000}"/>
    <cellStyle name="Standard 4 3 4 2 2 2 2 3" xfId="22867" xr:uid="{00000000-0005-0000-0000-00001A5A0000}"/>
    <cellStyle name="Standard 4 3 4 2 2 2 2 3 2" xfId="22868" xr:uid="{00000000-0005-0000-0000-00001B5A0000}"/>
    <cellStyle name="Standard 4 3 4 2 2 2 2 3 3" xfId="22869" xr:uid="{00000000-0005-0000-0000-00001C5A0000}"/>
    <cellStyle name="Standard 4 3 4 2 2 2 2 4" xfId="22870" xr:uid="{00000000-0005-0000-0000-00001D5A0000}"/>
    <cellStyle name="Standard 4 3 4 2 2 2 2 4 2" xfId="22871" xr:uid="{00000000-0005-0000-0000-00001E5A0000}"/>
    <cellStyle name="Standard 4 3 4 2 2 2 2 4 3" xfId="22872" xr:uid="{00000000-0005-0000-0000-00001F5A0000}"/>
    <cellStyle name="Standard 4 3 4 2 2 2 2 5" xfId="22873" xr:uid="{00000000-0005-0000-0000-0000205A0000}"/>
    <cellStyle name="Standard 4 3 4 2 2 2 2 5 2" xfId="22874" xr:uid="{00000000-0005-0000-0000-0000215A0000}"/>
    <cellStyle name="Standard 4 3 4 2 2 2 2 6" xfId="22875" xr:uid="{00000000-0005-0000-0000-0000225A0000}"/>
    <cellStyle name="Standard 4 3 4 2 2 2 2 7" xfId="22876" xr:uid="{00000000-0005-0000-0000-0000235A0000}"/>
    <cellStyle name="Standard 4 3 4 2 2 2 3" xfId="22877" xr:uid="{00000000-0005-0000-0000-0000245A0000}"/>
    <cellStyle name="Standard 4 3 4 2 2 2 3 2" xfId="22878" xr:uid="{00000000-0005-0000-0000-0000255A0000}"/>
    <cellStyle name="Standard 4 3 4 2 2 2 3 2 2" xfId="22879" xr:uid="{00000000-0005-0000-0000-0000265A0000}"/>
    <cellStyle name="Standard 4 3 4 2 2 2 3 2 3" xfId="22880" xr:uid="{00000000-0005-0000-0000-0000275A0000}"/>
    <cellStyle name="Standard 4 3 4 2 2 2 3 3" xfId="22881" xr:uid="{00000000-0005-0000-0000-0000285A0000}"/>
    <cellStyle name="Standard 4 3 4 2 2 2 3 3 2" xfId="22882" xr:uid="{00000000-0005-0000-0000-0000295A0000}"/>
    <cellStyle name="Standard 4 3 4 2 2 2 3 3 3" xfId="22883" xr:uid="{00000000-0005-0000-0000-00002A5A0000}"/>
    <cellStyle name="Standard 4 3 4 2 2 2 3 4" xfId="22884" xr:uid="{00000000-0005-0000-0000-00002B5A0000}"/>
    <cellStyle name="Standard 4 3 4 2 2 2 3 4 2" xfId="22885" xr:uid="{00000000-0005-0000-0000-00002C5A0000}"/>
    <cellStyle name="Standard 4 3 4 2 2 2 3 5" xfId="22886" xr:uid="{00000000-0005-0000-0000-00002D5A0000}"/>
    <cellStyle name="Standard 4 3 4 2 2 2 3 6" xfId="22887" xr:uid="{00000000-0005-0000-0000-00002E5A0000}"/>
    <cellStyle name="Standard 4 3 4 2 2 2 4" xfId="22888" xr:uid="{00000000-0005-0000-0000-00002F5A0000}"/>
    <cellStyle name="Standard 4 3 4 2 2 2 4 2" xfId="22889" xr:uid="{00000000-0005-0000-0000-0000305A0000}"/>
    <cellStyle name="Standard 4 3 4 2 2 2 4 3" xfId="22890" xr:uid="{00000000-0005-0000-0000-0000315A0000}"/>
    <cellStyle name="Standard 4 3 4 2 2 2 5" xfId="22891" xr:uid="{00000000-0005-0000-0000-0000325A0000}"/>
    <cellStyle name="Standard 4 3 4 2 2 2 5 2" xfId="22892" xr:uid="{00000000-0005-0000-0000-0000335A0000}"/>
    <cellStyle name="Standard 4 3 4 2 2 2 5 3" xfId="22893" xr:uid="{00000000-0005-0000-0000-0000345A0000}"/>
    <cellStyle name="Standard 4 3 4 2 2 2 6" xfId="22894" xr:uid="{00000000-0005-0000-0000-0000355A0000}"/>
    <cellStyle name="Standard 4 3 4 2 2 2 6 2" xfId="22895" xr:uid="{00000000-0005-0000-0000-0000365A0000}"/>
    <cellStyle name="Standard 4 3 4 2 2 2 7" xfId="22896" xr:uid="{00000000-0005-0000-0000-0000375A0000}"/>
    <cellStyle name="Standard 4 3 4 2 2 2 8" xfId="22897" xr:uid="{00000000-0005-0000-0000-0000385A0000}"/>
    <cellStyle name="Standard 4 3 4 2 2 3" xfId="22898" xr:uid="{00000000-0005-0000-0000-0000395A0000}"/>
    <cellStyle name="Standard 4 3 4 2 2 3 2" xfId="22899" xr:uid="{00000000-0005-0000-0000-00003A5A0000}"/>
    <cellStyle name="Standard 4 3 4 2 2 3 2 2" xfId="22900" xr:uid="{00000000-0005-0000-0000-00003B5A0000}"/>
    <cellStyle name="Standard 4 3 4 2 2 3 2 2 2" xfId="22901" xr:uid="{00000000-0005-0000-0000-00003C5A0000}"/>
    <cellStyle name="Standard 4 3 4 2 2 3 2 2 2 2" xfId="22902" xr:uid="{00000000-0005-0000-0000-00003D5A0000}"/>
    <cellStyle name="Standard 4 3 4 2 2 3 2 2 2 3" xfId="22903" xr:uid="{00000000-0005-0000-0000-00003E5A0000}"/>
    <cellStyle name="Standard 4 3 4 2 2 3 2 2 3" xfId="22904" xr:uid="{00000000-0005-0000-0000-00003F5A0000}"/>
    <cellStyle name="Standard 4 3 4 2 2 3 2 2 3 2" xfId="22905" xr:uid="{00000000-0005-0000-0000-0000405A0000}"/>
    <cellStyle name="Standard 4 3 4 2 2 3 2 2 3 3" xfId="22906" xr:uid="{00000000-0005-0000-0000-0000415A0000}"/>
    <cellStyle name="Standard 4 3 4 2 2 3 2 2 4" xfId="22907" xr:uid="{00000000-0005-0000-0000-0000425A0000}"/>
    <cellStyle name="Standard 4 3 4 2 2 3 2 2 4 2" xfId="22908" xr:uid="{00000000-0005-0000-0000-0000435A0000}"/>
    <cellStyle name="Standard 4 3 4 2 2 3 2 2 5" xfId="22909" xr:uid="{00000000-0005-0000-0000-0000445A0000}"/>
    <cellStyle name="Standard 4 3 4 2 2 3 2 2 6" xfId="22910" xr:uid="{00000000-0005-0000-0000-0000455A0000}"/>
    <cellStyle name="Standard 4 3 4 2 2 3 2 3" xfId="22911" xr:uid="{00000000-0005-0000-0000-0000465A0000}"/>
    <cellStyle name="Standard 4 3 4 2 2 3 2 3 2" xfId="22912" xr:uid="{00000000-0005-0000-0000-0000475A0000}"/>
    <cellStyle name="Standard 4 3 4 2 2 3 2 3 3" xfId="22913" xr:uid="{00000000-0005-0000-0000-0000485A0000}"/>
    <cellStyle name="Standard 4 3 4 2 2 3 2 4" xfId="22914" xr:uid="{00000000-0005-0000-0000-0000495A0000}"/>
    <cellStyle name="Standard 4 3 4 2 2 3 2 4 2" xfId="22915" xr:uid="{00000000-0005-0000-0000-00004A5A0000}"/>
    <cellStyle name="Standard 4 3 4 2 2 3 2 4 3" xfId="22916" xr:uid="{00000000-0005-0000-0000-00004B5A0000}"/>
    <cellStyle name="Standard 4 3 4 2 2 3 2 5" xfId="22917" xr:uid="{00000000-0005-0000-0000-00004C5A0000}"/>
    <cellStyle name="Standard 4 3 4 2 2 3 2 5 2" xfId="22918" xr:uid="{00000000-0005-0000-0000-00004D5A0000}"/>
    <cellStyle name="Standard 4 3 4 2 2 3 2 6" xfId="22919" xr:uid="{00000000-0005-0000-0000-00004E5A0000}"/>
    <cellStyle name="Standard 4 3 4 2 2 3 2 7" xfId="22920" xr:uid="{00000000-0005-0000-0000-00004F5A0000}"/>
    <cellStyle name="Standard 4 3 4 2 2 3 3" xfId="22921" xr:uid="{00000000-0005-0000-0000-0000505A0000}"/>
    <cellStyle name="Standard 4 3 4 2 2 3 3 2" xfId="22922" xr:uid="{00000000-0005-0000-0000-0000515A0000}"/>
    <cellStyle name="Standard 4 3 4 2 2 3 3 2 2" xfId="22923" xr:uid="{00000000-0005-0000-0000-0000525A0000}"/>
    <cellStyle name="Standard 4 3 4 2 2 3 3 2 3" xfId="22924" xr:uid="{00000000-0005-0000-0000-0000535A0000}"/>
    <cellStyle name="Standard 4 3 4 2 2 3 3 3" xfId="22925" xr:uid="{00000000-0005-0000-0000-0000545A0000}"/>
    <cellStyle name="Standard 4 3 4 2 2 3 3 3 2" xfId="22926" xr:uid="{00000000-0005-0000-0000-0000555A0000}"/>
    <cellStyle name="Standard 4 3 4 2 2 3 3 3 3" xfId="22927" xr:uid="{00000000-0005-0000-0000-0000565A0000}"/>
    <cellStyle name="Standard 4 3 4 2 2 3 3 4" xfId="22928" xr:uid="{00000000-0005-0000-0000-0000575A0000}"/>
    <cellStyle name="Standard 4 3 4 2 2 3 3 4 2" xfId="22929" xr:uid="{00000000-0005-0000-0000-0000585A0000}"/>
    <cellStyle name="Standard 4 3 4 2 2 3 3 5" xfId="22930" xr:uid="{00000000-0005-0000-0000-0000595A0000}"/>
    <cellStyle name="Standard 4 3 4 2 2 3 3 6" xfId="22931" xr:uid="{00000000-0005-0000-0000-00005A5A0000}"/>
    <cellStyle name="Standard 4 3 4 2 2 3 4" xfId="22932" xr:uid="{00000000-0005-0000-0000-00005B5A0000}"/>
    <cellStyle name="Standard 4 3 4 2 2 3 4 2" xfId="22933" xr:uid="{00000000-0005-0000-0000-00005C5A0000}"/>
    <cellStyle name="Standard 4 3 4 2 2 3 4 3" xfId="22934" xr:uid="{00000000-0005-0000-0000-00005D5A0000}"/>
    <cellStyle name="Standard 4 3 4 2 2 3 5" xfId="22935" xr:uid="{00000000-0005-0000-0000-00005E5A0000}"/>
    <cellStyle name="Standard 4 3 4 2 2 3 5 2" xfId="22936" xr:uid="{00000000-0005-0000-0000-00005F5A0000}"/>
    <cellStyle name="Standard 4 3 4 2 2 3 5 3" xfId="22937" xr:uid="{00000000-0005-0000-0000-0000605A0000}"/>
    <cellStyle name="Standard 4 3 4 2 2 3 6" xfId="22938" xr:uid="{00000000-0005-0000-0000-0000615A0000}"/>
    <cellStyle name="Standard 4 3 4 2 2 3 6 2" xfId="22939" xr:uid="{00000000-0005-0000-0000-0000625A0000}"/>
    <cellStyle name="Standard 4 3 4 2 2 3 7" xfId="22940" xr:uid="{00000000-0005-0000-0000-0000635A0000}"/>
    <cellStyle name="Standard 4 3 4 2 2 3 8" xfId="22941" xr:uid="{00000000-0005-0000-0000-0000645A0000}"/>
    <cellStyle name="Standard 4 3 4 2 2 4" xfId="22942" xr:uid="{00000000-0005-0000-0000-0000655A0000}"/>
    <cellStyle name="Standard 4 3 4 2 2 4 2" xfId="22943" xr:uid="{00000000-0005-0000-0000-0000665A0000}"/>
    <cellStyle name="Standard 4 3 4 2 2 4 2 2" xfId="22944" xr:uid="{00000000-0005-0000-0000-0000675A0000}"/>
    <cellStyle name="Standard 4 3 4 2 2 4 2 2 2" xfId="22945" xr:uid="{00000000-0005-0000-0000-0000685A0000}"/>
    <cellStyle name="Standard 4 3 4 2 2 4 2 2 3" xfId="22946" xr:uid="{00000000-0005-0000-0000-0000695A0000}"/>
    <cellStyle name="Standard 4 3 4 2 2 4 2 3" xfId="22947" xr:uid="{00000000-0005-0000-0000-00006A5A0000}"/>
    <cellStyle name="Standard 4 3 4 2 2 4 2 3 2" xfId="22948" xr:uid="{00000000-0005-0000-0000-00006B5A0000}"/>
    <cellStyle name="Standard 4 3 4 2 2 4 2 3 3" xfId="22949" xr:uid="{00000000-0005-0000-0000-00006C5A0000}"/>
    <cellStyle name="Standard 4 3 4 2 2 4 2 4" xfId="22950" xr:uid="{00000000-0005-0000-0000-00006D5A0000}"/>
    <cellStyle name="Standard 4 3 4 2 2 4 2 4 2" xfId="22951" xr:uid="{00000000-0005-0000-0000-00006E5A0000}"/>
    <cellStyle name="Standard 4 3 4 2 2 4 2 5" xfId="22952" xr:uid="{00000000-0005-0000-0000-00006F5A0000}"/>
    <cellStyle name="Standard 4 3 4 2 2 4 2 6" xfId="22953" xr:uid="{00000000-0005-0000-0000-0000705A0000}"/>
    <cellStyle name="Standard 4 3 4 2 2 4 3" xfId="22954" xr:uid="{00000000-0005-0000-0000-0000715A0000}"/>
    <cellStyle name="Standard 4 3 4 2 2 4 3 2" xfId="22955" xr:uid="{00000000-0005-0000-0000-0000725A0000}"/>
    <cellStyle name="Standard 4 3 4 2 2 4 3 3" xfId="22956" xr:uid="{00000000-0005-0000-0000-0000735A0000}"/>
    <cellStyle name="Standard 4 3 4 2 2 4 4" xfId="22957" xr:uid="{00000000-0005-0000-0000-0000745A0000}"/>
    <cellStyle name="Standard 4 3 4 2 2 4 4 2" xfId="22958" xr:uid="{00000000-0005-0000-0000-0000755A0000}"/>
    <cellStyle name="Standard 4 3 4 2 2 4 4 3" xfId="22959" xr:uid="{00000000-0005-0000-0000-0000765A0000}"/>
    <cellStyle name="Standard 4 3 4 2 2 4 5" xfId="22960" xr:uid="{00000000-0005-0000-0000-0000775A0000}"/>
    <cellStyle name="Standard 4 3 4 2 2 4 5 2" xfId="22961" xr:uid="{00000000-0005-0000-0000-0000785A0000}"/>
    <cellStyle name="Standard 4 3 4 2 2 4 6" xfId="22962" xr:uid="{00000000-0005-0000-0000-0000795A0000}"/>
    <cellStyle name="Standard 4 3 4 2 2 4 7" xfId="22963" xr:uid="{00000000-0005-0000-0000-00007A5A0000}"/>
    <cellStyle name="Standard 4 3 4 2 2 5" xfId="22964" xr:uid="{00000000-0005-0000-0000-00007B5A0000}"/>
    <cellStyle name="Standard 4 3 4 2 2 5 2" xfId="22965" xr:uid="{00000000-0005-0000-0000-00007C5A0000}"/>
    <cellStyle name="Standard 4 3 4 2 2 5 2 2" xfId="22966" xr:uid="{00000000-0005-0000-0000-00007D5A0000}"/>
    <cellStyle name="Standard 4 3 4 2 2 5 2 3" xfId="22967" xr:uid="{00000000-0005-0000-0000-00007E5A0000}"/>
    <cellStyle name="Standard 4 3 4 2 2 5 3" xfId="22968" xr:uid="{00000000-0005-0000-0000-00007F5A0000}"/>
    <cellStyle name="Standard 4 3 4 2 2 5 3 2" xfId="22969" xr:uid="{00000000-0005-0000-0000-0000805A0000}"/>
    <cellStyle name="Standard 4 3 4 2 2 5 3 3" xfId="22970" xr:uid="{00000000-0005-0000-0000-0000815A0000}"/>
    <cellStyle name="Standard 4 3 4 2 2 5 4" xfId="22971" xr:uid="{00000000-0005-0000-0000-0000825A0000}"/>
    <cellStyle name="Standard 4 3 4 2 2 5 4 2" xfId="22972" xr:uid="{00000000-0005-0000-0000-0000835A0000}"/>
    <cellStyle name="Standard 4 3 4 2 2 5 5" xfId="22973" xr:uid="{00000000-0005-0000-0000-0000845A0000}"/>
    <cellStyle name="Standard 4 3 4 2 2 5 6" xfId="22974" xr:uid="{00000000-0005-0000-0000-0000855A0000}"/>
    <cellStyle name="Standard 4 3 4 2 2 6" xfId="22975" xr:uid="{00000000-0005-0000-0000-0000865A0000}"/>
    <cellStyle name="Standard 4 3 4 2 2 6 2" xfId="22976" xr:uid="{00000000-0005-0000-0000-0000875A0000}"/>
    <cellStyle name="Standard 4 3 4 2 2 6 3" xfId="22977" xr:uid="{00000000-0005-0000-0000-0000885A0000}"/>
    <cellStyle name="Standard 4 3 4 2 2 7" xfId="22978" xr:uid="{00000000-0005-0000-0000-0000895A0000}"/>
    <cellStyle name="Standard 4 3 4 2 2 7 2" xfId="22979" xr:uid="{00000000-0005-0000-0000-00008A5A0000}"/>
    <cellStyle name="Standard 4 3 4 2 2 7 3" xfId="22980" xr:uid="{00000000-0005-0000-0000-00008B5A0000}"/>
    <cellStyle name="Standard 4 3 4 2 2 8" xfId="22981" xr:uid="{00000000-0005-0000-0000-00008C5A0000}"/>
    <cellStyle name="Standard 4 3 4 2 2 8 2" xfId="22982" xr:uid="{00000000-0005-0000-0000-00008D5A0000}"/>
    <cellStyle name="Standard 4 3 4 2 2 9" xfId="22983" xr:uid="{00000000-0005-0000-0000-00008E5A0000}"/>
    <cellStyle name="Standard 4 3 4 2 3" xfId="22984" xr:uid="{00000000-0005-0000-0000-00008F5A0000}"/>
    <cellStyle name="Standard 4 3 4 2 3 2" xfId="22985" xr:uid="{00000000-0005-0000-0000-0000905A0000}"/>
    <cellStyle name="Standard 4 3 4 2 3 2 2" xfId="22986" xr:uid="{00000000-0005-0000-0000-0000915A0000}"/>
    <cellStyle name="Standard 4 3 4 2 3 2 2 2" xfId="22987" xr:uid="{00000000-0005-0000-0000-0000925A0000}"/>
    <cellStyle name="Standard 4 3 4 2 3 2 2 2 2" xfId="22988" xr:uid="{00000000-0005-0000-0000-0000935A0000}"/>
    <cellStyle name="Standard 4 3 4 2 3 2 2 2 3" xfId="22989" xr:uid="{00000000-0005-0000-0000-0000945A0000}"/>
    <cellStyle name="Standard 4 3 4 2 3 2 2 3" xfId="22990" xr:uid="{00000000-0005-0000-0000-0000955A0000}"/>
    <cellStyle name="Standard 4 3 4 2 3 2 2 3 2" xfId="22991" xr:uid="{00000000-0005-0000-0000-0000965A0000}"/>
    <cellStyle name="Standard 4 3 4 2 3 2 2 3 3" xfId="22992" xr:uid="{00000000-0005-0000-0000-0000975A0000}"/>
    <cellStyle name="Standard 4 3 4 2 3 2 2 4" xfId="22993" xr:uid="{00000000-0005-0000-0000-0000985A0000}"/>
    <cellStyle name="Standard 4 3 4 2 3 2 2 4 2" xfId="22994" xr:uid="{00000000-0005-0000-0000-0000995A0000}"/>
    <cellStyle name="Standard 4 3 4 2 3 2 2 5" xfId="22995" xr:uid="{00000000-0005-0000-0000-00009A5A0000}"/>
    <cellStyle name="Standard 4 3 4 2 3 2 2 6" xfId="22996" xr:uid="{00000000-0005-0000-0000-00009B5A0000}"/>
    <cellStyle name="Standard 4 3 4 2 3 2 3" xfId="22997" xr:uid="{00000000-0005-0000-0000-00009C5A0000}"/>
    <cellStyle name="Standard 4 3 4 2 3 2 3 2" xfId="22998" xr:uid="{00000000-0005-0000-0000-00009D5A0000}"/>
    <cellStyle name="Standard 4 3 4 2 3 2 3 3" xfId="22999" xr:uid="{00000000-0005-0000-0000-00009E5A0000}"/>
    <cellStyle name="Standard 4 3 4 2 3 2 4" xfId="23000" xr:uid="{00000000-0005-0000-0000-00009F5A0000}"/>
    <cellStyle name="Standard 4 3 4 2 3 2 4 2" xfId="23001" xr:uid="{00000000-0005-0000-0000-0000A05A0000}"/>
    <cellStyle name="Standard 4 3 4 2 3 2 4 3" xfId="23002" xr:uid="{00000000-0005-0000-0000-0000A15A0000}"/>
    <cellStyle name="Standard 4 3 4 2 3 2 5" xfId="23003" xr:uid="{00000000-0005-0000-0000-0000A25A0000}"/>
    <cellStyle name="Standard 4 3 4 2 3 2 5 2" xfId="23004" xr:uid="{00000000-0005-0000-0000-0000A35A0000}"/>
    <cellStyle name="Standard 4 3 4 2 3 2 6" xfId="23005" xr:uid="{00000000-0005-0000-0000-0000A45A0000}"/>
    <cellStyle name="Standard 4 3 4 2 3 2 7" xfId="23006" xr:uid="{00000000-0005-0000-0000-0000A55A0000}"/>
    <cellStyle name="Standard 4 3 4 2 3 3" xfId="23007" xr:uid="{00000000-0005-0000-0000-0000A65A0000}"/>
    <cellStyle name="Standard 4 3 4 2 3 3 2" xfId="23008" xr:uid="{00000000-0005-0000-0000-0000A75A0000}"/>
    <cellStyle name="Standard 4 3 4 2 3 3 2 2" xfId="23009" xr:uid="{00000000-0005-0000-0000-0000A85A0000}"/>
    <cellStyle name="Standard 4 3 4 2 3 3 2 3" xfId="23010" xr:uid="{00000000-0005-0000-0000-0000A95A0000}"/>
    <cellStyle name="Standard 4 3 4 2 3 3 3" xfId="23011" xr:uid="{00000000-0005-0000-0000-0000AA5A0000}"/>
    <cellStyle name="Standard 4 3 4 2 3 3 3 2" xfId="23012" xr:uid="{00000000-0005-0000-0000-0000AB5A0000}"/>
    <cellStyle name="Standard 4 3 4 2 3 3 3 3" xfId="23013" xr:uid="{00000000-0005-0000-0000-0000AC5A0000}"/>
    <cellStyle name="Standard 4 3 4 2 3 3 4" xfId="23014" xr:uid="{00000000-0005-0000-0000-0000AD5A0000}"/>
    <cellStyle name="Standard 4 3 4 2 3 3 4 2" xfId="23015" xr:uid="{00000000-0005-0000-0000-0000AE5A0000}"/>
    <cellStyle name="Standard 4 3 4 2 3 3 5" xfId="23016" xr:uid="{00000000-0005-0000-0000-0000AF5A0000}"/>
    <cellStyle name="Standard 4 3 4 2 3 3 6" xfId="23017" xr:uid="{00000000-0005-0000-0000-0000B05A0000}"/>
    <cellStyle name="Standard 4 3 4 2 3 4" xfId="23018" xr:uid="{00000000-0005-0000-0000-0000B15A0000}"/>
    <cellStyle name="Standard 4 3 4 2 3 4 2" xfId="23019" xr:uid="{00000000-0005-0000-0000-0000B25A0000}"/>
    <cellStyle name="Standard 4 3 4 2 3 4 3" xfId="23020" xr:uid="{00000000-0005-0000-0000-0000B35A0000}"/>
    <cellStyle name="Standard 4 3 4 2 3 5" xfId="23021" xr:uid="{00000000-0005-0000-0000-0000B45A0000}"/>
    <cellStyle name="Standard 4 3 4 2 3 5 2" xfId="23022" xr:uid="{00000000-0005-0000-0000-0000B55A0000}"/>
    <cellStyle name="Standard 4 3 4 2 3 5 3" xfId="23023" xr:uid="{00000000-0005-0000-0000-0000B65A0000}"/>
    <cellStyle name="Standard 4 3 4 2 3 6" xfId="23024" xr:uid="{00000000-0005-0000-0000-0000B75A0000}"/>
    <cellStyle name="Standard 4 3 4 2 3 6 2" xfId="23025" xr:uid="{00000000-0005-0000-0000-0000B85A0000}"/>
    <cellStyle name="Standard 4 3 4 2 3 7" xfId="23026" xr:uid="{00000000-0005-0000-0000-0000B95A0000}"/>
    <cellStyle name="Standard 4 3 4 2 3 8" xfId="23027" xr:uid="{00000000-0005-0000-0000-0000BA5A0000}"/>
    <cellStyle name="Standard 4 3 4 2 4" xfId="23028" xr:uid="{00000000-0005-0000-0000-0000BB5A0000}"/>
    <cellStyle name="Standard 4 3 4 2 4 2" xfId="23029" xr:uid="{00000000-0005-0000-0000-0000BC5A0000}"/>
    <cellStyle name="Standard 4 3 4 2 4 2 2" xfId="23030" xr:uid="{00000000-0005-0000-0000-0000BD5A0000}"/>
    <cellStyle name="Standard 4 3 4 2 4 2 2 2" xfId="23031" xr:uid="{00000000-0005-0000-0000-0000BE5A0000}"/>
    <cellStyle name="Standard 4 3 4 2 4 2 2 2 2" xfId="23032" xr:uid="{00000000-0005-0000-0000-0000BF5A0000}"/>
    <cellStyle name="Standard 4 3 4 2 4 2 2 2 3" xfId="23033" xr:uid="{00000000-0005-0000-0000-0000C05A0000}"/>
    <cellStyle name="Standard 4 3 4 2 4 2 2 3" xfId="23034" xr:uid="{00000000-0005-0000-0000-0000C15A0000}"/>
    <cellStyle name="Standard 4 3 4 2 4 2 2 3 2" xfId="23035" xr:uid="{00000000-0005-0000-0000-0000C25A0000}"/>
    <cellStyle name="Standard 4 3 4 2 4 2 2 3 3" xfId="23036" xr:uid="{00000000-0005-0000-0000-0000C35A0000}"/>
    <cellStyle name="Standard 4 3 4 2 4 2 2 4" xfId="23037" xr:uid="{00000000-0005-0000-0000-0000C45A0000}"/>
    <cellStyle name="Standard 4 3 4 2 4 2 2 4 2" xfId="23038" xr:uid="{00000000-0005-0000-0000-0000C55A0000}"/>
    <cellStyle name="Standard 4 3 4 2 4 2 2 5" xfId="23039" xr:uid="{00000000-0005-0000-0000-0000C65A0000}"/>
    <cellStyle name="Standard 4 3 4 2 4 2 2 6" xfId="23040" xr:uid="{00000000-0005-0000-0000-0000C75A0000}"/>
    <cellStyle name="Standard 4 3 4 2 4 2 3" xfId="23041" xr:uid="{00000000-0005-0000-0000-0000C85A0000}"/>
    <cellStyle name="Standard 4 3 4 2 4 2 3 2" xfId="23042" xr:uid="{00000000-0005-0000-0000-0000C95A0000}"/>
    <cellStyle name="Standard 4 3 4 2 4 2 3 3" xfId="23043" xr:uid="{00000000-0005-0000-0000-0000CA5A0000}"/>
    <cellStyle name="Standard 4 3 4 2 4 2 4" xfId="23044" xr:uid="{00000000-0005-0000-0000-0000CB5A0000}"/>
    <cellStyle name="Standard 4 3 4 2 4 2 4 2" xfId="23045" xr:uid="{00000000-0005-0000-0000-0000CC5A0000}"/>
    <cellStyle name="Standard 4 3 4 2 4 2 4 3" xfId="23046" xr:uid="{00000000-0005-0000-0000-0000CD5A0000}"/>
    <cellStyle name="Standard 4 3 4 2 4 2 5" xfId="23047" xr:uid="{00000000-0005-0000-0000-0000CE5A0000}"/>
    <cellStyle name="Standard 4 3 4 2 4 2 5 2" xfId="23048" xr:uid="{00000000-0005-0000-0000-0000CF5A0000}"/>
    <cellStyle name="Standard 4 3 4 2 4 2 6" xfId="23049" xr:uid="{00000000-0005-0000-0000-0000D05A0000}"/>
    <cellStyle name="Standard 4 3 4 2 4 2 7" xfId="23050" xr:uid="{00000000-0005-0000-0000-0000D15A0000}"/>
    <cellStyle name="Standard 4 3 4 2 4 3" xfId="23051" xr:uid="{00000000-0005-0000-0000-0000D25A0000}"/>
    <cellStyle name="Standard 4 3 4 2 4 3 2" xfId="23052" xr:uid="{00000000-0005-0000-0000-0000D35A0000}"/>
    <cellStyle name="Standard 4 3 4 2 4 3 2 2" xfId="23053" xr:uid="{00000000-0005-0000-0000-0000D45A0000}"/>
    <cellStyle name="Standard 4 3 4 2 4 3 2 3" xfId="23054" xr:uid="{00000000-0005-0000-0000-0000D55A0000}"/>
    <cellStyle name="Standard 4 3 4 2 4 3 3" xfId="23055" xr:uid="{00000000-0005-0000-0000-0000D65A0000}"/>
    <cellStyle name="Standard 4 3 4 2 4 3 3 2" xfId="23056" xr:uid="{00000000-0005-0000-0000-0000D75A0000}"/>
    <cellStyle name="Standard 4 3 4 2 4 3 3 3" xfId="23057" xr:uid="{00000000-0005-0000-0000-0000D85A0000}"/>
    <cellStyle name="Standard 4 3 4 2 4 3 4" xfId="23058" xr:uid="{00000000-0005-0000-0000-0000D95A0000}"/>
    <cellStyle name="Standard 4 3 4 2 4 3 4 2" xfId="23059" xr:uid="{00000000-0005-0000-0000-0000DA5A0000}"/>
    <cellStyle name="Standard 4 3 4 2 4 3 5" xfId="23060" xr:uid="{00000000-0005-0000-0000-0000DB5A0000}"/>
    <cellStyle name="Standard 4 3 4 2 4 3 6" xfId="23061" xr:uid="{00000000-0005-0000-0000-0000DC5A0000}"/>
    <cellStyle name="Standard 4 3 4 2 4 4" xfId="23062" xr:uid="{00000000-0005-0000-0000-0000DD5A0000}"/>
    <cellStyle name="Standard 4 3 4 2 4 4 2" xfId="23063" xr:uid="{00000000-0005-0000-0000-0000DE5A0000}"/>
    <cellStyle name="Standard 4 3 4 2 4 4 3" xfId="23064" xr:uid="{00000000-0005-0000-0000-0000DF5A0000}"/>
    <cellStyle name="Standard 4 3 4 2 4 5" xfId="23065" xr:uid="{00000000-0005-0000-0000-0000E05A0000}"/>
    <cellStyle name="Standard 4 3 4 2 4 5 2" xfId="23066" xr:uid="{00000000-0005-0000-0000-0000E15A0000}"/>
    <cellStyle name="Standard 4 3 4 2 4 5 3" xfId="23067" xr:uid="{00000000-0005-0000-0000-0000E25A0000}"/>
    <cellStyle name="Standard 4 3 4 2 4 6" xfId="23068" xr:uid="{00000000-0005-0000-0000-0000E35A0000}"/>
    <cellStyle name="Standard 4 3 4 2 4 6 2" xfId="23069" xr:uid="{00000000-0005-0000-0000-0000E45A0000}"/>
    <cellStyle name="Standard 4 3 4 2 4 7" xfId="23070" xr:uid="{00000000-0005-0000-0000-0000E55A0000}"/>
    <cellStyle name="Standard 4 3 4 2 4 8" xfId="23071" xr:uid="{00000000-0005-0000-0000-0000E65A0000}"/>
    <cellStyle name="Standard 4 3 4 2 5" xfId="23072" xr:uid="{00000000-0005-0000-0000-0000E75A0000}"/>
    <cellStyle name="Standard 4 3 4 2 5 2" xfId="23073" xr:uid="{00000000-0005-0000-0000-0000E85A0000}"/>
    <cellStyle name="Standard 4 3 4 2 5 2 2" xfId="23074" xr:uid="{00000000-0005-0000-0000-0000E95A0000}"/>
    <cellStyle name="Standard 4 3 4 2 5 2 2 2" xfId="23075" xr:uid="{00000000-0005-0000-0000-0000EA5A0000}"/>
    <cellStyle name="Standard 4 3 4 2 5 2 2 3" xfId="23076" xr:uid="{00000000-0005-0000-0000-0000EB5A0000}"/>
    <cellStyle name="Standard 4 3 4 2 5 2 3" xfId="23077" xr:uid="{00000000-0005-0000-0000-0000EC5A0000}"/>
    <cellStyle name="Standard 4 3 4 2 5 2 3 2" xfId="23078" xr:uid="{00000000-0005-0000-0000-0000ED5A0000}"/>
    <cellStyle name="Standard 4 3 4 2 5 2 3 3" xfId="23079" xr:uid="{00000000-0005-0000-0000-0000EE5A0000}"/>
    <cellStyle name="Standard 4 3 4 2 5 2 4" xfId="23080" xr:uid="{00000000-0005-0000-0000-0000EF5A0000}"/>
    <cellStyle name="Standard 4 3 4 2 5 2 4 2" xfId="23081" xr:uid="{00000000-0005-0000-0000-0000F05A0000}"/>
    <cellStyle name="Standard 4 3 4 2 5 2 5" xfId="23082" xr:uid="{00000000-0005-0000-0000-0000F15A0000}"/>
    <cellStyle name="Standard 4 3 4 2 5 2 6" xfId="23083" xr:uid="{00000000-0005-0000-0000-0000F25A0000}"/>
    <cellStyle name="Standard 4 3 4 2 5 3" xfId="23084" xr:uid="{00000000-0005-0000-0000-0000F35A0000}"/>
    <cellStyle name="Standard 4 3 4 2 5 3 2" xfId="23085" xr:uid="{00000000-0005-0000-0000-0000F45A0000}"/>
    <cellStyle name="Standard 4 3 4 2 5 3 3" xfId="23086" xr:uid="{00000000-0005-0000-0000-0000F55A0000}"/>
    <cellStyle name="Standard 4 3 4 2 5 4" xfId="23087" xr:uid="{00000000-0005-0000-0000-0000F65A0000}"/>
    <cellStyle name="Standard 4 3 4 2 5 4 2" xfId="23088" xr:uid="{00000000-0005-0000-0000-0000F75A0000}"/>
    <cellStyle name="Standard 4 3 4 2 5 4 3" xfId="23089" xr:uid="{00000000-0005-0000-0000-0000F85A0000}"/>
    <cellStyle name="Standard 4 3 4 2 5 5" xfId="23090" xr:uid="{00000000-0005-0000-0000-0000F95A0000}"/>
    <cellStyle name="Standard 4 3 4 2 5 5 2" xfId="23091" xr:uid="{00000000-0005-0000-0000-0000FA5A0000}"/>
    <cellStyle name="Standard 4 3 4 2 5 6" xfId="23092" xr:uid="{00000000-0005-0000-0000-0000FB5A0000}"/>
    <cellStyle name="Standard 4 3 4 2 5 7" xfId="23093" xr:uid="{00000000-0005-0000-0000-0000FC5A0000}"/>
    <cellStyle name="Standard 4 3 4 2 6" xfId="23094" xr:uid="{00000000-0005-0000-0000-0000FD5A0000}"/>
    <cellStyle name="Standard 4 3 4 2 6 2" xfId="23095" xr:uid="{00000000-0005-0000-0000-0000FE5A0000}"/>
    <cellStyle name="Standard 4 3 4 2 6 2 2" xfId="23096" xr:uid="{00000000-0005-0000-0000-0000FF5A0000}"/>
    <cellStyle name="Standard 4 3 4 2 6 2 3" xfId="23097" xr:uid="{00000000-0005-0000-0000-0000005B0000}"/>
    <cellStyle name="Standard 4 3 4 2 6 3" xfId="23098" xr:uid="{00000000-0005-0000-0000-0000015B0000}"/>
    <cellStyle name="Standard 4 3 4 2 6 3 2" xfId="23099" xr:uid="{00000000-0005-0000-0000-0000025B0000}"/>
    <cellStyle name="Standard 4 3 4 2 6 3 3" xfId="23100" xr:uid="{00000000-0005-0000-0000-0000035B0000}"/>
    <cellStyle name="Standard 4 3 4 2 6 4" xfId="23101" xr:uid="{00000000-0005-0000-0000-0000045B0000}"/>
    <cellStyle name="Standard 4 3 4 2 6 4 2" xfId="23102" xr:uid="{00000000-0005-0000-0000-0000055B0000}"/>
    <cellStyle name="Standard 4 3 4 2 6 5" xfId="23103" xr:uid="{00000000-0005-0000-0000-0000065B0000}"/>
    <cellStyle name="Standard 4 3 4 2 6 6" xfId="23104" xr:uid="{00000000-0005-0000-0000-0000075B0000}"/>
    <cellStyle name="Standard 4 3 4 2 7" xfId="23105" xr:uid="{00000000-0005-0000-0000-0000085B0000}"/>
    <cellStyle name="Standard 4 3 4 2 7 2" xfId="23106" xr:uid="{00000000-0005-0000-0000-0000095B0000}"/>
    <cellStyle name="Standard 4 3 4 2 7 3" xfId="23107" xr:uid="{00000000-0005-0000-0000-00000A5B0000}"/>
    <cellStyle name="Standard 4 3 4 2 8" xfId="23108" xr:uid="{00000000-0005-0000-0000-00000B5B0000}"/>
    <cellStyle name="Standard 4 3 4 2 8 2" xfId="23109" xr:uid="{00000000-0005-0000-0000-00000C5B0000}"/>
    <cellStyle name="Standard 4 3 4 2 8 3" xfId="23110" xr:uid="{00000000-0005-0000-0000-00000D5B0000}"/>
    <cellStyle name="Standard 4 3 4 2 9" xfId="23111" xr:uid="{00000000-0005-0000-0000-00000E5B0000}"/>
    <cellStyle name="Standard 4 3 4 2 9 2" xfId="23112" xr:uid="{00000000-0005-0000-0000-00000F5B0000}"/>
    <cellStyle name="Standard 4 3 4 3" xfId="23113" xr:uid="{00000000-0005-0000-0000-0000105B0000}"/>
    <cellStyle name="Standard 4 3 4 3 10" xfId="23114" xr:uid="{00000000-0005-0000-0000-0000115B0000}"/>
    <cellStyle name="Standard 4 3 4 3 11" xfId="23115" xr:uid="{00000000-0005-0000-0000-0000125B0000}"/>
    <cellStyle name="Standard 4 3 4 3 2" xfId="23116" xr:uid="{00000000-0005-0000-0000-0000135B0000}"/>
    <cellStyle name="Standard 4 3 4 3 2 10" xfId="23117" xr:uid="{00000000-0005-0000-0000-0000145B0000}"/>
    <cellStyle name="Standard 4 3 4 3 2 2" xfId="23118" xr:uid="{00000000-0005-0000-0000-0000155B0000}"/>
    <cellStyle name="Standard 4 3 4 3 2 2 2" xfId="23119" xr:uid="{00000000-0005-0000-0000-0000165B0000}"/>
    <cellStyle name="Standard 4 3 4 3 2 2 2 2" xfId="23120" xr:uid="{00000000-0005-0000-0000-0000175B0000}"/>
    <cellStyle name="Standard 4 3 4 3 2 2 2 2 2" xfId="23121" xr:uid="{00000000-0005-0000-0000-0000185B0000}"/>
    <cellStyle name="Standard 4 3 4 3 2 2 2 2 2 2" xfId="23122" xr:uid="{00000000-0005-0000-0000-0000195B0000}"/>
    <cellStyle name="Standard 4 3 4 3 2 2 2 2 2 3" xfId="23123" xr:uid="{00000000-0005-0000-0000-00001A5B0000}"/>
    <cellStyle name="Standard 4 3 4 3 2 2 2 2 3" xfId="23124" xr:uid="{00000000-0005-0000-0000-00001B5B0000}"/>
    <cellStyle name="Standard 4 3 4 3 2 2 2 2 3 2" xfId="23125" xr:uid="{00000000-0005-0000-0000-00001C5B0000}"/>
    <cellStyle name="Standard 4 3 4 3 2 2 2 2 3 3" xfId="23126" xr:uid="{00000000-0005-0000-0000-00001D5B0000}"/>
    <cellStyle name="Standard 4 3 4 3 2 2 2 2 4" xfId="23127" xr:uid="{00000000-0005-0000-0000-00001E5B0000}"/>
    <cellStyle name="Standard 4 3 4 3 2 2 2 2 4 2" xfId="23128" xr:uid="{00000000-0005-0000-0000-00001F5B0000}"/>
    <cellStyle name="Standard 4 3 4 3 2 2 2 2 5" xfId="23129" xr:uid="{00000000-0005-0000-0000-0000205B0000}"/>
    <cellStyle name="Standard 4 3 4 3 2 2 2 2 6" xfId="23130" xr:uid="{00000000-0005-0000-0000-0000215B0000}"/>
    <cellStyle name="Standard 4 3 4 3 2 2 2 3" xfId="23131" xr:uid="{00000000-0005-0000-0000-0000225B0000}"/>
    <cellStyle name="Standard 4 3 4 3 2 2 2 3 2" xfId="23132" xr:uid="{00000000-0005-0000-0000-0000235B0000}"/>
    <cellStyle name="Standard 4 3 4 3 2 2 2 3 3" xfId="23133" xr:uid="{00000000-0005-0000-0000-0000245B0000}"/>
    <cellStyle name="Standard 4 3 4 3 2 2 2 4" xfId="23134" xr:uid="{00000000-0005-0000-0000-0000255B0000}"/>
    <cellStyle name="Standard 4 3 4 3 2 2 2 4 2" xfId="23135" xr:uid="{00000000-0005-0000-0000-0000265B0000}"/>
    <cellStyle name="Standard 4 3 4 3 2 2 2 4 3" xfId="23136" xr:uid="{00000000-0005-0000-0000-0000275B0000}"/>
    <cellStyle name="Standard 4 3 4 3 2 2 2 5" xfId="23137" xr:uid="{00000000-0005-0000-0000-0000285B0000}"/>
    <cellStyle name="Standard 4 3 4 3 2 2 2 5 2" xfId="23138" xr:uid="{00000000-0005-0000-0000-0000295B0000}"/>
    <cellStyle name="Standard 4 3 4 3 2 2 2 6" xfId="23139" xr:uid="{00000000-0005-0000-0000-00002A5B0000}"/>
    <cellStyle name="Standard 4 3 4 3 2 2 2 7" xfId="23140" xr:uid="{00000000-0005-0000-0000-00002B5B0000}"/>
    <cellStyle name="Standard 4 3 4 3 2 2 3" xfId="23141" xr:uid="{00000000-0005-0000-0000-00002C5B0000}"/>
    <cellStyle name="Standard 4 3 4 3 2 2 3 2" xfId="23142" xr:uid="{00000000-0005-0000-0000-00002D5B0000}"/>
    <cellStyle name="Standard 4 3 4 3 2 2 3 2 2" xfId="23143" xr:uid="{00000000-0005-0000-0000-00002E5B0000}"/>
    <cellStyle name="Standard 4 3 4 3 2 2 3 2 3" xfId="23144" xr:uid="{00000000-0005-0000-0000-00002F5B0000}"/>
    <cellStyle name="Standard 4 3 4 3 2 2 3 3" xfId="23145" xr:uid="{00000000-0005-0000-0000-0000305B0000}"/>
    <cellStyle name="Standard 4 3 4 3 2 2 3 3 2" xfId="23146" xr:uid="{00000000-0005-0000-0000-0000315B0000}"/>
    <cellStyle name="Standard 4 3 4 3 2 2 3 3 3" xfId="23147" xr:uid="{00000000-0005-0000-0000-0000325B0000}"/>
    <cellStyle name="Standard 4 3 4 3 2 2 3 4" xfId="23148" xr:uid="{00000000-0005-0000-0000-0000335B0000}"/>
    <cellStyle name="Standard 4 3 4 3 2 2 3 4 2" xfId="23149" xr:uid="{00000000-0005-0000-0000-0000345B0000}"/>
    <cellStyle name="Standard 4 3 4 3 2 2 3 5" xfId="23150" xr:uid="{00000000-0005-0000-0000-0000355B0000}"/>
    <cellStyle name="Standard 4 3 4 3 2 2 3 6" xfId="23151" xr:uid="{00000000-0005-0000-0000-0000365B0000}"/>
    <cellStyle name="Standard 4 3 4 3 2 2 4" xfId="23152" xr:uid="{00000000-0005-0000-0000-0000375B0000}"/>
    <cellStyle name="Standard 4 3 4 3 2 2 4 2" xfId="23153" xr:uid="{00000000-0005-0000-0000-0000385B0000}"/>
    <cellStyle name="Standard 4 3 4 3 2 2 4 3" xfId="23154" xr:uid="{00000000-0005-0000-0000-0000395B0000}"/>
    <cellStyle name="Standard 4 3 4 3 2 2 5" xfId="23155" xr:uid="{00000000-0005-0000-0000-00003A5B0000}"/>
    <cellStyle name="Standard 4 3 4 3 2 2 5 2" xfId="23156" xr:uid="{00000000-0005-0000-0000-00003B5B0000}"/>
    <cellStyle name="Standard 4 3 4 3 2 2 5 3" xfId="23157" xr:uid="{00000000-0005-0000-0000-00003C5B0000}"/>
    <cellStyle name="Standard 4 3 4 3 2 2 6" xfId="23158" xr:uid="{00000000-0005-0000-0000-00003D5B0000}"/>
    <cellStyle name="Standard 4 3 4 3 2 2 6 2" xfId="23159" xr:uid="{00000000-0005-0000-0000-00003E5B0000}"/>
    <cellStyle name="Standard 4 3 4 3 2 2 7" xfId="23160" xr:uid="{00000000-0005-0000-0000-00003F5B0000}"/>
    <cellStyle name="Standard 4 3 4 3 2 2 8" xfId="23161" xr:uid="{00000000-0005-0000-0000-0000405B0000}"/>
    <cellStyle name="Standard 4 3 4 3 2 3" xfId="23162" xr:uid="{00000000-0005-0000-0000-0000415B0000}"/>
    <cellStyle name="Standard 4 3 4 3 2 3 2" xfId="23163" xr:uid="{00000000-0005-0000-0000-0000425B0000}"/>
    <cellStyle name="Standard 4 3 4 3 2 3 2 2" xfId="23164" xr:uid="{00000000-0005-0000-0000-0000435B0000}"/>
    <cellStyle name="Standard 4 3 4 3 2 3 2 2 2" xfId="23165" xr:uid="{00000000-0005-0000-0000-0000445B0000}"/>
    <cellStyle name="Standard 4 3 4 3 2 3 2 2 2 2" xfId="23166" xr:uid="{00000000-0005-0000-0000-0000455B0000}"/>
    <cellStyle name="Standard 4 3 4 3 2 3 2 2 2 3" xfId="23167" xr:uid="{00000000-0005-0000-0000-0000465B0000}"/>
    <cellStyle name="Standard 4 3 4 3 2 3 2 2 3" xfId="23168" xr:uid="{00000000-0005-0000-0000-0000475B0000}"/>
    <cellStyle name="Standard 4 3 4 3 2 3 2 2 3 2" xfId="23169" xr:uid="{00000000-0005-0000-0000-0000485B0000}"/>
    <cellStyle name="Standard 4 3 4 3 2 3 2 2 3 3" xfId="23170" xr:uid="{00000000-0005-0000-0000-0000495B0000}"/>
    <cellStyle name="Standard 4 3 4 3 2 3 2 2 4" xfId="23171" xr:uid="{00000000-0005-0000-0000-00004A5B0000}"/>
    <cellStyle name="Standard 4 3 4 3 2 3 2 2 4 2" xfId="23172" xr:uid="{00000000-0005-0000-0000-00004B5B0000}"/>
    <cellStyle name="Standard 4 3 4 3 2 3 2 2 5" xfId="23173" xr:uid="{00000000-0005-0000-0000-00004C5B0000}"/>
    <cellStyle name="Standard 4 3 4 3 2 3 2 2 6" xfId="23174" xr:uid="{00000000-0005-0000-0000-00004D5B0000}"/>
    <cellStyle name="Standard 4 3 4 3 2 3 2 3" xfId="23175" xr:uid="{00000000-0005-0000-0000-00004E5B0000}"/>
    <cellStyle name="Standard 4 3 4 3 2 3 2 3 2" xfId="23176" xr:uid="{00000000-0005-0000-0000-00004F5B0000}"/>
    <cellStyle name="Standard 4 3 4 3 2 3 2 3 3" xfId="23177" xr:uid="{00000000-0005-0000-0000-0000505B0000}"/>
    <cellStyle name="Standard 4 3 4 3 2 3 2 4" xfId="23178" xr:uid="{00000000-0005-0000-0000-0000515B0000}"/>
    <cellStyle name="Standard 4 3 4 3 2 3 2 4 2" xfId="23179" xr:uid="{00000000-0005-0000-0000-0000525B0000}"/>
    <cellStyle name="Standard 4 3 4 3 2 3 2 4 3" xfId="23180" xr:uid="{00000000-0005-0000-0000-0000535B0000}"/>
    <cellStyle name="Standard 4 3 4 3 2 3 2 5" xfId="23181" xr:uid="{00000000-0005-0000-0000-0000545B0000}"/>
    <cellStyle name="Standard 4 3 4 3 2 3 2 5 2" xfId="23182" xr:uid="{00000000-0005-0000-0000-0000555B0000}"/>
    <cellStyle name="Standard 4 3 4 3 2 3 2 6" xfId="23183" xr:uid="{00000000-0005-0000-0000-0000565B0000}"/>
    <cellStyle name="Standard 4 3 4 3 2 3 2 7" xfId="23184" xr:uid="{00000000-0005-0000-0000-0000575B0000}"/>
    <cellStyle name="Standard 4 3 4 3 2 3 3" xfId="23185" xr:uid="{00000000-0005-0000-0000-0000585B0000}"/>
    <cellStyle name="Standard 4 3 4 3 2 3 3 2" xfId="23186" xr:uid="{00000000-0005-0000-0000-0000595B0000}"/>
    <cellStyle name="Standard 4 3 4 3 2 3 3 2 2" xfId="23187" xr:uid="{00000000-0005-0000-0000-00005A5B0000}"/>
    <cellStyle name="Standard 4 3 4 3 2 3 3 2 3" xfId="23188" xr:uid="{00000000-0005-0000-0000-00005B5B0000}"/>
    <cellStyle name="Standard 4 3 4 3 2 3 3 3" xfId="23189" xr:uid="{00000000-0005-0000-0000-00005C5B0000}"/>
    <cellStyle name="Standard 4 3 4 3 2 3 3 3 2" xfId="23190" xr:uid="{00000000-0005-0000-0000-00005D5B0000}"/>
    <cellStyle name="Standard 4 3 4 3 2 3 3 3 3" xfId="23191" xr:uid="{00000000-0005-0000-0000-00005E5B0000}"/>
    <cellStyle name="Standard 4 3 4 3 2 3 3 4" xfId="23192" xr:uid="{00000000-0005-0000-0000-00005F5B0000}"/>
    <cellStyle name="Standard 4 3 4 3 2 3 3 4 2" xfId="23193" xr:uid="{00000000-0005-0000-0000-0000605B0000}"/>
    <cellStyle name="Standard 4 3 4 3 2 3 3 5" xfId="23194" xr:uid="{00000000-0005-0000-0000-0000615B0000}"/>
    <cellStyle name="Standard 4 3 4 3 2 3 3 6" xfId="23195" xr:uid="{00000000-0005-0000-0000-0000625B0000}"/>
    <cellStyle name="Standard 4 3 4 3 2 3 4" xfId="23196" xr:uid="{00000000-0005-0000-0000-0000635B0000}"/>
    <cellStyle name="Standard 4 3 4 3 2 3 4 2" xfId="23197" xr:uid="{00000000-0005-0000-0000-0000645B0000}"/>
    <cellStyle name="Standard 4 3 4 3 2 3 4 3" xfId="23198" xr:uid="{00000000-0005-0000-0000-0000655B0000}"/>
    <cellStyle name="Standard 4 3 4 3 2 3 5" xfId="23199" xr:uid="{00000000-0005-0000-0000-0000665B0000}"/>
    <cellStyle name="Standard 4 3 4 3 2 3 5 2" xfId="23200" xr:uid="{00000000-0005-0000-0000-0000675B0000}"/>
    <cellStyle name="Standard 4 3 4 3 2 3 5 3" xfId="23201" xr:uid="{00000000-0005-0000-0000-0000685B0000}"/>
    <cellStyle name="Standard 4 3 4 3 2 3 6" xfId="23202" xr:uid="{00000000-0005-0000-0000-0000695B0000}"/>
    <cellStyle name="Standard 4 3 4 3 2 3 6 2" xfId="23203" xr:uid="{00000000-0005-0000-0000-00006A5B0000}"/>
    <cellStyle name="Standard 4 3 4 3 2 3 7" xfId="23204" xr:uid="{00000000-0005-0000-0000-00006B5B0000}"/>
    <cellStyle name="Standard 4 3 4 3 2 3 8" xfId="23205" xr:uid="{00000000-0005-0000-0000-00006C5B0000}"/>
    <cellStyle name="Standard 4 3 4 3 2 4" xfId="23206" xr:uid="{00000000-0005-0000-0000-00006D5B0000}"/>
    <cellStyle name="Standard 4 3 4 3 2 4 2" xfId="23207" xr:uid="{00000000-0005-0000-0000-00006E5B0000}"/>
    <cellStyle name="Standard 4 3 4 3 2 4 2 2" xfId="23208" xr:uid="{00000000-0005-0000-0000-00006F5B0000}"/>
    <cellStyle name="Standard 4 3 4 3 2 4 2 2 2" xfId="23209" xr:uid="{00000000-0005-0000-0000-0000705B0000}"/>
    <cellStyle name="Standard 4 3 4 3 2 4 2 2 3" xfId="23210" xr:uid="{00000000-0005-0000-0000-0000715B0000}"/>
    <cellStyle name="Standard 4 3 4 3 2 4 2 3" xfId="23211" xr:uid="{00000000-0005-0000-0000-0000725B0000}"/>
    <cellStyle name="Standard 4 3 4 3 2 4 2 3 2" xfId="23212" xr:uid="{00000000-0005-0000-0000-0000735B0000}"/>
    <cellStyle name="Standard 4 3 4 3 2 4 2 3 3" xfId="23213" xr:uid="{00000000-0005-0000-0000-0000745B0000}"/>
    <cellStyle name="Standard 4 3 4 3 2 4 2 4" xfId="23214" xr:uid="{00000000-0005-0000-0000-0000755B0000}"/>
    <cellStyle name="Standard 4 3 4 3 2 4 2 4 2" xfId="23215" xr:uid="{00000000-0005-0000-0000-0000765B0000}"/>
    <cellStyle name="Standard 4 3 4 3 2 4 2 5" xfId="23216" xr:uid="{00000000-0005-0000-0000-0000775B0000}"/>
    <cellStyle name="Standard 4 3 4 3 2 4 2 6" xfId="23217" xr:uid="{00000000-0005-0000-0000-0000785B0000}"/>
    <cellStyle name="Standard 4 3 4 3 2 4 3" xfId="23218" xr:uid="{00000000-0005-0000-0000-0000795B0000}"/>
    <cellStyle name="Standard 4 3 4 3 2 4 3 2" xfId="23219" xr:uid="{00000000-0005-0000-0000-00007A5B0000}"/>
    <cellStyle name="Standard 4 3 4 3 2 4 3 3" xfId="23220" xr:uid="{00000000-0005-0000-0000-00007B5B0000}"/>
    <cellStyle name="Standard 4 3 4 3 2 4 4" xfId="23221" xr:uid="{00000000-0005-0000-0000-00007C5B0000}"/>
    <cellStyle name="Standard 4 3 4 3 2 4 4 2" xfId="23222" xr:uid="{00000000-0005-0000-0000-00007D5B0000}"/>
    <cellStyle name="Standard 4 3 4 3 2 4 4 3" xfId="23223" xr:uid="{00000000-0005-0000-0000-00007E5B0000}"/>
    <cellStyle name="Standard 4 3 4 3 2 4 5" xfId="23224" xr:uid="{00000000-0005-0000-0000-00007F5B0000}"/>
    <cellStyle name="Standard 4 3 4 3 2 4 5 2" xfId="23225" xr:uid="{00000000-0005-0000-0000-0000805B0000}"/>
    <cellStyle name="Standard 4 3 4 3 2 4 6" xfId="23226" xr:uid="{00000000-0005-0000-0000-0000815B0000}"/>
    <cellStyle name="Standard 4 3 4 3 2 4 7" xfId="23227" xr:uid="{00000000-0005-0000-0000-0000825B0000}"/>
    <cellStyle name="Standard 4 3 4 3 2 5" xfId="23228" xr:uid="{00000000-0005-0000-0000-0000835B0000}"/>
    <cellStyle name="Standard 4 3 4 3 2 5 2" xfId="23229" xr:uid="{00000000-0005-0000-0000-0000845B0000}"/>
    <cellStyle name="Standard 4 3 4 3 2 5 2 2" xfId="23230" xr:uid="{00000000-0005-0000-0000-0000855B0000}"/>
    <cellStyle name="Standard 4 3 4 3 2 5 2 3" xfId="23231" xr:uid="{00000000-0005-0000-0000-0000865B0000}"/>
    <cellStyle name="Standard 4 3 4 3 2 5 3" xfId="23232" xr:uid="{00000000-0005-0000-0000-0000875B0000}"/>
    <cellStyle name="Standard 4 3 4 3 2 5 3 2" xfId="23233" xr:uid="{00000000-0005-0000-0000-0000885B0000}"/>
    <cellStyle name="Standard 4 3 4 3 2 5 3 3" xfId="23234" xr:uid="{00000000-0005-0000-0000-0000895B0000}"/>
    <cellStyle name="Standard 4 3 4 3 2 5 4" xfId="23235" xr:uid="{00000000-0005-0000-0000-00008A5B0000}"/>
    <cellStyle name="Standard 4 3 4 3 2 5 4 2" xfId="23236" xr:uid="{00000000-0005-0000-0000-00008B5B0000}"/>
    <cellStyle name="Standard 4 3 4 3 2 5 5" xfId="23237" xr:uid="{00000000-0005-0000-0000-00008C5B0000}"/>
    <cellStyle name="Standard 4 3 4 3 2 5 6" xfId="23238" xr:uid="{00000000-0005-0000-0000-00008D5B0000}"/>
    <cellStyle name="Standard 4 3 4 3 2 6" xfId="23239" xr:uid="{00000000-0005-0000-0000-00008E5B0000}"/>
    <cellStyle name="Standard 4 3 4 3 2 6 2" xfId="23240" xr:uid="{00000000-0005-0000-0000-00008F5B0000}"/>
    <cellStyle name="Standard 4 3 4 3 2 6 3" xfId="23241" xr:uid="{00000000-0005-0000-0000-0000905B0000}"/>
    <cellStyle name="Standard 4 3 4 3 2 7" xfId="23242" xr:uid="{00000000-0005-0000-0000-0000915B0000}"/>
    <cellStyle name="Standard 4 3 4 3 2 7 2" xfId="23243" xr:uid="{00000000-0005-0000-0000-0000925B0000}"/>
    <cellStyle name="Standard 4 3 4 3 2 7 3" xfId="23244" xr:uid="{00000000-0005-0000-0000-0000935B0000}"/>
    <cellStyle name="Standard 4 3 4 3 2 8" xfId="23245" xr:uid="{00000000-0005-0000-0000-0000945B0000}"/>
    <cellStyle name="Standard 4 3 4 3 2 8 2" xfId="23246" xr:uid="{00000000-0005-0000-0000-0000955B0000}"/>
    <cellStyle name="Standard 4 3 4 3 2 9" xfId="23247" xr:uid="{00000000-0005-0000-0000-0000965B0000}"/>
    <cellStyle name="Standard 4 3 4 3 3" xfId="23248" xr:uid="{00000000-0005-0000-0000-0000975B0000}"/>
    <cellStyle name="Standard 4 3 4 3 3 2" xfId="23249" xr:uid="{00000000-0005-0000-0000-0000985B0000}"/>
    <cellStyle name="Standard 4 3 4 3 3 2 2" xfId="23250" xr:uid="{00000000-0005-0000-0000-0000995B0000}"/>
    <cellStyle name="Standard 4 3 4 3 3 2 2 2" xfId="23251" xr:uid="{00000000-0005-0000-0000-00009A5B0000}"/>
    <cellStyle name="Standard 4 3 4 3 3 2 2 2 2" xfId="23252" xr:uid="{00000000-0005-0000-0000-00009B5B0000}"/>
    <cellStyle name="Standard 4 3 4 3 3 2 2 2 3" xfId="23253" xr:uid="{00000000-0005-0000-0000-00009C5B0000}"/>
    <cellStyle name="Standard 4 3 4 3 3 2 2 3" xfId="23254" xr:uid="{00000000-0005-0000-0000-00009D5B0000}"/>
    <cellStyle name="Standard 4 3 4 3 3 2 2 3 2" xfId="23255" xr:uid="{00000000-0005-0000-0000-00009E5B0000}"/>
    <cellStyle name="Standard 4 3 4 3 3 2 2 3 3" xfId="23256" xr:uid="{00000000-0005-0000-0000-00009F5B0000}"/>
    <cellStyle name="Standard 4 3 4 3 3 2 2 4" xfId="23257" xr:uid="{00000000-0005-0000-0000-0000A05B0000}"/>
    <cellStyle name="Standard 4 3 4 3 3 2 2 4 2" xfId="23258" xr:uid="{00000000-0005-0000-0000-0000A15B0000}"/>
    <cellStyle name="Standard 4 3 4 3 3 2 2 5" xfId="23259" xr:uid="{00000000-0005-0000-0000-0000A25B0000}"/>
    <cellStyle name="Standard 4 3 4 3 3 2 2 6" xfId="23260" xr:uid="{00000000-0005-0000-0000-0000A35B0000}"/>
    <cellStyle name="Standard 4 3 4 3 3 2 3" xfId="23261" xr:uid="{00000000-0005-0000-0000-0000A45B0000}"/>
    <cellStyle name="Standard 4 3 4 3 3 2 3 2" xfId="23262" xr:uid="{00000000-0005-0000-0000-0000A55B0000}"/>
    <cellStyle name="Standard 4 3 4 3 3 2 3 3" xfId="23263" xr:uid="{00000000-0005-0000-0000-0000A65B0000}"/>
    <cellStyle name="Standard 4 3 4 3 3 2 4" xfId="23264" xr:uid="{00000000-0005-0000-0000-0000A75B0000}"/>
    <cellStyle name="Standard 4 3 4 3 3 2 4 2" xfId="23265" xr:uid="{00000000-0005-0000-0000-0000A85B0000}"/>
    <cellStyle name="Standard 4 3 4 3 3 2 4 3" xfId="23266" xr:uid="{00000000-0005-0000-0000-0000A95B0000}"/>
    <cellStyle name="Standard 4 3 4 3 3 2 5" xfId="23267" xr:uid="{00000000-0005-0000-0000-0000AA5B0000}"/>
    <cellStyle name="Standard 4 3 4 3 3 2 5 2" xfId="23268" xr:uid="{00000000-0005-0000-0000-0000AB5B0000}"/>
    <cellStyle name="Standard 4 3 4 3 3 2 6" xfId="23269" xr:uid="{00000000-0005-0000-0000-0000AC5B0000}"/>
    <cellStyle name="Standard 4 3 4 3 3 2 7" xfId="23270" xr:uid="{00000000-0005-0000-0000-0000AD5B0000}"/>
    <cellStyle name="Standard 4 3 4 3 3 3" xfId="23271" xr:uid="{00000000-0005-0000-0000-0000AE5B0000}"/>
    <cellStyle name="Standard 4 3 4 3 3 3 2" xfId="23272" xr:uid="{00000000-0005-0000-0000-0000AF5B0000}"/>
    <cellStyle name="Standard 4 3 4 3 3 3 2 2" xfId="23273" xr:uid="{00000000-0005-0000-0000-0000B05B0000}"/>
    <cellStyle name="Standard 4 3 4 3 3 3 2 3" xfId="23274" xr:uid="{00000000-0005-0000-0000-0000B15B0000}"/>
    <cellStyle name="Standard 4 3 4 3 3 3 3" xfId="23275" xr:uid="{00000000-0005-0000-0000-0000B25B0000}"/>
    <cellStyle name="Standard 4 3 4 3 3 3 3 2" xfId="23276" xr:uid="{00000000-0005-0000-0000-0000B35B0000}"/>
    <cellStyle name="Standard 4 3 4 3 3 3 3 3" xfId="23277" xr:uid="{00000000-0005-0000-0000-0000B45B0000}"/>
    <cellStyle name="Standard 4 3 4 3 3 3 4" xfId="23278" xr:uid="{00000000-0005-0000-0000-0000B55B0000}"/>
    <cellStyle name="Standard 4 3 4 3 3 3 4 2" xfId="23279" xr:uid="{00000000-0005-0000-0000-0000B65B0000}"/>
    <cellStyle name="Standard 4 3 4 3 3 3 5" xfId="23280" xr:uid="{00000000-0005-0000-0000-0000B75B0000}"/>
    <cellStyle name="Standard 4 3 4 3 3 3 6" xfId="23281" xr:uid="{00000000-0005-0000-0000-0000B85B0000}"/>
    <cellStyle name="Standard 4 3 4 3 3 4" xfId="23282" xr:uid="{00000000-0005-0000-0000-0000B95B0000}"/>
    <cellStyle name="Standard 4 3 4 3 3 4 2" xfId="23283" xr:uid="{00000000-0005-0000-0000-0000BA5B0000}"/>
    <cellStyle name="Standard 4 3 4 3 3 4 3" xfId="23284" xr:uid="{00000000-0005-0000-0000-0000BB5B0000}"/>
    <cellStyle name="Standard 4 3 4 3 3 5" xfId="23285" xr:uid="{00000000-0005-0000-0000-0000BC5B0000}"/>
    <cellStyle name="Standard 4 3 4 3 3 5 2" xfId="23286" xr:uid="{00000000-0005-0000-0000-0000BD5B0000}"/>
    <cellStyle name="Standard 4 3 4 3 3 5 3" xfId="23287" xr:uid="{00000000-0005-0000-0000-0000BE5B0000}"/>
    <cellStyle name="Standard 4 3 4 3 3 6" xfId="23288" xr:uid="{00000000-0005-0000-0000-0000BF5B0000}"/>
    <cellStyle name="Standard 4 3 4 3 3 6 2" xfId="23289" xr:uid="{00000000-0005-0000-0000-0000C05B0000}"/>
    <cellStyle name="Standard 4 3 4 3 3 7" xfId="23290" xr:uid="{00000000-0005-0000-0000-0000C15B0000}"/>
    <cellStyle name="Standard 4 3 4 3 3 8" xfId="23291" xr:uid="{00000000-0005-0000-0000-0000C25B0000}"/>
    <cellStyle name="Standard 4 3 4 3 4" xfId="23292" xr:uid="{00000000-0005-0000-0000-0000C35B0000}"/>
    <cellStyle name="Standard 4 3 4 3 4 2" xfId="23293" xr:uid="{00000000-0005-0000-0000-0000C45B0000}"/>
    <cellStyle name="Standard 4 3 4 3 4 2 2" xfId="23294" xr:uid="{00000000-0005-0000-0000-0000C55B0000}"/>
    <cellStyle name="Standard 4 3 4 3 4 2 2 2" xfId="23295" xr:uid="{00000000-0005-0000-0000-0000C65B0000}"/>
    <cellStyle name="Standard 4 3 4 3 4 2 2 2 2" xfId="23296" xr:uid="{00000000-0005-0000-0000-0000C75B0000}"/>
    <cellStyle name="Standard 4 3 4 3 4 2 2 2 3" xfId="23297" xr:uid="{00000000-0005-0000-0000-0000C85B0000}"/>
    <cellStyle name="Standard 4 3 4 3 4 2 2 3" xfId="23298" xr:uid="{00000000-0005-0000-0000-0000C95B0000}"/>
    <cellStyle name="Standard 4 3 4 3 4 2 2 3 2" xfId="23299" xr:uid="{00000000-0005-0000-0000-0000CA5B0000}"/>
    <cellStyle name="Standard 4 3 4 3 4 2 2 3 3" xfId="23300" xr:uid="{00000000-0005-0000-0000-0000CB5B0000}"/>
    <cellStyle name="Standard 4 3 4 3 4 2 2 4" xfId="23301" xr:uid="{00000000-0005-0000-0000-0000CC5B0000}"/>
    <cellStyle name="Standard 4 3 4 3 4 2 2 4 2" xfId="23302" xr:uid="{00000000-0005-0000-0000-0000CD5B0000}"/>
    <cellStyle name="Standard 4 3 4 3 4 2 2 5" xfId="23303" xr:uid="{00000000-0005-0000-0000-0000CE5B0000}"/>
    <cellStyle name="Standard 4 3 4 3 4 2 2 6" xfId="23304" xr:uid="{00000000-0005-0000-0000-0000CF5B0000}"/>
    <cellStyle name="Standard 4 3 4 3 4 2 3" xfId="23305" xr:uid="{00000000-0005-0000-0000-0000D05B0000}"/>
    <cellStyle name="Standard 4 3 4 3 4 2 3 2" xfId="23306" xr:uid="{00000000-0005-0000-0000-0000D15B0000}"/>
    <cellStyle name="Standard 4 3 4 3 4 2 3 3" xfId="23307" xr:uid="{00000000-0005-0000-0000-0000D25B0000}"/>
    <cellStyle name="Standard 4 3 4 3 4 2 4" xfId="23308" xr:uid="{00000000-0005-0000-0000-0000D35B0000}"/>
    <cellStyle name="Standard 4 3 4 3 4 2 4 2" xfId="23309" xr:uid="{00000000-0005-0000-0000-0000D45B0000}"/>
    <cellStyle name="Standard 4 3 4 3 4 2 4 3" xfId="23310" xr:uid="{00000000-0005-0000-0000-0000D55B0000}"/>
    <cellStyle name="Standard 4 3 4 3 4 2 5" xfId="23311" xr:uid="{00000000-0005-0000-0000-0000D65B0000}"/>
    <cellStyle name="Standard 4 3 4 3 4 2 5 2" xfId="23312" xr:uid="{00000000-0005-0000-0000-0000D75B0000}"/>
    <cellStyle name="Standard 4 3 4 3 4 2 6" xfId="23313" xr:uid="{00000000-0005-0000-0000-0000D85B0000}"/>
    <cellStyle name="Standard 4 3 4 3 4 2 7" xfId="23314" xr:uid="{00000000-0005-0000-0000-0000D95B0000}"/>
    <cellStyle name="Standard 4 3 4 3 4 3" xfId="23315" xr:uid="{00000000-0005-0000-0000-0000DA5B0000}"/>
    <cellStyle name="Standard 4 3 4 3 4 3 2" xfId="23316" xr:uid="{00000000-0005-0000-0000-0000DB5B0000}"/>
    <cellStyle name="Standard 4 3 4 3 4 3 2 2" xfId="23317" xr:uid="{00000000-0005-0000-0000-0000DC5B0000}"/>
    <cellStyle name="Standard 4 3 4 3 4 3 2 3" xfId="23318" xr:uid="{00000000-0005-0000-0000-0000DD5B0000}"/>
    <cellStyle name="Standard 4 3 4 3 4 3 3" xfId="23319" xr:uid="{00000000-0005-0000-0000-0000DE5B0000}"/>
    <cellStyle name="Standard 4 3 4 3 4 3 3 2" xfId="23320" xr:uid="{00000000-0005-0000-0000-0000DF5B0000}"/>
    <cellStyle name="Standard 4 3 4 3 4 3 3 3" xfId="23321" xr:uid="{00000000-0005-0000-0000-0000E05B0000}"/>
    <cellStyle name="Standard 4 3 4 3 4 3 4" xfId="23322" xr:uid="{00000000-0005-0000-0000-0000E15B0000}"/>
    <cellStyle name="Standard 4 3 4 3 4 3 4 2" xfId="23323" xr:uid="{00000000-0005-0000-0000-0000E25B0000}"/>
    <cellStyle name="Standard 4 3 4 3 4 3 5" xfId="23324" xr:uid="{00000000-0005-0000-0000-0000E35B0000}"/>
    <cellStyle name="Standard 4 3 4 3 4 3 6" xfId="23325" xr:uid="{00000000-0005-0000-0000-0000E45B0000}"/>
    <cellStyle name="Standard 4 3 4 3 4 4" xfId="23326" xr:uid="{00000000-0005-0000-0000-0000E55B0000}"/>
    <cellStyle name="Standard 4 3 4 3 4 4 2" xfId="23327" xr:uid="{00000000-0005-0000-0000-0000E65B0000}"/>
    <cellStyle name="Standard 4 3 4 3 4 4 3" xfId="23328" xr:uid="{00000000-0005-0000-0000-0000E75B0000}"/>
    <cellStyle name="Standard 4 3 4 3 4 5" xfId="23329" xr:uid="{00000000-0005-0000-0000-0000E85B0000}"/>
    <cellStyle name="Standard 4 3 4 3 4 5 2" xfId="23330" xr:uid="{00000000-0005-0000-0000-0000E95B0000}"/>
    <cellStyle name="Standard 4 3 4 3 4 5 3" xfId="23331" xr:uid="{00000000-0005-0000-0000-0000EA5B0000}"/>
    <cellStyle name="Standard 4 3 4 3 4 6" xfId="23332" xr:uid="{00000000-0005-0000-0000-0000EB5B0000}"/>
    <cellStyle name="Standard 4 3 4 3 4 6 2" xfId="23333" xr:uid="{00000000-0005-0000-0000-0000EC5B0000}"/>
    <cellStyle name="Standard 4 3 4 3 4 7" xfId="23334" xr:uid="{00000000-0005-0000-0000-0000ED5B0000}"/>
    <cellStyle name="Standard 4 3 4 3 4 8" xfId="23335" xr:uid="{00000000-0005-0000-0000-0000EE5B0000}"/>
    <cellStyle name="Standard 4 3 4 3 5" xfId="23336" xr:uid="{00000000-0005-0000-0000-0000EF5B0000}"/>
    <cellStyle name="Standard 4 3 4 3 5 2" xfId="23337" xr:uid="{00000000-0005-0000-0000-0000F05B0000}"/>
    <cellStyle name="Standard 4 3 4 3 5 2 2" xfId="23338" xr:uid="{00000000-0005-0000-0000-0000F15B0000}"/>
    <cellStyle name="Standard 4 3 4 3 5 2 2 2" xfId="23339" xr:uid="{00000000-0005-0000-0000-0000F25B0000}"/>
    <cellStyle name="Standard 4 3 4 3 5 2 2 3" xfId="23340" xr:uid="{00000000-0005-0000-0000-0000F35B0000}"/>
    <cellStyle name="Standard 4 3 4 3 5 2 3" xfId="23341" xr:uid="{00000000-0005-0000-0000-0000F45B0000}"/>
    <cellStyle name="Standard 4 3 4 3 5 2 3 2" xfId="23342" xr:uid="{00000000-0005-0000-0000-0000F55B0000}"/>
    <cellStyle name="Standard 4 3 4 3 5 2 3 3" xfId="23343" xr:uid="{00000000-0005-0000-0000-0000F65B0000}"/>
    <cellStyle name="Standard 4 3 4 3 5 2 4" xfId="23344" xr:uid="{00000000-0005-0000-0000-0000F75B0000}"/>
    <cellStyle name="Standard 4 3 4 3 5 2 4 2" xfId="23345" xr:uid="{00000000-0005-0000-0000-0000F85B0000}"/>
    <cellStyle name="Standard 4 3 4 3 5 2 5" xfId="23346" xr:uid="{00000000-0005-0000-0000-0000F95B0000}"/>
    <cellStyle name="Standard 4 3 4 3 5 2 6" xfId="23347" xr:uid="{00000000-0005-0000-0000-0000FA5B0000}"/>
    <cellStyle name="Standard 4 3 4 3 5 3" xfId="23348" xr:uid="{00000000-0005-0000-0000-0000FB5B0000}"/>
    <cellStyle name="Standard 4 3 4 3 5 3 2" xfId="23349" xr:uid="{00000000-0005-0000-0000-0000FC5B0000}"/>
    <cellStyle name="Standard 4 3 4 3 5 3 3" xfId="23350" xr:uid="{00000000-0005-0000-0000-0000FD5B0000}"/>
    <cellStyle name="Standard 4 3 4 3 5 4" xfId="23351" xr:uid="{00000000-0005-0000-0000-0000FE5B0000}"/>
    <cellStyle name="Standard 4 3 4 3 5 4 2" xfId="23352" xr:uid="{00000000-0005-0000-0000-0000FF5B0000}"/>
    <cellStyle name="Standard 4 3 4 3 5 4 3" xfId="23353" xr:uid="{00000000-0005-0000-0000-0000005C0000}"/>
    <cellStyle name="Standard 4 3 4 3 5 5" xfId="23354" xr:uid="{00000000-0005-0000-0000-0000015C0000}"/>
    <cellStyle name="Standard 4 3 4 3 5 5 2" xfId="23355" xr:uid="{00000000-0005-0000-0000-0000025C0000}"/>
    <cellStyle name="Standard 4 3 4 3 5 6" xfId="23356" xr:uid="{00000000-0005-0000-0000-0000035C0000}"/>
    <cellStyle name="Standard 4 3 4 3 5 7" xfId="23357" xr:uid="{00000000-0005-0000-0000-0000045C0000}"/>
    <cellStyle name="Standard 4 3 4 3 6" xfId="23358" xr:uid="{00000000-0005-0000-0000-0000055C0000}"/>
    <cellStyle name="Standard 4 3 4 3 6 2" xfId="23359" xr:uid="{00000000-0005-0000-0000-0000065C0000}"/>
    <cellStyle name="Standard 4 3 4 3 6 2 2" xfId="23360" xr:uid="{00000000-0005-0000-0000-0000075C0000}"/>
    <cellStyle name="Standard 4 3 4 3 6 2 3" xfId="23361" xr:uid="{00000000-0005-0000-0000-0000085C0000}"/>
    <cellStyle name="Standard 4 3 4 3 6 3" xfId="23362" xr:uid="{00000000-0005-0000-0000-0000095C0000}"/>
    <cellStyle name="Standard 4 3 4 3 6 3 2" xfId="23363" xr:uid="{00000000-0005-0000-0000-00000A5C0000}"/>
    <cellStyle name="Standard 4 3 4 3 6 3 3" xfId="23364" xr:uid="{00000000-0005-0000-0000-00000B5C0000}"/>
    <cellStyle name="Standard 4 3 4 3 6 4" xfId="23365" xr:uid="{00000000-0005-0000-0000-00000C5C0000}"/>
    <cellStyle name="Standard 4 3 4 3 6 4 2" xfId="23366" xr:uid="{00000000-0005-0000-0000-00000D5C0000}"/>
    <cellStyle name="Standard 4 3 4 3 6 5" xfId="23367" xr:uid="{00000000-0005-0000-0000-00000E5C0000}"/>
    <cellStyle name="Standard 4 3 4 3 6 6" xfId="23368" xr:uid="{00000000-0005-0000-0000-00000F5C0000}"/>
    <cellStyle name="Standard 4 3 4 3 7" xfId="23369" xr:uid="{00000000-0005-0000-0000-0000105C0000}"/>
    <cellStyle name="Standard 4 3 4 3 7 2" xfId="23370" xr:uid="{00000000-0005-0000-0000-0000115C0000}"/>
    <cellStyle name="Standard 4 3 4 3 7 3" xfId="23371" xr:uid="{00000000-0005-0000-0000-0000125C0000}"/>
    <cellStyle name="Standard 4 3 4 3 8" xfId="23372" xr:uid="{00000000-0005-0000-0000-0000135C0000}"/>
    <cellStyle name="Standard 4 3 4 3 8 2" xfId="23373" xr:uid="{00000000-0005-0000-0000-0000145C0000}"/>
    <cellStyle name="Standard 4 3 4 3 8 3" xfId="23374" xr:uid="{00000000-0005-0000-0000-0000155C0000}"/>
    <cellStyle name="Standard 4 3 4 3 9" xfId="23375" xr:uid="{00000000-0005-0000-0000-0000165C0000}"/>
    <cellStyle name="Standard 4 3 4 3 9 2" xfId="23376" xr:uid="{00000000-0005-0000-0000-0000175C0000}"/>
    <cellStyle name="Standard 4 3 4 4" xfId="23377" xr:uid="{00000000-0005-0000-0000-0000185C0000}"/>
    <cellStyle name="Standard 4 3 4 4 10" xfId="23378" xr:uid="{00000000-0005-0000-0000-0000195C0000}"/>
    <cellStyle name="Standard 4 3 4 4 2" xfId="23379" xr:uid="{00000000-0005-0000-0000-00001A5C0000}"/>
    <cellStyle name="Standard 4 3 4 4 2 2" xfId="23380" xr:uid="{00000000-0005-0000-0000-00001B5C0000}"/>
    <cellStyle name="Standard 4 3 4 4 2 2 2" xfId="23381" xr:uid="{00000000-0005-0000-0000-00001C5C0000}"/>
    <cellStyle name="Standard 4 3 4 4 2 2 2 2" xfId="23382" xr:uid="{00000000-0005-0000-0000-00001D5C0000}"/>
    <cellStyle name="Standard 4 3 4 4 2 2 2 2 2" xfId="23383" xr:uid="{00000000-0005-0000-0000-00001E5C0000}"/>
    <cellStyle name="Standard 4 3 4 4 2 2 2 2 3" xfId="23384" xr:uid="{00000000-0005-0000-0000-00001F5C0000}"/>
    <cellStyle name="Standard 4 3 4 4 2 2 2 3" xfId="23385" xr:uid="{00000000-0005-0000-0000-0000205C0000}"/>
    <cellStyle name="Standard 4 3 4 4 2 2 2 3 2" xfId="23386" xr:uid="{00000000-0005-0000-0000-0000215C0000}"/>
    <cellStyle name="Standard 4 3 4 4 2 2 2 3 3" xfId="23387" xr:uid="{00000000-0005-0000-0000-0000225C0000}"/>
    <cellStyle name="Standard 4 3 4 4 2 2 2 4" xfId="23388" xr:uid="{00000000-0005-0000-0000-0000235C0000}"/>
    <cellStyle name="Standard 4 3 4 4 2 2 2 4 2" xfId="23389" xr:uid="{00000000-0005-0000-0000-0000245C0000}"/>
    <cellStyle name="Standard 4 3 4 4 2 2 2 5" xfId="23390" xr:uid="{00000000-0005-0000-0000-0000255C0000}"/>
    <cellStyle name="Standard 4 3 4 4 2 2 2 6" xfId="23391" xr:uid="{00000000-0005-0000-0000-0000265C0000}"/>
    <cellStyle name="Standard 4 3 4 4 2 2 3" xfId="23392" xr:uid="{00000000-0005-0000-0000-0000275C0000}"/>
    <cellStyle name="Standard 4 3 4 4 2 2 3 2" xfId="23393" xr:uid="{00000000-0005-0000-0000-0000285C0000}"/>
    <cellStyle name="Standard 4 3 4 4 2 2 3 3" xfId="23394" xr:uid="{00000000-0005-0000-0000-0000295C0000}"/>
    <cellStyle name="Standard 4 3 4 4 2 2 4" xfId="23395" xr:uid="{00000000-0005-0000-0000-00002A5C0000}"/>
    <cellStyle name="Standard 4 3 4 4 2 2 4 2" xfId="23396" xr:uid="{00000000-0005-0000-0000-00002B5C0000}"/>
    <cellStyle name="Standard 4 3 4 4 2 2 4 3" xfId="23397" xr:uid="{00000000-0005-0000-0000-00002C5C0000}"/>
    <cellStyle name="Standard 4 3 4 4 2 2 5" xfId="23398" xr:uid="{00000000-0005-0000-0000-00002D5C0000}"/>
    <cellStyle name="Standard 4 3 4 4 2 2 5 2" xfId="23399" xr:uid="{00000000-0005-0000-0000-00002E5C0000}"/>
    <cellStyle name="Standard 4 3 4 4 2 2 6" xfId="23400" xr:uid="{00000000-0005-0000-0000-00002F5C0000}"/>
    <cellStyle name="Standard 4 3 4 4 2 2 7" xfId="23401" xr:uid="{00000000-0005-0000-0000-0000305C0000}"/>
    <cellStyle name="Standard 4 3 4 4 2 3" xfId="23402" xr:uid="{00000000-0005-0000-0000-0000315C0000}"/>
    <cellStyle name="Standard 4 3 4 4 2 3 2" xfId="23403" xr:uid="{00000000-0005-0000-0000-0000325C0000}"/>
    <cellStyle name="Standard 4 3 4 4 2 3 2 2" xfId="23404" xr:uid="{00000000-0005-0000-0000-0000335C0000}"/>
    <cellStyle name="Standard 4 3 4 4 2 3 2 3" xfId="23405" xr:uid="{00000000-0005-0000-0000-0000345C0000}"/>
    <cellStyle name="Standard 4 3 4 4 2 3 3" xfId="23406" xr:uid="{00000000-0005-0000-0000-0000355C0000}"/>
    <cellStyle name="Standard 4 3 4 4 2 3 3 2" xfId="23407" xr:uid="{00000000-0005-0000-0000-0000365C0000}"/>
    <cellStyle name="Standard 4 3 4 4 2 3 3 3" xfId="23408" xr:uid="{00000000-0005-0000-0000-0000375C0000}"/>
    <cellStyle name="Standard 4 3 4 4 2 3 4" xfId="23409" xr:uid="{00000000-0005-0000-0000-0000385C0000}"/>
    <cellStyle name="Standard 4 3 4 4 2 3 4 2" xfId="23410" xr:uid="{00000000-0005-0000-0000-0000395C0000}"/>
    <cellStyle name="Standard 4 3 4 4 2 3 5" xfId="23411" xr:uid="{00000000-0005-0000-0000-00003A5C0000}"/>
    <cellStyle name="Standard 4 3 4 4 2 3 6" xfId="23412" xr:uid="{00000000-0005-0000-0000-00003B5C0000}"/>
    <cellStyle name="Standard 4 3 4 4 2 4" xfId="23413" xr:uid="{00000000-0005-0000-0000-00003C5C0000}"/>
    <cellStyle name="Standard 4 3 4 4 2 4 2" xfId="23414" xr:uid="{00000000-0005-0000-0000-00003D5C0000}"/>
    <cellStyle name="Standard 4 3 4 4 2 4 3" xfId="23415" xr:uid="{00000000-0005-0000-0000-00003E5C0000}"/>
    <cellStyle name="Standard 4 3 4 4 2 5" xfId="23416" xr:uid="{00000000-0005-0000-0000-00003F5C0000}"/>
    <cellStyle name="Standard 4 3 4 4 2 5 2" xfId="23417" xr:uid="{00000000-0005-0000-0000-0000405C0000}"/>
    <cellStyle name="Standard 4 3 4 4 2 5 3" xfId="23418" xr:uid="{00000000-0005-0000-0000-0000415C0000}"/>
    <cellStyle name="Standard 4 3 4 4 2 6" xfId="23419" xr:uid="{00000000-0005-0000-0000-0000425C0000}"/>
    <cellStyle name="Standard 4 3 4 4 2 6 2" xfId="23420" xr:uid="{00000000-0005-0000-0000-0000435C0000}"/>
    <cellStyle name="Standard 4 3 4 4 2 7" xfId="23421" xr:uid="{00000000-0005-0000-0000-0000445C0000}"/>
    <cellStyle name="Standard 4 3 4 4 2 8" xfId="23422" xr:uid="{00000000-0005-0000-0000-0000455C0000}"/>
    <cellStyle name="Standard 4 3 4 4 3" xfId="23423" xr:uid="{00000000-0005-0000-0000-0000465C0000}"/>
    <cellStyle name="Standard 4 3 4 4 3 2" xfId="23424" xr:uid="{00000000-0005-0000-0000-0000475C0000}"/>
    <cellStyle name="Standard 4 3 4 4 3 2 2" xfId="23425" xr:uid="{00000000-0005-0000-0000-0000485C0000}"/>
    <cellStyle name="Standard 4 3 4 4 3 2 2 2" xfId="23426" xr:uid="{00000000-0005-0000-0000-0000495C0000}"/>
    <cellStyle name="Standard 4 3 4 4 3 2 2 2 2" xfId="23427" xr:uid="{00000000-0005-0000-0000-00004A5C0000}"/>
    <cellStyle name="Standard 4 3 4 4 3 2 2 2 3" xfId="23428" xr:uid="{00000000-0005-0000-0000-00004B5C0000}"/>
    <cellStyle name="Standard 4 3 4 4 3 2 2 3" xfId="23429" xr:uid="{00000000-0005-0000-0000-00004C5C0000}"/>
    <cellStyle name="Standard 4 3 4 4 3 2 2 3 2" xfId="23430" xr:uid="{00000000-0005-0000-0000-00004D5C0000}"/>
    <cellStyle name="Standard 4 3 4 4 3 2 2 3 3" xfId="23431" xr:uid="{00000000-0005-0000-0000-00004E5C0000}"/>
    <cellStyle name="Standard 4 3 4 4 3 2 2 4" xfId="23432" xr:uid="{00000000-0005-0000-0000-00004F5C0000}"/>
    <cellStyle name="Standard 4 3 4 4 3 2 2 4 2" xfId="23433" xr:uid="{00000000-0005-0000-0000-0000505C0000}"/>
    <cellStyle name="Standard 4 3 4 4 3 2 2 5" xfId="23434" xr:uid="{00000000-0005-0000-0000-0000515C0000}"/>
    <cellStyle name="Standard 4 3 4 4 3 2 2 6" xfId="23435" xr:uid="{00000000-0005-0000-0000-0000525C0000}"/>
    <cellStyle name="Standard 4 3 4 4 3 2 3" xfId="23436" xr:uid="{00000000-0005-0000-0000-0000535C0000}"/>
    <cellStyle name="Standard 4 3 4 4 3 2 3 2" xfId="23437" xr:uid="{00000000-0005-0000-0000-0000545C0000}"/>
    <cellStyle name="Standard 4 3 4 4 3 2 3 3" xfId="23438" xr:uid="{00000000-0005-0000-0000-0000555C0000}"/>
    <cellStyle name="Standard 4 3 4 4 3 2 4" xfId="23439" xr:uid="{00000000-0005-0000-0000-0000565C0000}"/>
    <cellStyle name="Standard 4 3 4 4 3 2 4 2" xfId="23440" xr:uid="{00000000-0005-0000-0000-0000575C0000}"/>
    <cellStyle name="Standard 4 3 4 4 3 2 4 3" xfId="23441" xr:uid="{00000000-0005-0000-0000-0000585C0000}"/>
    <cellStyle name="Standard 4 3 4 4 3 2 5" xfId="23442" xr:uid="{00000000-0005-0000-0000-0000595C0000}"/>
    <cellStyle name="Standard 4 3 4 4 3 2 5 2" xfId="23443" xr:uid="{00000000-0005-0000-0000-00005A5C0000}"/>
    <cellStyle name="Standard 4 3 4 4 3 2 6" xfId="23444" xr:uid="{00000000-0005-0000-0000-00005B5C0000}"/>
    <cellStyle name="Standard 4 3 4 4 3 2 7" xfId="23445" xr:uid="{00000000-0005-0000-0000-00005C5C0000}"/>
    <cellStyle name="Standard 4 3 4 4 3 3" xfId="23446" xr:uid="{00000000-0005-0000-0000-00005D5C0000}"/>
    <cellStyle name="Standard 4 3 4 4 3 3 2" xfId="23447" xr:uid="{00000000-0005-0000-0000-00005E5C0000}"/>
    <cellStyle name="Standard 4 3 4 4 3 3 2 2" xfId="23448" xr:uid="{00000000-0005-0000-0000-00005F5C0000}"/>
    <cellStyle name="Standard 4 3 4 4 3 3 2 3" xfId="23449" xr:uid="{00000000-0005-0000-0000-0000605C0000}"/>
    <cellStyle name="Standard 4 3 4 4 3 3 3" xfId="23450" xr:uid="{00000000-0005-0000-0000-0000615C0000}"/>
    <cellStyle name="Standard 4 3 4 4 3 3 3 2" xfId="23451" xr:uid="{00000000-0005-0000-0000-0000625C0000}"/>
    <cellStyle name="Standard 4 3 4 4 3 3 3 3" xfId="23452" xr:uid="{00000000-0005-0000-0000-0000635C0000}"/>
    <cellStyle name="Standard 4 3 4 4 3 3 4" xfId="23453" xr:uid="{00000000-0005-0000-0000-0000645C0000}"/>
    <cellStyle name="Standard 4 3 4 4 3 3 4 2" xfId="23454" xr:uid="{00000000-0005-0000-0000-0000655C0000}"/>
    <cellStyle name="Standard 4 3 4 4 3 3 5" xfId="23455" xr:uid="{00000000-0005-0000-0000-0000665C0000}"/>
    <cellStyle name="Standard 4 3 4 4 3 3 6" xfId="23456" xr:uid="{00000000-0005-0000-0000-0000675C0000}"/>
    <cellStyle name="Standard 4 3 4 4 3 4" xfId="23457" xr:uid="{00000000-0005-0000-0000-0000685C0000}"/>
    <cellStyle name="Standard 4 3 4 4 3 4 2" xfId="23458" xr:uid="{00000000-0005-0000-0000-0000695C0000}"/>
    <cellStyle name="Standard 4 3 4 4 3 4 3" xfId="23459" xr:uid="{00000000-0005-0000-0000-00006A5C0000}"/>
    <cellStyle name="Standard 4 3 4 4 3 5" xfId="23460" xr:uid="{00000000-0005-0000-0000-00006B5C0000}"/>
    <cellStyle name="Standard 4 3 4 4 3 5 2" xfId="23461" xr:uid="{00000000-0005-0000-0000-00006C5C0000}"/>
    <cellStyle name="Standard 4 3 4 4 3 5 3" xfId="23462" xr:uid="{00000000-0005-0000-0000-00006D5C0000}"/>
    <cellStyle name="Standard 4 3 4 4 3 6" xfId="23463" xr:uid="{00000000-0005-0000-0000-00006E5C0000}"/>
    <cellStyle name="Standard 4 3 4 4 3 6 2" xfId="23464" xr:uid="{00000000-0005-0000-0000-00006F5C0000}"/>
    <cellStyle name="Standard 4 3 4 4 3 7" xfId="23465" xr:uid="{00000000-0005-0000-0000-0000705C0000}"/>
    <cellStyle name="Standard 4 3 4 4 3 8" xfId="23466" xr:uid="{00000000-0005-0000-0000-0000715C0000}"/>
    <cellStyle name="Standard 4 3 4 4 4" xfId="23467" xr:uid="{00000000-0005-0000-0000-0000725C0000}"/>
    <cellStyle name="Standard 4 3 4 4 4 2" xfId="23468" xr:uid="{00000000-0005-0000-0000-0000735C0000}"/>
    <cellStyle name="Standard 4 3 4 4 4 2 2" xfId="23469" xr:uid="{00000000-0005-0000-0000-0000745C0000}"/>
    <cellStyle name="Standard 4 3 4 4 4 2 2 2" xfId="23470" xr:uid="{00000000-0005-0000-0000-0000755C0000}"/>
    <cellStyle name="Standard 4 3 4 4 4 2 2 3" xfId="23471" xr:uid="{00000000-0005-0000-0000-0000765C0000}"/>
    <cellStyle name="Standard 4 3 4 4 4 2 3" xfId="23472" xr:uid="{00000000-0005-0000-0000-0000775C0000}"/>
    <cellStyle name="Standard 4 3 4 4 4 2 3 2" xfId="23473" xr:uid="{00000000-0005-0000-0000-0000785C0000}"/>
    <cellStyle name="Standard 4 3 4 4 4 2 3 3" xfId="23474" xr:uid="{00000000-0005-0000-0000-0000795C0000}"/>
    <cellStyle name="Standard 4 3 4 4 4 2 4" xfId="23475" xr:uid="{00000000-0005-0000-0000-00007A5C0000}"/>
    <cellStyle name="Standard 4 3 4 4 4 2 4 2" xfId="23476" xr:uid="{00000000-0005-0000-0000-00007B5C0000}"/>
    <cellStyle name="Standard 4 3 4 4 4 2 5" xfId="23477" xr:uid="{00000000-0005-0000-0000-00007C5C0000}"/>
    <cellStyle name="Standard 4 3 4 4 4 2 6" xfId="23478" xr:uid="{00000000-0005-0000-0000-00007D5C0000}"/>
    <cellStyle name="Standard 4 3 4 4 4 3" xfId="23479" xr:uid="{00000000-0005-0000-0000-00007E5C0000}"/>
    <cellStyle name="Standard 4 3 4 4 4 3 2" xfId="23480" xr:uid="{00000000-0005-0000-0000-00007F5C0000}"/>
    <cellStyle name="Standard 4 3 4 4 4 3 3" xfId="23481" xr:uid="{00000000-0005-0000-0000-0000805C0000}"/>
    <cellStyle name="Standard 4 3 4 4 4 4" xfId="23482" xr:uid="{00000000-0005-0000-0000-0000815C0000}"/>
    <cellStyle name="Standard 4 3 4 4 4 4 2" xfId="23483" xr:uid="{00000000-0005-0000-0000-0000825C0000}"/>
    <cellStyle name="Standard 4 3 4 4 4 4 3" xfId="23484" xr:uid="{00000000-0005-0000-0000-0000835C0000}"/>
    <cellStyle name="Standard 4 3 4 4 4 5" xfId="23485" xr:uid="{00000000-0005-0000-0000-0000845C0000}"/>
    <cellStyle name="Standard 4 3 4 4 4 5 2" xfId="23486" xr:uid="{00000000-0005-0000-0000-0000855C0000}"/>
    <cellStyle name="Standard 4 3 4 4 4 6" xfId="23487" xr:uid="{00000000-0005-0000-0000-0000865C0000}"/>
    <cellStyle name="Standard 4 3 4 4 4 7" xfId="23488" xr:uid="{00000000-0005-0000-0000-0000875C0000}"/>
    <cellStyle name="Standard 4 3 4 4 5" xfId="23489" xr:uid="{00000000-0005-0000-0000-0000885C0000}"/>
    <cellStyle name="Standard 4 3 4 4 5 2" xfId="23490" xr:uid="{00000000-0005-0000-0000-0000895C0000}"/>
    <cellStyle name="Standard 4 3 4 4 5 2 2" xfId="23491" xr:uid="{00000000-0005-0000-0000-00008A5C0000}"/>
    <cellStyle name="Standard 4 3 4 4 5 2 3" xfId="23492" xr:uid="{00000000-0005-0000-0000-00008B5C0000}"/>
    <cellStyle name="Standard 4 3 4 4 5 3" xfId="23493" xr:uid="{00000000-0005-0000-0000-00008C5C0000}"/>
    <cellStyle name="Standard 4 3 4 4 5 3 2" xfId="23494" xr:uid="{00000000-0005-0000-0000-00008D5C0000}"/>
    <cellStyle name="Standard 4 3 4 4 5 3 3" xfId="23495" xr:uid="{00000000-0005-0000-0000-00008E5C0000}"/>
    <cellStyle name="Standard 4 3 4 4 5 4" xfId="23496" xr:uid="{00000000-0005-0000-0000-00008F5C0000}"/>
    <cellStyle name="Standard 4 3 4 4 5 4 2" xfId="23497" xr:uid="{00000000-0005-0000-0000-0000905C0000}"/>
    <cellStyle name="Standard 4 3 4 4 5 5" xfId="23498" xr:uid="{00000000-0005-0000-0000-0000915C0000}"/>
    <cellStyle name="Standard 4 3 4 4 5 6" xfId="23499" xr:uid="{00000000-0005-0000-0000-0000925C0000}"/>
    <cellStyle name="Standard 4 3 4 4 6" xfId="23500" xr:uid="{00000000-0005-0000-0000-0000935C0000}"/>
    <cellStyle name="Standard 4 3 4 4 6 2" xfId="23501" xr:uid="{00000000-0005-0000-0000-0000945C0000}"/>
    <cellStyle name="Standard 4 3 4 4 6 3" xfId="23502" xr:uid="{00000000-0005-0000-0000-0000955C0000}"/>
    <cellStyle name="Standard 4 3 4 4 7" xfId="23503" xr:uid="{00000000-0005-0000-0000-0000965C0000}"/>
    <cellStyle name="Standard 4 3 4 4 7 2" xfId="23504" xr:uid="{00000000-0005-0000-0000-0000975C0000}"/>
    <cellStyle name="Standard 4 3 4 4 7 3" xfId="23505" xr:uid="{00000000-0005-0000-0000-0000985C0000}"/>
    <cellStyle name="Standard 4 3 4 4 8" xfId="23506" xr:uid="{00000000-0005-0000-0000-0000995C0000}"/>
    <cellStyle name="Standard 4 3 4 4 8 2" xfId="23507" xr:uid="{00000000-0005-0000-0000-00009A5C0000}"/>
    <cellStyle name="Standard 4 3 4 4 9" xfId="23508" xr:uid="{00000000-0005-0000-0000-00009B5C0000}"/>
    <cellStyle name="Standard 4 3 4 5" xfId="23509" xr:uid="{00000000-0005-0000-0000-00009C5C0000}"/>
    <cellStyle name="Standard 4 3 4 5 2" xfId="23510" xr:uid="{00000000-0005-0000-0000-00009D5C0000}"/>
    <cellStyle name="Standard 4 3 4 5 2 2" xfId="23511" xr:uid="{00000000-0005-0000-0000-00009E5C0000}"/>
    <cellStyle name="Standard 4 3 4 5 2 2 2" xfId="23512" xr:uid="{00000000-0005-0000-0000-00009F5C0000}"/>
    <cellStyle name="Standard 4 3 4 5 2 2 2 2" xfId="23513" xr:uid="{00000000-0005-0000-0000-0000A05C0000}"/>
    <cellStyle name="Standard 4 3 4 5 2 2 2 3" xfId="23514" xr:uid="{00000000-0005-0000-0000-0000A15C0000}"/>
    <cellStyle name="Standard 4 3 4 5 2 2 3" xfId="23515" xr:uid="{00000000-0005-0000-0000-0000A25C0000}"/>
    <cellStyle name="Standard 4 3 4 5 2 2 3 2" xfId="23516" xr:uid="{00000000-0005-0000-0000-0000A35C0000}"/>
    <cellStyle name="Standard 4 3 4 5 2 2 3 3" xfId="23517" xr:uid="{00000000-0005-0000-0000-0000A45C0000}"/>
    <cellStyle name="Standard 4 3 4 5 2 2 4" xfId="23518" xr:uid="{00000000-0005-0000-0000-0000A55C0000}"/>
    <cellStyle name="Standard 4 3 4 5 2 2 4 2" xfId="23519" xr:uid="{00000000-0005-0000-0000-0000A65C0000}"/>
    <cellStyle name="Standard 4 3 4 5 2 2 5" xfId="23520" xr:uid="{00000000-0005-0000-0000-0000A75C0000}"/>
    <cellStyle name="Standard 4 3 4 5 2 2 6" xfId="23521" xr:uid="{00000000-0005-0000-0000-0000A85C0000}"/>
    <cellStyle name="Standard 4 3 4 5 2 3" xfId="23522" xr:uid="{00000000-0005-0000-0000-0000A95C0000}"/>
    <cellStyle name="Standard 4 3 4 5 2 3 2" xfId="23523" xr:uid="{00000000-0005-0000-0000-0000AA5C0000}"/>
    <cellStyle name="Standard 4 3 4 5 2 3 3" xfId="23524" xr:uid="{00000000-0005-0000-0000-0000AB5C0000}"/>
    <cellStyle name="Standard 4 3 4 5 2 4" xfId="23525" xr:uid="{00000000-0005-0000-0000-0000AC5C0000}"/>
    <cellStyle name="Standard 4 3 4 5 2 4 2" xfId="23526" xr:uid="{00000000-0005-0000-0000-0000AD5C0000}"/>
    <cellStyle name="Standard 4 3 4 5 2 4 3" xfId="23527" xr:uid="{00000000-0005-0000-0000-0000AE5C0000}"/>
    <cellStyle name="Standard 4 3 4 5 2 5" xfId="23528" xr:uid="{00000000-0005-0000-0000-0000AF5C0000}"/>
    <cellStyle name="Standard 4 3 4 5 2 5 2" xfId="23529" xr:uid="{00000000-0005-0000-0000-0000B05C0000}"/>
    <cellStyle name="Standard 4 3 4 5 2 6" xfId="23530" xr:uid="{00000000-0005-0000-0000-0000B15C0000}"/>
    <cellStyle name="Standard 4 3 4 5 2 7" xfId="23531" xr:uid="{00000000-0005-0000-0000-0000B25C0000}"/>
    <cellStyle name="Standard 4 3 4 5 3" xfId="23532" xr:uid="{00000000-0005-0000-0000-0000B35C0000}"/>
    <cellStyle name="Standard 4 3 4 5 3 2" xfId="23533" xr:uid="{00000000-0005-0000-0000-0000B45C0000}"/>
    <cellStyle name="Standard 4 3 4 5 3 2 2" xfId="23534" xr:uid="{00000000-0005-0000-0000-0000B55C0000}"/>
    <cellStyle name="Standard 4 3 4 5 3 2 3" xfId="23535" xr:uid="{00000000-0005-0000-0000-0000B65C0000}"/>
    <cellStyle name="Standard 4 3 4 5 3 3" xfId="23536" xr:uid="{00000000-0005-0000-0000-0000B75C0000}"/>
    <cellStyle name="Standard 4 3 4 5 3 3 2" xfId="23537" xr:uid="{00000000-0005-0000-0000-0000B85C0000}"/>
    <cellStyle name="Standard 4 3 4 5 3 3 3" xfId="23538" xr:uid="{00000000-0005-0000-0000-0000B95C0000}"/>
    <cellStyle name="Standard 4 3 4 5 3 4" xfId="23539" xr:uid="{00000000-0005-0000-0000-0000BA5C0000}"/>
    <cellStyle name="Standard 4 3 4 5 3 4 2" xfId="23540" xr:uid="{00000000-0005-0000-0000-0000BB5C0000}"/>
    <cellStyle name="Standard 4 3 4 5 3 5" xfId="23541" xr:uid="{00000000-0005-0000-0000-0000BC5C0000}"/>
    <cellStyle name="Standard 4 3 4 5 3 6" xfId="23542" xr:uid="{00000000-0005-0000-0000-0000BD5C0000}"/>
    <cellStyle name="Standard 4 3 4 5 4" xfId="23543" xr:uid="{00000000-0005-0000-0000-0000BE5C0000}"/>
    <cellStyle name="Standard 4 3 4 5 4 2" xfId="23544" xr:uid="{00000000-0005-0000-0000-0000BF5C0000}"/>
    <cellStyle name="Standard 4 3 4 5 4 3" xfId="23545" xr:uid="{00000000-0005-0000-0000-0000C05C0000}"/>
    <cellStyle name="Standard 4 3 4 5 5" xfId="23546" xr:uid="{00000000-0005-0000-0000-0000C15C0000}"/>
    <cellStyle name="Standard 4 3 4 5 5 2" xfId="23547" xr:uid="{00000000-0005-0000-0000-0000C25C0000}"/>
    <cellStyle name="Standard 4 3 4 5 5 3" xfId="23548" xr:uid="{00000000-0005-0000-0000-0000C35C0000}"/>
    <cellStyle name="Standard 4 3 4 5 6" xfId="23549" xr:uid="{00000000-0005-0000-0000-0000C45C0000}"/>
    <cellStyle name="Standard 4 3 4 5 6 2" xfId="23550" xr:uid="{00000000-0005-0000-0000-0000C55C0000}"/>
    <cellStyle name="Standard 4 3 4 5 7" xfId="23551" xr:uid="{00000000-0005-0000-0000-0000C65C0000}"/>
    <cellStyle name="Standard 4 3 4 5 8" xfId="23552" xr:uid="{00000000-0005-0000-0000-0000C75C0000}"/>
    <cellStyle name="Standard 4 3 4 6" xfId="23553" xr:uid="{00000000-0005-0000-0000-0000C85C0000}"/>
    <cellStyle name="Standard 4 3 4 6 2" xfId="23554" xr:uid="{00000000-0005-0000-0000-0000C95C0000}"/>
    <cellStyle name="Standard 4 3 4 6 2 2" xfId="23555" xr:uid="{00000000-0005-0000-0000-0000CA5C0000}"/>
    <cellStyle name="Standard 4 3 4 6 2 2 2" xfId="23556" xr:uid="{00000000-0005-0000-0000-0000CB5C0000}"/>
    <cellStyle name="Standard 4 3 4 6 2 2 2 2" xfId="23557" xr:uid="{00000000-0005-0000-0000-0000CC5C0000}"/>
    <cellStyle name="Standard 4 3 4 6 2 2 2 3" xfId="23558" xr:uid="{00000000-0005-0000-0000-0000CD5C0000}"/>
    <cellStyle name="Standard 4 3 4 6 2 2 3" xfId="23559" xr:uid="{00000000-0005-0000-0000-0000CE5C0000}"/>
    <cellStyle name="Standard 4 3 4 6 2 2 3 2" xfId="23560" xr:uid="{00000000-0005-0000-0000-0000CF5C0000}"/>
    <cellStyle name="Standard 4 3 4 6 2 2 3 3" xfId="23561" xr:uid="{00000000-0005-0000-0000-0000D05C0000}"/>
    <cellStyle name="Standard 4 3 4 6 2 2 4" xfId="23562" xr:uid="{00000000-0005-0000-0000-0000D15C0000}"/>
    <cellStyle name="Standard 4 3 4 6 2 2 4 2" xfId="23563" xr:uid="{00000000-0005-0000-0000-0000D25C0000}"/>
    <cellStyle name="Standard 4 3 4 6 2 2 5" xfId="23564" xr:uid="{00000000-0005-0000-0000-0000D35C0000}"/>
    <cellStyle name="Standard 4 3 4 6 2 2 6" xfId="23565" xr:uid="{00000000-0005-0000-0000-0000D45C0000}"/>
    <cellStyle name="Standard 4 3 4 6 2 3" xfId="23566" xr:uid="{00000000-0005-0000-0000-0000D55C0000}"/>
    <cellStyle name="Standard 4 3 4 6 2 3 2" xfId="23567" xr:uid="{00000000-0005-0000-0000-0000D65C0000}"/>
    <cellStyle name="Standard 4 3 4 6 2 3 3" xfId="23568" xr:uid="{00000000-0005-0000-0000-0000D75C0000}"/>
    <cellStyle name="Standard 4 3 4 6 2 4" xfId="23569" xr:uid="{00000000-0005-0000-0000-0000D85C0000}"/>
    <cellStyle name="Standard 4 3 4 6 2 4 2" xfId="23570" xr:uid="{00000000-0005-0000-0000-0000D95C0000}"/>
    <cellStyle name="Standard 4 3 4 6 2 4 3" xfId="23571" xr:uid="{00000000-0005-0000-0000-0000DA5C0000}"/>
    <cellStyle name="Standard 4 3 4 6 2 5" xfId="23572" xr:uid="{00000000-0005-0000-0000-0000DB5C0000}"/>
    <cellStyle name="Standard 4 3 4 6 2 5 2" xfId="23573" xr:uid="{00000000-0005-0000-0000-0000DC5C0000}"/>
    <cellStyle name="Standard 4 3 4 6 2 6" xfId="23574" xr:uid="{00000000-0005-0000-0000-0000DD5C0000}"/>
    <cellStyle name="Standard 4 3 4 6 2 7" xfId="23575" xr:uid="{00000000-0005-0000-0000-0000DE5C0000}"/>
    <cellStyle name="Standard 4 3 4 6 3" xfId="23576" xr:uid="{00000000-0005-0000-0000-0000DF5C0000}"/>
    <cellStyle name="Standard 4 3 4 6 3 2" xfId="23577" xr:uid="{00000000-0005-0000-0000-0000E05C0000}"/>
    <cellStyle name="Standard 4 3 4 6 3 2 2" xfId="23578" xr:uid="{00000000-0005-0000-0000-0000E15C0000}"/>
    <cellStyle name="Standard 4 3 4 6 3 2 3" xfId="23579" xr:uid="{00000000-0005-0000-0000-0000E25C0000}"/>
    <cellStyle name="Standard 4 3 4 6 3 3" xfId="23580" xr:uid="{00000000-0005-0000-0000-0000E35C0000}"/>
    <cellStyle name="Standard 4 3 4 6 3 3 2" xfId="23581" xr:uid="{00000000-0005-0000-0000-0000E45C0000}"/>
    <cellStyle name="Standard 4 3 4 6 3 3 3" xfId="23582" xr:uid="{00000000-0005-0000-0000-0000E55C0000}"/>
    <cellStyle name="Standard 4 3 4 6 3 4" xfId="23583" xr:uid="{00000000-0005-0000-0000-0000E65C0000}"/>
    <cellStyle name="Standard 4 3 4 6 3 4 2" xfId="23584" xr:uid="{00000000-0005-0000-0000-0000E75C0000}"/>
    <cellStyle name="Standard 4 3 4 6 3 5" xfId="23585" xr:uid="{00000000-0005-0000-0000-0000E85C0000}"/>
    <cellStyle name="Standard 4 3 4 6 3 6" xfId="23586" xr:uid="{00000000-0005-0000-0000-0000E95C0000}"/>
    <cellStyle name="Standard 4 3 4 6 4" xfId="23587" xr:uid="{00000000-0005-0000-0000-0000EA5C0000}"/>
    <cellStyle name="Standard 4 3 4 6 4 2" xfId="23588" xr:uid="{00000000-0005-0000-0000-0000EB5C0000}"/>
    <cellStyle name="Standard 4 3 4 6 4 3" xfId="23589" xr:uid="{00000000-0005-0000-0000-0000EC5C0000}"/>
    <cellStyle name="Standard 4 3 4 6 5" xfId="23590" xr:uid="{00000000-0005-0000-0000-0000ED5C0000}"/>
    <cellStyle name="Standard 4 3 4 6 5 2" xfId="23591" xr:uid="{00000000-0005-0000-0000-0000EE5C0000}"/>
    <cellStyle name="Standard 4 3 4 6 5 3" xfId="23592" xr:uid="{00000000-0005-0000-0000-0000EF5C0000}"/>
    <cellStyle name="Standard 4 3 4 6 6" xfId="23593" xr:uid="{00000000-0005-0000-0000-0000F05C0000}"/>
    <cellStyle name="Standard 4 3 4 6 6 2" xfId="23594" xr:uid="{00000000-0005-0000-0000-0000F15C0000}"/>
    <cellStyle name="Standard 4 3 4 6 7" xfId="23595" xr:uid="{00000000-0005-0000-0000-0000F25C0000}"/>
    <cellStyle name="Standard 4 3 4 6 8" xfId="23596" xr:uid="{00000000-0005-0000-0000-0000F35C0000}"/>
    <cellStyle name="Standard 4 3 4 7" xfId="23597" xr:uid="{00000000-0005-0000-0000-0000F45C0000}"/>
    <cellStyle name="Standard 4 3 4 7 2" xfId="23598" xr:uid="{00000000-0005-0000-0000-0000F55C0000}"/>
    <cellStyle name="Standard 4 3 4 7 2 2" xfId="23599" xr:uid="{00000000-0005-0000-0000-0000F65C0000}"/>
    <cellStyle name="Standard 4 3 4 7 2 2 2" xfId="23600" xr:uid="{00000000-0005-0000-0000-0000F75C0000}"/>
    <cellStyle name="Standard 4 3 4 7 2 2 3" xfId="23601" xr:uid="{00000000-0005-0000-0000-0000F85C0000}"/>
    <cellStyle name="Standard 4 3 4 7 2 3" xfId="23602" xr:uid="{00000000-0005-0000-0000-0000F95C0000}"/>
    <cellStyle name="Standard 4 3 4 7 2 3 2" xfId="23603" xr:uid="{00000000-0005-0000-0000-0000FA5C0000}"/>
    <cellStyle name="Standard 4 3 4 7 2 3 3" xfId="23604" xr:uid="{00000000-0005-0000-0000-0000FB5C0000}"/>
    <cellStyle name="Standard 4 3 4 7 2 4" xfId="23605" xr:uid="{00000000-0005-0000-0000-0000FC5C0000}"/>
    <cellStyle name="Standard 4 3 4 7 2 4 2" xfId="23606" xr:uid="{00000000-0005-0000-0000-0000FD5C0000}"/>
    <cellStyle name="Standard 4 3 4 7 2 5" xfId="23607" xr:uid="{00000000-0005-0000-0000-0000FE5C0000}"/>
    <cellStyle name="Standard 4 3 4 7 2 6" xfId="23608" xr:uid="{00000000-0005-0000-0000-0000FF5C0000}"/>
    <cellStyle name="Standard 4 3 4 7 3" xfId="23609" xr:uid="{00000000-0005-0000-0000-0000005D0000}"/>
    <cellStyle name="Standard 4 3 4 7 3 2" xfId="23610" xr:uid="{00000000-0005-0000-0000-0000015D0000}"/>
    <cellStyle name="Standard 4 3 4 7 3 3" xfId="23611" xr:uid="{00000000-0005-0000-0000-0000025D0000}"/>
    <cellStyle name="Standard 4 3 4 7 4" xfId="23612" xr:uid="{00000000-0005-0000-0000-0000035D0000}"/>
    <cellStyle name="Standard 4 3 4 7 4 2" xfId="23613" xr:uid="{00000000-0005-0000-0000-0000045D0000}"/>
    <cellStyle name="Standard 4 3 4 7 4 3" xfId="23614" xr:uid="{00000000-0005-0000-0000-0000055D0000}"/>
    <cellStyle name="Standard 4 3 4 7 5" xfId="23615" xr:uid="{00000000-0005-0000-0000-0000065D0000}"/>
    <cellStyle name="Standard 4 3 4 7 5 2" xfId="23616" xr:uid="{00000000-0005-0000-0000-0000075D0000}"/>
    <cellStyle name="Standard 4 3 4 7 6" xfId="23617" xr:uid="{00000000-0005-0000-0000-0000085D0000}"/>
    <cellStyle name="Standard 4 3 4 7 7" xfId="23618" xr:uid="{00000000-0005-0000-0000-0000095D0000}"/>
    <cellStyle name="Standard 4 3 4 8" xfId="23619" xr:uid="{00000000-0005-0000-0000-00000A5D0000}"/>
    <cellStyle name="Standard 4 3 4 8 2" xfId="23620" xr:uid="{00000000-0005-0000-0000-00000B5D0000}"/>
    <cellStyle name="Standard 4 3 4 8 2 2" xfId="23621" xr:uid="{00000000-0005-0000-0000-00000C5D0000}"/>
    <cellStyle name="Standard 4 3 4 8 2 3" xfId="23622" xr:uid="{00000000-0005-0000-0000-00000D5D0000}"/>
    <cellStyle name="Standard 4 3 4 8 3" xfId="23623" xr:uid="{00000000-0005-0000-0000-00000E5D0000}"/>
    <cellStyle name="Standard 4 3 4 8 3 2" xfId="23624" xr:uid="{00000000-0005-0000-0000-00000F5D0000}"/>
    <cellStyle name="Standard 4 3 4 8 3 3" xfId="23625" xr:uid="{00000000-0005-0000-0000-0000105D0000}"/>
    <cellStyle name="Standard 4 3 4 8 4" xfId="23626" xr:uid="{00000000-0005-0000-0000-0000115D0000}"/>
    <cellStyle name="Standard 4 3 4 8 4 2" xfId="23627" xr:uid="{00000000-0005-0000-0000-0000125D0000}"/>
    <cellStyle name="Standard 4 3 4 8 5" xfId="23628" xr:uid="{00000000-0005-0000-0000-0000135D0000}"/>
    <cellStyle name="Standard 4 3 4 8 6" xfId="23629" xr:uid="{00000000-0005-0000-0000-0000145D0000}"/>
    <cellStyle name="Standard 4 3 4 9" xfId="23630" xr:uid="{00000000-0005-0000-0000-0000155D0000}"/>
    <cellStyle name="Standard 4 3 4 9 2" xfId="23631" xr:uid="{00000000-0005-0000-0000-0000165D0000}"/>
    <cellStyle name="Standard 4 3 4 9 3" xfId="23632" xr:uid="{00000000-0005-0000-0000-0000175D0000}"/>
    <cellStyle name="Standard 4 3 5" xfId="23633" xr:uid="{00000000-0005-0000-0000-0000185D0000}"/>
    <cellStyle name="Standard 4 3 5 10" xfId="23634" xr:uid="{00000000-0005-0000-0000-0000195D0000}"/>
    <cellStyle name="Standard 4 3 5 10 2" xfId="23635" xr:uid="{00000000-0005-0000-0000-00001A5D0000}"/>
    <cellStyle name="Standard 4 3 5 11" xfId="23636" xr:uid="{00000000-0005-0000-0000-00001B5D0000}"/>
    <cellStyle name="Standard 4 3 5 12" xfId="23637" xr:uid="{00000000-0005-0000-0000-00001C5D0000}"/>
    <cellStyle name="Standard 4 3 5 2" xfId="23638" xr:uid="{00000000-0005-0000-0000-00001D5D0000}"/>
    <cellStyle name="Standard 4 3 5 2 10" xfId="23639" xr:uid="{00000000-0005-0000-0000-00001E5D0000}"/>
    <cellStyle name="Standard 4 3 5 2 11" xfId="23640" xr:uid="{00000000-0005-0000-0000-00001F5D0000}"/>
    <cellStyle name="Standard 4 3 5 2 2" xfId="23641" xr:uid="{00000000-0005-0000-0000-0000205D0000}"/>
    <cellStyle name="Standard 4 3 5 2 2 10" xfId="23642" xr:uid="{00000000-0005-0000-0000-0000215D0000}"/>
    <cellStyle name="Standard 4 3 5 2 2 2" xfId="23643" xr:uid="{00000000-0005-0000-0000-0000225D0000}"/>
    <cellStyle name="Standard 4 3 5 2 2 2 2" xfId="23644" xr:uid="{00000000-0005-0000-0000-0000235D0000}"/>
    <cellStyle name="Standard 4 3 5 2 2 2 2 2" xfId="23645" xr:uid="{00000000-0005-0000-0000-0000245D0000}"/>
    <cellStyle name="Standard 4 3 5 2 2 2 2 2 2" xfId="23646" xr:uid="{00000000-0005-0000-0000-0000255D0000}"/>
    <cellStyle name="Standard 4 3 5 2 2 2 2 2 2 2" xfId="23647" xr:uid="{00000000-0005-0000-0000-0000265D0000}"/>
    <cellStyle name="Standard 4 3 5 2 2 2 2 2 2 3" xfId="23648" xr:uid="{00000000-0005-0000-0000-0000275D0000}"/>
    <cellStyle name="Standard 4 3 5 2 2 2 2 2 3" xfId="23649" xr:uid="{00000000-0005-0000-0000-0000285D0000}"/>
    <cellStyle name="Standard 4 3 5 2 2 2 2 2 3 2" xfId="23650" xr:uid="{00000000-0005-0000-0000-0000295D0000}"/>
    <cellStyle name="Standard 4 3 5 2 2 2 2 2 3 3" xfId="23651" xr:uid="{00000000-0005-0000-0000-00002A5D0000}"/>
    <cellStyle name="Standard 4 3 5 2 2 2 2 2 4" xfId="23652" xr:uid="{00000000-0005-0000-0000-00002B5D0000}"/>
    <cellStyle name="Standard 4 3 5 2 2 2 2 2 4 2" xfId="23653" xr:uid="{00000000-0005-0000-0000-00002C5D0000}"/>
    <cellStyle name="Standard 4 3 5 2 2 2 2 2 5" xfId="23654" xr:uid="{00000000-0005-0000-0000-00002D5D0000}"/>
    <cellStyle name="Standard 4 3 5 2 2 2 2 2 6" xfId="23655" xr:uid="{00000000-0005-0000-0000-00002E5D0000}"/>
    <cellStyle name="Standard 4 3 5 2 2 2 2 3" xfId="23656" xr:uid="{00000000-0005-0000-0000-00002F5D0000}"/>
    <cellStyle name="Standard 4 3 5 2 2 2 2 3 2" xfId="23657" xr:uid="{00000000-0005-0000-0000-0000305D0000}"/>
    <cellStyle name="Standard 4 3 5 2 2 2 2 3 3" xfId="23658" xr:uid="{00000000-0005-0000-0000-0000315D0000}"/>
    <cellStyle name="Standard 4 3 5 2 2 2 2 4" xfId="23659" xr:uid="{00000000-0005-0000-0000-0000325D0000}"/>
    <cellStyle name="Standard 4 3 5 2 2 2 2 4 2" xfId="23660" xr:uid="{00000000-0005-0000-0000-0000335D0000}"/>
    <cellStyle name="Standard 4 3 5 2 2 2 2 4 3" xfId="23661" xr:uid="{00000000-0005-0000-0000-0000345D0000}"/>
    <cellStyle name="Standard 4 3 5 2 2 2 2 5" xfId="23662" xr:uid="{00000000-0005-0000-0000-0000355D0000}"/>
    <cellStyle name="Standard 4 3 5 2 2 2 2 5 2" xfId="23663" xr:uid="{00000000-0005-0000-0000-0000365D0000}"/>
    <cellStyle name="Standard 4 3 5 2 2 2 2 6" xfId="23664" xr:uid="{00000000-0005-0000-0000-0000375D0000}"/>
    <cellStyle name="Standard 4 3 5 2 2 2 2 7" xfId="23665" xr:uid="{00000000-0005-0000-0000-0000385D0000}"/>
    <cellStyle name="Standard 4 3 5 2 2 2 3" xfId="23666" xr:uid="{00000000-0005-0000-0000-0000395D0000}"/>
    <cellStyle name="Standard 4 3 5 2 2 2 3 2" xfId="23667" xr:uid="{00000000-0005-0000-0000-00003A5D0000}"/>
    <cellStyle name="Standard 4 3 5 2 2 2 3 2 2" xfId="23668" xr:uid="{00000000-0005-0000-0000-00003B5D0000}"/>
    <cellStyle name="Standard 4 3 5 2 2 2 3 2 3" xfId="23669" xr:uid="{00000000-0005-0000-0000-00003C5D0000}"/>
    <cellStyle name="Standard 4 3 5 2 2 2 3 3" xfId="23670" xr:uid="{00000000-0005-0000-0000-00003D5D0000}"/>
    <cellStyle name="Standard 4 3 5 2 2 2 3 3 2" xfId="23671" xr:uid="{00000000-0005-0000-0000-00003E5D0000}"/>
    <cellStyle name="Standard 4 3 5 2 2 2 3 3 3" xfId="23672" xr:uid="{00000000-0005-0000-0000-00003F5D0000}"/>
    <cellStyle name="Standard 4 3 5 2 2 2 3 4" xfId="23673" xr:uid="{00000000-0005-0000-0000-0000405D0000}"/>
    <cellStyle name="Standard 4 3 5 2 2 2 3 4 2" xfId="23674" xr:uid="{00000000-0005-0000-0000-0000415D0000}"/>
    <cellStyle name="Standard 4 3 5 2 2 2 3 5" xfId="23675" xr:uid="{00000000-0005-0000-0000-0000425D0000}"/>
    <cellStyle name="Standard 4 3 5 2 2 2 3 6" xfId="23676" xr:uid="{00000000-0005-0000-0000-0000435D0000}"/>
    <cellStyle name="Standard 4 3 5 2 2 2 4" xfId="23677" xr:uid="{00000000-0005-0000-0000-0000445D0000}"/>
    <cellStyle name="Standard 4 3 5 2 2 2 4 2" xfId="23678" xr:uid="{00000000-0005-0000-0000-0000455D0000}"/>
    <cellStyle name="Standard 4 3 5 2 2 2 4 3" xfId="23679" xr:uid="{00000000-0005-0000-0000-0000465D0000}"/>
    <cellStyle name="Standard 4 3 5 2 2 2 5" xfId="23680" xr:uid="{00000000-0005-0000-0000-0000475D0000}"/>
    <cellStyle name="Standard 4 3 5 2 2 2 5 2" xfId="23681" xr:uid="{00000000-0005-0000-0000-0000485D0000}"/>
    <cellStyle name="Standard 4 3 5 2 2 2 5 3" xfId="23682" xr:uid="{00000000-0005-0000-0000-0000495D0000}"/>
    <cellStyle name="Standard 4 3 5 2 2 2 6" xfId="23683" xr:uid="{00000000-0005-0000-0000-00004A5D0000}"/>
    <cellStyle name="Standard 4 3 5 2 2 2 6 2" xfId="23684" xr:uid="{00000000-0005-0000-0000-00004B5D0000}"/>
    <cellStyle name="Standard 4 3 5 2 2 2 7" xfId="23685" xr:uid="{00000000-0005-0000-0000-00004C5D0000}"/>
    <cellStyle name="Standard 4 3 5 2 2 2 8" xfId="23686" xr:uid="{00000000-0005-0000-0000-00004D5D0000}"/>
    <cellStyle name="Standard 4 3 5 2 2 3" xfId="23687" xr:uid="{00000000-0005-0000-0000-00004E5D0000}"/>
    <cellStyle name="Standard 4 3 5 2 2 3 2" xfId="23688" xr:uid="{00000000-0005-0000-0000-00004F5D0000}"/>
    <cellStyle name="Standard 4 3 5 2 2 3 2 2" xfId="23689" xr:uid="{00000000-0005-0000-0000-0000505D0000}"/>
    <cellStyle name="Standard 4 3 5 2 2 3 2 2 2" xfId="23690" xr:uid="{00000000-0005-0000-0000-0000515D0000}"/>
    <cellStyle name="Standard 4 3 5 2 2 3 2 2 2 2" xfId="23691" xr:uid="{00000000-0005-0000-0000-0000525D0000}"/>
    <cellStyle name="Standard 4 3 5 2 2 3 2 2 2 3" xfId="23692" xr:uid="{00000000-0005-0000-0000-0000535D0000}"/>
    <cellStyle name="Standard 4 3 5 2 2 3 2 2 3" xfId="23693" xr:uid="{00000000-0005-0000-0000-0000545D0000}"/>
    <cellStyle name="Standard 4 3 5 2 2 3 2 2 3 2" xfId="23694" xr:uid="{00000000-0005-0000-0000-0000555D0000}"/>
    <cellStyle name="Standard 4 3 5 2 2 3 2 2 3 3" xfId="23695" xr:uid="{00000000-0005-0000-0000-0000565D0000}"/>
    <cellStyle name="Standard 4 3 5 2 2 3 2 2 4" xfId="23696" xr:uid="{00000000-0005-0000-0000-0000575D0000}"/>
    <cellStyle name="Standard 4 3 5 2 2 3 2 2 4 2" xfId="23697" xr:uid="{00000000-0005-0000-0000-0000585D0000}"/>
    <cellStyle name="Standard 4 3 5 2 2 3 2 2 5" xfId="23698" xr:uid="{00000000-0005-0000-0000-0000595D0000}"/>
    <cellStyle name="Standard 4 3 5 2 2 3 2 2 6" xfId="23699" xr:uid="{00000000-0005-0000-0000-00005A5D0000}"/>
    <cellStyle name="Standard 4 3 5 2 2 3 2 3" xfId="23700" xr:uid="{00000000-0005-0000-0000-00005B5D0000}"/>
    <cellStyle name="Standard 4 3 5 2 2 3 2 3 2" xfId="23701" xr:uid="{00000000-0005-0000-0000-00005C5D0000}"/>
    <cellStyle name="Standard 4 3 5 2 2 3 2 3 3" xfId="23702" xr:uid="{00000000-0005-0000-0000-00005D5D0000}"/>
    <cellStyle name="Standard 4 3 5 2 2 3 2 4" xfId="23703" xr:uid="{00000000-0005-0000-0000-00005E5D0000}"/>
    <cellStyle name="Standard 4 3 5 2 2 3 2 4 2" xfId="23704" xr:uid="{00000000-0005-0000-0000-00005F5D0000}"/>
    <cellStyle name="Standard 4 3 5 2 2 3 2 4 3" xfId="23705" xr:uid="{00000000-0005-0000-0000-0000605D0000}"/>
    <cellStyle name="Standard 4 3 5 2 2 3 2 5" xfId="23706" xr:uid="{00000000-0005-0000-0000-0000615D0000}"/>
    <cellStyle name="Standard 4 3 5 2 2 3 2 5 2" xfId="23707" xr:uid="{00000000-0005-0000-0000-0000625D0000}"/>
    <cellStyle name="Standard 4 3 5 2 2 3 2 6" xfId="23708" xr:uid="{00000000-0005-0000-0000-0000635D0000}"/>
    <cellStyle name="Standard 4 3 5 2 2 3 2 7" xfId="23709" xr:uid="{00000000-0005-0000-0000-0000645D0000}"/>
    <cellStyle name="Standard 4 3 5 2 2 3 3" xfId="23710" xr:uid="{00000000-0005-0000-0000-0000655D0000}"/>
    <cellStyle name="Standard 4 3 5 2 2 3 3 2" xfId="23711" xr:uid="{00000000-0005-0000-0000-0000665D0000}"/>
    <cellStyle name="Standard 4 3 5 2 2 3 3 2 2" xfId="23712" xr:uid="{00000000-0005-0000-0000-0000675D0000}"/>
    <cellStyle name="Standard 4 3 5 2 2 3 3 2 3" xfId="23713" xr:uid="{00000000-0005-0000-0000-0000685D0000}"/>
    <cellStyle name="Standard 4 3 5 2 2 3 3 3" xfId="23714" xr:uid="{00000000-0005-0000-0000-0000695D0000}"/>
    <cellStyle name="Standard 4 3 5 2 2 3 3 3 2" xfId="23715" xr:uid="{00000000-0005-0000-0000-00006A5D0000}"/>
    <cellStyle name="Standard 4 3 5 2 2 3 3 3 3" xfId="23716" xr:uid="{00000000-0005-0000-0000-00006B5D0000}"/>
    <cellStyle name="Standard 4 3 5 2 2 3 3 4" xfId="23717" xr:uid="{00000000-0005-0000-0000-00006C5D0000}"/>
    <cellStyle name="Standard 4 3 5 2 2 3 3 4 2" xfId="23718" xr:uid="{00000000-0005-0000-0000-00006D5D0000}"/>
    <cellStyle name="Standard 4 3 5 2 2 3 3 5" xfId="23719" xr:uid="{00000000-0005-0000-0000-00006E5D0000}"/>
    <cellStyle name="Standard 4 3 5 2 2 3 3 6" xfId="23720" xr:uid="{00000000-0005-0000-0000-00006F5D0000}"/>
    <cellStyle name="Standard 4 3 5 2 2 3 4" xfId="23721" xr:uid="{00000000-0005-0000-0000-0000705D0000}"/>
    <cellStyle name="Standard 4 3 5 2 2 3 4 2" xfId="23722" xr:uid="{00000000-0005-0000-0000-0000715D0000}"/>
    <cellStyle name="Standard 4 3 5 2 2 3 4 3" xfId="23723" xr:uid="{00000000-0005-0000-0000-0000725D0000}"/>
    <cellStyle name="Standard 4 3 5 2 2 3 5" xfId="23724" xr:uid="{00000000-0005-0000-0000-0000735D0000}"/>
    <cellStyle name="Standard 4 3 5 2 2 3 5 2" xfId="23725" xr:uid="{00000000-0005-0000-0000-0000745D0000}"/>
    <cellStyle name="Standard 4 3 5 2 2 3 5 3" xfId="23726" xr:uid="{00000000-0005-0000-0000-0000755D0000}"/>
    <cellStyle name="Standard 4 3 5 2 2 3 6" xfId="23727" xr:uid="{00000000-0005-0000-0000-0000765D0000}"/>
    <cellStyle name="Standard 4 3 5 2 2 3 6 2" xfId="23728" xr:uid="{00000000-0005-0000-0000-0000775D0000}"/>
    <cellStyle name="Standard 4 3 5 2 2 3 7" xfId="23729" xr:uid="{00000000-0005-0000-0000-0000785D0000}"/>
    <cellStyle name="Standard 4 3 5 2 2 3 8" xfId="23730" xr:uid="{00000000-0005-0000-0000-0000795D0000}"/>
    <cellStyle name="Standard 4 3 5 2 2 4" xfId="23731" xr:uid="{00000000-0005-0000-0000-00007A5D0000}"/>
    <cellStyle name="Standard 4 3 5 2 2 4 2" xfId="23732" xr:uid="{00000000-0005-0000-0000-00007B5D0000}"/>
    <cellStyle name="Standard 4 3 5 2 2 4 2 2" xfId="23733" xr:uid="{00000000-0005-0000-0000-00007C5D0000}"/>
    <cellStyle name="Standard 4 3 5 2 2 4 2 2 2" xfId="23734" xr:uid="{00000000-0005-0000-0000-00007D5D0000}"/>
    <cellStyle name="Standard 4 3 5 2 2 4 2 2 3" xfId="23735" xr:uid="{00000000-0005-0000-0000-00007E5D0000}"/>
    <cellStyle name="Standard 4 3 5 2 2 4 2 3" xfId="23736" xr:uid="{00000000-0005-0000-0000-00007F5D0000}"/>
    <cellStyle name="Standard 4 3 5 2 2 4 2 3 2" xfId="23737" xr:uid="{00000000-0005-0000-0000-0000805D0000}"/>
    <cellStyle name="Standard 4 3 5 2 2 4 2 3 3" xfId="23738" xr:uid="{00000000-0005-0000-0000-0000815D0000}"/>
    <cellStyle name="Standard 4 3 5 2 2 4 2 4" xfId="23739" xr:uid="{00000000-0005-0000-0000-0000825D0000}"/>
    <cellStyle name="Standard 4 3 5 2 2 4 2 4 2" xfId="23740" xr:uid="{00000000-0005-0000-0000-0000835D0000}"/>
    <cellStyle name="Standard 4 3 5 2 2 4 2 5" xfId="23741" xr:uid="{00000000-0005-0000-0000-0000845D0000}"/>
    <cellStyle name="Standard 4 3 5 2 2 4 2 6" xfId="23742" xr:uid="{00000000-0005-0000-0000-0000855D0000}"/>
    <cellStyle name="Standard 4 3 5 2 2 4 3" xfId="23743" xr:uid="{00000000-0005-0000-0000-0000865D0000}"/>
    <cellStyle name="Standard 4 3 5 2 2 4 3 2" xfId="23744" xr:uid="{00000000-0005-0000-0000-0000875D0000}"/>
    <cellStyle name="Standard 4 3 5 2 2 4 3 3" xfId="23745" xr:uid="{00000000-0005-0000-0000-0000885D0000}"/>
    <cellStyle name="Standard 4 3 5 2 2 4 4" xfId="23746" xr:uid="{00000000-0005-0000-0000-0000895D0000}"/>
    <cellStyle name="Standard 4 3 5 2 2 4 4 2" xfId="23747" xr:uid="{00000000-0005-0000-0000-00008A5D0000}"/>
    <cellStyle name="Standard 4 3 5 2 2 4 4 3" xfId="23748" xr:uid="{00000000-0005-0000-0000-00008B5D0000}"/>
    <cellStyle name="Standard 4 3 5 2 2 4 5" xfId="23749" xr:uid="{00000000-0005-0000-0000-00008C5D0000}"/>
    <cellStyle name="Standard 4 3 5 2 2 4 5 2" xfId="23750" xr:uid="{00000000-0005-0000-0000-00008D5D0000}"/>
    <cellStyle name="Standard 4 3 5 2 2 4 6" xfId="23751" xr:uid="{00000000-0005-0000-0000-00008E5D0000}"/>
    <cellStyle name="Standard 4 3 5 2 2 4 7" xfId="23752" xr:uid="{00000000-0005-0000-0000-00008F5D0000}"/>
    <cellStyle name="Standard 4 3 5 2 2 5" xfId="23753" xr:uid="{00000000-0005-0000-0000-0000905D0000}"/>
    <cellStyle name="Standard 4 3 5 2 2 5 2" xfId="23754" xr:uid="{00000000-0005-0000-0000-0000915D0000}"/>
    <cellStyle name="Standard 4 3 5 2 2 5 2 2" xfId="23755" xr:uid="{00000000-0005-0000-0000-0000925D0000}"/>
    <cellStyle name="Standard 4 3 5 2 2 5 2 3" xfId="23756" xr:uid="{00000000-0005-0000-0000-0000935D0000}"/>
    <cellStyle name="Standard 4 3 5 2 2 5 3" xfId="23757" xr:uid="{00000000-0005-0000-0000-0000945D0000}"/>
    <cellStyle name="Standard 4 3 5 2 2 5 3 2" xfId="23758" xr:uid="{00000000-0005-0000-0000-0000955D0000}"/>
    <cellStyle name="Standard 4 3 5 2 2 5 3 3" xfId="23759" xr:uid="{00000000-0005-0000-0000-0000965D0000}"/>
    <cellStyle name="Standard 4 3 5 2 2 5 4" xfId="23760" xr:uid="{00000000-0005-0000-0000-0000975D0000}"/>
    <cellStyle name="Standard 4 3 5 2 2 5 4 2" xfId="23761" xr:uid="{00000000-0005-0000-0000-0000985D0000}"/>
    <cellStyle name="Standard 4 3 5 2 2 5 5" xfId="23762" xr:uid="{00000000-0005-0000-0000-0000995D0000}"/>
    <cellStyle name="Standard 4 3 5 2 2 5 6" xfId="23763" xr:uid="{00000000-0005-0000-0000-00009A5D0000}"/>
    <cellStyle name="Standard 4 3 5 2 2 6" xfId="23764" xr:uid="{00000000-0005-0000-0000-00009B5D0000}"/>
    <cellStyle name="Standard 4 3 5 2 2 6 2" xfId="23765" xr:uid="{00000000-0005-0000-0000-00009C5D0000}"/>
    <cellStyle name="Standard 4 3 5 2 2 6 3" xfId="23766" xr:uid="{00000000-0005-0000-0000-00009D5D0000}"/>
    <cellStyle name="Standard 4 3 5 2 2 7" xfId="23767" xr:uid="{00000000-0005-0000-0000-00009E5D0000}"/>
    <cellStyle name="Standard 4 3 5 2 2 7 2" xfId="23768" xr:uid="{00000000-0005-0000-0000-00009F5D0000}"/>
    <cellStyle name="Standard 4 3 5 2 2 7 3" xfId="23769" xr:uid="{00000000-0005-0000-0000-0000A05D0000}"/>
    <cellStyle name="Standard 4 3 5 2 2 8" xfId="23770" xr:uid="{00000000-0005-0000-0000-0000A15D0000}"/>
    <cellStyle name="Standard 4 3 5 2 2 8 2" xfId="23771" xr:uid="{00000000-0005-0000-0000-0000A25D0000}"/>
    <cellStyle name="Standard 4 3 5 2 2 9" xfId="23772" xr:uid="{00000000-0005-0000-0000-0000A35D0000}"/>
    <cellStyle name="Standard 4 3 5 2 3" xfId="23773" xr:uid="{00000000-0005-0000-0000-0000A45D0000}"/>
    <cellStyle name="Standard 4 3 5 2 3 2" xfId="23774" xr:uid="{00000000-0005-0000-0000-0000A55D0000}"/>
    <cellStyle name="Standard 4 3 5 2 3 2 2" xfId="23775" xr:uid="{00000000-0005-0000-0000-0000A65D0000}"/>
    <cellStyle name="Standard 4 3 5 2 3 2 2 2" xfId="23776" xr:uid="{00000000-0005-0000-0000-0000A75D0000}"/>
    <cellStyle name="Standard 4 3 5 2 3 2 2 2 2" xfId="23777" xr:uid="{00000000-0005-0000-0000-0000A85D0000}"/>
    <cellStyle name="Standard 4 3 5 2 3 2 2 2 3" xfId="23778" xr:uid="{00000000-0005-0000-0000-0000A95D0000}"/>
    <cellStyle name="Standard 4 3 5 2 3 2 2 3" xfId="23779" xr:uid="{00000000-0005-0000-0000-0000AA5D0000}"/>
    <cellStyle name="Standard 4 3 5 2 3 2 2 3 2" xfId="23780" xr:uid="{00000000-0005-0000-0000-0000AB5D0000}"/>
    <cellStyle name="Standard 4 3 5 2 3 2 2 3 3" xfId="23781" xr:uid="{00000000-0005-0000-0000-0000AC5D0000}"/>
    <cellStyle name="Standard 4 3 5 2 3 2 2 4" xfId="23782" xr:uid="{00000000-0005-0000-0000-0000AD5D0000}"/>
    <cellStyle name="Standard 4 3 5 2 3 2 2 4 2" xfId="23783" xr:uid="{00000000-0005-0000-0000-0000AE5D0000}"/>
    <cellStyle name="Standard 4 3 5 2 3 2 2 5" xfId="23784" xr:uid="{00000000-0005-0000-0000-0000AF5D0000}"/>
    <cellStyle name="Standard 4 3 5 2 3 2 2 6" xfId="23785" xr:uid="{00000000-0005-0000-0000-0000B05D0000}"/>
    <cellStyle name="Standard 4 3 5 2 3 2 3" xfId="23786" xr:uid="{00000000-0005-0000-0000-0000B15D0000}"/>
    <cellStyle name="Standard 4 3 5 2 3 2 3 2" xfId="23787" xr:uid="{00000000-0005-0000-0000-0000B25D0000}"/>
    <cellStyle name="Standard 4 3 5 2 3 2 3 3" xfId="23788" xr:uid="{00000000-0005-0000-0000-0000B35D0000}"/>
    <cellStyle name="Standard 4 3 5 2 3 2 4" xfId="23789" xr:uid="{00000000-0005-0000-0000-0000B45D0000}"/>
    <cellStyle name="Standard 4 3 5 2 3 2 4 2" xfId="23790" xr:uid="{00000000-0005-0000-0000-0000B55D0000}"/>
    <cellStyle name="Standard 4 3 5 2 3 2 4 3" xfId="23791" xr:uid="{00000000-0005-0000-0000-0000B65D0000}"/>
    <cellStyle name="Standard 4 3 5 2 3 2 5" xfId="23792" xr:uid="{00000000-0005-0000-0000-0000B75D0000}"/>
    <cellStyle name="Standard 4 3 5 2 3 2 5 2" xfId="23793" xr:uid="{00000000-0005-0000-0000-0000B85D0000}"/>
    <cellStyle name="Standard 4 3 5 2 3 2 6" xfId="23794" xr:uid="{00000000-0005-0000-0000-0000B95D0000}"/>
    <cellStyle name="Standard 4 3 5 2 3 2 7" xfId="23795" xr:uid="{00000000-0005-0000-0000-0000BA5D0000}"/>
    <cellStyle name="Standard 4 3 5 2 3 3" xfId="23796" xr:uid="{00000000-0005-0000-0000-0000BB5D0000}"/>
    <cellStyle name="Standard 4 3 5 2 3 3 2" xfId="23797" xr:uid="{00000000-0005-0000-0000-0000BC5D0000}"/>
    <cellStyle name="Standard 4 3 5 2 3 3 2 2" xfId="23798" xr:uid="{00000000-0005-0000-0000-0000BD5D0000}"/>
    <cellStyle name="Standard 4 3 5 2 3 3 2 3" xfId="23799" xr:uid="{00000000-0005-0000-0000-0000BE5D0000}"/>
    <cellStyle name="Standard 4 3 5 2 3 3 3" xfId="23800" xr:uid="{00000000-0005-0000-0000-0000BF5D0000}"/>
    <cellStyle name="Standard 4 3 5 2 3 3 3 2" xfId="23801" xr:uid="{00000000-0005-0000-0000-0000C05D0000}"/>
    <cellStyle name="Standard 4 3 5 2 3 3 3 3" xfId="23802" xr:uid="{00000000-0005-0000-0000-0000C15D0000}"/>
    <cellStyle name="Standard 4 3 5 2 3 3 4" xfId="23803" xr:uid="{00000000-0005-0000-0000-0000C25D0000}"/>
    <cellStyle name="Standard 4 3 5 2 3 3 4 2" xfId="23804" xr:uid="{00000000-0005-0000-0000-0000C35D0000}"/>
    <cellStyle name="Standard 4 3 5 2 3 3 5" xfId="23805" xr:uid="{00000000-0005-0000-0000-0000C45D0000}"/>
    <cellStyle name="Standard 4 3 5 2 3 3 6" xfId="23806" xr:uid="{00000000-0005-0000-0000-0000C55D0000}"/>
    <cellStyle name="Standard 4 3 5 2 3 4" xfId="23807" xr:uid="{00000000-0005-0000-0000-0000C65D0000}"/>
    <cellStyle name="Standard 4 3 5 2 3 4 2" xfId="23808" xr:uid="{00000000-0005-0000-0000-0000C75D0000}"/>
    <cellStyle name="Standard 4 3 5 2 3 4 3" xfId="23809" xr:uid="{00000000-0005-0000-0000-0000C85D0000}"/>
    <cellStyle name="Standard 4 3 5 2 3 5" xfId="23810" xr:uid="{00000000-0005-0000-0000-0000C95D0000}"/>
    <cellStyle name="Standard 4 3 5 2 3 5 2" xfId="23811" xr:uid="{00000000-0005-0000-0000-0000CA5D0000}"/>
    <cellStyle name="Standard 4 3 5 2 3 5 3" xfId="23812" xr:uid="{00000000-0005-0000-0000-0000CB5D0000}"/>
    <cellStyle name="Standard 4 3 5 2 3 6" xfId="23813" xr:uid="{00000000-0005-0000-0000-0000CC5D0000}"/>
    <cellStyle name="Standard 4 3 5 2 3 6 2" xfId="23814" xr:uid="{00000000-0005-0000-0000-0000CD5D0000}"/>
    <cellStyle name="Standard 4 3 5 2 3 7" xfId="23815" xr:uid="{00000000-0005-0000-0000-0000CE5D0000}"/>
    <cellStyle name="Standard 4 3 5 2 3 8" xfId="23816" xr:uid="{00000000-0005-0000-0000-0000CF5D0000}"/>
    <cellStyle name="Standard 4 3 5 2 4" xfId="23817" xr:uid="{00000000-0005-0000-0000-0000D05D0000}"/>
    <cellStyle name="Standard 4 3 5 2 4 2" xfId="23818" xr:uid="{00000000-0005-0000-0000-0000D15D0000}"/>
    <cellStyle name="Standard 4 3 5 2 4 2 2" xfId="23819" xr:uid="{00000000-0005-0000-0000-0000D25D0000}"/>
    <cellStyle name="Standard 4 3 5 2 4 2 2 2" xfId="23820" xr:uid="{00000000-0005-0000-0000-0000D35D0000}"/>
    <cellStyle name="Standard 4 3 5 2 4 2 2 2 2" xfId="23821" xr:uid="{00000000-0005-0000-0000-0000D45D0000}"/>
    <cellStyle name="Standard 4 3 5 2 4 2 2 2 3" xfId="23822" xr:uid="{00000000-0005-0000-0000-0000D55D0000}"/>
    <cellStyle name="Standard 4 3 5 2 4 2 2 3" xfId="23823" xr:uid="{00000000-0005-0000-0000-0000D65D0000}"/>
    <cellStyle name="Standard 4 3 5 2 4 2 2 3 2" xfId="23824" xr:uid="{00000000-0005-0000-0000-0000D75D0000}"/>
    <cellStyle name="Standard 4 3 5 2 4 2 2 3 3" xfId="23825" xr:uid="{00000000-0005-0000-0000-0000D85D0000}"/>
    <cellStyle name="Standard 4 3 5 2 4 2 2 4" xfId="23826" xr:uid="{00000000-0005-0000-0000-0000D95D0000}"/>
    <cellStyle name="Standard 4 3 5 2 4 2 2 4 2" xfId="23827" xr:uid="{00000000-0005-0000-0000-0000DA5D0000}"/>
    <cellStyle name="Standard 4 3 5 2 4 2 2 5" xfId="23828" xr:uid="{00000000-0005-0000-0000-0000DB5D0000}"/>
    <cellStyle name="Standard 4 3 5 2 4 2 2 6" xfId="23829" xr:uid="{00000000-0005-0000-0000-0000DC5D0000}"/>
    <cellStyle name="Standard 4 3 5 2 4 2 3" xfId="23830" xr:uid="{00000000-0005-0000-0000-0000DD5D0000}"/>
    <cellStyle name="Standard 4 3 5 2 4 2 3 2" xfId="23831" xr:uid="{00000000-0005-0000-0000-0000DE5D0000}"/>
    <cellStyle name="Standard 4 3 5 2 4 2 3 3" xfId="23832" xr:uid="{00000000-0005-0000-0000-0000DF5D0000}"/>
    <cellStyle name="Standard 4 3 5 2 4 2 4" xfId="23833" xr:uid="{00000000-0005-0000-0000-0000E05D0000}"/>
    <cellStyle name="Standard 4 3 5 2 4 2 4 2" xfId="23834" xr:uid="{00000000-0005-0000-0000-0000E15D0000}"/>
    <cellStyle name="Standard 4 3 5 2 4 2 4 3" xfId="23835" xr:uid="{00000000-0005-0000-0000-0000E25D0000}"/>
    <cellStyle name="Standard 4 3 5 2 4 2 5" xfId="23836" xr:uid="{00000000-0005-0000-0000-0000E35D0000}"/>
    <cellStyle name="Standard 4 3 5 2 4 2 5 2" xfId="23837" xr:uid="{00000000-0005-0000-0000-0000E45D0000}"/>
    <cellStyle name="Standard 4 3 5 2 4 2 6" xfId="23838" xr:uid="{00000000-0005-0000-0000-0000E55D0000}"/>
    <cellStyle name="Standard 4 3 5 2 4 2 7" xfId="23839" xr:uid="{00000000-0005-0000-0000-0000E65D0000}"/>
    <cellStyle name="Standard 4 3 5 2 4 3" xfId="23840" xr:uid="{00000000-0005-0000-0000-0000E75D0000}"/>
    <cellStyle name="Standard 4 3 5 2 4 3 2" xfId="23841" xr:uid="{00000000-0005-0000-0000-0000E85D0000}"/>
    <cellStyle name="Standard 4 3 5 2 4 3 2 2" xfId="23842" xr:uid="{00000000-0005-0000-0000-0000E95D0000}"/>
    <cellStyle name="Standard 4 3 5 2 4 3 2 3" xfId="23843" xr:uid="{00000000-0005-0000-0000-0000EA5D0000}"/>
    <cellStyle name="Standard 4 3 5 2 4 3 3" xfId="23844" xr:uid="{00000000-0005-0000-0000-0000EB5D0000}"/>
    <cellStyle name="Standard 4 3 5 2 4 3 3 2" xfId="23845" xr:uid="{00000000-0005-0000-0000-0000EC5D0000}"/>
    <cellStyle name="Standard 4 3 5 2 4 3 3 3" xfId="23846" xr:uid="{00000000-0005-0000-0000-0000ED5D0000}"/>
    <cellStyle name="Standard 4 3 5 2 4 3 4" xfId="23847" xr:uid="{00000000-0005-0000-0000-0000EE5D0000}"/>
    <cellStyle name="Standard 4 3 5 2 4 3 4 2" xfId="23848" xr:uid="{00000000-0005-0000-0000-0000EF5D0000}"/>
    <cellStyle name="Standard 4 3 5 2 4 3 5" xfId="23849" xr:uid="{00000000-0005-0000-0000-0000F05D0000}"/>
    <cellStyle name="Standard 4 3 5 2 4 3 6" xfId="23850" xr:uid="{00000000-0005-0000-0000-0000F15D0000}"/>
    <cellStyle name="Standard 4 3 5 2 4 4" xfId="23851" xr:uid="{00000000-0005-0000-0000-0000F25D0000}"/>
    <cellStyle name="Standard 4 3 5 2 4 4 2" xfId="23852" xr:uid="{00000000-0005-0000-0000-0000F35D0000}"/>
    <cellStyle name="Standard 4 3 5 2 4 4 3" xfId="23853" xr:uid="{00000000-0005-0000-0000-0000F45D0000}"/>
    <cellStyle name="Standard 4 3 5 2 4 5" xfId="23854" xr:uid="{00000000-0005-0000-0000-0000F55D0000}"/>
    <cellStyle name="Standard 4 3 5 2 4 5 2" xfId="23855" xr:uid="{00000000-0005-0000-0000-0000F65D0000}"/>
    <cellStyle name="Standard 4 3 5 2 4 5 3" xfId="23856" xr:uid="{00000000-0005-0000-0000-0000F75D0000}"/>
    <cellStyle name="Standard 4 3 5 2 4 6" xfId="23857" xr:uid="{00000000-0005-0000-0000-0000F85D0000}"/>
    <cellStyle name="Standard 4 3 5 2 4 6 2" xfId="23858" xr:uid="{00000000-0005-0000-0000-0000F95D0000}"/>
    <cellStyle name="Standard 4 3 5 2 4 7" xfId="23859" xr:uid="{00000000-0005-0000-0000-0000FA5D0000}"/>
    <cellStyle name="Standard 4 3 5 2 4 8" xfId="23860" xr:uid="{00000000-0005-0000-0000-0000FB5D0000}"/>
    <cellStyle name="Standard 4 3 5 2 5" xfId="23861" xr:uid="{00000000-0005-0000-0000-0000FC5D0000}"/>
    <cellStyle name="Standard 4 3 5 2 5 2" xfId="23862" xr:uid="{00000000-0005-0000-0000-0000FD5D0000}"/>
    <cellStyle name="Standard 4 3 5 2 5 2 2" xfId="23863" xr:uid="{00000000-0005-0000-0000-0000FE5D0000}"/>
    <cellStyle name="Standard 4 3 5 2 5 2 2 2" xfId="23864" xr:uid="{00000000-0005-0000-0000-0000FF5D0000}"/>
    <cellStyle name="Standard 4 3 5 2 5 2 2 3" xfId="23865" xr:uid="{00000000-0005-0000-0000-0000005E0000}"/>
    <cellStyle name="Standard 4 3 5 2 5 2 3" xfId="23866" xr:uid="{00000000-0005-0000-0000-0000015E0000}"/>
    <cellStyle name="Standard 4 3 5 2 5 2 3 2" xfId="23867" xr:uid="{00000000-0005-0000-0000-0000025E0000}"/>
    <cellStyle name="Standard 4 3 5 2 5 2 3 3" xfId="23868" xr:uid="{00000000-0005-0000-0000-0000035E0000}"/>
    <cellStyle name="Standard 4 3 5 2 5 2 4" xfId="23869" xr:uid="{00000000-0005-0000-0000-0000045E0000}"/>
    <cellStyle name="Standard 4 3 5 2 5 2 4 2" xfId="23870" xr:uid="{00000000-0005-0000-0000-0000055E0000}"/>
    <cellStyle name="Standard 4 3 5 2 5 2 5" xfId="23871" xr:uid="{00000000-0005-0000-0000-0000065E0000}"/>
    <cellStyle name="Standard 4 3 5 2 5 2 6" xfId="23872" xr:uid="{00000000-0005-0000-0000-0000075E0000}"/>
    <cellStyle name="Standard 4 3 5 2 5 3" xfId="23873" xr:uid="{00000000-0005-0000-0000-0000085E0000}"/>
    <cellStyle name="Standard 4 3 5 2 5 3 2" xfId="23874" xr:uid="{00000000-0005-0000-0000-0000095E0000}"/>
    <cellStyle name="Standard 4 3 5 2 5 3 3" xfId="23875" xr:uid="{00000000-0005-0000-0000-00000A5E0000}"/>
    <cellStyle name="Standard 4 3 5 2 5 4" xfId="23876" xr:uid="{00000000-0005-0000-0000-00000B5E0000}"/>
    <cellStyle name="Standard 4 3 5 2 5 4 2" xfId="23877" xr:uid="{00000000-0005-0000-0000-00000C5E0000}"/>
    <cellStyle name="Standard 4 3 5 2 5 4 3" xfId="23878" xr:uid="{00000000-0005-0000-0000-00000D5E0000}"/>
    <cellStyle name="Standard 4 3 5 2 5 5" xfId="23879" xr:uid="{00000000-0005-0000-0000-00000E5E0000}"/>
    <cellStyle name="Standard 4 3 5 2 5 5 2" xfId="23880" xr:uid="{00000000-0005-0000-0000-00000F5E0000}"/>
    <cellStyle name="Standard 4 3 5 2 5 6" xfId="23881" xr:uid="{00000000-0005-0000-0000-0000105E0000}"/>
    <cellStyle name="Standard 4 3 5 2 5 7" xfId="23882" xr:uid="{00000000-0005-0000-0000-0000115E0000}"/>
    <cellStyle name="Standard 4 3 5 2 6" xfId="23883" xr:uid="{00000000-0005-0000-0000-0000125E0000}"/>
    <cellStyle name="Standard 4 3 5 2 6 2" xfId="23884" xr:uid="{00000000-0005-0000-0000-0000135E0000}"/>
    <cellStyle name="Standard 4 3 5 2 6 2 2" xfId="23885" xr:uid="{00000000-0005-0000-0000-0000145E0000}"/>
    <cellStyle name="Standard 4 3 5 2 6 2 3" xfId="23886" xr:uid="{00000000-0005-0000-0000-0000155E0000}"/>
    <cellStyle name="Standard 4 3 5 2 6 3" xfId="23887" xr:uid="{00000000-0005-0000-0000-0000165E0000}"/>
    <cellStyle name="Standard 4 3 5 2 6 3 2" xfId="23888" xr:uid="{00000000-0005-0000-0000-0000175E0000}"/>
    <cellStyle name="Standard 4 3 5 2 6 3 3" xfId="23889" xr:uid="{00000000-0005-0000-0000-0000185E0000}"/>
    <cellStyle name="Standard 4 3 5 2 6 4" xfId="23890" xr:uid="{00000000-0005-0000-0000-0000195E0000}"/>
    <cellStyle name="Standard 4 3 5 2 6 4 2" xfId="23891" xr:uid="{00000000-0005-0000-0000-00001A5E0000}"/>
    <cellStyle name="Standard 4 3 5 2 6 5" xfId="23892" xr:uid="{00000000-0005-0000-0000-00001B5E0000}"/>
    <cellStyle name="Standard 4 3 5 2 6 6" xfId="23893" xr:uid="{00000000-0005-0000-0000-00001C5E0000}"/>
    <cellStyle name="Standard 4 3 5 2 7" xfId="23894" xr:uid="{00000000-0005-0000-0000-00001D5E0000}"/>
    <cellStyle name="Standard 4 3 5 2 7 2" xfId="23895" xr:uid="{00000000-0005-0000-0000-00001E5E0000}"/>
    <cellStyle name="Standard 4 3 5 2 7 3" xfId="23896" xr:uid="{00000000-0005-0000-0000-00001F5E0000}"/>
    <cellStyle name="Standard 4 3 5 2 8" xfId="23897" xr:uid="{00000000-0005-0000-0000-0000205E0000}"/>
    <cellStyle name="Standard 4 3 5 2 8 2" xfId="23898" xr:uid="{00000000-0005-0000-0000-0000215E0000}"/>
    <cellStyle name="Standard 4 3 5 2 8 3" xfId="23899" xr:uid="{00000000-0005-0000-0000-0000225E0000}"/>
    <cellStyle name="Standard 4 3 5 2 9" xfId="23900" xr:uid="{00000000-0005-0000-0000-0000235E0000}"/>
    <cellStyle name="Standard 4 3 5 2 9 2" xfId="23901" xr:uid="{00000000-0005-0000-0000-0000245E0000}"/>
    <cellStyle name="Standard 4 3 5 3" xfId="23902" xr:uid="{00000000-0005-0000-0000-0000255E0000}"/>
    <cellStyle name="Standard 4 3 5 3 10" xfId="23903" xr:uid="{00000000-0005-0000-0000-0000265E0000}"/>
    <cellStyle name="Standard 4 3 5 3 2" xfId="23904" xr:uid="{00000000-0005-0000-0000-0000275E0000}"/>
    <cellStyle name="Standard 4 3 5 3 2 2" xfId="23905" xr:uid="{00000000-0005-0000-0000-0000285E0000}"/>
    <cellStyle name="Standard 4 3 5 3 2 2 2" xfId="23906" xr:uid="{00000000-0005-0000-0000-0000295E0000}"/>
    <cellStyle name="Standard 4 3 5 3 2 2 2 2" xfId="23907" xr:uid="{00000000-0005-0000-0000-00002A5E0000}"/>
    <cellStyle name="Standard 4 3 5 3 2 2 2 2 2" xfId="23908" xr:uid="{00000000-0005-0000-0000-00002B5E0000}"/>
    <cellStyle name="Standard 4 3 5 3 2 2 2 2 3" xfId="23909" xr:uid="{00000000-0005-0000-0000-00002C5E0000}"/>
    <cellStyle name="Standard 4 3 5 3 2 2 2 3" xfId="23910" xr:uid="{00000000-0005-0000-0000-00002D5E0000}"/>
    <cellStyle name="Standard 4 3 5 3 2 2 2 3 2" xfId="23911" xr:uid="{00000000-0005-0000-0000-00002E5E0000}"/>
    <cellStyle name="Standard 4 3 5 3 2 2 2 3 3" xfId="23912" xr:uid="{00000000-0005-0000-0000-00002F5E0000}"/>
    <cellStyle name="Standard 4 3 5 3 2 2 2 4" xfId="23913" xr:uid="{00000000-0005-0000-0000-0000305E0000}"/>
    <cellStyle name="Standard 4 3 5 3 2 2 2 4 2" xfId="23914" xr:uid="{00000000-0005-0000-0000-0000315E0000}"/>
    <cellStyle name="Standard 4 3 5 3 2 2 2 5" xfId="23915" xr:uid="{00000000-0005-0000-0000-0000325E0000}"/>
    <cellStyle name="Standard 4 3 5 3 2 2 2 6" xfId="23916" xr:uid="{00000000-0005-0000-0000-0000335E0000}"/>
    <cellStyle name="Standard 4 3 5 3 2 2 3" xfId="23917" xr:uid="{00000000-0005-0000-0000-0000345E0000}"/>
    <cellStyle name="Standard 4 3 5 3 2 2 3 2" xfId="23918" xr:uid="{00000000-0005-0000-0000-0000355E0000}"/>
    <cellStyle name="Standard 4 3 5 3 2 2 3 3" xfId="23919" xr:uid="{00000000-0005-0000-0000-0000365E0000}"/>
    <cellStyle name="Standard 4 3 5 3 2 2 4" xfId="23920" xr:uid="{00000000-0005-0000-0000-0000375E0000}"/>
    <cellStyle name="Standard 4 3 5 3 2 2 4 2" xfId="23921" xr:uid="{00000000-0005-0000-0000-0000385E0000}"/>
    <cellStyle name="Standard 4 3 5 3 2 2 4 3" xfId="23922" xr:uid="{00000000-0005-0000-0000-0000395E0000}"/>
    <cellStyle name="Standard 4 3 5 3 2 2 5" xfId="23923" xr:uid="{00000000-0005-0000-0000-00003A5E0000}"/>
    <cellStyle name="Standard 4 3 5 3 2 2 5 2" xfId="23924" xr:uid="{00000000-0005-0000-0000-00003B5E0000}"/>
    <cellStyle name="Standard 4 3 5 3 2 2 6" xfId="23925" xr:uid="{00000000-0005-0000-0000-00003C5E0000}"/>
    <cellStyle name="Standard 4 3 5 3 2 2 7" xfId="23926" xr:uid="{00000000-0005-0000-0000-00003D5E0000}"/>
    <cellStyle name="Standard 4 3 5 3 2 3" xfId="23927" xr:uid="{00000000-0005-0000-0000-00003E5E0000}"/>
    <cellStyle name="Standard 4 3 5 3 2 3 2" xfId="23928" xr:uid="{00000000-0005-0000-0000-00003F5E0000}"/>
    <cellStyle name="Standard 4 3 5 3 2 3 2 2" xfId="23929" xr:uid="{00000000-0005-0000-0000-0000405E0000}"/>
    <cellStyle name="Standard 4 3 5 3 2 3 2 3" xfId="23930" xr:uid="{00000000-0005-0000-0000-0000415E0000}"/>
    <cellStyle name="Standard 4 3 5 3 2 3 3" xfId="23931" xr:uid="{00000000-0005-0000-0000-0000425E0000}"/>
    <cellStyle name="Standard 4 3 5 3 2 3 3 2" xfId="23932" xr:uid="{00000000-0005-0000-0000-0000435E0000}"/>
    <cellStyle name="Standard 4 3 5 3 2 3 3 3" xfId="23933" xr:uid="{00000000-0005-0000-0000-0000445E0000}"/>
    <cellStyle name="Standard 4 3 5 3 2 3 4" xfId="23934" xr:uid="{00000000-0005-0000-0000-0000455E0000}"/>
    <cellStyle name="Standard 4 3 5 3 2 3 4 2" xfId="23935" xr:uid="{00000000-0005-0000-0000-0000465E0000}"/>
    <cellStyle name="Standard 4 3 5 3 2 3 5" xfId="23936" xr:uid="{00000000-0005-0000-0000-0000475E0000}"/>
    <cellStyle name="Standard 4 3 5 3 2 3 6" xfId="23937" xr:uid="{00000000-0005-0000-0000-0000485E0000}"/>
    <cellStyle name="Standard 4 3 5 3 2 4" xfId="23938" xr:uid="{00000000-0005-0000-0000-0000495E0000}"/>
    <cellStyle name="Standard 4 3 5 3 2 4 2" xfId="23939" xr:uid="{00000000-0005-0000-0000-00004A5E0000}"/>
    <cellStyle name="Standard 4 3 5 3 2 4 3" xfId="23940" xr:uid="{00000000-0005-0000-0000-00004B5E0000}"/>
    <cellStyle name="Standard 4 3 5 3 2 5" xfId="23941" xr:uid="{00000000-0005-0000-0000-00004C5E0000}"/>
    <cellStyle name="Standard 4 3 5 3 2 5 2" xfId="23942" xr:uid="{00000000-0005-0000-0000-00004D5E0000}"/>
    <cellStyle name="Standard 4 3 5 3 2 5 3" xfId="23943" xr:uid="{00000000-0005-0000-0000-00004E5E0000}"/>
    <cellStyle name="Standard 4 3 5 3 2 6" xfId="23944" xr:uid="{00000000-0005-0000-0000-00004F5E0000}"/>
    <cellStyle name="Standard 4 3 5 3 2 6 2" xfId="23945" xr:uid="{00000000-0005-0000-0000-0000505E0000}"/>
    <cellStyle name="Standard 4 3 5 3 2 7" xfId="23946" xr:uid="{00000000-0005-0000-0000-0000515E0000}"/>
    <cellStyle name="Standard 4 3 5 3 2 8" xfId="23947" xr:uid="{00000000-0005-0000-0000-0000525E0000}"/>
    <cellStyle name="Standard 4 3 5 3 3" xfId="23948" xr:uid="{00000000-0005-0000-0000-0000535E0000}"/>
    <cellStyle name="Standard 4 3 5 3 3 2" xfId="23949" xr:uid="{00000000-0005-0000-0000-0000545E0000}"/>
    <cellStyle name="Standard 4 3 5 3 3 2 2" xfId="23950" xr:uid="{00000000-0005-0000-0000-0000555E0000}"/>
    <cellStyle name="Standard 4 3 5 3 3 2 2 2" xfId="23951" xr:uid="{00000000-0005-0000-0000-0000565E0000}"/>
    <cellStyle name="Standard 4 3 5 3 3 2 2 2 2" xfId="23952" xr:uid="{00000000-0005-0000-0000-0000575E0000}"/>
    <cellStyle name="Standard 4 3 5 3 3 2 2 2 3" xfId="23953" xr:uid="{00000000-0005-0000-0000-0000585E0000}"/>
    <cellStyle name="Standard 4 3 5 3 3 2 2 3" xfId="23954" xr:uid="{00000000-0005-0000-0000-0000595E0000}"/>
    <cellStyle name="Standard 4 3 5 3 3 2 2 3 2" xfId="23955" xr:uid="{00000000-0005-0000-0000-00005A5E0000}"/>
    <cellStyle name="Standard 4 3 5 3 3 2 2 3 3" xfId="23956" xr:uid="{00000000-0005-0000-0000-00005B5E0000}"/>
    <cellStyle name="Standard 4 3 5 3 3 2 2 4" xfId="23957" xr:uid="{00000000-0005-0000-0000-00005C5E0000}"/>
    <cellStyle name="Standard 4 3 5 3 3 2 2 4 2" xfId="23958" xr:uid="{00000000-0005-0000-0000-00005D5E0000}"/>
    <cellStyle name="Standard 4 3 5 3 3 2 2 5" xfId="23959" xr:uid="{00000000-0005-0000-0000-00005E5E0000}"/>
    <cellStyle name="Standard 4 3 5 3 3 2 2 6" xfId="23960" xr:uid="{00000000-0005-0000-0000-00005F5E0000}"/>
    <cellStyle name="Standard 4 3 5 3 3 2 3" xfId="23961" xr:uid="{00000000-0005-0000-0000-0000605E0000}"/>
    <cellStyle name="Standard 4 3 5 3 3 2 3 2" xfId="23962" xr:uid="{00000000-0005-0000-0000-0000615E0000}"/>
    <cellStyle name="Standard 4 3 5 3 3 2 3 3" xfId="23963" xr:uid="{00000000-0005-0000-0000-0000625E0000}"/>
    <cellStyle name="Standard 4 3 5 3 3 2 4" xfId="23964" xr:uid="{00000000-0005-0000-0000-0000635E0000}"/>
    <cellStyle name="Standard 4 3 5 3 3 2 4 2" xfId="23965" xr:uid="{00000000-0005-0000-0000-0000645E0000}"/>
    <cellStyle name="Standard 4 3 5 3 3 2 4 3" xfId="23966" xr:uid="{00000000-0005-0000-0000-0000655E0000}"/>
    <cellStyle name="Standard 4 3 5 3 3 2 5" xfId="23967" xr:uid="{00000000-0005-0000-0000-0000665E0000}"/>
    <cellStyle name="Standard 4 3 5 3 3 2 5 2" xfId="23968" xr:uid="{00000000-0005-0000-0000-0000675E0000}"/>
    <cellStyle name="Standard 4 3 5 3 3 2 6" xfId="23969" xr:uid="{00000000-0005-0000-0000-0000685E0000}"/>
    <cellStyle name="Standard 4 3 5 3 3 2 7" xfId="23970" xr:uid="{00000000-0005-0000-0000-0000695E0000}"/>
    <cellStyle name="Standard 4 3 5 3 3 3" xfId="23971" xr:uid="{00000000-0005-0000-0000-00006A5E0000}"/>
    <cellStyle name="Standard 4 3 5 3 3 3 2" xfId="23972" xr:uid="{00000000-0005-0000-0000-00006B5E0000}"/>
    <cellStyle name="Standard 4 3 5 3 3 3 2 2" xfId="23973" xr:uid="{00000000-0005-0000-0000-00006C5E0000}"/>
    <cellStyle name="Standard 4 3 5 3 3 3 2 3" xfId="23974" xr:uid="{00000000-0005-0000-0000-00006D5E0000}"/>
    <cellStyle name="Standard 4 3 5 3 3 3 3" xfId="23975" xr:uid="{00000000-0005-0000-0000-00006E5E0000}"/>
    <cellStyle name="Standard 4 3 5 3 3 3 3 2" xfId="23976" xr:uid="{00000000-0005-0000-0000-00006F5E0000}"/>
    <cellStyle name="Standard 4 3 5 3 3 3 3 3" xfId="23977" xr:uid="{00000000-0005-0000-0000-0000705E0000}"/>
    <cellStyle name="Standard 4 3 5 3 3 3 4" xfId="23978" xr:uid="{00000000-0005-0000-0000-0000715E0000}"/>
    <cellStyle name="Standard 4 3 5 3 3 3 4 2" xfId="23979" xr:uid="{00000000-0005-0000-0000-0000725E0000}"/>
    <cellStyle name="Standard 4 3 5 3 3 3 5" xfId="23980" xr:uid="{00000000-0005-0000-0000-0000735E0000}"/>
    <cellStyle name="Standard 4 3 5 3 3 3 6" xfId="23981" xr:uid="{00000000-0005-0000-0000-0000745E0000}"/>
    <cellStyle name="Standard 4 3 5 3 3 4" xfId="23982" xr:uid="{00000000-0005-0000-0000-0000755E0000}"/>
    <cellStyle name="Standard 4 3 5 3 3 4 2" xfId="23983" xr:uid="{00000000-0005-0000-0000-0000765E0000}"/>
    <cellStyle name="Standard 4 3 5 3 3 4 3" xfId="23984" xr:uid="{00000000-0005-0000-0000-0000775E0000}"/>
    <cellStyle name="Standard 4 3 5 3 3 5" xfId="23985" xr:uid="{00000000-0005-0000-0000-0000785E0000}"/>
    <cellStyle name="Standard 4 3 5 3 3 5 2" xfId="23986" xr:uid="{00000000-0005-0000-0000-0000795E0000}"/>
    <cellStyle name="Standard 4 3 5 3 3 5 3" xfId="23987" xr:uid="{00000000-0005-0000-0000-00007A5E0000}"/>
    <cellStyle name="Standard 4 3 5 3 3 6" xfId="23988" xr:uid="{00000000-0005-0000-0000-00007B5E0000}"/>
    <cellStyle name="Standard 4 3 5 3 3 6 2" xfId="23989" xr:uid="{00000000-0005-0000-0000-00007C5E0000}"/>
    <cellStyle name="Standard 4 3 5 3 3 7" xfId="23990" xr:uid="{00000000-0005-0000-0000-00007D5E0000}"/>
    <cellStyle name="Standard 4 3 5 3 3 8" xfId="23991" xr:uid="{00000000-0005-0000-0000-00007E5E0000}"/>
    <cellStyle name="Standard 4 3 5 3 4" xfId="23992" xr:uid="{00000000-0005-0000-0000-00007F5E0000}"/>
    <cellStyle name="Standard 4 3 5 3 4 2" xfId="23993" xr:uid="{00000000-0005-0000-0000-0000805E0000}"/>
    <cellStyle name="Standard 4 3 5 3 4 2 2" xfId="23994" xr:uid="{00000000-0005-0000-0000-0000815E0000}"/>
    <cellStyle name="Standard 4 3 5 3 4 2 2 2" xfId="23995" xr:uid="{00000000-0005-0000-0000-0000825E0000}"/>
    <cellStyle name="Standard 4 3 5 3 4 2 2 3" xfId="23996" xr:uid="{00000000-0005-0000-0000-0000835E0000}"/>
    <cellStyle name="Standard 4 3 5 3 4 2 3" xfId="23997" xr:uid="{00000000-0005-0000-0000-0000845E0000}"/>
    <cellStyle name="Standard 4 3 5 3 4 2 3 2" xfId="23998" xr:uid="{00000000-0005-0000-0000-0000855E0000}"/>
    <cellStyle name="Standard 4 3 5 3 4 2 3 3" xfId="23999" xr:uid="{00000000-0005-0000-0000-0000865E0000}"/>
    <cellStyle name="Standard 4 3 5 3 4 2 4" xfId="24000" xr:uid="{00000000-0005-0000-0000-0000875E0000}"/>
    <cellStyle name="Standard 4 3 5 3 4 2 4 2" xfId="24001" xr:uid="{00000000-0005-0000-0000-0000885E0000}"/>
    <cellStyle name="Standard 4 3 5 3 4 2 5" xfId="24002" xr:uid="{00000000-0005-0000-0000-0000895E0000}"/>
    <cellStyle name="Standard 4 3 5 3 4 2 6" xfId="24003" xr:uid="{00000000-0005-0000-0000-00008A5E0000}"/>
    <cellStyle name="Standard 4 3 5 3 4 3" xfId="24004" xr:uid="{00000000-0005-0000-0000-00008B5E0000}"/>
    <cellStyle name="Standard 4 3 5 3 4 3 2" xfId="24005" xr:uid="{00000000-0005-0000-0000-00008C5E0000}"/>
    <cellStyle name="Standard 4 3 5 3 4 3 3" xfId="24006" xr:uid="{00000000-0005-0000-0000-00008D5E0000}"/>
    <cellStyle name="Standard 4 3 5 3 4 4" xfId="24007" xr:uid="{00000000-0005-0000-0000-00008E5E0000}"/>
    <cellStyle name="Standard 4 3 5 3 4 4 2" xfId="24008" xr:uid="{00000000-0005-0000-0000-00008F5E0000}"/>
    <cellStyle name="Standard 4 3 5 3 4 4 3" xfId="24009" xr:uid="{00000000-0005-0000-0000-0000905E0000}"/>
    <cellStyle name="Standard 4 3 5 3 4 5" xfId="24010" xr:uid="{00000000-0005-0000-0000-0000915E0000}"/>
    <cellStyle name="Standard 4 3 5 3 4 5 2" xfId="24011" xr:uid="{00000000-0005-0000-0000-0000925E0000}"/>
    <cellStyle name="Standard 4 3 5 3 4 6" xfId="24012" xr:uid="{00000000-0005-0000-0000-0000935E0000}"/>
    <cellStyle name="Standard 4 3 5 3 4 7" xfId="24013" xr:uid="{00000000-0005-0000-0000-0000945E0000}"/>
    <cellStyle name="Standard 4 3 5 3 5" xfId="24014" xr:uid="{00000000-0005-0000-0000-0000955E0000}"/>
    <cellStyle name="Standard 4 3 5 3 5 2" xfId="24015" xr:uid="{00000000-0005-0000-0000-0000965E0000}"/>
    <cellStyle name="Standard 4 3 5 3 5 2 2" xfId="24016" xr:uid="{00000000-0005-0000-0000-0000975E0000}"/>
    <cellStyle name="Standard 4 3 5 3 5 2 3" xfId="24017" xr:uid="{00000000-0005-0000-0000-0000985E0000}"/>
    <cellStyle name="Standard 4 3 5 3 5 3" xfId="24018" xr:uid="{00000000-0005-0000-0000-0000995E0000}"/>
    <cellStyle name="Standard 4 3 5 3 5 3 2" xfId="24019" xr:uid="{00000000-0005-0000-0000-00009A5E0000}"/>
    <cellStyle name="Standard 4 3 5 3 5 3 3" xfId="24020" xr:uid="{00000000-0005-0000-0000-00009B5E0000}"/>
    <cellStyle name="Standard 4 3 5 3 5 4" xfId="24021" xr:uid="{00000000-0005-0000-0000-00009C5E0000}"/>
    <cellStyle name="Standard 4 3 5 3 5 4 2" xfId="24022" xr:uid="{00000000-0005-0000-0000-00009D5E0000}"/>
    <cellStyle name="Standard 4 3 5 3 5 5" xfId="24023" xr:uid="{00000000-0005-0000-0000-00009E5E0000}"/>
    <cellStyle name="Standard 4 3 5 3 5 6" xfId="24024" xr:uid="{00000000-0005-0000-0000-00009F5E0000}"/>
    <cellStyle name="Standard 4 3 5 3 6" xfId="24025" xr:uid="{00000000-0005-0000-0000-0000A05E0000}"/>
    <cellStyle name="Standard 4 3 5 3 6 2" xfId="24026" xr:uid="{00000000-0005-0000-0000-0000A15E0000}"/>
    <cellStyle name="Standard 4 3 5 3 6 3" xfId="24027" xr:uid="{00000000-0005-0000-0000-0000A25E0000}"/>
    <cellStyle name="Standard 4 3 5 3 7" xfId="24028" xr:uid="{00000000-0005-0000-0000-0000A35E0000}"/>
    <cellStyle name="Standard 4 3 5 3 7 2" xfId="24029" xr:uid="{00000000-0005-0000-0000-0000A45E0000}"/>
    <cellStyle name="Standard 4 3 5 3 7 3" xfId="24030" xr:uid="{00000000-0005-0000-0000-0000A55E0000}"/>
    <cellStyle name="Standard 4 3 5 3 8" xfId="24031" xr:uid="{00000000-0005-0000-0000-0000A65E0000}"/>
    <cellStyle name="Standard 4 3 5 3 8 2" xfId="24032" xr:uid="{00000000-0005-0000-0000-0000A75E0000}"/>
    <cellStyle name="Standard 4 3 5 3 9" xfId="24033" xr:uid="{00000000-0005-0000-0000-0000A85E0000}"/>
    <cellStyle name="Standard 4 3 5 4" xfId="24034" xr:uid="{00000000-0005-0000-0000-0000A95E0000}"/>
    <cellStyle name="Standard 4 3 5 4 2" xfId="24035" xr:uid="{00000000-0005-0000-0000-0000AA5E0000}"/>
    <cellStyle name="Standard 4 3 5 4 2 2" xfId="24036" xr:uid="{00000000-0005-0000-0000-0000AB5E0000}"/>
    <cellStyle name="Standard 4 3 5 4 2 2 2" xfId="24037" xr:uid="{00000000-0005-0000-0000-0000AC5E0000}"/>
    <cellStyle name="Standard 4 3 5 4 2 2 2 2" xfId="24038" xr:uid="{00000000-0005-0000-0000-0000AD5E0000}"/>
    <cellStyle name="Standard 4 3 5 4 2 2 2 3" xfId="24039" xr:uid="{00000000-0005-0000-0000-0000AE5E0000}"/>
    <cellStyle name="Standard 4 3 5 4 2 2 3" xfId="24040" xr:uid="{00000000-0005-0000-0000-0000AF5E0000}"/>
    <cellStyle name="Standard 4 3 5 4 2 2 3 2" xfId="24041" xr:uid="{00000000-0005-0000-0000-0000B05E0000}"/>
    <cellStyle name="Standard 4 3 5 4 2 2 3 3" xfId="24042" xr:uid="{00000000-0005-0000-0000-0000B15E0000}"/>
    <cellStyle name="Standard 4 3 5 4 2 2 4" xfId="24043" xr:uid="{00000000-0005-0000-0000-0000B25E0000}"/>
    <cellStyle name="Standard 4 3 5 4 2 2 4 2" xfId="24044" xr:uid="{00000000-0005-0000-0000-0000B35E0000}"/>
    <cellStyle name="Standard 4 3 5 4 2 2 5" xfId="24045" xr:uid="{00000000-0005-0000-0000-0000B45E0000}"/>
    <cellStyle name="Standard 4 3 5 4 2 2 6" xfId="24046" xr:uid="{00000000-0005-0000-0000-0000B55E0000}"/>
    <cellStyle name="Standard 4 3 5 4 2 3" xfId="24047" xr:uid="{00000000-0005-0000-0000-0000B65E0000}"/>
    <cellStyle name="Standard 4 3 5 4 2 3 2" xfId="24048" xr:uid="{00000000-0005-0000-0000-0000B75E0000}"/>
    <cellStyle name="Standard 4 3 5 4 2 3 3" xfId="24049" xr:uid="{00000000-0005-0000-0000-0000B85E0000}"/>
    <cellStyle name="Standard 4 3 5 4 2 4" xfId="24050" xr:uid="{00000000-0005-0000-0000-0000B95E0000}"/>
    <cellStyle name="Standard 4 3 5 4 2 4 2" xfId="24051" xr:uid="{00000000-0005-0000-0000-0000BA5E0000}"/>
    <cellStyle name="Standard 4 3 5 4 2 4 3" xfId="24052" xr:uid="{00000000-0005-0000-0000-0000BB5E0000}"/>
    <cellStyle name="Standard 4 3 5 4 2 5" xfId="24053" xr:uid="{00000000-0005-0000-0000-0000BC5E0000}"/>
    <cellStyle name="Standard 4 3 5 4 2 5 2" xfId="24054" xr:uid="{00000000-0005-0000-0000-0000BD5E0000}"/>
    <cellStyle name="Standard 4 3 5 4 2 6" xfId="24055" xr:uid="{00000000-0005-0000-0000-0000BE5E0000}"/>
    <cellStyle name="Standard 4 3 5 4 2 7" xfId="24056" xr:uid="{00000000-0005-0000-0000-0000BF5E0000}"/>
    <cellStyle name="Standard 4 3 5 4 3" xfId="24057" xr:uid="{00000000-0005-0000-0000-0000C05E0000}"/>
    <cellStyle name="Standard 4 3 5 4 3 2" xfId="24058" xr:uid="{00000000-0005-0000-0000-0000C15E0000}"/>
    <cellStyle name="Standard 4 3 5 4 3 2 2" xfId="24059" xr:uid="{00000000-0005-0000-0000-0000C25E0000}"/>
    <cellStyle name="Standard 4 3 5 4 3 2 3" xfId="24060" xr:uid="{00000000-0005-0000-0000-0000C35E0000}"/>
    <cellStyle name="Standard 4 3 5 4 3 3" xfId="24061" xr:uid="{00000000-0005-0000-0000-0000C45E0000}"/>
    <cellStyle name="Standard 4 3 5 4 3 3 2" xfId="24062" xr:uid="{00000000-0005-0000-0000-0000C55E0000}"/>
    <cellStyle name="Standard 4 3 5 4 3 3 3" xfId="24063" xr:uid="{00000000-0005-0000-0000-0000C65E0000}"/>
    <cellStyle name="Standard 4 3 5 4 3 4" xfId="24064" xr:uid="{00000000-0005-0000-0000-0000C75E0000}"/>
    <cellStyle name="Standard 4 3 5 4 3 4 2" xfId="24065" xr:uid="{00000000-0005-0000-0000-0000C85E0000}"/>
    <cellStyle name="Standard 4 3 5 4 3 5" xfId="24066" xr:uid="{00000000-0005-0000-0000-0000C95E0000}"/>
    <cellStyle name="Standard 4 3 5 4 3 6" xfId="24067" xr:uid="{00000000-0005-0000-0000-0000CA5E0000}"/>
    <cellStyle name="Standard 4 3 5 4 4" xfId="24068" xr:uid="{00000000-0005-0000-0000-0000CB5E0000}"/>
    <cellStyle name="Standard 4 3 5 4 4 2" xfId="24069" xr:uid="{00000000-0005-0000-0000-0000CC5E0000}"/>
    <cellStyle name="Standard 4 3 5 4 4 3" xfId="24070" xr:uid="{00000000-0005-0000-0000-0000CD5E0000}"/>
    <cellStyle name="Standard 4 3 5 4 5" xfId="24071" xr:uid="{00000000-0005-0000-0000-0000CE5E0000}"/>
    <cellStyle name="Standard 4 3 5 4 5 2" xfId="24072" xr:uid="{00000000-0005-0000-0000-0000CF5E0000}"/>
    <cellStyle name="Standard 4 3 5 4 5 3" xfId="24073" xr:uid="{00000000-0005-0000-0000-0000D05E0000}"/>
    <cellStyle name="Standard 4 3 5 4 6" xfId="24074" xr:uid="{00000000-0005-0000-0000-0000D15E0000}"/>
    <cellStyle name="Standard 4 3 5 4 6 2" xfId="24075" xr:uid="{00000000-0005-0000-0000-0000D25E0000}"/>
    <cellStyle name="Standard 4 3 5 4 7" xfId="24076" xr:uid="{00000000-0005-0000-0000-0000D35E0000}"/>
    <cellStyle name="Standard 4 3 5 4 8" xfId="24077" xr:uid="{00000000-0005-0000-0000-0000D45E0000}"/>
    <cellStyle name="Standard 4 3 5 5" xfId="24078" xr:uid="{00000000-0005-0000-0000-0000D55E0000}"/>
    <cellStyle name="Standard 4 3 5 5 2" xfId="24079" xr:uid="{00000000-0005-0000-0000-0000D65E0000}"/>
    <cellStyle name="Standard 4 3 5 5 2 2" xfId="24080" xr:uid="{00000000-0005-0000-0000-0000D75E0000}"/>
    <cellStyle name="Standard 4 3 5 5 2 2 2" xfId="24081" xr:uid="{00000000-0005-0000-0000-0000D85E0000}"/>
    <cellStyle name="Standard 4 3 5 5 2 2 2 2" xfId="24082" xr:uid="{00000000-0005-0000-0000-0000D95E0000}"/>
    <cellStyle name="Standard 4 3 5 5 2 2 2 3" xfId="24083" xr:uid="{00000000-0005-0000-0000-0000DA5E0000}"/>
    <cellStyle name="Standard 4 3 5 5 2 2 3" xfId="24084" xr:uid="{00000000-0005-0000-0000-0000DB5E0000}"/>
    <cellStyle name="Standard 4 3 5 5 2 2 3 2" xfId="24085" xr:uid="{00000000-0005-0000-0000-0000DC5E0000}"/>
    <cellStyle name="Standard 4 3 5 5 2 2 3 3" xfId="24086" xr:uid="{00000000-0005-0000-0000-0000DD5E0000}"/>
    <cellStyle name="Standard 4 3 5 5 2 2 4" xfId="24087" xr:uid="{00000000-0005-0000-0000-0000DE5E0000}"/>
    <cellStyle name="Standard 4 3 5 5 2 2 4 2" xfId="24088" xr:uid="{00000000-0005-0000-0000-0000DF5E0000}"/>
    <cellStyle name="Standard 4 3 5 5 2 2 5" xfId="24089" xr:uid="{00000000-0005-0000-0000-0000E05E0000}"/>
    <cellStyle name="Standard 4 3 5 5 2 2 6" xfId="24090" xr:uid="{00000000-0005-0000-0000-0000E15E0000}"/>
    <cellStyle name="Standard 4 3 5 5 2 3" xfId="24091" xr:uid="{00000000-0005-0000-0000-0000E25E0000}"/>
    <cellStyle name="Standard 4 3 5 5 2 3 2" xfId="24092" xr:uid="{00000000-0005-0000-0000-0000E35E0000}"/>
    <cellStyle name="Standard 4 3 5 5 2 3 3" xfId="24093" xr:uid="{00000000-0005-0000-0000-0000E45E0000}"/>
    <cellStyle name="Standard 4 3 5 5 2 4" xfId="24094" xr:uid="{00000000-0005-0000-0000-0000E55E0000}"/>
    <cellStyle name="Standard 4 3 5 5 2 4 2" xfId="24095" xr:uid="{00000000-0005-0000-0000-0000E65E0000}"/>
    <cellStyle name="Standard 4 3 5 5 2 4 3" xfId="24096" xr:uid="{00000000-0005-0000-0000-0000E75E0000}"/>
    <cellStyle name="Standard 4 3 5 5 2 5" xfId="24097" xr:uid="{00000000-0005-0000-0000-0000E85E0000}"/>
    <cellStyle name="Standard 4 3 5 5 2 5 2" xfId="24098" xr:uid="{00000000-0005-0000-0000-0000E95E0000}"/>
    <cellStyle name="Standard 4 3 5 5 2 6" xfId="24099" xr:uid="{00000000-0005-0000-0000-0000EA5E0000}"/>
    <cellStyle name="Standard 4 3 5 5 2 7" xfId="24100" xr:uid="{00000000-0005-0000-0000-0000EB5E0000}"/>
    <cellStyle name="Standard 4 3 5 5 3" xfId="24101" xr:uid="{00000000-0005-0000-0000-0000EC5E0000}"/>
    <cellStyle name="Standard 4 3 5 5 3 2" xfId="24102" xr:uid="{00000000-0005-0000-0000-0000ED5E0000}"/>
    <cellStyle name="Standard 4 3 5 5 3 2 2" xfId="24103" xr:uid="{00000000-0005-0000-0000-0000EE5E0000}"/>
    <cellStyle name="Standard 4 3 5 5 3 2 3" xfId="24104" xr:uid="{00000000-0005-0000-0000-0000EF5E0000}"/>
    <cellStyle name="Standard 4 3 5 5 3 3" xfId="24105" xr:uid="{00000000-0005-0000-0000-0000F05E0000}"/>
    <cellStyle name="Standard 4 3 5 5 3 3 2" xfId="24106" xr:uid="{00000000-0005-0000-0000-0000F15E0000}"/>
    <cellStyle name="Standard 4 3 5 5 3 3 3" xfId="24107" xr:uid="{00000000-0005-0000-0000-0000F25E0000}"/>
    <cellStyle name="Standard 4 3 5 5 3 4" xfId="24108" xr:uid="{00000000-0005-0000-0000-0000F35E0000}"/>
    <cellStyle name="Standard 4 3 5 5 3 4 2" xfId="24109" xr:uid="{00000000-0005-0000-0000-0000F45E0000}"/>
    <cellStyle name="Standard 4 3 5 5 3 5" xfId="24110" xr:uid="{00000000-0005-0000-0000-0000F55E0000}"/>
    <cellStyle name="Standard 4 3 5 5 3 6" xfId="24111" xr:uid="{00000000-0005-0000-0000-0000F65E0000}"/>
    <cellStyle name="Standard 4 3 5 5 4" xfId="24112" xr:uid="{00000000-0005-0000-0000-0000F75E0000}"/>
    <cellStyle name="Standard 4 3 5 5 4 2" xfId="24113" xr:uid="{00000000-0005-0000-0000-0000F85E0000}"/>
    <cellStyle name="Standard 4 3 5 5 4 3" xfId="24114" xr:uid="{00000000-0005-0000-0000-0000F95E0000}"/>
    <cellStyle name="Standard 4 3 5 5 5" xfId="24115" xr:uid="{00000000-0005-0000-0000-0000FA5E0000}"/>
    <cellStyle name="Standard 4 3 5 5 5 2" xfId="24116" xr:uid="{00000000-0005-0000-0000-0000FB5E0000}"/>
    <cellStyle name="Standard 4 3 5 5 5 3" xfId="24117" xr:uid="{00000000-0005-0000-0000-0000FC5E0000}"/>
    <cellStyle name="Standard 4 3 5 5 6" xfId="24118" xr:uid="{00000000-0005-0000-0000-0000FD5E0000}"/>
    <cellStyle name="Standard 4 3 5 5 6 2" xfId="24119" xr:uid="{00000000-0005-0000-0000-0000FE5E0000}"/>
    <cellStyle name="Standard 4 3 5 5 7" xfId="24120" xr:uid="{00000000-0005-0000-0000-0000FF5E0000}"/>
    <cellStyle name="Standard 4 3 5 5 8" xfId="24121" xr:uid="{00000000-0005-0000-0000-0000005F0000}"/>
    <cellStyle name="Standard 4 3 5 6" xfId="24122" xr:uid="{00000000-0005-0000-0000-0000015F0000}"/>
    <cellStyle name="Standard 4 3 5 6 2" xfId="24123" xr:uid="{00000000-0005-0000-0000-0000025F0000}"/>
    <cellStyle name="Standard 4 3 5 6 2 2" xfId="24124" xr:uid="{00000000-0005-0000-0000-0000035F0000}"/>
    <cellStyle name="Standard 4 3 5 6 2 2 2" xfId="24125" xr:uid="{00000000-0005-0000-0000-0000045F0000}"/>
    <cellStyle name="Standard 4 3 5 6 2 2 3" xfId="24126" xr:uid="{00000000-0005-0000-0000-0000055F0000}"/>
    <cellStyle name="Standard 4 3 5 6 2 3" xfId="24127" xr:uid="{00000000-0005-0000-0000-0000065F0000}"/>
    <cellStyle name="Standard 4 3 5 6 2 3 2" xfId="24128" xr:uid="{00000000-0005-0000-0000-0000075F0000}"/>
    <cellStyle name="Standard 4 3 5 6 2 3 3" xfId="24129" xr:uid="{00000000-0005-0000-0000-0000085F0000}"/>
    <cellStyle name="Standard 4 3 5 6 2 4" xfId="24130" xr:uid="{00000000-0005-0000-0000-0000095F0000}"/>
    <cellStyle name="Standard 4 3 5 6 2 4 2" xfId="24131" xr:uid="{00000000-0005-0000-0000-00000A5F0000}"/>
    <cellStyle name="Standard 4 3 5 6 2 5" xfId="24132" xr:uid="{00000000-0005-0000-0000-00000B5F0000}"/>
    <cellStyle name="Standard 4 3 5 6 2 6" xfId="24133" xr:uid="{00000000-0005-0000-0000-00000C5F0000}"/>
    <cellStyle name="Standard 4 3 5 6 3" xfId="24134" xr:uid="{00000000-0005-0000-0000-00000D5F0000}"/>
    <cellStyle name="Standard 4 3 5 6 3 2" xfId="24135" xr:uid="{00000000-0005-0000-0000-00000E5F0000}"/>
    <cellStyle name="Standard 4 3 5 6 3 3" xfId="24136" xr:uid="{00000000-0005-0000-0000-00000F5F0000}"/>
    <cellStyle name="Standard 4 3 5 6 4" xfId="24137" xr:uid="{00000000-0005-0000-0000-0000105F0000}"/>
    <cellStyle name="Standard 4 3 5 6 4 2" xfId="24138" xr:uid="{00000000-0005-0000-0000-0000115F0000}"/>
    <cellStyle name="Standard 4 3 5 6 4 3" xfId="24139" xr:uid="{00000000-0005-0000-0000-0000125F0000}"/>
    <cellStyle name="Standard 4 3 5 6 5" xfId="24140" xr:uid="{00000000-0005-0000-0000-0000135F0000}"/>
    <cellStyle name="Standard 4 3 5 6 5 2" xfId="24141" xr:uid="{00000000-0005-0000-0000-0000145F0000}"/>
    <cellStyle name="Standard 4 3 5 6 6" xfId="24142" xr:uid="{00000000-0005-0000-0000-0000155F0000}"/>
    <cellStyle name="Standard 4 3 5 6 7" xfId="24143" xr:uid="{00000000-0005-0000-0000-0000165F0000}"/>
    <cellStyle name="Standard 4 3 5 7" xfId="24144" xr:uid="{00000000-0005-0000-0000-0000175F0000}"/>
    <cellStyle name="Standard 4 3 5 7 2" xfId="24145" xr:uid="{00000000-0005-0000-0000-0000185F0000}"/>
    <cellStyle name="Standard 4 3 5 7 2 2" xfId="24146" xr:uid="{00000000-0005-0000-0000-0000195F0000}"/>
    <cellStyle name="Standard 4 3 5 7 2 3" xfId="24147" xr:uid="{00000000-0005-0000-0000-00001A5F0000}"/>
    <cellStyle name="Standard 4 3 5 7 3" xfId="24148" xr:uid="{00000000-0005-0000-0000-00001B5F0000}"/>
    <cellStyle name="Standard 4 3 5 7 3 2" xfId="24149" xr:uid="{00000000-0005-0000-0000-00001C5F0000}"/>
    <cellStyle name="Standard 4 3 5 7 3 3" xfId="24150" xr:uid="{00000000-0005-0000-0000-00001D5F0000}"/>
    <cellStyle name="Standard 4 3 5 7 4" xfId="24151" xr:uid="{00000000-0005-0000-0000-00001E5F0000}"/>
    <cellStyle name="Standard 4 3 5 7 4 2" xfId="24152" xr:uid="{00000000-0005-0000-0000-00001F5F0000}"/>
    <cellStyle name="Standard 4 3 5 7 5" xfId="24153" xr:uid="{00000000-0005-0000-0000-0000205F0000}"/>
    <cellStyle name="Standard 4 3 5 7 6" xfId="24154" xr:uid="{00000000-0005-0000-0000-0000215F0000}"/>
    <cellStyle name="Standard 4 3 5 8" xfId="24155" xr:uid="{00000000-0005-0000-0000-0000225F0000}"/>
    <cellStyle name="Standard 4 3 5 8 2" xfId="24156" xr:uid="{00000000-0005-0000-0000-0000235F0000}"/>
    <cellStyle name="Standard 4 3 5 8 3" xfId="24157" xr:uid="{00000000-0005-0000-0000-0000245F0000}"/>
    <cellStyle name="Standard 4 3 5 9" xfId="24158" xr:uid="{00000000-0005-0000-0000-0000255F0000}"/>
    <cellStyle name="Standard 4 3 5 9 2" xfId="24159" xr:uid="{00000000-0005-0000-0000-0000265F0000}"/>
    <cellStyle name="Standard 4 3 5 9 3" xfId="24160" xr:uid="{00000000-0005-0000-0000-0000275F0000}"/>
    <cellStyle name="Standard 4 3 6" xfId="24161" xr:uid="{00000000-0005-0000-0000-0000285F0000}"/>
    <cellStyle name="Standard 4 3 6 10" xfId="24162" xr:uid="{00000000-0005-0000-0000-0000295F0000}"/>
    <cellStyle name="Standard 4 3 6 11" xfId="24163" xr:uid="{00000000-0005-0000-0000-00002A5F0000}"/>
    <cellStyle name="Standard 4 3 6 2" xfId="24164" xr:uid="{00000000-0005-0000-0000-00002B5F0000}"/>
    <cellStyle name="Standard 4 3 6 2 10" xfId="24165" xr:uid="{00000000-0005-0000-0000-00002C5F0000}"/>
    <cellStyle name="Standard 4 3 6 2 2" xfId="24166" xr:uid="{00000000-0005-0000-0000-00002D5F0000}"/>
    <cellStyle name="Standard 4 3 6 2 2 2" xfId="24167" xr:uid="{00000000-0005-0000-0000-00002E5F0000}"/>
    <cellStyle name="Standard 4 3 6 2 2 2 2" xfId="24168" xr:uid="{00000000-0005-0000-0000-00002F5F0000}"/>
    <cellStyle name="Standard 4 3 6 2 2 2 2 2" xfId="24169" xr:uid="{00000000-0005-0000-0000-0000305F0000}"/>
    <cellStyle name="Standard 4 3 6 2 2 2 2 2 2" xfId="24170" xr:uid="{00000000-0005-0000-0000-0000315F0000}"/>
    <cellStyle name="Standard 4 3 6 2 2 2 2 2 3" xfId="24171" xr:uid="{00000000-0005-0000-0000-0000325F0000}"/>
    <cellStyle name="Standard 4 3 6 2 2 2 2 3" xfId="24172" xr:uid="{00000000-0005-0000-0000-0000335F0000}"/>
    <cellStyle name="Standard 4 3 6 2 2 2 2 3 2" xfId="24173" xr:uid="{00000000-0005-0000-0000-0000345F0000}"/>
    <cellStyle name="Standard 4 3 6 2 2 2 2 3 3" xfId="24174" xr:uid="{00000000-0005-0000-0000-0000355F0000}"/>
    <cellStyle name="Standard 4 3 6 2 2 2 2 4" xfId="24175" xr:uid="{00000000-0005-0000-0000-0000365F0000}"/>
    <cellStyle name="Standard 4 3 6 2 2 2 2 4 2" xfId="24176" xr:uid="{00000000-0005-0000-0000-0000375F0000}"/>
    <cellStyle name="Standard 4 3 6 2 2 2 2 5" xfId="24177" xr:uid="{00000000-0005-0000-0000-0000385F0000}"/>
    <cellStyle name="Standard 4 3 6 2 2 2 2 6" xfId="24178" xr:uid="{00000000-0005-0000-0000-0000395F0000}"/>
    <cellStyle name="Standard 4 3 6 2 2 2 3" xfId="24179" xr:uid="{00000000-0005-0000-0000-00003A5F0000}"/>
    <cellStyle name="Standard 4 3 6 2 2 2 3 2" xfId="24180" xr:uid="{00000000-0005-0000-0000-00003B5F0000}"/>
    <cellStyle name="Standard 4 3 6 2 2 2 3 3" xfId="24181" xr:uid="{00000000-0005-0000-0000-00003C5F0000}"/>
    <cellStyle name="Standard 4 3 6 2 2 2 4" xfId="24182" xr:uid="{00000000-0005-0000-0000-00003D5F0000}"/>
    <cellStyle name="Standard 4 3 6 2 2 2 4 2" xfId="24183" xr:uid="{00000000-0005-0000-0000-00003E5F0000}"/>
    <cellStyle name="Standard 4 3 6 2 2 2 4 3" xfId="24184" xr:uid="{00000000-0005-0000-0000-00003F5F0000}"/>
    <cellStyle name="Standard 4 3 6 2 2 2 5" xfId="24185" xr:uid="{00000000-0005-0000-0000-0000405F0000}"/>
    <cellStyle name="Standard 4 3 6 2 2 2 5 2" xfId="24186" xr:uid="{00000000-0005-0000-0000-0000415F0000}"/>
    <cellStyle name="Standard 4 3 6 2 2 2 6" xfId="24187" xr:uid="{00000000-0005-0000-0000-0000425F0000}"/>
    <cellStyle name="Standard 4 3 6 2 2 2 7" xfId="24188" xr:uid="{00000000-0005-0000-0000-0000435F0000}"/>
    <cellStyle name="Standard 4 3 6 2 2 3" xfId="24189" xr:uid="{00000000-0005-0000-0000-0000445F0000}"/>
    <cellStyle name="Standard 4 3 6 2 2 3 2" xfId="24190" xr:uid="{00000000-0005-0000-0000-0000455F0000}"/>
    <cellStyle name="Standard 4 3 6 2 2 3 2 2" xfId="24191" xr:uid="{00000000-0005-0000-0000-0000465F0000}"/>
    <cellStyle name="Standard 4 3 6 2 2 3 2 3" xfId="24192" xr:uid="{00000000-0005-0000-0000-0000475F0000}"/>
    <cellStyle name="Standard 4 3 6 2 2 3 3" xfId="24193" xr:uid="{00000000-0005-0000-0000-0000485F0000}"/>
    <cellStyle name="Standard 4 3 6 2 2 3 3 2" xfId="24194" xr:uid="{00000000-0005-0000-0000-0000495F0000}"/>
    <cellStyle name="Standard 4 3 6 2 2 3 3 3" xfId="24195" xr:uid="{00000000-0005-0000-0000-00004A5F0000}"/>
    <cellStyle name="Standard 4 3 6 2 2 3 4" xfId="24196" xr:uid="{00000000-0005-0000-0000-00004B5F0000}"/>
    <cellStyle name="Standard 4 3 6 2 2 3 4 2" xfId="24197" xr:uid="{00000000-0005-0000-0000-00004C5F0000}"/>
    <cellStyle name="Standard 4 3 6 2 2 3 5" xfId="24198" xr:uid="{00000000-0005-0000-0000-00004D5F0000}"/>
    <cellStyle name="Standard 4 3 6 2 2 3 6" xfId="24199" xr:uid="{00000000-0005-0000-0000-00004E5F0000}"/>
    <cellStyle name="Standard 4 3 6 2 2 4" xfId="24200" xr:uid="{00000000-0005-0000-0000-00004F5F0000}"/>
    <cellStyle name="Standard 4 3 6 2 2 4 2" xfId="24201" xr:uid="{00000000-0005-0000-0000-0000505F0000}"/>
    <cellStyle name="Standard 4 3 6 2 2 4 3" xfId="24202" xr:uid="{00000000-0005-0000-0000-0000515F0000}"/>
    <cellStyle name="Standard 4 3 6 2 2 5" xfId="24203" xr:uid="{00000000-0005-0000-0000-0000525F0000}"/>
    <cellStyle name="Standard 4 3 6 2 2 5 2" xfId="24204" xr:uid="{00000000-0005-0000-0000-0000535F0000}"/>
    <cellStyle name="Standard 4 3 6 2 2 5 3" xfId="24205" xr:uid="{00000000-0005-0000-0000-0000545F0000}"/>
    <cellStyle name="Standard 4 3 6 2 2 6" xfId="24206" xr:uid="{00000000-0005-0000-0000-0000555F0000}"/>
    <cellStyle name="Standard 4 3 6 2 2 6 2" xfId="24207" xr:uid="{00000000-0005-0000-0000-0000565F0000}"/>
    <cellStyle name="Standard 4 3 6 2 2 7" xfId="24208" xr:uid="{00000000-0005-0000-0000-0000575F0000}"/>
    <cellStyle name="Standard 4 3 6 2 2 8" xfId="24209" xr:uid="{00000000-0005-0000-0000-0000585F0000}"/>
    <cellStyle name="Standard 4 3 6 2 3" xfId="24210" xr:uid="{00000000-0005-0000-0000-0000595F0000}"/>
    <cellStyle name="Standard 4 3 6 2 3 2" xfId="24211" xr:uid="{00000000-0005-0000-0000-00005A5F0000}"/>
    <cellStyle name="Standard 4 3 6 2 3 2 2" xfId="24212" xr:uid="{00000000-0005-0000-0000-00005B5F0000}"/>
    <cellStyle name="Standard 4 3 6 2 3 2 2 2" xfId="24213" xr:uid="{00000000-0005-0000-0000-00005C5F0000}"/>
    <cellStyle name="Standard 4 3 6 2 3 2 2 2 2" xfId="24214" xr:uid="{00000000-0005-0000-0000-00005D5F0000}"/>
    <cellStyle name="Standard 4 3 6 2 3 2 2 2 3" xfId="24215" xr:uid="{00000000-0005-0000-0000-00005E5F0000}"/>
    <cellStyle name="Standard 4 3 6 2 3 2 2 3" xfId="24216" xr:uid="{00000000-0005-0000-0000-00005F5F0000}"/>
    <cellStyle name="Standard 4 3 6 2 3 2 2 3 2" xfId="24217" xr:uid="{00000000-0005-0000-0000-0000605F0000}"/>
    <cellStyle name="Standard 4 3 6 2 3 2 2 3 3" xfId="24218" xr:uid="{00000000-0005-0000-0000-0000615F0000}"/>
    <cellStyle name="Standard 4 3 6 2 3 2 2 4" xfId="24219" xr:uid="{00000000-0005-0000-0000-0000625F0000}"/>
    <cellStyle name="Standard 4 3 6 2 3 2 2 4 2" xfId="24220" xr:uid="{00000000-0005-0000-0000-0000635F0000}"/>
    <cellStyle name="Standard 4 3 6 2 3 2 2 5" xfId="24221" xr:uid="{00000000-0005-0000-0000-0000645F0000}"/>
    <cellStyle name="Standard 4 3 6 2 3 2 2 6" xfId="24222" xr:uid="{00000000-0005-0000-0000-0000655F0000}"/>
    <cellStyle name="Standard 4 3 6 2 3 2 3" xfId="24223" xr:uid="{00000000-0005-0000-0000-0000665F0000}"/>
    <cellStyle name="Standard 4 3 6 2 3 2 3 2" xfId="24224" xr:uid="{00000000-0005-0000-0000-0000675F0000}"/>
    <cellStyle name="Standard 4 3 6 2 3 2 3 3" xfId="24225" xr:uid="{00000000-0005-0000-0000-0000685F0000}"/>
    <cellStyle name="Standard 4 3 6 2 3 2 4" xfId="24226" xr:uid="{00000000-0005-0000-0000-0000695F0000}"/>
    <cellStyle name="Standard 4 3 6 2 3 2 4 2" xfId="24227" xr:uid="{00000000-0005-0000-0000-00006A5F0000}"/>
    <cellStyle name="Standard 4 3 6 2 3 2 4 3" xfId="24228" xr:uid="{00000000-0005-0000-0000-00006B5F0000}"/>
    <cellStyle name="Standard 4 3 6 2 3 2 5" xfId="24229" xr:uid="{00000000-0005-0000-0000-00006C5F0000}"/>
    <cellStyle name="Standard 4 3 6 2 3 2 5 2" xfId="24230" xr:uid="{00000000-0005-0000-0000-00006D5F0000}"/>
    <cellStyle name="Standard 4 3 6 2 3 2 6" xfId="24231" xr:uid="{00000000-0005-0000-0000-00006E5F0000}"/>
    <cellStyle name="Standard 4 3 6 2 3 2 7" xfId="24232" xr:uid="{00000000-0005-0000-0000-00006F5F0000}"/>
    <cellStyle name="Standard 4 3 6 2 3 3" xfId="24233" xr:uid="{00000000-0005-0000-0000-0000705F0000}"/>
    <cellStyle name="Standard 4 3 6 2 3 3 2" xfId="24234" xr:uid="{00000000-0005-0000-0000-0000715F0000}"/>
    <cellStyle name="Standard 4 3 6 2 3 3 2 2" xfId="24235" xr:uid="{00000000-0005-0000-0000-0000725F0000}"/>
    <cellStyle name="Standard 4 3 6 2 3 3 2 3" xfId="24236" xr:uid="{00000000-0005-0000-0000-0000735F0000}"/>
    <cellStyle name="Standard 4 3 6 2 3 3 3" xfId="24237" xr:uid="{00000000-0005-0000-0000-0000745F0000}"/>
    <cellStyle name="Standard 4 3 6 2 3 3 3 2" xfId="24238" xr:uid="{00000000-0005-0000-0000-0000755F0000}"/>
    <cellStyle name="Standard 4 3 6 2 3 3 3 3" xfId="24239" xr:uid="{00000000-0005-0000-0000-0000765F0000}"/>
    <cellStyle name="Standard 4 3 6 2 3 3 4" xfId="24240" xr:uid="{00000000-0005-0000-0000-0000775F0000}"/>
    <cellStyle name="Standard 4 3 6 2 3 3 4 2" xfId="24241" xr:uid="{00000000-0005-0000-0000-0000785F0000}"/>
    <cellStyle name="Standard 4 3 6 2 3 3 5" xfId="24242" xr:uid="{00000000-0005-0000-0000-0000795F0000}"/>
    <cellStyle name="Standard 4 3 6 2 3 3 6" xfId="24243" xr:uid="{00000000-0005-0000-0000-00007A5F0000}"/>
    <cellStyle name="Standard 4 3 6 2 3 4" xfId="24244" xr:uid="{00000000-0005-0000-0000-00007B5F0000}"/>
    <cellStyle name="Standard 4 3 6 2 3 4 2" xfId="24245" xr:uid="{00000000-0005-0000-0000-00007C5F0000}"/>
    <cellStyle name="Standard 4 3 6 2 3 4 3" xfId="24246" xr:uid="{00000000-0005-0000-0000-00007D5F0000}"/>
    <cellStyle name="Standard 4 3 6 2 3 5" xfId="24247" xr:uid="{00000000-0005-0000-0000-00007E5F0000}"/>
    <cellStyle name="Standard 4 3 6 2 3 5 2" xfId="24248" xr:uid="{00000000-0005-0000-0000-00007F5F0000}"/>
    <cellStyle name="Standard 4 3 6 2 3 5 3" xfId="24249" xr:uid="{00000000-0005-0000-0000-0000805F0000}"/>
    <cellStyle name="Standard 4 3 6 2 3 6" xfId="24250" xr:uid="{00000000-0005-0000-0000-0000815F0000}"/>
    <cellStyle name="Standard 4 3 6 2 3 6 2" xfId="24251" xr:uid="{00000000-0005-0000-0000-0000825F0000}"/>
    <cellStyle name="Standard 4 3 6 2 3 7" xfId="24252" xr:uid="{00000000-0005-0000-0000-0000835F0000}"/>
    <cellStyle name="Standard 4 3 6 2 3 8" xfId="24253" xr:uid="{00000000-0005-0000-0000-0000845F0000}"/>
    <cellStyle name="Standard 4 3 6 2 4" xfId="24254" xr:uid="{00000000-0005-0000-0000-0000855F0000}"/>
    <cellStyle name="Standard 4 3 6 2 4 2" xfId="24255" xr:uid="{00000000-0005-0000-0000-0000865F0000}"/>
    <cellStyle name="Standard 4 3 6 2 4 2 2" xfId="24256" xr:uid="{00000000-0005-0000-0000-0000875F0000}"/>
    <cellStyle name="Standard 4 3 6 2 4 2 2 2" xfId="24257" xr:uid="{00000000-0005-0000-0000-0000885F0000}"/>
    <cellStyle name="Standard 4 3 6 2 4 2 2 3" xfId="24258" xr:uid="{00000000-0005-0000-0000-0000895F0000}"/>
    <cellStyle name="Standard 4 3 6 2 4 2 3" xfId="24259" xr:uid="{00000000-0005-0000-0000-00008A5F0000}"/>
    <cellStyle name="Standard 4 3 6 2 4 2 3 2" xfId="24260" xr:uid="{00000000-0005-0000-0000-00008B5F0000}"/>
    <cellStyle name="Standard 4 3 6 2 4 2 3 3" xfId="24261" xr:uid="{00000000-0005-0000-0000-00008C5F0000}"/>
    <cellStyle name="Standard 4 3 6 2 4 2 4" xfId="24262" xr:uid="{00000000-0005-0000-0000-00008D5F0000}"/>
    <cellStyle name="Standard 4 3 6 2 4 2 4 2" xfId="24263" xr:uid="{00000000-0005-0000-0000-00008E5F0000}"/>
    <cellStyle name="Standard 4 3 6 2 4 2 5" xfId="24264" xr:uid="{00000000-0005-0000-0000-00008F5F0000}"/>
    <cellStyle name="Standard 4 3 6 2 4 2 6" xfId="24265" xr:uid="{00000000-0005-0000-0000-0000905F0000}"/>
    <cellStyle name="Standard 4 3 6 2 4 3" xfId="24266" xr:uid="{00000000-0005-0000-0000-0000915F0000}"/>
    <cellStyle name="Standard 4 3 6 2 4 3 2" xfId="24267" xr:uid="{00000000-0005-0000-0000-0000925F0000}"/>
    <cellStyle name="Standard 4 3 6 2 4 3 3" xfId="24268" xr:uid="{00000000-0005-0000-0000-0000935F0000}"/>
    <cellStyle name="Standard 4 3 6 2 4 4" xfId="24269" xr:uid="{00000000-0005-0000-0000-0000945F0000}"/>
    <cellStyle name="Standard 4 3 6 2 4 4 2" xfId="24270" xr:uid="{00000000-0005-0000-0000-0000955F0000}"/>
    <cellStyle name="Standard 4 3 6 2 4 4 3" xfId="24271" xr:uid="{00000000-0005-0000-0000-0000965F0000}"/>
    <cellStyle name="Standard 4 3 6 2 4 5" xfId="24272" xr:uid="{00000000-0005-0000-0000-0000975F0000}"/>
    <cellStyle name="Standard 4 3 6 2 4 5 2" xfId="24273" xr:uid="{00000000-0005-0000-0000-0000985F0000}"/>
    <cellStyle name="Standard 4 3 6 2 4 6" xfId="24274" xr:uid="{00000000-0005-0000-0000-0000995F0000}"/>
    <cellStyle name="Standard 4 3 6 2 4 7" xfId="24275" xr:uid="{00000000-0005-0000-0000-00009A5F0000}"/>
    <cellStyle name="Standard 4 3 6 2 5" xfId="24276" xr:uid="{00000000-0005-0000-0000-00009B5F0000}"/>
    <cellStyle name="Standard 4 3 6 2 5 2" xfId="24277" xr:uid="{00000000-0005-0000-0000-00009C5F0000}"/>
    <cellStyle name="Standard 4 3 6 2 5 2 2" xfId="24278" xr:uid="{00000000-0005-0000-0000-00009D5F0000}"/>
    <cellStyle name="Standard 4 3 6 2 5 2 3" xfId="24279" xr:uid="{00000000-0005-0000-0000-00009E5F0000}"/>
    <cellStyle name="Standard 4 3 6 2 5 3" xfId="24280" xr:uid="{00000000-0005-0000-0000-00009F5F0000}"/>
    <cellStyle name="Standard 4 3 6 2 5 3 2" xfId="24281" xr:uid="{00000000-0005-0000-0000-0000A05F0000}"/>
    <cellStyle name="Standard 4 3 6 2 5 3 3" xfId="24282" xr:uid="{00000000-0005-0000-0000-0000A15F0000}"/>
    <cellStyle name="Standard 4 3 6 2 5 4" xfId="24283" xr:uid="{00000000-0005-0000-0000-0000A25F0000}"/>
    <cellStyle name="Standard 4 3 6 2 5 4 2" xfId="24284" xr:uid="{00000000-0005-0000-0000-0000A35F0000}"/>
    <cellStyle name="Standard 4 3 6 2 5 5" xfId="24285" xr:uid="{00000000-0005-0000-0000-0000A45F0000}"/>
    <cellStyle name="Standard 4 3 6 2 5 6" xfId="24286" xr:uid="{00000000-0005-0000-0000-0000A55F0000}"/>
    <cellStyle name="Standard 4 3 6 2 6" xfId="24287" xr:uid="{00000000-0005-0000-0000-0000A65F0000}"/>
    <cellStyle name="Standard 4 3 6 2 6 2" xfId="24288" xr:uid="{00000000-0005-0000-0000-0000A75F0000}"/>
    <cellStyle name="Standard 4 3 6 2 6 3" xfId="24289" xr:uid="{00000000-0005-0000-0000-0000A85F0000}"/>
    <cellStyle name="Standard 4 3 6 2 7" xfId="24290" xr:uid="{00000000-0005-0000-0000-0000A95F0000}"/>
    <cellStyle name="Standard 4 3 6 2 7 2" xfId="24291" xr:uid="{00000000-0005-0000-0000-0000AA5F0000}"/>
    <cellStyle name="Standard 4 3 6 2 7 3" xfId="24292" xr:uid="{00000000-0005-0000-0000-0000AB5F0000}"/>
    <cellStyle name="Standard 4 3 6 2 8" xfId="24293" xr:uid="{00000000-0005-0000-0000-0000AC5F0000}"/>
    <cellStyle name="Standard 4 3 6 2 8 2" xfId="24294" xr:uid="{00000000-0005-0000-0000-0000AD5F0000}"/>
    <cellStyle name="Standard 4 3 6 2 9" xfId="24295" xr:uid="{00000000-0005-0000-0000-0000AE5F0000}"/>
    <cellStyle name="Standard 4 3 6 3" xfId="24296" xr:uid="{00000000-0005-0000-0000-0000AF5F0000}"/>
    <cellStyle name="Standard 4 3 6 3 2" xfId="24297" xr:uid="{00000000-0005-0000-0000-0000B05F0000}"/>
    <cellStyle name="Standard 4 3 6 3 2 2" xfId="24298" xr:uid="{00000000-0005-0000-0000-0000B15F0000}"/>
    <cellStyle name="Standard 4 3 6 3 2 2 2" xfId="24299" xr:uid="{00000000-0005-0000-0000-0000B25F0000}"/>
    <cellStyle name="Standard 4 3 6 3 2 2 2 2" xfId="24300" xr:uid="{00000000-0005-0000-0000-0000B35F0000}"/>
    <cellStyle name="Standard 4 3 6 3 2 2 2 3" xfId="24301" xr:uid="{00000000-0005-0000-0000-0000B45F0000}"/>
    <cellStyle name="Standard 4 3 6 3 2 2 3" xfId="24302" xr:uid="{00000000-0005-0000-0000-0000B55F0000}"/>
    <cellStyle name="Standard 4 3 6 3 2 2 3 2" xfId="24303" xr:uid="{00000000-0005-0000-0000-0000B65F0000}"/>
    <cellStyle name="Standard 4 3 6 3 2 2 3 3" xfId="24304" xr:uid="{00000000-0005-0000-0000-0000B75F0000}"/>
    <cellStyle name="Standard 4 3 6 3 2 2 4" xfId="24305" xr:uid="{00000000-0005-0000-0000-0000B85F0000}"/>
    <cellStyle name="Standard 4 3 6 3 2 2 4 2" xfId="24306" xr:uid="{00000000-0005-0000-0000-0000B95F0000}"/>
    <cellStyle name="Standard 4 3 6 3 2 2 5" xfId="24307" xr:uid="{00000000-0005-0000-0000-0000BA5F0000}"/>
    <cellStyle name="Standard 4 3 6 3 2 2 6" xfId="24308" xr:uid="{00000000-0005-0000-0000-0000BB5F0000}"/>
    <cellStyle name="Standard 4 3 6 3 2 3" xfId="24309" xr:uid="{00000000-0005-0000-0000-0000BC5F0000}"/>
    <cellStyle name="Standard 4 3 6 3 2 3 2" xfId="24310" xr:uid="{00000000-0005-0000-0000-0000BD5F0000}"/>
    <cellStyle name="Standard 4 3 6 3 2 3 3" xfId="24311" xr:uid="{00000000-0005-0000-0000-0000BE5F0000}"/>
    <cellStyle name="Standard 4 3 6 3 2 4" xfId="24312" xr:uid="{00000000-0005-0000-0000-0000BF5F0000}"/>
    <cellStyle name="Standard 4 3 6 3 2 4 2" xfId="24313" xr:uid="{00000000-0005-0000-0000-0000C05F0000}"/>
    <cellStyle name="Standard 4 3 6 3 2 4 3" xfId="24314" xr:uid="{00000000-0005-0000-0000-0000C15F0000}"/>
    <cellStyle name="Standard 4 3 6 3 2 5" xfId="24315" xr:uid="{00000000-0005-0000-0000-0000C25F0000}"/>
    <cellStyle name="Standard 4 3 6 3 2 5 2" xfId="24316" xr:uid="{00000000-0005-0000-0000-0000C35F0000}"/>
    <cellStyle name="Standard 4 3 6 3 2 6" xfId="24317" xr:uid="{00000000-0005-0000-0000-0000C45F0000}"/>
    <cellStyle name="Standard 4 3 6 3 2 7" xfId="24318" xr:uid="{00000000-0005-0000-0000-0000C55F0000}"/>
    <cellStyle name="Standard 4 3 6 3 3" xfId="24319" xr:uid="{00000000-0005-0000-0000-0000C65F0000}"/>
    <cellStyle name="Standard 4 3 6 3 3 2" xfId="24320" xr:uid="{00000000-0005-0000-0000-0000C75F0000}"/>
    <cellStyle name="Standard 4 3 6 3 3 2 2" xfId="24321" xr:uid="{00000000-0005-0000-0000-0000C85F0000}"/>
    <cellStyle name="Standard 4 3 6 3 3 2 3" xfId="24322" xr:uid="{00000000-0005-0000-0000-0000C95F0000}"/>
    <cellStyle name="Standard 4 3 6 3 3 3" xfId="24323" xr:uid="{00000000-0005-0000-0000-0000CA5F0000}"/>
    <cellStyle name="Standard 4 3 6 3 3 3 2" xfId="24324" xr:uid="{00000000-0005-0000-0000-0000CB5F0000}"/>
    <cellStyle name="Standard 4 3 6 3 3 3 3" xfId="24325" xr:uid="{00000000-0005-0000-0000-0000CC5F0000}"/>
    <cellStyle name="Standard 4 3 6 3 3 4" xfId="24326" xr:uid="{00000000-0005-0000-0000-0000CD5F0000}"/>
    <cellStyle name="Standard 4 3 6 3 3 4 2" xfId="24327" xr:uid="{00000000-0005-0000-0000-0000CE5F0000}"/>
    <cellStyle name="Standard 4 3 6 3 3 5" xfId="24328" xr:uid="{00000000-0005-0000-0000-0000CF5F0000}"/>
    <cellStyle name="Standard 4 3 6 3 3 6" xfId="24329" xr:uid="{00000000-0005-0000-0000-0000D05F0000}"/>
    <cellStyle name="Standard 4 3 6 3 4" xfId="24330" xr:uid="{00000000-0005-0000-0000-0000D15F0000}"/>
    <cellStyle name="Standard 4 3 6 3 4 2" xfId="24331" xr:uid="{00000000-0005-0000-0000-0000D25F0000}"/>
    <cellStyle name="Standard 4 3 6 3 4 3" xfId="24332" xr:uid="{00000000-0005-0000-0000-0000D35F0000}"/>
    <cellStyle name="Standard 4 3 6 3 5" xfId="24333" xr:uid="{00000000-0005-0000-0000-0000D45F0000}"/>
    <cellStyle name="Standard 4 3 6 3 5 2" xfId="24334" xr:uid="{00000000-0005-0000-0000-0000D55F0000}"/>
    <cellStyle name="Standard 4 3 6 3 5 3" xfId="24335" xr:uid="{00000000-0005-0000-0000-0000D65F0000}"/>
    <cellStyle name="Standard 4 3 6 3 6" xfId="24336" xr:uid="{00000000-0005-0000-0000-0000D75F0000}"/>
    <cellStyle name="Standard 4 3 6 3 6 2" xfId="24337" xr:uid="{00000000-0005-0000-0000-0000D85F0000}"/>
    <cellStyle name="Standard 4 3 6 3 7" xfId="24338" xr:uid="{00000000-0005-0000-0000-0000D95F0000}"/>
    <cellStyle name="Standard 4 3 6 3 8" xfId="24339" xr:uid="{00000000-0005-0000-0000-0000DA5F0000}"/>
    <cellStyle name="Standard 4 3 6 4" xfId="24340" xr:uid="{00000000-0005-0000-0000-0000DB5F0000}"/>
    <cellStyle name="Standard 4 3 6 4 2" xfId="24341" xr:uid="{00000000-0005-0000-0000-0000DC5F0000}"/>
    <cellStyle name="Standard 4 3 6 4 2 2" xfId="24342" xr:uid="{00000000-0005-0000-0000-0000DD5F0000}"/>
    <cellStyle name="Standard 4 3 6 4 2 2 2" xfId="24343" xr:uid="{00000000-0005-0000-0000-0000DE5F0000}"/>
    <cellStyle name="Standard 4 3 6 4 2 2 2 2" xfId="24344" xr:uid="{00000000-0005-0000-0000-0000DF5F0000}"/>
    <cellStyle name="Standard 4 3 6 4 2 2 2 3" xfId="24345" xr:uid="{00000000-0005-0000-0000-0000E05F0000}"/>
    <cellStyle name="Standard 4 3 6 4 2 2 3" xfId="24346" xr:uid="{00000000-0005-0000-0000-0000E15F0000}"/>
    <cellStyle name="Standard 4 3 6 4 2 2 3 2" xfId="24347" xr:uid="{00000000-0005-0000-0000-0000E25F0000}"/>
    <cellStyle name="Standard 4 3 6 4 2 2 3 3" xfId="24348" xr:uid="{00000000-0005-0000-0000-0000E35F0000}"/>
    <cellStyle name="Standard 4 3 6 4 2 2 4" xfId="24349" xr:uid="{00000000-0005-0000-0000-0000E45F0000}"/>
    <cellStyle name="Standard 4 3 6 4 2 2 4 2" xfId="24350" xr:uid="{00000000-0005-0000-0000-0000E55F0000}"/>
    <cellStyle name="Standard 4 3 6 4 2 2 5" xfId="24351" xr:uid="{00000000-0005-0000-0000-0000E65F0000}"/>
    <cellStyle name="Standard 4 3 6 4 2 2 6" xfId="24352" xr:uid="{00000000-0005-0000-0000-0000E75F0000}"/>
    <cellStyle name="Standard 4 3 6 4 2 3" xfId="24353" xr:uid="{00000000-0005-0000-0000-0000E85F0000}"/>
    <cellStyle name="Standard 4 3 6 4 2 3 2" xfId="24354" xr:uid="{00000000-0005-0000-0000-0000E95F0000}"/>
    <cellStyle name="Standard 4 3 6 4 2 3 3" xfId="24355" xr:uid="{00000000-0005-0000-0000-0000EA5F0000}"/>
    <cellStyle name="Standard 4 3 6 4 2 4" xfId="24356" xr:uid="{00000000-0005-0000-0000-0000EB5F0000}"/>
    <cellStyle name="Standard 4 3 6 4 2 4 2" xfId="24357" xr:uid="{00000000-0005-0000-0000-0000EC5F0000}"/>
    <cellStyle name="Standard 4 3 6 4 2 4 3" xfId="24358" xr:uid="{00000000-0005-0000-0000-0000ED5F0000}"/>
    <cellStyle name="Standard 4 3 6 4 2 5" xfId="24359" xr:uid="{00000000-0005-0000-0000-0000EE5F0000}"/>
    <cellStyle name="Standard 4 3 6 4 2 5 2" xfId="24360" xr:uid="{00000000-0005-0000-0000-0000EF5F0000}"/>
    <cellStyle name="Standard 4 3 6 4 2 6" xfId="24361" xr:uid="{00000000-0005-0000-0000-0000F05F0000}"/>
    <cellStyle name="Standard 4 3 6 4 2 7" xfId="24362" xr:uid="{00000000-0005-0000-0000-0000F15F0000}"/>
    <cellStyle name="Standard 4 3 6 4 3" xfId="24363" xr:uid="{00000000-0005-0000-0000-0000F25F0000}"/>
    <cellStyle name="Standard 4 3 6 4 3 2" xfId="24364" xr:uid="{00000000-0005-0000-0000-0000F35F0000}"/>
    <cellStyle name="Standard 4 3 6 4 3 2 2" xfId="24365" xr:uid="{00000000-0005-0000-0000-0000F45F0000}"/>
    <cellStyle name="Standard 4 3 6 4 3 2 3" xfId="24366" xr:uid="{00000000-0005-0000-0000-0000F55F0000}"/>
    <cellStyle name="Standard 4 3 6 4 3 3" xfId="24367" xr:uid="{00000000-0005-0000-0000-0000F65F0000}"/>
    <cellStyle name="Standard 4 3 6 4 3 3 2" xfId="24368" xr:uid="{00000000-0005-0000-0000-0000F75F0000}"/>
    <cellStyle name="Standard 4 3 6 4 3 3 3" xfId="24369" xr:uid="{00000000-0005-0000-0000-0000F85F0000}"/>
    <cellStyle name="Standard 4 3 6 4 3 4" xfId="24370" xr:uid="{00000000-0005-0000-0000-0000F95F0000}"/>
    <cellStyle name="Standard 4 3 6 4 3 4 2" xfId="24371" xr:uid="{00000000-0005-0000-0000-0000FA5F0000}"/>
    <cellStyle name="Standard 4 3 6 4 3 5" xfId="24372" xr:uid="{00000000-0005-0000-0000-0000FB5F0000}"/>
    <cellStyle name="Standard 4 3 6 4 3 6" xfId="24373" xr:uid="{00000000-0005-0000-0000-0000FC5F0000}"/>
    <cellStyle name="Standard 4 3 6 4 4" xfId="24374" xr:uid="{00000000-0005-0000-0000-0000FD5F0000}"/>
    <cellStyle name="Standard 4 3 6 4 4 2" xfId="24375" xr:uid="{00000000-0005-0000-0000-0000FE5F0000}"/>
    <cellStyle name="Standard 4 3 6 4 4 3" xfId="24376" xr:uid="{00000000-0005-0000-0000-0000FF5F0000}"/>
    <cellStyle name="Standard 4 3 6 4 5" xfId="24377" xr:uid="{00000000-0005-0000-0000-000000600000}"/>
    <cellStyle name="Standard 4 3 6 4 5 2" xfId="24378" xr:uid="{00000000-0005-0000-0000-000001600000}"/>
    <cellStyle name="Standard 4 3 6 4 5 3" xfId="24379" xr:uid="{00000000-0005-0000-0000-000002600000}"/>
    <cellStyle name="Standard 4 3 6 4 6" xfId="24380" xr:uid="{00000000-0005-0000-0000-000003600000}"/>
    <cellStyle name="Standard 4 3 6 4 6 2" xfId="24381" xr:uid="{00000000-0005-0000-0000-000004600000}"/>
    <cellStyle name="Standard 4 3 6 4 7" xfId="24382" xr:uid="{00000000-0005-0000-0000-000005600000}"/>
    <cellStyle name="Standard 4 3 6 4 8" xfId="24383" xr:uid="{00000000-0005-0000-0000-000006600000}"/>
    <cellStyle name="Standard 4 3 6 5" xfId="24384" xr:uid="{00000000-0005-0000-0000-000007600000}"/>
    <cellStyle name="Standard 4 3 6 5 2" xfId="24385" xr:uid="{00000000-0005-0000-0000-000008600000}"/>
    <cellStyle name="Standard 4 3 6 5 2 2" xfId="24386" xr:uid="{00000000-0005-0000-0000-000009600000}"/>
    <cellStyle name="Standard 4 3 6 5 2 2 2" xfId="24387" xr:uid="{00000000-0005-0000-0000-00000A600000}"/>
    <cellStyle name="Standard 4 3 6 5 2 2 3" xfId="24388" xr:uid="{00000000-0005-0000-0000-00000B600000}"/>
    <cellStyle name="Standard 4 3 6 5 2 3" xfId="24389" xr:uid="{00000000-0005-0000-0000-00000C600000}"/>
    <cellStyle name="Standard 4 3 6 5 2 3 2" xfId="24390" xr:uid="{00000000-0005-0000-0000-00000D600000}"/>
    <cellStyle name="Standard 4 3 6 5 2 3 3" xfId="24391" xr:uid="{00000000-0005-0000-0000-00000E600000}"/>
    <cellStyle name="Standard 4 3 6 5 2 4" xfId="24392" xr:uid="{00000000-0005-0000-0000-00000F600000}"/>
    <cellStyle name="Standard 4 3 6 5 2 4 2" xfId="24393" xr:uid="{00000000-0005-0000-0000-000010600000}"/>
    <cellStyle name="Standard 4 3 6 5 2 5" xfId="24394" xr:uid="{00000000-0005-0000-0000-000011600000}"/>
    <cellStyle name="Standard 4 3 6 5 2 6" xfId="24395" xr:uid="{00000000-0005-0000-0000-000012600000}"/>
    <cellStyle name="Standard 4 3 6 5 3" xfId="24396" xr:uid="{00000000-0005-0000-0000-000013600000}"/>
    <cellStyle name="Standard 4 3 6 5 3 2" xfId="24397" xr:uid="{00000000-0005-0000-0000-000014600000}"/>
    <cellStyle name="Standard 4 3 6 5 3 3" xfId="24398" xr:uid="{00000000-0005-0000-0000-000015600000}"/>
    <cellStyle name="Standard 4 3 6 5 4" xfId="24399" xr:uid="{00000000-0005-0000-0000-000016600000}"/>
    <cellStyle name="Standard 4 3 6 5 4 2" xfId="24400" xr:uid="{00000000-0005-0000-0000-000017600000}"/>
    <cellStyle name="Standard 4 3 6 5 4 3" xfId="24401" xr:uid="{00000000-0005-0000-0000-000018600000}"/>
    <cellStyle name="Standard 4 3 6 5 5" xfId="24402" xr:uid="{00000000-0005-0000-0000-000019600000}"/>
    <cellStyle name="Standard 4 3 6 5 5 2" xfId="24403" xr:uid="{00000000-0005-0000-0000-00001A600000}"/>
    <cellStyle name="Standard 4 3 6 5 6" xfId="24404" xr:uid="{00000000-0005-0000-0000-00001B600000}"/>
    <cellStyle name="Standard 4 3 6 5 7" xfId="24405" xr:uid="{00000000-0005-0000-0000-00001C600000}"/>
    <cellStyle name="Standard 4 3 6 6" xfId="24406" xr:uid="{00000000-0005-0000-0000-00001D600000}"/>
    <cellStyle name="Standard 4 3 6 6 2" xfId="24407" xr:uid="{00000000-0005-0000-0000-00001E600000}"/>
    <cellStyle name="Standard 4 3 6 6 2 2" xfId="24408" xr:uid="{00000000-0005-0000-0000-00001F600000}"/>
    <cellStyle name="Standard 4 3 6 6 2 3" xfId="24409" xr:uid="{00000000-0005-0000-0000-000020600000}"/>
    <cellStyle name="Standard 4 3 6 6 3" xfId="24410" xr:uid="{00000000-0005-0000-0000-000021600000}"/>
    <cellStyle name="Standard 4 3 6 6 3 2" xfId="24411" xr:uid="{00000000-0005-0000-0000-000022600000}"/>
    <cellStyle name="Standard 4 3 6 6 3 3" xfId="24412" xr:uid="{00000000-0005-0000-0000-000023600000}"/>
    <cellStyle name="Standard 4 3 6 6 4" xfId="24413" xr:uid="{00000000-0005-0000-0000-000024600000}"/>
    <cellStyle name="Standard 4 3 6 6 4 2" xfId="24414" xr:uid="{00000000-0005-0000-0000-000025600000}"/>
    <cellStyle name="Standard 4 3 6 6 5" xfId="24415" xr:uid="{00000000-0005-0000-0000-000026600000}"/>
    <cellStyle name="Standard 4 3 6 6 6" xfId="24416" xr:uid="{00000000-0005-0000-0000-000027600000}"/>
    <cellStyle name="Standard 4 3 6 7" xfId="24417" xr:uid="{00000000-0005-0000-0000-000028600000}"/>
    <cellStyle name="Standard 4 3 6 7 2" xfId="24418" xr:uid="{00000000-0005-0000-0000-000029600000}"/>
    <cellStyle name="Standard 4 3 6 7 3" xfId="24419" xr:uid="{00000000-0005-0000-0000-00002A600000}"/>
    <cellStyle name="Standard 4 3 6 8" xfId="24420" xr:uid="{00000000-0005-0000-0000-00002B600000}"/>
    <cellStyle name="Standard 4 3 6 8 2" xfId="24421" xr:uid="{00000000-0005-0000-0000-00002C600000}"/>
    <cellStyle name="Standard 4 3 6 8 3" xfId="24422" xr:uid="{00000000-0005-0000-0000-00002D600000}"/>
    <cellStyle name="Standard 4 3 6 9" xfId="24423" xr:uid="{00000000-0005-0000-0000-00002E600000}"/>
    <cellStyle name="Standard 4 3 6 9 2" xfId="24424" xr:uid="{00000000-0005-0000-0000-00002F600000}"/>
    <cellStyle name="Standard 4 3 7" xfId="24425" xr:uid="{00000000-0005-0000-0000-000030600000}"/>
    <cellStyle name="Standard 4 3 7 10" xfId="24426" xr:uid="{00000000-0005-0000-0000-000031600000}"/>
    <cellStyle name="Standard 4 3 7 11" xfId="24427" xr:uid="{00000000-0005-0000-0000-000032600000}"/>
    <cellStyle name="Standard 4 3 7 2" xfId="24428" xr:uid="{00000000-0005-0000-0000-000033600000}"/>
    <cellStyle name="Standard 4 3 7 2 10" xfId="24429" xr:uid="{00000000-0005-0000-0000-000034600000}"/>
    <cellStyle name="Standard 4 3 7 2 2" xfId="24430" xr:uid="{00000000-0005-0000-0000-000035600000}"/>
    <cellStyle name="Standard 4 3 7 2 2 2" xfId="24431" xr:uid="{00000000-0005-0000-0000-000036600000}"/>
    <cellStyle name="Standard 4 3 7 2 2 2 2" xfId="24432" xr:uid="{00000000-0005-0000-0000-000037600000}"/>
    <cellStyle name="Standard 4 3 7 2 2 2 2 2" xfId="24433" xr:uid="{00000000-0005-0000-0000-000038600000}"/>
    <cellStyle name="Standard 4 3 7 2 2 2 2 2 2" xfId="24434" xr:uid="{00000000-0005-0000-0000-000039600000}"/>
    <cellStyle name="Standard 4 3 7 2 2 2 2 2 3" xfId="24435" xr:uid="{00000000-0005-0000-0000-00003A600000}"/>
    <cellStyle name="Standard 4 3 7 2 2 2 2 3" xfId="24436" xr:uid="{00000000-0005-0000-0000-00003B600000}"/>
    <cellStyle name="Standard 4 3 7 2 2 2 2 3 2" xfId="24437" xr:uid="{00000000-0005-0000-0000-00003C600000}"/>
    <cellStyle name="Standard 4 3 7 2 2 2 2 3 3" xfId="24438" xr:uid="{00000000-0005-0000-0000-00003D600000}"/>
    <cellStyle name="Standard 4 3 7 2 2 2 2 4" xfId="24439" xr:uid="{00000000-0005-0000-0000-00003E600000}"/>
    <cellStyle name="Standard 4 3 7 2 2 2 2 4 2" xfId="24440" xr:uid="{00000000-0005-0000-0000-00003F600000}"/>
    <cellStyle name="Standard 4 3 7 2 2 2 2 5" xfId="24441" xr:uid="{00000000-0005-0000-0000-000040600000}"/>
    <cellStyle name="Standard 4 3 7 2 2 2 2 6" xfId="24442" xr:uid="{00000000-0005-0000-0000-000041600000}"/>
    <cellStyle name="Standard 4 3 7 2 2 2 3" xfId="24443" xr:uid="{00000000-0005-0000-0000-000042600000}"/>
    <cellStyle name="Standard 4 3 7 2 2 2 3 2" xfId="24444" xr:uid="{00000000-0005-0000-0000-000043600000}"/>
    <cellStyle name="Standard 4 3 7 2 2 2 3 3" xfId="24445" xr:uid="{00000000-0005-0000-0000-000044600000}"/>
    <cellStyle name="Standard 4 3 7 2 2 2 4" xfId="24446" xr:uid="{00000000-0005-0000-0000-000045600000}"/>
    <cellStyle name="Standard 4 3 7 2 2 2 4 2" xfId="24447" xr:uid="{00000000-0005-0000-0000-000046600000}"/>
    <cellStyle name="Standard 4 3 7 2 2 2 4 3" xfId="24448" xr:uid="{00000000-0005-0000-0000-000047600000}"/>
    <cellStyle name="Standard 4 3 7 2 2 2 5" xfId="24449" xr:uid="{00000000-0005-0000-0000-000048600000}"/>
    <cellStyle name="Standard 4 3 7 2 2 2 5 2" xfId="24450" xr:uid="{00000000-0005-0000-0000-000049600000}"/>
    <cellStyle name="Standard 4 3 7 2 2 2 6" xfId="24451" xr:uid="{00000000-0005-0000-0000-00004A600000}"/>
    <cellStyle name="Standard 4 3 7 2 2 2 7" xfId="24452" xr:uid="{00000000-0005-0000-0000-00004B600000}"/>
    <cellStyle name="Standard 4 3 7 2 2 3" xfId="24453" xr:uid="{00000000-0005-0000-0000-00004C600000}"/>
    <cellStyle name="Standard 4 3 7 2 2 3 2" xfId="24454" xr:uid="{00000000-0005-0000-0000-00004D600000}"/>
    <cellStyle name="Standard 4 3 7 2 2 3 2 2" xfId="24455" xr:uid="{00000000-0005-0000-0000-00004E600000}"/>
    <cellStyle name="Standard 4 3 7 2 2 3 2 3" xfId="24456" xr:uid="{00000000-0005-0000-0000-00004F600000}"/>
    <cellStyle name="Standard 4 3 7 2 2 3 3" xfId="24457" xr:uid="{00000000-0005-0000-0000-000050600000}"/>
    <cellStyle name="Standard 4 3 7 2 2 3 3 2" xfId="24458" xr:uid="{00000000-0005-0000-0000-000051600000}"/>
    <cellStyle name="Standard 4 3 7 2 2 3 3 3" xfId="24459" xr:uid="{00000000-0005-0000-0000-000052600000}"/>
    <cellStyle name="Standard 4 3 7 2 2 3 4" xfId="24460" xr:uid="{00000000-0005-0000-0000-000053600000}"/>
    <cellStyle name="Standard 4 3 7 2 2 3 4 2" xfId="24461" xr:uid="{00000000-0005-0000-0000-000054600000}"/>
    <cellStyle name="Standard 4 3 7 2 2 3 5" xfId="24462" xr:uid="{00000000-0005-0000-0000-000055600000}"/>
    <cellStyle name="Standard 4 3 7 2 2 3 6" xfId="24463" xr:uid="{00000000-0005-0000-0000-000056600000}"/>
    <cellStyle name="Standard 4 3 7 2 2 4" xfId="24464" xr:uid="{00000000-0005-0000-0000-000057600000}"/>
    <cellStyle name="Standard 4 3 7 2 2 4 2" xfId="24465" xr:uid="{00000000-0005-0000-0000-000058600000}"/>
    <cellStyle name="Standard 4 3 7 2 2 4 3" xfId="24466" xr:uid="{00000000-0005-0000-0000-000059600000}"/>
    <cellStyle name="Standard 4 3 7 2 2 5" xfId="24467" xr:uid="{00000000-0005-0000-0000-00005A600000}"/>
    <cellStyle name="Standard 4 3 7 2 2 5 2" xfId="24468" xr:uid="{00000000-0005-0000-0000-00005B600000}"/>
    <cellStyle name="Standard 4 3 7 2 2 5 3" xfId="24469" xr:uid="{00000000-0005-0000-0000-00005C600000}"/>
    <cellStyle name="Standard 4 3 7 2 2 6" xfId="24470" xr:uid="{00000000-0005-0000-0000-00005D600000}"/>
    <cellStyle name="Standard 4 3 7 2 2 6 2" xfId="24471" xr:uid="{00000000-0005-0000-0000-00005E600000}"/>
    <cellStyle name="Standard 4 3 7 2 2 7" xfId="24472" xr:uid="{00000000-0005-0000-0000-00005F600000}"/>
    <cellStyle name="Standard 4 3 7 2 2 8" xfId="24473" xr:uid="{00000000-0005-0000-0000-000060600000}"/>
    <cellStyle name="Standard 4 3 7 2 3" xfId="24474" xr:uid="{00000000-0005-0000-0000-000061600000}"/>
    <cellStyle name="Standard 4 3 7 2 3 2" xfId="24475" xr:uid="{00000000-0005-0000-0000-000062600000}"/>
    <cellStyle name="Standard 4 3 7 2 3 2 2" xfId="24476" xr:uid="{00000000-0005-0000-0000-000063600000}"/>
    <cellStyle name="Standard 4 3 7 2 3 2 2 2" xfId="24477" xr:uid="{00000000-0005-0000-0000-000064600000}"/>
    <cellStyle name="Standard 4 3 7 2 3 2 2 2 2" xfId="24478" xr:uid="{00000000-0005-0000-0000-000065600000}"/>
    <cellStyle name="Standard 4 3 7 2 3 2 2 2 3" xfId="24479" xr:uid="{00000000-0005-0000-0000-000066600000}"/>
    <cellStyle name="Standard 4 3 7 2 3 2 2 3" xfId="24480" xr:uid="{00000000-0005-0000-0000-000067600000}"/>
    <cellStyle name="Standard 4 3 7 2 3 2 2 3 2" xfId="24481" xr:uid="{00000000-0005-0000-0000-000068600000}"/>
    <cellStyle name="Standard 4 3 7 2 3 2 2 3 3" xfId="24482" xr:uid="{00000000-0005-0000-0000-000069600000}"/>
    <cellStyle name="Standard 4 3 7 2 3 2 2 4" xfId="24483" xr:uid="{00000000-0005-0000-0000-00006A600000}"/>
    <cellStyle name="Standard 4 3 7 2 3 2 2 4 2" xfId="24484" xr:uid="{00000000-0005-0000-0000-00006B600000}"/>
    <cellStyle name="Standard 4 3 7 2 3 2 2 5" xfId="24485" xr:uid="{00000000-0005-0000-0000-00006C600000}"/>
    <cellStyle name="Standard 4 3 7 2 3 2 2 6" xfId="24486" xr:uid="{00000000-0005-0000-0000-00006D600000}"/>
    <cellStyle name="Standard 4 3 7 2 3 2 3" xfId="24487" xr:uid="{00000000-0005-0000-0000-00006E600000}"/>
    <cellStyle name="Standard 4 3 7 2 3 2 3 2" xfId="24488" xr:uid="{00000000-0005-0000-0000-00006F600000}"/>
    <cellStyle name="Standard 4 3 7 2 3 2 3 3" xfId="24489" xr:uid="{00000000-0005-0000-0000-000070600000}"/>
    <cellStyle name="Standard 4 3 7 2 3 2 4" xfId="24490" xr:uid="{00000000-0005-0000-0000-000071600000}"/>
    <cellStyle name="Standard 4 3 7 2 3 2 4 2" xfId="24491" xr:uid="{00000000-0005-0000-0000-000072600000}"/>
    <cellStyle name="Standard 4 3 7 2 3 2 4 3" xfId="24492" xr:uid="{00000000-0005-0000-0000-000073600000}"/>
    <cellStyle name="Standard 4 3 7 2 3 2 5" xfId="24493" xr:uid="{00000000-0005-0000-0000-000074600000}"/>
    <cellStyle name="Standard 4 3 7 2 3 2 5 2" xfId="24494" xr:uid="{00000000-0005-0000-0000-000075600000}"/>
    <cellStyle name="Standard 4 3 7 2 3 2 6" xfId="24495" xr:uid="{00000000-0005-0000-0000-000076600000}"/>
    <cellStyle name="Standard 4 3 7 2 3 2 7" xfId="24496" xr:uid="{00000000-0005-0000-0000-000077600000}"/>
    <cellStyle name="Standard 4 3 7 2 3 3" xfId="24497" xr:uid="{00000000-0005-0000-0000-000078600000}"/>
    <cellStyle name="Standard 4 3 7 2 3 3 2" xfId="24498" xr:uid="{00000000-0005-0000-0000-000079600000}"/>
    <cellStyle name="Standard 4 3 7 2 3 3 2 2" xfId="24499" xr:uid="{00000000-0005-0000-0000-00007A600000}"/>
    <cellStyle name="Standard 4 3 7 2 3 3 2 3" xfId="24500" xr:uid="{00000000-0005-0000-0000-00007B600000}"/>
    <cellStyle name="Standard 4 3 7 2 3 3 3" xfId="24501" xr:uid="{00000000-0005-0000-0000-00007C600000}"/>
    <cellStyle name="Standard 4 3 7 2 3 3 3 2" xfId="24502" xr:uid="{00000000-0005-0000-0000-00007D600000}"/>
    <cellStyle name="Standard 4 3 7 2 3 3 3 3" xfId="24503" xr:uid="{00000000-0005-0000-0000-00007E600000}"/>
    <cellStyle name="Standard 4 3 7 2 3 3 4" xfId="24504" xr:uid="{00000000-0005-0000-0000-00007F600000}"/>
    <cellStyle name="Standard 4 3 7 2 3 3 4 2" xfId="24505" xr:uid="{00000000-0005-0000-0000-000080600000}"/>
    <cellStyle name="Standard 4 3 7 2 3 3 5" xfId="24506" xr:uid="{00000000-0005-0000-0000-000081600000}"/>
    <cellStyle name="Standard 4 3 7 2 3 3 6" xfId="24507" xr:uid="{00000000-0005-0000-0000-000082600000}"/>
    <cellStyle name="Standard 4 3 7 2 3 4" xfId="24508" xr:uid="{00000000-0005-0000-0000-000083600000}"/>
    <cellStyle name="Standard 4 3 7 2 3 4 2" xfId="24509" xr:uid="{00000000-0005-0000-0000-000084600000}"/>
    <cellStyle name="Standard 4 3 7 2 3 4 3" xfId="24510" xr:uid="{00000000-0005-0000-0000-000085600000}"/>
    <cellStyle name="Standard 4 3 7 2 3 5" xfId="24511" xr:uid="{00000000-0005-0000-0000-000086600000}"/>
    <cellStyle name="Standard 4 3 7 2 3 5 2" xfId="24512" xr:uid="{00000000-0005-0000-0000-000087600000}"/>
    <cellStyle name="Standard 4 3 7 2 3 5 3" xfId="24513" xr:uid="{00000000-0005-0000-0000-000088600000}"/>
    <cellStyle name="Standard 4 3 7 2 3 6" xfId="24514" xr:uid="{00000000-0005-0000-0000-000089600000}"/>
    <cellStyle name="Standard 4 3 7 2 3 6 2" xfId="24515" xr:uid="{00000000-0005-0000-0000-00008A600000}"/>
    <cellStyle name="Standard 4 3 7 2 3 7" xfId="24516" xr:uid="{00000000-0005-0000-0000-00008B600000}"/>
    <cellStyle name="Standard 4 3 7 2 3 8" xfId="24517" xr:uid="{00000000-0005-0000-0000-00008C600000}"/>
    <cellStyle name="Standard 4 3 7 2 4" xfId="24518" xr:uid="{00000000-0005-0000-0000-00008D600000}"/>
    <cellStyle name="Standard 4 3 7 2 4 2" xfId="24519" xr:uid="{00000000-0005-0000-0000-00008E600000}"/>
    <cellStyle name="Standard 4 3 7 2 4 2 2" xfId="24520" xr:uid="{00000000-0005-0000-0000-00008F600000}"/>
    <cellStyle name="Standard 4 3 7 2 4 2 2 2" xfId="24521" xr:uid="{00000000-0005-0000-0000-000090600000}"/>
    <cellStyle name="Standard 4 3 7 2 4 2 2 3" xfId="24522" xr:uid="{00000000-0005-0000-0000-000091600000}"/>
    <cellStyle name="Standard 4 3 7 2 4 2 3" xfId="24523" xr:uid="{00000000-0005-0000-0000-000092600000}"/>
    <cellStyle name="Standard 4 3 7 2 4 2 3 2" xfId="24524" xr:uid="{00000000-0005-0000-0000-000093600000}"/>
    <cellStyle name="Standard 4 3 7 2 4 2 3 3" xfId="24525" xr:uid="{00000000-0005-0000-0000-000094600000}"/>
    <cellStyle name="Standard 4 3 7 2 4 2 4" xfId="24526" xr:uid="{00000000-0005-0000-0000-000095600000}"/>
    <cellStyle name="Standard 4 3 7 2 4 2 4 2" xfId="24527" xr:uid="{00000000-0005-0000-0000-000096600000}"/>
    <cellStyle name="Standard 4 3 7 2 4 2 5" xfId="24528" xr:uid="{00000000-0005-0000-0000-000097600000}"/>
    <cellStyle name="Standard 4 3 7 2 4 2 6" xfId="24529" xr:uid="{00000000-0005-0000-0000-000098600000}"/>
    <cellStyle name="Standard 4 3 7 2 4 3" xfId="24530" xr:uid="{00000000-0005-0000-0000-000099600000}"/>
    <cellStyle name="Standard 4 3 7 2 4 3 2" xfId="24531" xr:uid="{00000000-0005-0000-0000-00009A600000}"/>
    <cellStyle name="Standard 4 3 7 2 4 3 3" xfId="24532" xr:uid="{00000000-0005-0000-0000-00009B600000}"/>
    <cellStyle name="Standard 4 3 7 2 4 4" xfId="24533" xr:uid="{00000000-0005-0000-0000-00009C600000}"/>
    <cellStyle name="Standard 4 3 7 2 4 4 2" xfId="24534" xr:uid="{00000000-0005-0000-0000-00009D600000}"/>
    <cellStyle name="Standard 4 3 7 2 4 4 3" xfId="24535" xr:uid="{00000000-0005-0000-0000-00009E600000}"/>
    <cellStyle name="Standard 4 3 7 2 4 5" xfId="24536" xr:uid="{00000000-0005-0000-0000-00009F600000}"/>
    <cellStyle name="Standard 4 3 7 2 4 5 2" xfId="24537" xr:uid="{00000000-0005-0000-0000-0000A0600000}"/>
    <cellStyle name="Standard 4 3 7 2 4 6" xfId="24538" xr:uid="{00000000-0005-0000-0000-0000A1600000}"/>
    <cellStyle name="Standard 4 3 7 2 4 7" xfId="24539" xr:uid="{00000000-0005-0000-0000-0000A2600000}"/>
    <cellStyle name="Standard 4 3 7 2 5" xfId="24540" xr:uid="{00000000-0005-0000-0000-0000A3600000}"/>
    <cellStyle name="Standard 4 3 7 2 5 2" xfId="24541" xr:uid="{00000000-0005-0000-0000-0000A4600000}"/>
    <cellStyle name="Standard 4 3 7 2 5 2 2" xfId="24542" xr:uid="{00000000-0005-0000-0000-0000A5600000}"/>
    <cellStyle name="Standard 4 3 7 2 5 2 3" xfId="24543" xr:uid="{00000000-0005-0000-0000-0000A6600000}"/>
    <cellStyle name="Standard 4 3 7 2 5 3" xfId="24544" xr:uid="{00000000-0005-0000-0000-0000A7600000}"/>
    <cellStyle name="Standard 4 3 7 2 5 3 2" xfId="24545" xr:uid="{00000000-0005-0000-0000-0000A8600000}"/>
    <cellStyle name="Standard 4 3 7 2 5 3 3" xfId="24546" xr:uid="{00000000-0005-0000-0000-0000A9600000}"/>
    <cellStyle name="Standard 4 3 7 2 5 4" xfId="24547" xr:uid="{00000000-0005-0000-0000-0000AA600000}"/>
    <cellStyle name="Standard 4 3 7 2 5 4 2" xfId="24548" xr:uid="{00000000-0005-0000-0000-0000AB600000}"/>
    <cellStyle name="Standard 4 3 7 2 5 5" xfId="24549" xr:uid="{00000000-0005-0000-0000-0000AC600000}"/>
    <cellStyle name="Standard 4 3 7 2 5 6" xfId="24550" xr:uid="{00000000-0005-0000-0000-0000AD600000}"/>
    <cellStyle name="Standard 4 3 7 2 6" xfId="24551" xr:uid="{00000000-0005-0000-0000-0000AE600000}"/>
    <cellStyle name="Standard 4 3 7 2 6 2" xfId="24552" xr:uid="{00000000-0005-0000-0000-0000AF600000}"/>
    <cellStyle name="Standard 4 3 7 2 6 3" xfId="24553" xr:uid="{00000000-0005-0000-0000-0000B0600000}"/>
    <cellStyle name="Standard 4 3 7 2 7" xfId="24554" xr:uid="{00000000-0005-0000-0000-0000B1600000}"/>
    <cellStyle name="Standard 4 3 7 2 7 2" xfId="24555" xr:uid="{00000000-0005-0000-0000-0000B2600000}"/>
    <cellStyle name="Standard 4 3 7 2 7 3" xfId="24556" xr:uid="{00000000-0005-0000-0000-0000B3600000}"/>
    <cellStyle name="Standard 4 3 7 2 8" xfId="24557" xr:uid="{00000000-0005-0000-0000-0000B4600000}"/>
    <cellStyle name="Standard 4 3 7 2 8 2" xfId="24558" xr:uid="{00000000-0005-0000-0000-0000B5600000}"/>
    <cellStyle name="Standard 4 3 7 2 9" xfId="24559" xr:uid="{00000000-0005-0000-0000-0000B6600000}"/>
    <cellStyle name="Standard 4 3 7 3" xfId="24560" xr:uid="{00000000-0005-0000-0000-0000B7600000}"/>
    <cellStyle name="Standard 4 3 7 3 2" xfId="24561" xr:uid="{00000000-0005-0000-0000-0000B8600000}"/>
    <cellStyle name="Standard 4 3 7 3 2 2" xfId="24562" xr:uid="{00000000-0005-0000-0000-0000B9600000}"/>
    <cellStyle name="Standard 4 3 7 3 2 2 2" xfId="24563" xr:uid="{00000000-0005-0000-0000-0000BA600000}"/>
    <cellStyle name="Standard 4 3 7 3 2 2 2 2" xfId="24564" xr:uid="{00000000-0005-0000-0000-0000BB600000}"/>
    <cellStyle name="Standard 4 3 7 3 2 2 2 3" xfId="24565" xr:uid="{00000000-0005-0000-0000-0000BC600000}"/>
    <cellStyle name="Standard 4 3 7 3 2 2 3" xfId="24566" xr:uid="{00000000-0005-0000-0000-0000BD600000}"/>
    <cellStyle name="Standard 4 3 7 3 2 2 3 2" xfId="24567" xr:uid="{00000000-0005-0000-0000-0000BE600000}"/>
    <cellStyle name="Standard 4 3 7 3 2 2 3 3" xfId="24568" xr:uid="{00000000-0005-0000-0000-0000BF600000}"/>
    <cellStyle name="Standard 4 3 7 3 2 2 4" xfId="24569" xr:uid="{00000000-0005-0000-0000-0000C0600000}"/>
    <cellStyle name="Standard 4 3 7 3 2 2 4 2" xfId="24570" xr:uid="{00000000-0005-0000-0000-0000C1600000}"/>
    <cellStyle name="Standard 4 3 7 3 2 2 5" xfId="24571" xr:uid="{00000000-0005-0000-0000-0000C2600000}"/>
    <cellStyle name="Standard 4 3 7 3 2 2 6" xfId="24572" xr:uid="{00000000-0005-0000-0000-0000C3600000}"/>
    <cellStyle name="Standard 4 3 7 3 2 3" xfId="24573" xr:uid="{00000000-0005-0000-0000-0000C4600000}"/>
    <cellStyle name="Standard 4 3 7 3 2 3 2" xfId="24574" xr:uid="{00000000-0005-0000-0000-0000C5600000}"/>
    <cellStyle name="Standard 4 3 7 3 2 3 3" xfId="24575" xr:uid="{00000000-0005-0000-0000-0000C6600000}"/>
    <cellStyle name="Standard 4 3 7 3 2 4" xfId="24576" xr:uid="{00000000-0005-0000-0000-0000C7600000}"/>
    <cellStyle name="Standard 4 3 7 3 2 4 2" xfId="24577" xr:uid="{00000000-0005-0000-0000-0000C8600000}"/>
    <cellStyle name="Standard 4 3 7 3 2 4 3" xfId="24578" xr:uid="{00000000-0005-0000-0000-0000C9600000}"/>
    <cellStyle name="Standard 4 3 7 3 2 5" xfId="24579" xr:uid="{00000000-0005-0000-0000-0000CA600000}"/>
    <cellStyle name="Standard 4 3 7 3 2 5 2" xfId="24580" xr:uid="{00000000-0005-0000-0000-0000CB600000}"/>
    <cellStyle name="Standard 4 3 7 3 2 6" xfId="24581" xr:uid="{00000000-0005-0000-0000-0000CC600000}"/>
    <cellStyle name="Standard 4 3 7 3 2 7" xfId="24582" xr:uid="{00000000-0005-0000-0000-0000CD600000}"/>
    <cellStyle name="Standard 4 3 7 3 3" xfId="24583" xr:uid="{00000000-0005-0000-0000-0000CE600000}"/>
    <cellStyle name="Standard 4 3 7 3 3 2" xfId="24584" xr:uid="{00000000-0005-0000-0000-0000CF600000}"/>
    <cellStyle name="Standard 4 3 7 3 3 2 2" xfId="24585" xr:uid="{00000000-0005-0000-0000-0000D0600000}"/>
    <cellStyle name="Standard 4 3 7 3 3 2 3" xfId="24586" xr:uid="{00000000-0005-0000-0000-0000D1600000}"/>
    <cellStyle name="Standard 4 3 7 3 3 3" xfId="24587" xr:uid="{00000000-0005-0000-0000-0000D2600000}"/>
    <cellStyle name="Standard 4 3 7 3 3 3 2" xfId="24588" xr:uid="{00000000-0005-0000-0000-0000D3600000}"/>
    <cellStyle name="Standard 4 3 7 3 3 3 3" xfId="24589" xr:uid="{00000000-0005-0000-0000-0000D4600000}"/>
    <cellStyle name="Standard 4 3 7 3 3 4" xfId="24590" xr:uid="{00000000-0005-0000-0000-0000D5600000}"/>
    <cellStyle name="Standard 4 3 7 3 3 4 2" xfId="24591" xr:uid="{00000000-0005-0000-0000-0000D6600000}"/>
    <cellStyle name="Standard 4 3 7 3 3 5" xfId="24592" xr:uid="{00000000-0005-0000-0000-0000D7600000}"/>
    <cellStyle name="Standard 4 3 7 3 3 6" xfId="24593" xr:uid="{00000000-0005-0000-0000-0000D8600000}"/>
    <cellStyle name="Standard 4 3 7 3 4" xfId="24594" xr:uid="{00000000-0005-0000-0000-0000D9600000}"/>
    <cellStyle name="Standard 4 3 7 3 4 2" xfId="24595" xr:uid="{00000000-0005-0000-0000-0000DA600000}"/>
    <cellStyle name="Standard 4 3 7 3 4 3" xfId="24596" xr:uid="{00000000-0005-0000-0000-0000DB600000}"/>
    <cellStyle name="Standard 4 3 7 3 5" xfId="24597" xr:uid="{00000000-0005-0000-0000-0000DC600000}"/>
    <cellStyle name="Standard 4 3 7 3 5 2" xfId="24598" xr:uid="{00000000-0005-0000-0000-0000DD600000}"/>
    <cellStyle name="Standard 4 3 7 3 5 3" xfId="24599" xr:uid="{00000000-0005-0000-0000-0000DE600000}"/>
    <cellStyle name="Standard 4 3 7 3 6" xfId="24600" xr:uid="{00000000-0005-0000-0000-0000DF600000}"/>
    <cellStyle name="Standard 4 3 7 3 6 2" xfId="24601" xr:uid="{00000000-0005-0000-0000-0000E0600000}"/>
    <cellStyle name="Standard 4 3 7 3 7" xfId="24602" xr:uid="{00000000-0005-0000-0000-0000E1600000}"/>
    <cellStyle name="Standard 4 3 7 3 8" xfId="24603" xr:uid="{00000000-0005-0000-0000-0000E2600000}"/>
    <cellStyle name="Standard 4 3 7 4" xfId="24604" xr:uid="{00000000-0005-0000-0000-0000E3600000}"/>
    <cellStyle name="Standard 4 3 7 4 2" xfId="24605" xr:uid="{00000000-0005-0000-0000-0000E4600000}"/>
    <cellStyle name="Standard 4 3 7 4 2 2" xfId="24606" xr:uid="{00000000-0005-0000-0000-0000E5600000}"/>
    <cellStyle name="Standard 4 3 7 4 2 2 2" xfId="24607" xr:uid="{00000000-0005-0000-0000-0000E6600000}"/>
    <cellStyle name="Standard 4 3 7 4 2 2 2 2" xfId="24608" xr:uid="{00000000-0005-0000-0000-0000E7600000}"/>
    <cellStyle name="Standard 4 3 7 4 2 2 2 3" xfId="24609" xr:uid="{00000000-0005-0000-0000-0000E8600000}"/>
    <cellStyle name="Standard 4 3 7 4 2 2 3" xfId="24610" xr:uid="{00000000-0005-0000-0000-0000E9600000}"/>
    <cellStyle name="Standard 4 3 7 4 2 2 3 2" xfId="24611" xr:uid="{00000000-0005-0000-0000-0000EA600000}"/>
    <cellStyle name="Standard 4 3 7 4 2 2 3 3" xfId="24612" xr:uid="{00000000-0005-0000-0000-0000EB600000}"/>
    <cellStyle name="Standard 4 3 7 4 2 2 4" xfId="24613" xr:uid="{00000000-0005-0000-0000-0000EC600000}"/>
    <cellStyle name="Standard 4 3 7 4 2 2 4 2" xfId="24614" xr:uid="{00000000-0005-0000-0000-0000ED600000}"/>
    <cellStyle name="Standard 4 3 7 4 2 2 5" xfId="24615" xr:uid="{00000000-0005-0000-0000-0000EE600000}"/>
    <cellStyle name="Standard 4 3 7 4 2 2 6" xfId="24616" xr:uid="{00000000-0005-0000-0000-0000EF600000}"/>
    <cellStyle name="Standard 4 3 7 4 2 3" xfId="24617" xr:uid="{00000000-0005-0000-0000-0000F0600000}"/>
    <cellStyle name="Standard 4 3 7 4 2 3 2" xfId="24618" xr:uid="{00000000-0005-0000-0000-0000F1600000}"/>
    <cellStyle name="Standard 4 3 7 4 2 3 3" xfId="24619" xr:uid="{00000000-0005-0000-0000-0000F2600000}"/>
    <cellStyle name="Standard 4 3 7 4 2 4" xfId="24620" xr:uid="{00000000-0005-0000-0000-0000F3600000}"/>
    <cellStyle name="Standard 4 3 7 4 2 4 2" xfId="24621" xr:uid="{00000000-0005-0000-0000-0000F4600000}"/>
    <cellStyle name="Standard 4 3 7 4 2 4 3" xfId="24622" xr:uid="{00000000-0005-0000-0000-0000F5600000}"/>
    <cellStyle name="Standard 4 3 7 4 2 5" xfId="24623" xr:uid="{00000000-0005-0000-0000-0000F6600000}"/>
    <cellStyle name="Standard 4 3 7 4 2 5 2" xfId="24624" xr:uid="{00000000-0005-0000-0000-0000F7600000}"/>
    <cellStyle name="Standard 4 3 7 4 2 6" xfId="24625" xr:uid="{00000000-0005-0000-0000-0000F8600000}"/>
    <cellStyle name="Standard 4 3 7 4 2 7" xfId="24626" xr:uid="{00000000-0005-0000-0000-0000F9600000}"/>
    <cellStyle name="Standard 4 3 7 4 3" xfId="24627" xr:uid="{00000000-0005-0000-0000-0000FA600000}"/>
    <cellStyle name="Standard 4 3 7 4 3 2" xfId="24628" xr:uid="{00000000-0005-0000-0000-0000FB600000}"/>
    <cellStyle name="Standard 4 3 7 4 3 2 2" xfId="24629" xr:uid="{00000000-0005-0000-0000-0000FC600000}"/>
    <cellStyle name="Standard 4 3 7 4 3 2 3" xfId="24630" xr:uid="{00000000-0005-0000-0000-0000FD600000}"/>
    <cellStyle name="Standard 4 3 7 4 3 3" xfId="24631" xr:uid="{00000000-0005-0000-0000-0000FE600000}"/>
    <cellStyle name="Standard 4 3 7 4 3 3 2" xfId="24632" xr:uid="{00000000-0005-0000-0000-0000FF600000}"/>
    <cellStyle name="Standard 4 3 7 4 3 3 3" xfId="24633" xr:uid="{00000000-0005-0000-0000-000000610000}"/>
    <cellStyle name="Standard 4 3 7 4 3 4" xfId="24634" xr:uid="{00000000-0005-0000-0000-000001610000}"/>
    <cellStyle name="Standard 4 3 7 4 3 4 2" xfId="24635" xr:uid="{00000000-0005-0000-0000-000002610000}"/>
    <cellStyle name="Standard 4 3 7 4 3 5" xfId="24636" xr:uid="{00000000-0005-0000-0000-000003610000}"/>
    <cellStyle name="Standard 4 3 7 4 3 6" xfId="24637" xr:uid="{00000000-0005-0000-0000-000004610000}"/>
    <cellStyle name="Standard 4 3 7 4 4" xfId="24638" xr:uid="{00000000-0005-0000-0000-000005610000}"/>
    <cellStyle name="Standard 4 3 7 4 4 2" xfId="24639" xr:uid="{00000000-0005-0000-0000-000006610000}"/>
    <cellStyle name="Standard 4 3 7 4 4 3" xfId="24640" xr:uid="{00000000-0005-0000-0000-000007610000}"/>
    <cellStyle name="Standard 4 3 7 4 5" xfId="24641" xr:uid="{00000000-0005-0000-0000-000008610000}"/>
    <cellStyle name="Standard 4 3 7 4 5 2" xfId="24642" xr:uid="{00000000-0005-0000-0000-000009610000}"/>
    <cellStyle name="Standard 4 3 7 4 5 3" xfId="24643" xr:uid="{00000000-0005-0000-0000-00000A610000}"/>
    <cellStyle name="Standard 4 3 7 4 6" xfId="24644" xr:uid="{00000000-0005-0000-0000-00000B610000}"/>
    <cellStyle name="Standard 4 3 7 4 6 2" xfId="24645" xr:uid="{00000000-0005-0000-0000-00000C610000}"/>
    <cellStyle name="Standard 4 3 7 4 7" xfId="24646" xr:uid="{00000000-0005-0000-0000-00000D610000}"/>
    <cellStyle name="Standard 4 3 7 4 8" xfId="24647" xr:uid="{00000000-0005-0000-0000-00000E610000}"/>
    <cellStyle name="Standard 4 3 7 5" xfId="24648" xr:uid="{00000000-0005-0000-0000-00000F610000}"/>
    <cellStyle name="Standard 4 3 7 5 2" xfId="24649" xr:uid="{00000000-0005-0000-0000-000010610000}"/>
    <cellStyle name="Standard 4 3 7 5 2 2" xfId="24650" xr:uid="{00000000-0005-0000-0000-000011610000}"/>
    <cellStyle name="Standard 4 3 7 5 2 2 2" xfId="24651" xr:uid="{00000000-0005-0000-0000-000012610000}"/>
    <cellStyle name="Standard 4 3 7 5 2 2 3" xfId="24652" xr:uid="{00000000-0005-0000-0000-000013610000}"/>
    <cellStyle name="Standard 4 3 7 5 2 3" xfId="24653" xr:uid="{00000000-0005-0000-0000-000014610000}"/>
    <cellStyle name="Standard 4 3 7 5 2 3 2" xfId="24654" xr:uid="{00000000-0005-0000-0000-000015610000}"/>
    <cellStyle name="Standard 4 3 7 5 2 3 3" xfId="24655" xr:uid="{00000000-0005-0000-0000-000016610000}"/>
    <cellStyle name="Standard 4 3 7 5 2 4" xfId="24656" xr:uid="{00000000-0005-0000-0000-000017610000}"/>
    <cellStyle name="Standard 4 3 7 5 2 4 2" xfId="24657" xr:uid="{00000000-0005-0000-0000-000018610000}"/>
    <cellStyle name="Standard 4 3 7 5 2 5" xfId="24658" xr:uid="{00000000-0005-0000-0000-000019610000}"/>
    <cellStyle name="Standard 4 3 7 5 2 6" xfId="24659" xr:uid="{00000000-0005-0000-0000-00001A610000}"/>
    <cellStyle name="Standard 4 3 7 5 3" xfId="24660" xr:uid="{00000000-0005-0000-0000-00001B610000}"/>
    <cellStyle name="Standard 4 3 7 5 3 2" xfId="24661" xr:uid="{00000000-0005-0000-0000-00001C610000}"/>
    <cellStyle name="Standard 4 3 7 5 3 3" xfId="24662" xr:uid="{00000000-0005-0000-0000-00001D610000}"/>
    <cellStyle name="Standard 4 3 7 5 4" xfId="24663" xr:uid="{00000000-0005-0000-0000-00001E610000}"/>
    <cellStyle name="Standard 4 3 7 5 4 2" xfId="24664" xr:uid="{00000000-0005-0000-0000-00001F610000}"/>
    <cellStyle name="Standard 4 3 7 5 4 3" xfId="24665" xr:uid="{00000000-0005-0000-0000-000020610000}"/>
    <cellStyle name="Standard 4 3 7 5 5" xfId="24666" xr:uid="{00000000-0005-0000-0000-000021610000}"/>
    <cellStyle name="Standard 4 3 7 5 5 2" xfId="24667" xr:uid="{00000000-0005-0000-0000-000022610000}"/>
    <cellStyle name="Standard 4 3 7 5 6" xfId="24668" xr:uid="{00000000-0005-0000-0000-000023610000}"/>
    <cellStyle name="Standard 4 3 7 5 7" xfId="24669" xr:uid="{00000000-0005-0000-0000-000024610000}"/>
    <cellStyle name="Standard 4 3 7 6" xfId="24670" xr:uid="{00000000-0005-0000-0000-000025610000}"/>
    <cellStyle name="Standard 4 3 7 6 2" xfId="24671" xr:uid="{00000000-0005-0000-0000-000026610000}"/>
    <cellStyle name="Standard 4 3 7 6 2 2" xfId="24672" xr:uid="{00000000-0005-0000-0000-000027610000}"/>
    <cellStyle name="Standard 4 3 7 6 2 3" xfId="24673" xr:uid="{00000000-0005-0000-0000-000028610000}"/>
    <cellStyle name="Standard 4 3 7 6 3" xfId="24674" xr:uid="{00000000-0005-0000-0000-000029610000}"/>
    <cellStyle name="Standard 4 3 7 6 3 2" xfId="24675" xr:uid="{00000000-0005-0000-0000-00002A610000}"/>
    <cellStyle name="Standard 4 3 7 6 3 3" xfId="24676" xr:uid="{00000000-0005-0000-0000-00002B610000}"/>
    <cellStyle name="Standard 4 3 7 6 4" xfId="24677" xr:uid="{00000000-0005-0000-0000-00002C610000}"/>
    <cellStyle name="Standard 4 3 7 6 4 2" xfId="24678" xr:uid="{00000000-0005-0000-0000-00002D610000}"/>
    <cellStyle name="Standard 4 3 7 6 5" xfId="24679" xr:uid="{00000000-0005-0000-0000-00002E610000}"/>
    <cellStyle name="Standard 4 3 7 6 6" xfId="24680" xr:uid="{00000000-0005-0000-0000-00002F610000}"/>
    <cellStyle name="Standard 4 3 7 7" xfId="24681" xr:uid="{00000000-0005-0000-0000-000030610000}"/>
    <cellStyle name="Standard 4 3 7 7 2" xfId="24682" xr:uid="{00000000-0005-0000-0000-000031610000}"/>
    <cellStyle name="Standard 4 3 7 7 3" xfId="24683" xr:uid="{00000000-0005-0000-0000-000032610000}"/>
    <cellStyle name="Standard 4 3 7 8" xfId="24684" xr:uid="{00000000-0005-0000-0000-000033610000}"/>
    <cellStyle name="Standard 4 3 7 8 2" xfId="24685" xr:uid="{00000000-0005-0000-0000-000034610000}"/>
    <cellStyle name="Standard 4 3 7 8 3" xfId="24686" xr:uid="{00000000-0005-0000-0000-000035610000}"/>
    <cellStyle name="Standard 4 3 7 9" xfId="24687" xr:uid="{00000000-0005-0000-0000-000036610000}"/>
    <cellStyle name="Standard 4 3 7 9 2" xfId="24688" xr:uid="{00000000-0005-0000-0000-000037610000}"/>
    <cellStyle name="Standard 4 3 8" xfId="24689" xr:uid="{00000000-0005-0000-0000-000038610000}"/>
    <cellStyle name="Standard 4 3 8 10" xfId="24690" xr:uid="{00000000-0005-0000-0000-000039610000}"/>
    <cellStyle name="Standard 4 3 8 2" xfId="24691" xr:uid="{00000000-0005-0000-0000-00003A610000}"/>
    <cellStyle name="Standard 4 3 8 2 2" xfId="24692" xr:uid="{00000000-0005-0000-0000-00003B610000}"/>
    <cellStyle name="Standard 4 3 8 2 2 2" xfId="24693" xr:uid="{00000000-0005-0000-0000-00003C610000}"/>
    <cellStyle name="Standard 4 3 8 2 2 2 2" xfId="24694" xr:uid="{00000000-0005-0000-0000-00003D610000}"/>
    <cellStyle name="Standard 4 3 8 2 2 2 2 2" xfId="24695" xr:uid="{00000000-0005-0000-0000-00003E610000}"/>
    <cellStyle name="Standard 4 3 8 2 2 2 2 3" xfId="24696" xr:uid="{00000000-0005-0000-0000-00003F610000}"/>
    <cellStyle name="Standard 4 3 8 2 2 2 3" xfId="24697" xr:uid="{00000000-0005-0000-0000-000040610000}"/>
    <cellStyle name="Standard 4 3 8 2 2 2 3 2" xfId="24698" xr:uid="{00000000-0005-0000-0000-000041610000}"/>
    <cellStyle name="Standard 4 3 8 2 2 2 3 3" xfId="24699" xr:uid="{00000000-0005-0000-0000-000042610000}"/>
    <cellStyle name="Standard 4 3 8 2 2 2 4" xfId="24700" xr:uid="{00000000-0005-0000-0000-000043610000}"/>
    <cellStyle name="Standard 4 3 8 2 2 2 4 2" xfId="24701" xr:uid="{00000000-0005-0000-0000-000044610000}"/>
    <cellStyle name="Standard 4 3 8 2 2 2 5" xfId="24702" xr:uid="{00000000-0005-0000-0000-000045610000}"/>
    <cellStyle name="Standard 4 3 8 2 2 2 6" xfId="24703" xr:uid="{00000000-0005-0000-0000-000046610000}"/>
    <cellStyle name="Standard 4 3 8 2 2 3" xfId="24704" xr:uid="{00000000-0005-0000-0000-000047610000}"/>
    <cellStyle name="Standard 4 3 8 2 2 3 2" xfId="24705" xr:uid="{00000000-0005-0000-0000-000048610000}"/>
    <cellStyle name="Standard 4 3 8 2 2 3 3" xfId="24706" xr:uid="{00000000-0005-0000-0000-000049610000}"/>
    <cellStyle name="Standard 4 3 8 2 2 4" xfId="24707" xr:uid="{00000000-0005-0000-0000-00004A610000}"/>
    <cellStyle name="Standard 4 3 8 2 2 4 2" xfId="24708" xr:uid="{00000000-0005-0000-0000-00004B610000}"/>
    <cellStyle name="Standard 4 3 8 2 2 4 3" xfId="24709" xr:uid="{00000000-0005-0000-0000-00004C610000}"/>
    <cellStyle name="Standard 4 3 8 2 2 5" xfId="24710" xr:uid="{00000000-0005-0000-0000-00004D610000}"/>
    <cellStyle name="Standard 4 3 8 2 2 5 2" xfId="24711" xr:uid="{00000000-0005-0000-0000-00004E610000}"/>
    <cellStyle name="Standard 4 3 8 2 2 6" xfId="24712" xr:uid="{00000000-0005-0000-0000-00004F610000}"/>
    <cellStyle name="Standard 4 3 8 2 2 7" xfId="24713" xr:uid="{00000000-0005-0000-0000-000050610000}"/>
    <cellStyle name="Standard 4 3 8 2 3" xfId="24714" xr:uid="{00000000-0005-0000-0000-000051610000}"/>
    <cellStyle name="Standard 4 3 8 2 3 2" xfId="24715" xr:uid="{00000000-0005-0000-0000-000052610000}"/>
    <cellStyle name="Standard 4 3 8 2 3 2 2" xfId="24716" xr:uid="{00000000-0005-0000-0000-000053610000}"/>
    <cellStyle name="Standard 4 3 8 2 3 2 3" xfId="24717" xr:uid="{00000000-0005-0000-0000-000054610000}"/>
    <cellStyle name="Standard 4 3 8 2 3 3" xfId="24718" xr:uid="{00000000-0005-0000-0000-000055610000}"/>
    <cellStyle name="Standard 4 3 8 2 3 3 2" xfId="24719" xr:uid="{00000000-0005-0000-0000-000056610000}"/>
    <cellStyle name="Standard 4 3 8 2 3 3 3" xfId="24720" xr:uid="{00000000-0005-0000-0000-000057610000}"/>
    <cellStyle name="Standard 4 3 8 2 3 4" xfId="24721" xr:uid="{00000000-0005-0000-0000-000058610000}"/>
    <cellStyle name="Standard 4 3 8 2 3 4 2" xfId="24722" xr:uid="{00000000-0005-0000-0000-000059610000}"/>
    <cellStyle name="Standard 4 3 8 2 3 5" xfId="24723" xr:uid="{00000000-0005-0000-0000-00005A610000}"/>
    <cellStyle name="Standard 4 3 8 2 3 6" xfId="24724" xr:uid="{00000000-0005-0000-0000-00005B610000}"/>
    <cellStyle name="Standard 4 3 8 2 4" xfId="24725" xr:uid="{00000000-0005-0000-0000-00005C610000}"/>
    <cellStyle name="Standard 4 3 8 2 4 2" xfId="24726" xr:uid="{00000000-0005-0000-0000-00005D610000}"/>
    <cellStyle name="Standard 4 3 8 2 4 3" xfId="24727" xr:uid="{00000000-0005-0000-0000-00005E610000}"/>
    <cellStyle name="Standard 4 3 8 2 5" xfId="24728" xr:uid="{00000000-0005-0000-0000-00005F610000}"/>
    <cellStyle name="Standard 4 3 8 2 5 2" xfId="24729" xr:uid="{00000000-0005-0000-0000-000060610000}"/>
    <cellStyle name="Standard 4 3 8 2 5 3" xfId="24730" xr:uid="{00000000-0005-0000-0000-000061610000}"/>
    <cellStyle name="Standard 4 3 8 2 6" xfId="24731" xr:uid="{00000000-0005-0000-0000-000062610000}"/>
    <cellStyle name="Standard 4 3 8 2 6 2" xfId="24732" xr:uid="{00000000-0005-0000-0000-000063610000}"/>
    <cellStyle name="Standard 4 3 8 2 7" xfId="24733" xr:uid="{00000000-0005-0000-0000-000064610000}"/>
    <cellStyle name="Standard 4 3 8 2 8" xfId="24734" xr:uid="{00000000-0005-0000-0000-000065610000}"/>
    <cellStyle name="Standard 4 3 8 3" xfId="24735" xr:uid="{00000000-0005-0000-0000-000066610000}"/>
    <cellStyle name="Standard 4 3 8 3 2" xfId="24736" xr:uid="{00000000-0005-0000-0000-000067610000}"/>
    <cellStyle name="Standard 4 3 8 3 2 2" xfId="24737" xr:uid="{00000000-0005-0000-0000-000068610000}"/>
    <cellStyle name="Standard 4 3 8 3 2 2 2" xfId="24738" xr:uid="{00000000-0005-0000-0000-000069610000}"/>
    <cellStyle name="Standard 4 3 8 3 2 2 2 2" xfId="24739" xr:uid="{00000000-0005-0000-0000-00006A610000}"/>
    <cellStyle name="Standard 4 3 8 3 2 2 2 3" xfId="24740" xr:uid="{00000000-0005-0000-0000-00006B610000}"/>
    <cellStyle name="Standard 4 3 8 3 2 2 3" xfId="24741" xr:uid="{00000000-0005-0000-0000-00006C610000}"/>
    <cellStyle name="Standard 4 3 8 3 2 2 3 2" xfId="24742" xr:uid="{00000000-0005-0000-0000-00006D610000}"/>
    <cellStyle name="Standard 4 3 8 3 2 2 3 3" xfId="24743" xr:uid="{00000000-0005-0000-0000-00006E610000}"/>
    <cellStyle name="Standard 4 3 8 3 2 2 4" xfId="24744" xr:uid="{00000000-0005-0000-0000-00006F610000}"/>
    <cellStyle name="Standard 4 3 8 3 2 2 4 2" xfId="24745" xr:uid="{00000000-0005-0000-0000-000070610000}"/>
    <cellStyle name="Standard 4 3 8 3 2 2 5" xfId="24746" xr:uid="{00000000-0005-0000-0000-000071610000}"/>
    <cellStyle name="Standard 4 3 8 3 2 2 6" xfId="24747" xr:uid="{00000000-0005-0000-0000-000072610000}"/>
    <cellStyle name="Standard 4 3 8 3 2 3" xfId="24748" xr:uid="{00000000-0005-0000-0000-000073610000}"/>
    <cellStyle name="Standard 4 3 8 3 2 3 2" xfId="24749" xr:uid="{00000000-0005-0000-0000-000074610000}"/>
    <cellStyle name="Standard 4 3 8 3 2 3 3" xfId="24750" xr:uid="{00000000-0005-0000-0000-000075610000}"/>
    <cellStyle name="Standard 4 3 8 3 2 4" xfId="24751" xr:uid="{00000000-0005-0000-0000-000076610000}"/>
    <cellStyle name="Standard 4 3 8 3 2 4 2" xfId="24752" xr:uid="{00000000-0005-0000-0000-000077610000}"/>
    <cellStyle name="Standard 4 3 8 3 2 4 3" xfId="24753" xr:uid="{00000000-0005-0000-0000-000078610000}"/>
    <cellStyle name="Standard 4 3 8 3 2 5" xfId="24754" xr:uid="{00000000-0005-0000-0000-000079610000}"/>
    <cellStyle name="Standard 4 3 8 3 2 5 2" xfId="24755" xr:uid="{00000000-0005-0000-0000-00007A610000}"/>
    <cellStyle name="Standard 4 3 8 3 2 6" xfId="24756" xr:uid="{00000000-0005-0000-0000-00007B610000}"/>
    <cellStyle name="Standard 4 3 8 3 2 7" xfId="24757" xr:uid="{00000000-0005-0000-0000-00007C610000}"/>
    <cellStyle name="Standard 4 3 8 3 3" xfId="24758" xr:uid="{00000000-0005-0000-0000-00007D610000}"/>
    <cellStyle name="Standard 4 3 8 3 3 2" xfId="24759" xr:uid="{00000000-0005-0000-0000-00007E610000}"/>
    <cellStyle name="Standard 4 3 8 3 3 2 2" xfId="24760" xr:uid="{00000000-0005-0000-0000-00007F610000}"/>
    <cellStyle name="Standard 4 3 8 3 3 2 3" xfId="24761" xr:uid="{00000000-0005-0000-0000-000080610000}"/>
    <cellStyle name="Standard 4 3 8 3 3 3" xfId="24762" xr:uid="{00000000-0005-0000-0000-000081610000}"/>
    <cellStyle name="Standard 4 3 8 3 3 3 2" xfId="24763" xr:uid="{00000000-0005-0000-0000-000082610000}"/>
    <cellStyle name="Standard 4 3 8 3 3 3 3" xfId="24764" xr:uid="{00000000-0005-0000-0000-000083610000}"/>
    <cellStyle name="Standard 4 3 8 3 3 4" xfId="24765" xr:uid="{00000000-0005-0000-0000-000084610000}"/>
    <cellStyle name="Standard 4 3 8 3 3 4 2" xfId="24766" xr:uid="{00000000-0005-0000-0000-000085610000}"/>
    <cellStyle name="Standard 4 3 8 3 3 5" xfId="24767" xr:uid="{00000000-0005-0000-0000-000086610000}"/>
    <cellStyle name="Standard 4 3 8 3 3 6" xfId="24768" xr:uid="{00000000-0005-0000-0000-000087610000}"/>
    <cellStyle name="Standard 4 3 8 3 4" xfId="24769" xr:uid="{00000000-0005-0000-0000-000088610000}"/>
    <cellStyle name="Standard 4 3 8 3 4 2" xfId="24770" xr:uid="{00000000-0005-0000-0000-000089610000}"/>
    <cellStyle name="Standard 4 3 8 3 4 3" xfId="24771" xr:uid="{00000000-0005-0000-0000-00008A610000}"/>
    <cellStyle name="Standard 4 3 8 3 5" xfId="24772" xr:uid="{00000000-0005-0000-0000-00008B610000}"/>
    <cellStyle name="Standard 4 3 8 3 5 2" xfId="24773" xr:uid="{00000000-0005-0000-0000-00008C610000}"/>
    <cellStyle name="Standard 4 3 8 3 5 3" xfId="24774" xr:uid="{00000000-0005-0000-0000-00008D610000}"/>
    <cellStyle name="Standard 4 3 8 3 6" xfId="24775" xr:uid="{00000000-0005-0000-0000-00008E610000}"/>
    <cellStyle name="Standard 4 3 8 3 6 2" xfId="24776" xr:uid="{00000000-0005-0000-0000-00008F610000}"/>
    <cellStyle name="Standard 4 3 8 3 7" xfId="24777" xr:uid="{00000000-0005-0000-0000-000090610000}"/>
    <cellStyle name="Standard 4 3 8 3 8" xfId="24778" xr:uid="{00000000-0005-0000-0000-000091610000}"/>
    <cellStyle name="Standard 4 3 8 4" xfId="24779" xr:uid="{00000000-0005-0000-0000-000092610000}"/>
    <cellStyle name="Standard 4 3 8 4 2" xfId="24780" xr:uid="{00000000-0005-0000-0000-000093610000}"/>
    <cellStyle name="Standard 4 3 8 4 2 2" xfId="24781" xr:uid="{00000000-0005-0000-0000-000094610000}"/>
    <cellStyle name="Standard 4 3 8 4 2 2 2" xfId="24782" xr:uid="{00000000-0005-0000-0000-000095610000}"/>
    <cellStyle name="Standard 4 3 8 4 2 2 3" xfId="24783" xr:uid="{00000000-0005-0000-0000-000096610000}"/>
    <cellStyle name="Standard 4 3 8 4 2 3" xfId="24784" xr:uid="{00000000-0005-0000-0000-000097610000}"/>
    <cellStyle name="Standard 4 3 8 4 2 3 2" xfId="24785" xr:uid="{00000000-0005-0000-0000-000098610000}"/>
    <cellStyle name="Standard 4 3 8 4 2 3 3" xfId="24786" xr:uid="{00000000-0005-0000-0000-000099610000}"/>
    <cellStyle name="Standard 4 3 8 4 2 4" xfId="24787" xr:uid="{00000000-0005-0000-0000-00009A610000}"/>
    <cellStyle name="Standard 4 3 8 4 2 4 2" xfId="24788" xr:uid="{00000000-0005-0000-0000-00009B610000}"/>
    <cellStyle name="Standard 4 3 8 4 2 5" xfId="24789" xr:uid="{00000000-0005-0000-0000-00009C610000}"/>
    <cellStyle name="Standard 4 3 8 4 2 6" xfId="24790" xr:uid="{00000000-0005-0000-0000-00009D610000}"/>
    <cellStyle name="Standard 4 3 8 4 3" xfId="24791" xr:uid="{00000000-0005-0000-0000-00009E610000}"/>
    <cellStyle name="Standard 4 3 8 4 3 2" xfId="24792" xr:uid="{00000000-0005-0000-0000-00009F610000}"/>
    <cellStyle name="Standard 4 3 8 4 3 3" xfId="24793" xr:uid="{00000000-0005-0000-0000-0000A0610000}"/>
    <cellStyle name="Standard 4 3 8 4 4" xfId="24794" xr:uid="{00000000-0005-0000-0000-0000A1610000}"/>
    <cellStyle name="Standard 4 3 8 4 4 2" xfId="24795" xr:uid="{00000000-0005-0000-0000-0000A2610000}"/>
    <cellStyle name="Standard 4 3 8 4 4 3" xfId="24796" xr:uid="{00000000-0005-0000-0000-0000A3610000}"/>
    <cellStyle name="Standard 4 3 8 4 5" xfId="24797" xr:uid="{00000000-0005-0000-0000-0000A4610000}"/>
    <cellStyle name="Standard 4 3 8 4 5 2" xfId="24798" xr:uid="{00000000-0005-0000-0000-0000A5610000}"/>
    <cellStyle name="Standard 4 3 8 4 6" xfId="24799" xr:uid="{00000000-0005-0000-0000-0000A6610000}"/>
    <cellStyle name="Standard 4 3 8 4 7" xfId="24800" xr:uid="{00000000-0005-0000-0000-0000A7610000}"/>
    <cellStyle name="Standard 4 3 8 5" xfId="24801" xr:uid="{00000000-0005-0000-0000-0000A8610000}"/>
    <cellStyle name="Standard 4 3 8 5 2" xfId="24802" xr:uid="{00000000-0005-0000-0000-0000A9610000}"/>
    <cellStyle name="Standard 4 3 8 5 2 2" xfId="24803" xr:uid="{00000000-0005-0000-0000-0000AA610000}"/>
    <cellStyle name="Standard 4 3 8 5 2 3" xfId="24804" xr:uid="{00000000-0005-0000-0000-0000AB610000}"/>
    <cellStyle name="Standard 4 3 8 5 3" xfId="24805" xr:uid="{00000000-0005-0000-0000-0000AC610000}"/>
    <cellStyle name="Standard 4 3 8 5 3 2" xfId="24806" xr:uid="{00000000-0005-0000-0000-0000AD610000}"/>
    <cellStyle name="Standard 4 3 8 5 3 3" xfId="24807" xr:uid="{00000000-0005-0000-0000-0000AE610000}"/>
    <cellStyle name="Standard 4 3 8 5 4" xfId="24808" xr:uid="{00000000-0005-0000-0000-0000AF610000}"/>
    <cellStyle name="Standard 4 3 8 5 4 2" xfId="24809" xr:uid="{00000000-0005-0000-0000-0000B0610000}"/>
    <cellStyle name="Standard 4 3 8 5 5" xfId="24810" xr:uid="{00000000-0005-0000-0000-0000B1610000}"/>
    <cellStyle name="Standard 4 3 8 5 6" xfId="24811" xr:uid="{00000000-0005-0000-0000-0000B2610000}"/>
    <cellStyle name="Standard 4 3 8 6" xfId="24812" xr:uid="{00000000-0005-0000-0000-0000B3610000}"/>
    <cellStyle name="Standard 4 3 8 6 2" xfId="24813" xr:uid="{00000000-0005-0000-0000-0000B4610000}"/>
    <cellStyle name="Standard 4 3 8 6 3" xfId="24814" xr:uid="{00000000-0005-0000-0000-0000B5610000}"/>
    <cellStyle name="Standard 4 3 8 7" xfId="24815" xr:uid="{00000000-0005-0000-0000-0000B6610000}"/>
    <cellStyle name="Standard 4 3 8 7 2" xfId="24816" xr:uid="{00000000-0005-0000-0000-0000B7610000}"/>
    <cellStyle name="Standard 4 3 8 7 3" xfId="24817" xr:uid="{00000000-0005-0000-0000-0000B8610000}"/>
    <cellStyle name="Standard 4 3 8 8" xfId="24818" xr:uid="{00000000-0005-0000-0000-0000B9610000}"/>
    <cellStyle name="Standard 4 3 8 8 2" xfId="24819" xr:uid="{00000000-0005-0000-0000-0000BA610000}"/>
    <cellStyle name="Standard 4 3 8 9" xfId="24820" xr:uid="{00000000-0005-0000-0000-0000BB610000}"/>
    <cellStyle name="Standard 4 3 9" xfId="24821" xr:uid="{00000000-0005-0000-0000-0000BC610000}"/>
    <cellStyle name="Standard 4 3 9 2" xfId="24822" xr:uid="{00000000-0005-0000-0000-0000BD610000}"/>
    <cellStyle name="Standard 4 3 9 2 2" xfId="24823" xr:uid="{00000000-0005-0000-0000-0000BE610000}"/>
    <cellStyle name="Standard 4 3 9 2 2 2" xfId="24824" xr:uid="{00000000-0005-0000-0000-0000BF610000}"/>
    <cellStyle name="Standard 4 3 9 2 2 2 2" xfId="24825" xr:uid="{00000000-0005-0000-0000-0000C0610000}"/>
    <cellStyle name="Standard 4 3 9 2 2 2 2 2" xfId="24826" xr:uid="{00000000-0005-0000-0000-0000C1610000}"/>
    <cellStyle name="Standard 4 3 9 2 2 2 2 3" xfId="24827" xr:uid="{00000000-0005-0000-0000-0000C2610000}"/>
    <cellStyle name="Standard 4 3 9 2 2 2 3" xfId="24828" xr:uid="{00000000-0005-0000-0000-0000C3610000}"/>
    <cellStyle name="Standard 4 3 9 2 2 2 3 2" xfId="24829" xr:uid="{00000000-0005-0000-0000-0000C4610000}"/>
    <cellStyle name="Standard 4 3 9 2 2 2 3 3" xfId="24830" xr:uid="{00000000-0005-0000-0000-0000C5610000}"/>
    <cellStyle name="Standard 4 3 9 2 2 2 4" xfId="24831" xr:uid="{00000000-0005-0000-0000-0000C6610000}"/>
    <cellStyle name="Standard 4 3 9 2 2 2 4 2" xfId="24832" xr:uid="{00000000-0005-0000-0000-0000C7610000}"/>
    <cellStyle name="Standard 4 3 9 2 2 2 5" xfId="24833" xr:uid="{00000000-0005-0000-0000-0000C8610000}"/>
    <cellStyle name="Standard 4 3 9 2 2 2 6" xfId="24834" xr:uid="{00000000-0005-0000-0000-0000C9610000}"/>
    <cellStyle name="Standard 4 3 9 2 2 3" xfId="24835" xr:uid="{00000000-0005-0000-0000-0000CA610000}"/>
    <cellStyle name="Standard 4 3 9 2 2 3 2" xfId="24836" xr:uid="{00000000-0005-0000-0000-0000CB610000}"/>
    <cellStyle name="Standard 4 3 9 2 2 3 3" xfId="24837" xr:uid="{00000000-0005-0000-0000-0000CC610000}"/>
    <cellStyle name="Standard 4 3 9 2 2 4" xfId="24838" xr:uid="{00000000-0005-0000-0000-0000CD610000}"/>
    <cellStyle name="Standard 4 3 9 2 2 4 2" xfId="24839" xr:uid="{00000000-0005-0000-0000-0000CE610000}"/>
    <cellStyle name="Standard 4 3 9 2 2 4 3" xfId="24840" xr:uid="{00000000-0005-0000-0000-0000CF610000}"/>
    <cellStyle name="Standard 4 3 9 2 2 5" xfId="24841" xr:uid="{00000000-0005-0000-0000-0000D0610000}"/>
    <cellStyle name="Standard 4 3 9 2 2 5 2" xfId="24842" xr:uid="{00000000-0005-0000-0000-0000D1610000}"/>
    <cellStyle name="Standard 4 3 9 2 2 6" xfId="24843" xr:uid="{00000000-0005-0000-0000-0000D2610000}"/>
    <cellStyle name="Standard 4 3 9 2 2 7" xfId="24844" xr:uid="{00000000-0005-0000-0000-0000D3610000}"/>
    <cellStyle name="Standard 4 3 9 2 3" xfId="24845" xr:uid="{00000000-0005-0000-0000-0000D4610000}"/>
    <cellStyle name="Standard 4 3 9 2 3 2" xfId="24846" xr:uid="{00000000-0005-0000-0000-0000D5610000}"/>
    <cellStyle name="Standard 4 3 9 2 3 2 2" xfId="24847" xr:uid="{00000000-0005-0000-0000-0000D6610000}"/>
    <cellStyle name="Standard 4 3 9 2 3 2 3" xfId="24848" xr:uid="{00000000-0005-0000-0000-0000D7610000}"/>
    <cellStyle name="Standard 4 3 9 2 3 3" xfId="24849" xr:uid="{00000000-0005-0000-0000-0000D8610000}"/>
    <cellStyle name="Standard 4 3 9 2 3 3 2" xfId="24850" xr:uid="{00000000-0005-0000-0000-0000D9610000}"/>
    <cellStyle name="Standard 4 3 9 2 3 3 3" xfId="24851" xr:uid="{00000000-0005-0000-0000-0000DA610000}"/>
    <cellStyle name="Standard 4 3 9 2 3 4" xfId="24852" xr:uid="{00000000-0005-0000-0000-0000DB610000}"/>
    <cellStyle name="Standard 4 3 9 2 3 4 2" xfId="24853" xr:uid="{00000000-0005-0000-0000-0000DC610000}"/>
    <cellStyle name="Standard 4 3 9 2 3 5" xfId="24854" xr:uid="{00000000-0005-0000-0000-0000DD610000}"/>
    <cellStyle name="Standard 4 3 9 2 3 6" xfId="24855" xr:uid="{00000000-0005-0000-0000-0000DE610000}"/>
    <cellStyle name="Standard 4 3 9 2 4" xfId="24856" xr:uid="{00000000-0005-0000-0000-0000DF610000}"/>
    <cellStyle name="Standard 4 3 9 2 4 2" xfId="24857" xr:uid="{00000000-0005-0000-0000-0000E0610000}"/>
    <cellStyle name="Standard 4 3 9 2 4 3" xfId="24858" xr:uid="{00000000-0005-0000-0000-0000E1610000}"/>
    <cellStyle name="Standard 4 3 9 2 5" xfId="24859" xr:uid="{00000000-0005-0000-0000-0000E2610000}"/>
    <cellStyle name="Standard 4 3 9 2 5 2" xfId="24860" xr:uid="{00000000-0005-0000-0000-0000E3610000}"/>
    <cellStyle name="Standard 4 3 9 2 5 3" xfId="24861" xr:uid="{00000000-0005-0000-0000-0000E4610000}"/>
    <cellStyle name="Standard 4 3 9 2 6" xfId="24862" xr:uid="{00000000-0005-0000-0000-0000E5610000}"/>
    <cellStyle name="Standard 4 3 9 2 6 2" xfId="24863" xr:uid="{00000000-0005-0000-0000-0000E6610000}"/>
    <cellStyle name="Standard 4 3 9 2 7" xfId="24864" xr:uid="{00000000-0005-0000-0000-0000E7610000}"/>
    <cellStyle name="Standard 4 3 9 2 8" xfId="24865" xr:uid="{00000000-0005-0000-0000-0000E8610000}"/>
    <cellStyle name="Standard 4 3 9 3" xfId="24866" xr:uid="{00000000-0005-0000-0000-0000E9610000}"/>
    <cellStyle name="Standard 4 3 9 3 2" xfId="24867" xr:uid="{00000000-0005-0000-0000-0000EA610000}"/>
    <cellStyle name="Standard 4 3 9 3 2 2" xfId="24868" xr:uid="{00000000-0005-0000-0000-0000EB610000}"/>
    <cellStyle name="Standard 4 3 9 3 2 2 2" xfId="24869" xr:uid="{00000000-0005-0000-0000-0000EC610000}"/>
    <cellStyle name="Standard 4 3 9 3 2 2 3" xfId="24870" xr:uid="{00000000-0005-0000-0000-0000ED610000}"/>
    <cellStyle name="Standard 4 3 9 3 2 3" xfId="24871" xr:uid="{00000000-0005-0000-0000-0000EE610000}"/>
    <cellStyle name="Standard 4 3 9 3 2 3 2" xfId="24872" xr:uid="{00000000-0005-0000-0000-0000EF610000}"/>
    <cellStyle name="Standard 4 3 9 3 2 3 3" xfId="24873" xr:uid="{00000000-0005-0000-0000-0000F0610000}"/>
    <cellStyle name="Standard 4 3 9 3 2 4" xfId="24874" xr:uid="{00000000-0005-0000-0000-0000F1610000}"/>
    <cellStyle name="Standard 4 3 9 3 2 4 2" xfId="24875" xr:uid="{00000000-0005-0000-0000-0000F2610000}"/>
    <cellStyle name="Standard 4 3 9 3 2 5" xfId="24876" xr:uid="{00000000-0005-0000-0000-0000F3610000}"/>
    <cellStyle name="Standard 4 3 9 3 2 6" xfId="24877" xr:uid="{00000000-0005-0000-0000-0000F4610000}"/>
    <cellStyle name="Standard 4 3 9 3 3" xfId="24878" xr:uid="{00000000-0005-0000-0000-0000F5610000}"/>
    <cellStyle name="Standard 4 3 9 3 3 2" xfId="24879" xr:uid="{00000000-0005-0000-0000-0000F6610000}"/>
    <cellStyle name="Standard 4 3 9 3 3 3" xfId="24880" xr:uid="{00000000-0005-0000-0000-0000F7610000}"/>
    <cellStyle name="Standard 4 3 9 3 4" xfId="24881" xr:uid="{00000000-0005-0000-0000-0000F8610000}"/>
    <cellStyle name="Standard 4 3 9 3 4 2" xfId="24882" xr:uid="{00000000-0005-0000-0000-0000F9610000}"/>
    <cellStyle name="Standard 4 3 9 3 4 3" xfId="24883" xr:uid="{00000000-0005-0000-0000-0000FA610000}"/>
    <cellStyle name="Standard 4 3 9 3 5" xfId="24884" xr:uid="{00000000-0005-0000-0000-0000FB610000}"/>
    <cellStyle name="Standard 4 3 9 3 5 2" xfId="24885" xr:uid="{00000000-0005-0000-0000-0000FC610000}"/>
    <cellStyle name="Standard 4 3 9 3 6" xfId="24886" xr:uid="{00000000-0005-0000-0000-0000FD610000}"/>
    <cellStyle name="Standard 4 3 9 3 7" xfId="24887" xr:uid="{00000000-0005-0000-0000-0000FE610000}"/>
    <cellStyle name="Standard 4 3 9 4" xfId="24888" xr:uid="{00000000-0005-0000-0000-0000FF610000}"/>
    <cellStyle name="Standard 4 3 9 4 2" xfId="24889" xr:uid="{00000000-0005-0000-0000-000000620000}"/>
    <cellStyle name="Standard 4 3 9 4 2 2" xfId="24890" xr:uid="{00000000-0005-0000-0000-000001620000}"/>
    <cellStyle name="Standard 4 3 9 4 2 3" xfId="24891" xr:uid="{00000000-0005-0000-0000-000002620000}"/>
    <cellStyle name="Standard 4 3 9 4 3" xfId="24892" xr:uid="{00000000-0005-0000-0000-000003620000}"/>
    <cellStyle name="Standard 4 3 9 4 3 2" xfId="24893" xr:uid="{00000000-0005-0000-0000-000004620000}"/>
    <cellStyle name="Standard 4 3 9 4 3 3" xfId="24894" xr:uid="{00000000-0005-0000-0000-000005620000}"/>
    <cellStyle name="Standard 4 3 9 4 4" xfId="24895" xr:uid="{00000000-0005-0000-0000-000006620000}"/>
    <cellStyle name="Standard 4 3 9 4 4 2" xfId="24896" xr:uid="{00000000-0005-0000-0000-000007620000}"/>
    <cellStyle name="Standard 4 3 9 4 5" xfId="24897" xr:uid="{00000000-0005-0000-0000-000008620000}"/>
    <cellStyle name="Standard 4 3 9 4 6" xfId="24898" xr:uid="{00000000-0005-0000-0000-000009620000}"/>
    <cellStyle name="Standard 4 3 9 5" xfId="24899" xr:uid="{00000000-0005-0000-0000-00000A620000}"/>
    <cellStyle name="Standard 4 3 9 5 2" xfId="24900" xr:uid="{00000000-0005-0000-0000-00000B620000}"/>
    <cellStyle name="Standard 4 3 9 5 3" xfId="24901" xr:uid="{00000000-0005-0000-0000-00000C620000}"/>
    <cellStyle name="Standard 4 3 9 6" xfId="24902" xr:uid="{00000000-0005-0000-0000-00000D620000}"/>
    <cellStyle name="Standard 4 3 9 6 2" xfId="24903" xr:uid="{00000000-0005-0000-0000-00000E620000}"/>
    <cellStyle name="Standard 4 3 9 6 3" xfId="24904" xr:uid="{00000000-0005-0000-0000-00000F620000}"/>
    <cellStyle name="Standard 4 3 9 7" xfId="24905" xr:uid="{00000000-0005-0000-0000-000010620000}"/>
    <cellStyle name="Standard 4 3 9 7 2" xfId="24906" xr:uid="{00000000-0005-0000-0000-000011620000}"/>
    <cellStyle name="Standard 4 3 9 8" xfId="24907" xr:uid="{00000000-0005-0000-0000-000012620000}"/>
    <cellStyle name="Standard 4 3 9 9" xfId="24908" xr:uid="{00000000-0005-0000-0000-000013620000}"/>
    <cellStyle name="Standard 4 4" xfId="588" xr:uid="{00000000-0005-0000-0000-000014620000}"/>
    <cellStyle name="Standard 4 4 10" xfId="24909" xr:uid="{00000000-0005-0000-0000-000015620000}"/>
    <cellStyle name="Standard 4 4 10 2" xfId="24910" xr:uid="{00000000-0005-0000-0000-000016620000}"/>
    <cellStyle name="Standard 4 4 10 2 2" xfId="24911" xr:uid="{00000000-0005-0000-0000-000017620000}"/>
    <cellStyle name="Standard 4 4 10 2 2 2" xfId="24912" xr:uid="{00000000-0005-0000-0000-000018620000}"/>
    <cellStyle name="Standard 4 4 10 2 2 3" xfId="24913" xr:uid="{00000000-0005-0000-0000-000019620000}"/>
    <cellStyle name="Standard 4 4 10 2 3" xfId="24914" xr:uid="{00000000-0005-0000-0000-00001A620000}"/>
    <cellStyle name="Standard 4 4 10 2 3 2" xfId="24915" xr:uid="{00000000-0005-0000-0000-00001B620000}"/>
    <cellStyle name="Standard 4 4 10 2 3 3" xfId="24916" xr:uid="{00000000-0005-0000-0000-00001C620000}"/>
    <cellStyle name="Standard 4 4 10 2 4" xfId="24917" xr:uid="{00000000-0005-0000-0000-00001D620000}"/>
    <cellStyle name="Standard 4 4 10 2 4 2" xfId="24918" xr:uid="{00000000-0005-0000-0000-00001E620000}"/>
    <cellStyle name="Standard 4 4 10 2 5" xfId="24919" xr:uid="{00000000-0005-0000-0000-00001F620000}"/>
    <cellStyle name="Standard 4 4 10 2 6" xfId="24920" xr:uid="{00000000-0005-0000-0000-000020620000}"/>
    <cellStyle name="Standard 4 4 10 3" xfId="24921" xr:uid="{00000000-0005-0000-0000-000021620000}"/>
    <cellStyle name="Standard 4 4 10 3 2" xfId="24922" xr:uid="{00000000-0005-0000-0000-000022620000}"/>
    <cellStyle name="Standard 4 4 10 3 3" xfId="24923" xr:uid="{00000000-0005-0000-0000-000023620000}"/>
    <cellStyle name="Standard 4 4 10 4" xfId="24924" xr:uid="{00000000-0005-0000-0000-000024620000}"/>
    <cellStyle name="Standard 4 4 10 4 2" xfId="24925" xr:uid="{00000000-0005-0000-0000-000025620000}"/>
    <cellStyle name="Standard 4 4 10 4 3" xfId="24926" xr:uid="{00000000-0005-0000-0000-000026620000}"/>
    <cellStyle name="Standard 4 4 10 5" xfId="24927" xr:uid="{00000000-0005-0000-0000-000027620000}"/>
    <cellStyle name="Standard 4 4 10 5 2" xfId="24928" xr:uid="{00000000-0005-0000-0000-000028620000}"/>
    <cellStyle name="Standard 4 4 10 6" xfId="24929" xr:uid="{00000000-0005-0000-0000-000029620000}"/>
    <cellStyle name="Standard 4 4 10 7" xfId="24930" xr:uid="{00000000-0005-0000-0000-00002A620000}"/>
    <cellStyle name="Standard 4 4 11" xfId="24931" xr:uid="{00000000-0005-0000-0000-00002B620000}"/>
    <cellStyle name="Standard 4 4 11 2" xfId="24932" xr:uid="{00000000-0005-0000-0000-00002C620000}"/>
    <cellStyle name="Standard 4 4 11 2 2" xfId="24933" xr:uid="{00000000-0005-0000-0000-00002D620000}"/>
    <cellStyle name="Standard 4 4 11 2 3" xfId="24934" xr:uid="{00000000-0005-0000-0000-00002E620000}"/>
    <cellStyle name="Standard 4 4 11 3" xfId="24935" xr:uid="{00000000-0005-0000-0000-00002F620000}"/>
    <cellStyle name="Standard 4 4 11 3 2" xfId="24936" xr:uid="{00000000-0005-0000-0000-000030620000}"/>
    <cellStyle name="Standard 4 4 11 3 3" xfId="24937" xr:uid="{00000000-0005-0000-0000-000031620000}"/>
    <cellStyle name="Standard 4 4 11 4" xfId="24938" xr:uid="{00000000-0005-0000-0000-000032620000}"/>
    <cellStyle name="Standard 4 4 11 4 2" xfId="24939" xr:uid="{00000000-0005-0000-0000-000033620000}"/>
    <cellStyle name="Standard 4 4 11 5" xfId="24940" xr:uid="{00000000-0005-0000-0000-000034620000}"/>
    <cellStyle name="Standard 4 4 11 6" xfId="24941" xr:uid="{00000000-0005-0000-0000-000035620000}"/>
    <cellStyle name="Standard 4 4 12" xfId="24942" xr:uid="{00000000-0005-0000-0000-000036620000}"/>
    <cellStyle name="Standard 4 4 12 2" xfId="24943" xr:uid="{00000000-0005-0000-0000-000037620000}"/>
    <cellStyle name="Standard 4 4 12 3" xfId="24944" xr:uid="{00000000-0005-0000-0000-000038620000}"/>
    <cellStyle name="Standard 4 4 13" xfId="24945" xr:uid="{00000000-0005-0000-0000-000039620000}"/>
    <cellStyle name="Standard 4 4 13 2" xfId="24946" xr:uid="{00000000-0005-0000-0000-00003A620000}"/>
    <cellStyle name="Standard 4 4 13 3" xfId="24947" xr:uid="{00000000-0005-0000-0000-00003B620000}"/>
    <cellStyle name="Standard 4 4 14" xfId="24948" xr:uid="{00000000-0005-0000-0000-00003C620000}"/>
    <cellStyle name="Standard 4 4 14 2" xfId="24949" xr:uid="{00000000-0005-0000-0000-00003D620000}"/>
    <cellStyle name="Standard 4 4 15" xfId="24950" xr:uid="{00000000-0005-0000-0000-00003E620000}"/>
    <cellStyle name="Standard 4 4 16" xfId="24951" xr:uid="{00000000-0005-0000-0000-00003F620000}"/>
    <cellStyle name="Standard 4 4 2" xfId="589" xr:uid="{00000000-0005-0000-0000-000040620000}"/>
    <cellStyle name="Standard 4 4 2 10" xfId="24952" xr:uid="{00000000-0005-0000-0000-000041620000}"/>
    <cellStyle name="Standard 4 4 2 10 2" xfId="24953" xr:uid="{00000000-0005-0000-0000-000042620000}"/>
    <cellStyle name="Standard 4 4 2 10 3" xfId="24954" xr:uid="{00000000-0005-0000-0000-000043620000}"/>
    <cellStyle name="Standard 4 4 2 11" xfId="24955" xr:uid="{00000000-0005-0000-0000-000044620000}"/>
    <cellStyle name="Standard 4 4 2 11 2" xfId="24956" xr:uid="{00000000-0005-0000-0000-000045620000}"/>
    <cellStyle name="Standard 4 4 2 11 3" xfId="24957" xr:uid="{00000000-0005-0000-0000-000046620000}"/>
    <cellStyle name="Standard 4 4 2 12" xfId="24958" xr:uid="{00000000-0005-0000-0000-000047620000}"/>
    <cellStyle name="Standard 4 4 2 12 2" xfId="24959" xr:uid="{00000000-0005-0000-0000-000048620000}"/>
    <cellStyle name="Standard 4 4 2 13" xfId="24960" xr:uid="{00000000-0005-0000-0000-000049620000}"/>
    <cellStyle name="Standard 4 4 2 14" xfId="24961" xr:uid="{00000000-0005-0000-0000-00004A620000}"/>
    <cellStyle name="Standard 4 4 2 2" xfId="24962" xr:uid="{00000000-0005-0000-0000-00004B620000}"/>
    <cellStyle name="Standard 4 4 2 2 10" xfId="24963" xr:uid="{00000000-0005-0000-0000-00004C620000}"/>
    <cellStyle name="Standard 4 4 2 2 10 2" xfId="24964" xr:uid="{00000000-0005-0000-0000-00004D620000}"/>
    <cellStyle name="Standard 4 4 2 2 11" xfId="24965" xr:uid="{00000000-0005-0000-0000-00004E620000}"/>
    <cellStyle name="Standard 4 4 2 2 12" xfId="24966" xr:uid="{00000000-0005-0000-0000-00004F620000}"/>
    <cellStyle name="Standard 4 4 2 2 2" xfId="24967" xr:uid="{00000000-0005-0000-0000-000050620000}"/>
    <cellStyle name="Standard 4 4 2 2 2 10" xfId="24968" xr:uid="{00000000-0005-0000-0000-000051620000}"/>
    <cellStyle name="Standard 4 4 2 2 2 11" xfId="24969" xr:uid="{00000000-0005-0000-0000-000052620000}"/>
    <cellStyle name="Standard 4 4 2 2 2 2" xfId="24970" xr:uid="{00000000-0005-0000-0000-000053620000}"/>
    <cellStyle name="Standard 4 4 2 2 2 2 10" xfId="24971" xr:uid="{00000000-0005-0000-0000-000054620000}"/>
    <cellStyle name="Standard 4 4 2 2 2 2 2" xfId="24972" xr:uid="{00000000-0005-0000-0000-000055620000}"/>
    <cellStyle name="Standard 4 4 2 2 2 2 2 2" xfId="24973" xr:uid="{00000000-0005-0000-0000-000056620000}"/>
    <cellStyle name="Standard 4 4 2 2 2 2 2 2 2" xfId="24974" xr:uid="{00000000-0005-0000-0000-000057620000}"/>
    <cellStyle name="Standard 4 4 2 2 2 2 2 2 2 2" xfId="24975" xr:uid="{00000000-0005-0000-0000-000058620000}"/>
    <cellStyle name="Standard 4 4 2 2 2 2 2 2 2 2 2" xfId="24976" xr:uid="{00000000-0005-0000-0000-000059620000}"/>
    <cellStyle name="Standard 4 4 2 2 2 2 2 2 2 2 3" xfId="24977" xr:uid="{00000000-0005-0000-0000-00005A620000}"/>
    <cellStyle name="Standard 4 4 2 2 2 2 2 2 2 3" xfId="24978" xr:uid="{00000000-0005-0000-0000-00005B620000}"/>
    <cellStyle name="Standard 4 4 2 2 2 2 2 2 2 3 2" xfId="24979" xr:uid="{00000000-0005-0000-0000-00005C620000}"/>
    <cellStyle name="Standard 4 4 2 2 2 2 2 2 2 3 3" xfId="24980" xr:uid="{00000000-0005-0000-0000-00005D620000}"/>
    <cellStyle name="Standard 4 4 2 2 2 2 2 2 2 4" xfId="24981" xr:uid="{00000000-0005-0000-0000-00005E620000}"/>
    <cellStyle name="Standard 4 4 2 2 2 2 2 2 2 4 2" xfId="24982" xr:uid="{00000000-0005-0000-0000-00005F620000}"/>
    <cellStyle name="Standard 4 4 2 2 2 2 2 2 2 5" xfId="24983" xr:uid="{00000000-0005-0000-0000-000060620000}"/>
    <cellStyle name="Standard 4 4 2 2 2 2 2 2 2 6" xfId="24984" xr:uid="{00000000-0005-0000-0000-000061620000}"/>
    <cellStyle name="Standard 4 4 2 2 2 2 2 2 3" xfId="24985" xr:uid="{00000000-0005-0000-0000-000062620000}"/>
    <cellStyle name="Standard 4 4 2 2 2 2 2 2 3 2" xfId="24986" xr:uid="{00000000-0005-0000-0000-000063620000}"/>
    <cellStyle name="Standard 4 4 2 2 2 2 2 2 3 3" xfId="24987" xr:uid="{00000000-0005-0000-0000-000064620000}"/>
    <cellStyle name="Standard 4 4 2 2 2 2 2 2 4" xfId="24988" xr:uid="{00000000-0005-0000-0000-000065620000}"/>
    <cellStyle name="Standard 4 4 2 2 2 2 2 2 4 2" xfId="24989" xr:uid="{00000000-0005-0000-0000-000066620000}"/>
    <cellStyle name="Standard 4 4 2 2 2 2 2 2 4 3" xfId="24990" xr:uid="{00000000-0005-0000-0000-000067620000}"/>
    <cellStyle name="Standard 4 4 2 2 2 2 2 2 5" xfId="24991" xr:uid="{00000000-0005-0000-0000-000068620000}"/>
    <cellStyle name="Standard 4 4 2 2 2 2 2 2 5 2" xfId="24992" xr:uid="{00000000-0005-0000-0000-000069620000}"/>
    <cellStyle name="Standard 4 4 2 2 2 2 2 2 6" xfId="24993" xr:uid="{00000000-0005-0000-0000-00006A620000}"/>
    <cellStyle name="Standard 4 4 2 2 2 2 2 2 7" xfId="24994" xr:uid="{00000000-0005-0000-0000-00006B620000}"/>
    <cellStyle name="Standard 4 4 2 2 2 2 2 3" xfId="24995" xr:uid="{00000000-0005-0000-0000-00006C620000}"/>
    <cellStyle name="Standard 4 4 2 2 2 2 2 3 2" xfId="24996" xr:uid="{00000000-0005-0000-0000-00006D620000}"/>
    <cellStyle name="Standard 4 4 2 2 2 2 2 3 2 2" xfId="24997" xr:uid="{00000000-0005-0000-0000-00006E620000}"/>
    <cellStyle name="Standard 4 4 2 2 2 2 2 3 2 3" xfId="24998" xr:uid="{00000000-0005-0000-0000-00006F620000}"/>
    <cellStyle name="Standard 4 4 2 2 2 2 2 3 3" xfId="24999" xr:uid="{00000000-0005-0000-0000-000070620000}"/>
    <cellStyle name="Standard 4 4 2 2 2 2 2 3 3 2" xfId="25000" xr:uid="{00000000-0005-0000-0000-000071620000}"/>
    <cellStyle name="Standard 4 4 2 2 2 2 2 3 3 3" xfId="25001" xr:uid="{00000000-0005-0000-0000-000072620000}"/>
    <cellStyle name="Standard 4 4 2 2 2 2 2 3 4" xfId="25002" xr:uid="{00000000-0005-0000-0000-000073620000}"/>
    <cellStyle name="Standard 4 4 2 2 2 2 2 3 4 2" xfId="25003" xr:uid="{00000000-0005-0000-0000-000074620000}"/>
    <cellStyle name="Standard 4 4 2 2 2 2 2 3 5" xfId="25004" xr:uid="{00000000-0005-0000-0000-000075620000}"/>
    <cellStyle name="Standard 4 4 2 2 2 2 2 3 6" xfId="25005" xr:uid="{00000000-0005-0000-0000-000076620000}"/>
    <cellStyle name="Standard 4 4 2 2 2 2 2 4" xfId="25006" xr:uid="{00000000-0005-0000-0000-000077620000}"/>
    <cellStyle name="Standard 4 4 2 2 2 2 2 4 2" xfId="25007" xr:uid="{00000000-0005-0000-0000-000078620000}"/>
    <cellStyle name="Standard 4 4 2 2 2 2 2 4 3" xfId="25008" xr:uid="{00000000-0005-0000-0000-000079620000}"/>
    <cellStyle name="Standard 4 4 2 2 2 2 2 5" xfId="25009" xr:uid="{00000000-0005-0000-0000-00007A620000}"/>
    <cellStyle name="Standard 4 4 2 2 2 2 2 5 2" xfId="25010" xr:uid="{00000000-0005-0000-0000-00007B620000}"/>
    <cellStyle name="Standard 4 4 2 2 2 2 2 5 3" xfId="25011" xr:uid="{00000000-0005-0000-0000-00007C620000}"/>
    <cellStyle name="Standard 4 4 2 2 2 2 2 6" xfId="25012" xr:uid="{00000000-0005-0000-0000-00007D620000}"/>
    <cellStyle name="Standard 4 4 2 2 2 2 2 6 2" xfId="25013" xr:uid="{00000000-0005-0000-0000-00007E620000}"/>
    <cellStyle name="Standard 4 4 2 2 2 2 2 7" xfId="25014" xr:uid="{00000000-0005-0000-0000-00007F620000}"/>
    <cellStyle name="Standard 4 4 2 2 2 2 2 8" xfId="25015" xr:uid="{00000000-0005-0000-0000-000080620000}"/>
    <cellStyle name="Standard 4 4 2 2 2 2 3" xfId="25016" xr:uid="{00000000-0005-0000-0000-000081620000}"/>
    <cellStyle name="Standard 4 4 2 2 2 2 3 2" xfId="25017" xr:uid="{00000000-0005-0000-0000-000082620000}"/>
    <cellStyle name="Standard 4 4 2 2 2 2 3 2 2" xfId="25018" xr:uid="{00000000-0005-0000-0000-000083620000}"/>
    <cellStyle name="Standard 4 4 2 2 2 2 3 2 2 2" xfId="25019" xr:uid="{00000000-0005-0000-0000-000084620000}"/>
    <cellStyle name="Standard 4 4 2 2 2 2 3 2 2 2 2" xfId="25020" xr:uid="{00000000-0005-0000-0000-000085620000}"/>
    <cellStyle name="Standard 4 4 2 2 2 2 3 2 2 2 3" xfId="25021" xr:uid="{00000000-0005-0000-0000-000086620000}"/>
    <cellStyle name="Standard 4 4 2 2 2 2 3 2 2 3" xfId="25022" xr:uid="{00000000-0005-0000-0000-000087620000}"/>
    <cellStyle name="Standard 4 4 2 2 2 2 3 2 2 3 2" xfId="25023" xr:uid="{00000000-0005-0000-0000-000088620000}"/>
    <cellStyle name="Standard 4 4 2 2 2 2 3 2 2 3 3" xfId="25024" xr:uid="{00000000-0005-0000-0000-000089620000}"/>
    <cellStyle name="Standard 4 4 2 2 2 2 3 2 2 4" xfId="25025" xr:uid="{00000000-0005-0000-0000-00008A620000}"/>
    <cellStyle name="Standard 4 4 2 2 2 2 3 2 2 4 2" xfId="25026" xr:uid="{00000000-0005-0000-0000-00008B620000}"/>
    <cellStyle name="Standard 4 4 2 2 2 2 3 2 2 5" xfId="25027" xr:uid="{00000000-0005-0000-0000-00008C620000}"/>
    <cellStyle name="Standard 4 4 2 2 2 2 3 2 2 6" xfId="25028" xr:uid="{00000000-0005-0000-0000-00008D620000}"/>
    <cellStyle name="Standard 4 4 2 2 2 2 3 2 3" xfId="25029" xr:uid="{00000000-0005-0000-0000-00008E620000}"/>
    <cellStyle name="Standard 4 4 2 2 2 2 3 2 3 2" xfId="25030" xr:uid="{00000000-0005-0000-0000-00008F620000}"/>
    <cellStyle name="Standard 4 4 2 2 2 2 3 2 3 3" xfId="25031" xr:uid="{00000000-0005-0000-0000-000090620000}"/>
    <cellStyle name="Standard 4 4 2 2 2 2 3 2 4" xfId="25032" xr:uid="{00000000-0005-0000-0000-000091620000}"/>
    <cellStyle name="Standard 4 4 2 2 2 2 3 2 4 2" xfId="25033" xr:uid="{00000000-0005-0000-0000-000092620000}"/>
    <cellStyle name="Standard 4 4 2 2 2 2 3 2 4 3" xfId="25034" xr:uid="{00000000-0005-0000-0000-000093620000}"/>
    <cellStyle name="Standard 4 4 2 2 2 2 3 2 5" xfId="25035" xr:uid="{00000000-0005-0000-0000-000094620000}"/>
    <cellStyle name="Standard 4 4 2 2 2 2 3 2 5 2" xfId="25036" xr:uid="{00000000-0005-0000-0000-000095620000}"/>
    <cellStyle name="Standard 4 4 2 2 2 2 3 2 6" xfId="25037" xr:uid="{00000000-0005-0000-0000-000096620000}"/>
    <cellStyle name="Standard 4 4 2 2 2 2 3 2 7" xfId="25038" xr:uid="{00000000-0005-0000-0000-000097620000}"/>
    <cellStyle name="Standard 4 4 2 2 2 2 3 3" xfId="25039" xr:uid="{00000000-0005-0000-0000-000098620000}"/>
    <cellStyle name="Standard 4 4 2 2 2 2 3 3 2" xfId="25040" xr:uid="{00000000-0005-0000-0000-000099620000}"/>
    <cellStyle name="Standard 4 4 2 2 2 2 3 3 2 2" xfId="25041" xr:uid="{00000000-0005-0000-0000-00009A620000}"/>
    <cellStyle name="Standard 4 4 2 2 2 2 3 3 2 3" xfId="25042" xr:uid="{00000000-0005-0000-0000-00009B620000}"/>
    <cellStyle name="Standard 4 4 2 2 2 2 3 3 3" xfId="25043" xr:uid="{00000000-0005-0000-0000-00009C620000}"/>
    <cellStyle name="Standard 4 4 2 2 2 2 3 3 3 2" xfId="25044" xr:uid="{00000000-0005-0000-0000-00009D620000}"/>
    <cellStyle name="Standard 4 4 2 2 2 2 3 3 3 3" xfId="25045" xr:uid="{00000000-0005-0000-0000-00009E620000}"/>
    <cellStyle name="Standard 4 4 2 2 2 2 3 3 4" xfId="25046" xr:uid="{00000000-0005-0000-0000-00009F620000}"/>
    <cellStyle name="Standard 4 4 2 2 2 2 3 3 4 2" xfId="25047" xr:uid="{00000000-0005-0000-0000-0000A0620000}"/>
    <cellStyle name="Standard 4 4 2 2 2 2 3 3 5" xfId="25048" xr:uid="{00000000-0005-0000-0000-0000A1620000}"/>
    <cellStyle name="Standard 4 4 2 2 2 2 3 3 6" xfId="25049" xr:uid="{00000000-0005-0000-0000-0000A2620000}"/>
    <cellStyle name="Standard 4 4 2 2 2 2 3 4" xfId="25050" xr:uid="{00000000-0005-0000-0000-0000A3620000}"/>
    <cellStyle name="Standard 4 4 2 2 2 2 3 4 2" xfId="25051" xr:uid="{00000000-0005-0000-0000-0000A4620000}"/>
    <cellStyle name="Standard 4 4 2 2 2 2 3 4 3" xfId="25052" xr:uid="{00000000-0005-0000-0000-0000A5620000}"/>
    <cellStyle name="Standard 4 4 2 2 2 2 3 5" xfId="25053" xr:uid="{00000000-0005-0000-0000-0000A6620000}"/>
    <cellStyle name="Standard 4 4 2 2 2 2 3 5 2" xfId="25054" xr:uid="{00000000-0005-0000-0000-0000A7620000}"/>
    <cellStyle name="Standard 4 4 2 2 2 2 3 5 3" xfId="25055" xr:uid="{00000000-0005-0000-0000-0000A8620000}"/>
    <cellStyle name="Standard 4 4 2 2 2 2 3 6" xfId="25056" xr:uid="{00000000-0005-0000-0000-0000A9620000}"/>
    <cellStyle name="Standard 4 4 2 2 2 2 3 6 2" xfId="25057" xr:uid="{00000000-0005-0000-0000-0000AA620000}"/>
    <cellStyle name="Standard 4 4 2 2 2 2 3 7" xfId="25058" xr:uid="{00000000-0005-0000-0000-0000AB620000}"/>
    <cellStyle name="Standard 4 4 2 2 2 2 3 8" xfId="25059" xr:uid="{00000000-0005-0000-0000-0000AC620000}"/>
    <cellStyle name="Standard 4 4 2 2 2 2 4" xfId="25060" xr:uid="{00000000-0005-0000-0000-0000AD620000}"/>
    <cellStyle name="Standard 4 4 2 2 2 2 4 2" xfId="25061" xr:uid="{00000000-0005-0000-0000-0000AE620000}"/>
    <cellStyle name="Standard 4 4 2 2 2 2 4 2 2" xfId="25062" xr:uid="{00000000-0005-0000-0000-0000AF620000}"/>
    <cellStyle name="Standard 4 4 2 2 2 2 4 2 2 2" xfId="25063" xr:uid="{00000000-0005-0000-0000-0000B0620000}"/>
    <cellStyle name="Standard 4 4 2 2 2 2 4 2 2 3" xfId="25064" xr:uid="{00000000-0005-0000-0000-0000B1620000}"/>
    <cellStyle name="Standard 4 4 2 2 2 2 4 2 3" xfId="25065" xr:uid="{00000000-0005-0000-0000-0000B2620000}"/>
    <cellStyle name="Standard 4 4 2 2 2 2 4 2 3 2" xfId="25066" xr:uid="{00000000-0005-0000-0000-0000B3620000}"/>
    <cellStyle name="Standard 4 4 2 2 2 2 4 2 3 3" xfId="25067" xr:uid="{00000000-0005-0000-0000-0000B4620000}"/>
    <cellStyle name="Standard 4 4 2 2 2 2 4 2 4" xfId="25068" xr:uid="{00000000-0005-0000-0000-0000B5620000}"/>
    <cellStyle name="Standard 4 4 2 2 2 2 4 2 4 2" xfId="25069" xr:uid="{00000000-0005-0000-0000-0000B6620000}"/>
    <cellStyle name="Standard 4 4 2 2 2 2 4 2 5" xfId="25070" xr:uid="{00000000-0005-0000-0000-0000B7620000}"/>
    <cellStyle name="Standard 4 4 2 2 2 2 4 2 6" xfId="25071" xr:uid="{00000000-0005-0000-0000-0000B8620000}"/>
    <cellStyle name="Standard 4 4 2 2 2 2 4 3" xfId="25072" xr:uid="{00000000-0005-0000-0000-0000B9620000}"/>
    <cellStyle name="Standard 4 4 2 2 2 2 4 3 2" xfId="25073" xr:uid="{00000000-0005-0000-0000-0000BA620000}"/>
    <cellStyle name="Standard 4 4 2 2 2 2 4 3 3" xfId="25074" xr:uid="{00000000-0005-0000-0000-0000BB620000}"/>
    <cellStyle name="Standard 4 4 2 2 2 2 4 4" xfId="25075" xr:uid="{00000000-0005-0000-0000-0000BC620000}"/>
    <cellStyle name="Standard 4 4 2 2 2 2 4 4 2" xfId="25076" xr:uid="{00000000-0005-0000-0000-0000BD620000}"/>
    <cellStyle name="Standard 4 4 2 2 2 2 4 4 3" xfId="25077" xr:uid="{00000000-0005-0000-0000-0000BE620000}"/>
    <cellStyle name="Standard 4 4 2 2 2 2 4 5" xfId="25078" xr:uid="{00000000-0005-0000-0000-0000BF620000}"/>
    <cellStyle name="Standard 4 4 2 2 2 2 4 5 2" xfId="25079" xr:uid="{00000000-0005-0000-0000-0000C0620000}"/>
    <cellStyle name="Standard 4 4 2 2 2 2 4 6" xfId="25080" xr:uid="{00000000-0005-0000-0000-0000C1620000}"/>
    <cellStyle name="Standard 4 4 2 2 2 2 4 7" xfId="25081" xr:uid="{00000000-0005-0000-0000-0000C2620000}"/>
    <cellStyle name="Standard 4 4 2 2 2 2 5" xfId="25082" xr:uid="{00000000-0005-0000-0000-0000C3620000}"/>
    <cellStyle name="Standard 4 4 2 2 2 2 5 2" xfId="25083" xr:uid="{00000000-0005-0000-0000-0000C4620000}"/>
    <cellStyle name="Standard 4 4 2 2 2 2 5 2 2" xfId="25084" xr:uid="{00000000-0005-0000-0000-0000C5620000}"/>
    <cellStyle name="Standard 4 4 2 2 2 2 5 2 3" xfId="25085" xr:uid="{00000000-0005-0000-0000-0000C6620000}"/>
    <cellStyle name="Standard 4 4 2 2 2 2 5 3" xfId="25086" xr:uid="{00000000-0005-0000-0000-0000C7620000}"/>
    <cellStyle name="Standard 4 4 2 2 2 2 5 3 2" xfId="25087" xr:uid="{00000000-0005-0000-0000-0000C8620000}"/>
    <cellStyle name="Standard 4 4 2 2 2 2 5 3 3" xfId="25088" xr:uid="{00000000-0005-0000-0000-0000C9620000}"/>
    <cellStyle name="Standard 4 4 2 2 2 2 5 4" xfId="25089" xr:uid="{00000000-0005-0000-0000-0000CA620000}"/>
    <cellStyle name="Standard 4 4 2 2 2 2 5 4 2" xfId="25090" xr:uid="{00000000-0005-0000-0000-0000CB620000}"/>
    <cellStyle name="Standard 4 4 2 2 2 2 5 5" xfId="25091" xr:uid="{00000000-0005-0000-0000-0000CC620000}"/>
    <cellStyle name="Standard 4 4 2 2 2 2 5 6" xfId="25092" xr:uid="{00000000-0005-0000-0000-0000CD620000}"/>
    <cellStyle name="Standard 4 4 2 2 2 2 6" xfId="25093" xr:uid="{00000000-0005-0000-0000-0000CE620000}"/>
    <cellStyle name="Standard 4 4 2 2 2 2 6 2" xfId="25094" xr:uid="{00000000-0005-0000-0000-0000CF620000}"/>
    <cellStyle name="Standard 4 4 2 2 2 2 6 3" xfId="25095" xr:uid="{00000000-0005-0000-0000-0000D0620000}"/>
    <cellStyle name="Standard 4 4 2 2 2 2 7" xfId="25096" xr:uid="{00000000-0005-0000-0000-0000D1620000}"/>
    <cellStyle name="Standard 4 4 2 2 2 2 7 2" xfId="25097" xr:uid="{00000000-0005-0000-0000-0000D2620000}"/>
    <cellStyle name="Standard 4 4 2 2 2 2 7 3" xfId="25098" xr:uid="{00000000-0005-0000-0000-0000D3620000}"/>
    <cellStyle name="Standard 4 4 2 2 2 2 8" xfId="25099" xr:uid="{00000000-0005-0000-0000-0000D4620000}"/>
    <cellStyle name="Standard 4 4 2 2 2 2 8 2" xfId="25100" xr:uid="{00000000-0005-0000-0000-0000D5620000}"/>
    <cellStyle name="Standard 4 4 2 2 2 2 9" xfId="25101" xr:uid="{00000000-0005-0000-0000-0000D6620000}"/>
    <cellStyle name="Standard 4 4 2 2 2 3" xfId="25102" xr:uid="{00000000-0005-0000-0000-0000D7620000}"/>
    <cellStyle name="Standard 4 4 2 2 2 3 2" xfId="25103" xr:uid="{00000000-0005-0000-0000-0000D8620000}"/>
    <cellStyle name="Standard 4 4 2 2 2 3 2 2" xfId="25104" xr:uid="{00000000-0005-0000-0000-0000D9620000}"/>
    <cellStyle name="Standard 4 4 2 2 2 3 2 2 2" xfId="25105" xr:uid="{00000000-0005-0000-0000-0000DA620000}"/>
    <cellStyle name="Standard 4 4 2 2 2 3 2 2 2 2" xfId="25106" xr:uid="{00000000-0005-0000-0000-0000DB620000}"/>
    <cellStyle name="Standard 4 4 2 2 2 3 2 2 2 3" xfId="25107" xr:uid="{00000000-0005-0000-0000-0000DC620000}"/>
    <cellStyle name="Standard 4 4 2 2 2 3 2 2 3" xfId="25108" xr:uid="{00000000-0005-0000-0000-0000DD620000}"/>
    <cellStyle name="Standard 4 4 2 2 2 3 2 2 3 2" xfId="25109" xr:uid="{00000000-0005-0000-0000-0000DE620000}"/>
    <cellStyle name="Standard 4 4 2 2 2 3 2 2 3 3" xfId="25110" xr:uid="{00000000-0005-0000-0000-0000DF620000}"/>
    <cellStyle name="Standard 4 4 2 2 2 3 2 2 4" xfId="25111" xr:uid="{00000000-0005-0000-0000-0000E0620000}"/>
    <cellStyle name="Standard 4 4 2 2 2 3 2 2 4 2" xfId="25112" xr:uid="{00000000-0005-0000-0000-0000E1620000}"/>
    <cellStyle name="Standard 4 4 2 2 2 3 2 2 5" xfId="25113" xr:uid="{00000000-0005-0000-0000-0000E2620000}"/>
    <cellStyle name="Standard 4 4 2 2 2 3 2 2 6" xfId="25114" xr:uid="{00000000-0005-0000-0000-0000E3620000}"/>
    <cellStyle name="Standard 4 4 2 2 2 3 2 3" xfId="25115" xr:uid="{00000000-0005-0000-0000-0000E4620000}"/>
    <cellStyle name="Standard 4 4 2 2 2 3 2 3 2" xfId="25116" xr:uid="{00000000-0005-0000-0000-0000E5620000}"/>
    <cellStyle name="Standard 4 4 2 2 2 3 2 3 3" xfId="25117" xr:uid="{00000000-0005-0000-0000-0000E6620000}"/>
    <cellStyle name="Standard 4 4 2 2 2 3 2 4" xfId="25118" xr:uid="{00000000-0005-0000-0000-0000E7620000}"/>
    <cellStyle name="Standard 4 4 2 2 2 3 2 4 2" xfId="25119" xr:uid="{00000000-0005-0000-0000-0000E8620000}"/>
    <cellStyle name="Standard 4 4 2 2 2 3 2 4 3" xfId="25120" xr:uid="{00000000-0005-0000-0000-0000E9620000}"/>
    <cellStyle name="Standard 4 4 2 2 2 3 2 5" xfId="25121" xr:uid="{00000000-0005-0000-0000-0000EA620000}"/>
    <cellStyle name="Standard 4 4 2 2 2 3 2 5 2" xfId="25122" xr:uid="{00000000-0005-0000-0000-0000EB620000}"/>
    <cellStyle name="Standard 4 4 2 2 2 3 2 6" xfId="25123" xr:uid="{00000000-0005-0000-0000-0000EC620000}"/>
    <cellStyle name="Standard 4 4 2 2 2 3 2 7" xfId="25124" xr:uid="{00000000-0005-0000-0000-0000ED620000}"/>
    <cellStyle name="Standard 4 4 2 2 2 3 3" xfId="25125" xr:uid="{00000000-0005-0000-0000-0000EE620000}"/>
    <cellStyle name="Standard 4 4 2 2 2 3 3 2" xfId="25126" xr:uid="{00000000-0005-0000-0000-0000EF620000}"/>
    <cellStyle name="Standard 4 4 2 2 2 3 3 2 2" xfId="25127" xr:uid="{00000000-0005-0000-0000-0000F0620000}"/>
    <cellStyle name="Standard 4 4 2 2 2 3 3 2 3" xfId="25128" xr:uid="{00000000-0005-0000-0000-0000F1620000}"/>
    <cellStyle name="Standard 4 4 2 2 2 3 3 3" xfId="25129" xr:uid="{00000000-0005-0000-0000-0000F2620000}"/>
    <cellStyle name="Standard 4 4 2 2 2 3 3 3 2" xfId="25130" xr:uid="{00000000-0005-0000-0000-0000F3620000}"/>
    <cellStyle name="Standard 4 4 2 2 2 3 3 3 3" xfId="25131" xr:uid="{00000000-0005-0000-0000-0000F4620000}"/>
    <cellStyle name="Standard 4 4 2 2 2 3 3 4" xfId="25132" xr:uid="{00000000-0005-0000-0000-0000F5620000}"/>
    <cellStyle name="Standard 4 4 2 2 2 3 3 4 2" xfId="25133" xr:uid="{00000000-0005-0000-0000-0000F6620000}"/>
    <cellStyle name="Standard 4 4 2 2 2 3 3 5" xfId="25134" xr:uid="{00000000-0005-0000-0000-0000F7620000}"/>
    <cellStyle name="Standard 4 4 2 2 2 3 3 6" xfId="25135" xr:uid="{00000000-0005-0000-0000-0000F8620000}"/>
    <cellStyle name="Standard 4 4 2 2 2 3 4" xfId="25136" xr:uid="{00000000-0005-0000-0000-0000F9620000}"/>
    <cellStyle name="Standard 4 4 2 2 2 3 4 2" xfId="25137" xr:uid="{00000000-0005-0000-0000-0000FA620000}"/>
    <cellStyle name="Standard 4 4 2 2 2 3 4 3" xfId="25138" xr:uid="{00000000-0005-0000-0000-0000FB620000}"/>
    <cellStyle name="Standard 4 4 2 2 2 3 5" xfId="25139" xr:uid="{00000000-0005-0000-0000-0000FC620000}"/>
    <cellStyle name="Standard 4 4 2 2 2 3 5 2" xfId="25140" xr:uid="{00000000-0005-0000-0000-0000FD620000}"/>
    <cellStyle name="Standard 4 4 2 2 2 3 5 3" xfId="25141" xr:uid="{00000000-0005-0000-0000-0000FE620000}"/>
    <cellStyle name="Standard 4 4 2 2 2 3 6" xfId="25142" xr:uid="{00000000-0005-0000-0000-0000FF620000}"/>
    <cellStyle name="Standard 4 4 2 2 2 3 6 2" xfId="25143" xr:uid="{00000000-0005-0000-0000-000000630000}"/>
    <cellStyle name="Standard 4 4 2 2 2 3 7" xfId="25144" xr:uid="{00000000-0005-0000-0000-000001630000}"/>
    <cellStyle name="Standard 4 4 2 2 2 3 8" xfId="25145" xr:uid="{00000000-0005-0000-0000-000002630000}"/>
    <cellStyle name="Standard 4 4 2 2 2 4" xfId="25146" xr:uid="{00000000-0005-0000-0000-000003630000}"/>
    <cellStyle name="Standard 4 4 2 2 2 4 2" xfId="25147" xr:uid="{00000000-0005-0000-0000-000004630000}"/>
    <cellStyle name="Standard 4 4 2 2 2 4 2 2" xfId="25148" xr:uid="{00000000-0005-0000-0000-000005630000}"/>
    <cellStyle name="Standard 4 4 2 2 2 4 2 2 2" xfId="25149" xr:uid="{00000000-0005-0000-0000-000006630000}"/>
    <cellStyle name="Standard 4 4 2 2 2 4 2 2 2 2" xfId="25150" xr:uid="{00000000-0005-0000-0000-000007630000}"/>
    <cellStyle name="Standard 4 4 2 2 2 4 2 2 2 3" xfId="25151" xr:uid="{00000000-0005-0000-0000-000008630000}"/>
    <cellStyle name="Standard 4 4 2 2 2 4 2 2 3" xfId="25152" xr:uid="{00000000-0005-0000-0000-000009630000}"/>
    <cellStyle name="Standard 4 4 2 2 2 4 2 2 3 2" xfId="25153" xr:uid="{00000000-0005-0000-0000-00000A630000}"/>
    <cellStyle name="Standard 4 4 2 2 2 4 2 2 3 3" xfId="25154" xr:uid="{00000000-0005-0000-0000-00000B630000}"/>
    <cellStyle name="Standard 4 4 2 2 2 4 2 2 4" xfId="25155" xr:uid="{00000000-0005-0000-0000-00000C630000}"/>
    <cellStyle name="Standard 4 4 2 2 2 4 2 2 4 2" xfId="25156" xr:uid="{00000000-0005-0000-0000-00000D630000}"/>
    <cellStyle name="Standard 4 4 2 2 2 4 2 2 5" xfId="25157" xr:uid="{00000000-0005-0000-0000-00000E630000}"/>
    <cellStyle name="Standard 4 4 2 2 2 4 2 2 6" xfId="25158" xr:uid="{00000000-0005-0000-0000-00000F630000}"/>
    <cellStyle name="Standard 4 4 2 2 2 4 2 3" xfId="25159" xr:uid="{00000000-0005-0000-0000-000010630000}"/>
    <cellStyle name="Standard 4 4 2 2 2 4 2 3 2" xfId="25160" xr:uid="{00000000-0005-0000-0000-000011630000}"/>
    <cellStyle name="Standard 4 4 2 2 2 4 2 3 3" xfId="25161" xr:uid="{00000000-0005-0000-0000-000012630000}"/>
    <cellStyle name="Standard 4 4 2 2 2 4 2 4" xfId="25162" xr:uid="{00000000-0005-0000-0000-000013630000}"/>
    <cellStyle name="Standard 4 4 2 2 2 4 2 4 2" xfId="25163" xr:uid="{00000000-0005-0000-0000-000014630000}"/>
    <cellStyle name="Standard 4 4 2 2 2 4 2 4 3" xfId="25164" xr:uid="{00000000-0005-0000-0000-000015630000}"/>
    <cellStyle name="Standard 4 4 2 2 2 4 2 5" xfId="25165" xr:uid="{00000000-0005-0000-0000-000016630000}"/>
    <cellStyle name="Standard 4 4 2 2 2 4 2 5 2" xfId="25166" xr:uid="{00000000-0005-0000-0000-000017630000}"/>
    <cellStyle name="Standard 4 4 2 2 2 4 2 6" xfId="25167" xr:uid="{00000000-0005-0000-0000-000018630000}"/>
    <cellStyle name="Standard 4 4 2 2 2 4 2 7" xfId="25168" xr:uid="{00000000-0005-0000-0000-000019630000}"/>
    <cellStyle name="Standard 4 4 2 2 2 4 3" xfId="25169" xr:uid="{00000000-0005-0000-0000-00001A630000}"/>
    <cellStyle name="Standard 4 4 2 2 2 4 3 2" xfId="25170" xr:uid="{00000000-0005-0000-0000-00001B630000}"/>
    <cellStyle name="Standard 4 4 2 2 2 4 3 2 2" xfId="25171" xr:uid="{00000000-0005-0000-0000-00001C630000}"/>
    <cellStyle name="Standard 4 4 2 2 2 4 3 2 3" xfId="25172" xr:uid="{00000000-0005-0000-0000-00001D630000}"/>
    <cellStyle name="Standard 4 4 2 2 2 4 3 3" xfId="25173" xr:uid="{00000000-0005-0000-0000-00001E630000}"/>
    <cellStyle name="Standard 4 4 2 2 2 4 3 3 2" xfId="25174" xr:uid="{00000000-0005-0000-0000-00001F630000}"/>
    <cellStyle name="Standard 4 4 2 2 2 4 3 3 3" xfId="25175" xr:uid="{00000000-0005-0000-0000-000020630000}"/>
    <cellStyle name="Standard 4 4 2 2 2 4 3 4" xfId="25176" xr:uid="{00000000-0005-0000-0000-000021630000}"/>
    <cellStyle name="Standard 4 4 2 2 2 4 3 4 2" xfId="25177" xr:uid="{00000000-0005-0000-0000-000022630000}"/>
    <cellStyle name="Standard 4 4 2 2 2 4 3 5" xfId="25178" xr:uid="{00000000-0005-0000-0000-000023630000}"/>
    <cellStyle name="Standard 4 4 2 2 2 4 3 6" xfId="25179" xr:uid="{00000000-0005-0000-0000-000024630000}"/>
    <cellStyle name="Standard 4 4 2 2 2 4 4" xfId="25180" xr:uid="{00000000-0005-0000-0000-000025630000}"/>
    <cellStyle name="Standard 4 4 2 2 2 4 4 2" xfId="25181" xr:uid="{00000000-0005-0000-0000-000026630000}"/>
    <cellStyle name="Standard 4 4 2 2 2 4 4 3" xfId="25182" xr:uid="{00000000-0005-0000-0000-000027630000}"/>
    <cellStyle name="Standard 4 4 2 2 2 4 5" xfId="25183" xr:uid="{00000000-0005-0000-0000-000028630000}"/>
    <cellStyle name="Standard 4 4 2 2 2 4 5 2" xfId="25184" xr:uid="{00000000-0005-0000-0000-000029630000}"/>
    <cellStyle name="Standard 4 4 2 2 2 4 5 3" xfId="25185" xr:uid="{00000000-0005-0000-0000-00002A630000}"/>
    <cellStyle name="Standard 4 4 2 2 2 4 6" xfId="25186" xr:uid="{00000000-0005-0000-0000-00002B630000}"/>
    <cellStyle name="Standard 4 4 2 2 2 4 6 2" xfId="25187" xr:uid="{00000000-0005-0000-0000-00002C630000}"/>
    <cellStyle name="Standard 4 4 2 2 2 4 7" xfId="25188" xr:uid="{00000000-0005-0000-0000-00002D630000}"/>
    <cellStyle name="Standard 4 4 2 2 2 4 8" xfId="25189" xr:uid="{00000000-0005-0000-0000-00002E630000}"/>
    <cellStyle name="Standard 4 4 2 2 2 5" xfId="25190" xr:uid="{00000000-0005-0000-0000-00002F630000}"/>
    <cellStyle name="Standard 4 4 2 2 2 5 2" xfId="25191" xr:uid="{00000000-0005-0000-0000-000030630000}"/>
    <cellStyle name="Standard 4 4 2 2 2 5 2 2" xfId="25192" xr:uid="{00000000-0005-0000-0000-000031630000}"/>
    <cellStyle name="Standard 4 4 2 2 2 5 2 2 2" xfId="25193" xr:uid="{00000000-0005-0000-0000-000032630000}"/>
    <cellStyle name="Standard 4 4 2 2 2 5 2 2 3" xfId="25194" xr:uid="{00000000-0005-0000-0000-000033630000}"/>
    <cellStyle name="Standard 4 4 2 2 2 5 2 3" xfId="25195" xr:uid="{00000000-0005-0000-0000-000034630000}"/>
    <cellStyle name="Standard 4 4 2 2 2 5 2 3 2" xfId="25196" xr:uid="{00000000-0005-0000-0000-000035630000}"/>
    <cellStyle name="Standard 4 4 2 2 2 5 2 3 3" xfId="25197" xr:uid="{00000000-0005-0000-0000-000036630000}"/>
    <cellStyle name="Standard 4 4 2 2 2 5 2 4" xfId="25198" xr:uid="{00000000-0005-0000-0000-000037630000}"/>
    <cellStyle name="Standard 4 4 2 2 2 5 2 4 2" xfId="25199" xr:uid="{00000000-0005-0000-0000-000038630000}"/>
    <cellStyle name="Standard 4 4 2 2 2 5 2 5" xfId="25200" xr:uid="{00000000-0005-0000-0000-000039630000}"/>
    <cellStyle name="Standard 4 4 2 2 2 5 2 6" xfId="25201" xr:uid="{00000000-0005-0000-0000-00003A630000}"/>
    <cellStyle name="Standard 4 4 2 2 2 5 3" xfId="25202" xr:uid="{00000000-0005-0000-0000-00003B630000}"/>
    <cellStyle name="Standard 4 4 2 2 2 5 3 2" xfId="25203" xr:uid="{00000000-0005-0000-0000-00003C630000}"/>
    <cellStyle name="Standard 4 4 2 2 2 5 3 3" xfId="25204" xr:uid="{00000000-0005-0000-0000-00003D630000}"/>
    <cellStyle name="Standard 4 4 2 2 2 5 4" xfId="25205" xr:uid="{00000000-0005-0000-0000-00003E630000}"/>
    <cellStyle name="Standard 4 4 2 2 2 5 4 2" xfId="25206" xr:uid="{00000000-0005-0000-0000-00003F630000}"/>
    <cellStyle name="Standard 4 4 2 2 2 5 4 3" xfId="25207" xr:uid="{00000000-0005-0000-0000-000040630000}"/>
    <cellStyle name="Standard 4 4 2 2 2 5 5" xfId="25208" xr:uid="{00000000-0005-0000-0000-000041630000}"/>
    <cellStyle name="Standard 4 4 2 2 2 5 5 2" xfId="25209" xr:uid="{00000000-0005-0000-0000-000042630000}"/>
    <cellStyle name="Standard 4 4 2 2 2 5 6" xfId="25210" xr:uid="{00000000-0005-0000-0000-000043630000}"/>
    <cellStyle name="Standard 4 4 2 2 2 5 7" xfId="25211" xr:uid="{00000000-0005-0000-0000-000044630000}"/>
    <cellStyle name="Standard 4 4 2 2 2 6" xfId="25212" xr:uid="{00000000-0005-0000-0000-000045630000}"/>
    <cellStyle name="Standard 4 4 2 2 2 6 2" xfId="25213" xr:uid="{00000000-0005-0000-0000-000046630000}"/>
    <cellStyle name="Standard 4 4 2 2 2 6 2 2" xfId="25214" xr:uid="{00000000-0005-0000-0000-000047630000}"/>
    <cellStyle name="Standard 4 4 2 2 2 6 2 3" xfId="25215" xr:uid="{00000000-0005-0000-0000-000048630000}"/>
    <cellStyle name="Standard 4 4 2 2 2 6 3" xfId="25216" xr:uid="{00000000-0005-0000-0000-000049630000}"/>
    <cellStyle name="Standard 4 4 2 2 2 6 3 2" xfId="25217" xr:uid="{00000000-0005-0000-0000-00004A630000}"/>
    <cellStyle name="Standard 4 4 2 2 2 6 3 3" xfId="25218" xr:uid="{00000000-0005-0000-0000-00004B630000}"/>
    <cellStyle name="Standard 4 4 2 2 2 6 4" xfId="25219" xr:uid="{00000000-0005-0000-0000-00004C630000}"/>
    <cellStyle name="Standard 4 4 2 2 2 6 4 2" xfId="25220" xr:uid="{00000000-0005-0000-0000-00004D630000}"/>
    <cellStyle name="Standard 4 4 2 2 2 6 5" xfId="25221" xr:uid="{00000000-0005-0000-0000-00004E630000}"/>
    <cellStyle name="Standard 4 4 2 2 2 6 6" xfId="25222" xr:uid="{00000000-0005-0000-0000-00004F630000}"/>
    <cellStyle name="Standard 4 4 2 2 2 7" xfId="25223" xr:uid="{00000000-0005-0000-0000-000050630000}"/>
    <cellStyle name="Standard 4 4 2 2 2 7 2" xfId="25224" xr:uid="{00000000-0005-0000-0000-000051630000}"/>
    <cellStyle name="Standard 4 4 2 2 2 7 3" xfId="25225" xr:uid="{00000000-0005-0000-0000-000052630000}"/>
    <cellStyle name="Standard 4 4 2 2 2 8" xfId="25226" xr:uid="{00000000-0005-0000-0000-000053630000}"/>
    <cellStyle name="Standard 4 4 2 2 2 8 2" xfId="25227" xr:uid="{00000000-0005-0000-0000-000054630000}"/>
    <cellStyle name="Standard 4 4 2 2 2 8 3" xfId="25228" xr:uid="{00000000-0005-0000-0000-000055630000}"/>
    <cellStyle name="Standard 4 4 2 2 2 9" xfId="25229" xr:uid="{00000000-0005-0000-0000-000056630000}"/>
    <cellStyle name="Standard 4 4 2 2 2 9 2" xfId="25230" xr:uid="{00000000-0005-0000-0000-000057630000}"/>
    <cellStyle name="Standard 4 4 2 2 3" xfId="25231" xr:uid="{00000000-0005-0000-0000-000058630000}"/>
    <cellStyle name="Standard 4 4 2 2 3 10" xfId="25232" xr:uid="{00000000-0005-0000-0000-000059630000}"/>
    <cellStyle name="Standard 4 4 2 2 3 2" xfId="25233" xr:uid="{00000000-0005-0000-0000-00005A630000}"/>
    <cellStyle name="Standard 4 4 2 2 3 2 2" xfId="25234" xr:uid="{00000000-0005-0000-0000-00005B630000}"/>
    <cellStyle name="Standard 4 4 2 2 3 2 2 2" xfId="25235" xr:uid="{00000000-0005-0000-0000-00005C630000}"/>
    <cellStyle name="Standard 4 4 2 2 3 2 2 2 2" xfId="25236" xr:uid="{00000000-0005-0000-0000-00005D630000}"/>
    <cellStyle name="Standard 4 4 2 2 3 2 2 2 2 2" xfId="25237" xr:uid="{00000000-0005-0000-0000-00005E630000}"/>
    <cellStyle name="Standard 4 4 2 2 3 2 2 2 2 3" xfId="25238" xr:uid="{00000000-0005-0000-0000-00005F630000}"/>
    <cellStyle name="Standard 4 4 2 2 3 2 2 2 3" xfId="25239" xr:uid="{00000000-0005-0000-0000-000060630000}"/>
    <cellStyle name="Standard 4 4 2 2 3 2 2 2 3 2" xfId="25240" xr:uid="{00000000-0005-0000-0000-000061630000}"/>
    <cellStyle name="Standard 4 4 2 2 3 2 2 2 3 3" xfId="25241" xr:uid="{00000000-0005-0000-0000-000062630000}"/>
    <cellStyle name="Standard 4 4 2 2 3 2 2 2 4" xfId="25242" xr:uid="{00000000-0005-0000-0000-000063630000}"/>
    <cellStyle name="Standard 4 4 2 2 3 2 2 2 4 2" xfId="25243" xr:uid="{00000000-0005-0000-0000-000064630000}"/>
    <cellStyle name="Standard 4 4 2 2 3 2 2 2 5" xfId="25244" xr:uid="{00000000-0005-0000-0000-000065630000}"/>
    <cellStyle name="Standard 4 4 2 2 3 2 2 2 6" xfId="25245" xr:uid="{00000000-0005-0000-0000-000066630000}"/>
    <cellStyle name="Standard 4 4 2 2 3 2 2 3" xfId="25246" xr:uid="{00000000-0005-0000-0000-000067630000}"/>
    <cellStyle name="Standard 4 4 2 2 3 2 2 3 2" xfId="25247" xr:uid="{00000000-0005-0000-0000-000068630000}"/>
    <cellStyle name="Standard 4 4 2 2 3 2 2 3 3" xfId="25248" xr:uid="{00000000-0005-0000-0000-000069630000}"/>
    <cellStyle name="Standard 4 4 2 2 3 2 2 4" xfId="25249" xr:uid="{00000000-0005-0000-0000-00006A630000}"/>
    <cellStyle name="Standard 4 4 2 2 3 2 2 4 2" xfId="25250" xr:uid="{00000000-0005-0000-0000-00006B630000}"/>
    <cellStyle name="Standard 4 4 2 2 3 2 2 4 3" xfId="25251" xr:uid="{00000000-0005-0000-0000-00006C630000}"/>
    <cellStyle name="Standard 4 4 2 2 3 2 2 5" xfId="25252" xr:uid="{00000000-0005-0000-0000-00006D630000}"/>
    <cellStyle name="Standard 4 4 2 2 3 2 2 5 2" xfId="25253" xr:uid="{00000000-0005-0000-0000-00006E630000}"/>
    <cellStyle name="Standard 4 4 2 2 3 2 2 6" xfId="25254" xr:uid="{00000000-0005-0000-0000-00006F630000}"/>
    <cellStyle name="Standard 4 4 2 2 3 2 2 7" xfId="25255" xr:uid="{00000000-0005-0000-0000-000070630000}"/>
    <cellStyle name="Standard 4 4 2 2 3 2 3" xfId="25256" xr:uid="{00000000-0005-0000-0000-000071630000}"/>
    <cellStyle name="Standard 4 4 2 2 3 2 3 2" xfId="25257" xr:uid="{00000000-0005-0000-0000-000072630000}"/>
    <cellStyle name="Standard 4 4 2 2 3 2 3 2 2" xfId="25258" xr:uid="{00000000-0005-0000-0000-000073630000}"/>
    <cellStyle name="Standard 4 4 2 2 3 2 3 2 3" xfId="25259" xr:uid="{00000000-0005-0000-0000-000074630000}"/>
    <cellStyle name="Standard 4 4 2 2 3 2 3 3" xfId="25260" xr:uid="{00000000-0005-0000-0000-000075630000}"/>
    <cellStyle name="Standard 4 4 2 2 3 2 3 3 2" xfId="25261" xr:uid="{00000000-0005-0000-0000-000076630000}"/>
    <cellStyle name="Standard 4 4 2 2 3 2 3 3 3" xfId="25262" xr:uid="{00000000-0005-0000-0000-000077630000}"/>
    <cellStyle name="Standard 4 4 2 2 3 2 3 4" xfId="25263" xr:uid="{00000000-0005-0000-0000-000078630000}"/>
    <cellStyle name="Standard 4 4 2 2 3 2 3 4 2" xfId="25264" xr:uid="{00000000-0005-0000-0000-000079630000}"/>
    <cellStyle name="Standard 4 4 2 2 3 2 3 5" xfId="25265" xr:uid="{00000000-0005-0000-0000-00007A630000}"/>
    <cellStyle name="Standard 4 4 2 2 3 2 3 6" xfId="25266" xr:uid="{00000000-0005-0000-0000-00007B630000}"/>
    <cellStyle name="Standard 4 4 2 2 3 2 4" xfId="25267" xr:uid="{00000000-0005-0000-0000-00007C630000}"/>
    <cellStyle name="Standard 4 4 2 2 3 2 4 2" xfId="25268" xr:uid="{00000000-0005-0000-0000-00007D630000}"/>
    <cellStyle name="Standard 4 4 2 2 3 2 4 3" xfId="25269" xr:uid="{00000000-0005-0000-0000-00007E630000}"/>
    <cellStyle name="Standard 4 4 2 2 3 2 5" xfId="25270" xr:uid="{00000000-0005-0000-0000-00007F630000}"/>
    <cellStyle name="Standard 4 4 2 2 3 2 5 2" xfId="25271" xr:uid="{00000000-0005-0000-0000-000080630000}"/>
    <cellStyle name="Standard 4 4 2 2 3 2 5 3" xfId="25272" xr:uid="{00000000-0005-0000-0000-000081630000}"/>
    <cellStyle name="Standard 4 4 2 2 3 2 6" xfId="25273" xr:uid="{00000000-0005-0000-0000-000082630000}"/>
    <cellStyle name="Standard 4 4 2 2 3 2 6 2" xfId="25274" xr:uid="{00000000-0005-0000-0000-000083630000}"/>
    <cellStyle name="Standard 4 4 2 2 3 2 7" xfId="25275" xr:uid="{00000000-0005-0000-0000-000084630000}"/>
    <cellStyle name="Standard 4 4 2 2 3 2 8" xfId="25276" xr:uid="{00000000-0005-0000-0000-000085630000}"/>
    <cellStyle name="Standard 4 4 2 2 3 3" xfId="25277" xr:uid="{00000000-0005-0000-0000-000086630000}"/>
    <cellStyle name="Standard 4 4 2 2 3 3 2" xfId="25278" xr:uid="{00000000-0005-0000-0000-000087630000}"/>
    <cellStyle name="Standard 4 4 2 2 3 3 2 2" xfId="25279" xr:uid="{00000000-0005-0000-0000-000088630000}"/>
    <cellStyle name="Standard 4 4 2 2 3 3 2 2 2" xfId="25280" xr:uid="{00000000-0005-0000-0000-000089630000}"/>
    <cellStyle name="Standard 4 4 2 2 3 3 2 2 2 2" xfId="25281" xr:uid="{00000000-0005-0000-0000-00008A630000}"/>
    <cellStyle name="Standard 4 4 2 2 3 3 2 2 2 3" xfId="25282" xr:uid="{00000000-0005-0000-0000-00008B630000}"/>
    <cellStyle name="Standard 4 4 2 2 3 3 2 2 3" xfId="25283" xr:uid="{00000000-0005-0000-0000-00008C630000}"/>
    <cellStyle name="Standard 4 4 2 2 3 3 2 2 3 2" xfId="25284" xr:uid="{00000000-0005-0000-0000-00008D630000}"/>
    <cellStyle name="Standard 4 4 2 2 3 3 2 2 3 3" xfId="25285" xr:uid="{00000000-0005-0000-0000-00008E630000}"/>
    <cellStyle name="Standard 4 4 2 2 3 3 2 2 4" xfId="25286" xr:uid="{00000000-0005-0000-0000-00008F630000}"/>
    <cellStyle name="Standard 4 4 2 2 3 3 2 2 4 2" xfId="25287" xr:uid="{00000000-0005-0000-0000-000090630000}"/>
    <cellStyle name="Standard 4 4 2 2 3 3 2 2 5" xfId="25288" xr:uid="{00000000-0005-0000-0000-000091630000}"/>
    <cellStyle name="Standard 4 4 2 2 3 3 2 2 6" xfId="25289" xr:uid="{00000000-0005-0000-0000-000092630000}"/>
    <cellStyle name="Standard 4 4 2 2 3 3 2 3" xfId="25290" xr:uid="{00000000-0005-0000-0000-000093630000}"/>
    <cellStyle name="Standard 4 4 2 2 3 3 2 3 2" xfId="25291" xr:uid="{00000000-0005-0000-0000-000094630000}"/>
    <cellStyle name="Standard 4 4 2 2 3 3 2 3 3" xfId="25292" xr:uid="{00000000-0005-0000-0000-000095630000}"/>
    <cellStyle name="Standard 4 4 2 2 3 3 2 4" xfId="25293" xr:uid="{00000000-0005-0000-0000-000096630000}"/>
    <cellStyle name="Standard 4 4 2 2 3 3 2 4 2" xfId="25294" xr:uid="{00000000-0005-0000-0000-000097630000}"/>
    <cellStyle name="Standard 4 4 2 2 3 3 2 4 3" xfId="25295" xr:uid="{00000000-0005-0000-0000-000098630000}"/>
    <cellStyle name="Standard 4 4 2 2 3 3 2 5" xfId="25296" xr:uid="{00000000-0005-0000-0000-000099630000}"/>
    <cellStyle name="Standard 4 4 2 2 3 3 2 5 2" xfId="25297" xr:uid="{00000000-0005-0000-0000-00009A630000}"/>
    <cellStyle name="Standard 4 4 2 2 3 3 2 6" xfId="25298" xr:uid="{00000000-0005-0000-0000-00009B630000}"/>
    <cellStyle name="Standard 4 4 2 2 3 3 2 7" xfId="25299" xr:uid="{00000000-0005-0000-0000-00009C630000}"/>
    <cellStyle name="Standard 4 4 2 2 3 3 3" xfId="25300" xr:uid="{00000000-0005-0000-0000-00009D630000}"/>
    <cellStyle name="Standard 4 4 2 2 3 3 3 2" xfId="25301" xr:uid="{00000000-0005-0000-0000-00009E630000}"/>
    <cellStyle name="Standard 4 4 2 2 3 3 3 2 2" xfId="25302" xr:uid="{00000000-0005-0000-0000-00009F630000}"/>
    <cellStyle name="Standard 4 4 2 2 3 3 3 2 3" xfId="25303" xr:uid="{00000000-0005-0000-0000-0000A0630000}"/>
    <cellStyle name="Standard 4 4 2 2 3 3 3 3" xfId="25304" xr:uid="{00000000-0005-0000-0000-0000A1630000}"/>
    <cellStyle name="Standard 4 4 2 2 3 3 3 3 2" xfId="25305" xr:uid="{00000000-0005-0000-0000-0000A2630000}"/>
    <cellStyle name="Standard 4 4 2 2 3 3 3 3 3" xfId="25306" xr:uid="{00000000-0005-0000-0000-0000A3630000}"/>
    <cellStyle name="Standard 4 4 2 2 3 3 3 4" xfId="25307" xr:uid="{00000000-0005-0000-0000-0000A4630000}"/>
    <cellStyle name="Standard 4 4 2 2 3 3 3 4 2" xfId="25308" xr:uid="{00000000-0005-0000-0000-0000A5630000}"/>
    <cellStyle name="Standard 4 4 2 2 3 3 3 5" xfId="25309" xr:uid="{00000000-0005-0000-0000-0000A6630000}"/>
    <cellStyle name="Standard 4 4 2 2 3 3 3 6" xfId="25310" xr:uid="{00000000-0005-0000-0000-0000A7630000}"/>
    <cellStyle name="Standard 4 4 2 2 3 3 4" xfId="25311" xr:uid="{00000000-0005-0000-0000-0000A8630000}"/>
    <cellStyle name="Standard 4 4 2 2 3 3 4 2" xfId="25312" xr:uid="{00000000-0005-0000-0000-0000A9630000}"/>
    <cellStyle name="Standard 4 4 2 2 3 3 4 3" xfId="25313" xr:uid="{00000000-0005-0000-0000-0000AA630000}"/>
    <cellStyle name="Standard 4 4 2 2 3 3 5" xfId="25314" xr:uid="{00000000-0005-0000-0000-0000AB630000}"/>
    <cellStyle name="Standard 4 4 2 2 3 3 5 2" xfId="25315" xr:uid="{00000000-0005-0000-0000-0000AC630000}"/>
    <cellStyle name="Standard 4 4 2 2 3 3 5 3" xfId="25316" xr:uid="{00000000-0005-0000-0000-0000AD630000}"/>
    <cellStyle name="Standard 4 4 2 2 3 3 6" xfId="25317" xr:uid="{00000000-0005-0000-0000-0000AE630000}"/>
    <cellStyle name="Standard 4 4 2 2 3 3 6 2" xfId="25318" xr:uid="{00000000-0005-0000-0000-0000AF630000}"/>
    <cellStyle name="Standard 4 4 2 2 3 3 7" xfId="25319" xr:uid="{00000000-0005-0000-0000-0000B0630000}"/>
    <cellStyle name="Standard 4 4 2 2 3 3 8" xfId="25320" xr:uid="{00000000-0005-0000-0000-0000B1630000}"/>
    <cellStyle name="Standard 4 4 2 2 3 4" xfId="25321" xr:uid="{00000000-0005-0000-0000-0000B2630000}"/>
    <cellStyle name="Standard 4 4 2 2 3 4 2" xfId="25322" xr:uid="{00000000-0005-0000-0000-0000B3630000}"/>
    <cellStyle name="Standard 4 4 2 2 3 4 2 2" xfId="25323" xr:uid="{00000000-0005-0000-0000-0000B4630000}"/>
    <cellStyle name="Standard 4 4 2 2 3 4 2 2 2" xfId="25324" xr:uid="{00000000-0005-0000-0000-0000B5630000}"/>
    <cellStyle name="Standard 4 4 2 2 3 4 2 2 3" xfId="25325" xr:uid="{00000000-0005-0000-0000-0000B6630000}"/>
    <cellStyle name="Standard 4 4 2 2 3 4 2 3" xfId="25326" xr:uid="{00000000-0005-0000-0000-0000B7630000}"/>
    <cellStyle name="Standard 4 4 2 2 3 4 2 3 2" xfId="25327" xr:uid="{00000000-0005-0000-0000-0000B8630000}"/>
    <cellStyle name="Standard 4 4 2 2 3 4 2 3 3" xfId="25328" xr:uid="{00000000-0005-0000-0000-0000B9630000}"/>
    <cellStyle name="Standard 4 4 2 2 3 4 2 4" xfId="25329" xr:uid="{00000000-0005-0000-0000-0000BA630000}"/>
    <cellStyle name="Standard 4 4 2 2 3 4 2 4 2" xfId="25330" xr:uid="{00000000-0005-0000-0000-0000BB630000}"/>
    <cellStyle name="Standard 4 4 2 2 3 4 2 5" xfId="25331" xr:uid="{00000000-0005-0000-0000-0000BC630000}"/>
    <cellStyle name="Standard 4 4 2 2 3 4 2 6" xfId="25332" xr:uid="{00000000-0005-0000-0000-0000BD630000}"/>
    <cellStyle name="Standard 4 4 2 2 3 4 3" xfId="25333" xr:uid="{00000000-0005-0000-0000-0000BE630000}"/>
    <cellStyle name="Standard 4 4 2 2 3 4 3 2" xfId="25334" xr:uid="{00000000-0005-0000-0000-0000BF630000}"/>
    <cellStyle name="Standard 4 4 2 2 3 4 3 3" xfId="25335" xr:uid="{00000000-0005-0000-0000-0000C0630000}"/>
    <cellStyle name="Standard 4 4 2 2 3 4 4" xfId="25336" xr:uid="{00000000-0005-0000-0000-0000C1630000}"/>
    <cellStyle name="Standard 4 4 2 2 3 4 4 2" xfId="25337" xr:uid="{00000000-0005-0000-0000-0000C2630000}"/>
    <cellStyle name="Standard 4 4 2 2 3 4 4 3" xfId="25338" xr:uid="{00000000-0005-0000-0000-0000C3630000}"/>
    <cellStyle name="Standard 4 4 2 2 3 4 5" xfId="25339" xr:uid="{00000000-0005-0000-0000-0000C4630000}"/>
    <cellStyle name="Standard 4 4 2 2 3 4 5 2" xfId="25340" xr:uid="{00000000-0005-0000-0000-0000C5630000}"/>
    <cellStyle name="Standard 4 4 2 2 3 4 6" xfId="25341" xr:uid="{00000000-0005-0000-0000-0000C6630000}"/>
    <cellStyle name="Standard 4 4 2 2 3 4 7" xfId="25342" xr:uid="{00000000-0005-0000-0000-0000C7630000}"/>
    <cellStyle name="Standard 4 4 2 2 3 5" xfId="25343" xr:uid="{00000000-0005-0000-0000-0000C8630000}"/>
    <cellStyle name="Standard 4 4 2 2 3 5 2" xfId="25344" xr:uid="{00000000-0005-0000-0000-0000C9630000}"/>
    <cellStyle name="Standard 4 4 2 2 3 5 2 2" xfId="25345" xr:uid="{00000000-0005-0000-0000-0000CA630000}"/>
    <cellStyle name="Standard 4 4 2 2 3 5 2 3" xfId="25346" xr:uid="{00000000-0005-0000-0000-0000CB630000}"/>
    <cellStyle name="Standard 4 4 2 2 3 5 3" xfId="25347" xr:uid="{00000000-0005-0000-0000-0000CC630000}"/>
    <cellStyle name="Standard 4 4 2 2 3 5 3 2" xfId="25348" xr:uid="{00000000-0005-0000-0000-0000CD630000}"/>
    <cellStyle name="Standard 4 4 2 2 3 5 3 3" xfId="25349" xr:uid="{00000000-0005-0000-0000-0000CE630000}"/>
    <cellStyle name="Standard 4 4 2 2 3 5 4" xfId="25350" xr:uid="{00000000-0005-0000-0000-0000CF630000}"/>
    <cellStyle name="Standard 4 4 2 2 3 5 4 2" xfId="25351" xr:uid="{00000000-0005-0000-0000-0000D0630000}"/>
    <cellStyle name="Standard 4 4 2 2 3 5 5" xfId="25352" xr:uid="{00000000-0005-0000-0000-0000D1630000}"/>
    <cellStyle name="Standard 4 4 2 2 3 5 6" xfId="25353" xr:uid="{00000000-0005-0000-0000-0000D2630000}"/>
    <cellStyle name="Standard 4 4 2 2 3 6" xfId="25354" xr:uid="{00000000-0005-0000-0000-0000D3630000}"/>
    <cellStyle name="Standard 4 4 2 2 3 6 2" xfId="25355" xr:uid="{00000000-0005-0000-0000-0000D4630000}"/>
    <cellStyle name="Standard 4 4 2 2 3 6 3" xfId="25356" xr:uid="{00000000-0005-0000-0000-0000D5630000}"/>
    <cellStyle name="Standard 4 4 2 2 3 7" xfId="25357" xr:uid="{00000000-0005-0000-0000-0000D6630000}"/>
    <cellStyle name="Standard 4 4 2 2 3 7 2" xfId="25358" xr:uid="{00000000-0005-0000-0000-0000D7630000}"/>
    <cellStyle name="Standard 4 4 2 2 3 7 3" xfId="25359" xr:uid="{00000000-0005-0000-0000-0000D8630000}"/>
    <cellStyle name="Standard 4 4 2 2 3 8" xfId="25360" xr:uid="{00000000-0005-0000-0000-0000D9630000}"/>
    <cellStyle name="Standard 4 4 2 2 3 8 2" xfId="25361" xr:uid="{00000000-0005-0000-0000-0000DA630000}"/>
    <cellStyle name="Standard 4 4 2 2 3 9" xfId="25362" xr:uid="{00000000-0005-0000-0000-0000DB630000}"/>
    <cellStyle name="Standard 4 4 2 2 4" xfId="25363" xr:uid="{00000000-0005-0000-0000-0000DC630000}"/>
    <cellStyle name="Standard 4 4 2 2 4 2" xfId="25364" xr:uid="{00000000-0005-0000-0000-0000DD630000}"/>
    <cellStyle name="Standard 4 4 2 2 4 2 2" xfId="25365" xr:uid="{00000000-0005-0000-0000-0000DE630000}"/>
    <cellStyle name="Standard 4 4 2 2 4 2 2 2" xfId="25366" xr:uid="{00000000-0005-0000-0000-0000DF630000}"/>
    <cellStyle name="Standard 4 4 2 2 4 2 2 2 2" xfId="25367" xr:uid="{00000000-0005-0000-0000-0000E0630000}"/>
    <cellStyle name="Standard 4 4 2 2 4 2 2 2 3" xfId="25368" xr:uid="{00000000-0005-0000-0000-0000E1630000}"/>
    <cellStyle name="Standard 4 4 2 2 4 2 2 3" xfId="25369" xr:uid="{00000000-0005-0000-0000-0000E2630000}"/>
    <cellStyle name="Standard 4 4 2 2 4 2 2 3 2" xfId="25370" xr:uid="{00000000-0005-0000-0000-0000E3630000}"/>
    <cellStyle name="Standard 4 4 2 2 4 2 2 3 3" xfId="25371" xr:uid="{00000000-0005-0000-0000-0000E4630000}"/>
    <cellStyle name="Standard 4 4 2 2 4 2 2 4" xfId="25372" xr:uid="{00000000-0005-0000-0000-0000E5630000}"/>
    <cellStyle name="Standard 4 4 2 2 4 2 2 4 2" xfId="25373" xr:uid="{00000000-0005-0000-0000-0000E6630000}"/>
    <cellStyle name="Standard 4 4 2 2 4 2 2 5" xfId="25374" xr:uid="{00000000-0005-0000-0000-0000E7630000}"/>
    <cellStyle name="Standard 4 4 2 2 4 2 2 6" xfId="25375" xr:uid="{00000000-0005-0000-0000-0000E8630000}"/>
    <cellStyle name="Standard 4 4 2 2 4 2 3" xfId="25376" xr:uid="{00000000-0005-0000-0000-0000E9630000}"/>
    <cellStyle name="Standard 4 4 2 2 4 2 3 2" xfId="25377" xr:uid="{00000000-0005-0000-0000-0000EA630000}"/>
    <cellStyle name="Standard 4 4 2 2 4 2 3 3" xfId="25378" xr:uid="{00000000-0005-0000-0000-0000EB630000}"/>
    <cellStyle name="Standard 4 4 2 2 4 2 4" xfId="25379" xr:uid="{00000000-0005-0000-0000-0000EC630000}"/>
    <cellStyle name="Standard 4 4 2 2 4 2 4 2" xfId="25380" xr:uid="{00000000-0005-0000-0000-0000ED630000}"/>
    <cellStyle name="Standard 4 4 2 2 4 2 4 3" xfId="25381" xr:uid="{00000000-0005-0000-0000-0000EE630000}"/>
    <cellStyle name="Standard 4 4 2 2 4 2 5" xfId="25382" xr:uid="{00000000-0005-0000-0000-0000EF630000}"/>
    <cellStyle name="Standard 4 4 2 2 4 2 5 2" xfId="25383" xr:uid="{00000000-0005-0000-0000-0000F0630000}"/>
    <cellStyle name="Standard 4 4 2 2 4 2 6" xfId="25384" xr:uid="{00000000-0005-0000-0000-0000F1630000}"/>
    <cellStyle name="Standard 4 4 2 2 4 2 7" xfId="25385" xr:uid="{00000000-0005-0000-0000-0000F2630000}"/>
    <cellStyle name="Standard 4 4 2 2 4 3" xfId="25386" xr:uid="{00000000-0005-0000-0000-0000F3630000}"/>
    <cellStyle name="Standard 4 4 2 2 4 3 2" xfId="25387" xr:uid="{00000000-0005-0000-0000-0000F4630000}"/>
    <cellStyle name="Standard 4 4 2 2 4 3 2 2" xfId="25388" xr:uid="{00000000-0005-0000-0000-0000F5630000}"/>
    <cellStyle name="Standard 4 4 2 2 4 3 2 3" xfId="25389" xr:uid="{00000000-0005-0000-0000-0000F6630000}"/>
    <cellStyle name="Standard 4 4 2 2 4 3 3" xfId="25390" xr:uid="{00000000-0005-0000-0000-0000F7630000}"/>
    <cellStyle name="Standard 4 4 2 2 4 3 3 2" xfId="25391" xr:uid="{00000000-0005-0000-0000-0000F8630000}"/>
    <cellStyle name="Standard 4 4 2 2 4 3 3 3" xfId="25392" xr:uid="{00000000-0005-0000-0000-0000F9630000}"/>
    <cellStyle name="Standard 4 4 2 2 4 3 4" xfId="25393" xr:uid="{00000000-0005-0000-0000-0000FA630000}"/>
    <cellStyle name="Standard 4 4 2 2 4 3 4 2" xfId="25394" xr:uid="{00000000-0005-0000-0000-0000FB630000}"/>
    <cellStyle name="Standard 4 4 2 2 4 3 5" xfId="25395" xr:uid="{00000000-0005-0000-0000-0000FC630000}"/>
    <cellStyle name="Standard 4 4 2 2 4 3 6" xfId="25396" xr:uid="{00000000-0005-0000-0000-0000FD630000}"/>
    <cellStyle name="Standard 4 4 2 2 4 4" xfId="25397" xr:uid="{00000000-0005-0000-0000-0000FE630000}"/>
    <cellStyle name="Standard 4 4 2 2 4 4 2" xfId="25398" xr:uid="{00000000-0005-0000-0000-0000FF630000}"/>
    <cellStyle name="Standard 4 4 2 2 4 4 3" xfId="25399" xr:uid="{00000000-0005-0000-0000-000000640000}"/>
    <cellStyle name="Standard 4 4 2 2 4 5" xfId="25400" xr:uid="{00000000-0005-0000-0000-000001640000}"/>
    <cellStyle name="Standard 4 4 2 2 4 5 2" xfId="25401" xr:uid="{00000000-0005-0000-0000-000002640000}"/>
    <cellStyle name="Standard 4 4 2 2 4 5 3" xfId="25402" xr:uid="{00000000-0005-0000-0000-000003640000}"/>
    <cellStyle name="Standard 4 4 2 2 4 6" xfId="25403" xr:uid="{00000000-0005-0000-0000-000004640000}"/>
    <cellStyle name="Standard 4 4 2 2 4 6 2" xfId="25404" xr:uid="{00000000-0005-0000-0000-000005640000}"/>
    <cellStyle name="Standard 4 4 2 2 4 7" xfId="25405" xr:uid="{00000000-0005-0000-0000-000006640000}"/>
    <cellStyle name="Standard 4 4 2 2 4 8" xfId="25406" xr:uid="{00000000-0005-0000-0000-000007640000}"/>
    <cellStyle name="Standard 4 4 2 2 5" xfId="25407" xr:uid="{00000000-0005-0000-0000-000008640000}"/>
    <cellStyle name="Standard 4 4 2 2 5 2" xfId="25408" xr:uid="{00000000-0005-0000-0000-000009640000}"/>
    <cellStyle name="Standard 4 4 2 2 5 2 2" xfId="25409" xr:uid="{00000000-0005-0000-0000-00000A640000}"/>
    <cellStyle name="Standard 4 4 2 2 5 2 2 2" xfId="25410" xr:uid="{00000000-0005-0000-0000-00000B640000}"/>
    <cellStyle name="Standard 4 4 2 2 5 2 2 2 2" xfId="25411" xr:uid="{00000000-0005-0000-0000-00000C640000}"/>
    <cellStyle name="Standard 4 4 2 2 5 2 2 2 3" xfId="25412" xr:uid="{00000000-0005-0000-0000-00000D640000}"/>
    <cellStyle name="Standard 4 4 2 2 5 2 2 3" xfId="25413" xr:uid="{00000000-0005-0000-0000-00000E640000}"/>
    <cellStyle name="Standard 4 4 2 2 5 2 2 3 2" xfId="25414" xr:uid="{00000000-0005-0000-0000-00000F640000}"/>
    <cellStyle name="Standard 4 4 2 2 5 2 2 3 3" xfId="25415" xr:uid="{00000000-0005-0000-0000-000010640000}"/>
    <cellStyle name="Standard 4 4 2 2 5 2 2 4" xfId="25416" xr:uid="{00000000-0005-0000-0000-000011640000}"/>
    <cellStyle name="Standard 4 4 2 2 5 2 2 4 2" xfId="25417" xr:uid="{00000000-0005-0000-0000-000012640000}"/>
    <cellStyle name="Standard 4 4 2 2 5 2 2 5" xfId="25418" xr:uid="{00000000-0005-0000-0000-000013640000}"/>
    <cellStyle name="Standard 4 4 2 2 5 2 2 6" xfId="25419" xr:uid="{00000000-0005-0000-0000-000014640000}"/>
    <cellStyle name="Standard 4 4 2 2 5 2 3" xfId="25420" xr:uid="{00000000-0005-0000-0000-000015640000}"/>
    <cellStyle name="Standard 4 4 2 2 5 2 3 2" xfId="25421" xr:uid="{00000000-0005-0000-0000-000016640000}"/>
    <cellStyle name="Standard 4 4 2 2 5 2 3 3" xfId="25422" xr:uid="{00000000-0005-0000-0000-000017640000}"/>
    <cellStyle name="Standard 4 4 2 2 5 2 4" xfId="25423" xr:uid="{00000000-0005-0000-0000-000018640000}"/>
    <cellStyle name="Standard 4 4 2 2 5 2 4 2" xfId="25424" xr:uid="{00000000-0005-0000-0000-000019640000}"/>
    <cellStyle name="Standard 4 4 2 2 5 2 4 3" xfId="25425" xr:uid="{00000000-0005-0000-0000-00001A640000}"/>
    <cellStyle name="Standard 4 4 2 2 5 2 5" xfId="25426" xr:uid="{00000000-0005-0000-0000-00001B640000}"/>
    <cellStyle name="Standard 4 4 2 2 5 2 5 2" xfId="25427" xr:uid="{00000000-0005-0000-0000-00001C640000}"/>
    <cellStyle name="Standard 4 4 2 2 5 2 6" xfId="25428" xr:uid="{00000000-0005-0000-0000-00001D640000}"/>
    <cellStyle name="Standard 4 4 2 2 5 2 7" xfId="25429" xr:uid="{00000000-0005-0000-0000-00001E640000}"/>
    <cellStyle name="Standard 4 4 2 2 5 3" xfId="25430" xr:uid="{00000000-0005-0000-0000-00001F640000}"/>
    <cellStyle name="Standard 4 4 2 2 5 3 2" xfId="25431" xr:uid="{00000000-0005-0000-0000-000020640000}"/>
    <cellStyle name="Standard 4 4 2 2 5 3 2 2" xfId="25432" xr:uid="{00000000-0005-0000-0000-000021640000}"/>
    <cellStyle name="Standard 4 4 2 2 5 3 2 3" xfId="25433" xr:uid="{00000000-0005-0000-0000-000022640000}"/>
    <cellStyle name="Standard 4 4 2 2 5 3 3" xfId="25434" xr:uid="{00000000-0005-0000-0000-000023640000}"/>
    <cellStyle name="Standard 4 4 2 2 5 3 3 2" xfId="25435" xr:uid="{00000000-0005-0000-0000-000024640000}"/>
    <cellStyle name="Standard 4 4 2 2 5 3 3 3" xfId="25436" xr:uid="{00000000-0005-0000-0000-000025640000}"/>
    <cellStyle name="Standard 4 4 2 2 5 3 4" xfId="25437" xr:uid="{00000000-0005-0000-0000-000026640000}"/>
    <cellStyle name="Standard 4 4 2 2 5 3 4 2" xfId="25438" xr:uid="{00000000-0005-0000-0000-000027640000}"/>
    <cellStyle name="Standard 4 4 2 2 5 3 5" xfId="25439" xr:uid="{00000000-0005-0000-0000-000028640000}"/>
    <cellStyle name="Standard 4 4 2 2 5 3 6" xfId="25440" xr:uid="{00000000-0005-0000-0000-000029640000}"/>
    <cellStyle name="Standard 4 4 2 2 5 4" xfId="25441" xr:uid="{00000000-0005-0000-0000-00002A640000}"/>
    <cellStyle name="Standard 4 4 2 2 5 4 2" xfId="25442" xr:uid="{00000000-0005-0000-0000-00002B640000}"/>
    <cellStyle name="Standard 4 4 2 2 5 4 3" xfId="25443" xr:uid="{00000000-0005-0000-0000-00002C640000}"/>
    <cellStyle name="Standard 4 4 2 2 5 5" xfId="25444" xr:uid="{00000000-0005-0000-0000-00002D640000}"/>
    <cellStyle name="Standard 4 4 2 2 5 5 2" xfId="25445" xr:uid="{00000000-0005-0000-0000-00002E640000}"/>
    <cellStyle name="Standard 4 4 2 2 5 5 3" xfId="25446" xr:uid="{00000000-0005-0000-0000-00002F640000}"/>
    <cellStyle name="Standard 4 4 2 2 5 6" xfId="25447" xr:uid="{00000000-0005-0000-0000-000030640000}"/>
    <cellStyle name="Standard 4 4 2 2 5 6 2" xfId="25448" xr:uid="{00000000-0005-0000-0000-000031640000}"/>
    <cellStyle name="Standard 4 4 2 2 5 7" xfId="25449" xr:uid="{00000000-0005-0000-0000-000032640000}"/>
    <cellStyle name="Standard 4 4 2 2 5 8" xfId="25450" xr:uid="{00000000-0005-0000-0000-000033640000}"/>
    <cellStyle name="Standard 4 4 2 2 6" xfId="25451" xr:uid="{00000000-0005-0000-0000-000034640000}"/>
    <cellStyle name="Standard 4 4 2 2 6 2" xfId="25452" xr:uid="{00000000-0005-0000-0000-000035640000}"/>
    <cellStyle name="Standard 4 4 2 2 6 2 2" xfId="25453" xr:uid="{00000000-0005-0000-0000-000036640000}"/>
    <cellStyle name="Standard 4 4 2 2 6 2 2 2" xfId="25454" xr:uid="{00000000-0005-0000-0000-000037640000}"/>
    <cellStyle name="Standard 4 4 2 2 6 2 2 3" xfId="25455" xr:uid="{00000000-0005-0000-0000-000038640000}"/>
    <cellStyle name="Standard 4 4 2 2 6 2 3" xfId="25456" xr:uid="{00000000-0005-0000-0000-000039640000}"/>
    <cellStyle name="Standard 4 4 2 2 6 2 3 2" xfId="25457" xr:uid="{00000000-0005-0000-0000-00003A640000}"/>
    <cellStyle name="Standard 4 4 2 2 6 2 3 3" xfId="25458" xr:uid="{00000000-0005-0000-0000-00003B640000}"/>
    <cellStyle name="Standard 4 4 2 2 6 2 4" xfId="25459" xr:uid="{00000000-0005-0000-0000-00003C640000}"/>
    <cellStyle name="Standard 4 4 2 2 6 2 4 2" xfId="25460" xr:uid="{00000000-0005-0000-0000-00003D640000}"/>
    <cellStyle name="Standard 4 4 2 2 6 2 5" xfId="25461" xr:uid="{00000000-0005-0000-0000-00003E640000}"/>
    <cellStyle name="Standard 4 4 2 2 6 2 6" xfId="25462" xr:uid="{00000000-0005-0000-0000-00003F640000}"/>
    <cellStyle name="Standard 4 4 2 2 6 3" xfId="25463" xr:uid="{00000000-0005-0000-0000-000040640000}"/>
    <cellStyle name="Standard 4 4 2 2 6 3 2" xfId="25464" xr:uid="{00000000-0005-0000-0000-000041640000}"/>
    <cellStyle name="Standard 4 4 2 2 6 3 3" xfId="25465" xr:uid="{00000000-0005-0000-0000-000042640000}"/>
    <cellStyle name="Standard 4 4 2 2 6 4" xfId="25466" xr:uid="{00000000-0005-0000-0000-000043640000}"/>
    <cellStyle name="Standard 4 4 2 2 6 4 2" xfId="25467" xr:uid="{00000000-0005-0000-0000-000044640000}"/>
    <cellStyle name="Standard 4 4 2 2 6 4 3" xfId="25468" xr:uid="{00000000-0005-0000-0000-000045640000}"/>
    <cellStyle name="Standard 4 4 2 2 6 5" xfId="25469" xr:uid="{00000000-0005-0000-0000-000046640000}"/>
    <cellStyle name="Standard 4 4 2 2 6 5 2" xfId="25470" xr:uid="{00000000-0005-0000-0000-000047640000}"/>
    <cellStyle name="Standard 4 4 2 2 6 6" xfId="25471" xr:uid="{00000000-0005-0000-0000-000048640000}"/>
    <cellStyle name="Standard 4 4 2 2 6 7" xfId="25472" xr:uid="{00000000-0005-0000-0000-000049640000}"/>
    <cellStyle name="Standard 4 4 2 2 7" xfId="25473" xr:uid="{00000000-0005-0000-0000-00004A640000}"/>
    <cellStyle name="Standard 4 4 2 2 7 2" xfId="25474" xr:uid="{00000000-0005-0000-0000-00004B640000}"/>
    <cellStyle name="Standard 4 4 2 2 7 2 2" xfId="25475" xr:uid="{00000000-0005-0000-0000-00004C640000}"/>
    <cellStyle name="Standard 4 4 2 2 7 2 3" xfId="25476" xr:uid="{00000000-0005-0000-0000-00004D640000}"/>
    <cellStyle name="Standard 4 4 2 2 7 3" xfId="25477" xr:uid="{00000000-0005-0000-0000-00004E640000}"/>
    <cellStyle name="Standard 4 4 2 2 7 3 2" xfId="25478" xr:uid="{00000000-0005-0000-0000-00004F640000}"/>
    <cellStyle name="Standard 4 4 2 2 7 3 3" xfId="25479" xr:uid="{00000000-0005-0000-0000-000050640000}"/>
    <cellStyle name="Standard 4 4 2 2 7 4" xfId="25480" xr:uid="{00000000-0005-0000-0000-000051640000}"/>
    <cellStyle name="Standard 4 4 2 2 7 4 2" xfId="25481" xr:uid="{00000000-0005-0000-0000-000052640000}"/>
    <cellStyle name="Standard 4 4 2 2 7 5" xfId="25482" xr:uid="{00000000-0005-0000-0000-000053640000}"/>
    <cellStyle name="Standard 4 4 2 2 7 6" xfId="25483" xr:uid="{00000000-0005-0000-0000-000054640000}"/>
    <cellStyle name="Standard 4 4 2 2 8" xfId="25484" xr:uid="{00000000-0005-0000-0000-000055640000}"/>
    <cellStyle name="Standard 4 4 2 2 8 2" xfId="25485" xr:uid="{00000000-0005-0000-0000-000056640000}"/>
    <cellStyle name="Standard 4 4 2 2 8 3" xfId="25486" xr:uid="{00000000-0005-0000-0000-000057640000}"/>
    <cellStyle name="Standard 4 4 2 2 9" xfId="25487" xr:uid="{00000000-0005-0000-0000-000058640000}"/>
    <cellStyle name="Standard 4 4 2 2 9 2" xfId="25488" xr:uid="{00000000-0005-0000-0000-000059640000}"/>
    <cellStyle name="Standard 4 4 2 2 9 3" xfId="25489" xr:uid="{00000000-0005-0000-0000-00005A640000}"/>
    <cellStyle name="Standard 4 4 2 3" xfId="25490" xr:uid="{00000000-0005-0000-0000-00005B640000}"/>
    <cellStyle name="Standard 4 4 2 3 10" xfId="25491" xr:uid="{00000000-0005-0000-0000-00005C640000}"/>
    <cellStyle name="Standard 4 4 2 3 11" xfId="25492" xr:uid="{00000000-0005-0000-0000-00005D640000}"/>
    <cellStyle name="Standard 4 4 2 3 2" xfId="25493" xr:uid="{00000000-0005-0000-0000-00005E640000}"/>
    <cellStyle name="Standard 4 4 2 3 2 10" xfId="25494" xr:uid="{00000000-0005-0000-0000-00005F640000}"/>
    <cellStyle name="Standard 4 4 2 3 2 2" xfId="25495" xr:uid="{00000000-0005-0000-0000-000060640000}"/>
    <cellStyle name="Standard 4 4 2 3 2 2 2" xfId="25496" xr:uid="{00000000-0005-0000-0000-000061640000}"/>
    <cellStyle name="Standard 4 4 2 3 2 2 2 2" xfId="25497" xr:uid="{00000000-0005-0000-0000-000062640000}"/>
    <cellStyle name="Standard 4 4 2 3 2 2 2 2 2" xfId="25498" xr:uid="{00000000-0005-0000-0000-000063640000}"/>
    <cellStyle name="Standard 4 4 2 3 2 2 2 2 2 2" xfId="25499" xr:uid="{00000000-0005-0000-0000-000064640000}"/>
    <cellStyle name="Standard 4 4 2 3 2 2 2 2 2 3" xfId="25500" xr:uid="{00000000-0005-0000-0000-000065640000}"/>
    <cellStyle name="Standard 4 4 2 3 2 2 2 2 3" xfId="25501" xr:uid="{00000000-0005-0000-0000-000066640000}"/>
    <cellStyle name="Standard 4 4 2 3 2 2 2 2 3 2" xfId="25502" xr:uid="{00000000-0005-0000-0000-000067640000}"/>
    <cellStyle name="Standard 4 4 2 3 2 2 2 2 3 3" xfId="25503" xr:uid="{00000000-0005-0000-0000-000068640000}"/>
    <cellStyle name="Standard 4 4 2 3 2 2 2 2 4" xfId="25504" xr:uid="{00000000-0005-0000-0000-000069640000}"/>
    <cellStyle name="Standard 4 4 2 3 2 2 2 2 4 2" xfId="25505" xr:uid="{00000000-0005-0000-0000-00006A640000}"/>
    <cellStyle name="Standard 4 4 2 3 2 2 2 2 5" xfId="25506" xr:uid="{00000000-0005-0000-0000-00006B640000}"/>
    <cellStyle name="Standard 4 4 2 3 2 2 2 2 6" xfId="25507" xr:uid="{00000000-0005-0000-0000-00006C640000}"/>
    <cellStyle name="Standard 4 4 2 3 2 2 2 3" xfId="25508" xr:uid="{00000000-0005-0000-0000-00006D640000}"/>
    <cellStyle name="Standard 4 4 2 3 2 2 2 3 2" xfId="25509" xr:uid="{00000000-0005-0000-0000-00006E640000}"/>
    <cellStyle name="Standard 4 4 2 3 2 2 2 3 3" xfId="25510" xr:uid="{00000000-0005-0000-0000-00006F640000}"/>
    <cellStyle name="Standard 4 4 2 3 2 2 2 4" xfId="25511" xr:uid="{00000000-0005-0000-0000-000070640000}"/>
    <cellStyle name="Standard 4 4 2 3 2 2 2 4 2" xfId="25512" xr:uid="{00000000-0005-0000-0000-000071640000}"/>
    <cellStyle name="Standard 4 4 2 3 2 2 2 4 3" xfId="25513" xr:uid="{00000000-0005-0000-0000-000072640000}"/>
    <cellStyle name="Standard 4 4 2 3 2 2 2 5" xfId="25514" xr:uid="{00000000-0005-0000-0000-000073640000}"/>
    <cellStyle name="Standard 4 4 2 3 2 2 2 5 2" xfId="25515" xr:uid="{00000000-0005-0000-0000-000074640000}"/>
    <cellStyle name="Standard 4 4 2 3 2 2 2 6" xfId="25516" xr:uid="{00000000-0005-0000-0000-000075640000}"/>
    <cellStyle name="Standard 4 4 2 3 2 2 2 7" xfId="25517" xr:uid="{00000000-0005-0000-0000-000076640000}"/>
    <cellStyle name="Standard 4 4 2 3 2 2 3" xfId="25518" xr:uid="{00000000-0005-0000-0000-000077640000}"/>
    <cellStyle name="Standard 4 4 2 3 2 2 3 2" xfId="25519" xr:uid="{00000000-0005-0000-0000-000078640000}"/>
    <cellStyle name="Standard 4 4 2 3 2 2 3 2 2" xfId="25520" xr:uid="{00000000-0005-0000-0000-000079640000}"/>
    <cellStyle name="Standard 4 4 2 3 2 2 3 2 3" xfId="25521" xr:uid="{00000000-0005-0000-0000-00007A640000}"/>
    <cellStyle name="Standard 4 4 2 3 2 2 3 3" xfId="25522" xr:uid="{00000000-0005-0000-0000-00007B640000}"/>
    <cellStyle name="Standard 4 4 2 3 2 2 3 3 2" xfId="25523" xr:uid="{00000000-0005-0000-0000-00007C640000}"/>
    <cellStyle name="Standard 4 4 2 3 2 2 3 3 3" xfId="25524" xr:uid="{00000000-0005-0000-0000-00007D640000}"/>
    <cellStyle name="Standard 4 4 2 3 2 2 3 4" xfId="25525" xr:uid="{00000000-0005-0000-0000-00007E640000}"/>
    <cellStyle name="Standard 4 4 2 3 2 2 3 4 2" xfId="25526" xr:uid="{00000000-0005-0000-0000-00007F640000}"/>
    <cellStyle name="Standard 4 4 2 3 2 2 3 5" xfId="25527" xr:uid="{00000000-0005-0000-0000-000080640000}"/>
    <cellStyle name="Standard 4 4 2 3 2 2 3 6" xfId="25528" xr:uid="{00000000-0005-0000-0000-000081640000}"/>
    <cellStyle name="Standard 4 4 2 3 2 2 4" xfId="25529" xr:uid="{00000000-0005-0000-0000-000082640000}"/>
    <cellStyle name="Standard 4 4 2 3 2 2 4 2" xfId="25530" xr:uid="{00000000-0005-0000-0000-000083640000}"/>
    <cellStyle name="Standard 4 4 2 3 2 2 4 3" xfId="25531" xr:uid="{00000000-0005-0000-0000-000084640000}"/>
    <cellStyle name="Standard 4 4 2 3 2 2 5" xfId="25532" xr:uid="{00000000-0005-0000-0000-000085640000}"/>
    <cellStyle name="Standard 4 4 2 3 2 2 5 2" xfId="25533" xr:uid="{00000000-0005-0000-0000-000086640000}"/>
    <cellStyle name="Standard 4 4 2 3 2 2 5 3" xfId="25534" xr:uid="{00000000-0005-0000-0000-000087640000}"/>
    <cellStyle name="Standard 4 4 2 3 2 2 6" xfId="25535" xr:uid="{00000000-0005-0000-0000-000088640000}"/>
    <cellStyle name="Standard 4 4 2 3 2 2 6 2" xfId="25536" xr:uid="{00000000-0005-0000-0000-000089640000}"/>
    <cellStyle name="Standard 4 4 2 3 2 2 7" xfId="25537" xr:uid="{00000000-0005-0000-0000-00008A640000}"/>
    <cellStyle name="Standard 4 4 2 3 2 2 8" xfId="25538" xr:uid="{00000000-0005-0000-0000-00008B640000}"/>
    <cellStyle name="Standard 4 4 2 3 2 3" xfId="25539" xr:uid="{00000000-0005-0000-0000-00008C640000}"/>
    <cellStyle name="Standard 4 4 2 3 2 3 2" xfId="25540" xr:uid="{00000000-0005-0000-0000-00008D640000}"/>
    <cellStyle name="Standard 4 4 2 3 2 3 2 2" xfId="25541" xr:uid="{00000000-0005-0000-0000-00008E640000}"/>
    <cellStyle name="Standard 4 4 2 3 2 3 2 2 2" xfId="25542" xr:uid="{00000000-0005-0000-0000-00008F640000}"/>
    <cellStyle name="Standard 4 4 2 3 2 3 2 2 2 2" xfId="25543" xr:uid="{00000000-0005-0000-0000-000090640000}"/>
    <cellStyle name="Standard 4 4 2 3 2 3 2 2 2 3" xfId="25544" xr:uid="{00000000-0005-0000-0000-000091640000}"/>
    <cellStyle name="Standard 4 4 2 3 2 3 2 2 3" xfId="25545" xr:uid="{00000000-0005-0000-0000-000092640000}"/>
    <cellStyle name="Standard 4 4 2 3 2 3 2 2 3 2" xfId="25546" xr:uid="{00000000-0005-0000-0000-000093640000}"/>
    <cellStyle name="Standard 4 4 2 3 2 3 2 2 3 3" xfId="25547" xr:uid="{00000000-0005-0000-0000-000094640000}"/>
    <cellStyle name="Standard 4 4 2 3 2 3 2 2 4" xfId="25548" xr:uid="{00000000-0005-0000-0000-000095640000}"/>
    <cellStyle name="Standard 4 4 2 3 2 3 2 2 4 2" xfId="25549" xr:uid="{00000000-0005-0000-0000-000096640000}"/>
    <cellStyle name="Standard 4 4 2 3 2 3 2 2 5" xfId="25550" xr:uid="{00000000-0005-0000-0000-000097640000}"/>
    <cellStyle name="Standard 4 4 2 3 2 3 2 2 6" xfId="25551" xr:uid="{00000000-0005-0000-0000-000098640000}"/>
    <cellStyle name="Standard 4 4 2 3 2 3 2 3" xfId="25552" xr:uid="{00000000-0005-0000-0000-000099640000}"/>
    <cellStyle name="Standard 4 4 2 3 2 3 2 3 2" xfId="25553" xr:uid="{00000000-0005-0000-0000-00009A640000}"/>
    <cellStyle name="Standard 4 4 2 3 2 3 2 3 3" xfId="25554" xr:uid="{00000000-0005-0000-0000-00009B640000}"/>
    <cellStyle name="Standard 4 4 2 3 2 3 2 4" xfId="25555" xr:uid="{00000000-0005-0000-0000-00009C640000}"/>
    <cellStyle name="Standard 4 4 2 3 2 3 2 4 2" xfId="25556" xr:uid="{00000000-0005-0000-0000-00009D640000}"/>
    <cellStyle name="Standard 4 4 2 3 2 3 2 4 3" xfId="25557" xr:uid="{00000000-0005-0000-0000-00009E640000}"/>
    <cellStyle name="Standard 4 4 2 3 2 3 2 5" xfId="25558" xr:uid="{00000000-0005-0000-0000-00009F640000}"/>
    <cellStyle name="Standard 4 4 2 3 2 3 2 5 2" xfId="25559" xr:uid="{00000000-0005-0000-0000-0000A0640000}"/>
    <cellStyle name="Standard 4 4 2 3 2 3 2 6" xfId="25560" xr:uid="{00000000-0005-0000-0000-0000A1640000}"/>
    <cellStyle name="Standard 4 4 2 3 2 3 2 7" xfId="25561" xr:uid="{00000000-0005-0000-0000-0000A2640000}"/>
    <cellStyle name="Standard 4 4 2 3 2 3 3" xfId="25562" xr:uid="{00000000-0005-0000-0000-0000A3640000}"/>
    <cellStyle name="Standard 4 4 2 3 2 3 3 2" xfId="25563" xr:uid="{00000000-0005-0000-0000-0000A4640000}"/>
    <cellStyle name="Standard 4 4 2 3 2 3 3 2 2" xfId="25564" xr:uid="{00000000-0005-0000-0000-0000A5640000}"/>
    <cellStyle name="Standard 4 4 2 3 2 3 3 2 3" xfId="25565" xr:uid="{00000000-0005-0000-0000-0000A6640000}"/>
    <cellStyle name="Standard 4 4 2 3 2 3 3 3" xfId="25566" xr:uid="{00000000-0005-0000-0000-0000A7640000}"/>
    <cellStyle name="Standard 4 4 2 3 2 3 3 3 2" xfId="25567" xr:uid="{00000000-0005-0000-0000-0000A8640000}"/>
    <cellStyle name="Standard 4 4 2 3 2 3 3 3 3" xfId="25568" xr:uid="{00000000-0005-0000-0000-0000A9640000}"/>
    <cellStyle name="Standard 4 4 2 3 2 3 3 4" xfId="25569" xr:uid="{00000000-0005-0000-0000-0000AA640000}"/>
    <cellStyle name="Standard 4 4 2 3 2 3 3 4 2" xfId="25570" xr:uid="{00000000-0005-0000-0000-0000AB640000}"/>
    <cellStyle name="Standard 4 4 2 3 2 3 3 5" xfId="25571" xr:uid="{00000000-0005-0000-0000-0000AC640000}"/>
    <cellStyle name="Standard 4 4 2 3 2 3 3 6" xfId="25572" xr:uid="{00000000-0005-0000-0000-0000AD640000}"/>
    <cellStyle name="Standard 4 4 2 3 2 3 4" xfId="25573" xr:uid="{00000000-0005-0000-0000-0000AE640000}"/>
    <cellStyle name="Standard 4 4 2 3 2 3 4 2" xfId="25574" xr:uid="{00000000-0005-0000-0000-0000AF640000}"/>
    <cellStyle name="Standard 4 4 2 3 2 3 4 3" xfId="25575" xr:uid="{00000000-0005-0000-0000-0000B0640000}"/>
    <cellStyle name="Standard 4 4 2 3 2 3 5" xfId="25576" xr:uid="{00000000-0005-0000-0000-0000B1640000}"/>
    <cellStyle name="Standard 4 4 2 3 2 3 5 2" xfId="25577" xr:uid="{00000000-0005-0000-0000-0000B2640000}"/>
    <cellStyle name="Standard 4 4 2 3 2 3 5 3" xfId="25578" xr:uid="{00000000-0005-0000-0000-0000B3640000}"/>
    <cellStyle name="Standard 4 4 2 3 2 3 6" xfId="25579" xr:uid="{00000000-0005-0000-0000-0000B4640000}"/>
    <cellStyle name="Standard 4 4 2 3 2 3 6 2" xfId="25580" xr:uid="{00000000-0005-0000-0000-0000B5640000}"/>
    <cellStyle name="Standard 4 4 2 3 2 3 7" xfId="25581" xr:uid="{00000000-0005-0000-0000-0000B6640000}"/>
    <cellStyle name="Standard 4 4 2 3 2 3 8" xfId="25582" xr:uid="{00000000-0005-0000-0000-0000B7640000}"/>
    <cellStyle name="Standard 4 4 2 3 2 4" xfId="25583" xr:uid="{00000000-0005-0000-0000-0000B8640000}"/>
    <cellStyle name="Standard 4 4 2 3 2 4 2" xfId="25584" xr:uid="{00000000-0005-0000-0000-0000B9640000}"/>
    <cellStyle name="Standard 4 4 2 3 2 4 2 2" xfId="25585" xr:uid="{00000000-0005-0000-0000-0000BA640000}"/>
    <cellStyle name="Standard 4 4 2 3 2 4 2 2 2" xfId="25586" xr:uid="{00000000-0005-0000-0000-0000BB640000}"/>
    <cellStyle name="Standard 4 4 2 3 2 4 2 2 3" xfId="25587" xr:uid="{00000000-0005-0000-0000-0000BC640000}"/>
    <cellStyle name="Standard 4 4 2 3 2 4 2 3" xfId="25588" xr:uid="{00000000-0005-0000-0000-0000BD640000}"/>
    <cellStyle name="Standard 4 4 2 3 2 4 2 3 2" xfId="25589" xr:uid="{00000000-0005-0000-0000-0000BE640000}"/>
    <cellStyle name="Standard 4 4 2 3 2 4 2 3 3" xfId="25590" xr:uid="{00000000-0005-0000-0000-0000BF640000}"/>
    <cellStyle name="Standard 4 4 2 3 2 4 2 4" xfId="25591" xr:uid="{00000000-0005-0000-0000-0000C0640000}"/>
    <cellStyle name="Standard 4 4 2 3 2 4 2 4 2" xfId="25592" xr:uid="{00000000-0005-0000-0000-0000C1640000}"/>
    <cellStyle name="Standard 4 4 2 3 2 4 2 5" xfId="25593" xr:uid="{00000000-0005-0000-0000-0000C2640000}"/>
    <cellStyle name="Standard 4 4 2 3 2 4 2 6" xfId="25594" xr:uid="{00000000-0005-0000-0000-0000C3640000}"/>
    <cellStyle name="Standard 4 4 2 3 2 4 3" xfId="25595" xr:uid="{00000000-0005-0000-0000-0000C4640000}"/>
    <cellStyle name="Standard 4 4 2 3 2 4 3 2" xfId="25596" xr:uid="{00000000-0005-0000-0000-0000C5640000}"/>
    <cellStyle name="Standard 4 4 2 3 2 4 3 3" xfId="25597" xr:uid="{00000000-0005-0000-0000-0000C6640000}"/>
    <cellStyle name="Standard 4 4 2 3 2 4 4" xfId="25598" xr:uid="{00000000-0005-0000-0000-0000C7640000}"/>
    <cellStyle name="Standard 4 4 2 3 2 4 4 2" xfId="25599" xr:uid="{00000000-0005-0000-0000-0000C8640000}"/>
    <cellStyle name="Standard 4 4 2 3 2 4 4 3" xfId="25600" xr:uid="{00000000-0005-0000-0000-0000C9640000}"/>
    <cellStyle name="Standard 4 4 2 3 2 4 5" xfId="25601" xr:uid="{00000000-0005-0000-0000-0000CA640000}"/>
    <cellStyle name="Standard 4 4 2 3 2 4 5 2" xfId="25602" xr:uid="{00000000-0005-0000-0000-0000CB640000}"/>
    <cellStyle name="Standard 4 4 2 3 2 4 6" xfId="25603" xr:uid="{00000000-0005-0000-0000-0000CC640000}"/>
    <cellStyle name="Standard 4 4 2 3 2 4 7" xfId="25604" xr:uid="{00000000-0005-0000-0000-0000CD640000}"/>
    <cellStyle name="Standard 4 4 2 3 2 5" xfId="25605" xr:uid="{00000000-0005-0000-0000-0000CE640000}"/>
    <cellStyle name="Standard 4 4 2 3 2 5 2" xfId="25606" xr:uid="{00000000-0005-0000-0000-0000CF640000}"/>
    <cellStyle name="Standard 4 4 2 3 2 5 2 2" xfId="25607" xr:uid="{00000000-0005-0000-0000-0000D0640000}"/>
    <cellStyle name="Standard 4 4 2 3 2 5 2 3" xfId="25608" xr:uid="{00000000-0005-0000-0000-0000D1640000}"/>
    <cellStyle name="Standard 4 4 2 3 2 5 3" xfId="25609" xr:uid="{00000000-0005-0000-0000-0000D2640000}"/>
    <cellStyle name="Standard 4 4 2 3 2 5 3 2" xfId="25610" xr:uid="{00000000-0005-0000-0000-0000D3640000}"/>
    <cellStyle name="Standard 4 4 2 3 2 5 3 3" xfId="25611" xr:uid="{00000000-0005-0000-0000-0000D4640000}"/>
    <cellStyle name="Standard 4 4 2 3 2 5 4" xfId="25612" xr:uid="{00000000-0005-0000-0000-0000D5640000}"/>
    <cellStyle name="Standard 4 4 2 3 2 5 4 2" xfId="25613" xr:uid="{00000000-0005-0000-0000-0000D6640000}"/>
    <cellStyle name="Standard 4 4 2 3 2 5 5" xfId="25614" xr:uid="{00000000-0005-0000-0000-0000D7640000}"/>
    <cellStyle name="Standard 4 4 2 3 2 5 6" xfId="25615" xr:uid="{00000000-0005-0000-0000-0000D8640000}"/>
    <cellStyle name="Standard 4 4 2 3 2 6" xfId="25616" xr:uid="{00000000-0005-0000-0000-0000D9640000}"/>
    <cellStyle name="Standard 4 4 2 3 2 6 2" xfId="25617" xr:uid="{00000000-0005-0000-0000-0000DA640000}"/>
    <cellStyle name="Standard 4 4 2 3 2 6 3" xfId="25618" xr:uid="{00000000-0005-0000-0000-0000DB640000}"/>
    <cellStyle name="Standard 4 4 2 3 2 7" xfId="25619" xr:uid="{00000000-0005-0000-0000-0000DC640000}"/>
    <cellStyle name="Standard 4 4 2 3 2 7 2" xfId="25620" xr:uid="{00000000-0005-0000-0000-0000DD640000}"/>
    <cellStyle name="Standard 4 4 2 3 2 7 3" xfId="25621" xr:uid="{00000000-0005-0000-0000-0000DE640000}"/>
    <cellStyle name="Standard 4 4 2 3 2 8" xfId="25622" xr:uid="{00000000-0005-0000-0000-0000DF640000}"/>
    <cellStyle name="Standard 4 4 2 3 2 8 2" xfId="25623" xr:uid="{00000000-0005-0000-0000-0000E0640000}"/>
    <cellStyle name="Standard 4 4 2 3 2 9" xfId="25624" xr:uid="{00000000-0005-0000-0000-0000E1640000}"/>
    <cellStyle name="Standard 4 4 2 3 3" xfId="25625" xr:uid="{00000000-0005-0000-0000-0000E2640000}"/>
    <cellStyle name="Standard 4 4 2 3 3 2" xfId="25626" xr:uid="{00000000-0005-0000-0000-0000E3640000}"/>
    <cellStyle name="Standard 4 4 2 3 3 2 2" xfId="25627" xr:uid="{00000000-0005-0000-0000-0000E4640000}"/>
    <cellStyle name="Standard 4 4 2 3 3 2 2 2" xfId="25628" xr:uid="{00000000-0005-0000-0000-0000E5640000}"/>
    <cellStyle name="Standard 4 4 2 3 3 2 2 2 2" xfId="25629" xr:uid="{00000000-0005-0000-0000-0000E6640000}"/>
    <cellStyle name="Standard 4 4 2 3 3 2 2 2 3" xfId="25630" xr:uid="{00000000-0005-0000-0000-0000E7640000}"/>
    <cellStyle name="Standard 4 4 2 3 3 2 2 3" xfId="25631" xr:uid="{00000000-0005-0000-0000-0000E8640000}"/>
    <cellStyle name="Standard 4 4 2 3 3 2 2 3 2" xfId="25632" xr:uid="{00000000-0005-0000-0000-0000E9640000}"/>
    <cellStyle name="Standard 4 4 2 3 3 2 2 3 3" xfId="25633" xr:uid="{00000000-0005-0000-0000-0000EA640000}"/>
    <cellStyle name="Standard 4 4 2 3 3 2 2 4" xfId="25634" xr:uid="{00000000-0005-0000-0000-0000EB640000}"/>
    <cellStyle name="Standard 4 4 2 3 3 2 2 4 2" xfId="25635" xr:uid="{00000000-0005-0000-0000-0000EC640000}"/>
    <cellStyle name="Standard 4 4 2 3 3 2 2 5" xfId="25636" xr:uid="{00000000-0005-0000-0000-0000ED640000}"/>
    <cellStyle name="Standard 4 4 2 3 3 2 2 6" xfId="25637" xr:uid="{00000000-0005-0000-0000-0000EE640000}"/>
    <cellStyle name="Standard 4 4 2 3 3 2 3" xfId="25638" xr:uid="{00000000-0005-0000-0000-0000EF640000}"/>
    <cellStyle name="Standard 4 4 2 3 3 2 3 2" xfId="25639" xr:uid="{00000000-0005-0000-0000-0000F0640000}"/>
    <cellStyle name="Standard 4 4 2 3 3 2 3 3" xfId="25640" xr:uid="{00000000-0005-0000-0000-0000F1640000}"/>
    <cellStyle name="Standard 4 4 2 3 3 2 4" xfId="25641" xr:uid="{00000000-0005-0000-0000-0000F2640000}"/>
    <cellStyle name="Standard 4 4 2 3 3 2 4 2" xfId="25642" xr:uid="{00000000-0005-0000-0000-0000F3640000}"/>
    <cellStyle name="Standard 4 4 2 3 3 2 4 3" xfId="25643" xr:uid="{00000000-0005-0000-0000-0000F4640000}"/>
    <cellStyle name="Standard 4 4 2 3 3 2 5" xfId="25644" xr:uid="{00000000-0005-0000-0000-0000F5640000}"/>
    <cellStyle name="Standard 4 4 2 3 3 2 5 2" xfId="25645" xr:uid="{00000000-0005-0000-0000-0000F6640000}"/>
    <cellStyle name="Standard 4 4 2 3 3 2 6" xfId="25646" xr:uid="{00000000-0005-0000-0000-0000F7640000}"/>
    <cellStyle name="Standard 4 4 2 3 3 2 7" xfId="25647" xr:uid="{00000000-0005-0000-0000-0000F8640000}"/>
    <cellStyle name="Standard 4 4 2 3 3 3" xfId="25648" xr:uid="{00000000-0005-0000-0000-0000F9640000}"/>
    <cellStyle name="Standard 4 4 2 3 3 3 2" xfId="25649" xr:uid="{00000000-0005-0000-0000-0000FA640000}"/>
    <cellStyle name="Standard 4 4 2 3 3 3 2 2" xfId="25650" xr:uid="{00000000-0005-0000-0000-0000FB640000}"/>
    <cellStyle name="Standard 4 4 2 3 3 3 2 3" xfId="25651" xr:uid="{00000000-0005-0000-0000-0000FC640000}"/>
    <cellStyle name="Standard 4 4 2 3 3 3 3" xfId="25652" xr:uid="{00000000-0005-0000-0000-0000FD640000}"/>
    <cellStyle name="Standard 4 4 2 3 3 3 3 2" xfId="25653" xr:uid="{00000000-0005-0000-0000-0000FE640000}"/>
    <cellStyle name="Standard 4 4 2 3 3 3 3 3" xfId="25654" xr:uid="{00000000-0005-0000-0000-0000FF640000}"/>
    <cellStyle name="Standard 4 4 2 3 3 3 4" xfId="25655" xr:uid="{00000000-0005-0000-0000-000000650000}"/>
    <cellStyle name="Standard 4 4 2 3 3 3 4 2" xfId="25656" xr:uid="{00000000-0005-0000-0000-000001650000}"/>
    <cellStyle name="Standard 4 4 2 3 3 3 5" xfId="25657" xr:uid="{00000000-0005-0000-0000-000002650000}"/>
    <cellStyle name="Standard 4 4 2 3 3 3 6" xfId="25658" xr:uid="{00000000-0005-0000-0000-000003650000}"/>
    <cellStyle name="Standard 4 4 2 3 3 4" xfId="25659" xr:uid="{00000000-0005-0000-0000-000004650000}"/>
    <cellStyle name="Standard 4 4 2 3 3 4 2" xfId="25660" xr:uid="{00000000-0005-0000-0000-000005650000}"/>
    <cellStyle name="Standard 4 4 2 3 3 4 3" xfId="25661" xr:uid="{00000000-0005-0000-0000-000006650000}"/>
    <cellStyle name="Standard 4 4 2 3 3 5" xfId="25662" xr:uid="{00000000-0005-0000-0000-000007650000}"/>
    <cellStyle name="Standard 4 4 2 3 3 5 2" xfId="25663" xr:uid="{00000000-0005-0000-0000-000008650000}"/>
    <cellStyle name="Standard 4 4 2 3 3 5 3" xfId="25664" xr:uid="{00000000-0005-0000-0000-000009650000}"/>
    <cellStyle name="Standard 4 4 2 3 3 6" xfId="25665" xr:uid="{00000000-0005-0000-0000-00000A650000}"/>
    <cellStyle name="Standard 4 4 2 3 3 6 2" xfId="25666" xr:uid="{00000000-0005-0000-0000-00000B650000}"/>
    <cellStyle name="Standard 4 4 2 3 3 7" xfId="25667" xr:uid="{00000000-0005-0000-0000-00000C650000}"/>
    <cellStyle name="Standard 4 4 2 3 3 8" xfId="25668" xr:uid="{00000000-0005-0000-0000-00000D650000}"/>
    <cellStyle name="Standard 4 4 2 3 4" xfId="25669" xr:uid="{00000000-0005-0000-0000-00000E650000}"/>
    <cellStyle name="Standard 4 4 2 3 4 2" xfId="25670" xr:uid="{00000000-0005-0000-0000-00000F650000}"/>
    <cellStyle name="Standard 4 4 2 3 4 2 2" xfId="25671" xr:uid="{00000000-0005-0000-0000-000010650000}"/>
    <cellStyle name="Standard 4 4 2 3 4 2 2 2" xfId="25672" xr:uid="{00000000-0005-0000-0000-000011650000}"/>
    <cellStyle name="Standard 4 4 2 3 4 2 2 2 2" xfId="25673" xr:uid="{00000000-0005-0000-0000-000012650000}"/>
    <cellStyle name="Standard 4 4 2 3 4 2 2 2 3" xfId="25674" xr:uid="{00000000-0005-0000-0000-000013650000}"/>
    <cellStyle name="Standard 4 4 2 3 4 2 2 3" xfId="25675" xr:uid="{00000000-0005-0000-0000-000014650000}"/>
    <cellStyle name="Standard 4 4 2 3 4 2 2 3 2" xfId="25676" xr:uid="{00000000-0005-0000-0000-000015650000}"/>
    <cellStyle name="Standard 4 4 2 3 4 2 2 3 3" xfId="25677" xr:uid="{00000000-0005-0000-0000-000016650000}"/>
    <cellStyle name="Standard 4 4 2 3 4 2 2 4" xfId="25678" xr:uid="{00000000-0005-0000-0000-000017650000}"/>
    <cellStyle name="Standard 4 4 2 3 4 2 2 4 2" xfId="25679" xr:uid="{00000000-0005-0000-0000-000018650000}"/>
    <cellStyle name="Standard 4 4 2 3 4 2 2 5" xfId="25680" xr:uid="{00000000-0005-0000-0000-000019650000}"/>
    <cellStyle name="Standard 4 4 2 3 4 2 2 6" xfId="25681" xr:uid="{00000000-0005-0000-0000-00001A650000}"/>
    <cellStyle name="Standard 4 4 2 3 4 2 3" xfId="25682" xr:uid="{00000000-0005-0000-0000-00001B650000}"/>
    <cellStyle name="Standard 4 4 2 3 4 2 3 2" xfId="25683" xr:uid="{00000000-0005-0000-0000-00001C650000}"/>
    <cellStyle name="Standard 4 4 2 3 4 2 3 3" xfId="25684" xr:uid="{00000000-0005-0000-0000-00001D650000}"/>
    <cellStyle name="Standard 4 4 2 3 4 2 4" xfId="25685" xr:uid="{00000000-0005-0000-0000-00001E650000}"/>
    <cellStyle name="Standard 4 4 2 3 4 2 4 2" xfId="25686" xr:uid="{00000000-0005-0000-0000-00001F650000}"/>
    <cellStyle name="Standard 4 4 2 3 4 2 4 3" xfId="25687" xr:uid="{00000000-0005-0000-0000-000020650000}"/>
    <cellStyle name="Standard 4 4 2 3 4 2 5" xfId="25688" xr:uid="{00000000-0005-0000-0000-000021650000}"/>
    <cellStyle name="Standard 4 4 2 3 4 2 5 2" xfId="25689" xr:uid="{00000000-0005-0000-0000-000022650000}"/>
    <cellStyle name="Standard 4 4 2 3 4 2 6" xfId="25690" xr:uid="{00000000-0005-0000-0000-000023650000}"/>
    <cellStyle name="Standard 4 4 2 3 4 2 7" xfId="25691" xr:uid="{00000000-0005-0000-0000-000024650000}"/>
    <cellStyle name="Standard 4 4 2 3 4 3" xfId="25692" xr:uid="{00000000-0005-0000-0000-000025650000}"/>
    <cellStyle name="Standard 4 4 2 3 4 3 2" xfId="25693" xr:uid="{00000000-0005-0000-0000-000026650000}"/>
    <cellStyle name="Standard 4 4 2 3 4 3 2 2" xfId="25694" xr:uid="{00000000-0005-0000-0000-000027650000}"/>
    <cellStyle name="Standard 4 4 2 3 4 3 2 3" xfId="25695" xr:uid="{00000000-0005-0000-0000-000028650000}"/>
    <cellStyle name="Standard 4 4 2 3 4 3 3" xfId="25696" xr:uid="{00000000-0005-0000-0000-000029650000}"/>
    <cellStyle name="Standard 4 4 2 3 4 3 3 2" xfId="25697" xr:uid="{00000000-0005-0000-0000-00002A650000}"/>
    <cellStyle name="Standard 4 4 2 3 4 3 3 3" xfId="25698" xr:uid="{00000000-0005-0000-0000-00002B650000}"/>
    <cellStyle name="Standard 4 4 2 3 4 3 4" xfId="25699" xr:uid="{00000000-0005-0000-0000-00002C650000}"/>
    <cellStyle name="Standard 4 4 2 3 4 3 4 2" xfId="25700" xr:uid="{00000000-0005-0000-0000-00002D650000}"/>
    <cellStyle name="Standard 4 4 2 3 4 3 5" xfId="25701" xr:uid="{00000000-0005-0000-0000-00002E650000}"/>
    <cellStyle name="Standard 4 4 2 3 4 3 6" xfId="25702" xr:uid="{00000000-0005-0000-0000-00002F650000}"/>
    <cellStyle name="Standard 4 4 2 3 4 4" xfId="25703" xr:uid="{00000000-0005-0000-0000-000030650000}"/>
    <cellStyle name="Standard 4 4 2 3 4 4 2" xfId="25704" xr:uid="{00000000-0005-0000-0000-000031650000}"/>
    <cellStyle name="Standard 4 4 2 3 4 4 3" xfId="25705" xr:uid="{00000000-0005-0000-0000-000032650000}"/>
    <cellStyle name="Standard 4 4 2 3 4 5" xfId="25706" xr:uid="{00000000-0005-0000-0000-000033650000}"/>
    <cellStyle name="Standard 4 4 2 3 4 5 2" xfId="25707" xr:uid="{00000000-0005-0000-0000-000034650000}"/>
    <cellStyle name="Standard 4 4 2 3 4 5 3" xfId="25708" xr:uid="{00000000-0005-0000-0000-000035650000}"/>
    <cellStyle name="Standard 4 4 2 3 4 6" xfId="25709" xr:uid="{00000000-0005-0000-0000-000036650000}"/>
    <cellStyle name="Standard 4 4 2 3 4 6 2" xfId="25710" xr:uid="{00000000-0005-0000-0000-000037650000}"/>
    <cellStyle name="Standard 4 4 2 3 4 7" xfId="25711" xr:uid="{00000000-0005-0000-0000-000038650000}"/>
    <cellStyle name="Standard 4 4 2 3 4 8" xfId="25712" xr:uid="{00000000-0005-0000-0000-000039650000}"/>
    <cellStyle name="Standard 4 4 2 3 5" xfId="25713" xr:uid="{00000000-0005-0000-0000-00003A650000}"/>
    <cellStyle name="Standard 4 4 2 3 5 2" xfId="25714" xr:uid="{00000000-0005-0000-0000-00003B650000}"/>
    <cellStyle name="Standard 4 4 2 3 5 2 2" xfId="25715" xr:uid="{00000000-0005-0000-0000-00003C650000}"/>
    <cellStyle name="Standard 4 4 2 3 5 2 2 2" xfId="25716" xr:uid="{00000000-0005-0000-0000-00003D650000}"/>
    <cellStyle name="Standard 4 4 2 3 5 2 2 3" xfId="25717" xr:uid="{00000000-0005-0000-0000-00003E650000}"/>
    <cellStyle name="Standard 4 4 2 3 5 2 3" xfId="25718" xr:uid="{00000000-0005-0000-0000-00003F650000}"/>
    <cellStyle name="Standard 4 4 2 3 5 2 3 2" xfId="25719" xr:uid="{00000000-0005-0000-0000-000040650000}"/>
    <cellStyle name="Standard 4 4 2 3 5 2 3 3" xfId="25720" xr:uid="{00000000-0005-0000-0000-000041650000}"/>
    <cellStyle name="Standard 4 4 2 3 5 2 4" xfId="25721" xr:uid="{00000000-0005-0000-0000-000042650000}"/>
    <cellStyle name="Standard 4 4 2 3 5 2 4 2" xfId="25722" xr:uid="{00000000-0005-0000-0000-000043650000}"/>
    <cellStyle name="Standard 4 4 2 3 5 2 5" xfId="25723" xr:uid="{00000000-0005-0000-0000-000044650000}"/>
    <cellStyle name="Standard 4 4 2 3 5 2 6" xfId="25724" xr:uid="{00000000-0005-0000-0000-000045650000}"/>
    <cellStyle name="Standard 4 4 2 3 5 3" xfId="25725" xr:uid="{00000000-0005-0000-0000-000046650000}"/>
    <cellStyle name="Standard 4 4 2 3 5 3 2" xfId="25726" xr:uid="{00000000-0005-0000-0000-000047650000}"/>
    <cellStyle name="Standard 4 4 2 3 5 3 3" xfId="25727" xr:uid="{00000000-0005-0000-0000-000048650000}"/>
    <cellStyle name="Standard 4 4 2 3 5 4" xfId="25728" xr:uid="{00000000-0005-0000-0000-000049650000}"/>
    <cellStyle name="Standard 4 4 2 3 5 4 2" xfId="25729" xr:uid="{00000000-0005-0000-0000-00004A650000}"/>
    <cellStyle name="Standard 4 4 2 3 5 4 3" xfId="25730" xr:uid="{00000000-0005-0000-0000-00004B650000}"/>
    <cellStyle name="Standard 4 4 2 3 5 5" xfId="25731" xr:uid="{00000000-0005-0000-0000-00004C650000}"/>
    <cellStyle name="Standard 4 4 2 3 5 5 2" xfId="25732" xr:uid="{00000000-0005-0000-0000-00004D650000}"/>
    <cellStyle name="Standard 4 4 2 3 5 6" xfId="25733" xr:uid="{00000000-0005-0000-0000-00004E650000}"/>
    <cellStyle name="Standard 4 4 2 3 5 7" xfId="25734" xr:uid="{00000000-0005-0000-0000-00004F650000}"/>
    <cellStyle name="Standard 4 4 2 3 6" xfId="25735" xr:uid="{00000000-0005-0000-0000-000050650000}"/>
    <cellStyle name="Standard 4 4 2 3 6 2" xfId="25736" xr:uid="{00000000-0005-0000-0000-000051650000}"/>
    <cellStyle name="Standard 4 4 2 3 6 2 2" xfId="25737" xr:uid="{00000000-0005-0000-0000-000052650000}"/>
    <cellStyle name="Standard 4 4 2 3 6 2 3" xfId="25738" xr:uid="{00000000-0005-0000-0000-000053650000}"/>
    <cellStyle name="Standard 4 4 2 3 6 3" xfId="25739" xr:uid="{00000000-0005-0000-0000-000054650000}"/>
    <cellStyle name="Standard 4 4 2 3 6 3 2" xfId="25740" xr:uid="{00000000-0005-0000-0000-000055650000}"/>
    <cellStyle name="Standard 4 4 2 3 6 3 3" xfId="25741" xr:uid="{00000000-0005-0000-0000-000056650000}"/>
    <cellStyle name="Standard 4 4 2 3 6 4" xfId="25742" xr:uid="{00000000-0005-0000-0000-000057650000}"/>
    <cellStyle name="Standard 4 4 2 3 6 4 2" xfId="25743" xr:uid="{00000000-0005-0000-0000-000058650000}"/>
    <cellStyle name="Standard 4 4 2 3 6 5" xfId="25744" xr:uid="{00000000-0005-0000-0000-000059650000}"/>
    <cellStyle name="Standard 4 4 2 3 6 6" xfId="25745" xr:uid="{00000000-0005-0000-0000-00005A650000}"/>
    <cellStyle name="Standard 4 4 2 3 7" xfId="25746" xr:uid="{00000000-0005-0000-0000-00005B650000}"/>
    <cellStyle name="Standard 4 4 2 3 7 2" xfId="25747" xr:uid="{00000000-0005-0000-0000-00005C650000}"/>
    <cellStyle name="Standard 4 4 2 3 7 3" xfId="25748" xr:uid="{00000000-0005-0000-0000-00005D650000}"/>
    <cellStyle name="Standard 4 4 2 3 8" xfId="25749" xr:uid="{00000000-0005-0000-0000-00005E650000}"/>
    <cellStyle name="Standard 4 4 2 3 8 2" xfId="25750" xr:uid="{00000000-0005-0000-0000-00005F650000}"/>
    <cellStyle name="Standard 4 4 2 3 8 3" xfId="25751" xr:uid="{00000000-0005-0000-0000-000060650000}"/>
    <cellStyle name="Standard 4 4 2 3 9" xfId="25752" xr:uid="{00000000-0005-0000-0000-000061650000}"/>
    <cellStyle name="Standard 4 4 2 3 9 2" xfId="25753" xr:uid="{00000000-0005-0000-0000-000062650000}"/>
    <cellStyle name="Standard 4 4 2 4" xfId="25754" xr:uid="{00000000-0005-0000-0000-000063650000}"/>
    <cellStyle name="Standard 4 4 2 4 10" xfId="25755" xr:uid="{00000000-0005-0000-0000-000064650000}"/>
    <cellStyle name="Standard 4 4 2 4 11" xfId="25756" xr:uid="{00000000-0005-0000-0000-000065650000}"/>
    <cellStyle name="Standard 4 4 2 4 2" xfId="25757" xr:uid="{00000000-0005-0000-0000-000066650000}"/>
    <cellStyle name="Standard 4 4 2 4 2 10" xfId="25758" xr:uid="{00000000-0005-0000-0000-000067650000}"/>
    <cellStyle name="Standard 4 4 2 4 2 2" xfId="25759" xr:uid="{00000000-0005-0000-0000-000068650000}"/>
    <cellStyle name="Standard 4 4 2 4 2 2 2" xfId="25760" xr:uid="{00000000-0005-0000-0000-000069650000}"/>
    <cellStyle name="Standard 4 4 2 4 2 2 2 2" xfId="25761" xr:uid="{00000000-0005-0000-0000-00006A650000}"/>
    <cellStyle name="Standard 4 4 2 4 2 2 2 2 2" xfId="25762" xr:uid="{00000000-0005-0000-0000-00006B650000}"/>
    <cellStyle name="Standard 4 4 2 4 2 2 2 2 2 2" xfId="25763" xr:uid="{00000000-0005-0000-0000-00006C650000}"/>
    <cellStyle name="Standard 4 4 2 4 2 2 2 2 2 3" xfId="25764" xr:uid="{00000000-0005-0000-0000-00006D650000}"/>
    <cellStyle name="Standard 4 4 2 4 2 2 2 2 3" xfId="25765" xr:uid="{00000000-0005-0000-0000-00006E650000}"/>
    <cellStyle name="Standard 4 4 2 4 2 2 2 2 3 2" xfId="25766" xr:uid="{00000000-0005-0000-0000-00006F650000}"/>
    <cellStyle name="Standard 4 4 2 4 2 2 2 2 3 3" xfId="25767" xr:uid="{00000000-0005-0000-0000-000070650000}"/>
    <cellStyle name="Standard 4 4 2 4 2 2 2 2 4" xfId="25768" xr:uid="{00000000-0005-0000-0000-000071650000}"/>
    <cellStyle name="Standard 4 4 2 4 2 2 2 2 4 2" xfId="25769" xr:uid="{00000000-0005-0000-0000-000072650000}"/>
    <cellStyle name="Standard 4 4 2 4 2 2 2 2 5" xfId="25770" xr:uid="{00000000-0005-0000-0000-000073650000}"/>
    <cellStyle name="Standard 4 4 2 4 2 2 2 2 6" xfId="25771" xr:uid="{00000000-0005-0000-0000-000074650000}"/>
    <cellStyle name="Standard 4 4 2 4 2 2 2 3" xfId="25772" xr:uid="{00000000-0005-0000-0000-000075650000}"/>
    <cellStyle name="Standard 4 4 2 4 2 2 2 3 2" xfId="25773" xr:uid="{00000000-0005-0000-0000-000076650000}"/>
    <cellStyle name="Standard 4 4 2 4 2 2 2 3 3" xfId="25774" xr:uid="{00000000-0005-0000-0000-000077650000}"/>
    <cellStyle name="Standard 4 4 2 4 2 2 2 4" xfId="25775" xr:uid="{00000000-0005-0000-0000-000078650000}"/>
    <cellStyle name="Standard 4 4 2 4 2 2 2 4 2" xfId="25776" xr:uid="{00000000-0005-0000-0000-000079650000}"/>
    <cellStyle name="Standard 4 4 2 4 2 2 2 4 3" xfId="25777" xr:uid="{00000000-0005-0000-0000-00007A650000}"/>
    <cellStyle name="Standard 4 4 2 4 2 2 2 5" xfId="25778" xr:uid="{00000000-0005-0000-0000-00007B650000}"/>
    <cellStyle name="Standard 4 4 2 4 2 2 2 5 2" xfId="25779" xr:uid="{00000000-0005-0000-0000-00007C650000}"/>
    <cellStyle name="Standard 4 4 2 4 2 2 2 6" xfId="25780" xr:uid="{00000000-0005-0000-0000-00007D650000}"/>
    <cellStyle name="Standard 4 4 2 4 2 2 2 7" xfId="25781" xr:uid="{00000000-0005-0000-0000-00007E650000}"/>
    <cellStyle name="Standard 4 4 2 4 2 2 3" xfId="25782" xr:uid="{00000000-0005-0000-0000-00007F650000}"/>
    <cellStyle name="Standard 4 4 2 4 2 2 3 2" xfId="25783" xr:uid="{00000000-0005-0000-0000-000080650000}"/>
    <cellStyle name="Standard 4 4 2 4 2 2 3 2 2" xfId="25784" xr:uid="{00000000-0005-0000-0000-000081650000}"/>
    <cellStyle name="Standard 4 4 2 4 2 2 3 2 3" xfId="25785" xr:uid="{00000000-0005-0000-0000-000082650000}"/>
    <cellStyle name="Standard 4 4 2 4 2 2 3 3" xfId="25786" xr:uid="{00000000-0005-0000-0000-000083650000}"/>
    <cellStyle name="Standard 4 4 2 4 2 2 3 3 2" xfId="25787" xr:uid="{00000000-0005-0000-0000-000084650000}"/>
    <cellStyle name="Standard 4 4 2 4 2 2 3 3 3" xfId="25788" xr:uid="{00000000-0005-0000-0000-000085650000}"/>
    <cellStyle name="Standard 4 4 2 4 2 2 3 4" xfId="25789" xr:uid="{00000000-0005-0000-0000-000086650000}"/>
    <cellStyle name="Standard 4 4 2 4 2 2 3 4 2" xfId="25790" xr:uid="{00000000-0005-0000-0000-000087650000}"/>
    <cellStyle name="Standard 4 4 2 4 2 2 3 5" xfId="25791" xr:uid="{00000000-0005-0000-0000-000088650000}"/>
    <cellStyle name="Standard 4 4 2 4 2 2 3 6" xfId="25792" xr:uid="{00000000-0005-0000-0000-000089650000}"/>
    <cellStyle name="Standard 4 4 2 4 2 2 4" xfId="25793" xr:uid="{00000000-0005-0000-0000-00008A650000}"/>
    <cellStyle name="Standard 4 4 2 4 2 2 4 2" xfId="25794" xr:uid="{00000000-0005-0000-0000-00008B650000}"/>
    <cellStyle name="Standard 4 4 2 4 2 2 4 3" xfId="25795" xr:uid="{00000000-0005-0000-0000-00008C650000}"/>
    <cellStyle name="Standard 4 4 2 4 2 2 5" xfId="25796" xr:uid="{00000000-0005-0000-0000-00008D650000}"/>
    <cellStyle name="Standard 4 4 2 4 2 2 5 2" xfId="25797" xr:uid="{00000000-0005-0000-0000-00008E650000}"/>
    <cellStyle name="Standard 4 4 2 4 2 2 5 3" xfId="25798" xr:uid="{00000000-0005-0000-0000-00008F650000}"/>
    <cellStyle name="Standard 4 4 2 4 2 2 6" xfId="25799" xr:uid="{00000000-0005-0000-0000-000090650000}"/>
    <cellStyle name="Standard 4 4 2 4 2 2 6 2" xfId="25800" xr:uid="{00000000-0005-0000-0000-000091650000}"/>
    <cellStyle name="Standard 4 4 2 4 2 2 7" xfId="25801" xr:uid="{00000000-0005-0000-0000-000092650000}"/>
    <cellStyle name="Standard 4 4 2 4 2 2 8" xfId="25802" xr:uid="{00000000-0005-0000-0000-000093650000}"/>
    <cellStyle name="Standard 4 4 2 4 2 3" xfId="25803" xr:uid="{00000000-0005-0000-0000-000094650000}"/>
    <cellStyle name="Standard 4 4 2 4 2 3 2" xfId="25804" xr:uid="{00000000-0005-0000-0000-000095650000}"/>
    <cellStyle name="Standard 4 4 2 4 2 3 2 2" xfId="25805" xr:uid="{00000000-0005-0000-0000-000096650000}"/>
    <cellStyle name="Standard 4 4 2 4 2 3 2 2 2" xfId="25806" xr:uid="{00000000-0005-0000-0000-000097650000}"/>
    <cellStyle name="Standard 4 4 2 4 2 3 2 2 2 2" xfId="25807" xr:uid="{00000000-0005-0000-0000-000098650000}"/>
    <cellStyle name="Standard 4 4 2 4 2 3 2 2 2 3" xfId="25808" xr:uid="{00000000-0005-0000-0000-000099650000}"/>
    <cellStyle name="Standard 4 4 2 4 2 3 2 2 3" xfId="25809" xr:uid="{00000000-0005-0000-0000-00009A650000}"/>
    <cellStyle name="Standard 4 4 2 4 2 3 2 2 3 2" xfId="25810" xr:uid="{00000000-0005-0000-0000-00009B650000}"/>
    <cellStyle name="Standard 4 4 2 4 2 3 2 2 3 3" xfId="25811" xr:uid="{00000000-0005-0000-0000-00009C650000}"/>
    <cellStyle name="Standard 4 4 2 4 2 3 2 2 4" xfId="25812" xr:uid="{00000000-0005-0000-0000-00009D650000}"/>
    <cellStyle name="Standard 4 4 2 4 2 3 2 2 4 2" xfId="25813" xr:uid="{00000000-0005-0000-0000-00009E650000}"/>
    <cellStyle name="Standard 4 4 2 4 2 3 2 2 5" xfId="25814" xr:uid="{00000000-0005-0000-0000-00009F650000}"/>
    <cellStyle name="Standard 4 4 2 4 2 3 2 2 6" xfId="25815" xr:uid="{00000000-0005-0000-0000-0000A0650000}"/>
    <cellStyle name="Standard 4 4 2 4 2 3 2 3" xfId="25816" xr:uid="{00000000-0005-0000-0000-0000A1650000}"/>
    <cellStyle name="Standard 4 4 2 4 2 3 2 3 2" xfId="25817" xr:uid="{00000000-0005-0000-0000-0000A2650000}"/>
    <cellStyle name="Standard 4 4 2 4 2 3 2 3 3" xfId="25818" xr:uid="{00000000-0005-0000-0000-0000A3650000}"/>
    <cellStyle name="Standard 4 4 2 4 2 3 2 4" xfId="25819" xr:uid="{00000000-0005-0000-0000-0000A4650000}"/>
    <cellStyle name="Standard 4 4 2 4 2 3 2 4 2" xfId="25820" xr:uid="{00000000-0005-0000-0000-0000A5650000}"/>
    <cellStyle name="Standard 4 4 2 4 2 3 2 4 3" xfId="25821" xr:uid="{00000000-0005-0000-0000-0000A6650000}"/>
    <cellStyle name="Standard 4 4 2 4 2 3 2 5" xfId="25822" xr:uid="{00000000-0005-0000-0000-0000A7650000}"/>
    <cellStyle name="Standard 4 4 2 4 2 3 2 5 2" xfId="25823" xr:uid="{00000000-0005-0000-0000-0000A8650000}"/>
    <cellStyle name="Standard 4 4 2 4 2 3 2 6" xfId="25824" xr:uid="{00000000-0005-0000-0000-0000A9650000}"/>
    <cellStyle name="Standard 4 4 2 4 2 3 2 7" xfId="25825" xr:uid="{00000000-0005-0000-0000-0000AA650000}"/>
    <cellStyle name="Standard 4 4 2 4 2 3 3" xfId="25826" xr:uid="{00000000-0005-0000-0000-0000AB650000}"/>
    <cellStyle name="Standard 4 4 2 4 2 3 3 2" xfId="25827" xr:uid="{00000000-0005-0000-0000-0000AC650000}"/>
    <cellStyle name="Standard 4 4 2 4 2 3 3 2 2" xfId="25828" xr:uid="{00000000-0005-0000-0000-0000AD650000}"/>
    <cellStyle name="Standard 4 4 2 4 2 3 3 2 3" xfId="25829" xr:uid="{00000000-0005-0000-0000-0000AE650000}"/>
    <cellStyle name="Standard 4 4 2 4 2 3 3 3" xfId="25830" xr:uid="{00000000-0005-0000-0000-0000AF650000}"/>
    <cellStyle name="Standard 4 4 2 4 2 3 3 3 2" xfId="25831" xr:uid="{00000000-0005-0000-0000-0000B0650000}"/>
    <cellStyle name="Standard 4 4 2 4 2 3 3 3 3" xfId="25832" xr:uid="{00000000-0005-0000-0000-0000B1650000}"/>
    <cellStyle name="Standard 4 4 2 4 2 3 3 4" xfId="25833" xr:uid="{00000000-0005-0000-0000-0000B2650000}"/>
    <cellStyle name="Standard 4 4 2 4 2 3 3 4 2" xfId="25834" xr:uid="{00000000-0005-0000-0000-0000B3650000}"/>
    <cellStyle name="Standard 4 4 2 4 2 3 3 5" xfId="25835" xr:uid="{00000000-0005-0000-0000-0000B4650000}"/>
    <cellStyle name="Standard 4 4 2 4 2 3 3 6" xfId="25836" xr:uid="{00000000-0005-0000-0000-0000B5650000}"/>
    <cellStyle name="Standard 4 4 2 4 2 3 4" xfId="25837" xr:uid="{00000000-0005-0000-0000-0000B6650000}"/>
    <cellStyle name="Standard 4 4 2 4 2 3 4 2" xfId="25838" xr:uid="{00000000-0005-0000-0000-0000B7650000}"/>
    <cellStyle name="Standard 4 4 2 4 2 3 4 3" xfId="25839" xr:uid="{00000000-0005-0000-0000-0000B8650000}"/>
    <cellStyle name="Standard 4 4 2 4 2 3 5" xfId="25840" xr:uid="{00000000-0005-0000-0000-0000B9650000}"/>
    <cellStyle name="Standard 4 4 2 4 2 3 5 2" xfId="25841" xr:uid="{00000000-0005-0000-0000-0000BA650000}"/>
    <cellStyle name="Standard 4 4 2 4 2 3 5 3" xfId="25842" xr:uid="{00000000-0005-0000-0000-0000BB650000}"/>
    <cellStyle name="Standard 4 4 2 4 2 3 6" xfId="25843" xr:uid="{00000000-0005-0000-0000-0000BC650000}"/>
    <cellStyle name="Standard 4 4 2 4 2 3 6 2" xfId="25844" xr:uid="{00000000-0005-0000-0000-0000BD650000}"/>
    <cellStyle name="Standard 4 4 2 4 2 3 7" xfId="25845" xr:uid="{00000000-0005-0000-0000-0000BE650000}"/>
    <cellStyle name="Standard 4 4 2 4 2 3 8" xfId="25846" xr:uid="{00000000-0005-0000-0000-0000BF650000}"/>
    <cellStyle name="Standard 4 4 2 4 2 4" xfId="25847" xr:uid="{00000000-0005-0000-0000-0000C0650000}"/>
    <cellStyle name="Standard 4 4 2 4 2 4 2" xfId="25848" xr:uid="{00000000-0005-0000-0000-0000C1650000}"/>
    <cellStyle name="Standard 4 4 2 4 2 4 2 2" xfId="25849" xr:uid="{00000000-0005-0000-0000-0000C2650000}"/>
    <cellStyle name="Standard 4 4 2 4 2 4 2 2 2" xfId="25850" xr:uid="{00000000-0005-0000-0000-0000C3650000}"/>
    <cellStyle name="Standard 4 4 2 4 2 4 2 2 3" xfId="25851" xr:uid="{00000000-0005-0000-0000-0000C4650000}"/>
    <cellStyle name="Standard 4 4 2 4 2 4 2 3" xfId="25852" xr:uid="{00000000-0005-0000-0000-0000C5650000}"/>
    <cellStyle name="Standard 4 4 2 4 2 4 2 3 2" xfId="25853" xr:uid="{00000000-0005-0000-0000-0000C6650000}"/>
    <cellStyle name="Standard 4 4 2 4 2 4 2 3 3" xfId="25854" xr:uid="{00000000-0005-0000-0000-0000C7650000}"/>
    <cellStyle name="Standard 4 4 2 4 2 4 2 4" xfId="25855" xr:uid="{00000000-0005-0000-0000-0000C8650000}"/>
    <cellStyle name="Standard 4 4 2 4 2 4 2 4 2" xfId="25856" xr:uid="{00000000-0005-0000-0000-0000C9650000}"/>
    <cellStyle name="Standard 4 4 2 4 2 4 2 5" xfId="25857" xr:uid="{00000000-0005-0000-0000-0000CA650000}"/>
    <cellStyle name="Standard 4 4 2 4 2 4 2 6" xfId="25858" xr:uid="{00000000-0005-0000-0000-0000CB650000}"/>
    <cellStyle name="Standard 4 4 2 4 2 4 3" xfId="25859" xr:uid="{00000000-0005-0000-0000-0000CC650000}"/>
    <cellStyle name="Standard 4 4 2 4 2 4 3 2" xfId="25860" xr:uid="{00000000-0005-0000-0000-0000CD650000}"/>
    <cellStyle name="Standard 4 4 2 4 2 4 3 3" xfId="25861" xr:uid="{00000000-0005-0000-0000-0000CE650000}"/>
    <cellStyle name="Standard 4 4 2 4 2 4 4" xfId="25862" xr:uid="{00000000-0005-0000-0000-0000CF650000}"/>
    <cellStyle name="Standard 4 4 2 4 2 4 4 2" xfId="25863" xr:uid="{00000000-0005-0000-0000-0000D0650000}"/>
    <cellStyle name="Standard 4 4 2 4 2 4 4 3" xfId="25864" xr:uid="{00000000-0005-0000-0000-0000D1650000}"/>
    <cellStyle name="Standard 4 4 2 4 2 4 5" xfId="25865" xr:uid="{00000000-0005-0000-0000-0000D2650000}"/>
    <cellStyle name="Standard 4 4 2 4 2 4 5 2" xfId="25866" xr:uid="{00000000-0005-0000-0000-0000D3650000}"/>
    <cellStyle name="Standard 4 4 2 4 2 4 6" xfId="25867" xr:uid="{00000000-0005-0000-0000-0000D4650000}"/>
    <cellStyle name="Standard 4 4 2 4 2 4 7" xfId="25868" xr:uid="{00000000-0005-0000-0000-0000D5650000}"/>
    <cellStyle name="Standard 4 4 2 4 2 5" xfId="25869" xr:uid="{00000000-0005-0000-0000-0000D6650000}"/>
    <cellStyle name="Standard 4 4 2 4 2 5 2" xfId="25870" xr:uid="{00000000-0005-0000-0000-0000D7650000}"/>
    <cellStyle name="Standard 4 4 2 4 2 5 2 2" xfId="25871" xr:uid="{00000000-0005-0000-0000-0000D8650000}"/>
    <cellStyle name="Standard 4 4 2 4 2 5 2 3" xfId="25872" xr:uid="{00000000-0005-0000-0000-0000D9650000}"/>
    <cellStyle name="Standard 4 4 2 4 2 5 3" xfId="25873" xr:uid="{00000000-0005-0000-0000-0000DA650000}"/>
    <cellStyle name="Standard 4 4 2 4 2 5 3 2" xfId="25874" xr:uid="{00000000-0005-0000-0000-0000DB650000}"/>
    <cellStyle name="Standard 4 4 2 4 2 5 3 3" xfId="25875" xr:uid="{00000000-0005-0000-0000-0000DC650000}"/>
    <cellStyle name="Standard 4 4 2 4 2 5 4" xfId="25876" xr:uid="{00000000-0005-0000-0000-0000DD650000}"/>
    <cellStyle name="Standard 4 4 2 4 2 5 4 2" xfId="25877" xr:uid="{00000000-0005-0000-0000-0000DE650000}"/>
    <cellStyle name="Standard 4 4 2 4 2 5 5" xfId="25878" xr:uid="{00000000-0005-0000-0000-0000DF650000}"/>
    <cellStyle name="Standard 4 4 2 4 2 5 6" xfId="25879" xr:uid="{00000000-0005-0000-0000-0000E0650000}"/>
    <cellStyle name="Standard 4 4 2 4 2 6" xfId="25880" xr:uid="{00000000-0005-0000-0000-0000E1650000}"/>
    <cellStyle name="Standard 4 4 2 4 2 6 2" xfId="25881" xr:uid="{00000000-0005-0000-0000-0000E2650000}"/>
    <cellStyle name="Standard 4 4 2 4 2 6 3" xfId="25882" xr:uid="{00000000-0005-0000-0000-0000E3650000}"/>
    <cellStyle name="Standard 4 4 2 4 2 7" xfId="25883" xr:uid="{00000000-0005-0000-0000-0000E4650000}"/>
    <cellStyle name="Standard 4 4 2 4 2 7 2" xfId="25884" xr:uid="{00000000-0005-0000-0000-0000E5650000}"/>
    <cellStyle name="Standard 4 4 2 4 2 7 3" xfId="25885" xr:uid="{00000000-0005-0000-0000-0000E6650000}"/>
    <cellStyle name="Standard 4 4 2 4 2 8" xfId="25886" xr:uid="{00000000-0005-0000-0000-0000E7650000}"/>
    <cellStyle name="Standard 4 4 2 4 2 8 2" xfId="25887" xr:uid="{00000000-0005-0000-0000-0000E8650000}"/>
    <cellStyle name="Standard 4 4 2 4 2 9" xfId="25888" xr:uid="{00000000-0005-0000-0000-0000E9650000}"/>
    <cellStyle name="Standard 4 4 2 4 3" xfId="25889" xr:uid="{00000000-0005-0000-0000-0000EA650000}"/>
    <cellStyle name="Standard 4 4 2 4 3 2" xfId="25890" xr:uid="{00000000-0005-0000-0000-0000EB650000}"/>
    <cellStyle name="Standard 4 4 2 4 3 2 2" xfId="25891" xr:uid="{00000000-0005-0000-0000-0000EC650000}"/>
    <cellStyle name="Standard 4 4 2 4 3 2 2 2" xfId="25892" xr:uid="{00000000-0005-0000-0000-0000ED650000}"/>
    <cellStyle name="Standard 4 4 2 4 3 2 2 2 2" xfId="25893" xr:uid="{00000000-0005-0000-0000-0000EE650000}"/>
    <cellStyle name="Standard 4 4 2 4 3 2 2 2 3" xfId="25894" xr:uid="{00000000-0005-0000-0000-0000EF650000}"/>
    <cellStyle name="Standard 4 4 2 4 3 2 2 3" xfId="25895" xr:uid="{00000000-0005-0000-0000-0000F0650000}"/>
    <cellStyle name="Standard 4 4 2 4 3 2 2 3 2" xfId="25896" xr:uid="{00000000-0005-0000-0000-0000F1650000}"/>
    <cellStyle name="Standard 4 4 2 4 3 2 2 3 3" xfId="25897" xr:uid="{00000000-0005-0000-0000-0000F2650000}"/>
    <cellStyle name="Standard 4 4 2 4 3 2 2 4" xfId="25898" xr:uid="{00000000-0005-0000-0000-0000F3650000}"/>
    <cellStyle name="Standard 4 4 2 4 3 2 2 4 2" xfId="25899" xr:uid="{00000000-0005-0000-0000-0000F4650000}"/>
    <cellStyle name="Standard 4 4 2 4 3 2 2 5" xfId="25900" xr:uid="{00000000-0005-0000-0000-0000F5650000}"/>
    <cellStyle name="Standard 4 4 2 4 3 2 2 6" xfId="25901" xr:uid="{00000000-0005-0000-0000-0000F6650000}"/>
    <cellStyle name="Standard 4 4 2 4 3 2 3" xfId="25902" xr:uid="{00000000-0005-0000-0000-0000F7650000}"/>
    <cellStyle name="Standard 4 4 2 4 3 2 3 2" xfId="25903" xr:uid="{00000000-0005-0000-0000-0000F8650000}"/>
    <cellStyle name="Standard 4 4 2 4 3 2 3 3" xfId="25904" xr:uid="{00000000-0005-0000-0000-0000F9650000}"/>
    <cellStyle name="Standard 4 4 2 4 3 2 4" xfId="25905" xr:uid="{00000000-0005-0000-0000-0000FA650000}"/>
    <cellStyle name="Standard 4 4 2 4 3 2 4 2" xfId="25906" xr:uid="{00000000-0005-0000-0000-0000FB650000}"/>
    <cellStyle name="Standard 4 4 2 4 3 2 4 3" xfId="25907" xr:uid="{00000000-0005-0000-0000-0000FC650000}"/>
    <cellStyle name="Standard 4 4 2 4 3 2 5" xfId="25908" xr:uid="{00000000-0005-0000-0000-0000FD650000}"/>
    <cellStyle name="Standard 4 4 2 4 3 2 5 2" xfId="25909" xr:uid="{00000000-0005-0000-0000-0000FE650000}"/>
    <cellStyle name="Standard 4 4 2 4 3 2 6" xfId="25910" xr:uid="{00000000-0005-0000-0000-0000FF650000}"/>
    <cellStyle name="Standard 4 4 2 4 3 2 7" xfId="25911" xr:uid="{00000000-0005-0000-0000-000000660000}"/>
    <cellStyle name="Standard 4 4 2 4 3 3" xfId="25912" xr:uid="{00000000-0005-0000-0000-000001660000}"/>
    <cellStyle name="Standard 4 4 2 4 3 3 2" xfId="25913" xr:uid="{00000000-0005-0000-0000-000002660000}"/>
    <cellStyle name="Standard 4 4 2 4 3 3 2 2" xfId="25914" xr:uid="{00000000-0005-0000-0000-000003660000}"/>
    <cellStyle name="Standard 4 4 2 4 3 3 2 3" xfId="25915" xr:uid="{00000000-0005-0000-0000-000004660000}"/>
    <cellStyle name="Standard 4 4 2 4 3 3 3" xfId="25916" xr:uid="{00000000-0005-0000-0000-000005660000}"/>
    <cellStyle name="Standard 4 4 2 4 3 3 3 2" xfId="25917" xr:uid="{00000000-0005-0000-0000-000006660000}"/>
    <cellStyle name="Standard 4 4 2 4 3 3 3 3" xfId="25918" xr:uid="{00000000-0005-0000-0000-000007660000}"/>
    <cellStyle name="Standard 4 4 2 4 3 3 4" xfId="25919" xr:uid="{00000000-0005-0000-0000-000008660000}"/>
    <cellStyle name="Standard 4 4 2 4 3 3 4 2" xfId="25920" xr:uid="{00000000-0005-0000-0000-000009660000}"/>
    <cellStyle name="Standard 4 4 2 4 3 3 5" xfId="25921" xr:uid="{00000000-0005-0000-0000-00000A660000}"/>
    <cellStyle name="Standard 4 4 2 4 3 3 6" xfId="25922" xr:uid="{00000000-0005-0000-0000-00000B660000}"/>
    <cellStyle name="Standard 4 4 2 4 3 4" xfId="25923" xr:uid="{00000000-0005-0000-0000-00000C660000}"/>
    <cellStyle name="Standard 4 4 2 4 3 4 2" xfId="25924" xr:uid="{00000000-0005-0000-0000-00000D660000}"/>
    <cellStyle name="Standard 4 4 2 4 3 4 3" xfId="25925" xr:uid="{00000000-0005-0000-0000-00000E660000}"/>
    <cellStyle name="Standard 4 4 2 4 3 5" xfId="25926" xr:uid="{00000000-0005-0000-0000-00000F660000}"/>
    <cellStyle name="Standard 4 4 2 4 3 5 2" xfId="25927" xr:uid="{00000000-0005-0000-0000-000010660000}"/>
    <cellStyle name="Standard 4 4 2 4 3 5 3" xfId="25928" xr:uid="{00000000-0005-0000-0000-000011660000}"/>
    <cellStyle name="Standard 4 4 2 4 3 6" xfId="25929" xr:uid="{00000000-0005-0000-0000-000012660000}"/>
    <cellStyle name="Standard 4 4 2 4 3 6 2" xfId="25930" xr:uid="{00000000-0005-0000-0000-000013660000}"/>
    <cellStyle name="Standard 4 4 2 4 3 7" xfId="25931" xr:uid="{00000000-0005-0000-0000-000014660000}"/>
    <cellStyle name="Standard 4 4 2 4 3 8" xfId="25932" xr:uid="{00000000-0005-0000-0000-000015660000}"/>
    <cellStyle name="Standard 4 4 2 4 4" xfId="25933" xr:uid="{00000000-0005-0000-0000-000016660000}"/>
    <cellStyle name="Standard 4 4 2 4 4 2" xfId="25934" xr:uid="{00000000-0005-0000-0000-000017660000}"/>
    <cellStyle name="Standard 4 4 2 4 4 2 2" xfId="25935" xr:uid="{00000000-0005-0000-0000-000018660000}"/>
    <cellStyle name="Standard 4 4 2 4 4 2 2 2" xfId="25936" xr:uid="{00000000-0005-0000-0000-000019660000}"/>
    <cellStyle name="Standard 4 4 2 4 4 2 2 2 2" xfId="25937" xr:uid="{00000000-0005-0000-0000-00001A660000}"/>
    <cellStyle name="Standard 4 4 2 4 4 2 2 2 3" xfId="25938" xr:uid="{00000000-0005-0000-0000-00001B660000}"/>
    <cellStyle name="Standard 4 4 2 4 4 2 2 3" xfId="25939" xr:uid="{00000000-0005-0000-0000-00001C660000}"/>
    <cellStyle name="Standard 4 4 2 4 4 2 2 3 2" xfId="25940" xr:uid="{00000000-0005-0000-0000-00001D660000}"/>
    <cellStyle name="Standard 4 4 2 4 4 2 2 3 3" xfId="25941" xr:uid="{00000000-0005-0000-0000-00001E660000}"/>
    <cellStyle name="Standard 4 4 2 4 4 2 2 4" xfId="25942" xr:uid="{00000000-0005-0000-0000-00001F660000}"/>
    <cellStyle name="Standard 4 4 2 4 4 2 2 4 2" xfId="25943" xr:uid="{00000000-0005-0000-0000-000020660000}"/>
    <cellStyle name="Standard 4 4 2 4 4 2 2 5" xfId="25944" xr:uid="{00000000-0005-0000-0000-000021660000}"/>
    <cellStyle name="Standard 4 4 2 4 4 2 2 6" xfId="25945" xr:uid="{00000000-0005-0000-0000-000022660000}"/>
    <cellStyle name="Standard 4 4 2 4 4 2 3" xfId="25946" xr:uid="{00000000-0005-0000-0000-000023660000}"/>
    <cellStyle name="Standard 4 4 2 4 4 2 3 2" xfId="25947" xr:uid="{00000000-0005-0000-0000-000024660000}"/>
    <cellStyle name="Standard 4 4 2 4 4 2 3 3" xfId="25948" xr:uid="{00000000-0005-0000-0000-000025660000}"/>
    <cellStyle name="Standard 4 4 2 4 4 2 4" xfId="25949" xr:uid="{00000000-0005-0000-0000-000026660000}"/>
    <cellStyle name="Standard 4 4 2 4 4 2 4 2" xfId="25950" xr:uid="{00000000-0005-0000-0000-000027660000}"/>
    <cellStyle name="Standard 4 4 2 4 4 2 4 3" xfId="25951" xr:uid="{00000000-0005-0000-0000-000028660000}"/>
    <cellStyle name="Standard 4 4 2 4 4 2 5" xfId="25952" xr:uid="{00000000-0005-0000-0000-000029660000}"/>
    <cellStyle name="Standard 4 4 2 4 4 2 5 2" xfId="25953" xr:uid="{00000000-0005-0000-0000-00002A660000}"/>
    <cellStyle name="Standard 4 4 2 4 4 2 6" xfId="25954" xr:uid="{00000000-0005-0000-0000-00002B660000}"/>
    <cellStyle name="Standard 4 4 2 4 4 2 7" xfId="25955" xr:uid="{00000000-0005-0000-0000-00002C660000}"/>
    <cellStyle name="Standard 4 4 2 4 4 3" xfId="25956" xr:uid="{00000000-0005-0000-0000-00002D660000}"/>
    <cellStyle name="Standard 4 4 2 4 4 3 2" xfId="25957" xr:uid="{00000000-0005-0000-0000-00002E660000}"/>
    <cellStyle name="Standard 4 4 2 4 4 3 2 2" xfId="25958" xr:uid="{00000000-0005-0000-0000-00002F660000}"/>
    <cellStyle name="Standard 4 4 2 4 4 3 2 3" xfId="25959" xr:uid="{00000000-0005-0000-0000-000030660000}"/>
    <cellStyle name="Standard 4 4 2 4 4 3 3" xfId="25960" xr:uid="{00000000-0005-0000-0000-000031660000}"/>
    <cellStyle name="Standard 4 4 2 4 4 3 3 2" xfId="25961" xr:uid="{00000000-0005-0000-0000-000032660000}"/>
    <cellStyle name="Standard 4 4 2 4 4 3 3 3" xfId="25962" xr:uid="{00000000-0005-0000-0000-000033660000}"/>
    <cellStyle name="Standard 4 4 2 4 4 3 4" xfId="25963" xr:uid="{00000000-0005-0000-0000-000034660000}"/>
    <cellStyle name="Standard 4 4 2 4 4 3 4 2" xfId="25964" xr:uid="{00000000-0005-0000-0000-000035660000}"/>
    <cellStyle name="Standard 4 4 2 4 4 3 5" xfId="25965" xr:uid="{00000000-0005-0000-0000-000036660000}"/>
    <cellStyle name="Standard 4 4 2 4 4 3 6" xfId="25966" xr:uid="{00000000-0005-0000-0000-000037660000}"/>
    <cellStyle name="Standard 4 4 2 4 4 4" xfId="25967" xr:uid="{00000000-0005-0000-0000-000038660000}"/>
    <cellStyle name="Standard 4 4 2 4 4 4 2" xfId="25968" xr:uid="{00000000-0005-0000-0000-000039660000}"/>
    <cellStyle name="Standard 4 4 2 4 4 4 3" xfId="25969" xr:uid="{00000000-0005-0000-0000-00003A660000}"/>
    <cellStyle name="Standard 4 4 2 4 4 5" xfId="25970" xr:uid="{00000000-0005-0000-0000-00003B660000}"/>
    <cellStyle name="Standard 4 4 2 4 4 5 2" xfId="25971" xr:uid="{00000000-0005-0000-0000-00003C660000}"/>
    <cellStyle name="Standard 4 4 2 4 4 5 3" xfId="25972" xr:uid="{00000000-0005-0000-0000-00003D660000}"/>
    <cellStyle name="Standard 4 4 2 4 4 6" xfId="25973" xr:uid="{00000000-0005-0000-0000-00003E660000}"/>
    <cellStyle name="Standard 4 4 2 4 4 6 2" xfId="25974" xr:uid="{00000000-0005-0000-0000-00003F660000}"/>
    <cellStyle name="Standard 4 4 2 4 4 7" xfId="25975" xr:uid="{00000000-0005-0000-0000-000040660000}"/>
    <cellStyle name="Standard 4 4 2 4 4 8" xfId="25976" xr:uid="{00000000-0005-0000-0000-000041660000}"/>
    <cellStyle name="Standard 4 4 2 4 5" xfId="25977" xr:uid="{00000000-0005-0000-0000-000042660000}"/>
    <cellStyle name="Standard 4 4 2 4 5 2" xfId="25978" xr:uid="{00000000-0005-0000-0000-000043660000}"/>
    <cellStyle name="Standard 4 4 2 4 5 2 2" xfId="25979" xr:uid="{00000000-0005-0000-0000-000044660000}"/>
    <cellStyle name="Standard 4 4 2 4 5 2 2 2" xfId="25980" xr:uid="{00000000-0005-0000-0000-000045660000}"/>
    <cellStyle name="Standard 4 4 2 4 5 2 2 3" xfId="25981" xr:uid="{00000000-0005-0000-0000-000046660000}"/>
    <cellStyle name="Standard 4 4 2 4 5 2 3" xfId="25982" xr:uid="{00000000-0005-0000-0000-000047660000}"/>
    <cellStyle name="Standard 4 4 2 4 5 2 3 2" xfId="25983" xr:uid="{00000000-0005-0000-0000-000048660000}"/>
    <cellStyle name="Standard 4 4 2 4 5 2 3 3" xfId="25984" xr:uid="{00000000-0005-0000-0000-000049660000}"/>
    <cellStyle name="Standard 4 4 2 4 5 2 4" xfId="25985" xr:uid="{00000000-0005-0000-0000-00004A660000}"/>
    <cellStyle name="Standard 4 4 2 4 5 2 4 2" xfId="25986" xr:uid="{00000000-0005-0000-0000-00004B660000}"/>
    <cellStyle name="Standard 4 4 2 4 5 2 5" xfId="25987" xr:uid="{00000000-0005-0000-0000-00004C660000}"/>
    <cellStyle name="Standard 4 4 2 4 5 2 6" xfId="25988" xr:uid="{00000000-0005-0000-0000-00004D660000}"/>
    <cellStyle name="Standard 4 4 2 4 5 3" xfId="25989" xr:uid="{00000000-0005-0000-0000-00004E660000}"/>
    <cellStyle name="Standard 4 4 2 4 5 3 2" xfId="25990" xr:uid="{00000000-0005-0000-0000-00004F660000}"/>
    <cellStyle name="Standard 4 4 2 4 5 3 3" xfId="25991" xr:uid="{00000000-0005-0000-0000-000050660000}"/>
    <cellStyle name="Standard 4 4 2 4 5 4" xfId="25992" xr:uid="{00000000-0005-0000-0000-000051660000}"/>
    <cellStyle name="Standard 4 4 2 4 5 4 2" xfId="25993" xr:uid="{00000000-0005-0000-0000-000052660000}"/>
    <cellStyle name="Standard 4 4 2 4 5 4 3" xfId="25994" xr:uid="{00000000-0005-0000-0000-000053660000}"/>
    <cellStyle name="Standard 4 4 2 4 5 5" xfId="25995" xr:uid="{00000000-0005-0000-0000-000054660000}"/>
    <cellStyle name="Standard 4 4 2 4 5 5 2" xfId="25996" xr:uid="{00000000-0005-0000-0000-000055660000}"/>
    <cellStyle name="Standard 4 4 2 4 5 6" xfId="25997" xr:uid="{00000000-0005-0000-0000-000056660000}"/>
    <cellStyle name="Standard 4 4 2 4 5 7" xfId="25998" xr:uid="{00000000-0005-0000-0000-000057660000}"/>
    <cellStyle name="Standard 4 4 2 4 6" xfId="25999" xr:uid="{00000000-0005-0000-0000-000058660000}"/>
    <cellStyle name="Standard 4 4 2 4 6 2" xfId="26000" xr:uid="{00000000-0005-0000-0000-000059660000}"/>
    <cellStyle name="Standard 4 4 2 4 6 2 2" xfId="26001" xr:uid="{00000000-0005-0000-0000-00005A660000}"/>
    <cellStyle name="Standard 4 4 2 4 6 2 3" xfId="26002" xr:uid="{00000000-0005-0000-0000-00005B660000}"/>
    <cellStyle name="Standard 4 4 2 4 6 3" xfId="26003" xr:uid="{00000000-0005-0000-0000-00005C660000}"/>
    <cellStyle name="Standard 4 4 2 4 6 3 2" xfId="26004" xr:uid="{00000000-0005-0000-0000-00005D660000}"/>
    <cellStyle name="Standard 4 4 2 4 6 3 3" xfId="26005" xr:uid="{00000000-0005-0000-0000-00005E660000}"/>
    <cellStyle name="Standard 4 4 2 4 6 4" xfId="26006" xr:uid="{00000000-0005-0000-0000-00005F660000}"/>
    <cellStyle name="Standard 4 4 2 4 6 4 2" xfId="26007" xr:uid="{00000000-0005-0000-0000-000060660000}"/>
    <cellStyle name="Standard 4 4 2 4 6 5" xfId="26008" xr:uid="{00000000-0005-0000-0000-000061660000}"/>
    <cellStyle name="Standard 4 4 2 4 6 6" xfId="26009" xr:uid="{00000000-0005-0000-0000-000062660000}"/>
    <cellStyle name="Standard 4 4 2 4 7" xfId="26010" xr:uid="{00000000-0005-0000-0000-000063660000}"/>
    <cellStyle name="Standard 4 4 2 4 7 2" xfId="26011" xr:uid="{00000000-0005-0000-0000-000064660000}"/>
    <cellStyle name="Standard 4 4 2 4 7 3" xfId="26012" xr:uid="{00000000-0005-0000-0000-000065660000}"/>
    <cellStyle name="Standard 4 4 2 4 8" xfId="26013" xr:uid="{00000000-0005-0000-0000-000066660000}"/>
    <cellStyle name="Standard 4 4 2 4 8 2" xfId="26014" xr:uid="{00000000-0005-0000-0000-000067660000}"/>
    <cellStyle name="Standard 4 4 2 4 8 3" xfId="26015" xr:uid="{00000000-0005-0000-0000-000068660000}"/>
    <cellStyle name="Standard 4 4 2 4 9" xfId="26016" xr:uid="{00000000-0005-0000-0000-000069660000}"/>
    <cellStyle name="Standard 4 4 2 4 9 2" xfId="26017" xr:uid="{00000000-0005-0000-0000-00006A660000}"/>
    <cellStyle name="Standard 4 4 2 5" xfId="26018" xr:uid="{00000000-0005-0000-0000-00006B660000}"/>
    <cellStyle name="Standard 4 4 2 5 10" xfId="26019" xr:uid="{00000000-0005-0000-0000-00006C660000}"/>
    <cellStyle name="Standard 4 4 2 5 2" xfId="26020" xr:uid="{00000000-0005-0000-0000-00006D660000}"/>
    <cellStyle name="Standard 4 4 2 5 2 2" xfId="26021" xr:uid="{00000000-0005-0000-0000-00006E660000}"/>
    <cellStyle name="Standard 4 4 2 5 2 2 2" xfId="26022" xr:uid="{00000000-0005-0000-0000-00006F660000}"/>
    <cellStyle name="Standard 4 4 2 5 2 2 2 2" xfId="26023" xr:uid="{00000000-0005-0000-0000-000070660000}"/>
    <cellStyle name="Standard 4 4 2 5 2 2 2 2 2" xfId="26024" xr:uid="{00000000-0005-0000-0000-000071660000}"/>
    <cellStyle name="Standard 4 4 2 5 2 2 2 2 3" xfId="26025" xr:uid="{00000000-0005-0000-0000-000072660000}"/>
    <cellStyle name="Standard 4 4 2 5 2 2 2 3" xfId="26026" xr:uid="{00000000-0005-0000-0000-000073660000}"/>
    <cellStyle name="Standard 4 4 2 5 2 2 2 3 2" xfId="26027" xr:uid="{00000000-0005-0000-0000-000074660000}"/>
    <cellStyle name="Standard 4 4 2 5 2 2 2 3 3" xfId="26028" xr:uid="{00000000-0005-0000-0000-000075660000}"/>
    <cellStyle name="Standard 4 4 2 5 2 2 2 4" xfId="26029" xr:uid="{00000000-0005-0000-0000-000076660000}"/>
    <cellStyle name="Standard 4 4 2 5 2 2 2 4 2" xfId="26030" xr:uid="{00000000-0005-0000-0000-000077660000}"/>
    <cellStyle name="Standard 4 4 2 5 2 2 2 5" xfId="26031" xr:uid="{00000000-0005-0000-0000-000078660000}"/>
    <cellStyle name="Standard 4 4 2 5 2 2 2 6" xfId="26032" xr:uid="{00000000-0005-0000-0000-000079660000}"/>
    <cellStyle name="Standard 4 4 2 5 2 2 3" xfId="26033" xr:uid="{00000000-0005-0000-0000-00007A660000}"/>
    <cellStyle name="Standard 4 4 2 5 2 2 3 2" xfId="26034" xr:uid="{00000000-0005-0000-0000-00007B660000}"/>
    <cellStyle name="Standard 4 4 2 5 2 2 3 3" xfId="26035" xr:uid="{00000000-0005-0000-0000-00007C660000}"/>
    <cellStyle name="Standard 4 4 2 5 2 2 4" xfId="26036" xr:uid="{00000000-0005-0000-0000-00007D660000}"/>
    <cellStyle name="Standard 4 4 2 5 2 2 4 2" xfId="26037" xr:uid="{00000000-0005-0000-0000-00007E660000}"/>
    <cellStyle name="Standard 4 4 2 5 2 2 4 3" xfId="26038" xr:uid="{00000000-0005-0000-0000-00007F660000}"/>
    <cellStyle name="Standard 4 4 2 5 2 2 5" xfId="26039" xr:uid="{00000000-0005-0000-0000-000080660000}"/>
    <cellStyle name="Standard 4 4 2 5 2 2 5 2" xfId="26040" xr:uid="{00000000-0005-0000-0000-000081660000}"/>
    <cellStyle name="Standard 4 4 2 5 2 2 6" xfId="26041" xr:uid="{00000000-0005-0000-0000-000082660000}"/>
    <cellStyle name="Standard 4 4 2 5 2 2 7" xfId="26042" xr:uid="{00000000-0005-0000-0000-000083660000}"/>
    <cellStyle name="Standard 4 4 2 5 2 3" xfId="26043" xr:uid="{00000000-0005-0000-0000-000084660000}"/>
    <cellStyle name="Standard 4 4 2 5 2 3 2" xfId="26044" xr:uid="{00000000-0005-0000-0000-000085660000}"/>
    <cellStyle name="Standard 4 4 2 5 2 3 2 2" xfId="26045" xr:uid="{00000000-0005-0000-0000-000086660000}"/>
    <cellStyle name="Standard 4 4 2 5 2 3 2 3" xfId="26046" xr:uid="{00000000-0005-0000-0000-000087660000}"/>
    <cellStyle name="Standard 4 4 2 5 2 3 3" xfId="26047" xr:uid="{00000000-0005-0000-0000-000088660000}"/>
    <cellStyle name="Standard 4 4 2 5 2 3 3 2" xfId="26048" xr:uid="{00000000-0005-0000-0000-000089660000}"/>
    <cellStyle name="Standard 4 4 2 5 2 3 3 3" xfId="26049" xr:uid="{00000000-0005-0000-0000-00008A660000}"/>
    <cellStyle name="Standard 4 4 2 5 2 3 4" xfId="26050" xr:uid="{00000000-0005-0000-0000-00008B660000}"/>
    <cellStyle name="Standard 4 4 2 5 2 3 4 2" xfId="26051" xr:uid="{00000000-0005-0000-0000-00008C660000}"/>
    <cellStyle name="Standard 4 4 2 5 2 3 5" xfId="26052" xr:uid="{00000000-0005-0000-0000-00008D660000}"/>
    <cellStyle name="Standard 4 4 2 5 2 3 6" xfId="26053" xr:uid="{00000000-0005-0000-0000-00008E660000}"/>
    <cellStyle name="Standard 4 4 2 5 2 4" xfId="26054" xr:uid="{00000000-0005-0000-0000-00008F660000}"/>
    <cellStyle name="Standard 4 4 2 5 2 4 2" xfId="26055" xr:uid="{00000000-0005-0000-0000-000090660000}"/>
    <cellStyle name="Standard 4 4 2 5 2 4 3" xfId="26056" xr:uid="{00000000-0005-0000-0000-000091660000}"/>
    <cellStyle name="Standard 4 4 2 5 2 5" xfId="26057" xr:uid="{00000000-0005-0000-0000-000092660000}"/>
    <cellStyle name="Standard 4 4 2 5 2 5 2" xfId="26058" xr:uid="{00000000-0005-0000-0000-000093660000}"/>
    <cellStyle name="Standard 4 4 2 5 2 5 3" xfId="26059" xr:uid="{00000000-0005-0000-0000-000094660000}"/>
    <cellStyle name="Standard 4 4 2 5 2 6" xfId="26060" xr:uid="{00000000-0005-0000-0000-000095660000}"/>
    <cellStyle name="Standard 4 4 2 5 2 6 2" xfId="26061" xr:uid="{00000000-0005-0000-0000-000096660000}"/>
    <cellStyle name="Standard 4 4 2 5 2 7" xfId="26062" xr:uid="{00000000-0005-0000-0000-000097660000}"/>
    <cellStyle name="Standard 4 4 2 5 2 8" xfId="26063" xr:uid="{00000000-0005-0000-0000-000098660000}"/>
    <cellStyle name="Standard 4 4 2 5 3" xfId="26064" xr:uid="{00000000-0005-0000-0000-000099660000}"/>
    <cellStyle name="Standard 4 4 2 5 3 2" xfId="26065" xr:uid="{00000000-0005-0000-0000-00009A660000}"/>
    <cellStyle name="Standard 4 4 2 5 3 2 2" xfId="26066" xr:uid="{00000000-0005-0000-0000-00009B660000}"/>
    <cellStyle name="Standard 4 4 2 5 3 2 2 2" xfId="26067" xr:uid="{00000000-0005-0000-0000-00009C660000}"/>
    <cellStyle name="Standard 4 4 2 5 3 2 2 2 2" xfId="26068" xr:uid="{00000000-0005-0000-0000-00009D660000}"/>
    <cellStyle name="Standard 4 4 2 5 3 2 2 2 3" xfId="26069" xr:uid="{00000000-0005-0000-0000-00009E660000}"/>
    <cellStyle name="Standard 4 4 2 5 3 2 2 3" xfId="26070" xr:uid="{00000000-0005-0000-0000-00009F660000}"/>
    <cellStyle name="Standard 4 4 2 5 3 2 2 3 2" xfId="26071" xr:uid="{00000000-0005-0000-0000-0000A0660000}"/>
    <cellStyle name="Standard 4 4 2 5 3 2 2 3 3" xfId="26072" xr:uid="{00000000-0005-0000-0000-0000A1660000}"/>
    <cellStyle name="Standard 4 4 2 5 3 2 2 4" xfId="26073" xr:uid="{00000000-0005-0000-0000-0000A2660000}"/>
    <cellStyle name="Standard 4 4 2 5 3 2 2 4 2" xfId="26074" xr:uid="{00000000-0005-0000-0000-0000A3660000}"/>
    <cellStyle name="Standard 4 4 2 5 3 2 2 5" xfId="26075" xr:uid="{00000000-0005-0000-0000-0000A4660000}"/>
    <cellStyle name="Standard 4 4 2 5 3 2 2 6" xfId="26076" xr:uid="{00000000-0005-0000-0000-0000A5660000}"/>
    <cellStyle name="Standard 4 4 2 5 3 2 3" xfId="26077" xr:uid="{00000000-0005-0000-0000-0000A6660000}"/>
    <cellStyle name="Standard 4 4 2 5 3 2 3 2" xfId="26078" xr:uid="{00000000-0005-0000-0000-0000A7660000}"/>
    <cellStyle name="Standard 4 4 2 5 3 2 3 3" xfId="26079" xr:uid="{00000000-0005-0000-0000-0000A8660000}"/>
    <cellStyle name="Standard 4 4 2 5 3 2 4" xfId="26080" xr:uid="{00000000-0005-0000-0000-0000A9660000}"/>
    <cellStyle name="Standard 4 4 2 5 3 2 4 2" xfId="26081" xr:uid="{00000000-0005-0000-0000-0000AA660000}"/>
    <cellStyle name="Standard 4 4 2 5 3 2 4 3" xfId="26082" xr:uid="{00000000-0005-0000-0000-0000AB660000}"/>
    <cellStyle name="Standard 4 4 2 5 3 2 5" xfId="26083" xr:uid="{00000000-0005-0000-0000-0000AC660000}"/>
    <cellStyle name="Standard 4 4 2 5 3 2 5 2" xfId="26084" xr:uid="{00000000-0005-0000-0000-0000AD660000}"/>
    <cellStyle name="Standard 4 4 2 5 3 2 6" xfId="26085" xr:uid="{00000000-0005-0000-0000-0000AE660000}"/>
    <cellStyle name="Standard 4 4 2 5 3 2 7" xfId="26086" xr:uid="{00000000-0005-0000-0000-0000AF660000}"/>
    <cellStyle name="Standard 4 4 2 5 3 3" xfId="26087" xr:uid="{00000000-0005-0000-0000-0000B0660000}"/>
    <cellStyle name="Standard 4 4 2 5 3 3 2" xfId="26088" xr:uid="{00000000-0005-0000-0000-0000B1660000}"/>
    <cellStyle name="Standard 4 4 2 5 3 3 2 2" xfId="26089" xr:uid="{00000000-0005-0000-0000-0000B2660000}"/>
    <cellStyle name="Standard 4 4 2 5 3 3 2 3" xfId="26090" xr:uid="{00000000-0005-0000-0000-0000B3660000}"/>
    <cellStyle name="Standard 4 4 2 5 3 3 3" xfId="26091" xr:uid="{00000000-0005-0000-0000-0000B4660000}"/>
    <cellStyle name="Standard 4 4 2 5 3 3 3 2" xfId="26092" xr:uid="{00000000-0005-0000-0000-0000B5660000}"/>
    <cellStyle name="Standard 4 4 2 5 3 3 3 3" xfId="26093" xr:uid="{00000000-0005-0000-0000-0000B6660000}"/>
    <cellStyle name="Standard 4 4 2 5 3 3 4" xfId="26094" xr:uid="{00000000-0005-0000-0000-0000B7660000}"/>
    <cellStyle name="Standard 4 4 2 5 3 3 4 2" xfId="26095" xr:uid="{00000000-0005-0000-0000-0000B8660000}"/>
    <cellStyle name="Standard 4 4 2 5 3 3 5" xfId="26096" xr:uid="{00000000-0005-0000-0000-0000B9660000}"/>
    <cellStyle name="Standard 4 4 2 5 3 3 6" xfId="26097" xr:uid="{00000000-0005-0000-0000-0000BA660000}"/>
    <cellStyle name="Standard 4 4 2 5 3 4" xfId="26098" xr:uid="{00000000-0005-0000-0000-0000BB660000}"/>
    <cellStyle name="Standard 4 4 2 5 3 4 2" xfId="26099" xr:uid="{00000000-0005-0000-0000-0000BC660000}"/>
    <cellStyle name="Standard 4 4 2 5 3 4 3" xfId="26100" xr:uid="{00000000-0005-0000-0000-0000BD660000}"/>
    <cellStyle name="Standard 4 4 2 5 3 5" xfId="26101" xr:uid="{00000000-0005-0000-0000-0000BE660000}"/>
    <cellStyle name="Standard 4 4 2 5 3 5 2" xfId="26102" xr:uid="{00000000-0005-0000-0000-0000BF660000}"/>
    <cellStyle name="Standard 4 4 2 5 3 5 3" xfId="26103" xr:uid="{00000000-0005-0000-0000-0000C0660000}"/>
    <cellStyle name="Standard 4 4 2 5 3 6" xfId="26104" xr:uid="{00000000-0005-0000-0000-0000C1660000}"/>
    <cellStyle name="Standard 4 4 2 5 3 6 2" xfId="26105" xr:uid="{00000000-0005-0000-0000-0000C2660000}"/>
    <cellStyle name="Standard 4 4 2 5 3 7" xfId="26106" xr:uid="{00000000-0005-0000-0000-0000C3660000}"/>
    <cellStyle name="Standard 4 4 2 5 3 8" xfId="26107" xr:uid="{00000000-0005-0000-0000-0000C4660000}"/>
    <cellStyle name="Standard 4 4 2 5 4" xfId="26108" xr:uid="{00000000-0005-0000-0000-0000C5660000}"/>
    <cellStyle name="Standard 4 4 2 5 4 2" xfId="26109" xr:uid="{00000000-0005-0000-0000-0000C6660000}"/>
    <cellStyle name="Standard 4 4 2 5 4 2 2" xfId="26110" xr:uid="{00000000-0005-0000-0000-0000C7660000}"/>
    <cellStyle name="Standard 4 4 2 5 4 2 2 2" xfId="26111" xr:uid="{00000000-0005-0000-0000-0000C8660000}"/>
    <cellStyle name="Standard 4 4 2 5 4 2 2 3" xfId="26112" xr:uid="{00000000-0005-0000-0000-0000C9660000}"/>
    <cellStyle name="Standard 4 4 2 5 4 2 3" xfId="26113" xr:uid="{00000000-0005-0000-0000-0000CA660000}"/>
    <cellStyle name="Standard 4 4 2 5 4 2 3 2" xfId="26114" xr:uid="{00000000-0005-0000-0000-0000CB660000}"/>
    <cellStyle name="Standard 4 4 2 5 4 2 3 3" xfId="26115" xr:uid="{00000000-0005-0000-0000-0000CC660000}"/>
    <cellStyle name="Standard 4 4 2 5 4 2 4" xfId="26116" xr:uid="{00000000-0005-0000-0000-0000CD660000}"/>
    <cellStyle name="Standard 4 4 2 5 4 2 4 2" xfId="26117" xr:uid="{00000000-0005-0000-0000-0000CE660000}"/>
    <cellStyle name="Standard 4 4 2 5 4 2 5" xfId="26118" xr:uid="{00000000-0005-0000-0000-0000CF660000}"/>
    <cellStyle name="Standard 4 4 2 5 4 2 6" xfId="26119" xr:uid="{00000000-0005-0000-0000-0000D0660000}"/>
    <cellStyle name="Standard 4 4 2 5 4 3" xfId="26120" xr:uid="{00000000-0005-0000-0000-0000D1660000}"/>
    <cellStyle name="Standard 4 4 2 5 4 3 2" xfId="26121" xr:uid="{00000000-0005-0000-0000-0000D2660000}"/>
    <cellStyle name="Standard 4 4 2 5 4 3 3" xfId="26122" xr:uid="{00000000-0005-0000-0000-0000D3660000}"/>
    <cellStyle name="Standard 4 4 2 5 4 4" xfId="26123" xr:uid="{00000000-0005-0000-0000-0000D4660000}"/>
    <cellStyle name="Standard 4 4 2 5 4 4 2" xfId="26124" xr:uid="{00000000-0005-0000-0000-0000D5660000}"/>
    <cellStyle name="Standard 4 4 2 5 4 4 3" xfId="26125" xr:uid="{00000000-0005-0000-0000-0000D6660000}"/>
    <cellStyle name="Standard 4 4 2 5 4 5" xfId="26126" xr:uid="{00000000-0005-0000-0000-0000D7660000}"/>
    <cellStyle name="Standard 4 4 2 5 4 5 2" xfId="26127" xr:uid="{00000000-0005-0000-0000-0000D8660000}"/>
    <cellStyle name="Standard 4 4 2 5 4 6" xfId="26128" xr:uid="{00000000-0005-0000-0000-0000D9660000}"/>
    <cellStyle name="Standard 4 4 2 5 4 7" xfId="26129" xr:uid="{00000000-0005-0000-0000-0000DA660000}"/>
    <cellStyle name="Standard 4 4 2 5 5" xfId="26130" xr:uid="{00000000-0005-0000-0000-0000DB660000}"/>
    <cellStyle name="Standard 4 4 2 5 5 2" xfId="26131" xr:uid="{00000000-0005-0000-0000-0000DC660000}"/>
    <cellStyle name="Standard 4 4 2 5 5 2 2" xfId="26132" xr:uid="{00000000-0005-0000-0000-0000DD660000}"/>
    <cellStyle name="Standard 4 4 2 5 5 2 3" xfId="26133" xr:uid="{00000000-0005-0000-0000-0000DE660000}"/>
    <cellStyle name="Standard 4 4 2 5 5 3" xfId="26134" xr:uid="{00000000-0005-0000-0000-0000DF660000}"/>
    <cellStyle name="Standard 4 4 2 5 5 3 2" xfId="26135" xr:uid="{00000000-0005-0000-0000-0000E0660000}"/>
    <cellStyle name="Standard 4 4 2 5 5 3 3" xfId="26136" xr:uid="{00000000-0005-0000-0000-0000E1660000}"/>
    <cellStyle name="Standard 4 4 2 5 5 4" xfId="26137" xr:uid="{00000000-0005-0000-0000-0000E2660000}"/>
    <cellStyle name="Standard 4 4 2 5 5 4 2" xfId="26138" xr:uid="{00000000-0005-0000-0000-0000E3660000}"/>
    <cellStyle name="Standard 4 4 2 5 5 5" xfId="26139" xr:uid="{00000000-0005-0000-0000-0000E4660000}"/>
    <cellStyle name="Standard 4 4 2 5 5 6" xfId="26140" xr:uid="{00000000-0005-0000-0000-0000E5660000}"/>
    <cellStyle name="Standard 4 4 2 5 6" xfId="26141" xr:uid="{00000000-0005-0000-0000-0000E6660000}"/>
    <cellStyle name="Standard 4 4 2 5 6 2" xfId="26142" xr:uid="{00000000-0005-0000-0000-0000E7660000}"/>
    <cellStyle name="Standard 4 4 2 5 6 3" xfId="26143" xr:uid="{00000000-0005-0000-0000-0000E8660000}"/>
    <cellStyle name="Standard 4 4 2 5 7" xfId="26144" xr:uid="{00000000-0005-0000-0000-0000E9660000}"/>
    <cellStyle name="Standard 4 4 2 5 7 2" xfId="26145" xr:uid="{00000000-0005-0000-0000-0000EA660000}"/>
    <cellStyle name="Standard 4 4 2 5 7 3" xfId="26146" xr:uid="{00000000-0005-0000-0000-0000EB660000}"/>
    <cellStyle name="Standard 4 4 2 5 8" xfId="26147" xr:uid="{00000000-0005-0000-0000-0000EC660000}"/>
    <cellStyle name="Standard 4 4 2 5 8 2" xfId="26148" xr:uid="{00000000-0005-0000-0000-0000ED660000}"/>
    <cellStyle name="Standard 4 4 2 5 9" xfId="26149" xr:uid="{00000000-0005-0000-0000-0000EE660000}"/>
    <cellStyle name="Standard 4 4 2 6" xfId="26150" xr:uid="{00000000-0005-0000-0000-0000EF660000}"/>
    <cellStyle name="Standard 4 4 2 6 2" xfId="26151" xr:uid="{00000000-0005-0000-0000-0000F0660000}"/>
    <cellStyle name="Standard 4 4 2 6 2 2" xfId="26152" xr:uid="{00000000-0005-0000-0000-0000F1660000}"/>
    <cellStyle name="Standard 4 4 2 6 2 2 2" xfId="26153" xr:uid="{00000000-0005-0000-0000-0000F2660000}"/>
    <cellStyle name="Standard 4 4 2 6 2 2 2 2" xfId="26154" xr:uid="{00000000-0005-0000-0000-0000F3660000}"/>
    <cellStyle name="Standard 4 4 2 6 2 2 2 3" xfId="26155" xr:uid="{00000000-0005-0000-0000-0000F4660000}"/>
    <cellStyle name="Standard 4 4 2 6 2 2 3" xfId="26156" xr:uid="{00000000-0005-0000-0000-0000F5660000}"/>
    <cellStyle name="Standard 4 4 2 6 2 2 3 2" xfId="26157" xr:uid="{00000000-0005-0000-0000-0000F6660000}"/>
    <cellStyle name="Standard 4 4 2 6 2 2 3 3" xfId="26158" xr:uid="{00000000-0005-0000-0000-0000F7660000}"/>
    <cellStyle name="Standard 4 4 2 6 2 2 4" xfId="26159" xr:uid="{00000000-0005-0000-0000-0000F8660000}"/>
    <cellStyle name="Standard 4 4 2 6 2 2 4 2" xfId="26160" xr:uid="{00000000-0005-0000-0000-0000F9660000}"/>
    <cellStyle name="Standard 4 4 2 6 2 2 5" xfId="26161" xr:uid="{00000000-0005-0000-0000-0000FA660000}"/>
    <cellStyle name="Standard 4 4 2 6 2 2 6" xfId="26162" xr:uid="{00000000-0005-0000-0000-0000FB660000}"/>
    <cellStyle name="Standard 4 4 2 6 2 3" xfId="26163" xr:uid="{00000000-0005-0000-0000-0000FC660000}"/>
    <cellStyle name="Standard 4 4 2 6 2 3 2" xfId="26164" xr:uid="{00000000-0005-0000-0000-0000FD660000}"/>
    <cellStyle name="Standard 4 4 2 6 2 3 3" xfId="26165" xr:uid="{00000000-0005-0000-0000-0000FE660000}"/>
    <cellStyle name="Standard 4 4 2 6 2 4" xfId="26166" xr:uid="{00000000-0005-0000-0000-0000FF660000}"/>
    <cellStyle name="Standard 4 4 2 6 2 4 2" xfId="26167" xr:uid="{00000000-0005-0000-0000-000000670000}"/>
    <cellStyle name="Standard 4 4 2 6 2 4 3" xfId="26168" xr:uid="{00000000-0005-0000-0000-000001670000}"/>
    <cellStyle name="Standard 4 4 2 6 2 5" xfId="26169" xr:uid="{00000000-0005-0000-0000-000002670000}"/>
    <cellStyle name="Standard 4 4 2 6 2 5 2" xfId="26170" xr:uid="{00000000-0005-0000-0000-000003670000}"/>
    <cellStyle name="Standard 4 4 2 6 2 6" xfId="26171" xr:uid="{00000000-0005-0000-0000-000004670000}"/>
    <cellStyle name="Standard 4 4 2 6 2 7" xfId="26172" xr:uid="{00000000-0005-0000-0000-000005670000}"/>
    <cellStyle name="Standard 4 4 2 6 3" xfId="26173" xr:uid="{00000000-0005-0000-0000-000006670000}"/>
    <cellStyle name="Standard 4 4 2 6 3 2" xfId="26174" xr:uid="{00000000-0005-0000-0000-000007670000}"/>
    <cellStyle name="Standard 4 4 2 6 3 2 2" xfId="26175" xr:uid="{00000000-0005-0000-0000-000008670000}"/>
    <cellStyle name="Standard 4 4 2 6 3 2 3" xfId="26176" xr:uid="{00000000-0005-0000-0000-000009670000}"/>
    <cellStyle name="Standard 4 4 2 6 3 3" xfId="26177" xr:uid="{00000000-0005-0000-0000-00000A670000}"/>
    <cellStyle name="Standard 4 4 2 6 3 3 2" xfId="26178" xr:uid="{00000000-0005-0000-0000-00000B670000}"/>
    <cellStyle name="Standard 4 4 2 6 3 3 3" xfId="26179" xr:uid="{00000000-0005-0000-0000-00000C670000}"/>
    <cellStyle name="Standard 4 4 2 6 3 4" xfId="26180" xr:uid="{00000000-0005-0000-0000-00000D670000}"/>
    <cellStyle name="Standard 4 4 2 6 3 4 2" xfId="26181" xr:uid="{00000000-0005-0000-0000-00000E670000}"/>
    <cellStyle name="Standard 4 4 2 6 3 5" xfId="26182" xr:uid="{00000000-0005-0000-0000-00000F670000}"/>
    <cellStyle name="Standard 4 4 2 6 3 6" xfId="26183" xr:uid="{00000000-0005-0000-0000-000010670000}"/>
    <cellStyle name="Standard 4 4 2 6 4" xfId="26184" xr:uid="{00000000-0005-0000-0000-000011670000}"/>
    <cellStyle name="Standard 4 4 2 6 4 2" xfId="26185" xr:uid="{00000000-0005-0000-0000-000012670000}"/>
    <cellStyle name="Standard 4 4 2 6 4 3" xfId="26186" xr:uid="{00000000-0005-0000-0000-000013670000}"/>
    <cellStyle name="Standard 4 4 2 6 5" xfId="26187" xr:uid="{00000000-0005-0000-0000-000014670000}"/>
    <cellStyle name="Standard 4 4 2 6 5 2" xfId="26188" xr:uid="{00000000-0005-0000-0000-000015670000}"/>
    <cellStyle name="Standard 4 4 2 6 5 3" xfId="26189" xr:uid="{00000000-0005-0000-0000-000016670000}"/>
    <cellStyle name="Standard 4 4 2 6 6" xfId="26190" xr:uid="{00000000-0005-0000-0000-000017670000}"/>
    <cellStyle name="Standard 4 4 2 6 6 2" xfId="26191" xr:uid="{00000000-0005-0000-0000-000018670000}"/>
    <cellStyle name="Standard 4 4 2 6 7" xfId="26192" xr:uid="{00000000-0005-0000-0000-000019670000}"/>
    <cellStyle name="Standard 4 4 2 6 8" xfId="26193" xr:uid="{00000000-0005-0000-0000-00001A670000}"/>
    <cellStyle name="Standard 4 4 2 7" xfId="26194" xr:uid="{00000000-0005-0000-0000-00001B670000}"/>
    <cellStyle name="Standard 4 4 2 7 2" xfId="26195" xr:uid="{00000000-0005-0000-0000-00001C670000}"/>
    <cellStyle name="Standard 4 4 2 7 2 2" xfId="26196" xr:uid="{00000000-0005-0000-0000-00001D670000}"/>
    <cellStyle name="Standard 4 4 2 7 2 2 2" xfId="26197" xr:uid="{00000000-0005-0000-0000-00001E670000}"/>
    <cellStyle name="Standard 4 4 2 7 2 2 2 2" xfId="26198" xr:uid="{00000000-0005-0000-0000-00001F670000}"/>
    <cellStyle name="Standard 4 4 2 7 2 2 2 3" xfId="26199" xr:uid="{00000000-0005-0000-0000-000020670000}"/>
    <cellStyle name="Standard 4 4 2 7 2 2 3" xfId="26200" xr:uid="{00000000-0005-0000-0000-000021670000}"/>
    <cellStyle name="Standard 4 4 2 7 2 2 3 2" xfId="26201" xr:uid="{00000000-0005-0000-0000-000022670000}"/>
    <cellStyle name="Standard 4 4 2 7 2 2 3 3" xfId="26202" xr:uid="{00000000-0005-0000-0000-000023670000}"/>
    <cellStyle name="Standard 4 4 2 7 2 2 4" xfId="26203" xr:uid="{00000000-0005-0000-0000-000024670000}"/>
    <cellStyle name="Standard 4 4 2 7 2 2 4 2" xfId="26204" xr:uid="{00000000-0005-0000-0000-000025670000}"/>
    <cellStyle name="Standard 4 4 2 7 2 2 5" xfId="26205" xr:uid="{00000000-0005-0000-0000-000026670000}"/>
    <cellStyle name="Standard 4 4 2 7 2 2 6" xfId="26206" xr:uid="{00000000-0005-0000-0000-000027670000}"/>
    <cellStyle name="Standard 4 4 2 7 2 3" xfId="26207" xr:uid="{00000000-0005-0000-0000-000028670000}"/>
    <cellStyle name="Standard 4 4 2 7 2 3 2" xfId="26208" xr:uid="{00000000-0005-0000-0000-000029670000}"/>
    <cellStyle name="Standard 4 4 2 7 2 3 3" xfId="26209" xr:uid="{00000000-0005-0000-0000-00002A670000}"/>
    <cellStyle name="Standard 4 4 2 7 2 4" xfId="26210" xr:uid="{00000000-0005-0000-0000-00002B670000}"/>
    <cellStyle name="Standard 4 4 2 7 2 4 2" xfId="26211" xr:uid="{00000000-0005-0000-0000-00002C670000}"/>
    <cellStyle name="Standard 4 4 2 7 2 4 3" xfId="26212" xr:uid="{00000000-0005-0000-0000-00002D670000}"/>
    <cellStyle name="Standard 4 4 2 7 2 5" xfId="26213" xr:uid="{00000000-0005-0000-0000-00002E670000}"/>
    <cellStyle name="Standard 4 4 2 7 2 5 2" xfId="26214" xr:uid="{00000000-0005-0000-0000-00002F670000}"/>
    <cellStyle name="Standard 4 4 2 7 2 6" xfId="26215" xr:uid="{00000000-0005-0000-0000-000030670000}"/>
    <cellStyle name="Standard 4 4 2 7 2 7" xfId="26216" xr:uid="{00000000-0005-0000-0000-000031670000}"/>
    <cellStyle name="Standard 4 4 2 7 3" xfId="26217" xr:uid="{00000000-0005-0000-0000-000032670000}"/>
    <cellStyle name="Standard 4 4 2 7 3 2" xfId="26218" xr:uid="{00000000-0005-0000-0000-000033670000}"/>
    <cellStyle name="Standard 4 4 2 7 3 2 2" xfId="26219" xr:uid="{00000000-0005-0000-0000-000034670000}"/>
    <cellStyle name="Standard 4 4 2 7 3 2 3" xfId="26220" xr:uid="{00000000-0005-0000-0000-000035670000}"/>
    <cellStyle name="Standard 4 4 2 7 3 3" xfId="26221" xr:uid="{00000000-0005-0000-0000-000036670000}"/>
    <cellStyle name="Standard 4 4 2 7 3 3 2" xfId="26222" xr:uid="{00000000-0005-0000-0000-000037670000}"/>
    <cellStyle name="Standard 4 4 2 7 3 3 3" xfId="26223" xr:uid="{00000000-0005-0000-0000-000038670000}"/>
    <cellStyle name="Standard 4 4 2 7 3 4" xfId="26224" xr:uid="{00000000-0005-0000-0000-000039670000}"/>
    <cellStyle name="Standard 4 4 2 7 3 4 2" xfId="26225" xr:uid="{00000000-0005-0000-0000-00003A670000}"/>
    <cellStyle name="Standard 4 4 2 7 3 5" xfId="26226" xr:uid="{00000000-0005-0000-0000-00003B670000}"/>
    <cellStyle name="Standard 4 4 2 7 3 6" xfId="26227" xr:uid="{00000000-0005-0000-0000-00003C670000}"/>
    <cellStyle name="Standard 4 4 2 7 4" xfId="26228" xr:uid="{00000000-0005-0000-0000-00003D670000}"/>
    <cellStyle name="Standard 4 4 2 7 4 2" xfId="26229" xr:uid="{00000000-0005-0000-0000-00003E670000}"/>
    <cellStyle name="Standard 4 4 2 7 4 3" xfId="26230" xr:uid="{00000000-0005-0000-0000-00003F670000}"/>
    <cellStyle name="Standard 4 4 2 7 5" xfId="26231" xr:uid="{00000000-0005-0000-0000-000040670000}"/>
    <cellStyle name="Standard 4 4 2 7 5 2" xfId="26232" xr:uid="{00000000-0005-0000-0000-000041670000}"/>
    <cellStyle name="Standard 4 4 2 7 5 3" xfId="26233" xr:uid="{00000000-0005-0000-0000-000042670000}"/>
    <cellStyle name="Standard 4 4 2 7 6" xfId="26234" xr:uid="{00000000-0005-0000-0000-000043670000}"/>
    <cellStyle name="Standard 4 4 2 7 6 2" xfId="26235" xr:uid="{00000000-0005-0000-0000-000044670000}"/>
    <cellStyle name="Standard 4 4 2 7 7" xfId="26236" xr:uid="{00000000-0005-0000-0000-000045670000}"/>
    <cellStyle name="Standard 4 4 2 7 8" xfId="26237" xr:uid="{00000000-0005-0000-0000-000046670000}"/>
    <cellStyle name="Standard 4 4 2 8" xfId="26238" xr:uid="{00000000-0005-0000-0000-000047670000}"/>
    <cellStyle name="Standard 4 4 2 8 2" xfId="26239" xr:uid="{00000000-0005-0000-0000-000048670000}"/>
    <cellStyle name="Standard 4 4 2 8 2 2" xfId="26240" xr:uid="{00000000-0005-0000-0000-000049670000}"/>
    <cellStyle name="Standard 4 4 2 8 2 2 2" xfId="26241" xr:uid="{00000000-0005-0000-0000-00004A670000}"/>
    <cellStyle name="Standard 4 4 2 8 2 2 3" xfId="26242" xr:uid="{00000000-0005-0000-0000-00004B670000}"/>
    <cellStyle name="Standard 4 4 2 8 2 3" xfId="26243" xr:uid="{00000000-0005-0000-0000-00004C670000}"/>
    <cellStyle name="Standard 4 4 2 8 2 3 2" xfId="26244" xr:uid="{00000000-0005-0000-0000-00004D670000}"/>
    <cellStyle name="Standard 4 4 2 8 2 3 3" xfId="26245" xr:uid="{00000000-0005-0000-0000-00004E670000}"/>
    <cellStyle name="Standard 4 4 2 8 2 4" xfId="26246" xr:uid="{00000000-0005-0000-0000-00004F670000}"/>
    <cellStyle name="Standard 4 4 2 8 2 4 2" xfId="26247" xr:uid="{00000000-0005-0000-0000-000050670000}"/>
    <cellStyle name="Standard 4 4 2 8 2 5" xfId="26248" xr:uid="{00000000-0005-0000-0000-000051670000}"/>
    <cellStyle name="Standard 4 4 2 8 2 6" xfId="26249" xr:uid="{00000000-0005-0000-0000-000052670000}"/>
    <cellStyle name="Standard 4 4 2 8 3" xfId="26250" xr:uid="{00000000-0005-0000-0000-000053670000}"/>
    <cellStyle name="Standard 4 4 2 8 3 2" xfId="26251" xr:uid="{00000000-0005-0000-0000-000054670000}"/>
    <cellStyle name="Standard 4 4 2 8 3 3" xfId="26252" xr:uid="{00000000-0005-0000-0000-000055670000}"/>
    <cellStyle name="Standard 4 4 2 8 4" xfId="26253" xr:uid="{00000000-0005-0000-0000-000056670000}"/>
    <cellStyle name="Standard 4 4 2 8 4 2" xfId="26254" xr:uid="{00000000-0005-0000-0000-000057670000}"/>
    <cellStyle name="Standard 4 4 2 8 4 3" xfId="26255" xr:uid="{00000000-0005-0000-0000-000058670000}"/>
    <cellStyle name="Standard 4 4 2 8 5" xfId="26256" xr:uid="{00000000-0005-0000-0000-000059670000}"/>
    <cellStyle name="Standard 4 4 2 8 5 2" xfId="26257" xr:uid="{00000000-0005-0000-0000-00005A670000}"/>
    <cellStyle name="Standard 4 4 2 8 6" xfId="26258" xr:uid="{00000000-0005-0000-0000-00005B670000}"/>
    <cellStyle name="Standard 4 4 2 8 7" xfId="26259" xr:uid="{00000000-0005-0000-0000-00005C670000}"/>
    <cellStyle name="Standard 4 4 2 9" xfId="26260" xr:uid="{00000000-0005-0000-0000-00005D670000}"/>
    <cellStyle name="Standard 4 4 2 9 2" xfId="26261" xr:uid="{00000000-0005-0000-0000-00005E670000}"/>
    <cellStyle name="Standard 4 4 2 9 2 2" xfId="26262" xr:uid="{00000000-0005-0000-0000-00005F670000}"/>
    <cellStyle name="Standard 4 4 2 9 2 3" xfId="26263" xr:uid="{00000000-0005-0000-0000-000060670000}"/>
    <cellStyle name="Standard 4 4 2 9 3" xfId="26264" xr:uid="{00000000-0005-0000-0000-000061670000}"/>
    <cellStyle name="Standard 4 4 2 9 3 2" xfId="26265" xr:uid="{00000000-0005-0000-0000-000062670000}"/>
    <cellStyle name="Standard 4 4 2 9 3 3" xfId="26266" xr:uid="{00000000-0005-0000-0000-000063670000}"/>
    <cellStyle name="Standard 4 4 2 9 4" xfId="26267" xr:uid="{00000000-0005-0000-0000-000064670000}"/>
    <cellStyle name="Standard 4 4 2 9 4 2" xfId="26268" xr:uid="{00000000-0005-0000-0000-000065670000}"/>
    <cellStyle name="Standard 4 4 2 9 5" xfId="26269" xr:uid="{00000000-0005-0000-0000-000066670000}"/>
    <cellStyle name="Standard 4 4 2 9 6" xfId="26270" xr:uid="{00000000-0005-0000-0000-000067670000}"/>
    <cellStyle name="Standard 4 4 3" xfId="26271" xr:uid="{00000000-0005-0000-0000-000068670000}"/>
    <cellStyle name="Standard 4 4 3 10" xfId="26272" xr:uid="{00000000-0005-0000-0000-000069670000}"/>
    <cellStyle name="Standard 4 4 3 10 2" xfId="26273" xr:uid="{00000000-0005-0000-0000-00006A670000}"/>
    <cellStyle name="Standard 4 4 3 10 3" xfId="26274" xr:uid="{00000000-0005-0000-0000-00006B670000}"/>
    <cellStyle name="Standard 4 4 3 11" xfId="26275" xr:uid="{00000000-0005-0000-0000-00006C670000}"/>
    <cellStyle name="Standard 4 4 3 11 2" xfId="26276" xr:uid="{00000000-0005-0000-0000-00006D670000}"/>
    <cellStyle name="Standard 4 4 3 12" xfId="26277" xr:uid="{00000000-0005-0000-0000-00006E670000}"/>
    <cellStyle name="Standard 4 4 3 13" xfId="26278" xr:uid="{00000000-0005-0000-0000-00006F670000}"/>
    <cellStyle name="Standard 4 4 3 14" xfId="33469" xr:uid="{00000000-0005-0000-0000-000070670000}"/>
    <cellStyle name="Standard 4 4 3 2" xfId="26279" xr:uid="{00000000-0005-0000-0000-000071670000}"/>
    <cellStyle name="Standard 4 4 3 2 10" xfId="26280" xr:uid="{00000000-0005-0000-0000-000072670000}"/>
    <cellStyle name="Standard 4 4 3 2 11" xfId="26281" xr:uid="{00000000-0005-0000-0000-000073670000}"/>
    <cellStyle name="Standard 4 4 3 2 2" xfId="26282" xr:uid="{00000000-0005-0000-0000-000074670000}"/>
    <cellStyle name="Standard 4 4 3 2 2 10" xfId="26283" xr:uid="{00000000-0005-0000-0000-000075670000}"/>
    <cellStyle name="Standard 4 4 3 2 2 2" xfId="26284" xr:uid="{00000000-0005-0000-0000-000076670000}"/>
    <cellStyle name="Standard 4 4 3 2 2 2 2" xfId="26285" xr:uid="{00000000-0005-0000-0000-000077670000}"/>
    <cellStyle name="Standard 4 4 3 2 2 2 2 2" xfId="26286" xr:uid="{00000000-0005-0000-0000-000078670000}"/>
    <cellStyle name="Standard 4 4 3 2 2 2 2 2 2" xfId="26287" xr:uid="{00000000-0005-0000-0000-000079670000}"/>
    <cellStyle name="Standard 4 4 3 2 2 2 2 2 2 2" xfId="26288" xr:uid="{00000000-0005-0000-0000-00007A670000}"/>
    <cellStyle name="Standard 4 4 3 2 2 2 2 2 2 3" xfId="26289" xr:uid="{00000000-0005-0000-0000-00007B670000}"/>
    <cellStyle name="Standard 4 4 3 2 2 2 2 2 3" xfId="26290" xr:uid="{00000000-0005-0000-0000-00007C670000}"/>
    <cellStyle name="Standard 4 4 3 2 2 2 2 2 3 2" xfId="26291" xr:uid="{00000000-0005-0000-0000-00007D670000}"/>
    <cellStyle name="Standard 4 4 3 2 2 2 2 2 3 3" xfId="26292" xr:uid="{00000000-0005-0000-0000-00007E670000}"/>
    <cellStyle name="Standard 4 4 3 2 2 2 2 2 4" xfId="26293" xr:uid="{00000000-0005-0000-0000-00007F670000}"/>
    <cellStyle name="Standard 4 4 3 2 2 2 2 2 4 2" xfId="26294" xr:uid="{00000000-0005-0000-0000-000080670000}"/>
    <cellStyle name="Standard 4 4 3 2 2 2 2 2 5" xfId="26295" xr:uid="{00000000-0005-0000-0000-000081670000}"/>
    <cellStyle name="Standard 4 4 3 2 2 2 2 2 6" xfId="26296" xr:uid="{00000000-0005-0000-0000-000082670000}"/>
    <cellStyle name="Standard 4 4 3 2 2 2 2 3" xfId="26297" xr:uid="{00000000-0005-0000-0000-000083670000}"/>
    <cellStyle name="Standard 4 4 3 2 2 2 2 3 2" xfId="26298" xr:uid="{00000000-0005-0000-0000-000084670000}"/>
    <cellStyle name="Standard 4 4 3 2 2 2 2 3 3" xfId="26299" xr:uid="{00000000-0005-0000-0000-000085670000}"/>
    <cellStyle name="Standard 4 4 3 2 2 2 2 4" xfId="26300" xr:uid="{00000000-0005-0000-0000-000086670000}"/>
    <cellStyle name="Standard 4 4 3 2 2 2 2 4 2" xfId="26301" xr:uid="{00000000-0005-0000-0000-000087670000}"/>
    <cellStyle name="Standard 4 4 3 2 2 2 2 4 3" xfId="26302" xr:uid="{00000000-0005-0000-0000-000088670000}"/>
    <cellStyle name="Standard 4 4 3 2 2 2 2 5" xfId="26303" xr:uid="{00000000-0005-0000-0000-000089670000}"/>
    <cellStyle name="Standard 4 4 3 2 2 2 2 5 2" xfId="26304" xr:uid="{00000000-0005-0000-0000-00008A670000}"/>
    <cellStyle name="Standard 4 4 3 2 2 2 2 6" xfId="26305" xr:uid="{00000000-0005-0000-0000-00008B670000}"/>
    <cellStyle name="Standard 4 4 3 2 2 2 2 7" xfId="26306" xr:uid="{00000000-0005-0000-0000-00008C670000}"/>
    <cellStyle name="Standard 4 4 3 2 2 2 3" xfId="26307" xr:uid="{00000000-0005-0000-0000-00008D670000}"/>
    <cellStyle name="Standard 4 4 3 2 2 2 3 2" xfId="26308" xr:uid="{00000000-0005-0000-0000-00008E670000}"/>
    <cellStyle name="Standard 4 4 3 2 2 2 3 2 2" xfId="26309" xr:uid="{00000000-0005-0000-0000-00008F670000}"/>
    <cellStyle name="Standard 4 4 3 2 2 2 3 2 3" xfId="26310" xr:uid="{00000000-0005-0000-0000-000090670000}"/>
    <cellStyle name="Standard 4 4 3 2 2 2 3 3" xfId="26311" xr:uid="{00000000-0005-0000-0000-000091670000}"/>
    <cellStyle name="Standard 4 4 3 2 2 2 3 3 2" xfId="26312" xr:uid="{00000000-0005-0000-0000-000092670000}"/>
    <cellStyle name="Standard 4 4 3 2 2 2 3 3 3" xfId="26313" xr:uid="{00000000-0005-0000-0000-000093670000}"/>
    <cellStyle name="Standard 4 4 3 2 2 2 3 4" xfId="26314" xr:uid="{00000000-0005-0000-0000-000094670000}"/>
    <cellStyle name="Standard 4 4 3 2 2 2 3 4 2" xfId="26315" xr:uid="{00000000-0005-0000-0000-000095670000}"/>
    <cellStyle name="Standard 4 4 3 2 2 2 3 5" xfId="26316" xr:uid="{00000000-0005-0000-0000-000096670000}"/>
    <cellStyle name="Standard 4 4 3 2 2 2 3 6" xfId="26317" xr:uid="{00000000-0005-0000-0000-000097670000}"/>
    <cellStyle name="Standard 4 4 3 2 2 2 4" xfId="26318" xr:uid="{00000000-0005-0000-0000-000098670000}"/>
    <cellStyle name="Standard 4 4 3 2 2 2 4 2" xfId="26319" xr:uid="{00000000-0005-0000-0000-000099670000}"/>
    <cellStyle name="Standard 4 4 3 2 2 2 4 3" xfId="26320" xr:uid="{00000000-0005-0000-0000-00009A670000}"/>
    <cellStyle name="Standard 4 4 3 2 2 2 5" xfId="26321" xr:uid="{00000000-0005-0000-0000-00009B670000}"/>
    <cellStyle name="Standard 4 4 3 2 2 2 5 2" xfId="26322" xr:uid="{00000000-0005-0000-0000-00009C670000}"/>
    <cellStyle name="Standard 4 4 3 2 2 2 5 3" xfId="26323" xr:uid="{00000000-0005-0000-0000-00009D670000}"/>
    <cellStyle name="Standard 4 4 3 2 2 2 6" xfId="26324" xr:uid="{00000000-0005-0000-0000-00009E670000}"/>
    <cellStyle name="Standard 4 4 3 2 2 2 6 2" xfId="26325" xr:uid="{00000000-0005-0000-0000-00009F670000}"/>
    <cellStyle name="Standard 4 4 3 2 2 2 7" xfId="26326" xr:uid="{00000000-0005-0000-0000-0000A0670000}"/>
    <cellStyle name="Standard 4 4 3 2 2 2 8" xfId="26327" xr:uid="{00000000-0005-0000-0000-0000A1670000}"/>
    <cellStyle name="Standard 4 4 3 2 2 3" xfId="26328" xr:uid="{00000000-0005-0000-0000-0000A2670000}"/>
    <cellStyle name="Standard 4 4 3 2 2 3 2" xfId="26329" xr:uid="{00000000-0005-0000-0000-0000A3670000}"/>
    <cellStyle name="Standard 4 4 3 2 2 3 2 2" xfId="26330" xr:uid="{00000000-0005-0000-0000-0000A4670000}"/>
    <cellStyle name="Standard 4 4 3 2 2 3 2 2 2" xfId="26331" xr:uid="{00000000-0005-0000-0000-0000A5670000}"/>
    <cellStyle name="Standard 4 4 3 2 2 3 2 2 2 2" xfId="26332" xr:uid="{00000000-0005-0000-0000-0000A6670000}"/>
    <cellStyle name="Standard 4 4 3 2 2 3 2 2 2 3" xfId="26333" xr:uid="{00000000-0005-0000-0000-0000A7670000}"/>
    <cellStyle name="Standard 4 4 3 2 2 3 2 2 3" xfId="26334" xr:uid="{00000000-0005-0000-0000-0000A8670000}"/>
    <cellStyle name="Standard 4 4 3 2 2 3 2 2 3 2" xfId="26335" xr:uid="{00000000-0005-0000-0000-0000A9670000}"/>
    <cellStyle name="Standard 4 4 3 2 2 3 2 2 3 3" xfId="26336" xr:uid="{00000000-0005-0000-0000-0000AA670000}"/>
    <cellStyle name="Standard 4 4 3 2 2 3 2 2 4" xfId="26337" xr:uid="{00000000-0005-0000-0000-0000AB670000}"/>
    <cellStyle name="Standard 4 4 3 2 2 3 2 2 4 2" xfId="26338" xr:uid="{00000000-0005-0000-0000-0000AC670000}"/>
    <cellStyle name="Standard 4 4 3 2 2 3 2 2 5" xfId="26339" xr:uid="{00000000-0005-0000-0000-0000AD670000}"/>
    <cellStyle name="Standard 4 4 3 2 2 3 2 2 6" xfId="26340" xr:uid="{00000000-0005-0000-0000-0000AE670000}"/>
    <cellStyle name="Standard 4 4 3 2 2 3 2 3" xfId="26341" xr:uid="{00000000-0005-0000-0000-0000AF670000}"/>
    <cellStyle name="Standard 4 4 3 2 2 3 2 3 2" xfId="26342" xr:uid="{00000000-0005-0000-0000-0000B0670000}"/>
    <cellStyle name="Standard 4 4 3 2 2 3 2 3 3" xfId="26343" xr:uid="{00000000-0005-0000-0000-0000B1670000}"/>
    <cellStyle name="Standard 4 4 3 2 2 3 2 4" xfId="26344" xr:uid="{00000000-0005-0000-0000-0000B2670000}"/>
    <cellStyle name="Standard 4 4 3 2 2 3 2 4 2" xfId="26345" xr:uid="{00000000-0005-0000-0000-0000B3670000}"/>
    <cellStyle name="Standard 4 4 3 2 2 3 2 4 3" xfId="26346" xr:uid="{00000000-0005-0000-0000-0000B4670000}"/>
    <cellStyle name="Standard 4 4 3 2 2 3 2 5" xfId="26347" xr:uid="{00000000-0005-0000-0000-0000B5670000}"/>
    <cellStyle name="Standard 4 4 3 2 2 3 2 5 2" xfId="26348" xr:uid="{00000000-0005-0000-0000-0000B6670000}"/>
    <cellStyle name="Standard 4 4 3 2 2 3 2 6" xfId="26349" xr:uid="{00000000-0005-0000-0000-0000B7670000}"/>
    <cellStyle name="Standard 4 4 3 2 2 3 2 7" xfId="26350" xr:uid="{00000000-0005-0000-0000-0000B8670000}"/>
    <cellStyle name="Standard 4 4 3 2 2 3 3" xfId="26351" xr:uid="{00000000-0005-0000-0000-0000B9670000}"/>
    <cellStyle name="Standard 4 4 3 2 2 3 3 2" xfId="26352" xr:uid="{00000000-0005-0000-0000-0000BA670000}"/>
    <cellStyle name="Standard 4 4 3 2 2 3 3 2 2" xfId="26353" xr:uid="{00000000-0005-0000-0000-0000BB670000}"/>
    <cellStyle name="Standard 4 4 3 2 2 3 3 2 3" xfId="26354" xr:uid="{00000000-0005-0000-0000-0000BC670000}"/>
    <cellStyle name="Standard 4 4 3 2 2 3 3 3" xfId="26355" xr:uid="{00000000-0005-0000-0000-0000BD670000}"/>
    <cellStyle name="Standard 4 4 3 2 2 3 3 3 2" xfId="26356" xr:uid="{00000000-0005-0000-0000-0000BE670000}"/>
    <cellStyle name="Standard 4 4 3 2 2 3 3 3 3" xfId="26357" xr:uid="{00000000-0005-0000-0000-0000BF670000}"/>
    <cellStyle name="Standard 4 4 3 2 2 3 3 4" xfId="26358" xr:uid="{00000000-0005-0000-0000-0000C0670000}"/>
    <cellStyle name="Standard 4 4 3 2 2 3 3 4 2" xfId="26359" xr:uid="{00000000-0005-0000-0000-0000C1670000}"/>
    <cellStyle name="Standard 4 4 3 2 2 3 3 5" xfId="26360" xr:uid="{00000000-0005-0000-0000-0000C2670000}"/>
    <cellStyle name="Standard 4 4 3 2 2 3 3 6" xfId="26361" xr:uid="{00000000-0005-0000-0000-0000C3670000}"/>
    <cellStyle name="Standard 4 4 3 2 2 3 4" xfId="26362" xr:uid="{00000000-0005-0000-0000-0000C4670000}"/>
    <cellStyle name="Standard 4 4 3 2 2 3 4 2" xfId="26363" xr:uid="{00000000-0005-0000-0000-0000C5670000}"/>
    <cellStyle name="Standard 4 4 3 2 2 3 4 3" xfId="26364" xr:uid="{00000000-0005-0000-0000-0000C6670000}"/>
    <cellStyle name="Standard 4 4 3 2 2 3 5" xfId="26365" xr:uid="{00000000-0005-0000-0000-0000C7670000}"/>
    <cellStyle name="Standard 4 4 3 2 2 3 5 2" xfId="26366" xr:uid="{00000000-0005-0000-0000-0000C8670000}"/>
    <cellStyle name="Standard 4 4 3 2 2 3 5 3" xfId="26367" xr:uid="{00000000-0005-0000-0000-0000C9670000}"/>
    <cellStyle name="Standard 4 4 3 2 2 3 6" xfId="26368" xr:uid="{00000000-0005-0000-0000-0000CA670000}"/>
    <cellStyle name="Standard 4 4 3 2 2 3 6 2" xfId="26369" xr:uid="{00000000-0005-0000-0000-0000CB670000}"/>
    <cellStyle name="Standard 4 4 3 2 2 3 7" xfId="26370" xr:uid="{00000000-0005-0000-0000-0000CC670000}"/>
    <cellStyle name="Standard 4 4 3 2 2 3 8" xfId="26371" xr:uid="{00000000-0005-0000-0000-0000CD670000}"/>
    <cellStyle name="Standard 4 4 3 2 2 4" xfId="26372" xr:uid="{00000000-0005-0000-0000-0000CE670000}"/>
    <cellStyle name="Standard 4 4 3 2 2 4 2" xfId="26373" xr:uid="{00000000-0005-0000-0000-0000CF670000}"/>
    <cellStyle name="Standard 4 4 3 2 2 4 2 2" xfId="26374" xr:uid="{00000000-0005-0000-0000-0000D0670000}"/>
    <cellStyle name="Standard 4 4 3 2 2 4 2 2 2" xfId="26375" xr:uid="{00000000-0005-0000-0000-0000D1670000}"/>
    <cellStyle name="Standard 4 4 3 2 2 4 2 2 3" xfId="26376" xr:uid="{00000000-0005-0000-0000-0000D2670000}"/>
    <cellStyle name="Standard 4 4 3 2 2 4 2 3" xfId="26377" xr:uid="{00000000-0005-0000-0000-0000D3670000}"/>
    <cellStyle name="Standard 4 4 3 2 2 4 2 3 2" xfId="26378" xr:uid="{00000000-0005-0000-0000-0000D4670000}"/>
    <cellStyle name="Standard 4 4 3 2 2 4 2 3 3" xfId="26379" xr:uid="{00000000-0005-0000-0000-0000D5670000}"/>
    <cellStyle name="Standard 4 4 3 2 2 4 2 4" xfId="26380" xr:uid="{00000000-0005-0000-0000-0000D6670000}"/>
    <cellStyle name="Standard 4 4 3 2 2 4 2 4 2" xfId="26381" xr:uid="{00000000-0005-0000-0000-0000D7670000}"/>
    <cellStyle name="Standard 4 4 3 2 2 4 2 5" xfId="26382" xr:uid="{00000000-0005-0000-0000-0000D8670000}"/>
    <cellStyle name="Standard 4 4 3 2 2 4 2 6" xfId="26383" xr:uid="{00000000-0005-0000-0000-0000D9670000}"/>
    <cellStyle name="Standard 4 4 3 2 2 4 3" xfId="26384" xr:uid="{00000000-0005-0000-0000-0000DA670000}"/>
    <cellStyle name="Standard 4 4 3 2 2 4 3 2" xfId="26385" xr:uid="{00000000-0005-0000-0000-0000DB670000}"/>
    <cellStyle name="Standard 4 4 3 2 2 4 3 3" xfId="26386" xr:uid="{00000000-0005-0000-0000-0000DC670000}"/>
    <cellStyle name="Standard 4 4 3 2 2 4 4" xfId="26387" xr:uid="{00000000-0005-0000-0000-0000DD670000}"/>
    <cellStyle name="Standard 4 4 3 2 2 4 4 2" xfId="26388" xr:uid="{00000000-0005-0000-0000-0000DE670000}"/>
    <cellStyle name="Standard 4 4 3 2 2 4 4 3" xfId="26389" xr:uid="{00000000-0005-0000-0000-0000DF670000}"/>
    <cellStyle name="Standard 4 4 3 2 2 4 5" xfId="26390" xr:uid="{00000000-0005-0000-0000-0000E0670000}"/>
    <cellStyle name="Standard 4 4 3 2 2 4 5 2" xfId="26391" xr:uid="{00000000-0005-0000-0000-0000E1670000}"/>
    <cellStyle name="Standard 4 4 3 2 2 4 6" xfId="26392" xr:uid="{00000000-0005-0000-0000-0000E2670000}"/>
    <cellStyle name="Standard 4 4 3 2 2 4 7" xfId="26393" xr:uid="{00000000-0005-0000-0000-0000E3670000}"/>
    <cellStyle name="Standard 4 4 3 2 2 5" xfId="26394" xr:uid="{00000000-0005-0000-0000-0000E4670000}"/>
    <cellStyle name="Standard 4 4 3 2 2 5 2" xfId="26395" xr:uid="{00000000-0005-0000-0000-0000E5670000}"/>
    <cellStyle name="Standard 4 4 3 2 2 5 2 2" xfId="26396" xr:uid="{00000000-0005-0000-0000-0000E6670000}"/>
    <cellStyle name="Standard 4 4 3 2 2 5 2 3" xfId="26397" xr:uid="{00000000-0005-0000-0000-0000E7670000}"/>
    <cellStyle name="Standard 4 4 3 2 2 5 3" xfId="26398" xr:uid="{00000000-0005-0000-0000-0000E8670000}"/>
    <cellStyle name="Standard 4 4 3 2 2 5 3 2" xfId="26399" xr:uid="{00000000-0005-0000-0000-0000E9670000}"/>
    <cellStyle name="Standard 4 4 3 2 2 5 3 3" xfId="26400" xr:uid="{00000000-0005-0000-0000-0000EA670000}"/>
    <cellStyle name="Standard 4 4 3 2 2 5 4" xfId="26401" xr:uid="{00000000-0005-0000-0000-0000EB670000}"/>
    <cellStyle name="Standard 4 4 3 2 2 5 4 2" xfId="26402" xr:uid="{00000000-0005-0000-0000-0000EC670000}"/>
    <cellStyle name="Standard 4 4 3 2 2 5 5" xfId="26403" xr:uid="{00000000-0005-0000-0000-0000ED670000}"/>
    <cellStyle name="Standard 4 4 3 2 2 5 6" xfId="26404" xr:uid="{00000000-0005-0000-0000-0000EE670000}"/>
    <cellStyle name="Standard 4 4 3 2 2 6" xfId="26405" xr:uid="{00000000-0005-0000-0000-0000EF670000}"/>
    <cellStyle name="Standard 4 4 3 2 2 6 2" xfId="26406" xr:uid="{00000000-0005-0000-0000-0000F0670000}"/>
    <cellStyle name="Standard 4 4 3 2 2 6 3" xfId="26407" xr:uid="{00000000-0005-0000-0000-0000F1670000}"/>
    <cellStyle name="Standard 4 4 3 2 2 7" xfId="26408" xr:uid="{00000000-0005-0000-0000-0000F2670000}"/>
    <cellStyle name="Standard 4 4 3 2 2 7 2" xfId="26409" xr:uid="{00000000-0005-0000-0000-0000F3670000}"/>
    <cellStyle name="Standard 4 4 3 2 2 7 3" xfId="26410" xr:uid="{00000000-0005-0000-0000-0000F4670000}"/>
    <cellStyle name="Standard 4 4 3 2 2 8" xfId="26411" xr:uid="{00000000-0005-0000-0000-0000F5670000}"/>
    <cellStyle name="Standard 4 4 3 2 2 8 2" xfId="26412" xr:uid="{00000000-0005-0000-0000-0000F6670000}"/>
    <cellStyle name="Standard 4 4 3 2 2 9" xfId="26413" xr:uid="{00000000-0005-0000-0000-0000F7670000}"/>
    <cellStyle name="Standard 4 4 3 2 3" xfId="26414" xr:uid="{00000000-0005-0000-0000-0000F8670000}"/>
    <cellStyle name="Standard 4 4 3 2 3 2" xfId="26415" xr:uid="{00000000-0005-0000-0000-0000F9670000}"/>
    <cellStyle name="Standard 4 4 3 2 3 2 2" xfId="26416" xr:uid="{00000000-0005-0000-0000-0000FA670000}"/>
    <cellStyle name="Standard 4 4 3 2 3 2 2 2" xfId="26417" xr:uid="{00000000-0005-0000-0000-0000FB670000}"/>
    <cellStyle name="Standard 4 4 3 2 3 2 2 2 2" xfId="26418" xr:uid="{00000000-0005-0000-0000-0000FC670000}"/>
    <cellStyle name="Standard 4 4 3 2 3 2 2 2 3" xfId="26419" xr:uid="{00000000-0005-0000-0000-0000FD670000}"/>
    <cellStyle name="Standard 4 4 3 2 3 2 2 3" xfId="26420" xr:uid="{00000000-0005-0000-0000-0000FE670000}"/>
    <cellStyle name="Standard 4 4 3 2 3 2 2 3 2" xfId="26421" xr:uid="{00000000-0005-0000-0000-0000FF670000}"/>
    <cellStyle name="Standard 4 4 3 2 3 2 2 3 3" xfId="26422" xr:uid="{00000000-0005-0000-0000-000000680000}"/>
    <cellStyle name="Standard 4 4 3 2 3 2 2 4" xfId="26423" xr:uid="{00000000-0005-0000-0000-000001680000}"/>
    <cellStyle name="Standard 4 4 3 2 3 2 2 4 2" xfId="26424" xr:uid="{00000000-0005-0000-0000-000002680000}"/>
    <cellStyle name="Standard 4 4 3 2 3 2 2 5" xfId="26425" xr:uid="{00000000-0005-0000-0000-000003680000}"/>
    <cellStyle name="Standard 4 4 3 2 3 2 2 6" xfId="26426" xr:uid="{00000000-0005-0000-0000-000004680000}"/>
    <cellStyle name="Standard 4 4 3 2 3 2 3" xfId="26427" xr:uid="{00000000-0005-0000-0000-000005680000}"/>
    <cellStyle name="Standard 4 4 3 2 3 2 3 2" xfId="26428" xr:uid="{00000000-0005-0000-0000-000006680000}"/>
    <cellStyle name="Standard 4 4 3 2 3 2 3 3" xfId="26429" xr:uid="{00000000-0005-0000-0000-000007680000}"/>
    <cellStyle name="Standard 4 4 3 2 3 2 4" xfId="26430" xr:uid="{00000000-0005-0000-0000-000008680000}"/>
    <cellStyle name="Standard 4 4 3 2 3 2 4 2" xfId="26431" xr:uid="{00000000-0005-0000-0000-000009680000}"/>
    <cellStyle name="Standard 4 4 3 2 3 2 4 3" xfId="26432" xr:uid="{00000000-0005-0000-0000-00000A680000}"/>
    <cellStyle name="Standard 4 4 3 2 3 2 5" xfId="26433" xr:uid="{00000000-0005-0000-0000-00000B680000}"/>
    <cellStyle name="Standard 4 4 3 2 3 2 5 2" xfId="26434" xr:uid="{00000000-0005-0000-0000-00000C680000}"/>
    <cellStyle name="Standard 4 4 3 2 3 2 6" xfId="26435" xr:uid="{00000000-0005-0000-0000-00000D680000}"/>
    <cellStyle name="Standard 4 4 3 2 3 2 7" xfId="26436" xr:uid="{00000000-0005-0000-0000-00000E680000}"/>
    <cellStyle name="Standard 4 4 3 2 3 3" xfId="26437" xr:uid="{00000000-0005-0000-0000-00000F680000}"/>
    <cellStyle name="Standard 4 4 3 2 3 3 2" xfId="26438" xr:uid="{00000000-0005-0000-0000-000010680000}"/>
    <cellStyle name="Standard 4 4 3 2 3 3 2 2" xfId="26439" xr:uid="{00000000-0005-0000-0000-000011680000}"/>
    <cellStyle name="Standard 4 4 3 2 3 3 2 3" xfId="26440" xr:uid="{00000000-0005-0000-0000-000012680000}"/>
    <cellStyle name="Standard 4 4 3 2 3 3 3" xfId="26441" xr:uid="{00000000-0005-0000-0000-000013680000}"/>
    <cellStyle name="Standard 4 4 3 2 3 3 3 2" xfId="26442" xr:uid="{00000000-0005-0000-0000-000014680000}"/>
    <cellStyle name="Standard 4 4 3 2 3 3 3 3" xfId="26443" xr:uid="{00000000-0005-0000-0000-000015680000}"/>
    <cellStyle name="Standard 4 4 3 2 3 3 4" xfId="26444" xr:uid="{00000000-0005-0000-0000-000016680000}"/>
    <cellStyle name="Standard 4 4 3 2 3 3 4 2" xfId="26445" xr:uid="{00000000-0005-0000-0000-000017680000}"/>
    <cellStyle name="Standard 4 4 3 2 3 3 5" xfId="26446" xr:uid="{00000000-0005-0000-0000-000018680000}"/>
    <cellStyle name="Standard 4 4 3 2 3 3 6" xfId="26447" xr:uid="{00000000-0005-0000-0000-000019680000}"/>
    <cellStyle name="Standard 4 4 3 2 3 4" xfId="26448" xr:uid="{00000000-0005-0000-0000-00001A680000}"/>
    <cellStyle name="Standard 4 4 3 2 3 4 2" xfId="26449" xr:uid="{00000000-0005-0000-0000-00001B680000}"/>
    <cellStyle name="Standard 4 4 3 2 3 4 3" xfId="26450" xr:uid="{00000000-0005-0000-0000-00001C680000}"/>
    <cellStyle name="Standard 4 4 3 2 3 5" xfId="26451" xr:uid="{00000000-0005-0000-0000-00001D680000}"/>
    <cellStyle name="Standard 4 4 3 2 3 5 2" xfId="26452" xr:uid="{00000000-0005-0000-0000-00001E680000}"/>
    <cellStyle name="Standard 4 4 3 2 3 5 3" xfId="26453" xr:uid="{00000000-0005-0000-0000-00001F680000}"/>
    <cellStyle name="Standard 4 4 3 2 3 6" xfId="26454" xr:uid="{00000000-0005-0000-0000-000020680000}"/>
    <cellStyle name="Standard 4 4 3 2 3 6 2" xfId="26455" xr:uid="{00000000-0005-0000-0000-000021680000}"/>
    <cellStyle name="Standard 4 4 3 2 3 7" xfId="26456" xr:uid="{00000000-0005-0000-0000-000022680000}"/>
    <cellStyle name="Standard 4 4 3 2 3 8" xfId="26457" xr:uid="{00000000-0005-0000-0000-000023680000}"/>
    <cellStyle name="Standard 4 4 3 2 4" xfId="26458" xr:uid="{00000000-0005-0000-0000-000024680000}"/>
    <cellStyle name="Standard 4 4 3 2 4 2" xfId="26459" xr:uid="{00000000-0005-0000-0000-000025680000}"/>
    <cellStyle name="Standard 4 4 3 2 4 2 2" xfId="26460" xr:uid="{00000000-0005-0000-0000-000026680000}"/>
    <cellStyle name="Standard 4 4 3 2 4 2 2 2" xfId="26461" xr:uid="{00000000-0005-0000-0000-000027680000}"/>
    <cellStyle name="Standard 4 4 3 2 4 2 2 2 2" xfId="26462" xr:uid="{00000000-0005-0000-0000-000028680000}"/>
    <cellStyle name="Standard 4 4 3 2 4 2 2 2 3" xfId="26463" xr:uid="{00000000-0005-0000-0000-000029680000}"/>
    <cellStyle name="Standard 4 4 3 2 4 2 2 3" xfId="26464" xr:uid="{00000000-0005-0000-0000-00002A680000}"/>
    <cellStyle name="Standard 4 4 3 2 4 2 2 3 2" xfId="26465" xr:uid="{00000000-0005-0000-0000-00002B680000}"/>
    <cellStyle name="Standard 4 4 3 2 4 2 2 3 3" xfId="26466" xr:uid="{00000000-0005-0000-0000-00002C680000}"/>
    <cellStyle name="Standard 4 4 3 2 4 2 2 4" xfId="26467" xr:uid="{00000000-0005-0000-0000-00002D680000}"/>
    <cellStyle name="Standard 4 4 3 2 4 2 2 4 2" xfId="26468" xr:uid="{00000000-0005-0000-0000-00002E680000}"/>
    <cellStyle name="Standard 4 4 3 2 4 2 2 5" xfId="26469" xr:uid="{00000000-0005-0000-0000-00002F680000}"/>
    <cellStyle name="Standard 4 4 3 2 4 2 2 6" xfId="26470" xr:uid="{00000000-0005-0000-0000-000030680000}"/>
    <cellStyle name="Standard 4 4 3 2 4 2 3" xfId="26471" xr:uid="{00000000-0005-0000-0000-000031680000}"/>
    <cellStyle name="Standard 4 4 3 2 4 2 3 2" xfId="26472" xr:uid="{00000000-0005-0000-0000-000032680000}"/>
    <cellStyle name="Standard 4 4 3 2 4 2 3 3" xfId="26473" xr:uid="{00000000-0005-0000-0000-000033680000}"/>
    <cellStyle name="Standard 4 4 3 2 4 2 4" xfId="26474" xr:uid="{00000000-0005-0000-0000-000034680000}"/>
    <cellStyle name="Standard 4 4 3 2 4 2 4 2" xfId="26475" xr:uid="{00000000-0005-0000-0000-000035680000}"/>
    <cellStyle name="Standard 4 4 3 2 4 2 4 3" xfId="26476" xr:uid="{00000000-0005-0000-0000-000036680000}"/>
    <cellStyle name="Standard 4 4 3 2 4 2 5" xfId="26477" xr:uid="{00000000-0005-0000-0000-000037680000}"/>
    <cellStyle name="Standard 4 4 3 2 4 2 5 2" xfId="26478" xr:uid="{00000000-0005-0000-0000-000038680000}"/>
    <cellStyle name="Standard 4 4 3 2 4 2 6" xfId="26479" xr:uid="{00000000-0005-0000-0000-000039680000}"/>
    <cellStyle name="Standard 4 4 3 2 4 2 7" xfId="26480" xr:uid="{00000000-0005-0000-0000-00003A680000}"/>
    <cellStyle name="Standard 4 4 3 2 4 3" xfId="26481" xr:uid="{00000000-0005-0000-0000-00003B680000}"/>
    <cellStyle name="Standard 4 4 3 2 4 3 2" xfId="26482" xr:uid="{00000000-0005-0000-0000-00003C680000}"/>
    <cellStyle name="Standard 4 4 3 2 4 3 2 2" xfId="26483" xr:uid="{00000000-0005-0000-0000-00003D680000}"/>
    <cellStyle name="Standard 4 4 3 2 4 3 2 3" xfId="26484" xr:uid="{00000000-0005-0000-0000-00003E680000}"/>
    <cellStyle name="Standard 4 4 3 2 4 3 3" xfId="26485" xr:uid="{00000000-0005-0000-0000-00003F680000}"/>
    <cellStyle name="Standard 4 4 3 2 4 3 3 2" xfId="26486" xr:uid="{00000000-0005-0000-0000-000040680000}"/>
    <cellStyle name="Standard 4 4 3 2 4 3 3 3" xfId="26487" xr:uid="{00000000-0005-0000-0000-000041680000}"/>
    <cellStyle name="Standard 4 4 3 2 4 3 4" xfId="26488" xr:uid="{00000000-0005-0000-0000-000042680000}"/>
    <cellStyle name="Standard 4 4 3 2 4 3 4 2" xfId="26489" xr:uid="{00000000-0005-0000-0000-000043680000}"/>
    <cellStyle name="Standard 4 4 3 2 4 3 5" xfId="26490" xr:uid="{00000000-0005-0000-0000-000044680000}"/>
    <cellStyle name="Standard 4 4 3 2 4 3 6" xfId="26491" xr:uid="{00000000-0005-0000-0000-000045680000}"/>
    <cellStyle name="Standard 4 4 3 2 4 4" xfId="26492" xr:uid="{00000000-0005-0000-0000-000046680000}"/>
    <cellStyle name="Standard 4 4 3 2 4 4 2" xfId="26493" xr:uid="{00000000-0005-0000-0000-000047680000}"/>
    <cellStyle name="Standard 4 4 3 2 4 4 3" xfId="26494" xr:uid="{00000000-0005-0000-0000-000048680000}"/>
    <cellStyle name="Standard 4 4 3 2 4 5" xfId="26495" xr:uid="{00000000-0005-0000-0000-000049680000}"/>
    <cellStyle name="Standard 4 4 3 2 4 5 2" xfId="26496" xr:uid="{00000000-0005-0000-0000-00004A680000}"/>
    <cellStyle name="Standard 4 4 3 2 4 5 3" xfId="26497" xr:uid="{00000000-0005-0000-0000-00004B680000}"/>
    <cellStyle name="Standard 4 4 3 2 4 6" xfId="26498" xr:uid="{00000000-0005-0000-0000-00004C680000}"/>
    <cellStyle name="Standard 4 4 3 2 4 6 2" xfId="26499" xr:uid="{00000000-0005-0000-0000-00004D680000}"/>
    <cellStyle name="Standard 4 4 3 2 4 7" xfId="26500" xr:uid="{00000000-0005-0000-0000-00004E680000}"/>
    <cellStyle name="Standard 4 4 3 2 4 8" xfId="26501" xr:uid="{00000000-0005-0000-0000-00004F680000}"/>
    <cellStyle name="Standard 4 4 3 2 5" xfId="26502" xr:uid="{00000000-0005-0000-0000-000050680000}"/>
    <cellStyle name="Standard 4 4 3 2 5 2" xfId="26503" xr:uid="{00000000-0005-0000-0000-000051680000}"/>
    <cellStyle name="Standard 4 4 3 2 5 2 2" xfId="26504" xr:uid="{00000000-0005-0000-0000-000052680000}"/>
    <cellStyle name="Standard 4 4 3 2 5 2 2 2" xfId="26505" xr:uid="{00000000-0005-0000-0000-000053680000}"/>
    <cellStyle name="Standard 4 4 3 2 5 2 2 3" xfId="26506" xr:uid="{00000000-0005-0000-0000-000054680000}"/>
    <cellStyle name="Standard 4 4 3 2 5 2 3" xfId="26507" xr:uid="{00000000-0005-0000-0000-000055680000}"/>
    <cellStyle name="Standard 4 4 3 2 5 2 3 2" xfId="26508" xr:uid="{00000000-0005-0000-0000-000056680000}"/>
    <cellStyle name="Standard 4 4 3 2 5 2 3 3" xfId="26509" xr:uid="{00000000-0005-0000-0000-000057680000}"/>
    <cellStyle name="Standard 4 4 3 2 5 2 4" xfId="26510" xr:uid="{00000000-0005-0000-0000-000058680000}"/>
    <cellStyle name="Standard 4 4 3 2 5 2 4 2" xfId="26511" xr:uid="{00000000-0005-0000-0000-000059680000}"/>
    <cellStyle name="Standard 4 4 3 2 5 2 5" xfId="26512" xr:uid="{00000000-0005-0000-0000-00005A680000}"/>
    <cellStyle name="Standard 4 4 3 2 5 2 6" xfId="26513" xr:uid="{00000000-0005-0000-0000-00005B680000}"/>
    <cellStyle name="Standard 4 4 3 2 5 3" xfId="26514" xr:uid="{00000000-0005-0000-0000-00005C680000}"/>
    <cellStyle name="Standard 4 4 3 2 5 3 2" xfId="26515" xr:uid="{00000000-0005-0000-0000-00005D680000}"/>
    <cellStyle name="Standard 4 4 3 2 5 3 3" xfId="26516" xr:uid="{00000000-0005-0000-0000-00005E680000}"/>
    <cellStyle name="Standard 4 4 3 2 5 4" xfId="26517" xr:uid="{00000000-0005-0000-0000-00005F680000}"/>
    <cellStyle name="Standard 4 4 3 2 5 4 2" xfId="26518" xr:uid="{00000000-0005-0000-0000-000060680000}"/>
    <cellStyle name="Standard 4 4 3 2 5 4 3" xfId="26519" xr:uid="{00000000-0005-0000-0000-000061680000}"/>
    <cellStyle name="Standard 4 4 3 2 5 5" xfId="26520" xr:uid="{00000000-0005-0000-0000-000062680000}"/>
    <cellStyle name="Standard 4 4 3 2 5 5 2" xfId="26521" xr:uid="{00000000-0005-0000-0000-000063680000}"/>
    <cellStyle name="Standard 4 4 3 2 5 6" xfId="26522" xr:uid="{00000000-0005-0000-0000-000064680000}"/>
    <cellStyle name="Standard 4 4 3 2 5 7" xfId="26523" xr:uid="{00000000-0005-0000-0000-000065680000}"/>
    <cellStyle name="Standard 4 4 3 2 6" xfId="26524" xr:uid="{00000000-0005-0000-0000-000066680000}"/>
    <cellStyle name="Standard 4 4 3 2 6 2" xfId="26525" xr:uid="{00000000-0005-0000-0000-000067680000}"/>
    <cellStyle name="Standard 4 4 3 2 6 2 2" xfId="26526" xr:uid="{00000000-0005-0000-0000-000068680000}"/>
    <cellStyle name="Standard 4 4 3 2 6 2 3" xfId="26527" xr:uid="{00000000-0005-0000-0000-000069680000}"/>
    <cellStyle name="Standard 4 4 3 2 6 3" xfId="26528" xr:uid="{00000000-0005-0000-0000-00006A680000}"/>
    <cellStyle name="Standard 4 4 3 2 6 3 2" xfId="26529" xr:uid="{00000000-0005-0000-0000-00006B680000}"/>
    <cellStyle name="Standard 4 4 3 2 6 3 3" xfId="26530" xr:uid="{00000000-0005-0000-0000-00006C680000}"/>
    <cellStyle name="Standard 4 4 3 2 6 4" xfId="26531" xr:uid="{00000000-0005-0000-0000-00006D680000}"/>
    <cellStyle name="Standard 4 4 3 2 6 4 2" xfId="26532" xr:uid="{00000000-0005-0000-0000-00006E680000}"/>
    <cellStyle name="Standard 4 4 3 2 6 5" xfId="26533" xr:uid="{00000000-0005-0000-0000-00006F680000}"/>
    <cellStyle name="Standard 4 4 3 2 6 6" xfId="26534" xr:uid="{00000000-0005-0000-0000-000070680000}"/>
    <cellStyle name="Standard 4 4 3 2 7" xfId="26535" xr:uid="{00000000-0005-0000-0000-000071680000}"/>
    <cellStyle name="Standard 4 4 3 2 7 2" xfId="26536" xr:uid="{00000000-0005-0000-0000-000072680000}"/>
    <cellStyle name="Standard 4 4 3 2 7 3" xfId="26537" xr:uid="{00000000-0005-0000-0000-000073680000}"/>
    <cellStyle name="Standard 4 4 3 2 8" xfId="26538" xr:uid="{00000000-0005-0000-0000-000074680000}"/>
    <cellStyle name="Standard 4 4 3 2 8 2" xfId="26539" xr:uid="{00000000-0005-0000-0000-000075680000}"/>
    <cellStyle name="Standard 4 4 3 2 8 3" xfId="26540" xr:uid="{00000000-0005-0000-0000-000076680000}"/>
    <cellStyle name="Standard 4 4 3 2 9" xfId="26541" xr:uid="{00000000-0005-0000-0000-000077680000}"/>
    <cellStyle name="Standard 4 4 3 2 9 2" xfId="26542" xr:uid="{00000000-0005-0000-0000-000078680000}"/>
    <cellStyle name="Standard 4 4 3 3" xfId="26543" xr:uid="{00000000-0005-0000-0000-000079680000}"/>
    <cellStyle name="Standard 4 4 3 3 10" xfId="26544" xr:uid="{00000000-0005-0000-0000-00007A680000}"/>
    <cellStyle name="Standard 4 4 3 3 11" xfId="26545" xr:uid="{00000000-0005-0000-0000-00007B680000}"/>
    <cellStyle name="Standard 4 4 3 3 2" xfId="26546" xr:uid="{00000000-0005-0000-0000-00007C680000}"/>
    <cellStyle name="Standard 4 4 3 3 2 10" xfId="26547" xr:uid="{00000000-0005-0000-0000-00007D680000}"/>
    <cellStyle name="Standard 4 4 3 3 2 2" xfId="26548" xr:uid="{00000000-0005-0000-0000-00007E680000}"/>
    <cellStyle name="Standard 4 4 3 3 2 2 2" xfId="26549" xr:uid="{00000000-0005-0000-0000-00007F680000}"/>
    <cellStyle name="Standard 4 4 3 3 2 2 2 2" xfId="26550" xr:uid="{00000000-0005-0000-0000-000080680000}"/>
    <cellStyle name="Standard 4 4 3 3 2 2 2 2 2" xfId="26551" xr:uid="{00000000-0005-0000-0000-000081680000}"/>
    <cellStyle name="Standard 4 4 3 3 2 2 2 2 2 2" xfId="26552" xr:uid="{00000000-0005-0000-0000-000082680000}"/>
    <cellStyle name="Standard 4 4 3 3 2 2 2 2 2 3" xfId="26553" xr:uid="{00000000-0005-0000-0000-000083680000}"/>
    <cellStyle name="Standard 4 4 3 3 2 2 2 2 3" xfId="26554" xr:uid="{00000000-0005-0000-0000-000084680000}"/>
    <cellStyle name="Standard 4 4 3 3 2 2 2 2 3 2" xfId="26555" xr:uid="{00000000-0005-0000-0000-000085680000}"/>
    <cellStyle name="Standard 4 4 3 3 2 2 2 2 3 3" xfId="26556" xr:uid="{00000000-0005-0000-0000-000086680000}"/>
    <cellStyle name="Standard 4 4 3 3 2 2 2 2 4" xfId="26557" xr:uid="{00000000-0005-0000-0000-000087680000}"/>
    <cellStyle name="Standard 4 4 3 3 2 2 2 2 4 2" xfId="26558" xr:uid="{00000000-0005-0000-0000-000088680000}"/>
    <cellStyle name="Standard 4 4 3 3 2 2 2 2 5" xfId="26559" xr:uid="{00000000-0005-0000-0000-000089680000}"/>
    <cellStyle name="Standard 4 4 3 3 2 2 2 2 6" xfId="26560" xr:uid="{00000000-0005-0000-0000-00008A680000}"/>
    <cellStyle name="Standard 4 4 3 3 2 2 2 3" xfId="26561" xr:uid="{00000000-0005-0000-0000-00008B680000}"/>
    <cellStyle name="Standard 4 4 3 3 2 2 2 3 2" xfId="26562" xr:uid="{00000000-0005-0000-0000-00008C680000}"/>
    <cellStyle name="Standard 4 4 3 3 2 2 2 3 3" xfId="26563" xr:uid="{00000000-0005-0000-0000-00008D680000}"/>
    <cellStyle name="Standard 4 4 3 3 2 2 2 4" xfId="26564" xr:uid="{00000000-0005-0000-0000-00008E680000}"/>
    <cellStyle name="Standard 4 4 3 3 2 2 2 4 2" xfId="26565" xr:uid="{00000000-0005-0000-0000-00008F680000}"/>
    <cellStyle name="Standard 4 4 3 3 2 2 2 4 3" xfId="26566" xr:uid="{00000000-0005-0000-0000-000090680000}"/>
    <cellStyle name="Standard 4 4 3 3 2 2 2 5" xfId="26567" xr:uid="{00000000-0005-0000-0000-000091680000}"/>
    <cellStyle name="Standard 4 4 3 3 2 2 2 5 2" xfId="26568" xr:uid="{00000000-0005-0000-0000-000092680000}"/>
    <cellStyle name="Standard 4 4 3 3 2 2 2 6" xfId="26569" xr:uid="{00000000-0005-0000-0000-000093680000}"/>
    <cellStyle name="Standard 4 4 3 3 2 2 2 7" xfId="26570" xr:uid="{00000000-0005-0000-0000-000094680000}"/>
    <cellStyle name="Standard 4 4 3 3 2 2 3" xfId="26571" xr:uid="{00000000-0005-0000-0000-000095680000}"/>
    <cellStyle name="Standard 4 4 3 3 2 2 3 2" xfId="26572" xr:uid="{00000000-0005-0000-0000-000096680000}"/>
    <cellStyle name="Standard 4 4 3 3 2 2 3 2 2" xfId="26573" xr:uid="{00000000-0005-0000-0000-000097680000}"/>
    <cellStyle name="Standard 4 4 3 3 2 2 3 2 3" xfId="26574" xr:uid="{00000000-0005-0000-0000-000098680000}"/>
    <cellStyle name="Standard 4 4 3 3 2 2 3 3" xfId="26575" xr:uid="{00000000-0005-0000-0000-000099680000}"/>
    <cellStyle name="Standard 4 4 3 3 2 2 3 3 2" xfId="26576" xr:uid="{00000000-0005-0000-0000-00009A680000}"/>
    <cellStyle name="Standard 4 4 3 3 2 2 3 3 3" xfId="26577" xr:uid="{00000000-0005-0000-0000-00009B680000}"/>
    <cellStyle name="Standard 4 4 3 3 2 2 3 4" xfId="26578" xr:uid="{00000000-0005-0000-0000-00009C680000}"/>
    <cellStyle name="Standard 4 4 3 3 2 2 3 4 2" xfId="26579" xr:uid="{00000000-0005-0000-0000-00009D680000}"/>
    <cellStyle name="Standard 4 4 3 3 2 2 3 5" xfId="26580" xr:uid="{00000000-0005-0000-0000-00009E680000}"/>
    <cellStyle name="Standard 4 4 3 3 2 2 3 6" xfId="26581" xr:uid="{00000000-0005-0000-0000-00009F680000}"/>
    <cellStyle name="Standard 4 4 3 3 2 2 4" xfId="26582" xr:uid="{00000000-0005-0000-0000-0000A0680000}"/>
    <cellStyle name="Standard 4 4 3 3 2 2 4 2" xfId="26583" xr:uid="{00000000-0005-0000-0000-0000A1680000}"/>
    <cellStyle name="Standard 4 4 3 3 2 2 4 3" xfId="26584" xr:uid="{00000000-0005-0000-0000-0000A2680000}"/>
    <cellStyle name="Standard 4 4 3 3 2 2 5" xfId="26585" xr:uid="{00000000-0005-0000-0000-0000A3680000}"/>
    <cellStyle name="Standard 4 4 3 3 2 2 5 2" xfId="26586" xr:uid="{00000000-0005-0000-0000-0000A4680000}"/>
    <cellStyle name="Standard 4 4 3 3 2 2 5 3" xfId="26587" xr:uid="{00000000-0005-0000-0000-0000A5680000}"/>
    <cellStyle name="Standard 4 4 3 3 2 2 6" xfId="26588" xr:uid="{00000000-0005-0000-0000-0000A6680000}"/>
    <cellStyle name="Standard 4 4 3 3 2 2 6 2" xfId="26589" xr:uid="{00000000-0005-0000-0000-0000A7680000}"/>
    <cellStyle name="Standard 4 4 3 3 2 2 7" xfId="26590" xr:uid="{00000000-0005-0000-0000-0000A8680000}"/>
    <cellStyle name="Standard 4 4 3 3 2 2 8" xfId="26591" xr:uid="{00000000-0005-0000-0000-0000A9680000}"/>
    <cellStyle name="Standard 4 4 3 3 2 3" xfId="26592" xr:uid="{00000000-0005-0000-0000-0000AA680000}"/>
    <cellStyle name="Standard 4 4 3 3 2 3 2" xfId="26593" xr:uid="{00000000-0005-0000-0000-0000AB680000}"/>
    <cellStyle name="Standard 4 4 3 3 2 3 2 2" xfId="26594" xr:uid="{00000000-0005-0000-0000-0000AC680000}"/>
    <cellStyle name="Standard 4 4 3 3 2 3 2 2 2" xfId="26595" xr:uid="{00000000-0005-0000-0000-0000AD680000}"/>
    <cellStyle name="Standard 4 4 3 3 2 3 2 2 2 2" xfId="26596" xr:uid="{00000000-0005-0000-0000-0000AE680000}"/>
    <cellStyle name="Standard 4 4 3 3 2 3 2 2 2 3" xfId="26597" xr:uid="{00000000-0005-0000-0000-0000AF680000}"/>
    <cellStyle name="Standard 4 4 3 3 2 3 2 2 3" xfId="26598" xr:uid="{00000000-0005-0000-0000-0000B0680000}"/>
    <cellStyle name="Standard 4 4 3 3 2 3 2 2 3 2" xfId="26599" xr:uid="{00000000-0005-0000-0000-0000B1680000}"/>
    <cellStyle name="Standard 4 4 3 3 2 3 2 2 3 3" xfId="26600" xr:uid="{00000000-0005-0000-0000-0000B2680000}"/>
    <cellStyle name="Standard 4 4 3 3 2 3 2 2 4" xfId="26601" xr:uid="{00000000-0005-0000-0000-0000B3680000}"/>
    <cellStyle name="Standard 4 4 3 3 2 3 2 2 4 2" xfId="26602" xr:uid="{00000000-0005-0000-0000-0000B4680000}"/>
    <cellStyle name="Standard 4 4 3 3 2 3 2 2 5" xfId="26603" xr:uid="{00000000-0005-0000-0000-0000B5680000}"/>
    <cellStyle name="Standard 4 4 3 3 2 3 2 2 6" xfId="26604" xr:uid="{00000000-0005-0000-0000-0000B6680000}"/>
    <cellStyle name="Standard 4 4 3 3 2 3 2 3" xfId="26605" xr:uid="{00000000-0005-0000-0000-0000B7680000}"/>
    <cellStyle name="Standard 4 4 3 3 2 3 2 3 2" xfId="26606" xr:uid="{00000000-0005-0000-0000-0000B8680000}"/>
    <cellStyle name="Standard 4 4 3 3 2 3 2 3 3" xfId="26607" xr:uid="{00000000-0005-0000-0000-0000B9680000}"/>
    <cellStyle name="Standard 4 4 3 3 2 3 2 4" xfId="26608" xr:uid="{00000000-0005-0000-0000-0000BA680000}"/>
    <cellStyle name="Standard 4 4 3 3 2 3 2 4 2" xfId="26609" xr:uid="{00000000-0005-0000-0000-0000BB680000}"/>
    <cellStyle name="Standard 4 4 3 3 2 3 2 4 3" xfId="26610" xr:uid="{00000000-0005-0000-0000-0000BC680000}"/>
    <cellStyle name="Standard 4 4 3 3 2 3 2 5" xfId="26611" xr:uid="{00000000-0005-0000-0000-0000BD680000}"/>
    <cellStyle name="Standard 4 4 3 3 2 3 2 5 2" xfId="26612" xr:uid="{00000000-0005-0000-0000-0000BE680000}"/>
    <cellStyle name="Standard 4 4 3 3 2 3 2 6" xfId="26613" xr:uid="{00000000-0005-0000-0000-0000BF680000}"/>
    <cellStyle name="Standard 4 4 3 3 2 3 2 7" xfId="26614" xr:uid="{00000000-0005-0000-0000-0000C0680000}"/>
    <cellStyle name="Standard 4 4 3 3 2 3 3" xfId="26615" xr:uid="{00000000-0005-0000-0000-0000C1680000}"/>
    <cellStyle name="Standard 4 4 3 3 2 3 3 2" xfId="26616" xr:uid="{00000000-0005-0000-0000-0000C2680000}"/>
    <cellStyle name="Standard 4 4 3 3 2 3 3 2 2" xfId="26617" xr:uid="{00000000-0005-0000-0000-0000C3680000}"/>
    <cellStyle name="Standard 4 4 3 3 2 3 3 2 3" xfId="26618" xr:uid="{00000000-0005-0000-0000-0000C4680000}"/>
    <cellStyle name="Standard 4 4 3 3 2 3 3 3" xfId="26619" xr:uid="{00000000-0005-0000-0000-0000C5680000}"/>
    <cellStyle name="Standard 4 4 3 3 2 3 3 3 2" xfId="26620" xr:uid="{00000000-0005-0000-0000-0000C6680000}"/>
    <cellStyle name="Standard 4 4 3 3 2 3 3 3 3" xfId="26621" xr:uid="{00000000-0005-0000-0000-0000C7680000}"/>
    <cellStyle name="Standard 4 4 3 3 2 3 3 4" xfId="26622" xr:uid="{00000000-0005-0000-0000-0000C8680000}"/>
    <cellStyle name="Standard 4 4 3 3 2 3 3 4 2" xfId="26623" xr:uid="{00000000-0005-0000-0000-0000C9680000}"/>
    <cellStyle name="Standard 4 4 3 3 2 3 3 5" xfId="26624" xr:uid="{00000000-0005-0000-0000-0000CA680000}"/>
    <cellStyle name="Standard 4 4 3 3 2 3 3 6" xfId="26625" xr:uid="{00000000-0005-0000-0000-0000CB680000}"/>
    <cellStyle name="Standard 4 4 3 3 2 3 4" xfId="26626" xr:uid="{00000000-0005-0000-0000-0000CC680000}"/>
    <cellStyle name="Standard 4 4 3 3 2 3 4 2" xfId="26627" xr:uid="{00000000-0005-0000-0000-0000CD680000}"/>
    <cellStyle name="Standard 4 4 3 3 2 3 4 3" xfId="26628" xr:uid="{00000000-0005-0000-0000-0000CE680000}"/>
    <cellStyle name="Standard 4 4 3 3 2 3 5" xfId="26629" xr:uid="{00000000-0005-0000-0000-0000CF680000}"/>
    <cellStyle name="Standard 4 4 3 3 2 3 5 2" xfId="26630" xr:uid="{00000000-0005-0000-0000-0000D0680000}"/>
    <cellStyle name="Standard 4 4 3 3 2 3 5 3" xfId="26631" xr:uid="{00000000-0005-0000-0000-0000D1680000}"/>
    <cellStyle name="Standard 4 4 3 3 2 3 6" xfId="26632" xr:uid="{00000000-0005-0000-0000-0000D2680000}"/>
    <cellStyle name="Standard 4 4 3 3 2 3 6 2" xfId="26633" xr:uid="{00000000-0005-0000-0000-0000D3680000}"/>
    <cellStyle name="Standard 4 4 3 3 2 3 7" xfId="26634" xr:uid="{00000000-0005-0000-0000-0000D4680000}"/>
    <cellStyle name="Standard 4 4 3 3 2 3 8" xfId="26635" xr:uid="{00000000-0005-0000-0000-0000D5680000}"/>
    <cellStyle name="Standard 4 4 3 3 2 4" xfId="26636" xr:uid="{00000000-0005-0000-0000-0000D6680000}"/>
    <cellStyle name="Standard 4 4 3 3 2 4 2" xfId="26637" xr:uid="{00000000-0005-0000-0000-0000D7680000}"/>
    <cellStyle name="Standard 4 4 3 3 2 4 2 2" xfId="26638" xr:uid="{00000000-0005-0000-0000-0000D8680000}"/>
    <cellStyle name="Standard 4 4 3 3 2 4 2 2 2" xfId="26639" xr:uid="{00000000-0005-0000-0000-0000D9680000}"/>
    <cellStyle name="Standard 4 4 3 3 2 4 2 2 3" xfId="26640" xr:uid="{00000000-0005-0000-0000-0000DA680000}"/>
    <cellStyle name="Standard 4 4 3 3 2 4 2 3" xfId="26641" xr:uid="{00000000-0005-0000-0000-0000DB680000}"/>
    <cellStyle name="Standard 4 4 3 3 2 4 2 3 2" xfId="26642" xr:uid="{00000000-0005-0000-0000-0000DC680000}"/>
    <cellStyle name="Standard 4 4 3 3 2 4 2 3 3" xfId="26643" xr:uid="{00000000-0005-0000-0000-0000DD680000}"/>
    <cellStyle name="Standard 4 4 3 3 2 4 2 4" xfId="26644" xr:uid="{00000000-0005-0000-0000-0000DE680000}"/>
    <cellStyle name="Standard 4 4 3 3 2 4 2 4 2" xfId="26645" xr:uid="{00000000-0005-0000-0000-0000DF680000}"/>
    <cellStyle name="Standard 4 4 3 3 2 4 2 5" xfId="26646" xr:uid="{00000000-0005-0000-0000-0000E0680000}"/>
    <cellStyle name="Standard 4 4 3 3 2 4 2 6" xfId="26647" xr:uid="{00000000-0005-0000-0000-0000E1680000}"/>
    <cellStyle name="Standard 4 4 3 3 2 4 3" xfId="26648" xr:uid="{00000000-0005-0000-0000-0000E2680000}"/>
    <cellStyle name="Standard 4 4 3 3 2 4 3 2" xfId="26649" xr:uid="{00000000-0005-0000-0000-0000E3680000}"/>
    <cellStyle name="Standard 4 4 3 3 2 4 3 3" xfId="26650" xr:uid="{00000000-0005-0000-0000-0000E4680000}"/>
    <cellStyle name="Standard 4 4 3 3 2 4 4" xfId="26651" xr:uid="{00000000-0005-0000-0000-0000E5680000}"/>
    <cellStyle name="Standard 4 4 3 3 2 4 4 2" xfId="26652" xr:uid="{00000000-0005-0000-0000-0000E6680000}"/>
    <cellStyle name="Standard 4 4 3 3 2 4 4 3" xfId="26653" xr:uid="{00000000-0005-0000-0000-0000E7680000}"/>
    <cellStyle name="Standard 4 4 3 3 2 4 5" xfId="26654" xr:uid="{00000000-0005-0000-0000-0000E8680000}"/>
    <cellStyle name="Standard 4 4 3 3 2 4 5 2" xfId="26655" xr:uid="{00000000-0005-0000-0000-0000E9680000}"/>
    <cellStyle name="Standard 4 4 3 3 2 4 6" xfId="26656" xr:uid="{00000000-0005-0000-0000-0000EA680000}"/>
    <cellStyle name="Standard 4 4 3 3 2 4 7" xfId="26657" xr:uid="{00000000-0005-0000-0000-0000EB680000}"/>
    <cellStyle name="Standard 4 4 3 3 2 5" xfId="26658" xr:uid="{00000000-0005-0000-0000-0000EC680000}"/>
    <cellStyle name="Standard 4 4 3 3 2 5 2" xfId="26659" xr:uid="{00000000-0005-0000-0000-0000ED680000}"/>
    <cellStyle name="Standard 4 4 3 3 2 5 2 2" xfId="26660" xr:uid="{00000000-0005-0000-0000-0000EE680000}"/>
    <cellStyle name="Standard 4 4 3 3 2 5 2 3" xfId="26661" xr:uid="{00000000-0005-0000-0000-0000EF680000}"/>
    <cellStyle name="Standard 4 4 3 3 2 5 3" xfId="26662" xr:uid="{00000000-0005-0000-0000-0000F0680000}"/>
    <cellStyle name="Standard 4 4 3 3 2 5 3 2" xfId="26663" xr:uid="{00000000-0005-0000-0000-0000F1680000}"/>
    <cellStyle name="Standard 4 4 3 3 2 5 3 3" xfId="26664" xr:uid="{00000000-0005-0000-0000-0000F2680000}"/>
    <cellStyle name="Standard 4 4 3 3 2 5 4" xfId="26665" xr:uid="{00000000-0005-0000-0000-0000F3680000}"/>
    <cellStyle name="Standard 4 4 3 3 2 5 4 2" xfId="26666" xr:uid="{00000000-0005-0000-0000-0000F4680000}"/>
    <cellStyle name="Standard 4 4 3 3 2 5 5" xfId="26667" xr:uid="{00000000-0005-0000-0000-0000F5680000}"/>
    <cellStyle name="Standard 4 4 3 3 2 5 6" xfId="26668" xr:uid="{00000000-0005-0000-0000-0000F6680000}"/>
    <cellStyle name="Standard 4 4 3 3 2 6" xfId="26669" xr:uid="{00000000-0005-0000-0000-0000F7680000}"/>
    <cellStyle name="Standard 4 4 3 3 2 6 2" xfId="26670" xr:uid="{00000000-0005-0000-0000-0000F8680000}"/>
    <cellStyle name="Standard 4 4 3 3 2 6 3" xfId="26671" xr:uid="{00000000-0005-0000-0000-0000F9680000}"/>
    <cellStyle name="Standard 4 4 3 3 2 7" xfId="26672" xr:uid="{00000000-0005-0000-0000-0000FA680000}"/>
    <cellStyle name="Standard 4 4 3 3 2 7 2" xfId="26673" xr:uid="{00000000-0005-0000-0000-0000FB680000}"/>
    <cellStyle name="Standard 4 4 3 3 2 7 3" xfId="26674" xr:uid="{00000000-0005-0000-0000-0000FC680000}"/>
    <cellStyle name="Standard 4 4 3 3 2 8" xfId="26675" xr:uid="{00000000-0005-0000-0000-0000FD680000}"/>
    <cellStyle name="Standard 4 4 3 3 2 8 2" xfId="26676" xr:uid="{00000000-0005-0000-0000-0000FE680000}"/>
    <cellStyle name="Standard 4 4 3 3 2 9" xfId="26677" xr:uid="{00000000-0005-0000-0000-0000FF680000}"/>
    <cellStyle name="Standard 4 4 3 3 3" xfId="26678" xr:uid="{00000000-0005-0000-0000-000000690000}"/>
    <cellStyle name="Standard 4 4 3 3 3 2" xfId="26679" xr:uid="{00000000-0005-0000-0000-000001690000}"/>
    <cellStyle name="Standard 4 4 3 3 3 2 2" xfId="26680" xr:uid="{00000000-0005-0000-0000-000002690000}"/>
    <cellStyle name="Standard 4 4 3 3 3 2 2 2" xfId="26681" xr:uid="{00000000-0005-0000-0000-000003690000}"/>
    <cellStyle name="Standard 4 4 3 3 3 2 2 2 2" xfId="26682" xr:uid="{00000000-0005-0000-0000-000004690000}"/>
    <cellStyle name="Standard 4 4 3 3 3 2 2 2 3" xfId="26683" xr:uid="{00000000-0005-0000-0000-000005690000}"/>
    <cellStyle name="Standard 4 4 3 3 3 2 2 3" xfId="26684" xr:uid="{00000000-0005-0000-0000-000006690000}"/>
    <cellStyle name="Standard 4 4 3 3 3 2 2 3 2" xfId="26685" xr:uid="{00000000-0005-0000-0000-000007690000}"/>
    <cellStyle name="Standard 4 4 3 3 3 2 2 3 3" xfId="26686" xr:uid="{00000000-0005-0000-0000-000008690000}"/>
    <cellStyle name="Standard 4 4 3 3 3 2 2 4" xfId="26687" xr:uid="{00000000-0005-0000-0000-000009690000}"/>
    <cellStyle name="Standard 4 4 3 3 3 2 2 4 2" xfId="26688" xr:uid="{00000000-0005-0000-0000-00000A690000}"/>
    <cellStyle name="Standard 4 4 3 3 3 2 2 5" xfId="26689" xr:uid="{00000000-0005-0000-0000-00000B690000}"/>
    <cellStyle name="Standard 4 4 3 3 3 2 2 6" xfId="26690" xr:uid="{00000000-0005-0000-0000-00000C690000}"/>
    <cellStyle name="Standard 4 4 3 3 3 2 3" xfId="26691" xr:uid="{00000000-0005-0000-0000-00000D690000}"/>
    <cellStyle name="Standard 4 4 3 3 3 2 3 2" xfId="26692" xr:uid="{00000000-0005-0000-0000-00000E690000}"/>
    <cellStyle name="Standard 4 4 3 3 3 2 3 3" xfId="26693" xr:uid="{00000000-0005-0000-0000-00000F690000}"/>
    <cellStyle name="Standard 4 4 3 3 3 2 4" xfId="26694" xr:uid="{00000000-0005-0000-0000-000010690000}"/>
    <cellStyle name="Standard 4 4 3 3 3 2 4 2" xfId="26695" xr:uid="{00000000-0005-0000-0000-000011690000}"/>
    <cellStyle name="Standard 4 4 3 3 3 2 4 3" xfId="26696" xr:uid="{00000000-0005-0000-0000-000012690000}"/>
    <cellStyle name="Standard 4 4 3 3 3 2 5" xfId="26697" xr:uid="{00000000-0005-0000-0000-000013690000}"/>
    <cellStyle name="Standard 4 4 3 3 3 2 5 2" xfId="26698" xr:uid="{00000000-0005-0000-0000-000014690000}"/>
    <cellStyle name="Standard 4 4 3 3 3 2 6" xfId="26699" xr:uid="{00000000-0005-0000-0000-000015690000}"/>
    <cellStyle name="Standard 4 4 3 3 3 2 7" xfId="26700" xr:uid="{00000000-0005-0000-0000-000016690000}"/>
    <cellStyle name="Standard 4 4 3 3 3 3" xfId="26701" xr:uid="{00000000-0005-0000-0000-000017690000}"/>
    <cellStyle name="Standard 4 4 3 3 3 3 2" xfId="26702" xr:uid="{00000000-0005-0000-0000-000018690000}"/>
    <cellStyle name="Standard 4 4 3 3 3 3 2 2" xfId="26703" xr:uid="{00000000-0005-0000-0000-000019690000}"/>
    <cellStyle name="Standard 4 4 3 3 3 3 2 3" xfId="26704" xr:uid="{00000000-0005-0000-0000-00001A690000}"/>
    <cellStyle name="Standard 4 4 3 3 3 3 3" xfId="26705" xr:uid="{00000000-0005-0000-0000-00001B690000}"/>
    <cellStyle name="Standard 4 4 3 3 3 3 3 2" xfId="26706" xr:uid="{00000000-0005-0000-0000-00001C690000}"/>
    <cellStyle name="Standard 4 4 3 3 3 3 3 3" xfId="26707" xr:uid="{00000000-0005-0000-0000-00001D690000}"/>
    <cellStyle name="Standard 4 4 3 3 3 3 4" xfId="26708" xr:uid="{00000000-0005-0000-0000-00001E690000}"/>
    <cellStyle name="Standard 4 4 3 3 3 3 4 2" xfId="26709" xr:uid="{00000000-0005-0000-0000-00001F690000}"/>
    <cellStyle name="Standard 4 4 3 3 3 3 5" xfId="26710" xr:uid="{00000000-0005-0000-0000-000020690000}"/>
    <cellStyle name="Standard 4 4 3 3 3 3 6" xfId="26711" xr:uid="{00000000-0005-0000-0000-000021690000}"/>
    <cellStyle name="Standard 4 4 3 3 3 4" xfId="26712" xr:uid="{00000000-0005-0000-0000-000022690000}"/>
    <cellStyle name="Standard 4 4 3 3 3 4 2" xfId="26713" xr:uid="{00000000-0005-0000-0000-000023690000}"/>
    <cellStyle name="Standard 4 4 3 3 3 4 3" xfId="26714" xr:uid="{00000000-0005-0000-0000-000024690000}"/>
    <cellStyle name="Standard 4 4 3 3 3 5" xfId="26715" xr:uid="{00000000-0005-0000-0000-000025690000}"/>
    <cellStyle name="Standard 4 4 3 3 3 5 2" xfId="26716" xr:uid="{00000000-0005-0000-0000-000026690000}"/>
    <cellStyle name="Standard 4 4 3 3 3 5 3" xfId="26717" xr:uid="{00000000-0005-0000-0000-000027690000}"/>
    <cellStyle name="Standard 4 4 3 3 3 6" xfId="26718" xr:uid="{00000000-0005-0000-0000-000028690000}"/>
    <cellStyle name="Standard 4 4 3 3 3 6 2" xfId="26719" xr:uid="{00000000-0005-0000-0000-000029690000}"/>
    <cellStyle name="Standard 4 4 3 3 3 7" xfId="26720" xr:uid="{00000000-0005-0000-0000-00002A690000}"/>
    <cellStyle name="Standard 4 4 3 3 3 8" xfId="26721" xr:uid="{00000000-0005-0000-0000-00002B690000}"/>
    <cellStyle name="Standard 4 4 3 3 4" xfId="26722" xr:uid="{00000000-0005-0000-0000-00002C690000}"/>
    <cellStyle name="Standard 4 4 3 3 4 2" xfId="26723" xr:uid="{00000000-0005-0000-0000-00002D690000}"/>
    <cellStyle name="Standard 4 4 3 3 4 2 2" xfId="26724" xr:uid="{00000000-0005-0000-0000-00002E690000}"/>
    <cellStyle name="Standard 4 4 3 3 4 2 2 2" xfId="26725" xr:uid="{00000000-0005-0000-0000-00002F690000}"/>
    <cellStyle name="Standard 4 4 3 3 4 2 2 2 2" xfId="26726" xr:uid="{00000000-0005-0000-0000-000030690000}"/>
    <cellStyle name="Standard 4 4 3 3 4 2 2 2 3" xfId="26727" xr:uid="{00000000-0005-0000-0000-000031690000}"/>
    <cellStyle name="Standard 4 4 3 3 4 2 2 3" xfId="26728" xr:uid="{00000000-0005-0000-0000-000032690000}"/>
    <cellStyle name="Standard 4 4 3 3 4 2 2 3 2" xfId="26729" xr:uid="{00000000-0005-0000-0000-000033690000}"/>
    <cellStyle name="Standard 4 4 3 3 4 2 2 3 3" xfId="26730" xr:uid="{00000000-0005-0000-0000-000034690000}"/>
    <cellStyle name="Standard 4 4 3 3 4 2 2 4" xfId="26731" xr:uid="{00000000-0005-0000-0000-000035690000}"/>
    <cellStyle name="Standard 4 4 3 3 4 2 2 4 2" xfId="26732" xr:uid="{00000000-0005-0000-0000-000036690000}"/>
    <cellStyle name="Standard 4 4 3 3 4 2 2 5" xfId="26733" xr:uid="{00000000-0005-0000-0000-000037690000}"/>
    <cellStyle name="Standard 4 4 3 3 4 2 2 6" xfId="26734" xr:uid="{00000000-0005-0000-0000-000038690000}"/>
    <cellStyle name="Standard 4 4 3 3 4 2 3" xfId="26735" xr:uid="{00000000-0005-0000-0000-000039690000}"/>
    <cellStyle name="Standard 4 4 3 3 4 2 3 2" xfId="26736" xr:uid="{00000000-0005-0000-0000-00003A690000}"/>
    <cellStyle name="Standard 4 4 3 3 4 2 3 3" xfId="26737" xr:uid="{00000000-0005-0000-0000-00003B690000}"/>
    <cellStyle name="Standard 4 4 3 3 4 2 4" xfId="26738" xr:uid="{00000000-0005-0000-0000-00003C690000}"/>
    <cellStyle name="Standard 4 4 3 3 4 2 4 2" xfId="26739" xr:uid="{00000000-0005-0000-0000-00003D690000}"/>
    <cellStyle name="Standard 4 4 3 3 4 2 4 3" xfId="26740" xr:uid="{00000000-0005-0000-0000-00003E690000}"/>
    <cellStyle name="Standard 4 4 3 3 4 2 5" xfId="26741" xr:uid="{00000000-0005-0000-0000-00003F690000}"/>
    <cellStyle name="Standard 4 4 3 3 4 2 5 2" xfId="26742" xr:uid="{00000000-0005-0000-0000-000040690000}"/>
    <cellStyle name="Standard 4 4 3 3 4 2 6" xfId="26743" xr:uid="{00000000-0005-0000-0000-000041690000}"/>
    <cellStyle name="Standard 4 4 3 3 4 2 7" xfId="26744" xr:uid="{00000000-0005-0000-0000-000042690000}"/>
    <cellStyle name="Standard 4 4 3 3 4 3" xfId="26745" xr:uid="{00000000-0005-0000-0000-000043690000}"/>
    <cellStyle name="Standard 4 4 3 3 4 3 2" xfId="26746" xr:uid="{00000000-0005-0000-0000-000044690000}"/>
    <cellStyle name="Standard 4 4 3 3 4 3 2 2" xfId="26747" xr:uid="{00000000-0005-0000-0000-000045690000}"/>
    <cellStyle name="Standard 4 4 3 3 4 3 2 3" xfId="26748" xr:uid="{00000000-0005-0000-0000-000046690000}"/>
    <cellStyle name="Standard 4 4 3 3 4 3 3" xfId="26749" xr:uid="{00000000-0005-0000-0000-000047690000}"/>
    <cellStyle name="Standard 4 4 3 3 4 3 3 2" xfId="26750" xr:uid="{00000000-0005-0000-0000-000048690000}"/>
    <cellStyle name="Standard 4 4 3 3 4 3 3 3" xfId="26751" xr:uid="{00000000-0005-0000-0000-000049690000}"/>
    <cellStyle name="Standard 4 4 3 3 4 3 4" xfId="26752" xr:uid="{00000000-0005-0000-0000-00004A690000}"/>
    <cellStyle name="Standard 4 4 3 3 4 3 4 2" xfId="26753" xr:uid="{00000000-0005-0000-0000-00004B690000}"/>
    <cellStyle name="Standard 4 4 3 3 4 3 5" xfId="26754" xr:uid="{00000000-0005-0000-0000-00004C690000}"/>
    <cellStyle name="Standard 4 4 3 3 4 3 6" xfId="26755" xr:uid="{00000000-0005-0000-0000-00004D690000}"/>
    <cellStyle name="Standard 4 4 3 3 4 4" xfId="26756" xr:uid="{00000000-0005-0000-0000-00004E690000}"/>
    <cellStyle name="Standard 4 4 3 3 4 4 2" xfId="26757" xr:uid="{00000000-0005-0000-0000-00004F690000}"/>
    <cellStyle name="Standard 4 4 3 3 4 4 3" xfId="26758" xr:uid="{00000000-0005-0000-0000-000050690000}"/>
    <cellStyle name="Standard 4 4 3 3 4 5" xfId="26759" xr:uid="{00000000-0005-0000-0000-000051690000}"/>
    <cellStyle name="Standard 4 4 3 3 4 5 2" xfId="26760" xr:uid="{00000000-0005-0000-0000-000052690000}"/>
    <cellStyle name="Standard 4 4 3 3 4 5 3" xfId="26761" xr:uid="{00000000-0005-0000-0000-000053690000}"/>
    <cellStyle name="Standard 4 4 3 3 4 6" xfId="26762" xr:uid="{00000000-0005-0000-0000-000054690000}"/>
    <cellStyle name="Standard 4 4 3 3 4 6 2" xfId="26763" xr:uid="{00000000-0005-0000-0000-000055690000}"/>
    <cellStyle name="Standard 4 4 3 3 4 7" xfId="26764" xr:uid="{00000000-0005-0000-0000-000056690000}"/>
    <cellStyle name="Standard 4 4 3 3 4 8" xfId="26765" xr:uid="{00000000-0005-0000-0000-000057690000}"/>
    <cellStyle name="Standard 4 4 3 3 5" xfId="26766" xr:uid="{00000000-0005-0000-0000-000058690000}"/>
    <cellStyle name="Standard 4 4 3 3 5 2" xfId="26767" xr:uid="{00000000-0005-0000-0000-000059690000}"/>
    <cellStyle name="Standard 4 4 3 3 5 2 2" xfId="26768" xr:uid="{00000000-0005-0000-0000-00005A690000}"/>
    <cellStyle name="Standard 4 4 3 3 5 2 2 2" xfId="26769" xr:uid="{00000000-0005-0000-0000-00005B690000}"/>
    <cellStyle name="Standard 4 4 3 3 5 2 2 3" xfId="26770" xr:uid="{00000000-0005-0000-0000-00005C690000}"/>
    <cellStyle name="Standard 4 4 3 3 5 2 3" xfId="26771" xr:uid="{00000000-0005-0000-0000-00005D690000}"/>
    <cellStyle name="Standard 4 4 3 3 5 2 3 2" xfId="26772" xr:uid="{00000000-0005-0000-0000-00005E690000}"/>
    <cellStyle name="Standard 4 4 3 3 5 2 3 3" xfId="26773" xr:uid="{00000000-0005-0000-0000-00005F690000}"/>
    <cellStyle name="Standard 4 4 3 3 5 2 4" xfId="26774" xr:uid="{00000000-0005-0000-0000-000060690000}"/>
    <cellStyle name="Standard 4 4 3 3 5 2 4 2" xfId="26775" xr:uid="{00000000-0005-0000-0000-000061690000}"/>
    <cellStyle name="Standard 4 4 3 3 5 2 5" xfId="26776" xr:uid="{00000000-0005-0000-0000-000062690000}"/>
    <cellStyle name="Standard 4 4 3 3 5 2 6" xfId="26777" xr:uid="{00000000-0005-0000-0000-000063690000}"/>
    <cellStyle name="Standard 4 4 3 3 5 3" xfId="26778" xr:uid="{00000000-0005-0000-0000-000064690000}"/>
    <cellStyle name="Standard 4 4 3 3 5 3 2" xfId="26779" xr:uid="{00000000-0005-0000-0000-000065690000}"/>
    <cellStyle name="Standard 4 4 3 3 5 3 3" xfId="26780" xr:uid="{00000000-0005-0000-0000-000066690000}"/>
    <cellStyle name="Standard 4 4 3 3 5 4" xfId="26781" xr:uid="{00000000-0005-0000-0000-000067690000}"/>
    <cellStyle name="Standard 4 4 3 3 5 4 2" xfId="26782" xr:uid="{00000000-0005-0000-0000-000068690000}"/>
    <cellStyle name="Standard 4 4 3 3 5 4 3" xfId="26783" xr:uid="{00000000-0005-0000-0000-000069690000}"/>
    <cellStyle name="Standard 4 4 3 3 5 5" xfId="26784" xr:uid="{00000000-0005-0000-0000-00006A690000}"/>
    <cellStyle name="Standard 4 4 3 3 5 5 2" xfId="26785" xr:uid="{00000000-0005-0000-0000-00006B690000}"/>
    <cellStyle name="Standard 4 4 3 3 5 6" xfId="26786" xr:uid="{00000000-0005-0000-0000-00006C690000}"/>
    <cellStyle name="Standard 4 4 3 3 5 7" xfId="26787" xr:uid="{00000000-0005-0000-0000-00006D690000}"/>
    <cellStyle name="Standard 4 4 3 3 6" xfId="26788" xr:uid="{00000000-0005-0000-0000-00006E690000}"/>
    <cellStyle name="Standard 4 4 3 3 6 2" xfId="26789" xr:uid="{00000000-0005-0000-0000-00006F690000}"/>
    <cellStyle name="Standard 4 4 3 3 6 2 2" xfId="26790" xr:uid="{00000000-0005-0000-0000-000070690000}"/>
    <cellStyle name="Standard 4 4 3 3 6 2 3" xfId="26791" xr:uid="{00000000-0005-0000-0000-000071690000}"/>
    <cellStyle name="Standard 4 4 3 3 6 3" xfId="26792" xr:uid="{00000000-0005-0000-0000-000072690000}"/>
    <cellStyle name="Standard 4 4 3 3 6 3 2" xfId="26793" xr:uid="{00000000-0005-0000-0000-000073690000}"/>
    <cellStyle name="Standard 4 4 3 3 6 3 3" xfId="26794" xr:uid="{00000000-0005-0000-0000-000074690000}"/>
    <cellStyle name="Standard 4 4 3 3 6 4" xfId="26795" xr:uid="{00000000-0005-0000-0000-000075690000}"/>
    <cellStyle name="Standard 4 4 3 3 6 4 2" xfId="26796" xr:uid="{00000000-0005-0000-0000-000076690000}"/>
    <cellStyle name="Standard 4 4 3 3 6 5" xfId="26797" xr:uid="{00000000-0005-0000-0000-000077690000}"/>
    <cellStyle name="Standard 4 4 3 3 6 6" xfId="26798" xr:uid="{00000000-0005-0000-0000-000078690000}"/>
    <cellStyle name="Standard 4 4 3 3 7" xfId="26799" xr:uid="{00000000-0005-0000-0000-000079690000}"/>
    <cellStyle name="Standard 4 4 3 3 7 2" xfId="26800" xr:uid="{00000000-0005-0000-0000-00007A690000}"/>
    <cellStyle name="Standard 4 4 3 3 7 3" xfId="26801" xr:uid="{00000000-0005-0000-0000-00007B690000}"/>
    <cellStyle name="Standard 4 4 3 3 8" xfId="26802" xr:uid="{00000000-0005-0000-0000-00007C690000}"/>
    <cellStyle name="Standard 4 4 3 3 8 2" xfId="26803" xr:uid="{00000000-0005-0000-0000-00007D690000}"/>
    <cellStyle name="Standard 4 4 3 3 8 3" xfId="26804" xr:uid="{00000000-0005-0000-0000-00007E690000}"/>
    <cellStyle name="Standard 4 4 3 3 9" xfId="26805" xr:uid="{00000000-0005-0000-0000-00007F690000}"/>
    <cellStyle name="Standard 4 4 3 3 9 2" xfId="26806" xr:uid="{00000000-0005-0000-0000-000080690000}"/>
    <cellStyle name="Standard 4 4 3 4" xfId="26807" xr:uid="{00000000-0005-0000-0000-000081690000}"/>
    <cellStyle name="Standard 4 4 3 4 10" xfId="26808" xr:uid="{00000000-0005-0000-0000-000082690000}"/>
    <cellStyle name="Standard 4 4 3 4 2" xfId="26809" xr:uid="{00000000-0005-0000-0000-000083690000}"/>
    <cellStyle name="Standard 4 4 3 4 2 2" xfId="26810" xr:uid="{00000000-0005-0000-0000-000084690000}"/>
    <cellStyle name="Standard 4 4 3 4 2 2 2" xfId="26811" xr:uid="{00000000-0005-0000-0000-000085690000}"/>
    <cellStyle name="Standard 4 4 3 4 2 2 2 2" xfId="26812" xr:uid="{00000000-0005-0000-0000-000086690000}"/>
    <cellStyle name="Standard 4 4 3 4 2 2 2 2 2" xfId="26813" xr:uid="{00000000-0005-0000-0000-000087690000}"/>
    <cellStyle name="Standard 4 4 3 4 2 2 2 2 3" xfId="26814" xr:uid="{00000000-0005-0000-0000-000088690000}"/>
    <cellStyle name="Standard 4 4 3 4 2 2 2 3" xfId="26815" xr:uid="{00000000-0005-0000-0000-000089690000}"/>
    <cellStyle name="Standard 4 4 3 4 2 2 2 3 2" xfId="26816" xr:uid="{00000000-0005-0000-0000-00008A690000}"/>
    <cellStyle name="Standard 4 4 3 4 2 2 2 3 3" xfId="26817" xr:uid="{00000000-0005-0000-0000-00008B690000}"/>
    <cellStyle name="Standard 4 4 3 4 2 2 2 4" xfId="26818" xr:uid="{00000000-0005-0000-0000-00008C690000}"/>
    <cellStyle name="Standard 4 4 3 4 2 2 2 4 2" xfId="26819" xr:uid="{00000000-0005-0000-0000-00008D690000}"/>
    <cellStyle name="Standard 4 4 3 4 2 2 2 5" xfId="26820" xr:uid="{00000000-0005-0000-0000-00008E690000}"/>
    <cellStyle name="Standard 4 4 3 4 2 2 2 6" xfId="26821" xr:uid="{00000000-0005-0000-0000-00008F690000}"/>
    <cellStyle name="Standard 4 4 3 4 2 2 3" xfId="26822" xr:uid="{00000000-0005-0000-0000-000090690000}"/>
    <cellStyle name="Standard 4 4 3 4 2 2 3 2" xfId="26823" xr:uid="{00000000-0005-0000-0000-000091690000}"/>
    <cellStyle name="Standard 4 4 3 4 2 2 3 3" xfId="26824" xr:uid="{00000000-0005-0000-0000-000092690000}"/>
    <cellStyle name="Standard 4 4 3 4 2 2 4" xfId="26825" xr:uid="{00000000-0005-0000-0000-000093690000}"/>
    <cellStyle name="Standard 4 4 3 4 2 2 4 2" xfId="26826" xr:uid="{00000000-0005-0000-0000-000094690000}"/>
    <cellStyle name="Standard 4 4 3 4 2 2 4 3" xfId="26827" xr:uid="{00000000-0005-0000-0000-000095690000}"/>
    <cellStyle name="Standard 4 4 3 4 2 2 5" xfId="26828" xr:uid="{00000000-0005-0000-0000-000096690000}"/>
    <cellStyle name="Standard 4 4 3 4 2 2 5 2" xfId="26829" xr:uid="{00000000-0005-0000-0000-000097690000}"/>
    <cellStyle name="Standard 4 4 3 4 2 2 6" xfId="26830" xr:uid="{00000000-0005-0000-0000-000098690000}"/>
    <cellStyle name="Standard 4 4 3 4 2 2 7" xfId="26831" xr:uid="{00000000-0005-0000-0000-000099690000}"/>
    <cellStyle name="Standard 4 4 3 4 2 3" xfId="26832" xr:uid="{00000000-0005-0000-0000-00009A690000}"/>
    <cellStyle name="Standard 4 4 3 4 2 3 2" xfId="26833" xr:uid="{00000000-0005-0000-0000-00009B690000}"/>
    <cellStyle name="Standard 4 4 3 4 2 3 2 2" xfId="26834" xr:uid="{00000000-0005-0000-0000-00009C690000}"/>
    <cellStyle name="Standard 4 4 3 4 2 3 2 3" xfId="26835" xr:uid="{00000000-0005-0000-0000-00009D690000}"/>
    <cellStyle name="Standard 4 4 3 4 2 3 3" xfId="26836" xr:uid="{00000000-0005-0000-0000-00009E690000}"/>
    <cellStyle name="Standard 4 4 3 4 2 3 3 2" xfId="26837" xr:uid="{00000000-0005-0000-0000-00009F690000}"/>
    <cellStyle name="Standard 4 4 3 4 2 3 3 3" xfId="26838" xr:uid="{00000000-0005-0000-0000-0000A0690000}"/>
    <cellStyle name="Standard 4 4 3 4 2 3 4" xfId="26839" xr:uid="{00000000-0005-0000-0000-0000A1690000}"/>
    <cellStyle name="Standard 4 4 3 4 2 3 4 2" xfId="26840" xr:uid="{00000000-0005-0000-0000-0000A2690000}"/>
    <cellStyle name="Standard 4 4 3 4 2 3 5" xfId="26841" xr:uid="{00000000-0005-0000-0000-0000A3690000}"/>
    <cellStyle name="Standard 4 4 3 4 2 3 6" xfId="26842" xr:uid="{00000000-0005-0000-0000-0000A4690000}"/>
    <cellStyle name="Standard 4 4 3 4 2 4" xfId="26843" xr:uid="{00000000-0005-0000-0000-0000A5690000}"/>
    <cellStyle name="Standard 4 4 3 4 2 4 2" xfId="26844" xr:uid="{00000000-0005-0000-0000-0000A6690000}"/>
    <cellStyle name="Standard 4 4 3 4 2 4 3" xfId="26845" xr:uid="{00000000-0005-0000-0000-0000A7690000}"/>
    <cellStyle name="Standard 4 4 3 4 2 5" xfId="26846" xr:uid="{00000000-0005-0000-0000-0000A8690000}"/>
    <cellStyle name="Standard 4 4 3 4 2 5 2" xfId="26847" xr:uid="{00000000-0005-0000-0000-0000A9690000}"/>
    <cellStyle name="Standard 4 4 3 4 2 5 3" xfId="26848" xr:uid="{00000000-0005-0000-0000-0000AA690000}"/>
    <cellStyle name="Standard 4 4 3 4 2 6" xfId="26849" xr:uid="{00000000-0005-0000-0000-0000AB690000}"/>
    <cellStyle name="Standard 4 4 3 4 2 6 2" xfId="26850" xr:uid="{00000000-0005-0000-0000-0000AC690000}"/>
    <cellStyle name="Standard 4 4 3 4 2 7" xfId="26851" xr:uid="{00000000-0005-0000-0000-0000AD690000}"/>
    <cellStyle name="Standard 4 4 3 4 2 8" xfId="26852" xr:uid="{00000000-0005-0000-0000-0000AE690000}"/>
    <cellStyle name="Standard 4 4 3 4 3" xfId="26853" xr:uid="{00000000-0005-0000-0000-0000AF690000}"/>
    <cellStyle name="Standard 4 4 3 4 3 2" xfId="26854" xr:uid="{00000000-0005-0000-0000-0000B0690000}"/>
    <cellStyle name="Standard 4 4 3 4 3 2 2" xfId="26855" xr:uid="{00000000-0005-0000-0000-0000B1690000}"/>
    <cellStyle name="Standard 4 4 3 4 3 2 2 2" xfId="26856" xr:uid="{00000000-0005-0000-0000-0000B2690000}"/>
    <cellStyle name="Standard 4 4 3 4 3 2 2 2 2" xfId="26857" xr:uid="{00000000-0005-0000-0000-0000B3690000}"/>
    <cellStyle name="Standard 4 4 3 4 3 2 2 2 3" xfId="26858" xr:uid="{00000000-0005-0000-0000-0000B4690000}"/>
    <cellStyle name="Standard 4 4 3 4 3 2 2 3" xfId="26859" xr:uid="{00000000-0005-0000-0000-0000B5690000}"/>
    <cellStyle name="Standard 4 4 3 4 3 2 2 3 2" xfId="26860" xr:uid="{00000000-0005-0000-0000-0000B6690000}"/>
    <cellStyle name="Standard 4 4 3 4 3 2 2 3 3" xfId="26861" xr:uid="{00000000-0005-0000-0000-0000B7690000}"/>
    <cellStyle name="Standard 4 4 3 4 3 2 2 4" xfId="26862" xr:uid="{00000000-0005-0000-0000-0000B8690000}"/>
    <cellStyle name="Standard 4 4 3 4 3 2 2 4 2" xfId="26863" xr:uid="{00000000-0005-0000-0000-0000B9690000}"/>
    <cellStyle name="Standard 4 4 3 4 3 2 2 5" xfId="26864" xr:uid="{00000000-0005-0000-0000-0000BA690000}"/>
    <cellStyle name="Standard 4 4 3 4 3 2 2 6" xfId="26865" xr:uid="{00000000-0005-0000-0000-0000BB690000}"/>
    <cellStyle name="Standard 4 4 3 4 3 2 3" xfId="26866" xr:uid="{00000000-0005-0000-0000-0000BC690000}"/>
    <cellStyle name="Standard 4 4 3 4 3 2 3 2" xfId="26867" xr:uid="{00000000-0005-0000-0000-0000BD690000}"/>
    <cellStyle name="Standard 4 4 3 4 3 2 3 3" xfId="26868" xr:uid="{00000000-0005-0000-0000-0000BE690000}"/>
    <cellStyle name="Standard 4 4 3 4 3 2 4" xfId="26869" xr:uid="{00000000-0005-0000-0000-0000BF690000}"/>
    <cellStyle name="Standard 4 4 3 4 3 2 4 2" xfId="26870" xr:uid="{00000000-0005-0000-0000-0000C0690000}"/>
    <cellStyle name="Standard 4 4 3 4 3 2 4 3" xfId="26871" xr:uid="{00000000-0005-0000-0000-0000C1690000}"/>
    <cellStyle name="Standard 4 4 3 4 3 2 5" xfId="26872" xr:uid="{00000000-0005-0000-0000-0000C2690000}"/>
    <cellStyle name="Standard 4 4 3 4 3 2 5 2" xfId="26873" xr:uid="{00000000-0005-0000-0000-0000C3690000}"/>
    <cellStyle name="Standard 4 4 3 4 3 2 6" xfId="26874" xr:uid="{00000000-0005-0000-0000-0000C4690000}"/>
    <cellStyle name="Standard 4 4 3 4 3 2 7" xfId="26875" xr:uid="{00000000-0005-0000-0000-0000C5690000}"/>
    <cellStyle name="Standard 4 4 3 4 3 3" xfId="26876" xr:uid="{00000000-0005-0000-0000-0000C6690000}"/>
    <cellStyle name="Standard 4 4 3 4 3 3 2" xfId="26877" xr:uid="{00000000-0005-0000-0000-0000C7690000}"/>
    <cellStyle name="Standard 4 4 3 4 3 3 2 2" xfId="26878" xr:uid="{00000000-0005-0000-0000-0000C8690000}"/>
    <cellStyle name="Standard 4 4 3 4 3 3 2 3" xfId="26879" xr:uid="{00000000-0005-0000-0000-0000C9690000}"/>
    <cellStyle name="Standard 4 4 3 4 3 3 3" xfId="26880" xr:uid="{00000000-0005-0000-0000-0000CA690000}"/>
    <cellStyle name="Standard 4 4 3 4 3 3 3 2" xfId="26881" xr:uid="{00000000-0005-0000-0000-0000CB690000}"/>
    <cellStyle name="Standard 4 4 3 4 3 3 3 3" xfId="26882" xr:uid="{00000000-0005-0000-0000-0000CC690000}"/>
    <cellStyle name="Standard 4 4 3 4 3 3 4" xfId="26883" xr:uid="{00000000-0005-0000-0000-0000CD690000}"/>
    <cellStyle name="Standard 4 4 3 4 3 3 4 2" xfId="26884" xr:uid="{00000000-0005-0000-0000-0000CE690000}"/>
    <cellStyle name="Standard 4 4 3 4 3 3 5" xfId="26885" xr:uid="{00000000-0005-0000-0000-0000CF690000}"/>
    <cellStyle name="Standard 4 4 3 4 3 3 6" xfId="26886" xr:uid="{00000000-0005-0000-0000-0000D0690000}"/>
    <cellStyle name="Standard 4 4 3 4 3 4" xfId="26887" xr:uid="{00000000-0005-0000-0000-0000D1690000}"/>
    <cellStyle name="Standard 4 4 3 4 3 4 2" xfId="26888" xr:uid="{00000000-0005-0000-0000-0000D2690000}"/>
    <cellStyle name="Standard 4 4 3 4 3 4 3" xfId="26889" xr:uid="{00000000-0005-0000-0000-0000D3690000}"/>
    <cellStyle name="Standard 4 4 3 4 3 5" xfId="26890" xr:uid="{00000000-0005-0000-0000-0000D4690000}"/>
    <cellStyle name="Standard 4 4 3 4 3 5 2" xfId="26891" xr:uid="{00000000-0005-0000-0000-0000D5690000}"/>
    <cellStyle name="Standard 4 4 3 4 3 5 3" xfId="26892" xr:uid="{00000000-0005-0000-0000-0000D6690000}"/>
    <cellStyle name="Standard 4 4 3 4 3 6" xfId="26893" xr:uid="{00000000-0005-0000-0000-0000D7690000}"/>
    <cellStyle name="Standard 4 4 3 4 3 6 2" xfId="26894" xr:uid="{00000000-0005-0000-0000-0000D8690000}"/>
    <cellStyle name="Standard 4 4 3 4 3 7" xfId="26895" xr:uid="{00000000-0005-0000-0000-0000D9690000}"/>
    <cellStyle name="Standard 4 4 3 4 3 8" xfId="26896" xr:uid="{00000000-0005-0000-0000-0000DA690000}"/>
    <cellStyle name="Standard 4 4 3 4 4" xfId="26897" xr:uid="{00000000-0005-0000-0000-0000DB690000}"/>
    <cellStyle name="Standard 4 4 3 4 4 2" xfId="26898" xr:uid="{00000000-0005-0000-0000-0000DC690000}"/>
    <cellStyle name="Standard 4 4 3 4 4 2 2" xfId="26899" xr:uid="{00000000-0005-0000-0000-0000DD690000}"/>
    <cellStyle name="Standard 4 4 3 4 4 2 2 2" xfId="26900" xr:uid="{00000000-0005-0000-0000-0000DE690000}"/>
    <cellStyle name="Standard 4 4 3 4 4 2 2 3" xfId="26901" xr:uid="{00000000-0005-0000-0000-0000DF690000}"/>
    <cellStyle name="Standard 4 4 3 4 4 2 3" xfId="26902" xr:uid="{00000000-0005-0000-0000-0000E0690000}"/>
    <cellStyle name="Standard 4 4 3 4 4 2 3 2" xfId="26903" xr:uid="{00000000-0005-0000-0000-0000E1690000}"/>
    <cellStyle name="Standard 4 4 3 4 4 2 3 3" xfId="26904" xr:uid="{00000000-0005-0000-0000-0000E2690000}"/>
    <cellStyle name="Standard 4 4 3 4 4 2 4" xfId="26905" xr:uid="{00000000-0005-0000-0000-0000E3690000}"/>
    <cellStyle name="Standard 4 4 3 4 4 2 4 2" xfId="26906" xr:uid="{00000000-0005-0000-0000-0000E4690000}"/>
    <cellStyle name="Standard 4 4 3 4 4 2 5" xfId="26907" xr:uid="{00000000-0005-0000-0000-0000E5690000}"/>
    <cellStyle name="Standard 4 4 3 4 4 2 6" xfId="26908" xr:uid="{00000000-0005-0000-0000-0000E6690000}"/>
    <cellStyle name="Standard 4 4 3 4 4 3" xfId="26909" xr:uid="{00000000-0005-0000-0000-0000E7690000}"/>
    <cellStyle name="Standard 4 4 3 4 4 3 2" xfId="26910" xr:uid="{00000000-0005-0000-0000-0000E8690000}"/>
    <cellStyle name="Standard 4 4 3 4 4 3 3" xfId="26911" xr:uid="{00000000-0005-0000-0000-0000E9690000}"/>
    <cellStyle name="Standard 4 4 3 4 4 4" xfId="26912" xr:uid="{00000000-0005-0000-0000-0000EA690000}"/>
    <cellStyle name="Standard 4 4 3 4 4 4 2" xfId="26913" xr:uid="{00000000-0005-0000-0000-0000EB690000}"/>
    <cellStyle name="Standard 4 4 3 4 4 4 3" xfId="26914" xr:uid="{00000000-0005-0000-0000-0000EC690000}"/>
    <cellStyle name="Standard 4 4 3 4 4 5" xfId="26915" xr:uid="{00000000-0005-0000-0000-0000ED690000}"/>
    <cellStyle name="Standard 4 4 3 4 4 5 2" xfId="26916" xr:uid="{00000000-0005-0000-0000-0000EE690000}"/>
    <cellStyle name="Standard 4 4 3 4 4 6" xfId="26917" xr:uid="{00000000-0005-0000-0000-0000EF690000}"/>
    <cellStyle name="Standard 4 4 3 4 4 7" xfId="26918" xr:uid="{00000000-0005-0000-0000-0000F0690000}"/>
    <cellStyle name="Standard 4 4 3 4 5" xfId="26919" xr:uid="{00000000-0005-0000-0000-0000F1690000}"/>
    <cellStyle name="Standard 4 4 3 4 5 2" xfId="26920" xr:uid="{00000000-0005-0000-0000-0000F2690000}"/>
    <cellStyle name="Standard 4 4 3 4 5 2 2" xfId="26921" xr:uid="{00000000-0005-0000-0000-0000F3690000}"/>
    <cellStyle name="Standard 4 4 3 4 5 2 3" xfId="26922" xr:uid="{00000000-0005-0000-0000-0000F4690000}"/>
    <cellStyle name="Standard 4 4 3 4 5 3" xfId="26923" xr:uid="{00000000-0005-0000-0000-0000F5690000}"/>
    <cellStyle name="Standard 4 4 3 4 5 3 2" xfId="26924" xr:uid="{00000000-0005-0000-0000-0000F6690000}"/>
    <cellStyle name="Standard 4 4 3 4 5 3 3" xfId="26925" xr:uid="{00000000-0005-0000-0000-0000F7690000}"/>
    <cellStyle name="Standard 4 4 3 4 5 4" xfId="26926" xr:uid="{00000000-0005-0000-0000-0000F8690000}"/>
    <cellStyle name="Standard 4 4 3 4 5 4 2" xfId="26927" xr:uid="{00000000-0005-0000-0000-0000F9690000}"/>
    <cellStyle name="Standard 4 4 3 4 5 5" xfId="26928" xr:uid="{00000000-0005-0000-0000-0000FA690000}"/>
    <cellStyle name="Standard 4 4 3 4 5 6" xfId="26929" xr:uid="{00000000-0005-0000-0000-0000FB690000}"/>
    <cellStyle name="Standard 4 4 3 4 6" xfId="26930" xr:uid="{00000000-0005-0000-0000-0000FC690000}"/>
    <cellStyle name="Standard 4 4 3 4 6 2" xfId="26931" xr:uid="{00000000-0005-0000-0000-0000FD690000}"/>
    <cellStyle name="Standard 4 4 3 4 6 3" xfId="26932" xr:uid="{00000000-0005-0000-0000-0000FE690000}"/>
    <cellStyle name="Standard 4 4 3 4 7" xfId="26933" xr:uid="{00000000-0005-0000-0000-0000FF690000}"/>
    <cellStyle name="Standard 4 4 3 4 7 2" xfId="26934" xr:uid="{00000000-0005-0000-0000-0000006A0000}"/>
    <cellStyle name="Standard 4 4 3 4 7 3" xfId="26935" xr:uid="{00000000-0005-0000-0000-0000016A0000}"/>
    <cellStyle name="Standard 4 4 3 4 8" xfId="26936" xr:uid="{00000000-0005-0000-0000-0000026A0000}"/>
    <cellStyle name="Standard 4 4 3 4 8 2" xfId="26937" xr:uid="{00000000-0005-0000-0000-0000036A0000}"/>
    <cellStyle name="Standard 4 4 3 4 9" xfId="26938" xr:uid="{00000000-0005-0000-0000-0000046A0000}"/>
    <cellStyle name="Standard 4 4 3 5" xfId="26939" xr:uid="{00000000-0005-0000-0000-0000056A0000}"/>
    <cellStyle name="Standard 4 4 3 5 2" xfId="26940" xr:uid="{00000000-0005-0000-0000-0000066A0000}"/>
    <cellStyle name="Standard 4 4 3 5 2 2" xfId="26941" xr:uid="{00000000-0005-0000-0000-0000076A0000}"/>
    <cellStyle name="Standard 4 4 3 5 2 2 2" xfId="26942" xr:uid="{00000000-0005-0000-0000-0000086A0000}"/>
    <cellStyle name="Standard 4 4 3 5 2 2 2 2" xfId="26943" xr:uid="{00000000-0005-0000-0000-0000096A0000}"/>
    <cellStyle name="Standard 4 4 3 5 2 2 2 3" xfId="26944" xr:uid="{00000000-0005-0000-0000-00000A6A0000}"/>
    <cellStyle name="Standard 4 4 3 5 2 2 3" xfId="26945" xr:uid="{00000000-0005-0000-0000-00000B6A0000}"/>
    <cellStyle name="Standard 4 4 3 5 2 2 3 2" xfId="26946" xr:uid="{00000000-0005-0000-0000-00000C6A0000}"/>
    <cellStyle name="Standard 4 4 3 5 2 2 3 3" xfId="26947" xr:uid="{00000000-0005-0000-0000-00000D6A0000}"/>
    <cellStyle name="Standard 4 4 3 5 2 2 4" xfId="26948" xr:uid="{00000000-0005-0000-0000-00000E6A0000}"/>
    <cellStyle name="Standard 4 4 3 5 2 2 4 2" xfId="26949" xr:uid="{00000000-0005-0000-0000-00000F6A0000}"/>
    <cellStyle name="Standard 4 4 3 5 2 2 5" xfId="26950" xr:uid="{00000000-0005-0000-0000-0000106A0000}"/>
    <cellStyle name="Standard 4 4 3 5 2 2 6" xfId="26951" xr:uid="{00000000-0005-0000-0000-0000116A0000}"/>
    <cellStyle name="Standard 4 4 3 5 2 3" xfId="26952" xr:uid="{00000000-0005-0000-0000-0000126A0000}"/>
    <cellStyle name="Standard 4 4 3 5 2 3 2" xfId="26953" xr:uid="{00000000-0005-0000-0000-0000136A0000}"/>
    <cellStyle name="Standard 4 4 3 5 2 3 3" xfId="26954" xr:uid="{00000000-0005-0000-0000-0000146A0000}"/>
    <cellStyle name="Standard 4 4 3 5 2 4" xfId="26955" xr:uid="{00000000-0005-0000-0000-0000156A0000}"/>
    <cellStyle name="Standard 4 4 3 5 2 4 2" xfId="26956" xr:uid="{00000000-0005-0000-0000-0000166A0000}"/>
    <cellStyle name="Standard 4 4 3 5 2 4 3" xfId="26957" xr:uid="{00000000-0005-0000-0000-0000176A0000}"/>
    <cellStyle name="Standard 4 4 3 5 2 5" xfId="26958" xr:uid="{00000000-0005-0000-0000-0000186A0000}"/>
    <cellStyle name="Standard 4 4 3 5 2 5 2" xfId="26959" xr:uid="{00000000-0005-0000-0000-0000196A0000}"/>
    <cellStyle name="Standard 4 4 3 5 2 6" xfId="26960" xr:uid="{00000000-0005-0000-0000-00001A6A0000}"/>
    <cellStyle name="Standard 4 4 3 5 2 7" xfId="26961" xr:uid="{00000000-0005-0000-0000-00001B6A0000}"/>
    <cellStyle name="Standard 4 4 3 5 3" xfId="26962" xr:uid="{00000000-0005-0000-0000-00001C6A0000}"/>
    <cellStyle name="Standard 4 4 3 5 3 2" xfId="26963" xr:uid="{00000000-0005-0000-0000-00001D6A0000}"/>
    <cellStyle name="Standard 4 4 3 5 3 2 2" xfId="26964" xr:uid="{00000000-0005-0000-0000-00001E6A0000}"/>
    <cellStyle name="Standard 4 4 3 5 3 2 3" xfId="26965" xr:uid="{00000000-0005-0000-0000-00001F6A0000}"/>
    <cellStyle name="Standard 4 4 3 5 3 3" xfId="26966" xr:uid="{00000000-0005-0000-0000-0000206A0000}"/>
    <cellStyle name="Standard 4 4 3 5 3 3 2" xfId="26967" xr:uid="{00000000-0005-0000-0000-0000216A0000}"/>
    <cellStyle name="Standard 4 4 3 5 3 3 3" xfId="26968" xr:uid="{00000000-0005-0000-0000-0000226A0000}"/>
    <cellStyle name="Standard 4 4 3 5 3 4" xfId="26969" xr:uid="{00000000-0005-0000-0000-0000236A0000}"/>
    <cellStyle name="Standard 4 4 3 5 3 4 2" xfId="26970" xr:uid="{00000000-0005-0000-0000-0000246A0000}"/>
    <cellStyle name="Standard 4 4 3 5 3 5" xfId="26971" xr:uid="{00000000-0005-0000-0000-0000256A0000}"/>
    <cellStyle name="Standard 4 4 3 5 3 6" xfId="26972" xr:uid="{00000000-0005-0000-0000-0000266A0000}"/>
    <cellStyle name="Standard 4 4 3 5 4" xfId="26973" xr:uid="{00000000-0005-0000-0000-0000276A0000}"/>
    <cellStyle name="Standard 4 4 3 5 4 2" xfId="26974" xr:uid="{00000000-0005-0000-0000-0000286A0000}"/>
    <cellStyle name="Standard 4 4 3 5 4 3" xfId="26975" xr:uid="{00000000-0005-0000-0000-0000296A0000}"/>
    <cellStyle name="Standard 4 4 3 5 5" xfId="26976" xr:uid="{00000000-0005-0000-0000-00002A6A0000}"/>
    <cellStyle name="Standard 4 4 3 5 5 2" xfId="26977" xr:uid="{00000000-0005-0000-0000-00002B6A0000}"/>
    <cellStyle name="Standard 4 4 3 5 5 3" xfId="26978" xr:uid="{00000000-0005-0000-0000-00002C6A0000}"/>
    <cellStyle name="Standard 4 4 3 5 6" xfId="26979" xr:uid="{00000000-0005-0000-0000-00002D6A0000}"/>
    <cellStyle name="Standard 4 4 3 5 6 2" xfId="26980" xr:uid="{00000000-0005-0000-0000-00002E6A0000}"/>
    <cellStyle name="Standard 4 4 3 5 7" xfId="26981" xr:uid="{00000000-0005-0000-0000-00002F6A0000}"/>
    <cellStyle name="Standard 4 4 3 5 8" xfId="26982" xr:uid="{00000000-0005-0000-0000-0000306A0000}"/>
    <cellStyle name="Standard 4 4 3 6" xfId="26983" xr:uid="{00000000-0005-0000-0000-0000316A0000}"/>
    <cellStyle name="Standard 4 4 3 6 2" xfId="26984" xr:uid="{00000000-0005-0000-0000-0000326A0000}"/>
    <cellStyle name="Standard 4 4 3 6 2 2" xfId="26985" xr:uid="{00000000-0005-0000-0000-0000336A0000}"/>
    <cellStyle name="Standard 4 4 3 6 2 2 2" xfId="26986" xr:uid="{00000000-0005-0000-0000-0000346A0000}"/>
    <cellStyle name="Standard 4 4 3 6 2 2 2 2" xfId="26987" xr:uid="{00000000-0005-0000-0000-0000356A0000}"/>
    <cellStyle name="Standard 4 4 3 6 2 2 2 3" xfId="26988" xr:uid="{00000000-0005-0000-0000-0000366A0000}"/>
    <cellStyle name="Standard 4 4 3 6 2 2 3" xfId="26989" xr:uid="{00000000-0005-0000-0000-0000376A0000}"/>
    <cellStyle name="Standard 4 4 3 6 2 2 3 2" xfId="26990" xr:uid="{00000000-0005-0000-0000-0000386A0000}"/>
    <cellStyle name="Standard 4 4 3 6 2 2 3 3" xfId="26991" xr:uid="{00000000-0005-0000-0000-0000396A0000}"/>
    <cellStyle name="Standard 4 4 3 6 2 2 4" xfId="26992" xr:uid="{00000000-0005-0000-0000-00003A6A0000}"/>
    <cellStyle name="Standard 4 4 3 6 2 2 4 2" xfId="26993" xr:uid="{00000000-0005-0000-0000-00003B6A0000}"/>
    <cellStyle name="Standard 4 4 3 6 2 2 5" xfId="26994" xr:uid="{00000000-0005-0000-0000-00003C6A0000}"/>
    <cellStyle name="Standard 4 4 3 6 2 2 6" xfId="26995" xr:uid="{00000000-0005-0000-0000-00003D6A0000}"/>
    <cellStyle name="Standard 4 4 3 6 2 3" xfId="26996" xr:uid="{00000000-0005-0000-0000-00003E6A0000}"/>
    <cellStyle name="Standard 4 4 3 6 2 3 2" xfId="26997" xr:uid="{00000000-0005-0000-0000-00003F6A0000}"/>
    <cellStyle name="Standard 4 4 3 6 2 3 3" xfId="26998" xr:uid="{00000000-0005-0000-0000-0000406A0000}"/>
    <cellStyle name="Standard 4 4 3 6 2 4" xfId="26999" xr:uid="{00000000-0005-0000-0000-0000416A0000}"/>
    <cellStyle name="Standard 4 4 3 6 2 4 2" xfId="27000" xr:uid="{00000000-0005-0000-0000-0000426A0000}"/>
    <cellStyle name="Standard 4 4 3 6 2 4 3" xfId="27001" xr:uid="{00000000-0005-0000-0000-0000436A0000}"/>
    <cellStyle name="Standard 4 4 3 6 2 5" xfId="27002" xr:uid="{00000000-0005-0000-0000-0000446A0000}"/>
    <cellStyle name="Standard 4 4 3 6 2 5 2" xfId="27003" xr:uid="{00000000-0005-0000-0000-0000456A0000}"/>
    <cellStyle name="Standard 4 4 3 6 2 6" xfId="27004" xr:uid="{00000000-0005-0000-0000-0000466A0000}"/>
    <cellStyle name="Standard 4 4 3 6 2 7" xfId="27005" xr:uid="{00000000-0005-0000-0000-0000476A0000}"/>
    <cellStyle name="Standard 4 4 3 6 3" xfId="27006" xr:uid="{00000000-0005-0000-0000-0000486A0000}"/>
    <cellStyle name="Standard 4 4 3 6 3 2" xfId="27007" xr:uid="{00000000-0005-0000-0000-0000496A0000}"/>
    <cellStyle name="Standard 4 4 3 6 3 2 2" xfId="27008" xr:uid="{00000000-0005-0000-0000-00004A6A0000}"/>
    <cellStyle name="Standard 4 4 3 6 3 2 3" xfId="27009" xr:uid="{00000000-0005-0000-0000-00004B6A0000}"/>
    <cellStyle name="Standard 4 4 3 6 3 3" xfId="27010" xr:uid="{00000000-0005-0000-0000-00004C6A0000}"/>
    <cellStyle name="Standard 4 4 3 6 3 3 2" xfId="27011" xr:uid="{00000000-0005-0000-0000-00004D6A0000}"/>
    <cellStyle name="Standard 4 4 3 6 3 3 3" xfId="27012" xr:uid="{00000000-0005-0000-0000-00004E6A0000}"/>
    <cellStyle name="Standard 4 4 3 6 3 4" xfId="27013" xr:uid="{00000000-0005-0000-0000-00004F6A0000}"/>
    <cellStyle name="Standard 4 4 3 6 3 4 2" xfId="27014" xr:uid="{00000000-0005-0000-0000-0000506A0000}"/>
    <cellStyle name="Standard 4 4 3 6 3 5" xfId="27015" xr:uid="{00000000-0005-0000-0000-0000516A0000}"/>
    <cellStyle name="Standard 4 4 3 6 3 6" xfId="27016" xr:uid="{00000000-0005-0000-0000-0000526A0000}"/>
    <cellStyle name="Standard 4 4 3 6 4" xfId="27017" xr:uid="{00000000-0005-0000-0000-0000536A0000}"/>
    <cellStyle name="Standard 4 4 3 6 4 2" xfId="27018" xr:uid="{00000000-0005-0000-0000-0000546A0000}"/>
    <cellStyle name="Standard 4 4 3 6 4 3" xfId="27019" xr:uid="{00000000-0005-0000-0000-0000556A0000}"/>
    <cellStyle name="Standard 4 4 3 6 5" xfId="27020" xr:uid="{00000000-0005-0000-0000-0000566A0000}"/>
    <cellStyle name="Standard 4 4 3 6 5 2" xfId="27021" xr:uid="{00000000-0005-0000-0000-0000576A0000}"/>
    <cellStyle name="Standard 4 4 3 6 5 3" xfId="27022" xr:uid="{00000000-0005-0000-0000-0000586A0000}"/>
    <cellStyle name="Standard 4 4 3 6 6" xfId="27023" xr:uid="{00000000-0005-0000-0000-0000596A0000}"/>
    <cellStyle name="Standard 4 4 3 6 6 2" xfId="27024" xr:uid="{00000000-0005-0000-0000-00005A6A0000}"/>
    <cellStyle name="Standard 4 4 3 6 7" xfId="27025" xr:uid="{00000000-0005-0000-0000-00005B6A0000}"/>
    <cellStyle name="Standard 4 4 3 6 8" xfId="27026" xr:uid="{00000000-0005-0000-0000-00005C6A0000}"/>
    <cellStyle name="Standard 4 4 3 7" xfId="27027" xr:uid="{00000000-0005-0000-0000-00005D6A0000}"/>
    <cellStyle name="Standard 4 4 3 7 2" xfId="27028" xr:uid="{00000000-0005-0000-0000-00005E6A0000}"/>
    <cellStyle name="Standard 4 4 3 7 2 2" xfId="27029" xr:uid="{00000000-0005-0000-0000-00005F6A0000}"/>
    <cellStyle name="Standard 4 4 3 7 2 2 2" xfId="27030" xr:uid="{00000000-0005-0000-0000-0000606A0000}"/>
    <cellStyle name="Standard 4 4 3 7 2 2 3" xfId="27031" xr:uid="{00000000-0005-0000-0000-0000616A0000}"/>
    <cellStyle name="Standard 4 4 3 7 2 3" xfId="27032" xr:uid="{00000000-0005-0000-0000-0000626A0000}"/>
    <cellStyle name="Standard 4 4 3 7 2 3 2" xfId="27033" xr:uid="{00000000-0005-0000-0000-0000636A0000}"/>
    <cellStyle name="Standard 4 4 3 7 2 3 3" xfId="27034" xr:uid="{00000000-0005-0000-0000-0000646A0000}"/>
    <cellStyle name="Standard 4 4 3 7 2 4" xfId="27035" xr:uid="{00000000-0005-0000-0000-0000656A0000}"/>
    <cellStyle name="Standard 4 4 3 7 2 4 2" xfId="27036" xr:uid="{00000000-0005-0000-0000-0000666A0000}"/>
    <cellStyle name="Standard 4 4 3 7 2 5" xfId="27037" xr:uid="{00000000-0005-0000-0000-0000676A0000}"/>
    <cellStyle name="Standard 4 4 3 7 2 6" xfId="27038" xr:uid="{00000000-0005-0000-0000-0000686A0000}"/>
    <cellStyle name="Standard 4 4 3 7 3" xfId="27039" xr:uid="{00000000-0005-0000-0000-0000696A0000}"/>
    <cellStyle name="Standard 4 4 3 7 3 2" xfId="27040" xr:uid="{00000000-0005-0000-0000-00006A6A0000}"/>
    <cellStyle name="Standard 4 4 3 7 3 3" xfId="27041" xr:uid="{00000000-0005-0000-0000-00006B6A0000}"/>
    <cellStyle name="Standard 4 4 3 7 4" xfId="27042" xr:uid="{00000000-0005-0000-0000-00006C6A0000}"/>
    <cellStyle name="Standard 4 4 3 7 4 2" xfId="27043" xr:uid="{00000000-0005-0000-0000-00006D6A0000}"/>
    <cellStyle name="Standard 4 4 3 7 4 3" xfId="27044" xr:uid="{00000000-0005-0000-0000-00006E6A0000}"/>
    <cellStyle name="Standard 4 4 3 7 5" xfId="27045" xr:uid="{00000000-0005-0000-0000-00006F6A0000}"/>
    <cellStyle name="Standard 4 4 3 7 5 2" xfId="27046" xr:uid="{00000000-0005-0000-0000-0000706A0000}"/>
    <cellStyle name="Standard 4 4 3 7 6" xfId="27047" xr:uid="{00000000-0005-0000-0000-0000716A0000}"/>
    <cellStyle name="Standard 4 4 3 7 7" xfId="27048" xr:uid="{00000000-0005-0000-0000-0000726A0000}"/>
    <cellStyle name="Standard 4 4 3 8" xfId="27049" xr:uid="{00000000-0005-0000-0000-0000736A0000}"/>
    <cellStyle name="Standard 4 4 3 8 2" xfId="27050" xr:uid="{00000000-0005-0000-0000-0000746A0000}"/>
    <cellStyle name="Standard 4 4 3 8 2 2" xfId="27051" xr:uid="{00000000-0005-0000-0000-0000756A0000}"/>
    <cellStyle name="Standard 4 4 3 8 2 3" xfId="27052" xr:uid="{00000000-0005-0000-0000-0000766A0000}"/>
    <cellStyle name="Standard 4 4 3 8 3" xfId="27053" xr:uid="{00000000-0005-0000-0000-0000776A0000}"/>
    <cellStyle name="Standard 4 4 3 8 3 2" xfId="27054" xr:uid="{00000000-0005-0000-0000-0000786A0000}"/>
    <cellStyle name="Standard 4 4 3 8 3 3" xfId="27055" xr:uid="{00000000-0005-0000-0000-0000796A0000}"/>
    <cellStyle name="Standard 4 4 3 8 4" xfId="27056" xr:uid="{00000000-0005-0000-0000-00007A6A0000}"/>
    <cellStyle name="Standard 4 4 3 8 4 2" xfId="27057" xr:uid="{00000000-0005-0000-0000-00007B6A0000}"/>
    <cellStyle name="Standard 4 4 3 8 5" xfId="27058" xr:uid="{00000000-0005-0000-0000-00007C6A0000}"/>
    <cellStyle name="Standard 4 4 3 8 6" xfId="27059" xr:uid="{00000000-0005-0000-0000-00007D6A0000}"/>
    <cellStyle name="Standard 4 4 3 9" xfId="27060" xr:uid="{00000000-0005-0000-0000-00007E6A0000}"/>
    <cellStyle name="Standard 4 4 3 9 2" xfId="27061" xr:uid="{00000000-0005-0000-0000-00007F6A0000}"/>
    <cellStyle name="Standard 4 4 3 9 3" xfId="27062" xr:uid="{00000000-0005-0000-0000-0000806A0000}"/>
    <cellStyle name="Standard 4 4 4" xfId="27063" xr:uid="{00000000-0005-0000-0000-0000816A0000}"/>
    <cellStyle name="Standard 4 4 4 10" xfId="27064" xr:uid="{00000000-0005-0000-0000-0000826A0000}"/>
    <cellStyle name="Standard 4 4 4 10 2" xfId="27065" xr:uid="{00000000-0005-0000-0000-0000836A0000}"/>
    <cellStyle name="Standard 4 4 4 11" xfId="27066" xr:uid="{00000000-0005-0000-0000-0000846A0000}"/>
    <cellStyle name="Standard 4 4 4 12" xfId="27067" xr:uid="{00000000-0005-0000-0000-0000856A0000}"/>
    <cellStyle name="Standard 4 4 4 2" xfId="27068" xr:uid="{00000000-0005-0000-0000-0000866A0000}"/>
    <cellStyle name="Standard 4 4 4 2 10" xfId="27069" xr:uid="{00000000-0005-0000-0000-0000876A0000}"/>
    <cellStyle name="Standard 4 4 4 2 11" xfId="27070" xr:uid="{00000000-0005-0000-0000-0000886A0000}"/>
    <cellStyle name="Standard 4 4 4 2 2" xfId="27071" xr:uid="{00000000-0005-0000-0000-0000896A0000}"/>
    <cellStyle name="Standard 4 4 4 2 2 10" xfId="27072" xr:uid="{00000000-0005-0000-0000-00008A6A0000}"/>
    <cellStyle name="Standard 4 4 4 2 2 2" xfId="27073" xr:uid="{00000000-0005-0000-0000-00008B6A0000}"/>
    <cellStyle name="Standard 4 4 4 2 2 2 2" xfId="27074" xr:uid="{00000000-0005-0000-0000-00008C6A0000}"/>
    <cellStyle name="Standard 4 4 4 2 2 2 2 2" xfId="27075" xr:uid="{00000000-0005-0000-0000-00008D6A0000}"/>
    <cellStyle name="Standard 4 4 4 2 2 2 2 2 2" xfId="27076" xr:uid="{00000000-0005-0000-0000-00008E6A0000}"/>
    <cellStyle name="Standard 4 4 4 2 2 2 2 2 2 2" xfId="27077" xr:uid="{00000000-0005-0000-0000-00008F6A0000}"/>
    <cellStyle name="Standard 4 4 4 2 2 2 2 2 2 3" xfId="27078" xr:uid="{00000000-0005-0000-0000-0000906A0000}"/>
    <cellStyle name="Standard 4 4 4 2 2 2 2 2 3" xfId="27079" xr:uid="{00000000-0005-0000-0000-0000916A0000}"/>
    <cellStyle name="Standard 4 4 4 2 2 2 2 2 3 2" xfId="27080" xr:uid="{00000000-0005-0000-0000-0000926A0000}"/>
    <cellStyle name="Standard 4 4 4 2 2 2 2 2 3 3" xfId="27081" xr:uid="{00000000-0005-0000-0000-0000936A0000}"/>
    <cellStyle name="Standard 4 4 4 2 2 2 2 2 4" xfId="27082" xr:uid="{00000000-0005-0000-0000-0000946A0000}"/>
    <cellStyle name="Standard 4 4 4 2 2 2 2 2 4 2" xfId="27083" xr:uid="{00000000-0005-0000-0000-0000956A0000}"/>
    <cellStyle name="Standard 4 4 4 2 2 2 2 2 5" xfId="27084" xr:uid="{00000000-0005-0000-0000-0000966A0000}"/>
    <cellStyle name="Standard 4 4 4 2 2 2 2 2 6" xfId="27085" xr:uid="{00000000-0005-0000-0000-0000976A0000}"/>
    <cellStyle name="Standard 4 4 4 2 2 2 2 3" xfId="27086" xr:uid="{00000000-0005-0000-0000-0000986A0000}"/>
    <cellStyle name="Standard 4 4 4 2 2 2 2 3 2" xfId="27087" xr:uid="{00000000-0005-0000-0000-0000996A0000}"/>
    <cellStyle name="Standard 4 4 4 2 2 2 2 3 3" xfId="27088" xr:uid="{00000000-0005-0000-0000-00009A6A0000}"/>
    <cellStyle name="Standard 4 4 4 2 2 2 2 4" xfId="27089" xr:uid="{00000000-0005-0000-0000-00009B6A0000}"/>
    <cellStyle name="Standard 4 4 4 2 2 2 2 4 2" xfId="27090" xr:uid="{00000000-0005-0000-0000-00009C6A0000}"/>
    <cellStyle name="Standard 4 4 4 2 2 2 2 4 3" xfId="27091" xr:uid="{00000000-0005-0000-0000-00009D6A0000}"/>
    <cellStyle name="Standard 4 4 4 2 2 2 2 5" xfId="27092" xr:uid="{00000000-0005-0000-0000-00009E6A0000}"/>
    <cellStyle name="Standard 4 4 4 2 2 2 2 5 2" xfId="27093" xr:uid="{00000000-0005-0000-0000-00009F6A0000}"/>
    <cellStyle name="Standard 4 4 4 2 2 2 2 6" xfId="27094" xr:uid="{00000000-0005-0000-0000-0000A06A0000}"/>
    <cellStyle name="Standard 4 4 4 2 2 2 2 7" xfId="27095" xr:uid="{00000000-0005-0000-0000-0000A16A0000}"/>
    <cellStyle name="Standard 4 4 4 2 2 2 3" xfId="27096" xr:uid="{00000000-0005-0000-0000-0000A26A0000}"/>
    <cellStyle name="Standard 4 4 4 2 2 2 3 2" xfId="27097" xr:uid="{00000000-0005-0000-0000-0000A36A0000}"/>
    <cellStyle name="Standard 4 4 4 2 2 2 3 2 2" xfId="27098" xr:uid="{00000000-0005-0000-0000-0000A46A0000}"/>
    <cellStyle name="Standard 4 4 4 2 2 2 3 2 3" xfId="27099" xr:uid="{00000000-0005-0000-0000-0000A56A0000}"/>
    <cellStyle name="Standard 4 4 4 2 2 2 3 3" xfId="27100" xr:uid="{00000000-0005-0000-0000-0000A66A0000}"/>
    <cellStyle name="Standard 4 4 4 2 2 2 3 3 2" xfId="27101" xr:uid="{00000000-0005-0000-0000-0000A76A0000}"/>
    <cellStyle name="Standard 4 4 4 2 2 2 3 3 3" xfId="27102" xr:uid="{00000000-0005-0000-0000-0000A86A0000}"/>
    <cellStyle name="Standard 4 4 4 2 2 2 3 4" xfId="27103" xr:uid="{00000000-0005-0000-0000-0000A96A0000}"/>
    <cellStyle name="Standard 4 4 4 2 2 2 3 4 2" xfId="27104" xr:uid="{00000000-0005-0000-0000-0000AA6A0000}"/>
    <cellStyle name="Standard 4 4 4 2 2 2 3 5" xfId="27105" xr:uid="{00000000-0005-0000-0000-0000AB6A0000}"/>
    <cellStyle name="Standard 4 4 4 2 2 2 3 6" xfId="27106" xr:uid="{00000000-0005-0000-0000-0000AC6A0000}"/>
    <cellStyle name="Standard 4 4 4 2 2 2 4" xfId="27107" xr:uid="{00000000-0005-0000-0000-0000AD6A0000}"/>
    <cellStyle name="Standard 4 4 4 2 2 2 4 2" xfId="27108" xr:uid="{00000000-0005-0000-0000-0000AE6A0000}"/>
    <cellStyle name="Standard 4 4 4 2 2 2 4 3" xfId="27109" xr:uid="{00000000-0005-0000-0000-0000AF6A0000}"/>
    <cellStyle name="Standard 4 4 4 2 2 2 5" xfId="27110" xr:uid="{00000000-0005-0000-0000-0000B06A0000}"/>
    <cellStyle name="Standard 4 4 4 2 2 2 5 2" xfId="27111" xr:uid="{00000000-0005-0000-0000-0000B16A0000}"/>
    <cellStyle name="Standard 4 4 4 2 2 2 5 3" xfId="27112" xr:uid="{00000000-0005-0000-0000-0000B26A0000}"/>
    <cellStyle name="Standard 4 4 4 2 2 2 6" xfId="27113" xr:uid="{00000000-0005-0000-0000-0000B36A0000}"/>
    <cellStyle name="Standard 4 4 4 2 2 2 6 2" xfId="27114" xr:uid="{00000000-0005-0000-0000-0000B46A0000}"/>
    <cellStyle name="Standard 4 4 4 2 2 2 7" xfId="27115" xr:uid="{00000000-0005-0000-0000-0000B56A0000}"/>
    <cellStyle name="Standard 4 4 4 2 2 2 8" xfId="27116" xr:uid="{00000000-0005-0000-0000-0000B66A0000}"/>
    <cellStyle name="Standard 4 4 4 2 2 3" xfId="27117" xr:uid="{00000000-0005-0000-0000-0000B76A0000}"/>
    <cellStyle name="Standard 4 4 4 2 2 3 2" xfId="27118" xr:uid="{00000000-0005-0000-0000-0000B86A0000}"/>
    <cellStyle name="Standard 4 4 4 2 2 3 2 2" xfId="27119" xr:uid="{00000000-0005-0000-0000-0000B96A0000}"/>
    <cellStyle name="Standard 4 4 4 2 2 3 2 2 2" xfId="27120" xr:uid="{00000000-0005-0000-0000-0000BA6A0000}"/>
    <cellStyle name="Standard 4 4 4 2 2 3 2 2 2 2" xfId="27121" xr:uid="{00000000-0005-0000-0000-0000BB6A0000}"/>
    <cellStyle name="Standard 4 4 4 2 2 3 2 2 2 3" xfId="27122" xr:uid="{00000000-0005-0000-0000-0000BC6A0000}"/>
    <cellStyle name="Standard 4 4 4 2 2 3 2 2 3" xfId="27123" xr:uid="{00000000-0005-0000-0000-0000BD6A0000}"/>
    <cellStyle name="Standard 4 4 4 2 2 3 2 2 3 2" xfId="27124" xr:uid="{00000000-0005-0000-0000-0000BE6A0000}"/>
    <cellStyle name="Standard 4 4 4 2 2 3 2 2 3 3" xfId="27125" xr:uid="{00000000-0005-0000-0000-0000BF6A0000}"/>
    <cellStyle name="Standard 4 4 4 2 2 3 2 2 4" xfId="27126" xr:uid="{00000000-0005-0000-0000-0000C06A0000}"/>
    <cellStyle name="Standard 4 4 4 2 2 3 2 2 4 2" xfId="27127" xr:uid="{00000000-0005-0000-0000-0000C16A0000}"/>
    <cellStyle name="Standard 4 4 4 2 2 3 2 2 5" xfId="27128" xr:uid="{00000000-0005-0000-0000-0000C26A0000}"/>
    <cellStyle name="Standard 4 4 4 2 2 3 2 2 6" xfId="27129" xr:uid="{00000000-0005-0000-0000-0000C36A0000}"/>
    <cellStyle name="Standard 4 4 4 2 2 3 2 3" xfId="27130" xr:uid="{00000000-0005-0000-0000-0000C46A0000}"/>
    <cellStyle name="Standard 4 4 4 2 2 3 2 3 2" xfId="27131" xr:uid="{00000000-0005-0000-0000-0000C56A0000}"/>
    <cellStyle name="Standard 4 4 4 2 2 3 2 3 3" xfId="27132" xr:uid="{00000000-0005-0000-0000-0000C66A0000}"/>
    <cellStyle name="Standard 4 4 4 2 2 3 2 4" xfId="27133" xr:uid="{00000000-0005-0000-0000-0000C76A0000}"/>
    <cellStyle name="Standard 4 4 4 2 2 3 2 4 2" xfId="27134" xr:uid="{00000000-0005-0000-0000-0000C86A0000}"/>
    <cellStyle name="Standard 4 4 4 2 2 3 2 4 3" xfId="27135" xr:uid="{00000000-0005-0000-0000-0000C96A0000}"/>
    <cellStyle name="Standard 4 4 4 2 2 3 2 5" xfId="27136" xr:uid="{00000000-0005-0000-0000-0000CA6A0000}"/>
    <cellStyle name="Standard 4 4 4 2 2 3 2 5 2" xfId="27137" xr:uid="{00000000-0005-0000-0000-0000CB6A0000}"/>
    <cellStyle name="Standard 4 4 4 2 2 3 2 6" xfId="27138" xr:uid="{00000000-0005-0000-0000-0000CC6A0000}"/>
    <cellStyle name="Standard 4 4 4 2 2 3 2 7" xfId="27139" xr:uid="{00000000-0005-0000-0000-0000CD6A0000}"/>
    <cellStyle name="Standard 4 4 4 2 2 3 3" xfId="27140" xr:uid="{00000000-0005-0000-0000-0000CE6A0000}"/>
    <cellStyle name="Standard 4 4 4 2 2 3 3 2" xfId="27141" xr:uid="{00000000-0005-0000-0000-0000CF6A0000}"/>
    <cellStyle name="Standard 4 4 4 2 2 3 3 2 2" xfId="27142" xr:uid="{00000000-0005-0000-0000-0000D06A0000}"/>
    <cellStyle name="Standard 4 4 4 2 2 3 3 2 3" xfId="27143" xr:uid="{00000000-0005-0000-0000-0000D16A0000}"/>
    <cellStyle name="Standard 4 4 4 2 2 3 3 3" xfId="27144" xr:uid="{00000000-0005-0000-0000-0000D26A0000}"/>
    <cellStyle name="Standard 4 4 4 2 2 3 3 3 2" xfId="27145" xr:uid="{00000000-0005-0000-0000-0000D36A0000}"/>
    <cellStyle name="Standard 4 4 4 2 2 3 3 3 3" xfId="27146" xr:uid="{00000000-0005-0000-0000-0000D46A0000}"/>
    <cellStyle name="Standard 4 4 4 2 2 3 3 4" xfId="27147" xr:uid="{00000000-0005-0000-0000-0000D56A0000}"/>
    <cellStyle name="Standard 4 4 4 2 2 3 3 4 2" xfId="27148" xr:uid="{00000000-0005-0000-0000-0000D66A0000}"/>
    <cellStyle name="Standard 4 4 4 2 2 3 3 5" xfId="27149" xr:uid="{00000000-0005-0000-0000-0000D76A0000}"/>
    <cellStyle name="Standard 4 4 4 2 2 3 3 6" xfId="27150" xr:uid="{00000000-0005-0000-0000-0000D86A0000}"/>
    <cellStyle name="Standard 4 4 4 2 2 3 4" xfId="27151" xr:uid="{00000000-0005-0000-0000-0000D96A0000}"/>
    <cellStyle name="Standard 4 4 4 2 2 3 4 2" xfId="27152" xr:uid="{00000000-0005-0000-0000-0000DA6A0000}"/>
    <cellStyle name="Standard 4 4 4 2 2 3 4 3" xfId="27153" xr:uid="{00000000-0005-0000-0000-0000DB6A0000}"/>
    <cellStyle name="Standard 4 4 4 2 2 3 5" xfId="27154" xr:uid="{00000000-0005-0000-0000-0000DC6A0000}"/>
    <cellStyle name="Standard 4 4 4 2 2 3 5 2" xfId="27155" xr:uid="{00000000-0005-0000-0000-0000DD6A0000}"/>
    <cellStyle name="Standard 4 4 4 2 2 3 5 3" xfId="27156" xr:uid="{00000000-0005-0000-0000-0000DE6A0000}"/>
    <cellStyle name="Standard 4 4 4 2 2 3 6" xfId="27157" xr:uid="{00000000-0005-0000-0000-0000DF6A0000}"/>
    <cellStyle name="Standard 4 4 4 2 2 3 6 2" xfId="27158" xr:uid="{00000000-0005-0000-0000-0000E06A0000}"/>
    <cellStyle name="Standard 4 4 4 2 2 3 7" xfId="27159" xr:uid="{00000000-0005-0000-0000-0000E16A0000}"/>
    <cellStyle name="Standard 4 4 4 2 2 3 8" xfId="27160" xr:uid="{00000000-0005-0000-0000-0000E26A0000}"/>
    <cellStyle name="Standard 4 4 4 2 2 4" xfId="27161" xr:uid="{00000000-0005-0000-0000-0000E36A0000}"/>
    <cellStyle name="Standard 4 4 4 2 2 4 2" xfId="27162" xr:uid="{00000000-0005-0000-0000-0000E46A0000}"/>
    <cellStyle name="Standard 4 4 4 2 2 4 2 2" xfId="27163" xr:uid="{00000000-0005-0000-0000-0000E56A0000}"/>
    <cellStyle name="Standard 4 4 4 2 2 4 2 2 2" xfId="27164" xr:uid="{00000000-0005-0000-0000-0000E66A0000}"/>
    <cellStyle name="Standard 4 4 4 2 2 4 2 2 3" xfId="27165" xr:uid="{00000000-0005-0000-0000-0000E76A0000}"/>
    <cellStyle name="Standard 4 4 4 2 2 4 2 3" xfId="27166" xr:uid="{00000000-0005-0000-0000-0000E86A0000}"/>
    <cellStyle name="Standard 4 4 4 2 2 4 2 3 2" xfId="27167" xr:uid="{00000000-0005-0000-0000-0000E96A0000}"/>
    <cellStyle name="Standard 4 4 4 2 2 4 2 3 3" xfId="27168" xr:uid="{00000000-0005-0000-0000-0000EA6A0000}"/>
    <cellStyle name="Standard 4 4 4 2 2 4 2 4" xfId="27169" xr:uid="{00000000-0005-0000-0000-0000EB6A0000}"/>
    <cellStyle name="Standard 4 4 4 2 2 4 2 4 2" xfId="27170" xr:uid="{00000000-0005-0000-0000-0000EC6A0000}"/>
    <cellStyle name="Standard 4 4 4 2 2 4 2 5" xfId="27171" xr:uid="{00000000-0005-0000-0000-0000ED6A0000}"/>
    <cellStyle name="Standard 4 4 4 2 2 4 2 6" xfId="27172" xr:uid="{00000000-0005-0000-0000-0000EE6A0000}"/>
    <cellStyle name="Standard 4 4 4 2 2 4 3" xfId="27173" xr:uid="{00000000-0005-0000-0000-0000EF6A0000}"/>
    <cellStyle name="Standard 4 4 4 2 2 4 3 2" xfId="27174" xr:uid="{00000000-0005-0000-0000-0000F06A0000}"/>
    <cellStyle name="Standard 4 4 4 2 2 4 3 3" xfId="27175" xr:uid="{00000000-0005-0000-0000-0000F16A0000}"/>
    <cellStyle name="Standard 4 4 4 2 2 4 4" xfId="27176" xr:uid="{00000000-0005-0000-0000-0000F26A0000}"/>
    <cellStyle name="Standard 4 4 4 2 2 4 4 2" xfId="27177" xr:uid="{00000000-0005-0000-0000-0000F36A0000}"/>
    <cellStyle name="Standard 4 4 4 2 2 4 4 3" xfId="27178" xr:uid="{00000000-0005-0000-0000-0000F46A0000}"/>
    <cellStyle name="Standard 4 4 4 2 2 4 5" xfId="27179" xr:uid="{00000000-0005-0000-0000-0000F56A0000}"/>
    <cellStyle name="Standard 4 4 4 2 2 4 5 2" xfId="27180" xr:uid="{00000000-0005-0000-0000-0000F66A0000}"/>
    <cellStyle name="Standard 4 4 4 2 2 4 6" xfId="27181" xr:uid="{00000000-0005-0000-0000-0000F76A0000}"/>
    <cellStyle name="Standard 4 4 4 2 2 4 7" xfId="27182" xr:uid="{00000000-0005-0000-0000-0000F86A0000}"/>
    <cellStyle name="Standard 4 4 4 2 2 5" xfId="27183" xr:uid="{00000000-0005-0000-0000-0000F96A0000}"/>
    <cellStyle name="Standard 4 4 4 2 2 5 2" xfId="27184" xr:uid="{00000000-0005-0000-0000-0000FA6A0000}"/>
    <cellStyle name="Standard 4 4 4 2 2 5 2 2" xfId="27185" xr:uid="{00000000-0005-0000-0000-0000FB6A0000}"/>
    <cellStyle name="Standard 4 4 4 2 2 5 2 3" xfId="27186" xr:uid="{00000000-0005-0000-0000-0000FC6A0000}"/>
    <cellStyle name="Standard 4 4 4 2 2 5 3" xfId="27187" xr:uid="{00000000-0005-0000-0000-0000FD6A0000}"/>
    <cellStyle name="Standard 4 4 4 2 2 5 3 2" xfId="27188" xr:uid="{00000000-0005-0000-0000-0000FE6A0000}"/>
    <cellStyle name="Standard 4 4 4 2 2 5 3 3" xfId="27189" xr:uid="{00000000-0005-0000-0000-0000FF6A0000}"/>
    <cellStyle name="Standard 4 4 4 2 2 5 4" xfId="27190" xr:uid="{00000000-0005-0000-0000-0000006B0000}"/>
    <cellStyle name="Standard 4 4 4 2 2 5 4 2" xfId="27191" xr:uid="{00000000-0005-0000-0000-0000016B0000}"/>
    <cellStyle name="Standard 4 4 4 2 2 5 5" xfId="27192" xr:uid="{00000000-0005-0000-0000-0000026B0000}"/>
    <cellStyle name="Standard 4 4 4 2 2 5 6" xfId="27193" xr:uid="{00000000-0005-0000-0000-0000036B0000}"/>
    <cellStyle name="Standard 4 4 4 2 2 6" xfId="27194" xr:uid="{00000000-0005-0000-0000-0000046B0000}"/>
    <cellStyle name="Standard 4 4 4 2 2 6 2" xfId="27195" xr:uid="{00000000-0005-0000-0000-0000056B0000}"/>
    <cellStyle name="Standard 4 4 4 2 2 6 3" xfId="27196" xr:uid="{00000000-0005-0000-0000-0000066B0000}"/>
    <cellStyle name="Standard 4 4 4 2 2 7" xfId="27197" xr:uid="{00000000-0005-0000-0000-0000076B0000}"/>
    <cellStyle name="Standard 4 4 4 2 2 7 2" xfId="27198" xr:uid="{00000000-0005-0000-0000-0000086B0000}"/>
    <cellStyle name="Standard 4 4 4 2 2 7 3" xfId="27199" xr:uid="{00000000-0005-0000-0000-0000096B0000}"/>
    <cellStyle name="Standard 4 4 4 2 2 8" xfId="27200" xr:uid="{00000000-0005-0000-0000-00000A6B0000}"/>
    <cellStyle name="Standard 4 4 4 2 2 8 2" xfId="27201" xr:uid="{00000000-0005-0000-0000-00000B6B0000}"/>
    <cellStyle name="Standard 4 4 4 2 2 9" xfId="27202" xr:uid="{00000000-0005-0000-0000-00000C6B0000}"/>
    <cellStyle name="Standard 4 4 4 2 3" xfId="27203" xr:uid="{00000000-0005-0000-0000-00000D6B0000}"/>
    <cellStyle name="Standard 4 4 4 2 3 2" xfId="27204" xr:uid="{00000000-0005-0000-0000-00000E6B0000}"/>
    <cellStyle name="Standard 4 4 4 2 3 2 2" xfId="27205" xr:uid="{00000000-0005-0000-0000-00000F6B0000}"/>
    <cellStyle name="Standard 4 4 4 2 3 2 2 2" xfId="27206" xr:uid="{00000000-0005-0000-0000-0000106B0000}"/>
    <cellStyle name="Standard 4 4 4 2 3 2 2 2 2" xfId="27207" xr:uid="{00000000-0005-0000-0000-0000116B0000}"/>
    <cellStyle name="Standard 4 4 4 2 3 2 2 2 3" xfId="27208" xr:uid="{00000000-0005-0000-0000-0000126B0000}"/>
    <cellStyle name="Standard 4 4 4 2 3 2 2 3" xfId="27209" xr:uid="{00000000-0005-0000-0000-0000136B0000}"/>
    <cellStyle name="Standard 4 4 4 2 3 2 2 3 2" xfId="27210" xr:uid="{00000000-0005-0000-0000-0000146B0000}"/>
    <cellStyle name="Standard 4 4 4 2 3 2 2 3 3" xfId="27211" xr:uid="{00000000-0005-0000-0000-0000156B0000}"/>
    <cellStyle name="Standard 4 4 4 2 3 2 2 4" xfId="27212" xr:uid="{00000000-0005-0000-0000-0000166B0000}"/>
    <cellStyle name="Standard 4 4 4 2 3 2 2 4 2" xfId="27213" xr:uid="{00000000-0005-0000-0000-0000176B0000}"/>
    <cellStyle name="Standard 4 4 4 2 3 2 2 5" xfId="27214" xr:uid="{00000000-0005-0000-0000-0000186B0000}"/>
    <cellStyle name="Standard 4 4 4 2 3 2 2 6" xfId="27215" xr:uid="{00000000-0005-0000-0000-0000196B0000}"/>
    <cellStyle name="Standard 4 4 4 2 3 2 3" xfId="27216" xr:uid="{00000000-0005-0000-0000-00001A6B0000}"/>
    <cellStyle name="Standard 4 4 4 2 3 2 3 2" xfId="27217" xr:uid="{00000000-0005-0000-0000-00001B6B0000}"/>
    <cellStyle name="Standard 4 4 4 2 3 2 3 3" xfId="27218" xr:uid="{00000000-0005-0000-0000-00001C6B0000}"/>
    <cellStyle name="Standard 4 4 4 2 3 2 4" xfId="27219" xr:uid="{00000000-0005-0000-0000-00001D6B0000}"/>
    <cellStyle name="Standard 4 4 4 2 3 2 4 2" xfId="27220" xr:uid="{00000000-0005-0000-0000-00001E6B0000}"/>
    <cellStyle name="Standard 4 4 4 2 3 2 4 3" xfId="27221" xr:uid="{00000000-0005-0000-0000-00001F6B0000}"/>
    <cellStyle name="Standard 4 4 4 2 3 2 5" xfId="27222" xr:uid="{00000000-0005-0000-0000-0000206B0000}"/>
    <cellStyle name="Standard 4 4 4 2 3 2 5 2" xfId="27223" xr:uid="{00000000-0005-0000-0000-0000216B0000}"/>
    <cellStyle name="Standard 4 4 4 2 3 2 6" xfId="27224" xr:uid="{00000000-0005-0000-0000-0000226B0000}"/>
    <cellStyle name="Standard 4 4 4 2 3 2 7" xfId="27225" xr:uid="{00000000-0005-0000-0000-0000236B0000}"/>
    <cellStyle name="Standard 4 4 4 2 3 3" xfId="27226" xr:uid="{00000000-0005-0000-0000-0000246B0000}"/>
    <cellStyle name="Standard 4 4 4 2 3 3 2" xfId="27227" xr:uid="{00000000-0005-0000-0000-0000256B0000}"/>
    <cellStyle name="Standard 4 4 4 2 3 3 2 2" xfId="27228" xr:uid="{00000000-0005-0000-0000-0000266B0000}"/>
    <cellStyle name="Standard 4 4 4 2 3 3 2 3" xfId="27229" xr:uid="{00000000-0005-0000-0000-0000276B0000}"/>
    <cellStyle name="Standard 4 4 4 2 3 3 3" xfId="27230" xr:uid="{00000000-0005-0000-0000-0000286B0000}"/>
    <cellStyle name="Standard 4 4 4 2 3 3 3 2" xfId="27231" xr:uid="{00000000-0005-0000-0000-0000296B0000}"/>
    <cellStyle name="Standard 4 4 4 2 3 3 3 3" xfId="27232" xr:uid="{00000000-0005-0000-0000-00002A6B0000}"/>
    <cellStyle name="Standard 4 4 4 2 3 3 4" xfId="27233" xr:uid="{00000000-0005-0000-0000-00002B6B0000}"/>
    <cellStyle name="Standard 4 4 4 2 3 3 4 2" xfId="27234" xr:uid="{00000000-0005-0000-0000-00002C6B0000}"/>
    <cellStyle name="Standard 4 4 4 2 3 3 5" xfId="27235" xr:uid="{00000000-0005-0000-0000-00002D6B0000}"/>
    <cellStyle name="Standard 4 4 4 2 3 3 6" xfId="27236" xr:uid="{00000000-0005-0000-0000-00002E6B0000}"/>
    <cellStyle name="Standard 4 4 4 2 3 4" xfId="27237" xr:uid="{00000000-0005-0000-0000-00002F6B0000}"/>
    <cellStyle name="Standard 4 4 4 2 3 4 2" xfId="27238" xr:uid="{00000000-0005-0000-0000-0000306B0000}"/>
    <cellStyle name="Standard 4 4 4 2 3 4 3" xfId="27239" xr:uid="{00000000-0005-0000-0000-0000316B0000}"/>
    <cellStyle name="Standard 4 4 4 2 3 5" xfId="27240" xr:uid="{00000000-0005-0000-0000-0000326B0000}"/>
    <cellStyle name="Standard 4 4 4 2 3 5 2" xfId="27241" xr:uid="{00000000-0005-0000-0000-0000336B0000}"/>
    <cellStyle name="Standard 4 4 4 2 3 5 3" xfId="27242" xr:uid="{00000000-0005-0000-0000-0000346B0000}"/>
    <cellStyle name="Standard 4 4 4 2 3 6" xfId="27243" xr:uid="{00000000-0005-0000-0000-0000356B0000}"/>
    <cellStyle name="Standard 4 4 4 2 3 6 2" xfId="27244" xr:uid="{00000000-0005-0000-0000-0000366B0000}"/>
    <cellStyle name="Standard 4 4 4 2 3 7" xfId="27245" xr:uid="{00000000-0005-0000-0000-0000376B0000}"/>
    <cellStyle name="Standard 4 4 4 2 3 8" xfId="27246" xr:uid="{00000000-0005-0000-0000-0000386B0000}"/>
    <cellStyle name="Standard 4 4 4 2 4" xfId="27247" xr:uid="{00000000-0005-0000-0000-0000396B0000}"/>
    <cellStyle name="Standard 4 4 4 2 4 2" xfId="27248" xr:uid="{00000000-0005-0000-0000-00003A6B0000}"/>
    <cellStyle name="Standard 4 4 4 2 4 2 2" xfId="27249" xr:uid="{00000000-0005-0000-0000-00003B6B0000}"/>
    <cellStyle name="Standard 4 4 4 2 4 2 2 2" xfId="27250" xr:uid="{00000000-0005-0000-0000-00003C6B0000}"/>
    <cellStyle name="Standard 4 4 4 2 4 2 2 2 2" xfId="27251" xr:uid="{00000000-0005-0000-0000-00003D6B0000}"/>
    <cellStyle name="Standard 4 4 4 2 4 2 2 2 3" xfId="27252" xr:uid="{00000000-0005-0000-0000-00003E6B0000}"/>
    <cellStyle name="Standard 4 4 4 2 4 2 2 3" xfId="27253" xr:uid="{00000000-0005-0000-0000-00003F6B0000}"/>
    <cellStyle name="Standard 4 4 4 2 4 2 2 3 2" xfId="27254" xr:uid="{00000000-0005-0000-0000-0000406B0000}"/>
    <cellStyle name="Standard 4 4 4 2 4 2 2 3 3" xfId="27255" xr:uid="{00000000-0005-0000-0000-0000416B0000}"/>
    <cellStyle name="Standard 4 4 4 2 4 2 2 4" xfId="27256" xr:uid="{00000000-0005-0000-0000-0000426B0000}"/>
    <cellStyle name="Standard 4 4 4 2 4 2 2 4 2" xfId="27257" xr:uid="{00000000-0005-0000-0000-0000436B0000}"/>
    <cellStyle name="Standard 4 4 4 2 4 2 2 5" xfId="27258" xr:uid="{00000000-0005-0000-0000-0000446B0000}"/>
    <cellStyle name="Standard 4 4 4 2 4 2 2 6" xfId="27259" xr:uid="{00000000-0005-0000-0000-0000456B0000}"/>
    <cellStyle name="Standard 4 4 4 2 4 2 3" xfId="27260" xr:uid="{00000000-0005-0000-0000-0000466B0000}"/>
    <cellStyle name="Standard 4 4 4 2 4 2 3 2" xfId="27261" xr:uid="{00000000-0005-0000-0000-0000476B0000}"/>
    <cellStyle name="Standard 4 4 4 2 4 2 3 3" xfId="27262" xr:uid="{00000000-0005-0000-0000-0000486B0000}"/>
    <cellStyle name="Standard 4 4 4 2 4 2 4" xfId="27263" xr:uid="{00000000-0005-0000-0000-0000496B0000}"/>
    <cellStyle name="Standard 4 4 4 2 4 2 4 2" xfId="27264" xr:uid="{00000000-0005-0000-0000-00004A6B0000}"/>
    <cellStyle name="Standard 4 4 4 2 4 2 4 3" xfId="27265" xr:uid="{00000000-0005-0000-0000-00004B6B0000}"/>
    <cellStyle name="Standard 4 4 4 2 4 2 5" xfId="27266" xr:uid="{00000000-0005-0000-0000-00004C6B0000}"/>
    <cellStyle name="Standard 4 4 4 2 4 2 5 2" xfId="27267" xr:uid="{00000000-0005-0000-0000-00004D6B0000}"/>
    <cellStyle name="Standard 4 4 4 2 4 2 6" xfId="27268" xr:uid="{00000000-0005-0000-0000-00004E6B0000}"/>
    <cellStyle name="Standard 4 4 4 2 4 2 7" xfId="27269" xr:uid="{00000000-0005-0000-0000-00004F6B0000}"/>
    <cellStyle name="Standard 4 4 4 2 4 3" xfId="27270" xr:uid="{00000000-0005-0000-0000-0000506B0000}"/>
    <cellStyle name="Standard 4 4 4 2 4 3 2" xfId="27271" xr:uid="{00000000-0005-0000-0000-0000516B0000}"/>
    <cellStyle name="Standard 4 4 4 2 4 3 2 2" xfId="27272" xr:uid="{00000000-0005-0000-0000-0000526B0000}"/>
    <cellStyle name="Standard 4 4 4 2 4 3 2 3" xfId="27273" xr:uid="{00000000-0005-0000-0000-0000536B0000}"/>
    <cellStyle name="Standard 4 4 4 2 4 3 3" xfId="27274" xr:uid="{00000000-0005-0000-0000-0000546B0000}"/>
    <cellStyle name="Standard 4 4 4 2 4 3 3 2" xfId="27275" xr:uid="{00000000-0005-0000-0000-0000556B0000}"/>
    <cellStyle name="Standard 4 4 4 2 4 3 3 3" xfId="27276" xr:uid="{00000000-0005-0000-0000-0000566B0000}"/>
    <cellStyle name="Standard 4 4 4 2 4 3 4" xfId="27277" xr:uid="{00000000-0005-0000-0000-0000576B0000}"/>
    <cellStyle name="Standard 4 4 4 2 4 3 4 2" xfId="27278" xr:uid="{00000000-0005-0000-0000-0000586B0000}"/>
    <cellStyle name="Standard 4 4 4 2 4 3 5" xfId="27279" xr:uid="{00000000-0005-0000-0000-0000596B0000}"/>
    <cellStyle name="Standard 4 4 4 2 4 3 6" xfId="27280" xr:uid="{00000000-0005-0000-0000-00005A6B0000}"/>
    <cellStyle name="Standard 4 4 4 2 4 4" xfId="27281" xr:uid="{00000000-0005-0000-0000-00005B6B0000}"/>
    <cellStyle name="Standard 4 4 4 2 4 4 2" xfId="27282" xr:uid="{00000000-0005-0000-0000-00005C6B0000}"/>
    <cellStyle name="Standard 4 4 4 2 4 4 3" xfId="27283" xr:uid="{00000000-0005-0000-0000-00005D6B0000}"/>
    <cellStyle name="Standard 4 4 4 2 4 5" xfId="27284" xr:uid="{00000000-0005-0000-0000-00005E6B0000}"/>
    <cellStyle name="Standard 4 4 4 2 4 5 2" xfId="27285" xr:uid="{00000000-0005-0000-0000-00005F6B0000}"/>
    <cellStyle name="Standard 4 4 4 2 4 5 3" xfId="27286" xr:uid="{00000000-0005-0000-0000-0000606B0000}"/>
    <cellStyle name="Standard 4 4 4 2 4 6" xfId="27287" xr:uid="{00000000-0005-0000-0000-0000616B0000}"/>
    <cellStyle name="Standard 4 4 4 2 4 6 2" xfId="27288" xr:uid="{00000000-0005-0000-0000-0000626B0000}"/>
    <cellStyle name="Standard 4 4 4 2 4 7" xfId="27289" xr:uid="{00000000-0005-0000-0000-0000636B0000}"/>
    <cellStyle name="Standard 4 4 4 2 4 8" xfId="27290" xr:uid="{00000000-0005-0000-0000-0000646B0000}"/>
    <cellStyle name="Standard 4 4 4 2 5" xfId="27291" xr:uid="{00000000-0005-0000-0000-0000656B0000}"/>
    <cellStyle name="Standard 4 4 4 2 5 2" xfId="27292" xr:uid="{00000000-0005-0000-0000-0000666B0000}"/>
    <cellStyle name="Standard 4 4 4 2 5 2 2" xfId="27293" xr:uid="{00000000-0005-0000-0000-0000676B0000}"/>
    <cellStyle name="Standard 4 4 4 2 5 2 2 2" xfId="27294" xr:uid="{00000000-0005-0000-0000-0000686B0000}"/>
    <cellStyle name="Standard 4 4 4 2 5 2 2 3" xfId="27295" xr:uid="{00000000-0005-0000-0000-0000696B0000}"/>
    <cellStyle name="Standard 4 4 4 2 5 2 3" xfId="27296" xr:uid="{00000000-0005-0000-0000-00006A6B0000}"/>
    <cellStyle name="Standard 4 4 4 2 5 2 3 2" xfId="27297" xr:uid="{00000000-0005-0000-0000-00006B6B0000}"/>
    <cellStyle name="Standard 4 4 4 2 5 2 3 3" xfId="27298" xr:uid="{00000000-0005-0000-0000-00006C6B0000}"/>
    <cellStyle name="Standard 4 4 4 2 5 2 4" xfId="27299" xr:uid="{00000000-0005-0000-0000-00006D6B0000}"/>
    <cellStyle name="Standard 4 4 4 2 5 2 4 2" xfId="27300" xr:uid="{00000000-0005-0000-0000-00006E6B0000}"/>
    <cellStyle name="Standard 4 4 4 2 5 2 5" xfId="27301" xr:uid="{00000000-0005-0000-0000-00006F6B0000}"/>
    <cellStyle name="Standard 4 4 4 2 5 2 6" xfId="27302" xr:uid="{00000000-0005-0000-0000-0000706B0000}"/>
    <cellStyle name="Standard 4 4 4 2 5 3" xfId="27303" xr:uid="{00000000-0005-0000-0000-0000716B0000}"/>
    <cellStyle name="Standard 4 4 4 2 5 3 2" xfId="27304" xr:uid="{00000000-0005-0000-0000-0000726B0000}"/>
    <cellStyle name="Standard 4 4 4 2 5 3 3" xfId="27305" xr:uid="{00000000-0005-0000-0000-0000736B0000}"/>
    <cellStyle name="Standard 4 4 4 2 5 4" xfId="27306" xr:uid="{00000000-0005-0000-0000-0000746B0000}"/>
    <cellStyle name="Standard 4 4 4 2 5 4 2" xfId="27307" xr:uid="{00000000-0005-0000-0000-0000756B0000}"/>
    <cellStyle name="Standard 4 4 4 2 5 4 3" xfId="27308" xr:uid="{00000000-0005-0000-0000-0000766B0000}"/>
    <cellStyle name="Standard 4 4 4 2 5 5" xfId="27309" xr:uid="{00000000-0005-0000-0000-0000776B0000}"/>
    <cellStyle name="Standard 4 4 4 2 5 5 2" xfId="27310" xr:uid="{00000000-0005-0000-0000-0000786B0000}"/>
    <cellStyle name="Standard 4 4 4 2 5 6" xfId="27311" xr:uid="{00000000-0005-0000-0000-0000796B0000}"/>
    <cellStyle name="Standard 4 4 4 2 5 7" xfId="27312" xr:uid="{00000000-0005-0000-0000-00007A6B0000}"/>
    <cellStyle name="Standard 4 4 4 2 6" xfId="27313" xr:uid="{00000000-0005-0000-0000-00007B6B0000}"/>
    <cellStyle name="Standard 4 4 4 2 6 2" xfId="27314" xr:uid="{00000000-0005-0000-0000-00007C6B0000}"/>
    <cellStyle name="Standard 4 4 4 2 6 2 2" xfId="27315" xr:uid="{00000000-0005-0000-0000-00007D6B0000}"/>
    <cellStyle name="Standard 4 4 4 2 6 2 3" xfId="27316" xr:uid="{00000000-0005-0000-0000-00007E6B0000}"/>
    <cellStyle name="Standard 4 4 4 2 6 3" xfId="27317" xr:uid="{00000000-0005-0000-0000-00007F6B0000}"/>
    <cellStyle name="Standard 4 4 4 2 6 3 2" xfId="27318" xr:uid="{00000000-0005-0000-0000-0000806B0000}"/>
    <cellStyle name="Standard 4 4 4 2 6 3 3" xfId="27319" xr:uid="{00000000-0005-0000-0000-0000816B0000}"/>
    <cellStyle name="Standard 4 4 4 2 6 4" xfId="27320" xr:uid="{00000000-0005-0000-0000-0000826B0000}"/>
    <cellStyle name="Standard 4 4 4 2 6 4 2" xfId="27321" xr:uid="{00000000-0005-0000-0000-0000836B0000}"/>
    <cellStyle name="Standard 4 4 4 2 6 5" xfId="27322" xr:uid="{00000000-0005-0000-0000-0000846B0000}"/>
    <cellStyle name="Standard 4 4 4 2 6 6" xfId="27323" xr:uid="{00000000-0005-0000-0000-0000856B0000}"/>
    <cellStyle name="Standard 4 4 4 2 7" xfId="27324" xr:uid="{00000000-0005-0000-0000-0000866B0000}"/>
    <cellStyle name="Standard 4 4 4 2 7 2" xfId="27325" xr:uid="{00000000-0005-0000-0000-0000876B0000}"/>
    <cellStyle name="Standard 4 4 4 2 7 3" xfId="27326" xr:uid="{00000000-0005-0000-0000-0000886B0000}"/>
    <cellStyle name="Standard 4 4 4 2 8" xfId="27327" xr:uid="{00000000-0005-0000-0000-0000896B0000}"/>
    <cellStyle name="Standard 4 4 4 2 8 2" xfId="27328" xr:uid="{00000000-0005-0000-0000-00008A6B0000}"/>
    <cellStyle name="Standard 4 4 4 2 8 3" xfId="27329" xr:uid="{00000000-0005-0000-0000-00008B6B0000}"/>
    <cellStyle name="Standard 4 4 4 2 9" xfId="27330" xr:uid="{00000000-0005-0000-0000-00008C6B0000}"/>
    <cellStyle name="Standard 4 4 4 2 9 2" xfId="27331" xr:uid="{00000000-0005-0000-0000-00008D6B0000}"/>
    <cellStyle name="Standard 4 4 4 3" xfId="27332" xr:uid="{00000000-0005-0000-0000-00008E6B0000}"/>
    <cellStyle name="Standard 4 4 4 3 10" xfId="27333" xr:uid="{00000000-0005-0000-0000-00008F6B0000}"/>
    <cellStyle name="Standard 4 4 4 3 2" xfId="27334" xr:uid="{00000000-0005-0000-0000-0000906B0000}"/>
    <cellStyle name="Standard 4 4 4 3 2 2" xfId="27335" xr:uid="{00000000-0005-0000-0000-0000916B0000}"/>
    <cellStyle name="Standard 4 4 4 3 2 2 2" xfId="27336" xr:uid="{00000000-0005-0000-0000-0000926B0000}"/>
    <cellStyle name="Standard 4 4 4 3 2 2 2 2" xfId="27337" xr:uid="{00000000-0005-0000-0000-0000936B0000}"/>
    <cellStyle name="Standard 4 4 4 3 2 2 2 2 2" xfId="27338" xr:uid="{00000000-0005-0000-0000-0000946B0000}"/>
    <cellStyle name="Standard 4 4 4 3 2 2 2 2 3" xfId="27339" xr:uid="{00000000-0005-0000-0000-0000956B0000}"/>
    <cellStyle name="Standard 4 4 4 3 2 2 2 3" xfId="27340" xr:uid="{00000000-0005-0000-0000-0000966B0000}"/>
    <cellStyle name="Standard 4 4 4 3 2 2 2 3 2" xfId="27341" xr:uid="{00000000-0005-0000-0000-0000976B0000}"/>
    <cellStyle name="Standard 4 4 4 3 2 2 2 3 3" xfId="27342" xr:uid="{00000000-0005-0000-0000-0000986B0000}"/>
    <cellStyle name="Standard 4 4 4 3 2 2 2 4" xfId="27343" xr:uid="{00000000-0005-0000-0000-0000996B0000}"/>
    <cellStyle name="Standard 4 4 4 3 2 2 2 4 2" xfId="27344" xr:uid="{00000000-0005-0000-0000-00009A6B0000}"/>
    <cellStyle name="Standard 4 4 4 3 2 2 2 5" xfId="27345" xr:uid="{00000000-0005-0000-0000-00009B6B0000}"/>
    <cellStyle name="Standard 4 4 4 3 2 2 2 6" xfId="27346" xr:uid="{00000000-0005-0000-0000-00009C6B0000}"/>
    <cellStyle name="Standard 4 4 4 3 2 2 3" xfId="27347" xr:uid="{00000000-0005-0000-0000-00009D6B0000}"/>
    <cellStyle name="Standard 4 4 4 3 2 2 3 2" xfId="27348" xr:uid="{00000000-0005-0000-0000-00009E6B0000}"/>
    <cellStyle name="Standard 4 4 4 3 2 2 3 3" xfId="27349" xr:uid="{00000000-0005-0000-0000-00009F6B0000}"/>
    <cellStyle name="Standard 4 4 4 3 2 2 4" xfId="27350" xr:uid="{00000000-0005-0000-0000-0000A06B0000}"/>
    <cellStyle name="Standard 4 4 4 3 2 2 4 2" xfId="27351" xr:uid="{00000000-0005-0000-0000-0000A16B0000}"/>
    <cellStyle name="Standard 4 4 4 3 2 2 4 3" xfId="27352" xr:uid="{00000000-0005-0000-0000-0000A26B0000}"/>
    <cellStyle name="Standard 4 4 4 3 2 2 5" xfId="27353" xr:uid="{00000000-0005-0000-0000-0000A36B0000}"/>
    <cellStyle name="Standard 4 4 4 3 2 2 5 2" xfId="27354" xr:uid="{00000000-0005-0000-0000-0000A46B0000}"/>
    <cellStyle name="Standard 4 4 4 3 2 2 6" xfId="27355" xr:uid="{00000000-0005-0000-0000-0000A56B0000}"/>
    <cellStyle name="Standard 4 4 4 3 2 2 7" xfId="27356" xr:uid="{00000000-0005-0000-0000-0000A66B0000}"/>
    <cellStyle name="Standard 4 4 4 3 2 3" xfId="27357" xr:uid="{00000000-0005-0000-0000-0000A76B0000}"/>
    <cellStyle name="Standard 4 4 4 3 2 3 2" xfId="27358" xr:uid="{00000000-0005-0000-0000-0000A86B0000}"/>
    <cellStyle name="Standard 4 4 4 3 2 3 2 2" xfId="27359" xr:uid="{00000000-0005-0000-0000-0000A96B0000}"/>
    <cellStyle name="Standard 4 4 4 3 2 3 2 3" xfId="27360" xr:uid="{00000000-0005-0000-0000-0000AA6B0000}"/>
    <cellStyle name="Standard 4 4 4 3 2 3 3" xfId="27361" xr:uid="{00000000-0005-0000-0000-0000AB6B0000}"/>
    <cellStyle name="Standard 4 4 4 3 2 3 3 2" xfId="27362" xr:uid="{00000000-0005-0000-0000-0000AC6B0000}"/>
    <cellStyle name="Standard 4 4 4 3 2 3 3 3" xfId="27363" xr:uid="{00000000-0005-0000-0000-0000AD6B0000}"/>
    <cellStyle name="Standard 4 4 4 3 2 3 4" xfId="27364" xr:uid="{00000000-0005-0000-0000-0000AE6B0000}"/>
    <cellStyle name="Standard 4 4 4 3 2 3 4 2" xfId="27365" xr:uid="{00000000-0005-0000-0000-0000AF6B0000}"/>
    <cellStyle name="Standard 4 4 4 3 2 3 5" xfId="27366" xr:uid="{00000000-0005-0000-0000-0000B06B0000}"/>
    <cellStyle name="Standard 4 4 4 3 2 3 6" xfId="27367" xr:uid="{00000000-0005-0000-0000-0000B16B0000}"/>
    <cellStyle name="Standard 4 4 4 3 2 4" xfId="27368" xr:uid="{00000000-0005-0000-0000-0000B26B0000}"/>
    <cellStyle name="Standard 4 4 4 3 2 4 2" xfId="27369" xr:uid="{00000000-0005-0000-0000-0000B36B0000}"/>
    <cellStyle name="Standard 4 4 4 3 2 4 3" xfId="27370" xr:uid="{00000000-0005-0000-0000-0000B46B0000}"/>
    <cellStyle name="Standard 4 4 4 3 2 5" xfId="27371" xr:uid="{00000000-0005-0000-0000-0000B56B0000}"/>
    <cellStyle name="Standard 4 4 4 3 2 5 2" xfId="27372" xr:uid="{00000000-0005-0000-0000-0000B66B0000}"/>
    <cellStyle name="Standard 4 4 4 3 2 5 3" xfId="27373" xr:uid="{00000000-0005-0000-0000-0000B76B0000}"/>
    <cellStyle name="Standard 4 4 4 3 2 6" xfId="27374" xr:uid="{00000000-0005-0000-0000-0000B86B0000}"/>
    <cellStyle name="Standard 4 4 4 3 2 6 2" xfId="27375" xr:uid="{00000000-0005-0000-0000-0000B96B0000}"/>
    <cellStyle name="Standard 4 4 4 3 2 7" xfId="27376" xr:uid="{00000000-0005-0000-0000-0000BA6B0000}"/>
    <cellStyle name="Standard 4 4 4 3 2 8" xfId="27377" xr:uid="{00000000-0005-0000-0000-0000BB6B0000}"/>
    <cellStyle name="Standard 4 4 4 3 3" xfId="27378" xr:uid="{00000000-0005-0000-0000-0000BC6B0000}"/>
    <cellStyle name="Standard 4 4 4 3 3 2" xfId="27379" xr:uid="{00000000-0005-0000-0000-0000BD6B0000}"/>
    <cellStyle name="Standard 4 4 4 3 3 2 2" xfId="27380" xr:uid="{00000000-0005-0000-0000-0000BE6B0000}"/>
    <cellStyle name="Standard 4 4 4 3 3 2 2 2" xfId="27381" xr:uid="{00000000-0005-0000-0000-0000BF6B0000}"/>
    <cellStyle name="Standard 4 4 4 3 3 2 2 2 2" xfId="27382" xr:uid="{00000000-0005-0000-0000-0000C06B0000}"/>
    <cellStyle name="Standard 4 4 4 3 3 2 2 2 3" xfId="27383" xr:uid="{00000000-0005-0000-0000-0000C16B0000}"/>
    <cellStyle name="Standard 4 4 4 3 3 2 2 3" xfId="27384" xr:uid="{00000000-0005-0000-0000-0000C26B0000}"/>
    <cellStyle name="Standard 4 4 4 3 3 2 2 3 2" xfId="27385" xr:uid="{00000000-0005-0000-0000-0000C36B0000}"/>
    <cellStyle name="Standard 4 4 4 3 3 2 2 3 3" xfId="27386" xr:uid="{00000000-0005-0000-0000-0000C46B0000}"/>
    <cellStyle name="Standard 4 4 4 3 3 2 2 4" xfId="27387" xr:uid="{00000000-0005-0000-0000-0000C56B0000}"/>
    <cellStyle name="Standard 4 4 4 3 3 2 2 4 2" xfId="27388" xr:uid="{00000000-0005-0000-0000-0000C66B0000}"/>
    <cellStyle name="Standard 4 4 4 3 3 2 2 5" xfId="27389" xr:uid="{00000000-0005-0000-0000-0000C76B0000}"/>
    <cellStyle name="Standard 4 4 4 3 3 2 2 6" xfId="27390" xr:uid="{00000000-0005-0000-0000-0000C86B0000}"/>
    <cellStyle name="Standard 4 4 4 3 3 2 3" xfId="27391" xr:uid="{00000000-0005-0000-0000-0000C96B0000}"/>
    <cellStyle name="Standard 4 4 4 3 3 2 3 2" xfId="27392" xr:uid="{00000000-0005-0000-0000-0000CA6B0000}"/>
    <cellStyle name="Standard 4 4 4 3 3 2 3 3" xfId="27393" xr:uid="{00000000-0005-0000-0000-0000CB6B0000}"/>
    <cellStyle name="Standard 4 4 4 3 3 2 4" xfId="27394" xr:uid="{00000000-0005-0000-0000-0000CC6B0000}"/>
    <cellStyle name="Standard 4 4 4 3 3 2 4 2" xfId="27395" xr:uid="{00000000-0005-0000-0000-0000CD6B0000}"/>
    <cellStyle name="Standard 4 4 4 3 3 2 4 3" xfId="27396" xr:uid="{00000000-0005-0000-0000-0000CE6B0000}"/>
    <cellStyle name="Standard 4 4 4 3 3 2 5" xfId="27397" xr:uid="{00000000-0005-0000-0000-0000CF6B0000}"/>
    <cellStyle name="Standard 4 4 4 3 3 2 5 2" xfId="27398" xr:uid="{00000000-0005-0000-0000-0000D06B0000}"/>
    <cellStyle name="Standard 4 4 4 3 3 2 6" xfId="27399" xr:uid="{00000000-0005-0000-0000-0000D16B0000}"/>
    <cellStyle name="Standard 4 4 4 3 3 2 7" xfId="27400" xr:uid="{00000000-0005-0000-0000-0000D26B0000}"/>
    <cellStyle name="Standard 4 4 4 3 3 3" xfId="27401" xr:uid="{00000000-0005-0000-0000-0000D36B0000}"/>
    <cellStyle name="Standard 4 4 4 3 3 3 2" xfId="27402" xr:uid="{00000000-0005-0000-0000-0000D46B0000}"/>
    <cellStyle name="Standard 4 4 4 3 3 3 2 2" xfId="27403" xr:uid="{00000000-0005-0000-0000-0000D56B0000}"/>
    <cellStyle name="Standard 4 4 4 3 3 3 2 3" xfId="27404" xr:uid="{00000000-0005-0000-0000-0000D66B0000}"/>
    <cellStyle name="Standard 4 4 4 3 3 3 3" xfId="27405" xr:uid="{00000000-0005-0000-0000-0000D76B0000}"/>
    <cellStyle name="Standard 4 4 4 3 3 3 3 2" xfId="27406" xr:uid="{00000000-0005-0000-0000-0000D86B0000}"/>
    <cellStyle name="Standard 4 4 4 3 3 3 3 3" xfId="27407" xr:uid="{00000000-0005-0000-0000-0000D96B0000}"/>
    <cellStyle name="Standard 4 4 4 3 3 3 4" xfId="27408" xr:uid="{00000000-0005-0000-0000-0000DA6B0000}"/>
    <cellStyle name="Standard 4 4 4 3 3 3 4 2" xfId="27409" xr:uid="{00000000-0005-0000-0000-0000DB6B0000}"/>
    <cellStyle name="Standard 4 4 4 3 3 3 5" xfId="27410" xr:uid="{00000000-0005-0000-0000-0000DC6B0000}"/>
    <cellStyle name="Standard 4 4 4 3 3 3 6" xfId="27411" xr:uid="{00000000-0005-0000-0000-0000DD6B0000}"/>
    <cellStyle name="Standard 4 4 4 3 3 4" xfId="27412" xr:uid="{00000000-0005-0000-0000-0000DE6B0000}"/>
    <cellStyle name="Standard 4 4 4 3 3 4 2" xfId="27413" xr:uid="{00000000-0005-0000-0000-0000DF6B0000}"/>
    <cellStyle name="Standard 4 4 4 3 3 4 3" xfId="27414" xr:uid="{00000000-0005-0000-0000-0000E06B0000}"/>
    <cellStyle name="Standard 4 4 4 3 3 5" xfId="27415" xr:uid="{00000000-0005-0000-0000-0000E16B0000}"/>
    <cellStyle name="Standard 4 4 4 3 3 5 2" xfId="27416" xr:uid="{00000000-0005-0000-0000-0000E26B0000}"/>
    <cellStyle name="Standard 4 4 4 3 3 5 3" xfId="27417" xr:uid="{00000000-0005-0000-0000-0000E36B0000}"/>
    <cellStyle name="Standard 4 4 4 3 3 6" xfId="27418" xr:uid="{00000000-0005-0000-0000-0000E46B0000}"/>
    <cellStyle name="Standard 4 4 4 3 3 6 2" xfId="27419" xr:uid="{00000000-0005-0000-0000-0000E56B0000}"/>
    <cellStyle name="Standard 4 4 4 3 3 7" xfId="27420" xr:uid="{00000000-0005-0000-0000-0000E66B0000}"/>
    <cellStyle name="Standard 4 4 4 3 3 8" xfId="27421" xr:uid="{00000000-0005-0000-0000-0000E76B0000}"/>
    <cellStyle name="Standard 4 4 4 3 4" xfId="27422" xr:uid="{00000000-0005-0000-0000-0000E86B0000}"/>
    <cellStyle name="Standard 4 4 4 3 4 2" xfId="27423" xr:uid="{00000000-0005-0000-0000-0000E96B0000}"/>
    <cellStyle name="Standard 4 4 4 3 4 2 2" xfId="27424" xr:uid="{00000000-0005-0000-0000-0000EA6B0000}"/>
    <cellStyle name="Standard 4 4 4 3 4 2 2 2" xfId="27425" xr:uid="{00000000-0005-0000-0000-0000EB6B0000}"/>
    <cellStyle name="Standard 4 4 4 3 4 2 2 3" xfId="27426" xr:uid="{00000000-0005-0000-0000-0000EC6B0000}"/>
    <cellStyle name="Standard 4 4 4 3 4 2 3" xfId="27427" xr:uid="{00000000-0005-0000-0000-0000ED6B0000}"/>
    <cellStyle name="Standard 4 4 4 3 4 2 3 2" xfId="27428" xr:uid="{00000000-0005-0000-0000-0000EE6B0000}"/>
    <cellStyle name="Standard 4 4 4 3 4 2 3 3" xfId="27429" xr:uid="{00000000-0005-0000-0000-0000EF6B0000}"/>
    <cellStyle name="Standard 4 4 4 3 4 2 4" xfId="27430" xr:uid="{00000000-0005-0000-0000-0000F06B0000}"/>
    <cellStyle name="Standard 4 4 4 3 4 2 4 2" xfId="27431" xr:uid="{00000000-0005-0000-0000-0000F16B0000}"/>
    <cellStyle name="Standard 4 4 4 3 4 2 5" xfId="27432" xr:uid="{00000000-0005-0000-0000-0000F26B0000}"/>
    <cellStyle name="Standard 4 4 4 3 4 2 6" xfId="27433" xr:uid="{00000000-0005-0000-0000-0000F36B0000}"/>
    <cellStyle name="Standard 4 4 4 3 4 3" xfId="27434" xr:uid="{00000000-0005-0000-0000-0000F46B0000}"/>
    <cellStyle name="Standard 4 4 4 3 4 3 2" xfId="27435" xr:uid="{00000000-0005-0000-0000-0000F56B0000}"/>
    <cellStyle name="Standard 4 4 4 3 4 3 3" xfId="27436" xr:uid="{00000000-0005-0000-0000-0000F66B0000}"/>
    <cellStyle name="Standard 4 4 4 3 4 4" xfId="27437" xr:uid="{00000000-0005-0000-0000-0000F76B0000}"/>
    <cellStyle name="Standard 4 4 4 3 4 4 2" xfId="27438" xr:uid="{00000000-0005-0000-0000-0000F86B0000}"/>
    <cellStyle name="Standard 4 4 4 3 4 4 3" xfId="27439" xr:uid="{00000000-0005-0000-0000-0000F96B0000}"/>
    <cellStyle name="Standard 4 4 4 3 4 5" xfId="27440" xr:uid="{00000000-0005-0000-0000-0000FA6B0000}"/>
    <cellStyle name="Standard 4 4 4 3 4 5 2" xfId="27441" xr:uid="{00000000-0005-0000-0000-0000FB6B0000}"/>
    <cellStyle name="Standard 4 4 4 3 4 6" xfId="27442" xr:uid="{00000000-0005-0000-0000-0000FC6B0000}"/>
    <cellStyle name="Standard 4 4 4 3 4 7" xfId="27443" xr:uid="{00000000-0005-0000-0000-0000FD6B0000}"/>
    <cellStyle name="Standard 4 4 4 3 5" xfId="27444" xr:uid="{00000000-0005-0000-0000-0000FE6B0000}"/>
    <cellStyle name="Standard 4 4 4 3 5 2" xfId="27445" xr:uid="{00000000-0005-0000-0000-0000FF6B0000}"/>
    <cellStyle name="Standard 4 4 4 3 5 2 2" xfId="27446" xr:uid="{00000000-0005-0000-0000-0000006C0000}"/>
    <cellStyle name="Standard 4 4 4 3 5 2 3" xfId="27447" xr:uid="{00000000-0005-0000-0000-0000016C0000}"/>
    <cellStyle name="Standard 4 4 4 3 5 3" xfId="27448" xr:uid="{00000000-0005-0000-0000-0000026C0000}"/>
    <cellStyle name="Standard 4 4 4 3 5 3 2" xfId="27449" xr:uid="{00000000-0005-0000-0000-0000036C0000}"/>
    <cellStyle name="Standard 4 4 4 3 5 3 3" xfId="27450" xr:uid="{00000000-0005-0000-0000-0000046C0000}"/>
    <cellStyle name="Standard 4 4 4 3 5 4" xfId="27451" xr:uid="{00000000-0005-0000-0000-0000056C0000}"/>
    <cellStyle name="Standard 4 4 4 3 5 4 2" xfId="27452" xr:uid="{00000000-0005-0000-0000-0000066C0000}"/>
    <cellStyle name="Standard 4 4 4 3 5 5" xfId="27453" xr:uid="{00000000-0005-0000-0000-0000076C0000}"/>
    <cellStyle name="Standard 4 4 4 3 5 6" xfId="27454" xr:uid="{00000000-0005-0000-0000-0000086C0000}"/>
    <cellStyle name="Standard 4 4 4 3 6" xfId="27455" xr:uid="{00000000-0005-0000-0000-0000096C0000}"/>
    <cellStyle name="Standard 4 4 4 3 6 2" xfId="27456" xr:uid="{00000000-0005-0000-0000-00000A6C0000}"/>
    <cellStyle name="Standard 4 4 4 3 6 3" xfId="27457" xr:uid="{00000000-0005-0000-0000-00000B6C0000}"/>
    <cellStyle name="Standard 4 4 4 3 7" xfId="27458" xr:uid="{00000000-0005-0000-0000-00000C6C0000}"/>
    <cellStyle name="Standard 4 4 4 3 7 2" xfId="27459" xr:uid="{00000000-0005-0000-0000-00000D6C0000}"/>
    <cellStyle name="Standard 4 4 4 3 7 3" xfId="27460" xr:uid="{00000000-0005-0000-0000-00000E6C0000}"/>
    <cellStyle name="Standard 4 4 4 3 8" xfId="27461" xr:uid="{00000000-0005-0000-0000-00000F6C0000}"/>
    <cellStyle name="Standard 4 4 4 3 8 2" xfId="27462" xr:uid="{00000000-0005-0000-0000-0000106C0000}"/>
    <cellStyle name="Standard 4 4 4 3 9" xfId="27463" xr:uid="{00000000-0005-0000-0000-0000116C0000}"/>
    <cellStyle name="Standard 4 4 4 4" xfId="27464" xr:uid="{00000000-0005-0000-0000-0000126C0000}"/>
    <cellStyle name="Standard 4 4 4 4 2" xfId="27465" xr:uid="{00000000-0005-0000-0000-0000136C0000}"/>
    <cellStyle name="Standard 4 4 4 4 2 2" xfId="27466" xr:uid="{00000000-0005-0000-0000-0000146C0000}"/>
    <cellStyle name="Standard 4 4 4 4 2 2 2" xfId="27467" xr:uid="{00000000-0005-0000-0000-0000156C0000}"/>
    <cellStyle name="Standard 4 4 4 4 2 2 2 2" xfId="27468" xr:uid="{00000000-0005-0000-0000-0000166C0000}"/>
    <cellStyle name="Standard 4 4 4 4 2 2 2 3" xfId="27469" xr:uid="{00000000-0005-0000-0000-0000176C0000}"/>
    <cellStyle name="Standard 4 4 4 4 2 2 3" xfId="27470" xr:uid="{00000000-0005-0000-0000-0000186C0000}"/>
    <cellStyle name="Standard 4 4 4 4 2 2 3 2" xfId="27471" xr:uid="{00000000-0005-0000-0000-0000196C0000}"/>
    <cellStyle name="Standard 4 4 4 4 2 2 3 3" xfId="27472" xr:uid="{00000000-0005-0000-0000-00001A6C0000}"/>
    <cellStyle name="Standard 4 4 4 4 2 2 4" xfId="27473" xr:uid="{00000000-0005-0000-0000-00001B6C0000}"/>
    <cellStyle name="Standard 4 4 4 4 2 2 4 2" xfId="27474" xr:uid="{00000000-0005-0000-0000-00001C6C0000}"/>
    <cellStyle name="Standard 4 4 4 4 2 2 5" xfId="27475" xr:uid="{00000000-0005-0000-0000-00001D6C0000}"/>
    <cellStyle name="Standard 4 4 4 4 2 2 6" xfId="27476" xr:uid="{00000000-0005-0000-0000-00001E6C0000}"/>
    <cellStyle name="Standard 4 4 4 4 2 3" xfId="27477" xr:uid="{00000000-0005-0000-0000-00001F6C0000}"/>
    <cellStyle name="Standard 4 4 4 4 2 3 2" xfId="27478" xr:uid="{00000000-0005-0000-0000-0000206C0000}"/>
    <cellStyle name="Standard 4 4 4 4 2 3 3" xfId="27479" xr:uid="{00000000-0005-0000-0000-0000216C0000}"/>
    <cellStyle name="Standard 4 4 4 4 2 4" xfId="27480" xr:uid="{00000000-0005-0000-0000-0000226C0000}"/>
    <cellStyle name="Standard 4 4 4 4 2 4 2" xfId="27481" xr:uid="{00000000-0005-0000-0000-0000236C0000}"/>
    <cellStyle name="Standard 4 4 4 4 2 4 3" xfId="27482" xr:uid="{00000000-0005-0000-0000-0000246C0000}"/>
    <cellStyle name="Standard 4 4 4 4 2 5" xfId="27483" xr:uid="{00000000-0005-0000-0000-0000256C0000}"/>
    <cellStyle name="Standard 4 4 4 4 2 5 2" xfId="27484" xr:uid="{00000000-0005-0000-0000-0000266C0000}"/>
    <cellStyle name="Standard 4 4 4 4 2 6" xfId="27485" xr:uid="{00000000-0005-0000-0000-0000276C0000}"/>
    <cellStyle name="Standard 4 4 4 4 2 7" xfId="27486" xr:uid="{00000000-0005-0000-0000-0000286C0000}"/>
    <cellStyle name="Standard 4 4 4 4 3" xfId="27487" xr:uid="{00000000-0005-0000-0000-0000296C0000}"/>
    <cellStyle name="Standard 4 4 4 4 3 2" xfId="27488" xr:uid="{00000000-0005-0000-0000-00002A6C0000}"/>
    <cellStyle name="Standard 4 4 4 4 3 2 2" xfId="27489" xr:uid="{00000000-0005-0000-0000-00002B6C0000}"/>
    <cellStyle name="Standard 4 4 4 4 3 2 3" xfId="27490" xr:uid="{00000000-0005-0000-0000-00002C6C0000}"/>
    <cellStyle name="Standard 4 4 4 4 3 3" xfId="27491" xr:uid="{00000000-0005-0000-0000-00002D6C0000}"/>
    <cellStyle name="Standard 4 4 4 4 3 3 2" xfId="27492" xr:uid="{00000000-0005-0000-0000-00002E6C0000}"/>
    <cellStyle name="Standard 4 4 4 4 3 3 3" xfId="27493" xr:uid="{00000000-0005-0000-0000-00002F6C0000}"/>
    <cellStyle name="Standard 4 4 4 4 3 4" xfId="27494" xr:uid="{00000000-0005-0000-0000-0000306C0000}"/>
    <cellStyle name="Standard 4 4 4 4 3 4 2" xfId="27495" xr:uid="{00000000-0005-0000-0000-0000316C0000}"/>
    <cellStyle name="Standard 4 4 4 4 3 5" xfId="27496" xr:uid="{00000000-0005-0000-0000-0000326C0000}"/>
    <cellStyle name="Standard 4 4 4 4 3 6" xfId="27497" xr:uid="{00000000-0005-0000-0000-0000336C0000}"/>
    <cellStyle name="Standard 4 4 4 4 4" xfId="27498" xr:uid="{00000000-0005-0000-0000-0000346C0000}"/>
    <cellStyle name="Standard 4 4 4 4 4 2" xfId="27499" xr:uid="{00000000-0005-0000-0000-0000356C0000}"/>
    <cellStyle name="Standard 4 4 4 4 4 3" xfId="27500" xr:uid="{00000000-0005-0000-0000-0000366C0000}"/>
    <cellStyle name="Standard 4 4 4 4 5" xfId="27501" xr:uid="{00000000-0005-0000-0000-0000376C0000}"/>
    <cellStyle name="Standard 4 4 4 4 5 2" xfId="27502" xr:uid="{00000000-0005-0000-0000-0000386C0000}"/>
    <cellStyle name="Standard 4 4 4 4 5 3" xfId="27503" xr:uid="{00000000-0005-0000-0000-0000396C0000}"/>
    <cellStyle name="Standard 4 4 4 4 6" xfId="27504" xr:uid="{00000000-0005-0000-0000-00003A6C0000}"/>
    <cellStyle name="Standard 4 4 4 4 6 2" xfId="27505" xr:uid="{00000000-0005-0000-0000-00003B6C0000}"/>
    <cellStyle name="Standard 4 4 4 4 7" xfId="27506" xr:uid="{00000000-0005-0000-0000-00003C6C0000}"/>
    <cellStyle name="Standard 4 4 4 4 8" xfId="27507" xr:uid="{00000000-0005-0000-0000-00003D6C0000}"/>
    <cellStyle name="Standard 4 4 4 5" xfId="27508" xr:uid="{00000000-0005-0000-0000-00003E6C0000}"/>
    <cellStyle name="Standard 4 4 4 5 2" xfId="27509" xr:uid="{00000000-0005-0000-0000-00003F6C0000}"/>
    <cellStyle name="Standard 4 4 4 5 2 2" xfId="27510" xr:uid="{00000000-0005-0000-0000-0000406C0000}"/>
    <cellStyle name="Standard 4 4 4 5 2 2 2" xfId="27511" xr:uid="{00000000-0005-0000-0000-0000416C0000}"/>
    <cellStyle name="Standard 4 4 4 5 2 2 2 2" xfId="27512" xr:uid="{00000000-0005-0000-0000-0000426C0000}"/>
    <cellStyle name="Standard 4 4 4 5 2 2 2 3" xfId="27513" xr:uid="{00000000-0005-0000-0000-0000436C0000}"/>
    <cellStyle name="Standard 4 4 4 5 2 2 3" xfId="27514" xr:uid="{00000000-0005-0000-0000-0000446C0000}"/>
    <cellStyle name="Standard 4 4 4 5 2 2 3 2" xfId="27515" xr:uid="{00000000-0005-0000-0000-0000456C0000}"/>
    <cellStyle name="Standard 4 4 4 5 2 2 3 3" xfId="27516" xr:uid="{00000000-0005-0000-0000-0000466C0000}"/>
    <cellStyle name="Standard 4 4 4 5 2 2 4" xfId="27517" xr:uid="{00000000-0005-0000-0000-0000476C0000}"/>
    <cellStyle name="Standard 4 4 4 5 2 2 4 2" xfId="27518" xr:uid="{00000000-0005-0000-0000-0000486C0000}"/>
    <cellStyle name="Standard 4 4 4 5 2 2 5" xfId="27519" xr:uid="{00000000-0005-0000-0000-0000496C0000}"/>
    <cellStyle name="Standard 4 4 4 5 2 2 6" xfId="27520" xr:uid="{00000000-0005-0000-0000-00004A6C0000}"/>
    <cellStyle name="Standard 4 4 4 5 2 3" xfId="27521" xr:uid="{00000000-0005-0000-0000-00004B6C0000}"/>
    <cellStyle name="Standard 4 4 4 5 2 3 2" xfId="27522" xr:uid="{00000000-0005-0000-0000-00004C6C0000}"/>
    <cellStyle name="Standard 4 4 4 5 2 3 3" xfId="27523" xr:uid="{00000000-0005-0000-0000-00004D6C0000}"/>
    <cellStyle name="Standard 4 4 4 5 2 4" xfId="27524" xr:uid="{00000000-0005-0000-0000-00004E6C0000}"/>
    <cellStyle name="Standard 4 4 4 5 2 4 2" xfId="27525" xr:uid="{00000000-0005-0000-0000-00004F6C0000}"/>
    <cellStyle name="Standard 4 4 4 5 2 4 3" xfId="27526" xr:uid="{00000000-0005-0000-0000-0000506C0000}"/>
    <cellStyle name="Standard 4 4 4 5 2 5" xfId="27527" xr:uid="{00000000-0005-0000-0000-0000516C0000}"/>
    <cellStyle name="Standard 4 4 4 5 2 5 2" xfId="27528" xr:uid="{00000000-0005-0000-0000-0000526C0000}"/>
    <cellStyle name="Standard 4 4 4 5 2 6" xfId="27529" xr:uid="{00000000-0005-0000-0000-0000536C0000}"/>
    <cellStyle name="Standard 4 4 4 5 2 7" xfId="27530" xr:uid="{00000000-0005-0000-0000-0000546C0000}"/>
    <cellStyle name="Standard 4 4 4 5 3" xfId="27531" xr:uid="{00000000-0005-0000-0000-0000556C0000}"/>
    <cellStyle name="Standard 4 4 4 5 3 2" xfId="27532" xr:uid="{00000000-0005-0000-0000-0000566C0000}"/>
    <cellStyle name="Standard 4 4 4 5 3 2 2" xfId="27533" xr:uid="{00000000-0005-0000-0000-0000576C0000}"/>
    <cellStyle name="Standard 4 4 4 5 3 2 3" xfId="27534" xr:uid="{00000000-0005-0000-0000-0000586C0000}"/>
    <cellStyle name="Standard 4 4 4 5 3 3" xfId="27535" xr:uid="{00000000-0005-0000-0000-0000596C0000}"/>
    <cellStyle name="Standard 4 4 4 5 3 3 2" xfId="27536" xr:uid="{00000000-0005-0000-0000-00005A6C0000}"/>
    <cellStyle name="Standard 4 4 4 5 3 3 3" xfId="27537" xr:uid="{00000000-0005-0000-0000-00005B6C0000}"/>
    <cellStyle name="Standard 4 4 4 5 3 4" xfId="27538" xr:uid="{00000000-0005-0000-0000-00005C6C0000}"/>
    <cellStyle name="Standard 4 4 4 5 3 4 2" xfId="27539" xr:uid="{00000000-0005-0000-0000-00005D6C0000}"/>
    <cellStyle name="Standard 4 4 4 5 3 5" xfId="27540" xr:uid="{00000000-0005-0000-0000-00005E6C0000}"/>
    <cellStyle name="Standard 4 4 4 5 3 6" xfId="27541" xr:uid="{00000000-0005-0000-0000-00005F6C0000}"/>
    <cellStyle name="Standard 4 4 4 5 4" xfId="27542" xr:uid="{00000000-0005-0000-0000-0000606C0000}"/>
    <cellStyle name="Standard 4 4 4 5 4 2" xfId="27543" xr:uid="{00000000-0005-0000-0000-0000616C0000}"/>
    <cellStyle name="Standard 4 4 4 5 4 3" xfId="27544" xr:uid="{00000000-0005-0000-0000-0000626C0000}"/>
    <cellStyle name="Standard 4 4 4 5 5" xfId="27545" xr:uid="{00000000-0005-0000-0000-0000636C0000}"/>
    <cellStyle name="Standard 4 4 4 5 5 2" xfId="27546" xr:uid="{00000000-0005-0000-0000-0000646C0000}"/>
    <cellStyle name="Standard 4 4 4 5 5 3" xfId="27547" xr:uid="{00000000-0005-0000-0000-0000656C0000}"/>
    <cellStyle name="Standard 4 4 4 5 6" xfId="27548" xr:uid="{00000000-0005-0000-0000-0000666C0000}"/>
    <cellStyle name="Standard 4 4 4 5 6 2" xfId="27549" xr:uid="{00000000-0005-0000-0000-0000676C0000}"/>
    <cellStyle name="Standard 4 4 4 5 7" xfId="27550" xr:uid="{00000000-0005-0000-0000-0000686C0000}"/>
    <cellStyle name="Standard 4 4 4 5 8" xfId="27551" xr:uid="{00000000-0005-0000-0000-0000696C0000}"/>
    <cellStyle name="Standard 4 4 4 6" xfId="27552" xr:uid="{00000000-0005-0000-0000-00006A6C0000}"/>
    <cellStyle name="Standard 4 4 4 6 2" xfId="27553" xr:uid="{00000000-0005-0000-0000-00006B6C0000}"/>
    <cellStyle name="Standard 4 4 4 6 2 2" xfId="27554" xr:uid="{00000000-0005-0000-0000-00006C6C0000}"/>
    <cellStyle name="Standard 4 4 4 6 2 2 2" xfId="27555" xr:uid="{00000000-0005-0000-0000-00006D6C0000}"/>
    <cellStyle name="Standard 4 4 4 6 2 2 3" xfId="27556" xr:uid="{00000000-0005-0000-0000-00006E6C0000}"/>
    <cellStyle name="Standard 4 4 4 6 2 3" xfId="27557" xr:uid="{00000000-0005-0000-0000-00006F6C0000}"/>
    <cellStyle name="Standard 4 4 4 6 2 3 2" xfId="27558" xr:uid="{00000000-0005-0000-0000-0000706C0000}"/>
    <cellStyle name="Standard 4 4 4 6 2 3 3" xfId="27559" xr:uid="{00000000-0005-0000-0000-0000716C0000}"/>
    <cellStyle name="Standard 4 4 4 6 2 4" xfId="27560" xr:uid="{00000000-0005-0000-0000-0000726C0000}"/>
    <cellStyle name="Standard 4 4 4 6 2 4 2" xfId="27561" xr:uid="{00000000-0005-0000-0000-0000736C0000}"/>
    <cellStyle name="Standard 4 4 4 6 2 5" xfId="27562" xr:uid="{00000000-0005-0000-0000-0000746C0000}"/>
    <cellStyle name="Standard 4 4 4 6 2 6" xfId="27563" xr:uid="{00000000-0005-0000-0000-0000756C0000}"/>
    <cellStyle name="Standard 4 4 4 6 3" xfId="27564" xr:uid="{00000000-0005-0000-0000-0000766C0000}"/>
    <cellStyle name="Standard 4 4 4 6 3 2" xfId="27565" xr:uid="{00000000-0005-0000-0000-0000776C0000}"/>
    <cellStyle name="Standard 4 4 4 6 3 3" xfId="27566" xr:uid="{00000000-0005-0000-0000-0000786C0000}"/>
    <cellStyle name="Standard 4 4 4 6 4" xfId="27567" xr:uid="{00000000-0005-0000-0000-0000796C0000}"/>
    <cellStyle name="Standard 4 4 4 6 4 2" xfId="27568" xr:uid="{00000000-0005-0000-0000-00007A6C0000}"/>
    <cellStyle name="Standard 4 4 4 6 4 3" xfId="27569" xr:uid="{00000000-0005-0000-0000-00007B6C0000}"/>
    <cellStyle name="Standard 4 4 4 6 5" xfId="27570" xr:uid="{00000000-0005-0000-0000-00007C6C0000}"/>
    <cellStyle name="Standard 4 4 4 6 5 2" xfId="27571" xr:uid="{00000000-0005-0000-0000-00007D6C0000}"/>
    <cellStyle name="Standard 4 4 4 6 6" xfId="27572" xr:uid="{00000000-0005-0000-0000-00007E6C0000}"/>
    <cellStyle name="Standard 4 4 4 6 7" xfId="27573" xr:uid="{00000000-0005-0000-0000-00007F6C0000}"/>
    <cellStyle name="Standard 4 4 4 7" xfId="27574" xr:uid="{00000000-0005-0000-0000-0000806C0000}"/>
    <cellStyle name="Standard 4 4 4 7 2" xfId="27575" xr:uid="{00000000-0005-0000-0000-0000816C0000}"/>
    <cellStyle name="Standard 4 4 4 7 2 2" xfId="27576" xr:uid="{00000000-0005-0000-0000-0000826C0000}"/>
    <cellStyle name="Standard 4 4 4 7 2 3" xfId="27577" xr:uid="{00000000-0005-0000-0000-0000836C0000}"/>
    <cellStyle name="Standard 4 4 4 7 3" xfId="27578" xr:uid="{00000000-0005-0000-0000-0000846C0000}"/>
    <cellStyle name="Standard 4 4 4 7 3 2" xfId="27579" xr:uid="{00000000-0005-0000-0000-0000856C0000}"/>
    <cellStyle name="Standard 4 4 4 7 3 3" xfId="27580" xr:uid="{00000000-0005-0000-0000-0000866C0000}"/>
    <cellStyle name="Standard 4 4 4 7 4" xfId="27581" xr:uid="{00000000-0005-0000-0000-0000876C0000}"/>
    <cellStyle name="Standard 4 4 4 7 4 2" xfId="27582" xr:uid="{00000000-0005-0000-0000-0000886C0000}"/>
    <cellStyle name="Standard 4 4 4 7 5" xfId="27583" xr:uid="{00000000-0005-0000-0000-0000896C0000}"/>
    <cellStyle name="Standard 4 4 4 7 6" xfId="27584" xr:uid="{00000000-0005-0000-0000-00008A6C0000}"/>
    <cellStyle name="Standard 4 4 4 8" xfId="27585" xr:uid="{00000000-0005-0000-0000-00008B6C0000}"/>
    <cellStyle name="Standard 4 4 4 8 2" xfId="27586" xr:uid="{00000000-0005-0000-0000-00008C6C0000}"/>
    <cellStyle name="Standard 4 4 4 8 3" xfId="27587" xr:uid="{00000000-0005-0000-0000-00008D6C0000}"/>
    <cellStyle name="Standard 4 4 4 9" xfId="27588" xr:uid="{00000000-0005-0000-0000-00008E6C0000}"/>
    <cellStyle name="Standard 4 4 4 9 2" xfId="27589" xr:uid="{00000000-0005-0000-0000-00008F6C0000}"/>
    <cellStyle name="Standard 4 4 4 9 3" xfId="27590" xr:uid="{00000000-0005-0000-0000-0000906C0000}"/>
    <cellStyle name="Standard 4 4 5" xfId="27591" xr:uid="{00000000-0005-0000-0000-0000916C0000}"/>
    <cellStyle name="Standard 4 4 5 10" xfId="27592" xr:uid="{00000000-0005-0000-0000-0000926C0000}"/>
    <cellStyle name="Standard 4 4 5 11" xfId="27593" xr:uid="{00000000-0005-0000-0000-0000936C0000}"/>
    <cellStyle name="Standard 4 4 5 2" xfId="27594" xr:uid="{00000000-0005-0000-0000-0000946C0000}"/>
    <cellStyle name="Standard 4 4 5 2 10" xfId="27595" xr:uid="{00000000-0005-0000-0000-0000956C0000}"/>
    <cellStyle name="Standard 4 4 5 2 2" xfId="27596" xr:uid="{00000000-0005-0000-0000-0000966C0000}"/>
    <cellStyle name="Standard 4 4 5 2 2 2" xfId="27597" xr:uid="{00000000-0005-0000-0000-0000976C0000}"/>
    <cellStyle name="Standard 4 4 5 2 2 2 2" xfId="27598" xr:uid="{00000000-0005-0000-0000-0000986C0000}"/>
    <cellStyle name="Standard 4 4 5 2 2 2 2 2" xfId="27599" xr:uid="{00000000-0005-0000-0000-0000996C0000}"/>
    <cellStyle name="Standard 4 4 5 2 2 2 2 2 2" xfId="27600" xr:uid="{00000000-0005-0000-0000-00009A6C0000}"/>
    <cellStyle name="Standard 4 4 5 2 2 2 2 2 3" xfId="27601" xr:uid="{00000000-0005-0000-0000-00009B6C0000}"/>
    <cellStyle name="Standard 4 4 5 2 2 2 2 3" xfId="27602" xr:uid="{00000000-0005-0000-0000-00009C6C0000}"/>
    <cellStyle name="Standard 4 4 5 2 2 2 2 3 2" xfId="27603" xr:uid="{00000000-0005-0000-0000-00009D6C0000}"/>
    <cellStyle name="Standard 4 4 5 2 2 2 2 3 3" xfId="27604" xr:uid="{00000000-0005-0000-0000-00009E6C0000}"/>
    <cellStyle name="Standard 4 4 5 2 2 2 2 4" xfId="27605" xr:uid="{00000000-0005-0000-0000-00009F6C0000}"/>
    <cellStyle name="Standard 4 4 5 2 2 2 2 4 2" xfId="27606" xr:uid="{00000000-0005-0000-0000-0000A06C0000}"/>
    <cellStyle name="Standard 4 4 5 2 2 2 2 5" xfId="27607" xr:uid="{00000000-0005-0000-0000-0000A16C0000}"/>
    <cellStyle name="Standard 4 4 5 2 2 2 2 6" xfId="27608" xr:uid="{00000000-0005-0000-0000-0000A26C0000}"/>
    <cellStyle name="Standard 4 4 5 2 2 2 3" xfId="27609" xr:uid="{00000000-0005-0000-0000-0000A36C0000}"/>
    <cellStyle name="Standard 4 4 5 2 2 2 3 2" xfId="27610" xr:uid="{00000000-0005-0000-0000-0000A46C0000}"/>
    <cellStyle name="Standard 4 4 5 2 2 2 3 3" xfId="27611" xr:uid="{00000000-0005-0000-0000-0000A56C0000}"/>
    <cellStyle name="Standard 4 4 5 2 2 2 4" xfId="27612" xr:uid="{00000000-0005-0000-0000-0000A66C0000}"/>
    <cellStyle name="Standard 4 4 5 2 2 2 4 2" xfId="27613" xr:uid="{00000000-0005-0000-0000-0000A76C0000}"/>
    <cellStyle name="Standard 4 4 5 2 2 2 4 3" xfId="27614" xr:uid="{00000000-0005-0000-0000-0000A86C0000}"/>
    <cellStyle name="Standard 4 4 5 2 2 2 5" xfId="27615" xr:uid="{00000000-0005-0000-0000-0000A96C0000}"/>
    <cellStyle name="Standard 4 4 5 2 2 2 5 2" xfId="27616" xr:uid="{00000000-0005-0000-0000-0000AA6C0000}"/>
    <cellStyle name="Standard 4 4 5 2 2 2 6" xfId="27617" xr:uid="{00000000-0005-0000-0000-0000AB6C0000}"/>
    <cellStyle name="Standard 4 4 5 2 2 2 7" xfId="27618" xr:uid="{00000000-0005-0000-0000-0000AC6C0000}"/>
    <cellStyle name="Standard 4 4 5 2 2 3" xfId="27619" xr:uid="{00000000-0005-0000-0000-0000AD6C0000}"/>
    <cellStyle name="Standard 4 4 5 2 2 3 2" xfId="27620" xr:uid="{00000000-0005-0000-0000-0000AE6C0000}"/>
    <cellStyle name="Standard 4 4 5 2 2 3 2 2" xfId="27621" xr:uid="{00000000-0005-0000-0000-0000AF6C0000}"/>
    <cellStyle name="Standard 4 4 5 2 2 3 2 3" xfId="27622" xr:uid="{00000000-0005-0000-0000-0000B06C0000}"/>
    <cellStyle name="Standard 4 4 5 2 2 3 3" xfId="27623" xr:uid="{00000000-0005-0000-0000-0000B16C0000}"/>
    <cellStyle name="Standard 4 4 5 2 2 3 3 2" xfId="27624" xr:uid="{00000000-0005-0000-0000-0000B26C0000}"/>
    <cellStyle name="Standard 4 4 5 2 2 3 3 3" xfId="27625" xr:uid="{00000000-0005-0000-0000-0000B36C0000}"/>
    <cellStyle name="Standard 4 4 5 2 2 3 4" xfId="27626" xr:uid="{00000000-0005-0000-0000-0000B46C0000}"/>
    <cellStyle name="Standard 4 4 5 2 2 3 4 2" xfId="27627" xr:uid="{00000000-0005-0000-0000-0000B56C0000}"/>
    <cellStyle name="Standard 4 4 5 2 2 3 5" xfId="27628" xr:uid="{00000000-0005-0000-0000-0000B66C0000}"/>
    <cellStyle name="Standard 4 4 5 2 2 3 6" xfId="27629" xr:uid="{00000000-0005-0000-0000-0000B76C0000}"/>
    <cellStyle name="Standard 4 4 5 2 2 4" xfId="27630" xr:uid="{00000000-0005-0000-0000-0000B86C0000}"/>
    <cellStyle name="Standard 4 4 5 2 2 4 2" xfId="27631" xr:uid="{00000000-0005-0000-0000-0000B96C0000}"/>
    <cellStyle name="Standard 4 4 5 2 2 4 3" xfId="27632" xr:uid="{00000000-0005-0000-0000-0000BA6C0000}"/>
    <cellStyle name="Standard 4 4 5 2 2 5" xfId="27633" xr:uid="{00000000-0005-0000-0000-0000BB6C0000}"/>
    <cellStyle name="Standard 4 4 5 2 2 5 2" xfId="27634" xr:uid="{00000000-0005-0000-0000-0000BC6C0000}"/>
    <cellStyle name="Standard 4 4 5 2 2 5 3" xfId="27635" xr:uid="{00000000-0005-0000-0000-0000BD6C0000}"/>
    <cellStyle name="Standard 4 4 5 2 2 6" xfId="27636" xr:uid="{00000000-0005-0000-0000-0000BE6C0000}"/>
    <cellStyle name="Standard 4 4 5 2 2 6 2" xfId="27637" xr:uid="{00000000-0005-0000-0000-0000BF6C0000}"/>
    <cellStyle name="Standard 4 4 5 2 2 7" xfId="27638" xr:uid="{00000000-0005-0000-0000-0000C06C0000}"/>
    <cellStyle name="Standard 4 4 5 2 2 8" xfId="27639" xr:uid="{00000000-0005-0000-0000-0000C16C0000}"/>
    <cellStyle name="Standard 4 4 5 2 3" xfId="27640" xr:uid="{00000000-0005-0000-0000-0000C26C0000}"/>
    <cellStyle name="Standard 4 4 5 2 3 2" xfId="27641" xr:uid="{00000000-0005-0000-0000-0000C36C0000}"/>
    <cellStyle name="Standard 4 4 5 2 3 2 2" xfId="27642" xr:uid="{00000000-0005-0000-0000-0000C46C0000}"/>
    <cellStyle name="Standard 4 4 5 2 3 2 2 2" xfId="27643" xr:uid="{00000000-0005-0000-0000-0000C56C0000}"/>
    <cellStyle name="Standard 4 4 5 2 3 2 2 2 2" xfId="27644" xr:uid="{00000000-0005-0000-0000-0000C66C0000}"/>
    <cellStyle name="Standard 4 4 5 2 3 2 2 2 3" xfId="27645" xr:uid="{00000000-0005-0000-0000-0000C76C0000}"/>
    <cellStyle name="Standard 4 4 5 2 3 2 2 3" xfId="27646" xr:uid="{00000000-0005-0000-0000-0000C86C0000}"/>
    <cellStyle name="Standard 4 4 5 2 3 2 2 3 2" xfId="27647" xr:uid="{00000000-0005-0000-0000-0000C96C0000}"/>
    <cellStyle name="Standard 4 4 5 2 3 2 2 3 3" xfId="27648" xr:uid="{00000000-0005-0000-0000-0000CA6C0000}"/>
    <cellStyle name="Standard 4 4 5 2 3 2 2 4" xfId="27649" xr:uid="{00000000-0005-0000-0000-0000CB6C0000}"/>
    <cellStyle name="Standard 4 4 5 2 3 2 2 4 2" xfId="27650" xr:uid="{00000000-0005-0000-0000-0000CC6C0000}"/>
    <cellStyle name="Standard 4 4 5 2 3 2 2 5" xfId="27651" xr:uid="{00000000-0005-0000-0000-0000CD6C0000}"/>
    <cellStyle name="Standard 4 4 5 2 3 2 2 6" xfId="27652" xr:uid="{00000000-0005-0000-0000-0000CE6C0000}"/>
    <cellStyle name="Standard 4 4 5 2 3 2 3" xfId="27653" xr:uid="{00000000-0005-0000-0000-0000CF6C0000}"/>
    <cellStyle name="Standard 4 4 5 2 3 2 3 2" xfId="27654" xr:uid="{00000000-0005-0000-0000-0000D06C0000}"/>
    <cellStyle name="Standard 4 4 5 2 3 2 3 3" xfId="27655" xr:uid="{00000000-0005-0000-0000-0000D16C0000}"/>
    <cellStyle name="Standard 4 4 5 2 3 2 4" xfId="27656" xr:uid="{00000000-0005-0000-0000-0000D26C0000}"/>
    <cellStyle name="Standard 4 4 5 2 3 2 4 2" xfId="27657" xr:uid="{00000000-0005-0000-0000-0000D36C0000}"/>
    <cellStyle name="Standard 4 4 5 2 3 2 4 3" xfId="27658" xr:uid="{00000000-0005-0000-0000-0000D46C0000}"/>
    <cellStyle name="Standard 4 4 5 2 3 2 5" xfId="27659" xr:uid="{00000000-0005-0000-0000-0000D56C0000}"/>
    <cellStyle name="Standard 4 4 5 2 3 2 5 2" xfId="27660" xr:uid="{00000000-0005-0000-0000-0000D66C0000}"/>
    <cellStyle name="Standard 4 4 5 2 3 2 6" xfId="27661" xr:uid="{00000000-0005-0000-0000-0000D76C0000}"/>
    <cellStyle name="Standard 4 4 5 2 3 2 7" xfId="27662" xr:uid="{00000000-0005-0000-0000-0000D86C0000}"/>
    <cellStyle name="Standard 4 4 5 2 3 3" xfId="27663" xr:uid="{00000000-0005-0000-0000-0000D96C0000}"/>
    <cellStyle name="Standard 4 4 5 2 3 3 2" xfId="27664" xr:uid="{00000000-0005-0000-0000-0000DA6C0000}"/>
    <cellStyle name="Standard 4 4 5 2 3 3 2 2" xfId="27665" xr:uid="{00000000-0005-0000-0000-0000DB6C0000}"/>
    <cellStyle name="Standard 4 4 5 2 3 3 2 3" xfId="27666" xr:uid="{00000000-0005-0000-0000-0000DC6C0000}"/>
    <cellStyle name="Standard 4 4 5 2 3 3 3" xfId="27667" xr:uid="{00000000-0005-0000-0000-0000DD6C0000}"/>
    <cellStyle name="Standard 4 4 5 2 3 3 3 2" xfId="27668" xr:uid="{00000000-0005-0000-0000-0000DE6C0000}"/>
    <cellStyle name="Standard 4 4 5 2 3 3 3 3" xfId="27669" xr:uid="{00000000-0005-0000-0000-0000DF6C0000}"/>
    <cellStyle name="Standard 4 4 5 2 3 3 4" xfId="27670" xr:uid="{00000000-0005-0000-0000-0000E06C0000}"/>
    <cellStyle name="Standard 4 4 5 2 3 3 4 2" xfId="27671" xr:uid="{00000000-0005-0000-0000-0000E16C0000}"/>
    <cellStyle name="Standard 4 4 5 2 3 3 5" xfId="27672" xr:uid="{00000000-0005-0000-0000-0000E26C0000}"/>
    <cellStyle name="Standard 4 4 5 2 3 3 6" xfId="27673" xr:uid="{00000000-0005-0000-0000-0000E36C0000}"/>
    <cellStyle name="Standard 4 4 5 2 3 4" xfId="27674" xr:uid="{00000000-0005-0000-0000-0000E46C0000}"/>
    <cellStyle name="Standard 4 4 5 2 3 4 2" xfId="27675" xr:uid="{00000000-0005-0000-0000-0000E56C0000}"/>
    <cellStyle name="Standard 4 4 5 2 3 4 3" xfId="27676" xr:uid="{00000000-0005-0000-0000-0000E66C0000}"/>
    <cellStyle name="Standard 4 4 5 2 3 5" xfId="27677" xr:uid="{00000000-0005-0000-0000-0000E76C0000}"/>
    <cellStyle name="Standard 4 4 5 2 3 5 2" xfId="27678" xr:uid="{00000000-0005-0000-0000-0000E86C0000}"/>
    <cellStyle name="Standard 4 4 5 2 3 5 3" xfId="27679" xr:uid="{00000000-0005-0000-0000-0000E96C0000}"/>
    <cellStyle name="Standard 4 4 5 2 3 6" xfId="27680" xr:uid="{00000000-0005-0000-0000-0000EA6C0000}"/>
    <cellStyle name="Standard 4 4 5 2 3 6 2" xfId="27681" xr:uid="{00000000-0005-0000-0000-0000EB6C0000}"/>
    <cellStyle name="Standard 4 4 5 2 3 7" xfId="27682" xr:uid="{00000000-0005-0000-0000-0000EC6C0000}"/>
    <cellStyle name="Standard 4 4 5 2 3 8" xfId="27683" xr:uid="{00000000-0005-0000-0000-0000ED6C0000}"/>
    <cellStyle name="Standard 4 4 5 2 4" xfId="27684" xr:uid="{00000000-0005-0000-0000-0000EE6C0000}"/>
    <cellStyle name="Standard 4 4 5 2 4 2" xfId="27685" xr:uid="{00000000-0005-0000-0000-0000EF6C0000}"/>
    <cellStyle name="Standard 4 4 5 2 4 2 2" xfId="27686" xr:uid="{00000000-0005-0000-0000-0000F06C0000}"/>
    <cellStyle name="Standard 4 4 5 2 4 2 2 2" xfId="27687" xr:uid="{00000000-0005-0000-0000-0000F16C0000}"/>
    <cellStyle name="Standard 4 4 5 2 4 2 2 3" xfId="27688" xr:uid="{00000000-0005-0000-0000-0000F26C0000}"/>
    <cellStyle name="Standard 4 4 5 2 4 2 3" xfId="27689" xr:uid="{00000000-0005-0000-0000-0000F36C0000}"/>
    <cellStyle name="Standard 4 4 5 2 4 2 3 2" xfId="27690" xr:uid="{00000000-0005-0000-0000-0000F46C0000}"/>
    <cellStyle name="Standard 4 4 5 2 4 2 3 3" xfId="27691" xr:uid="{00000000-0005-0000-0000-0000F56C0000}"/>
    <cellStyle name="Standard 4 4 5 2 4 2 4" xfId="27692" xr:uid="{00000000-0005-0000-0000-0000F66C0000}"/>
    <cellStyle name="Standard 4 4 5 2 4 2 4 2" xfId="27693" xr:uid="{00000000-0005-0000-0000-0000F76C0000}"/>
    <cellStyle name="Standard 4 4 5 2 4 2 5" xfId="27694" xr:uid="{00000000-0005-0000-0000-0000F86C0000}"/>
    <cellStyle name="Standard 4 4 5 2 4 2 6" xfId="27695" xr:uid="{00000000-0005-0000-0000-0000F96C0000}"/>
    <cellStyle name="Standard 4 4 5 2 4 3" xfId="27696" xr:uid="{00000000-0005-0000-0000-0000FA6C0000}"/>
    <cellStyle name="Standard 4 4 5 2 4 3 2" xfId="27697" xr:uid="{00000000-0005-0000-0000-0000FB6C0000}"/>
    <cellStyle name="Standard 4 4 5 2 4 3 3" xfId="27698" xr:uid="{00000000-0005-0000-0000-0000FC6C0000}"/>
    <cellStyle name="Standard 4 4 5 2 4 4" xfId="27699" xr:uid="{00000000-0005-0000-0000-0000FD6C0000}"/>
    <cellStyle name="Standard 4 4 5 2 4 4 2" xfId="27700" xr:uid="{00000000-0005-0000-0000-0000FE6C0000}"/>
    <cellStyle name="Standard 4 4 5 2 4 4 3" xfId="27701" xr:uid="{00000000-0005-0000-0000-0000FF6C0000}"/>
    <cellStyle name="Standard 4 4 5 2 4 5" xfId="27702" xr:uid="{00000000-0005-0000-0000-0000006D0000}"/>
    <cellStyle name="Standard 4 4 5 2 4 5 2" xfId="27703" xr:uid="{00000000-0005-0000-0000-0000016D0000}"/>
    <cellStyle name="Standard 4 4 5 2 4 6" xfId="27704" xr:uid="{00000000-0005-0000-0000-0000026D0000}"/>
    <cellStyle name="Standard 4 4 5 2 4 7" xfId="27705" xr:uid="{00000000-0005-0000-0000-0000036D0000}"/>
    <cellStyle name="Standard 4 4 5 2 5" xfId="27706" xr:uid="{00000000-0005-0000-0000-0000046D0000}"/>
    <cellStyle name="Standard 4 4 5 2 5 2" xfId="27707" xr:uid="{00000000-0005-0000-0000-0000056D0000}"/>
    <cellStyle name="Standard 4 4 5 2 5 2 2" xfId="27708" xr:uid="{00000000-0005-0000-0000-0000066D0000}"/>
    <cellStyle name="Standard 4 4 5 2 5 2 3" xfId="27709" xr:uid="{00000000-0005-0000-0000-0000076D0000}"/>
    <cellStyle name="Standard 4 4 5 2 5 3" xfId="27710" xr:uid="{00000000-0005-0000-0000-0000086D0000}"/>
    <cellStyle name="Standard 4 4 5 2 5 3 2" xfId="27711" xr:uid="{00000000-0005-0000-0000-0000096D0000}"/>
    <cellStyle name="Standard 4 4 5 2 5 3 3" xfId="27712" xr:uid="{00000000-0005-0000-0000-00000A6D0000}"/>
    <cellStyle name="Standard 4 4 5 2 5 4" xfId="27713" xr:uid="{00000000-0005-0000-0000-00000B6D0000}"/>
    <cellStyle name="Standard 4 4 5 2 5 4 2" xfId="27714" xr:uid="{00000000-0005-0000-0000-00000C6D0000}"/>
    <cellStyle name="Standard 4 4 5 2 5 5" xfId="27715" xr:uid="{00000000-0005-0000-0000-00000D6D0000}"/>
    <cellStyle name="Standard 4 4 5 2 5 6" xfId="27716" xr:uid="{00000000-0005-0000-0000-00000E6D0000}"/>
    <cellStyle name="Standard 4 4 5 2 6" xfId="27717" xr:uid="{00000000-0005-0000-0000-00000F6D0000}"/>
    <cellStyle name="Standard 4 4 5 2 6 2" xfId="27718" xr:uid="{00000000-0005-0000-0000-0000106D0000}"/>
    <cellStyle name="Standard 4 4 5 2 6 3" xfId="27719" xr:uid="{00000000-0005-0000-0000-0000116D0000}"/>
    <cellStyle name="Standard 4 4 5 2 7" xfId="27720" xr:uid="{00000000-0005-0000-0000-0000126D0000}"/>
    <cellStyle name="Standard 4 4 5 2 7 2" xfId="27721" xr:uid="{00000000-0005-0000-0000-0000136D0000}"/>
    <cellStyle name="Standard 4 4 5 2 7 3" xfId="27722" xr:uid="{00000000-0005-0000-0000-0000146D0000}"/>
    <cellStyle name="Standard 4 4 5 2 8" xfId="27723" xr:uid="{00000000-0005-0000-0000-0000156D0000}"/>
    <cellStyle name="Standard 4 4 5 2 8 2" xfId="27724" xr:uid="{00000000-0005-0000-0000-0000166D0000}"/>
    <cellStyle name="Standard 4 4 5 2 9" xfId="27725" xr:uid="{00000000-0005-0000-0000-0000176D0000}"/>
    <cellStyle name="Standard 4 4 5 3" xfId="27726" xr:uid="{00000000-0005-0000-0000-0000186D0000}"/>
    <cellStyle name="Standard 4 4 5 3 2" xfId="27727" xr:uid="{00000000-0005-0000-0000-0000196D0000}"/>
    <cellStyle name="Standard 4 4 5 3 2 2" xfId="27728" xr:uid="{00000000-0005-0000-0000-00001A6D0000}"/>
    <cellStyle name="Standard 4 4 5 3 2 2 2" xfId="27729" xr:uid="{00000000-0005-0000-0000-00001B6D0000}"/>
    <cellStyle name="Standard 4 4 5 3 2 2 2 2" xfId="27730" xr:uid="{00000000-0005-0000-0000-00001C6D0000}"/>
    <cellStyle name="Standard 4 4 5 3 2 2 2 3" xfId="27731" xr:uid="{00000000-0005-0000-0000-00001D6D0000}"/>
    <cellStyle name="Standard 4 4 5 3 2 2 3" xfId="27732" xr:uid="{00000000-0005-0000-0000-00001E6D0000}"/>
    <cellStyle name="Standard 4 4 5 3 2 2 3 2" xfId="27733" xr:uid="{00000000-0005-0000-0000-00001F6D0000}"/>
    <cellStyle name="Standard 4 4 5 3 2 2 3 3" xfId="27734" xr:uid="{00000000-0005-0000-0000-0000206D0000}"/>
    <cellStyle name="Standard 4 4 5 3 2 2 4" xfId="27735" xr:uid="{00000000-0005-0000-0000-0000216D0000}"/>
    <cellStyle name="Standard 4 4 5 3 2 2 4 2" xfId="27736" xr:uid="{00000000-0005-0000-0000-0000226D0000}"/>
    <cellStyle name="Standard 4 4 5 3 2 2 5" xfId="27737" xr:uid="{00000000-0005-0000-0000-0000236D0000}"/>
    <cellStyle name="Standard 4 4 5 3 2 2 6" xfId="27738" xr:uid="{00000000-0005-0000-0000-0000246D0000}"/>
    <cellStyle name="Standard 4 4 5 3 2 3" xfId="27739" xr:uid="{00000000-0005-0000-0000-0000256D0000}"/>
    <cellStyle name="Standard 4 4 5 3 2 3 2" xfId="27740" xr:uid="{00000000-0005-0000-0000-0000266D0000}"/>
    <cellStyle name="Standard 4 4 5 3 2 3 3" xfId="27741" xr:uid="{00000000-0005-0000-0000-0000276D0000}"/>
    <cellStyle name="Standard 4 4 5 3 2 4" xfId="27742" xr:uid="{00000000-0005-0000-0000-0000286D0000}"/>
    <cellStyle name="Standard 4 4 5 3 2 4 2" xfId="27743" xr:uid="{00000000-0005-0000-0000-0000296D0000}"/>
    <cellStyle name="Standard 4 4 5 3 2 4 3" xfId="27744" xr:uid="{00000000-0005-0000-0000-00002A6D0000}"/>
    <cellStyle name="Standard 4 4 5 3 2 5" xfId="27745" xr:uid="{00000000-0005-0000-0000-00002B6D0000}"/>
    <cellStyle name="Standard 4 4 5 3 2 5 2" xfId="27746" xr:uid="{00000000-0005-0000-0000-00002C6D0000}"/>
    <cellStyle name="Standard 4 4 5 3 2 6" xfId="27747" xr:uid="{00000000-0005-0000-0000-00002D6D0000}"/>
    <cellStyle name="Standard 4 4 5 3 2 7" xfId="27748" xr:uid="{00000000-0005-0000-0000-00002E6D0000}"/>
    <cellStyle name="Standard 4 4 5 3 3" xfId="27749" xr:uid="{00000000-0005-0000-0000-00002F6D0000}"/>
    <cellStyle name="Standard 4 4 5 3 3 2" xfId="27750" xr:uid="{00000000-0005-0000-0000-0000306D0000}"/>
    <cellStyle name="Standard 4 4 5 3 3 2 2" xfId="27751" xr:uid="{00000000-0005-0000-0000-0000316D0000}"/>
    <cellStyle name="Standard 4 4 5 3 3 2 3" xfId="27752" xr:uid="{00000000-0005-0000-0000-0000326D0000}"/>
    <cellStyle name="Standard 4 4 5 3 3 3" xfId="27753" xr:uid="{00000000-0005-0000-0000-0000336D0000}"/>
    <cellStyle name="Standard 4 4 5 3 3 3 2" xfId="27754" xr:uid="{00000000-0005-0000-0000-0000346D0000}"/>
    <cellStyle name="Standard 4 4 5 3 3 3 3" xfId="27755" xr:uid="{00000000-0005-0000-0000-0000356D0000}"/>
    <cellStyle name="Standard 4 4 5 3 3 4" xfId="27756" xr:uid="{00000000-0005-0000-0000-0000366D0000}"/>
    <cellStyle name="Standard 4 4 5 3 3 4 2" xfId="27757" xr:uid="{00000000-0005-0000-0000-0000376D0000}"/>
    <cellStyle name="Standard 4 4 5 3 3 5" xfId="27758" xr:uid="{00000000-0005-0000-0000-0000386D0000}"/>
    <cellStyle name="Standard 4 4 5 3 3 6" xfId="27759" xr:uid="{00000000-0005-0000-0000-0000396D0000}"/>
    <cellStyle name="Standard 4 4 5 3 4" xfId="27760" xr:uid="{00000000-0005-0000-0000-00003A6D0000}"/>
    <cellStyle name="Standard 4 4 5 3 4 2" xfId="27761" xr:uid="{00000000-0005-0000-0000-00003B6D0000}"/>
    <cellStyle name="Standard 4 4 5 3 4 3" xfId="27762" xr:uid="{00000000-0005-0000-0000-00003C6D0000}"/>
    <cellStyle name="Standard 4 4 5 3 5" xfId="27763" xr:uid="{00000000-0005-0000-0000-00003D6D0000}"/>
    <cellStyle name="Standard 4 4 5 3 5 2" xfId="27764" xr:uid="{00000000-0005-0000-0000-00003E6D0000}"/>
    <cellStyle name="Standard 4 4 5 3 5 3" xfId="27765" xr:uid="{00000000-0005-0000-0000-00003F6D0000}"/>
    <cellStyle name="Standard 4 4 5 3 6" xfId="27766" xr:uid="{00000000-0005-0000-0000-0000406D0000}"/>
    <cellStyle name="Standard 4 4 5 3 6 2" xfId="27767" xr:uid="{00000000-0005-0000-0000-0000416D0000}"/>
    <cellStyle name="Standard 4 4 5 3 7" xfId="27768" xr:uid="{00000000-0005-0000-0000-0000426D0000}"/>
    <cellStyle name="Standard 4 4 5 3 8" xfId="27769" xr:uid="{00000000-0005-0000-0000-0000436D0000}"/>
    <cellStyle name="Standard 4 4 5 4" xfId="27770" xr:uid="{00000000-0005-0000-0000-0000446D0000}"/>
    <cellStyle name="Standard 4 4 5 4 2" xfId="27771" xr:uid="{00000000-0005-0000-0000-0000456D0000}"/>
    <cellStyle name="Standard 4 4 5 4 2 2" xfId="27772" xr:uid="{00000000-0005-0000-0000-0000466D0000}"/>
    <cellStyle name="Standard 4 4 5 4 2 2 2" xfId="27773" xr:uid="{00000000-0005-0000-0000-0000476D0000}"/>
    <cellStyle name="Standard 4 4 5 4 2 2 2 2" xfId="27774" xr:uid="{00000000-0005-0000-0000-0000486D0000}"/>
    <cellStyle name="Standard 4 4 5 4 2 2 2 3" xfId="27775" xr:uid="{00000000-0005-0000-0000-0000496D0000}"/>
    <cellStyle name="Standard 4 4 5 4 2 2 3" xfId="27776" xr:uid="{00000000-0005-0000-0000-00004A6D0000}"/>
    <cellStyle name="Standard 4 4 5 4 2 2 3 2" xfId="27777" xr:uid="{00000000-0005-0000-0000-00004B6D0000}"/>
    <cellStyle name="Standard 4 4 5 4 2 2 3 3" xfId="27778" xr:uid="{00000000-0005-0000-0000-00004C6D0000}"/>
    <cellStyle name="Standard 4 4 5 4 2 2 4" xfId="27779" xr:uid="{00000000-0005-0000-0000-00004D6D0000}"/>
    <cellStyle name="Standard 4 4 5 4 2 2 4 2" xfId="27780" xr:uid="{00000000-0005-0000-0000-00004E6D0000}"/>
    <cellStyle name="Standard 4 4 5 4 2 2 5" xfId="27781" xr:uid="{00000000-0005-0000-0000-00004F6D0000}"/>
    <cellStyle name="Standard 4 4 5 4 2 2 6" xfId="27782" xr:uid="{00000000-0005-0000-0000-0000506D0000}"/>
    <cellStyle name="Standard 4 4 5 4 2 3" xfId="27783" xr:uid="{00000000-0005-0000-0000-0000516D0000}"/>
    <cellStyle name="Standard 4 4 5 4 2 3 2" xfId="27784" xr:uid="{00000000-0005-0000-0000-0000526D0000}"/>
    <cellStyle name="Standard 4 4 5 4 2 3 3" xfId="27785" xr:uid="{00000000-0005-0000-0000-0000536D0000}"/>
    <cellStyle name="Standard 4 4 5 4 2 4" xfId="27786" xr:uid="{00000000-0005-0000-0000-0000546D0000}"/>
    <cellStyle name="Standard 4 4 5 4 2 4 2" xfId="27787" xr:uid="{00000000-0005-0000-0000-0000556D0000}"/>
    <cellStyle name="Standard 4 4 5 4 2 4 3" xfId="27788" xr:uid="{00000000-0005-0000-0000-0000566D0000}"/>
    <cellStyle name="Standard 4 4 5 4 2 5" xfId="27789" xr:uid="{00000000-0005-0000-0000-0000576D0000}"/>
    <cellStyle name="Standard 4 4 5 4 2 5 2" xfId="27790" xr:uid="{00000000-0005-0000-0000-0000586D0000}"/>
    <cellStyle name="Standard 4 4 5 4 2 6" xfId="27791" xr:uid="{00000000-0005-0000-0000-0000596D0000}"/>
    <cellStyle name="Standard 4 4 5 4 2 7" xfId="27792" xr:uid="{00000000-0005-0000-0000-00005A6D0000}"/>
    <cellStyle name="Standard 4 4 5 4 3" xfId="27793" xr:uid="{00000000-0005-0000-0000-00005B6D0000}"/>
    <cellStyle name="Standard 4 4 5 4 3 2" xfId="27794" xr:uid="{00000000-0005-0000-0000-00005C6D0000}"/>
    <cellStyle name="Standard 4 4 5 4 3 2 2" xfId="27795" xr:uid="{00000000-0005-0000-0000-00005D6D0000}"/>
    <cellStyle name="Standard 4 4 5 4 3 2 3" xfId="27796" xr:uid="{00000000-0005-0000-0000-00005E6D0000}"/>
    <cellStyle name="Standard 4 4 5 4 3 3" xfId="27797" xr:uid="{00000000-0005-0000-0000-00005F6D0000}"/>
    <cellStyle name="Standard 4 4 5 4 3 3 2" xfId="27798" xr:uid="{00000000-0005-0000-0000-0000606D0000}"/>
    <cellStyle name="Standard 4 4 5 4 3 3 3" xfId="27799" xr:uid="{00000000-0005-0000-0000-0000616D0000}"/>
    <cellStyle name="Standard 4 4 5 4 3 4" xfId="27800" xr:uid="{00000000-0005-0000-0000-0000626D0000}"/>
    <cellStyle name="Standard 4 4 5 4 3 4 2" xfId="27801" xr:uid="{00000000-0005-0000-0000-0000636D0000}"/>
    <cellStyle name="Standard 4 4 5 4 3 5" xfId="27802" xr:uid="{00000000-0005-0000-0000-0000646D0000}"/>
    <cellStyle name="Standard 4 4 5 4 3 6" xfId="27803" xr:uid="{00000000-0005-0000-0000-0000656D0000}"/>
    <cellStyle name="Standard 4 4 5 4 4" xfId="27804" xr:uid="{00000000-0005-0000-0000-0000666D0000}"/>
    <cellStyle name="Standard 4 4 5 4 4 2" xfId="27805" xr:uid="{00000000-0005-0000-0000-0000676D0000}"/>
    <cellStyle name="Standard 4 4 5 4 4 3" xfId="27806" xr:uid="{00000000-0005-0000-0000-0000686D0000}"/>
    <cellStyle name="Standard 4 4 5 4 5" xfId="27807" xr:uid="{00000000-0005-0000-0000-0000696D0000}"/>
    <cellStyle name="Standard 4 4 5 4 5 2" xfId="27808" xr:uid="{00000000-0005-0000-0000-00006A6D0000}"/>
    <cellStyle name="Standard 4 4 5 4 5 3" xfId="27809" xr:uid="{00000000-0005-0000-0000-00006B6D0000}"/>
    <cellStyle name="Standard 4 4 5 4 6" xfId="27810" xr:uid="{00000000-0005-0000-0000-00006C6D0000}"/>
    <cellStyle name="Standard 4 4 5 4 6 2" xfId="27811" xr:uid="{00000000-0005-0000-0000-00006D6D0000}"/>
    <cellStyle name="Standard 4 4 5 4 7" xfId="27812" xr:uid="{00000000-0005-0000-0000-00006E6D0000}"/>
    <cellStyle name="Standard 4 4 5 4 8" xfId="27813" xr:uid="{00000000-0005-0000-0000-00006F6D0000}"/>
    <cellStyle name="Standard 4 4 5 5" xfId="27814" xr:uid="{00000000-0005-0000-0000-0000706D0000}"/>
    <cellStyle name="Standard 4 4 5 5 2" xfId="27815" xr:uid="{00000000-0005-0000-0000-0000716D0000}"/>
    <cellStyle name="Standard 4 4 5 5 2 2" xfId="27816" xr:uid="{00000000-0005-0000-0000-0000726D0000}"/>
    <cellStyle name="Standard 4 4 5 5 2 2 2" xfId="27817" xr:uid="{00000000-0005-0000-0000-0000736D0000}"/>
    <cellStyle name="Standard 4 4 5 5 2 2 3" xfId="27818" xr:uid="{00000000-0005-0000-0000-0000746D0000}"/>
    <cellStyle name="Standard 4 4 5 5 2 3" xfId="27819" xr:uid="{00000000-0005-0000-0000-0000756D0000}"/>
    <cellStyle name="Standard 4 4 5 5 2 3 2" xfId="27820" xr:uid="{00000000-0005-0000-0000-0000766D0000}"/>
    <cellStyle name="Standard 4 4 5 5 2 3 3" xfId="27821" xr:uid="{00000000-0005-0000-0000-0000776D0000}"/>
    <cellStyle name="Standard 4 4 5 5 2 4" xfId="27822" xr:uid="{00000000-0005-0000-0000-0000786D0000}"/>
    <cellStyle name="Standard 4 4 5 5 2 4 2" xfId="27823" xr:uid="{00000000-0005-0000-0000-0000796D0000}"/>
    <cellStyle name="Standard 4 4 5 5 2 5" xfId="27824" xr:uid="{00000000-0005-0000-0000-00007A6D0000}"/>
    <cellStyle name="Standard 4 4 5 5 2 6" xfId="27825" xr:uid="{00000000-0005-0000-0000-00007B6D0000}"/>
    <cellStyle name="Standard 4 4 5 5 3" xfId="27826" xr:uid="{00000000-0005-0000-0000-00007C6D0000}"/>
    <cellStyle name="Standard 4 4 5 5 3 2" xfId="27827" xr:uid="{00000000-0005-0000-0000-00007D6D0000}"/>
    <cellStyle name="Standard 4 4 5 5 3 3" xfId="27828" xr:uid="{00000000-0005-0000-0000-00007E6D0000}"/>
    <cellStyle name="Standard 4 4 5 5 4" xfId="27829" xr:uid="{00000000-0005-0000-0000-00007F6D0000}"/>
    <cellStyle name="Standard 4 4 5 5 4 2" xfId="27830" xr:uid="{00000000-0005-0000-0000-0000806D0000}"/>
    <cellStyle name="Standard 4 4 5 5 4 3" xfId="27831" xr:uid="{00000000-0005-0000-0000-0000816D0000}"/>
    <cellStyle name="Standard 4 4 5 5 5" xfId="27832" xr:uid="{00000000-0005-0000-0000-0000826D0000}"/>
    <cellStyle name="Standard 4 4 5 5 5 2" xfId="27833" xr:uid="{00000000-0005-0000-0000-0000836D0000}"/>
    <cellStyle name="Standard 4 4 5 5 6" xfId="27834" xr:uid="{00000000-0005-0000-0000-0000846D0000}"/>
    <cellStyle name="Standard 4 4 5 5 7" xfId="27835" xr:uid="{00000000-0005-0000-0000-0000856D0000}"/>
    <cellStyle name="Standard 4 4 5 6" xfId="27836" xr:uid="{00000000-0005-0000-0000-0000866D0000}"/>
    <cellStyle name="Standard 4 4 5 6 2" xfId="27837" xr:uid="{00000000-0005-0000-0000-0000876D0000}"/>
    <cellStyle name="Standard 4 4 5 6 2 2" xfId="27838" xr:uid="{00000000-0005-0000-0000-0000886D0000}"/>
    <cellStyle name="Standard 4 4 5 6 2 3" xfId="27839" xr:uid="{00000000-0005-0000-0000-0000896D0000}"/>
    <cellStyle name="Standard 4 4 5 6 3" xfId="27840" xr:uid="{00000000-0005-0000-0000-00008A6D0000}"/>
    <cellStyle name="Standard 4 4 5 6 3 2" xfId="27841" xr:uid="{00000000-0005-0000-0000-00008B6D0000}"/>
    <cellStyle name="Standard 4 4 5 6 3 3" xfId="27842" xr:uid="{00000000-0005-0000-0000-00008C6D0000}"/>
    <cellStyle name="Standard 4 4 5 6 4" xfId="27843" xr:uid="{00000000-0005-0000-0000-00008D6D0000}"/>
    <cellStyle name="Standard 4 4 5 6 4 2" xfId="27844" xr:uid="{00000000-0005-0000-0000-00008E6D0000}"/>
    <cellStyle name="Standard 4 4 5 6 5" xfId="27845" xr:uid="{00000000-0005-0000-0000-00008F6D0000}"/>
    <cellStyle name="Standard 4 4 5 6 6" xfId="27846" xr:uid="{00000000-0005-0000-0000-0000906D0000}"/>
    <cellStyle name="Standard 4 4 5 7" xfId="27847" xr:uid="{00000000-0005-0000-0000-0000916D0000}"/>
    <cellStyle name="Standard 4 4 5 7 2" xfId="27848" xr:uid="{00000000-0005-0000-0000-0000926D0000}"/>
    <cellStyle name="Standard 4 4 5 7 3" xfId="27849" xr:uid="{00000000-0005-0000-0000-0000936D0000}"/>
    <cellStyle name="Standard 4 4 5 8" xfId="27850" xr:uid="{00000000-0005-0000-0000-0000946D0000}"/>
    <cellStyle name="Standard 4 4 5 8 2" xfId="27851" xr:uid="{00000000-0005-0000-0000-0000956D0000}"/>
    <cellStyle name="Standard 4 4 5 8 3" xfId="27852" xr:uid="{00000000-0005-0000-0000-0000966D0000}"/>
    <cellStyle name="Standard 4 4 5 9" xfId="27853" xr:uid="{00000000-0005-0000-0000-0000976D0000}"/>
    <cellStyle name="Standard 4 4 5 9 2" xfId="27854" xr:uid="{00000000-0005-0000-0000-0000986D0000}"/>
    <cellStyle name="Standard 4 4 6" xfId="27855" xr:uid="{00000000-0005-0000-0000-0000996D0000}"/>
    <cellStyle name="Standard 4 4 6 10" xfId="27856" xr:uid="{00000000-0005-0000-0000-00009A6D0000}"/>
    <cellStyle name="Standard 4 4 6 11" xfId="27857" xr:uid="{00000000-0005-0000-0000-00009B6D0000}"/>
    <cellStyle name="Standard 4 4 6 2" xfId="27858" xr:uid="{00000000-0005-0000-0000-00009C6D0000}"/>
    <cellStyle name="Standard 4 4 6 2 10" xfId="27859" xr:uid="{00000000-0005-0000-0000-00009D6D0000}"/>
    <cellStyle name="Standard 4 4 6 2 2" xfId="27860" xr:uid="{00000000-0005-0000-0000-00009E6D0000}"/>
    <cellStyle name="Standard 4 4 6 2 2 2" xfId="27861" xr:uid="{00000000-0005-0000-0000-00009F6D0000}"/>
    <cellStyle name="Standard 4 4 6 2 2 2 2" xfId="27862" xr:uid="{00000000-0005-0000-0000-0000A06D0000}"/>
    <cellStyle name="Standard 4 4 6 2 2 2 2 2" xfId="27863" xr:uid="{00000000-0005-0000-0000-0000A16D0000}"/>
    <cellStyle name="Standard 4 4 6 2 2 2 2 2 2" xfId="27864" xr:uid="{00000000-0005-0000-0000-0000A26D0000}"/>
    <cellStyle name="Standard 4 4 6 2 2 2 2 2 3" xfId="27865" xr:uid="{00000000-0005-0000-0000-0000A36D0000}"/>
    <cellStyle name="Standard 4 4 6 2 2 2 2 3" xfId="27866" xr:uid="{00000000-0005-0000-0000-0000A46D0000}"/>
    <cellStyle name="Standard 4 4 6 2 2 2 2 3 2" xfId="27867" xr:uid="{00000000-0005-0000-0000-0000A56D0000}"/>
    <cellStyle name="Standard 4 4 6 2 2 2 2 3 3" xfId="27868" xr:uid="{00000000-0005-0000-0000-0000A66D0000}"/>
    <cellStyle name="Standard 4 4 6 2 2 2 2 4" xfId="27869" xr:uid="{00000000-0005-0000-0000-0000A76D0000}"/>
    <cellStyle name="Standard 4 4 6 2 2 2 2 4 2" xfId="27870" xr:uid="{00000000-0005-0000-0000-0000A86D0000}"/>
    <cellStyle name="Standard 4 4 6 2 2 2 2 5" xfId="27871" xr:uid="{00000000-0005-0000-0000-0000A96D0000}"/>
    <cellStyle name="Standard 4 4 6 2 2 2 2 6" xfId="27872" xr:uid="{00000000-0005-0000-0000-0000AA6D0000}"/>
    <cellStyle name="Standard 4 4 6 2 2 2 3" xfId="27873" xr:uid="{00000000-0005-0000-0000-0000AB6D0000}"/>
    <cellStyle name="Standard 4 4 6 2 2 2 3 2" xfId="27874" xr:uid="{00000000-0005-0000-0000-0000AC6D0000}"/>
    <cellStyle name="Standard 4 4 6 2 2 2 3 3" xfId="27875" xr:uid="{00000000-0005-0000-0000-0000AD6D0000}"/>
    <cellStyle name="Standard 4 4 6 2 2 2 4" xfId="27876" xr:uid="{00000000-0005-0000-0000-0000AE6D0000}"/>
    <cellStyle name="Standard 4 4 6 2 2 2 4 2" xfId="27877" xr:uid="{00000000-0005-0000-0000-0000AF6D0000}"/>
    <cellStyle name="Standard 4 4 6 2 2 2 4 3" xfId="27878" xr:uid="{00000000-0005-0000-0000-0000B06D0000}"/>
    <cellStyle name="Standard 4 4 6 2 2 2 5" xfId="27879" xr:uid="{00000000-0005-0000-0000-0000B16D0000}"/>
    <cellStyle name="Standard 4 4 6 2 2 2 5 2" xfId="27880" xr:uid="{00000000-0005-0000-0000-0000B26D0000}"/>
    <cellStyle name="Standard 4 4 6 2 2 2 6" xfId="27881" xr:uid="{00000000-0005-0000-0000-0000B36D0000}"/>
    <cellStyle name="Standard 4 4 6 2 2 2 7" xfId="27882" xr:uid="{00000000-0005-0000-0000-0000B46D0000}"/>
    <cellStyle name="Standard 4 4 6 2 2 3" xfId="27883" xr:uid="{00000000-0005-0000-0000-0000B56D0000}"/>
    <cellStyle name="Standard 4 4 6 2 2 3 2" xfId="27884" xr:uid="{00000000-0005-0000-0000-0000B66D0000}"/>
    <cellStyle name="Standard 4 4 6 2 2 3 2 2" xfId="27885" xr:uid="{00000000-0005-0000-0000-0000B76D0000}"/>
    <cellStyle name="Standard 4 4 6 2 2 3 2 3" xfId="27886" xr:uid="{00000000-0005-0000-0000-0000B86D0000}"/>
    <cellStyle name="Standard 4 4 6 2 2 3 3" xfId="27887" xr:uid="{00000000-0005-0000-0000-0000B96D0000}"/>
    <cellStyle name="Standard 4 4 6 2 2 3 3 2" xfId="27888" xr:uid="{00000000-0005-0000-0000-0000BA6D0000}"/>
    <cellStyle name="Standard 4 4 6 2 2 3 3 3" xfId="27889" xr:uid="{00000000-0005-0000-0000-0000BB6D0000}"/>
    <cellStyle name="Standard 4 4 6 2 2 3 4" xfId="27890" xr:uid="{00000000-0005-0000-0000-0000BC6D0000}"/>
    <cellStyle name="Standard 4 4 6 2 2 3 4 2" xfId="27891" xr:uid="{00000000-0005-0000-0000-0000BD6D0000}"/>
    <cellStyle name="Standard 4 4 6 2 2 3 5" xfId="27892" xr:uid="{00000000-0005-0000-0000-0000BE6D0000}"/>
    <cellStyle name="Standard 4 4 6 2 2 3 6" xfId="27893" xr:uid="{00000000-0005-0000-0000-0000BF6D0000}"/>
    <cellStyle name="Standard 4 4 6 2 2 4" xfId="27894" xr:uid="{00000000-0005-0000-0000-0000C06D0000}"/>
    <cellStyle name="Standard 4 4 6 2 2 4 2" xfId="27895" xr:uid="{00000000-0005-0000-0000-0000C16D0000}"/>
    <cellStyle name="Standard 4 4 6 2 2 4 3" xfId="27896" xr:uid="{00000000-0005-0000-0000-0000C26D0000}"/>
    <cellStyle name="Standard 4 4 6 2 2 5" xfId="27897" xr:uid="{00000000-0005-0000-0000-0000C36D0000}"/>
    <cellStyle name="Standard 4 4 6 2 2 5 2" xfId="27898" xr:uid="{00000000-0005-0000-0000-0000C46D0000}"/>
    <cellStyle name="Standard 4 4 6 2 2 5 3" xfId="27899" xr:uid="{00000000-0005-0000-0000-0000C56D0000}"/>
    <cellStyle name="Standard 4 4 6 2 2 6" xfId="27900" xr:uid="{00000000-0005-0000-0000-0000C66D0000}"/>
    <cellStyle name="Standard 4 4 6 2 2 6 2" xfId="27901" xr:uid="{00000000-0005-0000-0000-0000C76D0000}"/>
    <cellStyle name="Standard 4 4 6 2 2 7" xfId="27902" xr:uid="{00000000-0005-0000-0000-0000C86D0000}"/>
    <cellStyle name="Standard 4 4 6 2 2 8" xfId="27903" xr:uid="{00000000-0005-0000-0000-0000C96D0000}"/>
    <cellStyle name="Standard 4 4 6 2 3" xfId="27904" xr:uid="{00000000-0005-0000-0000-0000CA6D0000}"/>
    <cellStyle name="Standard 4 4 6 2 3 2" xfId="27905" xr:uid="{00000000-0005-0000-0000-0000CB6D0000}"/>
    <cellStyle name="Standard 4 4 6 2 3 2 2" xfId="27906" xr:uid="{00000000-0005-0000-0000-0000CC6D0000}"/>
    <cellStyle name="Standard 4 4 6 2 3 2 2 2" xfId="27907" xr:uid="{00000000-0005-0000-0000-0000CD6D0000}"/>
    <cellStyle name="Standard 4 4 6 2 3 2 2 2 2" xfId="27908" xr:uid="{00000000-0005-0000-0000-0000CE6D0000}"/>
    <cellStyle name="Standard 4 4 6 2 3 2 2 2 3" xfId="27909" xr:uid="{00000000-0005-0000-0000-0000CF6D0000}"/>
    <cellStyle name="Standard 4 4 6 2 3 2 2 3" xfId="27910" xr:uid="{00000000-0005-0000-0000-0000D06D0000}"/>
    <cellStyle name="Standard 4 4 6 2 3 2 2 3 2" xfId="27911" xr:uid="{00000000-0005-0000-0000-0000D16D0000}"/>
    <cellStyle name="Standard 4 4 6 2 3 2 2 3 3" xfId="27912" xr:uid="{00000000-0005-0000-0000-0000D26D0000}"/>
    <cellStyle name="Standard 4 4 6 2 3 2 2 4" xfId="27913" xr:uid="{00000000-0005-0000-0000-0000D36D0000}"/>
    <cellStyle name="Standard 4 4 6 2 3 2 2 4 2" xfId="27914" xr:uid="{00000000-0005-0000-0000-0000D46D0000}"/>
    <cellStyle name="Standard 4 4 6 2 3 2 2 5" xfId="27915" xr:uid="{00000000-0005-0000-0000-0000D56D0000}"/>
    <cellStyle name="Standard 4 4 6 2 3 2 2 6" xfId="27916" xr:uid="{00000000-0005-0000-0000-0000D66D0000}"/>
    <cellStyle name="Standard 4 4 6 2 3 2 3" xfId="27917" xr:uid="{00000000-0005-0000-0000-0000D76D0000}"/>
    <cellStyle name="Standard 4 4 6 2 3 2 3 2" xfId="27918" xr:uid="{00000000-0005-0000-0000-0000D86D0000}"/>
    <cellStyle name="Standard 4 4 6 2 3 2 3 3" xfId="27919" xr:uid="{00000000-0005-0000-0000-0000D96D0000}"/>
    <cellStyle name="Standard 4 4 6 2 3 2 4" xfId="27920" xr:uid="{00000000-0005-0000-0000-0000DA6D0000}"/>
    <cellStyle name="Standard 4 4 6 2 3 2 4 2" xfId="27921" xr:uid="{00000000-0005-0000-0000-0000DB6D0000}"/>
    <cellStyle name="Standard 4 4 6 2 3 2 4 3" xfId="27922" xr:uid="{00000000-0005-0000-0000-0000DC6D0000}"/>
    <cellStyle name="Standard 4 4 6 2 3 2 5" xfId="27923" xr:uid="{00000000-0005-0000-0000-0000DD6D0000}"/>
    <cellStyle name="Standard 4 4 6 2 3 2 5 2" xfId="27924" xr:uid="{00000000-0005-0000-0000-0000DE6D0000}"/>
    <cellStyle name="Standard 4 4 6 2 3 2 6" xfId="27925" xr:uid="{00000000-0005-0000-0000-0000DF6D0000}"/>
    <cellStyle name="Standard 4 4 6 2 3 2 7" xfId="27926" xr:uid="{00000000-0005-0000-0000-0000E06D0000}"/>
    <cellStyle name="Standard 4 4 6 2 3 3" xfId="27927" xr:uid="{00000000-0005-0000-0000-0000E16D0000}"/>
    <cellStyle name="Standard 4 4 6 2 3 3 2" xfId="27928" xr:uid="{00000000-0005-0000-0000-0000E26D0000}"/>
    <cellStyle name="Standard 4 4 6 2 3 3 2 2" xfId="27929" xr:uid="{00000000-0005-0000-0000-0000E36D0000}"/>
    <cellStyle name="Standard 4 4 6 2 3 3 2 3" xfId="27930" xr:uid="{00000000-0005-0000-0000-0000E46D0000}"/>
    <cellStyle name="Standard 4 4 6 2 3 3 3" xfId="27931" xr:uid="{00000000-0005-0000-0000-0000E56D0000}"/>
    <cellStyle name="Standard 4 4 6 2 3 3 3 2" xfId="27932" xr:uid="{00000000-0005-0000-0000-0000E66D0000}"/>
    <cellStyle name="Standard 4 4 6 2 3 3 3 3" xfId="27933" xr:uid="{00000000-0005-0000-0000-0000E76D0000}"/>
    <cellStyle name="Standard 4 4 6 2 3 3 4" xfId="27934" xr:uid="{00000000-0005-0000-0000-0000E86D0000}"/>
    <cellStyle name="Standard 4 4 6 2 3 3 4 2" xfId="27935" xr:uid="{00000000-0005-0000-0000-0000E96D0000}"/>
    <cellStyle name="Standard 4 4 6 2 3 3 5" xfId="27936" xr:uid="{00000000-0005-0000-0000-0000EA6D0000}"/>
    <cellStyle name="Standard 4 4 6 2 3 3 6" xfId="27937" xr:uid="{00000000-0005-0000-0000-0000EB6D0000}"/>
    <cellStyle name="Standard 4 4 6 2 3 4" xfId="27938" xr:uid="{00000000-0005-0000-0000-0000EC6D0000}"/>
    <cellStyle name="Standard 4 4 6 2 3 4 2" xfId="27939" xr:uid="{00000000-0005-0000-0000-0000ED6D0000}"/>
    <cellStyle name="Standard 4 4 6 2 3 4 3" xfId="27940" xr:uid="{00000000-0005-0000-0000-0000EE6D0000}"/>
    <cellStyle name="Standard 4 4 6 2 3 5" xfId="27941" xr:uid="{00000000-0005-0000-0000-0000EF6D0000}"/>
    <cellStyle name="Standard 4 4 6 2 3 5 2" xfId="27942" xr:uid="{00000000-0005-0000-0000-0000F06D0000}"/>
    <cellStyle name="Standard 4 4 6 2 3 5 3" xfId="27943" xr:uid="{00000000-0005-0000-0000-0000F16D0000}"/>
    <cellStyle name="Standard 4 4 6 2 3 6" xfId="27944" xr:uid="{00000000-0005-0000-0000-0000F26D0000}"/>
    <cellStyle name="Standard 4 4 6 2 3 6 2" xfId="27945" xr:uid="{00000000-0005-0000-0000-0000F36D0000}"/>
    <cellStyle name="Standard 4 4 6 2 3 7" xfId="27946" xr:uid="{00000000-0005-0000-0000-0000F46D0000}"/>
    <cellStyle name="Standard 4 4 6 2 3 8" xfId="27947" xr:uid="{00000000-0005-0000-0000-0000F56D0000}"/>
    <cellStyle name="Standard 4 4 6 2 4" xfId="27948" xr:uid="{00000000-0005-0000-0000-0000F66D0000}"/>
    <cellStyle name="Standard 4 4 6 2 4 2" xfId="27949" xr:uid="{00000000-0005-0000-0000-0000F76D0000}"/>
    <cellStyle name="Standard 4 4 6 2 4 2 2" xfId="27950" xr:uid="{00000000-0005-0000-0000-0000F86D0000}"/>
    <cellStyle name="Standard 4 4 6 2 4 2 2 2" xfId="27951" xr:uid="{00000000-0005-0000-0000-0000F96D0000}"/>
    <cellStyle name="Standard 4 4 6 2 4 2 2 3" xfId="27952" xr:uid="{00000000-0005-0000-0000-0000FA6D0000}"/>
    <cellStyle name="Standard 4 4 6 2 4 2 3" xfId="27953" xr:uid="{00000000-0005-0000-0000-0000FB6D0000}"/>
    <cellStyle name="Standard 4 4 6 2 4 2 3 2" xfId="27954" xr:uid="{00000000-0005-0000-0000-0000FC6D0000}"/>
    <cellStyle name="Standard 4 4 6 2 4 2 3 3" xfId="27955" xr:uid="{00000000-0005-0000-0000-0000FD6D0000}"/>
    <cellStyle name="Standard 4 4 6 2 4 2 4" xfId="27956" xr:uid="{00000000-0005-0000-0000-0000FE6D0000}"/>
    <cellStyle name="Standard 4 4 6 2 4 2 4 2" xfId="27957" xr:uid="{00000000-0005-0000-0000-0000FF6D0000}"/>
    <cellStyle name="Standard 4 4 6 2 4 2 5" xfId="27958" xr:uid="{00000000-0005-0000-0000-0000006E0000}"/>
    <cellStyle name="Standard 4 4 6 2 4 2 6" xfId="27959" xr:uid="{00000000-0005-0000-0000-0000016E0000}"/>
    <cellStyle name="Standard 4 4 6 2 4 3" xfId="27960" xr:uid="{00000000-0005-0000-0000-0000026E0000}"/>
    <cellStyle name="Standard 4 4 6 2 4 3 2" xfId="27961" xr:uid="{00000000-0005-0000-0000-0000036E0000}"/>
    <cellStyle name="Standard 4 4 6 2 4 3 3" xfId="27962" xr:uid="{00000000-0005-0000-0000-0000046E0000}"/>
    <cellStyle name="Standard 4 4 6 2 4 4" xfId="27963" xr:uid="{00000000-0005-0000-0000-0000056E0000}"/>
    <cellStyle name="Standard 4 4 6 2 4 4 2" xfId="27964" xr:uid="{00000000-0005-0000-0000-0000066E0000}"/>
    <cellStyle name="Standard 4 4 6 2 4 4 3" xfId="27965" xr:uid="{00000000-0005-0000-0000-0000076E0000}"/>
    <cellStyle name="Standard 4 4 6 2 4 5" xfId="27966" xr:uid="{00000000-0005-0000-0000-0000086E0000}"/>
    <cellStyle name="Standard 4 4 6 2 4 5 2" xfId="27967" xr:uid="{00000000-0005-0000-0000-0000096E0000}"/>
    <cellStyle name="Standard 4 4 6 2 4 6" xfId="27968" xr:uid="{00000000-0005-0000-0000-00000A6E0000}"/>
    <cellStyle name="Standard 4 4 6 2 4 7" xfId="27969" xr:uid="{00000000-0005-0000-0000-00000B6E0000}"/>
    <cellStyle name="Standard 4 4 6 2 5" xfId="27970" xr:uid="{00000000-0005-0000-0000-00000C6E0000}"/>
    <cellStyle name="Standard 4 4 6 2 5 2" xfId="27971" xr:uid="{00000000-0005-0000-0000-00000D6E0000}"/>
    <cellStyle name="Standard 4 4 6 2 5 2 2" xfId="27972" xr:uid="{00000000-0005-0000-0000-00000E6E0000}"/>
    <cellStyle name="Standard 4 4 6 2 5 2 3" xfId="27973" xr:uid="{00000000-0005-0000-0000-00000F6E0000}"/>
    <cellStyle name="Standard 4 4 6 2 5 3" xfId="27974" xr:uid="{00000000-0005-0000-0000-0000106E0000}"/>
    <cellStyle name="Standard 4 4 6 2 5 3 2" xfId="27975" xr:uid="{00000000-0005-0000-0000-0000116E0000}"/>
    <cellStyle name="Standard 4 4 6 2 5 3 3" xfId="27976" xr:uid="{00000000-0005-0000-0000-0000126E0000}"/>
    <cellStyle name="Standard 4 4 6 2 5 4" xfId="27977" xr:uid="{00000000-0005-0000-0000-0000136E0000}"/>
    <cellStyle name="Standard 4 4 6 2 5 4 2" xfId="27978" xr:uid="{00000000-0005-0000-0000-0000146E0000}"/>
    <cellStyle name="Standard 4 4 6 2 5 5" xfId="27979" xr:uid="{00000000-0005-0000-0000-0000156E0000}"/>
    <cellStyle name="Standard 4 4 6 2 5 6" xfId="27980" xr:uid="{00000000-0005-0000-0000-0000166E0000}"/>
    <cellStyle name="Standard 4 4 6 2 6" xfId="27981" xr:uid="{00000000-0005-0000-0000-0000176E0000}"/>
    <cellStyle name="Standard 4 4 6 2 6 2" xfId="27982" xr:uid="{00000000-0005-0000-0000-0000186E0000}"/>
    <cellStyle name="Standard 4 4 6 2 6 3" xfId="27983" xr:uid="{00000000-0005-0000-0000-0000196E0000}"/>
    <cellStyle name="Standard 4 4 6 2 7" xfId="27984" xr:uid="{00000000-0005-0000-0000-00001A6E0000}"/>
    <cellStyle name="Standard 4 4 6 2 7 2" xfId="27985" xr:uid="{00000000-0005-0000-0000-00001B6E0000}"/>
    <cellStyle name="Standard 4 4 6 2 7 3" xfId="27986" xr:uid="{00000000-0005-0000-0000-00001C6E0000}"/>
    <cellStyle name="Standard 4 4 6 2 8" xfId="27987" xr:uid="{00000000-0005-0000-0000-00001D6E0000}"/>
    <cellStyle name="Standard 4 4 6 2 8 2" xfId="27988" xr:uid="{00000000-0005-0000-0000-00001E6E0000}"/>
    <cellStyle name="Standard 4 4 6 2 9" xfId="27989" xr:uid="{00000000-0005-0000-0000-00001F6E0000}"/>
    <cellStyle name="Standard 4 4 6 3" xfId="27990" xr:uid="{00000000-0005-0000-0000-0000206E0000}"/>
    <cellStyle name="Standard 4 4 6 3 2" xfId="27991" xr:uid="{00000000-0005-0000-0000-0000216E0000}"/>
    <cellStyle name="Standard 4 4 6 3 2 2" xfId="27992" xr:uid="{00000000-0005-0000-0000-0000226E0000}"/>
    <cellStyle name="Standard 4 4 6 3 2 2 2" xfId="27993" xr:uid="{00000000-0005-0000-0000-0000236E0000}"/>
    <cellStyle name="Standard 4 4 6 3 2 2 2 2" xfId="27994" xr:uid="{00000000-0005-0000-0000-0000246E0000}"/>
    <cellStyle name="Standard 4 4 6 3 2 2 2 3" xfId="27995" xr:uid="{00000000-0005-0000-0000-0000256E0000}"/>
    <cellStyle name="Standard 4 4 6 3 2 2 3" xfId="27996" xr:uid="{00000000-0005-0000-0000-0000266E0000}"/>
    <cellStyle name="Standard 4 4 6 3 2 2 3 2" xfId="27997" xr:uid="{00000000-0005-0000-0000-0000276E0000}"/>
    <cellStyle name="Standard 4 4 6 3 2 2 3 3" xfId="27998" xr:uid="{00000000-0005-0000-0000-0000286E0000}"/>
    <cellStyle name="Standard 4 4 6 3 2 2 4" xfId="27999" xr:uid="{00000000-0005-0000-0000-0000296E0000}"/>
    <cellStyle name="Standard 4 4 6 3 2 2 4 2" xfId="28000" xr:uid="{00000000-0005-0000-0000-00002A6E0000}"/>
    <cellStyle name="Standard 4 4 6 3 2 2 5" xfId="28001" xr:uid="{00000000-0005-0000-0000-00002B6E0000}"/>
    <cellStyle name="Standard 4 4 6 3 2 2 6" xfId="28002" xr:uid="{00000000-0005-0000-0000-00002C6E0000}"/>
    <cellStyle name="Standard 4 4 6 3 2 3" xfId="28003" xr:uid="{00000000-0005-0000-0000-00002D6E0000}"/>
    <cellStyle name="Standard 4 4 6 3 2 3 2" xfId="28004" xr:uid="{00000000-0005-0000-0000-00002E6E0000}"/>
    <cellStyle name="Standard 4 4 6 3 2 3 3" xfId="28005" xr:uid="{00000000-0005-0000-0000-00002F6E0000}"/>
    <cellStyle name="Standard 4 4 6 3 2 4" xfId="28006" xr:uid="{00000000-0005-0000-0000-0000306E0000}"/>
    <cellStyle name="Standard 4 4 6 3 2 4 2" xfId="28007" xr:uid="{00000000-0005-0000-0000-0000316E0000}"/>
    <cellStyle name="Standard 4 4 6 3 2 4 3" xfId="28008" xr:uid="{00000000-0005-0000-0000-0000326E0000}"/>
    <cellStyle name="Standard 4 4 6 3 2 5" xfId="28009" xr:uid="{00000000-0005-0000-0000-0000336E0000}"/>
    <cellStyle name="Standard 4 4 6 3 2 5 2" xfId="28010" xr:uid="{00000000-0005-0000-0000-0000346E0000}"/>
    <cellStyle name="Standard 4 4 6 3 2 6" xfId="28011" xr:uid="{00000000-0005-0000-0000-0000356E0000}"/>
    <cellStyle name="Standard 4 4 6 3 2 7" xfId="28012" xr:uid="{00000000-0005-0000-0000-0000366E0000}"/>
    <cellStyle name="Standard 4 4 6 3 3" xfId="28013" xr:uid="{00000000-0005-0000-0000-0000376E0000}"/>
    <cellStyle name="Standard 4 4 6 3 3 2" xfId="28014" xr:uid="{00000000-0005-0000-0000-0000386E0000}"/>
    <cellStyle name="Standard 4 4 6 3 3 2 2" xfId="28015" xr:uid="{00000000-0005-0000-0000-0000396E0000}"/>
    <cellStyle name="Standard 4 4 6 3 3 2 3" xfId="28016" xr:uid="{00000000-0005-0000-0000-00003A6E0000}"/>
    <cellStyle name="Standard 4 4 6 3 3 3" xfId="28017" xr:uid="{00000000-0005-0000-0000-00003B6E0000}"/>
    <cellStyle name="Standard 4 4 6 3 3 3 2" xfId="28018" xr:uid="{00000000-0005-0000-0000-00003C6E0000}"/>
    <cellStyle name="Standard 4 4 6 3 3 3 3" xfId="28019" xr:uid="{00000000-0005-0000-0000-00003D6E0000}"/>
    <cellStyle name="Standard 4 4 6 3 3 4" xfId="28020" xr:uid="{00000000-0005-0000-0000-00003E6E0000}"/>
    <cellStyle name="Standard 4 4 6 3 3 4 2" xfId="28021" xr:uid="{00000000-0005-0000-0000-00003F6E0000}"/>
    <cellStyle name="Standard 4 4 6 3 3 5" xfId="28022" xr:uid="{00000000-0005-0000-0000-0000406E0000}"/>
    <cellStyle name="Standard 4 4 6 3 3 6" xfId="28023" xr:uid="{00000000-0005-0000-0000-0000416E0000}"/>
    <cellStyle name="Standard 4 4 6 3 4" xfId="28024" xr:uid="{00000000-0005-0000-0000-0000426E0000}"/>
    <cellStyle name="Standard 4 4 6 3 4 2" xfId="28025" xr:uid="{00000000-0005-0000-0000-0000436E0000}"/>
    <cellStyle name="Standard 4 4 6 3 4 3" xfId="28026" xr:uid="{00000000-0005-0000-0000-0000446E0000}"/>
    <cellStyle name="Standard 4 4 6 3 5" xfId="28027" xr:uid="{00000000-0005-0000-0000-0000456E0000}"/>
    <cellStyle name="Standard 4 4 6 3 5 2" xfId="28028" xr:uid="{00000000-0005-0000-0000-0000466E0000}"/>
    <cellStyle name="Standard 4 4 6 3 5 3" xfId="28029" xr:uid="{00000000-0005-0000-0000-0000476E0000}"/>
    <cellStyle name="Standard 4 4 6 3 6" xfId="28030" xr:uid="{00000000-0005-0000-0000-0000486E0000}"/>
    <cellStyle name="Standard 4 4 6 3 6 2" xfId="28031" xr:uid="{00000000-0005-0000-0000-0000496E0000}"/>
    <cellStyle name="Standard 4 4 6 3 7" xfId="28032" xr:uid="{00000000-0005-0000-0000-00004A6E0000}"/>
    <cellStyle name="Standard 4 4 6 3 8" xfId="28033" xr:uid="{00000000-0005-0000-0000-00004B6E0000}"/>
    <cellStyle name="Standard 4 4 6 4" xfId="28034" xr:uid="{00000000-0005-0000-0000-00004C6E0000}"/>
    <cellStyle name="Standard 4 4 6 4 2" xfId="28035" xr:uid="{00000000-0005-0000-0000-00004D6E0000}"/>
    <cellStyle name="Standard 4 4 6 4 2 2" xfId="28036" xr:uid="{00000000-0005-0000-0000-00004E6E0000}"/>
    <cellStyle name="Standard 4 4 6 4 2 2 2" xfId="28037" xr:uid="{00000000-0005-0000-0000-00004F6E0000}"/>
    <cellStyle name="Standard 4 4 6 4 2 2 2 2" xfId="28038" xr:uid="{00000000-0005-0000-0000-0000506E0000}"/>
    <cellStyle name="Standard 4 4 6 4 2 2 2 3" xfId="28039" xr:uid="{00000000-0005-0000-0000-0000516E0000}"/>
    <cellStyle name="Standard 4 4 6 4 2 2 3" xfId="28040" xr:uid="{00000000-0005-0000-0000-0000526E0000}"/>
    <cellStyle name="Standard 4 4 6 4 2 2 3 2" xfId="28041" xr:uid="{00000000-0005-0000-0000-0000536E0000}"/>
    <cellStyle name="Standard 4 4 6 4 2 2 3 3" xfId="28042" xr:uid="{00000000-0005-0000-0000-0000546E0000}"/>
    <cellStyle name="Standard 4 4 6 4 2 2 4" xfId="28043" xr:uid="{00000000-0005-0000-0000-0000556E0000}"/>
    <cellStyle name="Standard 4 4 6 4 2 2 4 2" xfId="28044" xr:uid="{00000000-0005-0000-0000-0000566E0000}"/>
    <cellStyle name="Standard 4 4 6 4 2 2 5" xfId="28045" xr:uid="{00000000-0005-0000-0000-0000576E0000}"/>
    <cellStyle name="Standard 4 4 6 4 2 2 6" xfId="28046" xr:uid="{00000000-0005-0000-0000-0000586E0000}"/>
    <cellStyle name="Standard 4 4 6 4 2 3" xfId="28047" xr:uid="{00000000-0005-0000-0000-0000596E0000}"/>
    <cellStyle name="Standard 4 4 6 4 2 3 2" xfId="28048" xr:uid="{00000000-0005-0000-0000-00005A6E0000}"/>
    <cellStyle name="Standard 4 4 6 4 2 3 3" xfId="28049" xr:uid="{00000000-0005-0000-0000-00005B6E0000}"/>
    <cellStyle name="Standard 4 4 6 4 2 4" xfId="28050" xr:uid="{00000000-0005-0000-0000-00005C6E0000}"/>
    <cellStyle name="Standard 4 4 6 4 2 4 2" xfId="28051" xr:uid="{00000000-0005-0000-0000-00005D6E0000}"/>
    <cellStyle name="Standard 4 4 6 4 2 4 3" xfId="28052" xr:uid="{00000000-0005-0000-0000-00005E6E0000}"/>
    <cellStyle name="Standard 4 4 6 4 2 5" xfId="28053" xr:uid="{00000000-0005-0000-0000-00005F6E0000}"/>
    <cellStyle name="Standard 4 4 6 4 2 5 2" xfId="28054" xr:uid="{00000000-0005-0000-0000-0000606E0000}"/>
    <cellStyle name="Standard 4 4 6 4 2 6" xfId="28055" xr:uid="{00000000-0005-0000-0000-0000616E0000}"/>
    <cellStyle name="Standard 4 4 6 4 2 7" xfId="28056" xr:uid="{00000000-0005-0000-0000-0000626E0000}"/>
    <cellStyle name="Standard 4 4 6 4 3" xfId="28057" xr:uid="{00000000-0005-0000-0000-0000636E0000}"/>
    <cellStyle name="Standard 4 4 6 4 3 2" xfId="28058" xr:uid="{00000000-0005-0000-0000-0000646E0000}"/>
    <cellStyle name="Standard 4 4 6 4 3 2 2" xfId="28059" xr:uid="{00000000-0005-0000-0000-0000656E0000}"/>
    <cellStyle name="Standard 4 4 6 4 3 2 3" xfId="28060" xr:uid="{00000000-0005-0000-0000-0000666E0000}"/>
    <cellStyle name="Standard 4 4 6 4 3 3" xfId="28061" xr:uid="{00000000-0005-0000-0000-0000676E0000}"/>
    <cellStyle name="Standard 4 4 6 4 3 3 2" xfId="28062" xr:uid="{00000000-0005-0000-0000-0000686E0000}"/>
    <cellStyle name="Standard 4 4 6 4 3 3 3" xfId="28063" xr:uid="{00000000-0005-0000-0000-0000696E0000}"/>
    <cellStyle name="Standard 4 4 6 4 3 4" xfId="28064" xr:uid="{00000000-0005-0000-0000-00006A6E0000}"/>
    <cellStyle name="Standard 4 4 6 4 3 4 2" xfId="28065" xr:uid="{00000000-0005-0000-0000-00006B6E0000}"/>
    <cellStyle name="Standard 4 4 6 4 3 5" xfId="28066" xr:uid="{00000000-0005-0000-0000-00006C6E0000}"/>
    <cellStyle name="Standard 4 4 6 4 3 6" xfId="28067" xr:uid="{00000000-0005-0000-0000-00006D6E0000}"/>
    <cellStyle name="Standard 4 4 6 4 4" xfId="28068" xr:uid="{00000000-0005-0000-0000-00006E6E0000}"/>
    <cellStyle name="Standard 4 4 6 4 4 2" xfId="28069" xr:uid="{00000000-0005-0000-0000-00006F6E0000}"/>
    <cellStyle name="Standard 4 4 6 4 4 3" xfId="28070" xr:uid="{00000000-0005-0000-0000-0000706E0000}"/>
    <cellStyle name="Standard 4 4 6 4 5" xfId="28071" xr:uid="{00000000-0005-0000-0000-0000716E0000}"/>
    <cellStyle name="Standard 4 4 6 4 5 2" xfId="28072" xr:uid="{00000000-0005-0000-0000-0000726E0000}"/>
    <cellStyle name="Standard 4 4 6 4 5 3" xfId="28073" xr:uid="{00000000-0005-0000-0000-0000736E0000}"/>
    <cellStyle name="Standard 4 4 6 4 6" xfId="28074" xr:uid="{00000000-0005-0000-0000-0000746E0000}"/>
    <cellStyle name="Standard 4 4 6 4 6 2" xfId="28075" xr:uid="{00000000-0005-0000-0000-0000756E0000}"/>
    <cellStyle name="Standard 4 4 6 4 7" xfId="28076" xr:uid="{00000000-0005-0000-0000-0000766E0000}"/>
    <cellStyle name="Standard 4 4 6 4 8" xfId="28077" xr:uid="{00000000-0005-0000-0000-0000776E0000}"/>
    <cellStyle name="Standard 4 4 6 5" xfId="28078" xr:uid="{00000000-0005-0000-0000-0000786E0000}"/>
    <cellStyle name="Standard 4 4 6 5 2" xfId="28079" xr:uid="{00000000-0005-0000-0000-0000796E0000}"/>
    <cellStyle name="Standard 4 4 6 5 2 2" xfId="28080" xr:uid="{00000000-0005-0000-0000-00007A6E0000}"/>
    <cellStyle name="Standard 4 4 6 5 2 2 2" xfId="28081" xr:uid="{00000000-0005-0000-0000-00007B6E0000}"/>
    <cellStyle name="Standard 4 4 6 5 2 2 3" xfId="28082" xr:uid="{00000000-0005-0000-0000-00007C6E0000}"/>
    <cellStyle name="Standard 4 4 6 5 2 3" xfId="28083" xr:uid="{00000000-0005-0000-0000-00007D6E0000}"/>
    <cellStyle name="Standard 4 4 6 5 2 3 2" xfId="28084" xr:uid="{00000000-0005-0000-0000-00007E6E0000}"/>
    <cellStyle name="Standard 4 4 6 5 2 3 3" xfId="28085" xr:uid="{00000000-0005-0000-0000-00007F6E0000}"/>
    <cellStyle name="Standard 4 4 6 5 2 4" xfId="28086" xr:uid="{00000000-0005-0000-0000-0000806E0000}"/>
    <cellStyle name="Standard 4 4 6 5 2 4 2" xfId="28087" xr:uid="{00000000-0005-0000-0000-0000816E0000}"/>
    <cellStyle name="Standard 4 4 6 5 2 5" xfId="28088" xr:uid="{00000000-0005-0000-0000-0000826E0000}"/>
    <cellStyle name="Standard 4 4 6 5 2 6" xfId="28089" xr:uid="{00000000-0005-0000-0000-0000836E0000}"/>
    <cellStyle name="Standard 4 4 6 5 3" xfId="28090" xr:uid="{00000000-0005-0000-0000-0000846E0000}"/>
    <cellStyle name="Standard 4 4 6 5 3 2" xfId="28091" xr:uid="{00000000-0005-0000-0000-0000856E0000}"/>
    <cellStyle name="Standard 4 4 6 5 3 3" xfId="28092" xr:uid="{00000000-0005-0000-0000-0000866E0000}"/>
    <cellStyle name="Standard 4 4 6 5 4" xfId="28093" xr:uid="{00000000-0005-0000-0000-0000876E0000}"/>
    <cellStyle name="Standard 4 4 6 5 4 2" xfId="28094" xr:uid="{00000000-0005-0000-0000-0000886E0000}"/>
    <cellStyle name="Standard 4 4 6 5 4 3" xfId="28095" xr:uid="{00000000-0005-0000-0000-0000896E0000}"/>
    <cellStyle name="Standard 4 4 6 5 5" xfId="28096" xr:uid="{00000000-0005-0000-0000-00008A6E0000}"/>
    <cellStyle name="Standard 4 4 6 5 5 2" xfId="28097" xr:uid="{00000000-0005-0000-0000-00008B6E0000}"/>
    <cellStyle name="Standard 4 4 6 5 6" xfId="28098" xr:uid="{00000000-0005-0000-0000-00008C6E0000}"/>
    <cellStyle name="Standard 4 4 6 5 7" xfId="28099" xr:uid="{00000000-0005-0000-0000-00008D6E0000}"/>
    <cellStyle name="Standard 4 4 6 6" xfId="28100" xr:uid="{00000000-0005-0000-0000-00008E6E0000}"/>
    <cellStyle name="Standard 4 4 6 6 2" xfId="28101" xr:uid="{00000000-0005-0000-0000-00008F6E0000}"/>
    <cellStyle name="Standard 4 4 6 6 2 2" xfId="28102" xr:uid="{00000000-0005-0000-0000-0000906E0000}"/>
    <cellStyle name="Standard 4 4 6 6 2 3" xfId="28103" xr:uid="{00000000-0005-0000-0000-0000916E0000}"/>
    <cellStyle name="Standard 4 4 6 6 3" xfId="28104" xr:uid="{00000000-0005-0000-0000-0000926E0000}"/>
    <cellStyle name="Standard 4 4 6 6 3 2" xfId="28105" xr:uid="{00000000-0005-0000-0000-0000936E0000}"/>
    <cellStyle name="Standard 4 4 6 6 3 3" xfId="28106" xr:uid="{00000000-0005-0000-0000-0000946E0000}"/>
    <cellStyle name="Standard 4 4 6 6 4" xfId="28107" xr:uid="{00000000-0005-0000-0000-0000956E0000}"/>
    <cellStyle name="Standard 4 4 6 6 4 2" xfId="28108" xr:uid="{00000000-0005-0000-0000-0000966E0000}"/>
    <cellStyle name="Standard 4 4 6 6 5" xfId="28109" xr:uid="{00000000-0005-0000-0000-0000976E0000}"/>
    <cellStyle name="Standard 4 4 6 6 6" xfId="28110" xr:uid="{00000000-0005-0000-0000-0000986E0000}"/>
    <cellStyle name="Standard 4 4 6 7" xfId="28111" xr:uid="{00000000-0005-0000-0000-0000996E0000}"/>
    <cellStyle name="Standard 4 4 6 7 2" xfId="28112" xr:uid="{00000000-0005-0000-0000-00009A6E0000}"/>
    <cellStyle name="Standard 4 4 6 7 3" xfId="28113" xr:uid="{00000000-0005-0000-0000-00009B6E0000}"/>
    <cellStyle name="Standard 4 4 6 8" xfId="28114" xr:uid="{00000000-0005-0000-0000-00009C6E0000}"/>
    <cellStyle name="Standard 4 4 6 8 2" xfId="28115" xr:uid="{00000000-0005-0000-0000-00009D6E0000}"/>
    <cellStyle name="Standard 4 4 6 8 3" xfId="28116" xr:uid="{00000000-0005-0000-0000-00009E6E0000}"/>
    <cellStyle name="Standard 4 4 6 9" xfId="28117" xr:uid="{00000000-0005-0000-0000-00009F6E0000}"/>
    <cellStyle name="Standard 4 4 6 9 2" xfId="28118" xr:uid="{00000000-0005-0000-0000-0000A06E0000}"/>
    <cellStyle name="Standard 4 4 7" xfId="28119" xr:uid="{00000000-0005-0000-0000-0000A16E0000}"/>
    <cellStyle name="Standard 4 4 7 10" xfId="28120" xr:uid="{00000000-0005-0000-0000-0000A26E0000}"/>
    <cellStyle name="Standard 4 4 7 2" xfId="28121" xr:uid="{00000000-0005-0000-0000-0000A36E0000}"/>
    <cellStyle name="Standard 4 4 7 2 2" xfId="28122" xr:uid="{00000000-0005-0000-0000-0000A46E0000}"/>
    <cellStyle name="Standard 4 4 7 2 2 2" xfId="28123" xr:uid="{00000000-0005-0000-0000-0000A56E0000}"/>
    <cellStyle name="Standard 4 4 7 2 2 2 2" xfId="28124" xr:uid="{00000000-0005-0000-0000-0000A66E0000}"/>
    <cellStyle name="Standard 4 4 7 2 2 2 2 2" xfId="28125" xr:uid="{00000000-0005-0000-0000-0000A76E0000}"/>
    <cellStyle name="Standard 4 4 7 2 2 2 2 3" xfId="28126" xr:uid="{00000000-0005-0000-0000-0000A86E0000}"/>
    <cellStyle name="Standard 4 4 7 2 2 2 3" xfId="28127" xr:uid="{00000000-0005-0000-0000-0000A96E0000}"/>
    <cellStyle name="Standard 4 4 7 2 2 2 3 2" xfId="28128" xr:uid="{00000000-0005-0000-0000-0000AA6E0000}"/>
    <cellStyle name="Standard 4 4 7 2 2 2 3 3" xfId="28129" xr:uid="{00000000-0005-0000-0000-0000AB6E0000}"/>
    <cellStyle name="Standard 4 4 7 2 2 2 4" xfId="28130" xr:uid="{00000000-0005-0000-0000-0000AC6E0000}"/>
    <cellStyle name="Standard 4 4 7 2 2 2 4 2" xfId="28131" xr:uid="{00000000-0005-0000-0000-0000AD6E0000}"/>
    <cellStyle name="Standard 4 4 7 2 2 2 5" xfId="28132" xr:uid="{00000000-0005-0000-0000-0000AE6E0000}"/>
    <cellStyle name="Standard 4 4 7 2 2 2 6" xfId="28133" xr:uid="{00000000-0005-0000-0000-0000AF6E0000}"/>
    <cellStyle name="Standard 4 4 7 2 2 3" xfId="28134" xr:uid="{00000000-0005-0000-0000-0000B06E0000}"/>
    <cellStyle name="Standard 4 4 7 2 2 3 2" xfId="28135" xr:uid="{00000000-0005-0000-0000-0000B16E0000}"/>
    <cellStyle name="Standard 4 4 7 2 2 3 3" xfId="28136" xr:uid="{00000000-0005-0000-0000-0000B26E0000}"/>
    <cellStyle name="Standard 4 4 7 2 2 4" xfId="28137" xr:uid="{00000000-0005-0000-0000-0000B36E0000}"/>
    <cellStyle name="Standard 4 4 7 2 2 4 2" xfId="28138" xr:uid="{00000000-0005-0000-0000-0000B46E0000}"/>
    <cellStyle name="Standard 4 4 7 2 2 4 3" xfId="28139" xr:uid="{00000000-0005-0000-0000-0000B56E0000}"/>
    <cellStyle name="Standard 4 4 7 2 2 5" xfId="28140" xr:uid="{00000000-0005-0000-0000-0000B66E0000}"/>
    <cellStyle name="Standard 4 4 7 2 2 5 2" xfId="28141" xr:uid="{00000000-0005-0000-0000-0000B76E0000}"/>
    <cellStyle name="Standard 4 4 7 2 2 6" xfId="28142" xr:uid="{00000000-0005-0000-0000-0000B86E0000}"/>
    <cellStyle name="Standard 4 4 7 2 2 7" xfId="28143" xr:uid="{00000000-0005-0000-0000-0000B96E0000}"/>
    <cellStyle name="Standard 4 4 7 2 3" xfId="28144" xr:uid="{00000000-0005-0000-0000-0000BA6E0000}"/>
    <cellStyle name="Standard 4 4 7 2 3 2" xfId="28145" xr:uid="{00000000-0005-0000-0000-0000BB6E0000}"/>
    <cellStyle name="Standard 4 4 7 2 3 2 2" xfId="28146" xr:uid="{00000000-0005-0000-0000-0000BC6E0000}"/>
    <cellStyle name="Standard 4 4 7 2 3 2 3" xfId="28147" xr:uid="{00000000-0005-0000-0000-0000BD6E0000}"/>
    <cellStyle name="Standard 4 4 7 2 3 3" xfId="28148" xr:uid="{00000000-0005-0000-0000-0000BE6E0000}"/>
    <cellStyle name="Standard 4 4 7 2 3 3 2" xfId="28149" xr:uid="{00000000-0005-0000-0000-0000BF6E0000}"/>
    <cellStyle name="Standard 4 4 7 2 3 3 3" xfId="28150" xr:uid="{00000000-0005-0000-0000-0000C06E0000}"/>
    <cellStyle name="Standard 4 4 7 2 3 4" xfId="28151" xr:uid="{00000000-0005-0000-0000-0000C16E0000}"/>
    <cellStyle name="Standard 4 4 7 2 3 4 2" xfId="28152" xr:uid="{00000000-0005-0000-0000-0000C26E0000}"/>
    <cellStyle name="Standard 4 4 7 2 3 5" xfId="28153" xr:uid="{00000000-0005-0000-0000-0000C36E0000}"/>
    <cellStyle name="Standard 4 4 7 2 3 6" xfId="28154" xr:uid="{00000000-0005-0000-0000-0000C46E0000}"/>
    <cellStyle name="Standard 4 4 7 2 4" xfId="28155" xr:uid="{00000000-0005-0000-0000-0000C56E0000}"/>
    <cellStyle name="Standard 4 4 7 2 4 2" xfId="28156" xr:uid="{00000000-0005-0000-0000-0000C66E0000}"/>
    <cellStyle name="Standard 4 4 7 2 4 3" xfId="28157" xr:uid="{00000000-0005-0000-0000-0000C76E0000}"/>
    <cellStyle name="Standard 4 4 7 2 5" xfId="28158" xr:uid="{00000000-0005-0000-0000-0000C86E0000}"/>
    <cellStyle name="Standard 4 4 7 2 5 2" xfId="28159" xr:uid="{00000000-0005-0000-0000-0000C96E0000}"/>
    <cellStyle name="Standard 4 4 7 2 5 3" xfId="28160" xr:uid="{00000000-0005-0000-0000-0000CA6E0000}"/>
    <cellStyle name="Standard 4 4 7 2 6" xfId="28161" xr:uid="{00000000-0005-0000-0000-0000CB6E0000}"/>
    <cellStyle name="Standard 4 4 7 2 6 2" xfId="28162" xr:uid="{00000000-0005-0000-0000-0000CC6E0000}"/>
    <cellStyle name="Standard 4 4 7 2 7" xfId="28163" xr:uid="{00000000-0005-0000-0000-0000CD6E0000}"/>
    <cellStyle name="Standard 4 4 7 2 8" xfId="28164" xr:uid="{00000000-0005-0000-0000-0000CE6E0000}"/>
    <cellStyle name="Standard 4 4 7 3" xfId="28165" xr:uid="{00000000-0005-0000-0000-0000CF6E0000}"/>
    <cellStyle name="Standard 4 4 7 3 2" xfId="28166" xr:uid="{00000000-0005-0000-0000-0000D06E0000}"/>
    <cellStyle name="Standard 4 4 7 3 2 2" xfId="28167" xr:uid="{00000000-0005-0000-0000-0000D16E0000}"/>
    <cellStyle name="Standard 4 4 7 3 2 2 2" xfId="28168" xr:uid="{00000000-0005-0000-0000-0000D26E0000}"/>
    <cellStyle name="Standard 4 4 7 3 2 2 2 2" xfId="28169" xr:uid="{00000000-0005-0000-0000-0000D36E0000}"/>
    <cellStyle name="Standard 4 4 7 3 2 2 2 3" xfId="28170" xr:uid="{00000000-0005-0000-0000-0000D46E0000}"/>
    <cellStyle name="Standard 4 4 7 3 2 2 3" xfId="28171" xr:uid="{00000000-0005-0000-0000-0000D56E0000}"/>
    <cellStyle name="Standard 4 4 7 3 2 2 3 2" xfId="28172" xr:uid="{00000000-0005-0000-0000-0000D66E0000}"/>
    <cellStyle name="Standard 4 4 7 3 2 2 3 3" xfId="28173" xr:uid="{00000000-0005-0000-0000-0000D76E0000}"/>
    <cellStyle name="Standard 4 4 7 3 2 2 4" xfId="28174" xr:uid="{00000000-0005-0000-0000-0000D86E0000}"/>
    <cellStyle name="Standard 4 4 7 3 2 2 4 2" xfId="28175" xr:uid="{00000000-0005-0000-0000-0000D96E0000}"/>
    <cellStyle name="Standard 4 4 7 3 2 2 5" xfId="28176" xr:uid="{00000000-0005-0000-0000-0000DA6E0000}"/>
    <cellStyle name="Standard 4 4 7 3 2 2 6" xfId="28177" xr:uid="{00000000-0005-0000-0000-0000DB6E0000}"/>
    <cellStyle name="Standard 4 4 7 3 2 3" xfId="28178" xr:uid="{00000000-0005-0000-0000-0000DC6E0000}"/>
    <cellStyle name="Standard 4 4 7 3 2 3 2" xfId="28179" xr:uid="{00000000-0005-0000-0000-0000DD6E0000}"/>
    <cellStyle name="Standard 4 4 7 3 2 3 3" xfId="28180" xr:uid="{00000000-0005-0000-0000-0000DE6E0000}"/>
    <cellStyle name="Standard 4 4 7 3 2 4" xfId="28181" xr:uid="{00000000-0005-0000-0000-0000DF6E0000}"/>
    <cellStyle name="Standard 4 4 7 3 2 4 2" xfId="28182" xr:uid="{00000000-0005-0000-0000-0000E06E0000}"/>
    <cellStyle name="Standard 4 4 7 3 2 4 3" xfId="28183" xr:uid="{00000000-0005-0000-0000-0000E16E0000}"/>
    <cellStyle name="Standard 4 4 7 3 2 5" xfId="28184" xr:uid="{00000000-0005-0000-0000-0000E26E0000}"/>
    <cellStyle name="Standard 4 4 7 3 2 5 2" xfId="28185" xr:uid="{00000000-0005-0000-0000-0000E36E0000}"/>
    <cellStyle name="Standard 4 4 7 3 2 6" xfId="28186" xr:uid="{00000000-0005-0000-0000-0000E46E0000}"/>
    <cellStyle name="Standard 4 4 7 3 2 7" xfId="28187" xr:uid="{00000000-0005-0000-0000-0000E56E0000}"/>
    <cellStyle name="Standard 4 4 7 3 3" xfId="28188" xr:uid="{00000000-0005-0000-0000-0000E66E0000}"/>
    <cellStyle name="Standard 4 4 7 3 3 2" xfId="28189" xr:uid="{00000000-0005-0000-0000-0000E76E0000}"/>
    <cellStyle name="Standard 4 4 7 3 3 2 2" xfId="28190" xr:uid="{00000000-0005-0000-0000-0000E86E0000}"/>
    <cellStyle name="Standard 4 4 7 3 3 2 3" xfId="28191" xr:uid="{00000000-0005-0000-0000-0000E96E0000}"/>
    <cellStyle name="Standard 4 4 7 3 3 3" xfId="28192" xr:uid="{00000000-0005-0000-0000-0000EA6E0000}"/>
    <cellStyle name="Standard 4 4 7 3 3 3 2" xfId="28193" xr:uid="{00000000-0005-0000-0000-0000EB6E0000}"/>
    <cellStyle name="Standard 4 4 7 3 3 3 3" xfId="28194" xr:uid="{00000000-0005-0000-0000-0000EC6E0000}"/>
    <cellStyle name="Standard 4 4 7 3 3 4" xfId="28195" xr:uid="{00000000-0005-0000-0000-0000ED6E0000}"/>
    <cellStyle name="Standard 4 4 7 3 3 4 2" xfId="28196" xr:uid="{00000000-0005-0000-0000-0000EE6E0000}"/>
    <cellStyle name="Standard 4 4 7 3 3 5" xfId="28197" xr:uid="{00000000-0005-0000-0000-0000EF6E0000}"/>
    <cellStyle name="Standard 4 4 7 3 3 6" xfId="28198" xr:uid="{00000000-0005-0000-0000-0000F06E0000}"/>
    <cellStyle name="Standard 4 4 7 3 4" xfId="28199" xr:uid="{00000000-0005-0000-0000-0000F16E0000}"/>
    <cellStyle name="Standard 4 4 7 3 4 2" xfId="28200" xr:uid="{00000000-0005-0000-0000-0000F26E0000}"/>
    <cellStyle name="Standard 4 4 7 3 4 3" xfId="28201" xr:uid="{00000000-0005-0000-0000-0000F36E0000}"/>
    <cellStyle name="Standard 4 4 7 3 5" xfId="28202" xr:uid="{00000000-0005-0000-0000-0000F46E0000}"/>
    <cellStyle name="Standard 4 4 7 3 5 2" xfId="28203" xr:uid="{00000000-0005-0000-0000-0000F56E0000}"/>
    <cellStyle name="Standard 4 4 7 3 5 3" xfId="28204" xr:uid="{00000000-0005-0000-0000-0000F66E0000}"/>
    <cellStyle name="Standard 4 4 7 3 6" xfId="28205" xr:uid="{00000000-0005-0000-0000-0000F76E0000}"/>
    <cellStyle name="Standard 4 4 7 3 6 2" xfId="28206" xr:uid="{00000000-0005-0000-0000-0000F86E0000}"/>
    <cellStyle name="Standard 4 4 7 3 7" xfId="28207" xr:uid="{00000000-0005-0000-0000-0000F96E0000}"/>
    <cellStyle name="Standard 4 4 7 3 8" xfId="28208" xr:uid="{00000000-0005-0000-0000-0000FA6E0000}"/>
    <cellStyle name="Standard 4 4 7 4" xfId="28209" xr:uid="{00000000-0005-0000-0000-0000FB6E0000}"/>
    <cellStyle name="Standard 4 4 7 4 2" xfId="28210" xr:uid="{00000000-0005-0000-0000-0000FC6E0000}"/>
    <cellStyle name="Standard 4 4 7 4 2 2" xfId="28211" xr:uid="{00000000-0005-0000-0000-0000FD6E0000}"/>
    <cellStyle name="Standard 4 4 7 4 2 2 2" xfId="28212" xr:uid="{00000000-0005-0000-0000-0000FE6E0000}"/>
    <cellStyle name="Standard 4 4 7 4 2 2 3" xfId="28213" xr:uid="{00000000-0005-0000-0000-0000FF6E0000}"/>
    <cellStyle name="Standard 4 4 7 4 2 3" xfId="28214" xr:uid="{00000000-0005-0000-0000-0000006F0000}"/>
    <cellStyle name="Standard 4 4 7 4 2 3 2" xfId="28215" xr:uid="{00000000-0005-0000-0000-0000016F0000}"/>
    <cellStyle name="Standard 4 4 7 4 2 3 3" xfId="28216" xr:uid="{00000000-0005-0000-0000-0000026F0000}"/>
    <cellStyle name="Standard 4 4 7 4 2 4" xfId="28217" xr:uid="{00000000-0005-0000-0000-0000036F0000}"/>
    <cellStyle name="Standard 4 4 7 4 2 4 2" xfId="28218" xr:uid="{00000000-0005-0000-0000-0000046F0000}"/>
    <cellStyle name="Standard 4 4 7 4 2 5" xfId="28219" xr:uid="{00000000-0005-0000-0000-0000056F0000}"/>
    <cellStyle name="Standard 4 4 7 4 2 6" xfId="28220" xr:uid="{00000000-0005-0000-0000-0000066F0000}"/>
    <cellStyle name="Standard 4 4 7 4 3" xfId="28221" xr:uid="{00000000-0005-0000-0000-0000076F0000}"/>
    <cellStyle name="Standard 4 4 7 4 3 2" xfId="28222" xr:uid="{00000000-0005-0000-0000-0000086F0000}"/>
    <cellStyle name="Standard 4 4 7 4 3 3" xfId="28223" xr:uid="{00000000-0005-0000-0000-0000096F0000}"/>
    <cellStyle name="Standard 4 4 7 4 4" xfId="28224" xr:uid="{00000000-0005-0000-0000-00000A6F0000}"/>
    <cellStyle name="Standard 4 4 7 4 4 2" xfId="28225" xr:uid="{00000000-0005-0000-0000-00000B6F0000}"/>
    <cellStyle name="Standard 4 4 7 4 4 3" xfId="28226" xr:uid="{00000000-0005-0000-0000-00000C6F0000}"/>
    <cellStyle name="Standard 4 4 7 4 5" xfId="28227" xr:uid="{00000000-0005-0000-0000-00000D6F0000}"/>
    <cellStyle name="Standard 4 4 7 4 5 2" xfId="28228" xr:uid="{00000000-0005-0000-0000-00000E6F0000}"/>
    <cellStyle name="Standard 4 4 7 4 6" xfId="28229" xr:uid="{00000000-0005-0000-0000-00000F6F0000}"/>
    <cellStyle name="Standard 4 4 7 4 7" xfId="28230" xr:uid="{00000000-0005-0000-0000-0000106F0000}"/>
    <cellStyle name="Standard 4 4 7 5" xfId="28231" xr:uid="{00000000-0005-0000-0000-0000116F0000}"/>
    <cellStyle name="Standard 4 4 7 5 2" xfId="28232" xr:uid="{00000000-0005-0000-0000-0000126F0000}"/>
    <cellStyle name="Standard 4 4 7 5 2 2" xfId="28233" xr:uid="{00000000-0005-0000-0000-0000136F0000}"/>
    <cellStyle name="Standard 4 4 7 5 2 3" xfId="28234" xr:uid="{00000000-0005-0000-0000-0000146F0000}"/>
    <cellStyle name="Standard 4 4 7 5 3" xfId="28235" xr:uid="{00000000-0005-0000-0000-0000156F0000}"/>
    <cellStyle name="Standard 4 4 7 5 3 2" xfId="28236" xr:uid="{00000000-0005-0000-0000-0000166F0000}"/>
    <cellStyle name="Standard 4 4 7 5 3 3" xfId="28237" xr:uid="{00000000-0005-0000-0000-0000176F0000}"/>
    <cellStyle name="Standard 4 4 7 5 4" xfId="28238" xr:uid="{00000000-0005-0000-0000-0000186F0000}"/>
    <cellStyle name="Standard 4 4 7 5 4 2" xfId="28239" xr:uid="{00000000-0005-0000-0000-0000196F0000}"/>
    <cellStyle name="Standard 4 4 7 5 5" xfId="28240" xr:uid="{00000000-0005-0000-0000-00001A6F0000}"/>
    <cellStyle name="Standard 4 4 7 5 6" xfId="28241" xr:uid="{00000000-0005-0000-0000-00001B6F0000}"/>
    <cellStyle name="Standard 4 4 7 6" xfId="28242" xr:uid="{00000000-0005-0000-0000-00001C6F0000}"/>
    <cellStyle name="Standard 4 4 7 6 2" xfId="28243" xr:uid="{00000000-0005-0000-0000-00001D6F0000}"/>
    <cellStyle name="Standard 4 4 7 6 3" xfId="28244" xr:uid="{00000000-0005-0000-0000-00001E6F0000}"/>
    <cellStyle name="Standard 4 4 7 7" xfId="28245" xr:uid="{00000000-0005-0000-0000-00001F6F0000}"/>
    <cellStyle name="Standard 4 4 7 7 2" xfId="28246" xr:uid="{00000000-0005-0000-0000-0000206F0000}"/>
    <cellStyle name="Standard 4 4 7 7 3" xfId="28247" xr:uid="{00000000-0005-0000-0000-0000216F0000}"/>
    <cellStyle name="Standard 4 4 7 8" xfId="28248" xr:uid="{00000000-0005-0000-0000-0000226F0000}"/>
    <cellStyle name="Standard 4 4 7 8 2" xfId="28249" xr:uid="{00000000-0005-0000-0000-0000236F0000}"/>
    <cellStyle name="Standard 4 4 7 9" xfId="28250" xr:uid="{00000000-0005-0000-0000-0000246F0000}"/>
    <cellStyle name="Standard 4 4 8" xfId="28251" xr:uid="{00000000-0005-0000-0000-0000256F0000}"/>
    <cellStyle name="Standard 4 4 8 2" xfId="28252" xr:uid="{00000000-0005-0000-0000-0000266F0000}"/>
    <cellStyle name="Standard 4 4 8 2 2" xfId="28253" xr:uid="{00000000-0005-0000-0000-0000276F0000}"/>
    <cellStyle name="Standard 4 4 8 2 2 2" xfId="28254" xr:uid="{00000000-0005-0000-0000-0000286F0000}"/>
    <cellStyle name="Standard 4 4 8 2 2 2 2" xfId="28255" xr:uid="{00000000-0005-0000-0000-0000296F0000}"/>
    <cellStyle name="Standard 4 4 8 2 2 2 2 2" xfId="28256" xr:uid="{00000000-0005-0000-0000-00002A6F0000}"/>
    <cellStyle name="Standard 4 4 8 2 2 2 2 3" xfId="28257" xr:uid="{00000000-0005-0000-0000-00002B6F0000}"/>
    <cellStyle name="Standard 4 4 8 2 2 2 3" xfId="28258" xr:uid="{00000000-0005-0000-0000-00002C6F0000}"/>
    <cellStyle name="Standard 4 4 8 2 2 2 3 2" xfId="28259" xr:uid="{00000000-0005-0000-0000-00002D6F0000}"/>
    <cellStyle name="Standard 4 4 8 2 2 2 3 3" xfId="28260" xr:uid="{00000000-0005-0000-0000-00002E6F0000}"/>
    <cellStyle name="Standard 4 4 8 2 2 2 4" xfId="28261" xr:uid="{00000000-0005-0000-0000-00002F6F0000}"/>
    <cellStyle name="Standard 4 4 8 2 2 2 4 2" xfId="28262" xr:uid="{00000000-0005-0000-0000-0000306F0000}"/>
    <cellStyle name="Standard 4 4 8 2 2 2 5" xfId="28263" xr:uid="{00000000-0005-0000-0000-0000316F0000}"/>
    <cellStyle name="Standard 4 4 8 2 2 2 6" xfId="28264" xr:uid="{00000000-0005-0000-0000-0000326F0000}"/>
    <cellStyle name="Standard 4 4 8 2 2 3" xfId="28265" xr:uid="{00000000-0005-0000-0000-0000336F0000}"/>
    <cellStyle name="Standard 4 4 8 2 2 3 2" xfId="28266" xr:uid="{00000000-0005-0000-0000-0000346F0000}"/>
    <cellStyle name="Standard 4 4 8 2 2 3 3" xfId="28267" xr:uid="{00000000-0005-0000-0000-0000356F0000}"/>
    <cellStyle name="Standard 4 4 8 2 2 4" xfId="28268" xr:uid="{00000000-0005-0000-0000-0000366F0000}"/>
    <cellStyle name="Standard 4 4 8 2 2 4 2" xfId="28269" xr:uid="{00000000-0005-0000-0000-0000376F0000}"/>
    <cellStyle name="Standard 4 4 8 2 2 4 3" xfId="28270" xr:uid="{00000000-0005-0000-0000-0000386F0000}"/>
    <cellStyle name="Standard 4 4 8 2 2 5" xfId="28271" xr:uid="{00000000-0005-0000-0000-0000396F0000}"/>
    <cellStyle name="Standard 4 4 8 2 2 5 2" xfId="28272" xr:uid="{00000000-0005-0000-0000-00003A6F0000}"/>
    <cellStyle name="Standard 4 4 8 2 2 6" xfId="28273" xr:uid="{00000000-0005-0000-0000-00003B6F0000}"/>
    <cellStyle name="Standard 4 4 8 2 2 7" xfId="28274" xr:uid="{00000000-0005-0000-0000-00003C6F0000}"/>
    <cellStyle name="Standard 4 4 8 2 3" xfId="28275" xr:uid="{00000000-0005-0000-0000-00003D6F0000}"/>
    <cellStyle name="Standard 4 4 8 2 3 2" xfId="28276" xr:uid="{00000000-0005-0000-0000-00003E6F0000}"/>
    <cellStyle name="Standard 4 4 8 2 3 2 2" xfId="28277" xr:uid="{00000000-0005-0000-0000-00003F6F0000}"/>
    <cellStyle name="Standard 4 4 8 2 3 2 3" xfId="28278" xr:uid="{00000000-0005-0000-0000-0000406F0000}"/>
    <cellStyle name="Standard 4 4 8 2 3 3" xfId="28279" xr:uid="{00000000-0005-0000-0000-0000416F0000}"/>
    <cellStyle name="Standard 4 4 8 2 3 3 2" xfId="28280" xr:uid="{00000000-0005-0000-0000-0000426F0000}"/>
    <cellStyle name="Standard 4 4 8 2 3 3 3" xfId="28281" xr:uid="{00000000-0005-0000-0000-0000436F0000}"/>
    <cellStyle name="Standard 4 4 8 2 3 4" xfId="28282" xr:uid="{00000000-0005-0000-0000-0000446F0000}"/>
    <cellStyle name="Standard 4 4 8 2 3 4 2" xfId="28283" xr:uid="{00000000-0005-0000-0000-0000456F0000}"/>
    <cellStyle name="Standard 4 4 8 2 3 5" xfId="28284" xr:uid="{00000000-0005-0000-0000-0000466F0000}"/>
    <cellStyle name="Standard 4 4 8 2 3 6" xfId="28285" xr:uid="{00000000-0005-0000-0000-0000476F0000}"/>
    <cellStyle name="Standard 4 4 8 2 4" xfId="28286" xr:uid="{00000000-0005-0000-0000-0000486F0000}"/>
    <cellStyle name="Standard 4 4 8 2 4 2" xfId="28287" xr:uid="{00000000-0005-0000-0000-0000496F0000}"/>
    <cellStyle name="Standard 4 4 8 2 4 3" xfId="28288" xr:uid="{00000000-0005-0000-0000-00004A6F0000}"/>
    <cellStyle name="Standard 4 4 8 2 5" xfId="28289" xr:uid="{00000000-0005-0000-0000-00004B6F0000}"/>
    <cellStyle name="Standard 4 4 8 2 5 2" xfId="28290" xr:uid="{00000000-0005-0000-0000-00004C6F0000}"/>
    <cellStyle name="Standard 4 4 8 2 5 3" xfId="28291" xr:uid="{00000000-0005-0000-0000-00004D6F0000}"/>
    <cellStyle name="Standard 4 4 8 2 6" xfId="28292" xr:uid="{00000000-0005-0000-0000-00004E6F0000}"/>
    <cellStyle name="Standard 4 4 8 2 6 2" xfId="28293" xr:uid="{00000000-0005-0000-0000-00004F6F0000}"/>
    <cellStyle name="Standard 4 4 8 2 7" xfId="28294" xr:uid="{00000000-0005-0000-0000-0000506F0000}"/>
    <cellStyle name="Standard 4 4 8 2 8" xfId="28295" xr:uid="{00000000-0005-0000-0000-0000516F0000}"/>
    <cellStyle name="Standard 4 4 8 3" xfId="28296" xr:uid="{00000000-0005-0000-0000-0000526F0000}"/>
    <cellStyle name="Standard 4 4 8 3 2" xfId="28297" xr:uid="{00000000-0005-0000-0000-0000536F0000}"/>
    <cellStyle name="Standard 4 4 8 3 2 2" xfId="28298" xr:uid="{00000000-0005-0000-0000-0000546F0000}"/>
    <cellStyle name="Standard 4 4 8 3 2 2 2" xfId="28299" xr:uid="{00000000-0005-0000-0000-0000556F0000}"/>
    <cellStyle name="Standard 4 4 8 3 2 2 3" xfId="28300" xr:uid="{00000000-0005-0000-0000-0000566F0000}"/>
    <cellStyle name="Standard 4 4 8 3 2 3" xfId="28301" xr:uid="{00000000-0005-0000-0000-0000576F0000}"/>
    <cellStyle name="Standard 4 4 8 3 2 3 2" xfId="28302" xr:uid="{00000000-0005-0000-0000-0000586F0000}"/>
    <cellStyle name="Standard 4 4 8 3 2 3 3" xfId="28303" xr:uid="{00000000-0005-0000-0000-0000596F0000}"/>
    <cellStyle name="Standard 4 4 8 3 2 4" xfId="28304" xr:uid="{00000000-0005-0000-0000-00005A6F0000}"/>
    <cellStyle name="Standard 4 4 8 3 2 4 2" xfId="28305" xr:uid="{00000000-0005-0000-0000-00005B6F0000}"/>
    <cellStyle name="Standard 4 4 8 3 2 5" xfId="28306" xr:uid="{00000000-0005-0000-0000-00005C6F0000}"/>
    <cellStyle name="Standard 4 4 8 3 2 6" xfId="28307" xr:uid="{00000000-0005-0000-0000-00005D6F0000}"/>
    <cellStyle name="Standard 4 4 8 3 3" xfId="28308" xr:uid="{00000000-0005-0000-0000-00005E6F0000}"/>
    <cellStyle name="Standard 4 4 8 3 3 2" xfId="28309" xr:uid="{00000000-0005-0000-0000-00005F6F0000}"/>
    <cellStyle name="Standard 4 4 8 3 3 3" xfId="28310" xr:uid="{00000000-0005-0000-0000-0000606F0000}"/>
    <cellStyle name="Standard 4 4 8 3 4" xfId="28311" xr:uid="{00000000-0005-0000-0000-0000616F0000}"/>
    <cellStyle name="Standard 4 4 8 3 4 2" xfId="28312" xr:uid="{00000000-0005-0000-0000-0000626F0000}"/>
    <cellStyle name="Standard 4 4 8 3 4 3" xfId="28313" xr:uid="{00000000-0005-0000-0000-0000636F0000}"/>
    <cellStyle name="Standard 4 4 8 3 5" xfId="28314" xr:uid="{00000000-0005-0000-0000-0000646F0000}"/>
    <cellStyle name="Standard 4 4 8 3 5 2" xfId="28315" xr:uid="{00000000-0005-0000-0000-0000656F0000}"/>
    <cellStyle name="Standard 4 4 8 3 6" xfId="28316" xr:uid="{00000000-0005-0000-0000-0000666F0000}"/>
    <cellStyle name="Standard 4 4 8 3 7" xfId="28317" xr:uid="{00000000-0005-0000-0000-0000676F0000}"/>
    <cellStyle name="Standard 4 4 8 4" xfId="28318" xr:uid="{00000000-0005-0000-0000-0000686F0000}"/>
    <cellStyle name="Standard 4 4 8 4 2" xfId="28319" xr:uid="{00000000-0005-0000-0000-0000696F0000}"/>
    <cellStyle name="Standard 4 4 8 4 2 2" xfId="28320" xr:uid="{00000000-0005-0000-0000-00006A6F0000}"/>
    <cellStyle name="Standard 4 4 8 4 2 3" xfId="28321" xr:uid="{00000000-0005-0000-0000-00006B6F0000}"/>
    <cellStyle name="Standard 4 4 8 4 3" xfId="28322" xr:uid="{00000000-0005-0000-0000-00006C6F0000}"/>
    <cellStyle name="Standard 4 4 8 4 3 2" xfId="28323" xr:uid="{00000000-0005-0000-0000-00006D6F0000}"/>
    <cellStyle name="Standard 4 4 8 4 3 3" xfId="28324" xr:uid="{00000000-0005-0000-0000-00006E6F0000}"/>
    <cellStyle name="Standard 4 4 8 4 4" xfId="28325" xr:uid="{00000000-0005-0000-0000-00006F6F0000}"/>
    <cellStyle name="Standard 4 4 8 4 4 2" xfId="28326" xr:uid="{00000000-0005-0000-0000-0000706F0000}"/>
    <cellStyle name="Standard 4 4 8 4 5" xfId="28327" xr:uid="{00000000-0005-0000-0000-0000716F0000}"/>
    <cellStyle name="Standard 4 4 8 4 6" xfId="28328" xr:uid="{00000000-0005-0000-0000-0000726F0000}"/>
    <cellStyle name="Standard 4 4 8 5" xfId="28329" xr:uid="{00000000-0005-0000-0000-0000736F0000}"/>
    <cellStyle name="Standard 4 4 8 5 2" xfId="28330" xr:uid="{00000000-0005-0000-0000-0000746F0000}"/>
    <cellStyle name="Standard 4 4 8 5 3" xfId="28331" xr:uid="{00000000-0005-0000-0000-0000756F0000}"/>
    <cellStyle name="Standard 4 4 8 6" xfId="28332" xr:uid="{00000000-0005-0000-0000-0000766F0000}"/>
    <cellStyle name="Standard 4 4 8 6 2" xfId="28333" xr:uid="{00000000-0005-0000-0000-0000776F0000}"/>
    <cellStyle name="Standard 4 4 8 6 3" xfId="28334" xr:uid="{00000000-0005-0000-0000-0000786F0000}"/>
    <cellStyle name="Standard 4 4 8 7" xfId="28335" xr:uid="{00000000-0005-0000-0000-0000796F0000}"/>
    <cellStyle name="Standard 4 4 8 7 2" xfId="28336" xr:uid="{00000000-0005-0000-0000-00007A6F0000}"/>
    <cellStyle name="Standard 4 4 8 8" xfId="28337" xr:uid="{00000000-0005-0000-0000-00007B6F0000}"/>
    <cellStyle name="Standard 4 4 8 9" xfId="28338" xr:uid="{00000000-0005-0000-0000-00007C6F0000}"/>
    <cellStyle name="Standard 4 4 9" xfId="28339" xr:uid="{00000000-0005-0000-0000-00007D6F0000}"/>
    <cellStyle name="Standard 4 4 9 2" xfId="28340" xr:uid="{00000000-0005-0000-0000-00007E6F0000}"/>
    <cellStyle name="Standard 4 4 9 2 2" xfId="28341" xr:uid="{00000000-0005-0000-0000-00007F6F0000}"/>
    <cellStyle name="Standard 4 4 9 2 2 2" xfId="28342" xr:uid="{00000000-0005-0000-0000-0000806F0000}"/>
    <cellStyle name="Standard 4 4 9 2 2 2 2" xfId="28343" xr:uid="{00000000-0005-0000-0000-0000816F0000}"/>
    <cellStyle name="Standard 4 4 9 2 2 2 3" xfId="28344" xr:uid="{00000000-0005-0000-0000-0000826F0000}"/>
    <cellStyle name="Standard 4 4 9 2 2 3" xfId="28345" xr:uid="{00000000-0005-0000-0000-0000836F0000}"/>
    <cellStyle name="Standard 4 4 9 2 2 3 2" xfId="28346" xr:uid="{00000000-0005-0000-0000-0000846F0000}"/>
    <cellStyle name="Standard 4 4 9 2 2 3 3" xfId="28347" xr:uid="{00000000-0005-0000-0000-0000856F0000}"/>
    <cellStyle name="Standard 4 4 9 2 2 4" xfId="28348" xr:uid="{00000000-0005-0000-0000-0000866F0000}"/>
    <cellStyle name="Standard 4 4 9 2 2 4 2" xfId="28349" xr:uid="{00000000-0005-0000-0000-0000876F0000}"/>
    <cellStyle name="Standard 4 4 9 2 2 5" xfId="28350" xr:uid="{00000000-0005-0000-0000-0000886F0000}"/>
    <cellStyle name="Standard 4 4 9 2 2 6" xfId="28351" xr:uid="{00000000-0005-0000-0000-0000896F0000}"/>
    <cellStyle name="Standard 4 4 9 2 3" xfId="28352" xr:uid="{00000000-0005-0000-0000-00008A6F0000}"/>
    <cellStyle name="Standard 4 4 9 2 3 2" xfId="28353" xr:uid="{00000000-0005-0000-0000-00008B6F0000}"/>
    <cellStyle name="Standard 4 4 9 2 3 3" xfId="28354" xr:uid="{00000000-0005-0000-0000-00008C6F0000}"/>
    <cellStyle name="Standard 4 4 9 2 4" xfId="28355" xr:uid="{00000000-0005-0000-0000-00008D6F0000}"/>
    <cellStyle name="Standard 4 4 9 2 4 2" xfId="28356" xr:uid="{00000000-0005-0000-0000-00008E6F0000}"/>
    <cellStyle name="Standard 4 4 9 2 4 3" xfId="28357" xr:uid="{00000000-0005-0000-0000-00008F6F0000}"/>
    <cellStyle name="Standard 4 4 9 2 5" xfId="28358" xr:uid="{00000000-0005-0000-0000-0000906F0000}"/>
    <cellStyle name="Standard 4 4 9 2 5 2" xfId="28359" xr:uid="{00000000-0005-0000-0000-0000916F0000}"/>
    <cellStyle name="Standard 4 4 9 2 6" xfId="28360" xr:uid="{00000000-0005-0000-0000-0000926F0000}"/>
    <cellStyle name="Standard 4 4 9 2 7" xfId="28361" xr:uid="{00000000-0005-0000-0000-0000936F0000}"/>
    <cellStyle name="Standard 4 4 9 3" xfId="28362" xr:uid="{00000000-0005-0000-0000-0000946F0000}"/>
    <cellStyle name="Standard 4 4 9 3 2" xfId="28363" xr:uid="{00000000-0005-0000-0000-0000956F0000}"/>
    <cellStyle name="Standard 4 4 9 3 2 2" xfId="28364" xr:uid="{00000000-0005-0000-0000-0000966F0000}"/>
    <cellStyle name="Standard 4 4 9 3 2 3" xfId="28365" xr:uid="{00000000-0005-0000-0000-0000976F0000}"/>
    <cellStyle name="Standard 4 4 9 3 3" xfId="28366" xr:uid="{00000000-0005-0000-0000-0000986F0000}"/>
    <cellStyle name="Standard 4 4 9 3 3 2" xfId="28367" xr:uid="{00000000-0005-0000-0000-0000996F0000}"/>
    <cellStyle name="Standard 4 4 9 3 3 3" xfId="28368" xr:uid="{00000000-0005-0000-0000-00009A6F0000}"/>
    <cellStyle name="Standard 4 4 9 3 4" xfId="28369" xr:uid="{00000000-0005-0000-0000-00009B6F0000}"/>
    <cellStyle name="Standard 4 4 9 3 4 2" xfId="28370" xr:uid="{00000000-0005-0000-0000-00009C6F0000}"/>
    <cellStyle name="Standard 4 4 9 3 5" xfId="28371" xr:uid="{00000000-0005-0000-0000-00009D6F0000}"/>
    <cellStyle name="Standard 4 4 9 3 6" xfId="28372" xr:uid="{00000000-0005-0000-0000-00009E6F0000}"/>
    <cellStyle name="Standard 4 4 9 4" xfId="28373" xr:uid="{00000000-0005-0000-0000-00009F6F0000}"/>
    <cellStyle name="Standard 4 4 9 4 2" xfId="28374" xr:uid="{00000000-0005-0000-0000-0000A06F0000}"/>
    <cellStyle name="Standard 4 4 9 4 3" xfId="28375" xr:uid="{00000000-0005-0000-0000-0000A16F0000}"/>
    <cellStyle name="Standard 4 4 9 5" xfId="28376" xr:uid="{00000000-0005-0000-0000-0000A26F0000}"/>
    <cellStyle name="Standard 4 4 9 5 2" xfId="28377" xr:uid="{00000000-0005-0000-0000-0000A36F0000}"/>
    <cellStyle name="Standard 4 4 9 5 3" xfId="28378" xr:uid="{00000000-0005-0000-0000-0000A46F0000}"/>
    <cellStyle name="Standard 4 4 9 6" xfId="28379" xr:uid="{00000000-0005-0000-0000-0000A56F0000}"/>
    <cellStyle name="Standard 4 4 9 6 2" xfId="28380" xr:uid="{00000000-0005-0000-0000-0000A66F0000}"/>
    <cellStyle name="Standard 4 4 9 7" xfId="28381" xr:uid="{00000000-0005-0000-0000-0000A76F0000}"/>
    <cellStyle name="Standard 4 4 9 8" xfId="28382" xr:uid="{00000000-0005-0000-0000-0000A86F0000}"/>
    <cellStyle name="Standard 4 5" xfId="590" xr:uid="{00000000-0005-0000-0000-0000A96F0000}"/>
    <cellStyle name="Standard 4 5 10" xfId="28383" xr:uid="{00000000-0005-0000-0000-0000AA6F0000}"/>
    <cellStyle name="Standard 4 5 10 2" xfId="28384" xr:uid="{00000000-0005-0000-0000-0000AB6F0000}"/>
    <cellStyle name="Standard 4 5 10 3" xfId="28385" xr:uid="{00000000-0005-0000-0000-0000AC6F0000}"/>
    <cellStyle name="Standard 4 5 11" xfId="28386" xr:uid="{00000000-0005-0000-0000-0000AD6F0000}"/>
    <cellStyle name="Standard 4 5 11 2" xfId="28387" xr:uid="{00000000-0005-0000-0000-0000AE6F0000}"/>
    <cellStyle name="Standard 4 5 11 3" xfId="28388" xr:uid="{00000000-0005-0000-0000-0000AF6F0000}"/>
    <cellStyle name="Standard 4 5 12" xfId="28389" xr:uid="{00000000-0005-0000-0000-0000B06F0000}"/>
    <cellStyle name="Standard 4 5 12 2" xfId="28390" xr:uid="{00000000-0005-0000-0000-0000B16F0000}"/>
    <cellStyle name="Standard 4 5 13" xfId="28391" xr:uid="{00000000-0005-0000-0000-0000B26F0000}"/>
    <cellStyle name="Standard 4 5 14" xfId="28392" xr:uid="{00000000-0005-0000-0000-0000B36F0000}"/>
    <cellStyle name="Standard 4 5 15" xfId="33470" xr:uid="{00000000-0005-0000-0000-0000B46F0000}"/>
    <cellStyle name="Standard 4 5 2" xfId="591" xr:uid="{00000000-0005-0000-0000-0000B56F0000}"/>
    <cellStyle name="Standard 4 5 2 10" xfId="28393" xr:uid="{00000000-0005-0000-0000-0000B66F0000}"/>
    <cellStyle name="Standard 4 5 2 10 2" xfId="28394" xr:uid="{00000000-0005-0000-0000-0000B76F0000}"/>
    <cellStyle name="Standard 4 5 2 11" xfId="28395" xr:uid="{00000000-0005-0000-0000-0000B86F0000}"/>
    <cellStyle name="Standard 4 5 2 12" xfId="28396" xr:uid="{00000000-0005-0000-0000-0000B96F0000}"/>
    <cellStyle name="Standard 4 5 2 13" xfId="33471" xr:uid="{00000000-0005-0000-0000-0000BA6F0000}"/>
    <cellStyle name="Standard 4 5 2 2" xfId="28397" xr:uid="{00000000-0005-0000-0000-0000BB6F0000}"/>
    <cellStyle name="Standard 4 5 2 2 10" xfId="28398" xr:uid="{00000000-0005-0000-0000-0000BC6F0000}"/>
    <cellStyle name="Standard 4 5 2 2 11" xfId="28399" xr:uid="{00000000-0005-0000-0000-0000BD6F0000}"/>
    <cellStyle name="Standard 4 5 2 2 12" xfId="33472" xr:uid="{00000000-0005-0000-0000-0000BE6F0000}"/>
    <cellStyle name="Standard 4 5 2 2 2" xfId="28400" xr:uid="{00000000-0005-0000-0000-0000BF6F0000}"/>
    <cellStyle name="Standard 4 5 2 2 2 10" xfId="28401" xr:uid="{00000000-0005-0000-0000-0000C06F0000}"/>
    <cellStyle name="Standard 4 5 2 2 2 2" xfId="28402" xr:uid="{00000000-0005-0000-0000-0000C16F0000}"/>
    <cellStyle name="Standard 4 5 2 2 2 2 2" xfId="28403" xr:uid="{00000000-0005-0000-0000-0000C26F0000}"/>
    <cellStyle name="Standard 4 5 2 2 2 2 2 2" xfId="28404" xr:uid="{00000000-0005-0000-0000-0000C36F0000}"/>
    <cellStyle name="Standard 4 5 2 2 2 2 2 2 2" xfId="28405" xr:uid="{00000000-0005-0000-0000-0000C46F0000}"/>
    <cellStyle name="Standard 4 5 2 2 2 2 2 2 2 2" xfId="28406" xr:uid="{00000000-0005-0000-0000-0000C56F0000}"/>
    <cellStyle name="Standard 4 5 2 2 2 2 2 2 2 3" xfId="28407" xr:uid="{00000000-0005-0000-0000-0000C66F0000}"/>
    <cellStyle name="Standard 4 5 2 2 2 2 2 2 3" xfId="28408" xr:uid="{00000000-0005-0000-0000-0000C76F0000}"/>
    <cellStyle name="Standard 4 5 2 2 2 2 2 2 3 2" xfId="28409" xr:uid="{00000000-0005-0000-0000-0000C86F0000}"/>
    <cellStyle name="Standard 4 5 2 2 2 2 2 2 3 3" xfId="28410" xr:uid="{00000000-0005-0000-0000-0000C96F0000}"/>
    <cellStyle name="Standard 4 5 2 2 2 2 2 2 4" xfId="28411" xr:uid="{00000000-0005-0000-0000-0000CA6F0000}"/>
    <cellStyle name="Standard 4 5 2 2 2 2 2 2 4 2" xfId="28412" xr:uid="{00000000-0005-0000-0000-0000CB6F0000}"/>
    <cellStyle name="Standard 4 5 2 2 2 2 2 2 5" xfId="28413" xr:uid="{00000000-0005-0000-0000-0000CC6F0000}"/>
    <cellStyle name="Standard 4 5 2 2 2 2 2 2 6" xfId="28414" xr:uid="{00000000-0005-0000-0000-0000CD6F0000}"/>
    <cellStyle name="Standard 4 5 2 2 2 2 2 3" xfId="28415" xr:uid="{00000000-0005-0000-0000-0000CE6F0000}"/>
    <cellStyle name="Standard 4 5 2 2 2 2 2 3 2" xfId="28416" xr:uid="{00000000-0005-0000-0000-0000CF6F0000}"/>
    <cellStyle name="Standard 4 5 2 2 2 2 2 3 3" xfId="28417" xr:uid="{00000000-0005-0000-0000-0000D06F0000}"/>
    <cellStyle name="Standard 4 5 2 2 2 2 2 4" xfId="28418" xr:uid="{00000000-0005-0000-0000-0000D16F0000}"/>
    <cellStyle name="Standard 4 5 2 2 2 2 2 4 2" xfId="28419" xr:uid="{00000000-0005-0000-0000-0000D26F0000}"/>
    <cellStyle name="Standard 4 5 2 2 2 2 2 4 3" xfId="28420" xr:uid="{00000000-0005-0000-0000-0000D36F0000}"/>
    <cellStyle name="Standard 4 5 2 2 2 2 2 5" xfId="28421" xr:uid="{00000000-0005-0000-0000-0000D46F0000}"/>
    <cellStyle name="Standard 4 5 2 2 2 2 2 5 2" xfId="28422" xr:uid="{00000000-0005-0000-0000-0000D56F0000}"/>
    <cellStyle name="Standard 4 5 2 2 2 2 2 6" xfId="28423" xr:uid="{00000000-0005-0000-0000-0000D66F0000}"/>
    <cellStyle name="Standard 4 5 2 2 2 2 2 7" xfId="28424" xr:uid="{00000000-0005-0000-0000-0000D76F0000}"/>
    <cellStyle name="Standard 4 5 2 2 2 2 3" xfId="28425" xr:uid="{00000000-0005-0000-0000-0000D86F0000}"/>
    <cellStyle name="Standard 4 5 2 2 2 2 3 2" xfId="28426" xr:uid="{00000000-0005-0000-0000-0000D96F0000}"/>
    <cellStyle name="Standard 4 5 2 2 2 2 3 2 2" xfId="28427" xr:uid="{00000000-0005-0000-0000-0000DA6F0000}"/>
    <cellStyle name="Standard 4 5 2 2 2 2 3 2 3" xfId="28428" xr:uid="{00000000-0005-0000-0000-0000DB6F0000}"/>
    <cellStyle name="Standard 4 5 2 2 2 2 3 3" xfId="28429" xr:uid="{00000000-0005-0000-0000-0000DC6F0000}"/>
    <cellStyle name="Standard 4 5 2 2 2 2 3 3 2" xfId="28430" xr:uid="{00000000-0005-0000-0000-0000DD6F0000}"/>
    <cellStyle name="Standard 4 5 2 2 2 2 3 3 3" xfId="28431" xr:uid="{00000000-0005-0000-0000-0000DE6F0000}"/>
    <cellStyle name="Standard 4 5 2 2 2 2 3 4" xfId="28432" xr:uid="{00000000-0005-0000-0000-0000DF6F0000}"/>
    <cellStyle name="Standard 4 5 2 2 2 2 3 4 2" xfId="28433" xr:uid="{00000000-0005-0000-0000-0000E06F0000}"/>
    <cellStyle name="Standard 4 5 2 2 2 2 3 5" xfId="28434" xr:uid="{00000000-0005-0000-0000-0000E16F0000}"/>
    <cellStyle name="Standard 4 5 2 2 2 2 3 6" xfId="28435" xr:uid="{00000000-0005-0000-0000-0000E26F0000}"/>
    <cellStyle name="Standard 4 5 2 2 2 2 4" xfId="28436" xr:uid="{00000000-0005-0000-0000-0000E36F0000}"/>
    <cellStyle name="Standard 4 5 2 2 2 2 4 2" xfId="28437" xr:uid="{00000000-0005-0000-0000-0000E46F0000}"/>
    <cellStyle name="Standard 4 5 2 2 2 2 4 3" xfId="28438" xr:uid="{00000000-0005-0000-0000-0000E56F0000}"/>
    <cellStyle name="Standard 4 5 2 2 2 2 5" xfId="28439" xr:uid="{00000000-0005-0000-0000-0000E66F0000}"/>
    <cellStyle name="Standard 4 5 2 2 2 2 5 2" xfId="28440" xr:uid="{00000000-0005-0000-0000-0000E76F0000}"/>
    <cellStyle name="Standard 4 5 2 2 2 2 5 3" xfId="28441" xr:uid="{00000000-0005-0000-0000-0000E86F0000}"/>
    <cellStyle name="Standard 4 5 2 2 2 2 6" xfId="28442" xr:uid="{00000000-0005-0000-0000-0000E96F0000}"/>
    <cellStyle name="Standard 4 5 2 2 2 2 6 2" xfId="28443" xr:uid="{00000000-0005-0000-0000-0000EA6F0000}"/>
    <cellStyle name="Standard 4 5 2 2 2 2 7" xfId="28444" xr:uid="{00000000-0005-0000-0000-0000EB6F0000}"/>
    <cellStyle name="Standard 4 5 2 2 2 2 8" xfId="28445" xr:uid="{00000000-0005-0000-0000-0000EC6F0000}"/>
    <cellStyle name="Standard 4 5 2 2 2 3" xfId="28446" xr:uid="{00000000-0005-0000-0000-0000ED6F0000}"/>
    <cellStyle name="Standard 4 5 2 2 2 3 2" xfId="28447" xr:uid="{00000000-0005-0000-0000-0000EE6F0000}"/>
    <cellStyle name="Standard 4 5 2 2 2 3 2 2" xfId="28448" xr:uid="{00000000-0005-0000-0000-0000EF6F0000}"/>
    <cellStyle name="Standard 4 5 2 2 2 3 2 2 2" xfId="28449" xr:uid="{00000000-0005-0000-0000-0000F06F0000}"/>
    <cellStyle name="Standard 4 5 2 2 2 3 2 2 2 2" xfId="28450" xr:uid="{00000000-0005-0000-0000-0000F16F0000}"/>
    <cellStyle name="Standard 4 5 2 2 2 3 2 2 2 3" xfId="28451" xr:uid="{00000000-0005-0000-0000-0000F26F0000}"/>
    <cellStyle name="Standard 4 5 2 2 2 3 2 2 3" xfId="28452" xr:uid="{00000000-0005-0000-0000-0000F36F0000}"/>
    <cellStyle name="Standard 4 5 2 2 2 3 2 2 3 2" xfId="28453" xr:uid="{00000000-0005-0000-0000-0000F46F0000}"/>
    <cellStyle name="Standard 4 5 2 2 2 3 2 2 3 3" xfId="28454" xr:uid="{00000000-0005-0000-0000-0000F56F0000}"/>
    <cellStyle name="Standard 4 5 2 2 2 3 2 2 4" xfId="28455" xr:uid="{00000000-0005-0000-0000-0000F66F0000}"/>
    <cellStyle name="Standard 4 5 2 2 2 3 2 2 4 2" xfId="28456" xr:uid="{00000000-0005-0000-0000-0000F76F0000}"/>
    <cellStyle name="Standard 4 5 2 2 2 3 2 2 5" xfId="28457" xr:uid="{00000000-0005-0000-0000-0000F86F0000}"/>
    <cellStyle name="Standard 4 5 2 2 2 3 2 2 6" xfId="28458" xr:uid="{00000000-0005-0000-0000-0000F96F0000}"/>
    <cellStyle name="Standard 4 5 2 2 2 3 2 3" xfId="28459" xr:uid="{00000000-0005-0000-0000-0000FA6F0000}"/>
    <cellStyle name="Standard 4 5 2 2 2 3 2 3 2" xfId="28460" xr:uid="{00000000-0005-0000-0000-0000FB6F0000}"/>
    <cellStyle name="Standard 4 5 2 2 2 3 2 3 3" xfId="28461" xr:uid="{00000000-0005-0000-0000-0000FC6F0000}"/>
    <cellStyle name="Standard 4 5 2 2 2 3 2 4" xfId="28462" xr:uid="{00000000-0005-0000-0000-0000FD6F0000}"/>
    <cellStyle name="Standard 4 5 2 2 2 3 2 4 2" xfId="28463" xr:uid="{00000000-0005-0000-0000-0000FE6F0000}"/>
    <cellStyle name="Standard 4 5 2 2 2 3 2 4 3" xfId="28464" xr:uid="{00000000-0005-0000-0000-0000FF6F0000}"/>
    <cellStyle name="Standard 4 5 2 2 2 3 2 5" xfId="28465" xr:uid="{00000000-0005-0000-0000-000000700000}"/>
    <cellStyle name="Standard 4 5 2 2 2 3 2 5 2" xfId="28466" xr:uid="{00000000-0005-0000-0000-000001700000}"/>
    <cellStyle name="Standard 4 5 2 2 2 3 2 6" xfId="28467" xr:uid="{00000000-0005-0000-0000-000002700000}"/>
    <cellStyle name="Standard 4 5 2 2 2 3 2 7" xfId="28468" xr:uid="{00000000-0005-0000-0000-000003700000}"/>
    <cellStyle name="Standard 4 5 2 2 2 3 3" xfId="28469" xr:uid="{00000000-0005-0000-0000-000004700000}"/>
    <cellStyle name="Standard 4 5 2 2 2 3 3 2" xfId="28470" xr:uid="{00000000-0005-0000-0000-000005700000}"/>
    <cellStyle name="Standard 4 5 2 2 2 3 3 2 2" xfId="28471" xr:uid="{00000000-0005-0000-0000-000006700000}"/>
    <cellStyle name="Standard 4 5 2 2 2 3 3 2 3" xfId="28472" xr:uid="{00000000-0005-0000-0000-000007700000}"/>
    <cellStyle name="Standard 4 5 2 2 2 3 3 3" xfId="28473" xr:uid="{00000000-0005-0000-0000-000008700000}"/>
    <cellStyle name="Standard 4 5 2 2 2 3 3 3 2" xfId="28474" xr:uid="{00000000-0005-0000-0000-000009700000}"/>
    <cellStyle name="Standard 4 5 2 2 2 3 3 3 3" xfId="28475" xr:uid="{00000000-0005-0000-0000-00000A700000}"/>
    <cellStyle name="Standard 4 5 2 2 2 3 3 4" xfId="28476" xr:uid="{00000000-0005-0000-0000-00000B700000}"/>
    <cellStyle name="Standard 4 5 2 2 2 3 3 4 2" xfId="28477" xr:uid="{00000000-0005-0000-0000-00000C700000}"/>
    <cellStyle name="Standard 4 5 2 2 2 3 3 5" xfId="28478" xr:uid="{00000000-0005-0000-0000-00000D700000}"/>
    <cellStyle name="Standard 4 5 2 2 2 3 3 6" xfId="28479" xr:uid="{00000000-0005-0000-0000-00000E700000}"/>
    <cellStyle name="Standard 4 5 2 2 2 3 4" xfId="28480" xr:uid="{00000000-0005-0000-0000-00000F700000}"/>
    <cellStyle name="Standard 4 5 2 2 2 3 4 2" xfId="28481" xr:uid="{00000000-0005-0000-0000-000010700000}"/>
    <cellStyle name="Standard 4 5 2 2 2 3 4 3" xfId="28482" xr:uid="{00000000-0005-0000-0000-000011700000}"/>
    <cellStyle name="Standard 4 5 2 2 2 3 5" xfId="28483" xr:uid="{00000000-0005-0000-0000-000012700000}"/>
    <cellStyle name="Standard 4 5 2 2 2 3 5 2" xfId="28484" xr:uid="{00000000-0005-0000-0000-000013700000}"/>
    <cellStyle name="Standard 4 5 2 2 2 3 5 3" xfId="28485" xr:uid="{00000000-0005-0000-0000-000014700000}"/>
    <cellStyle name="Standard 4 5 2 2 2 3 6" xfId="28486" xr:uid="{00000000-0005-0000-0000-000015700000}"/>
    <cellStyle name="Standard 4 5 2 2 2 3 6 2" xfId="28487" xr:uid="{00000000-0005-0000-0000-000016700000}"/>
    <cellStyle name="Standard 4 5 2 2 2 3 7" xfId="28488" xr:uid="{00000000-0005-0000-0000-000017700000}"/>
    <cellStyle name="Standard 4 5 2 2 2 3 8" xfId="28489" xr:uid="{00000000-0005-0000-0000-000018700000}"/>
    <cellStyle name="Standard 4 5 2 2 2 4" xfId="28490" xr:uid="{00000000-0005-0000-0000-000019700000}"/>
    <cellStyle name="Standard 4 5 2 2 2 4 2" xfId="28491" xr:uid="{00000000-0005-0000-0000-00001A700000}"/>
    <cellStyle name="Standard 4 5 2 2 2 4 2 2" xfId="28492" xr:uid="{00000000-0005-0000-0000-00001B700000}"/>
    <cellStyle name="Standard 4 5 2 2 2 4 2 2 2" xfId="28493" xr:uid="{00000000-0005-0000-0000-00001C700000}"/>
    <cellStyle name="Standard 4 5 2 2 2 4 2 2 3" xfId="28494" xr:uid="{00000000-0005-0000-0000-00001D700000}"/>
    <cellStyle name="Standard 4 5 2 2 2 4 2 3" xfId="28495" xr:uid="{00000000-0005-0000-0000-00001E700000}"/>
    <cellStyle name="Standard 4 5 2 2 2 4 2 3 2" xfId="28496" xr:uid="{00000000-0005-0000-0000-00001F700000}"/>
    <cellStyle name="Standard 4 5 2 2 2 4 2 3 3" xfId="28497" xr:uid="{00000000-0005-0000-0000-000020700000}"/>
    <cellStyle name="Standard 4 5 2 2 2 4 2 4" xfId="28498" xr:uid="{00000000-0005-0000-0000-000021700000}"/>
    <cellStyle name="Standard 4 5 2 2 2 4 2 4 2" xfId="28499" xr:uid="{00000000-0005-0000-0000-000022700000}"/>
    <cellStyle name="Standard 4 5 2 2 2 4 2 5" xfId="28500" xr:uid="{00000000-0005-0000-0000-000023700000}"/>
    <cellStyle name="Standard 4 5 2 2 2 4 2 6" xfId="28501" xr:uid="{00000000-0005-0000-0000-000024700000}"/>
    <cellStyle name="Standard 4 5 2 2 2 4 3" xfId="28502" xr:uid="{00000000-0005-0000-0000-000025700000}"/>
    <cellStyle name="Standard 4 5 2 2 2 4 3 2" xfId="28503" xr:uid="{00000000-0005-0000-0000-000026700000}"/>
    <cellStyle name="Standard 4 5 2 2 2 4 3 3" xfId="28504" xr:uid="{00000000-0005-0000-0000-000027700000}"/>
    <cellStyle name="Standard 4 5 2 2 2 4 4" xfId="28505" xr:uid="{00000000-0005-0000-0000-000028700000}"/>
    <cellStyle name="Standard 4 5 2 2 2 4 4 2" xfId="28506" xr:uid="{00000000-0005-0000-0000-000029700000}"/>
    <cellStyle name="Standard 4 5 2 2 2 4 4 3" xfId="28507" xr:uid="{00000000-0005-0000-0000-00002A700000}"/>
    <cellStyle name="Standard 4 5 2 2 2 4 5" xfId="28508" xr:uid="{00000000-0005-0000-0000-00002B700000}"/>
    <cellStyle name="Standard 4 5 2 2 2 4 5 2" xfId="28509" xr:uid="{00000000-0005-0000-0000-00002C700000}"/>
    <cellStyle name="Standard 4 5 2 2 2 4 6" xfId="28510" xr:uid="{00000000-0005-0000-0000-00002D700000}"/>
    <cellStyle name="Standard 4 5 2 2 2 4 7" xfId="28511" xr:uid="{00000000-0005-0000-0000-00002E700000}"/>
    <cellStyle name="Standard 4 5 2 2 2 5" xfId="28512" xr:uid="{00000000-0005-0000-0000-00002F700000}"/>
    <cellStyle name="Standard 4 5 2 2 2 5 2" xfId="28513" xr:uid="{00000000-0005-0000-0000-000030700000}"/>
    <cellStyle name="Standard 4 5 2 2 2 5 2 2" xfId="28514" xr:uid="{00000000-0005-0000-0000-000031700000}"/>
    <cellStyle name="Standard 4 5 2 2 2 5 2 3" xfId="28515" xr:uid="{00000000-0005-0000-0000-000032700000}"/>
    <cellStyle name="Standard 4 5 2 2 2 5 3" xfId="28516" xr:uid="{00000000-0005-0000-0000-000033700000}"/>
    <cellStyle name="Standard 4 5 2 2 2 5 3 2" xfId="28517" xr:uid="{00000000-0005-0000-0000-000034700000}"/>
    <cellStyle name="Standard 4 5 2 2 2 5 3 3" xfId="28518" xr:uid="{00000000-0005-0000-0000-000035700000}"/>
    <cellStyle name="Standard 4 5 2 2 2 5 4" xfId="28519" xr:uid="{00000000-0005-0000-0000-000036700000}"/>
    <cellStyle name="Standard 4 5 2 2 2 5 4 2" xfId="28520" xr:uid="{00000000-0005-0000-0000-000037700000}"/>
    <cellStyle name="Standard 4 5 2 2 2 5 5" xfId="28521" xr:uid="{00000000-0005-0000-0000-000038700000}"/>
    <cellStyle name="Standard 4 5 2 2 2 5 6" xfId="28522" xr:uid="{00000000-0005-0000-0000-000039700000}"/>
    <cellStyle name="Standard 4 5 2 2 2 6" xfId="28523" xr:uid="{00000000-0005-0000-0000-00003A700000}"/>
    <cellStyle name="Standard 4 5 2 2 2 6 2" xfId="28524" xr:uid="{00000000-0005-0000-0000-00003B700000}"/>
    <cellStyle name="Standard 4 5 2 2 2 6 3" xfId="28525" xr:uid="{00000000-0005-0000-0000-00003C700000}"/>
    <cellStyle name="Standard 4 5 2 2 2 7" xfId="28526" xr:uid="{00000000-0005-0000-0000-00003D700000}"/>
    <cellStyle name="Standard 4 5 2 2 2 7 2" xfId="28527" xr:uid="{00000000-0005-0000-0000-00003E700000}"/>
    <cellStyle name="Standard 4 5 2 2 2 7 3" xfId="28528" xr:uid="{00000000-0005-0000-0000-00003F700000}"/>
    <cellStyle name="Standard 4 5 2 2 2 8" xfId="28529" xr:uid="{00000000-0005-0000-0000-000040700000}"/>
    <cellStyle name="Standard 4 5 2 2 2 8 2" xfId="28530" xr:uid="{00000000-0005-0000-0000-000041700000}"/>
    <cellStyle name="Standard 4 5 2 2 2 9" xfId="28531" xr:uid="{00000000-0005-0000-0000-000042700000}"/>
    <cellStyle name="Standard 4 5 2 2 3" xfId="28532" xr:uid="{00000000-0005-0000-0000-000043700000}"/>
    <cellStyle name="Standard 4 5 2 2 3 2" xfId="28533" xr:uid="{00000000-0005-0000-0000-000044700000}"/>
    <cellStyle name="Standard 4 5 2 2 3 2 2" xfId="28534" xr:uid="{00000000-0005-0000-0000-000045700000}"/>
    <cellStyle name="Standard 4 5 2 2 3 2 2 2" xfId="28535" xr:uid="{00000000-0005-0000-0000-000046700000}"/>
    <cellStyle name="Standard 4 5 2 2 3 2 2 2 2" xfId="28536" xr:uid="{00000000-0005-0000-0000-000047700000}"/>
    <cellStyle name="Standard 4 5 2 2 3 2 2 2 3" xfId="28537" xr:uid="{00000000-0005-0000-0000-000048700000}"/>
    <cellStyle name="Standard 4 5 2 2 3 2 2 3" xfId="28538" xr:uid="{00000000-0005-0000-0000-000049700000}"/>
    <cellStyle name="Standard 4 5 2 2 3 2 2 3 2" xfId="28539" xr:uid="{00000000-0005-0000-0000-00004A700000}"/>
    <cellStyle name="Standard 4 5 2 2 3 2 2 3 3" xfId="28540" xr:uid="{00000000-0005-0000-0000-00004B700000}"/>
    <cellStyle name="Standard 4 5 2 2 3 2 2 4" xfId="28541" xr:uid="{00000000-0005-0000-0000-00004C700000}"/>
    <cellStyle name="Standard 4 5 2 2 3 2 2 4 2" xfId="28542" xr:uid="{00000000-0005-0000-0000-00004D700000}"/>
    <cellStyle name="Standard 4 5 2 2 3 2 2 5" xfId="28543" xr:uid="{00000000-0005-0000-0000-00004E700000}"/>
    <cellStyle name="Standard 4 5 2 2 3 2 2 6" xfId="28544" xr:uid="{00000000-0005-0000-0000-00004F700000}"/>
    <cellStyle name="Standard 4 5 2 2 3 2 3" xfId="28545" xr:uid="{00000000-0005-0000-0000-000050700000}"/>
    <cellStyle name="Standard 4 5 2 2 3 2 3 2" xfId="28546" xr:uid="{00000000-0005-0000-0000-000051700000}"/>
    <cellStyle name="Standard 4 5 2 2 3 2 3 3" xfId="28547" xr:uid="{00000000-0005-0000-0000-000052700000}"/>
    <cellStyle name="Standard 4 5 2 2 3 2 4" xfId="28548" xr:uid="{00000000-0005-0000-0000-000053700000}"/>
    <cellStyle name="Standard 4 5 2 2 3 2 4 2" xfId="28549" xr:uid="{00000000-0005-0000-0000-000054700000}"/>
    <cellStyle name="Standard 4 5 2 2 3 2 4 3" xfId="28550" xr:uid="{00000000-0005-0000-0000-000055700000}"/>
    <cellStyle name="Standard 4 5 2 2 3 2 5" xfId="28551" xr:uid="{00000000-0005-0000-0000-000056700000}"/>
    <cellStyle name="Standard 4 5 2 2 3 2 5 2" xfId="28552" xr:uid="{00000000-0005-0000-0000-000057700000}"/>
    <cellStyle name="Standard 4 5 2 2 3 2 6" xfId="28553" xr:uid="{00000000-0005-0000-0000-000058700000}"/>
    <cellStyle name="Standard 4 5 2 2 3 2 7" xfId="28554" xr:uid="{00000000-0005-0000-0000-000059700000}"/>
    <cellStyle name="Standard 4 5 2 2 3 3" xfId="28555" xr:uid="{00000000-0005-0000-0000-00005A700000}"/>
    <cellStyle name="Standard 4 5 2 2 3 3 2" xfId="28556" xr:uid="{00000000-0005-0000-0000-00005B700000}"/>
    <cellStyle name="Standard 4 5 2 2 3 3 2 2" xfId="28557" xr:uid="{00000000-0005-0000-0000-00005C700000}"/>
    <cellStyle name="Standard 4 5 2 2 3 3 2 3" xfId="28558" xr:uid="{00000000-0005-0000-0000-00005D700000}"/>
    <cellStyle name="Standard 4 5 2 2 3 3 3" xfId="28559" xr:uid="{00000000-0005-0000-0000-00005E700000}"/>
    <cellStyle name="Standard 4 5 2 2 3 3 3 2" xfId="28560" xr:uid="{00000000-0005-0000-0000-00005F700000}"/>
    <cellStyle name="Standard 4 5 2 2 3 3 3 3" xfId="28561" xr:uid="{00000000-0005-0000-0000-000060700000}"/>
    <cellStyle name="Standard 4 5 2 2 3 3 4" xfId="28562" xr:uid="{00000000-0005-0000-0000-000061700000}"/>
    <cellStyle name="Standard 4 5 2 2 3 3 4 2" xfId="28563" xr:uid="{00000000-0005-0000-0000-000062700000}"/>
    <cellStyle name="Standard 4 5 2 2 3 3 5" xfId="28564" xr:uid="{00000000-0005-0000-0000-000063700000}"/>
    <cellStyle name="Standard 4 5 2 2 3 3 6" xfId="28565" xr:uid="{00000000-0005-0000-0000-000064700000}"/>
    <cellStyle name="Standard 4 5 2 2 3 4" xfId="28566" xr:uid="{00000000-0005-0000-0000-000065700000}"/>
    <cellStyle name="Standard 4 5 2 2 3 4 2" xfId="28567" xr:uid="{00000000-0005-0000-0000-000066700000}"/>
    <cellStyle name="Standard 4 5 2 2 3 4 3" xfId="28568" xr:uid="{00000000-0005-0000-0000-000067700000}"/>
    <cellStyle name="Standard 4 5 2 2 3 5" xfId="28569" xr:uid="{00000000-0005-0000-0000-000068700000}"/>
    <cellStyle name="Standard 4 5 2 2 3 5 2" xfId="28570" xr:uid="{00000000-0005-0000-0000-000069700000}"/>
    <cellStyle name="Standard 4 5 2 2 3 5 3" xfId="28571" xr:uid="{00000000-0005-0000-0000-00006A700000}"/>
    <cellStyle name="Standard 4 5 2 2 3 6" xfId="28572" xr:uid="{00000000-0005-0000-0000-00006B700000}"/>
    <cellStyle name="Standard 4 5 2 2 3 6 2" xfId="28573" xr:uid="{00000000-0005-0000-0000-00006C700000}"/>
    <cellStyle name="Standard 4 5 2 2 3 7" xfId="28574" xr:uid="{00000000-0005-0000-0000-00006D700000}"/>
    <cellStyle name="Standard 4 5 2 2 3 8" xfId="28575" xr:uid="{00000000-0005-0000-0000-00006E700000}"/>
    <cellStyle name="Standard 4 5 2 2 4" xfId="28576" xr:uid="{00000000-0005-0000-0000-00006F700000}"/>
    <cellStyle name="Standard 4 5 2 2 4 2" xfId="28577" xr:uid="{00000000-0005-0000-0000-000070700000}"/>
    <cellStyle name="Standard 4 5 2 2 4 2 2" xfId="28578" xr:uid="{00000000-0005-0000-0000-000071700000}"/>
    <cellStyle name="Standard 4 5 2 2 4 2 2 2" xfId="28579" xr:uid="{00000000-0005-0000-0000-000072700000}"/>
    <cellStyle name="Standard 4 5 2 2 4 2 2 2 2" xfId="28580" xr:uid="{00000000-0005-0000-0000-000073700000}"/>
    <cellStyle name="Standard 4 5 2 2 4 2 2 2 3" xfId="28581" xr:uid="{00000000-0005-0000-0000-000074700000}"/>
    <cellStyle name="Standard 4 5 2 2 4 2 2 3" xfId="28582" xr:uid="{00000000-0005-0000-0000-000075700000}"/>
    <cellStyle name="Standard 4 5 2 2 4 2 2 3 2" xfId="28583" xr:uid="{00000000-0005-0000-0000-000076700000}"/>
    <cellStyle name="Standard 4 5 2 2 4 2 2 3 3" xfId="28584" xr:uid="{00000000-0005-0000-0000-000077700000}"/>
    <cellStyle name="Standard 4 5 2 2 4 2 2 4" xfId="28585" xr:uid="{00000000-0005-0000-0000-000078700000}"/>
    <cellStyle name="Standard 4 5 2 2 4 2 2 4 2" xfId="28586" xr:uid="{00000000-0005-0000-0000-000079700000}"/>
    <cellStyle name="Standard 4 5 2 2 4 2 2 5" xfId="28587" xr:uid="{00000000-0005-0000-0000-00007A700000}"/>
    <cellStyle name="Standard 4 5 2 2 4 2 2 6" xfId="28588" xr:uid="{00000000-0005-0000-0000-00007B700000}"/>
    <cellStyle name="Standard 4 5 2 2 4 2 3" xfId="28589" xr:uid="{00000000-0005-0000-0000-00007C700000}"/>
    <cellStyle name="Standard 4 5 2 2 4 2 3 2" xfId="28590" xr:uid="{00000000-0005-0000-0000-00007D700000}"/>
    <cellStyle name="Standard 4 5 2 2 4 2 3 3" xfId="28591" xr:uid="{00000000-0005-0000-0000-00007E700000}"/>
    <cellStyle name="Standard 4 5 2 2 4 2 4" xfId="28592" xr:uid="{00000000-0005-0000-0000-00007F700000}"/>
    <cellStyle name="Standard 4 5 2 2 4 2 4 2" xfId="28593" xr:uid="{00000000-0005-0000-0000-000080700000}"/>
    <cellStyle name="Standard 4 5 2 2 4 2 4 3" xfId="28594" xr:uid="{00000000-0005-0000-0000-000081700000}"/>
    <cellStyle name="Standard 4 5 2 2 4 2 5" xfId="28595" xr:uid="{00000000-0005-0000-0000-000082700000}"/>
    <cellStyle name="Standard 4 5 2 2 4 2 5 2" xfId="28596" xr:uid="{00000000-0005-0000-0000-000083700000}"/>
    <cellStyle name="Standard 4 5 2 2 4 2 6" xfId="28597" xr:uid="{00000000-0005-0000-0000-000084700000}"/>
    <cellStyle name="Standard 4 5 2 2 4 2 7" xfId="28598" xr:uid="{00000000-0005-0000-0000-000085700000}"/>
    <cellStyle name="Standard 4 5 2 2 4 3" xfId="28599" xr:uid="{00000000-0005-0000-0000-000086700000}"/>
    <cellStyle name="Standard 4 5 2 2 4 3 2" xfId="28600" xr:uid="{00000000-0005-0000-0000-000087700000}"/>
    <cellStyle name="Standard 4 5 2 2 4 3 2 2" xfId="28601" xr:uid="{00000000-0005-0000-0000-000088700000}"/>
    <cellStyle name="Standard 4 5 2 2 4 3 2 3" xfId="28602" xr:uid="{00000000-0005-0000-0000-000089700000}"/>
    <cellStyle name="Standard 4 5 2 2 4 3 3" xfId="28603" xr:uid="{00000000-0005-0000-0000-00008A700000}"/>
    <cellStyle name="Standard 4 5 2 2 4 3 3 2" xfId="28604" xr:uid="{00000000-0005-0000-0000-00008B700000}"/>
    <cellStyle name="Standard 4 5 2 2 4 3 3 3" xfId="28605" xr:uid="{00000000-0005-0000-0000-00008C700000}"/>
    <cellStyle name="Standard 4 5 2 2 4 3 4" xfId="28606" xr:uid="{00000000-0005-0000-0000-00008D700000}"/>
    <cellStyle name="Standard 4 5 2 2 4 3 4 2" xfId="28607" xr:uid="{00000000-0005-0000-0000-00008E700000}"/>
    <cellStyle name="Standard 4 5 2 2 4 3 5" xfId="28608" xr:uid="{00000000-0005-0000-0000-00008F700000}"/>
    <cellStyle name="Standard 4 5 2 2 4 3 6" xfId="28609" xr:uid="{00000000-0005-0000-0000-000090700000}"/>
    <cellStyle name="Standard 4 5 2 2 4 4" xfId="28610" xr:uid="{00000000-0005-0000-0000-000091700000}"/>
    <cellStyle name="Standard 4 5 2 2 4 4 2" xfId="28611" xr:uid="{00000000-0005-0000-0000-000092700000}"/>
    <cellStyle name="Standard 4 5 2 2 4 4 3" xfId="28612" xr:uid="{00000000-0005-0000-0000-000093700000}"/>
    <cellStyle name="Standard 4 5 2 2 4 5" xfId="28613" xr:uid="{00000000-0005-0000-0000-000094700000}"/>
    <cellStyle name="Standard 4 5 2 2 4 5 2" xfId="28614" xr:uid="{00000000-0005-0000-0000-000095700000}"/>
    <cellStyle name="Standard 4 5 2 2 4 5 3" xfId="28615" xr:uid="{00000000-0005-0000-0000-000096700000}"/>
    <cellStyle name="Standard 4 5 2 2 4 6" xfId="28616" xr:uid="{00000000-0005-0000-0000-000097700000}"/>
    <cellStyle name="Standard 4 5 2 2 4 6 2" xfId="28617" xr:uid="{00000000-0005-0000-0000-000098700000}"/>
    <cellStyle name="Standard 4 5 2 2 4 7" xfId="28618" xr:uid="{00000000-0005-0000-0000-000099700000}"/>
    <cellStyle name="Standard 4 5 2 2 4 8" xfId="28619" xr:uid="{00000000-0005-0000-0000-00009A700000}"/>
    <cellStyle name="Standard 4 5 2 2 5" xfId="28620" xr:uid="{00000000-0005-0000-0000-00009B700000}"/>
    <cellStyle name="Standard 4 5 2 2 5 2" xfId="28621" xr:uid="{00000000-0005-0000-0000-00009C700000}"/>
    <cellStyle name="Standard 4 5 2 2 5 2 2" xfId="28622" xr:uid="{00000000-0005-0000-0000-00009D700000}"/>
    <cellStyle name="Standard 4 5 2 2 5 2 2 2" xfId="28623" xr:uid="{00000000-0005-0000-0000-00009E700000}"/>
    <cellStyle name="Standard 4 5 2 2 5 2 2 3" xfId="28624" xr:uid="{00000000-0005-0000-0000-00009F700000}"/>
    <cellStyle name="Standard 4 5 2 2 5 2 3" xfId="28625" xr:uid="{00000000-0005-0000-0000-0000A0700000}"/>
    <cellStyle name="Standard 4 5 2 2 5 2 3 2" xfId="28626" xr:uid="{00000000-0005-0000-0000-0000A1700000}"/>
    <cellStyle name="Standard 4 5 2 2 5 2 3 3" xfId="28627" xr:uid="{00000000-0005-0000-0000-0000A2700000}"/>
    <cellStyle name="Standard 4 5 2 2 5 2 4" xfId="28628" xr:uid="{00000000-0005-0000-0000-0000A3700000}"/>
    <cellStyle name="Standard 4 5 2 2 5 2 4 2" xfId="28629" xr:uid="{00000000-0005-0000-0000-0000A4700000}"/>
    <cellStyle name="Standard 4 5 2 2 5 2 5" xfId="28630" xr:uid="{00000000-0005-0000-0000-0000A5700000}"/>
    <cellStyle name="Standard 4 5 2 2 5 2 6" xfId="28631" xr:uid="{00000000-0005-0000-0000-0000A6700000}"/>
    <cellStyle name="Standard 4 5 2 2 5 3" xfId="28632" xr:uid="{00000000-0005-0000-0000-0000A7700000}"/>
    <cellStyle name="Standard 4 5 2 2 5 3 2" xfId="28633" xr:uid="{00000000-0005-0000-0000-0000A8700000}"/>
    <cellStyle name="Standard 4 5 2 2 5 3 3" xfId="28634" xr:uid="{00000000-0005-0000-0000-0000A9700000}"/>
    <cellStyle name="Standard 4 5 2 2 5 4" xfId="28635" xr:uid="{00000000-0005-0000-0000-0000AA700000}"/>
    <cellStyle name="Standard 4 5 2 2 5 4 2" xfId="28636" xr:uid="{00000000-0005-0000-0000-0000AB700000}"/>
    <cellStyle name="Standard 4 5 2 2 5 4 3" xfId="28637" xr:uid="{00000000-0005-0000-0000-0000AC700000}"/>
    <cellStyle name="Standard 4 5 2 2 5 5" xfId="28638" xr:uid="{00000000-0005-0000-0000-0000AD700000}"/>
    <cellStyle name="Standard 4 5 2 2 5 5 2" xfId="28639" xr:uid="{00000000-0005-0000-0000-0000AE700000}"/>
    <cellStyle name="Standard 4 5 2 2 5 6" xfId="28640" xr:uid="{00000000-0005-0000-0000-0000AF700000}"/>
    <cellStyle name="Standard 4 5 2 2 5 7" xfId="28641" xr:uid="{00000000-0005-0000-0000-0000B0700000}"/>
    <cellStyle name="Standard 4 5 2 2 6" xfId="28642" xr:uid="{00000000-0005-0000-0000-0000B1700000}"/>
    <cellStyle name="Standard 4 5 2 2 6 2" xfId="28643" xr:uid="{00000000-0005-0000-0000-0000B2700000}"/>
    <cellStyle name="Standard 4 5 2 2 6 2 2" xfId="28644" xr:uid="{00000000-0005-0000-0000-0000B3700000}"/>
    <cellStyle name="Standard 4 5 2 2 6 2 3" xfId="28645" xr:uid="{00000000-0005-0000-0000-0000B4700000}"/>
    <cellStyle name="Standard 4 5 2 2 6 3" xfId="28646" xr:uid="{00000000-0005-0000-0000-0000B5700000}"/>
    <cellStyle name="Standard 4 5 2 2 6 3 2" xfId="28647" xr:uid="{00000000-0005-0000-0000-0000B6700000}"/>
    <cellStyle name="Standard 4 5 2 2 6 3 3" xfId="28648" xr:uid="{00000000-0005-0000-0000-0000B7700000}"/>
    <cellStyle name="Standard 4 5 2 2 6 4" xfId="28649" xr:uid="{00000000-0005-0000-0000-0000B8700000}"/>
    <cellStyle name="Standard 4 5 2 2 6 4 2" xfId="28650" xr:uid="{00000000-0005-0000-0000-0000B9700000}"/>
    <cellStyle name="Standard 4 5 2 2 6 5" xfId="28651" xr:uid="{00000000-0005-0000-0000-0000BA700000}"/>
    <cellStyle name="Standard 4 5 2 2 6 6" xfId="28652" xr:uid="{00000000-0005-0000-0000-0000BB700000}"/>
    <cellStyle name="Standard 4 5 2 2 7" xfId="28653" xr:uid="{00000000-0005-0000-0000-0000BC700000}"/>
    <cellStyle name="Standard 4 5 2 2 7 2" xfId="28654" xr:uid="{00000000-0005-0000-0000-0000BD700000}"/>
    <cellStyle name="Standard 4 5 2 2 7 3" xfId="28655" xr:uid="{00000000-0005-0000-0000-0000BE700000}"/>
    <cellStyle name="Standard 4 5 2 2 8" xfId="28656" xr:uid="{00000000-0005-0000-0000-0000BF700000}"/>
    <cellStyle name="Standard 4 5 2 2 8 2" xfId="28657" xr:uid="{00000000-0005-0000-0000-0000C0700000}"/>
    <cellStyle name="Standard 4 5 2 2 8 3" xfId="28658" xr:uid="{00000000-0005-0000-0000-0000C1700000}"/>
    <cellStyle name="Standard 4 5 2 2 9" xfId="28659" xr:uid="{00000000-0005-0000-0000-0000C2700000}"/>
    <cellStyle name="Standard 4 5 2 2 9 2" xfId="28660" xr:uid="{00000000-0005-0000-0000-0000C3700000}"/>
    <cellStyle name="Standard 4 5 2 3" xfId="28661" xr:uid="{00000000-0005-0000-0000-0000C4700000}"/>
    <cellStyle name="Standard 4 5 2 3 10" xfId="28662" xr:uid="{00000000-0005-0000-0000-0000C5700000}"/>
    <cellStyle name="Standard 4 5 2 3 2" xfId="28663" xr:uid="{00000000-0005-0000-0000-0000C6700000}"/>
    <cellStyle name="Standard 4 5 2 3 2 2" xfId="28664" xr:uid="{00000000-0005-0000-0000-0000C7700000}"/>
    <cellStyle name="Standard 4 5 2 3 2 2 2" xfId="28665" xr:uid="{00000000-0005-0000-0000-0000C8700000}"/>
    <cellStyle name="Standard 4 5 2 3 2 2 2 2" xfId="28666" xr:uid="{00000000-0005-0000-0000-0000C9700000}"/>
    <cellStyle name="Standard 4 5 2 3 2 2 2 2 2" xfId="28667" xr:uid="{00000000-0005-0000-0000-0000CA700000}"/>
    <cellStyle name="Standard 4 5 2 3 2 2 2 2 3" xfId="28668" xr:uid="{00000000-0005-0000-0000-0000CB700000}"/>
    <cellStyle name="Standard 4 5 2 3 2 2 2 3" xfId="28669" xr:uid="{00000000-0005-0000-0000-0000CC700000}"/>
    <cellStyle name="Standard 4 5 2 3 2 2 2 3 2" xfId="28670" xr:uid="{00000000-0005-0000-0000-0000CD700000}"/>
    <cellStyle name="Standard 4 5 2 3 2 2 2 3 3" xfId="28671" xr:uid="{00000000-0005-0000-0000-0000CE700000}"/>
    <cellStyle name="Standard 4 5 2 3 2 2 2 4" xfId="28672" xr:uid="{00000000-0005-0000-0000-0000CF700000}"/>
    <cellStyle name="Standard 4 5 2 3 2 2 2 4 2" xfId="28673" xr:uid="{00000000-0005-0000-0000-0000D0700000}"/>
    <cellStyle name="Standard 4 5 2 3 2 2 2 5" xfId="28674" xr:uid="{00000000-0005-0000-0000-0000D1700000}"/>
    <cellStyle name="Standard 4 5 2 3 2 2 2 6" xfId="28675" xr:uid="{00000000-0005-0000-0000-0000D2700000}"/>
    <cellStyle name="Standard 4 5 2 3 2 2 3" xfId="28676" xr:uid="{00000000-0005-0000-0000-0000D3700000}"/>
    <cellStyle name="Standard 4 5 2 3 2 2 3 2" xfId="28677" xr:uid="{00000000-0005-0000-0000-0000D4700000}"/>
    <cellStyle name="Standard 4 5 2 3 2 2 3 3" xfId="28678" xr:uid="{00000000-0005-0000-0000-0000D5700000}"/>
    <cellStyle name="Standard 4 5 2 3 2 2 4" xfId="28679" xr:uid="{00000000-0005-0000-0000-0000D6700000}"/>
    <cellStyle name="Standard 4 5 2 3 2 2 4 2" xfId="28680" xr:uid="{00000000-0005-0000-0000-0000D7700000}"/>
    <cellStyle name="Standard 4 5 2 3 2 2 4 3" xfId="28681" xr:uid="{00000000-0005-0000-0000-0000D8700000}"/>
    <cellStyle name="Standard 4 5 2 3 2 2 5" xfId="28682" xr:uid="{00000000-0005-0000-0000-0000D9700000}"/>
    <cellStyle name="Standard 4 5 2 3 2 2 5 2" xfId="28683" xr:uid="{00000000-0005-0000-0000-0000DA700000}"/>
    <cellStyle name="Standard 4 5 2 3 2 2 6" xfId="28684" xr:uid="{00000000-0005-0000-0000-0000DB700000}"/>
    <cellStyle name="Standard 4 5 2 3 2 2 7" xfId="28685" xr:uid="{00000000-0005-0000-0000-0000DC700000}"/>
    <cellStyle name="Standard 4 5 2 3 2 3" xfId="28686" xr:uid="{00000000-0005-0000-0000-0000DD700000}"/>
    <cellStyle name="Standard 4 5 2 3 2 3 2" xfId="28687" xr:uid="{00000000-0005-0000-0000-0000DE700000}"/>
    <cellStyle name="Standard 4 5 2 3 2 3 2 2" xfId="28688" xr:uid="{00000000-0005-0000-0000-0000DF700000}"/>
    <cellStyle name="Standard 4 5 2 3 2 3 2 3" xfId="28689" xr:uid="{00000000-0005-0000-0000-0000E0700000}"/>
    <cellStyle name="Standard 4 5 2 3 2 3 3" xfId="28690" xr:uid="{00000000-0005-0000-0000-0000E1700000}"/>
    <cellStyle name="Standard 4 5 2 3 2 3 3 2" xfId="28691" xr:uid="{00000000-0005-0000-0000-0000E2700000}"/>
    <cellStyle name="Standard 4 5 2 3 2 3 3 3" xfId="28692" xr:uid="{00000000-0005-0000-0000-0000E3700000}"/>
    <cellStyle name="Standard 4 5 2 3 2 3 4" xfId="28693" xr:uid="{00000000-0005-0000-0000-0000E4700000}"/>
    <cellStyle name="Standard 4 5 2 3 2 3 4 2" xfId="28694" xr:uid="{00000000-0005-0000-0000-0000E5700000}"/>
    <cellStyle name="Standard 4 5 2 3 2 3 5" xfId="28695" xr:uid="{00000000-0005-0000-0000-0000E6700000}"/>
    <cellStyle name="Standard 4 5 2 3 2 3 6" xfId="28696" xr:uid="{00000000-0005-0000-0000-0000E7700000}"/>
    <cellStyle name="Standard 4 5 2 3 2 4" xfId="28697" xr:uid="{00000000-0005-0000-0000-0000E8700000}"/>
    <cellStyle name="Standard 4 5 2 3 2 4 2" xfId="28698" xr:uid="{00000000-0005-0000-0000-0000E9700000}"/>
    <cellStyle name="Standard 4 5 2 3 2 4 3" xfId="28699" xr:uid="{00000000-0005-0000-0000-0000EA700000}"/>
    <cellStyle name="Standard 4 5 2 3 2 5" xfId="28700" xr:uid="{00000000-0005-0000-0000-0000EB700000}"/>
    <cellStyle name="Standard 4 5 2 3 2 5 2" xfId="28701" xr:uid="{00000000-0005-0000-0000-0000EC700000}"/>
    <cellStyle name="Standard 4 5 2 3 2 5 3" xfId="28702" xr:uid="{00000000-0005-0000-0000-0000ED700000}"/>
    <cellStyle name="Standard 4 5 2 3 2 6" xfId="28703" xr:uid="{00000000-0005-0000-0000-0000EE700000}"/>
    <cellStyle name="Standard 4 5 2 3 2 6 2" xfId="28704" xr:uid="{00000000-0005-0000-0000-0000EF700000}"/>
    <cellStyle name="Standard 4 5 2 3 2 7" xfId="28705" xr:uid="{00000000-0005-0000-0000-0000F0700000}"/>
    <cellStyle name="Standard 4 5 2 3 2 8" xfId="28706" xr:uid="{00000000-0005-0000-0000-0000F1700000}"/>
    <cellStyle name="Standard 4 5 2 3 3" xfId="28707" xr:uid="{00000000-0005-0000-0000-0000F2700000}"/>
    <cellStyle name="Standard 4 5 2 3 3 2" xfId="28708" xr:uid="{00000000-0005-0000-0000-0000F3700000}"/>
    <cellStyle name="Standard 4 5 2 3 3 2 2" xfId="28709" xr:uid="{00000000-0005-0000-0000-0000F4700000}"/>
    <cellStyle name="Standard 4 5 2 3 3 2 2 2" xfId="28710" xr:uid="{00000000-0005-0000-0000-0000F5700000}"/>
    <cellStyle name="Standard 4 5 2 3 3 2 2 2 2" xfId="28711" xr:uid="{00000000-0005-0000-0000-0000F6700000}"/>
    <cellStyle name="Standard 4 5 2 3 3 2 2 2 3" xfId="28712" xr:uid="{00000000-0005-0000-0000-0000F7700000}"/>
    <cellStyle name="Standard 4 5 2 3 3 2 2 3" xfId="28713" xr:uid="{00000000-0005-0000-0000-0000F8700000}"/>
    <cellStyle name="Standard 4 5 2 3 3 2 2 3 2" xfId="28714" xr:uid="{00000000-0005-0000-0000-0000F9700000}"/>
    <cellStyle name="Standard 4 5 2 3 3 2 2 3 3" xfId="28715" xr:uid="{00000000-0005-0000-0000-0000FA700000}"/>
    <cellStyle name="Standard 4 5 2 3 3 2 2 4" xfId="28716" xr:uid="{00000000-0005-0000-0000-0000FB700000}"/>
    <cellStyle name="Standard 4 5 2 3 3 2 2 4 2" xfId="28717" xr:uid="{00000000-0005-0000-0000-0000FC700000}"/>
    <cellStyle name="Standard 4 5 2 3 3 2 2 5" xfId="28718" xr:uid="{00000000-0005-0000-0000-0000FD700000}"/>
    <cellStyle name="Standard 4 5 2 3 3 2 2 6" xfId="28719" xr:uid="{00000000-0005-0000-0000-0000FE700000}"/>
    <cellStyle name="Standard 4 5 2 3 3 2 3" xfId="28720" xr:uid="{00000000-0005-0000-0000-0000FF700000}"/>
    <cellStyle name="Standard 4 5 2 3 3 2 3 2" xfId="28721" xr:uid="{00000000-0005-0000-0000-000000710000}"/>
    <cellStyle name="Standard 4 5 2 3 3 2 3 3" xfId="28722" xr:uid="{00000000-0005-0000-0000-000001710000}"/>
    <cellStyle name="Standard 4 5 2 3 3 2 4" xfId="28723" xr:uid="{00000000-0005-0000-0000-000002710000}"/>
    <cellStyle name="Standard 4 5 2 3 3 2 4 2" xfId="28724" xr:uid="{00000000-0005-0000-0000-000003710000}"/>
    <cellStyle name="Standard 4 5 2 3 3 2 4 3" xfId="28725" xr:uid="{00000000-0005-0000-0000-000004710000}"/>
    <cellStyle name="Standard 4 5 2 3 3 2 5" xfId="28726" xr:uid="{00000000-0005-0000-0000-000005710000}"/>
    <cellStyle name="Standard 4 5 2 3 3 2 5 2" xfId="28727" xr:uid="{00000000-0005-0000-0000-000006710000}"/>
    <cellStyle name="Standard 4 5 2 3 3 2 6" xfId="28728" xr:uid="{00000000-0005-0000-0000-000007710000}"/>
    <cellStyle name="Standard 4 5 2 3 3 2 7" xfId="28729" xr:uid="{00000000-0005-0000-0000-000008710000}"/>
    <cellStyle name="Standard 4 5 2 3 3 3" xfId="28730" xr:uid="{00000000-0005-0000-0000-000009710000}"/>
    <cellStyle name="Standard 4 5 2 3 3 3 2" xfId="28731" xr:uid="{00000000-0005-0000-0000-00000A710000}"/>
    <cellStyle name="Standard 4 5 2 3 3 3 2 2" xfId="28732" xr:uid="{00000000-0005-0000-0000-00000B710000}"/>
    <cellStyle name="Standard 4 5 2 3 3 3 2 3" xfId="28733" xr:uid="{00000000-0005-0000-0000-00000C710000}"/>
    <cellStyle name="Standard 4 5 2 3 3 3 3" xfId="28734" xr:uid="{00000000-0005-0000-0000-00000D710000}"/>
    <cellStyle name="Standard 4 5 2 3 3 3 3 2" xfId="28735" xr:uid="{00000000-0005-0000-0000-00000E710000}"/>
    <cellStyle name="Standard 4 5 2 3 3 3 3 3" xfId="28736" xr:uid="{00000000-0005-0000-0000-00000F710000}"/>
    <cellStyle name="Standard 4 5 2 3 3 3 4" xfId="28737" xr:uid="{00000000-0005-0000-0000-000010710000}"/>
    <cellStyle name="Standard 4 5 2 3 3 3 4 2" xfId="28738" xr:uid="{00000000-0005-0000-0000-000011710000}"/>
    <cellStyle name="Standard 4 5 2 3 3 3 5" xfId="28739" xr:uid="{00000000-0005-0000-0000-000012710000}"/>
    <cellStyle name="Standard 4 5 2 3 3 3 6" xfId="28740" xr:uid="{00000000-0005-0000-0000-000013710000}"/>
    <cellStyle name="Standard 4 5 2 3 3 4" xfId="28741" xr:uid="{00000000-0005-0000-0000-000014710000}"/>
    <cellStyle name="Standard 4 5 2 3 3 4 2" xfId="28742" xr:uid="{00000000-0005-0000-0000-000015710000}"/>
    <cellStyle name="Standard 4 5 2 3 3 4 3" xfId="28743" xr:uid="{00000000-0005-0000-0000-000016710000}"/>
    <cellStyle name="Standard 4 5 2 3 3 5" xfId="28744" xr:uid="{00000000-0005-0000-0000-000017710000}"/>
    <cellStyle name="Standard 4 5 2 3 3 5 2" xfId="28745" xr:uid="{00000000-0005-0000-0000-000018710000}"/>
    <cellStyle name="Standard 4 5 2 3 3 5 3" xfId="28746" xr:uid="{00000000-0005-0000-0000-000019710000}"/>
    <cellStyle name="Standard 4 5 2 3 3 6" xfId="28747" xr:uid="{00000000-0005-0000-0000-00001A710000}"/>
    <cellStyle name="Standard 4 5 2 3 3 6 2" xfId="28748" xr:uid="{00000000-0005-0000-0000-00001B710000}"/>
    <cellStyle name="Standard 4 5 2 3 3 7" xfId="28749" xr:uid="{00000000-0005-0000-0000-00001C710000}"/>
    <cellStyle name="Standard 4 5 2 3 3 8" xfId="28750" xr:uid="{00000000-0005-0000-0000-00001D710000}"/>
    <cellStyle name="Standard 4 5 2 3 4" xfId="28751" xr:uid="{00000000-0005-0000-0000-00001E710000}"/>
    <cellStyle name="Standard 4 5 2 3 4 2" xfId="28752" xr:uid="{00000000-0005-0000-0000-00001F710000}"/>
    <cellStyle name="Standard 4 5 2 3 4 2 2" xfId="28753" xr:uid="{00000000-0005-0000-0000-000020710000}"/>
    <cellStyle name="Standard 4 5 2 3 4 2 2 2" xfId="28754" xr:uid="{00000000-0005-0000-0000-000021710000}"/>
    <cellStyle name="Standard 4 5 2 3 4 2 2 3" xfId="28755" xr:uid="{00000000-0005-0000-0000-000022710000}"/>
    <cellStyle name="Standard 4 5 2 3 4 2 3" xfId="28756" xr:uid="{00000000-0005-0000-0000-000023710000}"/>
    <cellStyle name="Standard 4 5 2 3 4 2 3 2" xfId="28757" xr:uid="{00000000-0005-0000-0000-000024710000}"/>
    <cellStyle name="Standard 4 5 2 3 4 2 3 3" xfId="28758" xr:uid="{00000000-0005-0000-0000-000025710000}"/>
    <cellStyle name="Standard 4 5 2 3 4 2 4" xfId="28759" xr:uid="{00000000-0005-0000-0000-000026710000}"/>
    <cellStyle name="Standard 4 5 2 3 4 2 4 2" xfId="28760" xr:uid="{00000000-0005-0000-0000-000027710000}"/>
    <cellStyle name="Standard 4 5 2 3 4 2 5" xfId="28761" xr:uid="{00000000-0005-0000-0000-000028710000}"/>
    <cellStyle name="Standard 4 5 2 3 4 2 6" xfId="28762" xr:uid="{00000000-0005-0000-0000-000029710000}"/>
    <cellStyle name="Standard 4 5 2 3 4 3" xfId="28763" xr:uid="{00000000-0005-0000-0000-00002A710000}"/>
    <cellStyle name="Standard 4 5 2 3 4 3 2" xfId="28764" xr:uid="{00000000-0005-0000-0000-00002B710000}"/>
    <cellStyle name="Standard 4 5 2 3 4 3 3" xfId="28765" xr:uid="{00000000-0005-0000-0000-00002C710000}"/>
    <cellStyle name="Standard 4 5 2 3 4 4" xfId="28766" xr:uid="{00000000-0005-0000-0000-00002D710000}"/>
    <cellStyle name="Standard 4 5 2 3 4 4 2" xfId="28767" xr:uid="{00000000-0005-0000-0000-00002E710000}"/>
    <cellStyle name="Standard 4 5 2 3 4 4 3" xfId="28768" xr:uid="{00000000-0005-0000-0000-00002F710000}"/>
    <cellStyle name="Standard 4 5 2 3 4 5" xfId="28769" xr:uid="{00000000-0005-0000-0000-000030710000}"/>
    <cellStyle name="Standard 4 5 2 3 4 5 2" xfId="28770" xr:uid="{00000000-0005-0000-0000-000031710000}"/>
    <cellStyle name="Standard 4 5 2 3 4 6" xfId="28771" xr:uid="{00000000-0005-0000-0000-000032710000}"/>
    <cellStyle name="Standard 4 5 2 3 4 7" xfId="28772" xr:uid="{00000000-0005-0000-0000-000033710000}"/>
    <cellStyle name="Standard 4 5 2 3 5" xfId="28773" xr:uid="{00000000-0005-0000-0000-000034710000}"/>
    <cellStyle name="Standard 4 5 2 3 5 2" xfId="28774" xr:uid="{00000000-0005-0000-0000-000035710000}"/>
    <cellStyle name="Standard 4 5 2 3 5 2 2" xfId="28775" xr:uid="{00000000-0005-0000-0000-000036710000}"/>
    <cellStyle name="Standard 4 5 2 3 5 2 3" xfId="28776" xr:uid="{00000000-0005-0000-0000-000037710000}"/>
    <cellStyle name="Standard 4 5 2 3 5 3" xfId="28777" xr:uid="{00000000-0005-0000-0000-000038710000}"/>
    <cellStyle name="Standard 4 5 2 3 5 3 2" xfId="28778" xr:uid="{00000000-0005-0000-0000-000039710000}"/>
    <cellStyle name="Standard 4 5 2 3 5 3 3" xfId="28779" xr:uid="{00000000-0005-0000-0000-00003A710000}"/>
    <cellStyle name="Standard 4 5 2 3 5 4" xfId="28780" xr:uid="{00000000-0005-0000-0000-00003B710000}"/>
    <cellStyle name="Standard 4 5 2 3 5 4 2" xfId="28781" xr:uid="{00000000-0005-0000-0000-00003C710000}"/>
    <cellStyle name="Standard 4 5 2 3 5 5" xfId="28782" xr:uid="{00000000-0005-0000-0000-00003D710000}"/>
    <cellStyle name="Standard 4 5 2 3 5 6" xfId="28783" xr:uid="{00000000-0005-0000-0000-00003E710000}"/>
    <cellStyle name="Standard 4 5 2 3 6" xfId="28784" xr:uid="{00000000-0005-0000-0000-00003F710000}"/>
    <cellStyle name="Standard 4 5 2 3 6 2" xfId="28785" xr:uid="{00000000-0005-0000-0000-000040710000}"/>
    <cellStyle name="Standard 4 5 2 3 6 3" xfId="28786" xr:uid="{00000000-0005-0000-0000-000041710000}"/>
    <cellStyle name="Standard 4 5 2 3 7" xfId="28787" xr:uid="{00000000-0005-0000-0000-000042710000}"/>
    <cellStyle name="Standard 4 5 2 3 7 2" xfId="28788" xr:uid="{00000000-0005-0000-0000-000043710000}"/>
    <cellStyle name="Standard 4 5 2 3 7 3" xfId="28789" xr:uid="{00000000-0005-0000-0000-000044710000}"/>
    <cellStyle name="Standard 4 5 2 3 8" xfId="28790" xr:uid="{00000000-0005-0000-0000-000045710000}"/>
    <cellStyle name="Standard 4 5 2 3 8 2" xfId="28791" xr:uid="{00000000-0005-0000-0000-000046710000}"/>
    <cellStyle name="Standard 4 5 2 3 9" xfId="28792" xr:uid="{00000000-0005-0000-0000-000047710000}"/>
    <cellStyle name="Standard 4 5 2 4" xfId="28793" xr:uid="{00000000-0005-0000-0000-000048710000}"/>
    <cellStyle name="Standard 4 5 2 4 2" xfId="28794" xr:uid="{00000000-0005-0000-0000-000049710000}"/>
    <cellStyle name="Standard 4 5 2 4 2 2" xfId="28795" xr:uid="{00000000-0005-0000-0000-00004A710000}"/>
    <cellStyle name="Standard 4 5 2 4 2 2 2" xfId="28796" xr:uid="{00000000-0005-0000-0000-00004B710000}"/>
    <cellStyle name="Standard 4 5 2 4 2 2 2 2" xfId="28797" xr:uid="{00000000-0005-0000-0000-00004C710000}"/>
    <cellStyle name="Standard 4 5 2 4 2 2 2 3" xfId="28798" xr:uid="{00000000-0005-0000-0000-00004D710000}"/>
    <cellStyle name="Standard 4 5 2 4 2 2 3" xfId="28799" xr:uid="{00000000-0005-0000-0000-00004E710000}"/>
    <cellStyle name="Standard 4 5 2 4 2 2 3 2" xfId="28800" xr:uid="{00000000-0005-0000-0000-00004F710000}"/>
    <cellStyle name="Standard 4 5 2 4 2 2 3 3" xfId="28801" xr:uid="{00000000-0005-0000-0000-000050710000}"/>
    <cellStyle name="Standard 4 5 2 4 2 2 4" xfId="28802" xr:uid="{00000000-0005-0000-0000-000051710000}"/>
    <cellStyle name="Standard 4 5 2 4 2 2 4 2" xfId="28803" xr:uid="{00000000-0005-0000-0000-000052710000}"/>
    <cellStyle name="Standard 4 5 2 4 2 2 5" xfId="28804" xr:uid="{00000000-0005-0000-0000-000053710000}"/>
    <cellStyle name="Standard 4 5 2 4 2 2 6" xfId="28805" xr:uid="{00000000-0005-0000-0000-000054710000}"/>
    <cellStyle name="Standard 4 5 2 4 2 3" xfId="28806" xr:uid="{00000000-0005-0000-0000-000055710000}"/>
    <cellStyle name="Standard 4 5 2 4 2 3 2" xfId="28807" xr:uid="{00000000-0005-0000-0000-000056710000}"/>
    <cellStyle name="Standard 4 5 2 4 2 3 3" xfId="28808" xr:uid="{00000000-0005-0000-0000-000057710000}"/>
    <cellStyle name="Standard 4 5 2 4 2 4" xfId="28809" xr:uid="{00000000-0005-0000-0000-000058710000}"/>
    <cellStyle name="Standard 4 5 2 4 2 4 2" xfId="28810" xr:uid="{00000000-0005-0000-0000-000059710000}"/>
    <cellStyle name="Standard 4 5 2 4 2 4 3" xfId="28811" xr:uid="{00000000-0005-0000-0000-00005A710000}"/>
    <cellStyle name="Standard 4 5 2 4 2 5" xfId="28812" xr:uid="{00000000-0005-0000-0000-00005B710000}"/>
    <cellStyle name="Standard 4 5 2 4 2 5 2" xfId="28813" xr:uid="{00000000-0005-0000-0000-00005C710000}"/>
    <cellStyle name="Standard 4 5 2 4 2 6" xfId="28814" xr:uid="{00000000-0005-0000-0000-00005D710000}"/>
    <cellStyle name="Standard 4 5 2 4 2 7" xfId="28815" xr:uid="{00000000-0005-0000-0000-00005E710000}"/>
    <cellStyle name="Standard 4 5 2 4 3" xfId="28816" xr:uid="{00000000-0005-0000-0000-00005F710000}"/>
    <cellStyle name="Standard 4 5 2 4 3 2" xfId="28817" xr:uid="{00000000-0005-0000-0000-000060710000}"/>
    <cellStyle name="Standard 4 5 2 4 3 2 2" xfId="28818" xr:uid="{00000000-0005-0000-0000-000061710000}"/>
    <cellStyle name="Standard 4 5 2 4 3 2 3" xfId="28819" xr:uid="{00000000-0005-0000-0000-000062710000}"/>
    <cellStyle name="Standard 4 5 2 4 3 3" xfId="28820" xr:uid="{00000000-0005-0000-0000-000063710000}"/>
    <cellStyle name="Standard 4 5 2 4 3 3 2" xfId="28821" xr:uid="{00000000-0005-0000-0000-000064710000}"/>
    <cellStyle name="Standard 4 5 2 4 3 3 3" xfId="28822" xr:uid="{00000000-0005-0000-0000-000065710000}"/>
    <cellStyle name="Standard 4 5 2 4 3 4" xfId="28823" xr:uid="{00000000-0005-0000-0000-000066710000}"/>
    <cellStyle name="Standard 4 5 2 4 3 4 2" xfId="28824" xr:uid="{00000000-0005-0000-0000-000067710000}"/>
    <cellStyle name="Standard 4 5 2 4 3 5" xfId="28825" xr:uid="{00000000-0005-0000-0000-000068710000}"/>
    <cellStyle name="Standard 4 5 2 4 3 6" xfId="28826" xr:uid="{00000000-0005-0000-0000-000069710000}"/>
    <cellStyle name="Standard 4 5 2 4 4" xfId="28827" xr:uid="{00000000-0005-0000-0000-00006A710000}"/>
    <cellStyle name="Standard 4 5 2 4 4 2" xfId="28828" xr:uid="{00000000-0005-0000-0000-00006B710000}"/>
    <cellStyle name="Standard 4 5 2 4 4 3" xfId="28829" xr:uid="{00000000-0005-0000-0000-00006C710000}"/>
    <cellStyle name="Standard 4 5 2 4 5" xfId="28830" xr:uid="{00000000-0005-0000-0000-00006D710000}"/>
    <cellStyle name="Standard 4 5 2 4 5 2" xfId="28831" xr:uid="{00000000-0005-0000-0000-00006E710000}"/>
    <cellStyle name="Standard 4 5 2 4 5 3" xfId="28832" xr:uid="{00000000-0005-0000-0000-00006F710000}"/>
    <cellStyle name="Standard 4 5 2 4 6" xfId="28833" xr:uid="{00000000-0005-0000-0000-000070710000}"/>
    <cellStyle name="Standard 4 5 2 4 6 2" xfId="28834" xr:uid="{00000000-0005-0000-0000-000071710000}"/>
    <cellStyle name="Standard 4 5 2 4 7" xfId="28835" xr:uid="{00000000-0005-0000-0000-000072710000}"/>
    <cellStyle name="Standard 4 5 2 4 8" xfId="28836" xr:uid="{00000000-0005-0000-0000-000073710000}"/>
    <cellStyle name="Standard 4 5 2 5" xfId="28837" xr:uid="{00000000-0005-0000-0000-000074710000}"/>
    <cellStyle name="Standard 4 5 2 5 2" xfId="28838" xr:uid="{00000000-0005-0000-0000-000075710000}"/>
    <cellStyle name="Standard 4 5 2 5 2 2" xfId="28839" xr:uid="{00000000-0005-0000-0000-000076710000}"/>
    <cellStyle name="Standard 4 5 2 5 2 2 2" xfId="28840" xr:uid="{00000000-0005-0000-0000-000077710000}"/>
    <cellStyle name="Standard 4 5 2 5 2 2 2 2" xfId="28841" xr:uid="{00000000-0005-0000-0000-000078710000}"/>
    <cellStyle name="Standard 4 5 2 5 2 2 2 3" xfId="28842" xr:uid="{00000000-0005-0000-0000-000079710000}"/>
    <cellStyle name="Standard 4 5 2 5 2 2 3" xfId="28843" xr:uid="{00000000-0005-0000-0000-00007A710000}"/>
    <cellStyle name="Standard 4 5 2 5 2 2 3 2" xfId="28844" xr:uid="{00000000-0005-0000-0000-00007B710000}"/>
    <cellStyle name="Standard 4 5 2 5 2 2 3 3" xfId="28845" xr:uid="{00000000-0005-0000-0000-00007C710000}"/>
    <cellStyle name="Standard 4 5 2 5 2 2 4" xfId="28846" xr:uid="{00000000-0005-0000-0000-00007D710000}"/>
    <cellStyle name="Standard 4 5 2 5 2 2 4 2" xfId="28847" xr:uid="{00000000-0005-0000-0000-00007E710000}"/>
    <cellStyle name="Standard 4 5 2 5 2 2 5" xfId="28848" xr:uid="{00000000-0005-0000-0000-00007F710000}"/>
    <cellStyle name="Standard 4 5 2 5 2 2 6" xfId="28849" xr:uid="{00000000-0005-0000-0000-000080710000}"/>
    <cellStyle name="Standard 4 5 2 5 2 3" xfId="28850" xr:uid="{00000000-0005-0000-0000-000081710000}"/>
    <cellStyle name="Standard 4 5 2 5 2 3 2" xfId="28851" xr:uid="{00000000-0005-0000-0000-000082710000}"/>
    <cellStyle name="Standard 4 5 2 5 2 3 3" xfId="28852" xr:uid="{00000000-0005-0000-0000-000083710000}"/>
    <cellStyle name="Standard 4 5 2 5 2 4" xfId="28853" xr:uid="{00000000-0005-0000-0000-000084710000}"/>
    <cellStyle name="Standard 4 5 2 5 2 4 2" xfId="28854" xr:uid="{00000000-0005-0000-0000-000085710000}"/>
    <cellStyle name="Standard 4 5 2 5 2 4 3" xfId="28855" xr:uid="{00000000-0005-0000-0000-000086710000}"/>
    <cellStyle name="Standard 4 5 2 5 2 5" xfId="28856" xr:uid="{00000000-0005-0000-0000-000087710000}"/>
    <cellStyle name="Standard 4 5 2 5 2 5 2" xfId="28857" xr:uid="{00000000-0005-0000-0000-000088710000}"/>
    <cellStyle name="Standard 4 5 2 5 2 6" xfId="28858" xr:uid="{00000000-0005-0000-0000-000089710000}"/>
    <cellStyle name="Standard 4 5 2 5 2 7" xfId="28859" xr:uid="{00000000-0005-0000-0000-00008A710000}"/>
    <cellStyle name="Standard 4 5 2 5 3" xfId="28860" xr:uid="{00000000-0005-0000-0000-00008B710000}"/>
    <cellStyle name="Standard 4 5 2 5 3 2" xfId="28861" xr:uid="{00000000-0005-0000-0000-00008C710000}"/>
    <cellStyle name="Standard 4 5 2 5 3 2 2" xfId="28862" xr:uid="{00000000-0005-0000-0000-00008D710000}"/>
    <cellStyle name="Standard 4 5 2 5 3 2 3" xfId="28863" xr:uid="{00000000-0005-0000-0000-00008E710000}"/>
    <cellStyle name="Standard 4 5 2 5 3 3" xfId="28864" xr:uid="{00000000-0005-0000-0000-00008F710000}"/>
    <cellStyle name="Standard 4 5 2 5 3 3 2" xfId="28865" xr:uid="{00000000-0005-0000-0000-000090710000}"/>
    <cellStyle name="Standard 4 5 2 5 3 3 3" xfId="28866" xr:uid="{00000000-0005-0000-0000-000091710000}"/>
    <cellStyle name="Standard 4 5 2 5 3 4" xfId="28867" xr:uid="{00000000-0005-0000-0000-000092710000}"/>
    <cellStyle name="Standard 4 5 2 5 3 4 2" xfId="28868" xr:uid="{00000000-0005-0000-0000-000093710000}"/>
    <cellStyle name="Standard 4 5 2 5 3 5" xfId="28869" xr:uid="{00000000-0005-0000-0000-000094710000}"/>
    <cellStyle name="Standard 4 5 2 5 3 6" xfId="28870" xr:uid="{00000000-0005-0000-0000-000095710000}"/>
    <cellStyle name="Standard 4 5 2 5 4" xfId="28871" xr:uid="{00000000-0005-0000-0000-000096710000}"/>
    <cellStyle name="Standard 4 5 2 5 4 2" xfId="28872" xr:uid="{00000000-0005-0000-0000-000097710000}"/>
    <cellStyle name="Standard 4 5 2 5 4 3" xfId="28873" xr:uid="{00000000-0005-0000-0000-000098710000}"/>
    <cellStyle name="Standard 4 5 2 5 5" xfId="28874" xr:uid="{00000000-0005-0000-0000-000099710000}"/>
    <cellStyle name="Standard 4 5 2 5 5 2" xfId="28875" xr:uid="{00000000-0005-0000-0000-00009A710000}"/>
    <cellStyle name="Standard 4 5 2 5 5 3" xfId="28876" xr:uid="{00000000-0005-0000-0000-00009B710000}"/>
    <cellStyle name="Standard 4 5 2 5 6" xfId="28877" xr:uid="{00000000-0005-0000-0000-00009C710000}"/>
    <cellStyle name="Standard 4 5 2 5 6 2" xfId="28878" xr:uid="{00000000-0005-0000-0000-00009D710000}"/>
    <cellStyle name="Standard 4 5 2 5 7" xfId="28879" xr:uid="{00000000-0005-0000-0000-00009E710000}"/>
    <cellStyle name="Standard 4 5 2 5 8" xfId="28880" xr:uid="{00000000-0005-0000-0000-00009F710000}"/>
    <cellStyle name="Standard 4 5 2 6" xfId="28881" xr:uid="{00000000-0005-0000-0000-0000A0710000}"/>
    <cellStyle name="Standard 4 5 2 6 2" xfId="28882" xr:uid="{00000000-0005-0000-0000-0000A1710000}"/>
    <cellStyle name="Standard 4 5 2 6 2 2" xfId="28883" xr:uid="{00000000-0005-0000-0000-0000A2710000}"/>
    <cellStyle name="Standard 4 5 2 6 2 2 2" xfId="28884" xr:uid="{00000000-0005-0000-0000-0000A3710000}"/>
    <cellStyle name="Standard 4 5 2 6 2 2 3" xfId="28885" xr:uid="{00000000-0005-0000-0000-0000A4710000}"/>
    <cellStyle name="Standard 4 5 2 6 2 3" xfId="28886" xr:uid="{00000000-0005-0000-0000-0000A5710000}"/>
    <cellStyle name="Standard 4 5 2 6 2 3 2" xfId="28887" xr:uid="{00000000-0005-0000-0000-0000A6710000}"/>
    <cellStyle name="Standard 4 5 2 6 2 3 3" xfId="28888" xr:uid="{00000000-0005-0000-0000-0000A7710000}"/>
    <cellStyle name="Standard 4 5 2 6 2 4" xfId="28889" xr:uid="{00000000-0005-0000-0000-0000A8710000}"/>
    <cellStyle name="Standard 4 5 2 6 2 4 2" xfId="28890" xr:uid="{00000000-0005-0000-0000-0000A9710000}"/>
    <cellStyle name="Standard 4 5 2 6 2 5" xfId="28891" xr:uid="{00000000-0005-0000-0000-0000AA710000}"/>
    <cellStyle name="Standard 4 5 2 6 2 6" xfId="28892" xr:uid="{00000000-0005-0000-0000-0000AB710000}"/>
    <cellStyle name="Standard 4 5 2 6 3" xfId="28893" xr:uid="{00000000-0005-0000-0000-0000AC710000}"/>
    <cellStyle name="Standard 4 5 2 6 3 2" xfId="28894" xr:uid="{00000000-0005-0000-0000-0000AD710000}"/>
    <cellStyle name="Standard 4 5 2 6 3 3" xfId="28895" xr:uid="{00000000-0005-0000-0000-0000AE710000}"/>
    <cellStyle name="Standard 4 5 2 6 4" xfId="28896" xr:uid="{00000000-0005-0000-0000-0000AF710000}"/>
    <cellStyle name="Standard 4 5 2 6 4 2" xfId="28897" xr:uid="{00000000-0005-0000-0000-0000B0710000}"/>
    <cellStyle name="Standard 4 5 2 6 4 3" xfId="28898" xr:uid="{00000000-0005-0000-0000-0000B1710000}"/>
    <cellStyle name="Standard 4 5 2 6 5" xfId="28899" xr:uid="{00000000-0005-0000-0000-0000B2710000}"/>
    <cellStyle name="Standard 4 5 2 6 5 2" xfId="28900" xr:uid="{00000000-0005-0000-0000-0000B3710000}"/>
    <cellStyle name="Standard 4 5 2 6 6" xfId="28901" xr:uid="{00000000-0005-0000-0000-0000B4710000}"/>
    <cellStyle name="Standard 4 5 2 6 7" xfId="28902" xr:uid="{00000000-0005-0000-0000-0000B5710000}"/>
    <cellStyle name="Standard 4 5 2 7" xfId="28903" xr:uid="{00000000-0005-0000-0000-0000B6710000}"/>
    <cellStyle name="Standard 4 5 2 7 2" xfId="28904" xr:uid="{00000000-0005-0000-0000-0000B7710000}"/>
    <cellStyle name="Standard 4 5 2 7 2 2" xfId="28905" xr:uid="{00000000-0005-0000-0000-0000B8710000}"/>
    <cellStyle name="Standard 4 5 2 7 2 3" xfId="28906" xr:uid="{00000000-0005-0000-0000-0000B9710000}"/>
    <cellStyle name="Standard 4 5 2 7 3" xfId="28907" xr:uid="{00000000-0005-0000-0000-0000BA710000}"/>
    <cellStyle name="Standard 4 5 2 7 3 2" xfId="28908" xr:uid="{00000000-0005-0000-0000-0000BB710000}"/>
    <cellStyle name="Standard 4 5 2 7 3 3" xfId="28909" xr:uid="{00000000-0005-0000-0000-0000BC710000}"/>
    <cellStyle name="Standard 4 5 2 7 4" xfId="28910" xr:uid="{00000000-0005-0000-0000-0000BD710000}"/>
    <cellStyle name="Standard 4 5 2 7 4 2" xfId="28911" xr:uid="{00000000-0005-0000-0000-0000BE710000}"/>
    <cellStyle name="Standard 4 5 2 7 5" xfId="28912" xr:uid="{00000000-0005-0000-0000-0000BF710000}"/>
    <cellStyle name="Standard 4 5 2 7 6" xfId="28913" xr:uid="{00000000-0005-0000-0000-0000C0710000}"/>
    <cellStyle name="Standard 4 5 2 8" xfId="28914" xr:uid="{00000000-0005-0000-0000-0000C1710000}"/>
    <cellStyle name="Standard 4 5 2 8 2" xfId="28915" xr:uid="{00000000-0005-0000-0000-0000C2710000}"/>
    <cellStyle name="Standard 4 5 2 8 3" xfId="28916" xr:uid="{00000000-0005-0000-0000-0000C3710000}"/>
    <cellStyle name="Standard 4 5 2 9" xfId="28917" xr:uid="{00000000-0005-0000-0000-0000C4710000}"/>
    <cellStyle name="Standard 4 5 2 9 2" xfId="28918" xr:uid="{00000000-0005-0000-0000-0000C5710000}"/>
    <cellStyle name="Standard 4 5 2 9 3" xfId="28919" xr:uid="{00000000-0005-0000-0000-0000C6710000}"/>
    <cellStyle name="Standard 4 5 3" xfId="28920" xr:uid="{00000000-0005-0000-0000-0000C7710000}"/>
    <cellStyle name="Standard 4 5 3 10" xfId="28921" xr:uid="{00000000-0005-0000-0000-0000C8710000}"/>
    <cellStyle name="Standard 4 5 3 11" xfId="28922" xr:uid="{00000000-0005-0000-0000-0000C9710000}"/>
    <cellStyle name="Standard 4 5 3 12" xfId="33473" xr:uid="{00000000-0005-0000-0000-0000CA710000}"/>
    <cellStyle name="Standard 4 5 3 2" xfId="28923" xr:uid="{00000000-0005-0000-0000-0000CB710000}"/>
    <cellStyle name="Standard 4 5 3 2 10" xfId="28924" xr:uid="{00000000-0005-0000-0000-0000CC710000}"/>
    <cellStyle name="Standard 4 5 3 2 2" xfId="28925" xr:uid="{00000000-0005-0000-0000-0000CD710000}"/>
    <cellStyle name="Standard 4 5 3 2 2 2" xfId="28926" xr:uid="{00000000-0005-0000-0000-0000CE710000}"/>
    <cellStyle name="Standard 4 5 3 2 2 2 2" xfId="28927" xr:uid="{00000000-0005-0000-0000-0000CF710000}"/>
    <cellStyle name="Standard 4 5 3 2 2 2 2 2" xfId="28928" xr:uid="{00000000-0005-0000-0000-0000D0710000}"/>
    <cellStyle name="Standard 4 5 3 2 2 2 2 2 2" xfId="28929" xr:uid="{00000000-0005-0000-0000-0000D1710000}"/>
    <cellStyle name="Standard 4 5 3 2 2 2 2 2 3" xfId="28930" xr:uid="{00000000-0005-0000-0000-0000D2710000}"/>
    <cellStyle name="Standard 4 5 3 2 2 2 2 3" xfId="28931" xr:uid="{00000000-0005-0000-0000-0000D3710000}"/>
    <cellStyle name="Standard 4 5 3 2 2 2 2 3 2" xfId="28932" xr:uid="{00000000-0005-0000-0000-0000D4710000}"/>
    <cellStyle name="Standard 4 5 3 2 2 2 2 3 3" xfId="28933" xr:uid="{00000000-0005-0000-0000-0000D5710000}"/>
    <cellStyle name="Standard 4 5 3 2 2 2 2 4" xfId="28934" xr:uid="{00000000-0005-0000-0000-0000D6710000}"/>
    <cellStyle name="Standard 4 5 3 2 2 2 2 4 2" xfId="28935" xr:uid="{00000000-0005-0000-0000-0000D7710000}"/>
    <cellStyle name="Standard 4 5 3 2 2 2 2 5" xfId="28936" xr:uid="{00000000-0005-0000-0000-0000D8710000}"/>
    <cellStyle name="Standard 4 5 3 2 2 2 2 6" xfId="28937" xr:uid="{00000000-0005-0000-0000-0000D9710000}"/>
    <cellStyle name="Standard 4 5 3 2 2 2 3" xfId="28938" xr:uid="{00000000-0005-0000-0000-0000DA710000}"/>
    <cellStyle name="Standard 4 5 3 2 2 2 3 2" xfId="28939" xr:uid="{00000000-0005-0000-0000-0000DB710000}"/>
    <cellStyle name="Standard 4 5 3 2 2 2 3 3" xfId="28940" xr:uid="{00000000-0005-0000-0000-0000DC710000}"/>
    <cellStyle name="Standard 4 5 3 2 2 2 4" xfId="28941" xr:uid="{00000000-0005-0000-0000-0000DD710000}"/>
    <cellStyle name="Standard 4 5 3 2 2 2 4 2" xfId="28942" xr:uid="{00000000-0005-0000-0000-0000DE710000}"/>
    <cellStyle name="Standard 4 5 3 2 2 2 4 3" xfId="28943" xr:uid="{00000000-0005-0000-0000-0000DF710000}"/>
    <cellStyle name="Standard 4 5 3 2 2 2 5" xfId="28944" xr:uid="{00000000-0005-0000-0000-0000E0710000}"/>
    <cellStyle name="Standard 4 5 3 2 2 2 5 2" xfId="28945" xr:uid="{00000000-0005-0000-0000-0000E1710000}"/>
    <cellStyle name="Standard 4 5 3 2 2 2 6" xfId="28946" xr:uid="{00000000-0005-0000-0000-0000E2710000}"/>
    <cellStyle name="Standard 4 5 3 2 2 2 7" xfId="28947" xr:uid="{00000000-0005-0000-0000-0000E3710000}"/>
    <cellStyle name="Standard 4 5 3 2 2 3" xfId="28948" xr:uid="{00000000-0005-0000-0000-0000E4710000}"/>
    <cellStyle name="Standard 4 5 3 2 2 3 2" xfId="28949" xr:uid="{00000000-0005-0000-0000-0000E5710000}"/>
    <cellStyle name="Standard 4 5 3 2 2 3 2 2" xfId="28950" xr:uid="{00000000-0005-0000-0000-0000E6710000}"/>
    <cellStyle name="Standard 4 5 3 2 2 3 2 3" xfId="28951" xr:uid="{00000000-0005-0000-0000-0000E7710000}"/>
    <cellStyle name="Standard 4 5 3 2 2 3 3" xfId="28952" xr:uid="{00000000-0005-0000-0000-0000E8710000}"/>
    <cellStyle name="Standard 4 5 3 2 2 3 3 2" xfId="28953" xr:uid="{00000000-0005-0000-0000-0000E9710000}"/>
    <cellStyle name="Standard 4 5 3 2 2 3 3 3" xfId="28954" xr:uid="{00000000-0005-0000-0000-0000EA710000}"/>
    <cellStyle name="Standard 4 5 3 2 2 3 4" xfId="28955" xr:uid="{00000000-0005-0000-0000-0000EB710000}"/>
    <cellStyle name="Standard 4 5 3 2 2 3 4 2" xfId="28956" xr:uid="{00000000-0005-0000-0000-0000EC710000}"/>
    <cellStyle name="Standard 4 5 3 2 2 3 5" xfId="28957" xr:uid="{00000000-0005-0000-0000-0000ED710000}"/>
    <cellStyle name="Standard 4 5 3 2 2 3 6" xfId="28958" xr:uid="{00000000-0005-0000-0000-0000EE710000}"/>
    <cellStyle name="Standard 4 5 3 2 2 4" xfId="28959" xr:uid="{00000000-0005-0000-0000-0000EF710000}"/>
    <cellStyle name="Standard 4 5 3 2 2 4 2" xfId="28960" xr:uid="{00000000-0005-0000-0000-0000F0710000}"/>
    <cellStyle name="Standard 4 5 3 2 2 4 3" xfId="28961" xr:uid="{00000000-0005-0000-0000-0000F1710000}"/>
    <cellStyle name="Standard 4 5 3 2 2 5" xfId="28962" xr:uid="{00000000-0005-0000-0000-0000F2710000}"/>
    <cellStyle name="Standard 4 5 3 2 2 5 2" xfId="28963" xr:uid="{00000000-0005-0000-0000-0000F3710000}"/>
    <cellStyle name="Standard 4 5 3 2 2 5 3" xfId="28964" xr:uid="{00000000-0005-0000-0000-0000F4710000}"/>
    <cellStyle name="Standard 4 5 3 2 2 6" xfId="28965" xr:uid="{00000000-0005-0000-0000-0000F5710000}"/>
    <cellStyle name="Standard 4 5 3 2 2 6 2" xfId="28966" xr:uid="{00000000-0005-0000-0000-0000F6710000}"/>
    <cellStyle name="Standard 4 5 3 2 2 7" xfId="28967" xr:uid="{00000000-0005-0000-0000-0000F7710000}"/>
    <cellStyle name="Standard 4 5 3 2 2 8" xfId="28968" xr:uid="{00000000-0005-0000-0000-0000F8710000}"/>
    <cellStyle name="Standard 4 5 3 2 3" xfId="28969" xr:uid="{00000000-0005-0000-0000-0000F9710000}"/>
    <cellStyle name="Standard 4 5 3 2 3 2" xfId="28970" xr:uid="{00000000-0005-0000-0000-0000FA710000}"/>
    <cellStyle name="Standard 4 5 3 2 3 2 2" xfId="28971" xr:uid="{00000000-0005-0000-0000-0000FB710000}"/>
    <cellStyle name="Standard 4 5 3 2 3 2 2 2" xfId="28972" xr:uid="{00000000-0005-0000-0000-0000FC710000}"/>
    <cellStyle name="Standard 4 5 3 2 3 2 2 2 2" xfId="28973" xr:uid="{00000000-0005-0000-0000-0000FD710000}"/>
    <cellStyle name="Standard 4 5 3 2 3 2 2 2 3" xfId="28974" xr:uid="{00000000-0005-0000-0000-0000FE710000}"/>
    <cellStyle name="Standard 4 5 3 2 3 2 2 3" xfId="28975" xr:uid="{00000000-0005-0000-0000-0000FF710000}"/>
    <cellStyle name="Standard 4 5 3 2 3 2 2 3 2" xfId="28976" xr:uid="{00000000-0005-0000-0000-000000720000}"/>
    <cellStyle name="Standard 4 5 3 2 3 2 2 3 3" xfId="28977" xr:uid="{00000000-0005-0000-0000-000001720000}"/>
    <cellStyle name="Standard 4 5 3 2 3 2 2 4" xfId="28978" xr:uid="{00000000-0005-0000-0000-000002720000}"/>
    <cellStyle name="Standard 4 5 3 2 3 2 2 4 2" xfId="28979" xr:uid="{00000000-0005-0000-0000-000003720000}"/>
    <cellStyle name="Standard 4 5 3 2 3 2 2 5" xfId="28980" xr:uid="{00000000-0005-0000-0000-000004720000}"/>
    <cellStyle name="Standard 4 5 3 2 3 2 2 6" xfId="28981" xr:uid="{00000000-0005-0000-0000-000005720000}"/>
    <cellStyle name="Standard 4 5 3 2 3 2 3" xfId="28982" xr:uid="{00000000-0005-0000-0000-000006720000}"/>
    <cellStyle name="Standard 4 5 3 2 3 2 3 2" xfId="28983" xr:uid="{00000000-0005-0000-0000-000007720000}"/>
    <cellStyle name="Standard 4 5 3 2 3 2 3 3" xfId="28984" xr:uid="{00000000-0005-0000-0000-000008720000}"/>
    <cellStyle name="Standard 4 5 3 2 3 2 4" xfId="28985" xr:uid="{00000000-0005-0000-0000-000009720000}"/>
    <cellStyle name="Standard 4 5 3 2 3 2 4 2" xfId="28986" xr:uid="{00000000-0005-0000-0000-00000A720000}"/>
    <cellStyle name="Standard 4 5 3 2 3 2 4 3" xfId="28987" xr:uid="{00000000-0005-0000-0000-00000B720000}"/>
    <cellStyle name="Standard 4 5 3 2 3 2 5" xfId="28988" xr:uid="{00000000-0005-0000-0000-00000C720000}"/>
    <cellStyle name="Standard 4 5 3 2 3 2 5 2" xfId="28989" xr:uid="{00000000-0005-0000-0000-00000D720000}"/>
    <cellStyle name="Standard 4 5 3 2 3 2 6" xfId="28990" xr:uid="{00000000-0005-0000-0000-00000E720000}"/>
    <cellStyle name="Standard 4 5 3 2 3 2 7" xfId="28991" xr:uid="{00000000-0005-0000-0000-00000F720000}"/>
    <cellStyle name="Standard 4 5 3 2 3 3" xfId="28992" xr:uid="{00000000-0005-0000-0000-000010720000}"/>
    <cellStyle name="Standard 4 5 3 2 3 3 2" xfId="28993" xr:uid="{00000000-0005-0000-0000-000011720000}"/>
    <cellStyle name="Standard 4 5 3 2 3 3 2 2" xfId="28994" xr:uid="{00000000-0005-0000-0000-000012720000}"/>
    <cellStyle name="Standard 4 5 3 2 3 3 2 3" xfId="28995" xr:uid="{00000000-0005-0000-0000-000013720000}"/>
    <cellStyle name="Standard 4 5 3 2 3 3 3" xfId="28996" xr:uid="{00000000-0005-0000-0000-000014720000}"/>
    <cellStyle name="Standard 4 5 3 2 3 3 3 2" xfId="28997" xr:uid="{00000000-0005-0000-0000-000015720000}"/>
    <cellStyle name="Standard 4 5 3 2 3 3 3 3" xfId="28998" xr:uid="{00000000-0005-0000-0000-000016720000}"/>
    <cellStyle name="Standard 4 5 3 2 3 3 4" xfId="28999" xr:uid="{00000000-0005-0000-0000-000017720000}"/>
    <cellStyle name="Standard 4 5 3 2 3 3 4 2" xfId="29000" xr:uid="{00000000-0005-0000-0000-000018720000}"/>
    <cellStyle name="Standard 4 5 3 2 3 3 5" xfId="29001" xr:uid="{00000000-0005-0000-0000-000019720000}"/>
    <cellStyle name="Standard 4 5 3 2 3 3 6" xfId="29002" xr:uid="{00000000-0005-0000-0000-00001A720000}"/>
    <cellStyle name="Standard 4 5 3 2 3 4" xfId="29003" xr:uid="{00000000-0005-0000-0000-00001B720000}"/>
    <cellStyle name="Standard 4 5 3 2 3 4 2" xfId="29004" xr:uid="{00000000-0005-0000-0000-00001C720000}"/>
    <cellStyle name="Standard 4 5 3 2 3 4 3" xfId="29005" xr:uid="{00000000-0005-0000-0000-00001D720000}"/>
    <cellStyle name="Standard 4 5 3 2 3 5" xfId="29006" xr:uid="{00000000-0005-0000-0000-00001E720000}"/>
    <cellStyle name="Standard 4 5 3 2 3 5 2" xfId="29007" xr:uid="{00000000-0005-0000-0000-00001F720000}"/>
    <cellStyle name="Standard 4 5 3 2 3 5 3" xfId="29008" xr:uid="{00000000-0005-0000-0000-000020720000}"/>
    <cellStyle name="Standard 4 5 3 2 3 6" xfId="29009" xr:uid="{00000000-0005-0000-0000-000021720000}"/>
    <cellStyle name="Standard 4 5 3 2 3 6 2" xfId="29010" xr:uid="{00000000-0005-0000-0000-000022720000}"/>
    <cellStyle name="Standard 4 5 3 2 3 7" xfId="29011" xr:uid="{00000000-0005-0000-0000-000023720000}"/>
    <cellStyle name="Standard 4 5 3 2 3 8" xfId="29012" xr:uid="{00000000-0005-0000-0000-000024720000}"/>
    <cellStyle name="Standard 4 5 3 2 4" xfId="29013" xr:uid="{00000000-0005-0000-0000-000025720000}"/>
    <cellStyle name="Standard 4 5 3 2 4 2" xfId="29014" xr:uid="{00000000-0005-0000-0000-000026720000}"/>
    <cellStyle name="Standard 4 5 3 2 4 2 2" xfId="29015" xr:uid="{00000000-0005-0000-0000-000027720000}"/>
    <cellStyle name="Standard 4 5 3 2 4 2 2 2" xfId="29016" xr:uid="{00000000-0005-0000-0000-000028720000}"/>
    <cellStyle name="Standard 4 5 3 2 4 2 2 3" xfId="29017" xr:uid="{00000000-0005-0000-0000-000029720000}"/>
    <cellStyle name="Standard 4 5 3 2 4 2 3" xfId="29018" xr:uid="{00000000-0005-0000-0000-00002A720000}"/>
    <cellStyle name="Standard 4 5 3 2 4 2 3 2" xfId="29019" xr:uid="{00000000-0005-0000-0000-00002B720000}"/>
    <cellStyle name="Standard 4 5 3 2 4 2 3 3" xfId="29020" xr:uid="{00000000-0005-0000-0000-00002C720000}"/>
    <cellStyle name="Standard 4 5 3 2 4 2 4" xfId="29021" xr:uid="{00000000-0005-0000-0000-00002D720000}"/>
    <cellStyle name="Standard 4 5 3 2 4 2 4 2" xfId="29022" xr:uid="{00000000-0005-0000-0000-00002E720000}"/>
    <cellStyle name="Standard 4 5 3 2 4 2 5" xfId="29023" xr:uid="{00000000-0005-0000-0000-00002F720000}"/>
    <cellStyle name="Standard 4 5 3 2 4 2 6" xfId="29024" xr:uid="{00000000-0005-0000-0000-000030720000}"/>
    <cellStyle name="Standard 4 5 3 2 4 3" xfId="29025" xr:uid="{00000000-0005-0000-0000-000031720000}"/>
    <cellStyle name="Standard 4 5 3 2 4 3 2" xfId="29026" xr:uid="{00000000-0005-0000-0000-000032720000}"/>
    <cellStyle name="Standard 4 5 3 2 4 3 3" xfId="29027" xr:uid="{00000000-0005-0000-0000-000033720000}"/>
    <cellStyle name="Standard 4 5 3 2 4 4" xfId="29028" xr:uid="{00000000-0005-0000-0000-000034720000}"/>
    <cellStyle name="Standard 4 5 3 2 4 4 2" xfId="29029" xr:uid="{00000000-0005-0000-0000-000035720000}"/>
    <cellStyle name="Standard 4 5 3 2 4 4 3" xfId="29030" xr:uid="{00000000-0005-0000-0000-000036720000}"/>
    <cellStyle name="Standard 4 5 3 2 4 5" xfId="29031" xr:uid="{00000000-0005-0000-0000-000037720000}"/>
    <cellStyle name="Standard 4 5 3 2 4 5 2" xfId="29032" xr:uid="{00000000-0005-0000-0000-000038720000}"/>
    <cellStyle name="Standard 4 5 3 2 4 6" xfId="29033" xr:uid="{00000000-0005-0000-0000-000039720000}"/>
    <cellStyle name="Standard 4 5 3 2 4 7" xfId="29034" xr:uid="{00000000-0005-0000-0000-00003A720000}"/>
    <cellStyle name="Standard 4 5 3 2 5" xfId="29035" xr:uid="{00000000-0005-0000-0000-00003B720000}"/>
    <cellStyle name="Standard 4 5 3 2 5 2" xfId="29036" xr:uid="{00000000-0005-0000-0000-00003C720000}"/>
    <cellStyle name="Standard 4 5 3 2 5 2 2" xfId="29037" xr:uid="{00000000-0005-0000-0000-00003D720000}"/>
    <cellStyle name="Standard 4 5 3 2 5 2 3" xfId="29038" xr:uid="{00000000-0005-0000-0000-00003E720000}"/>
    <cellStyle name="Standard 4 5 3 2 5 3" xfId="29039" xr:uid="{00000000-0005-0000-0000-00003F720000}"/>
    <cellStyle name="Standard 4 5 3 2 5 3 2" xfId="29040" xr:uid="{00000000-0005-0000-0000-000040720000}"/>
    <cellStyle name="Standard 4 5 3 2 5 3 3" xfId="29041" xr:uid="{00000000-0005-0000-0000-000041720000}"/>
    <cellStyle name="Standard 4 5 3 2 5 4" xfId="29042" xr:uid="{00000000-0005-0000-0000-000042720000}"/>
    <cellStyle name="Standard 4 5 3 2 5 4 2" xfId="29043" xr:uid="{00000000-0005-0000-0000-000043720000}"/>
    <cellStyle name="Standard 4 5 3 2 5 5" xfId="29044" xr:uid="{00000000-0005-0000-0000-000044720000}"/>
    <cellStyle name="Standard 4 5 3 2 5 6" xfId="29045" xr:uid="{00000000-0005-0000-0000-000045720000}"/>
    <cellStyle name="Standard 4 5 3 2 6" xfId="29046" xr:uid="{00000000-0005-0000-0000-000046720000}"/>
    <cellStyle name="Standard 4 5 3 2 6 2" xfId="29047" xr:uid="{00000000-0005-0000-0000-000047720000}"/>
    <cellStyle name="Standard 4 5 3 2 6 3" xfId="29048" xr:uid="{00000000-0005-0000-0000-000048720000}"/>
    <cellStyle name="Standard 4 5 3 2 7" xfId="29049" xr:uid="{00000000-0005-0000-0000-000049720000}"/>
    <cellStyle name="Standard 4 5 3 2 7 2" xfId="29050" xr:uid="{00000000-0005-0000-0000-00004A720000}"/>
    <cellStyle name="Standard 4 5 3 2 7 3" xfId="29051" xr:uid="{00000000-0005-0000-0000-00004B720000}"/>
    <cellStyle name="Standard 4 5 3 2 8" xfId="29052" xr:uid="{00000000-0005-0000-0000-00004C720000}"/>
    <cellStyle name="Standard 4 5 3 2 8 2" xfId="29053" xr:uid="{00000000-0005-0000-0000-00004D720000}"/>
    <cellStyle name="Standard 4 5 3 2 9" xfId="29054" xr:uid="{00000000-0005-0000-0000-00004E720000}"/>
    <cellStyle name="Standard 4 5 3 3" xfId="29055" xr:uid="{00000000-0005-0000-0000-00004F720000}"/>
    <cellStyle name="Standard 4 5 3 3 2" xfId="29056" xr:uid="{00000000-0005-0000-0000-000050720000}"/>
    <cellStyle name="Standard 4 5 3 3 2 2" xfId="29057" xr:uid="{00000000-0005-0000-0000-000051720000}"/>
    <cellStyle name="Standard 4 5 3 3 2 2 2" xfId="29058" xr:uid="{00000000-0005-0000-0000-000052720000}"/>
    <cellStyle name="Standard 4 5 3 3 2 2 2 2" xfId="29059" xr:uid="{00000000-0005-0000-0000-000053720000}"/>
    <cellStyle name="Standard 4 5 3 3 2 2 2 3" xfId="29060" xr:uid="{00000000-0005-0000-0000-000054720000}"/>
    <cellStyle name="Standard 4 5 3 3 2 2 3" xfId="29061" xr:uid="{00000000-0005-0000-0000-000055720000}"/>
    <cellStyle name="Standard 4 5 3 3 2 2 3 2" xfId="29062" xr:uid="{00000000-0005-0000-0000-000056720000}"/>
    <cellStyle name="Standard 4 5 3 3 2 2 3 3" xfId="29063" xr:uid="{00000000-0005-0000-0000-000057720000}"/>
    <cellStyle name="Standard 4 5 3 3 2 2 4" xfId="29064" xr:uid="{00000000-0005-0000-0000-000058720000}"/>
    <cellStyle name="Standard 4 5 3 3 2 2 4 2" xfId="29065" xr:uid="{00000000-0005-0000-0000-000059720000}"/>
    <cellStyle name="Standard 4 5 3 3 2 2 5" xfId="29066" xr:uid="{00000000-0005-0000-0000-00005A720000}"/>
    <cellStyle name="Standard 4 5 3 3 2 2 6" xfId="29067" xr:uid="{00000000-0005-0000-0000-00005B720000}"/>
    <cellStyle name="Standard 4 5 3 3 2 3" xfId="29068" xr:uid="{00000000-0005-0000-0000-00005C720000}"/>
    <cellStyle name="Standard 4 5 3 3 2 3 2" xfId="29069" xr:uid="{00000000-0005-0000-0000-00005D720000}"/>
    <cellStyle name="Standard 4 5 3 3 2 3 3" xfId="29070" xr:uid="{00000000-0005-0000-0000-00005E720000}"/>
    <cellStyle name="Standard 4 5 3 3 2 4" xfId="29071" xr:uid="{00000000-0005-0000-0000-00005F720000}"/>
    <cellStyle name="Standard 4 5 3 3 2 4 2" xfId="29072" xr:uid="{00000000-0005-0000-0000-000060720000}"/>
    <cellStyle name="Standard 4 5 3 3 2 4 3" xfId="29073" xr:uid="{00000000-0005-0000-0000-000061720000}"/>
    <cellStyle name="Standard 4 5 3 3 2 5" xfId="29074" xr:uid="{00000000-0005-0000-0000-000062720000}"/>
    <cellStyle name="Standard 4 5 3 3 2 5 2" xfId="29075" xr:uid="{00000000-0005-0000-0000-000063720000}"/>
    <cellStyle name="Standard 4 5 3 3 2 6" xfId="29076" xr:uid="{00000000-0005-0000-0000-000064720000}"/>
    <cellStyle name="Standard 4 5 3 3 2 7" xfId="29077" xr:uid="{00000000-0005-0000-0000-000065720000}"/>
    <cellStyle name="Standard 4 5 3 3 3" xfId="29078" xr:uid="{00000000-0005-0000-0000-000066720000}"/>
    <cellStyle name="Standard 4 5 3 3 3 2" xfId="29079" xr:uid="{00000000-0005-0000-0000-000067720000}"/>
    <cellStyle name="Standard 4 5 3 3 3 2 2" xfId="29080" xr:uid="{00000000-0005-0000-0000-000068720000}"/>
    <cellStyle name="Standard 4 5 3 3 3 2 3" xfId="29081" xr:uid="{00000000-0005-0000-0000-000069720000}"/>
    <cellStyle name="Standard 4 5 3 3 3 3" xfId="29082" xr:uid="{00000000-0005-0000-0000-00006A720000}"/>
    <cellStyle name="Standard 4 5 3 3 3 3 2" xfId="29083" xr:uid="{00000000-0005-0000-0000-00006B720000}"/>
    <cellStyle name="Standard 4 5 3 3 3 3 3" xfId="29084" xr:uid="{00000000-0005-0000-0000-00006C720000}"/>
    <cellStyle name="Standard 4 5 3 3 3 4" xfId="29085" xr:uid="{00000000-0005-0000-0000-00006D720000}"/>
    <cellStyle name="Standard 4 5 3 3 3 4 2" xfId="29086" xr:uid="{00000000-0005-0000-0000-00006E720000}"/>
    <cellStyle name="Standard 4 5 3 3 3 5" xfId="29087" xr:uid="{00000000-0005-0000-0000-00006F720000}"/>
    <cellStyle name="Standard 4 5 3 3 3 6" xfId="29088" xr:uid="{00000000-0005-0000-0000-000070720000}"/>
    <cellStyle name="Standard 4 5 3 3 4" xfId="29089" xr:uid="{00000000-0005-0000-0000-000071720000}"/>
    <cellStyle name="Standard 4 5 3 3 4 2" xfId="29090" xr:uid="{00000000-0005-0000-0000-000072720000}"/>
    <cellStyle name="Standard 4 5 3 3 4 3" xfId="29091" xr:uid="{00000000-0005-0000-0000-000073720000}"/>
    <cellStyle name="Standard 4 5 3 3 5" xfId="29092" xr:uid="{00000000-0005-0000-0000-000074720000}"/>
    <cellStyle name="Standard 4 5 3 3 5 2" xfId="29093" xr:uid="{00000000-0005-0000-0000-000075720000}"/>
    <cellStyle name="Standard 4 5 3 3 5 3" xfId="29094" xr:uid="{00000000-0005-0000-0000-000076720000}"/>
    <cellStyle name="Standard 4 5 3 3 6" xfId="29095" xr:uid="{00000000-0005-0000-0000-000077720000}"/>
    <cellStyle name="Standard 4 5 3 3 6 2" xfId="29096" xr:uid="{00000000-0005-0000-0000-000078720000}"/>
    <cellStyle name="Standard 4 5 3 3 7" xfId="29097" xr:uid="{00000000-0005-0000-0000-000079720000}"/>
    <cellStyle name="Standard 4 5 3 3 8" xfId="29098" xr:uid="{00000000-0005-0000-0000-00007A720000}"/>
    <cellStyle name="Standard 4 5 3 4" xfId="29099" xr:uid="{00000000-0005-0000-0000-00007B720000}"/>
    <cellStyle name="Standard 4 5 3 4 2" xfId="29100" xr:uid="{00000000-0005-0000-0000-00007C720000}"/>
    <cellStyle name="Standard 4 5 3 4 2 2" xfId="29101" xr:uid="{00000000-0005-0000-0000-00007D720000}"/>
    <cellStyle name="Standard 4 5 3 4 2 2 2" xfId="29102" xr:uid="{00000000-0005-0000-0000-00007E720000}"/>
    <cellStyle name="Standard 4 5 3 4 2 2 2 2" xfId="29103" xr:uid="{00000000-0005-0000-0000-00007F720000}"/>
    <cellStyle name="Standard 4 5 3 4 2 2 2 3" xfId="29104" xr:uid="{00000000-0005-0000-0000-000080720000}"/>
    <cellStyle name="Standard 4 5 3 4 2 2 3" xfId="29105" xr:uid="{00000000-0005-0000-0000-000081720000}"/>
    <cellStyle name="Standard 4 5 3 4 2 2 3 2" xfId="29106" xr:uid="{00000000-0005-0000-0000-000082720000}"/>
    <cellStyle name="Standard 4 5 3 4 2 2 3 3" xfId="29107" xr:uid="{00000000-0005-0000-0000-000083720000}"/>
    <cellStyle name="Standard 4 5 3 4 2 2 4" xfId="29108" xr:uid="{00000000-0005-0000-0000-000084720000}"/>
    <cellStyle name="Standard 4 5 3 4 2 2 4 2" xfId="29109" xr:uid="{00000000-0005-0000-0000-000085720000}"/>
    <cellStyle name="Standard 4 5 3 4 2 2 5" xfId="29110" xr:uid="{00000000-0005-0000-0000-000086720000}"/>
    <cellStyle name="Standard 4 5 3 4 2 2 6" xfId="29111" xr:uid="{00000000-0005-0000-0000-000087720000}"/>
    <cellStyle name="Standard 4 5 3 4 2 3" xfId="29112" xr:uid="{00000000-0005-0000-0000-000088720000}"/>
    <cellStyle name="Standard 4 5 3 4 2 3 2" xfId="29113" xr:uid="{00000000-0005-0000-0000-000089720000}"/>
    <cellStyle name="Standard 4 5 3 4 2 3 3" xfId="29114" xr:uid="{00000000-0005-0000-0000-00008A720000}"/>
    <cellStyle name="Standard 4 5 3 4 2 4" xfId="29115" xr:uid="{00000000-0005-0000-0000-00008B720000}"/>
    <cellStyle name="Standard 4 5 3 4 2 4 2" xfId="29116" xr:uid="{00000000-0005-0000-0000-00008C720000}"/>
    <cellStyle name="Standard 4 5 3 4 2 4 3" xfId="29117" xr:uid="{00000000-0005-0000-0000-00008D720000}"/>
    <cellStyle name="Standard 4 5 3 4 2 5" xfId="29118" xr:uid="{00000000-0005-0000-0000-00008E720000}"/>
    <cellStyle name="Standard 4 5 3 4 2 5 2" xfId="29119" xr:uid="{00000000-0005-0000-0000-00008F720000}"/>
    <cellStyle name="Standard 4 5 3 4 2 6" xfId="29120" xr:uid="{00000000-0005-0000-0000-000090720000}"/>
    <cellStyle name="Standard 4 5 3 4 2 7" xfId="29121" xr:uid="{00000000-0005-0000-0000-000091720000}"/>
    <cellStyle name="Standard 4 5 3 4 3" xfId="29122" xr:uid="{00000000-0005-0000-0000-000092720000}"/>
    <cellStyle name="Standard 4 5 3 4 3 2" xfId="29123" xr:uid="{00000000-0005-0000-0000-000093720000}"/>
    <cellStyle name="Standard 4 5 3 4 3 2 2" xfId="29124" xr:uid="{00000000-0005-0000-0000-000094720000}"/>
    <cellStyle name="Standard 4 5 3 4 3 2 3" xfId="29125" xr:uid="{00000000-0005-0000-0000-000095720000}"/>
    <cellStyle name="Standard 4 5 3 4 3 3" xfId="29126" xr:uid="{00000000-0005-0000-0000-000096720000}"/>
    <cellStyle name="Standard 4 5 3 4 3 3 2" xfId="29127" xr:uid="{00000000-0005-0000-0000-000097720000}"/>
    <cellStyle name="Standard 4 5 3 4 3 3 3" xfId="29128" xr:uid="{00000000-0005-0000-0000-000098720000}"/>
    <cellStyle name="Standard 4 5 3 4 3 4" xfId="29129" xr:uid="{00000000-0005-0000-0000-000099720000}"/>
    <cellStyle name="Standard 4 5 3 4 3 4 2" xfId="29130" xr:uid="{00000000-0005-0000-0000-00009A720000}"/>
    <cellStyle name="Standard 4 5 3 4 3 5" xfId="29131" xr:uid="{00000000-0005-0000-0000-00009B720000}"/>
    <cellStyle name="Standard 4 5 3 4 3 6" xfId="29132" xr:uid="{00000000-0005-0000-0000-00009C720000}"/>
    <cellStyle name="Standard 4 5 3 4 4" xfId="29133" xr:uid="{00000000-0005-0000-0000-00009D720000}"/>
    <cellStyle name="Standard 4 5 3 4 4 2" xfId="29134" xr:uid="{00000000-0005-0000-0000-00009E720000}"/>
    <cellStyle name="Standard 4 5 3 4 4 3" xfId="29135" xr:uid="{00000000-0005-0000-0000-00009F720000}"/>
    <cellStyle name="Standard 4 5 3 4 5" xfId="29136" xr:uid="{00000000-0005-0000-0000-0000A0720000}"/>
    <cellStyle name="Standard 4 5 3 4 5 2" xfId="29137" xr:uid="{00000000-0005-0000-0000-0000A1720000}"/>
    <cellStyle name="Standard 4 5 3 4 5 3" xfId="29138" xr:uid="{00000000-0005-0000-0000-0000A2720000}"/>
    <cellStyle name="Standard 4 5 3 4 6" xfId="29139" xr:uid="{00000000-0005-0000-0000-0000A3720000}"/>
    <cellStyle name="Standard 4 5 3 4 6 2" xfId="29140" xr:uid="{00000000-0005-0000-0000-0000A4720000}"/>
    <cellStyle name="Standard 4 5 3 4 7" xfId="29141" xr:uid="{00000000-0005-0000-0000-0000A5720000}"/>
    <cellStyle name="Standard 4 5 3 4 8" xfId="29142" xr:uid="{00000000-0005-0000-0000-0000A6720000}"/>
    <cellStyle name="Standard 4 5 3 5" xfId="29143" xr:uid="{00000000-0005-0000-0000-0000A7720000}"/>
    <cellStyle name="Standard 4 5 3 5 2" xfId="29144" xr:uid="{00000000-0005-0000-0000-0000A8720000}"/>
    <cellStyle name="Standard 4 5 3 5 2 2" xfId="29145" xr:uid="{00000000-0005-0000-0000-0000A9720000}"/>
    <cellStyle name="Standard 4 5 3 5 2 2 2" xfId="29146" xr:uid="{00000000-0005-0000-0000-0000AA720000}"/>
    <cellStyle name="Standard 4 5 3 5 2 2 3" xfId="29147" xr:uid="{00000000-0005-0000-0000-0000AB720000}"/>
    <cellStyle name="Standard 4 5 3 5 2 3" xfId="29148" xr:uid="{00000000-0005-0000-0000-0000AC720000}"/>
    <cellStyle name="Standard 4 5 3 5 2 3 2" xfId="29149" xr:uid="{00000000-0005-0000-0000-0000AD720000}"/>
    <cellStyle name="Standard 4 5 3 5 2 3 3" xfId="29150" xr:uid="{00000000-0005-0000-0000-0000AE720000}"/>
    <cellStyle name="Standard 4 5 3 5 2 4" xfId="29151" xr:uid="{00000000-0005-0000-0000-0000AF720000}"/>
    <cellStyle name="Standard 4 5 3 5 2 4 2" xfId="29152" xr:uid="{00000000-0005-0000-0000-0000B0720000}"/>
    <cellStyle name="Standard 4 5 3 5 2 5" xfId="29153" xr:uid="{00000000-0005-0000-0000-0000B1720000}"/>
    <cellStyle name="Standard 4 5 3 5 2 6" xfId="29154" xr:uid="{00000000-0005-0000-0000-0000B2720000}"/>
    <cellStyle name="Standard 4 5 3 5 3" xfId="29155" xr:uid="{00000000-0005-0000-0000-0000B3720000}"/>
    <cellStyle name="Standard 4 5 3 5 3 2" xfId="29156" xr:uid="{00000000-0005-0000-0000-0000B4720000}"/>
    <cellStyle name="Standard 4 5 3 5 3 3" xfId="29157" xr:uid="{00000000-0005-0000-0000-0000B5720000}"/>
    <cellStyle name="Standard 4 5 3 5 4" xfId="29158" xr:uid="{00000000-0005-0000-0000-0000B6720000}"/>
    <cellStyle name="Standard 4 5 3 5 4 2" xfId="29159" xr:uid="{00000000-0005-0000-0000-0000B7720000}"/>
    <cellStyle name="Standard 4 5 3 5 4 3" xfId="29160" xr:uid="{00000000-0005-0000-0000-0000B8720000}"/>
    <cellStyle name="Standard 4 5 3 5 5" xfId="29161" xr:uid="{00000000-0005-0000-0000-0000B9720000}"/>
    <cellStyle name="Standard 4 5 3 5 5 2" xfId="29162" xr:uid="{00000000-0005-0000-0000-0000BA720000}"/>
    <cellStyle name="Standard 4 5 3 5 6" xfId="29163" xr:uid="{00000000-0005-0000-0000-0000BB720000}"/>
    <cellStyle name="Standard 4 5 3 5 7" xfId="29164" xr:uid="{00000000-0005-0000-0000-0000BC720000}"/>
    <cellStyle name="Standard 4 5 3 6" xfId="29165" xr:uid="{00000000-0005-0000-0000-0000BD720000}"/>
    <cellStyle name="Standard 4 5 3 6 2" xfId="29166" xr:uid="{00000000-0005-0000-0000-0000BE720000}"/>
    <cellStyle name="Standard 4 5 3 6 2 2" xfId="29167" xr:uid="{00000000-0005-0000-0000-0000BF720000}"/>
    <cellStyle name="Standard 4 5 3 6 2 3" xfId="29168" xr:uid="{00000000-0005-0000-0000-0000C0720000}"/>
    <cellStyle name="Standard 4 5 3 6 3" xfId="29169" xr:uid="{00000000-0005-0000-0000-0000C1720000}"/>
    <cellStyle name="Standard 4 5 3 6 3 2" xfId="29170" xr:uid="{00000000-0005-0000-0000-0000C2720000}"/>
    <cellStyle name="Standard 4 5 3 6 3 3" xfId="29171" xr:uid="{00000000-0005-0000-0000-0000C3720000}"/>
    <cellStyle name="Standard 4 5 3 6 4" xfId="29172" xr:uid="{00000000-0005-0000-0000-0000C4720000}"/>
    <cellStyle name="Standard 4 5 3 6 4 2" xfId="29173" xr:uid="{00000000-0005-0000-0000-0000C5720000}"/>
    <cellStyle name="Standard 4 5 3 6 5" xfId="29174" xr:uid="{00000000-0005-0000-0000-0000C6720000}"/>
    <cellStyle name="Standard 4 5 3 6 6" xfId="29175" xr:uid="{00000000-0005-0000-0000-0000C7720000}"/>
    <cellStyle name="Standard 4 5 3 7" xfId="29176" xr:uid="{00000000-0005-0000-0000-0000C8720000}"/>
    <cellStyle name="Standard 4 5 3 7 2" xfId="29177" xr:uid="{00000000-0005-0000-0000-0000C9720000}"/>
    <cellStyle name="Standard 4 5 3 7 3" xfId="29178" xr:uid="{00000000-0005-0000-0000-0000CA720000}"/>
    <cellStyle name="Standard 4 5 3 8" xfId="29179" xr:uid="{00000000-0005-0000-0000-0000CB720000}"/>
    <cellStyle name="Standard 4 5 3 8 2" xfId="29180" xr:uid="{00000000-0005-0000-0000-0000CC720000}"/>
    <cellStyle name="Standard 4 5 3 8 3" xfId="29181" xr:uid="{00000000-0005-0000-0000-0000CD720000}"/>
    <cellStyle name="Standard 4 5 3 9" xfId="29182" xr:uid="{00000000-0005-0000-0000-0000CE720000}"/>
    <cellStyle name="Standard 4 5 3 9 2" xfId="29183" xr:uid="{00000000-0005-0000-0000-0000CF720000}"/>
    <cellStyle name="Standard 4 5 4" xfId="29184" xr:uid="{00000000-0005-0000-0000-0000D0720000}"/>
    <cellStyle name="Standard 4 5 4 10" xfId="29185" xr:uid="{00000000-0005-0000-0000-0000D1720000}"/>
    <cellStyle name="Standard 4 5 4 11" xfId="29186" xr:uid="{00000000-0005-0000-0000-0000D2720000}"/>
    <cellStyle name="Standard 4 5 4 2" xfId="29187" xr:uid="{00000000-0005-0000-0000-0000D3720000}"/>
    <cellStyle name="Standard 4 5 4 2 10" xfId="29188" xr:uid="{00000000-0005-0000-0000-0000D4720000}"/>
    <cellStyle name="Standard 4 5 4 2 2" xfId="29189" xr:uid="{00000000-0005-0000-0000-0000D5720000}"/>
    <cellStyle name="Standard 4 5 4 2 2 2" xfId="29190" xr:uid="{00000000-0005-0000-0000-0000D6720000}"/>
    <cellStyle name="Standard 4 5 4 2 2 2 2" xfId="29191" xr:uid="{00000000-0005-0000-0000-0000D7720000}"/>
    <cellStyle name="Standard 4 5 4 2 2 2 2 2" xfId="29192" xr:uid="{00000000-0005-0000-0000-0000D8720000}"/>
    <cellStyle name="Standard 4 5 4 2 2 2 2 2 2" xfId="29193" xr:uid="{00000000-0005-0000-0000-0000D9720000}"/>
    <cellStyle name="Standard 4 5 4 2 2 2 2 2 3" xfId="29194" xr:uid="{00000000-0005-0000-0000-0000DA720000}"/>
    <cellStyle name="Standard 4 5 4 2 2 2 2 3" xfId="29195" xr:uid="{00000000-0005-0000-0000-0000DB720000}"/>
    <cellStyle name="Standard 4 5 4 2 2 2 2 3 2" xfId="29196" xr:uid="{00000000-0005-0000-0000-0000DC720000}"/>
    <cellStyle name="Standard 4 5 4 2 2 2 2 3 3" xfId="29197" xr:uid="{00000000-0005-0000-0000-0000DD720000}"/>
    <cellStyle name="Standard 4 5 4 2 2 2 2 4" xfId="29198" xr:uid="{00000000-0005-0000-0000-0000DE720000}"/>
    <cellStyle name="Standard 4 5 4 2 2 2 2 4 2" xfId="29199" xr:uid="{00000000-0005-0000-0000-0000DF720000}"/>
    <cellStyle name="Standard 4 5 4 2 2 2 2 5" xfId="29200" xr:uid="{00000000-0005-0000-0000-0000E0720000}"/>
    <cellStyle name="Standard 4 5 4 2 2 2 2 6" xfId="29201" xr:uid="{00000000-0005-0000-0000-0000E1720000}"/>
    <cellStyle name="Standard 4 5 4 2 2 2 3" xfId="29202" xr:uid="{00000000-0005-0000-0000-0000E2720000}"/>
    <cellStyle name="Standard 4 5 4 2 2 2 3 2" xfId="29203" xr:uid="{00000000-0005-0000-0000-0000E3720000}"/>
    <cellStyle name="Standard 4 5 4 2 2 2 3 3" xfId="29204" xr:uid="{00000000-0005-0000-0000-0000E4720000}"/>
    <cellStyle name="Standard 4 5 4 2 2 2 4" xfId="29205" xr:uid="{00000000-0005-0000-0000-0000E5720000}"/>
    <cellStyle name="Standard 4 5 4 2 2 2 4 2" xfId="29206" xr:uid="{00000000-0005-0000-0000-0000E6720000}"/>
    <cellStyle name="Standard 4 5 4 2 2 2 4 3" xfId="29207" xr:uid="{00000000-0005-0000-0000-0000E7720000}"/>
    <cellStyle name="Standard 4 5 4 2 2 2 5" xfId="29208" xr:uid="{00000000-0005-0000-0000-0000E8720000}"/>
    <cellStyle name="Standard 4 5 4 2 2 2 5 2" xfId="29209" xr:uid="{00000000-0005-0000-0000-0000E9720000}"/>
    <cellStyle name="Standard 4 5 4 2 2 2 6" xfId="29210" xr:uid="{00000000-0005-0000-0000-0000EA720000}"/>
    <cellStyle name="Standard 4 5 4 2 2 2 7" xfId="29211" xr:uid="{00000000-0005-0000-0000-0000EB720000}"/>
    <cellStyle name="Standard 4 5 4 2 2 3" xfId="29212" xr:uid="{00000000-0005-0000-0000-0000EC720000}"/>
    <cellStyle name="Standard 4 5 4 2 2 3 2" xfId="29213" xr:uid="{00000000-0005-0000-0000-0000ED720000}"/>
    <cellStyle name="Standard 4 5 4 2 2 3 2 2" xfId="29214" xr:uid="{00000000-0005-0000-0000-0000EE720000}"/>
    <cellStyle name="Standard 4 5 4 2 2 3 2 3" xfId="29215" xr:uid="{00000000-0005-0000-0000-0000EF720000}"/>
    <cellStyle name="Standard 4 5 4 2 2 3 3" xfId="29216" xr:uid="{00000000-0005-0000-0000-0000F0720000}"/>
    <cellStyle name="Standard 4 5 4 2 2 3 3 2" xfId="29217" xr:uid="{00000000-0005-0000-0000-0000F1720000}"/>
    <cellStyle name="Standard 4 5 4 2 2 3 3 3" xfId="29218" xr:uid="{00000000-0005-0000-0000-0000F2720000}"/>
    <cellStyle name="Standard 4 5 4 2 2 3 4" xfId="29219" xr:uid="{00000000-0005-0000-0000-0000F3720000}"/>
    <cellStyle name="Standard 4 5 4 2 2 3 4 2" xfId="29220" xr:uid="{00000000-0005-0000-0000-0000F4720000}"/>
    <cellStyle name="Standard 4 5 4 2 2 3 5" xfId="29221" xr:uid="{00000000-0005-0000-0000-0000F5720000}"/>
    <cellStyle name="Standard 4 5 4 2 2 3 6" xfId="29222" xr:uid="{00000000-0005-0000-0000-0000F6720000}"/>
    <cellStyle name="Standard 4 5 4 2 2 4" xfId="29223" xr:uid="{00000000-0005-0000-0000-0000F7720000}"/>
    <cellStyle name="Standard 4 5 4 2 2 4 2" xfId="29224" xr:uid="{00000000-0005-0000-0000-0000F8720000}"/>
    <cellStyle name="Standard 4 5 4 2 2 4 3" xfId="29225" xr:uid="{00000000-0005-0000-0000-0000F9720000}"/>
    <cellStyle name="Standard 4 5 4 2 2 5" xfId="29226" xr:uid="{00000000-0005-0000-0000-0000FA720000}"/>
    <cellStyle name="Standard 4 5 4 2 2 5 2" xfId="29227" xr:uid="{00000000-0005-0000-0000-0000FB720000}"/>
    <cellStyle name="Standard 4 5 4 2 2 5 3" xfId="29228" xr:uid="{00000000-0005-0000-0000-0000FC720000}"/>
    <cellStyle name="Standard 4 5 4 2 2 6" xfId="29229" xr:uid="{00000000-0005-0000-0000-0000FD720000}"/>
    <cellStyle name="Standard 4 5 4 2 2 6 2" xfId="29230" xr:uid="{00000000-0005-0000-0000-0000FE720000}"/>
    <cellStyle name="Standard 4 5 4 2 2 7" xfId="29231" xr:uid="{00000000-0005-0000-0000-0000FF720000}"/>
    <cellStyle name="Standard 4 5 4 2 2 8" xfId="29232" xr:uid="{00000000-0005-0000-0000-000000730000}"/>
    <cellStyle name="Standard 4 5 4 2 3" xfId="29233" xr:uid="{00000000-0005-0000-0000-000001730000}"/>
    <cellStyle name="Standard 4 5 4 2 3 2" xfId="29234" xr:uid="{00000000-0005-0000-0000-000002730000}"/>
    <cellStyle name="Standard 4 5 4 2 3 2 2" xfId="29235" xr:uid="{00000000-0005-0000-0000-000003730000}"/>
    <cellStyle name="Standard 4 5 4 2 3 2 2 2" xfId="29236" xr:uid="{00000000-0005-0000-0000-000004730000}"/>
    <cellStyle name="Standard 4 5 4 2 3 2 2 2 2" xfId="29237" xr:uid="{00000000-0005-0000-0000-000005730000}"/>
    <cellStyle name="Standard 4 5 4 2 3 2 2 2 3" xfId="29238" xr:uid="{00000000-0005-0000-0000-000006730000}"/>
    <cellStyle name="Standard 4 5 4 2 3 2 2 3" xfId="29239" xr:uid="{00000000-0005-0000-0000-000007730000}"/>
    <cellStyle name="Standard 4 5 4 2 3 2 2 3 2" xfId="29240" xr:uid="{00000000-0005-0000-0000-000008730000}"/>
    <cellStyle name="Standard 4 5 4 2 3 2 2 3 3" xfId="29241" xr:uid="{00000000-0005-0000-0000-000009730000}"/>
    <cellStyle name="Standard 4 5 4 2 3 2 2 4" xfId="29242" xr:uid="{00000000-0005-0000-0000-00000A730000}"/>
    <cellStyle name="Standard 4 5 4 2 3 2 2 4 2" xfId="29243" xr:uid="{00000000-0005-0000-0000-00000B730000}"/>
    <cellStyle name="Standard 4 5 4 2 3 2 2 5" xfId="29244" xr:uid="{00000000-0005-0000-0000-00000C730000}"/>
    <cellStyle name="Standard 4 5 4 2 3 2 2 6" xfId="29245" xr:uid="{00000000-0005-0000-0000-00000D730000}"/>
    <cellStyle name="Standard 4 5 4 2 3 2 3" xfId="29246" xr:uid="{00000000-0005-0000-0000-00000E730000}"/>
    <cellStyle name="Standard 4 5 4 2 3 2 3 2" xfId="29247" xr:uid="{00000000-0005-0000-0000-00000F730000}"/>
    <cellStyle name="Standard 4 5 4 2 3 2 3 3" xfId="29248" xr:uid="{00000000-0005-0000-0000-000010730000}"/>
    <cellStyle name="Standard 4 5 4 2 3 2 4" xfId="29249" xr:uid="{00000000-0005-0000-0000-000011730000}"/>
    <cellStyle name="Standard 4 5 4 2 3 2 4 2" xfId="29250" xr:uid="{00000000-0005-0000-0000-000012730000}"/>
    <cellStyle name="Standard 4 5 4 2 3 2 4 3" xfId="29251" xr:uid="{00000000-0005-0000-0000-000013730000}"/>
    <cellStyle name="Standard 4 5 4 2 3 2 5" xfId="29252" xr:uid="{00000000-0005-0000-0000-000014730000}"/>
    <cellStyle name="Standard 4 5 4 2 3 2 5 2" xfId="29253" xr:uid="{00000000-0005-0000-0000-000015730000}"/>
    <cellStyle name="Standard 4 5 4 2 3 2 6" xfId="29254" xr:uid="{00000000-0005-0000-0000-000016730000}"/>
    <cellStyle name="Standard 4 5 4 2 3 2 7" xfId="29255" xr:uid="{00000000-0005-0000-0000-000017730000}"/>
    <cellStyle name="Standard 4 5 4 2 3 3" xfId="29256" xr:uid="{00000000-0005-0000-0000-000018730000}"/>
    <cellStyle name="Standard 4 5 4 2 3 3 2" xfId="29257" xr:uid="{00000000-0005-0000-0000-000019730000}"/>
    <cellStyle name="Standard 4 5 4 2 3 3 2 2" xfId="29258" xr:uid="{00000000-0005-0000-0000-00001A730000}"/>
    <cellStyle name="Standard 4 5 4 2 3 3 2 3" xfId="29259" xr:uid="{00000000-0005-0000-0000-00001B730000}"/>
    <cellStyle name="Standard 4 5 4 2 3 3 3" xfId="29260" xr:uid="{00000000-0005-0000-0000-00001C730000}"/>
    <cellStyle name="Standard 4 5 4 2 3 3 3 2" xfId="29261" xr:uid="{00000000-0005-0000-0000-00001D730000}"/>
    <cellStyle name="Standard 4 5 4 2 3 3 3 3" xfId="29262" xr:uid="{00000000-0005-0000-0000-00001E730000}"/>
    <cellStyle name="Standard 4 5 4 2 3 3 4" xfId="29263" xr:uid="{00000000-0005-0000-0000-00001F730000}"/>
    <cellStyle name="Standard 4 5 4 2 3 3 4 2" xfId="29264" xr:uid="{00000000-0005-0000-0000-000020730000}"/>
    <cellStyle name="Standard 4 5 4 2 3 3 5" xfId="29265" xr:uid="{00000000-0005-0000-0000-000021730000}"/>
    <cellStyle name="Standard 4 5 4 2 3 3 6" xfId="29266" xr:uid="{00000000-0005-0000-0000-000022730000}"/>
    <cellStyle name="Standard 4 5 4 2 3 4" xfId="29267" xr:uid="{00000000-0005-0000-0000-000023730000}"/>
    <cellStyle name="Standard 4 5 4 2 3 4 2" xfId="29268" xr:uid="{00000000-0005-0000-0000-000024730000}"/>
    <cellStyle name="Standard 4 5 4 2 3 4 3" xfId="29269" xr:uid="{00000000-0005-0000-0000-000025730000}"/>
    <cellStyle name="Standard 4 5 4 2 3 5" xfId="29270" xr:uid="{00000000-0005-0000-0000-000026730000}"/>
    <cellStyle name="Standard 4 5 4 2 3 5 2" xfId="29271" xr:uid="{00000000-0005-0000-0000-000027730000}"/>
    <cellStyle name="Standard 4 5 4 2 3 5 3" xfId="29272" xr:uid="{00000000-0005-0000-0000-000028730000}"/>
    <cellStyle name="Standard 4 5 4 2 3 6" xfId="29273" xr:uid="{00000000-0005-0000-0000-000029730000}"/>
    <cellStyle name="Standard 4 5 4 2 3 6 2" xfId="29274" xr:uid="{00000000-0005-0000-0000-00002A730000}"/>
    <cellStyle name="Standard 4 5 4 2 3 7" xfId="29275" xr:uid="{00000000-0005-0000-0000-00002B730000}"/>
    <cellStyle name="Standard 4 5 4 2 3 8" xfId="29276" xr:uid="{00000000-0005-0000-0000-00002C730000}"/>
    <cellStyle name="Standard 4 5 4 2 4" xfId="29277" xr:uid="{00000000-0005-0000-0000-00002D730000}"/>
    <cellStyle name="Standard 4 5 4 2 4 2" xfId="29278" xr:uid="{00000000-0005-0000-0000-00002E730000}"/>
    <cellStyle name="Standard 4 5 4 2 4 2 2" xfId="29279" xr:uid="{00000000-0005-0000-0000-00002F730000}"/>
    <cellStyle name="Standard 4 5 4 2 4 2 2 2" xfId="29280" xr:uid="{00000000-0005-0000-0000-000030730000}"/>
    <cellStyle name="Standard 4 5 4 2 4 2 2 3" xfId="29281" xr:uid="{00000000-0005-0000-0000-000031730000}"/>
    <cellStyle name="Standard 4 5 4 2 4 2 3" xfId="29282" xr:uid="{00000000-0005-0000-0000-000032730000}"/>
    <cellStyle name="Standard 4 5 4 2 4 2 3 2" xfId="29283" xr:uid="{00000000-0005-0000-0000-000033730000}"/>
    <cellStyle name="Standard 4 5 4 2 4 2 3 3" xfId="29284" xr:uid="{00000000-0005-0000-0000-000034730000}"/>
    <cellStyle name="Standard 4 5 4 2 4 2 4" xfId="29285" xr:uid="{00000000-0005-0000-0000-000035730000}"/>
    <cellStyle name="Standard 4 5 4 2 4 2 4 2" xfId="29286" xr:uid="{00000000-0005-0000-0000-000036730000}"/>
    <cellStyle name="Standard 4 5 4 2 4 2 5" xfId="29287" xr:uid="{00000000-0005-0000-0000-000037730000}"/>
    <cellStyle name="Standard 4 5 4 2 4 2 6" xfId="29288" xr:uid="{00000000-0005-0000-0000-000038730000}"/>
    <cellStyle name="Standard 4 5 4 2 4 3" xfId="29289" xr:uid="{00000000-0005-0000-0000-000039730000}"/>
    <cellStyle name="Standard 4 5 4 2 4 3 2" xfId="29290" xr:uid="{00000000-0005-0000-0000-00003A730000}"/>
    <cellStyle name="Standard 4 5 4 2 4 3 3" xfId="29291" xr:uid="{00000000-0005-0000-0000-00003B730000}"/>
    <cellStyle name="Standard 4 5 4 2 4 4" xfId="29292" xr:uid="{00000000-0005-0000-0000-00003C730000}"/>
    <cellStyle name="Standard 4 5 4 2 4 4 2" xfId="29293" xr:uid="{00000000-0005-0000-0000-00003D730000}"/>
    <cellStyle name="Standard 4 5 4 2 4 4 3" xfId="29294" xr:uid="{00000000-0005-0000-0000-00003E730000}"/>
    <cellStyle name="Standard 4 5 4 2 4 5" xfId="29295" xr:uid="{00000000-0005-0000-0000-00003F730000}"/>
    <cellStyle name="Standard 4 5 4 2 4 5 2" xfId="29296" xr:uid="{00000000-0005-0000-0000-000040730000}"/>
    <cellStyle name="Standard 4 5 4 2 4 6" xfId="29297" xr:uid="{00000000-0005-0000-0000-000041730000}"/>
    <cellStyle name="Standard 4 5 4 2 4 7" xfId="29298" xr:uid="{00000000-0005-0000-0000-000042730000}"/>
    <cellStyle name="Standard 4 5 4 2 5" xfId="29299" xr:uid="{00000000-0005-0000-0000-000043730000}"/>
    <cellStyle name="Standard 4 5 4 2 5 2" xfId="29300" xr:uid="{00000000-0005-0000-0000-000044730000}"/>
    <cellStyle name="Standard 4 5 4 2 5 2 2" xfId="29301" xr:uid="{00000000-0005-0000-0000-000045730000}"/>
    <cellStyle name="Standard 4 5 4 2 5 2 3" xfId="29302" xr:uid="{00000000-0005-0000-0000-000046730000}"/>
    <cellStyle name="Standard 4 5 4 2 5 3" xfId="29303" xr:uid="{00000000-0005-0000-0000-000047730000}"/>
    <cellStyle name="Standard 4 5 4 2 5 3 2" xfId="29304" xr:uid="{00000000-0005-0000-0000-000048730000}"/>
    <cellStyle name="Standard 4 5 4 2 5 3 3" xfId="29305" xr:uid="{00000000-0005-0000-0000-000049730000}"/>
    <cellStyle name="Standard 4 5 4 2 5 4" xfId="29306" xr:uid="{00000000-0005-0000-0000-00004A730000}"/>
    <cellStyle name="Standard 4 5 4 2 5 4 2" xfId="29307" xr:uid="{00000000-0005-0000-0000-00004B730000}"/>
    <cellStyle name="Standard 4 5 4 2 5 5" xfId="29308" xr:uid="{00000000-0005-0000-0000-00004C730000}"/>
    <cellStyle name="Standard 4 5 4 2 5 6" xfId="29309" xr:uid="{00000000-0005-0000-0000-00004D730000}"/>
    <cellStyle name="Standard 4 5 4 2 6" xfId="29310" xr:uid="{00000000-0005-0000-0000-00004E730000}"/>
    <cellStyle name="Standard 4 5 4 2 6 2" xfId="29311" xr:uid="{00000000-0005-0000-0000-00004F730000}"/>
    <cellStyle name="Standard 4 5 4 2 6 3" xfId="29312" xr:uid="{00000000-0005-0000-0000-000050730000}"/>
    <cellStyle name="Standard 4 5 4 2 7" xfId="29313" xr:uid="{00000000-0005-0000-0000-000051730000}"/>
    <cellStyle name="Standard 4 5 4 2 7 2" xfId="29314" xr:uid="{00000000-0005-0000-0000-000052730000}"/>
    <cellStyle name="Standard 4 5 4 2 7 3" xfId="29315" xr:uid="{00000000-0005-0000-0000-000053730000}"/>
    <cellStyle name="Standard 4 5 4 2 8" xfId="29316" xr:uid="{00000000-0005-0000-0000-000054730000}"/>
    <cellStyle name="Standard 4 5 4 2 8 2" xfId="29317" xr:uid="{00000000-0005-0000-0000-000055730000}"/>
    <cellStyle name="Standard 4 5 4 2 9" xfId="29318" xr:uid="{00000000-0005-0000-0000-000056730000}"/>
    <cellStyle name="Standard 4 5 4 3" xfId="29319" xr:uid="{00000000-0005-0000-0000-000057730000}"/>
    <cellStyle name="Standard 4 5 4 3 2" xfId="29320" xr:uid="{00000000-0005-0000-0000-000058730000}"/>
    <cellStyle name="Standard 4 5 4 3 2 2" xfId="29321" xr:uid="{00000000-0005-0000-0000-000059730000}"/>
    <cellStyle name="Standard 4 5 4 3 2 2 2" xfId="29322" xr:uid="{00000000-0005-0000-0000-00005A730000}"/>
    <cellStyle name="Standard 4 5 4 3 2 2 2 2" xfId="29323" xr:uid="{00000000-0005-0000-0000-00005B730000}"/>
    <cellStyle name="Standard 4 5 4 3 2 2 2 3" xfId="29324" xr:uid="{00000000-0005-0000-0000-00005C730000}"/>
    <cellStyle name="Standard 4 5 4 3 2 2 3" xfId="29325" xr:uid="{00000000-0005-0000-0000-00005D730000}"/>
    <cellStyle name="Standard 4 5 4 3 2 2 3 2" xfId="29326" xr:uid="{00000000-0005-0000-0000-00005E730000}"/>
    <cellStyle name="Standard 4 5 4 3 2 2 3 3" xfId="29327" xr:uid="{00000000-0005-0000-0000-00005F730000}"/>
    <cellStyle name="Standard 4 5 4 3 2 2 4" xfId="29328" xr:uid="{00000000-0005-0000-0000-000060730000}"/>
    <cellStyle name="Standard 4 5 4 3 2 2 4 2" xfId="29329" xr:uid="{00000000-0005-0000-0000-000061730000}"/>
    <cellStyle name="Standard 4 5 4 3 2 2 5" xfId="29330" xr:uid="{00000000-0005-0000-0000-000062730000}"/>
    <cellStyle name="Standard 4 5 4 3 2 2 6" xfId="29331" xr:uid="{00000000-0005-0000-0000-000063730000}"/>
    <cellStyle name="Standard 4 5 4 3 2 3" xfId="29332" xr:uid="{00000000-0005-0000-0000-000064730000}"/>
    <cellStyle name="Standard 4 5 4 3 2 3 2" xfId="29333" xr:uid="{00000000-0005-0000-0000-000065730000}"/>
    <cellStyle name="Standard 4 5 4 3 2 3 3" xfId="29334" xr:uid="{00000000-0005-0000-0000-000066730000}"/>
    <cellStyle name="Standard 4 5 4 3 2 4" xfId="29335" xr:uid="{00000000-0005-0000-0000-000067730000}"/>
    <cellStyle name="Standard 4 5 4 3 2 4 2" xfId="29336" xr:uid="{00000000-0005-0000-0000-000068730000}"/>
    <cellStyle name="Standard 4 5 4 3 2 4 3" xfId="29337" xr:uid="{00000000-0005-0000-0000-000069730000}"/>
    <cellStyle name="Standard 4 5 4 3 2 5" xfId="29338" xr:uid="{00000000-0005-0000-0000-00006A730000}"/>
    <cellStyle name="Standard 4 5 4 3 2 5 2" xfId="29339" xr:uid="{00000000-0005-0000-0000-00006B730000}"/>
    <cellStyle name="Standard 4 5 4 3 2 6" xfId="29340" xr:uid="{00000000-0005-0000-0000-00006C730000}"/>
    <cellStyle name="Standard 4 5 4 3 2 7" xfId="29341" xr:uid="{00000000-0005-0000-0000-00006D730000}"/>
    <cellStyle name="Standard 4 5 4 3 3" xfId="29342" xr:uid="{00000000-0005-0000-0000-00006E730000}"/>
    <cellStyle name="Standard 4 5 4 3 3 2" xfId="29343" xr:uid="{00000000-0005-0000-0000-00006F730000}"/>
    <cellStyle name="Standard 4 5 4 3 3 2 2" xfId="29344" xr:uid="{00000000-0005-0000-0000-000070730000}"/>
    <cellStyle name="Standard 4 5 4 3 3 2 3" xfId="29345" xr:uid="{00000000-0005-0000-0000-000071730000}"/>
    <cellStyle name="Standard 4 5 4 3 3 3" xfId="29346" xr:uid="{00000000-0005-0000-0000-000072730000}"/>
    <cellStyle name="Standard 4 5 4 3 3 3 2" xfId="29347" xr:uid="{00000000-0005-0000-0000-000073730000}"/>
    <cellStyle name="Standard 4 5 4 3 3 3 3" xfId="29348" xr:uid="{00000000-0005-0000-0000-000074730000}"/>
    <cellStyle name="Standard 4 5 4 3 3 4" xfId="29349" xr:uid="{00000000-0005-0000-0000-000075730000}"/>
    <cellStyle name="Standard 4 5 4 3 3 4 2" xfId="29350" xr:uid="{00000000-0005-0000-0000-000076730000}"/>
    <cellStyle name="Standard 4 5 4 3 3 5" xfId="29351" xr:uid="{00000000-0005-0000-0000-000077730000}"/>
    <cellStyle name="Standard 4 5 4 3 3 6" xfId="29352" xr:uid="{00000000-0005-0000-0000-000078730000}"/>
    <cellStyle name="Standard 4 5 4 3 4" xfId="29353" xr:uid="{00000000-0005-0000-0000-000079730000}"/>
    <cellStyle name="Standard 4 5 4 3 4 2" xfId="29354" xr:uid="{00000000-0005-0000-0000-00007A730000}"/>
    <cellStyle name="Standard 4 5 4 3 4 3" xfId="29355" xr:uid="{00000000-0005-0000-0000-00007B730000}"/>
    <cellStyle name="Standard 4 5 4 3 5" xfId="29356" xr:uid="{00000000-0005-0000-0000-00007C730000}"/>
    <cellStyle name="Standard 4 5 4 3 5 2" xfId="29357" xr:uid="{00000000-0005-0000-0000-00007D730000}"/>
    <cellStyle name="Standard 4 5 4 3 5 3" xfId="29358" xr:uid="{00000000-0005-0000-0000-00007E730000}"/>
    <cellStyle name="Standard 4 5 4 3 6" xfId="29359" xr:uid="{00000000-0005-0000-0000-00007F730000}"/>
    <cellStyle name="Standard 4 5 4 3 6 2" xfId="29360" xr:uid="{00000000-0005-0000-0000-000080730000}"/>
    <cellStyle name="Standard 4 5 4 3 7" xfId="29361" xr:uid="{00000000-0005-0000-0000-000081730000}"/>
    <cellStyle name="Standard 4 5 4 3 8" xfId="29362" xr:uid="{00000000-0005-0000-0000-000082730000}"/>
    <cellStyle name="Standard 4 5 4 4" xfId="29363" xr:uid="{00000000-0005-0000-0000-000083730000}"/>
    <cellStyle name="Standard 4 5 4 4 2" xfId="29364" xr:uid="{00000000-0005-0000-0000-000084730000}"/>
    <cellStyle name="Standard 4 5 4 4 2 2" xfId="29365" xr:uid="{00000000-0005-0000-0000-000085730000}"/>
    <cellStyle name="Standard 4 5 4 4 2 2 2" xfId="29366" xr:uid="{00000000-0005-0000-0000-000086730000}"/>
    <cellStyle name="Standard 4 5 4 4 2 2 2 2" xfId="29367" xr:uid="{00000000-0005-0000-0000-000087730000}"/>
    <cellStyle name="Standard 4 5 4 4 2 2 2 3" xfId="29368" xr:uid="{00000000-0005-0000-0000-000088730000}"/>
    <cellStyle name="Standard 4 5 4 4 2 2 3" xfId="29369" xr:uid="{00000000-0005-0000-0000-000089730000}"/>
    <cellStyle name="Standard 4 5 4 4 2 2 3 2" xfId="29370" xr:uid="{00000000-0005-0000-0000-00008A730000}"/>
    <cellStyle name="Standard 4 5 4 4 2 2 3 3" xfId="29371" xr:uid="{00000000-0005-0000-0000-00008B730000}"/>
    <cellStyle name="Standard 4 5 4 4 2 2 4" xfId="29372" xr:uid="{00000000-0005-0000-0000-00008C730000}"/>
    <cellStyle name="Standard 4 5 4 4 2 2 4 2" xfId="29373" xr:uid="{00000000-0005-0000-0000-00008D730000}"/>
    <cellStyle name="Standard 4 5 4 4 2 2 5" xfId="29374" xr:uid="{00000000-0005-0000-0000-00008E730000}"/>
    <cellStyle name="Standard 4 5 4 4 2 2 6" xfId="29375" xr:uid="{00000000-0005-0000-0000-00008F730000}"/>
    <cellStyle name="Standard 4 5 4 4 2 3" xfId="29376" xr:uid="{00000000-0005-0000-0000-000090730000}"/>
    <cellStyle name="Standard 4 5 4 4 2 3 2" xfId="29377" xr:uid="{00000000-0005-0000-0000-000091730000}"/>
    <cellStyle name="Standard 4 5 4 4 2 3 3" xfId="29378" xr:uid="{00000000-0005-0000-0000-000092730000}"/>
    <cellStyle name="Standard 4 5 4 4 2 4" xfId="29379" xr:uid="{00000000-0005-0000-0000-000093730000}"/>
    <cellStyle name="Standard 4 5 4 4 2 4 2" xfId="29380" xr:uid="{00000000-0005-0000-0000-000094730000}"/>
    <cellStyle name="Standard 4 5 4 4 2 4 3" xfId="29381" xr:uid="{00000000-0005-0000-0000-000095730000}"/>
    <cellStyle name="Standard 4 5 4 4 2 5" xfId="29382" xr:uid="{00000000-0005-0000-0000-000096730000}"/>
    <cellStyle name="Standard 4 5 4 4 2 5 2" xfId="29383" xr:uid="{00000000-0005-0000-0000-000097730000}"/>
    <cellStyle name="Standard 4 5 4 4 2 6" xfId="29384" xr:uid="{00000000-0005-0000-0000-000098730000}"/>
    <cellStyle name="Standard 4 5 4 4 2 7" xfId="29385" xr:uid="{00000000-0005-0000-0000-000099730000}"/>
    <cellStyle name="Standard 4 5 4 4 3" xfId="29386" xr:uid="{00000000-0005-0000-0000-00009A730000}"/>
    <cellStyle name="Standard 4 5 4 4 3 2" xfId="29387" xr:uid="{00000000-0005-0000-0000-00009B730000}"/>
    <cellStyle name="Standard 4 5 4 4 3 2 2" xfId="29388" xr:uid="{00000000-0005-0000-0000-00009C730000}"/>
    <cellStyle name="Standard 4 5 4 4 3 2 3" xfId="29389" xr:uid="{00000000-0005-0000-0000-00009D730000}"/>
    <cellStyle name="Standard 4 5 4 4 3 3" xfId="29390" xr:uid="{00000000-0005-0000-0000-00009E730000}"/>
    <cellStyle name="Standard 4 5 4 4 3 3 2" xfId="29391" xr:uid="{00000000-0005-0000-0000-00009F730000}"/>
    <cellStyle name="Standard 4 5 4 4 3 3 3" xfId="29392" xr:uid="{00000000-0005-0000-0000-0000A0730000}"/>
    <cellStyle name="Standard 4 5 4 4 3 4" xfId="29393" xr:uid="{00000000-0005-0000-0000-0000A1730000}"/>
    <cellStyle name="Standard 4 5 4 4 3 4 2" xfId="29394" xr:uid="{00000000-0005-0000-0000-0000A2730000}"/>
    <cellStyle name="Standard 4 5 4 4 3 5" xfId="29395" xr:uid="{00000000-0005-0000-0000-0000A3730000}"/>
    <cellStyle name="Standard 4 5 4 4 3 6" xfId="29396" xr:uid="{00000000-0005-0000-0000-0000A4730000}"/>
    <cellStyle name="Standard 4 5 4 4 4" xfId="29397" xr:uid="{00000000-0005-0000-0000-0000A5730000}"/>
    <cellStyle name="Standard 4 5 4 4 4 2" xfId="29398" xr:uid="{00000000-0005-0000-0000-0000A6730000}"/>
    <cellStyle name="Standard 4 5 4 4 4 3" xfId="29399" xr:uid="{00000000-0005-0000-0000-0000A7730000}"/>
    <cellStyle name="Standard 4 5 4 4 5" xfId="29400" xr:uid="{00000000-0005-0000-0000-0000A8730000}"/>
    <cellStyle name="Standard 4 5 4 4 5 2" xfId="29401" xr:uid="{00000000-0005-0000-0000-0000A9730000}"/>
    <cellStyle name="Standard 4 5 4 4 5 3" xfId="29402" xr:uid="{00000000-0005-0000-0000-0000AA730000}"/>
    <cellStyle name="Standard 4 5 4 4 6" xfId="29403" xr:uid="{00000000-0005-0000-0000-0000AB730000}"/>
    <cellStyle name="Standard 4 5 4 4 6 2" xfId="29404" xr:uid="{00000000-0005-0000-0000-0000AC730000}"/>
    <cellStyle name="Standard 4 5 4 4 7" xfId="29405" xr:uid="{00000000-0005-0000-0000-0000AD730000}"/>
    <cellStyle name="Standard 4 5 4 4 8" xfId="29406" xr:uid="{00000000-0005-0000-0000-0000AE730000}"/>
    <cellStyle name="Standard 4 5 4 5" xfId="29407" xr:uid="{00000000-0005-0000-0000-0000AF730000}"/>
    <cellStyle name="Standard 4 5 4 5 2" xfId="29408" xr:uid="{00000000-0005-0000-0000-0000B0730000}"/>
    <cellStyle name="Standard 4 5 4 5 2 2" xfId="29409" xr:uid="{00000000-0005-0000-0000-0000B1730000}"/>
    <cellStyle name="Standard 4 5 4 5 2 2 2" xfId="29410" xr:uid="{00000000-0005-0000-0000-0000B2730000}"/>
    <cellStyle name="Standard 4 5 4 5 2 2 3" xfId="29411" xr:uid="{00000000-0005-0000-0000-0000B3730000}"/>
    <cellStyle name="Standard 4 5 4 5 2 3" xfId="29412" xr:uid="{00000000-0005-0000-0000-0000B4730000}"/>
    <cellStyle name="Standard 4 5 4 5 2 3 2" xfId="29413" xr:uid="{00000000-0005-0000-0000-0000B5730000}"/>
    <cellStyle name="Standard 4 5 4 5 2 3 3" xfId="29414" xr:uid="{00000000-0005-0000-0000-0000B6730000}"/>
    <cellStyle name="Standard 4 5 4 5 2 4" xfId="29415" xr:uid="{00000000-0005-0000-0000-0000B7730000}"/>
    <cellStyle name="Standard 4 5 4 5 2 4 2" xfId="29416" xr:uid="{00000000-0005-0000-0000-0000B8730000}"/>
    <cellStyle name="Standard 4 5 4 5 2 5" xfId="29417" xr:uid="{00000000-0005-0000-0000-0000B9730000}"/>
    <cellStyle name="Standard 4 5 4 5 2 6" xfId="29418" xr:uid="{00000000-0005-0000-0000-0000BA730000}"/>
    <cellStyle name="Standard 4 5 4 5 3" xfId="29419" xr:uid="{00000000-0005-0000-0000-0000BB730000}"/>
    <cellStyle name="Standard 4 5 4 5 3 2" xfId="29420" xr:uid="{00000000-0005-0000-0000-0000BC730000}"/>
    <cellStyle name="Standard 4 5 4 5 3 3" xfId="29421" xr:uid="{00000000-0005-0000-0000-0000BD730000}"/>
    <cellStyle name="Standard 4 5 4 5 4" xfId="29422" xr:uid="{00000000-0005-0000-0000-0000BE730000}"/>
    <cellStyle name="Standard 4 5 4 5 4 2" xfId="29423" xr:uid="{00000000-0005-0000-0000-0000BF730000}"/>
    <cellStyle name="Standard 4 5 4 5 4 3" xfId="29424" xr:uid="{00000000-0005-0000-0000-0000C0730000}"/>
    <cellStyle name="Standard 4 5 4 5 5" xfId="29425" xr:uid="{00000000-0005-0000-0000-0000C1730000}"/>
    <cellStyle name="Standard 4 5 4 5 5 2" xfId="29426" xr:uid="{00000000-0005-0000-0000-0000C2730000}"/>
    <cellStyle name="Standard 4 5 4 5 6" xfId="29427" xr:uid="{00000000-0005-0000-0000-0000C3730000}"/>
    <cellStyle name="Standard 4 5 4 5 7" xfId="29428" xr:uid="{00000000-0005-0000-0000-0000C4730000}"/>
    <cellStyle name="Standard 4 5 4 6" xfId="29429" xr:uid="{00000000-0005-0000-0000-0000C5730000}"/>
    <cellStyle name="Standard 4 5 4 6 2" xfId="29430" xr:uid="{00000000-0005-0000-0000-0000C6730000}"/>
    <cellStyle name="Standard 4 5 4 6 2 2" xfId="29431" xr:uid="{00000000-0005-0000-0000-0000C7730000}"/>
    <cellStyle name="Standard 4 5 4 6 2 3" xfId="29432" xr:uid="{00000000-0005-0000-0000-0000C8730000}"/>
    <cellStyle name="Standard 4 5 4 6 3" xfId="29433" xr:uid="{00000000-0005-0000-0000-0000C9730000}"/>
    <cellStyle name="Standard 4 5 4 6 3 2" xfId="29434" xr:uid="{00000000-0005-0000-0000-0000CA730000}"/>
    <cellStyle name="Standard 4 5 4 6 3 3" xfId="29435" xr:uid="{00000000-0005-0000-0000-0000CB730000}"/>
    <cellStyle name="Standard 4 5 4 6 4" xfId="29436" xr:uid="{00000000-0005-0000-0000-0000CC730000}"/>
    <cellStyle name="Standard 4 5 4 6 4 2" xfId="29437" xr:uid="{00000000-0005-0000-0000-0000CD730000}"/>
    <cellStyle name="Standard 4 5 4 6 5" xfId="29438" xr:uid="{00000000-0005-0000-0000-0000CE730000}"/>
    <cellStyle name="Standard 4 5 4 6 6" xfId="29439" xr:uid="{00000000-0005-0000-0000-0000CF730000}"/>
    <cellStyle name="Standard 4 5 4 7" xfId="29440" xr:uid="{00000000-0005-0000-0000-0000D0730000}"/>
    <cellStyle name="Standard 4 5 4 7 2" xfId="29441" xr:uid="{00000000-0005-0000-0000-0000D1730000}"/>
    <cellStyle name="Standard 4 5 4 7 3" xfId="29442" xr:uid="{00000000-0005-0000-0000-0000D2730000}"/>
    <cellStyle name="Standard 4 5 4 8" xfId="29443" xr:uid="{00000000-0005-0000-0000-0000D3730000}"/>
    <cellStyle name="Standard 4 5 4 8 2" xfId="29444" xr:uid="{00000000-0005-0000-0000-0000D4730000}"/>
    <cellStyle name="Standard 4 5 4 8 3" xfId="29445" xr:uid="{00000000-0005-0000-0000-0000D5730000}"/>
    <cellStyle name="Standard 4 5 4 9" xfId="29446" xr:uid="{00000000-0005-0000-0000-0000D6730000}"/>
    <cellStyle name="Standard 4 5 4 9 2" xfId="29447" xr:uid="{00000000-0005-0000-0000-0000D7730000}"/>
    <cellStyle name="Standard 4 5 5" xfId="29448" xr:uid="{00000000-0005-0000-0000-0000D8730000}"/>
    <cellStyle name="Standard 4 5 5 10" xfId="29449" xr:uid="{00000000-0005-0000-0000-0000D9730000}"/>
    <cellStyle name="Standard 4 5 5 2" xfId="29450" xr:uid="{00000000-0005-0000-0000-0000DA730000}"/>
    <cellStyle name="Standard 4 5 5 2 2" xfId="29451" xr:uid="{00000000-0005-0000-0000-0000DB730000}"/>
    <cellStyle name="Standard 4 5 5 2 2 2" xfId="29452" xr:uid="{00000000-0005-0000-0000-0000DC730000}"/>
    <cellStyle name="Standard 4 5 5 2 2 2 2" xfId="29453" xr:uid="{00000000-0005-0000-0000-0000DD730000}"/>
    <cellStyle name="Standard 4 5 5 2 2 2 2 2" xfId="29454" xr:uid="{00000000-0005-0000-0000-0000DE730000}"/>
    <cellStyle name="Standard 4 5 5 2 2 2 2 3" xfId="29455" xr:uid="{00000000-0005-0000-0000-0000DF730000}"/>
    <cellStyle name="Standard 4 5 5 2 2 2 3" xfId="29456" xr:uid="{00000000-0005-0000-0000-0000E0730000}"/>
    <cellStyle name="Standard 4 5 5 2 2 2 3 2" xfId="29457" xr:uid="{00000000-0005-0000-0000-0000E1730000}"/>
    <cellStyle name="Standard 4 5 5 2 2 2 3 3" xfId="29458" xr:uid="{00000000-0005-0000-0000-0000E2730000}"/>
    <cellStyle name="Standard 4 5 5 2 2 2 4" xfId="29459" xr:uid="{00000000-0005-0000-0000-0000E3730000}"/>
    <cellStyle name="Standard 4 5 5 2 2 2 4 2" xfId="29460" xr:uid="{00000000-0005-0000-0000-0000E4730000}"/>
    <cellStyle name="Standard 4 5 5 2 2 2 5" xfId="29461" xr:uid="{00000000-0005-0000-0000-0000E5730000}"/>
    <cellStyle name="Standard 4 5 5 2 2 2 6" xfId="29462" xr:uid="{00000000-0005-0000-0000-0000E6730000}"/>
    <cellStyle name="Standard 4 5 5 2 2 3" xfId="29463" xr:uid="{00000000-0005-0000-0000-0000E7730000}"/>
    <cellStyle name="Standard 4 5 5 2 2 3 2" xfId="29464" xr:uid="{00000000-0005-0000-0000-0000E8730000}"/>
    <cellStyle name="Standard 4 5 5 2 2 3 3" xfId="29465" xr:uid="{00000000-0005-0000-0000-0000E9730000}"/>
    <cellStyle name="Standard 4 5 5 2 2 4" xfId="29466" xr:uid="{00000000-0005-0000-0000-0000EA730000}"/>
    <cellStyle name="Standard 4 5 5 2 2 4 2" xfId="29467" xr:uid="{00000000-0005-0000-0000-0000EB730000}"/>
    <cellStyle name="Standard 4 5 5 2 2 4 3" xfId="29468" xr:uid="{00000000-0005-0000-0000-0000EC730000}"/>
    <cellStyle name="Standard 4 5 5 2 2 5" xfId="29469" xr:uid="{00000000-0005-0000-0000-0000ED730000}"/>
    <cellStyle name="Standard 4 5 5 2 2 5 2" xfId="29470" xr:uid="{00000000-0005-0000-0000-0000EE730000}"/>
    <cellStyle name="Standard 4 5 5 2 2 6" xfId="29471" xr:uid="{00000000-0005-0000-0000-0000EF730000}"/>
    <cellStyle name="Standard 4 5 5 2 2 7" xfId="29472" xr:uid="{00000000-0005-0000-0000-0000F0730000}"/>
    <cellStyle name="Standard 4 5 5 2 3" xfId="29473" xr:uid="{00000000-0005-0000-0000-0000F1730000}"/>
    <cellStyle name="Standard 4 5 5 2 3 2" xfId="29474" xr:uid="{00000000-0005-0000-0000-0000F2730000}"/>
    <cellStyle name="Standard 4 5 5 2 3 2 2" xfId="29475" xr:uid="{00000000-0005-0000-0000-0000F3730000}"/>
    <cellStyle name="Standard 4 5 5 2 3 2 3" xfId="29476" xr:uid="{00000000-0005-0000-0000-0000F4730000}"/>
    <cellStyle name="Standard 4 5 5 2 3 3" xfId="29477" xr:uid="{00000000-0005-0000-0000-0000F5730000}"/>
    <cellStyle name="Standard 4 5 5 2 3 3 2" xfId="29478" xr:uid="{00000000-0005-0000-0000-0000F6730000}"/>
    <cellStyle name="Standard 4 5 5 2 3 3 3" xfId="29479" xr:uid="{00000000-0005-0000-0000-0000F7730000}"/>
    <cellStyle name="Standard 4 5 5 2 3 4" xfId="29480" xr:uid="{00000000-0005-0000-0000-0000F8730000}"/>
    <cellStyle name="Standard 4 5 5 2 3 4 2" xfId="29481" xr:uid="{00000000-0005-0000-0000-0000F9730000}"/>
    <cellStyle name="Standard 4 5 5 2 3 5" xfId="29482" xr:uid="{00000000-0005-0000-0000-0000FA730000}"/>
    <cellStyle name="Standard 4 5 5 2 3 6" xfId="29483" xr:uid="{00000000-0005-0000-0000-0000FB730000}"/>
    <cellStyle name="Standard 4 5 5 2 4" xfId="29484" xr:uid="{00000000-0005-0000-0000-0000FC730000}"/>
    <cellStyle name="Standard 4 5 5 2 4 2" xfId="29485" xr:uid="{00000000-0005-0000-0000-0000FD730000}"/>
    <cellStyle name="Standard 4 5 5 2 4 3" xfId="29486" xr:uid="{00000000-0005-0000-0000-0000FE730000}"/>
    <cellStyle name="Standard 4 5 5 2 5" xfId="29487" xr:uid="{00000000-0005-0000-0000-0000FF730000}"/>
    <cellStyle name="Standard 4 5 5 2 5 2" xfId="29488" xr:uid="{00000000-0005-0000-0000-000000740000}"/>
    <cellStyle name="Standard 4 5 5 2 5 3" xfId="29489" xr:uid="{00000000-0005-0000-0000-000001740000}"/>
    <cellStyle name="Standard 4 5 5 2 6" xfId="29490" xr:uid="{00000000-0005-0000-0000-000002740000}"/>
    <cellStyle name="Standard 4 5 5 2 6 2" xfId="29491" xr:uid="{00000000-0005-0000-0000-000003740000}"/>
    <cellStyle name="Standard 4 5 5 2 7" xfId="29492" xr:uid="{00000000-0005-0000-0000-000004740000}"/>
    <cellStyle name="Standard 4 5 5 2 8" xfId="29493" xr:uid="{00000000-0005-0000-0000-000005740000}"/>
    <cellStyle name="Standard 4 5 5 3" xfId="29494" xr:uid="{00000000-0005-0000-0000-000006740000}"/>
    <cellStyle name="Standard 4 5 5 3 2" xfId="29495" xr:uid="{00000000-0005-0000-0000-000007740000}"/>
    <cellStyle name="Standard 4 5 5 3 2 2" xfId="29496" xr:uid="{00000000-0005-0000-0000-000008740000}"/>
    <cellStyle name="Standard 4 5 5 3 2 2 2" xfId="29497" xr:uid="{00000000-0005-0000-0000-000009740000}"/>
    <cellStyle name="Standard 4 5 5 3 2 2 2 2" xfId="29498" xr:uid="{00000000-0005-0000-0000-00000A740000}"/>
    <cellStyle name="Standard 4 5 5 3 2 2 2 3" xfId="29499" xr:uid="{00000000-0005-0000-0000-00000B740000}"/>
    <cellStyle name="Standard 4 5 5 3 2 2 3" xfId="29500" xr:uid="{00000000-0005-0000-0000-00000C740000}"/>
    <cellStyle name="Standard 4 5 5 3 2 2 3 2" xfId="29501" xr:uid="{00000000-0005-0000-0000-00000D740000}"/>
    <cellStyle name="Standard 4 5 5 3 2 2 3 3" xfId="29502" xr:uid="{00000000-0005-0000-0000-00000E740000}"/>
    <cellStyle name="Standard 4 5 5 3 2 2 4" xfId="29503" xr:uid="{00000000-0005-0000-0000-00000F740000}"/>
    <cellStyle name="Standard 4 5 5 3 2 2 4 2" xfId="29504" xr:uid="{00000000-0005-0000-0000-000010740000}"/>
    <cellStyle name="Standard 4 5 5 3 2 2 5" xfId="29505" xr:uid="{00000000-0005-0000-0000-000011740000}"/>
    <cellStyle name="Standard 4 5 5 3 2 2 6" xfId="29506" xr:uid="{00000000-0005-0000-0000-000012740000}"/>
    <cellStyle name="Standard 4 5 5 3 2 3" xfId="29507" xr:uid="{00000000-0005-0000-0000-000013740000}"/>
    <cellStyle name="Standard 4 5 5 3 2 3 2" xfId="29508" xr:uid="{00000000-0005-0000-0000-000014740000}"/>
    <cellStyle name="Standard 4 5 5 3 2 3 3" xfId="29509" xr:uid="{00000000-0005-0000-0000-000015740000}"/>
    <cellStyle name="Standard 4 5 5 3 2 4" xfId="29510" xr:uid="{00000000-0005-0000-0000-000016740000}"/>
    <cellStyle name="Standard 4 5 5 3 2 4 2" xfId="29511" xr:uid="{00000000-0005-0000-0000-000017740000}"/>
    <cellStyle name="Standard 4 5 5 3 2 4 3" xfId="29512" xr:uid="{00000000-0005-0000-0000-000018740000}"/>
    <cellStyle name="Standard 4 5 5 3 2 5" xfId="29513" xr:uid="{00000000-0005-0000-0000-000019740000}"/>
    <cellStyle name="Standard 4 5 5 3 2 5 2" xfId="29514" xr:uid="{00000000-0005-0000-0000-00001A740000}"/>
    <cellStyle name="Standard 4 5 5 3 2 6" xfId="29515" xr:uid="{00000000-0005-0000-0000-00001B740000}"/>
    <cellStyle name="Standard 4 5 5 3 2 7" xfId="29516" xr:uid="{00000000-0005-0000-0000-00001C740000}"/>
    <cellStyle name="Standard 4 5 5 3 3" xfId="29517" xr:uid="{00000000-0005-0000-0000-00001D740000}"/>
    <cellStyle name="Standard 4 5 5 3 3 2" xfId="29518" xr:uid="{00000000-0005-0000-0000-00001E740000}"/>
    <cellStyle name="Standard 4 5 5 3 3 2 2" xfId="29519" xr:uid="{00000000-0005-0000-0000-00001F740000}"/>
    <cellStyle name="Standard 4 5 5 3 3 2 3" xfId="29520" xr:uid="{00000000-0005-0000-0000-000020740000}"/>
    <cellStyle name="Standard 4 5 5 3 3 3" xfId="29521" xr:uid="{00000000-0005-0000-0000-000021740000}"/>
    <cellStyle name="Standard 4 5 5 3 3 3 2" xfId="29522" xr:uid="{00000000-0005-0000-0000-000022740000}"/>
    <cellStyle name="Standard 4 5 5 3 3 3 3" xfId="29523" xr:uid="{00000000-0005-0000-0000-000023740000}"/>
    <cellStyle name="Standard 4 5 5 3 3 4" xfId="29524" xr:uid="{00000000-0005-0000-0000-000024740000}"/>
    <cellStyle name="Standard 4 5 5 3 3 4 2" xfId="29525" xr:uid="{00000000-0005-0000-0000-000025740000}"/>
    <cellStyle name="Standard 4 5 5 3 3 5" xfId="29526" xr:uid="{00000000-0005-0000-0000-000026740000}"/>
    <cellStyle name="Standard 4 5 5 3 3 6" xfId="29527" xr:uid="{00000000-0005-0000-0000-000027740000}"/>
    <cellStyle name="Standard 4 5 5 3 4" xfId="29528" xr:uid="{00000000-0005-0000-0000-000028740000}"/>
    <cellStyle name="Standard 4 5 5 3 4 2" xfId="29529" xr:uid="{00000000-0005-0000-0000-000029740000}"/>
    <cellStyle name="Standard 4 5 5 3 4 3" xfId="29530" xr:uid="{00000000-0005-0000-0000-00002A740000}"/>
    <cellStyle name="Standard 4 5 5 3 5" xfId="29531" xr:uid="{00000000-0005-0000-0000-00002B740000}"/>
    <cellStyle name="Standard 4 5 5 3 5 2" xfId="29532" xr:uid="{00000000-0005-0000-0000-00002C740000}"/>
    <cellStyle name="Standard 4 5 5 3 5 3" xfId="29533" xr:uid="{00000000-0005-0000-0000-00002D740000}"/>
    <cellStyle name="Standard 4 5 5 3 6" xfId="29534" xr:uid="{00000000-0005-0000-0000-00002E740000}"/>
    <cellStyle name="Standard 4 5 5 3 6 2" xfId="29535" xr:uid="{00000000-0005-0000-0000-00002F740000}"/>
    <cellStyle name="Standard 4 5 5 3 7" xfId="29536" xr:uid="{00000000-0005-0000-0000-000030740000}"/>
    <cellStyle name="Standard 4 5 5 3 8" xfId="29537" xr:uid="{00000000-0005-0000-0000-000031740000}"/>
    <cellStyle name="Standard 4 5 5 4" xfId="29538" xr:uid="{00000000-0005-0000-0000-000032740000}"/>
    <cellStyle name="Standard 4 5 5 4 2" xfId="29539" xr:uid="{00000000-0005-0000-0000-000033740000}"/>
    <cellStyle name="Standard 4 5 5 4 2 2" xfId="29540" xr:uid="{00000000-0005-0000-0000-000034740000}"/>
    <cellStyle name="Standard 4 5 5 4 2 2 2" xfId="29541" xr:uid="{00000000-0005-0000-0000-000035740000}"/>
    <cellStyle name="Standard 4 5 5 4 2 2 3" xfId="29542" xr:uid="{00000000-0005-0000-0000-000036740000}"/>
    <cellStyle name="Standard 4 5 5 4 2 3" xfId="29543" xr:uid="{00000000-0005-0000-0000-000037740000}"/>
    <cellStyle name="Standard 4 5 5 4 2 3 2" xfId="29544" xr:uid="{00000000-0005-0000-0000-000038740000}"/>
    <cellStyle name="Standard 4 5 5 4 2 3 3" xfId="29545" xr:uid="{00000000-0005-0000-0000-000039740000}"/>
    <cellStyle name="Standard 4 5 5 4 2 4" xfId="29546" xr:uid="{00000000-0005-0000-0000-00003A740000}"/>
    <cellStyle name="Standard 4 5 5 4 2 4 2" xfId="29547" xr:uid="{00000000-0005-0000-0000-00003B740000}"/>
    <cellStyle name="Standard 4 5 5 4 2 5" xfId="29548" xr:uid="{00000000-0005-0000-0000-00003C740000}"/>
    <cellStyle name="Standard 4 5 5 4 2 6" xfId="29549" xr:uid="{00000000-0005-0000-0000-00003D740000}"/>
    <cellStyle name="Standard 4 5 5 4 3" xfId="29550" xr:uid="{00000000-0005-0000-0000-00003E740000}"/>
    <cellStyle name="Standard 4 5 5 4 3 2" xfId="29551" xr:uid="{00000000-0005-0000-0000-00003F740000}"/>
    <cellStyle name="Standard 4 5 5 4 3 3" xfId="29552" xr:uid="{00000000-0005-0000-0000-000040740000}"/>
    <cellStyle name="Standard 4 5 5 4 4" xfId="29553" xr:uid="{00000000-0005-0000-0000-000041740000}"/>
    <cellStyle name="Standard 4 5 5 4 4 2" xfId="29554" xr:uid="{00000000-0005-0000-0000-000042740000}"/>
    <cellStyle name="Standard 4 5 5 4 4 3" xfId="29555" xr:uid="{00000000-0005-0000-0000-000043740000}"/>
    <cellStyle name="Standard 4 5 5 4 5" xfId="29556" xr:uid="{00000000-0005-0000-0000-000044740000}"/>
    <cellStyle name="Standard 4 5 5 4 5 2" xfId="29557" xr:uid="{00000000-0005-0000-0000-000045740000}"/>
    <cellStyle name="Standard 4 5 5 4 6" xfId="29558" xr:uid="{00000000-0005-0000-0000-000046740000}"/>
    <cellStyle name="Standard 4 5 5 4 7" xfId="29559" xr:uid="{00000000-0005-0000-0000-000047740000}"/>
    <cellStyle name="Standard 4 5 5 5" xfId="29560" xr:uid="{00000000-0005-0000-0000-000048740000}"/>
    <cellStyle name="Standard 4 5 5 5 2" xfId="29561" xr:uid="{00000000-0005-0000-0000-000049740000}"/>
    <cellStyle name="Standard 4 5 5 5 2 2" xfId="29562" xr:uid="{00000000-0005-0000-0000-00004A740000}"/>
    <cellStyle name="Standard 4 5 5 5 2 3" xfId="29563" xr:uid="{00000000-0005-0000-0000-00004B740000}"/>
    <cellStyle name="Standard 4 5 5 5 3" xfId="29564" xr:uid="{00000000-0005-0000-0000-00004C740000}"/>
    <cellStyle name="Standard 4 5 5 5 3 2" xfId="29565" xr:uid="{00000000-0005-0000-0000-00004D740000}"/>
    <cellStyle name="Standard 4 5 5 5 3 3" xfId="29566" xr:uid="{00000000-0005-0000-0000-00004E740000}"/>
    <cellStyle name="Standard 4 5 5 5 4" xfId="29567" xr:uid="{00000000-0005-0000-0000-00004F740000}"/>
    <cellStyle name="Standard 4 5 5 5 4 2" xfId="29568" xr:uid="{00000000-0005-0000-0000-000050740000}"/>
    <cellStyle name="Standard 4 5 5 5 5" xfId="29569" xr:uid="{00000000-0005-0000-0000-000051740000}"/>
    <cellStyle name="Standard 4 5 5 5 6" xfId="29570" xr:uid="{00000000-0005-0000-0000-000052740000}"/>
    <cellStyle name="Standard 4 5 5 6" xfId="29571" xr:uid="{00000000-0005-0000-0000-000053740000}"/>
    <cellStyle name="Standard 4 5 5 6 2" xfId="29572" xr:uid="{00000000-0005-0000-0000-000054740000}"/>
    <cellStyle name="Standard 4 5 5 6 3" xfId="29573" xr:uid="{00000000-0005-0000-0000-000055740000}"/>
    <cellStyle name="Standard 4 5 5 7" xfId="29574" xr:uid="{00000000-0005-0000-0000-000056740000}"/>
    <cellStyle name="Standard 4 5 5 7 2" xfId="29575" xr:uid="{00000000-0005-0000-0000-000057740000}"/>
    <cellStyle name="Standard 4 5 5 7 3" xfId="29576" xr:uid="{00000000-0005-0000-0000-000058740000}"/>
    <cellStyle name="Standard 4 5 5 8" xfId="29577" xr:uid="{00000000-0005-0000-0000-000059740000}"/>
    <cellStyle name="Standard 4 5 5 8 2" xfId="29578" xr:uid="{00000000-0005-0000-0000-00005A740000}"/>
    <cellStyle name="Standard 4 5 5 9" xfId="29579" xr:uid="{00000000-0005-0000-0000-00005B740000}"/>
    <cellStyle name="Standard 4 5 6" xfId="29580" xr:uid="{00000000-0005-0000-0000-00005C740000}"/>
    <cellStyle name="Standard 4 5 6 2" xfId="29581" xr:uid="{00000000-0005-0000-0000-00005D740000}"/>
    <cellStyle name="Standard 4 5 6 2 2" xfId="29582" xr:uid="{00000000-0005-0000-0000-00005E740000}"/>
    <cellStyle name="Standard 4 5 6 2 2 2" xfId="29583" xr:uid="{00000000-0005-0000-0000-00005F740000}"/>
    <cellStyle name="Standard 4 5 6 2 2 2 2" xfId="29584" xr:uid="{00000000-0005-0000-0000-000060740000}"/>
    <cellStyle name="Standard 4 5 6 2 2 2 3" xfId="29585" xr:uid="{00000000-0005-0000-0000-000061740000}"/>
    <cellStyle name="Standard 4 5 6 2 2 3" xfId="29586" xr:uid="{00000000-0005-0000-0000-000062740000}"/>
    <cellStyle name="Standard 4 5 6 2 2 3 2" xfId="29587" xr:uid="{00000000-0005-0000-0000-000063740000}"/>
    <cellStyle name="Standard 4 5 6 2 2 3 3" xfId="29588" xr:uid="{00000000-0005-0000-0000-000064740000}"/>
    <cellStyle name="Standard 4 5 6 2 2 4" xfId="29589" xr:uid="{00000000-0005-0000-0000-000065740000}"/>
    <cellStyle name="Standard 4 5 6 2 2 4 2" xfId="29590" xr:uid="{00000000-0005-0000-0000-000066740000}"/>
    <cellStyle name="Standard 4 5 6 2 2 5" xfId="29591" xr:uid="{00000000-0005-0000-0000-000067740000}"/>
    <cellStyle name="Standard 4 5 6 2 2 6" xfId="29592" xr:uid="{00000000-0005-0000-0000-000068740000}"/>
    <cellStyle name="Standard 4 5 6 2 3" xfId="29593" xr:uid="{00000000-0005-0000-0000-000069740000}"/>
    <cellStyle name="Standard 4 5 6 2 3 2" xfId="29594" xr:uid="{00000000-0005-0000-0000-00006A740000}"/>
    <cellStyle name="Standard 4 5 6 2 3 3" xfId="29595" xr:uid="{00000000-0005-0000-0000-00006B740000}"/>
    <cellStyle name="Standard 4 5 6 2 4" xfId="29596" xr:uid="{00000000-0005-0000-0000-00006C740000}"/>
    <cellStyle name="Standard 4 5 6 2 4 2" xfId="29597" xr:uid="{00000000-0005-0000-0000-00006D740000}"/>
    <cellStyle name="Standard 4 5 6 2 4 3" xfId="29598" xr:uid="{00000000-0005-0000-0000-00006E740000}"/>
    <cellStyle name="Standard 4 5 6 2 5" xfId="29599" xr:uid="{00000000-0005-0000-0000-00006F740000}"/>
    <cellStyle name="Standard 4 5 6 2 5 2" xfId="29600" xr:uid="{00000000-0005-0000-0000-000070740000}"/>
    <cellStyle name="Standard 4 5 6 2 6" xfId="29601" xr:uid="{00000000-0005-0000-0000-000071740000}"/>
    <cellStyle name="Standard 4 5 6 2 7" xfId="29602" xr:uid="{00000000-0005-0000-0000-000072740000}"/>
    <cellStyle name="Standard 4 5 6 3" xfId="29603" xr:uid="{00000000-0005-0000-0000-000073740000}"/>
    <cellStyle name="Standard 4 5 6 3 2" xfId="29604" xr:uid="{00000000-0005-0000-0000-000074740000}"/>
    <cellStyle name="Standard 4 5 6 3 2 2" xfId="29605" xr:uid="{00000000-0005-0000-0000-000075740000}"/>
    <cellStyle name="Standard 4 5 6 3 2 3" xfId="29606" xr:uid="{00000000-0005-0000-0000-000076740000}"/>
    <cellStyle name="Standard 4 5 6 3 3" xfId="29607" xr:uid="{00000000-0005-0000-0000-000077740000}"/>
    <cellStyle name="Standard 4 5 6 3 3 2" xfId="29608" xr:uid="{00000000-0005-0000-0000-000078740000}"/>
    <cellStyle name="Standard 4 5 6 3 3 3" xfId="29609" xr:uid="{00000000-0005-0000-0000-000079740000}"/>
    <cellStyle name="Standard 4 5 6 3 4" xfId="29610" xr:uid="{00000000-0005-0000-0000-00007A740000}"/>
    <cellStyle name="Standard 4 5 6 3 4 2" xfId="29611" xr:uid="{00000000-0005-0000-0000-00007B740000}"/>
    <cellStyle name="Standard 4 5 6 3 5" xfId="29612" xr:uid="{00000000-0005-0000-0000-00007C740000}"/>
    <cellStyle name="Standard 4 5 6 3 6" xfId="29613" xr:uid="{00000000-0005-0000-0000-00007D740000}"/>
    <cellStyle name="Standard 4 5 6 4" xfId="29614" xr:uid="{00000000-0005-0000-0000-00007E740000}"/>
    <cellStyle name="Standard 4 5 6 4 2" xfId="29615" xr:uid="{00000000-0005-0000-0000-00007F740000}"/>
    <cellStyle name="Standard 4 5 6 4 3" xfId="29616" xr:uid="{00000000-0005-0000-0000-000080740000}"/>
    <cellStyle name="Standard 4 5 6 5" xfId="29617" xr:uid="{00000000-0005-0000-0000-000081740000}"/>
    <cellStyle name="Standard 4 5 6 5 2" xfId="29618" xr:uid="{00000000-0005-0000-0000-000082740000}"/>
    <cellStyle name="Standard 4 5 6 5 3" xfId="29619" xr:uid="{00000000-0005-0000-0000-000083740000}"/>
    <cellStyle name="Standard 4 5 6 6" xfId="29620" xr:uid="{00000000-0005-0000-0000-000084740000}"/>
    <cellStyle name="Standard 4 5 6 6 2" xfId="29621" xr:uid="{00000000-0005-0000-0000-000085740000}"/>
    <cellStyle name="Standard 4 5 6 7" xfId="29622" xr:uid="{00000000-0005-0000-0000-000086740000}"/>
    <cellStyle name="Standard 4 5 6 8" xfId="29623" xr:uid="{00000000-0005-0000-0000-000087740000}"/>
    <cellStyle name="Standard 4 5 7" xfId="29624" xr:uid="{00000000-0005-0000-0000-000088740000}"/>
    <cellStyle name="Standard 4 5 7 2" xfId="29625" xr:uid="{00000000-0005-0000-0000-000089740000}"/>
    <cellStyle name="Standard 4 5 7 2 2" xfId="29626" xr:uid="{00000000-0005-0000-0000-00008A740000}"/>
    <cellStyle name="Standard 4 5 7 2 2 2" xfId="29627" xr:uid="{00000000-0005-0000-0000-00008B740000}"/>
    <cellStyle name="Standard 4 5 7 2 2 2 2" xfId="29628" xr:uid="{00000000-0005-0000-0000-00008C740000}"/>
    <cellStyle name="Standard 4 5 7 2 2 2 3" xfId="29629" xr:uid="{00000000-0005-0000-0000-00008D740000}"/>
    <cellStyle name="Standard 4 5 7 2 2 3" xfId="29630" xr:uid="{00000000-0005-0000-0000-00008E740000}"/>
    <cellStyle name="Standard 4 5 7 2 2 3 2" xfId="29631" xr:uid="{00000000-0005-0000-0000-00008F740000}"/>
    <cellStyle name="Standard 4 5 7 2 2 3 3" xfId="29632" xr:uid="{00000000-0005-0000-0000-000090740000}"/>
    <cellStyle name="Standard 4 5 7 2 2 4" xfId="29633" xr:uid="{00000000-0005-0000-0000-000091740000}"/>
    <cellStyle name="Standard 4 5 7 2 2 4 2" xfId="29634" xr:uid="{00000000-0005-0000-0000-000092740000}"/>
    <cellStyle name="Standard 4 5 7 2 2 5" xfId="29635" xr:uid="{00000000-0005-0000-0000-000093740000}"/>
    <cellStyle name="Standard 4 5 7 2 2 6" xfId="29636" xr:uid="{00000000-0005-0000-0000-000094740000}"/>
    <cellStyle name="Standard 4 5 7 2 3" xfId="29637" xr:uid="{00000000-0005-0000-0000-000095740000}"/>
    <cellStyle name="Standard 4 5 7 2 3 2" xfId="29638" xr:uid="{00000000-0005-0000-0000-000096740000}"/>
    <cellStyle name="Standard 4 5 7 2 3 3" xfId="29639" xr:uid="{00000000-0005-0000-0000-000097740000}"/>
    <cellStyle name="Standard 4 5 7 2 4" xfId="29640" xr:uid="{00000000-0005-0000-0000-000098740000}"/>
    <cellStyle name="Standard 4 5 7 2 4 2" xfId="29641" xr:uid="{00000000-0005-0000-0000-000099740000}"/>
    <cellStyle name="Standard 4 5 7 2 4 3" xfId="29642" xr:uid="{00000000-0005-0000-0000-00009A740000}"/>
    <cellStyle name="Standard 4 5 7 2 5" xfId="29643" xr:uid="{00000000-0005-0000-0000-00009B740000}"/>
    <cellStyle name="Standard 4 5 7 2 5 2" xfId="29644" xr:uid="{00000000-0005-0000-0000-00009C740000}"/>
    <cellStyle name="Standard 4 5 7 2 6" xfId="29645" xr:uid="{00000000-0005-0000-0000-00009D740000}"/>
    <cellStyle name="Standard 4 5 7 2 7" xfId="29646" xr:uid="{00000000-0005-0000-0000-00009E740000}"/>
    <cellStyle name="Standard 4 5 7 3" xfId="29647" xr:uid="{00000000-0005-0000-0000-00009F740000}"/>
    <cellStyle name="Standard 4 5 7 3 2" xfId="29648" xr:uid="{00000000-0005-0000-0000-0000A0740000}"/>
    <cellStyle name="Standard 4 5 7 3 2 2" xfId="29649" xr:uid="{00000000-0005-0000-0000-0000A1740000}"/>
    <cellStyle name="Standard 4 5 7 3 2 3" xfId="29650" xr:uid="{00000000-0005-0000-0000-0000A2740000}"/>
    <cellStyle name="Standard 4 5 7 3 3" xfId="29651" xr:uid="{00000000-0005-0000-0000-0000A3740000}"/>
    <cellStyle name="Standard 4 5 7 3 3 2" xfId="29652" xr:uid="{00000000-0005-0000-0000-0000A4740000}"/>
    <cellStyle name="Standard 4 5 7 3 3 3" xfId="29653" xr:uid="{00000000-0005-0000-0000-0000A5740000}"/>
    <cellStyle name="Standard 4 5 7 3 4" xfId="29654" xr:uid="{00000000-0005-0000-0000-0000A6740000}"/>
    <cellStyle name="Standard 4 5 7 3 4 2" xfId="29655" xr:uid="{00000000-0005-0000-0000-0000A7740000}"/>
    <cellStyle name="Standard 4 5 7 3 5" xfId="29656" xr:uid="{00000000-0005-0000-0000-0000A8740000}"/>
    <cellStyle name="Standard 4 5 7 3 6" xfId="29657" xr:uid="{00000000-0005-0000-0000-0000A9740000}"/>
    <cellStyle name="Standard 4 5 7 4" xfId="29658" xr:uid="{00000000-0005-0000-0000-0000AA740000}"/>
    <cellStyle name="Standard 4 5 7 4 2" xfId="29659" xr:uid="{00000000-0005-0000-0000-0000AB740000}"/>
    <cellStyle name="Standard 4 5 7 4 3" xfId="29660" xr:uid="{00000000-0005-0000-0000-0000AC740000}"/>
    <cellStyle name="Standard 4 5 7 5" xfId="29661" xr:uid="{00000000-0005-0000-0000-0000AD740000}"/>
    <cellStyle name="Standard 4 5 7 5 2" xfId="29662" xr:uid="{00000000-0005-0000-0000-0000AE740000}"/>
    <cellStyle name="Standard 4 5 7 5 3" xfId="29663" xr:uid="{00000000-0005-0000-0000-0000AF740000}"/>
    <cellStyle name="Standard 4 5 7 6" xfId="29664" xr:uid="{00000000-0005-0000-0000-0000B0740000}"/>
    <cellStyle name="Standard 4 5 7 6 2" xfId="29665" xr:uid="{00000000-0005-0000-0000-0000B1740000}"/>
    <cellStyle name="Standard 4 5 7 7" xfId="29666" xr:uid="{00000000-0005-0000-0000-0000B2740000}"/>
    <cellStyle name="Standard 4 5 7 8" xfId="29667" xr:uid="{00000000-0005-0000-0000-0000B3740000}"/>
    <cellStyle name="Standard 4 5 8" xfId="29668" xr:uid="{00000000-0005-0000-0000-0000B4740000}"/>
    <cellStyle name="Standard 4 5 8 2" xfId="29669" xr:uid="{00000000-0005-0000-0000-0000B5740000}"/>
    <cellStyle name="Standard 4 5 8 2 2" xfId="29670" xr:uid="{00000000-0005-0000-0000-0000B6740000}"/>
    <cellStyle name="Standard 4 5 8 2 2 2" xfId="29671" xr:uid="{00000000-0005-0000-0000-0000B7740000}"/>
    <cellStyle name="Standard 4 5 8 2 2 3" xfId="29672" xr:uid="{00000000-0005-0000-0000-0000B8740000}"/>
    <cellStyle name="Standard 4 5 8 2 3" xfId="29673" xr:uid="{00000000-0005-0000-0000-0000B9740000}"/>
    <cellStyle name="Standard 4 5 8 2 3 2" xfId="29674" xr:uid="{00000000-0005-0000-0000-0000BA740000}"/>
    <cellStyle name="Standard 4 5 8 2 3 3" xfId="29675" xr:uid="{00000000-0005-0000-0000-0000BB740000}"/>
    <cellStyle name="Standard 4 5 8 2 4" xfId="29676" xr:uid="{00000000-0005-0000-0000-0000BC740000}"/>
    <cellStyle name="Standard 4 5 8 2 4 2" xfId="29677" xr:uid="{00000000-0005-0000-0000-0000BD740000}"/>
    <cellStyle name="Standard 4 5 8 2 5" xfId="29678" xr:uid="{00000000-0005-0000-0000-0000BE740000}"/>
    <cellStyle name="Standard 4 5 8 2 6" xfId="29679" xr:uid="{00000000-0005-0000-0000-0000BF740000}"/>
    <cellStyle name="Standard 4 5 8 3" xfId="29680" xr:uid="{00000000-0005-0000-0000-0000C0740000}"/>
    <cellStyle name="Standard 4 5 8 3 2" xfId="29681" xr:uid="{00000000-0005-0000-0000-0000C1740000}"/>
    <cellStyle name="Standard 4 5 8 3 3" xfId="29682" xr:uid="{00000000-0005-0000-0000-0000C2740000}"/>
    <cellStyle name="Standard 4 5 8 4" xfId="29683" xr:uid="{00000000-0005-0000-0000-0000C3740000}"/>
    <cellStyle name="Standard 4 5 8 4 2" xfId="29684" xr:uid="{00000000-0005-0000-0000-0000C4740000}"/>
    <cellStyle name="Standard 4 5 8 4 3" xfId="29685" xr:uid="{00000000-0005-0000-0000-0000C5740000}"/>
    <cellStyle name="Standard 4 5 8 5" xfId="29686" xr:uid="{00000000-0005-0000-0000-0000C6740000}"/>
    <cellStyle name="Standard 4 5 8 5 2" xfId="29687" xr:uid="{00000000-0005-0000-0000-0000C7740000}"/>
    <cellStyle name="Standard 4 5 8 6" xfId="29688" xr:uid="{00000000-0005-0000-0000-0000C8740000}"/>
    <cellStyle name="Standard 4 5 8 7" xfId="29689" xr:uid="{00000000-0005-0000-0000-0000C9740000}"/>
    <cellStyle name="Standard 4 5 9" xfId="29690" xr:uid="{00000000-0005-0000-0000-0000CA740000}"/>
    <cellStyle name="Standard 4 5 9 2" xfId="29691" xr:uid="{00000000-0005-0000-0000-0000CB740000}"/>
    <cellStyle name="Standard 4 5 9 2 2" xfId="29692" xr:uid="{00000000-0005-0000-0000-0000CC740000}"/>
    <cellStyle name="Standard 4 5 9 2 3" xfId="29693" xr:uid="{00000000-0005-0000-0000-0000CD740000}"/>
    <cellStyle name="Standard 4 5 9 3" xfId="29694" xr:uid="{00000000-0005-0000-0000-0000CE740000}"/>
    <cellStyle name="Standard 4 5 9 3 2" xfId="29695" xr:uid="{00000000-0005-0000-0000-0000CF740000}"/>
    <cellStyle name="Standard 4 5 9 3 3" xfId="29696" xr:uid="{00000000-0005-0000-0000-0000D0740000}"/>
    <cellStyle name="Standard 4 5 9 4" xfId="29697" xr:uid="{00000000-0005-0000-0000-0000D1740000}"/>
    <cellStyle name="Standard 4 5 9 4 2" xfId="29698" xr:uid="{00000000-0005-0000-0000-0000D2740000}"/>
    <cellStyle name="Standard 4 5 9 5" xfId="29699" xr:uid="{00000000-0005-0000-0000-0000D3740000}"/>
    <cellStyle name="Standard 4 5 9 6" xfId="29700" xr:uid="{00000000-0005-0000-0000-0000D4740000}"/>
    <cellStyle name="Standard 4 6" xfId="592" xr:uid="{00000000-0005-0000-0000-0000D5740000}"/>
    <cellStyle name="Standard 4 6 10" xfId="29701" xr:uid="{00000000-0005-0000-0000-0000D6740000}"/>
    <cellStyle name="Standard 4 6 10 2" xfId="29702" xr:uid="{00000000-0005-0000-0000-0000D7740000}"/>
    <cellStyle name="Standard 4 6 10 3" xfId="29703" xr:uid="{00000000-0005-0000-0000-0000D8740000}"/>
    <cellStyle name="Standard 4 6 11" xfId="29704" xr:uid="{00000000-0005-0000-0000-0000D9740000}"/>
    <cellStyle name="Standard 4 6 11 2" xfId="29705" xr:uid="{00000000-0005-0000-0000-0000DA740000}"/>
    <cellStyle name="Standard 4 6 12" xfId="29706" xr:uid="{00000000-0005-0000-0000-0000DB740000}"/>
    <cellStyle name="Standard 4 6 13" xfId="29707" xr:uid="{00000000-0005-0000-0000-0000DC740000}"/>
    <cellStyle name="Standard 4 6 14" xfId="33115" xr:uid="{00000000-0005-0000-0000-0000DD740000}"/>
    <cellStyle name="Standard 4 6 15" xfId="33190" xr:uid="{00000000-0005-0000-0000-0000DE740000}"/>
    <cellStyle name="Standard 4 6 16" xfId="33265" xr:uid="{00000000-0005-0000-0000-0000DF740000}"/>
    <cellStyle name="Standard 4 6 17" xfId="33340" xr:uid="{00000000-0005-0000-0000-0000E0740000}"/>
    <cellStyle name="Standard 4 6 18" xfId="33474" xr:uid="{00000000-0005-0000-0000-0000E1740000}"/>
    <cellStyle name="Standard 4 6 2" xfId="29708" xr:uid="{00000000-0005-0000-0000-0000E2740000}"/>
    <cellStyle name="Standard 4 6 2 10" xfId="29709" xr:uid="{00000000-0005-0000-0000-0000E3740000}"/>
    <cellStyle name="Standard 4 6 2 11" xfId="29710" xr:uid="{00000000-0005-0000-0000-0000E4740000}"/>
    <cellStyle name="Standard 4 6 2 12" xfId="33475" xr:uid="{00000000-0005-0000-0000-0000E5740000}"/>
    <cellStyle name="Standard 4 6 2 2" xfId="29711" xr:uid="{00000000-0005-0000-0000-0000E6740000}"/>
    <cellStyle name="Standard 4 6 2 2 10" xfId="29712" xr:uid="{00000000-0005-0000-0000-0000E7740000}"/>
    <cellStyle name="Standard 4 6 2 2 2" xfId="29713" xr:uid="{00000000-0005-0000-0000-0000E8740000}"/>
    <cellStyle name="Standard 4 6 2 2 2 2" xfId="29714" xr:uid="{00000000-0005-0000-0000-0000E9740000}"/>
    <cellStyle name="Standard 4 6 2 2 2 2 2" xfId="29715" xr:uid="{00000000-0005-0000-0000-0000EA740000}"/>
    <cellStyle name="Standard 4 6 2 2 2 2 2 2" xfId="29716" xr:uid="{00000000-0005-0000-0000-0000EB740000}"/>
    <cellStyle name="Standard 4 6 2 2 2 2 2 2 2" xfId="29717" xr:uid="{00000000-0005-0000-0000-0000EC740000}"/>
    <cellStyle name="Standard 4 6 2 2 2 2 2 2 3" xfId="29718" xr:uid="{00000000-0005-0000-0000-0000ED740000}"/>
    <cellStyle name="Standard 4 6 2 2 2 2 2 3" xfId="29719" xr:uid="{00000000-0005-0000-0000-0000EE740000}"/>
    <cellStyle name="Standard 4 6 2 2 2 2 2 3 2" xfId="29720" xr:uid="{00000000-0005-0000-0000-0000EF740000}"/>
    <cellStyle name="Standard 4 6 2 2 2 2 2 3 3" xfId="29721" xr:uid="{00000000-0005-0000-0000-0000F0740000}"/>
    <cellStyle name="Standard 4 6 2 2 2 2 2 4" xfId="29722" xr:uid="{00000000-0005-0000-0000-0000F1740000}"/>
    <cellStyle name="Standard 4 6 2 2 2 2 2 4 2" xfId="29723" xr:uid="{00000000-0005-0000-0000-0000F2740000}"/>
    <cellStyle name="Standard 4 6 2 2 2 2 2 5" xfId="29724" xr:uid="{00000000-0005-0000-0000-0000F3740000}"/>
    <cellStyle name="Standard 4 6 2 2 2 2 2 6" xfId="29725" xr:uid="{00000000-0005-0000-0000-0000F4740000}"/>
    <cellStyle name="Standard 4 6 2 2 2 2 3" xfId="29726" xr:uid="{00000000-0005-0000-0000-0000F5740000}"/>
    <cellStyle name="Standard 4 6 2 2 2 2 3 2" xfId="29727" xr:uid="{00000000-0005-0000-0000-0000F6740000}"/>
    <cellStyle name="Standard 4 6 2 2 2 2 3 3" xfId="29728" xr:uid="{00000000-0005-0000-0000-0000F7740000}"/>
    <cellStyle name="Standard 4 6 2 2 2 2 4" xfId="29729" xr:uid="{00000000-0005-0000-0000-0000F8740000}"/>
    <cellStyle name="Standard 4 6 2 2 2 2 4 2" xfId="29730" xr:uid="{00000000-0005-0000-0000-0000F9740000}"/>
    <cellStyle name="Standard 4 6 2 2 2 2 4 3" xfId="29731" xr:uid="{00000000-0005-0000-0000-0000FA740000}"/>
    <cellStyle name="Standard 4 6 2 2 2 2 5" xfId="29732" xr:uid="{00000000-0005-0000-0000-0000FB740000}"/>
    <cellStyle name="Standard 4 6 2 2 2 2 5 2" xfId="29733" xr:uid="{00000000-0005-0000-0000-0000FC740000}"/>
    <cellStyle name="Standard 4 6 2 2 2 2 6" xfId="29734" xr:uid="{00000000-0005-0000-0000-0000FD740000}"/>
    <cellStyle name="Standard 4 6 2 2 2 2 7" xfId="29735" xr:uid="{00000000-0005-0000-0000-0000FE740000}"/>
    <cellStyle name="Standard 4 6 2 2 2 3" xfId="29736" xr:uid="{00000000-0005-0000-0000-0000FF740000}"/>
    <cellStyle name="Standard 4 6 2 2 2 3 2" xfId="29737" xr:uid="{00000000-0005-0000-0000-000000750000}"/>
    <cellStyle name="Standard 4 6 2 2 2 3 2 2" xfId="29738" xr:uid="{00000000-0005-0000-0000-000001750000}"/>
    <cellStyle name="Standard 4 6 2 2 2 3 2 3" xfId="29739" xr:uid="{00000000-0005-0000-0000-000002750000}"/>
    <cellStyle name="Standard 4 6 2 2 2 3 3" xfId="29740" xr:uid="{00000000-0005-0000-0000-000003750000}"/>
    <cellStyle name="Standard 4 6 2 2 2 3 3 2" xfId="29741" xr:uid="{00000000-0005-0000-0000-000004750000}"/>
    <cellStyle name="Standard 4 6 2 2 2 3 3 3" xfId="29742" xr:uid="{00000000-0005-0000-0000-000005750000}"/>
    <cellStyle name="Standard 4 6 2 2 2 3 4" xfId="29743" xr:uid="{00000000-0005-0000-0000-000006750000}"/>
    <cellStyle name="Standard 4 6 2 2 2 3 4 2" xfId="29744" xr:uid="{00000000-0005-0000-0000-000007750000}"/>
    <cellStyle name="Standard 4 6 2 2 2 3 5" xfId="29745" xr:uid="{00000000-0005-0000-0000-000008750000}"/>
    <cellStyle name="Standard 4 6 2 2 2 3 6" xfId="29746" xr:uid="{00000000-0005-0000-0000-000009750000}"/>
    <cellStyle name="Standard 4 6 2 2 2 4" xfId="29747" xr:uid="{00000000-0005-0000-0000-00000A750000}"/>
    <cellStyle name="Standard 4 6 2 2 2 4 2" xfId="29748" xr:uid="{00000000-0005-0000-0000-00000B750000}"/>
    <cellStyle name="Standard 4 6 2 2 2 4 3" xfId="29749" xr:uid="{00000000-0005-0000-0000-00000C750000}"/>
    <cellStyle name="Standard 4 6 2 2 2 5" xfId="29750" xr:uid="{00000000-0005-0000-0000-00000D750000}"/>
    <cellStyle name="Standard 4 6 2 2 2 5 2" xfId="29751" xr:uid="{00000000-0005-0000-0000-00000E750000}"/>
    <cellStyle name="Standard 4 6 2 2 2 5 3" xfId="29752" xr:uid="{00000000-0005-0000-0000-00000F750000}"/>
    <cellStyle name="Standard 4 6 2 2 2 6" xfId="29753" xr:uid="{00000000-0005-0000-0000-000010750000}"/>
    <cellStyle name="Standard 4 6 2 2 2 6 2" xfId="29754" xr:uid="{00000000-0005-0000-0000-000011750000}"/>
    <cellStyle name="Standard 4 6 2 2 2 7" xfId="29755" xr:uid="{00000000-0005-0000-0000-000012750000}"/>
    <cellStyle name="Standard 4 6 2 2 2 8" xfId="29756" xr:uid="{00000000-0005-0000-0000-000013750000}"/>
    <cellStyle name="Standard 4 6 2 2 3" xfId="29757" xr:uid="{00000000-0005-0000-0000-000014750000}"/>
    <cellStyle name="Standard 4 6 2 2 3 2" xfId="29758" xr:uid="{00000000-0005-0000-0000-000015750000}"/>
    <cellStyle name="Standard 4 6 2 2 3 2 2" xfId="29759" xr:uid="{00000000-0005-0000-0000-000016750000}"/>
    <cellStyle name="Standard 4 6 2 2 3 2 2 2" xfId="29760" xr:uid="{00000000-0005-0000-0000-000017750000}"/>
    <cellStyle name="Standard 4 6 2 2 3 2 2 2 2" xfId="29761" xr:uid="{00000000-0005-0000-0000-000018750000}"/>
    <cellStyle name="Standard 4 6 2 2 3 2 2 2 3" xfId="29762" xr:uid="{00000000-0005-0000-0000-000019750000}"/>
    <cellStyle name="Standard 4 6 2 2 3 2 2 3" xfId="29763" xr:uid="{00000000-0005-0000-0000-00001A750000}"/>
    <cellStyle name="Standard 4 6 2 2 3 2 2 3 2" xfId="29764" xr:uid="{00000000-0005-0000-0000-00001B750000}"/>
    <cellStyle name="Standard 4 6 2 2 3 2 2 3 3" xfId="29765" xr:uid="{00000000-0005-0000-0000-00001C750000}"/>
    <cellStyle name="Standard 4 6 2 2 3 2 2 4" xfId="29766" xr:uid="{00000000-0005-0000-0000-00001D750000}"/>
    <cellStyle name="Standard 4 6 2 2 3 2 2 4 2" xfId="29767" xr:uid="{00000000-0005-0000-0000-00001E750000}"/>
    <cellStyle name="Standard 4 6 2 2 3 2 2 5" xfId="29768" xr:uid="{00000000-0005-0000-0000-00001F750000}"/>
    <cellStyle name="Standard 4 6 2 2 3 2 2 6" xfId="29769" xr:uid="{00000000-0005-0000-0000-000020750000}"/>
    <cellStyle name="Standard 4 6 2 2 3 2 3" xfId="29770" xr:uid="{00000000-0005-0000-0000-000021750000}"/>
    <cellStyle name="Standard 4 6 2 2 3 2 3 2" xfId="29771" xr:uid="{00000000-0005-0000-0000-000022750000}"/>
    <cellStyle name="Standard 4 6 2 2 3 2 3 3" xfId="29772" xr:uid="{00000000-0005-0000-0000-000023750000}"/>
    <cellStyle name="Standard 4 6 2 2 3 2 4" xfId="29773" xr:uid="{00000000-0005-0000-0000-000024750000}"/>
    <cellStyle name="Standard 4 6 2 2 3 2 4 2" xfId="29774" xr:uid="{00000000-0005-0000-0000-000025750000}"/>
    <cellStyle name="Standard 4 6 2 2 3 2 4 3" xfId="29775" xr:uid="{00000000-0005-0000-0000-000026750000}"/>
    <cellStyle name="Standard 4 6 2 2 3 2 5" xfId="29776" xr:uid="{00000000-0005-0000-0000-000027750000}"/>
    <cellStyle name="Standard 4 6 2 2 3 2 5 2" xfId="29777" xr:uid="{00000000-0005-0000-0000-000028750000}"/>
    <cellStyle name="Standard 4 6 2 2 3 2 6" xfId="29778" xr:uid="{00000000-0005-0000-0000-000029750000}"/>
    <cellStyle name="Standard 4 6 2 2 3 2 7" xfId="29779" xr:uid="{00000000-0005-0000-0000-00002A750000}"/>
    <cellStyle name="Standard 4 6 2 2 3 3" xfId="29780" xr:uid="{00000000-0005-0000-0000-00002B750000}"/>
    <cellStyle name="Standard 4 6 2 2 3 3 2" xfId="29781" xr:uid="{00000000-0005-0000-0000-00002C750000}"/>
    <cellStyle name="Standard 4 6 2 2 3 3 2 2" xfId="29782" xr:uid="{00000000-0005-0000-0000-00002D750000}"/>
    <cellStyle name="Standard 4 6 2 2 3 3 2 3" xfId="29783" xr:uid="{00000000-0005-0000-0000-00002E750000}"/>
    <cellStyle name="Standard 4 6 2 2 3 3 3" xfId="29784" xr:uid="{00000000-0005-0000-0000-00002F750000}"/>
    <cellStyle name="Standard 4 6 2 2 3 3 3 2" xfId="29785" xr:uid="{00000000-0005-0000-0000-000030750000}"/>
    <cellStyle name="Standard 4 6 2 2 3 3 3 3" xfId="29786" xr:uid="{00000000-0005-0000-0000-000031750000}"/>
    <cellStyle name="Standard 4 6 2 2 3 3 4" xfId="29787" xr:uid="{00000000-0005-0000-0000-000032750000}"/>
    <cellStyle name="Standard 4 6 2 2 3 3 4 2" xfId="29788" xr:uid="{00000000-0005-0000-0000-000033750000}"/>
    <cellStyle name="Standard 4 6 2 2 3 3 5" xfId="29789" xr:uid="{00000000-0005-0000-0000-000034750000}"/>
    <cellStyle name="Standard 4 6 2 2 3 3 6" xfId="29790" xr:uid="{00000000-0005-0000-0000-000035750000}"/>
    <cellStyle name="Standard 4 6 2 2 3 4" xfId="29791" xr:uid="{00000000-0005-0000-0000-000036750000}"/>
    <cellStyle name="Standard 4 6 2 2 3 4 2" xfId="29792" xr:uid="{00000000-0005-0000-0000-000037750000}"/>
    <cellStyle name="Standard 4 6 2 2 3 4 3" xfId="29793" xr:uid="{00000000-0005-0000-0000-000038750000}"/>
    <cellStyle name="Standard 4 6 2 2 3 5" xfId="29794" xr:uid="{00000000-0005-0000-0000-000039750000}"/>
    <cellStyle name="Standard 4 6 2 2 3 5 2" xfId="29795" xr:uid="{00000000-0005-0000-0000-00003A750000}"/>
    <cellStyle name="Standard 4 6 2 2 3 5 3" xfId="29796" xr:uid="{00000000-0005-0000-0000-00003B750000}"/>
    <cellStyle name="Standard 4 6 2 2 3 6" xfId="29797" xr:uid="{00000000-0005-0000-0000-00003C750000}"/>
    <cellStyle name="Standard 4 6 2 2 3 6 2" xfId="29798" xr:uid="{00000000-0005-0000-0000-00003D750000}"/>
    <cellStyle name="Standard 4 6 2 2 3 7" xfId="29799" xr:uid="{00000000-0005-0000-0000-00003E750000}"/>
    <cellStyle name="Standard 4 6 2 2 3 8" xfId="29800" xr:uid="{00000000-0005-0000-0000-00003F750000}"/>
    <cellStyle name="Standard 4 6 2 2 4" xfId="29801" xr:uid="{00000000-0005-0000-0000-000040750000}"/>
    <cellStyle name="Standard 4 6 2 2 4 2" xfId="29802" xr:uid="{00000000-0005-0000-0000-000041750000}"/>
    <cellStyle name="Standard 4 6 2 2 4 2 2" xfId="29803" xr:uid="{00000000-0005-0000-0000-000042750000}"/>
    <cellStyle name="Standard 4 6 2 2 4 2 2 2" xfId="29804" xr:uid="{00000000-0005-0000-0000-000043750000}"/>
    <cellStyle name="Standard 4 6 2 2 4 2 2 3" xfId="29805" xr:uid="{00000000-0005-0000-0000-000044750000}"/>
    <cellStyle name="Standard 4 6 2 2 4 2 3" xfId="29806" xr:uid="{00000000-0005-0000-0000-000045750000}"/>
    <cellStyle name="Standard 4 6 2 2 4 2 3 2" xfId="29807" xr:uid="{00000000-0005-0000-0000-000046750000}"/>
    <cellStyle name="Standard 4 6 2 2 4 2 3 3" xfId="29808" xr:uid="{00000000-0005-0000-0000-000047750000}"/>
    <cellStyle name="Standard 4 6 2 2 4 2 4" xfId="29809" xr:uid="{00000000-0005-0000-0000-000048750000}"/>
    <cellStyle name="Standard 4 6 2 2 4 2 4 2" xfId="29810" xr:uid="{00000000-0005-0000-0000-000049750000}"/>
    <cellStyle name="Standard 4 6 2 2 4 2 5" xfId="29811" xr:uid="{00000000-0005-0000-0000-00004A750000}"/>
    <cellStyle name="Standard 4 6 2 2 4 2 6" xfId="29812" xr:uid="{00000000-0005-0000-0000-00004B750000}"/>
    <cellStyle name="Standard 4 6 2 2 4 3" xfId="29813" xr:uid="{00000000-0005-0000-0000-00004C750000}"/>
    <cellStyle name="Standard 4 6 2 2 4 3 2" xfId="29814" xr:uid="{00000000-0005-0000-0000-00004D750000}"/>
    <cellStyle name="Standard 4 6 2 2 4 3 3" xfId="29815" xr:uid="{00000000-0005-0000-0000-00004E750000}"/>
    <cellStyle name="Standard 4 6 2 2 4 4" xfId="29816" xr:uid="{00000000-0005-0000-0000-00004F750000}"/>
    <cellStyle name="Standard 4 6 2 2 4 4 2" xfId="29817" xr:uid="{00000000-0005-0000-0000-000050750000}"/>
    <cellStyle name="Standard 4 6 2 2 4 4 3" xfId="29818" xr:uid="{00000000-0005-0000-0000-000051750000}"/>
    <cellStyle name="Standard 4 6 2 2 4 5" xfId="29819" xr:uid="{00000000-0005-0000-0000-000052750000}"/>
    <cellStyle name="Standard 4 6 2 2 4 5 2" xfId="29820" xr:uid="{00000000-0005-0000-0000-000053750000}"/>
    <cellStyle name="Standard 4 6 2 2 4 6" xfId="29821" xr:uid="{00000000-0005-0000-0000-000054750000}"/>
    <cellStyle name="Standard 4 6 2 2 4 7" xfId="29822" xr:uid="{00000000-0005-0000-0000-000055750000}"/>
    <cellStyle name="Standard 4 6 2 2 5" xfId="29823" xr:uid="{00000000-0005-0000-0000-000056750000}"/>
    <cellStyle name="Standard 4 6 2 2 5 2" xfId="29824" xr:uid="{00000000-0005-0000-0000-000057750000}"/>
    <cellStyle name="Standard 4 6 2 2 5 2 2" xfId="29825" xr:uid="{00000000-0005-0000-0000-000058750000}"/>
    <cellStyle name="Standard 4 6 2 2 5 2 3" xfId="29826" xr:uid="{00000000-0005-0000-0000-000059750000}"/>
    <cellStyle name="Standard 4 6 2 2 5 3" xfId="29827" xr:uid="{00000000-0005-0000-0000-00005A750000}"/>
    <cellStyle name="Standard 4 6 2 2 5 3 2" xfId="29828" xr:uid="{00000000-0005-0000-0000-00005B750000}"/>
    <cellStyle name="Standard 4 6 2 2 5 3 3" xfId="29829" xr:uid="{00000000-0005-0000-0000-00005C750000}"/>
    <cellStyle name="Standard 4 6 2 2 5 4" xfId="29830" xr:uid="{00000000-0005-0000-0000-00005D750000}"/>
    <cellStyle name="Standard 4 6 2 2 5 4 2" xfId="29831" xr:uid="{00000000-0005-0000-0000-00005E750000}"/>
    <cellStyle name="Standard 4 6 2 2 5 5" xfId="29832" xr:uid="{00000000-0005-0000-0000-00005F750000}"/>
    <cellStyle name="Standard 4 6 2 2 5 6" xfId="29833" xr:uid="{00000000-0005-0000-0000-000060750000}"/>
    <cellStyle name="Standard 4 6 2 2 6" xfId="29834" xr:uid="{00000000-0005-0000-0000-000061750000}"/>
    <cellStyle name="Standard 4 6 2 2 6 2" xfId="29835" xr:uid="{00000000-0005-0000-0000-000062750000}"/>
    <cellStyle name="Standard 4 6 2 2 6 3" xfId="29836" xr:uid="{00000000-0005-0000-0000-000063750000}"/>
    <cellStyle name="Standard 4 6 2 2 7" xfId="29837" xr:uid="{00000000-0005-0000-0000-000064750000}"/>
    <cellStyle name="Standard 4 6 2 2 7 2" xfId="29838" xr:uid="{00000000-0005-0000-0000-000065750000}"/>
    <cellStyle name="Standard 4 6 2 2 7 3" xfId="29839" xr:uid="{00000000-0005-0000-0000-000066750000}"/>
    <cellStyle name="Standard 4 6 2 2 8" xfId="29840" xr:uid="{00000000-0005-0000-0000-000067750000}"/>
    <cellStyle name="Standard 4 6 2 2 8 2" xfId="29841" xr:uid="{00000000-0005-0000-0000-000068750000}"/>
    <cellStyle name="Standard 4 6 2 2 9" xfId="29842" xr:uid="{00000000-0005-0000-0000-000069750000}"/>
    <cellStyle name="Standard 4 6 2 3" xfId="29843" xr:uid="{00000000-0005-0000-0000-00006A750000}"/>
    <cellStyle name="Standard 4 6 2 3 2" xfId="29844" xr:uid="{00000000-0005-0000-0000-00006B750000}"/>
    <cellStyle name="Standard 4 6 2 3 2 2" xfId="29845" xr:uid="{00000000-0005-0000-0000-00006C750000}"/>
    <cellStyle name="Standard 4 6 2 3 2 2 2" xfId="29846" xr:uid="{00000000-0005-0000-0000-00006D750000}"/>
    <cellStyle name="Standard 4 6 2 3 2 2 2 2" xfId="29847" xr:uid="{00000000-0005-0000-0000-00006E750000}"/>
    <cellStyle name="Standard 4 6 2 3 2 2 2 3" xfId="29848" xr:uid="{00000000-0005-0000-0000-00006F750000}"/>
    <cellStyle name="Standard 4 6 2 3 2 2 3" xfId="29849" xr:uid="{00000000-0005-0000-0000-000070750000}"/>
    <cellStyle name="Standard 4 6 2 3 2 2 3 2" xfId="29850" xr:uid="{00000000-0005-0000-0000-000071750000}"/>
    <cellStyle name="Standard 4 6 2 3 2 2 3 3" xfId="29851" xr:uid="{00000000-0005-0000-0000-000072750000}"/>
    <cellStyle name="Standard 4 6 2 3 2 2 4" xfId="29852" xr:uid="{00000000-0005-0000-0000-000073750000}"/>
    <cellStyle name="Standard 4 6 2 3 2 2 4 2" xfId="29853" xr:uid="{00000000-0005-0000-0000-000074750000}"/>
    <cellStyle name="Standard 4 6 2 3 2 2 5" xfId="29854" xr:uid="{00000000-0005-0000-0000-000075750000}"/>
    <cellStyle name="Standard 4 6 2 3 2 2 6" xfId="29855" xr:uid="{00000000-0005-0000-0000-000076750000}"/>
    <cellStyle name="Standard 4 6 2 3 2 3" xfId="29856" xr:uid="{00000000-0005-0000-0000-000077750000}"/>
    <cellStyle name="Standard 4 6 2 3 2 3 2" xfId="29857" xr:uid="{00000000-0005-0000-0000-000078750000}"/>
    <cellStyle name="Standard 4 6 2 3 2 3 3" xfId="29858" xr:uid="{00000000-0005-0000-0000-000079750000}"/>
    <cellStyle name="Standard 4 6 2 3 2 4" xfId="29859" xr:uid="{00000000-0005-0000-0000-00007A750000}"/>
    <cellStyle name="Standard 4 6 2 3 2 4 2" xfId="29860" xr:uid="{00000000-0005-0000-0000-00007B750000}"/>
    <cellStyle name="Standard 4 6 2 3 2 4 3" xfId="29861" xr:uid="{00000000-0005-0000-0000-00007C750000}"/>
    <cellStyle name="Standard 4 6 2 3 2 5" xfId="29862" xr:uid="{00000000-0005-0000-0000-00007D750000}"/>
    <cellStyle name="Standard 4 6 2 3 2 5 2" xfId="29863" xr:uid="{00000000-0005-0000-0000-00007E750000}"/>
    <cellStyle name="Standard 4 6 2 3 2 6" xfId="29864" xr:uid="{00000000-0005-0000-0000-00007F750000}"/>
    <cellStyle name="Standard 4 6 2 3 2 7" xfId="29865" xr:uid="{00000000-0005-0000-0000-000080750000}"/>
    <cellStyle name="Standard 4 6 2 3 3" xfId="29866" xr:uid="{00000000-0005-0000-0000-000081750000}"/>
    <cellStyle name="Standard 4 6 2 3 3 2" xfId="29867" xr:uid="{00000000-0005-0000-0000-000082750000}"/>
    <cellStyle name="Standard 4 6 2 3 3 2 2" xfId="29868" xr:uid="{00000000-0005-0000-0000-000083750000}"/>
    <cellStyle name="Standard 4 6 2 3 3 2 3" xfId="29869" xr:uid="{00000000-0005-0000-0000-000084750000}"/>
    <cellStyle name="Standard 4 6 2 3 3 3" xfId="29870" xr:uid="{00000000-0005-0000-0000-000085750000}"/>
    <cellStyle name="Standard 4 6 2 3 3 3 2" xfId="29871" xr:uid="{00000000-0005-0000-0000-000086750000}"/>
    <cellStyle name="Standard 4 6 2 3 3 3 3" xfId="29872" xr:uid="{00000000-0005-0000-0000-000087750000}"/>
    <cellStyle name="Standard 4 6 2 3 3 4" xfId="29873" xr:uid="{00000000-0005-0000-0000-000088750000}"/>
    <cellStyle name="Standard 4 6 2 3 3 4 2" xfId="29874" xr:uid="{00000000-0005-0000-0000-000089750000}"/>
    <cellStyle name="Standard 4 6 2 3 3 5" xfId="29875" xr:uid="{00000000-0005-0000-0000-00008A750000}"/>
    <cellStyle name="Standard 4 6 2 3 3 6" xfId="29876" xr:uid="{00000000-0005-0000-0000-00008B750000}"/>
    <cellStyle name="Standard 4 6 2 3 4" xfId="29877" xr:uid="{00000000-0005-0000-0000-00008C750000}"/>
    <cellStyle name="Standard 4 6 2 3 4 2" xfId="29878" xr:uid="{00000000-0005-0000-0000-00008D750000}"/>
    <cellStyle name="Standard 4 6 2 3 4 3" xfId="29879" xr:uid="{00000000-0005-0000-0000-00008E750000}"/>
    <cellStyle name="Standard 4 6 2 3 5" xfId="29880" xr:uid="{00000000-0005-0000-0000-00008F750000}"/>
    <cellStyle name="Standard 4 6 2 3 5 2" xfId="29881" xr:uid="{00000000-0005-0000-0000-000090750000}"/>
    <cellStyle name="Standard 4 6 2 3 5 3" xfId="29882" xr:uid="{00000000-0005-0000-0000-000091750000}"/>
    <cellStyle name="Standard 4 6 2 3 6" xfId="29883" xr:uid="{00000000-0005-0000-0000-000092750000}"/>
    <cellStyle name="Standard 4 6 2 3 6 2" xfId="29884" xr:uid="{00000000-0005-0000-0000-000093750000}"/>
    <cellStyle name="Standard 4 6 2 3 7" xfId="29885" xr:uid="{00000000-0005-0000-0000-000094750000}"/>
    <cellStyle name="Standard 4 6 2 3 8" xfId="29886" xr:uid="{00000000-0005-0000-0000-000095750000}"/>
    <cellStyle name="Standard 4 6 2 4" xfId="29887" xr:uid="{00000000-0005-0000-0000-000096750000}"/>
    <cellStyle name="Standard 4 6 2 4 2" xfId="29888" xr:uid="{00000000-0005-0000-0000-000097750000}"/>
    <cellStyle name="Standard 4 6 2 4 2 2" xfId="29889" xr:uid="{00000000-0005-0000-0000-000098750000}"/>
    <cellStyle name="Standard 4 6 2 4 2 2 2" xfId="29890" xr:uid="{00000000-0005-0000-0000-000099750000}"/>
    <cellStyle name="Standard 4 6 2 4 2 2 2 2" xfId="29891" xr:uid="{00000000-0005-0000-0000-00009A750000}"/>
    <cellStyle name="Standard 4 6 2 4 2 2 2 3" xfId="29892" xr:uid="{00000000-0005-0000-0000-00009B750000}"/>
    <cellStyle name="Standard 4 6 2 4 2 2 3" xfId="29893" xr:uid="{00000000-0005-0000-0000-00009C750000}"/>
    <cellStyle name="Standard 4 6 2 4 2 2 3 2" xfId="29894" xr:uid="{00000000-0005-0000-0000-00009D750000}"/>
    <cellStyle name="Standard 4 6 2 4 2 2 3 3" xfId="29895" xr:uid="{00000000-0005-0000-0000-00009E750000}"/>
    <cellStyle name="Standard 4 6 2 4 2 2 4" xfId="29896" xr:uid="{00000000-0005-0000-0000-00009F750000}"/>
    <cellStyle name="Standard 4 6 2 4 2 2 4 2" xfId="29897" xr:uid="{00000000-0005-0000-0000-0000A0750000}"/>
    <cellStyle name="Standard 4 6 2 4 2 2 5" xfId="29898" xr:uid="{00000000-0005-0000-0000-0000A1750000}"/>
    <cellStyle name="Standard 4 6 2 4 2 2 6" xfId="29899" xr:uid="{00000000-0005-0000-0000-0000A2750000}"/>
    <cellStyle name="Standard 4 6 2 4 2 3" xfId="29900" xr:uid="{00000000-0005-0000-0000-0000A3750000}"/>
    <cellStyle name="Standard 4 6 2 4 2 3 2" xfId="29901" xr:uid="{00000000-0005-0000-0000-0000A4750000}"/>
    <cellStyle name="Standard 4 6 2 4 2 3 3" xfId="29902" xr:uid="{00000000-0005-0000-0000-0000A5750000}"/>
    <cellStyle name="Standard 4 6 2 4 2 4" xfId="29903" xr:uid="{00000000-0005-0000-0000-0000A6750000}"/>
    <cellStyle name="Standard 4 6 2 4 2 4 2" xfId="29904" xr:uid="{00000000-0005-0000-0000-0000A7750000}"/>
    <cellStyle name="Standard 4 6 2 4 2 4 3" xfId="29905" xr:uid="{00000000-0005-0000-0000-0000A8750000}"/>
    <cellStyle name="Standard 4 6 2 4 2 5" xfId="29906" xr:uid="{00000000-0005-0000-0000-0000A9750000}"/>
    <cellStyle name="Standard 4 6 2 4 2 5 2" xfId="29907" xr:uid="{00000000-0005-0000-0000-0000AA750000}"/>
    <cellStyle name="Standard 4 6 2 4 2 6" xfId="29908" xr:uid="{00000000-0005-0000-0000-0000AB750000}"/>
    <cellStyle name="Standard 4 6 2 4 2 7" xfId="29909" xr:uid="{00000000-0005-0000-0000-0000AC750000}"/>
    <cellStyle name="Standard 4 6 2 4 3" xfId="29910" xr:uid="{00000000-0005-0000-0000-0000AD750000}"/>
    <cellStyle name="Standard 4 6 2 4 3 2" xfId="29911" xr:uid="{00000000-0005-0000-0000-0000AE750000}"/>
    <cellStyle name="Standard 4 6 2 4 3 2 2" xfId="29912" xr:uid="{00000000-0005-0000-0000-0000AF750000}"/>
    <cellStyle name="Standard 4 6 2 4 3 2 3" xfId="29913" xr:uid="{00000000-0005-0000-0000-0000B0750000}"/>
    <cellStyle name="Standard 4 6 2 4 3 3" xfId="29914" xr:uid="{00000000-0005-0000-0000-0000B1750000}"/>
    <cellStyle name="Standard 4 6 2 4 3 3 2" xfId="29915" xr:uid="{00000000-0005-0000-0000-0000B2750000}"/>
    <cellStyle name="Standard 4 6 2 4 3 3 3" xfId="29916" xr:uid="{00000000-0005-0000-0000-0000B3750000}"/>
    <cellStyle name="Standard 4 6 2 4 3 4" xfId="29917" xr:uid="{00000000-0005-0000-0000-0000B4750000}"/>
    <cellStyle name="Standard 4 6 2 4 3 4 2" xfId="29918" xr:uid="{00000000-0005-0000-0000-0000B5750000}"/>
    <cellStyle name="Standard 4 6 2 4 3 5" xfId="29919" xr:uid="{00000000-0005-0000-0000-0000B6750000}"/>
    <cellStyle name="Standard 4 6 2 4 3 6" xfId="29920" xr:uid="{00000000-0005-0000-0000-0000B7750000}"/>
    <cellStyle name="Standard 4 6 2 4 4" xfId="29921" xr:uid="{00000000-0005-0000-0000-0000B8750000}"/>
    <cellStyle name="Standard 4 6 2 4 4 2" xfId="29922" xr:uid="{00000000-0005-0000-0000-0000B9750000}"/>
    <cellStyle name="Standard 4 6 2 4 4 3" xfId="29923" xr:uid="{00000000-0005-0000-0000-0000BA750000}"/>
    <cellStyle name="Standard 4 6 2 4 5" xfId="29924" xr:uid="{00000000-0005-0000-0000-0000BB750000}"/>
    <cellStyle name="Standard 4 6 2 4 5 2" xfId="29925" xr:uid="{00000000-0005-0000-0000-0000BC750000}"/>
    <cellStyle name="Standard 4 6 2 4 5 3" xfId="29926" xr:uid="{00000000-0005-0000-0000-0000BD750000}"/>
    <cellStyle name="Standard 4 6 2 4 6" xfId="29927" xr:uid="{00000000-0005-0000-0000-0000BE750000}"/>
    <cellStyle name="Standard 4 6 2 4 6 2" xfId="29928" xr:uid="{00000000-0005-0000-0000-0000BF750000}"/>
    <cellStyle name="Standard 4 6 2 4 7" xfId="29929" xr:uid="{00000000-0005-0000-0000-0000C0750000}"/>
    <cellStyle name="Standard 4 6 2 4 8" xfId="29930" xr:uid="{00000000-0005-0000-0000-0000C1750000}"/>
    <cellStyle name="Standard 4 6 2 5" xfId="29931" xr:uid="{00000000-0005-0000-0000-0000C2750000}"/>
    <cellStyle name="Standard 4 6 2 5 2" xfId="29932" xr:uid="{00000000-0005-0000-0000-0000C3750000}"/>
    <cellStyle name="Standard 4 6 2 5 2 2" xfId="29933" xr:uid="{00000000-0005-0000-0000-0000C4750000}"/>
    <cellStyle name="Standard 4 6 2 5 2 2 2" xfId="29934" xr:uid="{00000000-0005-0000-0000-0000C5750000}"/>
    <cellStyle name="Standard 4 6 2 5 2 2 3" xfId="29935" xr:uid="{00000000-0005-0000-0000-0000C6750000}"/>
    <cellStyle name="Standard 4 6 2 5 2 3" xfId="29936" xr:uid="{00000000-0005-0000-0000-0000C7750000}"/>
    <cellStyle name="Standard 4 6 2 5 2 3 2" xfId="29937" xr:uid="{00000000-0005-0000-0000-0000C8750000}"/>
    <cellStyle name="Standard 4 6 2 5 2 3 3" xfId="29938" xr:uid="{00000000-0005-0000-0000-0000C9750000}"/>
    <cellStyle name="Standard 4 6 2 5 2 4" xfId="29939" xr:uid="{00000000-0005-0000-0000-0000CA750000}"/>
    <cellStyle name="Standard 4 6 2 5 2 4 2" xfId="29940" xr:uid="{00000000-0005-0000-0000-0000CB750000}"/>
    <cellStyle name="Standard 4 6 2 5 2 5" xfId="29941" xr:uid="{00000000-0005-0000-0000-0000CC750000}"/>
    <cellStyle name="Standard 4 6 2 5 2 6" xfId="29942" xr:uid="{00000000-0005-0000-0000-0000CD750000}"/>
    <cellStyle name="Standard 4 6 2 5 3" xfId="29943" xr:uid="{00000000-0005-0000-0000-0000CE750000}"/>
    <cellStyle name="Standard 4 6 2 5 3 2" xfId="29944" xr:uid="{00000000-0005-0000-0000-0000CF750000}"/>
    <cellStyle name="Standard 4 6 2 5 3 3" xfId="29945" xr:uid="{00000000-0005-0000-0000-0000D0750000}"/>
    <cellStyle name="Standard 4 6 2 5 4" xfId="29946" xr:uid="{00000000-0005-0000-0000-0000D1750000}"/>
    <cellStyle name="Standard 4 6 2 5 4 2" xfId="29947" xr:uid="{00000000-0005-0000-0000-0000D2750000}"/>
    <cellStyle name="Standard 4 6 2 5 4 3" xfId="29948" xr:uid="{00000000-0005-0000-0000-0000D3750000}"/>
    <cellStyle name="Standard 4 6 2 5 5" xfId="29949" xr:uid="{00000000-0005-0000-0000-0000D4750000}"/>
    <cellStyle name="Standard 4 6 2 5 5 2" xfId="29950" xr:uid="{00000000-0005-0000-0000-0000D5750000}"/>
    <cellStyle name="Standard 4 6 2 5 6" xfId="29951" xr:uid="{00000000-0005-0000-0000-0000D6750000}"/>
    <cellStyle name="Standard 4 6 2 5 7" xfId="29952" xr:uid="{00000000-0005-0000-0000-0000D7750000}"/>
    <cellStyle name="Standard 4 6 2 6" xfId="29953" xr:uid="{00000000-0005-0000-0000-0000D8750000}"/>
    <cellStyle name="Standard 4 6 2 6 2" xfId="29954" xr:uid="{00000000-0005-0000-0000-0000D9750000}"/>
    <cellStyle name="Standard 4 6 2 6 2 2" xfId="29955" xr:uid="{00000000-0005-0000-0000-0000DA750000}"/>
    <cellStyle name="Standard 4 6 2 6 2 3" xfId="29956" xr:uid="{00000000-0005-0000-0000-0000DB750000}"/>
    <cellStyle name="Standard 4 6 2 6 3" xfId="29957" xr:uid="{00000000-0005-0000-0000-0000DC750000}"/>
    <cellStyle name="Standard 4 6 2 6 3 2" xfId="29958" xr:uid="{00000000-0005-0000-0000-0000DD750000}"/>
    <cellStyle name="Standard 4 6 2 6 3 3" xfId="29959" xr:uid="{00000000-0005-0000-0000-0000DE750000}"/>
    <cellStyle name="Standard 4 6 2 6 4" xfId="29960" xr:uid="{00000000-0005-0000-0000-0000DF750000}"/>
    <cellStyle name="Standard 4 6 2 6 4 2" xfId="29961" xr:uid="{00000000-0005-0000-0000-0000E0750000}"/>
    <cellStyle name="Standard 4 6 2 6 5" xfId="29962" xr:uid="{00000000-0005-0000-0000-0000E1750000}"/>
    <cellStyle name="Standard 4 6 2 6 6" xfId="29963" xr:uid="{00000000-0005-0000-0000-0000E2750000}"/>
    <cellStyle name="Standard 4 6 2 7" xfId="29964" xr:uid="{00000000-0005-0000-0000-0000E3750000}"/>
    <cellStyle name="Standard 4 6 2 7 2" xfId="29965" xr:uid="{00000000-0005-0000-0000-0000E4750000}"/>
    <cellStyle name="Standard 4 6 2 7 3" xfId="29966" xr:uid="{00000000-0005-0000-0000-0000E5750000}"/>
    <cellStyle name="Standard 4 6 2 8" xfId="29967" xr:uid="{00000000-0005-0000-0000-0000E6750000}"/>
    <cellStyle name="Standard 4 6 2 8 2" xfId="29968" xr:uid="{00000000-0005-0000-0000-0000E7750000}"/>
    <cellStyle name="Standard 4 6 2 8 3" xfId="29969" xr:uid="{00000000-0005-0000-0000-0000E8750000}"/>
    <cellStyle name="Standard 4 6 2 9" xfId="29970" xr:uid="{00000000-0005-0000-0000-0000E9750000}"/>
    <cellStyle name="Standard 4 6 2 9 2" xfId="29971" xr:uid="{00000000-0005-0000-0000-0000EA750000}"/>
    <cellStyle name="Standard 4 6 3" xfId="29972" xr:uid="{00000000-0005-0000-0000-0000EB750000}"/>
    <cellStyle name="Standard 4 6 3 10" xfId="29973" xr:uid="{00000000-0005-0000-0000-0000EC750000}"/>
    <cellStyle name="Standard 4 6 3 11" xfId="29974" xr:uid="{00000000-0005-0000-0000-0000ED750000}"/>
    <cellStyle name="Standard 4 6 3 12" xfId="33476" xr:uid="{00000000-0005-0000-0000-0000EE750000}"/>
    <cellStyle name="Standard 4 6 3 2" xfId="29975" xr:uid="{00000000-0005-0000-0000-0000EF750000}"/>
    <cellStyle name="Standard 4 6 3 2 10" xfId="29976" xr:uid="{00000000-0005-0000-0000-0000F0750000}"/>
    <cellStyle name="Standard 4 6 3 2 2" xfId="29977" xr:uid="{00000000-0005-0000-0000-0000F1750000}"/>
    <cellStyle name="Standard 4 6 3 2 2 2" xfId="29978" xr:uid="{00000000-0005-0000-0000-0000F2750000}"/>
    <cellStyle name="Standard 4 6 3 2 2 2 2" xfId="29979" xr:uid="{00000000-0005-0000-0000-0000F3750000}"/>
    <cellStyle name="Standard 4 6 3 2 2 2 2 2" xfId="29980" xr:uid="{00000000-0005-0000-0000-0000F4750000}"/>
    <cellStyle name="Standard 4 6 3 2 2 2 2 2 2" xfId="29981" xr:uid="{00000000-0005-0000-0000-0000F5750000}"/>
    <cellStyle name="Standard 4 6 3 2 2 2 2 2 3" xfId="29982" xr:uid="{00000000-0005-0000-0000-0000F6750000}"/>
    <cellStyle name="Standard 4 6 3 2 2 2 2 3" xfId="29983" xr:uid="{00000000-0005-0000-0000-0000F7750000}"/>
    <cellStyle name="Standard 4 6 3 2 2 2 2 3 2" xfId="29984" xr:uid="{00000000-0005-0000-0000-0000F8750000}"/>
    <cellStyle name="Standard 4 6 3 2 2 2 2 3 3" xfId="29985" xr:uid="{00000000-0005-0000-0000-0000F9750000}"/>
    <cellStyle name="Standard 4 6 3 2 2 2 2 4" xfId="29986" xr:uid="{00000000-0005-0000-0000-0000FA750000}"/>
    <cellStyle name="Standard 4 6 3 2 2 2 2 4 2" xfId="29987" xr:uid="{00000000-0005-0000-0000-0000FB750000}"/>
    <cellStyle name="Standard 4 6 3 2 2 2 2 5" xfId="29988" xr:uid="{00000000-0005-0000-0000-0000FC750000}"/>
    <cellStyle name="Standard 4 6 3 2 2 2 2 6" xfId="29989" xr:uid="{00000000-0005-0000-0000-0000FD750000}"/>
    <cellStyle name="Standard 4 6 3 2 2 2 3" xfId="29990" xr:uid="{00000000-0005-0000-0000-0000FE750000}"/>
    <cellStyle name="Standard 4 6 3 2 2 2 3 2" xfId="29991" xr:uid="{00000000-0005-0000-0000-0000FF750000}"/>
    <cellStyle name="Standard 4 6 3 2 2 2 3 3" xfId="29992" xr:uid="{00000000-0005-0000-0000-000000760000}"/>
    <cellStyle name="Standard 4 6 3 2 2 2 4" xfId="29993" xr:uid="{00000000-0005-0000-0000-000001760000}"/>
    <cellStyle name="Standard 4 6 3 2 2 2 4 2" xfId="29994" xr:uid="{00000000-0005-0000-0000-000002760000}"/>
    <cellStyle name="Standard 4 6 3 2 2 2 4 3" xfId="29995" xr:uid="{00000000-0005-0000-0000-000003760000}"/>
    <cellStyle name="Standard 4 6 3 2 2 2 5" xfId="29996" xr:uid="{00000000-0005-0000-0000-000004760000}"/>
    <cellStyle name="Standard 4 6 3 2 2 2 5 2" xfId="29997" xr:uid="{00000000-0005-0000-0000-000005760000}"/>
    <cellStyle name="Standard 4 6 3 2 2 2 6" xfId="29998" xr:uid="{00000000-0005-0000-0000-000006760000}"/>
    <cellStyle name="Standard 4 6 3 2 2 2 7" xfId="29999" xr:uid="{00000000-0005-0000-0000-000007760000}"/>
    <cellStyle name="Standard 4 6 3 2 2 3" xfId="30000" xr:uid="{00000000-0005-0000-0000-000008760000}"/>
    <cellStyle name="Standard 4 6 3 2 2 3 2" xfId="30001" xr:uid="{00000000-0005-0000-0000-000009760000}"/>
    <cellStyle name="Standard 4 6 3 2 2 3 2 2" xfId="30002" xr:uid="{00000000-0005-0000-0000-00000A760000}"/>
    <cellStyle name="Standard 4 6 3 2 2 3 2 3" xfId="30003" xr:uid="{00000000-0005-0000-0000-00000B760000}"/>
    <cellStyle name="Standard 4 6 3 2 2 3 3" xfId="30004" xr:uid="{00000000-0005-0000-0000-00000C760000}"/>
    <cellStyle name="Standard 4 6 3 2 2 3 3 2" xfId="30005" xr:uid="{00000000-0005-0000-0000-00000D760000}"/>
    <cellStyle name="Standard 4 6 3 2 2 3 3 3" xfId="30006" xr:uid="{00000000-0005-0000-0000-00000E760000}"/>
    <cellStyle name="Standard 4 6 3 2 2 3 4" xfId="30007" xr:uid="{00000000-0005-0000-0000-00000F760000}"/>
    <cellStyle name="Standard 4 6 3 2 2 3 4 2" xfId="30008" xr:uid="{00000000-0005-0000-0000-000010760000}"/>
    <cellStyle name="Standard 4 6 3 2 2 3 5" xfId="30009" xr:uid="{00000000-0005-0000-0000-000011760000}"/>
    <cellStyle name="Standard 4 6 3 2 2 3 6" xfId="30010" xr:uid="{00000000-0005-0000-0000-000012760000}"/>
    <cellStyle name="Standard 4 6 3 2 2 4" xfId="30011" xr:uid="{00000000-0005-0000-0000-000013760000}"/>
    <cellStyle name="Standard 4 6 3 2 2 4 2" xfId="30012" xr:uid="{00000000-0005-0000-0000-000014760000}"/>
    <cellStyle name="Standard 4 6 3 2 2 4 3" xfId="30013" xr:uid="{00000000-0005-0000-0000-000015760000}"/>
    <cellStyle name="Standard 4 6 3 2 2 5" xfId="30014" xr:uid="{00000000-0005-0000-0000-000016760000}"/>
    <cellStyle name="Standard 4 6 3 2 2 5 2" xfId="30015" xr:uid="{00000000-0005-0000-0000-000017760000}"/>
    <cellStyle name="Standard 4 6 3 2 2 5 3" xfId="30016" xr:uid="{00000000-0005-0000-0000-000018760000}"/>
    <cellStyle name="Standard 4 6 3 2 2 6" xfId="30017" xr:uid="{00000000-0005-0000-0000-000019760000}"/>
    <cellStyle name="Standard 4 6 3 2 2 6 2" xfId="30018" xr:uid="{00000000-0005-0000-0000-00001A760000}"/>
    <cellStyle name="Standard 4 6 3 2 2 7" xfId="30019" xr:uid="{00000000-0005-0000-0000-00001B760000}"/>
    <cellStyle name="Standard 4 6 3 2 2 8" xfId="30020" xr:uid="{00000000-0005-0000-0000-00001C760000}"/>
    <cellStyle name="Standard 4 6 3 2 3" xfId="30021" xr:uid="{00000000-0005-0000-0000-00001D760000}"/>
    <cellStyle name="Standard 4 6 3 2 3 2" xfId="30022" xr:uid="{00000000-0005-0000-0000-00001E760000}"/>
    <cellStyle name="Standard 4 6 3 2 3 2 2" xfId="30023" xr:uid="{00000000-0005-0000-0000-00001F760000}"/>
    <cellStyle name="Standard 4 6 3 2 3 2 2 2" xfId="30024" xr:uid="{00000000-0005-0000-0000-000020760000}"/>
    <cellStyle name="Standard 4 6 3 2 3 2 2 2 2" xfId="30025" xr:uid="{00000000-0005-0000-0000-000021760000}"/>
    <cellStyle name="Standard 4 6 3 2 3 2 2 2 3" xfId="30026" xr:uid="{00000000-0005-0000-0000-000022760000}"/>
    <cellStyle name="Standard 4 6 3 2 3 2 2 3" xfId="30027" xr:uid="{00000000-0005-0000-0000-000023760000}"/>
    <cellStyle name="Standard 4 6 3 2 3 2 2 3 2" xfId="30028" xr:uid="{00000000-0005-0000-0000-000024760000}"/>
    <cellStyle name="Standard 4 6 3 2 3 2 2 3 3" xfId="30029" xr:uid="{00000000-0005-0000-0000-000025760000}"/>
    <cellStyle name="Standard 4 6 3 2 3 2 2 4" xfId="30030" xr:uid="{00000000-0005-0000-0000-000026760000}"/>
    <cellStyle name="Standard 4 6 3 2 3 2 2 4 2" xfId="30031" xr:uid="{00000000-0005-0000-0000-000027760000}"/>
    <cellStyle name="Standard 4 6 3 2 3 2 2 5" xfId="30032" xr:uid="{00000000-0005-0000-0000-000028760000}"/>
    <cellStyle name="Standard 4 6 3 2 3 2 2 6" xfId="30033" xr:uid="{00000000-0005-0000-0000-000029760000}"/>
    <cellStyle name="Standard 4 6 3 2 3 2 3" xfId="30034" xr:uid="{00000000-0005-0000-0000-00002A760000}"/>
    <cellStyle name="Standard 4 6 3 2 3 2 3 2" xfId="30035" xr:uid="{00000000-0005-0000-0000-00002B760000}"/>
    <cellStyle name="Standard 4 6 3 2 3 2 3 3" xfId="30036" xr:uid="{00000000-0005-0000-0000-00002C760000}"/>
    <cellStyle name="Standard 4 6 3 2 3 2 4" xfId="30037" xr:uid="{00000000-0005-0000-0000-00002D760000}"/>
    <cellStyle name="Standard 4 6 3 2 3 2 4 2" xfId="30038" xr:uid="{00000000-0005-0000-0000-00002E760000}"/>
    <cellStyle name="Standard 4 6 3 2 3 2 4 3" xfId="30039" xr:uid="{00000000-0005-0000-0000-00002F760000}"/>
    <cellStyle name="Standard 4 6 3 2 3 2 5" xfId="30040" xr:uid="{00000000-0005-0000-0000-000030760000}"/>
    <cellStyle name="Standard 4 6 3 2 3 2 5 2" xfId="30041" xr:uid="{00000000-0005-0000-0000-000031760000}"/>
    <cellStyle name="Standard 4 6 3 2 3 2 6" xfId="30042" xr:uid="{00000000-0005-0000-0000-000032760000}"/>
    <cellStyle name="Standard 4 6 3 2 3 2 7" xfId="30043" xr:uid="{00000000-0005-0000-0000-000033760000}"/>
    <cellStyle name="Standard 4 6 3 2 3 3" xfId="30044" xr:uid="{00000000-0005-0000-0000-000034760000}"/>
    <cellStyle name="Standard 4 6 3 2 3 3 2" xfId="30045" xr:uid="{00000000-0005-0000-0000-000035760000}"/>
    <cellStyle name="Standard 4 6 3 2 3 3 2 2" xfId="30046" xr:uid="{00000000-0005-0000-0000-000036760000}"/>
    <cellStyle name="Standard 4 6 3 2 3 3 2 3" xfId="30047" xr:uid="{00000000-0005-0000-0000-000037760000}"/>
    <cellStyle name="Standard 4 6 3 2 3 3 3" xfId="30048" xr:uid="{00000000-0005-0000-0000-000038760000}"/>
    <cellStyle name="Standard 4 6 3 2 3 3 3 2" xfId="30049" xr:uid="{00000000-0005-0000-0000-000039760000}"/>
    <cellStyle name="Standard 4 6 3 2 3 3 3 3" xfId="30050" xr:uid="{00000000-0005-0000-0000-00003A760000}"/>
    <cellStyle name="Standard 4 6 3 2 3 3 4" xfId="30051" xr:uid="{00000000-0005-0000-0000-00003B760000}"/>
    <cellStyle name="Standard 4 6 3 2 3 3 4 2" xfId="30052" xr:uid="{00000000-0005-0000-0000-00003C760000}"/>
    <cellStyle name="Standard 4 6 3 2 3 3 5" xfId="30053" xr:uid="{00000000-0005-0000-0000-00003D760000}"/>
    <cellStyle name="Standard 4 6 3 2 3 3 6" xfId="30054" xr:uid="{00000000-0005-0000-0000-00003E760000}"/>
    <cellStyle name="Standard 4 6 3 2 3 4" xfId="30055" xr:uid="{00000000-0005-0000-0000-00003F760000}"/>
    <cellStyle name="Standard 4 6 3 2 3 4 2" xfId="30056" xr:uid="{00000000-0005-0000-0000-000040760000}"/>
    <cellStyle name="Standard 4 6 3 2 3 4 3" xfId="30057" xr:uid="{00000000-0005-0000-0000-000041760000}"/>
    <cellStyle name="Standard 4 6 3 2 3 5" xfId="30058" xr:uid="{00000000-0005-0000-0000-000042760000}"/>
    <cellStyle name="Standard 4 6 3 2 3 5 2" xfId="30059" xr:uid="{00000000-0005-0000-0000-000043760000}"/>
    <cellStyle name="Standard 4 6 3 2 3 5 3" xfId="30060" xr:uid="{00000000-0005-0000-0000-000044760000}"/>
    <cellStyle name="Standard 4 6 3 2 3 6" xfId="30061" xr:uid="{00000000-0005-0000-0000-000045760000}"/>
    <cellStyle name="Standard 4 6 3 2 3 6 2" xfId="30062" xr:uid="{00000000-0005-0000-0000-000046760000}"/>
    <cellStyle name="Standard 4 6 3 2 3 7" xfId="30063" xr:uid="{00000000-0005-0000-0000-000047760000}"/>
    <cellStyle name="Standard 4 6 3 2 3 8" xfId="30064" xr:uid="{00000000-0005-0000-0000-000048760000}"/>
    <cellStyle name="Standard 4 6 3 2 4" xfId="30065" xr:uid="{00000000-0005-0000-0000-000049760000}"/>
    <cellStyle name="Standard 4 6 3 2 4 2" xfId="30066" xr:uid="{00000000-0005-0000-0000-00004A760000}"/>
    <cellStyle name="Standard 4 6 3 2 4 2 2" xfId="30067" xr:uid="{00000000-0005-0000-0000-00004B760000}"/>
    <cellStyle name="Standard 4 6 3 2 4 2 2 2" xfId="30068" xr:uid="{00000000-0005-0000-0000-00004C760000}"/>
    <cellStyle name="Standard 4 6 3 2 4 2 2 3" xfId="30069" xr:uid="{00000000-0005-0000-0000-00004D760000}"/>
    <cellStyle name="Standard 4 6 3 2 4 2 3" xfId="30070" xr:uid="{00000000-0005-0000-0000-00004E760000}"/>
    <cellStyle name="Standard 4 6 3 2 4 2 3 2" xfId="30071" xr:uid="{00000000-0005-0000-0000-00004F760000}"/>
    <cellStyle name="Standard 4 6 3 2 4 2 3 3" xfId="30072" xr:uid="{00000000-0005-0000-0000-000050760000}"/>
    <cellStyle name="Standard 4 6 3 2 4 2 4" xfId="30073" xr:uid="{00000000-0005-0000-0000-000051760000}"/>
    <cellStyle name="Standard 4 6 3 2 4 2 4 2" xfId="30074" xr:uid="{00000000-0005-0000-0000-000052760000}"/>
    <cellStyle name="Standard 4 6 3 2 4 2 5" xfId="30075" xr:uid="{00000000-0005-0000-0000-000053760000}"/>
    <cellStyle name="Standard 4 6 3 2 4 2 6" xfId="30076" xr:uid="{00000000-0005-0000-0000-000054760000}"/>
    <cellStyle name="Standard 4 6 3 2 4 3" xfId="30077" xr:uid="{00000000-0005-0000-0000-000055760000}"/>
    <cellStyle name="Standard 4 6 3 2 4 3 2" xfId="30078" xr:uid="{00000000-0005-0000-0000-000056760000}"/>
    <cellStyle name="Standard 4 6 3 2 4 3 3" xfId="30079" xr:uid="{00000000-0005-0000-0000-000057760000}"/>
    <cellStyle name="Standard 4 6 3 2 4 4" xfId="30080" xr:uid="{00000000-0005-0000-0000-000058760000}"/>
    <cellStyle name="Standard 4 6 3 2 4 4 2" xfId="30081" xr:uid="{00000000-0005-0000-0000-000059760000}"/>
    <cellStyle name="Standard 4 6 3 2 4 4 3" xfId="30082" xr:uid="{00000000-0005-0000-0000-00005A760000}"/>
    <cellStyle name="Standard 4 6 3 2 4 5" xfId="30083" xr:uid="{00000000-0005-0000-0000-00005B760000}"/>
    <cellStyle name="Standard 4 6 3 2 4 5 2" xfId="30084" xr:uid="{00000000-0005-0000-0000-00005C760000}"/>
    <cellStyle name="Standard 4 6 3 2 4 6" xfId="30085" xr:uid="{00000000-0005-0000-0000-00005D760000}"/>
    <cellStyle name="Standard 4 6 3 2 4 7" xfId="30086" xr:uid="{00000000-0005-0000-0000-00005E760000}"/>
    <cellStyle name="Standard 4 6 3 2 5" xfId="30087" xr:uid="{00000000-0005-0000-0000-00005F760000}"/>
    <cellStyle name="Standard 4 6 3 2 5 2" xfId="30088" xr:uid="{00000000-0005-0000-0000-000060760000}"/>
    <cellStyle name="Standard 4 6 3 2 5 2 2" xfId="30089" xr:uid="{00000000-0005-0000-0000-000061760000}"/>
    <cellStyle name="Standard 4 6 3 2 5 2 3" xfId="30090" xr:uid="{00000000-0005-0000-0000-000062760000}"/>
    <cellStyle name="Standard 4 6 3 2 5 3" xfId="30091" xr:uid="{00000000-0005-0000-0000-000063760000}"/>
    <cellStyle name="Standard 4 6 3 2 5 3 2" xfId="30092" xr:uid="{00000000-0005-0000-0000-000064760000}"/>
    <cellStyle name="Standard 4 6 3 2 5 3 3" xfId="30093" xr:uid="{00000000-0005-0000-0000-000065760000}"/>
    <cellStyle name="Standard 4 6 3 2 5 4" xfId="30094" xr:uid="{00000000-0005-0000-0000-000066760000}"/>
    <cellStyle name="Standard 4 6 3 2 5 4 2" xfId="30095" xr:uid="{00000000-0005-0000-0000-000067760000}"/>
    <cellStyle name="Standard 4 6 3 2 5 5" xfId="30096" xr:uid="{00000000-0005-0000-0000-000068760000}"/>
    <cellStyle name="Standard 4 6 3 2 5 6" xfId="30097" xr:uid="{00000000-0005-0000-0000-000069760000}"/>
    <cellStyle name="Standard 4 6 3 2 6" xfId="30098" xr:uid="{00000000-0005-0000-0000-00006A760000}"/>
    <cellStyle name="Standard 4 6 3 2 6 2" xfId="30099" xr:uid="{00000000-0005-0000-0000-00006B760000}"/>
    <cellStyle name="Standard 4 6 3 2 6 3" xfId="30100" xr:uid="{00000000-0005-0000-0000-00006C760000}"/>
    <cellStyle name="Standard 4 6 3 2 7" xfId="30101" xr:uid="{00000000-0005-0000-0000-00006D760000}"/>
    <cellStyle name="Standard 4 6 3 2 7 2" xfId="30102" xr:uid="{00000000-0005-0000-0000-00006E760000}"/>
    <cellStyle name="Standard 4 6 3 2 7 3" xfId="30103" xr:uid="{00000000-0005-0000-0000-00006F760000}"/>
    <cellStyle name="Standard 4 6 3 2 8" xfId="30104" xr:uid="{00000000-0005-0000-0000-000070760000}"/>
    <cellStyle name="Standard 4 6 3 2 8 2" xfId="30105" xr:uid="{00000000-0005-0000-0000-000071760000}"/>
    <cellStyle name="Standard 4 6 3 2 9" xfId="30106" xr:uid="{00000000-0005-0000-0000-000072760000}"/>
    <cellStyle name="Standard 4 6 3 3" xfId="30107" xr:uid="{00000000-0005-0000-0000-000073760000}"/>
    <cellStyle name="Standard 4 6 3 3 2" xfId="30108" xr:uid="{00000000-0005-0000-0000-000074760000}"/>
    <cellStyle name="Standard 4 6 3 3 2 2" xfId="30109" xr:uid="{00000000-0005-0000-0000-000075760000}"/>
    <cellStyle name="Standard 4 6 3 3 2 2 2" xfId="30110" xr:uid="{00000000-0005-0000-0000-000076760000}"/>
    <cellStyle name="Standard 4 6 3 3 2 2 2 2" xfId="30111" xr:uid="{00000000-0005-0000-0000-000077760000}"/>
    <cellStyle name="Standard 4 6 3 3 2 2 2 3" xfId="30112" xr:uid="{00000000-0005-0000-0000-000078760000}"/>
    <cellStyle name="Standard 4 6 3 3 2 2 3" xfId="30113" xr:uid="{00000000-0005-0000-0000-000079760000}"/>
    <cellStyle name="Standard 4 6 3 3 2 2 3 2" xfId="30114" xr:uid="{00000000-0005-0000-0000-00007A760000}"/>
    <cellStyle name="Standard 4 6 3 3 2 2 3 3" xfId="30115" xr:uid="{00000000-0005-0000-0000-00007B760000}"/>
    <cellStyle name="Standard 4 6 3 3 2 2 4" xfId="30116" xr:uid="{00000000-0005-0000-0000-00007C760000}"/>
    <cellStyle name="Standard 4 6 3 3 2 2 4 2" xfId="30117" xr:uid="{00000000-0005-0000-0000-00007D760000}"/>
    <cellStyle name="Standard 4 6 3 3 2 2 5" xfId="30118" xr:uid="{00000000-0005-0000-0000-00007E760000}"/>
    <cellStyle name="Standard 4 6 3 3 2 2 6" xfId="30119" xr:uid="{00000000-0005-0000-0000-00007F760000}"/>
    <cellStyle name="Standard 4 6 3 3 2 3" xfId="30120" xr:uid="{00000000-0005-0000-0000-000080760000}"/>
    <cellStyle name="Standard 4 6 3 3 2 3 2" xfId="30121" xr:uid="{00000000-0005-0000-0000-000081760000}"/>
    <cellStyle name="Standard 4 6 3 3 2 3 3" xfId="30122" xr:uid="{00000000-0005-0000-0000-000082760000}"/>
    <cellStyle name="Standard 4 6 3 3 2 4" xfId="30123" xr:uid="{00000000-0005-0000-0000-000083760000}"/>
    <cellStyle name="Standard 4 6 3 3 2 4 2" xfId="30124" xr:uid="{00000000-0005-0000-0000-000084760000}"/>
    <cellStyle name="Standard 4 6 3 3 2 4 3" xfId="30125" xr:uid="{00000000-0005-0000-0000-000085760000}"/>
    <cellStyle name="Standard 4 6 3 3 2 5" xfId="30126" xr:uid="{00000000-0005-0000-0000-000086760000}"/>
    <cellStyle name="Standard 4 6 3 3 2 5 2" xfId="30127" xr:uid="{00000000-0005-0000-0000-000087760000}"/>
    <cellStyle name="Standard 4 6 3 3 2 6" xfId="30128" xr:uid="{00000000-0005-0000-0000-000088760000}"/>
    <cellStyle name="Standard 4 6 3 3 2 7" xfId="30129" xr:uid="{00000000-0005-0000-0000-000089760000}"/>
    <cellStyle name="Standard 4 6 3 3 3" xfId="30130" xr:uid="{00000000-0005-0000-0000-00008A760000}"/>
    <cellStyle name="Standard 4 6 3 3 3 2" xfId="30131" xr:uid="{00000000-0005-0000-0000-00008B760000}"/>
    <cellStyle name="Standard 4 6 3 3 3 2 2" xfId="30132" xr:uid="{00000000-0005-0000-0000-00008C760000}"/>
    <cellStyle name="Standard 4 6 3 3 3 2 3" xfId="30133" xr:uid="{00000000-0005-0000-0000-00008D760000}"/>
    <cellStyle name="Standard 4 6 3 3 3 3" xfId="30134" xr:uid="{00000000-0005-0000-0000-00008E760000}"/>
    <cellStyle name="Standard 4 6 3 3 3 3 2" xfId="30135" xr:uid="{00000000-0005-0000-0000-00008F760000}"/>
    <cellStyle name="Standard 4 6 3 3 3 3 3" xfId="30136" xr:uid="{00000000-0005-0000-0000-000090760000}"/>
    <cellStyle name="Standard 4 6 3 3 3 4" xfId="30137" xr:uid="{00000000-0005-0000-0000-000091760000}"/>
    <cellStyle name="Standard 4 6 3 3 3 4 2" xfId="30138" xr:uid="{00000000-0005-0000-0000-000092760000}"/>
    <cellStyle name="Standard 4 6 3 3 3 5" xfId="30139" xr:uid="{00000000-0005-0000-0000-000093760000}"/>
    <cellStyle name="Standard 4 6 3 3 3 6" xfId="30140" xr:uid="{00000000-0005-0000-0000-000094760000}"/>
    <cellStyle name="Standard 4 6 3 3 4" xfId="30141" xr:uid="{00000000-0005-0000-0000-000095760000}"/>
    <cellStyle name="Standard 4 6 3 3 4 2" xfId="30142" xr:uid="{00000000-0005-0000-0000-000096760000}"/>
    <cellStyle name="Standard 4 6 3 3 4 3" xfId="30143" xr:uid="{00000000-0005-0000-0000-000097760000}"/>
    <cellStyle name="Standard 4 6 3 3 5" xfId="30144" xr:uid="{00000000-0005-0000-0000-000098760000}"/>
    <cellStyle name="Standard 4 6 3 3 5 2" xfId="30145" xr:uid="{00000000-0005-0000-0000-000099760000}"/>
    <cellStyle name="Standard 4 6 3 3 5 3" xfId="30146" xr:uid="{00000000-0005-0000-0000-00009A760000}"/>
    <cellStyle name="Standard 4 6 3 3 6" xfId="30147" xr:uid="{00000000-0005-0000-0000-00009B760000}"/>
    <cellStyle name="Standard 4 6 3 3 6 2" xfId="30148" xr:uid="{00000000-0005-0000-0000-00009C760000}"/>
    <cellStyle name="Standard 4 6 3 3 7" xfId="30149" xr:uid="{00000000-0005-0000-0000-00009D760000}"/>
    <cellStyle name="Standard 4 6 3 3 8" xfId="30150" xr:uid="{00000000-0005-0000-0000-00009E760000}"/>
    <cellStyle name="Standard 4 6 3 4" xfId="30151" xr:uid="{00000000-0005-0000-0000-00009F760000}"/>
    <cellStyle name="Standard 4 6 3 4 2" xfId="30152" xr:uid="{00000000-0005-0000-0000-0000A0760000}"/>
    <cellStyle name="Standard 4 6 3 4 2 2" xfId="30153" xr:uid="{00000000-0005-0000-0000-0000A1760000}"/>
    <cellStyle name="Standard 4 6 3 4 2 2 2" xfId="30154" xr:uid="{00000000-0005-0000-0000-0000A2760000}"/>
    <cellStyle name="Standard 4 6 3 4 2 2 2 2" xfId="30155" xr:uid="{00000000-0005-0000-0000-0000A3760000}"/>
    <cellStyle name="Standard 4 6 3 4 2 2 2 3" xfId="30156" xr:uid="{00000000-0005-0000-0000-0000A4760000}"/>
    <cellStyle name="Standard 4 6 3 4 2 2 3" xfId="30157" xr:uid="{00000000-0005-0000-0000-0000A5760000}"/>
    <cellStyle name="Standard 4 6 3 4 2 2 3 2" xfId="30158" xr:uid="{00000000-0005-0000-0000-0000A6760000}"/>
    <cellStyle name="Standard 4 6 3 4 2 2 3 3" xfId="30159" xr:uid="{00000000-0005-0000-0000-0000A7760000}"/>
    <cellStyle name="Standard 4 6 3 4 2 2 4" xfId="30160" xr:uid="{00000000-0005-0000-0000-0000A8760000}"/>
    <cellStyle name="Standard 4 6 3 4 2 2 4 2" xfId="30161" xr:uid="{00000000-0005-0000-0000-0000A9760000}"/>
    <cellStyle name="Standard 4 6 3 4 2 2 5" xfId="30162" xr:uid="{00000000-0005-0000-0000-0000AA760000}"/>
    <cellStyle name="Standard 4 6 3 4 2 2 6" xfId="30163" xr:uid="{00000000-0005-0000-0000-0000AB760000}"/>
    <cellStyle name="Standard 4 6 3 4 2 3" xfId="30164" xr:uid="{00000000-0005-0000-0000-0000AC760000}"/>
    <cellStyle name="Standard 4 6 3 4 2 3 2" xfId="30165" xr:uid="{00000000-0005-0000-0000-0000AD760000}"/>
    <cellStyle name="Standard 4 6 3 4 2 3 3" xfId="30166" xr:uid="{00000000-0005-0000-0000-0000AE760000}"/>
    <cellStyle name="Standard 4 6 3 4 2 4" xfId="30167" xr:uid="{00000000-0005-0000-0000-0000AF760000}"/>
    <cellStyle name="Standard 4 6 3 4 2 4 2" xfId="30168" xr:uid="{00000000-0005-0000-0000-0000B0760000}"/>
    <cellStyle name="Standard 4 6 3 4 2 4 3" xfId="30169" xr:uid="{00000000-0005-0000-0000-0000B1760000}"/>
    <cellStyle name="Standard 4 6 3 4 2 5" xfId="30170" xr:uid="{00000000-0005-0000-0000-0000B2760000}"/>
    <cellStyle name="Standard 4 6 3 4 2 5 2" xfId="30171" xr:uid="{00000000-0005-0000-0000-0000B3760000}"/>
    <cellStyle name="Standard 4 6 3 4 2 6" xfId="30172" xr:uid="{00000000-0005-0000-0000-0000B4760000}"/>
    <cellStyle name="Standard 4 6 3 4 2 7" xfId="30173" xr:uid="{00000000-0005-0000-0000-0000B5760000}"/>
    <cellStyle name="Standard 4 6 3 4 3" xfId="30174" xr:uid="{00000000-0005-0000-0000-0000B6760000}"/>
    <cellStyle name="Standard 4 6 3 4 3 2" xfId="30175" xr:uid="{00000000-0005-0000-0000-0000B7760000}"/>
    <cellStyle name="Standard 4 6 3 4 3 2 2" xfId="30176" xr:uid="{00000000-0005-0000-0000-0000B8760000}"/>
    <cellStyle name="Standard 4 6 3 4 3 2 3" xfId="30177" xr:uid="{00000000-0005-0000-0000-0000B9760000}"/>
    <cellStyle name="Standard 4 6 3 4 3 3" xfId="30178" xr:uid="{00000000-0005-0000-0000-0000BA760000}"/>
    <cellStyle name="Standard 4 6 3 4 3 3 2" xfId="30179" xr:uid="{00000000-0005-0000-0000-0000BB760000}"/>
    <cellStyle name="Standard 4 6 3 4 3 3 3" xfId="30180" xr:uid="{00000000-0005-0000-0000-0000BC760000}"/>
    <cellStyle name="Standard 4 6 3 4 3 4" xfId="30181" xr:uid="{00000000-0005-0000-0000-0000BD760000}"/>
    <cellStyle name="Standard 4 6 3 4 3 4 2" xfId="30182" xr:uid="{00000000-0005-0000-0000-0000BE760000}"/>
    <cellStyle name="Standard 4 6 3 4 3 5" xfId="30183" xr:uid="{00000000-0005-0000-0000-0000BF760000}"/>
    <cellStyle name="Standard 4 6 3 4 3 6" xfId="30184" xr:uid="{00000000-0005-0000-0000-0000C0760000}"/>
    <cellStyle name="Standard 4 6 3 4 4" xfId="30185" xr:uid="{00000000-0005-0000-0000-0000C1760000}"/>
    <cellStyle name="Standard 4 6 3 4 4 2" xfId="30186" xr:uid="{00000000-0005-0000-0000-0000C2760000}"/>
    <cellStyle name="Standard 4 6 3 4 4 3" xfId="30187" xr:uid="{00000000-0005-0000-0000-0000C3760000}"/>
    <cellStyle name="Standard 4 6 3 4 5" xfId="30188" xr:uid="{00000000-0005-0000-0000-0000C4760000}"/>
    <cellStyle name="Standard 4 6 3 4 5 2" xfId="30189" xr:uid="{00000000-0005-0000-0000-0000C5760000}"/>
    <cellStyle name="Standard 4 6 3 4 5 3" xfId="30190" xr:uid="{00000000-0005-0000-0000-0000C6760000}"/>
    <cellStyle name="Standard 4 6 3 4 6" xfId="30191" xr:uid="{00000000-0005-0000-0000-0000C7760000}"/>
    <cellStyle name="Standard 4 6 3 4 6 2" xfId="30192" xr:uid="{00000000-0005-0000-0000-0000C8760000}"/>
    <cellStyle name="Standard 4 6 3 4 7" xfId="30193" xr:uid="{00000000-0005-0000-0000-0000C9760000}"/>
    <cellStyle name="Standard 4 6 3 4 8" xfId="30194" xr:uid="{00000000-0005-0000-0000-0000CA760000}"/>
    <cellStyle name="Standard 4 6 3 5" xfId="30195" xr:uid="{00000000-0005-0000-0000-0000CB760000}"/>
    <cellStyle name="Standard 4 6 3 5 2" xfId="30196" xr:uid="{00000000-0005-0000-0000-0000CC760000}"/>
    <cellStyle name="Standard 4 6 3 5 2 2" xfId="30197" xr:uid="{00000000-0005-0000-0000-0000CD760000}"/>
    <cellStyle name="Standard 4 6 3 5 2 2 2" xfId="30198" xr:uid="{00000000-0005-0000-0000-0000CE760000}"/>
    <cellStyle name="Standard 4 6 3 5 2 2 3" xfId="30199" xr:uid="{00000000-0005-0000-0000-0000CF760000}"/>
    <cellStyle name="Standard 4 6 3 5 2 3" xfId="30200" xr:uid="{00000000-0005-0000-0000-0000D0760000}"/>
    <cellStyle name="Standard 4 6 3 5 2 3 2" xfId="30201" xr:uid="{00000000-0005-0000-0000-0000D1760000}"/>
    <cellStyle name="Standard 4 6 3 5 2 3 3" xfId="30202" xr:uid="{00000000-0005-0000-0000-0000D2760000}"/>
    <cellStyle name="Standard 4 6 3 5 2 4" xfId="30203" xr:uid="{00000000-0005-0000-0000-0000D3760000}"/>
    <cellStyle name="Standard 4 6 3 5 2 4 2" xfId="30204" xr:uid="{00000000-0005-0000-0000-0000D4760000}"/>
    <cellStyle name="Standard 4 6 3 5 2 5" xfId="30205" xr:uid="{00000000-0005-0000-0000-0000D5760000}"/>
    <cellStyle name="Standard 4 6 3 5 2 6" xfId="30206" xr:uid="{00000000-0005-0000-0000-0000D6760000}"/>
    <cellStyle name="Standard 4 6 3 5 3" xfId="30207" xr:uid="{00000000-0005-0000-0000-0000D7760000}"/>
    <cellStyle name="Standard 4 6 3 5 3 2" xfId="30208" xr:uid="{00000000-0005-0000-0000-0000D8760000}"/>
    <cellStyle name="Standard 4 6 3 5 3 3" xfId="30209" xr:uid="{00000000-0005-0000-0000-0000D9760000}"/>
    <cellStyle name="Standard 4 6 3 5 4" xfId="30210" xr:uid="{00000000-0005-0000-0000-0000DA760000}"/>
    <cellStyle name="Standard 4 6 3 5 4 2" xfId="30211" xr:uid="{00000000-0005-0000-0000-0000DB760000}"/>
    <cellStyle name="Standard 4 6 3 5 4 3" xfId="30212" xr:uid="{00000000-0005-0000-0000-0000DC760000}"/>
    <cellStyle name="Standard 4 6 3 5 5" xfId="30213" xr:uid="{00000000-0005-0000-0000-0000DD760000}"/>
    <cellStyle name="Standard 4 6 3 5 5 2" xfId="30214" xr:uid="{00000000-0005-0000-0000-0000DE760000}"/>
    <cellStyle name="Standard 4 6 3 5 6" xfId="30215" xr:uid="{00000000-0005-0000-0000-0000DF760000}"/>
    <cellStyle name="Standard 4 6 3 5 7" xfId="30216" xr:uid="{00000000-0005-0000-0000-0000E0760000}"/>
    <cellStyle name="Standard 4 6 3 6" xfId="30217" xr:uid="{00000000-0005-0000-0000-0000E1760000}"/>
    <cellStyle name="Standard 4 6 3 6 2" xfId="30218" xr:uid="{00000000-0005-0000-0000-0000E2760000}"/>
    <cellStyle name="Standard 4 6 3 6 2 2" xfId="30219" xr:uid="{00000000-0005-0000-0000-0000E3760000}"/>
    <cellStyle name="Standard 4 6 3 6 2 3" xfId="30220" xr:uid="{00000000-0005-0000-0000-0000E4760000}"/>
    <cellStyle name="Standard 4 6 3 6 3" xfId="30221" xr:uid="{00000000-0005-0000-0000-0000E5760000}"/>
    <cellStyle name="Standard 4 6 3 6 3 2" xfId="30222" xr:uid="{00000000-0005-0000-0000-0000E6760000}"/>
    <cellStyle name="Standard 4 6 3 6 3 3" xfId="30223" xr:uid="{00000000-0005-0000-0000-0000E7760000}"/>
    <cellStyle name="Standard 4 6 3 6 4" xfId="30224" xr:uid="{00000000-0005-0000-0000-0000E8760000}"/>
    <cellStyle name="Standard 4 6 3 6 4 2" xfId="30225" xr:uid="{00000000-0005-0000-0000-0000E9760000}"/>
    <cellStyle name="Standard 4 6 3 6 5" xfId="30226" xr:uid="{00000000-0005-0000-0000-0000EA760000}"/>
    <cellStyle name="Standard 4 6 3 6 6" xfId="30227" xr:uid="{00000000-0005-0000-0000-0000EB760000}"/>
    <cellStyle name="Standard 4 6 3 7" xfId="30228" xr:uid="{00000000-0005-0000-0000-0000EC760000}"/>
    <cellStyle name="Standard 4 6 3 7 2" xfId="30229" xr:uid="{00000000-0005-0000-0000-0000ED760000}"/>
    <cellStyle name="Standard 4 6 3 7 3" xfId="30230" xr:uid="{00000000-0005-0000-0000-0000EE760000}"/>
    <cellStyle name="Standard 4 6 3 8" xfId="30231" xr:uid="{00000000-0005-0000-0000-0000EF760000}"/>
    <cellStyle name="Standard 4 6 3 8 2" xfId="30232" xr:uid="{00000000-0005-0000-0000-0000F0760000}"/>
    <cellStyle name="Standard 4 6 3 8 3" xfId="30233" xr:uid="{00000000-0005-0000-0000-0000F1760000}"/>
    <cellStyle name="Standard 4 6 3 9" xfId="30234" xr:uid="{00000000-0005-0000-0000-0000F2760000}"/>
    <cellStyle name="Standard 4 6 3 9 2" xfId="30235" xr:uid="{00000000-0005-0000-0000-0000F3760000}"/>
    <cellStyle name="Standard 4 6 4" xfId="30236" xr:uid="{00000000-0005-0000-0000-0000F4760000}"/>
    <cellStyle name="Standard 4 6 4 10" xfId="30237" xr:uid="{00000000-0005-0000-0000-0000F5760000}"/>
    <cellStyle name="Standard 4 6 4 2" xfId="30238" xr:uid="{00000000-0005-0000-0000-0000F6760000}"/>
    <cellStyle name="Standard 4 6 4 2 2" xfId="30239" xr:uid="{00000000-0005-0000-0000-0000F7760000}"/>
    <cellStyle name="Standard 4 6 4 2 2 2" xfId="30240" xr:uid="{00000000-0005-0000-0000-0000F8760000}"/>
    <cellStyle name="Standard 4 6 4 2 2 2 2" xfId="30241" xr:uid="{00000000-0005-0000-0000-0000F9760000}"/>
    <cellStyle name="Standard 4 6 4 2 2 2 2 2" xfId="30242" xr:uid="{00000000-0005-0000-0000-0000FA760000}"/>
    <cellStyle name="Standard 4 6 4 2 2 2 2 3" xfId="30243" xr:uid="{00000000-0005-0000-0000-0000FB760000}"/>
    <cellStyle name="Standard 4 6 4 2 2 2 3" xfId="30244" xr:uid="{00000000-0005-0000-0000-0000FC760000}"/>
    <cellStyle name="Standard 4 6 4 2 2 2 3 2" xfId="30245" xr:uid="{00000000-0005-0000-0000-0000FD760000}"/>
    <cellStyle name="Standard 4 6 4 2 2 2 3 3" xfId="30246" xr:uid="{00000000-0005-0000-0000-0000FE760000}"/>
    <cellStyle name="Standard 4 6 4 2 2 2 4" xfId="30247" xr:uid="{00000000-0005-0000-0000-0000FF760000}"/>
    <cellStyle name="Standard 4 6 4 2 2 2 4 2" xfId="30248" xr:uid="{00000000-0005-0000-0000-000000770000}"/>
    <cellStyle name="Standard 4 6 4 2 2 2 5" xfId="30249" xr:uid="{00000000-0005-0000-0000-000001770000}"/>
    <cellStyle name="Standard 4 6 4 2 2 2 6" xfId="30250" xr:uid="{00000000-0005-0000-0000-000002770000}"/>
    <cellStyle name="Standard 4 6 4 2 2 3" xfId="30251" xr:uid="{00000000-0005-0000-0000-000003770000}"/>
    <cellStyle name="Standard 4 6 4 2 2 3 2" xfId="30252" xr:uid="{00000000-0005-0000-0000-000004770000}"/>
    <cellStyle name="Standard 4 6 4 2 2 3 3" xfId="30253" xr:uid="{00000000-0005-0000-0000-000005770000}"/>
    <cellStyle name="Standard 4 6 4 2 2 4" xfId="30254" xr:uid="{00000000-0005-0000-0000-000006770000}"/>
    <cellStyle name="Standard 4 6 4 2 2 4 2" xfId="30255" xr:uid="{00000000-0005-0000-0000-000007770000}"/>
    <cellStyle name="Standard 4 6 4 2 2 4 3" xfId="30256" xr:uid="{00000000-0005-0000-0000-000008770000}"/>
    <cellStyle name="Standard 4 6 4 2 2 5" xfId="30257" xr:uid="{00000000-0005-0000-0000-000009770000}"/>
    <cellStyle name="Standard 4 6 4 2 2 5 2" xfId="30258" xr:uid="{00000000-0005-0000-0000-00000A770000}"/>
    <cellStyle name="Standard 4 6 4 2 2 6" xfId="30259" xr:uid="{00000000-0005-0000-0000-00000B770000}"/>
    <cellStyle name="Standard 4 6 4 2 2 7" xfId="30260" xr:uid="{00000000-0005-0000-0000-00000C770000}"/>
    <cellStyle name="Standard 4 6 4 2 3" xfId="30261" xr:uid="{00000000-0005-0000-0000-00000D770000}"/>
    <cellStyle name="Standard 4 6 4 2 3 2" xfId="30262" xr:uid="{00000000-0005-0000-0000-00000E770000}"/>
    <cellStyle name="Standard 4 6 4 2 3 2 2" xfId="30263" xr:uid="{00000000-0005-0000-0000-00000F770000}"/>
    <cellStyle name="Standard 4 6 4 2 3 2 3" xfId="30264" xr:uid="{00000000-0005-0000-0000-000010770000}"/>
    <cellStyle name="Standard 4 6 4 2 3 3" xfId="30265" xr:uid="{00000000-0005-0000-0000-000011770000}"/>
    <cellStyle name="Standard 4 6 4 2 3 3 2" xfId="30266" xr:uid="{00000000-0005-0000-0000-000012770000}"/>
    <cellStyle name="Standard 4 6 4 2 3 3 3" xfId="30267" xr:uid="{00000000-0005-0000-0000-000013770000}"/>
    <cellStyle name="Standard 4 6 4 2 3 4" xfId="30268" xr:uid="{00000000-0005-0000-0000-000014770000}"/>
    <cellStyle name="Standard 4 6 4 2 3 4 2" xfId="30269" xr:uid="{00000000-0005-0000-0000-000015770000}"/>
    <cellStyle name="Standard 4 6 4 2 3 5" xfId="30270" xr:uid="{00000000-0005-0000-0000-000016770000}"/>
    <cellStyle name="Standard 4 6 4 2 3 6" xfId="30271" xr:uid="{00000000-0005-0000-0000-000017770000}"/>
    <cellStyle name="Standard 4 6 4 2 4" xfId="30272" xr:uid="{00000000-0005-0000-0000-000018770000}"/>
    <cellStyle name="Standard 4 6 4 2 4 2" xfId="30273" xr:uid="{00000000-0005-0000-0000-000019770000}"/>
    <cellStyle name="Standard 4 6 4 2 4 3" xfId="30274" xr:uid="{00000000-0005-0000-0000-00001A770000}"/>
    <cellStyle name="Standard 4 6 4 2 5" xfId="30275" xr:uid="{00000000-0005-0000-0000-00001B770000}"/>
    <cellStyle name="Standard 4 6 4 2 5 2" xfId="30276" xr:uid="{00000000-0005-0000-0000-00001C770000}"/>
    <cellStyle name="Standard 4 6 4 2 5 3" xfId="30277" xr:uid="{00000000-0005-0000-0000-00001D770000}"/>
    <cellStyle name="Standard 4 6 4 2 6" xfId="30278" xr:uid="{00000000-0005-0000-0000-00001E770000}"/>
    <cellStyle name="Standard 4 6 4 2 6 2" xfId="30279" xr:uid="{00000000-0005-0000-0000-00001F770000}"/>
    <cellStyle name="Standard 4 6 4 2 7" xfId="30280" xr:uid="{00000000-0005-0000-0000-000020770000}"/>
    <cellStyle name="Standard 4 6 4 2 8" xfId="30281" xr:uid="{00000000-0005-0000-0000-000021770000}"/>
    <cellStyle name="Standard 4 6 4 3" xfId="30282" xr:uid="{00000000-0005-0000-0000-000022770000}"/>
    <cellStyle name="Standard 4 6 4 3 2" xfId="30283" xr:uid="{00000000-0005-0000-0000-000023770000}"/>
    <cellStyle name="Standard 4 6 4 3 2 2" xfId="30284" xr:uid="{00000000-0005-0000-0000-000024770000}"/>
    <cellStyle name="Standard 4 6 4 3 2 2 2" xfId="30285" xr:uid="{00000000-0005-0000-0000-000025770000}"/>
    <cellStyle name="Standard 4 6 4 3 2 2 2 2" xfId="30286" xr:uid="{00000000-0005-0000-0000-000026770000}"/>
    <cellStyle name="Standard 4 6 4 3 2 2 2 3" xfId="30287" xr:uid="{00000000-0005-0000-0000-000027770000}"/>
    <cellStyle name="Standard 4 6 4 3 2 2 3" xfId="30288" xr:uid="{00000000-0005-0000-0000-000028770000}"/>
    <cellStyle name="Standard 4 6 4 3 2 2 3 2" xfId="30289" xr:uid="{00000000-0005-0000-0000-000029770000}"/>
    <cellStyle name="Standard 4 6 4 3 2 2 3 3" xfId="30290" xr:uid="{00000000-0005-0000-0000-00002A770000}"/>
    <cellStyle name="Standard 4 6 4 3 2 2 4" xfId="30291" xr:uid="{00000000-0005-0000-0000-00002B770000}"/>
    <cellStyle name="Standard 4 6 4 3 2 2 4 2" xfId="30292" xr:uid="{00000000-0005-0000-0000-00002C770000}"/>
    <cellStyle name="Standard 4 6 4 3 2 2 5" xfId="30293" xr:uid="{00000000-0005-0000-0000-00002D770000}"/>
    <cellStyle name="Standard 4 6 4 3 2 2 6" xfId="30294" xr:uid="{00000000-0005-0000-0000-00002E770000}"/>
    <cellStyle name="Standard 4 6 4 3 2 3" xfId="30295" xr:uid="{00000000-0005-0000-0000-00002F770000}"/>
    <cellStyle name="Standard 4 6 4 3 2 3 2" xfId="30296" xr:uid="{00000000-0005-0000-0000-000030770000}"/>
    <cellStyle name="Standard 4 6 4 3 2 3 3" xfId="30297" xr:uid="{00000000-0005-0000-0000-000031770000}"/>
    <cellStyle name="Standard 4 6 4 3 2 4" xfId="30298" xr:uid="{00000000-0005-0000-0000-000032770000}"/>
    <cellStyle name="Standard 4 6 4 3 2 4 2" xfId="30299" xr:uid="{00000000-0005-0000-0000-000033770000}"/>
    <cellStyle name="Standard 4 6 4 3 2 4 3" xfId="30300" xr:uid="{00000000-0005-0000-0000-000034770000}"/>
    <cellStyle name="Standard 4 6 4 3 2 5" xfId="30301" xr:uid="{00000000-0005-0000-0000-000035770000}"/>
    <cellStyle name="Standard 4 6 4 3 2 5 2" xfId="30302" xr:uid="{00000000-0005-0000-0000-000036770000}"/>
    <cellStyle name="Standard 4 6 4 3 2 6" xfId="30303" xr:uid="{00000000-0005-0000-0000-000037770000}"/>
    <cellStyle name="Standard 4 6 4 3 2 7" xfId="30304" xr:uid="{00000000-0005-0000-0000-000038770000}"/>
    <cellStyle name="Standard 4 6 4 3 3" xfId="30305" xr:uid="{00000000-0005-0000-0000-000039770000}"/>
    <cellStyle name="Standard 4 6 4 3 3 2" xfId="30306" xr:uid="{00000000-0005-0000-0000-00003A770000}"/>
    <cellStyle name="Standard 4 6 4 3 3 2 2" xfId="30307" xr:uid="{00000000-0005-0000-0000-00003B770000}"/>
    <cellStyle name="Standard 4 6 4 3 3 2 3" xfId="30308" xr:uid="{00000000-0005-0000-0000-00003C770000}"/>
    <cellStyle name="Standard 4 6 4 3 3 3" xfId="30309" xr:uid="{00000000-0005-0000-0000-00003D770000}"/>
    <cellStyle name="Standard 4 6 4 3 3 3 2" xfId="30310" xr:uid="{00000000-0005-0000-0000-00003E770000}"/>
    <cellStyle name="Standard 4 6 4 3 3 3 3" xfId="30311" xr:uid="{00000000-0005-0000-0000-00003F770000}"/>
    <cellStyle name="Standard 4 6 4 3 3 4" xfId="30312" xr:uid="{00000000-0005-0000-0000-000040770000}"/>
    <cellStyle name="Standard 4 6 4 3 3 4 2" xfId="30313" xr:uid="{00000000-0005-0000-0000-000041770000}"/>
    <cellStyle name="Standard 4 6 4 3 3 5" xfId="30314" xr:uid="{00000000-0005-0000-0000-000042770000}"/>
    <cellStyle name="Standard 4 6 4 3 3 6" xfId="30315" xr:uid="{00000000-0005-0000-0000-000043770000}"/>
    <cellStyle name="Standard 4 6 4 3 4" xfId="30316" xr:uid="{00000000-0005-0000-0000-000044770000}"/>
    <cellStyle name="Standard 4 6 4 3 4 2" xfId="30317" xr:uid="{00000000-0005-0000-0000-000045770000}"/>
    <cellStyle name="Standard 4 6 4 3 4 3" xfId="30318" xr:uid="{00000000-0005-0000-0000-000046770000}"/>
    <cellStyle name="Standard 4 6 4 3 5" xfId="30319" xr:uid="{00000000-0005-0000-0000-000047770000}"/>
    <cellStyle name="Standard 4 6 4 3 5 2" xfId="30320" xr:uid="{00000000-0005-0000-0000-000048770000}"/>
    <cellStyle name="Standard 4 6 4 3 5 3" xfId="30321" xr:uid="{00000000-0005-0000-0000-000049770000}"/>
    <cellStyle name="Standard 4 6 4 3 6" xfId="30322" xr:uid="{00000000-0005-0000-0000-00004A770000}"/>
    <cellStyle name="Standard 4 6 4 3 6 2" xfId="30323" xr:uid="{00000000-0005-0000-0000-00004B770000}"/>
    <cellStyle name="Standard 4 6 4 3 7" xfId="30324" xr:uid="{00000000-0005-0000-0000-00004C770000}"/>
    <cellStyle name="Standard 4 6 4 3 8" xfId="30325" xr:uid="{00000000-0005-0000-0000-00004D770000}"/>
    <cellStyle name="Standard 4 6 4 4" xfId="30326" xr:uid="{00000000-0005-0000-0000-00004E770000}"/>
    <cellStyle name="Standard 4 6 4 4 2" xfId="30327" xr:uid="{00000000-0005-0000-0000-00004F770000}"/>
    <cellStyle name="Standard 4 6 4 4 2 2" xfId="30328" xr:uid="{00000000-0005-0000-0000-000050770000}"/>
    <cellStyle name="Standard 4 6 4 4 2 2 2" xfId="30329" xr:uid="{00000000-0005-0000-0000-000051770000}"/>
    <cellStyle name="Standard 4 6 4 4 2 2 3" xfId="30330" xr:uid="{00000000-0005-0000-0000-000052770000}"/>
    <cellStyle name="Standard 4 6 4 4 2 3" xfId="30331" xr:uid="{00000000-0005-0000-0000-000053770000}"/>
    <cellStyle name="Standard 4 6 4 4 2 3 2" xfId="30332" xr:uid="{00000000-0005-0000-0000-000054770000}"/>
    <cellStyle name="Standard 4 6 4 4 2 3 3" xfId="30333" xr:uid="{00000000-0005-0000-0000-000055770000}"/>
    <cellStyle name="Standard 4 6 4 4 2 4" xfId="30334" xr:uid="{00000000-0005-0000-0000-000056770000}"/>
    <cellStyle name="Standard 4 6 4 4 2 4 2" xfId="30335" xr:uid="{00000000-0005-0000-0000-000057770000}"/>
    <cellStyle name="Standard 4 6 4 4 2 5" xfId="30336" xr:uid="{00000000-0005-0000-0000-000058770000}"/>
    <cellStyle name="Standard 4 6 4 4 2 6" xfId="30337" xr:uid="{00000000-0005-0000-0000-000059770000}"/>
    <cellStyle name="Standard 4 6 4 4 3" xfId="30338" xr:uid="{00000000-0005-0000-0000-00005A770000}"/>
    <cellStyle name="Standard 4 6 4 4 3 2" xfId="30339" xr:uid="{00000000-0005-0000-0000-00005B770000}"/>
    <cellStyle name="Standard 4 6 4 4 3 3" xfId="30340" xr:uid="{00000000-0005-0000-0000-00005C770000}"/>
    <cellStyle name="Standard 4 6 4 4 4" xfId="30341" xr:uid="{00000000-0005-0000-0000-00005D770000}"/>
    <cellStyle name="Standard 4 6 4 4 4 2" xfId="30342" xr:uid="{00000000-0005-0000-0000-00005E770000}"/>
    <cellStyle name="Standard 4 6 4 4 4 3" xfId="30343" xr:uid="{00000000-0005-0000-0000-00005F770000}"/>
    <cellStyle name="Standard 4 6 4 4 5" xfId="30344" xr:uid="{00000000-0005-0000-0000-000060770000}"/>
    <cellStyle name="Standard 4 6 4 4 5 2" xfId="30345" xr:uid="{00000000-0005-0000-0000-000061770000}"/>
    <cellStyle name="Standard 4 6 4 4 6" xfId="30346" xr:uid="{00000000-0005-0000-0000-000062770000}"/>
    <cellStyle name="Standard 4 6 4 4 7" xfId="30347" xr:uid="{00000000-0005-0000-0000-000063770000}"/>
    <cellStyle name="Standard 4 6 4 5" xfId="30348" xr:uid="{00000000-0005-0000-0000-000064770000}"/>
    <cellStyle name="Standard 4 6 4 5 2" xfId="30349" xr:uid="{00000000-0005-0000-0000-000065770000}"/>
    <cellStyle name="Standard 4 6 4 5 2 2" xfId="30350" xr:uid="{00000000-0005-0000-0000-000066770000}"/>
    <cellStyle name="Standard 4 6 4 5 2 3" xfId="30351" xr:uid="{00000000-0005-0000-0000-000067770000}"/>
    <cellStyle name="Standard 4 6 4 5 3" xfId="30352" xr:uid="{00000000-0005-0000-0000-000068770000}"/>
    <cellStyle name="Standard 4 6 4 5 3 2" xfId="30353" xr:uid="{00000000-0005-0000-0000-000069770000}"/>
    <cellStyle name="Standard 4 6 4 5 3 3" xfId="30354" xr:uid="{00000000-0005-0000-0000-00006A770000}"/>
    <cellStyle name="Standard 4 6 4 5 4" xfId="30355" xr:uid="{00000000-0005-0000-0000-00006B770000}"/>
    <cellStyle name="Standard 4 6 4 5 4 2" xfId="30356" xr:uid="{00000000-0005-0000-0000-00006C770000}"/>
    <cellStyle name="Standard 4 6 4 5 5" xfId="30357" xr:uid="{00000000-0005-0000-0000-00006D770000}"/>
    <cellStyle name="Standard 4 6 4 5 6" xfId="30358" xr:uid="{00000000-0005-0000-0000-00006E770000}"/>
    <cellStyle name="Standard 4 6 4 6" xfId="30359" xr:uid="{00000000-0005-0000-0000-00006F770000}"/>
    <cellStyle name="Standard 4 6 4 6 2" xfId="30360" xr:uid="{00000000-0005-0000-0000-000070770000}"/>
    <cellStyle name="Standard 4 6 4 6 3" xfId="30361" xr:uid="{00000000-0005-0000-0000-000071770000}"/>
    <cellStyle name="Standard 4 6 4 7" xfId="30362" xr:uid="{00000000-0005-0000-0000-000072770000}"/>
    <cellStyle name="Standard 4 6 4 7 2" xfId="30363" xr:uid="{00000000-0005-0000-0000-000073770000}"/>
    <cellStyle name="Standard 4 6 4 7 3" xfId="30364" xr:uid="{00000000-0005-0000-0000-000074770000}"/>
    <cellStyle name="Standard 4 6 4 8" xfId="30365" xr:uid="{00000000-0005-0000-0000-000075770000}"/>
    <cellStyle name="Standard 4 6 4 8 2" xfId="30366" xr:uid="{00000000-0005-0000-0000-000076770000}"/>
    <cellStyle name="Standard 4 6 4 9" xfId="30367" xr:uid="{00000000-0005-0000-0000-000077770000}"/>
    <cellStyle name="Standard 4 6 5" xfId="30368" xr:uid="{00000000-0005-0000-0000-000078770000}"/>
    <cellStyle name="Standard 4 6 5 2" xfId="30369" xr:uid="{00000000-0005-0000-0000-000079770000}"/>
    <cellStyle name="Standard 4 6 5 2 2" xfId="30370" xr:uid="{00000000-0005-0000-0000-00007A770000}"/>
    <cellStyle name="Standard 4 6 5 2 2 2" xfId="30371" xr:uid="{00000000-0005-0000-0000-00007B770000}"/>
    <cellStyle name="Standard 4 6 5 2 2 2 2" xfId="30372" xr:uid="{00000000-0005-0000-0000-00007C770000}"/>
    <cellStyle name="Standard 4 6 5 2 2 2 3" xfId="30373" xr:uid="{00000000-0005-0000-0000-00007D770000}"/>
    <cellStyle name="Standard 4 6 5 2 2 3" xfId="30374" xr:uid="{00000000-0005-0000-0000-00007E770000}"/>
    <cellStyle name="Standard 4 6 5 2 2 3 2" xfId="30375" xr:uid="{00000000-0005-0000-0000-00007F770000}"/>
    <cellStyle name="Standard 4 6 5 2 2 3 3" xfId="30376" xr:uid="{00000000-0005-0000-0000-000080770000}"/>
    <cellStyle name="Standard 4 6 5 2 2 4" xfId="30377" xr:uid="{00000000-0005-0000-0000-000081770000}"/>
    <cellStyle name="Standard 4 6 5 2 2 4 2" xfId="30378" xr:uid="{00000000-0005-0000-0000-000082770000}"/>
    <cellStyle name="Standard 4 6 5 2 2 5" xfId="30379" xr:uid="{00000000-0005-0000-0000-000083770000}"/>
    <cellStyle name="Standard 4 6 5 2 2 6" xfId="30380" xr:uid="{00000000-0005-0000-0000-000084770000}"/>
    <cellStyle name="Standard 4 6 5 2 3" xfId="30381" xr:uid="{00000000-0005-0000-0000-000085770000}"/>
    <cellStyle name="Standard 4 6 5 2 3 2" xfId="30382" xr:uid="{00000000-0005-0000-0000-000086770000}"/>
    <cellStyle name="Standard 4 6 5 2 3 3" xfId="30383" xr:uid="{00000000-0005-0000-0000-000087770000}"/>
    <cellStyle name="Standard 4 6 5 2 4" xfId="30384" xr:uid="{00000000-0005-0000-0000-000088770000}"/>
    <cellStyle name="Standard 4 6 5 2 4 2" xfId="30385" xr:uid="{00000000-0005-0000-0000-000089770000}"/>
    <cellStyle name="Standard 4 6 5 2 4 3" xfId="30386" xr:uid="{00000000-0005-0000-0000-00008A770000}"/>
    <cellStyle name="Standard 4 6 5 2 5" xfId="30387" xr:uid="{00000000-0005-0000-0000-00008B770000}"/>
    <cellStyle name="Standard 4 6 5 2 5 2" xfId="30388" xr:uid="{00000000-0005-0000-0000-00008C770000}"/>
    <cellStyle name="Standard 4 6 5 2 6" xfId="30389" xr:uid="{00000000-0005-0000-0000-00008D770000}"/>
    <cellStyle name="Standard 4 6 5 2 7" xfId="30390" xr:uid="{00000000-0005-0000-0000-00008E770000}"/>
    <cellStyle name="Standard 4 6 5 3" xfId="30391" xr:uid="{00000000-0005-0000-0000-00008F770000}"/>
    <cellStyle name="Standard 4 6 5 3 2" xfId="30392" xr:uid="{00000000-0005-0000-0000-000090770000}"/>
    <cellStyle name="Standard 4 6 5 3 2 2" xfId="30393" xr:uid="{00000000-0005-0000-0000-000091770000}"/>
    <cellStyle name="Standard 4 6 5 3 2 3" xfId="30394" xr:uid="{00000000-0005-0000-0000-000092770000}"/>
    <cellStyle name="Standard 4 6 5 3 3" xfId="30395" xr:uid="{00000000-0005-0000-0000-000093770000}"/>
    <cellStyle name="Standard 4 6 5 3 3 2" xfId="30396" xr:uid="{00000000-0005-0000-0000-000094770000}"/>
    <cellStyle name="Standard 4 6 5 3 3 3" xfId="30397" xr:uid="{00000000-0005-0000-0000-000095770000}"/>
    <cellStyle name="Standard 4 6 5 3 4" xfId="30398" xr:uid="{00000000-0005-0000-0000-000096770000}"/>
    <cellStyle name="Standard 4 6 5 3 4 2" xfId="30399" xr:uid="{00000000-0005-0000-0000-000097770000}"/>
    <cellStyle name="Standard 4 6 5 3 5" xfId="30400" xr:uid="{00000000-0005-0000-0000-000098770000}"/>
    <cellStyle name="Standard 4 6 5 3 6" xfId="30401" xr:uid="{00000000-0005-0000-0000-000099770000}"/>
    <cellStyle name="Standard 4 6 5 4" xfId="30402" xr:uid="{00000000-0005-0000-0000-00009A770000}"/>
    <cellStyle name="Standard 4 6 5 4 2" xfId="30403" xr:uid="{00000000-0005-0000-0000-00009B770000}"/>
    <cellStyle name="Standard 4 6 5 4 3" xfId="30404" xr:uid="{00000000-0005-0000-0000-00009C770000}"/>
    <cellStyle name="Standard 4 6 5 5" xfId="30405" xr:uid="{00000000-0005-0000-0000-00009D770000}"/>
    <cellStyle name="Standard 4 6 5 5 2" xfId="30406" xr:uid="{00000000-0005-0000-0000-00009E770000}"/>
    <cellStyle name="Standard 4 6 5 5 3" xfId="30407" xr:uid="{00000000-0005-0000-0000-00009F770000}"/>
    <cellStyle name="Standard 4 6 5 6" xfId="30408" xr:uid="{00000000-0005-0000-0000-0000A0770000}"/>
    <cellStyle name="Standard 4 6 5 6 2" xfId="30409" xr:uid="{00000000-0005-0000-0000-0000A1770000}"/>
    <cellStyle name="Standard 4 6 5 7" xfId="30410" xr:uid="{00000000-0005-0000-0000-0000A2770000}"/>
    <cellStyle name="Standard 4 6 5 8" xfId="30411" xr:uid="{00000000-0005-0000-0000-0000A3770000}"/>
    <cellStyle name="Standard 4 6 6" xfId="30412" xr:uid="{00000000-0005-0000-0000-0000A4770000}"/>
    <cellStyle name="Standard 4 6 6 2" xfId="30413" xr:uid="{00000000-0005-0000-0000-0000A5770000}"/>
    <cellStyle name="Standard 4 6 6 2 2" xfId="30414" xr:uid="{00000000-0005-0000-0000-0000A6770000}"/>
    <cellStyle name="Standard 4 6 6 2 2 2" xfId="30415" xr:uid="{00000000-0005-0000-0000-0000A7770000}"/>
    <cellStyle name="Standard 4 6 6 2 2 2 2" xfId="30416" xr:uid="{00000000-0005-0000-0000-0000A8770000}"/>
    <cellStyle name="Standard 4 6 6 2 2 2 3" xfId="30417" xr:uid="{00000000-0005-0000-0000-0000A9770000}"/>
    <cellStyle name="Standard 4 6 6 2 2 3" xfId="30418" xr:uid="{00000000-0005-0000-0000-0000AA770000}"/>
    <cellStyle name="Standard 4 6 6 2 2 3 2" xfId="30419" xr:uid="{00000000-0005-0000-0000-0000AB770000}"/>
    <cellStyle name="Standard 4 6 6 2 2 3 3" xfId="30420" xr:uid="{00000000-0005-0000-0000-0000AC770000}"/>
    <cellStyle name="Standard 4 6 6 2 2 4" xfId="30421" xr:uid="{00000000-0005-0000-0000-0000AD770000}"/>
    <cellStyle name="Standard 4 6 6 2 2 4 2" xfId="30422" xr:uid="{00000000-0005-0000-0000-0000AE770000}"/>
    <cellStyle name="Standard 4 6 6 2 2 5" xfId="30423" xr:uid="{00000000-0005-0000-0000-0000AF770000}"/>
    <cellStyle name="Standard 4 6 6 2 2 6" xfId="30424" xr:uid="{00000000-0005-0000-0000-0000B0770000}"/>
    <cellStyle name="Standard 4 6 6 2 3" xfId="30425" xr:uid="{00000000-0005-0000-0000-0000B1770000}"/>
    <cellStyle name="Standard 4 6 6 2 3 2" xfId="30426" xr:uid="{00000000-0005-0000-0000-0000B2770000}"/>
    <cellStyle name="Standard 4 6 6 2 3 3" xfId="30427" xr:uid="{00000000-0005-0000-0000-0000B3770000}"/>
    <cellStyle name="Standard 4 6 6 2 4" xfId="30428" xr:uid="{00000000-0005-0000-0000-0000B4770000}"/>
    <cellStyle name="Standard 4 6 6 2 4 2" xfId="30429" xr:uid="{00000000-0005-0000-0000-0000B5770000}"/>
    <cellStyle name="Standard 4 6 6 2 4 3" xfId="30430" xr:uid="{00000000-0005-0000-0000-0000B6770000}"/>
    <cellStyle name="Standard 4 6 6 2 5" xfId="30431" xr:uid="{00000000-0005-0000-0000-0000B7770000}"/>
    <cellStyle name="Standard 4 6 6 2 5 2" xfId="30432" xr:uid="{00000000-0005-0000-0000-0000B8770000}"/>
    <cellStyle name="Standard 4 6 6 2 6" xfId="30433" xr:uid="{00000000-0005-0000-0000-0000B9770000}"/>
    <cellStyle name="Standard 4 6 6 2 7" xfId="30434" xr:uid="{00000000-0005-0000-0000-0000BA770000}"/>
    <cellStyle name="Standard 4 6 6 3" xfId="30435" xr:uid="{00000000-0005-0000-0000-0000BB770000}"/>
    <cellStyle name="Standard 4 6 6 3 2" xfId="30436" xr:uid="{00000000-0005-0000-0000-0000BC770000}"/>
    <cellStyle name="Standard 4 6 6 3 2 2" xfId="30437" xr:uid="{00000000-0005-0000-0000-0000BD770000}"/>
    <cellStyle name="Standard 4 6 6 3 2 3" xfId="30438" xr:uid="{00000000-0005-0000-0000-0000BE770000}"/>
    <cellStyle name="Standard 4 6 6 3 3" xfId="30439" xr:uid="{00000000-0005-0000-0000-0000BF770000}"/>
    <cellStyle name="Standard 4 6 6 3 3 2" xfId="30440" xr:uid="{00000000-0005-0000-0000-0000C0770000}"/>
    <cellStyle name="Standard 4 6 6 3 3 3" xfId="30441" xr:uid="{00000000-0005-0000-0000-0000C1770000}"/>
    <cellStyle name="Standard 4 6 6 3 4" xfId="30442" xr:uid="{00000000-0005-0000-0000-0000C2770000}"/>
    <cellStyle name="Standard 4 6 6 3 4 2" xfId="30443" xr:uid="{00000000-0005-0000-0000-0000C3770000}"/>
    <cellStyle name="Standard 4 6 6 3 5" xfId="30444" xr:uid="{00000000-0005-0000-0000-0000C4770000}"/>
    <cellStyle name="Standard 4 6 6 3 6" xfId="30445" xr:uid="{00000000-0005-0000-0000-0000C5770000}"/>
    <cellStyle name="Standard 4 6 6 4" xfId="30446" xr:uid="{00000000-0005-0000-0000-0000C6770000}"/>
    <cellStyle name="Standard 4 6 6 4 2" xfId="30447" xr:uid="{00000000-0005-0000-0000-0000C7770000}"/>
    <cellStyle name="Standard 4 6 6 4 3" xfId="30448" xr:uid="{00000000-0005-0000-0000-0000C8770000}"/>
    <cellStyle name="Standard 4 6 6 5" xfId="30449" xr:uid="{00000000-0005-0000-0000-0000C9770000}"/>
    <cellStyle name="Standard 4 6 6 5 2" xfId="30450" xr:uid="{00000000-0005-0000-0000-0000CA770000}"/>
    <cellStyle name="Standard 4 6 6 5 3" xfId="30451" xr:uid="{00000000-0005-0000-0000-0000CB770000}"/>
    <cellStyle name="Standard 4 6 6 6" xfId="30452" xr:uid="{00000000-0005-0000-0000-0000CC770000}"/>
    <cellStyle name="Standard 4 6 6 6 2" xfId="30453" xr:uid="{00000000-0005-0000-0000-0000CD770000}"/>
    <cellStyle name="Standard 4 6 6 7" xfId="30454" xr:uid="{00000000-0005-0000-0000-0000CE770000}"/>
    <cellStyle name="Standard 4 6 6 8" xfId="30455" xr:uid="{00000000-0005-0000-0000-0000CF770000}"/>
    <cellStyle name="Standard 4 6 7" xfId="30456" xr:uid="{00000000-0005-0000-0000-0000D0770000}"/>
    <cellStyle name="Standard 4 6 7 2" xfId="30457" xr:uid="{00000000-0005-0000-0000-0000D1770000}"/>
    <cellStyle name="Standard 4 6 7 2 2" xfId="30458" xr:uid="{00000000-0005-0000-0000-0000D2770000}"/>
    <cellStyle name="Standard 4 6 7 2 2 2" xfId="30459" xr:uid="{00000000-0005-0000-0000-0000D3770000}"/>
    <cellStyle name="Standard 4 6 7 2 2 3" xfId="30460" xr:uid="{00000000-0005-0000-0000-0000D4770000}"/>
    <cellStyle name="Standard 4 6 7 2 3" xfId="30461" xr:uid="{00000000-0005-0000-0000-0000D5770000}"/>
    <cellStyle name="Standard 4 6 7 2 3 2" xfId="30462" xr:uid="{00000000-0005-0000-0000-0000D6770000}"/>
    <cellStyle name="Standard 4 6 7 2 3 3" xfId="30463" xr:uid="{00000000-0005-0000-0000-0000D7770000}"/>
    <cellStyle name="Standard 4 6 7 2 4" xfId="30464" xr:uid="{00000000-0005-0000-0000-0000D8770000}"/>
    <cellStyle name="Standard 4 6 7 2 4 2" xfId="30465" xr:uid="{00000000-0005-0000-0000-0000D9770000}"/>
    <cellStyle name="Standard 4 6 7 2 5" xfId="30466" xr:uid="{00000000-0005-0000-0000-0000DA770000}"/>
    <cellStyle name="Standard 4 6 7 2 6" xfId="30467" xr:uid="{00000000-0005-0000-0000-0000DB770000}"/>
    <cellStyle name="Standard 4 6 7 3" xfId="30468" xr:uid="{00000000-0005-0000-0000-0000DC770000}"/>
    <cellStyle name="Standard 4 6 7 3 2" xfId="30469" xr:uid="{00000000-0005-0000-0000-0000DD770000}"/>
    <cellStyle name="Standard 4 6 7 3 3" xfId="30470" xr:uid="{00000000-0005-0000-0000-0000DE770000}"/>
    <cellStyle name="Standard 4 6 7 4" xfId="30471" xr:uid="{00000000-0005-0000-0000-0000DF770000}"/>
    <cellStyle name="Standard 4 6 7 4 2" xfId="30472" xr:uid="{00000000-0005-0000-0000-0000E0770000}"/>
    <cellStyle name="Standard 4 6 7 4 3" xfId="30473" xr:uid="{00000000-0005-0000-0000-0000E1770000}"/>
    <cellStyle name="Standard 4 6 7 5" xfId="30474" xr:uid="{00000000-0005-0000-0000-0000E2770000}"/>
    <cellStyle name="Standard 4 6 7 5 2" xfId="30475" xr:uid="{00000000-0005-0000-0000-0000E3770000}"/>
    <cellStyle name="Standard 4 6 7 6" xfId="30476" xr:uid="{00000000-0005-0000-0000-0000E4770000}"/>
    <cellStyle name="Standard 4 6 7 7" xfId="30477" xr:uid="{00000000-0005-0000-0000-0000E5770000}"/>
    <cellStyle name="Standard 4 6 8" xfId="30478" xr:uid="{00000000-0005-0000-0000-0000E6770000}"/>
    <cellStyle name="Standard 4 6 8 2" xfId="30479" xr:uid="{00000000-0005-0000-0000-0000E7770000}"/>
    <cellStyle name="Standard 4 6 8 2 2" xfId="30480" xr:uid="{00000000-0005-0000-0000-0000E8770000}"/>
    <cellStyle name="Standard 4 6 8 2 3" xfId="30481" xr:uid="{00000000-0005-0000-0000-0000E9770000}"/>
    <cellStyle name="Standard 4 6 8 3" xfId="30482" xr:uid="{00000000-0005-0000-0000-0000EA770000}"/>
    <cellStyle name="Standard 4 6 8 3 2" xfId="30483" xr:uid="{00000000-0005-0000-0000-0000EB770000}"/>
    <cellStyle name="Standard 4 6 8 3 3" xfId="30484" xr:uid="{00000000-0005-0000-0000-0000EC770000}"/>
    <cellStyle name="Standard 4 6 8 4" xfId="30485" xr:uid="{00000000-0005-0000-0000-0000ED770000}"/>
    <cellStyle name="Standard 4 6 8 4 2" xfId="30486" xr:uid="{00000000-0005-0000-0000-0000EE770000}"/>
    <cellStyle name="Standard 4 6 8 5" xfId="30487" xr:uid="{00000000-0005-0000-0000-0000EF770000}"/>
    <cellStyle name="Standard 4 6 8 6" xfId="30488" xr:uid="{00000000-0005-0000-0000-0000F0770000}"/>
    <cellStyle name="Standard 4 6 9" xfId="30489" xr:uid="{00000000-0005-0000-0000-0000F1770000}"/>
    <cellStyle name="Standard 4 6 9 2" xfId="30490" xr:uid="{00000000-0005-0000-0000-0000F2770000}"/>
    <cellStyle name="Standard 4 6 9 3" xfId="30491" xr:uid="{00000000-0005-0000-0000-0000F3770000}"/>
    <cellStyle name="Standard 4 7" xfId="593" xr:uid="{00000000-0005-0000-0000-0000F4770000}"/>
    <cellStyle name="Standard 4 7 10" xfId="30492" xr:uid="{00000000-0005-0000-0000-0000F5770000}"/>
    <cellStyle name="Standard 4 7 10 2" xfId="30493" xr:uid="{00000000-0005-0000-0000-0000F6770000}"/>
    <cellStyle name="Standard 4 7 11" xfId="30494" xr:uid="{00000000-0005-0000-0000-0000F7770000}"/>
    <cellStyle name="Standard 4 7 12" xfId="30495" xr:uid="{00000000-0005-0000-0000-0000F8770000}"/>
    <cellStyle name="Standard 4 7 2" xfId="30496" xr:uid="{00000000-0005-0000-0000-0000F9770000}"/>
    <cellStyle name="Standard 4 7 2 10" xfId="30497" xr:uid="{00000000-0005-0000-0000-0000FA770000}"/>
    <cellStyle name="Standard 4 7 2 11" xfId="30498" xr:uid="{00000000-0005-0000-0000-0000FB770000}"/>
    <cellStyle name="Standard 4 7 2 2" xfId="30499" xr:uid="{00000000-0005-0000-0000-0000FC770000}"/>
    <cellStyle name="Standard 4 7 2 2 10" xfId="30500" xr:uid="{00000000-0005-0000-0000-0000FD770000}"/>
    <cellStyle name="Standard 4 7 2 2 2" xfId="30501" xr:uid="{00000000-0005-0000-0000-0000FE770000}"/>
    <cellStyle name="Standard 4 7 2 2 2 2" xfId="30502" xr:uid="{00000000-0005-0000-0000-0000FF770000}"/>
    <cellStyle name="Standard 4 7 2 2 2 2 2" xfId="30503" xr:uid="{00000000-0005-0000-0000-000000780000}"/>
    <cellStyle name="Standard 4 7 2 2 2 2 2 2" xfId="30504" xr:uid="{00000000-0005-0000-0000-000001780000}"/>
    <cellStyle name="Standard 4 7 2 2 2 2 2 2 2" xfId="30505" xr:uid="{00000000-0005-0000-0000-000002780000}"/>
    <cellStyle name="Standard 4 7 2 2 2 2 2 2 3" xfId="30506" xr:uid="{00000000-0005-0000-0000-000003780000}"/>
    <cellStyle name="Standard 4 7 2 2 2 2 2 3" xfId="30507" xr:uid="{00000000-0005-0000-0000-000004780000}"/>
    <cellStyle name="Standard 4 7 2 2 2 2 2 3 2" xfId="30508" xr:uid="{00000000-0005-0000-0000-000005780000}"/>
    <cellStyle name="Standard 4 7 2 2 2 2 2 3 3" xfId="30509" xr:uid="{00000000-0005-0000-0000-000006780000}"/>
    <cellStyle name="Standard 4 7 2 2 2 2 2 4" xfId="30510" xr:uid="{00000000-0005-0000-0000-000007780000}"/>
    <cellStyle name="Standard 4 7 2 2 2 2 2 4 2" xfId="30511" xr:uid="{00000000-0005-0000-0000-000008780000}"/>
    <cellStyle name="Standard 4 7 2 2 2 2 2 5" xfId="30512" xr:uid="{00000000-0005-0000-0000-000009780000}"/>
    <cellStyle name="Standard 4 7 2 2 2 2 2 6" xfId="30513" xr:uid="{00000000-0005-0000-0000-00000A780000}"/>
    <cellStyle name="Standard 4 7 2 2 2 2 3" xfId="30514" xr:uid="{00000000-0005-0000-0000-00000B780000}"/>
    <cellStyle name="Standard 4 7 2 2 2 2 3 2" xfId="30515" xr:uid="{00000000-0005-0000-0000-00000C780000}"/>
    <cellStyle name="Standard 4 7 2 2 2 2 3 3" xfId="30516" xr:uid="{00000000-0005-0000-0000-00000D780000}"/>
    <cellStyle name="Standard 4 7 2 2 2 2 4" xfId="30517" xr:uid="{00000000-0005-0000-0000-00000E780000}"/>
    <cellStyle name="Standard 4 7 2 2 2 2 4 2" xfId="30518" xr:uid="{00000000-0005-0000-0000-00000F780000}"/>
    <cellStyle name="Standard 4 7 2 2 2 2 4 3" xfId="30519" xr:uid="{00000000-0005-0000-0000-000010780000}"/>
    <cellStyle name="Standard 4 7 2 2 2 2 5" xfId="30520" xr:uid="{00000000-0005-0000-0000-000011780000}"/>
    <cellStyle name="Standard 4 7 2 2 2 2 5 2" xfId="30521" xr:uid="{00000000-0005-0000-0000-000012780000}"/>
    <cellStyle name="Standard 4 7 2 2 2 2 6" xfId="30522" xr:uid="{00000000-0005-0000-0000-000013780000}"/>
    <cellStyle name="Standard 4 7 2 2 2 2 7" xfId="30523" xr:uid="{00000000-0005-0000-0000-000014780000}"/>
    <cellStyle name="Standard 4 7 2 2 2 3" xfId="30524" xr:uid="{00000000-0005-0000-0000-000015780000}"/>
    <cellStyle name="Standard 4 7 2 2 2 3 2" xfId="30525" xr:uid="{00000000-0005-0000-0000-000016780000}"/>
    <cellStyle name="Standard 4 7 2 2 2 3 2 2" xfId="30526" xr:uid="{00000000-0005-0000-0000-000017780000}"/>
    <cellStyle name="Standard 4 7 2 2 2 3 2 3" xfId="30527" xr:uid="{00000000-0005-0000-0000-000018780000}"/>
    <cellStyle name="Standard 4 7 2 2 2 3 3" xfId="30528" xr:uid="{00000000-0005-0000-0000-000019780000}"/>
    <cellStyle name="Standard 4 7 2 2 2 3 3 2" xfId="30529" xr:uid="{00000000-0005-0000-0000-00001A780000}"/>
    <cellStyle name="Standard 4 7 2 2 2 3 3 3" xfId="30530" xr:uid="{00000000-0005-0000-0000-00001B780000}"/>
    <cellStyle name="Standard 4 7 2 2 2 3 4" xfId="30531" xr:uid="{00000000-0005-0000-0000-00001C780000}"/>
    <cellStyle name="Standard 4 7 2 2 2 3 4 2" xfId="30532" xr:uid="{00000000-0005-0000-0000-00001D780000}"/>
    <cellStyle name="Standard 4 7 2 2 2 3 5" xfId="30533" xr:uid="{00000000-0005-0000-0000-00001E780000}"/>
    <cellStyle name="Standard 4 7 2 2 2 3 6" xfId="30534" xr:uid="{00000000-0005-0000-0000-00001F780000}"/>
    <cellStyle name="Standard 4 7 2 2 2 4" xfId="30535" xr:uid="{00000000-0005-0000-0000-000020780000}"/>
    <cellStyle name="Standard 4 7 2 2 2 4 2" xfId="30536" xr:uid="{00000000-0005-0000-0000-000021780000}"/>
    <cellStyle name="Standard 4 7 2 2 2 4 3" xfId="30537" xr:uid="{00000000-0005-0000-0000-000022780000}"/>
    <cellStyle name="Standard 4 7 2 2 2 5" xfId="30538" xr:uid="{00000000-0005-0000-0000-000023780000}"/>
    <cellStyle name="Standard 4 7 2 2 2 5 2" xfId="30539" xr:uid="{00000000-0005-0000-0000-000024780000}"/>
    <cellStyle name="Standard 4 7 2 2 2 5 3" xfId="30540" xr:uid="{00000000-0005-0000-0000-000025780000}"/>
    <cellStyle name="Standard 4 7 2 2 2 6" xfId="30541" xr:uid="{00000000-0005-0000-0000-000026780000}"/>
    <cellStyle name="Standard 4 7 2 2 2 6 2" xfId="30542" xr:uid="{00000000-0005-0000-0000-000027780000}"/>
    <cellStyle name="Standard 4 7 2 2 2 7" xfId="30543" xr:uid="{00000000-0005-0000-0000-000028780000}"/>
    <cellStyle name="Standard 4 7 2 2 2 8" xfId="30544" xr:uid="{00000000-0005-0000-0000-000029780000}"/>
    <cellStyle name="Standard 4 7 2 2 3" xfId="30545" xr:uid="{00000000-0005-0000-0000-00002A780000}"/>
    <cellStyle name="Standard 4 7 2 2 3 2" xfId="30546" xr:uid="{00000000-0005-0000-0000-00002B780000}"/>
    <cellStyle name="Standard 4 7 2 2 3 2 2" xfId="30547" xr:uid="{00000000-0005-0000-0000-00002C780000}"/>
    <cellStyle name="Standard 4 7 2 2 3 2 2 2" xfId="30548" xr:uid="{00000000-0005-0000-0000-00002D780000}"/>
    <cellStyle name="Standard 4 7 2 2 3 2 2 2 2" xfId="30549" xr:uid="{00000000-0005-0000-0000-00002E780000}"/>
    <cellStyle name="Standard 4 7 2 2 3 2 2 2 3" xfId="30550" xr:uid="{00000000-0005-0000-0000-00002F780000}"/>
    <cellStyle name="Standard 4 7 2 2 3 2 2 3" xfId="30551" xr:uid="{00000000-0005-0000-0000-000030780000}"/>
    <cellStyle name="Standard 4 7 2 2 3 2 2 3 2" xfId="30552" xr:uid="{00000000-0005-0000-0000-000031780000}"/>
    <cellStyle name="Standard 4 7 2 2 3 2 2 3 3" xfId="30553" xr:uid="{00000000-0005-0000-0000-000032780000}"/>
    <cellStyle name="Standard 4 7 2 2 3 2 2 4" xfId="30554" xr:uid="{00000000-0005-0000-0000-000033780000}"/>
    <cellStyle name="Standard 4 7 2 2 3 2 2 4 2" xfId="30555" xr:uid="{00000000-0005-0000-0000-000034780000}"/>
    <cellStyle name="Standard 4 7 2 2 3 2 2 5" xfId="30556" xr:uid="{00000000-0005-0000-0000-000035780000}"/>
    <cellStyle name="Standard 4 7 2 2 3 2 2 6" xfId="30557" xr:uid="{00000000-0005-0000-0000-000036780000}"/>
    <cellStyle name="Standard 4 7 2 2 3 2 3" xfId="30558" xr:uid="{00000000-0005-0000-0000-000037780000}"/>
    <cellStyle name="Standard 4 7 2 2 3 2 3 2" xfId="30559" xr:uid="{00000000-0005-0000-0000-000038780000}"/>
    <cellStyle name="Standard 4 7 2 2 3 2 3 3" xfId="30560" xr:uid="{00000000-0005-0000-0000-000039780000}"/>
    <cellStyle name="Standard 4 7 2 2 3 2 4" xfId="30561" xr:uid="{00000000-0005-0000-0000-00003A780000}"/>
    <cellStyle name="Standard 4 7 2 2 3 2 4 2" xfId="30562" xr:uid="{00000000-0005-0000-0000-00003B780000}"/>
    <cellStyle name="Standard 4 7 2 2 3 2 4 3" xfId="30563" xr:uid="{00000000-0005-0000-0000-00003C780000}"/>
    <cellStyle name="Standard 4 7 2 2 3 2 5" xfId="30564" xr:uid="{00000000-0005-0000-0000-00003D780000}"/>
    <cellStyle name="Standard 4 7 2 2 3 2 5 2" xfId="30565" xr:uid="{00000000-0005-0000-0000-00003E780000}"/>
    <cellStyle name="Standard 4 7 2 2 3 2 6" xfId="30566" xr:uid="{00000000-0005-0000-0000-00003F780000}"/>
    <cellStyle name="Standard 4 7 2 2 3 2 7" xfId="30567" xr:uid="{00000000-0005-0000-0000-000040780000}"/>
    <cellStyle name="Standard 4 7 2 2 3 3" xfId="30568" xr:uid="{00000000-0005-0000-0000-000041780000}"/>
    <cellStyle name="Standard 4 7 2 2 3 3 2" xfId="30569" xr:uid="{00000000-0005-0000-0000-000042780000}"/>
    <cellStyle name="Standard 4 7 2 2 3 3 2 2" xfId="30570" xr:uid="{00000000-0005-0000-0000-000043780000}"/>
    <cellStyle name="Standard 4 7 2 2 3 3 2 3" xfId="30571" xr:uid="{00000000-0005-0000-0000-000044780000}"/>
    <cellStyle name="Standard 4 7 2 2 3 3 3" xfId="30572" xr:uid="{00000000-0005-0000-0000-000045780000}"/>
    <cellStyle name="Standard 4 7 2 2 3 3 3 2" xfId="30573" xr:uid="{00000000-0005-0000-0000-000046780000}"/>
    <cellStyle name="Standard 4 7 2 2 3 3 3 3" xfId="30574" xr:uid="{00000000-0005-0000-0000-000047780000}"/>
    <cellStyle name="Standard 4 7 2 2 3 3 4" xfId="30575" xr:uid="{00000000-0005-0000-0000-000048780000}"/>
    <cellStyle name="Standard 4 7 2 2 3 3 4 2" xfId="30576" xr:uid="{00000000-0005-0000-0000-000049780000}"/>
    <cellStyle name="Standard 4 7 2 2 3 3 5" xfId="30577" xr:uid="{00000000-0005-0000-0000-00004A780000}"/>
    <cellStyle name="Standard 4 7 2 2 3 3 6" xfId="30578" xr:uid="{00000000-0005-0000-0000-00004B780000}"/>
    <cellStyle name="Standard 4 7 2 2 3 4" xfId="30579" xr:uid="{00000000-0005-0000-0000-00004C780000}"/>
    <cellStyle name="Standard 4 7 2 2 3 4 2" xfId="30580" xr:uid="{00000000-0005-0000-0000-00004D780000}"/>
    <cellStyle name="Standard 4 7 2 2 3 4 3" xfId="30581" xr:uid="{00000000-0005-0000-0000-00004E780000}"/>
    <cellStyle name="Standard 4 7 2 2 3 5" xfId="30582" xr:uid="{00000000-0005-0000-0000-00004F780000}"/>
    <cellStyle name="Standard 4 7 2 2 3 5 2" xfId="30583" xr:uid="{00000000-0005-0000-0000-000050780000}"/>
    <cellStyle name="Standard 4 7 2 2 3 5 3" xfId="30584" xr:uid="{00000000-0005-0000-0000-000051780000}"/>
    <cellStyle name="Standard 4 7 2 2 3 6" xfId="30585" xr:uid="{00000000-0005-0000-0000-000052780000}"/>
    <cellStyle name="Standard 4 7 2 2 3 6 2" xfId="30586" xr:uid="{00000000-0005-0000-0000-000053780000}"/>
    <cellStyle name="Standard 4 7 2 2 3 7" xfId="30587" xr:uid="{00000000-0005-0000-0000-000054780000}"/>
    <cellStyle name="Standard 4 7 2 2 3 8" xfId="30588" xr:uid="{00000000-0005-0000-0000-000055780000}"/>
    <cellStyle name="Standard 4 7 2 2 4" xfId="30589" xr:uid="{00000000-0005-0000-0000-000056780000}"/>
    <cellStyle name="Standard 4 7 2 2 4 2" xfId="30590" xr:uid="{00000000-0005-0000-0000-000057780000}"/>
    <cellStyle name="Standard 4 7 2 2 4 2 2" xfId="30591" xr:uid="{00000000-0005-0000-0000-000058780000}"/>
    <cellStyle name="Standard 4 7 2 2 4 2 2 2" xfId="30592" xr:uid="{00000000-0005-0000-0000-000059780000}"/>
    <cellStyle name="Standard 4 7 2 2 4 2 2 3" xfId="30593" xr:uid="{00000000-0005-0000-0000-00005A780000}"/>
    <cellStyle name="Standard 4 7 2 2 4 2 3" xfId="30594" xr:uid="{00000000-0005-0000-0000-00005B780000}"/>
    <cellStyle name="Standard 4 7 2 2 4 2 3 2" xfId="30595" xr:uid="{00000000-0005-0000-0000-00005C780000}"/>
    <cellStyle name="Standard 4 7 2 2 4 2 3 3" xfId="30596" xr:uid="{00000000-0005-0000-0000-00005D780000}"/>
    <cellStyle name="Standard 4 7 2 2 4 2 4" xfId="30597" xr:uid="{00000000-0005-0000-0000-00005E780000}"/>
    <cellStyle name="Standard 4 7 2 2 4 2 4 2" xfId="30598" xr:uid="{00000000-0005-0000-0000-00005F780000}"/>
    <cellStyle name="Standard 4 7 2 2 4 2 5" xfId="30599" xr:uid="{00000000-0005-0000-0000-000060780000}"/>
    <cellStyle name="Standard 4 7 2 2 4 2 6" xfId="30600" xr:uid="{00000000-0005-0000-0000-000061780000}"/>
    <cellStyle name="Standard 4 7 2 2 4 3" xfId="30601" xr:uid="{00000000-0005-0000-0000-000062780000}"/>
    <cellStyle name="Standard 4 7 2 2 4 3 2" xfId="30602" xr:uid="{00000000-0005-0000-0000-000063780000}"/>
    <cellStyle name="Standard 4 7 2 2 4 3 3" xfId="30603" xr:uid="{00000000-0005-0000-0000-000064780000}"/>
    <cellStyle name="Standard 4 7 2 2 4 4" xfId="30604" xr:uid="{00000000-0005-0000-0000-000065780000}"/>
    <cellStyle name="Standard 4 7 2 2 4 4 2" xfId="30605" xr:uid="{00000000-0005-0000-0000-000066780000}"/>
    <cellStyle name="Standard 4 7 2 2 4 4 3" xfId="30606" xr:uid="{00000000-0005-0000-0000-000067780000}"/>
    <cellStyle name="Standard 4 7 2 2 4 5" xfId="30607" xr:uid="{00000000-0005-0000-0000-000068780000}"/>
    <cellStyle name="Standard 4 7 2 2 4 5 2" xfId="30608" xr:uid="{00000000-0005-0000-0000-000069780000}"/>
    <cellStyle name="Standard 4 7 2 2 4 6" xfId="30609" xr:uid="{00000000-0005-0000-0000-00006A780000}"/>
    <cellStyle name="Standard 4 7 2 2 4 7" xfId="30610" xr:uid="{00000000-0005-0000-0000-00006B780000}"/>
    <cellStyle name="Standard 4 7 2 2 5" xfId="30611" xr:uid="{00000000-0005-0000-0000-00006C780000}"/>
    <cellStyle name="Standard 4 7 2 2 5 2" xfId="30612" xr:uid="{00000000-0005-0000-0000-00006D780000}"/>
    <cellStyle name="Standard 4 7 2 2 5 2 2" xfId="30613" xr:uid="{00000000-0005-0000-0000-00006E780000}"/>
    <cellStyle name="Standard 4 7 2 2 5 2 3" xfId="30614" xr:uid="{00000000-0005-0000-0000-00006F780000}"/>
    <cellStyle name="Standard 4 7 2 2 5 3" xfId="30615" xr:uid="{00000000-0005-0000-0000-000070780000}"/>
    <cellStyle name="Standard 4 7 2 2 5 3 2" xfId="30616" xr:uid="{00000000-0005-0000-0000-000071780000}"/>
    <cellStyle name="Standard 4 7 2 2 5 3 3" xfId="30617" xr:uid="{00000000-0005-0000-0000-000072780000}"/>
    <cellStyle name="Standard 4 7 2 2 5 4" xfId="30618" xr:uid="{00000000-0005-0000-0000-000073780000}"/>
    <cellStyle name="Standard 4 7 2 2 5 4 2" xfId="30619" xr:uid="{00000000-0005-0000-0000-000074780000}"/>
    <cellStyle name="Standard 4 7 2 2 5 5" xfId="30620" xr:uid="{00000000-0005-0000-0000-000075780000}"/>
    <cellStyle name="Standard 4 7 2 2 5 6" xfId="30621" xr:uid="{00000000-0005-0000-0000-000076780000}"/>
    <cellStyle name="Standard 4 7 2 2 6" xfId="30622" xr:uid="{00000000-0005-0000-0000-000077780000}"/>
    <cellStyle name="Standard 4 7 2 2 6 2" xfId="30623" xr:uid="{00000000-0005-0000-0000-000078780000}"/>
    <cellStyle name="Standard 4 7 2 2 6 3" xfId="30624" xr:uid="{00000000-0005-0000-0000-000079780000}"/>
    <cellStyle name="Standard 4 7 2 2 7" xfId="30625" xr:uid="{00000000-0005-0000-0000-00007A780000}"/>
    <cellStyle name="Standard 4 7 2 2 7 2" xfId="30626" xr:uid="{00000000-0005-0000-0000-00007B780000}"/>
    <cellStyle name="Standard 4 7 2 2 7 3" xfId="30627" xr:uid="{00000000-0005-0000-0000-00007C780000}"/>
    <cellStyle name="Standard 4 7 2 2 8" xfId="30628" xr:uid="{00000000-0005-0000-0000-00007D780000}"/>
    <cellStyle name="Standard 4 7 2 2 8 2" xfId="30629" xr:uid="{00000000-0005-0000-0000-00007E780000}"/>
    <cellStyle name="Standard 4 7 2 2 9" xfId="30630" xr:uid="{00000000-0005-0000-0000-00007F780000}"/>
    <cellStyle name="Standard 4 7 2 3" xfId="30631" xr:uid="{00000000-0005-0000-0000-000080780000}"/>
    <cellStyle name="Standard 4 7 2 3 2" xfId="30632" xr:uid="{00000000-0005-0000-0000-000081780000}"/>
    <cellStyle name="Standard 4 7 2 3 2 2" xfId="30633" xr:uid="{00000000-0005-0000-0000-000082780000}"/>
    <cellStyle name="Standard 4 7 2 3 2 2 2" xfId="30634" xr:uid="{00000000-0005-0000-0000-000083780000}"/>
    <cellStyle name="Standard 4 7 2 3 2 2 2 2" xfId="30635" xr:uid="{00000000-0005-0000-0000-000084780000}"/>
    <cellStyle name="Standard 4 7 2 3 2 2 2 3" xfId="30636" xr:uid="{00000000-0005-0000-0000-000085780000}"/>
    <cellStyle name="Standard 4 7 2 3 2 2 3" xfId="30637" xr:uid="{00000000-0005-0000-0000-000086780000}"/>
    <cellStyle name="Standard 4 7 2 3 2 2 3 2" xfId="30638" xr:uid="{00000000-0005-0000-0000-000087780000}"/>
    <cellStyle name="Standard 4 7 2 3 2 2 3 3" xfId="30639" xr:uid="{00000000-0005-0000-0000-000088780000}"/>
    <cellStyle name="Standard 4 7 2 3 2 2 4" xfId="30640" xr:uid="{00000000-0005-0000-0000-000089780000}"/>
    <cellStyle name="Standard 4 7 2 3 2 2 4 2" xfId="30641" xr:uid="{00000000-0005-0000-0000-00008A780000}"/>
    <cellStyle name="Standard 4 7 2 3 2 2 5" xfId="30642" xr:uid="{00000000-0005-0000-0000-00008B780000}"/>
    <cellStyle name="Standard 4 7 2 3 2 2 6" xfId="30643" xr:uid="{00000000-0005-0000-0000-00008C780000}"/>
    <cellStyle name="Standard 4 7 2 3 2 3" xfId="30644" xr:uid="{00000000-0005-0000-0000-00008D780000}"/>
    <cellStyle name="Standard 4 7 2 3 2 3 2" xfId="30645" xr:uid="{00000000-0005-0000-0000-00008E780000}"/>
    <cellStyle name="Standard 4 7 2 3 2 3 3" xfId="30646" xr:uid="{00000000-0005-0000-0000-00008F780000}"/>
    <cellStyle name="Standard 4 7 2 3 2 4" xfId="30647" xr:uid="{00000000-0005-0000-0000-000090780000}"/>
    <cellStyle name="Standard 4 7 2 3 2 4 2" xfId="30648" xr:uid="{00000000-0005-0000-0000-000091780000}"/>
    <cellStyle name="Standard 4 7 2 3 2 4 3" xfId="30649" xr:uid="{00000000-0005-0000-0000-000092780000}"/>
    <cellStyle name="Standard 4 7 2 3 2 5" xfId="30650" xr:uid="{00000000-0005-0000-0000-000093780000}"/>
    <cellStyle name="Standard 4 7 2 3 2 5 2" xfId="30651" xr:uid="{00000000-0005-0000-0000-000094780000}"/>
    <cellStyle name="Standard 4 7 2 3 2 6" xfId="30652" xr:uid="{00000000-0005-0000-0000-000095780000}"/>
    <cellStyle name="Standard 4 7 2 3 2 7" xfId="30653" xr:uid="{00000000-0005-0000-0000-000096780000}"/>
    <cellStyle name="Standard 4 7 2 3 3" xfId="30654" xr:uid="{00000000-0005-0000-0000-000097780000}"/>
    <cellStyle name="Standard 4 7 2 3 3 2" xfId="30655" xr:uid="{00000000-0005-0000-0000-000098780000}"/>
    <cellStyle name="Standard 4 7 2 3 3 2 2" xfId="30656" xr:uid="{00000000-0005-0000-0000-000099780000}"/>
    <cellStyle name="Standard 4 7 2 3 3 2 3" xfId="30657" xr:uid="{00000000-0005-0000-0000-00009A780000}"/>
    <cellStyle name="Standard 4 7 2 3 3 3" xfId="30658" xr:uid="{00000000-0005-0000-0000-00009B780000}"/>
    <cellStyle name="Standard 4 7 2 3 3 3 2" xfId="30659" xr:uid="{00000000-0005-0000-0000-00009C780000}"/>
    <cellStyle name="Standard 4 7 2 3 3 3 3" xfId="30660" xr:uid="{00000000-0005-0000-0000-00009D780000}"/>
    <cellStyle name="Standard 4 7 2 3 3 4" xfId="30661" xr:uid="{00000000-0005-0000-0000-00009E780000}"/>
    <cellStyle name="Standard 4 7 2 3 3 4 2" xfId="30662" xr:uid="{00000000-0005-0000-0000-00009F780000}"/>
    <cellStyle name="Standard 4 7 2 3 3 5" xfId="30663" xr:uid="{00000000-0005-0000-0000-0000A0780000}"/>
    <cellStyle name="Standard 4 7 2 3 3 6" xfId="30664" xr:uid="{00000000-0005-0000-0000-0000A1780000}"/>
    <cellStyle name="Standard 4 7 2 3 4" xfId="30665" xr:uid="{00000000-0005-0000-0000-0000A2780000}"/>
    <cellStyle name="Standard 4 7 2 3 4 2" xfId="30666" xr:uid="{00000000-0005-0000-0000-0000A3780000}"/>
    <cellStyle name="Standard 4 7 2 3 4 3" xfId="30667" xr:uid="{00000000-0005-0000-0000-0000A4780000}"/>
    <cellStyle name="Standard 4 7 2 3 5" xfId="30668" xr:uid="{00000000-0005-0000-0000-0000A5780000}"/>
    <cellStyle name="Standard 4 7 2 3 5 2" xfId="30669" xr:uid="{00000000-0005-0000-0000-0000A6780000}"/>
    <cellStyle name="Standard 4 7 2 3 5 3" xfId="30670" xr:uid="{00000000-0005-0000-0000-0000A7780000}"/>
    <cellStyle name="Standard 4 7 2 3 6" xfId="30671" xr:uid="{00000000-0005-0000-0000-0000A8780000}"/>
    <cellStyle name="Standard 4 7 2 3 6 2" xfId="30672" xr:uid="{00000000-0005-0000-0000-0000A9780000}"/>
    <cellStyle name="Standard 4 7 2 3 7" xfId="30673" xr:uid="{00000000-0005-0000-0000-0000AA780000}"/>
    <cellStyle name="Standard 4 7 2 3 8" xfId="30674" xr:uid="{00000000-0005-0000-0000-0000AB780000}"/>
    <cellStyle name="Standard 4 7 2 4" xfId="30675" xr:uid="{00000000-0005-0000-0000-0000AC780000}"/>
    <cellStyle name="Standard 4 7 2 4 2" xfId="30676" xr:uid="{00000000-0005-0000-0000-0000AD780000}"/>
    <cellStyle name="Standard 4 7 2 4 2 2" xfId="30677" xr:uid="{00000000-0005-0000-0000-0000AE780000}"/>
    <cellStyle name="Standard 4 7 2 4 2 2 2" xfId="30678" xr:uid="{00000000-0005-0000-0000-0000AF780000}"/>
    <cellStyle name="Standard 4 7 2 4 2 2 2 2" xfId="30679" xr:uid="{00000000-0005-0000-0000-0000B0780000}"/>
    <cellStyle name="Standard 4 7 2 4 2 2 2 3" xfId="30680" xr:uid="{00000000-0005-0000-0000-0000B1780000}"/>
    <cellStyle name="Standard 4 7 2 4 2 2 3" xfId="30681" xr:uid="{00000000-0005-0000-0000-0000B2780000}"/>
    <cellStyle name="Standard 4 7 2 4 2 2 3 2" xfId="30682" xr:uid="{00000000-0005-0000-0000-0000B3780000}"/>
    <cellStyle name="Standard 4 7 2 4 2 2 3 3" xfId="30683" xr:uid="{00000000-0005-0000-0000-0000B4780000}"/>
    <cellStyle name="Standard 4 7 2 4 2 2 4" xfId="30684" xr:uid="{00000000-0005-0000-0000-0000B5780000}"/>
    <cellStyle name="Standard 4 7 2 4 2 2 4 2" xfId="30685" xr:uid="{00000000-0005-0000-0000-0000B6780000}"/>
    <cellStyle name="Standard 4 7 2 4 2 2 5" xfId="30686" xr:uid="{00000000-0005-0000-0000-0000B7780000}"/>
    <cellStyle name="Standard 4 7 2 4 2 2 6" xfId="30687" xr:uid="{00000000-0005-0000-0000-0000B8780000}"/>
    <cellStyle name="Standard 4 7 2 4 2 3" xfId="30688" xr:uid="{00000000-0005-0000-0000-0000B9780000}"/>
    <cellStyle name="Standard 4 7 2 4 2 3 2" xfId="30689" xr:uid="{00000000-0005-0000-0000-0000BA780000}"/>
    <cellStyle name="Standard 4 7 2 4 2 3 3" xfId="30690" xr:uid="{00000000-0005-0000-0000-0000BB780000}"/>
    <cellStyle name="Standard 4 7 2 4 2 4" xfId="30691" xr:uid="{00000000-0005-0000-0000-0000BC780000}"/>
    <cellStyle name="Standard 4 7 2 4 2 4 2" xfId="30692" xr:uid="{00000000-0005-0000-0000-0000BD780000}"/>
    <cellStyle name="Standard 4 7 2 4 2 4 3" xfId="30693" xr:uid="{00000000-0005-0000-0000-0000BE780000}"/>
    <cellStyle name="Standard 4 7 2 4 2 5" xfId="30694" xr:uid="{00000000-0005-0000-0000-0000BF780000}"/>
    <cellStyle name="Standard 4 7 2 4 2 5 2" xfId="30695" xr:uid="{00000000-0005-0000-0000-0000C0780000}"/>
    <cellStyle name="Standard 4 7 2 4 2 6" xfId="30696" xr:uid="{00000000-0005-0000-0000-0000C1780000}"/>
    <cellStyle name="Standard 4 7 2 4 2 7" xfId="30697" xr:uid="{00000000-0005-0000-0000-0000C2780000}"/>
    <cellStyle name="Standard 4 7 2 4 3" xfId="30698" xr:uid="{00000000-0005-0000-0000-0000C3780000}"/>
    <cellStyle name="Standard 4 7 2 4 3 2" xfId="30699" xr:uid="{00000000-0005-0000-0000-0000C4780000}"/>
    <cellStyle name="Standard 4 7 2 4 3 2 2" xfId="30700" xr:uid="{00000000-0005-0000-0000-0000C5780000}"/>
    <cellStyle name="Standard 4 7 2 4 3 2 3" xfId="30701" xr:uid="{00000000-0005-0000-0000-0000C6780000}"/>
    <cellStyle name="Standard 4 7 2 4 3 3" xfId="30702" xr:uid="{00000000-0005-0000-0000-0000C7780000}"/>
    <cellStyle name="Standard 4 7 2 4 3 3 2" xfId="30703" xr:uid="{00000000-0005-0000-0000-0000C8780000}"/>
    <cellStyle name="Standard 4 7 2 4 3 3 3" xfId="30704" xr:uid="{00000000-0005-0000-0000-0000C9780000}"/>
    <cellStyle name="Standard 4 7 2 4 3 4" xfId="30705" xr:uid="{00000000-0005-0000-0000-0000CA780000}"/>
    <cellStyle name="Standard 4 7 2 4 3 4 2" xfId="30706" xr:uid="{00000000-0005-0000-0000-0000CB780000}"/>
    <cellStyle name="Standard 4 7 2 4 3 5" xfId="30707" xr:uid="{00000000-0005-0000-0000-0000CC780000}"/>
    <cellStyle name="Standard 4 7 2 4 3 6" xfId="30708" xr:uid="{00000000-0005-0000-0000-0000CD780000}"/>
    <cellStyle name="Standard 4 7 2 4 4" xfId="30709" xr:uid="{00000000-0005-0000-0000-0000CE780000}"/>
    <cellStyle name="Standard 4 7 2 4 4 2" xfId="30710" xr:uid="{00000000-0005-0000-0000-0000CF780000}"/>
    <cellStyle name="Standard 4 7 2 4 4 3" xfId="30711" xr:uid="{00000000-0005-0000-0000-0000D0780000}"/>
    <cellStyle name="Standard 4 7 2 4 5" xfId="30712" xr:uid="{00000000-0005-0000-0000-0000D1780000}"/>
    <cellStyle name="Standard 4 7 2 4 5 2" xfId="30713" xr:uid="{00000000-0005-0000-0000-0000D2780000}"/>
    <cellStyle name="Standard 4 7 2 4 5 3" xfId="30714" xr:uid="{00000000-0005-0000-0000-0000D3780000}"/>
    <cellStyle name="Standard 4 7 2 4 6" xfId="30715" xr:uid="{00000000-0005-0000-0000-0000D4780000}"/>
    <cellStyle name="Standard 4 7 2 4 6 2" xfId="30716" xr:uid="{00000000-0005-0000-0000-0000D5780000}"/>
    <cellStyle name="Standard 4 7 2 4 7" xfId="30717" xr:uid="{00000000-0005-0000-0000-0000D6780000}"/>
    <cellStyle name="Standard 4 7 2 4 8" xfId="30718" xr:uid="{00000000-0005-0000-0000-0000D7780000}"/>
    <cellStyle name="Standard 4 7 2 5" xfId="30719" xr:uid="{00000000-0005-0000-0000-0000D8780000}"/>
    <cellStyle name="Standard 4 7 2 5 2" xfId="30720" xr:uid="{00000000-0005-0000-0000-0000D9780000}"/>
    <cellStyle name="Standard 4 7 2 5 2 2" xfId="30721" xr:uid="{00000000-0005-0000-0000-0000DA780000}"/>
    <cellStyle name="Standard 4 7 2 5 2 2 2" xfId="30722" xr:uid="{00000000-0005-0000-0000-0000DB780000}"/>
    <cellStyle name="Standard 4 7 2 5 2 2 3" xfId="30723" xr:uid="{00000000-0005-0000-0000-0000DC780000}"/>
    <cellStyle name="Standard 4 7 2 5 2 3" xfId="30724" xr:uid="{00000000-0005-0000-0000-0000DD780000}"/>
    <cellStyle name="Standard 4 7 2 5 2 3 2" xfId="30725" xr:uid="{00000000-0005-0000-0000-0000DE780000}"/>
    <cellStyle name="Standard 4 7 2 5 2 3 3" xfId="30726" xr:uid="{00000000-0005-0000-0000-0000DF780000}"/>
    <cellStyle name="Standard 4 7 2 5 2 4" xfId="30727" xr:uid="{00000000-0005-0000-0000-0000E0780000}"/>
    <cellStyle name="Standard 4 7 2 5 2 4 2" xfId="30728" xr:uid="{00000000-0005-0000-0000-0000E1780000}"/>
    <cellStyle name="Standard 4 7 2 5 2 5" xfId="30729" xr:uid="{00000000-0005-0000-0000-0000E2780000}"/>
    <cellStyle name="Standard 4 7 2 5 2 6" xfId="30730" xr:uid="{00000000-0005-0000-0000-0000E3780000}"/>
    <cellStyle name="Standard 4 7 2 5 3" xfId="30731" xr:uid="{00000000-0005-0000-0000-0000E4780000}"/>
    <cellStyle name="Standard 4 7 2 5 3 2" xfId="30732" xr:uid="{00000000-0005-0000-0000-0000E5780000}"/>
    <cellStyle name="Standard 4 7 2 5 3 3" xfId="30733" xr:uid="{00000000-0005-0000-0000-0000E6780000}"/>
    <cellStyle name="Standard 4 7 2 5 4" xfId="30734" xr:uid="{00000000-0005-0000-0000-0000E7780000}"/>
    <cellStyle name="Standard 4 7 2 5 4 2" xfId="30735" xr:uid="{00000000-0005-0000-0000-0000E8780000}"/>
    <cellStyle name="Standard 4 7 2 5 4 3" xfId="30736" xr:uid="{00000000-0005-0000-0000-0000E9780000}"/>
    <cellStyle name="Standard 4 7 2 5 5" xfId="30737" xr:uid="{00000000-0005-0000-0000-0000EA780000}"/>
    <cellStyle name="Standard 4 7 2 5 5 2" xfId="30738" xr:uid="{00000000-0005-0000-0000-0000EB780000}"/>
    <cellStyle name="Standard 4 7 2 5 6" xfId="30739" xr:uid="{00000000-0005-0000-0000-0000EC780000}"/>
    <cellStyle name="Standard 4 7 2 5 7" xfId="30740" xr:uid="{00000000-0005-0000-0000-0000ED780000}"/>
    <cellStyle name="Standard 4 7 2 6" xfId="30741" xr:uid="{00000000-0005-0000-0000-0000EE780000}"/>
    <cellStyle name="Standard 4 7 2 6 2" xfId="30742" xr:uid="{00000000-0005-0000-0000-0000EF780000}"/>
    <cellStyle name="Standard 4 7 2 6 2 2" xfId="30743" xr:uid="{00000000-0005-0000-0000-0000F0780000}"/>
    <cellStyle name="Standard 4 7 2 6 2 3" xfId="30744" xr:uid="{00000000-0005-0000-0000-0000F1780000}"/>
    <cellStyle name="Standard 4 7 2 6 3" xfId="30745" xr:uid="{00000000-0005-0000-0000-0000F2780000}"/>
    <cellStyle name="Standard 4 7 2 6 3 2" xfId="30746" xr:uid="{00000000-0005-0000-0000-0000F3780000}"/>
    <cellStyle name="Standard 4 7 2 6 3 3" xfId="30747" xr:uid="{00000000-0005-0000-0000-0000F4780000}"/>
    <cellStyle name="Standard 4 7 2 6 4" xfId="30748" xr:uid="{00000000-0005-0000-0000-0000F5780000}"/>
    <cellStyle name="Standard 4 7 2 6 4 2" xfId="30749" xr:uid="{00000000-0005-0000-0000-0000F6780000}"/>
    <cellStyle name="Standard 4 7 2 6 5" xfId="30750" xr:uid="{00000000-0005-0000-0000-0000F7780000}"/>
    <cellStyle name="Standard 4 7 2 6 6" xfId="30751" xr:uid="{00000000-0005-0000-0000-0000F8780000}"/>
    <cellStyle name="Standard 4 7 2 7" xfId="30752" xr:uid="{00000000-0005-0000-0000-0000F9780000}"/>
    <cellStyle name="Standard 4 7 2 7 2" xfId="30753" xr:uid="{00000000-0005-0000-0000-0000FA780000}"/>
    <cellStyle name="Standard 4 7 2 7 3" xfId="30754" xr:uid="{00000000-0005-0000-0000-0000FB780000}"/>
    <cellStyle name="Standard 4 7 2 8" xfId="30755" xr:uid="{00000000-0005-0000-0000-0000FC780000}"/>
    <cellStyle name="Standard 4 7 2 8 2" xfId="30756" xr:uid="{00000000-0005-0000-0000-0000FD780000}"/>
    <cellStyle name="Standard 4 7 2 8 3" xfId="30757" xr:uid="{00000000-0005-0000-0000-0000FE780000}"/>
    <cellStyle name="Standard 4 7 2 9" xfId="30758" xr:uid="{00000000-0005-0000-0000-0000FF780000}"/>
    <cellStyle name="Standard 4 7 2 9 2" xfId="30759" xr:uid="{00000000-0005-0000-0000-000000790000}"/>
    <cellStyle name="Standard 4 7 3" xfId="30760" xr:uid="{00000000-0005-0000-0000-000001790000}"/>
    <cellStyle name="Standard 4 7 3 10" xfId="30761" xr:uid="{00000000-0005-0000-0000-000002790000}"/>
    <cellStyle name="Standard 4 7 3 2" xfId="30762" xr:uid="{00000000-0005-0000-0000-000003790000}"/>
    <cellStyle name="Standard 4 7 3 2 2" xfId="30763" xr:uid="{00000000-0005-0000-0000-000004790000}"/>
    <cellStyle name="Standard 4 7 3 2 2 2" xfId="30764" xr:uid="{00000000-0005-0000-0000-000005790000}"/>
    <cellStyle name="Standard 4 7 3 2 2 2 2" xfId="30765" xr:uid="{00000000-0005-0000-0000-000006790000}"/>
    <cellStyle name="Standard 4 7 3 2 2 2 2 2" xfId="30766" xr:uid="{00000000-0005-0000-0000-000007790000}"/>
    <cellStyle name="Standard 4 7 3 2 2 2 2 3" xfId="30767" xr:uid="{00000000-0005-0000-0000-000008790000}"/>
    <cellStyle name="Standard 4 7 3 2 2 2 3" xfId="30768" xr:uid="{00000000-0005-0000-0000-000009790000}"/>
    <cellStyle name="Standard 4 7 3 2 2 2 3 2" xfId="30769" xr:uid="{00000000-0005-0000-0000-00000A790000}"/>
    <cellStyle name="Standard 4 7 3 2 2 2 3 3" xfId="30770" xr:uid="{00000000-0005-0000-0000-00000B790000}"/>
    <cellStyle name="Standard 4 7 3 2 2 2 4" xfId="30771" xr:uid="{00000000-0005-0000-0000-00000C790000}"/>
    <cellStyle name="Standard 4 7 3 2 2 2 4 2" xfId="30772" xr:uid="{00000000-0005-0000-0000-00000D790000}"/>
    <cellStyle name="Standard 4 7 3 2 2 2 5" xfId="30773" xr:uid="{00000000-0005-0000-0000-00000E790000}"/>
    <cellStyle name="Standard 4 7 3 2 2 2 6" xfId="30774" xr:uid="{00000000-0005-0000-0000-00000F790000}"/>
    <cellStyle name="Standard 4 7 3 2 2 3" xfId="30775" xr:uid="{00000000-0005-0000-0000-000010790000}"/>
    <cellStyle name="Standard 4 7 3 2 2 3 2" xfId="30776" xr:uid="{00000000-0005-0000-0000-000011790000}"/>
    <cellStyle name="Standard 4 7 3 2 2 3 3" xfId="30777" xr:uid="{00000000-0005-0000-0000-000012790000}"/>
    <cellStyle name="Standard 4 7 3 2 2 4" xfId="30778" xr:uid="{00000000-0005-0000-0000-000013790000}"/>
    <cellStyle name="Standard 4 7 3 2 2 4 2" xfId="30779" xr:uid="{00000000-0005-0000-0000-000014790000}"/>
    <cellStyle name="Standard 4 7 3 2 2 4 3" xfId="30780" xr:uid="{00000000-0005-0000-0000-000015790000}"/>
    <cellStyle name="Standard 4 7 3 2 2 5" xfId="30781" xr:uid="{00000000-0005-0000-0000-000016790000}"/>
    <cellStyle name="Standard 4 7 3 2 2 5 2" xfId="30782" xr:uid="{00000000-0005-0000-0000-000017790000}"/>
    <cellStyle name="Standard 4 7 3 2 2 6" xfId="30783" xr:uid="{00000000-0005-0000-0000-000018790000}"/>
    <cellStyle name="Standard 4 7 3 2 2 7" xfId="30784" xr:uid="{00000000-0005-0000-0000-000019790000}"/>
    <cellStyle name="Standard 4 7 3 2 3" xfId="30785" xr:uid="{00000000-0005-0000-0000-00001A790000}"/>
    <cellStyle name="Standard 4 7 3 2 3 2" xfId="30786" xr:uid="{00000000-0005-0000-0000-00001B790000}"/>
    <cellStyle name="Standard 4 7 3 2 3 2 2" xfId="30787" xr:uid="{00000000-0005-0000-0000-00001C790000}"/>
    <cellStyle name="Standard 4 7 3 2 3 2 3" xfId="30788" xr:uid="{00000000-0005-0000-0000-00001D790000}"/>
    <cellStyle name="Standard 4 7 3 2 3 3" xfId="30789" xr:uid="{00000000-0005-0000-0000-00001E790000}"/>
    <cellStyle name="Standard 4 7 3 2 3 3 2" xfId="30790" xr:uid="{00000000-0005-0000-0000-00001F790000}"/>
    <cellStyle name="Standard 4 7 3 2 3 3 3" xfId="30791" xr:uid="{00000000-0005-0000-0000-000020790000}"/>
    <cellStyle name="Standard 4 7 3 2 3 4" xfId="30792" xr:uid="{00000000-0005-0000-0000-000021790000}"/>
    <cellStyle name="Standard 4 7 3 2 3 4 2" xfId="30793" xr:uid="{00000000-0005-0000-0000-000022790000}"/>
    <cellStyle name="Standard 4 7 3 2 3 5" xfId="30794" xr:uid="{00000000-0005-0000-0000-000023790000}"/>
    <cellStyle name="Standard 4 7 3 2 3 6" xfId="30795" xr:uid="{00000000-0005-0000-0000-000024790000}"/>
    <cellStyle name="Standard 4 7 3 2 4" xfId="30796" xr:uid="{00000000-0005-0000-0000-000025790000}"/>
    <cellStyle name="Standard 4 7 3 2 4 2" xfId="30797" xr:uid="{00000000-0005-0000-0000-000026790000}"/>
    <cellStyle name="Standard 4 7 3 2 4 3" xfId="30798" xr:uid="{00000000-0005-0000-0000-000027790000}"/>
    <cellStyle name="Standard 4 7 3 2 5" xfId="30799" xr:uid="{00000000-0005-0000-0000-000028790000}"/>
    <cellStyle name="Standard 4 7 3 2 5 2" xfId="30800" xr:uid="{00000000-0005-0000-0000-000029790000}"/>
    <cellStyle name="Standard 4 7 3 2 5 3" xfId="30801" xr:uid="{00000000-0005-0000-0000-00002A790000}"/>
    <cellStyle name="Standard 4 7 3 2 6" xfId="30802" xr:uid="{00000000-0005-0000-0000-00002B790000}"/>
    <cellStyle name="Standard 4 7 3 2 6 2" xfId="30803" xr:uid="{00000000-0005-0000-0000-00002C790000}"/>
    <cellStyle name="Standard 4 7 3 2 7" xfId="30804" xr:uid="{00000000-0005-0000-0000-00002D790000}"/>
    <cellStyle name="Standard 4 7 3 2 8" xfId="30805" xr:uid="{00000000-0005-0000-0000-00002E790000}"/>
    <cellStyle name="Standard 4 7 3 3" xfId="30806" xr:uid="{00000000-0005-0000-0000-00002F790000}"/>
    <cellStyle name="Standard 4 7 3 3 2" xfId="30807" xr:uid="{00000000-0005-0000-0000-000030790000}"/>
    <cellStyle name="Standard 4 7 3 3 2 2" xfId="30808" xr:uid="{00000000-0005-0000-0000-000031790000}"/>
    <cellStyle name="Standard 4 7 3 3 2 2 2" xfId="30809" xr:uid="{00000000-0005-0000-0000-000032790000}"/>
    <cellStyle name="Standard 4 7 3 3 2 2 2 2" xfId="30810" xr:uid="{00000000-0005-0000-0000-000033790000}"/>
    <cellStyle name="Standard 4 7 3 3 2 2 2 3" xfId="30811" xr:uid="{00000000-0005-0000-0000-000034790000}"/>
    <cellStyle name="Standard 4 7 3 3 2 2 3" xfId="30812" xr:uid="{00000000-0005-0000-0000-000035790000}"/>
    <cellStyle name="Standard 4 7 3 3 2 2 3 2" xfId="30813" xr:uid="{00000000-0005-0000-0000-000036790000}"/>
    <cellStyle name="Standard 4 7 3 3 2 2 3 3" xfId="30814" xr:uid="{00000000-0005-0000-0000-000037790000}"/>
    <cellStyle name="Standard 4 7 3 3 2 2 4" xfId="30815" xr:uid="{00000000-0005-0000-0000-000038790000}"/>
    <cellStyle name="Standard 4 7 3 3 2 2 4 2" xfId="30816" xr:uid="{00000000-0005-0000-0000-000039790000}"/>
    <cellStyle name="Standard 4 7 3 3 2 2 5" xfId="30817" xr:uid="{00000000-0005-0000-0000-00003A790000}"/>
    <cellStyle name="Standard 4 7 3 3 2 2 6" xfId="30818" xr:uid="{00000000-0005-0000-0000-00003B790000}"/>
    <cellStyle name="Standard 4 7 3 3 2 3" xfId="30819" xr:uid="{00000000-0005-0000-0000-00003C790000}"/>
    <cellStyle name="Standard 4 7 3 3 2 3 2" xfId="30820" xr:uid="{00000000-0005-0000-0000-00003D790000}"/>
    <cellStyle name="Standard 4 7 3 3 2 3 3" xfId="30821" xr:uid="{00000000-0005-0000-0000-00003E790000}"/>
    <cellStyle name="Standard 4 7 3 3 2 4" xfId="30822" xr:uid="{00000000-0005-0000-0000-00003F790000}"/>
    <cellStyle name="Standard 4 7 3 3 2 4 2" xfId="30823" xr:uid="{00000000-0005-0000-0000-000040790000}"/>
    <cellStyle name="Standard 4 7 3 3 2 4 3" xfId="30824" xr:uid="{00000000-0005-0000-0000-000041790000}"/>
    <cellStyle name="Standard 4 7 3 3 2 5" xfId="30825" xr:uid="{00000000-0005-0000-0000-000042790000}"/>
    <cellStyle name="Standard 4 7 3 3 2 5 2" xfId="30826" xr:uid="{00000000-0005-0000-0000-000043790000}"/>
    <cellStyle name="Standard 4 7 3 3 2 6" xfId="30827" xr:uid="{00000000-0005-0000-0000-000044790000}"/>
    <cellStyle name="Standard 4 7 3 3 2 7" xfId="30828" xr:uid="{00000000-0005-0000-0000-000045790000}"/>
    <cellStyle name="Standard 4 7 3 3 3" xfId="30829" xr:uid="{00000000-0005-0000-0000-000046790000}"/>
    <cellStyle name="Standard 4 7 3 3 3 2" xfId="30830" xr:uid="{00000000-0005-0000-0000-000047790000}"/>
    <cellStyle name="Standard 4 7 3 3 3 2 2" xfId="30831" xr:uid="{00000000-0005-0000-0000-000048790000}"/>
    <cellStyle name="Standard 4 7 3 3 3 2 3" xfId="30832" xr:uid="{00000000-0005-0000-0000-000049790000}"/>
    <cellStyle name="Standard 4 7 3 3 3 3" xfId="30833" xr:uid="{00000000-0005-0000-0000-00004A790000}"/>
    <cellStyle name="Standard 4 7 3 3 3 3 2" xfId="30834" xr:uid="{00000000-0005-0000-0000-00004B790000}"/>
    <cellStyle name="Standard 4 7 3 3 3 3 3" xfId="30835" xr:uid="{00000000-0005-0000-0000-00004C790000}"/>
    <cellStyle name="Standard 4 7 3 3 3 4" xfId="30836" xr:uid="{00000000-0005-0000-0000-00004D790000}"/>
    <cellStyle name="Standard 4 7 3 3 3 4 2" xfId="30837" xr:uid="{00000000-0005-0000-0000-00004E790000}"/>
    <cellStyle name="Standard 4 7 3 3 3 5" xfId="30838" xr:uid="{00000000-0005-0000-0000-00004F790000}"/>
    <cellStyle name="Standard 4 7 3 3 3 6" xfId="30839" xr:uid="{00000000-0005-0000-0000-000050790000}"/>
    <cellStyle name="Standard 4 7 3 3 4" xfId="30840" xr:uid="{00000000-0005-0000-0000-000051790000}"/>
    <cellStyle name="Standard 4 7 3 3 4 2" xfId="30841" xr:uid="{00000000-0005-0000-0000-000052790000}"/>
    <cellStyle name="Standard 4 7 3 3 4 3" xfId="30842" xr:uid="{00000000-0005-0000-0000-000053790000}"/>
    <cellStyle name="Standard 4 7 3 3 5" xfId="30843" xr:uid="{00000000-0005-0000-0000-000054790000}"/>
    <cellStyle name="Standard 4 7 3 3 5 2" xfId="30844" xr:uid="{00000000-0005-0000-0000-000055790000}"/>
    <cellStyle name="Standard 4 7 3 3 5 3" xfId="30845" xr:uid="{00000000-0005-0000-0000-000056790000}"/>
    <cellStyle name="Standard 4 7 3 3 6" xfId="30846" xr:uid="{00000000-0005-0000-0000-000057790000}"/>
    <cellStyle name="Standard 4 7 3 3 6 2" xfId="30847" xr:uid="{00000000-0005-0000-0000-000058790000}"/>
    <cellStyle name="Standard 4 7 3 3 7" xfId="30848" xr:uid="{00000000-0005-0000-0000-000059790000}"/>
    <cellStyle name="Standard 4 7 3 3 8" xfId="30849" xr:uid="{00000000-0005-0000-0000-00005A790000}"/>
    <cellStyle name="Standard 4 7 3 4" xfId="30850" xr:uid="{00000000-0005-0000-0000-00005B790000}"/>
    <cellStyle name="Standard 4 7 3 4 2" xfId="30851" xr:uid="{00000000-0005-0000-0000-00005C790000}"/>
    <cellStyle name="Standard 4 7 3 4 2 2" xfId="30852" xr:uid="{00000000-0005-0000-0000-00005D790000}"/>
    <cellStyle name="Standard 4 7 3 4 2 2 2" xfId="30853" xr:uid="{00000000-0005-0000-0000-00005E790000}"/>
    <cellStyle name="Standard 4 7 3 4 2 2 3" xfId="30854" xr:uid="{00000000-0005-0000-0000-00005F790000}"/>
    <cellStyle name="Standard 4 7 3 4 2 3" xfId="30855" xr:uid="{00000000-0005-0000-0000-000060790000}"/>
    <cellStyle name="Standard 4 7 3 4 2 3 2" xfId="30856" xr:uid="{00000000-0005-0000-0000-000061790000}"/>
    <cellStyle name="Standard 4 7 3 4 2 3 3" xfId="30857" xr:uid="{00000000-0005-0000-0000-000062790000}"/>
    <cellStyle name="Standard 4 7 3 4 2 4" xfId="30858" xr:uid="{00000000-0005-0000-0000-000063790000}"/>
    <cellStyle name="Standard 4 7 3 4 2 4 2" xfId="30859" xr:uid="{00000000-0005-0000-0000-000064790000}"/>
    <cellStyle name="Standard 4 7 3 4 2 5" xfId="30860" xr:uid="{00000000-0005-0000-0000-000065790000}"/>
    <cellStyle name="Standard 4 7 3 4 2 6" xfId="30861" xr:uid="{00000000-0005-0000-0000-000066790000}"/>
    <cellStyle name="Standard 4 7 3 4 3" xfId="30862" xr:uid="{00000000-0005-0000-0000-000067790000}"/>
    <cellStyle name="Standard 4 7 3 4 3 2" xfId="30863" xr:uid="{00000000-0005-0000-0000-000068790000}"/>
    <cellStyle name="Standard 4 7 3 4 3 3" xfId="30864" xr:uid="{00000000-0005-0000-0000-000069790000}"/>
    <cellStyle name="Standard 4 7 3 4 4" xfId="30865" xr:uid="{00000000-0005-0000-0000-00006A790000}"/>
    <cellStyle name="Standard 4 7 3 4 4 2" xfId="30866" xr:uid="{00000000-0005-0000-0000-00006B790000}"/>
    <cellStyle name="Standard 4 7 3 4 4 3" xfId="30867" xr:uid="{00000000-0005-0000-0000-00006C790000}"/>
    <cellStyle name="Standard 4 7 3 4 5" xfId="30868" xr:uid="{00000000-0005-0000-0000-00006D790000}"/>
    <cellStyle name="Standard 4 7 3 4 5 2" xfId="30869" xr:uid="{00000000-0005-0000-0000-00006E790000}"/>
    <cellStyle name="Standard 4 7 3 4 6" xfId="30870" xr:uid="{00000000-0005-0000-0000-00006F790000}"/>
    <cellStyle name="Standard 4 7 3 4 7" xfId="30871" xr:uid="{00000000-0005-0000-0000-000070790000}"/>
    <cellStyle name="Standard 4 7 3 5" xfId="30872" xr:uid="{00000000-0005-0000-0000-000071790000}"/>
    <cellStyle name="Standard 4 7 3 5 2" xfId="30873" xr:uid="{00000000-0005-0000-0000-000072790000}"/>
    <cellStyle name="Standard 4 7 3 5 2 2" xfId="30874" xr:uid="{00000000-0005-0000-0000-000073790000}"/>
    <cellStyle name="Standard 4 7 3 5 2 3" xfId="30875" xr:uid="{00000000-0005-0000-0000-000074790000}"/>
    <cellStyle name="Standard 4 7 3 5 3" xfId="30876" xr:uid="{00000000-0005-0000-0000-000075790000}"/>
    <cellStyle name="Standard 4 7 3 5 3 2" xfId="30877" xr:uid="{00000000-0005-0000-0000-000076790000}"/>
    <cellStyle name="Standard 4 7 3 5 3 3" xfId="30878" xr:uid="{00000000-0005-0000-0000-000077790000}"/>
    <cellStyle name="Standard 4 7 3 5 4" xfId="30879" xr:uid="{00000000-0005-0000-0000-000078790000}"/>
    <cellStyle name="Standard 4 7 3 5 4 2" xfId="30880" xr:uid="{00000000-0005-0000-0000-000079790000}"/>
    <cellStyle name="Standard 4 7 3 5 5" xfId="30881" xr:uid="{00000000-0005-0000-0000-00007A790000}"/>
    <cellStyle name="Standard 4 7 3 5 6" xfId="30882" xr:uid="{00000000-0005-0000-0000-00007B790000}"/>
    <cellStyle name="Standard 4 7 3 6" xfId="30883" xr:uid="{00000000-0005-0000-0000-00007C790000}"/>
    <cellStyle name="Standard 4 7 3 6 2" xfId="30884" xr:uid="{00000000-0005-0000-0000-00007D790000}"/>
    <cellStyle name="Standard 4 7 3 6 3" xfId="30885" xr:uid="{00000000-0005-0000-0000-00007E790000}"/>
    <cellStyle name="Standard 4 7 3 7" xfId="30886" xr:uid="{00000000-0005-0000-0000-00007F790000}"/>
    <cellStyle name="Standard 4 7 3 7 2" xfId="30887" xr:uid="{00000000-0005-0000-0000-000080790000}"/>
    <cellStyle name="Standard 4 7 3 7 3" xfId="30888" xr:uid="{00000000-0005-0000-0000-000081790000}"/>
    <cellStyle name="Standard 4 7 3 8" xfId="30889" xr:uid="{00000000-0005-0000-0000-000082790000}"/>
    <cellStyle name="Standard 4 7 3 8 2" xfId="30890" xr:uid="{00000000-0005-0000-0000-000083790000}"/>
    <cellStyle name="Standard 4 7 3 9" xfId="30891" xr:uid="{00000000-0005-0000-0000-000084790000}"/>
    <cellStyle name="Standard 4 7 4" xfId="30892" xr:uid="{00000000-0005-0000-0000-000085790000}"/>
    <cellStyle name="Standard 4 7 4 2" xfId="30893" xr:uid="{00000000-0005-0000-0000-000086790000}"/>
    <cellStyle name="Standard 4 7 4 2 2" xfId="30894" xr:uid="{00000000-0005-0000-0000-000087790000}"/>
    <cellStyle name="Standard 4 7 4 2 2 2" xfId="30895" xr:uid="{00000000-0005-0000-0000-000088790000}"/>
    <cellStyle name="Standard 4 7 4 2 2 2 2" xfId="30896" xr:uid="{00000000-0005-0000-0000-000089790000}"/>
    <cellStyle name="Standard 4 7 4 2 2 2 3" xfId="30897" xr:uid="{00000000-0005-0000-0000-00008A790000}"/>
    <cellStyle name="Standard 4 7 4 2 2 3" xfId="30898" xr:uid="{00000000-0005-0000-0000-00008B790000}"/>
    <cellStyle name="Standard 4 7 4 2 2 3 2" xfId="30899" xr:uid="{00000000-0005-0000-0000-00008C790000}"/>
    <cellStyle name="Standard 4 7 4 2 2 3 3" xfId="30900" xr:uid="{00000000-0005-0000-0000-00008D790000}"/>
    <cellStyle name="Standard 4 7 4 2 2 4" xfId="30901" xr:uid="{00000000-0005-0000-0000-00008E790000}"/>
    <cellStyle name="Standard 4 7 4 2 2 4 2" xfId="30902" xr:uid="{00000000-0005-0000-0000-00008F790000}"/>
    <cellStyle name="Standard 4 7 4 2 2 5" xfId="30903" xr:uid="{00000000-0005-0000-0000-000090790000}"/>
    <cellStyle name="Standard 4 7 4 2 2 6" xfId="30904" xr:uid="{00000000-0005-0000-0000-000091790000}"/>
    <cellStyle name="Standard 4 7 4 2 3" xfId="30905" xr:uid="{00000000-0005-0000-0000-000092790000}"/>
    <cellStyle name="Standard 4 7 4 2 3 2" xfId="30906" xr:uid="{00000000-0005-0000-0000-000093790000}"/>
    <cellStyle name="Standard 4 7 4 2 3 3" xfId="30907" xr:uid="{00000000-0005-0000-0000-000094790000}"/>
    <cellStyle name="Standard 4 7 4 2 4" xfId="30908" xr:uid="{00000000-0005-0000-0000-000095790000}"/>
    <cellStyle name="Standard 4 7 4 2 4 2" xfId="30909" xr:uid="{00000000-0005-0000-0000-000096790000}"/>
    <cellStyle name="Standard 4 7 4 2 4 3" xfId="30910" xr:uid="{00000000-0005-0000-0000-000097790000}"/>
    <cellStyle name="Standard 4 7 4 2 5" xfId="30911" xr:uid="{00000000-0005-0000-0000-000098790000}"/>
    <cellStyle name="Standard 4 7 4 2 5 2" xfId="30912" xr:uid="{00000000-0005-0000-0000-000099790000}"/>
    <cellStyle name="Standard 4 7 4 2 6" xfId="30913" xr:uid="{00000000-0005-0000-0000-00009A790000}"/>
    <cellStyle name="Standard 4 7 4 2 7" xfId="30914" xr:uid="{00000000-0005-0000-0000-00009B790000}"/>
    <cellStyle name="Standard 4 7 4 3" xfId="30915" xr:uid="{00000000-0005-0000-0000-00009C790000}"/>
    <cellStyle name="Standard 4 7 4 3 2" xfId="30916" xr:uid="{00000000-0005-0000-0000-00009D790000}"/>
    <cellStyle name="Standard 4 7 4 3 2 2" xfId="30917" xr:uid="{00000000-0005-0000-0000-00009E790000}"/>
    <cellStyle name="Standard 4 7 4 3 2 3" xfId="30918" xr:uid="{00000000-0005-0000-0000-00009F790000}"/>
    <cellStyle name="Standard 4 7 4 3 3" xfId="30919" xr:uid="{00000000-0005-0000-0000-0000A0790000}"/>
    <cellStyle name="Standard 4 7 4 3 3 2" xfId="30920" xr:uid="{00000000-0005-0000-0000-0000A1790000}"/>
    <cellStyle name="Standard 4 7 4 3 3 3" xfId="30921" xr:uid="{00000000-0005-0000-0000-0000A2790000}"/>
    <cellStyle name="Standard 4 7 4 3 4" xfId="30922" xr:uid="{00000000-0005-0000-0000-0000A3790000}"/>
    <cellStyle name="Standard 4 7 4 3 4 2" xfId="30923" xr:uid="{00000000-0005-0000-0000-0000A4790000}"/>
    <cellStyle name="Standard 4 7 4 3 5" xfId="30924" xr:uid="{00000000-0005-0000-0000-0000A5790000}"/>
    <cellStyle name="Standard 4 7 4 3 6" xfId="30925" xr:uid="{00000000-0005-0000-0000-0000A6790000}"/>
    <cellStyle name="Standard 4 7 4 4" xfId="30926" xr:uid="{00000000-0005-0000-0000-0000A7790000}"/>
    <cellStyle name="Standard 4 7 4 4 2" xfId="30927" xr:uid="{00000000-0005-0000-0000-0000A8790000}"/>
    <cellStyle name="Standard 4 7 4 4 3" xfId="30928" xr:uid="{00000000-0005-0000-0000-0000A9790000}"/>
    <cellStyle name="Standard 4 7 4 5" xfId="30929" xr:uid="{00000000-0005-0000-0000-0000AA790000}"/>
    <cellStyle name="Standard 4 7 4 5 2" xfId="30930" xr:uid="{00000000-0005-0000-0000-0000AB790000}"/>
    <cellStyle name="Standard 4 7 4 5 3" xfId="30931" xr:uid="{00000000-0005-0000-0000-0000AC790000}"/>
    <cellStyle name="Standard 4 7 4 6" xfId="30932" xr:uid="{00000000-0005-0000-0000-0000AD790000}"/>
    <cellStyle name="Standard 4 7 4 6 2" xfId="30933" xr:uid="{00000000-0005-0000-0000-0000AE790000}"/>
    <cellStyle name="Standard 4 7 4 7" xfId="30934" xr:uid="{00000000-0005-0000-0000-0000AF790000}"/>
    <cellStyle name="Standard 4 7 4 8" xfId="30935" xr:uid="{00000000-0005-0000-0000-0000B0790000}"/>
    <cellStyle name="Standard 4 7 5" xfId="30936" xr:uid="{00000000-0005-0000-0000-0000B1790000}"/>
    <cellStyle name="Standard 4 7 5 2" xfId="30937" xr:uid="{00000000-0005-0000-0000-0000B2790000}"/>
    <cellStyle name="Standard 4 7 5 2 2" xfId="30938" xr:uid="{00000000-0005-0000-0000-0000B3790000}"/>
    <cellStyle name="Standard 4 7 5 2 2 2" xfId="30939" xr:uid="{00000000-0005-0000-0000-0000B4790000}"/>
    <cellStyle name="Standard 4 7 5 2 2 2 2" xfId="30940" xr:uid="{00000000-0005-0000-0000-0000B5790000}"/>
    <cellStyle name="Standard 4 7 5 2 2 2 3" xfId="30941" xr:uid="{00000000-0005-0000-0000-0000B6790000}"/>
    <cellStyle name="Standard 4 7 5 2 2 3" xfId="30942" xr:uid="{00000000-0005-0000-0000-0000B7790000}"/>
    <cellStyle name="Standard 4 7 5 2 2 3 2" xfId="30943" xr:uid="{00000000-0005-0000-0000-0000B8790000}"/>
    <cellStyle name="Standard 4 7 5 2 2 3 3" xfId="30944" xr:uid="{00000000-0005-0000-0000-0000B9790000}"/>
    <cellStyle name="Standard 4 7 5 2 2 4" xfId="30945" xr:uid="{00000000-0005-0000-0000-0000BA790000}"/>
    <cellStyle name="Standard 4 7 5 2 2 4 2" xfId="30946" xr:uid="{00000000-0005-0000-0000-0000BB790000}"/>
    <cellStyle name="Standard 4 7 5 2 2 5" xfId="30947" xr:uid="{00000000-0005-0000-0000-0000BC790000}"/>
    <cellStyle name="Standard 4 7 5 2 2 6" xfId="30948" xr:uid="{00000000-0005-0000-0000-0000BD790000}"/>
    <cellStyle name="Standard 4 7 5 2 3" xfId="30949" xr:uid="{00000000-0005-0000-0000-0000BE790000}"/>
    <cellStyle name="Standard 4 7 5 2 3 2" xfId="30950" xr:uid="{00000000-0005-0000-0000-0000BF790000}"/>
    <cellStyle name="Standard 4 7 5 2 3 3" xfId="30951" xr:uid="{00000000-0005-0000-0000-0000C0790000}"/>
    <cellStyle name="Standard 4 7 5 2 4" xfId="30952" xr:uid="{00000000-0005-0000-0000-0000C1790000}"/>
    <cellStyle name="Standard 4 7 5 2 4 2" xfId="30953" xr:uid="{00000000-0005-0000-0000-0000C2790000}"/>
    <cellStyle name="Standard 4 7 5 2 4 3" xfId="30954" xr:uid="{00000000-0005-0000-0000-0000C3790000}"/>
    <cellStyle name="Standard 4 7 5 2 5" xfId="30955" xr:uid="{00000000-0005-0000-0000-0000C4790000}"/>
    <cellStyle name="Standard 4 7 5 2 5 2" xfId="30956" xr:uid="{00000000-0005-0000-0000-0000C5790000}"/>
    <cellStyle name="Standard 4 7 5 2 6" xfId="30957" xr:uid="{00000000-0005-0000-0000-0000C6790000}"/>
    <cellStyle name="Standard 4 7 5 2 7" xfId="30958" xr:uid="{00000000-0005-0000-0000-0000C7790000}"/>
    <cellStyle name="Standard 4 7 5 3" xfId="30959" xr:uid="{00000000-0005-0000-0000-0000C8790000}"/>
    <cellStyle name="Standard 4 7 5 3 2" xfId="30960" xr:uid="{00000000-0005-0000-0000-0000C9790000}"/>
    <cellStyle name="Standard 4 7 5 3 2 2" xfId="30961" xr:uid="{00000000-0005-0000-0000-0000CA790000}"/>
    <cellStyle name="Standard 4 7 5 3 2 3" xfId="30962" xr:uid="{00000000-0005-0000-0000-0000CB790000}"/>
    <cellStyle name="Standard 4 7 5 3 3" xfId="30963" xr:uid="{00000000-0005-0000-0000-0000CC790000}"/>
    <cellStyle name="Standard 4 7 5 3 3 2" xfId="30964" xr:uid="{00000000-0005-0000-0000-0000CD790000}"/>
    <cellStyle name="Standard 4 7 5 3 3 3" xfId="30965" xr:uid="{00000000-0005-0000-0000-0000CE790000}"/>
    <cellStyle name="Standard 4 7 5 3 4" xfId="30966" xr:uid="{00000000-0005-0000-0000-0000CF790000}"/>
    <cellStyle name="Standard 4 7 5 3 4 2" xfId="30967" xr:uid="{00000000-0005-0000-0000-0000D0790000}"/>
    <cellStyle name="Standard 4 7 5 3 5" xfId="30968" xr:uid="{00000000-0005-0000-0000-0000D1790000}"/>
    <cellStyle name="Standard 4 7 5 3 6" xfId="30969" xr:uid="{00000000-0005-0000-0000-0000D2790000}"/>
    <cellStyle name="Standard 4 7 5 4" xfId="30970" xr:uid="{00000000-0005-0000-0000-0000D3790000}"/>
    <cellStyle name="Standard 4 7 5 4 2" xfId="30971" xr:uid="{00000000-0005-0000-0000-0000D4790000}"/>
    <cellStyle name="Standard 4 7 5 4 3" xfId="30972" xr:uid="{00000000-0005-0000-0000-0000D5790000}"/>
    <cellStyle name="Standard 4 7 5 5" xfId="30973" xr:uid="{00000000-0005-0000-0000-0000D6790000}"/>
    <cellStyle name="Standard 4 7 5 5 2" xfId="30974" xr:uid="{00000000-0005-0000-0000-0000D7790000}"/>
    <cellStyle name="Standard 4 7 5 5 3" xfId="30975" xr:uid="{00000000-0005-0000-0000-0000D8790000}"/>
    <cellStyle name="Standard 4 7 5 6" xfId="30976" xr:uid="{00000000-0005-0000-0000-0000D9790000}"/>
    <cellStyle name="Standard 4 7 5 6 2" xfId="30977" xr:uid="{00000000-0005-0000-0000-0000DA790000}"/>
    <cellStyle name="Standard 4 7 5 7" xfId="30978" xr:uid="{00000000-0005-0000-0000-0000DB790000}"/>
    <cellStyle name="Standard 4 7 5 8" xfId="30979" xr:uid="{00000000-0005-0000-0000-0000DC790000}"/>
    <cellStyle name="Standard 4 7 6" xfId="30980" xr:uid="{00000000-0005-0000-0000-0000DD790000}"/>
    <cellStyle name="Standard 4 7 6 2" xfId="30981" xr:uid="{00000000-0005-0000-0000-0000DE790000}"/>
    <cellStyle name="Standard 4 7 6 2 2" xfId="30982" xr:uid="{00000000-0005-0000-0000-0000DF790000}"/>
    <cellStyle name="Standard 4 7 6 2 2 2" xfId="30983" xr:uid="{00000000-0005-0000-0000-0000E0790000}"/>
    <cellStyle name="Standard 4 7 6 2 2 3" xfId="30984" xr:uid="{00000000-0005-0000-0000-0000E1790000}"/>
    <cellStyle name="Standard 4 7 6 2 3" xfId="30985" xr:uid="{00000000-0005-0000-0000-0000E2790000}"/>
    <cellStyle name="Standard 4 7 6 2 3 2" xfId="30986" xr:uid="{00000000-0005-0000-0000-0000E3790000}"/>
    <cellStyle name="Standard 4 7 6 2 3 3" xfId="30987" xr:uid="{00000000-0005-0000-0000-0000E4790000}"/>
    <cellStyle name="Standard 4 7 6 2 4" xfId="30988" xr:uid="{00000000-0005-0000-0000-0000E5790000}"/>
    <cellStyle name="Standard 4 7 6 2 4 2" xfId="30989" xr:uid="{00000000-0005-0000-0000-0000E6790000}"/>
    <cellStyle name="Standard 4 7 6 2 5" xfId="30990" xr:uid="{00000000-0005-0000-0000-0000E7790000}"/>
    <cellStyle name="Standard 4 7 6 2 6" xfId="30991" xr:uid="{00000000-0005-0000-0000-0000E8790000}"/>
    <cellStyle name="Standard 4 7 6 3" xfId="30992" xr:uid="{00000000-0005-0000-0000-0000E9790000}"/>
    <cellStyle name="Standard 4 7 6 3 2" xfId="30993" xr:uid="{00000000-0005-0000-0000-0000EA790000}"/>
    <cellStyle name="Standard 4 7 6 3 3" xfId="30994" xr:uid="{00000000-0005-0000-0000-0000EB790000}"/>
    <cellStyle name="Standard 4 7 6 4" xfId="30995" xr:uid="{00000000-0005-0000-0000-0000EC790000}"/>
    <cellStyle name="Standard 4 7 6 4 2" xfId="30996" xr:uid="{00000000-0005-0000-0000-0000ED790000}"/>
    <cellStyle name="Standard 4 7 6 4 3" xfId="30997" xr:uid="{00000000-0005-0000-0000-0000EE790000}"/>
    <cellStyle name="Standard 4 7 6 5" xfId="30998" xr:uid="{00000000-0005-0000-0000-0000EF790000}"/>
    <cellStyle name="Standard 4 7 6 5 2" xfId="30999" xr:uid="{00000000-0005-0000-0000-0000F0790000}"/>
    <cellStyle name="Standard 4 7 6 6" xfId="31000" xr:uid="{00000000-0005-0000-0000-0000F1790000}"/>
    <cellStyle name="Standard 4 7 6 7" xfId="31001" xr:uid="{00000000-0005-0000-0000-0000F2790000}"/>
    <cellStyle name="Standard 4 7 7" xfId="31002" xr:uid="{00000000-0005-0000-0000-0000F3790000}"/>
    <cellStyle name="Standard 4 7 7 2" xfId="31003" xr:uid="{00000000-0005-0000-0000-0000F4790000}"/>
    <cellStyle name="Standard 4 7 7 2 2" xfId="31004" xr:uid="{00000000-0005-0000-0000-0000F5790000}"/>
    <cellStyle name="Standard 4 7 7 2 3" xfId="31005" xr:uid="{00000000-0005-0000-0000-0000F6790000}"/>
    <cellStyle name="Standard 4 7 7 3" xfId="31006" xr:uid="{00000000-0005-0000-0000-0000F7790000}"/>
    <cellStyle name="Standard 4 7 7 3 2" xfId="31007" xr:uid="{00000000-0005-0000-0000-0000F8790000}"/>
    <cellStyle name="Standard 4 7 7 3 3" xfId="31008" xr:uid="{00000000-0005-0000-0000-0000F9790000}"/>
    <cellStyle name="Standard 4 7 7 4" xfId="31009" xr:uid="{00000000-0005-0000-0000-0000FA790000}"/>
    <cellStyle name="Standard 4 7 7 4 2" xfId="31010" xr:uid="{00000000-0005-0000-0000-0000FB790000}"/>
    <cellStyle name="Standard 4 7 7 5" xfId="31011" xr:uid="{00000000-0005-0000-0000-0000FC790000}"/>
    <cellStyle name="Standard 4 7 7 6" xfId="31012" xr:uid="{00000000-0005-0000-0000-0000FD790000}"/>
    <cellStyle name="Standard 4 7 8" xfId="31013" xr:uid="{00000000-0005-0000-0000-0000FE790000}"/>
    <cellStyle name="Standard 4 7 8 2" xfId="31014" xr:uid="{00000000-0005-0000-0000-0000FF790000}"/>
    <cellStyle name="Standard 4 7 8 3" xfId="31015" xr:uid="{00000000-0005-0000-0000-0000007A0000}"/>
    <cellStyle name="Standard 4 7 9" xfId="31016" xr:uid="{00000000-0005-0000-0000-0000017A0000}"/>
    <cellStyle name="Standard 4 7 9 2" xfId="31017" xr:uid="{00000000-0005-0000-0000-0000027A0000}"/>
    <cellStyle name="Standard 4 7 9 3" xfId="31018" xr:uid="{00000000-0005-0000-0000-0000037A0000}"/>
    <cellStyle name="Standard 4 8" xfId="594" xr:uid="{00000000-0005-0000-0000-0000047A0000}"/>
    <cellStyle name="Standard 4 8 10" xfId="31019" xr:uid="{00000000-0005-0000-0000-0000057A0000}"/>
    <cellStyle name="Standard 4 8 11" xfId="31020" xr:uid="{00000000-0005-0000-0000-0000067A0000}"/>
    <cellStyle name="Standard 4 8 12" xfId="33116" xr:uid="{00000000-0005-0000-0000-0000077A0000}"/>
    <cellStyle name="Standard 4 8 13" xfId="33191" xr:uid="{00000000-0005-0000-0000-0000087A0000}"/>
    <cellStyle name="Standard 4 8 14" xfId="33266" xr:uid="{00000000-0005-0000-0000-0000097A0000}"/>
    <cellStyle name="Standard 4 8 15" xfId="33341" xr:uid="{00000000-0005-0000-0000-00000A7A0000}"/>
    <cellStyle name="Standard 4 8 16" xfId="33477" xr:uid="{00000000-0005-0000-0000-00000B7A0000}"/>
    <cellStyle name="Standard 4 8 2" xfId="31021" xr:uid="{00000000-0005-0000-0000-00000C7A0000}"/>
    <cellStyle name="Standard 4 8 2 10" xfId="31022" xr:uid="{00000000-0005-0000-0000-00000D7A0000}"/>
    <cellStyle name="Standard 4 8 2 2" xfId="31023" xr:uid="{00000000-0005-0000-0000-00000E7A0000}"/>
    <cellStyle name="Standard 4 8 2 2 2" xfId="31024" xr:uid="{00000000-0005-0000-0000-00000F7A0000}"/>
    <cellStyle name="Standard 4 8 2 2 2 2" xfId="31025" xr:uid="{00000000-0005-0000-0000-0000107A0000}"/>
    <cellStyle name="Standard 4 8 2 2 2 2 2" xfId="31026" xr:uid="{00000000-0005-0000-0000-0000117A0000}"/>
    <cellStyle name="Standard 4 8 2 2 2 2 2 2" xfId="31027" xr:uid="{00000000-0005-0000-0000-0000127A0000}"/>
    <cellStyle name="Standard 4 8 2 2 2 2 2 3" xfId="31028" xr:uid="{00000000-0005-0000-0000-0000137A0000}"/>
    <cellStyle name="Standard 4 8 2 2 2 2 3" xfId="31029" xr:uid="{00000000-0005-0000-0000-0000147A0000}"/>
    <cellStyle name="Standard 4 8 2 2 2 2 3 2" xfId="31030" xr:uid="{00000000-0005-0000-0000-0000157A0000}"/>
    <cellStyle name="Standard 4 8 2 2 2 2 3 3" xfId="31031" xr:uid="{00000000-0005-0000-0000-0000167A0000}"/>
    <cellStyle name="Standard 4 8 2 2 2 2 4" xfId="31032" xr:uid="{00000000-0005-0000-0000-0000177A0000}"/>
    <cellStyle name="Standard 4 8 2 2 2 2 4 2" xfId="31033" xr:uid="{00000000-0005-0000-0000-0000187A0000}"/>
    <cellStyle name="Standard 4 8 2 2 2 2 5" xfId="31034" xr:uid="{00000000-0005-0000-0000-0000197A0000}"/>
    <cellStyle name="Standard 4 8 2 2 2 2 6" xfId="31035" xr:uid="{00000000-0005-0000-0000-00001A7A0000}"/>
    <cellStyle name="Standard 4 8 2 2 2 3" xfId="31036" xr:uid="{00000000-0005-0000-0000-00001B7A0000}"/>
    <cellStyle name="Standard 4 8 2 2 2 3 2" xfId="31037" xr:uid="{00000000-0005-0000-0000-00001C7A0000}"/>
    <cellStyle name="Standard 4 8 2 2 2 3 3" xfId="31038" xr:uid="{00000000-0005-0000-0000-00001D7A0000}"/>
    <cellStyle name="Standard 4 8 2 2 2 4" xfId="31039" xr:uid="{00000000-0005-0000-0000-00001E7A0000}"/>
    <cellStyle name="Standard 4 8 2 2 2 4 2" xfId="31040" xr:uid="{00000000-0005-0000-0000-00001F7A0000}"/>
    <cellStyle name="Standard 4 8 2 2 2 4 3" xfId="31041" xr:uid="{00000000-0005-0000-0000-0000207A0000}"/>
    <cellStyle name="Standard 4 8 2 2 2 5" xfId="31042" xr:uid="{00000000-0005-0000-0000-0000217A0000}"/>
    <cellStyle name="Standard 4 8 2 2 2 5 2" xfId="31043" xr:uid="{00000000-0005-0000-0000-0000227A0000}"/>
    <cellStyle name="Standard 4 8 2 2 2 6" xfId="31044" xr:uid="{00000000-0005-0000-0000-0000237A0000}"/>
    <cellStyle name="Standard 4 8 2 2 2 7" xfId="31045" xr:uid="{00000000-0005-0000-0000-0000247A0000}"/>
    <cellStyle name="Standard 4 8 2 2 3" xfId="31046" xr:uid="{00000000-0005-0000-0000-0000257A0000}"/>
    <cellStyle name="Standard 4 8 2 2 3 2" xfId="31047" xr:uid="{00000000-0005-0000-0000-0000267A0000}"/>
    <cellStyle name="Standard 4 8 2 2 3 2 2" xfId="31048" xr:uid="{00000000-0005-0000-0000-0000277A0000}"/>
    <cellStyle name="Standard 4 8 2 2 3 2 3" xfId="31049" xr:uid="{00000000-0005-0000-0000-0000287A0000}"/>
    <cellStyle name="Standard 4 8 2 2 3 3" xfId="31050" xr:uid="{00000000-0005-0000-0000-0000297A0000}"/>
    <cellStyle name="Standard 4 8 2 2 3 3 2" xfId="31051" xr:uid="{00000000-0005-0000-0000-00002A7A0000}"/>
    <cellStyle name="Standard 4 8 2 2 3 3 3" xfId="31052" xr:uid="{00000000-0005-0000-0000-00002B7A0000}"/>
    <cellStyle name="Standard 4 8 2 2 3 4" xfId="31053" xr:uid="{00000000-0005-0000-0000-00002C7A0000}"/>
    <cellStyle name="Standard 4 8 2 2 3 4 2" xfId="31054" xr:uid="{00000000-0005-0000-0000-00002D7A0000}"/>
    <cellStyle name="Standard 4 8 2 2 3 5" xfId="31055" xr:uid="{00000000-0005-0000-0000-00002E7A0000}"/>
    <cellStyle name="Standard 4 8 2 2 3 6" xfId="31056" xr:uid="{00000000-0005-0000-0000-00002F7A0000}"/>
    <cellStyle name="Standard 4 8 2 2 4" xfId="31057" xr:uid="{00000000-0005-0000-0000-0000307A0000}"/>
    <cellStyle name="Standard 4 8 2 2 4 2" xfId="31058" xr:uid="{00000000-0005-0000-0000-0000317A0000}"/>
    <cellStyle name="Standard 4 8 2 2 4 3" xfId="31059" xr:uid="{00000000-0005-0000-0000-0000327A0000}"/>
    <cellStyle name="Standard 4 8 2 2 5" xfId="31060" xr:uid="{00000000-0005-0000-0000-0000337A0000}"/>
    <cellStyle name="Standard 4 8 2 2 5 2" xfId="31061" xr:uid="{00000000-0005-0000-0000-0000347A0000}"/>
    <cellStyle name="Standard 4 8 2 2 5 3" xfId="31062" xr:uid="{00000000-0005-0000-0000-0000357A0000}"/>
    <cellStyle name="Standard 4 8 2 2 6" xfId="31063" xr:uid="{00000000-0005-0000-0000-0000367A0000}"/>
    <cellStyle name="Standard 4 8 2 2 6 2" xfId="31064" xr:uid="{00000000-0005-0000-0000-0000377A0000}"/>
    <cellStyle name="Standard 4 8 2 2 7" xfId="31065" xr:uid="{00000000-0005-0000-0000-0000387A0000}"/>
    <cellStyle name="Standard 4 8 2 2 8" xfId="31066" xr:uid="{00000000-0005-0000-0000-0000397A0000}"/>
    <cellStyle name="Standard 4 8 2 3" xfId="31067" xr:uid="{00000000-0005-0000-0000-00003A7A0000}"/>
    <cellStyle name="Standard 4 8 2 3 2" xfId="31068" xr:uid="{00000000-0005-0000-0000-00003B7A0000}"/>
    <cellStyle name="Standard 4 8 2 3 2 2" xfId="31069" xr:uid="{00000000-0005-0000-0000-00003C7A0000}"/>
    <cellStyle name="Standard 4 8 2 3 2 2 2" xfId="31070" xr:uid="{00000000-0005-0000-0000-00003D7A0000}"/>
    <cellStyle name="Standard 4 8 2 3 2 2 2 2" xfId="31071" xr:uid="{00000000-0005-0000-0000-00003E7A0000}"/>
    <cellStyle name="Standard 4 8 2 3 2 2 2 3" xfId="31072" xr:uid="{00000000-0005-0000-0000-00003F7A0000}"/>
    <cellStyle name="Standard 4 8 2 3 2 2 3" xfId="31073" xr:uid="{00000000-0005-0000-0000-0000407A0000}"/>
    <cellStyle name="Standard 4 8 2 3 2 2 3 2" xfId="31074" xr:uid="{00000000-0005-0000-0000-0000417A0000}"/>
    <cellStyle name="Standard 4 8 2 3 2 2 3 3" xfId="31075" xr:uid="{00000000-0005-0000-0000-0000427A0000}"/>
    <cellStyle name="Standard 4 8 2 3 2 2 4" xfId="31076" xr:uid="{00000000-0005-0000-0000-0000437A0000}"/>
    <cellStyle name="Standard 4 8 2 3 2 2 4 2" xfId="31077" xr:uid="{00000000-0005-0000-0000-0000447A0000}"/>
    <cellStyle name="Standard 4 8 2 3 2 2 5" xfId="31078" xr:uid="{00000000-0005-0000-0000-0000457A0000}"/>
    <cellStyle name="Standard 4 8 2 3 2 2 6" xfId="31079" xr:uid="{00000000-0005-0000-0000-0000467A0000}"/>
    <cellStyle name="Standard 4 8 2 3 2 3" xfId="31080" xr:uid="{00000000-0005-0000-0000-0000477A0000}"/>
    <cellStyle name="Standard 4 8 2 3 2 3 2" xfId="31081" xr:uid="{00000000-0005-0000-0000-0000487A0000}"/>
    <cellStyle name="Standard 4 8 2 3 2 3 3" xfId="31082" xr:uid="{00000000-0005-0000-0000-0000497A0000}"/>
    <cellStyle name="Standard 4 8 2 3 2 4" xfId="31083" xr:uid="{00000000-0005-0000-0000-00004A7A0000}"/>
    <cellStyle name="Standard 4 8 2 3 2 4 2" xfId="31084" xr:uid="{00000000-0005-0000-0000-00004B7A0000}"/>
    <cellStyle name="Standard 4 8 2 3 2 4 3" xfId="31085" xr:uid="{00000000-0005-0000-0000-00004C7A0000}"/>
    <cellStyle name="Standard 4 8 2 3 2 5" xfId="31086" xr:uid="{00000000-0005-0000-0000-00004D7A0000}"/>
    <cellStyle name="Standard 4 8 2 3 2 5 2" xfId="31087" xr:uid="{00000000-0005-0000-0000-00004E7A0000}"/>
    <cellStyle name="Standard 4 8 2 3 2 6" xfId="31088" xr:uid="{00000000-0005-0000-0000-00004F7A0000}"/>
    <cellStyle name="Standard 4 8 2 3 2 7" xfId="31089" xr:uid="{00000000-0005-0000-0000-0000507A0000}"/>
    <cellStyle name="Standard 4 8 2 3 3" xfId="31090" xr:uid="{00000000-0005-0000-0000-0000517A0000}"/>
    <cellStyle name="Standard 4 8 2 3 3 2" xfId="31091" xr:uid="{00000000-0005-0000-0000-0000527A0000}"/>
    <cellStyle name="Standard 4 8 2 3 3 2 2" xfId="31092" xr:uid="{00000000-0005-0000-0000-0000537A0000}"/>
    <cellStyle name="Standard 4 8 2 3 3 2 3" xfId="31093" xr:uid="{00000000-0005-0000-0000-0000547A0000}"/>
    <cellStyle name="Standard 4 8 2 3 3 3" xfId="31094" xr:uid="{00000000-0005-0000-0000-0000557A0000}"/>
    <cellStyle name="Standard 4 8 2 3 3 3 2" xfId="31095" xr:uid="{00000000-0005-0000-0000-0000567A0000}"/>
    <cellStyle name="Standard 4 8 2 3 3 3 3" xfId="31096" xr:uid="{00000000-0005-0000-0000-0000577A0000}"/>
    <cellStyle name="Standard 4 8 2 3 3 4" xfId="31097" xr:uid="{00000000-0005-0000-0000-0000587A0000}"/>
    <cellStyle name="Standard 4 8 2 3 3 4 2" xfId="31098" xr:uid="{00000000-0005-0000-0000-0000597A0000}"/>
    <cellStyle name="Standard 4 8 2 3 3 5" xfId="31099" xr:uid="{00000000-0005-0000-0000-00005A7A0000}"/>
    <cellStyle name="Standard 4 8 2 3 3 6" xfId="31100" xr:uid="{00000000-0005-0000-0000-00005B7A0000}"/>
    <cellStyle name="Standard 4 8 2 3 4" xfId="31101" xr:uid="{00000000-0005-0000-0000-00005C7A0000}"/>
    <cellStyle name="Standard 4 8 2 3 4 2" xfId="31102" xr:uid="{00000000-0005-0000-0000-00005D7A0000}"/>
    <cellStyle name="Standard 4 8 2 3 4 3" xfId="31103" xr:uid="{00000000-0005-0000-0000-00005E7A0000}"/>
    <cellStyle name="Standard 4 8 2 3 5" xfId="31104" xr:uid="{00000000-0005-0000-0000-00005F7A0000}"/>
    <cellStyle name="Standard 4 8 2 3 5 2" xfId="31105" xr:uid="{00000000-0005-0000-0000-0000607A0000}"/>
    <cellStyle name="Standard 4 8 2 3 5 3" xfId="31106" xr:uid="{00000000-0005-0000-0000-0000617A0000}"/>
    <cellStyle name="Standard 4 8 2 3 6" xfId="31107" xr:uid="{00000000-0005-0000-0000-0000627A0000}"/>
    <cellStyle name="Standard 4 8 2 3 6 2" xfId="31108" xr:uid="{00000000-0005-0000-0000-0000637A0000}"/>
    <cellStyle name="Standard 4 8 2 3 7" xfId="31109" xr:uid="{00000000-0005-0000-0000-0000647A0000}"/>
    <cellStyle name="Standard 4 8 2 3 8" xfId="31110" xr:uid="{00000000-0005-0000-0000-0000657A0000}"/>
    <cellStyle name="Standard 4 8 2 4" xfId="31111" xr:uid="{00000000-0005-0000-0000-0000667A0000}"/>
    <cellStyle name="Standard 4 8 2 4 2" xfId="31112" xr:uid="{00000000-0005-0000-0000-0000677A0000}"/>
    <cellStyle name="Standard 4 8 2 4 2 2" xfId="31113" xr:uid="{00000000-0005-0000-0000-0000687A0000}"/>
    <cellStyle name="Standard 4 8 2 4 2 2 2" xfId="31114" xr:uid="{00000000-0005-0000-0000-0000697A0000}"/>
    <cellStyle name="Standard 4 8 2 4 2 2 3" xfId="31115" xr:uid="{00000000-0005-0000-0000-00006A7A0000}"/>
    <cellStyle name="Standard 4 8 2 4 2 3" xfId="31116" xr:uid="{00000000-0005-0000-0000-00006B7A0000}"/>
    <cellStyle name="Standard 4 8 2 4 2 3 2" xfId="31117" xr:uid="{00000000-0005-0000-0000-00006C7A0000}"/>
    <cellStyle name="Standard 4 8 2 4 2 3 3" xfId="31118" xr:uid="{00000000-0005-0000-0000-00006D7A0000}"/>
    <cellStyle name="Standard 4 8 2 4 2 4" xfId="31119" xr:uid="{00000000-0005-0000-0000-00006E7A0000}"/>
    <cellStyle name="Standard 4 8 2 4 2 4 2" xfId="31120" xr:uid="{00000000-0005-0000-0000-00006F7A0000}"/>
    <cellStyle name="Standard 4 8 2 4 2 5" xfId="31121" xr:uid="{00000000-0005-0000-0000-0000707A0000}"/>
    <cellStyle name="Standard 4 8 2 4 2 6" xfId="31122" xr:uid="{00000000-0005-0000-0000-0000717A0000}"/>
    <cellStyle name="Standard 4 8 2 4 3" xfId="31123" xr:uid="{00000000-0005-0000-0000-0000727A0000}"/>
    <cellStyle name="Standard 4 8 2 4 3 2" xfId="31124" xr:uid="{00000000-0005-0000-0000-0000737A0000}"/>
    <cellStyle name="Standard 4 8 2 4 3 3" xfId="31125" xr:uid="{00000000-0005-0000-0000-0000747A0000}"/>
    <cellStyle name="Standard 4 8 2 4 4" xfId="31126" xr:uid="{00000000-0005-0000-0000-0000757A0000}"/>
    <cellStyle name="Standard 4 8 2 4 4 2" xfId="31127" xr:uid="{00000000-0005-0000-0000-0000767A0000}"/>
    <cellStyle name="Standard 4 8 2 4 4 3" xfId="31128" xr:uid="{00000000-0005-0000-0000-0000777A0000}"/>
    <cellStyle name="Standard 4 8 2 4 5" xfId="31129" xr:uid="{00000000-0005-0000-0000-0000787A0000}"/>
    <cellStyle name="Standard 4 8 2 4 5 2" xfId="31130" xr:uid="{00000000-0005-0000-0000-0000797A0000}"/>
    <cellStyle name="Standard 4 8 2 4 6" xfId="31131" xr:uid="{00000000-0005-0000-0000-00007A7A0000}"/>
    <cellStyle name="Standard 4 8 2 4 7" xfId="31132" xr:uid="{00000000-0005-0000-0000-00007B7A0000}"/>
    <cellStyle name="Standard 4 8 2 5" xfId="31133" xr:uid="{00000000-0005-0000-0000-00007C7A0000}"/>
    <cellStyle name="Standard 4 8 2 5 2" xfId="31134" xr:uid="{00000000-0005-0000-0000-00007D7A0000}"/>
    <cellStyle name="Standard 4 8 2 5 2 2" xfId="31135" xr:uid="{00000000-0005-0000-0000-00007E7A0000}"/>
    <cellStyle name="Standard 4 8 2 5 2 3" xfId="31136" xr:uid="{00000000-0005-0000-0000-00007F7A0000}"/>
    <cellStyle name="Standard 4 8 2 5 3" xfId="31137" xr:uid="{00000000-0005-0000-0000-0000807A0000}"/>
    <cellStyle name="Standard 4 8 2 5 3 2" xfId="31138" xr:uid="{00000000-0005-0000-0000-0000817A0000}"/>
    <cellStyle name="Standard 4 8 2 5 3 3" xfId="31139" xr:uid="{00000000-0005-0000-0000-0000827A0000}"/>
    <cellStyle name="Standard 4 8 2 5 4" xfId="31140" xr:uid="{00000000-0005-0000-0000-0000837A0000}"/>
    <cellStyle name="Standard 4 8 2 5 4 2" xfId="31141" xr:uid="{00000000-0005-0000-0000-0000847A0000}"/>
    <cellStyle name="Standard 4 8 2 5 5" xfId="31142" xr:uid="{00000000-0005-0000-0000-0000857A0000}"/>
    <cellStyle name="Standard 4 8 2 5 6" xfId="31143" xr:uid="{00000000-0005-0000-0000-0000867A0000}"/>
    <cellStyle name="Standard 4 8 2 6" xfId="31144" xr:uid="{00000000-0005-0000-0000-0000877A0000}"/>
    <cellStyle name="Standard 4 8 2 6 2" xfId="31145" xr:uid="{00000000-0005-0000-0000-0000887A0000}"/>
    <cellStyle name="Standard 4 8 2 6 3" xfId="31146" xr:uid="{00000000-0005-0000-0000-0000897A0000}"/>
    <cellStyle name="Standard 4 8 2 7" xfId="31147" xr:uid="{00000000-0005-0000-0000-00008A7A0000}"/>
    <cellStyle name="Standard 4 8 2 7 2" xfId="31148" xr:uid="{00000000-0005-0000-0000-00008B7A0000}"/>
    <cellStyle name="Standard 4 8 2 7 3" xfId="31149" xr:uid="{00000000-0005-0000-0000-00008C7A0000}"/>
    <cellStyle name="Standard 4 8 2 8" xfId="31150" xr:uid="{00000000-0005-0000-0000-00008D7A0000}"/>
    <cellStyle name="Standard 4 8 2 8 2" xfId="31151" xr:uid="{00000000-0005-0000-0000-00008E7A0000}"/>
    <cellStyle name="Standard 4 8 2 9" xfId="31152" xr:uid="{00000000-0005-0000-0000-00008F7A0000}"/>
    <cellStyle name="Standard 4 8 3" xfId="31153" xr:uid="{00000000-0005-0000-0000-0000907A0000}"/>
    <cellStyle name="Standard 4 8 3 2" xfId="31154" xr:uid="{00000000-0005-0000-0000-0000917A0000}"/>
    <cellStyle name="Standard 4 8 3 2 2" xfId="31155" xr:uid="{00000000-0005-0000-0000-0000927A0000}"/>
    <cellStyle name="Standard 4 8 3 2 2 2" xfId="31156" xr:uid="{00000000-0005-0000-0000-0000937A0000}"/>
    <cellStyle name="Standard 4 8 3 2 2 2 2" xfId="31157" xr:uid="{00000000-0005-0000-0000-0000947A0000}"/>
    <cellStyle name="Standard 4 8 3 2 2 2 3" xfId="31158" xr:uid="{00000000-0005-0000-0000-0000957A0000}"/>
    <cellStyle name="Standard 4 8 3 2 2 3" xfId="31159" xr:uid="{00000000-0005-0000-0000-0000967A0000}"/>
    <cellStyle name="Standard 4 8 3 2 2 3 2" xfId="31160" xr:uid="{00000000-0005-0000-0000-0000977A0000}"/>
    <cellStyle name="Standard 4 8 3 2 2 3 3" xfId="31161" xr:uid="{00000000-0005-0000-0000-0000987A0000}"/>
    <cellStyle name="Standard 4 8 3 2 2 4" xfId="31162" xr:uid="{00000000-0005-0000-0000-0000997A0000}"/>
    <cellStyle name="Standard 4 8 3 2 2 4 2" xfId="31163" xr:uid="{00000000-0005-0000-0000-00009A7A0000}"/>
    <cellStyle name="Standard 4 8 3 2 2 5" xfId="31164" xr:uid="{00000000-0005-0000-0000-00009B7A0000}"/>
    <cellStyle name="Standard 4 8 3 2 2 6" xfId="31165" xr:uid="{00000000-0005-0000-0000-00009C7A0000}"/>
    <cellStyle name="Standard 4 8 3 2 3" xfId="31166" xr:uid="{00000000-0005-0000-0000-00009D7A0000}"/>
    <cellStyle name="Standard 4 8 3 2 3 2" xfId="31167" xr:uid="{00000000-0005-0000-0000-00009E7A0000}"/>
    <cellStyle name="Standard 4 8 3 2 3 3" xfId="31168" xr:uid="{00000000-0005-0000-0000-00009F7A0000}"/>
    <cellStyle name="Standard 4 8 3 2 4" xfId="31169" xr:uid="{00000000-0005-0000-0000-0000A07A0000}"/>
    <cellStyle name="Standard 4 8 3 2 4 2" xfId="31170" xr:uid="{00000000-0005-0000-0000-0000A17A0000}"/>
    <cellStyle name="Standard 4 8 3 2 4 3" xfId="31171" xr:uid="{00000000-0005-0000-0000-0000A27A0000}"/>
    <cellStyle name="Standard 4 8 3 2 5" xfId="31172" xr:uid="{00000000-0005-0000-0000-0000A37A0000}"/>
    <cellStyle name="Standard 4 8 3 2 5 2" xfId="31173" xr:uid="{00000000-0005-0000-0000-0000A47A0000}"/>
    <cellStyle name="Standard 4 8 3 2 6" xfId="31174" xr:uid="{00000000-0005-0000-0000-0000A57A0000}"/>
    <cellStyle name="Standard 4 8 3 2 7" xfId="31175" xr:uid="{00000000-0005-0000-0000-0000A67A0000}"/>
    <cellStyle name="Standard 4 8 3 3" xfId="31176" xr:uid="{00000000-0005-0000-0000-0000A77A0000}"/>
    <cellStyle name="Standard 4 8 3 3 2" xfId="31177" xr:uid="{00000000-0005-0000-0000-0000A87A0000}"/>
    <cellStyle name="Standard 4 8 3 3 2 2" xfId="31178" xr:uid="{00000000-0005-0000-0000-0000A97A0000}"/>
    <cellStyle name="Standard 4 8 3 3 2 3" xfId="31179" xr:uid="{00000000-0005-0000-0000-0000AA7A0000}"/>
    <cellStyle name="Standard 4 8 3 3 3" xfId="31180" xr:uid="{00000000-0005-0000-0000-0000AB7A0000}"/>
    <cellStyle name="Standard 4 8 3 3 3 2" xfId="31181" xr:uid="{00000000-0005-0000-0000-0000AC7A0000}"/>
    <cellStyle name="Standard 4 8 3 3 3 3" xfId="31182" xr:uid="{00000000-0005-0000-0000-0000AD7A0000}"/>
    <cellStyle name="Standard 4 8 3 3 4" xfId="31183" xr:uid="{00000000-0005-0000-0000-0000AE7A0000}"/>
    <cellStyle name="Standard 4 8 3 3 4 2" xfId="31184" xr:uid="{00000000-0005-0000-0000-0000AF7A0000}"/>
    <cellStyle name="Standard 4 8 3 3 5" xfId="31185" xr:uid="{00000000-0005-0000-0000-0000B07A0000}"/>
    <cellStyle name="Standard 4 8 3 3 6" xfId="31186" xr:uid="{00000000-0005-0000-0000-0000B17A0000}"/>
    <cellStyle name="Standard 4 8 3 4" xfId="31187" xr:uid="{00000000-0005-0000-0000-0000B27A0000}"/>
    <cellStyle name="Standard 4 8 3 4 2" xfId="31188" xr:uid="{00000000-0005-0000-0000-0000B37A0000}"/>
    <cellStyle name="Standard 4 8 3 4 3" xfId="31189" xr:uid="{00000000-0005-0000-0000-0000B47A0000}"/>
    <cellStyle name="Standard 4 8 3 5" xfId="31190" xr:uid="{00000000-0005-0000-0000-0000B57A0000}"/>
    <cellStyle name="Standard 4 8 3 5 2" xfId="31191" xr:uid="{00000000-0005-0000-0000-0000B67A0000}"/>
    <cellStyle name="Standard 4 8 3 5 3" xfId="31192" xr:uid="{00000000-0005-0000-0000-0000B77A0000}"/>
    <cellStyle name="Standard 4 8 3 6" xfId="31193" xr:uid="{00000000-0005-0000-0000-0000B87A0000}"/>
    <cellStyle name="Standard 4 8 3 6 2" xfId="31194" xr:uid="{00000000-0005-0000-0000-0000B97A0000}"/>
    <cellStyle name="Standard 4 8 3 7" xfId="31195" xr:uid="{00000000-0005-0000-0000-0000BA7A0000}"/>
    <cellStyle name="Standard 4 8 3 8" xfId="31196" xr:uid="{00000000-0005-0000-0000-0000BB7A0000}"/>
    <cellStyle name="Standard 4 8 4" xfId="31197" xr:uid="{00000000-0005-0000-0000-0000BC7A0000}"/>
    <cellStyle name="Standard 4 8 4 2" xfId="31198" xr:uid="{00000000-0005-0000-0000-0000BD7A0000}"/>
    <cellStyle name="Standard 4 8 4 2 2" xfId="31199" xr:uid="{00000000-0005-0000-0000-0000BE7A0000}"/>
    <cellStyle name="Standard 4 8 4 2 2 2" xfId="31200" xr:uid="{00000000-0005-0000-0000-0000BF7A0000}"/>
    <cellStyle name="Standard 4 8 4 2 2 2 2" xfId="31201" xr:uid="{00000000-0005-0000-0000-0000C07A0000}"/>
    <cellStyle name="Standard 4 8 4 2 2 2 3" xfId="31202" xr:uid="{00000000-0005-0000-0000-0000C17A0000}"/>
    <cellStyle name="Standard 4 8 4 2 2 3" xfId="31203" xr:uid="{00000000-0005-0000-0000-0000C27A0000}"/>
    <cellStyle name="Standard 4 8 4 2 2 3 2" xfId="31204" xr:uid="{00000000-0005-0000-0000-0000C37A0000}"/>
    <cellStyle name="Standard 4 8 4 2 2 3 3" xfId="31205" xr:uid="{00000000-0005-0000-0000-0000C47A0000}"/>
    <cellStyle name="Standard 4 8 4 2 2 4" xfId="31206" xr:uid="{00000000-0005-0000-0000-0000C57A0000}"/>
    <cellStyle name="Standard 4 8 4 2 2 4 2" xfId="31207" xr:uid="{00000000-0005-0000-0000-0000C67A0000}"/>
    <cellStyle name="Standard 4 8 4 2 2 5" xfId="31208" xr:uid="{00000000-0005-0000-0000-0000C77A0000}"/>
    <cellStyle name="Standard 4 8 4 2 2 6" xfId="31209" xr:uid="{00000000-0005-0000-0000-0000C87A0000}"/>
    <cellStyle name="Standard 4 8 4 2 3" xfId="31210" xr:uid="{00000000-0005-0000-0000-0000C97A0000}"/>
    <cellStyle name="Standard 4 8 4 2 3 2" xfId="31211" xr:uid="{00000000-0005-0000-0000-0000CA7A0000}"/>
    <cellStyle name="Standard 4 8 4 2 3 3" xfId="31212" xr:uid="{00000000-0005-0000-0000-0000CB7A0000}"/>
    <cellStyle name="Standard 4 8 4 2 4" xfId="31213" xr:uid="{00000000-0005-0000-0000-0000CC7A0000}"/>
    <cellStyle name="Standard 4 8 4 2 4 2" xfId="31214" xr:uid="{00000000-0005-0000-0000-0000CD7A0000}"/>
    <cellStyle name="Standard 4 8 4 2 4 3" xfId="31215" xr:uid="{00000000-0005-0000-0000-0000CE7A0000}"/>
    <cellStyle name="Standard 4 8 4 2 5" xfId="31216" xr:uid="{00000000-0005-0000-0000-0000CF7A0000}"/>
    <cellStyle name="Standard 4 8 4 2 5 2" xfId="31217" xr:uid="{00000000-0005-0000-0000-0000D07A0000}"/>
    <cellStyle name="Standard 4 8 4 2 6" xfId="31218" xr:uid="{00000000-0005-0000-0000-0000D17A0000}"/>
    <cellStyle name="Standard 4 8 4 2 7" xfId="31219" xr:uid="{00000000-0005-0000-0000-0000D27A0000}"/>
    <cellStyle name="Standard 4 8 4 3" xfId="31220" xr:uid="{00000000-0005-0000-0000-0000D37A0000}"/>
    <cellStyle name="Standard 4 8 4 3 2" xfId="31221" xr:uid="{00000000-0005-0000-0000-0000D47A0000}"/>
    <cellStyle name="Standard 4 8 4 3 2 2" xfId="31222" xr:uid="{00000000-0005-0000-0000-0000D57A0000}"/>
    <cellStyle name="Standard 4 8 4 3 2 3" xfId="31223" xr:uid="{00000000-0005-0000-0000-0000D67A0000}"/>
    <cellStyle name="Standard 4 8 4 3 3" xfId="31224" xr:uid="{00000000-0005-0000-0000-0000D77A0000}"/>
    <cellStyle name="Standard 4 8 4 3 3 2" xfId="31225" xr:uid="{00000000-0005-0000-0000-0000D87A0000}"/>
    <cellStyle name="Standard 4 8 4 3 3 3" xfId="31226" xr:uid="{00000000-0005-0000-0000-0000D97A0000}"/>
    <cellStyle name="Standard 4 8 4 3 4" xfId="31227" xr:uid="{00000000-0005-0000-0000-0000DA7A0000}"/>
    <cellStyle name="Standard 4 8 4 3 4 2" xfId="31228" xr:uid="{00000000-0005-0000-0000-0000DB7A0000}"/>
    <cellStyle name="Standard 4 8 4 3 5" xfId="31229" xr:uid="{00000000-0005-0000-0000-0000DC7A0000}"/>
    <cellStyle name="Standard 4 8 4 3 6" xfId="31230" xr:uid="{00000000-0005-0000-0000-0000DD7A0000}"/>
    <cellStyle name="Standard 4 8 4 4" xfId="31231" xr:uid="{00000000-0005-0000-0000-0000DE7A0000}"/>
    <cellStyle name="Standard 4 8 4 4 2" xfId="31232" xr:uid="{00000000-0005-0000-0000-0000DF7A0000}"/>
    <cellStyle name="Standard 4 8 4 4 3" xfId="31233" xr:uid="{00000000-0005-0000-0000-0000E07A0000}"/>
    <cellStyle name="Standard 4 8 4 5" xfId="31234" xr:uid="{00000000-0005-0000-0000-0000E17A0000}"/>
    <cellStyle name="Standard 4 8 4 5 2" xfId="31235" xr:uid="{00000000-0005-0000-0000-0000E27A0000}"/>
    <cellStyle name="Standard 4 8 4 5 3" xfId="31236" xr:uid="{00000000-0005-0000-0000-0000E37A0000}"/>
    <cellStyle name="Standard 4 8 4 6" xfId="31237" xr:uid="{00000000-0005-0000-0000-0000E47A0000}"/>
    <cellStyle name="Standard 4 8 4 6 2" xfId="31238" xr:uid="{00000000-0005-0000-0000-0000E57A0000}"/>
    <cellStyle name="Standard 4 8 4 7" xfId="31239" xr:uid="{00000000-0005-0000-0000-0000E67A0000}"/>
    <cellStyle name="Standard 4 8 4 8" xfId="31240" xr:uid="{00000000-0005-0000-0000-0000E77A0000}"/>
    <cellStyle name="Standard 4 8 5" xfId="31241" xr:uid="{00000000-0005-0000-0000-0000E87A0000}"/>
    <cellStyle name="Standard 4 8 5 2" xfId="31242" xr:uid="{00000000-0005-0000-0000-0000E97A0000}"/>
    <cellStyle name="Standard 4 8 5 2 2" xfId="31243" xr:uid="{00000000-0005-0000-0000-0000EA7A0000}"/>
    <cellStyle name="Standard 4 8 5 2 2 2" xfId="31244" xr:uid="{00000000-0005-0000-0000-0000EB7A0000}"/>
    <cellStyle name="Standard 4 8 5 2 2 3" xfId="31245" xr:uid="{00000000-0005-0000-0000-0000EC7A0000}"/>
    <cellStyle name="Standard 4 8 5 2 3" xfId="31246" xr:uid="{00000000-0005-0000-0000-0000ED7A0000}"/>
    <cellStyle name="Standard 4 8 5 2 3 2" xfId="31247" xr:uid="{00000000-0005-0000-0000-0000EE7A0000}"/>
    <cellStyle name="Standard 4 8 5 2 3 3" xfId="31248" xr:uid="{00000000-0005-0000-0000-0000EF7A0000}"/>
    <cellStyle name="Standard 4 8 5 2 4" xfId="31249" xr:uid="{00000000-0005-0000-0000-0000F07A0000}"/>
    <cellStyle name="Standard 4 8 5 2 4 2" xfId="31250" xr:uid="{00000000-0005-0000-0000-0000F17A0000}"/>
    <cellStyle name="Standard 4 8 5 2 5" xfId="31251" xr:uid="{00000000-0005-0000-0000-0000F27A0000}"/>
    <cellStyle name="Standard 4 8 5 2 6" xfId="31252" xr:uid="{00000000-0005-0000-0000-0000F37A0000}"/>
    <cellStyle name="Standard 4 8 5 3" xfId="31253" xr:uid="{00000000-0005-0000-0000-0000F47A0000}"/>
    <cellStyle name="Standard 4 8 5 3 2" xfId="31254" xr:uid="{00000000-0005-0000-0000-0000F57A0000}"/>
    <cellStyle name="Standard 4 8 5 3 3" xfId="31255" xr:uid="{00000000-0005-0000-0000-0000F67A0000}"/>
    <cellStyle name="Standard 4 8 5 4" xfId="31256" xr:uid="{00000000-0005-0000-0000-0000F77A0000}"/>
    <cellStyle name="Standard 4 8 5 4 2" xfId="31257" xr:uid="{00000000-0005-0000-0000-0000F87A0000}"/>
    <cellStyle name="Standard 4 8 5 4 3" xfId="31258" xr:uid="{00000000-0005-0000-0000-0000F97A0000}"/>
    <cellStyle name="Standard 4 8 5 5" xfId="31259" xr:uid="{00000000-0005-0000-0000-0000FA7A0000}"/>
    <cellStyle name="Standard 4 8 5 5 2" xfId="31260" xr:uid="{00000000-0005-0000-0000-0000FB7A0000}"/>
    <cellStyle name="Standard 4 8 5 6" xfId="31261" xr:uid="{00000000-0005-0000-0000-0000FC7A0000}"/>
    <cellStyle name="Standard 4 8 5 7" xfId="31262" xr:uid="{00000000-0005-0000-0000-0000FD7A0000}"/>
    <cellStyle name="Standard 4 8 6" xfId="31263" xr:uid="{00000000-0005-0000-0000-0000FE7A0000}"/>
    <cellStyle name="Standard 4 8 6 2" xfId="31264" xr:uid="{00000000-0005-0000-0000-0000FF7A0000}"/>
    <cellStyle name="Standard 4 8 6 2 2" xfId="31265" xr:uid="{00000000-0005-0000-0000-0000007B0000}"/>
    <cellStyle name="Standard 4 8 6 2 3" xfId="31266" xr:uid="{00000000-0005-0000-0000-0000017B0000}"/>
    <cellStyle name="Standard 4 8 6 3" xfId="31267" xr:uid="{00000000-0005-0000-0000-0000027B0000}"/>
    <cellStyle name="Standard 4 8 6 3 2" xfId="31268" xr:uid="{00000000-0005-0000-0000-0000037B0000}"/>
    <cellStyle name="Standard 4 8 6 3 3" xfId="31269" xr:uid="{00000000-0005-0000-0000-0000047B0000}"/>
    <cellStyle name="Standard 4 8 6 4" xfId="31270" xr:uid="{00000000-0005-0000-0000-0000057B0000}"/>
    <cellStyle name="Standard 4 8 6 4 2" xfId="31271" xr:uid="{00000000-0005-0000-0000-0000067B0000}"/>
    <cellStyle name="Standard 4 8 6 5" xfId="31272" xr:uid="{00000000-0005-0000-0000-0000077B0000}"/>
    <cellStyle name="Standard 4 8 6 6" xfId="31273" xr:uid="{00000000-0005-0000-0000-0000087B0000}"/>
    <cellStyle name="Standard 4 8 7" xfId="31274" xr:uid="{00000000-0005-0000-0000-0000097B0000}"/>
    <cellStyle name="Standard 4 8 7 2" xfId="31275" xr:uid="{00000000-0005-0000-0000-00000A7B0000}"/>
    <cellStyle name="Standard 4 8 7 3" xfId="31276" xr:uid="{00000000-0005-0000-0000-00000B7B0000}"/>
    <cellStyle name="Standard 4 8 8" xfId="31277" xr:uid="{00000000-0005-0000-0000-00000C7B0000}"/>
    <cellStyle name="Standard 4 8 8 2" xfId="31278" xr:uid="{00000000-0005-0000-0000-00000D7B0000}"/>
    <cellStyle name="Standard 4 8 8 3" xfId="31279" xr:uid="{00000000-0005-0000-0000-00000E7B0000}"/>
    <cellStyle name="Standard 4 8 9" xfId="31280" xr:uid="{00000000-0005-0000-0000-00000F7B0000}"/>
    <cellStyle name="Standard 4 8 9 2" xfId="31281" xr:uid="{00000000-0005-0000-0000-0000107B0000}"/>
    <cellStyle name="Standard 4 9" xfId="595" xr:uid="{00000000-0005-0000-0000-0000117B0000}"/>
    <cellStyle name="Standard 4 9 10" xfId="31282" xr:uid="{00000000-0005-0000-0000-0000127B0000}"/>
    <cellStyle name="Standard 4 9 11" xfId="31283" xr:uid="{00000000-0005-0000-0000-0000137B0000}"/>
    <cellStyle name="Standard 4 9 12" xfId="33117" xr:uid="{00000000-0005-0000-0000-0000147B0000}"/>
    <cellStyle name="Standard 4 9 13" xfId="33192" xr:uid="{00000000-0005-0000-0000-0000157B0000}"/>
    <cellStyle name="Standard 4 9 14" xfId="33267" xr:uid="{00000000-0005-0000-0000-0000167B0000}"/>
    <cellStyle name="Standard 4 9 15" xfId="33342" xr:uid="{00000000-0005-0000-0000-0000177B0000}"/>
    <cellStyle name="Standard 4 9 2" xfId="31284" xr:uid="{00000000-0005-0000-0000-0000187B0000}"/>
    <cellStyle name="Standard 4 9 2 10" xfId="31285" xr:uid="{00000000-0005-0000-0000-0000197B0000}"/>
    <cellStyle name="Standard 4 9 2 2" xfId="31286" xr:uid="{00000000-0005-0000-0000-00001A7B0000}"/>
    <cellStyle name="Standard 4 9 2 2 2" xfId="31287" xr:uid="{00000000-0005-0000-0000-00001B7B0000}"/>
    <cellStyle name="Standard 4 9 2 2 2 2" xfId="31288" xr:uid="{00000000-0005-0000-0000-00001C7B0000}"/>
    <cellStyle name="Standard 4 9 2 2 2 2 2" xfId="31289" xr:uid="{00000000-0005-0000-0000-00001D7B0000}"/>
    <cellStyle name="Standard 4 9 2 2 2 2 2 2" xfId="31290" xr:uid="{00000000-0005-0000-0000-00001E7B0000}"/>
    <cellStyle name="Standard 4 9 2 2 2 2 2 3" xfId="31291" xr:uid="{00000000-0005-0000-0000-00001F7B0000}"/>
    <cellStyle name="Standard 4 9 2 2 2 2 3" xfId="31292" xr:uid="{00000000-0005-0000-0000-0000207B0000}"/>
    <cellStyle name="Standard 4 9 2 2 2 2 3 2" xfId="31293" xr:uid="{00000000-0005-0000-0000-0000217B0000}"/>
    <cellStyle name="Standard 4 9 2 2 2 2 3 3" xfId="31294" xr:uid="{00000000-0005-0000-0000-0000227B0000}"/>
    <cellStyle name="Standard 4 9 2 2 2 2 4" xfId="31295" xr:uid="{00000000-0005-0000-0000-0000237B0000}"/>
    <cellStyle name="Standard 4 9 2 2 2 2 4 2" xfId="31296" xr:uid="{00000000-0005-0000-0000-0000247B0000}"/>
    <cellStyle name="Standard 4 9 2 2 2 2 5" xfId="31297" xr:uid="{00000000-0005-0000-0000-0000257B0000}"/>
    <cellStyle name="Standard 4 9 2 2 2 2 6" xfId="31298" xr:uid="{00000000-0005-0000-0000-0000267B0000}"/>
    <cellStyle name="Standard 4 9 2 2 2 3" xfId="31299" xr:uid="{00000000-0005-0000-0000-0000277B0000}"/>
    <cellStyle name="Standard 4 9 2 2 2 3 2" xfId="31300" xr:uid="{00000000-0005-0000-0000-0000287B0000}"/>
    <cellStyle name="Standard 4 9 2 2 2 3 3" xfId="31301" xr:uid="{00000000-0005-0000-0000-0000297B0000}"/>
    <cellStyle name="Standard 4 9 2 2 2 4" xfId="31302" xr:uid="{00000000-0005-0000-0000-00002A7B0000}"/>
    <cellStyle name="Standard 4 9 2 2 2 4 2" xfId="31303" xr:uid="{00000000-0005-0000-0000-00002B7B0000}"/>
    <cellStyle name="Standard 4 9 2 2 2 4 3" xfId="31304" xr:uid="{00000000-0005-0000-0000-00002C7B0000}"/>
    <cellStyle name="Standard 4 9 2 2 2 5" xfId="31305" xr:uid="{00000000-0005-0000-0000-00002D7B0000}"/>
    <cellStyle name="Standard 4 9 2 2 2 5 2" xfId="31306" xr:uid="{00000000-0005-0000-0000-00002E7B0000}"/>
    <cellStyle name="Standard 4 9 2 2 2 6" xfId="31307" xr:uid="{00000000-0005-0000-0000-00002F7B0000}"/>
    <cellStyle name="Standard 4 9 2 2 2 7" xfId="31308" xr:uid="{00000000-0005-0000-0000-0000307B0000}"/>
    <cellStyle name="Standard 4 9 2 2 3" xfId="31309" xr:uid="{00000000-0005-0000-0000-0000317B0000}"/>
    <cellStyle name="Standard 4 9 2 2 3 2" xfId="31310" xr:uid="{00000000-0005-0000-0000-0000327B0000}"/>
    <cellStyle name="Standard 4 9 2 2 3 2 2" xfId="31311" xr:uid="{00000000-0005-0000-0000-0000337B0000}"/>
    <cellStyle name="Standard 4 9 2 2 3 2 3" xfId="31312" xr:uid="{00000000-0005-0000-0000-0000347B0000}"/>
    <cellStyle name="Standard 4 9 2 2 3 3" xfId="31313" xr:uid="{00000000-0005-0000-0000-0000357B0000}"/>
    <cellStyle name="Standard 4 9 2 2 3 3 2" xfId="31314" xr:uid="{00000000-0005-0000-0000-0000367B0000}"/>
    <cellStyle name="Standard 4 9 2 2 3 3 3" xfId="31315" xr:uid="{00000000-0005-0000-0000-0000377B0000}"/>
    <cellStyle name="Standard 4 9 2 2 3 4" xfId="31316" xr:uid="{00000000-0005-0000-0000-0000387B0000}"/>
    <cellStyle name="Standard 4 9 2 2 3 4 2" xfId="31317" xr:uid="{00000000-0005-0000-0000-0000397B0000}"/>
    <cellStyle name="Standard 4 9 2 2 3 5" xfId="31318" xr:uid="{00000000-0005-0000-0000-00003A7B0000}"/>
    <cellStyle name="Standard 4 9 2 2 3 6" xfId="31319" xr:uid="{00000000-0005-0000-0000-00003B7B0000}"/>
    <cellStyle name="Standard 4 9 2 2 4" xfId="31320" xr:uid="{00000000-0005-0000-0000-00003C7B0000}"/>
    <cellStyle name="Standard 4 9 2 2 4 2" xfId="31321" xr:uid="{00000000-0005-0000-0000-00003D7B0000}"/>
    <cellStyle name="Standard 4 9 2 2 4 3" xfId="31322" xr:uid="{00000000-0005-0000-0000-00003E7B0000}"/>
    <cellStyle name="Standard 4 9 2 2 5" xfId="31323" xr:uid="{00000000-0005-0000-0000-00003F7B0000}"/>
    <cellStyle name="Standard 4 9 2 2 5 2" xfId="31324" xr:uid="{00000000-0005-0000-0000-0000407B0000}"/>
    <cellStyle name="Standard 4 9 2 2 5 3" xfId="31325" xr:uid="{00000000-0005-0000-0000-0000417B0000}"/>
    <cellStyle name="Standard 4 9 2 2 6" xfId="31326" xr:uid="{00000000-0005-0000-0000-0000427B0000}"/>
    <cellStyle name="Standard 4 9 2 2 6 2" xfId="31327" xr:uid="{00000000-0005-0000-0000-0000437B0000}"/>
    <cellStyle name="Standard 4 9 2 2 7" xfId="31328" xr:uid="{00000000-0005-0000-0000-0000447B0000}"/>
    <cellStyle name="Standard 4 9 2 2 8" xfId="31329" xr:uid="{00000000-0005-0000-0000-0000457B0000}"/>
    <cellStyle name="Standard 4 9 2 3" xfId="31330" xr:uid="{00000000-0005-0000-0000-0000467B0000}"/>
    <cellStyle name="Standard 4 9 2 3 2" xfId="31331" xr:uid="{00000000-0005-0000-0000-0000477B0000}"/>
    <cellStyle name="Standard 4 9 2 3 2 2" xfId="31332" xr:uid="{00000000-0005-0000-0000-0000487B0000}"/>
    <cellStyle name="Standard 4 9 2 3 2 2 2" xfId="31333" xr:uid="{00000000-0005-0000-0000-0000497B0000}"/>
    <cellStyle name="Standard 4 9 2 3 2 2 2 2" xfId="31334" xr:uid="{00000000-0005-0000-0000-00004A7B0000}"/>
    <cellStyle name="Standard 4 9 2 3 2 2 2 3" xfId="31335" xr:uid="{00000000-0005-0000-0000-00004B7B0000}"/>
    <cellStyle name="Standard 4 9 2 3 2 2 3" xfId="31336" xr:uid="{00000000-0005-0000-0000-00004C7B0000}"/>
    <cellStyle name="Standard 4 9 2 3 2 2 3 2" xfId="31337" xr:uid="{00000000-0005-0000-0000-00004D7B0000}"/>
    <cellStyle name="Standard 4 9 2 3 2 2 3 3" xfId="31338" xr:uid="{00000000-0005-0000-0000-00004E7B0000}"/>
    <cellStyle name="Standard 4 9 2 3 2 2 4" xfId="31339" xr:uid="{00000000-0005-0000-0000-00004F7B0000}"/>
    <cellStyle name="Standard 4 9 2 3 2 2 4 2" xfId="31340" xr:uid="{00000000-0005-0000-0000-0000507B0000}"/>
    <cellStyle name="Standard 4 9 2 3 2 2 5" xfId="31341" xr:uid="{00000000-0005-0000-0000-0000517B0000}"/>
    <cellStyle name="Standard 4 9 2 3 2 2 6" xfId="31342" xr:uid="{00000000-0005-0000-0000-0000527B0000}"/>
    <cellStyle name="Standard 4 9 2 3 2 3" xfId="31343" xr:uid="{00000000-0005-0000-0000-0000537B0000}"/>
    <cellStyle name="Standard 4 9 2 3 2 3 2" xfId="31344" xr:uid="{00000000-0005-0000-0000-0000547B0000}"/>
    <cellStyle name="Standard 4 9 2 3 2 3 3" xfId="31345" xr:uid="{00000000-0005-0000-0000-0000557B0000}"/>
    <cellStyle name="Standard 4 9 2 3 2 4" xfId="31346" xr:uid="{00000000-0005-0000-0000-0000567B0000}"/>
    <cellStyle name="Standard 4 9 2 3 2 4 2" xfId="31347" xr:uid="{00000000-0005-0000-0000-0000577B0000}"/>
    <cellStyle name="Standard 4 9 2 3 2 4 3" xfId="31348" xr:uid="{00000000-0005-0000-0000-0000587B0000}"/>
    <cellStyle name="Standard 4 9 2 3 2 5" xfId="31349" xr:uid="{00000000-0005-0000-0000-0000597B0000}"/>
    <cellStyle name="Standard 4 9 2 3 2 5 2" xfId="31350" xr:uid="{00000000-0005-0000-0000-00005A7B0000}"/>
    <cellStyle name="Standard 4 9 2 3 2 6" xfId="31351" xr:uid="{00000000-0005-0000-0000-00005B7B0000}"/>
    <cellStyle name="Standard 4 9 2 3 2 7" xfId="31352" xr:uid="{00000000-0005-0000-0000-00005C7B0000}"/>
    <cellStyle name="Standard 4 9 2 3 3" xfId="31353" xr:uid="{00000000-0005-0000-0000-00005D7B0000}"/>
    <cellStyle name="Standard 4 9 2 3 3 2" xfId="31354" xr:uid="{00000000-0005-0000-0000-00005E7B0000}"/>
    <cellStyle name="Standard 4 9 2 3 3 2 2" xfId="31355" xr:uid="{00000000-0005-0000-0000-00005F7B0000}"/>
    <cellStyle name="Standard 4 9 2 3 3 2 3" xfId="31356" xr:uid="{00000000-0005-0000-0000-0000607B0000}"/>
    <cellStyle name="Standard 4 9 2 3 3 3" xfId="31357" xr:uid="{00000000-0005-0000-0000-0000617B0000}"/>
    <cellStyle name="Standard 4 9 2 3 3 3 2" xfId="31358" xr:uid="{00000000-0005-0000-0000-0000627B0000}"/>
    <cellStyle name="Standard 4 9 2 3 3 3 3" xfId="31359" xr:uid="{00000000-0005-0000-0000-0000637B0000}"/>
    <cellStyle name="Standard 4 9 2 3 3 4" xfId="31360" xr:uid="{00000000-0005-0000-0000-0000647B0000}"/>
    <cellStyle name="Standard 4 9 2 3 3 4 2" xfId="31361" xr:uid="{00000000-0005-0000-0000-0000657B0000}"/>
    <cellStyle name="Standard 4 9 2 3 3 5" xfId="31362" xr:uid="{00000000-0005-0000-0000-0000667B0000}"/>
    <cellStyle name="Standard 4 9 2 3 3 6" xfId="31363" xr:uid="{00000000-0005-0000-0000-0000677B0000}"/>
    <cellStyle name="Standard 4 9 2 3 4" xfId="31364" xr:uid="{00000000-0005-0000-0000-0000687B0000}"/>
    <cellStyle name="Standard 4 9 2 3 4 2" xfId="31365" xr:uid="{00000000-0005-0000-0000-0000697B0000}"/>
    <cellStyle name="Standard 4 9 2 3 4 3" xfId="31366" xr:uid="{00000000-0005-0000-0000-00006A7B0000}"/>
    <cellStyle name="Standard 4 9 2 3 5" xfId="31367" xr:uid="{00000000-0005-0000-0000-00006B7B0000}"/>
    <cellStyle name="Standard 4 9 2 3 5 2" xfId="31368" xr:uid="{00000000-0005-0000-0000-00006C7B0000}"/>
    <cellStyle name="Standard 4 9 2 3 5 3" xfId="31369" xr:uid="{00000000-0005-0000-0000-00006D7B0000}"/>
    <cellStyle name="Standard 4 9 2 3 6" xfId="31370" xr:uid="{00000000-0005-0000-0000-00006E7B0000}"/>
    <cellStyle name="Standard 4 9 2 3 6 2" xfId="31371" xr:uid="{00000000-0005-0000-0000-00006F7B0000}"/>
    <cellStyle name="Standard 4 9 2 3 7" xfId="31372" xr:uid="{00000000-0005-0000-0000-0000707B0000}"/>
    <cellStyle name="Standard 4 9 2 3 8" xfId="31373" xr:uid="{00000000-0005-0000-0000-0000717B0000}"/>
    <cellStyle name="Standard 4 9 2 4" xfId="31374" xr:uid="{00000000-0005-0000-0000-0000727B0000}"/>
    <cellStyle name="Standard 4 9 2 4 2" xfId="31375" xr:uid="{00000000-0005-0000-0000-0000737B0000}"/>
    <cellStyle name="Standard 4 9 2 4 2 2" xfId="31376" xr:uid="{00000000-0005-0000-0000-0000747B0000}"/>
    <cellStyle name="Standard 4 9 2 4 2 2 2" xfId="31377" xr:uid="{00000000-0005-0000-0000-0000757B0000}"/>
    <cellStyle name="Standard 4 9 2 4 2 2 3" xfId="31378" xr:uid="{00000000-0005-0000-0000-0000767B0000}"/>
    <cellStyle name="Standard 4 9 2 4 2 3" xfId="31379" xr:uid="{00000000-0005-0000-0000-0000777B0000}"/>
    <cellStyle name="Standard 4 9 2 4 2 3 2" xfId="31380" xr:uid="{00000000-0005-0000-0000-0000787B0000}"/>
    <cellStyle name="Standard 4 9 2 4 2 3 3" xfId="31381" xr:uid="{00000000-0005-0000-0000-0000797B0000}"/>
    <cellStyle name="Standard 4 9 2 4 2 4" xfId="31382" xr:uid="{00000000-0005-0000-0000-00007A7B0000}"/>
    <cellStyle name="Standard 4 9 2 4 2 4 2" xfId="31383" xr:uid="{00000000-0005-0000-0000-00007B7B0000}"/>
    <cellStyle name="Standard 4 9 2 4 2 5" xfId="31384" xr:uid="{00000000-0005-0000-0000-00007C7B0000}"/>
    <cellStyle name="Standard 4 9 2 4 2 6" xfId="31385" xr:uid="{00000000-0005-0000-0000-00007D7B0000}"/>
    <cellStyle name="Standard 4 9 2 4 3" xfId="31386" xr:uid="{00000000-0005-0000-0000-00007E7B0000}"/>
    <cellStyle name="Standard 4 9 2 4 3 2" xfId="31387" xr:uid="{00000000-0005-0000-0000-00007F7B0000}"/>
    <cellStyle name="Standard 4 9 2 4 3 3" xfId="31388" xr:uid="{00000000-0005-0000-0000-0000807B0000}"/>
    <cellStyle name="Standard 4 9 2 4 4" xfId="31389" xr:uid="{00000000-0005-0000-0000-0000817B0000}"/>
    <cellStyle name="Standard 4 9 2 4 4 2" xfId="31390" xr:uid="{00000000-0005-0000-0000-0000827B0000}"/>
    <cellStyle name="Standard 4 9 2 4 4 3" xfId="31391" xr:uid="{00000000-0005-0000-0000-0000837B0000}"/>
    <cellStyle name="Standard 4 9 2 4 5" xfId="31392" xr:uid="{00000000-0005-0000-0000-0000847B0000}"/>
    <cellStyle name="Standard 4 9 2 4 5 2" xfId="31393" xr:uid="{00000000-0005-0000-0000-0000857B0000}"/>
    <cellStyle name="Standard 4 9 2 4 6" xfId="31394" xr:uid="{00000000-0005-0000-0000-0000867B0000}"/>
    <cellStyle name="Standard 4 9 2 4 7" xfId="31395" xr:uid="{00000000-0005-0000-0000-0000877B0000}"/>
    <cellStyle name="Standard 4 9 2 5" xfId="31396" xr:uid="{00000000-0005-0000-0000-0000887B0000}"/>
    <cellStyle name="Standard 4 9 2 5 2" xfId="31397" xr:uid="{00000000-0005-0000-0000-0000897B0000}"/>
    <cellStyle name="Standard 4 9 2 5 2 2" xfId="31398" xr:uid="{00000000-0005-0000-0000-00008A7B0000}"/>
    <cellStyle name="Standard 4 9 2 5 2 3" xfId="31399" xr:uid="{00000000-0005-0000-0000-00008B7B0000}"/>
    <cellStyle name="Standard 4 9 2 5 3" xfId="31400" xr:uid="{00000000-0005-0000-0000-00008C7B0000}"/>
    <cellStyle name="Standard 4 9 2 5 3 2" xfId="31401" xr:uid="{00000000-0005-0000-0000-00008D7B0000}"/>
    <cellStyle name="Standard 4 9 2 5 3 3" xfId="31402" xr:uid="{00000000-0005-0000-0000-00008E7B0000}"/>
    <cellStyle name="Standard 4 9 2 5 4" xfId="31403" xr:uid="{00000000-0005-0000-0000-00008F7B0000}"/>
    <cellStyle name="Standard 4 9 2 5 4 2" xfId="31404" xr:uid="{00000000-0005-0000-0000-0000907B0000}"/>
    <cellStyle name="Standard 4 9 2 5 5" xfId="31405" xr:uid="{00000000-0005-0000-0000-0000917B0000}"/>
    <cellStyle name="Standard 4 9 2 5 6" xfId="31406" xr:uid="{00000000-0005-0000-0000-0000927B0000}"/>
    <cellStyle name="Standard 4 9 2 6" xfId="31407" xr:uid="{00000000-0005-0000-0000-0000937B0000}"/>
    <cellStyle name="Standard 4 9 2 6 2" xfId="31408" xr:uid="{00000000-0005-0000-0000-0000947B0000}"/>
    <cellStyle name="Standard 4 9 2 6 3" xfId="31409" xr:uid="{00000000-0005-0000-0000-0000957B0000}"/>
    <cellStyle name="Standard 4 9 2 7" xfId="31410" xr:uid="{00000000-0005-0000-0000-0000967B0000}"/>
    <cellStyle name="Standard 4 9 2 7 2" xfId="31411" xr:uid="{00000000-0005-0000-0000-0000977B0000}"/>
    <cellStyle name="Standard 4 9 2 7 3" xfId="31412" xr:uid="{00000000-0005-0000-0000-0000987B0000}"/>
    <cellStyle name="Standard 4 9 2 8" xfId="31413" xr:uid="{00000000-0005-0000-0000-0000997B0000}"/>
    <cellStyle name="Standard 4 9 2 8 2" xfId="31414" xr:uid="{00000000-0005-0000-0000-00009A7B0000}"/>
    <cellStyle name="Standard 4 9 2 9" xfId="31415" xr:uid="{00000000-0005-0000-0000-00009B7B0000}"/>
    <cellStyle name="Standard 4 9 3" xfId="31416" xr:uid="{00000000-0005-0000-0000-00009C7B0000}"/>
    <cellStyle name="Standard 4 9 3 2" xfId="31417" xr:uid="{00000000-0005-0000-0000-00009D7B0000}"/>
    <cellStyle name="Standard 4 9 3 2 2" xfId="31418" xr:uid="{00000000-0005-0000-0000-00009E7B0000}"/>
    <cellStyle name="Standard 4 9 3 2 2 2" xfId="31419" xr:uid="{00000000-0005-0000-0000-00009F7B0000}"/>
    <cellStyle name="Standard 4 9 3 2 2 2 2" xfId="31420" xr:uid="{00000000-0005-0000-0000-0000A07B0000}"/>
    <cellStyle name="Standard 4 9 3 2 2 2 3" xfId="31421" xr:uid="{00000000-0005-0000-0000-0000A17B0000}"/>
    <cellStyle name="Standard 4 9 3 2 2 3" xfId="31422" xr:uid="{00000000-0005-0000-0000-0000A27B0000}"/>
    <cellStyle name="Standard 4 9 3 2 2 3 2" xfId="31423" xr:uid="{00000000-0005-0000-0000-0000A37B0000}"/>
    <cellStyle name="Standard 4 9 3 2 2 3 3" xfId="31424" xr:uid="{00000000-0005-0000-0000-0000A47B0000}"/>
    <cellStyle name="Standard 4 9 3 2 2 4" xfId="31425" xr:uid="{00000000-0005-0000-0000-0000A57B0000}"/>
    <cellStyle name="Standard 4 9 3 2 2 4 2" xfId="31426" xr:uid="{00000000-0005-0000-0000-0000A67B0000}"/>
    <cellStyle name="Standard 4 9 3 2 2 5" xfId="31427" xr:uid="{00000000-0005-0000-0000-0000A77B0000}"/>
    <cellStyle name="Standard 4 9 3 2 2 6" xfId="31428" xr:uid="{00000000-0005-0000-0000-0000A87B0000}"/>
    <cellStyle name="Standard 4 9 3 2 3" xfId="31429" xr:uid="{00000000-0005-0000-0000-0000A97B0000}"/>
    <cellStyle name="Standard 4 9 3 2 3 2" xfId="31430" xr:uid="{00000000-0005-0000-0000-0000AA7B0000}"/>
    <cellStyle name="Standard 4 9 3 2 3 3" xfId="31431" xr:uid="{00000000-0005-0000-0000-0000AB7B0000}"/>
    <cellStyle name="Standard 4 9 3 2 4" xfId="31432" xr:uid="{00000000-0005-0000-0000-0000AC7B0000}"/>
    <cellStyle name="Standard 4 9 3 2 4 2" xfId="31433" xr:uid="{00000000-0005-0000-0000-0000AD7B0000}"/>
    <cellStyle name="Standard 4 9 3 2 4 3" xfId="31434" xr:uid="{00000000-0005-0000-0000-0000AE7B0000}"/>
    <cellStyle name="Standard 4 9 3 2 5" xfId="31435" xr:uid="{00000000-0005-0000-0000-0000AF7B0000}"/>
    <cellStyle name="Standard 4 9 3 2 5 2" xfId="31436" xr:uid="{00000000-0005-0000-0000-0000B07B0000}"/>
    <cellStyle name="Standard 4 9 3 2 6" xfId="31437" xr:uid="{00000000-0005-0000-0000-0000B17B0000}"/>
    <cellStyle name="Standard 4 9 3 2 7" xfId="31438" xr:uid="{00000000-0005-0000-0000-0000B27B0000}"/>
    <cellStyle name="Standard 4 9 3 3" xfId="31439" xr:uid="{00000000-0005-0000-0000-0000B37B0000}"/>
    <cellStyle name="Standard 4 9 3 3 2" xfId="31440" xr:uid="{00000000-0005-0000-0000-0000B47B0000}"/>
    <cellStyle name="Standard 4 9 3 3 2 2" xfId="31441" xr:uid="{00000000-0005-0000-0000-0000B57B0000}"/>
    <cellStyle name="Standard 4 9 3 3 2 3" xfId="31442" xr:uid="{00000000-0005-0000-0000-0000B67B0000}"/>
    <cellStyle name="Standard 4 9 3 3 3" xfId="31443" xr:uid="{00000000-0005-0000-0000-0000B77B0000}"/>
    <cellStyle name="Standard 4 9 3 3 3 2" xfId="31444" xr:uid="{00000000-0005-0000-0000-0000B87B0000}"/>
    <cellStyle name="Standard 4 9 3 3 3 3" xfId="31445" xr:uid="{00000000-0005-0000-0000-0000B97B0000}"/>
    <cellStyle name="Standard 4 9 3 3 4" xfId="31446" xr:uid="{00000000-0005-0000-0000-0000BA7B0000}"/>
    <cellStyle name="Standard 4 9 3 3 4 2" xfId="31447" xr:uid="{00000000-0005-0000-0000-0000BB7B0000}"/>
    <cellStyle name="Standard 4 9 3 3 5" xfId="31448" xr:uid="{00000000-0005-0000-0000-0000BC7B0000}"/>
    <cellStyle name="Standard 4 9 3 3 6" xfId="31449" xr:uid="{00000000-0005-0000-0000-0000BD7B0000}"/>
    <cellStyle name="Standard 4 9 3 4" xfId="31450" xr:uid="{00000000-0005-0000-0000-0000BE7B0000}"/>
    <cellStyle name="Standard 4 9 3 4 2" xfId="31451" xr:uid="{00000000-0005-0000-0000-0000BF7B0000}"/>
    <cellStyle name="Standard 4 9 3 4 3" xfId="31452" xr:uid="{00000000-0005-0000-0000-0000C07B0000}"/>
    <cellStyle name="Standard 4 9 3 5" xfId="31453" xr:uid="{00000000-0005-0000-0000-0000C17B0000}"/>
    <cellStyle name="Standard 4 9 3 5 2" xfId="31454" xr:uid="{00000000-0005-0000-0000-0000C27B0000}"/>
    <cellStyle name="Standard 4 9 3 5 3" xfId="31455" xr:uid="{00000000-0005-0000-0000-0000C37B0000}"/>
    <cellStyle name="Standard 4 9 3 6" xfId="31456" xr:uid="{00000000-0005-0000-0000-0000C47B0000}"/>
    <cellStyle name="Standard 4 9 3 6 2" xfId="31457" xr:uid="{00000000-0005-0000-0000-0000C57B0000}"/>
    <cellStyle name="Standard 4 9 3 7" xfId="31458" xr:uid="{00000000-0005-0000-0000-0000C67B0000}"/>
    <cellStyle name="Standard 4 9 3 8" xfId="31459" xr:uid="{00000000-0005-0000-0000-0000C77B0000}"/>
    <cellStyle name="Standard 4 9 4" xfId="31460" xr:uid="{00000000-0005-0000-0000-0000C87B0000}"/>
    <cellStyle name="Standard 4 9 4 2" xfId="31461" xr:uid="{00000000-0005-0000-0000-0000C97B0000}"/>
    <cellStyle name="Standard 4 9 4 2 2" xfId="31462" xr:uid="{00000000-0005-0000-0000-0000CA7B0000}"/>
    <cellStyle name="Standard 4 9 4 2 2 2" xfId="31463" xr:uid="{00000000-0005-0000-0000-0000CB7B0000}"/>
    <cellStyle name="Standard 4 9 4 2 2 2 2" xfId="31464" xr:uid="{00000000-0005-0000-0000-0000CC7B0000}"/>
    <cellStyle name="Standard 4 9 4 2 2 2 3" xfId="31465" xr:uid="{00000000-0005-0000-0000-0000CD7B0000}"/>
    <cellStyle name="Standard 4 9 4 2 2 3" xfId="31466" xr:uid="{00000000-0005-0000-0000-0000CE7B0000}"/>
    <cellStyle name="Standard 4 9 4 2 2 3 2" xfId="31467" xr:uid="{00000000-0005-0000-0000-0000CF7B0000}"/>
    <cellStyle name="Standard 4 9 4 2 2 3 3" xfId="31468" xr:uid="{00000000-0005-0000-0000-0000D07B0000}"/>
    <cellStyle name="Standard 4 9 4 2 2 4" xfId="31469" xr:uid="{00000000-0005-0000-0000-0000D17B0000}"/>
    <cellStyle name="Standard 4 9 4 2 2 4 2" xfId="31470" xr:uid="{00000000-0005-0000-0000-0000D27B0000}"/>
    <cellStyle name="Standard 4 9 4 2 2 5" xfId="31471" xr:uid="{00000000-0005-0000-0000-0000D37B0000}"/>
    <cellStyle name="Standard 4 9 4 2 2 6" xfId="31472" xr:uid="{00000000-0005-0000-0000-0000D47B0000}"/>
    <cellStyle name="Standard 4 9 4 2 3" xfId="31473" xr:uid="{00000000-0005-0000-0000-0000D57B0000}"/>
    <cellStyle name="Standard 4 9 4 2 3 2" xfId="31474" xr:uid="{00000000-0005-0000-0000-0000D67B0000}"/>
    <cellStyle name="Standard 4 9 4 2 3 3" xfId="31475" xr:uid="{00000000-0005-0000-0000-0000D77B0000}"/>
    <cellStyle name="Standard 4 9 4 2 4" xfId="31476" xr:uid="{00000000-0005-0000-0000-0000D87B0000}"/>
    <cellStyle name="Standard 4 9 4 2 4 2" xfId="31477" xr:uid="{00000000-0005-0000-0000-0000D97B0000}"/>
    <cellStyle name="Standard 4 9 4 2 4 3" xfId="31478" xr:uid="{00000000-0005-0000-0000-0000DA7B0000}"/>
    <cellStyle name="Standard 4 9 4 2 5" xfId="31479" xr:uid="{00000000-0005-0000-0000-0000DB7B0000}"/>
    <cellStyle name="Standard 4 9 4 2 5 2" xfId="31480" xr:uid="{00000000-0005-0000-0000-0000DC7B0000}"/>
    <cellStyle name="Standard 4 9 4 2 6" xfId="31481" xr:uid="{00000000-0005-0000-0000-0000DD7B0000}"/>
    <cellStyle name="Standard 4 9 4 2 7" xfId="31482" xr:uid="{00000000-0005-0000-0000-0000DE7B0000}"/>
    <cellStyle name="Standard 4 9 4 3" xfId="31483" xr:uid="{00000000-0005-0000-0000-0000DF7B0000}"/>
    <cellStyle name="Standard 4 9 4 3 2" xfId="31484" xr:uid="{00000000-0005-0000-0000-0000E07B0000}"/>
    <cellStyle name="Standard 4 9 4 3 2 2" xfId="31485" xr:uid="{00000000-0005-0000-0000-0000E17B0000}"/>
    <cellStyle name="Standard 4 9 4 3 2 3" xfId="31486" xr:uid="{00000000-0005-0000-0000-0000E27B0000}"/>
    <cellStyle name="Standard 4 9 4 3 3" xfId="31487" xr:uid="{00000000-0005-0000-0000-0000E37B0000}"/>
    <cellStyle name="Standard 4 9 4 3 3 2" xfId="31488" xr:uid="{00000000-0005-0000-0000-0000E47B0000}"/>
    <cellStyle name="Standard 4 9 4 3 3 3" xfId="31489" xr:uid="{00000000-0005-0000-0000-0000E57B0000}"/>
    <cellStyle name="Standard 4 9 4 3 4" xfId="31490" xr:uid="{00000000-0005-0000-0000-0000E67B0000}"/>
    <cellStyle name="Standard 4 9 4 3 4 2" xfId="31491" xr:uid="{00000000-0005-0000-0000-0000E77B0000}"/>
    <cellStyle name="Standard 4 9 4 3 5" xfId="31492" xr:uid="{00000000-0005-0000-0000-0000E87B0000}"/>
    <cellStyle name="Standard 4 9 4 3 6" xfId="31493" xr:uid="{00000000-0005-0000-0000-0000E97B0000}"/>
    <cellStyle name="Standard 4 9 4 4" xfId="31494" xr:uid="{00000000-0005-0000-0000-0000EA7B0000}"/>
    <cellStyle name="Standard 4 9 4 4 2" xfId="31495" xr:uid="{00000000-0005-0000-0000-0000EB7B0000}"/>
    <cellStyle name="Standard 4 9 4 4 3" xfId="31496" xr:uid="{00000000-0005-0000-0000-0000EC7B0000}"/>
    <cellStyle name="Standard 4 9 4 5" xfId="31497" xr:uid="{00000000-0005-0000-0000-0000ED7B0000}"/>
    <cellStyle name="Standard 4 9 4 5 2" xfId="31498" xr:uid="{00000000-0005-0000-0000-0000EE7B0000}"/>
    <cellStyle name="Standard 4 9 4 5 3" xfId="31499" xr:uid="{00000000-0005-0000-0000-0000EF7B0000}"/>
    <cellStyle name="Standard 4 9 4 6" xfId="31500" xr:uid="{00000000-0005-0000-0000-0000F07B0000}"/>
    <cellStyle name="Standard 4 9 4 6 2" xfId="31501" xr:uid="{00000000-0005-0000-0000-0000F17B0000}"/>
    <cellStyle name="Standard 4 9 4 7" xfId="31502" xr:uid="{00000000-0005-0000-0000-0000F27B0000}"/>
    <cellStyle name="Standard 4 9 4 8" xfId="31503" xr:uid="{00000000-0005-0000-0000-0000F37B0000}"/>
    <cellStyle name="Standard 4 9 5" xfId="31504" xr:uid="{00000000-0005-0000-0000-0000F47B0000}"/>
    <cellStyle name="Standard 4 9 5 2" xfId="31505" xr:uid="{00000000-0005-0000-0000-0000F57B0000}"/>
    <cellStyle name="Standard 4 9 5 2 2" xfId="31506" xr:uid="{00000000-0005-0000-0000-0000F67B0000}"/>
    <cellStyle name="Standard 4 9 5 2 2 2" xfId="31507" xr:uid="{00000000-0005-0000-0000-0000F77B0000}"/>
    <cellStyle name="Standard 4 9 5 2 2 3" xfId="31508" xr:uid="{00000000-0005-0000-0000-0000F87B0000}"/>
    <cellStyle name="Standard 4 9 5 2 3" xfId="31509" xr:uid="{00000000-0005-0000-0000-0000F97B0000}"/>
    <cellStyle name="Standard 4 9 5 2 3 2" xfId="31510" xr:uid="{00000000-0005-0000-0000-0000FA7B0000}"/>
    <cellStyle name="Standard 4 9 5 2 3 3" xfId="31511" xr:uid="{00000000-0005-0000-0000-0000FB7B0000}"/>
    <cellStyle name="Standard 4 9 5 2 4" xfId="31512" xr:uid="{00000000-0005-0000-0000-0000FC7B0000}"/>
    <cellStyle name="Standard 4 9 5 2 4 2" xfId="31513" xr:uid="{00000000-0005-0000-0000-0000FD7B0000}"/>
    <cellStyle name="Standard 4 9 5 2 5" xfId="31514" xr:uid="{00000000-0005-0000-0000-0000FE7B0000}"/>
    <cellStyle name="Standard 4 9 5 2 6" xfId="31515" xr:uid="{00000000-0005-0000-0000-0000FF7B0000}"/>
    <cellStyle name="Standard 4 9 5 3" xfId="31516" xr:uid="{00000000-0005-0000-0000-0000007C0000}"/>
    <cellStyle name="Standard 4 9 5 3 2" xfId="31517" xr:uid="{00000000-0005-0000-0000-0000017C0000}"/>
    <cellStyle name="Standard 4 9 5 3 3" xfId="31518" xr:uid="{00000000-0005-0000-0000-0000027C0000}"/>
    <cellStyle name="Standard 4 9 5 4" xfId="31519" xr:uid="{00000000-0005-0000-0000-0000037C0000}"/>
    <cellStyle name="Standard 4 9 5 4 2" xfId="31520" xr:uid="{00000000-0005-0000-0000-0000047C0000}"/>
    <cellStyle name="Standard 4 9 5 4 3" xfId="31521" xr:uid="{00000000-0005-0000-0000-0000057C0000}"/>
    <cellStyle name="Standard 4 9 5 5" xfId="31522" xr:uid="{00000000-0005-0000-0000-0000067C0000}"/>
    <cellStyle name="Standard 4 9 5 5 2" xfId="31523" xr:uid="{00000000-0005-0000-0000-0000077C0000}"/>
    <cellStyle name="Standard 4 9 5 6" xfId="31524" xr:uid="{00000000-0005-0000-0000-0000087C0000}"/>
    <cellStyle name="Standard 4 9 5 7" xfId="31525" xr:uid="{00000000-0005-0000-0000-0000097C0000}"/>
    <cellStyle name="Standard 4 9 6" xfId="31526" xr:uid="{00000000-0005-0000-0000-00000A7C0000}"/>
    <cellStyle name="Standard 4 9 6 2" xfId="31527" xr:uid="{00000000-0005-0000-0000-00000B7C0000}"/>
    <cellStyle name="Standard 4 9 6 2 2" xfId="31528" xr:uid="{00000000-0005-0000-0000-00000C7C0000}"/>
    <cellStyle name="Standard 4 9 6 2 3" xfId="31529" xr:uid="{00000000-0005-0000-0000-00000D7C0000}"/>
    <cellStyle name="Standard 4 9 6 3" xfId="31530" xr:uid="{00000000-0005-0000-0000-00000E7C0000}"/>
    <cellStyle name="Standard 4 9 6 3 2" xfId="31531" xr:uid="{00000000-0005-0000-0000-00000F7C0000}"/>
    <cellStyle name="Standard 4 9 6 3 3" xfId="31532" xr:uid="{00000000-0005-0000-0000-0000107C0000}"/>
    <cellStyle name="Standard 4 9 6 4" xfId="31533" xr:uid="{00000000-0005-0000-0000-0000117C0000}"/>
    <cellStyle name="Standard 4 9 6 4 2" xfId="31534" xr:uid="{00000000-0005-0000-0000-0000127C0000}"/>
    <cellStyle name="Standard 4 9 6 5" xfId="31535" xr:uid="{00000000-0005-0000-0000-0000137C0000}"/>
    <cellStyle name="Standard 4 9 6 6" xfId="31536" xr:uid="{00000000-0005-0000-0000-0000147C0000}"/>
    <cellStyle name="Standard 4 9 7" xfId="31537" xr:uid="{00000000-0005-0000-0000-0000157C0000}"/>
    <cellStyle name="Standard 4 9 7 2" xfId="31538" xr:uid="{00000000-0005-0000-0000-0000167C0000}"/>
    <cellStyle name="Standard 4 9 7 3" xfId="31539" xr:uid="{00000000-0005-0000-0000-0000177C0000}"/>
    <cellStyle name="Standard 4 9 8" xfId="31540" xr:uid="{00000000-0005-0000-0000-0000187C0000}"/>
    <cellStyle name="Standard 4 9 8 2" xfId="31541" xr:uid="{00000000-0005-0000-0000-0000197C0000}"/>
    <cellStyle name="Standard 4 9 8 3" xfId="31542" xr:uid="{00000000-0005-0000-0000-00001A7C0000}"/>
    <cellStyle name="Standard 4 9 9" xfId="31543" xr:uid="{00000000-0005-0000-0000-00001B7C0000}"/>
    <cellStyle name="Standard 4 9 9 2" xfId="31544" xr:uid="{00000000-0005-0000-0000-00001C7C0000}"/>
    <cellStyle name="Standard 40" xfId="596" xr:uid="{00000000-0005-0000-0000-00001D7C0000}"/>
    <cellStyle name="Standard 40 2" xfId="597" xr:uid="{00000000-0005-0000-0000-00001E7C0000}"/>
    <cellStyle name="Standard 41" xfId="598" xr:uid="{00000000-0005-0000-0000-00001F7C0000}"/>
    <cellStyle name="Standard 41 2" xfId="599" xr:uid="{00000000-0005-0000-0000-0000207C0000}"/>
    <cellStyle name="Standard 42" xfId="600" xr:uid="{00000000-0005-0000-0000-0000217C0000}"/>
    <cellStyle name="Standard 42 2" xfId="601" xr:uid="{00000000-0005-0000-0000-0000227C0000}"/>
    <cellStyle name="Standard 43" xfId="602" xr:uid="{00000000-0005-0000-0000-0000237C0000}"/>
    <cellStyle name="Standard 43 2" xfId="603" xr:uid="{00000000-0005-0000-0000-0000247C0000}"/>
    <cellStyle name="Standard 44" xfId="604" xr:uid="{00000000-0005-0000-0000-0000257C0000}"/>
    <cellStyle name="Standard 44 2" xfId="605" xr:uid="{00000000-0005-0000-0000-0000267C0000}"/>
    <cellStyle name="Standard 45" xfId="606" xr:uid="{00000000-0005-0000-0000-0000277C0000}"/>
    <cellStyle name="Standard 45 2" xfId="607" xr:uid="{00000000-0005-0000-0000-0000287C0000}"/>
    <cellStyle name="Standard 46" xfId="608" xr:uid="{00000000-0005-0000-0000-0000297C0000}"/>
    <cellStyle name="Standard 46 2" xfId="609" xr:uid="{00000000-0005-0000-0000-00002A7C0000}"/>
    <cellStyle name="Standard 47" xfId="610" xr:uid="{00000000-0005-0000-0000-00002B7C0000}"/>
    <cellStyle name="Standard 47 2" xfId="611" xr:uid="{00000000-0005-0000-0000-00002C7C0000}"/>
    <cellStyle name="Standard 48" xfId="612" xr:uid="{00000000-0005-0000-0000-00002D7C0000}"/>
    <cellStyle name="Standard 48 2" xfId="613" xr:uid="{00000000-0005-0000-0000-00002E7C0000}"/>
    <cellStyle name="Standard 49" xfId="614" xr:uid="{00000000-0005-0000-0000-00002F7C0000}"/>
    <cellStyle name="Standard 49 2" xfId="615" xr:uid="{00000000-0005-0000-0000-0000307C0000}"/>
    <cellStyle name="Standard 5" xfId="616" xr:uid="{00000000-0005-0000-0000-0000317C0000}"/>
    <cellStyle name="Standard 5 10" xfId="31545" xr:uid="{00000000-0005-0000-0000-0000327C0000}"/>
    <cellStyle name="Standard 5 10 2" xfId="31546" xr:uid="{00000000-0005-0000-0000-0000337C0000}"/>
    <cellStyle name="Standard 5 10 3" xfId="31547" xr:uid="{00000000-0005-0000-0000-0000347C0000}"/>
    <cellStyle name="Standard 5 11" xfId="31548" xr:uid="{00000000-0005-0000-0000-0000357C0000}"/>
    <cellStyle name="Standard 5 11 2" xfId="31549" xr:uid="{00000000-0005-0000-0000-0000367C0000}"/>
    <cellStyle name="Standard 5 11 3" xfId="31550" xr:uid="{00000000-0005-0000-0000-0000377C0000}"/>
    <cellStyle name="Standard 5 12" xfId="31551" xr:uid="{00000000-0005-0000-0000-0000387C0000}"/>
    <cellStyle name="Standard 5 12 2" xfId="31552" xr:uid="{00000000-0005-0000-0000-0000397C0000}"/>
    <cellStyle name="Standard 5 13" xfId="31553" xr:uid="{00000000-0005-0000-0000-00003A7C0000}"/>
    <cellStyle name="Standard 5 14" xfId="31554" xr:uid="{00000000-0005-0000-0000-00003B7C0000}"/>
    <cellStyle name="Standard 5 15" xfId="31555" xr:uid="{00000000-0005-0000-0000-00003C7C0000}"/>
    <cellStyle name="Standard 5 16" xfId="31556" xr:uid="{00000000-0005-0000-0000-00003D7C0000}"/>
    <cellStyle name="Standard 5 2" xfId="617" xr:uid="{00000000-0005-0000-0000-00003E7C0000}"/>
    <cellStyle name="Standard 5 2 2" xfId="618" xr:uid="{00000000-0005-0000-0000-00003F7C0000}"/>
    <cellStyle name="Standard 5 2 2 2" xfId="33478" xr:uid="{00000000-0005-0000-0000-0000407C0000}"/>
    <cellStyle name="Standard 5 2 3" xfId="31557" xr:uid="{00000000-0005-0000-0000-0000417C0000}"/>
    <cellStyle name="Standard 5 2 4" xfId="31558" xr:uid="{00000000-0005-0000-0000-0000427C0000}"/>
    <cellStyle name="Standard 5 3" xfId="619" xr:uid="{00000000-0005-0000-0000-0000437C0000}"/>
    <cellStyle name="Standard 5 3 2" xfId="31559" xr:uid="{00000000-0005-0000-0000-0000447C0000}"/>
    <cellStyle name="Standard 5 3 3" xfId="31560" xr:uid="{00000000-0005-0000-0000-0000457C0000}"/>
    <cellStyle name="Standard 5 4" xfId="31561" xr:uid="{00000000-0005-0000-0000-0000467C0000}"/>
    <cellStyle name="Standard 5 5" xfId="31562" xr:uid="{00000000-0005-0000-0000-0000477C0000}"/>
    <cellStyle name="Standard 5 5 10" xfId="31563" xr:uid="{00000000-0005-0000-0000-0000487C0000}"/>
    <cellStyle name="Standard 5 5 2" xfId="31564" xr:uid="{00000000-0005-0000-0000-0000497C0000}"/>
    <cellStyle name="Standard 5 5 2 2" xfId="31565" xr:uid="{00000000-0005-0000-0000-00004A7C0000}"/>
    <cellStyle name="Standard 5 5 2 2 2" xfId="31566" xr:uid="{00000000-0005-0000-0000-00004B7C0000}"/>
    <cellStyle name="Standard 5 5 2 2 2 2" xfId="31567" xr:uid="{00000000-0005-0000-0000-00004C7C0000}"/>
    <cellStyle name="Standard 5 5 2 2 2 2 2" xfId="31568" xr:uid="{00000000-0005-0000-0000-00004D7C0000}"/>
    <cellStyle name="Standard 5 5 2 2 2 2 3" xfId="31569" xr:uid="{00000000-0005-0000-0000-00004E7C0000}"/>
    <cellStyle name="Standard 5 5 2 2 2 3" xfId="31570" xr:uid="{00000000-0005-0000-0000-00004F7C0000}"/>
    <cellStyle name="Standard 5 5 2 2 2 3 2" xfId="31571" xr:uid="{00000000-0005-0000-0000-0000507C0000}"/>
    <cellStyle name="Standard 5 5 2 2 2 3 3" xfId="31572" xr:uid="{00000000-0005-0000-0000-0000517C0000}"/>
    <cellStyle name="Standard 5 5 2 2 2 4" xfId="31573" xr:uid="{00000000-0005-0000-0000-0000527C0000}"/>
    <cellStyle name="Standard 5 5 2 2 2 4 2" xfId="31574" xr:uid="{00000000-0005-0000-0000-0000537C0000}"/>
    <cellStyle name="Standard 5 5 2 2 2 5" xfId="31575" xr:uid="{00000000-0005-0000-0000-0000547C0000}"/>
    <cellStyle name="Standard 5 5 2 2 2 6" xfId="31576" xr:uid="{00000000-0005-0000-0000-0000557C0000}"/>
    <cellStyle name="Standard 5 5 2 2 3" xfId="31577" xr:uid="{00000000-0005-0000-0000-0000567C0000}"/>
    <cellStyle name="Standard 5 5 2 2 3 2" xfId="31578" xr:uid="{00000000-0005-0000-0000-0000577C0000}"/>
    <cellStyle name="Standard 5 5 2 2 3 3" xfId="31579" xr:uid="{00000000-0005-0000-0000-0000587C0000}"/>
    <cellStyle name="Standard 5 5 2 2 4" xfId="31580" xr:uid="{00000000-0005-0000-0000-0000597C0000}"/>
    <cellStyle name="Standard 5 5 2 2 4 2" xfId="31581" xr:uid="{00000000-0005-0000-0000-00005A7C0000}"/>
    <cellStyle name="Standard 5 5 2 2 4 3" xfId="31582" xr:uid="{00000000-0005-0000-0000-00005B7C0000}"/>
    <cellStyle name="Standard 5 5 2 2 5" xfId="31583" xr:uid="{00000000-0005-0000-0000-00005C7C0000}"/>
    <cellStyle name="Standard 5 5 2 2 5 2" xfId="31584" xr:uid="{00000000-0005-0000-0000-00005D7C0000}"/>
    <cellStyle name="Standard 5 5 2 2 6" xfId="31585" xr:uid="{00000000-0005-0000-0000-00005E7C0000}"/>
    <cellStyle name="Standard 5 5 2 2 7" xfId="31586" xr:uid="{00000000-0005-0000-0000-00005F7C0000}"/>
    <cellStyle name="Standard 5 5 2 3" xfId="31587" xr:uid="{00000000-0005-0000-0000-0000607C0000}"/>
    <cellStyle name="Standard 5 5 2 3 2" xfId="31588" xr:uid="{00000000-0005-0000-0000-0000617C0000}"/>
    <cellStyle name="Standard 5 5 2 3 2 2" xfId="31589" xr:uid="{00000000-0005-0000-0000-0000627C0000}"/>
    <cellStyle name="Standard 5 5 2 3 2 3" xfId="31590" xr:uid="{00000000-0005-0000-0000-0000637C0000}"/>
    <cellStyle name="Standard 5 5 2 3 3" xfId="31591" xr:uid="{00000000-0005-0000-0000-0000647C0000}"/>
    <cellStyle name="Standard 5 5 2 3 3 2" xfId="31592" xr:uid="{00000000-0005-0000-0000-0000657C0000}"/>
    <cellStyle name="Standard 5 5 2 3 3 3" xfId="31593" xr:uid="{00000000-0005-0000-0000-0000667C0000}"/>
    <cellStyle name="Standard 5 5 2 3 4" xfId="31594" xr:uid="{00000000-0005-0000-0000-0000677C0000}"/>
    <cellStyle name="Standard 5 5 2 3 4 2" xfId="31595" xr:uid="{00000000-0005-0000-0000-0000687C0000}"/>
    <cellStyle name="Standard 5 5 2 3 5" xfId="31596" xr:uid="{00000000-0005-0000-0000-0000697C0000}"/>
    <cellStyle name="Standard 5 5 2 3 6" xfId="31597" xr:uid="{00000000-0005-0000-0000-00006A7C0000}"/>
    <cellStyle name="Standard 5 5 2 4" xfId="31598" xr:uid="{00000000-0005-0000-0000-00006B7C0000}"/>
    <cellStyle name="Standard 5 5 2 4 2" xfId="31599" xr:uid="{00000000-0005-0000-0000-00006C7C0000}"/>
    <cellStyle name="Standard 5 5 2 4 3" xfId="31600" xr:uid="{00000000-0005-0000-0000-00006D7C0000}"/>
    <cellStyle name="Standard 5 5 2 5" xfId="31601" xr:uid="{00000000-0005-0000-0000-00006E7C0000}"/>
    <cellStyle name="Standard 5 5 2 5 2" xfId="31602" xr:uid="{00000000-0005-0000-0000-00006F7C0000}"/>
    <cellStyle name="Standard 5 5 2 5 3" xfId="31603" xr:uid="{00000000-0005-0000-0000-0000707C0000}"/>
    <cellStyle name="Standard 5 5 2 6" xfId="31604" xr:uid="{00000000-0005-0000-0000-0000717C0000}"/>
    <cellStyle name="Standard 5 5 2 6 2" xfId="31605" xr:uid="{00000000-0005-0000-0000-0000727C0000}"/>
    <cellStyle name="Standard 5 5 2 7" xfId="31606" xr:uid="{00000000-0005-0000-0000-0000737C0000}"/>
    <cellStyle name="Standard 5 5 2 8" xfId="31607" xr:uid="{00000000-0005-0000-0000-0000747C0000}"/>
    <cellStyle name="Standard 5 5 3" xfId="31608" xr:uid="{00000000-0005-0000-0000-0000757C0000}"/>
    <cellStyle name="Standard 5 5 3 2" xfId="31609" xr:uid="{00000000-0005-0000-0000-0000767C0000}"/>
    <cellStyle name="Standard 5 5 3 2 2" xfId="31610" xr:uid="{00000000-0005-0000-0000-0000777C0000}"/>
    <cellStyle name="Standard 5 5 3 2 2 2" xfId="31611" xr:uid="{00000000-0005-0000-0000-0000787C0000}"/>
    <cellStyle name="Standard 5 5 3 2 2 2 2" xfId="31612" xr:uid="{00000000-0005-0000-0000-0000797C0000}"/>
    <cellStyle name="Standard 5 5 3 2 2 2 3" xfId="31613" xr:uid="{00000000-0005-0000-0000-00007A7C0000}"/>
    <cellStyle name="Standard 5 5 3 2 2 3" xfId="31614" xr:uid="{00000000-0005-0000-0000-00007B7C0000}"/>
    <cellStyle name="Standard 5 5 3 2 2 3 2" xfId="31615" xr:uid="{00000000-0005-0000-0000-00007C7C0000}"/>
    <cellStyle name="Standard 5 5 3 2 2 3 3" xfId="31616" xr:uid="{00000000-0005-0000-0000-00007D7C0000}"/>
    <cellStyle name="Standard 5 5 3 2 2 4" xfId="31617" xr:uid="{00000000-0005-0000-0000-00007E7C0000}"/>
    <cellStyle name="Standard 5 5 3 2 2 4 2" xfId="31618" xr:uid="{00000000-0005-0000-0000-00007F7C0000}"/>
    <cellStyle name="Standard 5 5 3 2 2 5" xfId="31619" xr:uid="{00000000-0005-0000-0000-0000807C0000}"/>
    <cellStyle name="Standard 5 5 3 2 2 6" xfId="31620" xr:uid="{00000000-0005-0000-0000-0000817C0000}"/>
    <cellStyle name="Standard 5 5 3 2 3" xfId="31621" xr:uid="{00000000-0005-0000-0000-0000827C0000}"/>
    <cellStyle name="Standard 5 5 3 2 3 2" xfId="31622" xr:uid="{00000000-0005-0000-0000-0000837C0000}"/>
    <cellStyle name="Standard 5 5 3 2 3 3" xfId="31623" xr:uid="{00000000-0005-0000-0000-0000847C0000}"/>
    <cellStyle name="Standard 5 5 3 2 4" xfId="31624" xr:uid="{00000000-0005-0000-0000-0000857C0000}"/>
    <cellStyle name="Standard 5 5 3 2 4 2" xfId="31625" xr:uid="{00000000-0005-0000-0000-0000867C0000}"/>
    <cellStyle name="Standard 5 5 3 2 4 3" xfId="31626" xr:uid="{00000000-0005-0000-0000-0000877C0000}"/>
    <cellStyle name="Standard 5 5 3 2 5" xfId="31627" xr:uid="{00000000-0005-0000-0000-0000887C0000}"/>
    <cellStyle name="Standard 5 5 3 2 5 2" xfId="31628" xr:uid="{00000000-0005-0000-0000-0000897C0000}"/>
    <cellStyle name="Standard 5 5 3 2 6" xfId="31629" xr:uid="{00000000-0005-0000-0000-00008A7C0000}"/>
    <cellStyle name="Standard 5 5 3 2 7" xfId="31630" xr:uid="{00000000-0005-0000-0000-00008B7C0000}"/>
    <cellStyle name="Standard 5 5 3 3" xfId="31631" xr:uid="{00000000-0005-0000-0000-00008C7C0000}"/>
    <cellStyle name="Standard 5 5 3 3 2" xfId="31632" xr:uid="{00000000-0005-0000-0000-00008D7C0000}"/>
    <cellStyle name="Standard 5 5 3 3 2 2" xfId="31633" xr:uid="{00000000-0005-0000-0000-00008E7C0000}"/>
    <cellStyle name="Standard 5 5 3 3 2 3" xfId="31634" xr:uid="{00000000-0005-0000-0000-00008F7C0000}"/>
    <cellStyle name="Standard 5 5 3 3 3" xfId="31635" xr:uid="{00000000-0005-0000-0000-0000907C0000}"/>
    <cellStyle name="Standard 5 5 3 3 3 2" xfId="31636" xr:uid="{00000000-0005-0000-0000-0000917C0000}"/>
    <cellStyle name="Standard 5 5 3 3 3 3" xfId="31637" xr:uid="{00000000-0005-0000-0000-0000927C0000}"/>
    <cellStyle name="Standard 5 5 3 3 4" xfId="31638" xr:uid="{00000000-0005-0000-0000-0000937C0000}"/>
    <cellStyle name="Standard 5 5 3 3 4 2" xfId="31639" xr:uid="{00000000-0005-0000-0000-0000947C0000}"/>
    <cellStyle name="Standard 5 5 3 3 5" xfId="31640" xr:uid="{00000000-0005-0000-0000-0000957C0000}"/>
    <cellStyle name="Standard 5 5 3 3 6" xfId="31641" xr:uid="{00000000-0005-0000-0000-0000967C0000}"/>
    <cellStyle name="Standard 5 5 3 4" xfId="31642" xr:uid="{00000000-0005-0000-0000-0000977C0000}"/>
    <cellStyle name="Standard 5 5 3 4 2" xfId="31643" xr:uid="{00000000-0005-0000-0000-0000987C0000}"/>
    <cellStyle name="Standard 5 5 3 4 3" xfId="31644" xr:uid="{00000000-0005-0000-0000-0000997C0000}"/>
    <cellStyle name="Standard 5 5 3 5" xfId="31645" xr:uid="{00000000-0005-0000-0000-00009A7C0000}"/>
    <cellStyle name="Standard 5 5 3 5 2" xfId="31646" xr:uid="{00000000-0005-0000-0000-00009B7C0000}"/>
    <cellStyle name="Standard 5 5 3 5 3" xfId="31647" xr:uid="{00000000-0005-0000-0000-00009C7C0000}"/>
    <cellStyle name="Standard 5 5 3 6" xfId="31648" xr:uid="{00000000-0005-0000-0000-00009D7C0000}"/>
    <cellStyle name="Standard 5 5 3 6 2" xfId="31649" xr:uid="{00000000-0005-0000-0000-00009E7C0000}"/>
    <cellStyle name="Standard 5 5 3 7" xfId="31650" xr:uid="{00000000-0005-0000-0000-00009F7C0000}"/>
    <cellStyle name="Standard 5 5 3 8" xfId="31651" xr:uid="{00000000-0005-0000-0000-0000A07C0000}"/>
    <cellStyle name="Standard 5 5 4" xfId="31652" xr:uid="{00000000-0005-0000-0000-0000A17C0000}"/>
    <cellStyle name="Standard 5 5 4 2" xfId="31653" xr:uid="{00000000-0005-0000-0000-0000A27C0000}"/>
    <cellStyle name="Standard 5 5 4 2 2" xfId="31654" xr:uid="{00000000-0005-0000-0000-0000A37C0000}"/>
    <cellStyle name="Standard 5 5 4 2 2 2" xfId="31655" xr:uid="{00000000-0005-0000-0000-0000A47C0000}"/>
    <cellStyle name="Standard 5 5 4 2 2 3" xfId="31656" xr:uid="{00000000-0005-0000-0000-0000A57C0000}"/>
    <cellStyle name="Standard 5 5 4 2 3" xfId="31657" xr:uid="{00000000-0005-0000-0000-0000A67C0000}"/>
    <cellStyle name="Standard 5 5 4 2 3 2" xfId="31658" xr:uid="{00000000-0005-0000-0000-0000A77C0000}"/>
    <cellStyle name="Standard 5 5 4 2 3 3" xfId="31659" xr:uid="{00000000-0005-0000-0000-0000A87C0000}"/>
    <cellStyle name="Standard 5 5 4 2 4" xfId="31660" xr:uid="{00000000-0005-0000-0000-0000A97C0000}"/>
    <cellStyle name="Standard 5 5 4 2 4 2" xfId="31661" xr:uid="{00000000-0005-0000-0000-0000AA7C0000}"/>
    <cellStyle name="Standard 5 5 4 2 5" xfId="31662" xr:uid="{00000000-0005-0000-0000-0000AB7C0000}"/>
    <cellStyle name="Standard 5 5 4 2 6" xfId="31663" xr:uid="{00000000-0005-0000-0000-0000AC7C0000}"/>
    <cellStyle name="Standard 5 5 4 3" xfId="31664" xr:uid="{00000000-0005-0000-0000-0000AD7C0000}"/>
    <cellStyle name="Standard 5 5 4 3 2" xfId="31665" xr:uid="{00000000-0005-0000-0000-0000AE7C0000}"/>
    <cellStyle name="Standard 5 5 4 3 3" xfId="31666" xr:uid="{00000000-0005-0000-0000-0000AF7C0000}"/>
    <cellStyle name="Standard 5 5 4 4" xfId="31667" xr:uid="{00000000-0005-0000-0000-0000B07C0000}"/>
    <cellStyle name="Standard 5 5 4 4 2" xfId="31668" xr:uid="{00000000-0005-0000-0000-0000B17C0000}"/>
    <cellStyle name="Standard 5 5 4 4 3" xfId="31669" xr:uid="{00000000-0005-0000-0000-0000B27C0000}"/>
    <cellStyle name="Standard 5 5 4 5" xfId="31670" xr:uid="{00000000-0005-0000-0000-0000B37C0000}"/>
    <cellStyle name="Standard 5 5 4 5 2" xfId="31671" xr:uid="{00000000-0005-0000-0000-0000B47C0000}"/>
    <cellStyle name="Standard 5 5 4 6" xfId="31672" xr:uid="{00000000-0005-0000-0000-0000B57C0000}"/>
    <cellStyle name="Standard 5 5 4 7" xfId="31673" xr:uid="{00000000-0005-0000-0000-0000B67C0000}"/>
    <cellStyle name="Standard 5 5 5" xfId="31674" xr:uid="{00000000-0005-0000-0000-0000B77C0000}"/>
    <cellStyle name="Standard 5 5 5 2" xfId="31675" xr:uid="{00000000-0005-0000-0000-0000B87C0000}"/>
    <cellStyle name="Standard 5 5 5 2 2" xfId="31676" xr:uid="{00000000-0005-0000-0000-0000B97C0000}"/>
    <cellStyle name="Standard 5 5 5 2 3" xfId="31677" xr:uid="{00000000-0005-0000-0000-0000BA7C0000}"/>
    <cellStyle name="Standard 5 5 5 3" xfId="31678" xr:uid="{00000000-0005-0000-0000-0000BB7C0000}"/>
    <cellStyle name="Standard 5 5 5 3 2" xfId="31679" xr:uid="{00000000-0005-0000-0000-0000BC7C0000}"/>
    <cellStyle name="Standard 5 5 5 3 3" xfId="31680" xr:uid="{00000000-0005-0000-0000-0000BD7C0000}"/>
    <cellStyle name="Standard 5 5 5 4" xfId="31681" xr:uid="{00000000-0005-0000-0000-0000BE7C0000}"/>
    <cellStyle name="Standard 5 5 5 4 2" xfId="31682" xr:uid="{00000000-0005-0000-0000-0000BF7C0000}"/>
    <cellStyle name="Standard 5 5 5 5" xfId="31683" xr:uid="{00000000-0005-0000-0000-0000C07C0000}"/>
    <cellStyle name="Standard 5 5 5 6" xfId="31684" xr:uid="{00000000-0005-0000-0000-0000C17C0000}"/>
    <cellStyle name="Standard 5 5 6" xfId="31685" xr:uid="{00000000-0005-0000-0000-0000C27C0000}"/>
    <cellStyle name="Standard 5 5 6 2" xfId="31686" xr:uid="{00000000-0005-0000-0000-0000C37C0000}"/>
    <cellStyle name="Standard 5 5 6 3" xfId="31687" xr:uid="{00000000-0005-0000-0000-0000C47C0000}"/>
    <cellStyle name="Standard 5 5 7" xfId="31688" xr:uid="{00000000-0005-0000-0000-0000C57C0000}"/>
    <cellStyle name="Standard 5 5 7 2" xfId="31689" xr:uid="{00000000-0005-0000-0000-0000C67C0000}"/>
    <cellStyle name="Standard 5 5 7 3" xfId="31690" xr:uid="{00000000-0005-0000-0000-0000C77C0000}"/>
    <cellStyle name="Standard 5 5 8" xfId="31691" xr:uid="{00000000-0005-0000-0000-0000C87C0000}"/>
    <cellStyle name="Standard 5 5 8 2" xfId="31692" xr:uid="{00000000-0005-0000-0000-0000C97C0000}"/>
    <cellStyle name="Standard 5 5 9" xfId="31693" xr:uid="{00000000-0005-0000-0000-0000CA7C0000}"/>
    <cellStyle name="Standard 5 6" xfId="31694" xr:uid="{00000000-0005-0000-0000-0000CB7C0000}"/>
    <cellStyle name="Standard 5 6 2" xfId="31695" xr:uid="{00000000-0005-0000-0000-0000CC7C0000}"/>
    <cellStyle name="Standard 5 6 2 2" xfId="31696" xr:uid="{00000000-0005-0000-0000-0000CD7C0000}"/>
    <cellStyle name="Standard 5 6 2 2 2" xfId="31697" xr:uid="{00000000-0005-0000-0000-0000CE7C0000}"/>
    <cellStyle name="Standard 5 6 2 2 2 2" xfId="31698" xr:uid="{00000000-0005-0000-0000-0000CF7C0000}"/>
    <cellStyle name="Standard 5 6 2 2 2 3" xfId="31699" xr:uid="{00000000-0005-0000-0000-0000D07C0000}"/>
    <cellStyle name="Standard 5 6 2 2 3" xfId="31700" xr:uid="{00000000-0005-0000-0000-0000D17C0000}"/>
    <cellStyle name="Standard 5 6 2 2 3 2" xfId="31701" xr:uid="{00000000-0005-0000-0000-0000D27C0000}"/>
    <cellStyle name="Standard 5 6 2 2 3 3" xfId="31702" xr:uid="{00000000-0005-0000-0000-0000D37C0000}"/>
    <cellStyle name="Standard 5 6 2 2 4" xfId="31703" xr:uid="{00000000-0005-0000-0000-0000D47C0000}"/>
    <cellStyle name="Standard 5 6 2 2 4 2" xfId="31704" xr:uid="{00000000-0005-0000-0000-0000D57C0000}"/>
    <cellStyle name="Standard 5 6 2 2 5" xfId="31705" xr:uid="{00000000-0005-0000-0000-0000D67C0000}"/>
    <cellStyle name="Standard 5 6 2 2 6" xfId="31706" xr:uid="{00000000-0005-0000-0000-0000D77C0000}"/>
    <cellStyle name="Standard 5 6 2 3" xfId="31707" xr:uid="{00000000-0005-0000-0000-0000D87C0000}"/>
    <cellStyle name="Standard 5 6 2 3 2" xfId="31708" xr:uid="{00000000-0005-0000-0000-0000D97C0000}"/>
    <cellStyle name="Standard 5 6 2 3 3" xfId="31709" xr:uid="{00000000-0005-0000-0000-0000DA7C0000}"/>
    <cellStyle name="Standard 5 6 2 4" xfId="31710" xr:uid="{00000000-0005-0000-0000-0000DB7C0000}"/>
    <cellStyle name="Standard 5 6 2 4 2" xfId="31711" xr:uid="{00000000-0005-0000-0000-0000DC7C0000}"/>
    <cellStyle name="Standard 5 6 2 4 3" xfId="31712" xr:uid="{00000000-0005-0000-0000-0000DD7C0000}"/>
    <cellStyle name="Standard 5 6 2 5" xfId="31713" xr:uid="{00000000-0005-0000-0000-0000DE7C0000}"/>
    <cellStyle name="Standard 5 6 2 5 2" xfId="31714" xr:uid="{00000000-0005-0000-0000-0000DF7C0000}"/>
    <cellStyle name="Standard 5 6 2 6" xfId="31715" xr:uid="{00000000-0005-0000-0000-0000E07C0000}"/>
    <cellStyle name="Standard 5 6 2 7" xfId="31716" xr:uid="{00000000-0005-0000-0000-0000E17C0000}"/>
    <cellStyle name="Standard 5 6 3" xfId="31717" xr:uid="{00000000-0005-0000-0000-0000E27C0000}"/>
    <cellStyle name="Standard 5 6 3 2" xfId="31718" xr:uid="{00000000-0005-0000-0000-0000E37C0000}"/>
    <cellStyle name="Standard 5 6 3 2 2" xfId="31719" xr:uid="{00000000-0005-0000-0000-0000E47C0000}"/>
    <cellStyle name="Standard 5 6 3 2 3" xfId="31720" xr:uid="{00000000-0005-0000-0000-0000E57C0000}"/>
    <cellStyle name="Standard 5 6 3 3" xfId="31721" xr:uid="{00000000-0005-0000-0000-0000E67C0000}"/>
    <cellStyle name="Standard 5 6 3 3 2" xfId="31722" xr:uid="{00000000-0005-0000-0000-0000E77C0000}"/>
    <cellStyle name="Standard 5 6 3 3 3" xfId="31723" xr:uid="{00000000-0005-0000-0000-0000E87C0000}"/>
    <cellStyle name="Standard 5 6 3 4" xfId="31724" xr:uid="{00000000-0005-0000-0000-0000E97C0000}"/>
    <cellStyle name="Standard 5 6 3 4 2" xfId="31725" xr:uid="{00000000-0005-0000-0000-0000EA7C0000}"/>
    <cellStyle name="Standard 5 6 3 5" xfId="31726" xr:uid="{00000000-0005-0000-0000-0000EB7C0000}"/>
    <cellStyle name="Standard 5 6 3 6" xfId="31727" xr:uid="{00000000-0005-0000-0000-0000EC7C0000}"/>
    <cellStyle name="Standard 5 6 4" xfId="31728" xr:uid="{00000000-0005-0000-0000-0000ED7C0000}"/>
    <cellStyle name="Standard 5 6 4 2" xfId="31729" xr:uid="{00000000-0005-0000-0000-0000EE7C0000}"/>
    <cellStyle name="Standard 5 6 4 3" xfId="31730" xr:uid="{00000000-0005-0000-0000-0000EF7C0000}"/>
    <cellStyle name="Standard 5 6 5" xfId="31731" xr:uid="{00000000-0005-0000-0000-0000F07C0000}"/>
    <cellStyle name="Standard 5 6 5 2" xfId="31732" xr:uid="{00000000-0005-0000-0000-0000F17C0000}"/>
    <cellStyle name="Standard 5 6 5 3" xfId="31733" xr:uid="{00000000-0005-0000-0000-0000F27C0000}"/>
    <cellStyle name="Standard 5 6 6" xfId="31734" xr:uid="{00000000-0005-0000-0000-0000F37C0000}"/>
    <cellStyle name="Standard 5 6 6 2" xfId="31735" xr:uid="{00000000-0005-0000-0000-0000F47C0000}"/>
    <cellStyle name="Standard 5 6 7" xfId="31736" xr:uid="{00000000-0005-0000-0000-0000F57C0000}"/>
    <cellStyle name="Standard 5 6 8" xfId="31737" xr:uid="{00000000-0005-0000-0000-0000F67C0000}"/>
    <cellStyle name="Standard 5 7" xfId="31738" xr:uid="{00000000-0005-0000-0000-0000F77C0000}"/>
    <cellStyle name="Standard 5 7 2" xfId="31739" xr:uid="{00000000-0005-0000-0000-0000F87C0000}"/>
    <cellStyle name="Standard 5 7 2 2" xfId="31740" xr:uid="{00000000-0005-0000-0000-0000F97C0000}"/>
    <cellStyle name="Standard 5 7 2 2 2" xfId="31741" xr:uid="{00000000-0005-0000-0000-0000FA7C0000}"/>
    <cellStyle name="Standard 5 7 2 2 2 2" xfId="31742" xr:uid="{00000000-0005-0000-0000-0000FB7C0000}"/>
    <cellStyle name="Standard 5 7 2 2 2 3" xfId="31743" xr:uid="{00000000-0005-0000-0000-0000FC7C0000}"/>
    <cellStyle name="Standard 5 7 2 2 3" xfId="31744" xr:uid="{00000000-0005-0000-0000-0000FD7C0000}"/>
    <cellStyle name="Standard 5 7 2 2 3 2" xfId="31745" xr:uid="{00000000-0005-0000-0000-0000FE7C0000}"/>
    <cellStyle name="Standard 5 7 2 2 3 3" xfId="31746" xr:uid="{00000000-0005-0000-0000-0000FF7C0000}"/>
    <cellStyle name="Standard 5 7 2 2 4" xfId="31747" xr:uid="{00000000-0005-0000-0000-0000007D0000}"/>
    <cellStyle name="Standard 5 7 2 2 4 2" xfId="31748" xr:uid="{00000000-0005-0000-0000-0000017D0000}"/>
    <cellStyle name="Standard 5 7 2 2 5" xfId="31749" xr:uid="{00000000-0005-0000-0000-0000027D0000}"/>
    <cellStyle name="Standard 5 7 2 2 6" xfId="31750" xr:uid="{00000000-0005-0000-0000-0000037D0000}"/>
    <cellStyle name="Standard 5 7 2 3" xfId="31751" xr:uid="{00000000-0005-0000-0000-0000047D0000}"/>
    <cellStyle name="Standard 5 7 2 3 2" xfId="31752" xr:uid="{00000000-0005-0000-0000-0000057D0000}"/>
    <cellStyle name="Standard 5 7 2 3 3" xfId="31753" xr:uid="{00000000-0005-0000-0000-0000067D0000}"/>
    <cellStyle name="Standard 5 7 2 4" xfId="31754" xr:uid="{00000000-0005-0000-0000-0000077D0000}"/>
    <cellStyle name="Standard 5 7 2 4 2" xfId="31755" xr:uid="{00000000-0005-0000-0000-0000087D0000}"/>
    <cellStyle name="Standard 5 7 2 4 3" xfId="31756" xr:uid="{00000000-0005-0000-0000-0000097D0000}"/>
    <cellStyle name="Standard 5 7 2 5" xfId="31757" xr:uid="{00000000-0005-0000-0000-00000A7D0000}"/>
    <cellStyle name="Standard 5 7 2 5 2" xfId="31758" xr:uid="{00000000-0005-0000-0000-00000B7D0000}"/>
    <cellStyle name="Standard 5 7 2 6" xfId="31759" xr:uid="{00000000-0005-0000-0000-00000C7D0000}"/>
    <cellStyle name="Standard 5 7 2 7" xfId="31760" xr:uid="{00000000-0005-0000-0000-00000D7D0000}"/>
    <cellStyle name="Standard 5 7 3" xfId="31761" xr:uid="{00000000-0005-0000-0000-00000E7D0000}"/>
    <cellStyle name="Standard 5 7 3 2" xfId="31762" xr:uid="{00000000-0005-0000-0000-00000F7D0000}"/>
    <cellStyle name="Standard 5 7 3 2 2" xfId="31763" xr:uid="{00000000-0005-0000-0000-0000107D0000}"/>
    <cellStyle name="Standard 5 7 3 2 3" xfId="31764" xr:uid="{00000000-0005-0000-0000-0000117D0000}"/>
    <cellStyle name="Standard 5 7 3 3" xfId="31765" xr:uid="{00000000-0005-0000-0000-0000127D0000}"/>
    <cellStyle name="Standard 5 7 3 3 2" xfId="31766" xr:uid="{00000000-0005-0000-0000-0000137D0000}"/>
    <cellStyle name="Standard 5 7 3 3 3" xfId="31767" xr:uid="{00000000-0005-0000-0000-0000147D0000}"/>
    <cellStyle name="Standard 5 7 3 4" xfId="31768" xr:uid="{00000000-0005-0000-0000-0000157D0000}"/>
    <cellStyle name="Standard 5 7 3 4 2" xfId="31769" xr:uid="{00000000-0005-0000-0000-0000167D0000}"/>
    <cellStyle name="Standard 5 7 3 5" xfId="31770" xr:uid="{00000000-0005-0000-0000-0000177D0000}"/>
    <cellStyle name="Standard 5 7 3 6" xfId="31771" xr:uid="{00000000-0005-0000-0000-0000187D0000}"/>
    <cellStyle name="Standard 5 7 4" xfId="31772" xr:uid="{00000000-0005-0000-0000-0000197D0000}"/>
    <cellStyle name="Standard 5 7 4 2" xfId="31773" xr:uid="{00000000-0005-0000-0000-00001A7D0000}"/>
    <cellStyle name="Standard 5 7 4 3" xfId="31774" xr:uid="{00000000-0005-0000-0000-00001B7D0000}"/>
    <cellStyle name="Standard 5 7 5" xfId="31775" xr:uid="{00000000-0005-0000-0000-00001C7D0000}"/>
    <cellStyle name="Standard 5 7 5 2" xfId="31776" xr:uid="{00000000-0005-0000-0000-00001D7D0000}"/>
    <cellStyle name="Standard 5 7 5 3" xfId="31777" xr:uid="{00000000-0005-0000-0000-00001E7D0000}"/>
    <cellStyle name="Standard 5 7 6" xfId="31778" xr:uid="{00000000-0005-0000-0000-00001F7D0000}"/>
    <cellStyle name="Standard 5 7 6 2" xfId="31779" xr:uid="{00000000-0005-0000-0000-0000207D0000}"/>
    <cellStyle name="Standard 5 7 7" xfId="31780" xr:uid="{00000000-0005-0000-0000-0000217D0000}"/>
    <cellStyle name="Standard 5 7 8" xfId="31781" xr:uid="{00000000-0005-0000-0000-0000227D0000}"/>
    <cellStyle name="Standard 5 8" xfId="31782" xr:uid="{00000000-0005-0000-0000-0000237D0000}"/>
    <cellStyle name="Standard 5 8 2" xfId="31783" xr:uid="{00000000-0005-0000-0000-0000247D0000}"/>
    <cellStyle name="Standard 5 8 2 2" xfId="31784" xr:uid="{00000000-0005-0000-0000-0000257D0000}"/>
    <cellStyle name="Standard 5 8 2 2 2" xfId="31785" xr:uid="{00000000-0005-0000-0000-0000267D0000}"/>
    <cellStyle name="Standard 5 8 2 2 3" xfId="31786" xr:uid="{00000000-0005-0000-0000-0000277D0000}"/>
    <cellStyle name="Standard 5 8 2 3" xfId="31787" xr:uid="{00000000-0005-0000-0000-0000287D0000}"/>
    <cellStyle name="Standard 5 8 2 3 2" xfId="31788" xr:uid="{00000000-0005-0000-0000-0000297D0000}"/>
    <cellStyle name="Standard 5 8 2 3 3" xfId="31789" xr:uid="{00000000-0005-0000-0000-00002A7D0000}"/>
    <cellStyle name="Standard 5 8 2 4" xfId="31790" xr:uid="{00000000-0005-0000-0000-00002B7D0000}"/>
    <cellStyle name="Standard 5 8 2 4 2" xfId="31791" xr:uid="{00000000-0005-0000-0000-00002C7D0000}"/>
    <cellStyle name="Standard 5 8 2 5" xfId="31792" xr:uid="{00000000-0005-0000-0000-00002D7D0000}"/>
    <cellStyle name="Standard 5 8 2 6" xfId="31793" xr:uid="{00000000-0005-0000-0000-00002E7D0000}"/>
    <cellStyle name="Standard 5 8 3" xfId="31794" xr:uid="{00000000-0005-0000-0000-00002F7D0000}"/>
    <cellStyle name="Standard 5 8 3 2" xfId="31795" xr:uid="{00000000-0005-0000-0000-0000307D0000}"/>
    <cellStyle name="Standard 5 8 3 3" xfId="31796" xr:uid="{00000000-0005-0000-0000-0000317D0000}"/>
    <cellStyle name="Standard 5 8 4" xfId="31797" xr:uid="{00000000-0005-0000-0000-0000327D0000}"/>
    <cellStyle name="Standard 5 8 4 2" xfId="31798" xr:uid="{00000000-0005-0000-0000-0000337D0000}"/>
    <cellStyle name="Standard 5 8 4 3" xfId="31799" xr:uid="{00000000-0005-0000-0000-0000347D0000}"/>
    <cellStyle name="Standard 5 8 5" xfId="31800" xr:uid="{00000000-0005-0000-0000-0000357D0000}"/>
    <cellStyle name="Standard 5 8 5 2" xfId="31801" xr:uid="{00000000-0005-0000-0000-0000367D0000}"/>
    <cellStyle name="Standard 5 8 6" xfId="31802" xr:uid="{00000000-0005-0000-0000-0000377D0000}"/>
    <cellStyle name="Standard 5 8 7" xfId="31803" xr:uid="{00000000-0005-0000-0000-0000387D0000}"/>
    <cellStyle name="Standard 5 9" xfId="31804" xr:uid="{00000000-0005-0000-0000-0000397D0000}"/>
    <cellStyle name="Standard 5 9 2" xfId="31805" xr:uid="{00000000-0005-0000-0000-00003A7D0000}"/>
    <cellStyle name="Standard 5 9 2 2" xfId="31806" xr:uid="{00000000-0005-0000-0000-00003B7D0000}"/>
    <cellStyle name="Standard 5 9 2 3" xfId="31807" xr:uid="{00000000-0005-0000-0000-00003C7D0000}"/>
    <cellStyle name="Standard 5 9 3" xfId="31808" xr:uid="{00000000-0005-0000-0000-00003D7D0000}"/>
    <cellStyle name="Standard 5 9 3 2" xfId="31809" xr:uid="{00000000-0005-0000-0000-00003E7D0000}"/>
    <cellStyle name="Standard 5 9 3 3" xfId="31810" xr:uid="{00000000-0005-0000-0000-00003F7D0000}"/>
    <cellStyle name="Standard 5 9 4" xfId="31811" xr:uid="{00000000-0005-0000-0000-0000407D0000}"/>
    <cellStyle name="Standard 5 9 4 2" xfId="31812" xr:uid="{00000000-0005-0000-0000-0000417D0000}"/>
    <cellStyle name="Standard 5 9 5" xfId="31813" xr:uid="{00000000-0005-0000-0000-0000427D0000}"/>
    <cellStyle name="Standard 5 9 6" xfId="31814" xr:uid="{00000000-0005-0000-0000-0000437D0000}"/>
    <cellStyle name="Standard 50" xfId="620" xr:uid="{00000000-0005-0000-0000-0000447D0000}"/>
    <cellStyle name="Standard 50 2" xfId="621" xr:uid="{00000000-0005-0000-0000-0000457D0000}"/>
    <cellStyle name="Standard 51" xfId="622" xr:uid="{00000000-0005-0000-0000-0000467D0000}"/>
    <cellStyle name="Standard 51 2" xfId="623" xr:uid="{00000000-0005-0000-0000-0000477D0000}"/>
    <cellStyle name="Standard 52" xfId="624" xr:uid="{00000000-0005-0000-0000-0000487D0000}"/>
    <cellStyle name="Standard 52 2" xfId="625" xr:uid="{00000000-0005-0000-0000-0000497D0000}"/>
    <cellStyle name="Standard 53" xfId="626" xr:uid="{00000000-0005-0000-0000-00004A7D0000}"/>
    <cellStyle name="Standard 53 2" xfId="627" xr:uid="{00000000-0005-0000-0000-00004B7D0000}"/>
    <cellStyle name="Standard 54" xfId="628" xr:uid="{00000000-0005-0000-0000-00004C7D0000}"/>
    <cellStyle name="Standard 54 2" xfId="629" xr:uid="{00000000-0005-0000-0000-00004D7D0000}"/>
    <cellStyle name="Standard 55" xfId="630" xr:uid="{00000000-0005-0000-0000-00004E7D0000}"/>
    <cellStyle name="Standard 55 2" xfId="631" xr:uid="{00000000-0005-0000-0000-00004F7D0000}"/>
    <cellStyle name="Standard 56" xfId="632" xr:uid="{00000000-0005-0000-0000-0000507D0000}"/>
    <cellStyle name="Standard 56 2" xfId="633" xr:uid="{00000000-0005-0000-0000-0000517D0000}"/>
    <cellStyle name="Standard 57" xfId="634" xr:uid="{00000000-0005-0000-0000-0000527D0000}"/>
    <cellStyle name="Standard 57 2" xfId="635" xr:uid="{00000000-0005-0000-0000-0000537D0000}"/>
    <cellStyle name="Standard 58" xfId="636" xr:uid="{00000000-0005-0000-0000-0000547D0000}"/>
    <cellStyle name="Standard 58 2" xfId="637" xr:uid="{00000000-0005-0000-0000-0000557D0000}"/>
    <cellStyle name="Standard 59" xfId="638" xr:uid="{00000000-0005-0000-0000-0000567D0000}"/>
    <cellStyle name="Standard 59 2" xfId="639" xr:uid="{00000000-0005-0000-0000-0000577D0000}"/>
    <cellStyle name="Standard 6" xfId="640" xr:uid="{00000000-0005-0000-0000-0000587D0000}"/>
    <cellStyle name="Standard 6 10" xfId="33268" xr:uid="{00000000-0005-0000-0000-0000597D0000}"/>
    <cellStyle name="Standard 6 11" xfId="33343" xr:uid="{00000000-0005-0000-0000-00005A7D0000}"/>
    <cellStyle name="Standard 6 12" xfId="33479" xr:uid="{00000000-0005-0000-0000-00005B7D0000}"/>
    <cellStyle name="Standard 6 2" xfId="641" xr:uid="{00000000-0005-0000-0000-00005C7D0000}"/>
    <cellStyle name="Standard 6 2 10" xfId="31815" xr:uid="{00000000-0005-0000-0000-00005D7D0000}"/>
    <cellStyle name="Standard 6 2 11" xfId="31816" xr:uid="{00000000-0005-0000-0000-00005E7D0000}"/>
    <cellStyle name="Standard 6 2 12" xfId="33119" xr:uid="{00000000-0005-0000-0000-00005F7D0000}"/>
    <cellStyle name="Standard 6 2 13" xfId="33194" xr:uid="{00000000-0005-0000-0000-0000607D0000}"/>
    <cellStyle name="Standard 6 2 14" xfId="33269" xr:uid="{00000000-0005-0000-0000-0000617D0000}"/>
    <cellStyle name="Standard 6 2 15" xfId="33344" xr:uid="{00000000-0005-0000-0000-0000627D0000}"/>
    <cellStyle name="Standard 6 2 16" xfId="33480" xr:uid="{00000000-0005-0000-0000-0000637D0000}"/>
    <cellStyle name="Standard 6 2 2" xfId="31817" xr:uid="{00000000-0005-0000-0000-0000647D0000}"/>
    <cellStyle name="Standard 6 2 2 10" xfId="31818" xr:uid="{00000000-0005-0000-0000-0000657D0000}"/>
    <cellStyle name="Standard 6 2 2 2" xfId="31819" xr:uid="{00000000-0005-0000-0000-0000667D0000}"/>
    <cellStyle name="Standard 6 2 2 2 2" xfId="31820" xr:uid="{00000000-0005-0000-0000-0000677D0000}"/>
    <cellStyle name="Standard 6 2 2 2 2 2" xfId="31821" xr:uid="{00000000-0005-0000-0000-0000687D0000}"/>
    <cellStyle name="Standard 6 2 2 2 2 2 2" xfId="31822" xr:uid="{00000000-0005-0000-0000-0000697D0000}"/>
    <cellStyle name="Standard 6 2 2 2 2 2 2 2" xfId="31823" xr:uid="{00000000-0005-0000-0000-00006A7D0000}"/>
    <cellStyle name="Standard 6 2 2 2 2 2 2 3" xfId="31824" xr:uid="{00000000-0005-0000-0000-00006B7D0000}"/>
    <cellStyle name="Standard 6 2 2 2 2 2 3" xfId="31825" xr:uid="{00000000-0005-0000-0000-00006C7D0000}"/>
    <cellStyle name="Standard 6 2 2 2 2 2 3 2" xfId="31826" xr:uid="{00000000-0005-0000-0000-00006D7D0000}"/>
    <cellStyle name="Standard 6 2 2 2 2 2 3 3" xfId="31827" xr:uid="{00000000-0005-0000-0000-00006E7D0000}"/>
    <cellStyle name="Standard 6 2 2 2 2 2 4" xfId="31828" xr:uid="{00000000-0005-0000-0000-00006F7D0000}"/>
    <cellStyle name="Standard 6 2 2 2 2 2 4 2" xfId="31829" xr:uid="{00000000-0005-0000-0000-0000707D0000}"/>
    <cellStyle name="Standard 6 2 2 2 2 2 5" xfId="31830" xr:uid="{00000000-0005-0000-0000-0000717D0000}"/>
    <cellStyle name="Standard 6 2 2 2 2 2 6" xfId="31831" xr:uid="{00000000-0005-0000-0000-0000727D0000}"/>
    <cellStyle name="Standard 6 2 2 2 2 3" xfId="31832" xr:uid="{00000000-0005-0000-0000-0000737D0000}"/>
    <cellStyle name="Standard 6 2 2 2 2 3 2" xfId="31833" xr:uid="{00000000-0005-0000-0000-0000747D0000}"/>
    <cellStyle name="Standard 6 2 2 2 2 3 3" xfId="31834" xr:uid="{00000000-0005-0000-0000-0000757D0000}"/>
    <cellStyle name="Standard 6 2 2 2 2 4" xfId="31835" xr:uid="{00000000-0005-0000-0000-0000767D0000}"/>
    <cellStyle name="Standard 6 2 2 2 2 4 2" xfId="31836" xr:uid="{00000000-0005-0000-0000-0000777D0000}"/>
    <cellStyle name="Standard 6 2 2 2 2 4 3" xfId="31837" xr:uid="{00000000-0005-0000-0000-0000787D0000}"/>
    <cellStyle name="Standard 6 2 2 2 2 5" xfId="31838" xr:uid="{00000000-0005-0000-0000-0000797D0000}"/>
    <cellStyle name="Standard 6 2 2 2 2 5 2" xfId="31839" xr:uid="{00000000-0005-0000-0000-00007A7D0000}"/>
    <cellStyle name="Standard 6 2 2 2 2 6" xfId="31840" xr:uid="{00000000-0005-0000-0000-00007B7D0000}"/>
    <cellStyle name="Standard 6 2 2 2 2 7" xfId="31841" xr:uid="{00000000-0005-0000-0000-00007C7D0000}"/>
    <cellStyle name="Standard 6 2 2 2 3" xfId="31842" xr:uid="{00000000-0005-0000-0000-00007D7D0000}"/>
    <cellStyle name="Standard 6 2 2 2 3 2" xfId="31843" xr:uid="{00000000-0005-0000-0000-00007E7D0000}"/>
    <cellStyle name="Standard 6 2 2 2 3 2 2" xfId="31844" xr:uid="{00000000-0005-0000-0000-00007F7D0000}"/>
    <cellStyle name="Standard 6 2 2 2 3 2 3" xfId="31845" xr:uid="{00000000-0005-0000-0000-0000807D0000}"/>
    <cellStyle name="Standard 6 2 2 2 3 3" xfId="31846" xr:uid="{00000000-0005-0000-0000-0000817D0000}"/>
    <cellStyle name="Standard 6 2 2 2 3 3 2" xfId="31847" xr:uid="{00000000-0005-0000-0000-0000827D0000}"/>
    <cellStyle name="Standard 6 2 2 2 3 3 3" xfId="31848" xr:uid="{00000000-0005-0000-0000-0000837D0000}"/>
    <cellStyle name="Standard 6 2 2 2 3 4" xfId="31849" xr:uid="{00000000-0005-0000-0000-0000847D0000}"/>
    <cellStyle name="Standard 6 2 2 2 3 4 2" xfId="31850" xr:uid="{00000000-0005-0000-0000-0000857D0000}"/>
    <cellStyle name="Standard 6 2 2 2 3 5" xfId="31851" xr:uid="{00000000-0005-0000-0000-0000867D0000}"/>
    <cellStyle name="Standard 6 2 2 2 3 6" xfId="31852" xr:uid="{00000000-0005-0000-0000-0000877D0000}"/>
    <cellStyle name="Standard 6 2 2 2 4" xfId="31853" xr:uid="{00000000-0005-0000-0000-0000887D0000}"/>
    <cellStyle name="Standard 6 2 2 2 4 2" xfId="31854" xr:uid="{00000000-0005-0000-0000-0000897D0000}"/>
    <cellStyle name="Standard 6 2 2 2 4 3" xfId="31855" xr:uid="{00000000-0005-0000-0000-00008A7D0000}"/>
    <cellStyle name="Standard 6 2 2 2 5" xfId="31856" xr:uid="{00000000-0005-0000-0000-00008B7D0000}"/>
    <cellStyle name="Standard 6 2 2 2 5 2" xfId="31857" xr:uid="{00000000-0005-0000-0000-00008C7D0000}"/>
    <cellStyle name="Standard 6 2 2 2 5 3" xfId="31858" xr:uid="{00000000-0005-0000-0000-00008D7D0000}"/>
    <cellStyle name="Standard 6 2 2 2 6" xfId="31859" xr:uid="{00000000-0005-0000-0000-00008E7D0000}"/>
    <cellStyle name="Standard 6 2 2 2 6 2" xfId="31860" xr:uid="{00000000-0005-0000-0000-00008F7D0000}"/>
    <cellStyle name="Standard 6 2 2 2 7" xfId="31861" xr:uid="{00000000-0005-0000-0000-0000907D0000}"/>
    <cellStyle name="Standard 6 2 2 2 8" xfId="31862" xr:uid="{00000000-0005-0000-0000-0000917D0000}"/>
    <cellStyle name="Standard 6 2 2 3" xfId="31863" xr:uid="{00000000-0005-0000-0000-0000927D0000}"/>
    <cellStyle name="Standard 6 2 2 3 2" xfId="31864" xr:uid="{00000000-0005-0000-0000-0000937D0000}"/>
    <cellStyle name="Standard 6 2 2 3 2 2" xfId="31865" xr:uid="{00000000-0005-0000-0000-0000947D0000}"/>
    <cellStyle name="Standard 6 2 2 3 2 2 2" xfId="31866" xr:uid="{00000000-0005-0000-0000-0000957D0000}"/>
    <cellStyle name="Standard 6 2 2 3 2 2 2 2" xfId="31867" xr:uid="{00000000-0005-0000-0000-0000967D0000}"/>
    <cellStyle name="Standard 6 2 2 3 2 2 2 3" xfId="31868" xr:uid="{00000000-0005-0000-0000-0000977D0000}"/>
    <cellStyle name="Standard 6 2 2 3 2 2 3" xfId="31869" xr:uid="{00000000-0005-0000-0000-0000987D0000}"/>
    <cellStyle name="Standard 6 2 2 3 2 2 3 2" xfId="31870" xr:uid="{00000000-0005-0000-0000-0000997D0000}"/>
    <cellStyle name="Standard 6 2 2 3 2 2 3 3" xfId="31871" xr:uid="{00000000-0005-0000-0000-00009A7D0000}"/>
    <cellStyle name="Standard 6 2 2 3 2 2 4" xfId="31872" xr:uid="{00000000-0005-0000-0000-00009B7D0000}"/>
    <cellStyle name="Standard 6 2 2 3 2 2 4 2" xfId="31873" xr:uid="{00000000-0005-0000-0000-00009C7D0000}"/>
    <cellStyle name="Standard 6 2 2 3 2 2 5" xfId="31874" xr:uid="{00000000-0005-0000-0000-00009D7D0000}"/>
    <cellStyle name="Standard 6 2 2 3 2 2 6" xfId="31875" xr:uid="{00000000-0005-0000-0000-00009E7D0000}"/>
    <cellStyle name="Standard 6 2 2 3 2 3" xfId="31876" xr:uid="{00000000-0005-0000-0000-00009F7D0000}"/>
    <cellStyle name="Standard 6 2 2 3 2 3 2" xfId="31877" xr:uid="{00000000-0005-0000-0000-0000A07D0000}"/>
    <cellStyle name="Standard 6 2 2 3 2 3 3" xfId="31878" xr:uid="{00000000-0005-0000-0000-0000A17D0000}"/>
    <cellStyle name="Standard 6 2 2 3 2 4" xfId="31879" xr:uid="{00000000-0005-0000-0000-0000A27D0000}"/>
    <cellStyle name="Standard 6 2 2 3 2 4 2" xfId="31880" xr:uid="{00000000-0005-0000-0000-0000A37D0000}"/>
    <cellStyle name="Standard 6 2 2 3 2 4 3" xfId="31881" xr:uid="{00000000-0005-0000-0000-0000A47D0000}"/>
    <cellStyle name="Standard 6 2 2 3 2 5" xfId="31882" xr:uid="{00000000-0005-0000-0000-0000A57D0000}"/>
    <cellStyle name="Standard 6 2 2 3 2 5 2" xfId="31883" xr:uid="{00000000-0005-0000-0000-0000A67D0000}"/>
    <cellStyle name="Standard 6 2 2 3 2 6" xfId="31884" xr:uid="{00000000-0005-0000-0000-0000A77D0000}"/>
    <cellStyle name="Standard 6 2 2 3 2 7" xfId="31885" xr:uid="{00000000-0005-0000-0000-0000A87D0000}"/>
    <cellStyle name="Standard 6 2 2 3 3" xfId="31886" xr:uid="{00000000-0005-0000-0000-0000A97D0000}"/>
    <cellStyle name="Standard 6 2 2 3 3 2" xfId="31887" xr:uid="{00000000-0005-0000-0000-0000AA7D0000}"/>
    <cellStyle name="Standard 6 2 2 3 3 2 2" xfId="31888" xr:uid="{00000000-0005-0000-0000-0000AB7D0000}"/>
    <cellStyle name="Standard 6 2 2 3 3 2 3" xfId="31889" xr:uid="{00000000-0005-0000-0000-0000AC7D0000}"/>
    <cellStyle name="Standard 6 2 2 3 3 3" xfId="31890" xr:uid="{00000000-0005-0000-0000-0000AD7D0000}"/>
    <cellStyle name="Standard 6 2 2 3 3 3 2" xfId="31891" xr:uid="{00000000-0005-0000-0000-0000AE7D0000}"/>
    <cellStyle name="Standard 6 2 2 3 3 3 3" xfId="31892" xr:uid="{00000000-0005-0000-0000-0000AF7D0000}"/>
    <cellStyle name="Standard 6 2 2 3 3 4" xfId="31893" xr:uid="{00000000-0005-0000-0000-0000B07D0000}"/>
    <cellStyle name="Standard 6 2 2 3 3 4 2" xfId="31894" xr:uid="{00000000-0005-0000-0000-0000B17D0000}"/>
    <cellStyle name="Standard 6 2 2 3 3 5" xfId="31895" xr:uid="{00000000-0005-0000-0000-0000B27D0000}"/>
    <cellStyle name="Standard 6 2 2 3 3 6" xfId="31896" xr:uid="{00000000-0005-0000-0000-0000B37D0000}"/>
    <cellStyle name="Standard 6 2 2 3 4" xfId="31897" xr:uid="{00000000-0005-0000-0000-0000B47D0000}"/>
    <cellStyle name="Standard 6 2 2 3 4 2" xfId="31898" xr:uid="{00000000-0005-0000-0000-0000B57D0000}"/>
    <cellStyle name="Standard 6 2 2 3 4 3" xfId="31899" xr:uid="{00000000-0005-0000-0000-0000B67D0000}"/>
    <cellStyle name="Standard 6 2 2 3 5" xfId="31900" xr:uid="{00000000-0005-0000-0000-0000B77D0000}"/>
    <cellStyle name="Standard 6 2 2 3 5 2" xfId="31901" xr:uid="{00000000-0005-0000-0000-0000B87D0000}"/>
    <cellStyle name="Standard 6 2 2 3 5 3" xfId="31902" xr:uid="{00000000-0005-0000-0000-0000B97D0000}"/>
    <cellStyle name="Standard 6 2 2 3 6" xfId="31903" xr:uid="{00000000-0005-0000-0000-0000BA7D0000}"/>
    <cellStyle name="Standard 6 2 2 3 6 2" xfId="31904" xr:uid="{00000000-0005-0000-0000-0000BB7D0000}"/>
    <cellStyle name="Standard 6 2 2 3 7" xfId="31905" xr:uid="{00000000-0005-0000-0000-0000BC7D0000}"/>
    <cellStyle name="Standard 6 2 2 3 8" xfId="31906" xr:uid="{00000000-0005-0000-0000-0000BD7D0000}"/>
    <cellStyle name="Standard 6 2 2 4" xfId="31907" xr:uid="{00000000-0005-0000-0000-0000BE7D0000}"/>
    <cellStyle name="Standard 6 2 2 4 2" xfId="31908" xr:uid="{00000000-0005-0000-0000-0000BF7D0000}"/>
    <cellStyle name="Standard 6 2 2 4 2 2" xfId="31909" xr:uid="{00000000-0005-0000-0000-0000C07D0000}"/>
    <cellStyle name="Standard 6 2 2 4 2 2 2" xfId="31910" xr:uid="{00000000-0005-0000-0000-0000C17D0000}"/>
    <cellStyle name="Standard 6 2 2 4 2 2 3" xfId="31911" xr:uid="{00000000-0005-0000-0000-0000C27D0000}"/>
    <cellStyle name="Standard 6 2 2 4 2 3" xfId="31912" xr:uid="{00000000-0005-0000-0000-0000C37D0000}"/>
    <cellStyle name="Standard 6 2 2 4 2 3 2" xfId="31913" xr:uid="{00000000-0005-0000-0000-0000C47D0000}"/>
    <cellStyle name="Standard 6 2 2 4 2 3 3" xfId="31914" xr:uid="{00000000-0005-0000-0000-0000C57D0000}"/>
    <cellStyle name="Standard 6 2 2 4 2 4" xfId="31915" xr:uid="{00000000-0005-0000-0000-0000C67D0000}"/>
    <cellStyle name="Standard 6 2 2 4 2 4 2" xfId="31916" xr:uid="{00000000-0005-0000-0000-0000C77D0000}"/>
    <cellStyle name="Standard 6 2 2 4 2 5" xfId="31917" xr:uid="{00000000-0005-0000-0000-0000C87D0000}"/>
    <cellStyle name="Standard 6 2 2 4 2 6" xfId="31918" xr:uid="{00000000-0005-0000-0000-0000C97D0000}"/>
    <cellStyle name="Standard 6 2 2 4 3" xfId="31919" xr:uid="{00000000-0005-0000-0000-0000CA7D0000}"/>
    <cellStyle name="Standard 6 2 2 4 3 2" xfId="31920" xr:uid="{00000000-0005-0000-0000-0000CB7D0000}"/>
    <cellStyle name="Standard 6 2 2 4 3 3" xfId="31921" xr:uid="{00000000-0005-0000-0000-0000CC7D0000}"/>
    <cellStyle name="Standard 6 2 2 4 4" xfId="31922" xr:uid="{00000000-0005-0000-0000-0000CD7D0000}"/>
    <cellStyle name="Standard 6 2 2 4 4 2" xfId="31923" xr:uid="{00000000-0005-0000-0000-0000CE7D0000}"/>
    <cellStyle name="Standard 6 2 2 4 4 3" xfId="31924" xr:uid="{00000000-0005-0000-0000-0000CF7D0000}"/>
    <cellStyle name="Standard 6 2 2 4 5" xfId="31925" xr:uid="{00000000-0005-0000-0000-0000D07D0000}"/>
    <cellStyle name="Standard 6 2 2 4 5 2" xfId="31926" xr:uid="{00000000-0005-0000-0000-0000D17D0000}"/>
    <cellStyle name="Standard 6 2 2 4 6" xfId="31927" xr:uid="{00000000-0005-0000-0000-0000D27D0000}"/>
    <cellStyle name="Standard 6 2 2 4 7" xfId="31928" xr:uid="{00000000-0005-0000-0000-0000D37D0000}"/>
    <cellStyle name="Standard 6 2 2 5" xfId="31929" xr:uid="{00000000-0005-0000-0000-0000D47D0000}"/>
    <cellStyle name="Standard 6 2 2 5 2" xfId="31930" xr:uid="{00000000-0005-0000-0000-0000D57D0000}"/>
    <cellStyle name="Standard 6 2 2 5 2 2" xfId="31931" xr:uid="{00000000-0005-0000-0000-0000D67D0000}"/>
    <cellStyle name="Standard 6 2 2 5 2 3" xfId="31932" xr:uid="{00000000-0005-0000-0000-0000D77D0000}"/>
    <cellStyle name="Standard 6 2 2 5 3" xfId="31933" xr:uid="{00000000-0005-0000-0000-0000D87D0000}"/>
    <cellStyle name="Standard 6 2 2 5 3 2" xfId="31934" xr:uid="{00000000-0005-0000-0000-0000D97D0000}"/>
    <cellStyle name="Standard 6 2 2 5 3 3" xfId="31935" xr:uid="{00000000-0005-0000-0000-0000DA7D0000}"/>
    <cellStyle name="Standard 6 2 2 5 4" xfId="31936" xr:uid="{00000000-0005-0000-0000-0000DB7D0000}"/>
    <cellStyle name="Standard 6 2 2 5 4 2" xfId="31937" xr:uid="{00000000-0005-0000-0000-0000DC7D0000}"/>
    <cellStyle name="Standard 6 2 2 5 5" xfId="31938" xr:uid="{00000000-0005-0000-0000-0000DD7D0000}"/>
    <cellStyle name="Standard 6 2 2 5 6" xfId="31939" xr:uid="{00000000-0005-0000-0000-0000DE7D0000}"/>
    <cellStyle name="Standard 6 2 2 6" xfId="31940" xr:uid="{00000000-0005-0000-0000-0000DF7D0000}"/>
    <cellStyle name="Standard 6 2 2 6 2" xfId="31941" xr:uid="{00000000-0005-0000-0000-0000E07D0000}"/>
    <cellStyle name="Standard 6 2 2 6 3" xfId="31942" xr:uid="{00000000-0005-0000-0000-0000E17D0000}"/>
    <cellStyle name="Standard 6 2 2 7" xfId="31943" xr:uid="{00000000-0005-0000-0000-0000E27D0000}"/>
    <cellStyle name="Standard 6 2 2 7 2" xfId="31944" xr:uid="{00000000-0005-0000-0000-0000E37D0000}"/>
    <cellStyle name="Standard 6 2 2 7 3" xfId="31945" xr:uid="{00000000-0005-0000-0000-0000E47D0000}"/>
    <cellStyle name="Standard 6 2 2 8" xfId="31946" xr:uid="{00000000-0005-0000-0000-0000E57D0000}"/>
    <cellStyle name="Standard 6 2 2 8 2" xfId="31947" xr:uid="{00000000-0005-0000-0000-0000E67D0000}"/>
    <cellStyle name="Standard 6 2 2 9" xfId="31948" xr:uid="{00000000-0005-0000-0000-0000E77D0000}"/>
    <cellStyle name="Standard 6 2 3" xfId="31949" xr:uid="{00000000-0005-0000-0000-0000E87D0000}"/>
    <cellStyle name="Standard 6 2 3 2" xfId="31950" xr:uid="{00000000-0005-0000-0000-0000E97D0000}"/>
    <cellStyle name="Standard 6 2 3 2 2" xfId="31951" xr:uid="{00000000-0005-0000-0000-0000EA7D0000}"/>
    <cellStyle name="Standard 6 2 3 2 2 2" xfId="31952" xr:uid="{00000000-0005-0000-0000-0000EB7D0000}"/>
    <cellStyle name="Standard 6 2 3 2 2 2 2" xfId="31953" xr:uid="{00000000-0005-0000-0000-0000EC7D0000}"/>
    <cellStyle name="Standard 6 2 3 2 2 2 3" xfId="31954" xr:uid="{00000000-0005-0000-0000-0000ED7D0000}"/>
    <cellStyle name="Standard 6 2 3 2 2 3" xfId="31955" xr:uid="{00000000-0005-0000-0000-0000EE7D0000}"/>
    <cellStyle name="Standard 6 2 3 2 2 3 2" xfId="31956" xr:uid="{00000000-0005-0000-0000-0000EF7D0000}"/>
    <cellStyle name="Standard 6 2 3 2 2 3 3" xfId="31957" xr:uid="{00000000-0005-0000-0000-0000F07D0000}"/>
    <cellStyle name="Standard 6 2 3 2 2 4" xfId="31958" xr:uid="{00000000-0005-0000-0000-0000F17D0000}"/>
    <cellStyle name="Standard 6 2 3 2 2 4 2" xfId="31959" xr:uid="{00000000-0005-0000-0000-0000F27D0000}"/>
    <cellStyle name="Standard 6 2 3 2 2 5" xfId="31960" xr:uid="{00000000-0005-0000-0000-0000F37D0000}"/>
    <cellStyle name="Standard 6 2 3 2 2 6" xfId="31961" xr:uid="{00000000-0005-0000-0000-0000F47D0000}"/>
    <cellStyle name="Standard 6 2 3 2 3" xfId="31962" xr:uid="{00000000-0005-0000-0000-0000F57D0000}"/>
    <cellStyle name="Standard 6 2 3 2 3 2" xfId="31963" xr:uid="{00000000-0005-0000-0000-0000F67D0000}"/>
    <cellStyle name="Standard 6 2 3 2 3 3" xfId="31964" xr:uid="{00000000-0005-0000-0000-0000F77D0000}"/>
    <cellStyle name="Standard 6 2 3 2 4" xfId="31965" xr:uid="{00000000-0005-0000-0000-0000F87D0000}"/>
    <cellStyle name="Standard 6 2 3 2 4 2" xfId="31966" xr:uid="{00000000-0005-0000-0000-0000F97D0000}"/>
    <cellStyle name="Standard 6 2 3 2 4 3" xfId="31967" xr:uid="{00000000-0005-0000-0000-0000FA7D0000}"/>
    <cellStyle name="Standard 6 2 3 2 5" xfId="31968" xr:uid="{00000000-0005-0000-0000-0000FB7D0000}"/>
    <cellStyle name="Standard 6 2 3 2 5 2" xfId="31969" xr:uid="{00000000-0005-0000-0000-0000FC7D0000}"/>
    <cellStyle name="Standard 6 2 3 2 6" xfId="31970" xr:uid="{00000000-0005-0000-0000-0000FD7D0000}"/>
    <cellStyle name="Standard 6 2 3 2 7" xfId="31971" xr:uid="{00000000-0005-0000-0000-0000FE7D0000}"/>
    <cellStyle name="Standard 6 2 3 3" xfId="31972" xr:uid="{00000000-0005-0000-0000-0000FF7D0000}"/>
    <cellStyle name="Standard 6 2 3 3 2" xfId="31973" xr:uid="{00000000-0005-0000-0000-0000007E0000}"/>
    <cellStyle name="Standard 6 2 3 3 2 2" xfId="31974" xr:uid="{00000000-0005-0000-0000-0000017E0000}"/>
    <cellStyle name="Standard 6 2 3 3 2 3" xfId="31975" xr:uid="{00000000-0005-0000-0000-0000027E0000}"/>
    <cellStyle name="Standard 6 2 3 3 3" xfId="31976" xr:uid="{00000000-0005-0000-0000-0000037E0000}"/>
    <cellStyle name="Standard 6 2 3 3 3 2" xfId="31977" xr:uid="{00000000-0005-0000-0000-0000047E0000}"/>
    <cellStyle name="Standard 6 2 3 3 3 3" xfId="31978" xr:uid="{00000000-0005-0000-0000-0000057E0000}"/>
    <cellStyle name="Standard 6 2 3 3 4" xfId="31979" xr:uid="{00000000-0005-0000-0000-0000067E0000}"/>
    <cellStyle name="Standard 6 2 3 3 4 2" xfId="31980" xr:uid="{00000000-0005-0000-0000-0000077E0000}"/>
    <cellStyle name="Standard 6 2 3 3 5" xfId="31981" xr:uid="{00000000-0005-0000-0000-0000087E0000}"/>
    <cellStyle name="Standard 6 2 3 3 6" xfId="31982" xr:uid="{00000000-0005-0000-0000-0000097E0000}"/>
    <cellStyle name="Standard 6 2 3 4" xfId="31983" xr:uid="{00000000-0005-0000-0000-00000A7E0000}"/>
    <cellStyle name="Standard 6 2 3 4 2" xfId="31984" xr:uid="{00000000-0005-0000-0000-00000B7E0000}"/>
    <cellStyle name="Standard 6 2 3 4 3" xfId="31985" xr:uid="{00000000-0005-0000-0000-00000C7E0000}"/>
    <cellStyle name="Standard 6 2 3 5" xfId="31986" xr:uid="{00000000-0005-0000-0000-00000D7E0000}"/>
    <cellStyle name="Standard 6 2 3 5 2" xfId="31987" xr:uid="{00000000-0005-0000-0000-00000E7E0000}"/>
    <cellStyle name="Standard 6 2 3 5 3" xfId="31988" xr:uid="{00000000-0005-0000-0000-00000F7E0000}"/>
    <cellStyle name="Standard 6 2 3 6" xfId="31989" xr:uid="{00000000-0005-0000-0000-0000107E0000}"/>
    <cellStyle name="Standard 6 2 3 6 2" xfId="31990" xr:uid="{00000000-0005-0000-0000-0000117E0000}"/>
    <cellStyle name="Standard 6 2 3 7" xfId="31991" xr:uid="{00000000-0005-0000-0000-0000127E0000}"/>
    <cellStyle name="Standard 6 2 3 8" xfId="31992" xr:uid="{00000000-0005-0000-0000-0000137E0000}"/>
    <cellStyle name="Standard 6 2 4" xfId="31993" xr:uid="{00000000-0005-0000-0000-0000147E0000}"/>
    <cellStyle name="Standard 6 2 4 2" xfId="31994" xr:uid="{00000000-0005-0000-0000-0000157E0000}"/>
    <cellStyle name="Standard 6 2 4 2 2" xfId="31995" xr:uid="{00000000-0005-0000-0000-0000167E0000}"/>
    <cellStyle name="Standard 6 2 4 2 2 2" xfId="31996" xr:uid="{00000000-0005-0000-0000-0000177E0000}"/>
    <cellStyle name="Standard 6 2 4 2 2 2 2" xfId="31997" xr:uid="{00000000-0005-0000-0000-0000187E0000}"/>
    <cellStyle name="Standard 6 2 4 2 2 2 3" xfId="31998" xr:uid="{00000000-0005-0000-0000-0000197E0000}"/>
    <cellStyle name="Standard 6 2 4 2 2 3" xfId="31999" xr:uid="{00000000-0005-0000-0000-00001A7E0000}"/>
    <cellStyle name="Standard 6 2 4 2 2 3 2" xfId="32000" xr:uid="{00000000-0005-0000-0000-00001B7E0000}"/>
    <cellStyle name="Standard 6 2 4 2 2 3 3" xfId="32001" xr:uid="{00000000-0005-0000-0000-00001C7E0000}"/>
    <cellStyle name="Standard 6 2 4 2 2 4" xfId="32002" xr:uid="{00000000-0005-0000-0000-00001D7E0000}"/>
    <cellStyle name="Standard 6 2 4 2 2 4 2" xfId="32003" xr:uid="{00000000-0005-0000-0000-00001E7E0000}"/>
    <cellStyle name="Standard 6 2 4 2 2 5" xfId="32004" xr:uid="{00000000-0005-0000-0000-00001F7E0000}"/>
    <cellStyle name="Standard 6 2 4 2 2 6" xfId="32005" xr:uid="{00000000-0005-0000-0000-0000207E0000}"/>
    <cellStyle name="Standard 6 2 4 2 3" xfId="32006" xr:uid="{00000000-0005-0000-0000-0000217E0000}"/>
    <cellStyle name="Standard 6 2 4 2 3 2" xfId="32007" xr:uid="{00000000-0005-0000-0000-0000227E0000}"/>
    <cellStyle name="Standard 6 2 4 2 3 3" xfId="32008" xr:uid="{00000000-0005-0000-0000-0000237E0000}"/>
    <cellStyle name="Standard 6 2 4 2 4" xfId="32009" xr:uid="{00000000-0005-0000-0000-0000247E0000}"/>
    <cellStyle name="Standard 6 2 4 2 4 2" xfId="32010" xr:uid="{00000000-0005-0000-0000-0000257E0000}"/>
    <cellStyle name="Standard 6 2 4 2 4 3" xfId="32011" xr:uid="{00000000-0005-0000-0000-0000267E0000}"/>
    <cellStyle name="Standard 6 2 4 2 5" xfId="32012" xr:uid="{00000000-0005-0000-0000-0000277E0000}"/>
    <cellStyle name="Standard 6 2 4 2 5 2" xfId="32013" xr:uid="{00000000-0005-0000-0000-0000287E0000}"/>
    <cellStyle name="Standard 6 2 4 2 6" xfId="32014" xr:uid="{00000000-0005-0000-0000-0000297E0000}"/>
    <cellStyle name="Standard 6 2 4 2 7" xfId="32015" xr:uid="{00000000-0005-0000-0000-00002A7E0000}"/>
    <cellStyle name="Standard 6 2 4 3" xfId="32016" xr:uid="{00000000-0005-0000-0000-00002B7E0000}"/>
    <cellStyle name="Standard 6 2 4 3 2" xfId="32017" xr:uid="{00000000-0005-0000-0000-00002C7E0000}"/>
    <cellStyle name="Standard 6 2 4 3 2 2" xfId="32018" xr:uid="{00000000-0005-0000-0000-00002D7E0000}"/>
    <cellStyle name="Standard 6 2 4 3 2 3" xfId="32019" xr:uid="{00000000-0005-0000-0000-00002E7E0000}"/>
    <cellStyle name="Standard 6 2 4 3 3" xfId="32020" xr:uid="{00000000-0005-0000-0000-00002F7E0000}"/>
    <cellStyle name="Standard 6 2 4 3 3 2" xfId="32021" xr:uid="{00000000-0005-0000-0000-0000307E0000}"/>
    <cellStyle name="Standard 6 2 4 3 3 3" xfId="32022" xr:uid="{00000000-0005-0000-0000-0000317E0000}"/>
    <cellStyle name="Standard 6 2 4 3 4" xfId="32023" xr:uid="{00000000-0005-0000-0000-0000327E0000}"/>
    <cellStyle name="Standard 6 2 4 3 4 2" xfId="32024" xr:uid="{00000000-0005-0000-0000-0000337E0000}"/>
    <cellStyle name="Standard 6 2 4 3 5" xfId="32025" xr:uid="{00000000-0005-0000-0000-0000347E0000}"/>
    <cellStyle name="Standard 6 2 4 3 6" xfId="32026" xr:uid="{00000000-0005-0000-0000-0000357E0000}"/>
    <cellStyle name="Standard 6 2 4 4" xfId="32027" xr:uid="{00000000-0005-0000-0000-0000367E0000}"/>
    <cellStyle name="Standard 6 2 4 4 2" xfId="32028" xr:uid="{00000000-0005-0000-0000-0000377E0000}"/>
    <cellStyle name="Standard 6 2 4 4 3" xfId="32029" xr:uid="{00000000-0005-0000-0000-0000387E0000}"/>
    <cellStyle name="Standard 6 2 4 5" xfId="32030" xr:uid="{00000000-0005-0000-0000-0000397E0000}"/>
    <cellStyle name="Standard 6 2 4 5 2" xfId="32031" xr:uid="{00000000-0005-0000-0000-00003A7E0000}"/>
    <cellStyle name="Standard 6 2 4 5 3" xfId="32032" xr:uid="{00000000-0005-0000-0000-00003B7E0000}"/>
    <cellStyle name="Standard 6 2 4 6" xfId="32033" xr:uid="{00000000-0005-0000-0000-00003C7E0000}"/>
    <cellStyle name="Standard 6 2 4 6 2" xfId="32034" xr:uid="{00000000-0005-0000-0000-00003D7E0000}"/>
    <cellStyle name="Standard 6 2 4 7" xfId="32035" xr:uid="{00000000-0005-0000-0000-00003E7E0000}"/>
    <cellStyle name="Standard 6 2 4 8" xfId="32036" xr:uid="{00000000-0005-0000-0000-00003F7E0000}"/>
    <cellStyle name="Standard 6 2 5" xfId="32037" xr:uid="{00000000-0005-0000-0000-0000407E0000}"/>
    <cellStyle name="Standard 6 2 5 2" xfId="32038" xr:uid="{00000000-0005-0000-0000-0000417E0000}"/>
    <cellStyle name="Standard 6 2 5 2 2" xfId="32039" xr:uid="{00000000-0005-0000-0000-0000427E0000}"/>
    <cellStyle name="Standard 6 2 5 2 2 2" xfId="32040" xr:uid="{00000000-0005-0000-0000-0000437E0000}"/>
    <cellStyle name="Standard 6 2 5 2 2 3" xfId="32041" xr:uid="{00000000-0005-0000-0000-0000447E0000}"/>
    <cellStyle name="Standard 6 2 5 2 3" xfId="32042" xr:uid="{00000000-0005-0000-0000-0000457E0000}"/>
    <cellStyle name="Standard 6 2 5 2 3 2" xfId="32043" xr:uid="{00000000-0005-0000-0000-0000467E0000}"/>
    <cellStyle name="Standard 6 2 5 2 3 3" xfId="32044" xr:uid="{00000000-0005-0000-0000-0000477E0000}"/>
    <cellStyle name="Standard 6 2 5 2 4" xfId="32045" xr:uid="{00000000-0005-0000-0000-0000487E0000}"/>
    <cellStyle name="Standard 6 2 5 2 4 2" xfId="32046" xr:uid="{00000000-0005-0000-0000-0000497E0000}"/>
    <cellStyle name="Standard 6 2 5 2 5" xfId="32047" xr:uid="{00000000-0005-0000-0000-00004A7E0000}"/>
    <cellStyle name="Standard 6 2 5 2 6" xfId="32048" xr:uid="{00000000-0005-0000-0000-00004B7E0000}"/>
    <cellStyle name="Standard 6 2 5 3" xfId="32049" xr:uid="{00000000-0005-0000-0000-00004C7E0000}"/>
    <cellStyle name="Standard 6 2 5 3 2" xfId="32050" xr:uid="{00000000-0005-0000-0000-00004D7E0000}"/>
    <cellStyle name="Standard 6 2 5 3 3" xfId="32051" xr:uid="{00000000-0005-0000-0000-00004E7E0000}"/>
    <cellStyle name="Standard 6 2 5 4" xfId="32052" xr:uid="{00000000-0005-0000-0000-00004F7E0000}"/>
    <cellStyle name="Standard 6 2 5 4 2" xfId="32053" xr:uid="{00000000-0005-0000-0000-0000507E0000}"/>
    <cellStyle name="Standard 6 2 5 4 3" xfId="32054" xr:uid="{00000000-0005-0000-0000-0000517E0000}"/>
    <cellStyle name="Standard 6 2 5 5" xfId="32055" xr:uid="{00000000-0005-0000-0000-0000527E0000}"/>
    <cellStyle name="Standard 6 2 5 5 2" xfId="32056" xr:uid="{00000000-0005-0000-0000-0000537E0000}"/>
    <cellStyle name="Standard 6 2 5 6" xfId="32057" xr:uid="{00000000-0005-0000-0000-0000547E0000}"/>
    <cellStyle name="Standard 6 2 5 7" xfId="32058" xr:uid="{00000000-0005-0000-0000-0000557E0000}"/>
    <cellStyle name="Standard 6 2 6" xfId="32059" xr:uid="{00000000-0005-0000-0000-0000567E0000}"/>
    <cellStyle name="Standard 6 2 6 2" xfId="32060" xr:uid="{00000000-0005-0000-0000-0000577E0000}"/>
    <cellStyle name="Standard 6 2 6 2 2" xfId="32061" xr:uid="{00000000-0005-0000-0000-0000587E0000}"/>
    <cellStyle name="Standard 6 2 6 2 3" xfId="32062" xr:uid="{00000000-0005-0000-0000-0000597E0000}"/>
    <cellStyle name="Standard 6 2 6 3" xfId="32063" xr:uid="{00000000-0005-0000-0000-00005A7E0000}"/>
    <cellStyle name="Standard 6 2 6 3 2" xfId="32064" xr:uid="{00000000-0005-0000-0000-00005B7E0000}"/>
    <cellStyle name="Standard 6 2 6 3 3" xfId="32065" xr:uid="{00000000-0005-0000-0000-00005C7E0000}"/>
    <cellStyle name="Standard 6 2 6 4" xfId="32066" xr:uid="{00000000-0005-0000-0000-00005D7E0000}"/>
    <cellStyle name="Standard 6 2 6 4 2" xfId="32067" xr:uid="{00000000-0005-0000-0000-00005E7E0000}"/>
    <cellStyle name="Standard 6 2 6 5" xfId="32068" xr:uid="{00000000-0005-0000-0000-00005F7E0000}"/>
    <cellStyle name="Standard 6 2 6 6" xfId="32069" xr:uid="{00000000-0005-0000-0000-0000607E0000}"/>
    <cellStyle name="Standard 6 2 7" xfId="32070" xr:uid="{00000000-0005-0000-0000-0000617E0000}"/>
    <cellStyle name="Standard 6 2 7 2" xfId="32071" xr:uid="{00000000-0005-0000-0000-0000627E0000}"/>
    <cellStyle name="Standard 6 2 7 3" xfId="32072" xr:uid="{00000000-0005-0000-0000-0000637E0000}"/>
    <cellStyle name="Standard 6 2 8" xfId="32073" xr:uid="{00000000-0005-0000-0000-0000647E0000}"/>
    <cellStyle name="Standard 6 2 8 2" xfId="32074" xr:uid="{00000000-0005-0000-0000-0000657E0000}"/>
    <cellStyle name="Standard 6 2 8 3" xfId="32075" xr:uid="{00000000-0005-0000-0000-0000667E0000}"/>
    <cellStyle name="Standard 6 2 9" xfId="32076" xr:uid="{00000000-0005-0000-0000-0000677E0000}"/>
    <cellStyle name="Standard 6 2 9 2" xfId="32077" xr:uid="{00000000-0005-0000-0000-0000687E0000}"/>
    <cellStyle name="Standard 6 3" xfId="32078" xr:uid="{00000000-0005-0000-0000-0000697E0000}"/>
    <cellStyle name="Standard 6 3 2" xfId="33482" xr:uid="{00000000-0005-0000-0000-00006A7E0000}"/>
    <cellStyle name="Standard 6 3 3" xfId="33481" xr:uid="{00000000-0005-0000-0000-00006B7E0000}"/>
    <cellStyle name="Standard 6 4" xfId="32079" xr:uid="{00000000-0005-0000-0000-00006C7E0000}"/>
    <cellStyle name="Standard 6 4 2" xfId="33483" xr:uid="{00000000-0005-0000-0000-00006D7E0000}"/>
    <cellStyle name="Standard 6 5" xfId="32080" xr:uid="{00000000-0005-0000-0000-00006E7E0000}"/>
    <cellStyle name="Standard 6 5 2" xfId="32081" xr:uid="{00000000-0005-0000-0000-00006F7E0000}"/>
    <cellStyle name="Standard 6 5 3" xfId="32082" xr:uid="{00000000-0005-0000-0000-0000707E0000}"/>
    <cellStyle name="Standard 6 6" xfId="32083" xr:uid="{00000000-0005-0000-0000-0000717E0000}"/>
    <cellStyle name="Standard 6 7" xfId="32084" xr:uid="{00000000-0005-0000-0000-0000727E0000}"/>
    <cellStyle name="Standard 6 8" xfId="33118" xr:uid="{00000000-0005-0000-0000-0000737E0000}"/>
    <cellStyle name="Standard 6 9" xfId="33193" xr:uid="{00000000-0005-0000-0000-0000747E0000}"/>
    <cellStyle name="Standard 60" xfId="642" xr:uid="{00000000-0005-0000-0000-0000757E0000}"/>
    <cellStyle name="Standard 60 2" xfId="643" xr:uid="{00000000-0005-0000-0000-0000767E0000}"/>
    <cellStyle name="Standard 61" xfId="644" xr:uid="{00000000-0005-0000-0000-0000777E0000}"/>
    <cellStyle name="Standard 61 2" xfId="645" xr:uid="{00000000-0005-0000-0000-0000787E0000}"/>
    <cellStyle name="Standard 62" xfId="646" xr:uid="{00000000-0005-0000-0000-0000797E0000}"/>
    <cellStyle name="Standard 62 2" xfId="647" xr:uid="{00000000-0005-0000-0000-00007A7E0000}"/>
    <cellStyle name="Standard 62 3" xfId="648" xr:uid="{00000000-0005-0000-0000-00007B7E0000}"/>
    <cellStyle name="Standard 62 4" xfId="649" xr:uid="{00000000-0005-0000-0000-00007C7E0000}"/>
    <cellStyle name="Standard 63" xfId="650" xr:uid="{00000000-0005-0000-0000-00007D7E0000}"/>
    <cellStyle name="Standard 63 2" xfId="651" xr:uid="{00000000-0005-0000-0000-00007E7E0000}"/>
    <cellStyle name="Standard 63 3" xfId="652" xr:uid="{00000000-0005-0000-0000-00007F7E0000}"/>
    <cellStyle name="Standard 63 4" xfId="653" xr:uid="{00000000-0005-0000-0000-0000807E0000}"/>
    <cellStyle name="Standard 64" xfId="654" xr:uid="{00000000-0005-0000-0000-0000817E0000}"/>
    <cellStyle name="Standard 64 2" xfId="655" xr:uid="{00000000-0005-0000-0000-0000827E0000}"/>
    <cellStyle name="Standard 64 3" xfId="656" xr:uid="{00000000-0005-0000-0000-0000837E0000}"/>
    <cellStyle name="Standard 64 4" xfId="657" xr:uid="{00000000-0005-0000-0000-0000847E0000}"/>
    <cellStyle name="Standard 65" xfId="658" xr:uid="{00000000-0005-0000-0000-0000857E0000}"/>
    <cellStyle name="Standard 65 2" xfId="659" xr:uid="{00000000-0005-0000-0000-0000867E0000}"/>
    <cellStyle name="Standard 65 3" xfId="660" xr:uid="{00000000-0005-0000-0000-0000877E0000}"/>
    <cellStyle name="Standard 65 4" xfId="661" xr:uid="{00000000-0005-0000-0000-0000887E0000}"/>
    <cellStyle name="Standard 66" xfId="662" xr:uid="{00000000-0005-0000-0000-0000897E0000}"/>
    <cellStyle name="Standard 66 2" xfId="663" xr:uid="{00000000-0005-0000-0000-00008A7E0000}"/>
    <cellStyle name="Standard 66 3" xfId="664" xr:uid="{00000000-0005-0000-0000-00008B7E0000}"/>
    <cellStyle name="Standard 66 4" xfId="665" xr:uid="{00000000-0005-0000-0000-00008C7E0000}"/>
    <cellStyle name="Standard 67" xfId="666" xr:uid="{00000000-0005-0000-0000-00008D7E0000}"/>
    <cellStyle name="Standard 67 2" xfId="667" xr:uid="{00000000-0005-0000-0000-00008E7E0000}"/>
    <cellStyle name="Standard 67 3" xfId="668" xr:uid="{00000000-0005-0000-0000-00008F7E0000}"/>
    <cellStyle name="Standard 67 4" xfId="669" xr:uid="{00000000-0005-0000-0000-0000907E0000}"/>
    <cellStyle name="Standard 68" xfId="670" xr:uid="{00000000-0005-0000-0000-0000917E0000}"/>
    <cellStyle name="Standard 68 2" xfId="671" xr:uid="{00000000-0005-0000-0000-0000927E0000}"/>
    <cellStyle name="Standard 69" xfId="672" xr:uid="{00000000-0005-0000-0000-0000937E0000}"/>
    <cellStyle name="Standard 69 2" xfId="673" xr:uid="{00000000-0005-0000-0000-0000947E0000}"/>
    <cellStyle name="Standard 7" xfId="674" xr:uid="{00000000-0005-0000-0000-0000957E0000}"/>
    <cellStyle name="Standard 7 10" xfId="32085" xr:uid="{00000000-0005-0000-0000-0000967E0000}"/>
    <cellStyle name="Standard 7 11" xfId="32086" xr:uid="{00000000-0005-0000-0000-0000977E0000}"/>
    <cellStyle name="Standard 7 12" xfId="32087" xr:uid="{00000000-0005-0000-0000-0000987E0000}"/>
    <cellStyle name="Standard 7 13" xfId="32088" xr:uid="{00000000-0005-0000-0000-0000997E0000}"/>
    <cellStyle name="Standard 7 2" xfId="675" xr:uid="{00000000-0005-0000-0000-00009A7E0000}"/>
    <cellStyle name="Standard 7 2 10" xfId="32089" xr:uid="{00000000-0005-0000-0000-00009B7E0000}"/>
    <cellStyle name="Standard 7 2 11" xfId="33484" xr:uid="{00000000-0005-0000-0000-00009C7E0000}"/>
    <cellStyle name="Standard 7 2 2" xfId="32090" xr:uid="{00000000-0005-0000-0000-00009D7E0000}"/>
    <cellStyle name="Standard 7 2 2 2" xfId="32091" xr:uid="{00000000-0005-0000-0000-00009E7E0000}"/>
    <cellStyle name="Standard 7 2 2 2 2" xfId="32092" xr:uid="{00000000-0005-0000-0000-00009F7E0000}"/>
    <cellStyle name="Standard 7 2 2 2 2 2" xfId="32093" xr:uid="{00000000-0005-0000-0000-0000A07E0000}"/>
    <cellStyle name="Standard 7 2 2 2 2 2 2" xfId="32094" xr:uid="{00000000-0005-0000-0000-0000A17E0000}"/>
    <cellStyle name="Standard 7 2 2 2 2 2 3" xfId="32095" xr:uid="{00000000-0005-0000-0000-0000A27E0000}"/>
    <cellStyle name="Standard 7 2 2 2 2 3" xfId="32096" xr:uid="{00000000-0005-0000-0000-0000A37E0000}"/>
    <cellStyle name="Standard 7 2 2 2 2 3 2" xfId="32097" xr:uid="{00000000-0005-0000-0000-0000A47E0000}"/>
    <cellStyle name="Standard 7 2 2 2 2 3 3" xfId="32098" xr:uid="{00000000-0005-0000-0000-0000A57E0000}"/>
    <cellStyle name="Standard 7 2 2 2 2 4" xfId="32099" xr:uid="{00000000-0005-0000-0000-0000A67E0000}"/>
    <cellStyle name="Standard 7 2 2 2 2 4 2" xfId="32100" xr:uid="{00000000-0005-0000-0000-0000A77E0000}"/>
    <cellStyle name="Standard 7 2 2 2 2 5" xfId="32101" xr:uid="{00000000-0005-0000-0000-0000A87E0000}"/>
    <cellStyle name="Standard 7 2 2 2 2 6" xfId="32102" xr:uid="{00000000-0005-0000-0000-0000A97E0000}"/>
    <cellStyle name="Standard 7 2 2 2 2 7" xfId="33487" xr:uid="{00000000-0005-0000-0000-0000AA7E0000}"/>
    <cellStyle name="Standard 7 2 2 2 3" xfId="32103" xr:uid="{00000000-0005-0000-0000-0000AB7E0000}"/>
    <cellStyle name="Standard 7 2 2 2 3 2" xfId="32104" xr:uid="{00000000-0005-0000-0000-0000AC7E0000}"/>
    <cellStyle name="Standard 7 2 2 2 3 3" xfId="32105" xr:uid="{00000000-0005-0000-0000-0000AD7E0000}"/>
    <cellStyle name="Standard 7 2 2 2 4" xfId="32106" xr:uid="{00000000-0005-0000-0000-0000AE7E0000}"/>
    <cellStyle name="Standard 7 2 2 2 4 2" xfId="32107" xr:uid="{00000000-0005-0000-0000-0000AF7E0000}"/>
    <cellStyle name="Standard 7 2 2 2 4 3" xfId="32108" xr:uid="{00000000-0005-0000-0000-0000B07E0000}"/>
    <cellStyle name="Standard 7 2 2 2 5" xfId="32109" xr:uid="{00000000-0005-0000-0000-0000B17E0000}"/>
    <cellStyle name="Standard 7 2 2 2 5 2" xfId="32110" xr:uid="{00000000-0005-0000-0000-0000B27E0000}"/>
    <cellStyle name="Standard 7 2 2 2 6" xfId="32111" xr:uid="{00000000-0005-0000-0000-0000B37E0000}"/>
    <cellStyle name="Standard 7 2 2 2 7" xfId="32112" xr:uid="{00000000-0005-0000-0000-0000B47E0000}"/>
    <cellStyle name="Standard 7 2 2 2 8" xfId="33486" xr:uid="{00000000-0005-0000-0000-0000B57E0000}"/>
    <cellStyle name="Standard 7 2 2 3" xfId="32113" xr:uid="{00000000-0005-0000-0000-0000B67E0000}"/>
    <cellStyle name="Standard 7 2 2 3 2" xfId="32114" xr:uid="{00000000-0005-0000-0000-0000B77E0000}"/>
    <cellStyle name="Standard 7 2 2 3 2 2" xfId="32115" xr:uid="{00000000-0005-0000-0000-0000B87E0000}"/>
    <cellStyle name="Standard 7 2 2 3 2 3" xfId="32116" xr:uid="{00000000-0005-0000-0000-0000B97E0000}"/>
    <cellStyle name="Standard 7 2 2 3 3" xfId="32117" xr:uid="{00000000-0005-0000-0000-0000BA7E0000}"/>
    <cellStyle name="Standard 7 2 2 3 3 2" xfId="32118" xr:uid="{00000000-0005-0000-0000-0000BB7E0000}"/>
    <cellStyle name="Standard 7 2 2 3 3 3" xfId="32119" xr:uid="{00000000-0005-0000-0000-0000BC7E0000}"/>
    <cellStyle name="Standard 7 2 2 3 4" xfId="32120" xr:uid="{00000000-0005-0000-0000-0000BD7E0000}"/>
    <cellStyle name="Standard 7 2 2 3 4 2" xfId="32121" xr:uid="{00000000-0005-0000-0000-0000BE7E0000}"/>
    <cellStyle name="Standard 7 2 2 3 5" xfId="32122" xr:uid="{00000000-0005-0000-0000-0000BF7E0000}"/>
    <cellStyle name="Standard 7 2 2 3 6" xfId="32123" xr:uid="{00000000-0005-0000-0000-0000C07E0000}"/>
    <cellStyle name="Standard 7 2 2 3 7" xfId="33488" xr:uid="{00000000-0005-0000-0000-0000C17E0000}"/>
    <cellStyle name="Standard 7 2 2 4" xfId="32124" xr:uid="{00000000-0005-0000-0000-0000C27E0000}"/>
    <cellStyle name="Standard 7 2 2 4 2" xfId="32125" xr:uid="{00000000-0005-0000-0000-0000C37E0000}"/>
    <cellStyle name="Standard 7 2 2 4 3" xfId="32126" xr:uid="{00000000-0005-0000-0000-0000C47E0000}"/>
    <cellStyle name="Standard 7 2 2 5" xfId="32127" xr:uid="{00000000-0005-0000-0000-0000C57E0000}"/>
    <cellStyle name="Standard 7 2 2 5 2" xfId="32128" xr:uid="{00000000-0005-0000-0000-0000C67E0000}"/>
    <cellStyle name="Standard 7 2 2 5 3" xfId="32129" xr:uid="{00000000-0005-0000-0000-0000C77E0000}"/>
    <cellStyle name="Standard 7 2 2 6" xfId="32130" xr:uid="{00000000-0005-0000-0000-0000C87E0000}"/>
    <cellStyle name="Standard 7 2 2 6 2" xfId="32131" xr:uid="{00000000-0005-0000-0000-0000C97E0000}"/>
    <cellStyle name="Standard 7 2 2 7" xfId="32132" xr:uid="{00000000-0005-0000-0000-0000CA7E0000}"/>
    <cellStyle name="Standard 7 2 2 8" xfId="32133" xr:uid="{00000000-0005-0000-0000-0000CB7E0000}"/>
    <cellStyle name="Standard 7 2 2 9" xfId="33485" xr:uid="{00000000-0005-0000-0000-0000CC7E0000}"/>
    <cellStyle name="Standard 7 2 3" xfId="32134" xr:uid="{00000000-0005-0000-0000-0000CD7E0000}"/>
    <cellStyle name="Standard 7 2 3 2" xfId="32135" xr:uid="{00000000-0005-0000-0000-0000CE7E0000}"/>
    <cellStyle name="Standard 7 2 3 2 2" xfId="32136" xr:uid="{00000000-0005-0000-0000-0000CF7E0000}"/>
    <cellStyle name="Standard 7 2 3 2 2 2" xfId="32137" xr:uid="{00000000-0005-0000-0000-0000D07E0000}"/>
    <cellStyle name="Standard 7 2 3 2 2 2 2" xfId="32138" xr:uid="{00000000-0005-0000-0000-0000D17E0000}"/>
    <cellStyle name="Standard 7 2 3 2 2 2 3" xfId="32139" xr:uid="{00000000-0005-0000-0000-0000D27E0000}"/>
    <cellStyle name="Standard 7 2 3 2 2 3" xfId="32140" xr:uid="{00000000-0005-0000-0000-0000D37E0000}"/>
    <cellStyle name="Standard 7 2 3 2 2 3 2" xfId="32141" xr:uid="{00000000-0005-0000-0000-0000D47E0000}"/>
    <cellStyle name="Standard 7 2 3 2 2 3 3" xfId="32142" xr:uid="{00000000-0005-0000-0000-0000D57E0000}"/>
    <cellStyle name="Standard 7 2 3 2 2 4" xfId="32143" xr:uid="{00000000-0005-0000-0000-0000D67E0000}"/>
    <cellStyle name="Standard 7 2 3 2 2 4 2" xfId="32144" xr:uid="{00000000-0005-0000-0000-0000D77E0000}"/>
    <cellStyle name="Standard 7 2 3 2 2 5" xfId="32145" xr:uid="{00000000-0005-0000-0000-0000D87E0000}"/>
    <cellStyle name="Standard 7 2 3 2 2 6" xfId="32146" xr:uid="{00000000-0005-0000-0000-0000D97E0000}"/>
    <cellStyle name="Standard 7 2 3 2 3" xfId="32147" xr:uid="{00000000-0005-0000-0000-0000DA7E0000}"/>
    <cellStyle name="Standard 7 2 3 2 3 2" xfId="32148" xr:uid="{00000000-0005-0000-0000-0000DB7E0000}"/>
    <cellStyle name="Standard 7 2 3 2 3 3" xfId="32149" xr:uid="{00000000-0005-0000-0000-0000DC7E0000}"/>
    <cellStyle name="Standard 7 2 3 2 4" xfId="32150" xr:uid="{00000000-0005-0000-0000-0000DD7E0000}"/>
    <cellStyle name="Standard 7 2 3 2 4 2" xfId="32151" xr:uid="{00000000-0005-0000-0000-0000DE7E0000}"/>
    <cellStyle name="Standard 7 2 3 2 4 3" xfId="32152" xr:uid="{00000000-0005-0000-0000-0000DF7E0000}"/>
    <cellStyle name="Standard 7 2 3 2 5" xfId="32153" xr:uid="{00000000-0005-0000-0000-0000E07E0000}"/>
    <cellStyle name="Standard 7 2 3 2 5 2" xfId="32154" xr:uid="{00000000-0005-0000-0000-0000E17E0000}"/>
    <cellStyle name="Standard 7 2 3 2 6" xfId="32155" xr:uid="{00000000-0005-0000-0000-0000E27E0000}"/>
    <cellStyle name="Standard 7 2 3 2 7" xfId="32156" xr:uid="{00000000-0005-0000-0000-0000E37E0000}"/>
    <cellStyle name="Standard 7 2 3 2 8" xfId="33490" xr:uid="{00000000-0005-0000-0000-0000E47E0000}"/>
    <cellStyle name="Standard 7 2 3 3" xfId="32157" xr:uid="{00000000-0005-0000-0000-0000E57E0000}"/>
    <cellStyle name="Standard 7 2 3 3 2" xfId="32158" xr:uid="{00000000-0005-0000-0000-0000E67E0000}"/>
    <cellStyle name="Standard 7 2 3 3 2 2" xfId="32159" xr:uid="{00000000-0005-0000-0000-0000E77E0000}"/>
    <cellStyle name="Standard 7 2 3 3 2 3" xfId="32160" xr:uid="{00000000-0005-0000-0000-0000E87E0000}"/>
    <cellStyle name="Standard 7 2 3 3 3" xfId="32161" xr:uid="{00000000-0005-0000-0000-0000E97E0000}"/>
    <cellStyle name="Standard 7 2 3 3 3 2" xfId="32162" xr:uid="{00000000-0005-0000-0000-0000EA7E0000}"/>
    <cellStyle name="Standard 7 2 3 3 3 3" xfId="32163" xr:uid="{00000000-0005-0000-0000-0000EB7E0000}"/>
    <cellStyle name="Standard 7 2 3 3 4" xfId="32164" xr:uid="{00000000-0005-0000-0000-0000EC7E0000}"/>
    <cellStyle name="Standard 7 2 3 3 4 2" xfId="32165" xr:uid="{00000000-0005-0000-0000-0000ED7E0000}"/>
    <cellStyle name="Standard 7 2 3 3 5" xfId="32166" xr:uid="{00000000-0005-0000-0000-0000EE7E0000}"/>
    <cellStyle name="Standard 7 2 3 3 6" xfId="32167" xr:uid="{00000000-0005-0000-0000-0000EF7E0000}"/>
    <cellStyle name="Standard 7 2 3 4" xfId="32168" xr:uid="{00000000-0005-0000-0000-0000F07E0000}"/>
    <cellStyle name="Standard 7 2 3 4 2" xfId="32169" xr:uid="{00000000-0005-0000-0000-0000F17E0000}"/>
    <cellStyle name="Standard 7 2 3 4 3" xfId="32170" xr:uid="{00000000-0005-0000-0000-0000F27E0000}"/>
    <cellStyle name="Standard 7 2 3 5" xfId="32171" xr:uid="{00000000-0005-0000-0000-0000F37E0000}"/>
    <cellStyle name="Standard 7 2 3 5 2" xfId="32172" xr:uid="{00000000-0005-0000-0000-0000F47E0000}"/>
    <cellStyle name="Standard 7 2 3 5 3" xfId="32173" xr:uid="{00000000-0005-0000-0000-0000F57E0000}"/>
    <cellStyle name="Standard 7 2 3 6" xfId="32174" xr:uid="{00000000-0005-0000-0000-0000F67E0000}"/>
    <cellStyle name="Standard 7 2 3 6 2" xfId="32175" xr:uid="{00000000-0005-0000-0000-0000F77E0000}"/>
    <cellStyle name="Standard 7 2 3 7" xfId="32176" xr:uid="{00000000-0005-0000-0000-0000F87E0000}"/>
    <cellStyle name="Standard 7 2 3 8" xfId="32177" xr:uid="{00000000-0005-0000-0000-0000F97E0000}"/>
    <cellStyle name="Standard 7 2 3 9" xfId="33489" xr:uid="{00000000-0005-0000-0000-0000FA7E0000}"/>
    <cellStyle name="Standard 7 2 4" xfId="32178" xr:uid="{00000000-0005-0000-0000-0000FB7E0000}"/>
    <cellStyle name="Standard 7 2 4 2" xfId="32179" xr:uid="{00000000-0005-0000-0000-0000FC7E0000}"/>
    <cellStyle name="Standard 7 2 4 2 2" xfId="32180" xr:uid="{00000000-0005-0000-0000-0000FD7E0000}"/>
    <cellStyle name="Standard 7 2 4 2 2 2" xfId="32181" xr:uid="{00000000-0005-0000-0000-0000FE7E0000}"/>
    <cellStyle name="Standard 7 2 4 2 2 3" xfId="32182" xr:uid="{00000000-0005-0000-0000-0000FF7E0000}"/>
    <cellStyle name="Standard 7 2 4 2 3" xfId="32183" xr:uid="{00000000-0005-0000-0000-0000007F0000}"/>
    <cellStyle name="Standard 7 2 4 2 3 2" xfId="32184" xr:uid="{00000000-0005-0000-0000-0000017F0000}"/>
    <cellStyle name="Standard 7 2 4 2 3 3" xfId="32185" xr:uid="{00000000-0005-0000-0000-0000027F0000}"/>
    <cellStyle name="Standard 7 2 4 2 4" xfId="32186" xr:uid="{00000000-0005-0000-0000-0000037F0000}"/>
    <cellStyle name="Standard 7 2 4 2 4 2" xfId="32187" xr:uid="{00000000-0005-0000-0000-0000047F0000}"/>
    <cellStyle name="Standard 7 2 4 2 5" xfId="32188" xr:uid="{00000000-0005-0000-0000-0000057F0000}"/>
    <cellStyle name="Standard 7 2 4 2 6" xfId="32189" xr:uid="{00000000-0005-0000-0000-0000067F0000}"/>
    <cellStyle name="Standard 7 2 4 3" xfId="32190" xr:uid="{00000000-0005-0000-0000-0000077F0000}"/>
    <cellStyle name="Standard 7 2 4 3 2" xfId="32191" xr:uid="{00000000-0005-0000-0000-0000087F0000}"/>
    <cellStyle name="Standard 7 2 4 3 3" xfId="32192" xr:uid="{00000000-0005-0000-0000-0000097F0000}"/>
    <cellStyle name="Standard 7 2 4 4" xfId="32193" xr:uid="{00000000-0005-0000-0000-00000A7F0000}"/>
    <cellStyle name="Standard 7 2 4 4 2" xfId="32194" xr:uid="{00000000-0005-0000-0000-00000B7F0000}"/>
    <cellStyle name="Standard 7 2 4 4 3" xfId="32195" xr:uid="{00000000-0005-0000-0000-00000C7F0000}"/>
    <cellStyle name="Standard 7 2 4 5" xfId="32196" xr:uid="{00000000-0005-0000-0000-00000D7F0000}"/>
    <cellStyle name="Standard 7 2 4 5 2" xfId="32197" xr:uid="{00000000-0005-0000-0000-00000E7F0000}"/>
    <cellStyle name="Standard 7 2 4 6" xfId="32198" xr:uid="{00000000-0005-0000-0000-00000F7F0000}"/>
    <cellStyle name="Standard 7 2 4 7" xfId="32199" xr:uid="{00000000-0005-0000-0000-0000107F0000}"/>
    <cellStyle name="Standard 7 2 4 8" xfId="33491" xr:uid="{00000000-0005-0000-0000-0000117F0000}"/>
    <cellStyle name="Standard 7 2 5" xfId="32200" xr:uid="{00000000-0005-0000-0000-0000127F0000}"/>
    <cellStyle name="Standard 7 2 5 2" xfId="32201" xr:uid="{00000000-0005-0000-0000-0000137F0000}"/>
    <cellStyle name="Standard 7 2 5 2 2" xfId="32202" xr:uid="{00000000-0005-0000-0000-0000147F0000}"/>
    <cellStyle name="Standard 7 2 5 2 3" xfId="32203" xr:uid="{00000000-0005-0000-0000-0000157F0000}"/>
    <cellStyle name="Standard 7 2 5 3" xfId="32204" xr:uid="{00000000-0005-0000-0000-0000167F0000}"/>
    <cellStyle name="Standard 7 2 5 3 2" xfId="32205" xr:uid="{00000000-0005-0000-0000-0000177F0000}"/>
    <cellStyle name="Standard 7 2 5 3 3" xfId="32206" xr:uid="{00000000-0005-0000-0000-0000187F0000}"/>
    <cellStyle name="Standard 7 2 5 4" xfId="32207" xr:uid="{00000000-0005-0000-0000-0000197F0000}"/>
    <cellStyle name="Standard 7 2 5 4 2" xfId="32208" xr:uid="{00000000-0005-0000-0000-00001A7F0000}"/>
    <cellStyle name="Standard 7 2 5 5" xfId="32209" xr:uid="{00000000-0005-0000-0000-00001B7F0000}"/>
    <cellStyle name="Standard 7 2 5 6" xfId="32210" xr:uid="{00000000-0005-0000-0000-00001C7F0000}"/>
    <cellStyle name="Standard 7 2 6" xfId="32211" xr:uid="{00000000-0005-0000-0000-00001D7F0000}"/>
    <cellStyle name="Standard 7 2 6 2" xfId="32212" xr:uid="{00000000-0005-0000-0000-00001E7F0000}"/>
    <cellStyle name="Standard 7 2 6 3" xfId="32213" xr:uid="{00000000-0005-0000-0000-00001F7F0000}"/>
    <cellStyle name="Standard 7 2 7" xfId="32214" xr:uid="{00000000-0005-0000-0000-0000207F0000}"/>
    <cellStyle name="Standard 7 2 7 2" xfId="32215" xr:uid="{00000000-0005-0000-0000-0000217F0000}"/>
    <cellStyle name="Standard 7 2 7 3" xfId="32216" xr:uid="{00000000-0005-0000-0000-0000227F0000}"/>
    <cellStyle name="Standard 7 2 8" xfId="32217" xr:uid="{00000000-0005-0000-0000-0000237F0000}"/>
    <cellStyle name="Standard 7 2 8 2" xfId="32218" xr:uid="{00000000-0005-0000-0000-0000247F0000}"/>
    <cellStyle name="Standard 7 2 9" xfId="32219" xr:uid="{00000000-0005-0000-0000-0000257F0000}"/>
    <cellStyle name="Standard 7 3" xfId="32220" xr:uid="{00000000-0005-0000-0000-0000267F0000}"/>
    <cellStyle name="Standard 7 3 2" xfId="32221" xr:uid="{00000000-0005-0000-0000-0000277F0000}"/>
    <cellStyle name="Standard 7 3 2 2" xfId="32222" xr:uid="{00000000-0005-0000-0000-0000287F0000}"/>
    <cellStyle name="Standard 7 3 2 2 2" xfId="32223" xr:uid="{00000000-0005-0000-0000-0000297F0000}"/>
    <cellStyle name="Standard 7 3 2 2 2 2" xfId="32224" xr:uid="{00000000-0005-0000-0000-00002A7F0000}"/>
    <cellStyle name="Standard 7 3 2 2 2 3" xfId="32225" xr:uid="{00000000-0005-0000-0000-00002B7F0000}"/>
    <cellStyle name="Standard 7 3 2 2 3" xfId="32226" xr:uid="{00000000-0005-0000-0000-00002C7F0000}"/>
    <cellStyle name="Standard 7 3 2 2 3 2" xfId="32227" xr:uid="{00000000-0005-0000-0000-00002D7F0000}"/>
    <cellStyle name="Standard 7 3 2 2 3 3" xfId="32228" xr:uid="{00000000-0005-0000-0000-00002E7F0000}"/>
    <cellStyle name="Standard 7 3 2 2 4" xfId="32229" xr:uid="{00000000-0005-0000-0000-00002F7F0000}"/>
    <cellStyle name="Standard 7 3 2 2 4 2" xfId="32230" xr:uid="{00000000-0005-0000-0000-0000307F0000}"/>
    <cellStyle name="Standard 7 3 2 2 5" xfId="32231" xr:uid="{00000000-0005-0000-0000-0000317F0000}"/>
    <cellStyle name="Standard 7 3 2 2 6" xfId="32232" xr:uid="{00000000-0005-0000-0000-0000327F0000}"/>
    <cellStyle name="Standard 7 3 2 2 7" xfId="33494" xr:uid="{00000000-0005-0000-0000-0000337F0000}"/>
    <cellStyle name="Standard 7 3 2 3" xfId="32233" xr:uid="{00000000-0005-0000-0000-0000347F0000}"/>
    <cellStyle name="Standard 7 3 2 3 2" xfId="32234" xr:uid="{00000000-0005-0000-0000-0000357F0000}"/>
    <cellStyle name="Standard 7 3 2 3 3" xfId="32235" xr:uid="{00000000-0005-0000-0000-0000367F0000}"/>
    <cellStyle name="Standard 7 3 2 4" xfId="32236" xr:uid="{00000000-0005-0000-0000-0000377F0000}"/>
    <cellStyle name="Standard 7 3 2 4 2" xfId="32237" xr:uid="{00000000-0005-0000-0000-0000387F0000}"/>
    <cellStyle name="Standard 7 3 2 4 3" xfId="32238" xr:uid="{00000000-0005-0000-0000-0000397F0000}"/>
    <cellStyle name="Standard 7 3 2 5" xfId="32239" xr:uid="{00000000-0005-0000-0000-00003A7F0000}"/>
    <cellStyle name="Standard 7 3 2 5 2" xfId="32240" xr:uid="{00000000-0005-0000-0000-00003B7F0000}"/>
    <cellStyle name="Standard 7 3 2 6" xfId="32241" xr:uid="{00000000-0005-0000-0000-00003C7F0000}"/>
    <cellStyle name="Standard 7 3 2 7" xfId="32242" xr:uid="{00000000-0005-0000-0000-00003D7F0000}"/>
    <cellStyle name="Standard 7 3 2 8" xfId="33493" xr:uid="{00000000-0005-0000-0000-00003E7F0000}"/>
    <cellStyle name="Standard 7 3 3" xfId="32243" xr:uid="{00000000-0005-0000-0000-00003F7F0000}"/>
    <cellStyle name="Standard 7 3 3 2" xfId="32244" xr:uid="{00000000-0005-0000-0000-0000407F0000}"/>
    <cellStyle name="Standard 7 3 3 2 2" xfId="32245" xr:uid="{00000000-0005-0000-0000-0000417F0000}"/>
    <cellStyle name="Standard 7 3 3 2 3" xfId="32246" xr:uid="{00000000-0005-0000-0000-0000427F0000}"/>
    <cellStyle name="Standard 7 3 3 3" xfId="32247" xr:uid="{00000000-0005-0000-0000-0000437F0000}"/>
    <cellStyle name="Standard 7 3 3 3 2" xfId="32248" xr:uid="{00000000-0005-0000-0000-0000447F0000}"/>
    <cellStyle name="Standard 7 3 3 3 3" xfId="32249" xr:uid="{00000000-0005-0000-0000-0000457F0000}"/>
    <cellStyle name="Standard 7 3 3 4" xfId="32250" xr:uid="{00000000-0005-0000-0000-0000467F0000}"/>
    <cellStyle name="Standard 7 3 3 4 2" xfId="32251" xr:uid="{00000000-0005-0000-0000-0000477F0000}"/>
    <cellStyle name="Standard 7 3 3 5" xfId="32252" xr:uid="{00000000-0005-0000-0000-0000487F0000}"/>
    <cellStyle name="Standard 7 3 3 6" xfId="32253" xr:uid="{00000000-0005-0000-0000-0000497F0000}"/>
    <cellStyle name="Standard 7 3 3 7" xfId="33495" xr:uid="{00000000-0005-0000-0000-00004A7F0000}"/>
    <cellStyle name="Standard 7 3 4" xfId="32254" xr:uid="{00000000-0005-0000-0000-00004B7F0000}"/>
    <cellStyle name="Standard 7 3 4 2" xfId="32255" xr:uid="{00000000-0005-0000-0000-00004C7F0000}"/>
    <cellStyle name="Standard 7 3 4 3" xfId="32256" xr:uid="{00000000-0005-0000-0000-00004D7F0000}"/>
    <cellStyle name="Standard 7 3 5" xfId="32257" xr:uid="{00000000-0005-0000-0000-00004E7F0000}"/>
    <cellStyle name="Standard 7 3 5 2" xfId="32258" xr:uid="{00000000-0005-0000-0000-00004F7F0000}"/>
    <cellStyle name="Standard 7 3 5 3" xfId="32259" xr:uid="{00000000-0005-0000-0000-0000507F0000}"/>
    <cellStyle name="Standard 7 3 6" xfId="32260" xr:uid="{00000000-0005-0000-0000-0000517F0000}"/>
    <cellStyle name="Standard 7 3 6 2" xfId="32261" xr:uid="{00000000-0005-0000-0000-0000527F0000}"/>
    <cellStyle name="Standard 7 3 7" xfId="32262" xr:uid="{00000000-0005-0000-0000-0000537F0000}"/>
    <cellStyle name="Standard 7 3 8" xfId="32263" xr:uid="{00000000-0005-0000-0000-0000547F0000}"/>
    <cellStyle name="Standard 7 3 9" xfId="33492" xr:uid="{00000000-0005-0000-0000-0000557F0000}"/>
    <cellStyle name="Standard 7 4" xfId="32264" xr:uid="{00000000-0005-0000-0000-0000567F0000}"/>
    <cellStyle name="Standard 7 4 2" xfId="32265" xr:uid="{00000000-0005-0000-0000-0000577F0000}"/>
    <cellStyle name="Standard 7 4 2 2" xfId="32266" xr:uid="{00000000-0005-0000-0000-0000587F0000}"/>
    <cellStyle name="Standard 7 4 2 2 2" xfId="32267" xr:uid="{00000000-0005-0000-0000-0000597F0000}"/>
    <cellStyle name="Standard 7 4 2 2 2 2" xfId="32268" xr:uid="{00000000-0005-0000-0000-00005A7F0000}"/>
    <cellStyle name="Standard 7 4 2 2 2 3" xfId="32269" xr:uid="{00000000-0005-0000-0000-00005B7F0000}"/>
    <cellStyle name="Standard 7 4 2 2 3" xfId="32270" xr:uid="{00000000-0005-0000-0000-00005C7F0000}"/>
    <cellStyle name="Standard 7 4 2 2 3 2" xfId="32271" xr:uid="{00000000-0005-0000-0000-00005D7F0000}"/>
    <cellStyle name="Standard 7 4 2 2 3 3" xfId="32272" xr:uid="{00000000-0005-0000-0000-00005E7F0000}"/>
    <cellStyle name="Standard 7 4 2 2 4" xfId="32273" xr:uid="{00000000-0005-0000-0000-00005F7F0000}"/>
    <cellStyle name="Standard 7 4 2 2 4 2" xfId="32274" xr:uid="{00000000-0005-0000-0000-0000607F0000}"/>
    <cellStyle name="Standard 7 4 2 2 5" xfId="32275" xr:uid="{00000000-0005-0000-0000-0000617F0000}"/>
    <cellStyle name="Standard 7 4 2 2 6" xfId="32276" xr:uid="{00000000-0005-0000-0000-0000627F0000}"/>
    <cellStyle name="Standard 7 4 2 2 7" xfId="33498" xr:uid="{00000000-0005-0000-0000-0000637F0000}"/>
    <cellStyle name="Standard 7 4 2 3" xfId="32277" xr:uid="{00000000-0005-0000-0000-0000647F0000}"/>
    <cellStyle name="Standard 7 4 2 3 2" xfId="32278" xr:uid="{00000000-0005-0000-0000-0000657F0000}"/>
    <cellStyle name="Standard 7 4 2 3 3" xfId="32279" xr:uid="{00000000-0005-0000-0000-0000667F0000}"/>
    <cellStyle name="Standard 7 4 2 4" xfId="32280" xr:uid="{00000000-0005-0000-0000-0000677F0000}"/>
    <cellStyle name="Standard 7 4 2 4 2" xfId="32281" xr:uid="{00000000-0005-0000-0000-0000687F0000}"/>
    <cellStyle name="Standard 7 4 2 4 3" xfId="32282" xr:uid="{00000000-0005-0000-0000-0000697F0000}"/>
    <cellStyle name="Standard 7 4 2 5" xfId="32283" xr:uid="{00000000-0005-0000-0000-00006A7F0000}"/>
    <cellStyle name="Standard 7 4 2 5 2" xfId="32284" xr:uid="{00000000-0005-0000-0000-00006B7F0000}"/>
    <cellStyle name="Standard 7 4 2 6" xfId="32285" xr:uid="{00000000-0005-0000-0000-00006C7F0000}"/>
    <cellStyle name="Standard 7 4 2 7" xfId="32286" xr:uid="{00000000-0005-0000-0000-00006D7F0000}"/>
    <cellStyle name="Standard 7 4 2 8" xfId="33497" xr:uid="{00000000-0005-0000-0000-00006E7F0000}"/>
    <cellStyle name="Standard 7 4 3" xfId="32287" xr:uid="{00000000-0005-0000-0000-00006F7F0000}"/>
    <cellStyle name="Standard 7 4 3 2" xfId="32288" xr:uid="{00000000-0005-0000-0000-0000707F0000}"/>
    <cellStyle name="Standard 7 4 3 2 2" xfId="32289" xr:uid="{00000000-0005-0000-0000-0000717F0000}"/>
    <cellStyle name="Standard 7 4 3 2 3" xfId="32290" xr:uid="{00000000-0005-0000-0000-0000727F0000}"/>
    <cellStyle name="Standard 7 4 3 3" xfId="32291" xr:uid="{00000000-0005-0000-0000-0000737F0000}"/>
    <cellStyle name="Standard 7 4 3 3 2" xfId="32292" xr:uid="{00000000-0005-0000-0000-0000747F0000}"/>
    <cellStyle name="Standard 7 4 3 3 3" xfId="32293" xr:uid="{00000000-0005-0000-0000-0000757F0000}"/>
    <cellStyle name="Standard 7 4 3 4" xfId="32294" xr:uid="{00000000-0005-0000-0000-0000767F0000}"/>
    <cellStyle name="Standard 7 4 3 4 2" xfId="32295" xr:uid="{00000000-0005-0000-0000-0000777F0000}"/>
    <cellStyle name="Standard 7 4 3 5" xfId="32296" xr:uid="{00000000-0005-0000-0000-0000787F0000}"/>
    <cellStyle name="Standard 7 4 3 6" xfId="32297" xr:uid="{00000000-0005-0000-0000-0000797F0000}"/>
    <cellStyle name="Standard 7 4 3 7" xfId="33499" xr:uid="{00000000-0005-0000-0000-00007A7F0000}"/>
    <cellStyle name="Standard 7 4 4" xfId="32298" xr:uid="{00000000-0005-0000-0000-00007B7F0000}"/>
    <cellStyle name="Standard 7 4 4 2" xfId="32299" xr:uid="{00000000-0005-0000-0000-00007C7F0000}"/>
    <cellStyle name="Standard 7 4 4 3" xfId="32300" xr:uid="{00000000-0005-0000-0000-00007D7F0000}"/>
    <cellStyle name="Standard 7 4 5" xfId="32301" xr:uid="{00000000-0005-0000-0000-00007E7F0000}"/>
    <cellStyle name="Standard 7 4 5 2" xfId="32302" xr:uid="{00000000-0005-0000-0000-00007F7F0000}"/>
    <cellStyle name="Standard 7 4 5 3" xfId="32303" xr:uid="{00000000-0005-0000-0000-0000807F0000}"/>
    <cellStyle name="Standard 7 4 6" xfId="32304" xr:uid="{00000000-0005-0000-0000-0000817F0000}"/>
    <cellStyle name="Standard 7 4 6 2" xfId="32305" xr:uid="{00000000-0005-0000-0000-0000827F0000}"/>
    <cellStyle name="Standard 7 4 7" xfId="32306" xr:uid="{00000000-0005-0000-0000-0000837F0000}"/>
    <cellStyle name="Standard 7 4 8" xfId="32307" xr:uid="{00000000-0005-0000-0000-0000847F0000}"/>
    <cellStyle name="Standard 7 4 9" xfId="33496" xr:uid="{00000000-0005-0000-0000-0000857F0000}"/>
    <cellStyle name="Standard 7 5" xfId="32308" xr:uid="{00000000-0005-0000-0000-0000867F0000}"/>
    <cellStyle name="Standard 7 5 2" xfId="32309" xr:uid="{00000000-0005-0000-0000-0000877F0000}"/>
    <cellStyle name="Standard 7 5 2 2" xfId="32310" xr:uid="{00000000-0005-0000-0000-0000887F0000}"/>
    <cellStyle name="Standard 7 5 2 2 2" xfId="32311" xr:uid="{00000000-0005-0000-0000-0000897F0000}"/>
    <cellStyle name="Standard 7 5 2 2 3" xfId="32312" xr:uid="{00000000-0005-0000-0000-00008A7F0000}"/>
    <cellStyle name="Standard 7 5 2 3" xfId="32313" xr:uid="{00000000-0005-0000-0000-00008B7F0000}"/>
    <cellStyle name="Standard 7 5 2 3 2" xfId="32314" xr:uid="{00000000-0005-0000-0000-00008C7F0000}"/>
    <cellStyle name="Standard 7 5 2 3 3" xfId="32315" xr:uid="{00000000-0005-0000-0000-00008D7F0000}"/>
    <cellStyle name="Standard 7 5 2 4" xfId="32316" xr:uid="{00000000-0005-0000-0000-00008E7F0000}"/>
    <cellStyle name="Standard 7 5 2 4 2" xfId="32317" xr:uid="{00000000-0005-0000-0000-00008F7F0000}"/>
    <cellStyle name="Standard 7 5 2 5" xfId="32318" xr:uid="{00000000-0005-0000-0000-0000907F0000}"/>
    <cellStyle name="Standard 7 5 2 6" xfId="32319" xr:uid="{00000000-0005-0000-0000-0000917F0000}"/>
    <cellStyle name="Standard 7 5 3" xfId="32320" xr:uid="{00000000-0005-0000-0000-0000927F0000}"/>
    <cellStyle name="Standard 7 5 3 2" xfId="32321" xr:uid="{00000000-0005-0000-0000-0000937F0000}"/>
    <cellStyle name="Standard 7 5 3 3" xfId="32322" xr:uid="{00000000-0005-0000-0000-0000947F0000}"/>
    <cellStyle name="Standard 7 5 4" xfId="32323" xr:uid="{00000000-0005-0000-0000-0000957F0000}"/>
    <cellStyle name="Standard 7 5 4 2" xfId="32324" xr:uid="{00000000-0005-0000-0000-0000967F0000}"/>
    <cellStyle name="Standard 7 5 4 3" xfId="32325" xr:uid="{00000000-0005-0000-0000-0000977F0000}"/>
    <cellStyle name="Standard 7 5 5" xfId="32326" xr:uid="{00000000-0005-0000-0000-0000987F0000}"/>
    <cellStyle name="Standard 7 5 5 2" xfId="32327" xr:uid="{00000000-0005-0000-0000-0000997F0000}"/>
    <cellStyle name="Standard 7 5 6" xfId="32328" xr:uid="{00000000-0005-0000-0000-00009A7F0000}"/>
    <cellStyle name="Standard 7 5 7" xfId="32329" xr:uid="{00000000-0005-0000-0000-00009B7F0000}"/>
    <cellStyle name="Standard 7 6" xfId="32330" xr:uid="{00000000-0005-0000-0000-00009C7F0000}"/>
    <cellStyle name="Standard 7 6 2" xfId="32331" xr:uid="{00000000-0005-0000-0000-00009D7F0000}"/>
    <cellStyle name="Standard 7 6 2 2" xfId="32332" xr:uid="{00000000-0005-0000-0000-00009E7F0000}"/>
    <cellStyle name="Standard 7 6 2 3" xfId="32333" xr:uid="{00000000-0005-0000-0000-00009F7F0000}"/>
    <cellStyle name="Standard 7 6 3" xfId="32334" xr:uid="{00000000-0005-0000-0000-0000A07F0000}"/>
    <cellStyle name="Standard 7 6 3 2" xfId="32335" xr:uid="{00000000-0005-0000-0000-0000A17F0000}"/>
    <cellStyle name="Standard 7 6 3 3" xfId="32336" xr:uid="{00000000-0005-0000-0000-0000A27F0000}"/>
    <cellStyle name="Standard 7 6 4" xfId="32337" xr:uid="{00000000-0005-0000-0000-0000A37F0000}"/>
    <cellStyle name="Standard 7 6 4 2" xfId="32338" xr:uid="{00000000-0005-0000-0000-0000A47F0000}"/>
    <cellStyle name="Standard 7 6 5" xfId="32339" xr:uid="{00000000-0005-0000-0000-0000A57F0000}"/>
    <cellStyle name="Standard 7 6 6" xfId="32340" xr:uid="{00000000-0005-0000-0000-0000A67F0000}"/>
    <cellStyle name="Standard 7 7" xfId="32341" xr:uid="{00000000-0005-0000-0000-0000A77F0000}"/>
    <cellStyle name="Standard 7 7 2" xfId="32342" xr:uid="{00000000-0005-0000-0000-0000A87F0000}"/>
    <cellStyle name="Standard 7 7 3" xfId="32343" xr:uid="{00000000-0005-0000-0000-0000A97F0000}"/>
    <cellStyle name="Standard 7 8" xfId="32344" xr:uid="{00000000-0005-0000-0000-0000AA7F0000}"/>
    <cellStyle name="Standard 7 8 2" xfId="32345" xr:uid="{00000000-0005-0000-0000-0000AB7F0000}"/>
    <cellStyle name="Standard 7 8 3" xfId="32346" xr:uid="{00000000-0005-0000-0000-0000AC7F0000}"/>
    <cellStyle name="Standard 7 9" xfId="32347" xr:uid="{00000000-0005-0000-0000-0000AD7F0000}"/>
    <cellStyle name="Standard 7 9 2" xfId="32348" xr:uid="{00000000-0005-0000-0000-0000AE7F0000}"/>
    <cellStyle name="Standard 70" xfId="676" xr:uid="{00000000-0005-0000-0000-0000AF7F0000}"/>
    <cellStyle name="Standard 70 2" xfId="677" xr:uid="{00000000-0005-0000-0000-0000B07F0000}"/>
    <cellStyle name="Standard 71" xfId="678" xr:uid="{00000000-0005-0000-0000-0000B17F0000}"/>
    <cellStyle name="Standard 71 2" xfId="679" xr:uid="{00000000-0005-0000-0000-0000B27F0000}"/>
    <cellStyle name="Standard 72" xfId="680" xr:uid="{00000000-0005-0000-0000-0000B37F0000}"/>
    <cellStyle name="Standard 72 2" xfId="681" xr:uid="{00000000-0005-0000-0000-0000B47F0000}"/>
    <cellStyle name="Standard 73" xfId="682" xr:uid="{00000000-0005-0000-0000-0000B57F0000}"/>
    <cellStyle name="Standard 73 2" xfId="683" xr:uid="{00000000-0005-0000-0000-0000B67F0000}"/>
    <cellStyle name="Standard 74" xfId="684" xr:uid="{00000000-0005-0000-0000-0000B77F0000}"/>
    <cellStyle name="Standard 74 2" xfId="685" xr:uid="{00000000-0005-0000-0000-0000B87F0000}"/>
    <cellStyle name="Standard 75" xfId="686" xr:uid="{00000000-0005-0000-0000-0000B97F0000}"/>
    <cellStyle name="Standard 75 2" xfId="687" xr:uid="{00000000-0005-0000-0000-0000BA7F0000}"/>
    <cellStyle name="Standard 76" xfId="688" xr:uid="{00000000-0005-0000-0000-0000BB7F0000}"/>
    <cellStyle name="Standard 76 2" xfId="689" xr:uid="{00000000-0005-0000-0000-0000BC7F0000}"/>
    <cellStyle name="Standard 77" xfId="690" xr:uid="{00000000-0005-0000-0000-0000BD7F0000}"/>
    <cellStyle name="Standard 77 2" xfId="691" xr:uid="{00000000-0005-0000-0000-0000BE7F0000}"/>
    <cellStyle name="Standard 78" xfId="692" xr:uid="{00000000-0005-0000-0000-0000BF7F0000}"/>
    <cellStyle name="Standard 78 2" xfId="693" xr:uid="{00000000-0005-0000-0000-0000C07F0000}"/>
    <cellStyle name="Standard 79" xfId="694" xr:uid="{00000000-0005-0000-0000-0000C17F0000}"/>
    <cellStyle name="Standard 79 2" xfId="695" xr:uid="{00000000-0005-0000-0000-0000C27F0000}"/>
    <cellStyle name="Standard 8" xfId="696" xr:uid="{00000000-0005-0000-0000-0000C37F0000}"/>
    <cellStyle name="Standard 8 10" xfId="32349" xr:uid="{00000000-0005-0000-0000-0000C47F0000}"/>
    <cellStyle name="Standard 8 11" xfId="32350" xr:uid="{00000000-0005-0000-0000-0000C57F0000}"/>
    <cellStyle name="Standard 8 12" xfId="32351" xr:uid="{00000000-0005-0000-0000-0000C67F0000}"/>
    <cellStyle name="Standard 8 13" xfId="32352" xr:uid="{00000000-0005-0000-0000-0000C77F0000}"/>
    <cellStyle name="Standard 8 2" xfId="697" xr:uid="{00000000-0005-0000-0000-0000C87F0000}"/>
    <cellStyle name="Standard 8 2 10" xfId="32353" xr:uid="{00000000-0005-0000-0000-0000C97F0000}"/>
    <cellStyle name="Standard 8 2 2" xfId="32354" xr:uid="{00000000-0005-0000-0000-0000CA7F0000}"/>
    <cellStyle name="Standard 8 2 2 2" xfId="32355" xr:uid="{00000000-0005-0000-0000-0000CB7F0000}"/>
    <cellStyle name="Standard 8 2 2 2 2" xfId="32356" xr:uid="{00000000-0005-0000-0000-0000CC7F0000}"/>
    <cellStyle name="Standard 8 2 2 2 2 2" xfId="32357" xr:uid="{00000000-0005-0000-0000-0000CD7F0000}"/>
    <cellStyle name="Standard 8 2 2 2 2 2 2" xfId="32358" xr:uid="{00000000-0005-0000-0000-0000CE7F0000}"/>
    <cellStyle name="Standard 8 2 2 2 2 2 3" xfId="32359" xr:uid="{00000000-0005-0000-0000-0000CF7F0000}"/>
    <cellStyle name="Standard 8 2 2 2 2 3" xfId="32360" xr:uid="{00000000-0005-0000-0000-0000D07F0000}"/>
    <cellStyle name="Standard 8 2 2 2 2 3 2" xfId="32361" xr:uid="{00000000-0005-0000-0000-0000D17F0000}"/>
    <cellStyle name="Standard 8 2 2 2 2 3 3" xfId="32362" xr:uid="{00000000-0005-0000-0000-0000D27F0000}"/>
    <cellStyle name="Standard 8 2 2 2 2 4" xfId="32363" xr:uid="{00000000-0005-0000-0000-0000D37F0000}"/>
    <cellStyle name="Standard 8 2 2 2 2 4 2" xfId="32364" xr:uid="{00000000-0005-0000-0000-0000D47F0000}"/>
    <cellStyle name="Standard 8 2 2 2 2 5" xfId="32365" xr:uid="{00000000-0005-0000-0000-0000D57F0000}"/>
    <cellStyle name="Standard 8 2 2 2 2 6" xfId="32366" xr:uid="{00000000-0005-0000-0000-0000D67F0000}"/>
    <cellStyle name="Standard 8 2 2 2 3" xfId="32367" xr:uid="{00000000-0005-0000-0000-0000D77F0000}"/>
    <cellStyle name="Standard 8 2 2 2 3 2" xfId="32368" xr:uid="{00000000-0005-0000-0000-0000D87F0000}"/>
    <cellStyle name="Standard 8 2 2 2 3 3" xfId="32369" xr:uid="{00000000-0005-0000-0000-0000D97F0000}"/>
    <cellStyle name="Standard 8 2 2 2 4" xfId="32370" xr:uid="{00000000-0005-0000-0000-0000DA7F0000}"/>
    <cellStyle name="Standard 8 2 2 2 4 2" xfId="32371" xr:uid="{00000000-0005-0000-0000-0000DB7F0000}"/>
    <cellStyle name="Standard 8 2 2 2 4 3" xfId="32372" xr:uid="{00000000-0005-0000-0000-0000DC7F0000}"/>
    <cellStyle name="Standard 8 2 2 2 5" xfId="32373" xr:uid="{00000000-0005-0000-0000-0000DD7F0000}"/>
    <cellStyle name="Standard 8 2 2 2 5 2" xfId="32374" xr:uid="{00000000-0005-0000-0000-0000DE7F0000}"/>
    <cellStyle name="Standard 8 2 2 2 6" xfId="32375" xr:uid="{00000000-0005-0000-0000-0000DF7F0000}"/>
    <cellStyle name="Standard 8 2 2 2 7" xfId="32376" xr:uid="{00000000-0005-0000-0000-0000E07F0000}"/>
    <cellStyle name="Standard 8 2 2 3" xfId="32377" xr:uid="{00000000-0005-0000-0000-0000E17F0000}"/>
    <cellStyle name="Standard 8 2 2 3 2" xfId="32378" xr:uid="{00000000-0005-0000-0000-0000E27F0000}"/>
    <cellStyle name="Standard 8 2 2 3 2 2" xfId="32379" xr:uid="{00000000-0005-0000-0000-0000E37F0000}"/>
    <cellStyle name="Standard 8 2 2 3 2 3" xfId="32380" xr:uid="{00000000-0005-0000-0000-0000E47F0000}"/>
    <cellStyle name="Standard 8 2 2 3 3" xfId="32381" xr:uid="{00000000-0005-0000-0000-0000E57F0000}"/>
    <cellStyle name="Standard 8 2 2 3 3 2" xfId="32382" xr:uid="{00000000-0005-0000-0000-0000E67F0000}"/>
    <cellStyle name="Standard 8 2 2 3 3 3" xfId="32383" xr:uid="{00000000-0005-0000-0000-0000E77F0000}"/>
    <cellStyle name="Standard 8 2 2 3 4" xfId="32384" xr:uid="{00000000-0005-0000-0000-0000E87F0000}"/>
    <cellStyle name="Standard 8 2 2 3 4 2" xfId="32385" xr:uid="{00000000-0005-0000-0000-0000E97F0000}"/>
    <cellStyle name="Standard 8 2 2 3 5" xfId="32386" xr:uid="{00000000-0005-0000-0000-0000EA7F0000}"/>
    <cellStyle name="Standard 8 2 2 3 6" xfId="32387" xr:uid="{00000000-0005-0000-0000-0000EB7F0000}"/>
    <cellStyle name="Standard 8 2 2 4" xfId="32388" xr:uid="{00000000-0005-0000-0000-0000EC7F0000}"/>
    <cellStyle name="Standard 8 2 2 4 2" xfId="32389" xr:uid="{00000000-0005-0000-0000-0000ED7F0000}"/>
    <cellStyle name="Standard 8 2 2 4 3" xfId="32390" xr:uid="{00000000-0005-0000-0000-0000EE7F0000}"/>
    <cellStyle name="Standard 8 2 2 5" xfId="32391" xr:uid="{00000000-0005-0000-0000-0000EF7F0000}"/>
    <cellStyle name="Standard 8 2 2 5 2" xfId="32392" xr:uid="{00000000-0005-0000-0000-0000F07F0000}"/>
    <cellStyle name="Standard 8 2 2 5 3" xfId="32393" xr:uid="{00000000-0005-0000-0000-0000F17F0000}"/>
    <cellStyle name="Standard 8 2 2 6" xfId="32394" xr:uid="{00000000-0005-0000-0000-0000F27F0000}"/>
    <cellStyle name="Standard 8 2 2 6 2" xfId="32395" xr:uid="{00000000-0005-0000-0000-0000F37F0000}"/>
    <cellStyle name="Standard 8 2 2 7" xfId="32396" xr:uid="{00000000-0005-0000-0000-0000F47F0000}"/>
    <cellStyle name="Standard 8 2 2 8" xfId="32397" xr:uid="{00000000-0005-0000-0000-0000F57F0000}"/>
    <cellStyle name="Standard 8 2 3" xfId="32398" xr:uid="{00000000-0005-0000-0000-0000F67F0000}"/>
    <cellStyle name="Standard 8 2 3 2" xfId="32399" xr:uid="{00000000-0005-0000-0000-0000F77F0000}"/>
    <cellStyle name="Standard 8 2 3 2 2" xfId="32400" xr:uid="{00000000-0005-0000-0000-0000F87F0000}"/>
    <cellStyle name="Standard 8 2 3 2 2 2" xfId="32401" xr:uid="{00000000-0005-0000-0000-0000F97F0000}"/>
    <cellStyle name="Standard 8 2 3 2 2 2 2" xfId="32402" xr:uid="{00000000-0005-0000-0000-0000FA7F0000}"/>
    <cellStyle name="Standard 8 2 3 2 2 2 3" xfId="32403" xr:uid="{00000000-0005-0000-0000-0000FB7F0000}"/>
    <cellStyle name="Standard 8 2 3 2 2 3" xfId="32404" xr:uid="{00000000-0005-0000-0000-0000FC7F0000}"/>
    <cellStyle name="Standard 8 2 3 2 2 3 2" xfId="32405" xr:uid="{00000000-0005-0000-0000-0000FD7F0000}"/>
    <cellStyle name="Standard 8 2 3 2 2 3 3" xfId="32406" xr:uid="{00000000-0005-0000-0000-0000FE7F0000}"/>
    <cellStyle name="Standard 8 2 3 2 2 4" xfId="32407" xr:uid="{00000000-0005-0000-0000-0000FF7F0000}"/>
    <cellStyle name="Standard 8 2 3 2 2 4 2" xfId="32408" xr:uid="{00000000-0005-0000-0000-000000800000}"/>
    <cellStyle name="Standard 8 2 3 2 2 5" xfId="32409" xr:uid="{00000000-0005-0000-0000-000001800000}"/>
    <cellStyle name="Standard 8 2 3 2 2 6" xfId="32410" xr:uid="{00000000-0005-0000-0000-000002800000}"/>
    <cellStyle name="Standard 8 2 3 2 3" xfId="32411" xr:uid="{00000000-0005-0000-0000-000003800000}"/>
    <cellStyle name="Standard 8 2 3 2 3 2" xfId="32412" xr:uid="{00000000-0005-0000-0000-000004800000}"/>
    <cellStyle name="Standard 8 2 3 2 3 3" xfId="32413" xr:uid="{00000000-0005-0000-0000-000005800000}"/>
    <cellStyle name="Standard 8 2 3 2 4" xfId="32414" xr:uid="{00000000-0005-0000-0000-000006800000}"/>
    <cellStyle name="Standard 8 2 3 2 4 2" xfId="32415" xr:uid="{00000000-0005-0000-0000-000007800000}"/>
    <cellStyle name="Standard 8 2 3 2 4 3" xfId="32416" xr:uid="{00000000-0005-0000-0000-000008800000}"/>
    <cellStyle name="Standard 8 2 3 2 5" xfId="32417" xr:uid="{00000000-0005-0000-0000-000009800000}"/>
    <cellStyle name="Standard 8 2 3 2 5 2" xfId="32418" xr:uid="{00000000-0005-0000-0000-00000A800000}"/>
    <cellStyle name="Standard 8 2 3 2 6" xfId="32419" xr:uid="{00000000-0005-0000-0000-00000B800000}"/>
    <cellStyle name="Standard 8 2 3 2 7" xfId="32420" xr:uid="{00000000-0005-0000-0000-00000C800000}"/>
    <cellStyle name="Standard 8 2 3 3" xfId="32421" xr:uid="{00000000-0005-0000-0000-00000D800000}"/>
    <cellStyle name="Standard 8 2 3 3 2" xfId="32422" xr:uid="{00000000-0005-0000-0000-00000E800000}"/>
    <cellStyle name="Standard 8 2 3 3 2 2" xfId="32423" xr:uid="{00000000-0005-0000-0000-00000F800000}"/>
    <cellStyle name="Standard 8 2 3 3 2 3" xfId="32424" xr:uid="{00000000-0005-0000-0000-000010800000}"/>
    <cellStyle name="Standard 8 2 3 3 3" xfId="32425" xr:uid="{00000000-0005-0000-0000-000011800000}"/>
    <cellStyle name="Standard 8 2 3 3 3 2" xfId="32426" xr:uid="{00000000-0005-0000-0000-000012800000}"/>
    <cellStyle name="Standard 8 2 3 3 3 3" xfId="32427" xr:uid="{00000000-0005-0000-0000-000013800000}"/>
    <cellStyle name="Standard 8 2 3 3 4" xfId="32428" xr:uid="{00000000-0005-0000-0000-000014800000}"/>
    <cellStyle name="Standard 8 2 3 3 4 2" xfId="32429" xr:uid="{00000000-0005-0000-0000-000015800000}"/>
    <cellStyle name="Standard 8 2 3 3 5" xfId="32430" xr:uid="{00000000-0005-0000-0000-000016800000}"/>
    <cellStyle name="Standard 8 2 3 3 6" xfId="32431" xr:uid="{00000000-0005-0000-0000-000017800000}"/>
    <cellStyle name="Standard 8 2 3 4" xfId="32432" xr:uid="{00000000-0005-0000-0000-000018800000}"/>
    <cellStyle name="Standard 8 2 3 4 2" xfId="32433" xr:uid="{00000000-0005-0000-0000-000019800000}"/>
    <cellStyle name="Standard 8 2 3 4 3" xfId="32434" xr:uid="{00000000-0005-0000-0000-00001A800000}"/>
    <cellStyle name="Standard 8 2 3 5" xfId="32435" xr:uid="{00000000-0005-0000-0000-00001B800000}"/>
    <cellStyle name="Standard 8 2 3 5 2" xfId="32436" xr:uid="{00000000-0005-0000-0000-00001C800000}"/>
    <cellStyle name="Standard 8 2 3 5 3" xfId="32437" xr:uid="{00000000-0005-0000-0000-00001D800000}"/>
    <cellStyle name="Standard 8 2 3 6" xfId="32438" xr:uid="{00000000-0005-0000-0000-00001E800000}"/>
    <cellStyle name="Standard 8 2 3 6 2" xfId="32439" xr:uid="{00000000-0005-0000-0000-00001F800000}"/>
    <cellStyle name="Standard 8 2 3 7" xfId="32440" xr:uid="{00000000-0005-0000-0000-000020800000}"/>
    <cellStyle name="Standard 8 2 3 8" xfId="32441" xr:uid="{00000000-0005-0000-0000-000021800000}"/>
    <cellStyle name="Standard 8 2 4" xfId="32442" xr:uid="{00000000-0005-0000-0000-000022800000}"/>
    <cellStyle name="Standard 8 2 4 2" xfId="32443" xr:uid="{00000000-0005-0000-0000-000023800000}"/>
    <cellStyle name="Standard 8 2 4 2 2" xfId="32444" xr:uid="{00000000-0005-0000-0000-000024800000}"/>
    <cellStyle name="Standard 8 2 4 2 2 2" xfId="32445" xr:uid="{00000000-0005-0000-0000-000025800000}"/>
    <cellStyle name="Standard 8 2 4 2 2 3" xfId="32446" xr:uid="{00000000-0005-0000-0000-000026800000}"/>
    <cellStyle name="Standard 8 2 4 2 3" xfId="32447" xr:uid="{00000000-0005-0000-0000-000027800000}"/>
    <cellStyle name="Standard 8 2 4 2 3 2" xfId="32448" xr:uid="{00000000-0005-0000-0000-000028800000}"/>
    <cellStyle name="Standard 8 2 4 2 3 3" xfId="32449" xr:uid="{00000000-0005-0000-0000-000029800000}"/>
    <cellStyle name="Standard 8 2 4 2 4" xfId="32450" xr:uid="{00000000-0005-0000-0000-00002A800000}"/>
    <cellStyle name="Standard 8 2 4 2 4 2" xfId="32451" xr:uid="{00000000-0005-0000-0000-00002B800000}"/>
    <cellStyle name="Standard 8 2 4 2 5" xfId="32452" xr:uid="{00000000-0005-0000-0000-00002C800000}"/>
    <cellStyle name="Standard 8 2 4 2 6" xfId="32453" xr:uid="{00000000-0005-0000-0000-00002D800000}"/>
    <cellStyle name="Standard 8 2 4 3" xfId="32454" xr:uid="{00000000-0005-0000-0000-00002E800000}"/>
    <cellStyle name="Standard 8 2 4 3 2" xfId="32455" xr:uid="{00000000-0005-0000-0000-00002F800000}"/>
    <cellStyle name="Standard 8 2 4 3 3" xfId="32456" xr:uid="{00000000-0005-0000-0000-000030800000}"/>
    <cellStyle name="Standard 8 2 4 4" xfId="32457" xr:uid="{00000000-0005-0000-0000-000031800000}"/>
    <cellStyle name="Standard 8 2 4 4 2" xfId="32458" xr:uid="{00000000-0005-0000-0000-000032800000}"/>
    <cellStyle name="Standard 8 2 4 4 3" xfId="32459" xr:uid="{00000000-0005-0000-0000-000033800000}"/>
    <cellStyle name="Standard 8 2 4 5" xfId="32460" xr:uid="{00000000-0005-0000-0000-000034800000}"/>
    <cellStyle name="Standard 8 2 4 5 2" xfId="32461" xr:uid="{00000000-0005-0000-0000-000035800000}"/>
    <cellStyle name="Standard 8 2 4 6" xfId="32462" xr:uid="{00000000-0005-0000-0000-000036800000}"/>
    <cellStyle name="Standard 8 2 4 7" xfId="32463" xr:uid="{00000000-0005-0000-0000-000037800000}"/>
    <cellStyle name="Standard 8 2 5" xfId="32464" xr:uid="{00000000-0005-0000-0000-000038800000}"/>
    <cellStyle name="Standard 8 2 5 2" xfId="32465" xr:uid="{00000000-0005-0000-0000-000039800000}"/>
    <cellStyle name="Standard 8 2 5 2 2" xfId="32466" xr:uid="{00000000-0005-0000-0000-00003A800000}"/>
    <cellStyle name="Standard 8 2 5 2 3" xfId="32467" xr:uid="{00000000-0005-0000-0000-00003B800000}"/>
    <cellStyle name="Standard 8 2 5 3" xfId="32468" xr:uid="{00000000-0005-0000-0000-00003C800000}"/>
    <cellStyle name="Standard 8 2 5 3 2" xfId="32469" xr:uid="{00000000-0005-0000-0000-00003D800000}"/>
    <cellStyle name="Standard 8 2 5 3 3" xfId="32470" xr:uid="{00000000-0005-0000-0000-00003E800000}"/>
    <cellStyle name="Standard 8 2 5 4" xfId="32471" xr:uid="{00000000-0005-0000-0000-00003F800000}"/>
    <cellStyle name="Standard 8 2 5 4 2" xfId="32472" xr:uid="{00000000-0005-0000-0000-000040800000}"/>
    <cellStyle name="Standard 8 2 5 5" xfId="32473" xr:uid="{00000000-0005-0000-0000-000041800000}"/>
    <cellStyle name="Standard 8 2 5 6" xfId="32474" xr:uid="{00000000-0005-0000-0000-000042800000}"/>
    <cellStyle name="Standard 8 2 6" xfId="32475" xr:uid="{00000000-0005-0000-0000-000043800000}"/>
    <cellStyle name="Standard 8 2 6 2" xfId="32476" xr:uid="{00000000-0005-0000-0000-000044800000}"/>
    <cellStyle name="Standard 8 2 6 3" xfId="32477" xr:uid="{00000000-0005-0000-0000-000045800000}"/>
    <cellStyle name="Standard 8 2 7" xfId="32478" xr:uid="{00000000-0005-0000-0000-000046800000}"/>
    <cellStyle name="Standard 8 2 7 2" xfId="32479" xr:uid="{00000000-0005-0000-0000-000047800000}"/>
    <cellStyle name="Standard 8 2 7 3" xfId="32480" xr:uid="{00000000-0005-0000-0000-000048800000}"/>
    <cellStyle name="Standard 8 2 8" xfId="32481" xr:uid="{00000000-0005-0000-0000-000049800000}"/>
    <cellStyle name="Standard 8 2 8 2" xfId="32482" xr:uid="{00000000-0005-0000-0000-00004A800000}"/>
    <cellStyle name="Standard 8 2 9" xfId="32483" xr:uid="{00000000-0005-0000-0000-00004B800000}"/>
    <cellStyle name="Standard 8 3" xfId="32484" xr:uid="{00000000-0005-0000-0000-00004C800000}"/>
    <cellStyle name="Standard 8 3 2" xfId="32485" xr:uid="{00000000-0005-0000-0000-00004D800000}"/>
    <cellStyle name="Standard 8 3 2 2" xfId="32486" xr:uid="{00000000-0005-0000-0000-00004E800000}"/>
    <cellStyle name="Standard 8 3 2 2 2" xfId="32487" xr:uid="{00000000-0005-0000-0000-00004F800000}"/>
    <cellStyle name="Standard 8 3 2 2 2 2" xfId="32488" xr:uid="{00000000-0005-0000-0000-000050800000}"/>
    <cellStyle name="Standard 8 3 2 2 2 3" xfId="32489" xr:uid="{00000000-0005-0000-0000-000051800000}"/>
    <cellStyle name="Standard 8 3 2 2 3" xfId="32490" xr:uid="{00000000-0005-0000-0000-000052800000}"/>
    <cellStyle name="Standard 8 3 2 2 3 2" xfId="32491" xr:uid="{00000000-0005-0000-0000-000053800000}"/>
    <cellStyle name="Standard 8 3 2 2 3 3" xfId="32492" xr:uid="{00000000-0005-0000-0000-000054800000}"/>
    <cellStyle name="Standard 8 3 2 2 4" xfId="32493" xr:uid="{00000000-0005-0000-0000-000055800000}"/>
    <cellStyle name="Standard 8 3 2 2 4 2" xfId="32494" xr:uid="{00000000-0005-0000-0000-000056800000}"/>
    <cellStyle name="Standard 8 3 2 2 5" xfId="32495" xr:uid="{00000000-0005-0000-0000-000057800000}"/>
    <cellStyle name="Standard 8 3 2 2 6" xfId="32496" xr:uid="{00000000-0005-0000-0000-000058800000}"/>
    <cellStyle name="Standard 8 3 2 3" xfId="32497" xr:uid="{00000000-0005-0000-0000-000059800000}"/>
    <cellStyle name="Standard 8 3 2 3 2" xfId="32498" xr:uid="{00000000-0005-0000-0000-00005A800000}"/>
    <cellStyle name="Standard 8 3 2 3 3" xfId="32499" xr:uid="{00000000-0005-0000-0000-00005B800000}"/>
    <cellStyle name="Standard 8 3 2 4" xfId="32500" xr:uid="{00000000-0005-0000-0000-00005C800000}"/>
    <cellStyle name="Standard 8 3 2 4 2" xfId="32501" xr:uid="{00000000-0005-0000-0000-00005D800000}"/>
    <cellStyle name="Standard 8 3 2 4 3" xfId="32502" xr:uid="{00000000-0005-0000-0000-00005E800000}"/>
    <cellStyle name="Standard 8 3 2 5" xfId="32503" xr:uid="{00000000-0005-0000-0000-00005F800000}"/>
    <cellStyle name="Standard 8 3 2 5 2" xfId="32504" xr:uid="{00000000-0005-0000-0000-000060800000}"/>
    <cellStyle name="Standard 8 3 2 6" xfId="32505" xr:uid="{00000000-0005-0000-0000-000061800000}"/>
    <cellStyle name="Standard 8 3 2 7" xfId="32506" xr:uid="{00000000-0005-0000-0000-000062800000}"/>
    <cellStyle name="Standard 8 3 3" xfId="32507" xr:uid="{00000000-0005-0000-0000-000063800000}"/>
    <cellStyle name="Standard 8 3 3 2" xfId="32508" xr:uid="{00000000-0005-0000-0000-000064800000}"/>
    <cellStyle name="Standard 8 3 3 2 2" xfId="32509" xr:uid="{00000000-0005-0000-0000-000065800000}"/>
    <cellStyle name="Standard 8 3 3 2 3" xfId="32510" xr:uid="{00000000-0005-0000-0000-000066800000}"/>
    <cellStyle name="Standard 8 3 3 3" xfId="32511" xr:uid="{00000000-0005-0000-0000-000067800000}"/>
    <cellStyle name="Standard 8 3 3 3 2" xfId="32512" xr:uid="{00000000-0005-0000-0000-000068800000}"/>
    <cellStyle name="Standard 8 3 3 3 3" xfId="32513" xr:uid="{00000000-0005-0000-0000-000069800000}"/>
    <cellStyle name="Standard 8 3 3 4" xfId="32514" xr:uid="{00000000-0005-0000-0000-00006A800000}"/>
    <cellStyle name="Standard 8 3 3 4 2" xfId="32515" xr:uid="{00000000-0005-0000-0000-00006B800000}"/>
    <cellStyle name="Standard 8 3 3 5" xfId="32516" xr:uid="{00000000-0005-0000-0000-00006C800000}"/>
    <cellStyle name="Standard 8 3 3 6" xfId="32517" xr:uid="{00000000-0005-0000-0000-00006D800000}"/>
    <cellStyle name="Standard 8 3 4" xfId="32518" xr:uid="{00000000-0005-0000-0000-00006E800000}"/>
    <cellStyle name="Standard 8 3 4 2" xfId="32519" xr:uid="{00000000-0005-0000-0000-00006F800000}"/>
    <cellStyle name="Standard 8 3 4 3" xfId="32520" xr:uid="{00000000-0005-0000-0000-000070800000}"/>
    <cellStyle name="Standard 8 3 5" xfId="32521" xr:uid="{00000000-0005-0000-0000-000071800000}"/>
    <cellStyle name="Standard 8 3 5 2" xfId="32522" xr:uid="{00000000-0005-0000-0000-000072800000}"/>
    <cellStyle name="Standard 8 3 5 3" xfId="32523" xr:uid="{00000000-0005-0000-0000-000073800000}"/>
    <cellStyle name="Standard 8 3 6" xfId="32524" xr:uid="{00000000-0005-0000-0000-000074800000}"/>
    <cellStyle name="Standard 8 3 6 2" xfId="32525" xr:uid="{00000000-0005-0000-0000-000075800000}"/>
    <cellStyle name="Standard 8 3 7" xfId="32526" xr:uid="{00000000-0005-0000-0000-000076800000}"/>
    <cellStyle name="Standard 8 3 8" xfId="32527" xr:uid="{00000000-0005-0000-0000-000077800000}"/>
    <cellStyle name="Standard 8 4" xfId="32528" xr:uid="{00000000-0005-0000-0000-000078800000}"/>
    <cellStyle name="Standard 8 4 2" xfId="32529" xr:uid="{00000000-0005-0000-0000-000079800000}"/>
    <cellStyle name="Standard 8 4 2 2" xfId="32530" xr:uid="{00000000-0005-0000-0000-00007A800000}"/>
    <cellStyle name="Standard 8 4 2 2 2" xfId="32531" xr:uid="{00000000-0005-0000-0000-00007B800000}"/>
    <cellStyle name="Standard 8 4 2 2 2 2" xfId="32532" xr:uid="{00000000-0005-0000-0000-00007C800000}"/>
    <cellStyle name="Standard 8 4 2 2 2 3" xfId="32533" xr:uid="{00000000-0005-0000-0000-00007D800000}"/>
    <cellStyle name="Standard 8 4 2 2 3" xfId="32534" xr:uid="{00000000-0005-0000-0000-00007E800000}"/>
    <cellStyle name="Standard 8 4 2 2 3 2" xfId="32535" xr:uid="{00000000-0005-0000-0000-00007F800000}"/>
    <cellStyle name="Standard 8 4 2 2 3 3" xfId="32536" xr:uid="{00000000-0005-0000-0000-000080800000}"/>
    <cellStyle name="Standard 8 4 2 2 4" xfId="32537" xr:uid="{00000000-0005-0000-0000-000081800000}"/>
    <cellStyle name="Standard 8 4 2 2 4 2" xfId="32538" xr:uid="{00000000-0005-0000-0000-000082800000}"/>
    <cellStyle name="Standard 8 4 2 2 5" xfId="32539" xr:uid="{00000000-0005-0000-0000-000083800000}"/>
    <cellStyle name="Standard 8 4 2 2 6" xfId="32540" xr:uid="{00000000-0005-0000-0000-000084800000}"/>
    <cellStyle name="Standard 8 4 2 3" xfId="32541" xr:uid="{00000000-0005-0000-0000-000085800000}"/>
    <cellStyle name="Standard 8 4 2 3 2" xfId="32542" xr:uid="{00000000-0005-0000-0000-000086800000}"/>
    <cellStyle name="Standard 8 4 2 3 3" xfId="32543" xr:uid="{00000000-0005-0000-0000-000087800000}"/>
    <cellStyle name="Standard 8 4 2 4" xfId="32544" xr:uid="{00000000-0005-0000-0000-000088800000}"/>
    <cellStyle name="Standard 8 4 2 4 2" xfId="32545" xr:uid="{00000000-0005-0000-0000-000089800000}"/>
    <cellStyle name="Standard 8 4 2 4 3" xfId="32546" xr:uid="{00000000-0005-0000-0000-00008A800000}"/>
    <cellStyle name="Standard 8 4 2 5" xfId="32547" xr:uid="{00000000-0005-0000-0000-00008B800000}"/>
    <cellStyle name="Standard 8 4 2 5 2" xfId="32548" xr:uid="{00000000-0005-0000-0000-00008C800000}"/>
    <cellStyle name="Standard 8 4 2 6" xfId="32549" xr:uid="{00000000-0005-0000-0000-00008D800000}"/>
    <cellStyle name="Standard 8 4 2 7" xfId="32550" xr:uid="{00000000-0005-0000-0000-00008E800000}"/>
    <cellStyle name="Standard 8 4 3" xfId="32551" xr:uid="{00000000-0005-0000-0000-00008F800000}"/>
    <cellStyle name="Standard 8 4 3 2" xfId="32552" xr:uid="{00000000-0005-0000-0000-000090800000}"/>
    <cellStyle name="Standard 8 4 3 2 2" xfId="32553" xr:uid="{00000000-0005-0000-0000-000091800000}"/>
    <cellStyle name="Standard 8 4 3 2 3" xfId="32554" xr:uid="{00000000-0005-0000-0000-000092800000}"/>
    <cellStyle name="Standard 8 4 3 3" xfId="32555" xr:uid="{00000000-0005-0000-0000-000093800000}"/>
    <cellStyle name="Standard 8 4 3 3 2" xfId="32556" xr:uid="{00000000-0005-0000-0000-000094800000}"/>
    <cellStyle name="Standard 8 4 3 3 3" xfId="32557" xr:uid="{00000000-0005-0000-0000-000095800000}"/>
    <cellStyle name="Standard 8 4 3 4" xfId="32558" xr:uid="{00000000-0005-0000-0000-000096800000}"/>
    <cellStyle name="Standard 8 4 3 4 2" xfId="32559" xr:uid="{00000000-0005-0000-0000-000097800000}"/>
    <cellStyle name="Standard 8 4 3 5" xfId="32560" xr:uid="{00000000-0005-0000-0000-000098800000}"/>
    <cellStyle name="Standard 8 4 3 6" xfId="32561" xr:uid="{00000000-0005-0000-0000-000099800000}"/>
    <cellStyle name="Standard 8 4 4" xfId="32562" xr:uid="{00000000-0005-0000-0000-00009A800000}"/>
    <cellStyle name="Standard 8 4 4 2" xfId="32563" xr:uid="{00000000-0005-0000-0000-00009B800000}"/>
    <cellStyle name="Standard 8 4 4 3" xfId="32564" xr:uid="{00000000-0005-0000-0000-00009C800000}"/>
    <cellStyle name="Standard 8 4 5" xfId="32565" xr:uid="{00000000-0005-0000-0000-00009D800000}"/>
    <cellStyle name="Standard 8 4 5 2" xfId="32566" xr:uid="{00000000-0005-0000-0000-00009E800000}"/>
    <cellStyle name="Standard 8 4 5 3" xfId="32567" xr:uid="{00000000-0005-0000-0000-00009F800000}"/>
    <cellStyle name="Standard 8 4 6" xfId="32568" xr:uid="{00000000-0005-0000-0000-0000A0800000}"/>
    <cellStyle name="Standard 8 4 6 2" xfId="32569" xr:uid="{00000000-0005-0000-0000-0000A1800000}"/>
    <cellStyle name="Standard 8 4 7" xfId="32570" xr:uid="{00000000-0005-0000-0000-0000A2800000}"/>
    <cellStyle name="Standard 8 4 8" xfId="32571" xr:uid="{00000000-0005-0000-0000-0000A3800000}"/>
    <cellStyle name="Standard 8 5" xfId="32572" xr:uid="{00000000-0005-0000-0000-0000A4800000}"/>
    <cellStyle name="Standard 8 5 2" xfId="32573" xr:uid="{00000000-0005-0000-0000-0000A5800000}"/>
    <cellStyle name="Standard 8 5 2 2" xfId="32574" xr:uid="{00000000-0005-0000-0000-0000A6800000}"/>
    <cellStyle name="Standard 8 5 2 2 2" xfId="32575" xr:uid="{00000000-0005-0000-0000-0000A7800000}"/>
    <cellStyle name="Standard 8 5 2 2 3" xfId="32576" xr:uid="{00000000-0005-0000-0000-0000A8800000}"/>
    <cellStyle name="Standard 8 5 2 3" xfId="32577" xr:uid="{00000000-0005-0000-0000-0000A9800000}"/>
    <cellStyle name="Standard 8 5 2 3 2" xfId="32578" xr:uid="{00000000-0005-0000-0000-0000AA800000}"/>
    <cellStyle name="Standard 8 5 2 3 3" xfId="32579" xr:uid="{00000000-0005-0000-0000-0000AB800000}"/>
    <cellStyle name="Standard 8 5 2 4" xfId="32580" xr:uid="{00000000-0005-0000-0000-0000AC800000}"/>
    <cellStyle name="Standard 8 5 2 4 2" xfId="32581" xr:uid="{00000000-0005-0000-0000-0000AD800000}"/>
    <cellStyle name="Standard 8 5 2 5" xfId="32582" xr:uid="{00000000-0005-0000-0000-0000AE800000}"/>
    <cellStyle name="Standard 8 5 2 6" xfId="32583" xr:uid="{00000000-0005-0000-0000-0000AF800000}"/>
    <cellStyle name="Standard 8 5 3" xfId="32584" xr:uid="{00000000-0005-0000-0000-0000B0800000}"/>
    <cellStyle name="Standard 8 5 3 2" xfId="32585" xr:uid="{00000000-0005-0000-0000-0000B1800000}"/>
    <cellStyle name="Standard 8 5 3 3" xfId="32586" xr:uid="{00000000-0005-0000-0000-0000B2800000}"/>
    <cellStyle name="Standard 8 5 4" xfId="32587" xr:uid="{00000000-0005-0000-0000-0000B3800000}"/>
    <cellStyle name="Standard 8 5 4 2" xfId="32588" xr:uid="{00000000-0005-0000-0000-0000B4800000}"/>
    <cellStyle name="Standard 8 5 4 3" xfId="32589" xr:uid="{00000000-0005-0000-0000-0000B5800000}"/>
    <cellStyle name="Standard 8 5 5" xfId="32590" xr:uid="{00000000-0005-0000-0000-0000B6800000}"/>
    <cellStyle name="Standard 8 5 5 2" xfId="32591" xr:uid="{00000000-0005-0000-0000-0000B7800000}"/>
    <cellStyle name="Standard 8 5 6" xfId="32592" xr:uid="{00000000-0005-0000-0000-0000B8800000}"/>
    <cellStyle name="Standard 8 5 7" xfId="32593" xr:uid="{00000000-0005-0000-0000-0000B9800000}"/>
    <cellStyle name="Standard 8 6" xfId="32594" xr:uid="{00000000-0005-0000-0000-0000BA800000}"/>
    <cellStyle name="Standard 8 6 2" xfId="32595" xr:uid="{00000000-0005-0000-0000-0000BB800000}"/>
    <cellStyle name="Standard 8 6 2 2" xfId="32596" xr:uid="{00000000-0005-0000-0000-0000BC800000}"/>
    <cellStyle name="Standard 8 6 2 3" xfId="32597" xr:uid="{00000000-0005-0000-0000-0000BD800000}"/>
    <cellStyle name="Standard 8 6 3" xfId="32598" xr:uid="{00000000-0005-0000-0000-0000BE800000}"/>
    <cellStyle name="Standard 8 6 3 2" xfId="32599" xr:uid="{00000000-0005-0000-0000-0000BF800000}"/>
    <cellStyle name="Standard 8 6 3 3" xfId="32600" xr:uid="{00000000-0005-0000-0000-0000C0800000}"/>
    <cellStyle name="Standard 8 6 4" xfId="32601" xr:uid="{00000000-0005-0000-0000-0000C1800000}"/>
    <cellStyle name="Standard 8 6 4 2" xfId="32602" xr:uid="{00000000-0005-0000-0000-0000C2800000}"/>
    <cellStyle name="Standard 8 6 5" xfId="32603" xr:uid="{00000000-0005-0000-0000-0000C3800000}"/>
    <cellStyle name="Standard 8 6 6" xfId="32604" xr:uid="{00000000-0005-0000-0000-0000C4800000}"/>
    <cellStyle name="Standard 8 7" xfId="32605" xr:uid="{00000000-0005-0000-0000-0000C5800000}"/>
    <cellStyle name="Standard 8 7 2" xfId="32606" xr:uid="{00000000-0005-0000-0000-0000C6800000}"/>
    <cellStyle name="Standard 8 7 3" xfId="32607" xr:uid="{00000000-0005-0000-0000-0000C7800000}"/>
    <cellStyle name="Standard 8 8" xfId="32608" xr:uid="{00000000-0005-0000-0000-0000C8800000}"/>
    <cellStyle name="Standard 8 8 2" xfId="32609" xr:uid="{00000000-0005-0000-0000-0000C9800000}"/>
    <cellStyle name="Standard 8 8 3" xfId="32610" xr:uid="{00000000-0005-0000-0000-0000CA800000}"/>
    <cellStyle name="Standard 8 9" xfId="32611" xr:uid="{00000000-0005-0000-0000-0000CB800000}"/>
    <cellStyle name="Standard 8 9 2" xfId="32612" xr:uid="{00000000-0005-0000-0000-0000CC800000}"/>
    <cellStyle name="Standard 80" xfId="698" xr:uid="{00000000-0005-0000-0000-0000CD800000}"/>
    <cellStyle name="Standard 80 2" xfId="699" xr:uid="{00000000-0005-0000-0000-0000CE800000}"/>
    <cellStyle name="Standard 81" xfId="700" xr:uid="{00000000-0005-0000-0000-0000CF800000}"/>
    <cellStyle name="Standard 81 2" xfId="701" xr:uid="{00000000-0005-0000-0000-0000D0800000}"/>
    <cellStyle name="Standard 82" xfId="702" xr:uid="{00000000-0005-0000-0000-0000D1800000}"/>
    <cellStyle name="Standard 82 2" xfId="703" xr:uid="{00000000-0005-0000-0000-0000D2800000}"/>
    <cellStyle name="Standard 83" xfId="704" xr:uid="{00000000-0005-0000-0000-0000D3800000}"/>
    <cellStyle name="Standard 83 2" xfId="705" xr:uid="{00000000-0005-0000-0000-0000D4800000}"/>
    <cellStyle name="Standard 84" xfId="706" xr:uid="{00000000-0005-0000-0000-0000D5800000}"/>
    <cellStyle name="Standard 84 2" xfId="707" xr:uid="{00000000-0005-0000-0000-0000D6800000}"/>
    <cellStyle name="Standard 85" xfId="708" xr:uid="{00000000-0005-0000-0000-0000D7800000}"/>
    <cellStyle name="Standard 85 2" xfId="709" xr:uid="{00000000-0005-0000-0000-0000D8800000}"/>
    <cellStyle name="Standard 86" xfId="710" xr:uid="{00000000-0005-0000-0000-0000D9800000}"/>
    <cellStyle name="Standard 87" xfId="711" xr:uid="{00000000-0005-0000-0000-0000DA800000}"/>
    <cellStyle name="Standard 88" xfId="712" xr:uid="{00000000-0005-0000-0000-0000DB800000}"/>
    <cellStyle name="Standard 89" xfId="713" xr:uid="{00000000-0005-0000-0000-0000DC800000}"/>
    <cellStyle name="Standard 9" xfId="714" xr:uid="{00000000-0005-0000-0000-0000DD800000}"/>
    <cellStyle name="Standard 9 10" xfId="32613" xr:uid="{00000000-0005-0000-0000-0000DE800000}"/>
    <cellStyle name="Standard 9 11" xfId="32614" xr:uid="{00000000-0005-0000-0000-0000DF800000}"/>
    <cellStyle name="Standard 9 12" xfId="32615" xr:uid="{00000000-0005-0000-0000-0000E0800000}"/>
    <cellStyle name="Standard 9 13" xfId="33120" xr:uid="{00000000-0005-0000-0000-0000E1800000}"/>
    <cellStyle name="Standard 9 14" xfId="33195" xr:uid="{00000000-0005-0000-0000-0000E2800000}"/>
    <cellStyle name="Standard 9 15" xfId="33270" xr:uid="{00000000-0005-0000-0000-0000E3800000}"/>
    <cellStyle name="Standard 9 16" xfId="33345" xr:uid="{00000000-0005-0000-0000-0000E4800000}"/>
    <cellStyle name="Standard 9 17" xfId="33500" xr:uid="{00000000-0005-0000-0000-0000E5800000}"/>
    <cellStyle name="Standard 9 2" xfId="715" xr:uid="{00000000-0005-0000-0000-0000E6800000}"/>
    <cellStyle name="Standard 9 2 10" xfId="32616" xr:uid="{00000000-0005-0000-0000-0000E7800000}"/>
    <cellStyle name="Standard 9 2 11" xfId="33121" xr:uid="{00000000-0005-0000-0000-0000E8800000}"/>
    <cellStyle name="Standard 9 2 12" xfId="33196" xr:uid="{00000000-0005-0000-0000-0000E9800000}"/>
    <cellStyle name="Standard 9 2 13" xfId="33271" xr:uid="{00000000-0005-0000-0000-0000EA800000}"/>
    <cellStyle name="Standard 9 2 14" xfId="33346" xr:uid="{00000000-0005-0000-0000-0000EB800000}"/>
    <cellStyle name="Standard 9 2 15" xfId="33501" xr:uid="{00000000-0005-0000-0000-0000EC800000}"/>
    <cellStyle name="Standard 9 2 2" xfId="32617" xr:uid="{00000000-0005-0000-0000-0000ED800000}"/>
    <cellStyle name="Standard 9 2 2 2" xfId="32618" xr:uid="{00000000-0005-0000-0000-0000EE800000}"/>
    <cellStyle name="Standard 9 2 2 2 2" xfId="32619" xr:uid="{00000000-0005-0000-0000-0000EF800000}"/>
    <cellStyle name="Standard 9 2 2 2 2 2" xfId="32620" xr:uid="{00000000-0005-0000-0000-0000F0800000}"/>
    <cellStyle name="Standard 9 2 2 2 2 2 2" xfId="32621" xr:uid="{00000000-0005-0000-0000-0000F1800000}"/>
    <cellStyle name="Standard 9 2 2 2 2 2 3" xfId="32622" xr:uid="{00000000-0005-0000-0000-0000F2800000}"/>
    <cellStyle name="Standard 9 2 2 2 2 3" xfId="32623" xr:uid="{00000000-0005-0000-0000-0000F3800000}"/>
    <cellStyle name="Standard 9 2 2 2 2 3 2" xfId="32624" xr:uid="{00000000-0005-0000-0000-0000F4800000}"/>
    <cellStyle name="Standard 9 2 2 2 2 3 3" xfId="32625" xr:uid="{00000000-0005-0000-0000-0000F5800000}"/>
    <cellStyle name="Standard 9 2 2 2 2 4" xfId="32626" xr:uid="{00000000-0005-0000-0000-0000F6800000}"/>
    <cellStyle name="Standard 9 2 2 2 2 4 2" xfId="32627" xr:uid="{00000000-0005-0000-0000-0000F7800000}"/>
    <cellStyle name="Standard 9 2 2 2 2 5" xfId="32628" xr:uid="{00000000-0005-0000-0000-0000F8800000}"/>
    <cellStyle name="Standard 9 2 2 2 2 6" xfId="32629" xr:uid="{00000000-0005-0000-0000-0000F9800000}"/>
    <cellStyle name="Standard 9 2 2 2 3" xfId="32630" xr:uid="{00000000-0005-0000-0000-0000FA800000}"/>
    <cellStyle name="Standard 9 2 2 2 3 2" xfId="32631" xr:uid="{00000000-0005-0000-0000-0000FB800000}"/>
    <cellStyle name="Standard 9 2 2 2 3 3" xfId="32632" xr:uid="{00000000-0005-0000-0000-0000FC800000}"/>
    <cellStyle name="Standard 9 2 2 2 4" xfId="32633" xr:uid="{00000000-0005-0000-0000-0000FD800000}"/>
    <cellStyle name="Standard 9 2 2 2 4 2" xfId="32634" xr:uid="{00000000-0005-0000-0000-0000FE800000}"/>
    <cellStyle name="Standard 9 2 2 2 4 3" xfId="32635" xr:uid="{00000000-0005-0000-0000-0000FF800000}"/>
    <cellStyle name="Standard 9 2 2 2 5" xfId="32636" xr:uid="{00000000-0005-0000-0000-000000810000}"/>
    <cellStyle name="Standard 9 2 2 2 5 2" xfId="32637" xr:uid="{00000000-0005-0000-0000-000001810000}"/>
    <cellStyle name="Standard 9 2 2 2 6" xfId="32638" xr:uid="{00000000-0005-0000-0000-000002810000}"/>
    <cellStyle name="Standard 9 2 2 2 7" xfId="32639" xr:uid="{00000000-0005-0000-0000-000003810000}"/>
    <cellStyle name="Standard 9 2 2 3" xfId="32640" xr:uid="{00000000-0005-0000-0000-000004810000}"/>
    <cellStyle name="Standard 9 2 2 3 2" xfId="32641" xr:uid="{00000000-0005-0000-0000-000005810000}"/>
    <cellStyle name="Standard 9 2 2 3 2 2" xfId="32642" xr:uid="{00000000-0005-0000-0000-000006810000}"/>
    <cellStyle name="Standard 9 2 2 3 2 3" xfId="32643" xr:uid="{00000000-0005-0000-0000-000007810000}"/>
    <cellStyle name="Standard 9 2 2 3 3" xfId="32644" xr:uid="{00000000-0005-0000-0000-000008810000}"/>
    <cellStyle name="Standard 9 2 2 3 3 2" xfId="32645" xr:uid="{00000000-0005-0000-0000-000009810000}"/>
    <cellStyle name="Standard 9 2 2 3 3 3" xfId="32646" xr:uid="{00000000-0005-0000-0000-00000A810000}"/>
    <cellStyle name="Standard 9 2 2 3 4" xfId="32647" xr:uid="{00000000-0005-0000-0000-00000B810000}"/>
    <cellStyle name="Standard 9 2 2 3 4 2" xfId="32648" xr:uid="{00000000-0005-0000-0000-00000C810000}"/>
    <cellStyle name="Standard 9 2 2 3 5" xfId="32649" xr:uid="{00000000-0005-0000-0000-00000D810000}"/>
    <cellStyle name="Standard 9 2 2 3 6" xfId="32650" xr:uid="{00000000-0005-0000-0000-00000E810000}"/>
    <cellStyle name="Standard 9 2 2 4" xfId="32651" xr:uid="{00000000-0005-0000-0000-00000F810000}"/>
    <cellStyle name="Standard 9 2 2 4 2" xfId="32652" xr:uid="{00000000-0005-0000-0000-000010810000}"/>
    <cellStyle name="Standard 9 2 2 4 3" xfId="32653" xr:uid="{00000000-0005-0000-0000-000011810000}"/>
    <cellStyle name="Standard 9 2 2 5" xfId="32654" xr:uid="{00000000-0005-0000-0000-000012810000}"/>
    <cellStyle name="Standard 9 2 2 5 2" xfId="32655" xr:uid="{00000000-0005-0000-0000-000013810000}"/>
    <cellStyle name="Standard 9 2 2 5 3" xfId="32656" xr:uid="{00000000-0005-0000-0000-000014810000}"/>
    <cellStyle name="Standard 9 2 2 6" xfId="32657" xr:uid="{00000000-0005-0000-0000-000015810000}"/>
    <cellStyle name="Standard 9 2 2 6 2" xfId="32658" xr:uid="{00000000-0005-0000-0000-000016810000}"/>
    <cellStyle name="Standard 9 2 2 7" xfId="32659" xr:uid="{00000000-0005-0000-0000-000017810000}"/>
    <cellStyle name="Standard 9 2 2 8" xfId="32660" xr:uid="{00000000-0005-0000-0000-000018810000}"/>
    <cellStyle name="Standard 9 2 2 9" xfId="33502" xr:uid="{00000000-0005-0000-0000-000019810000}"/>
    <cellStyle name="Standard 9 2 3" xfId="32661" xr:uid="{00000000-0005-0000-0000-00001A810000}"/>
    <cellStyle name="Standard 9 2 3 2" xfId="32662" xr:uid="{00000000-0005-0000-0000-00001B810000}"/>
    <cellStyle name="Standard 9 2 3 2 2" xfId="32663" xr:uid="{00000000-0005-0000-0000-00001C810000}"/>
    <cellStyle name="Standard 9 2 3 2 2 2" xfId="32664" xr:uid="{00000000-0005-0000-0000-00001D810000}"/>
    <cellStyle name="Standard 9 2 3 2 2 2 2" xfId="32665" xr:uid="{00000000-0005-0000-0000-00001E810000}"/>
    <cellStyle name="Standard 9 2 3 2 2 2 3" xfId="32666" xr:uid="{00000000-0005-0000-0000-00001F810000}"/>
    <cellStyle name="Standard 9 2 3 2 2 3" xfId="32667" xr:uid="{00000000-0005-0000-0000-000020810000}"/>
    <cellStyle name="Standard 9 2 3 2 2 3 2" xfId="32668" xr:uid="{00000000-0005-0000-0000-000021810000}"/>
    <cellStyle name="Standard 9 2 3 2 2 3 3" xfId="32669" xr:uid="{00000000-0005-0000-0000-000022810000}"/>
    <cellStyle name="Standard 9 2 3 2 2 4" xfId="32670" xr:uid="{00000000-0005-0000-0000-000023810000}"/>
    <cellStyle name="Standard 9 2 3 2 2 4 2" xfId="32671" xr:uid="{00000000-0005-0000-0000-000024810000}"/>
    <cellStyle name="Standard 9 2 3 2 2 5" xfId="32672" xr:uid="{00000000-0005-0000-0000-000025810000}"/>
    <cellStyle name="Standard 9 2 3 2 2 6" xfId="32673" xr:uid="{00000000-0005-0000-0000-000026810000}"/>
    <cellStyle name="Standard 9 2 3 2 3" xfId="32674" xr:uid="{00000000-0005-0000-0000-000027810000}"/>
    <cellStyle name="Standard 9 2 3 2 3 2" xfId="32675" xr:uid="{00000000-0005-0000-0000-000028810000}"/>
    <cellStyle name="Standard 9 2 3 2 3 3" xfId="32676" xr:uid="{00000000-0005-0000-0000-000029810000}"/>
    <cellStyle name="Standard 9 2 3 2 4" xfId="32677" xr:uid="{00000000-0005-0000-0000-00002A810000}"/>
    <cellStyle name="Standard 9 2 3 2 4 2" xfId="32678" xr:uid="{00000000-0005-0000-0000-00002B810000}"/>
    <cellStyle name="Standard 9 2 3 2 4 3" xfId="32679" xr:uid="{00000000-0005-0000-0000-00002C810000}"/>
    <cellStyle name="Standard 9 2 3 2 5" xfId="32680" xr:uid="{00000000-0005-0000-0000-00002D810000}"/>
    <cellStyle name="Standard 9 2 3 2 5 2" xfId="32681" xr:uid="{00000000-0005-0000-0000-00002E810000}"/>
    <cellStyle name="Standard 9 2 3 2 6" xfId="32682" xr:uid="{00000000-0005-0000-0000-00002F810000}"/>
    <cellStyle name="Standard 9 2 3 2 7" xfId="32683" xr:uid="{00000000-0005-0000-0000-000030810000}"/>
    <cellStyle name="Standard 9 2 3 3" xfId="32684" xr:uid="{00000000-0005-0000-0000-000031810000}"/>
    <cellStyle name="Standard 9 2 3 3 2" xfId="32685" xr:uid="{00000000-0005-0000-0000-000032810000}"/>
    <cellStyle name="Standard 9 2 3 3 2 2" xfId="32686" xr:uid="{00000000-0005-0000-0000-000033810000}"/>
    <cellStyle name="Standard 9 2 3 3 2 3" xfId="32687" xr:uid="{00000000-0005-0000-0000-000034810000}"/>
    <cellStyle name="Standard 9 2 3 3 3" xfId="32688" xr:uid="{00000000-0005-0000-0000-000035810000}"/>
    <cellStyle name="Standard 9 2 3 3 3 2" xfId="32689" xr:uid="{00000000-0005-0000-0000-000036810000}"/>
    <cellStyle name="Standard 9 2 3 3 3 3" xfId="32690" xr:uid="{00000000-0005-0000-0000-000037810000}"/>
    <cellStyle name="Standard 9 2 3 3 4" xfId="32691" xr:uid="{00000000-0005-0000-0000-000038810000}"/>
    <cellStyle name="Standard 9 2 3 3 4 2" xfId="32692" xr:uid="{00000000-0005-0000-0000-000039810000}"/>
    <cellStyle name="Standard 9 2 3 3 5" xfId="32693" xr:uid="{00000000-0005-0000-0000-00003A810000}"/>
    <cellStyle name="Standard 9 2 3 3 6" xfId="32694" xr:uid="{00000000-0005-0000-0000-00003B810000}"/>
    <cellStyle name="Standard 9 2 3 4" xfId="32695" xr:uid="{00000000-0005-0000-0000-00003C810000}"/>
    <cellStyle name="Standard 9 2 3 4 2" xfId="32696" xr:uid="{00000000-0005-0000-0000-00003D810000}"/>
    <cellStyle name="Standard 9 2 3 4 3" xfId="32697" xr:uid="{00000000-0005-0000-0000-00003E810000}"/>
    <cellStyle name="Standard 9 2 3 5" xfId="32698" xr:uid="{00000000-0005-0000-0000-00003F810000}"/>
    <cellStyle name="Standard 9 2 3 5 2" xfId="32699" xr:uid="{00000000-0005-0000-0000-000040810000}"/>
    <cellStyle name="Standard 9 2 3 5 3" xfId="32700" xr:uid="{00000000-0005-0000-0000-000041810000}"/>
    <cellStyle name="Standard 9 2 3 6" xfId="32701" xr:uid="{00000000-0005-0000-0000-000042810000}"/>
    <cellStyle name="Standard 9 2 3 6 2" xfId="32702" xr:uid="{00000000-0005-0000-0000-000043810000}"/>
    <cellStyle name="Standard 9 2 3 7" xfId="32703" xr:uid="{00000000-0005-0000-0000-000044810000}"/>
    <cellStyle name="Standard 9 2 3 8" xfId="32704" xr:uid="{00000000-0005-0000-0000-000045810000}"/>
    <cellStyle name="Standard 9 2 4" xfId="32705" xr:uid="{00000000-0005-0000-0000-000046810000}"/>
    <cellStyle name="Standard 9 2 4 2" xfId="32706" xr:uid="{00000000-0005-0000-0000-000047810000}"/>
    <cellStyle name="Standard 9 2 4 2 2" xfId="32707" xr:uid="{00000000-0005-0000-0000-000048810000}"/>
    <cellStyle name="Standard 9 2 4 2 2 2" xfId="32708" xr:uid="{00000000-0005-0000-0000-000049810000}"/>
    <cellStyle name="Standard 9 2 4 2 2 3" xfId="32709" xr:uid="{00000000-0005-0000-0000-00004A810000}"/>
    <cellStyle name="Standard 9 2 4 2 3" xfId="32710" xr:uid="{00000000-0005-0000-0000-00004B810000}"/>
    <cellStyle name="Standard 9 2 4 2 3 2" xfId="32711" xr:uid="{00000000-0005-0000-0000-00004C810000}"/>
    <cellStyle name="Standard 9 2 4 2 3 3" xfId="32712" xr:uid="{00000000-0005-0000-0000-00004D810000}"/>
    <cellStyle name="Standard 9 2 4 2 4" xfId="32713" xr:uid="{00000000-0005-0000-0000-00004E810000}"/>
    <cellStyle name="Standard 9 2 4 2 4 2" xfId="32714" xr:uid="{00000000-0005-0000-0000-00004F810000}"/>
    <cellStyle name="Standard 9 2 4 2 5" xfId="32715" xr:uid="{00000000-0005-0000-0000-000050810000}"/>
    <cellStyle name="Standard 9 2 4 2 6" xfId="32716" xr:uid="{00000000-0005-0000-0000-000051810000}"/>
    <cellStyle name="Standard 9 2 4 3" xfId="32717" xr:uid="{00000000-0005-0000-0000-000052810000}"/>
    <cellStyle name="Standard 9 2 4 3 2" xfId="32718" xr:uid="{00000000-0005-0000-0000-000053810000}"/>
    <cellStyle name="Standard 9 2 4 3 3" xfId="32719" xr:uid="{00000000-0005-0000-0000-000054810000}"/>
    <cellStyle name="Standard 9 2 4 4" xfId="32720" xr:uid="{00000000-0005-0000-0000-000055810000}"/>
    <cellStyle name="Standard 9 2 4 4 2" xfId="32721" xr:uid="{00000000-0005-0000-0000-000056810000}"/>
    <cellStyle name="Standard 9 2 4 4 3" xfId="32722" xr:uid="{00000000-0005-0000-0000-000057810000}"/>
    <cellStyle name="Standard 9 2 4 5" xfId="32723" xr:uid="{00000000-0005-0000-0000-000058810000}"/>
    <cellStyle name="Standard 9 2 4 5 2" xfId="32724" xr:uid="{00000000-0005-0000-0000-000059810000}"/>
    <cellStyle name="Standard 9 2 4 6" xfId="32725" xr:uid="{00000000-0005-0000-0000-00005A810000}"/>
    <cellStyle name="Standard 9 2 4 7" xfId="32726" xr:uid="{00000000-0005-0000-0000-00005B810000}"/>
    <cellStyle name="Standard 9 2 5" xfId="32727" xr:uid="{00000000-0005-0000-0000-00005C810000}"/>
    <cellStyle name="Standard 9 2 5 2" xfId="32728" xr:uid="{00000000-0005-0000-0000-00005D810000}"/>
    <cellStyle name="Standard 9 2 5 2 2" xfId="32729" xr:uid="{00000000-0005-0000-0000-00005E810000}"/>
    <cellStyle name="Standard 9 2 5 2 3" xfId="32730" xr:uid="{00000000-0005-0000-0000-00005F810000}"/>
    <cellStyle name="Standard 9 2 5 3" xfId="32731" xr:uid="{00000000-0005-0000-0000-000060810000}"/>
    <cellStyle name="Standard 9 2 5 3 2" xfId="32732" xr:uid="{00000000-0005-0000-0000-000061810000}"/>
    <cellStyle name="Standard 9 2 5 3 3" xfId="32733" xr:uid="{00000000-0005-0000-0000-000062810000}"/>
    <cellStyle name="Standard 9 2 5 4" xfId="32734" xr:uid="{00000000-0005-0000-0000-000063810000}"/>
    <cellStyle name="Standard 9 2 5 4 2" xfId="32735" xr:uid="{00000000-0005-0000-0000-000064810000}"/>
    <cellStyle name="Standard 9 2 5 5" xfId="32736" xr:uid="{00000000-0005-0000-0000-000065810000}"/>
    <cellStyle name="Standard 9 2 5 6" xfId="32737" xr:uid="{00000000-0005-0000-0000-000066810000}"/>
    <cellStyle name="Standard 9 2 6" xfId="32738" xr:uid="{00000000-0005-0000-0000-000067810000}"/>
    <cellStyle name="Standard 9 2 6 2" xfId="32739" xr:uid="{00000000-0005-0000-0000-000068810000}"/>
    <cellStyle name="Standard 9 2 6 3" xfId="32740" xr:uid="{00000000-0005-0000-0000-000069810000}"/>
    <cellStyle name="Standard 9 2 7" xfId="32741" xr:uid="{00000000-0005-0000-0000-00006A810000}"/>
    <cellStyle name="Standard 9 2 7 2" xfId="32742" xr:uid="{00000000-0005-0000-0000-00006B810000}"/>
    <cellStyle name="Standard 9 2 7 3" xfId="32743" xr:uid="{00000000-0005-0000-0000-00006C810000}"/>
    <cellStyle name="Standard 9 2 8" xfId="32744" xr:uid="{00000000-0005-0000-0000-00006D810000}"/>
    <cellStyle name="Standard 9 2 8 2" xfId="32745" xr:uid="{00000000-0005-0000-0000-00006E810000}"/>
    <cellStyle name="Standard 9 2 9" xfId="32746" xr:uid="{00000000-0005-0000-0000-00006F810000}"/>
    <cellStyle name="Standard 9 3" xfId="32747" xr:uid="{00000000-0005-0000-0000-000070810000}"/>
    <cellStyle name="Standard 9 3 2" xfId="32748" xr:uid="{00000000-0005-0000-0000-000071810000}"/>
    <cellStyle name="Standard 9 3 2 2" xfId="32749" xr:uid="{00000000-0005-0000-0000-000072810000}"/>
    <cellStyle name="Standard 9 3 2 2 2" xfId="32750" xr:uid="{00000000-0005-0000-0000-000073810000}"/>
    <cellStyle name="Standard 9 3 2 2 2 2" xfId="32751" xr:uid="{00000000-0005-0000-0000-000074810000}"/>
    <cellStyle name="Standard 9 3 2 2 2 3" xfId="32752" xr:uid="{00000000-0005-0000-0000-000075810000}"/>
    <cellStyle name="Standard 9 3 2 2 3" xfId="32753" xr:uid="{00000000-0005-0000-0000-000076810000}"/>
    <cellStyle name="Standard 9 3 2 2 3 2" xfId="32754" xr:uid="{00000000-0005-0000-0000-000077810000}"/>
    <cellStyle name="Standard 9 3 2 2 3 3" xfId="32755" xr:uid="{00000000-0005-0000-0000-000078810000}"/>
    <cellStyle name="Standard 9 3 2 2 4" xfId="32756" xr:uid="{00000000-0005-0000-0000-000079810000}"/>
    <cellStyle name="Standard 9 3 2 2 4 2" xfId="32757" xr:uid="{00000000-0005-0000-0000-00007A810000}"/>
    <cellStyle name="Standard 9 3 2 2 5" xfId="32758" xr:uid="{00000000-0005-0000-0000-00007B810000}"/>
    <cellStyle name="Standard 9 3 2 2 6" xfId="32759" xr:uid="{00000000-0005-0000-0000-00007C810000}"/>
    <cellStyle name="Standard 9 3 2 3" xfId="32760" xr:uid="{00000000-0005-0000-0000-00007D810000}"/>
    <cellStyle name="Standard 9 3 2 3 2" xfId="32761" xr:uid="{00000000-0005-0000-0000-00007E810000}"/>
    <cellStyle name="Standard 9 3 2 3 3" xfId="32762" xr:uid="{00000000-0005-0000-0000-00007F810000}"/>
    <cellStyle name="Standard 9 3 2 4" xfId="32763" xr:uid="{00000000-0005-0000-0000-000080810000}"/>
    <cellStyle name="Standard 9 3 2 4 2" xfId="32764" xr:uid="{00000000-0005-0000-0000-000081810000}"/>
    <cellStyle name="Standard 9 3 2 4 3" xfId="32765" xr:uid="{00000000-0005-0000-0000-000082810000}"/>
    <cellStyle name="Standard 9 3 2 5" xfId="32766" xr:uid="{00000000-0005-0000-0000-000083810000}"/>
    <cellStyle name="Standard 9 3 2 5 2" xfId="32767" xr:uid="{00000000-0005-0000-0000-000084810000}"/>
    <cellStyle name="Standard 9 3 2 6" xfId="32768" xr:uid="{00000000-0005-0000-0000-000085810000}"/>
    <cellStyle name="Standard 9 3 2 7" xfId="32769" xr:uid="{00000000-0005-0000-0000-000086810000}"/>
    <cellStyle name="Standard 9 3 3" xfId="32770" xr:uid="{00000000-0005-0000-0000-000087810000}"/>
    <cellStyle name="Standard 9 3 3 2" xfId="32771" xr:uid="{00000000-0005-0000-0000-000088810000}"/>
    <cellStyle name="Standard 9 3 3 2 2" xfId="32772" xr:uid="{00000000-0005-0000-0000-000089810000}"/>
    <cellStyle name="Standard 9 3 3 2 3" xfId="32773" xr:uid="{00000000-0005-0000-0000-00008A810000}"/>
    <cellStyle name="Standard 9 3 3 3" xfId="32774" xr:uid="{00000000-0005-0000-0000-00008B810000}"/>
    <cellStyle name="Standard 9 3 3 3 2" xfId="32775" xr:uid="{00000000-0005-0000-0000-00008C810000}"/>
    <cellStyle name="Standard 9 3 3 3 3" xfId="32776" xr:uid="{00000000-0005-0000-0000-00008D810000}"/>
    <cellStyle name="Standard 9 3 3 4" xfId="32777" xr:uid="{00000000-0005-0000-0000-00008E810000}"/>
    <cellStyle name="Standard 9 3 3 4 2" xfId="32778" xr:uid="{00000000-0005-0000-0000-00008F810000}"/>
    <cellStyle name="Standard 9 3 3 5" xfId="32779" xr:uid="{00000000-0005-0000-0000-000090810000}"/>
    <cellStyle name="Standard 9 3 3 6" xfId="32780" xr:uid="{00000000-0005-0000-0000-000091810000}"/>
    <cellStyle name="Standard 9 3 4" xfId="32781" xr:uid="{00000000-0005-0000-0000-000092810000}"/>
    <cellStyle name="Standard 9 3 4 2" xfId="32782" xr:uid="{00000000-0005-0000-0000-000093810000}"/>
    <cellStyle name="Standard 9 3 4 3" xfId="32783" xr:uid="{00000000-0005-0000-0000-000094810000}"/>
    <cellStyle name="Standard 9 3 5" xfId="32784" xr:uid="{00000000-0005-0000-0000-000095810000}"/>
    <cellStyle name="Standard 9 3 5 2" xfId="32785" xr:uid="{00000000-0005-0000-0000-000096810000}"/>
    <cellStyle name="Standard 9 3 5 3" xfId="32786" xr:uid="{00000000-0005-0000-0000-000097810000}"/>
    <cellStyle name="Standard 9 3 6" xfId="32787" xr:uid="{00000000-0005-0000-0000-000098810000}"/>
    <cellStyle name="Standard 9 3 6 2" xfId="32788" xr:uid="{00000000-0005-0000-0000-000099810000}"/>
    <cellStyle name="Standard 9 3 7" xfId="32789" xr:uid="{00000000-0005-0000-0000-00009A810000}"/>
    <cellStyle name="Standard 9 3 8" xfId="32790" xr:uid="{00000000-0005-0000-0000-00009B810000}"/>
    <cellStyle name="Standard 9 3 9" xfId="33503" xr:uid="{00000000-0005-0000-0000-00009C810000}"/>
    <cellStyle name="Standard 9 4" xfId="32791" xr:uid="{00000000-0005-0000-0000-00009D810000}"/>
    <cellStyle name="Standard 9 4 2" xfId="32792" xr:uid="{00000000-0005-0000-0000-00009E810000}"/>
    <cellStyle name="Standard 9 4 2 2" xfId="32793" xr:uid="{00000000-0005-0000-0000-00009F810000}"/>
    <cellStyle name="Standard 9 4 2 2 2" xfId="32794" xr:uid="{00000000-0005-0000-0000-0000A0810000}"/>
    <cellStyle name="Standard 9 4 2 2 2 2" xfId="32795" xr:uid="{00000000-0005-0000-0000-0000A1810000}"/>
    <cellStyle name="Standard 9 4 2 2 2 3" xfId="32796" xr:uid="{00000000-0005-0000-0000-0000A2810000}"/>
    <cellStyle name="Standard 9 4 2 2 3" xfId="32797" xr:uid="{00000000-0005-0000-0000-0000A3810000}"/>
    <cellStyle name="Standard 9 4 2 2 3 2" xfId="32798" xr:uid="{00000000-0005-0000-0000-0000A4810000}"/>
    <cellStyle name="Standard 9 4 2 2 3 3" xfId="32799" xr:uid="{00000000-0005-0000-0000-0000A5810000}"/>
    <cellStyle name="Standard 9 4 2 2 4" xfId="32800" xr:uid="{00000000-0005-0000-0000-0000A6810000}"/>
    <cellStyle name="Standard 9 4 2 2 4 2" xfId="32801" xr:uid="{00000000-0005-0000-0000-0000A7810000}"/>
    <cellStyle name="Standard 9 4 2 2 5" xfId="32802" xr:uid="{00000000-0005-0000-0000-0000A8810000}"/>
    <cellStyle name="Standard 9 4 2 2 6" xfId="32803" xr:uid="{00000000-0005-0000-0000-0000A9810000}"/>
    <cellStyle name="Standard 9 4 2 3" xfId="32804" xr:uid="{00000000-0005-0000-0000-0000AA810000}"/>
    <cellStyle name="Standard 9 4 2 3 2" xfId="32805" xr:uid="{00000000-0005-0000-0000-0000AB810000}"/>
    <cellStyle name="Standard 9 4 2 3 3" xfId="32806" xr:uid="{00000000-0005-0000-0000-0000AC810000}"/>
    <cellStyle name="Standard 9 4 2 4" xfId="32807" xr:uid="{00000000-0005-0000-0000-0000AD810000}"/>
    <cellStyle name="Standard 9 4 2 4 2" xfId="32808" xr:uid="{00000000-0005-0000-0000-0000AE810000}"/>
    <cellStyle name="Standard 9 4 2 4 3" xfId="32809" xr:uid="{00000000-0005-0000-0000-0000AF810000}"/>
    <cellStyle name="Standard 9 4 2 5" xfId="32810" xr:uid="{00000000-0005-0000-0000-0000B0810000}"/>
    <cellStyle name="Standard 9 4 2 5 2" xfId="32811" xr:uid="{00000000-0005-0000-0000-0000B1810000}"/>
    <cellStyle name="Standard 9 4 2 6" xfId="32812" xr:uid="{00000000-0005-0000-0000-0000B2810000}"/>
    <cellStyle name="Standard 9 4 2 7" xfId="32813" xr:uid="{00000000-0005-0000-0000-0000B3810000}"/>
    <cellStyle name="Standard 9 4 3" xfId="32814" xr:uid="{00000000-0005-0000-0000-0000B4810000}"/>
    <cellStyle name="Standard 9 4 3 2" xfId="32815" xr:uid="{00000000-0005-0000-0000-0000B5810000}"/>
    <cellStyle name="Standard 9 4 3 2 2" xfId="32816" xr:uid="{00000000-0005-0000-0000-0000B6810000}"/>
    <cellStyle name="Standard 9 4 3 2 3" xfId="32817" xr:uid="{00000000-0005-0000-0000-0000B7810000}"/>
    <cellStyle name="Standard 9 4 3 3" xfId="32818" xr:uid="{00000000-0005-0000-0000-0000B8810000}"/>
    <cellStyle name="Standard 9 4 3 3 2" xfId="32819" xr:uid="{00000000-0005-0000-0000-0000B9810000}"/>
    <cellStyle name="Standard 9 4 3 3 3" xfId="32820" xr:uid="{00000000-0005-0000-0000-0000BA810000}"/>
    <cellStyle name="Standard 9 4 3 4" xfId="32821" xr:uid="{00000000-0005-0000-0000-0000BB810000}"/>
    <cellStyle name="Standard 9 4 3 4 2" xfId="32822" xr:uid="{00000000-0005-0000-0000-0000BC810000}"/>
    <cellStyle name="Standard 9 4 3 5" xfId="32823" xr:uid="{00000000-0005-0000-0000-0000BD810000}"/>
    <cellStyle name="Standard 9 4 3 6" xfId="32824" xr:uid="{00000000-0005-0000-0000-0000BE810000}"/>
    <cellStyle name="Standard 9 4 4" xfId="32825" xr:uid="{00000000-0005-0000-0000-0000BF810000}"/>
    <cellStyle name="Standard 9 4 4 2" xfId="32826" xr:uid="{00000000-0005-0000-0000-0000C0810000}"/>
    <cellStyle name="Standard 9 4 4 3" xfId="32827" xr:uid="{00000000-0005-0000-0000-0000C1810000}"/>
    <cellStyle name="Standard 9 4 5" xfId="32828" xr:uid="{00000000-0005-0000-0000-0000C2810000}"/>
    <cellStyle name="Standard 9 4 5 2" xfId="32829" xr:uid="{00000000-0005-0000-0000-0000C3810000}"/>
    <cellStyle name="Standard 9 4 5 3" xfId="32830" xr:uid="{00000000-0005-0000-0000-0000C4810000}"/>
    <cellStyle name="Standard 9 4 6" xfId="32831" xr:uid="{00000000-0005-0000-0000-0000C5810000}"/>
    <cellStyle name="Standard 9 4 6 2" xfId="32832" xr:uid="{00000000-0005-0000-0000-0000C6810000}"/>
    <cellStyle name="Standard 9 4 7" xfId="32833" xr:uid="{00000000-0005-0000-0000-0000C7810000}"/>
    <cellStyle name="Standard 9 4 8" xfId="32834" xr:uid="{00000000-0005-0000-0000-0000C8810000}"/>
    <cellStyle name="Standard 9 5" xfId="32835" xr:uid="{00000000-0005-0000-0000-0000C9810000}"/>
    <cellStyle name="Standard 9 5 2" xfId="32836" xr:uid="{00000000-0005-0000-0000-0000CA810000}"/>
    <cellStyle name="Standard 9 5 2 2" xfId="32837" xr:uid="{00000000-0005-0000-0000-0000CB810000}"/>
    <cellStyle name="Standard 9 5 2 2 2" xfId="32838" xr:uid="{00000000-0005-0000-0000-0000CC810000}"/>
    <cellStyle name="Standard 9 5 2 2 3" xfId="32839" xr:uid="{00000000-0005-0000-0000-0000CD810000}"/>
    <cellStyle name="Standard 9 5 2 3" xfId="32840" xr:uid="{00000000-0005-0000-0000-0000CE810000}"/>
    <cellStyle name="Standard 9 5 2 3 2" xfId="32841" xr:uid="{00000000-0005-0000-0000-0000CF810000}"/>
    <cellStyle name="Standard 9 5 2 3 3" xfId="32842" xr:uid="{00000000-0005-0000-0000-0000D0810000}"/>
    <cellStyle name="Standard 9 5 2 4" xfId="32843" xr:uid="{00000000-0005-0000-0000-0000D1810000}"/>
    <cellStyle name="Standard 9 5 2 4 2" xfId="32844" xr:uid="{00000000-0005-0000-0000-0000D2810000}"/>
    <cellStyle name="Standard 9 5 2 5" xfId="32845" xr:uid="{00000000-0005-0000-0000-0000D3810000}"/>
    <cellStyle name="Standard 9 5 2 6" xfId="32846" xr:uid="{00000000-0005-0000-0000-0000D4810000}"/>
    <cellStyle name="Standard 9 5 3" xfId="32847" xr:uid="{00000000-0005-0000-0000-0000D5810000}"/>
    <cellStyle name="Standard 9 5 3 2" xfId="32848" xr:uid="{00000000-0005-0000-0000-0000D6810000}"/>
    <cellStyle name="Standard 9 5 3 3" xfId="32849" xr:uid="{00000000-0005-0000-0000-0000D7810000}"/>
    <cellStyle name="Standard 9 5 4" xfId="32850" xr:uid="{00000000-0005-0000-0000-0000D8810000}"/>
    <cellStyle name="Standard 9 5 4 2" xfId="32851" xr:uid="{00000000-0005-0000-0000-0000D9810000}"/>
    <cellStyle name="Standard 9 5 4 3" xfId="32852" xr:uid="{00000000-0005-0000-0000-0000DA810000}"/>
    <cellStyle name="Standard 9 5 5" xfId="32853" xr:uid="{00000000-0005-0000-0000-0000DB810000}"/>
    <cellStyle name="Standard 9 5 5 2" xfId="32854" xr:uid="{00000000-0005-0000-0000-0000DC810000}"/>
    <cellStyle name="Standard 9 5 6" xfId="32855" xr:uid="{00000000-0005-0000-0000-0000DD810000}"/>
    <cellStyle name="Standard 9 5 7" xfId="32856" xr:uid="{00000000-0005-0000-0000-0000DE810000}"/>
    <cellStyle name="Standard 9 6" xfId="32857" xr:uid="{00000000-0005-0000-0000-0000DF810000}"/>
    <cellStyle name="Standard 9 6 2" xfId="32858" xr:uid="{00000000-0005-0000-0000-0000E0810000}"/>
    <cellStyle name="Standard 9 6 2 2" xfId="32859" xr:uid="{00000000-0005-0000-0000-0000E1810000}"/>
    <cellStyle name="Standard 9 6 2 3" xfId="32860" xr:uid="{00000000-0005-0000-0000-0000E2810000}"/>
    <cellStyle name="Standard 9 6 3" xfId="32861" xr:uid="{00000000-0005-0000-0000-0000E3810000}"/>
    <cellStyle name="Standard 9 6 3 2" xfId="32862" xr:uid="{00000000-0005-0000-0000-0000E4810000}"/>
    <cellStyle name="Standard 9 6 3 3" xfId="32863" xr:uid="{00000000-0005-0000-0000-0000E5810000}"/>
    <cellStyle name="Standard 9 6 4" xfId="32864" xr:uid="{00000000-0005-0000-0000-0000E6810000}"/>
    <cellStyle name="Standard 9 6 4 2" xfId="32865" xr:uid="{00000000-0005-0000-0000-0000E7810000}"/>
    <cellStyle name="Standard 9 6 5" xfId="32866" xr:uid="{00000000-0005-0000-0000-0000E8810000}"/>
    <cellStyle name="Standard 9 6 6" xfId="32867" xr:uid="{00000000-0005-0000-0000-0000E9810000}"/>
    <cellStyle name="Standard 9 7" xfId="32868" xr:uid="{00000000-0005-0000-0000-0000EA810000}"/>
    <cellStyle name="Standard 9 7 2" xfId="32869" xr:uid="{00000000-0005-0000-0000-0000EB810000}"/>
    <cellStyle name="Standard 9 7 3" xfId="32870" xr:uid="{00000000-0005-0000-0000-0000EC810000}"/>
    <cellStyle name="Standard 9 8" xfId="32871" xr:uid="{00000000-0005-0000-0000-0000ED810000}"/>
    <cellStyle name="Standard 9 8 2" xfId="32872" xr:uid="{00000000-0005-0000-0000-0000EE810000}"/>
    <cellStyle name="Standard 9 8 3" xfId="32873" xr:uid="{00000000-0005-0000-0000-0000EF810000}"/>
    <cellStyle name="Standard 9 9" xfId="32874" xr:uid="{00000000-0005-0000-0000-0000F0810000}"/>
    <cellStyle name="Standard 9 9 2" xfId="32875" xr:uid="{00000000-0005-0000-0000-0000F1810000}"/>
    <cellStyle name="Standard 90" xfId="716" xr:uid="{00000000-0005-0000-0000-0000F2810000}"/>
    <cellStyle name="Standard 91" xfId="717" xr:uid="{00000000-0005-0000-0000-0000F3810000}"/>
    <cellStyle name="Standard 92" xfId="718" xr:uid="{00000000-0005-0000-0000-0000F4810000}"/>
    <cellStyle name="Standard 93" xfId="719" xr:uid="{00000000-0005-0000-0000-0000F5810000}"/>
    <cellStyle name="Standard 94" xfId="720" xr:uid="{00000000-0005-0000-0000-0000F6810000}"/>
    <cellStyle name="Standard 95" xfId="721" xr:uid="{00000000-0005-0000-0000-0000F7810000}"/>
    <cellStyle name="Standard 96" xfId="722" xr:uid="{00000000-0005-0000-0000-0000F8810000}"/>
    <cellStyle name="Standard 97" xfId="723" xr:uid="{00000000-0005-0000-0000-0000F9810000}"/>
    <cellStyle name="Standard 98" xfId="724" xr:uid="{00000000-0005-0000-0000-0000FA810000}"/>
    <cellStyle name="Standard 99" xfId="725" xr:uid="{00000000-0005-0000-0000-0000FB810000}"/>
    <cellStyle name="Standard_090713_MQBPFREI_GL44_MATBASIS" xfId="14" xr:uid="{00000000-0005-0000-0000-0000FC810000}"/>
    <cellStyle name="Standard_Punktplan_07012008" xfId="15" xr:uid="{00000000-0005-0000-0000-0000FD810000}"/>
    <cellStyle name="Standard_Punktplan_PO170_37-A33-31D 343193_194" xfId="16" xr:uid="{00000000-0005-0000-0000-0000FE810000}"/>
    <cellStyle name="Standard_Punktplan_VW100_37-A33-31D 343187_188" xfId="17" xr:uid="{00000000-0005-0000-0000-0000FF810000}"/>
    <cellStyle name="Standard_Punktplan_VW330_37-A33-31D 343205_206" xfId="18" xr:uid="{00000000-0005-0000-0000-000000820000}"/>
    <cellStyle name="Stil 1" xfId="32876" xr:uid="{00000000-0005-0000-0000-000001820000}"/>
    <cellStyle name="Stil 1 2" xfId="32877" xr:uid="{00000000-0005-0000-0000-000002820000}"/>
    <cellStyle name="Stil 1 2 2" xfId="32878" xr:uid="{00000000-0005-0000-0000-000003820000}"/>
    <cellStyle name="Stil 1 2 2 2" xfId="32879" xr:uid="{00000000-0005-0000-0000-000004820000}"/>
    <cellStyle name="Stil 1 2 3" xfId="32880" xr:uid="{00000000-0005-0000-0000-000005820000}"/>
    <cellStyle name="Stil 1 3" xfId="32881" xr:uid="{00000000-0005-0000-0000-000006820000}"/>
    <cellStyle name="Stil 1 3 2" xfId="32882" xr:uid="{00000000-0005-0000-0000-000007820000}"/>
    <cellStyle name="Stil 1 4" xfId="32883" xr:uid="{00000000-0005-0000-0000-000008820000}"/>
    <cellStyle name="Stil 1 4 2" xfId="32884" xr:uid="{00000000-0005-0000-0000-000009820000}"/>
    <cellStyle name="Stil 1 4 3" xfId="32885" xr:uid="{00000000-0005-0000-0000-00000A820000}"/>
    <cellStyle name="Stil 1 4 4" xfId="32886" xr:uid="{00000000-0005-0000-0000-00000B820000}"/>
    <cellStyle name="Stil 1 4 4 2" xfId="32887" xr:uid="{00000000-0005-0000-0000-00000C820000}"/>
    <cellStyle name="Stil 1 4 4 3" xfId="32888" xr:uid="{00000000-0005-0000-0000-00000D820000}"/>
    <cellStyle name="Stil 1 5" xfId="32889" xr:uid="{00000000-0005-0000-0000-00000E820000}"/>
    <cellStyle name="Style 1" xfId="32890" xr:uid="{00000000-0005-0000-0000-00000F820000}"/>
    <cellStyle name="subhead" xfId="32891" xr:uid="{00000000-0005-0000-0000-000010820000}"/>
    <cellStyle name="Text Indent A" xfId="32892" xr:uid="{00000000-0005-0000-0000-000011820000}"/>
    <cellStyle name="Text Indent B" xfId="32893" xr:uid="{00000000-0005-0000-0000-000012820000}"/>
    <cellStyle name="Text Indent C" xfId="32894" xr:uid="{00000000-0005-0000-0000-000013820000}"/>
    <cellStyle name="Texto de advertencia" xfId="32895" xr:uid="{00000000-0005-0000-0000-000014820000}"/>
    <cellStyle name="Texto explicativo" xfId="32896" xr:uid="{00000000-0005-0000-0000-000015820000}"/>
    <cellStyle name="Title" xfId="731" xr:uid="{00000000-0005-0000-0000-000016820000}"/>
    <cellStyle name="Title 2" xfId="726" xr:uid="{00000000-0005-0000-0000-000017820000}"/>
    <cellStyle name="Title 2 2" xfId="32897" xr:uid="{00000000-0005-0000-0000-000018820000}"/>
    <cellStyle name="Title 2 3" xfId="32898" xr:uid="{00000000-0005-0000-0000-000019820000}"/>
    <cellStyle name="Title 3" xfId="727" xr:uid="{00000000-0005-0000-0000-00001A820000}"/>
    <cellStyle name="Title 3 2" xfId="32899" xr:uid="{00000000-0005-0000-0000-00001B820000}"/>
    <cellStyle name="Title 4" xfId="728" xr:uid="{00000000-0005-0000-0000-00001C820000}"/>
    <cellStyle name="Title 5" xfId="32900" xr:uid="{00000000-0005-0000-0000-00001D820000}"/>
    <cellStyle name="Title_Bauteile" xfId="729" xr:uid="{00000000-0005-0000-0000-00001E820000}"/>
    <cellStyle name="Título" xfId="32901" xr:uid="{00000000-0005-0000-0000-00001F820000}"/>
    <cellStyle name="Título 1" xfId="32902" xr:uid="{00000000-0005-0000-0000-000020820000}"/>
    <cellStyle name="Título 1 2" xfId="32903" xr:uid="{00000000-0005-0000-0000-000021820000}"/>
    <cellStyle name="Título 2" xfId="32904" xr:uid="{00000000-0005-0000-0000-000022820000}"/>
    <cellStyle name="Título 2 2" xfId="32905" xr:uid="{00000000-0005-0000-0000-000023820000}"/>
    <cellStyle name="Título 3" xfId="32906" xr:uid="{00000000-0005-0000-0000-000024820000}"/>
    <cellStyle name="Título 3 2" xfId="32907" xr:uid="{00000000-0005-0000-0000-000025820000}"/>
    <cellStyle name="Top Row" xfId="32908" xr:uid="{00000000-0005-0000-0000-000026820000}"/>
    <cellStyle name="Total" xfId="32909" xr:uid="{00000000-0005-0000-0000-000027820000}"/>
    <cellStyle name="Total 2" xfId="730" xr:uid="{00000000-0005-0000-0000-000028820000}"/>
    <cellStyle name="Total 2 2" xfId="32910" xr:uid="{00000000-0005-0000-0000-000029820000}"/>
    <cellStyle name="Total 2 3" xfId="32911" xr:uid="{00000000-0005-0000-0000-00002A820000}"/>
    <cellStyle name="Total 3" xfId="32912" xr:uid="{00000000-0005-0000-0000-00002B820000}"/>
    <cellStyle name="Total 4" xfId="32913" xr:uid="{00000000-0005-0000-0000-00002C820000}"/>
    <cellStyle name="Total_readOnly" xfId="25" xr:uid="{00000000-0005-0000-0000-00002D820000}"/>
    <cellStyle name="Überschrift 1 2" xfId="733" xr:uid="{00000000-0005-0000-0000-00002E820000}"/>
    <cellStyle name="Überschrift 1 2 2" xfId="32914" xr:uid="{00000000-0005-0000-0000-00002F820000}"/>
    <cellStyle name="Überschrift 1 2 3" xfId="32915" xr:uid="{00000000-0005-0000-0000-000030820000}"/>
    <cellStyle name="Überschrift 1 2 4" xfId="32916" xr:uid="{00000000-0005-0000-0000-000031820000}"/>
    <cellStyle name="Überschrift 1 2 5" xfId="32917" xr:uid="{00000000-0005-0000-0000-000032820000}"/>
    <cellStyle name="Überschrift 1 3" xfId="734" xr:uid="{00000000-0005-0000-0000-000033820000}"/>
    <cellStyle name="Überschrift 1 3 2" xfId="32918" xr:uid="{00000000-0005-0000-0000-000034820000}"/>
    <cellStyle name="Überschrift 1 3 3" xfId="32919" xr:uid="{00000000-0005-0000-0000-000035820000}"/>
    <cellStyle name="Überschrift 1 3 4" xfId="32920" xr:uid="{00000000-0005-0000-0000-000036820000}"/>
    <cellStyle name="Überschrift 1 3_Spotweld Crossreference Master" xfId="32921" xr:uid="{00000000-0005-0000-0000-000037820000}"/>
    <cellStyle name="Überschrift 1 4" xfId="735" xr:uid="{00000000-0005-0000-0000-000038820000}"/>
    <cellStyle name="Überschrift 1 4 2" xfId="32922" xr:uid="{00000000-0005-0000-0000-000039820000}"/>
    <cellStyle name="Überschrift 1 5" xfId="32923" xr:uid="{00000000-0005-0000-0000-00003A820000}"/>
    <cellStyle name="Überschrift 1 5 2" xfId="32924" xr:uid="{00000000-0005-0000-0000-00003B820000}"/>
    <cellStyle name="Überschrift 10" xfId="32925" xr:uid="{00000000-0005-0000-0000-00003C820000}"/>
    <cellStyle name="Überschrift 11" xfId="32926" xr:uid="{00000000-0005-0000-0000-00003D820000}"/>
    <cellStyle name="Überschrift 12" xfId="32927" xr:uid="{00000000-0005-0000-0000-00003E820000}"/>
    <cellStyle name="Überschrift 13" xfId="32928" xr:uid="{00000000-0005-0000-0000-00003F820000}"/>
    <cellStyle name="Überschrift 14" xfId="32929" xr:uid="{00000000-0005-0000-0000-000040820000}"/>
    <cellStyle name="Überschrift 15" xfId="32930" xr:uid="{00000000-0005-0000-0000-000041820000}"/>
    <cellStyle name="Überschrift 16" xfId="32931" xr:uid="{00000000-0005-0000-0000-000042820000}"/>
    <cellStyle name="Überschrift 17" xfId="32932" xr:uid="{00000000-0005-0000-0000-000043820000}"/>
    <cellStyle name="Überschrift 18" xfId="32933" xr:uid="{00000000-0005-0000-0000-000044820000}"/>
    <cellStyle name="Überschrift 2 2" xfId="737" xr:uid="{00000000-0005-0000-0000-000045820000}"/>
    <cellStyle name="Überschrift 2 2 2" xfId="32934" xr:uid="{00000000-0005-0000-0000-000046820000}"/>
    <cellStyle name="Überschrift 2 2 3" xfId="32935" xr:uid="{00000000-0005-0000-0000-000047820000}"/>
    <cellStyle name="Überschrift 2 2 4" xfId="32936" xr:uid="{00000000-0005-0000-0000-000048820000}"/>
    <cellStyle name="Überschrift 2 2 5" xfId="32937" xr:uid="{00000000-0005-0000-0000-000049820000}"/>
    <cellStyle name="Überschrift 2 3" xfId="738" xr:uid="{00000000-0005-0000-0000-00004A820000}"/>
    <cellStyle name="Überschrift 2 3 2" xfId="32938" xr:uid="{00000000-0005-0000-0000-00004B820000}"/>
    <cellStyle name="Überschrift 2 3 3" xfId="32939" xr:uid="{00000000-0005-0000-0000-00004C820000}"/>
    <cellStyle name="Überschrift 2 3 4" xfId="32940" xr:uid="{00000000-0005-0000-0000-00004D820000}"/>
    <cellStyle name="Überschrift 2 3_Spotweld Crossreference Master" xfId="32941" xr:uid="{00000000-0005-0000-0000-00004E820000}"/>
    <cellStyle name="Überschrift 2 4" xfId="739" xr:uid="{00000000-0005-0000-0000-00004F820000}"/>
    <cellStyle name="Überschrift 2 4 2" xfId="32942" xr:uid="{00000000-0005-0000-0000-000050820000}"/>
    <cellStyle name="Überschrift 2 5" xfId="32943" xr:uid="{00000000-0005-0000-0000-000051820000}"/>
    <cellStyle name="Überschrift 2 5 2" xfId="32944" xr:uid="{00000000-0005-0000-0000-000052820000}"/>
    <cellStyle name="Überschrift 3 2" xfId="741" xr:uid="{00000000-0005-0000-0000-000053820000}"/>
    <cellStyle name="Überschrift 3 2 2" xfId="32945" xr:uid="{00000000-0005-0000-0000-000054820000}"/>
    <cellStyle name="Überschrift 3 2 3" xfId="32946" xr:uid="{00000000-0005-0000-0000-000055820000}"/>
    <cellStyle name="Überschrift 3 2 4" xfId="32947" xr:uid="{00000000-0005-0000-0000-000056820000}"/>
    <cellStyle name="Überschrift 3 2 5" xfId="32948" xr:uid="{00000000-0005-0000-0000-000057820000}"/>
    <cellStyle name="Überschrift 3 3" xfId="742" xr:uid="{00000000-0005-0000-0000-000058820000}"/>
    <cellStyle name="Überschrift 3 3 2" xfId="32949" xr:uid="{00000000-0005-0000-0000-000059820000}"/>
    <cellStyle name="Überschrift 3 3 3" xfId="32950" xr:uid="{00000000-0005-0000-0000-00005A820000}"/>
    <cellStyle name="Überschrift 3 3 4" xfId="32951" xr:uid="{00000000-0005-0000-0000-00005B820000}"/>
    <cellStyle name="Überschrift 3 3_Spotweld Crossreference Master" xfId="32952" xr:uid="{00000000-0005-0000-0000-00005C820000}"/>
    <cellStyle name="Überschrift 3 4" xfId="743" xr:uid="{00000000-0005-0000-0000-00005D820000}"/>
    <cellStyle name="Überschrift 3 4 2" xfId="32953" xr:uid="{00000000-0005-0000-0000-00005E820000}"/>
    <cellStyle name="Überschrift 3 5" xfId="32954" xr:uid="{00000000-0005-0000-0000-00005F820000}"/>
    <cellStyle name="Überschrift 3 5 2" xfId="32955" xr:uid="{00000000-0005-0000-0000-000060820000}"/>
    <cellStyle name="Überschrift 4 2" xfId="745" xr:uid="{00000000-0005-0000-0000-000061820000}"/>
    <cellStyle name="Überschrift 4 2 2" xfId="32956" xr:uid="{00000000-0005-0000-0000-000062820000}"/>
    <cellStyle name="Überschrift 4 2 3" xfId="32957" xr:uid="{00000000-0005-0000-0000-000063820000}"/>
    <cellStyle name="Überschrift 4 2 4" xfId="32958" xr:uid="{00000000-0005-0000-0000-000064820000}"/>
    <cellStyle name="Überschrift 4 2 5" xfId="32959" xr:uid="{00000000-0005-0000-0000-000065820000}"/>
    <cellStyle name="Überschrift 4 3" xfId="746" xr:uid="{00000000-0005-0000-0000-000066820000}"/>
    <cellStyle name="Überschrift 4 3 2" xfId="32960" xr:uid="{00000000-0005-0000-0000-000067820000}"/>
    <cellStyle name="Überschrift 4 3 3" xfId="32961" xr:uid="{00000000-0005-0000-0000-000068820000}"/>
    <cellStyle name="Überschrift 4 3 4" xfId="32962" xr:uid="{00000000-0005-0000-0000-000069820000}"/>
    <cellStyle name="Überschrift 4 3_Spotweld Crossreference Master" xfId="32963" xr:uid="{00000000-0005-0000-0000-00006A820000}"/>
    <cellStyle name="Überschrift 4 4" xfId="747" xr:uid="{00000000-0005-0000-0000-00006B820000}"/>
    <cellStyle name="Überschrift 4 4 2" xfId="32964" xr:uid="{00000000-0005-0000-0000-00006C820000}"/>
    <cellStyle name="Überschrift 4 5" xfId="32965" xr:uid="{00000000-0005-0000-0000-00006D820000}"/>
    <cellStyle name="Überschrift 4 5 2" xfId="32966" xr:uid="{00000000-0005-0000-0000-00006E820000}"/>
    <cellStyle name="Überschrift 5" xfId="748" xr:uid="{00000000-0005-0000-0000-00006F820000}"/>
    <cellStyle name="Überschrift 5 2" xfId="32967" xr:uid="{00000000-0005-0000-0000-000070820000}"/>
    <cellStyle name="Überschrift 5 3" xfId="32968" xr:uid="{00000000-0005-0000-0000-000071820000}"/>
    <cellStyle name="Überschrift 5 4" xfId="32969" xr:uid="{00000000-0005-0000-0000-000072820000}"/>
    <cellStyle name="Überschrift 6" xfId="749" xr:uid="{00000000-0005-0000-0000-000073820000}"/>
    <cellStyle name="Überschrift 6 2" xfId="32970" xr:uid="{00000000-0005-0000-0000-000074820000}"/>
    <cellStyle name="Überschrift 6 3" xfId="32971" xr:uid="{00000000-0005-0000-0000-000075820000}"/>
    <cellStyle name="Überschrift 7" xfId="750" xr:uid="{00000000-0005-0000-0000-000076820000}"/>
    <cellStyle name="Überschrift 7 2" xfId="32972" xr:uid="{00000000-0005-0000-0000-000077820000}"/>
    <cellStyle name="Überschrift 8" xfId="32973" xr:uid="{00000000-0005-0000-0000-000078820000}"/>
    <cellStyle name="Überschrift 8 2" xfId="32974" xr:uid="{00000000-0005-0000-0000-000079820000}"/>
    <cellStyle name="Überschrift 9" xfId="32975" xr:uid="{00000000-0005-0000-0000-00007A820000}"/>
    <cellStyle name="Underline" xfId="32976" xr:uid="{00000000-0005-0000-0000-00007B820000}"/>
    <cellStyle name="Underline 2" xfId="32977" xr:uid="{00000000-0005-0000-0000-00007C820000}"/>
    <cellStyle name="Underline 2 2" xfId="32978" xr:uid="{00000000-0005-0000-0000-00007D820000}"/>
    <cellStyle name="Vector" xfId="19" xr:uid="{00000000-0005-0000-0000-00007E820000}"/>
    <cellStyle name="Vector 2" xfId="33504" xr:uid="{00000000-0005-0000-0000-00007F820000}"/>
    <cellStyle name="Vector 3" xfId="33505" xr:uid="{00000000-0005-0000-0000-000080820000}"/>
    <cellStyle name="Vehicle_Benchmark" xfId="32979" xr:uid="{00000000-0005-0000-0000-000081820000}"/>
    <cellStyle name="Verknüpfte Zelle 2" xfId="752" xr:uid="{00000000-0005-0000-0000-000082820000}"/>
    <cellStyle name="Verknüpfte Zelle 2 2" xfId="32980" xr:uid="{00000000-0005-0000-0000-000083820000}"/>
    <cellStyle name="Verknüpfte Zelle 2 3" xfId="32981" xr:uid="{00000000-0005-0000-0000-000084820000}"/>
    <cellStyle name="Verknüpfte Zelle 2 4" xfId="32982" xr:uid="{00000000-0005-0000-0000-000085820000}"/>
    <cellStyle name="Verknüpfte Zelle 2 5" xfId="32983" xr:uid="{00000000-0005-0000-0000-000086820000}"/>
    <cellStyle name="Verknüpfte Zelle 3" xfId="753" xr:uid="{00000000-0005-0000-0000-000087820000}"/>
    <cellStyle name="Verknüpfte Zelle 3 2" xfId="32984" xr:uid="{00000000-0005-0000-0000-000088820000}"/>
    <cellStyle name="Verknüpfte Zelle 3 3" xfId="32985" xr:uid="{00000000-0005-0000-0000-000089820000}"/>
    <cellStyle name="Verknüpfte Zelle 3 4" xfId="32986" xr:uid="{00000000-0005-0000-0000-00008A820000}"/>
    <cellStyle name="Verknüpfte Zelle 3_Spotweld Crossreference Master" xfId="32987" xr:uid="{00000000-0005-0000-0000-00008B820000}"/>
    <cellStyle name="Verknüpfte Zelle 4" xfId="754" xr:uid="{00000000-0005-0000-0000-00008C820000}"/>
    <cellStyle name="Verknüpfte Zelle 4 2" xfId="32988" xr:uid="{00000000-0005-0000-0000-00008D820000}"/>
    <cellStyle name="Verknüpfte Zelle 5" xfId="32989" xr:uid="{00000000-0005-0000-0000-00008E820000}"/>
    <cellStyle name="Verknüpfte Zelle 5 2" xfId="32990" xr:uid="{00000000-0005-0000-0000-00008F820000}"/>
    <cellStyle name="Version_Header" xfId="32991" xr:uid="{00000000-0005-0000-0000-000090820000}"/>
    <cellStyle name="Volumes_Data" xfId="32992" xr:uid="{00000000-0005-0000-0000-000091820000}"/>
    <cellStyle name="Währung 2" xfId="32993" xr:uid="{00000000-0005-0000-0000-000092820000}"/>
    <cellStyle name="Währung 2 2" xfId="32994" xr:uid="{00000000-0005-0000-0000-000093820000}"/>
    <cellStyle name="Währung 2 2 2" xfId="32995" xr:uid="{00000000-0005-0000-0000-000094820000}"/>
    <cellStyle name="Währung 2 2 2 2" xfId="32996" xr:uid="{00000000-0005-0000-0000-000095820000}"/>
    <cellStyle name="Währung 2 2 2 2 2" xfId="32997" xr:uid="{00000000-0005-0000-0000-000096820000}"/>
    <cellStyle name="Währung 2 2 2 2 3" xfId="32998" xr:uid="{00000000-0005-0000-0000-000097820000}"/>
    <cellStyle name="Währung 2 2 2 2 4" xfId="32999" xr:uid="{00000000-0005-0000-0000-000098820000}"/>
    <cellStyle name="Währung 2 2 2 3" xfId="33000" xr:uid="{00000000-0005-0000-0000-000099820000}"/>
    <cellStyle name="Währung 2 2 2 4" xfId="33001" xr:uid="{00000000-0005-0000-0000-00009A820000}"/>
    <cellStyle name="Währung 2 2 2 5" xfId="33002" xr:uid="{00000000-0005-0000-0000-00009B820000}"/>
    <cellStyle name="Währung 2 2 3" xfId="33003" xr:uid="{00000000-0005-0000-0000-00009C820000}"/>
    <cellStyle name="Währung 2 2 3 2" xfId="33004" xr:uid="{00000000-0005-0000-0000-00009D820000}"/>
    <cellStyle name="Währung 2 2 3 3" xfId="33005" xr:uid="{00000000-0005-0000-0000-00009E820000}"/>
    <cellStyle name="Währung 2 2 3 4" xfId="33006" xr:uid="{00000000-0005-0000-0000-00009F820000}"/>
    <cellStyle name="Währung 2 2 4" xfId="33007" xr:uid="{00000000-0005-0000-0000-0000A0820000}"/>
    <cellStyle name="Währung 2 2 5" xfId="33008" xr:uid="{00000000-0005-0000-0000-0000A1820000}"/>
    <cellStyle name="Währung 2 2 6" xfId="33009" xr:uid="{00000000-0005-0000-0000-0000A2820000}"/>
    <cellStyle name="Währung 2 2 7" xfId="33010" xr:uid="{00000000-0005-0000-0000-0000A3820000}"/>
    <cellStyle name="Währung 2 2 8" xfId="33011" xr:uid="{00000000-0005-0000-0000-0000A4820000}"/>
    <cellStyle name="Währung 2 3" xfId="33012" xr:uid="{00000000-0005-0000-0000-0000A5820000}"/>
    <cellStyle name="Währung 2 3 2" xfId="33013" xr:uid="{00000000-0005-0000-0000-0000A6820000}"/>
    <cellStyle name="Währung 2 3 3" xfId="33014" xr:uid="{00000000-0005-0000-0000-0000A7820000}"/>
    <cellStyle name="Währung 2 3 4" xfId="33015" xr:uid="{00000000-0005-0000-0000-0000A8820000}"/>
    <cellStyle name="Währung 2 4" xfId="33016" xr:uid="{00000000-0005-0000-0000-0000A9820000}"/>
    <cellStyle name="Währung 2 5" xfId="33017" xr:uid="{00000000-0005-0000-0000-0000AA820000}"/>
    <cellStyle name="Währung 2 6" xfId="33018" xr:uid="{00000000-0005-0000-0000-0000AB820000}"/>
    <cellStyle name="Währung 2 7" xfId="33019" xr:uid="{00000000-0005-0000-0000-0000AC820000}"/>
    <cellStyle name="Währung 2 8" xfId="33020" xr:uid="{00000000-0005-0000-0000-0000AD820000}"/>
    <cellStyle name="Währung 2 9" xfId="33506" xr:uid="{00000000-0005-0000-0000-0000AE820000}"/>
    <cellStyle name="Währung 3" xfId="33021" xr:uid="{00000000-0005-0000-0000-0000AF820000}"/>
    <cellStyle name="Währung 3 2" xfId="33022" xr:uid="{00000000-0005-0000-0000-0000B0820000}"/>
    <cellStyle name="Währung 3 3" xfId="33507" xr:uid="{00000000-0005-0000-0000-0000B1820000}"/>
    <cellStyle name="Währung 4" xfId="33023" xr:uid="{00000000-0005-0000-0000-0000B2820000}"/>
    <cellStyle name="Währung 5" xfId="33024" xr:uid="{00000000-0005-0000-0000-0000B3820000}"/>
    <cellStyle name="Währung 6" xfId="33025" xr:uid="{00000000-0005-0000-0000-0000B4820000}"/>
    <cellStyle name="Währung 7" xfId="33026" xr:uid="{00000000-0005-0000-0000-0000B5820000}"/>
    <cellStyle name="Walutowy [0]_Arkusz1" xfId="33027" xr:uid="{00000000-0005-0000-0000-0000B6820000}"/>
    <cellStyle name="Walutowy_Arkusz1" xfId="33028" xr:uid="{00000000-0005-0000-0000-0000B7820000}"/>
    <cellStyle name="Warnender Text 2" xfId="755" xr:uid="{00000000-0005-0000-0000-0000B8820000}"/>
    <cellStyle name="Warnender Text 2 2" xfId="756" xr:uid="{00000000-0005-0000-0000-0000B9820000}"/>
    <cellStyle name="Warnender Text 2 2 2" xfId="757" xr:uid="{00000000-0005-0000-0000-0000BA820000}"/>
    <cellStyle name="Warnender Text 2 3" xfId="758" xr:uid="{00000000-0005-0000-0000-0000BB820000}"/>
    <cellStyle name="Warnender Text 3" xfId="759" xr:uid="{00000000-0005-0000-0000-0000BC820000}"/>
    <cellStyle name="Warnender Text 3 2" xfId="33029" xr:uid="{00000000-0005-0000-0000-0000BD820000}"/>
    <cellStyle name="Warnender Text 3 3" xfId="33030" xr:uid="{00000000-0005-0000-0000-0000BE820000}"/>
    <cellStyle name="Warnender Text 3_Spotweld Crossreference Master" xfId="33031" xr:uid="{00000000-0005-0000-0000-0000BF820000}"/>
    <cellStyle name="Warnender Text 4" xfId="33032" xr:uid="{00000000-0005-0000-0000-0000C0820000}"/>
    <cellStyle name="Warnender Text 4 2" xfId="33033" xr:uid="{00000000-0005-0000-0000-0000C1820000}"/>
    <cellStyle name="Warnender Text 5" xfId="33034" xr:uid="{00000000-0005-0000-0000-0000C2820000}"/>
    <cellStyle name="Warning Text" xfId="33035" xr:uid="{00000000-0005-0000-0000-0000C3820000}"/>
    <cellStyle name="Warning Text 2" xfId="760" xr:uid="{00000000-0005-0000-0000-0000C4820000}"/>
    <cellStyle name="weekly" xfId="33036" xr:uid="{00000000-0005-0000-0000-0000C5820000}"/>
    <cellStyle name="Wingding" xfId="33037" xr:uid="{00000000-0005-0000-0000-0000C6820000}"/>
    <cellStyle name="Zelle überprüfen 2" xfId="762" xr:uid="{00000000-0005-0000-0000-0000C7820000}"/>
    <cellStyle name="Zelle überprüfen 2 2" xfId="33038" xr:uid="{00000000-0005-0000-0000-0000C8820000}"/>
    <cellStyle name="Zelle überprüfen 3" xfId="763" xr:uid="{00000000-0005-0000-0000-0000C9820000}"/>
    <cellStyle name="Zelle überprüfen 3 2" xfId="33039" xr:uid="{00000000-0005-0000-0000-0000CA820000}"/>
    <cellStyle name="Zelle überprüfen 3 3" xfId="33040" xr:uid="{00000000-0005-0000-0000-0000CB820000}"/>
    <cellStyle name="Zelle überprüfen 3_Spotweld Crossreference Master" xfId="33041" xr:uid="{00000000-0005-0000-0000-0000CC820000}"/>
    <cellStyle name="Zelle überprüfen 4" xfId="764" xr:uid="{00000000-0005-0000-0000-0000CD820000}"/>
    <cellStyle name="Zelle überprüfen 4 2" xfId="33042" xr:uid="{00000000-0005-0000-0000-0000CE820000}"/>
    <cellStyle name="Zelle überprüfen 5" xfId="33043" xr:uid="{00000000-0005-0000-0000-0000CF820000}"/>
    <cellStyle name="Zelle überprüfen 5 2" xfId="33044" xr:uid="{00000000-0005-0000-0000-0000D0820000}"/>
    <cellStyle name="Акцент1" xfId="765" xr:uid="{00000000-0005-0000-0000-0000D1820000}"/>
    <cellStyle name="Акцент2" xfId="766" xr:uid="{00000000-0005-0000-0000-0000D2820000}"/>
    <cellStyle name="Акцент3" xfId="767" xr:uid="{00000000-0005-0000-0000-0000D3820000}"/>
    <cellStyle name="Акцент4" xfId="768" xr:uid="{00000000-0005-0000-0000-0000D4820000}"/>
    <cellStyle name="Акцент5" xfId="769" xr:uid="{00000000-0005-0000-0000-0000D5820000}"/>
    <cellStyle name="Акцент6" xfId="770" xr:uid="{00000000-0005-0000-0000-0000D6820000}"/>
    <cellStyle name="Ввод " xfId="771" xr:uid="{00000000-0005-0000-0000-0000D7820000}"/>
    <cellStyle name="Вывод" xfId="772" xr:uid="{00000000-0005-0000-0000-0000D8820000}"/>
    <cellStyle name="Вычисление" xfId="773" xr:uid="{00000000-0005-0000-0000-0000D9820000}"/>
    <cellStyle name="Заголовок 1" xfId="774" xr:uid="{00000000-0005-0000-0000-0000DA820000}"/>
    <cellStyle name="Заголовок 2" xfId="775" xr:uid="{00000000-0005-0000-0000-0000DB820000}"/>
    <cellStyle name="Заголовок 3" xfId="776" xr:uid="{00000000-0005-0000-0000-0000DC820000}"/>
    <cellStyle name="Заголовок 4" xfId="777" xr:uid="{00000000-0005-0000-0000-0000DD820000}"/>
    <cellStyle name="Итог" xfId="778" xr:uid="{00000000-0005-0000-0000-0000DE820000}"/>
    <cellStyle name="Контрольная ячейка" xfId="779" xr:uid="{00000000-0005-0000-0000-0000DF820000}"/>
    <cellStyle name="Название" xfId="780" xr:uid="{00000000-0005-0000-0000-0000E0820000}"/>
    <cellStyle name="Нейтральный" xfId="781" xr:uid="{00000000-0005-0000-0000-0000E1820000}"/>
    <cellStyle name="Плохой" xfId="782" xr:uid="{00000000-0005-0000-0000-0000E2820000}"/>
    <cellStyle name="Пояснение" xfId="783" xr:uid="{00000000-0005-0000-0000-0000E3820000}"/>
    <cellStyle name="Примечание" xfId="784" xr:uid="{00000000-0005-0000-0000-0000E4820000}"/>
    <cellStyle name="Примечание 2" xfId="785" xr:uid="{00000000-0005-0000-0000-0000E5820000}"/>
    <cellStyle name="Связанная ячейка" xfId="786" xr:uid="{00000000-0005-0000-0000-0000E6820000}"/>
    <cellStyle name="Текст предупреждения" xfId="787" xr:uid="{00000000-0005-0000-0000-0000E7820000}"/>
    <cellStyle name="Хороший" xfId="788" xr:uid="{00000000-0005-0000-0000-0000E8820000}"/>
    <cellStyle name="표준_I.E. G-9" xfId="33045" xr:uid="{00000000-0005-0000-0000-0000E9820000}"/>
    <cellStyle name="標準_00MYDOM07" xfId="33046" xr:uid="{00000000-0005-0000-0000-0000EA820000}"/>
  </cellStyles>
  <dxfs count="203">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ont>
        <color theme="0"/>
      </font>
      <fill>
        <patternFill patternType="none">
          <bgColor auto="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C000"/>
        </patternFill>
      </fill>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FF0000"/>
        </patternFill>
      </fill>
    </dxf>
    <dxf>
      <fill>
        <patternFill>
          <bgColor rgb="FFFF0000"/>
        </patternFill>
      </fill>
    </dxf>
    <dxf>
      <font>
        <color theme="0" tint="-4.9989318521683403E-2"/>
      </font>
    </dxf>
    <dxf>
      <font>
        <color theme="0"/>
      </font>
      <fill>
        <patternFill patternType="none">
          <bgColor auto="1"/>
        </patternFill>
      </fill>
    </dxf>
    <dxf>
      <font>
        <color theme="0"/>
      </font>
      <fill>
        <patternFill patternType="none">
          <bgColor auto="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FF0000"/>
        </patternFill>
      </fill>
    </dxf>
    <dxf>
      <font>
        <b/>
        <i val="0"/>
        <condense val="0"/>
        <extend val="0"/>
      </font>
      <fill>
        <patternFill>
          <bgColor indexed="10"/>
        </patternFill>
      </fill>
    </dxf>
    <dxf>
      <font>
        <b/>
        <i val="0"/>
        <condense val="0"/>
        <extend val="0"/>
        <color indexed="8"/>
      </font>
      <fill>
        <patternFill>
          <bgColor indexed="11"/>
        </patternFill>
      </fill>
    </dxf>
    <dxf>
      <fill>
        <patternFill>
          <bgColor rgb="FFFF0000"/>
        </patternFill>
      </fill>
    </dxf>
    <dxf>
      <font>
        <b/>
        <i val="0"/>
        <condense val="0"/>
        <extend val="0"/>
      </font>
      <fill>
        <patternFill>
          <bgColor indexed="10"/>
        </patternFill>
      </fill>
    </dxf>
    <dxf>
      <font>
        <b/>
        <i val="0"/>
        <condense val="0"/>
        <extend val="0"/>
        <color indexed="8"/>
      </font>
      <fill>
        <patternFill>
          <bgColor indexed="11"/>
        </patternFill>
      </fill>
    </dxf>
    <dxf>
      <font>
        <b/>
        <i val="0"/>
        <condense val="0"/>
        <extend val="0"/>
      </font>
      <fill>
        <patternFill>
          <bgColor indexed="10"/>
        </patternFill>
      </fill>
    </dxf>
    <dxf>
      <font>
        <b/>
        <i val="0"/>
        <condense val="0"/>
        <extend val="0"/>
        <color indexed="8"/>
      </font>
      <fill>
        <patternFill>
          <bgColor indexed="1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FF00"/>
        </patternFill>
      </fill>
    </dxf>
    <dxf>
      <fill>
        <patternFill>
          <bgColor rgb="FFFF0000"/>
        </patternFill>
      </fill>
    </dxf>
    <dxf>
      <font>
        <b/>
        <i val="0"/>
        <condense val="0"/>
        <extend val="0"/>
      </font>
      <fill>
        <patternFill>
          <bgColor indexed="10"/>
        </patternFill>
      </fill>
    </dxf>
    <dxf>
      <font>
        <b/>
        <i val="0"/>
        <condense val="0"/>
        <extend val="0"/>
        <color indexed="8"/>
      </font>
      <fill>
        <patternFill>
          <bgColor indexed="1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00FF00"/>
        </patternFill>
      </fill>
    </dxf>
    <dxf>
      <fill>
        <patternFill>
          <bgColor rgb="FFFF0000"/>
        </patternFill>
      </fill>
    </dxf>
    <dxf>
      <fill>
        <patternFill>
          <bgColor rgb="FFFF0000"/>
        </patternFill>
      </fill>
    </dxf>
    <dxf>
      <font>
        <color theme="6" tint="0.39994506668294322"/>
      </font>
    </dxf>
    <dxf>
      <fill>
        <patternFill>
          <bgColor rgb="FFFFC000"/>
        </patternFill>
      </fill>
    </dxf>
    <dxf>
      <fill>
        <patternFill>
          <bgColor rgb="FFFFC000"/>
        </patternFill>
      </fill>
    </dxf>
    <dxf>
      <fill>
        <patternFill>
          <bgColor rgb="FFFFC000"/>
        </patternFill>
      </fill>
    </dxf>
    <dxf>
      <fill>
        <patternFill>
          <bgColor rgb="FFFFC000"/>
        </patternFill>
      </fill>
    </dxf>
    <dxf>
      <fill>
        <patternFill patternType="solid">
          <bgColor rgb="FF00FF00"/>
        </patternFill>
      </fill>
    </dxf>
    <dxf>
      <fill>
        <patternFill>
          <fgColor rgb="FF66FF33"/>
          <bgColor rgb="FFFFC000"/>
        </patternFill>
      </fill>
    </dxf>
    <dxf>
      <font>
        <b/>
        <i val="0"/>
        <condense val="0"/>
        <extend val="0"/>
      </font>
      <fill>
        <patternFill>
          <bgColor indexed="10"/>
        </patternFill>
      </fill>
    </dxf>
    <dxf>
      <font>
        <b/>
        <i val="0"/>
        <condense val="0"/>
        <extend val="0"/>
        <color indexed="8"/>
      </font>
      <fill>
        <patternFill>
          <bgColor indexed="11"/>
        </patternFill>
      </fill>
    </dxf>
    <dxf>
      <font>
        <b/>
        <i val="0"/>
        <condense val="0"/>
        <extend val="0"/>
      </font>
      <fill>
        <patternFill>
          <bgColor indexed="10"/>
        </patternFill>
      </fill>
    </dxf>
    <dxf>
      <font>
        <b/>
        <i val="0"/>
        <condense val="0"/>
        <extend val="0"/>
        <color indexed="8"/>
      </font>
      <fill>
        <patternFill>
          <bgColor indexed="11"/>
        </patternFill>
      </fill>
    </dxf>
    <dxf>
      <fill>
        <patternFill>
          <bgColor rgb="FFFF0000"/>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mruColors>
      <color rgb="FF00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microsoft.com/office/2006/relationships/vbaProject" Target="vbaProject.bin"/><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xdr:from>
      <xdr:col>36</xdr:col>
      <xdr:colOff>228600</xdr:colOff>
      <xdr:row>56</xdr:row>
      <xdr:rowOff>104775</xdr:rowOff>
    </xdr:from>
    <xdr:to>
      <xdr:col>36</xdr:col>
      <xdr:colOff>466725</xdr:colOff>
      <xdr:row>56</xdr:row>
      <xdr:rowOff>104775</xdr:rowOff>
    </xdr:to>
    <xdr:sp macro="" textlink="">
      <xdr:nvSpPr>
        <xdr:cNvPr id="1899" name="Line 12">
          <a:extLst>
            <a:ext uri="{FF2B5EF4-FFF2-40B4-BE49-F238E27FC236}">
              <a16:creationId xmlns:a16="http://schemas.microsoft.com/office/drawing/2014/main" id="{00000000-0008-0000-0000-00006B070000}"/>
            </a:ext>
          </a:extLst>
        </xdr:cNvPr>
        <xdr:cNvSpPr>
          <a:spLocks noChangeShapeType="1"/>
        </xdr:cNvSpPr>
      </xdr:nvSpPr>
      <xdr:spPr bwMode="auto">
        <a:xfrm>
          <a:off x="17278350" y="12363450"/>
          <a:ext cx="238125" cy="0"/>
        </a:xfrm>
        <a:prstGeom prst="line">
          <a:avLst/>
        </a:prstGeom>
        <a:noFill/>
        <a:ln w="9525">
          <a:solidFill>
            <a:srgbClr val="000000"/>
          </a:solidFill>
          <a:round/>
          <a:headEnd/>
          <a:tailEnd type="triangle" w="sm" len="med"/>
        </a:ln>
        <a:extLst>
          <a:ext uri="{909E8E84-426E-40DD-AFC4-6F175D3DCCD1}">
            <a14:hiddenFill xmlns:a14="http://schemas.microsoft.com/office/drawing/2010/main">
              <a:noFill/>
            </a14:hiddenFill>
          </a:ext>
        </a:extLst>
      </xdr:spPr>
    </xdr:sp>
    <xdr:clientData/>
  </xdr:twoCellAnchor>
  <xdr:twoCellAnchor>
    <xdr:from>
      <xdr:col>36</xdr:col>
      <xdr:colOff>228600</xdr:colOff>
      <xdr:row>56</xdr:row>
      <xdr:rowOff>104775</xdr:rowOff>
    </xdr:from>
    <xdr:to>
      <xdr:col>36</xdr:col>
      <xdr:colOff>466725</xdr:colOff>
      <xdr:row>56</xdr:row>
      <xdr:rowOff>104775</xdr:rowOff>
    </xdr:to>
    <xdr:sp macro="" textlink="">
      <xdr:nvSpPr>
        <xdr:cNvPr id="1900" name="Line 29">
          <a:extLst>
            <a:ext uri="{FF2B5EF4-FFF2-40B4-BE49-F238E27FC236}">
              <a16:creationId xmlns:a16="http://schemas.microsoft.com/office/drawing/2014/main" id="{00000000-0008-0000-0000-00006C070000}"/>
            </a:ext>
          </a:extLst>
        </xdr:cNvPr>
        <xdr:cNvSpPr>
          <a:spLocks noChangeShapeType="1"/>
        </xdr:cNvSpPr>
      </xdr:nvSpPr>
      <xdr:spPr bwMode="auto">
        <a:xfrm>
          <a:off x="17278350" y="12363450"/>
          <a:ext cx="238125" cy="0"/>
        </a:xfrm>
        <a:prstGeom prst="line">
          <a:avLst/>
        </a:prstGeom>
        <a:noFill/>
        <a:ln w="9525">
          <a:solidFill>
            <a:srgbClr val="000000"/>
          </a:solidFill>
          <a:round/>
          <a:headEnd/>
          <a:tailEnd type="triangle" w="sm" len="med"/>
        </a:ln>
        <a:extLst>
          <a:ext uri="{909E8E84-426E-40DD-AFC4-6F175D3DCCD1}">
            <a14:hiddenFill xmlns:a14="http://schemas.microsoft.com/office/drawing/2010/main">
              <a:noFill/>
            </a14:hiddenFill>
          </a:ext>
        </a:extLst>
      </xdr:spPr>
    </xdr:sp>
    <xdr:clientData/>
  </xdr:twoCellAnchor>
  <xdr:twoCellAnchor editAs="oneCell">
    <xdr:from>
      <xdr:col>1</xdr:col>
      <xdr:colOff>149679</xdr:colOff>
      <xdr:row>55</xdr:row>
      <xdr:rowOff>190498</xdr:rowOff>
    </xdr:from>
    <xdr:to>
      <xdr:col>5</xdr:col>
      <xdr:colOff>516310</xdr:colOff>
      <xdr:row>58</xdr:row>
      <xdr:rowOff>40821</xdr:rowOff>
    </xdr:to>
    <xdr:pic>
      <xdr:nvPicPr>
        <xdr:cNvPr id="5" name="Bild 18" descr="Logo-VOLKSWAGEN-AKTIIEN">
          <a:extLst>
            <a:ext uri="{FF2B5EF4-FFF2-40B4-BE49-F238E27FC236}">
              <a16:creationId xmlns:a16="http://schemas.microsoft.com/office/drawing/2014/main" id="{00000000-0008-0000-00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7072" y="12151177"/>
          <a:ext cx="2176381" cy="51707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39</xdr:col>
      <xdr:colOff>190500</xdr:colOff>
      <xdr:row>40</xdr:row>
      <xdr:rowOff>142875</xdr:rowOff>
    </xdr:from>
    <xdr:to>
      <xdr:col>39</xdr:col>
      <xdr:colOff>447675</xdr:colOff>
      <xdr:row>40</xdr:row>
      <xdr:rowOff>142875</xdr:rowOff>
    </xdr:to>
    <xdr:sp macro="" textlink="">
      <xdr:nvSpPr>
        <xdr:cNvPr id="2" name="Line 7">
          <a:extLst>
            <a:ext uri="{FF2B5EF4-FFF2-40B4-BE49-F238E27FC236}">
              <a16:creationId xmlns:a16="http://schemas.microsoft.com/office/drawing/2014/main" id="{00000000-0008-0000-0100-000002000000}"/>
            </a:ext>
          </a:extLst>
        </xdr:cNvPr>
        <xdr:cNvSpPr>
          <a:spLocks noChangeShapeType="1"/>
        </xdr:cNvSpPr>
      </xdr:nvSpPr>
      <xdr:spPr bwMode="auto">
        <a:xfrm>
          <a:off x="40166925" y="25012650"/>
          <a:ext cx="257175" cy="0"/>
        </a:xfrm>
        <a:prstGeom prst="line">
          <a:avLst/>
        </a:prstGeom>
        <a:noFill/>
        <a:ln w="9525">
          <a:solidFill>
            <a:srgbClr val="000000"/>
          </a:solidFill>
          <a:round/>
          <a:headEnd/>
          <a:tailEnd type="triangle" w="sm" len="med"/>
        </a:ln>
        <a:extLst>
          <a:ext uri="{909E8E84-426E-40DD-AFC4-6F175D3DCCD1}">
            <a14:hiddenFill xmlns:a14="http://schemas.microsoft.com/office/drawing/2010/main">
              <a:noFill/>
            </a14:hiddenFill>
          </a:ext>
        </a:extLst>
      </xdr:spPr>
    </xdr:sp>
    <xdr:clientData/>
  </xdr:twoCellAnchor>
  <xdr:twoCellAnchor>
    <xdr:from>
      <xdr:col>33</xdr:col>
      <xdr:colOff>0</xdr:colOff>
      <xdr:row>42</xdr:row>
      <xdr:rowOff>0</xdr:rowOff>
    </xdr:from>
    <xdr:to>
      <xdr:col>33</xdr:col>
      <xdr:colOff>0</xdr:colOff>
      <xdr:row>42</xdr:row>
      <xdr:rowOff>0</xdr:rowOff>
    </xdr:to>
    <xdr:sp macro="" textlink="">
      <xdr:nvSpPr>
        <xdr:cNvPr id="3" name="Oval 8">
          <a:extLst>
            <a:ext uri="{FF2B5EF4-FFF2-40B4-BE49-F238E27FC236}">
              <a16:creationId xmlns:a16="http://schemas.microsoft.com/office/drawing/2014/main" id="{00000000-0008-0000-0100-000003000000}"/>
            </a:ext>
          </a:extLst>
        </xdr:cNvPr>
        <xdr:cNvSpPr>
          <a:spLocks noChangeArrowheads="1"/>
        </xdr:cNvSpPr>
      </xdr:nvSpPr>
      <xdr:spPr bwMode="auto">
        <a:xfrm>
          <a:off x="34813875" y="25631775"/>
          <a:ext cx="0" cy="0"/>
        </a:xfrm>
        <a:prstGeom prst="ellipse">
          <a:avLst/>
        </a:pr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mc:AlternateContent xmlns:mc="http://schemas.openxmlformats.org/markup-compatibility/2006">
    <mc:Choice xmlns:a14="http://schemas.microsoft.com/office/drawing/2010/main" Requires="a14">
      <xdr:twoCellAnchor>
        <xdr:from>
          <xdr:col>0</xdr:col>
          <xdr:colOff>22860</xdr:colOff>
          <xdr:row>0</xdr:row>
          <xdr:rowOff>7620</xdr:rowOff>
        </xdr:from>
        <xdr:to>
          <xdr:col>0</xdr:col>
          <xdr:colOff>22860</xdr:colOff>
          <xdr:row>0</xdr:row>
          <xdr:rowOff>7620</xdr:rowOff>
        </xdr:to>
        <xdr:sp macro="" textlink="">
          <xdr:nvSpPr>
            <xdr:cNvPr id="120833" name="Object 1" hidden="1">
              <a:extLst>
                <a:ext uri="{63B3BB69-23CF-44E3-9099-C40C66FF867C}">
                  <a14:compatExt spid="_x0000_s120833"/>
                </a:ext>
                <a:ext uri="{FF2B5EF4-FFF2-40B4-BE49-F238E27FC236}">
                  <a16:creationId xmlns:a16="http://schemas.microsoft.com/office/drawing/2014/main" id="{00000000-0008-0000-0100-000001D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2</xdr:col>
      <xdr:colOff>516082</xdr:colOff>
      <xdr:row>38</xdr:row>
      <xdr:rowOff>348963</xdr:rowOff>
    </xdr:from>
    <xdr:to>
      <xdr:col>5</xdr:col>
      <xdr:colOff>1391488</xdr:colOff>
      <xdr:row>42</xdr:row>
      <xdr:rowOff>289388</xdr:rowOff>
    </xdr:to>
    <xdr:pic>
      <xdr:nvPicPr>
        <xdr:cNvPr id="5" name="Bild 18" descr="Logo-VOLKSWAGEN-AKTIIEN">
          <a:extLst>
            <a:ext uri="{FF2B5EF4-FFF2-40B4-BE49-F238E27FC236}">
              <a16:creationId xmlns:a16="http://schemas.microsoft.com/office/drawing/2014/main" id="{00000000-0008-0000-01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839932" y="24456738"/>
          <a:ext cx="6203691" cy="147204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Larissa-Design">
  <a:themeElements>
    <a:clrScheme name="Larissa">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Larissa">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Larissa">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noFill/>
        <a:ln w="9525" cap="flat" cmpd="sng" algn="ctr">
          <a:noFill/>
          <a:prstDash val="solid"/>
          <a:round/>
          <a:headEnd type="none" w="med" len="med"/>
          <a:tailEnd type="none" w="med" len="med"/>
        </a:ln>
        <a:effectLst/>
      </a:spPr>
      <a:bodyPr vertOverflow="clip" wrap="square" lIns="91440" tIns="45720" rIns="91440" bIns="45720" upright="1"/>
      <a:lstStyle/>
    </a:spDef>
    <a:lnDef>
      <a:spPr bwMode="auto">
        <a:xfrm>
          <a:off x="0" y="0"/>
          <a:ext cx="1" cy="1"/>
        </a:xfrm>
        <a:custGeom>
          <a:avLst/>
          <a:gdLst/>
          <a:ahLst/>
          <a:cxnLst/>
          <a:rect l="0" t="0" r="0" b="0"/>
          <a:pathLst/>
        </a:custGeom>
        <a:noFill/>
        <a:ln w="9525" cap="flat" cmpd="sng" algn="ctr">
          <a:noFill/>
          <a:prstDash val="solid"/>
          <a:round/>
          <a:headEnd type="none" w="med" len="med"/>
          <a:tailEnd type="none" w="med" len="med"/>
        </a:ln>
        <a:effectLst/>
      </a:spPr>
      <a:bodyPr vertOverflow="clip" wrap="square" lIns="91440" tIns="45720" rIns="91440" bIns="4572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7" Type="http://schemas.openxmlformats.org/officeDocument/2006/relationships/comments" Target="../comments2.xml"/><Relationship Id="rId2" Type="http://schemas.openxmlformats.org/officeDocument/2006/relationships/printerSettings" Target="../printerSettings/printerSettings2.bin"/><Relationship Id="rId1" Type="http://schemas.openxmlformats.org/officeDocument/2006/relationships/hyperlink" Target="mailto:Thomas.Noack@Volkswagen.de" TargetMode="External"/><Relationship Id="rId6" Type="http://schemas.openxmlformats.org/officeDocument/2006/relationships/image" Target="../media/image2.emf"/><Relationship Id="rId5" Type="http://schemas.openxmlformats.org/officeDocument/2006/relationships/oleObject" Target="../embeddings/oleObject1.bin"/><Relationship Id="rId4"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1">
    <pageSetUpPr fitToPage="1"/>
  </sheetPr>
  <dimension ref="A1:AM70"/>
  <sheetViews>
    <sheetView showGridLines="0" tabSelected="1" zoomScale="70" zoomScaleNormal="70" zoomScaleSheetLayoutView="85" workbookViewId="0">
      <selection activeCell="M26" sqref="M26:AJ26"/>
    </sheetView>
  </sheetViews>
  <sheetFormatPr defaultColWidth="11.44140625" defaultRowHeight="17.25" customHeight="1"/>
  <cols>
    <col min="1" max="1" width="5.44140625" style="3" customWidth="1"/>
    <col min="2" max="2" width="7.6640625" style="2" customWidth="1"/>
    <col min="3" max="3" width="5.6640625" style="2" customWidth="1"/>
    <col min="4" max="4" width="13.6640625" customWidth="1"/>
    <col min="5" max="5" width="6.6640625" hidden="1" customWidth="1"/>
    <col min="6" max="6" width="9.6640625" customWidth="1"/>
    <col min="7" max="7" width="5.6640625" hidden="1" customWidth="1"/>
    <col min="8" max="8" width="3.6640625" customWidth="1"/>
    <col min="9" max="9" width="9.6640625" customWidth="1"/>
    <col min="10" max="10" width="13.109375" customWidth="1"/>
    <col min="11" max="12" width="5.33203125" customWidth="1"/>
    <col min="13" max="13" width="6.5546875" customWidth="1"/>
    <col min="14" max="14" width="7.33203125" customWidth="1"/>
    <col min="15" max="15" width="6.5546875" customWidth="1"/>
    <col min="16" max="18" width="5.6640625" customWidth="1"/>
    <col min="19" max="19" width="9.109375" customWidth="1"/>
    <col min="20" max="20" width="10" customWidth="1"/>
    <col min="21" max="22" width="7.6640625" customWidth="1"/>
    <col min="23" max="23" width="7.6640625" hidden="1" customWidth="1"/>
    <col min="24" max="26" width="7.6640625" customWidth="1"/>
    <col min="27" max="27" width="5.6640625" customWidth="1"/>
    <col min="28" max="28" width="12.6640625" customWidth="1"/>
    <col min="29" max="31" width="5.6640625" hidden="1" customWidth="1"/>
    <col min="32" max="32" width="20.33203125" customWidth="1"/>
    <col min="33" max="33" width="20.6640625" customWidth="1"/>
    <col min="34" max="34" width="6.6640625" style="1" customWidth="1"/>
    <col min="35" max="35" width="4.5546875" customWidth="1"/>
    <col min="36" max="36" width="10.33203125" customWidth="1"/>
    <col min="37" max="37" width="9.5546875" customWidth="1"/>
    <col min="38" max="38" width="4.109375" hidden="1" customWidth="1"/>
    <col min="39" max="39" width="3.88671875" customWidth="1"/>
  </cols>
  <sheetData>
    <row r="1" spans="1:39" ht="17.25" customHeight="1">
      <c r="A1" s="486"/>
      <c r="B1" s="170"/>
      <c r="C1" s="143"/>
      <c r="D1" s="142"/>
      <c r="E1" s="142"/>
      <c r="F1" s="142"/>
      <c r="G1" s="142"/>
      <c r="H1" s="142"/>
      <c r="I1" s="142"/>
      <c r="J1" s="142"/>
      <c r="K1" s="142"/>
      <c r="L1" s="142"/>
      <c r="M1" s="142"/>
      <c r="N1" s="142"/>
      <c r="O1" s="142"/>
      <c r="P1" s="142"/>
      <c r="Q1" s="142"/>
      <c r="R1" s="142"/>
      <c r="S1" s="142"/>
      <c r="T1" s="142"/>
      <c r="U1" s="142"/>
      <c r="V1" s="142"/>
      <c r="W1" s="142"/>
      <c r="X1" s="142"/>
      <c r="Y1" s="142"/>
      <c r="Z1" s="142"/>
      <c r="AA1" s="142"/>
      <c r="AB1" s="142"/>
      <c r="AC1" s="142"/>
      <c r="AD1" s="142"/>
      <c r="AE1" s="142"/>
      <c r="AF1" s="142"/>
      <c r="AG1" s="142"/>
      <c r="AH1" s="177"/>
      <c r="AI1" s="177"/>
      <c r="AJ1" s="177"/>
      <c r="AK1" s="178"/>
      <c r="AL1" s="178"/>
      <c r="AM1" s="185"/>
    </row>
    <row r="2" spans="1:39" ht="17.25" customHeight="1">
      <c r="A2" s="487"/>
      <c r="B2" s="171"/>
      <c r="C2" s="186" t="s">
        <v>25</v>
      </c>
      <c r="D2" s="186" t="s">
        <v>26</v>
      </c>
      <c r="E2" s="187"/>
      <c r="F2" s="497" t="s">
        <v>27</v>
      </c>
      <c r="G2" s="498"/>
      <c r="H2" s="499"/>
      <c r="I2" s="188" t="s">
        <v>28</v>
      </c>
      <c r="J2" s="189" t="s">
        <v>29</v>
      </c>
      <c r="K2" s="187"/>
      <c r="L2" s="190"/>
      <c r="M2" s="494" t="s">
        <v>30</v>
      </c>
      <c r="N2" s="495"/>
      <c r="O2" s="495"/>
      <c r="P2" s="495"/>
      <c r="Q2" s="495"/>
      <c r="R2" s="495"/>
      <c r="S2" s="495"/>
      <c r="T2" s="495"/>
      <c r="U2" s="495"/>
      <c r="V2" s="495"/>
      <c r="W2" s="495"/>
      <c r="X2" s="495"/>
      <c r="Y2" s="495"/>
      <c r="Z2" s="495"/>
      <c r="AA2" s="495"/>
      <c r="AB2" s="495"/>
      <c r="AC2" s="495"/>
      <c r="AD2" s="495"/>
      <c r="AE2" s="495"/>
      <c r="AF2" s="495"/>
      <c r="AG2" s="495"/>
      <c r="AH2" s="495"/>
      <c r="AI2" s="495"/>
      <c r="AJ2" s="496"/>
      <c r="AK2" s="179"/>
      <c r="AL2" s="179"/>
      <c r="AM2" s="185"/>
    </row>
    <row r="3" spans="1:39" ht="17.25" customHeight="1">
      <c r="A3" s="487"/>
      <c r="B3" s="171"/>
      <c r="C3" s="250">
        <v>0</v>
      </c>
      <c r="D3" s="249" t="s">
        <v>1679</v>
      </c>
      <c r="E3" s="200"/>
      <c r="F3" s="469">
        <v>45014</v>
      </c>
      <c r="G3" s="470"/>
      <c r="H3" s="471"/>
      <c r="I3" s="279" t="s">
        <v>1641</v>
      </c>
      <c r="J3" s="201"/>
      <c r="K3" s="202"/>
      <c r="L3" s="201"/>
      <c r="M3" s="410" t="s">
        <v>1642</v>
      </c>
      <c r="N3" s="411"/>
      <c r="O3" s="411"/>
      <c r="P3" s="411"/>
      <c r="Q3" s="411"/>
      <c r="R3" s="411"/>
      <c r="S3" s="411"/>
      <c r="T3" s="411"/>
      <c r="U3" s="411"/>
      <c r="V3" s="411"/>
      <c r="W3" s="411"/>
      <c r="X3" s="411"/>
      <c r="Y3" s="411"/>
      <c r="Z3" s="411"/>
      <c r="AA3" s="411"/>
      <c r="AB3" s="411"/>
      <c r="AC3" s="411"/>
      <c r="AD3" s="411"/>
      <c r="AE3" s="411"/>
      <c r="AF3" s="411"/>
      <c r="AG3" s="411"/>
      <c r="AH3" s="411"/>
      <c r="AI3" s="411"/>
      <c r="AJ3" s="412"/>
      <c r="AK3" s="179"/>
      <c r="AL3" s="179"/>
      <c r="AM3" s="185"/>
    </row>
    <row r="4" spans="1:39" ht="17.25" customHeight="1">
      <c r="A4" s="487"/>
      <c r="B4" s="171"/>
      <c r="C4" s="249"/>
      <c r="D4" s="249"/>
      <c r="E4" s="202"/>
      <c r="F4" s="472"/>
      <c r="G4" s="473"/>
      <c r="H4" s="474"/>
      <c r="I4" s="279"/>
      <c r="J4" s="201"/>
      <c r="K4" s="202"/>
      <c r="L4" s="201"/>
      <c r="M4" s="407"/>
      <c r="N4" s="408"/>
      <c r="O4" s="408"/>
      <c r="P4" s="408"/>
      <c r="Q4" s="408"/>
      <c r="R4" s="408"/>
      <c r="S4" s="408"/>
      <c r="T4" s="408"/>
      <c r="U4" s="408"/>
      <c r="V4" s="408"/>
      <c r="W4" s="408"/>
      <c r="X4" s="408"/>
      <c r="Y4" s="408"/>
      <c r="Z4" s="408"/>
      <c r="AA4" s="408"/>
      <c r="AB4" s="408"/>
      <c r="AC4" s="408"/>
      <c r="AD4" s="408"/>
      <c r="AE4" s="408"/>
      <c r="AF4" s="408"/>
      <c r="AG4" s="408"/>
      <c r="AH4" s="408"/>
      <c r="AI4" s="408"/>
      <c r="AJ4" s="409"/>
      <c r="AK4" s="180"/>
      <c r="AL4" s="180"/>
      <c r="AM4" s="185"/>
    </row>
    <row r="5" spans="1:39" ht="17.25" customHeight="1">
      <c r="A5" s="487"/>
      <c r="B5" s="171"/>
      <c r="C5" s="249"/>
      <c r="D5" s="249"/>
      <c r="E5" s="203"/>
      <c r="F5" s="472"/>
      <c r="G5" s="473"/>
      <c r="H5" s="474"/>
      <c r="I5" s="280"/>
      <c r="J5" s="204"/>
      <c r="K5" s="205"/>
      <c r="L5" s="206"/>
      <c r="M5" s="407"/>
      <c r="N5" s="408"/>
      <c r="O5" s="408"/>
      <c r="P5" s="408"/>
      <c r="Q5" s="408"/>
      <c r="R5" s="408"/>
      <c r="S5" s="408"/>
      <c r="T5" s="408"/>
      <c r="U5" s="408"/>
      <c r="V5" s="408"/>
      <c r="W5" s="408"/>
      <c r="X5" s="408"/>
      <c r="Y5" s="408"/>
      <c r="Z5" s="408"/>
      <c r="AA5" s="408"/>
      <c r="AB5" s="408"/>
      <c r="AC5" s="408"/>
      <c r="AD5" s="408"/>
      <c r="AE5" s="408"/>
      <c r="AF5" s="408"/>
      <c r="AG5" s="408"/>
      <c r="AH5" s="408"/>
      <c r="AI5" s="408"/>
      <c r="AJ5" s="409"/>
      <c r="AK5" s="191"/>
      <c r="AL5" s="149"/>
      <c r="AM5" s="185"/>
    </row>
    <row r="6" spans="1:39" ht="17.25" customHeight="1">
      <c r="A6" s="487"/>
      <c r="B6" s="171"/>
      <c r="C6" s="249"/>
      <c r="D6" s="249"/>
      <c r="E6" s="203"/>
      <c r="F6" s="472"/>
      <c r="G6" s="473"/>
      <c r="H6" s="474"/>
      <c r="I6" s="280"/>
      <c r="J6" s="204"/>
      <c r="K6" s="205"/>
      <c r="L6" s="206"/>
      <c r="M6" s="407"/>
      <c r="N6" s="408"/>
      <c r="O6" s="408"/>
      <c r="P6" s="408"/>
      <c r="Q6" s="408"/>
      <c r="R6" s="408"/>
      <c r="S6" s="408"/>
      <c r="T6" s="408"/>
      <c r="U6" s="408"/>
      <c r="V6" s="408"/>
      <c r="W6" s="408"/>
      <c r="X6" s="408"/>
      <c r="Y6" s="408"/>
      <c r="Z6" s="408"/>
      <c r="AA6" s="408"/>
      <c r="AB6" s="408"/>
      <c r="AC6" s="408"/>
      <c r="AD6" s="408"/>
      <c r="AE6" s="408"/>
      <c r="AF6" s="408"/>
      <c r="AG6" s="408"/>
      <c r="AH6" s="408"/>
      <c r="AI6" s="408"/>
      <c r="AJ6" s="409"/>
      <c r="AK6" s="149"/>
      <c r="AL6" s="149"/>
      <c r="AM6" s="185"/>
    </row>
    <row r="7" spans="1:39" ht="17.25" customHeight="1">
      <c r="A7" s="487"/>
      <c r="B7" s="171"/>
      <c r="C7" s="249"/>
      <c r="D7" s="207"/>
      <c r="E7" s="208"/>
      <c r="F7" s="475"/>
      <c r="G7" s="476"/>
      <c r="H7" s="477"/>
      <c r="I7" s="281"/>
      <c r="J7" s="209"/>
      <c r="K7" s="210"/>
      <c r="L7" s="211"/>
      <c r="M7" s="410"/>
      <c r="N7" s="411"/>
      <c r="O7" s="411"/>
      <c r="P7" s="411"/>
      <c r="Q7" s="411"/>
      <c r="R7" s="411"/>
      <c r="S7" s="411"/>
      <c r="T7" s="411"/>
      <c r="U7" s="411"/>
      <c r="V7" s="411"/>
      <c r="W7" s="411"/>
      <c r="X7" s="411"/>
      <c r="Y7" s="411"/>
      <c r="Z7" s="411"/>
      <c r="AA7" s="411"/>
      <c r="AB7" s="411"/>
      <c r="AC7" s="411"/>
      <c r="AD7" s="411"/>
      <c r="AE7" s="411"/>
      <c r="AF7" s="411"/>
      <c r="AG7" s="411"/>
      <c r="AH7" s="411"/>
      <c r="AI7" s="411"/>
      <c r="AJ7" s="412"/>
      <c r="AK7" s="149"/>
      <c r="AL7" s="149"/>
      <c r="AM7" s="185"/>
    </row>
    <row r="8" spans="1:39" ht="17.25" customHeight="1">
      <c r="A8" s="487"/>
      <c r="B8" s="171"/>
      <c r="C8" s="249"/>
      <c r="D8" s="207"/>
      <c r="E8" s="208"/>
      <c r="F8" s="475"/>
      <c r="G8" s="476"/>
      <c r="H8" s="477"/>
      <c r="I8" s="280"/>
      <c r="J8" s="209"/>
      <c r="K8" s="210"/>
      <c r="L8" s="211"/>
      <c r="M8" s="410"/>
      <c r="N8" s="411"/>
      <c r="O8" s="411"/>
      <c r="P8" s="411"/>
      <c r="Q8" s="411"/>
      <c r="R8" s="411"/>
      <c r="S8" s="411"/>
      <c r="T8" s="411"/>
      <c r="U8" s="411"/>
      <c r="V8" s="411"/>
      <c r="W8" s="411"/>
      <c r="X8" s="411"/>
      <c r="Y8" s="411"/>
      <c r="Z8" s="411"/>
      <c r="AA8" s="411"/>
      <c r="AB8" s="411"/>
      <c r="AC8" s="411"/>
      <c r="AD8" s="411"/>
      <c r="AE8" s="411"/>
      <c r="AF8" s="411"/>
      <c r="AG8" s="411"/>
      <c r="AH8" s="411"/>
      <c r="AI8" s="411"/>
      <c r="AJ8" s="412"/>
      <c r="AK8" s="149"/>
      <c r="AL8" s="149"/>
      <c r="AM8" s="185"/>
    </row>
    <row r="9" spans="1:39" ht="17.25" customHeight="1">
      <c r="A9" s="487"/>
      <c r="B9" s="171"/>
      <c r="C9" s="249"/>
      <c r="D9" s="212"/>
      <c r="E9" s="213"/>
      <c r="F9" s="390"/>
      <c r="G9" s="478"/>
      <c r="H9" s="478"/>
      <c r="I9" s="282"/>
      <c r="J9" s="204"/>
      <c r="K9" s="206"/>
      <c r="L9" s="206"/>
      <c r="M9" s="493"/>
      <c r="N9" s="493"/>
      <c r="O9" s="493"/>
      <c r="P9" s="493"/>
      <c r="Q9" s="493"/>
      <c r="R9" s="493"/>
      <c r="S9" s="493"/>
      <c r="T9" s="493"/>
      <c r="U9" s="493"/>
      <c r="V9" s="493"/>
      <c r="W9" s="493"/>
      <c r="X9" s="493"/>
      <c r="Y9" s="493"/>
      <c r="Z9" s="493"/>
      <c r="AA9" s="493"/>
      <c r="AB9" s="493"/>
      <c r="AC9" s="493"/>
      <c r="AD9" s="493"/>
      <c r="AE9" s="493"/>
      <c r="AF9" s="493"/>
      <c r="AG9" s="493"/>
      <c r="AH9" s="493"/>
      <c r="AI9" s="493"/>
      <c r="AJ9" s="493"/>
      <c r="AK9" s="149"/>
      <c r="AL9" s="149"/>
      <c r="AM9" s="185"/>
    </row>
    <row r="10" spans="1:39" ht="17.25" customHeight="1">
      <c r="A10" s="487"/>
      <c r="B10" s="171"/>
      <c r="C10" s="249"/>
      <c r="D10" s="212"/>
      <c r="E10" s="213"/>
      <c r="F10" s="390"/>
      <c r="G10" s="478"/>
      <c r="H10" s="478"/>
      <c r="I10" s="282"/>
      <c r="J10" s="204"/>
      <c r="K10" s="206"/>
      <c r="L10" s="206"/>
      <c r="M10" s="493"/>
      <c r="N10" s="493"/>
      <c r="O10" s="493"/>
      <c r="P10" s="493"/>
      <c r="Q10" s="493"/>
      <c r="R10" s="493"/>
      <c r="S10" s="493"/>
      <c r="T10" s="493"/>
      <c r="U10" s="493"/>
      <c r="V10" s="493"/>
      <c r="W10" s="493"/>
      <c r="X10" s="493"/>
      <c r="Y10" s="493"/>
      <c r="Z10" s="493"/>
      <c r="AA10" s="493"/>
      <c r="AB10" s="493"/>
      <c r="AC10" s="493"/>
      <c r="AD10" s="493"/>
      <c r="AE10" s="493"/>
      <c r="AF10" s="493"/>
      <c r="AG10" s="493"/>
      <c r="AH10" s="493"/>
      <c r="AI10" s="493"/>
      <c r="AJ10" s="493"/>
      <c r="AK10" s="149"/>
      <c r="AL10" s="149"/>
      <c r="AM10" s="185"/>
    </row>
    <row r="11" spans="1:39" ht="17.25" customHeight="1">
      <c r="A11" s="487"/>
      <c r="B11" s="171"/>
      <c r="C11" s="249"/>
      <c r="D11" s="212"/>
      <c r="E11" s="213"/>
      <c r="F11" s="390"/>
      <c r="G11" s="390"/>
      <c r="H11" s="390"/>
      <c r="I11" s="213"/>
      <c r="J11" s="204"/>
      <c r="K11" s="206"/>
      <c r="L11" s="206"/>
      <c r="M11" s="501"/>
      <c r="N11" s="493"/>
      <c r="O11" s="493"/>
      <c r="P11" s="493"/>
      <c r="Q11" s="493"/>
      <c r="R11" s="493"/>
      <c r="S11" s="493"/>
      <c r="T11" s="493"/>
      <c r="U11" s="493"/>
      <c r="V11" s="493"/>
      <c r="W11" s="493"/>
      <c r="X11" s="493"/>
      <c r="Y11" s="493"/>
      <c r="Z11" s="493"/>
      <c r="AA11" s="493"/>
      <c r="AB11" s="493"/>
      <c r="AC11" s="493"/>
      <c r="AD11" s="493"/>
      <c r="AE11" s="493"/>
      <c r="AF11" s="493"/>
      <c r="AG11" s="493"/>
      <c r="AH11" s="493"/>
      <c r="AI11" s="493"/>
      <c r="AJ11" s="493"/>
      <c r="AK11" s="149"/>
      <c r="AL11" s="149"/>
      <c r="AM11" s="185"/>
    </row>
    <row r="12" spans="1:39" ht="17.25" customHeight="1">
      <c r="A12" s="487"/>
      <c r="B12" s="171"/>
      <c r="C12" s="249"/>
      <c r="D12" s="214"/>
      <c r="E12" s="215"/>
      <c r="F12" s="483"/>
      <c r="G12" s="484"/>
      <c r="H12" s="485"/>
      <c r="I12" s="215"/>
      <c r="J12" s="216"/>
      <c r="K12" s="217"/>
      <c r="L12" s="218"/>
      <c r="M12" s="490"/>
      <c r="N12" s="491"/>
      <c r="O12" s="491"/>
      <c r="P12" s="491"/>
      <c r="Q12" s="491"/>
      <c r="R12" s="491"/>
      <c r="S12" s="491"/>
      <c r="T12" s="491"/>
      <c r="U12" s="491"/>
      <c r="V12" s="491"/>
      <c r="W12" s="491"/>
      <c r="X12" s="491"/>
      <c r="Y12" s="491"/>
      <c r="Z12" s="491"/>
      <c r="AA12" s="491"/>
      <c r="AB12" s="491"/>
      <c r="AC12" s="491"/>
      <c r="AD12" s="491"/>
      <c r="AE12" s="491"/>
      <c r="AF12" s="491"/>
      <c r="AG12" s="491"/>
      <c r="AH12" s="491"/>
      <c r="AI12" s="491"/>
      <c r="AJ12" s="492"/>
      <c r="AK12" s="149"/>
      <c r="AL12" s="149"/>
      <c r="AM12" s="185"/>
    </row>
    <row r="13" spans="1:39" ht="17.25" customHeight="1">
      <c r="A13" s="487"/>
      <c r="B13" s="171"/>
      <c r="C13" s="249"/>
      <c r="D13" s="219"/>
      <c r="E13" s="203"/>
      <c r="F13" s="480"/>
      <c r="G13" s="481"/>
      <c r="H13" s="482"/>
      <c r="I13" s="203"/>
      <c r="J13" s="204"/>
      <c r="K13" s="205"/>
      <c r="L13" s="206"/>
      <c r="M13" s="410"/>
      <c r="N13" s="411"/>
      <c r="O13" s="411"/>
      <c r="P13" s="411"/>
      <c r="Q13" s="411"/>
      <c r="R13" s="411"/>
      <c r="S13" s="411"/>
      <c r="T13" s="411"/>
      <c r="U13" s="411"/>
      <c r="V13" s="411"/>
      <c r="W13" s="411"/>
      <c r="X13" s="411"/>
      <c r="Y13" s="411"/>
      <c r="Z13" s="411"/>
      <c r="AA13" s="411"/>
      <c r="AB13" s="411"/>
      <c r="AC13" s="411"/>
      <c r="AD13" s="411"/>
      <c r="AE13" s="411"/>
      <c r="AF13" s="411"/>
      <c r="AG13" s="411"/>
      <c r="AH13" s="411"/>
      <c r="AI13" s="411"/>
      <c r="AJ13" s="412"/>
      <c r="AK13" s="149"/>
      <c r="AL13" s="149"/>
      <c r="AM13" s="185"/>
    </row>
    <row r="14" spans="1:39" ht="17.25" customHeight="1">
      <c r="A14" s="487"/>
      <c r="B14" s="171"/>
      <c r="C14" s="249"/>
      <c r="D14" s="219"/>
      <c r="E14" s="203"/>
      <c r="F14" s="435"/>
      <c r="G14" s="436"/>
      <c r="H14" s="437"/>
      <c r="I14" s="203"/>
      <c r="J14" s="204"/>
      <c r="K14" s="205"/>
      <c r="L14" s="206"/>
      <c r="M14" s="407"/>
      <c r="N14" s="408"/>
      <c r="O14" s="408"/>
      <c r="P14" s="408"/>
      <c r="Q14" s="408"/>
      <c r="R14" s="408"/>
      <c r="S14" s="408"/>
      <c r="T14" s="408"/>
      <c r="U14" s="408"/>
      <c r="V14" s="408"/>
      <c r="W14" s="408"/>
      <c r="X14" s="408"/>
      <c r="Y14" s="408"/>
      <c r="Z14" s="408"/>
      <c r="AA14" s="408"/>
      <c r="AB14" s="408"/>
      <c r="AC14" s="408"/>
      <c r="AD14" s="408"/>
      <c r="AE14" s="408"/>
      <c r="AF14" s="408"/>
      <c r="AG14" s="408"/>
      <c r="AH14" s="408"/>
      <c r="AI14" s="408"/>
      <c r="AJ14" s="409"/>
      <c r="AK14" s="149"/>
      <c r="AL14" s="149"/>
      <c r="AM14" s="185"/>
    </row>
    <row r="15" spans="1:39" ht="17.25" customHeight="1">
      <c r="A15" s="487"/>
      <c r="B15" s="171"/>
      <c r="C15" s="249"/>
      <c r="D15" s="219"/>
      <c r="E15" s="203"/>
      <c r="F15" s="480"/>
      <c r="G15" s="481"/>
      <c r="H15" s="482"/>
      <c r="I15" s="289"/>
      <c r="J15" s="204"/>
      <c r="K15" s="205"/>
      <c r="L15" s="206"/>
      <c r="M15" s="410"/>
      <c r="N15" s="411"/>
      <c r="O15" s="411"/>
      <c r="P15" s="411"/>
      <c r="Q15" s="411"/>
      <c r="R15" s="411"/>
      <c r="S15" s="411"/>
      <c r="T15" s="411"/>
      <c r="U15" s="411"/>
      <c r="V15" s="411"/>
      <c r="W15" s="411"/>
      <c r="X15" s="411"/>
      <c r="Y15" s="411"/>
      <c r="Z15" s="411"/>
      <c r="AA15" s="411"/>
      <c r="AB15" s="411"/>
      <c r="AC15" s="411"/>
      <c r="AD15" s="411"/>
      <c r="AE15" s="411"/>
      <c r="AF15" s="411"/>
      <c r="AG15" s="411"/>
      <c r="AH15" s="411"/>
      <c r="AI15" s="411"/>
      <c r="AJ15" s="412"/>
      <c r="AK15" s="149"/>
      <c r="AL15" s="149"/>
      <c r="AM15" s="185"/>
    </row>
    <row r="16" spans="1:39" ht="17.25" customHeight="1">
      <c r="A16" s="487"/>
      <c r="B16" s="171"/>
      <c r="C16" s="249"/>
      <c r="D16" s="219"/>
      <c r="E16" s="215"/>
      <c r="F16" s="435"/>
      <c r="G16" s="436"/>
      <c r="H16" s="437"/>
      <c r="I16" s="203"/>
      <c r="J16" s="216"/>
      <c r="K16" s="217"/>
      <c r="L16" s="218"/>
      <c r="M16" s="410"/>
      <c r="N16" s="411"/>
      <c r="O16" s="411"/>
      <c r="P16" s="411"/>
      <c r="Q16" s="411"/>
      <c r="R16" s="411"/>
      <c r="S16" s="411"/>
      <c r="T16" s="411"/>
      <c r="U16" s="411"/>
      <c r="V16" s="411"/>
      <c r="W16" s="411"/>
      <c r="X16" s="411"/>
      <c r="Y16" s="411"/>
      <c r="Z16" s="411"/>
      <c r="AA16" s="411"/>
      <c r="AB16" s="411"/>
      <c r="AC16" s="411"/>
      <c r="AD16" s="411"/>
      <c r="AE16" s="411"/>
      <c r="AF16" s="411"/>
      <c r="AG16" s="411"/>
      <c r="AH16" s="411"/>
      <c r="AI16" s="411"/>
      <c r="AJ16" s="412"/>
      <c r="AK16" s="149"/>
      <c r="AL16" s="149"/>
      <c r="AM16" s="185"/>
    </row>
    <row r="17" spans="1:39" ht="17.25" customHeight="1">
      <c r="A17" s="487"/>
      <c r="B17" s="171"/>
      <c r="C17" s="249"/>
      <c r="D17" s="219"/>
      <c r="E17" s="203"/>
      <c r="F17" s="480"/>
      <c r="G17" s="481"/>
      <c r="H17" s="482"/>
      <c r="I17" s="203"/>
      <c r="J17" s="204"/>
      <c r="K17" s="205"/>
      <c r="L17" s="206"/>
      <c r="M17" s="500"/>
      <c r="N17" s="411"/>
      <c r="O17" s="411"/>
      <c r="P17" s="411"/>
      <c r="Q17" s="411"/>
      <c r="R17" s="411"/>
      <c r="S17" s="411"/>
      <c r="T17" s="411"/>
      <c r="U17" s="411"/>
      <c r="V17" s="411"/>
      <c r="W17" s="411"/>
      <c r="X17" s="411"/>
      <c r="Y17" s="411"/>
      <c r="Z17" s="411"/>
      <c r="AA17" s="411"/>
      <c r="AB17" s="411"/>
      <c r="AC17" s="411"/>
      <c r="AD17" s="411"/>
      <c r="AE17" s="411"/>
      <c r="AF17" s="411"/>
      <c r="AG17" s="411"/>
      <c r="AH17" s="411"/>
      <c r="AI17" s="411"/>
      <c r="AJ17" s="412"/>
      <c r="AK17" s="149"/>
      <c r="AL17" s="149"/>
      <c r="AM17" s="185"/>
    </row>
    <row r="18" spans="1:39" ht="17.25" customHeight="1">
      <c r="A18" s="487"/>
      <c r="B18" s="171"/>
      <c r="C18" s="249"/>
      <c r="D18" s="219"/>
      <c r="E18" s="203"/>
      <c r="F18" s="435"/>
      <c r="G18" s="436"/>
      <c r="H18" s="437"/>
      <c r="I18" s="203"/>
      <c r="J18" s="204"/>
      <c r="K18" s="205"/>
      <c r="L18" s="206"/>
      <c r="M18" s="410"/>
      <c r="N18" s="411"/>
      <c r="O18" s="411"/>
      <c r="P18" s="411"/>
      <c r="Q18" s="411"/>
      <c r="R18" s="411"/>
      <c r="S18" s="411"/>
      <c r="T18" s="411"/>
      <c r="U18" s="411"/>
      <c r="V18" s="411"/>
      <c r="W18" s="411"/>
      <c r="X18" s="411"/>
      <c r="Y18" s="411"/>
      <c r="Z18" s="411"/>
      <c r="AA18" s="411"/>
      <c r="AB18" s="411"/>
      <c r="AC18" s="411"/>
      <c r="AD18" s="411"/>
      <c r="AE18" s="411"/>
      <c r="AF18" s="411"/>
      <c r="AG18" s="411"/>
      <c r="AH18" s="411"/>
      <c r="AI18" s="411"/>
      <c r="AJ18" s="412"/>
      <c r="AK18" s="149"/>
      <c r="AL18" s="149"/>
      <c r="AM18" s="185"/>
    </row>
    <row r="19" spans="1:39" ht="17.25" customHeight="1">
      <c r="A19" s="487"/>
      <c r="B19" s="171"/>
      <c r="C19" s="249"/>
      <c r="D19" s="214"/>
      <c r="E19" s="215"/>
      <c r="F19" s="299"/>
      <c r="G19" s="293"/>
      <c r="H19" s="294"/>
      <c r="I19" s="215"/>
      <c r="J19" s="300"/>
      <c r="K19" s="298"/>
      <c r="L19" s="301"/>
      <c r="M19" s="290"/>
      <c r="N19" s="291"/>
      <c r="O19" s="291"/>
      <c r="P19" s="291"/>
      <c r="Q19" s="291"/>
      <c r="R19" s="291"/>
      <c r="S19" s="291"/>
      <c r="T19" s="291"/>
      <c r="U19" s="291"/>
      <c r="V19" s="291"/>
      <c r="W19" s="291"/>
      <c r="X19" s="291"/>
      <c r="Y19" s="291"/>
      <c r="Z19" s="291"/>
      <c r="AA19" s="291"/>
      <c r="AB19" s="291"/>
      <c r="AC19" s="291"/>
      <c r="AD19" s="291"/>
      <c r="AE19" s="291"/>
      <c r="AF19" s="291"/>
      <c r="AG19" s="291"/>
      <c r="AH19" s="291"/>
      <c r="AI19" s="291"/>
      <c r="AJ19" s="292"/>
      <c r="AK19" s="149"/>
      <c r="AL19" s="149"/>
      <c r="AM19" s="185"/>
    </row>
    <row r="20" spans="1:39" ht="17.25" customHeight="1">
      <c r="A20" s="487"/>
      <c r="B20" s="171"/>
      <c r="C20" s="249"/>
      <c r="D20" s="219"/>
      <c r="E20" s="203"/>
      <c r="F20" s="297"/>
      <c r="G20" s="298"/>
      <c r="H20" s="295"/>
      <c r="I20" s="203"/>
      <c r="J20" s="302"/>
      <c r="K20" s="293"/>
      <c r="L20" s="296"/>
      <c r="M20" s="290"/>
      <c r="N20" s="291"/>
      <c r="O20" s="291"/>
      <c r="P20" s="291"/>
      <c r="Q20" s="291"/>
      <c r="R20" s="291"/>
      <c r="S20" s="291"/>
      <c r="T20" s="291"/>
      <c r="U20" s="291"/>
      <c r="V20" s="291"/>
      <c r="W20" s="291"/>
      <c r="X20" s="291"/>
      <c r="Y20" s="291"/>
      <c r="Z20" s="291"/>
      <c r="AA20" s="291"/>
      <c r="AB20" s="291"/>
      <c r="AC20" s="291"/>
      <c r="AD20" s="291"/>
      <c r="AE20" s="291"/>
      <c r="AF20" s="291"/>
      <c r="AG20" s="291"/>
      <c r="AH20" s="291"/>
      <c r="AI20" s="291"/>
      <c r="AJ20" s="292"/>
      <c r="AK20" s="149"/>
      <c r="AL20" s="149"/>
      <c r="AM20" s="185"/>
    </row>
    <row r="21" spans="1:39" ht="17.25" customHeight="1">
      <c r="A21" s="487"/>
      <c r="B21" s="171"/>
      <c r="C21" s="249"/>
      <c r="D21" s="221"/>
      <c r="E21" s="226"/>
      <c r="F21" s="394"/>
      <c r="G21" s="395"/>
      <c r="H21" s="396"/>
      <c r="I21" s="284"/>
      <c r="J21" s="223"/>
      <c r="K21" s="253"/>
      <c r="L21" s="220"/>
      <c r="M21" s="290"/>
      <c r="N21" s="291"/>
      <c r="O21" s="291"/>
      <c r="P21" s="291"/>
      <c r="Q21" s="291"/>
      <c r="R21" s="291"/>
      <c r="S21" s="291"/>
      <c r="T21" s="291"/>
      <c r="U21" s="291"/>
      <c r="V21" s="291"/>
      <c r="W21" s="291"/>
      <c r="X21" s="291"/>
      <c r="Y21" s="291"/>
      <c r="Z21" s="291"/>
      <c r="AA21" s="291"/>
      <c r="AB21" s="291"/>
      <c r="AC21" s="291"/>
      <c r="AD21" s="291"/>
      <c r="AE21" s="291"/>
      <c r="AF21" s="291"/>
      <c r="AG21" s="291"/>
      <c r="AH21" s="291"/>
      <c r="AI21" s="291"/>
      <c r="AJ21" s="292"/>
      <c r="AK21" s="149"/>
      <c r="AL21" s="149"/>
      <c r="AM21" s="185"/>
    </row>
    <row r="22" spans="1:39" ht="17.25" customHeight="1">
      <c r="A22" s="487"/>
      <c r="B22" s="171"/>
      <c r="C22" s="249"/>
      <c r="D22" s="225"/>
      <c r="E22" s="226"/>
      <c r="F22" s="479"/>
      <c r="G22" s="395"/>
      <c r="H22" s="396"/>
      <c r="I22" s="283"/>
      <c r="J22" s="227"/>
      <c r="K22" s="224"/>
      <c r="L22" s="223"/>
      <c r="M22" s="502"/>
      <c r="N22" s="503"/>
      <c r="O22" s="503"/>
      <c r="P22" s="503"/>
      <c r="Q22" s="503"/>
      <c r="R22" s="503"/>
      <c r="S22" s="503"/>
      <c r="T22" s="503"/>
      <c r="U22" s="503"/>
      <c r="V22" s="503"/>
      <c r="W22" s="503"/>
      <c r="X22" s="503"/>
      <c r="Y22" s="503"/>
      <c r="Z22" s="503"/>
      <c r="AA22" s="503"/>
      <c r="AB22" s="503"/>
      <c r="AC22" s="503"/>
      <c r="AD22" s="503"/>
      <c r="AE22" s="503"/>
      <c r="AF22" s="503"/>
      <c r="AG22" s="503"/>
      <c r="AH22" s="503"/>
      <c r="AI22" s="503"/>
      <c r="AJ22" s="504"/>
      <c r="AK22" s="149"/>
      <c r="AL22" s="149"/>
      <c r="AM22" s="185"/>
    </row>
    <row r="23" spans="1:39" ht="17.25" customHeight="1">
      <c r="A23" s="487"/>
      <c r="B23" s="171"/>
      <c r="C23" s="249"/>
      <c r="D23" s="221"/>
      <c r="E23" s="222"/>
      <c r="F23" s="429"/>
      <c r="G23" s="430"/>
      <c r="H23" s="431"/>
      <c r="I23" s="284"/>
      <c r="J23" s="223"/>
      <c r="K23" s="224"/>
      <c r="L23" s="223"/>
      <c r="M23" s="404"/>
      <c r="N23" s="405"/>
      <c r="O23" s="405"/>
      <c r="P23" s="405"/>
      <c r="Q23" s="405"/>
      <c r="R23" s="405"/>
      <c r="S23" s="405"/>
      <c r="T23" s="405"/>
      <c r="U23" s="405"/>
      <c r="V23" s="405"/>
      <c r="W23" s="405"/>
      <c r="X23" s="405"/>
      <c r="Y23" s="405"/>
      <c r="Z23" s="405"/>
      <c r="AA23" s="405"/>
      <c r="AB23" s="405"/>
      <c r="AC23" s="405"/>
      <c r="AD23" s="405"/>
      <c r="AE23" s="405"/>
      <c r="AF23" s="405"/>
      <c r="AG23" s="405"/>
      <c r="AH23" s="405"/>
      <c r="AI23" s="405"/>
      <c r="AJ23" s="406"/>
      <c r="AK23" s="149"/>
      <c r="AL23" s="149"/>
      <c r="AM23" s="185"/>
    </row>
    <row r="24" spans="1:39" ht="17.25" customHeight="1">
      <c r="A24" s="487"/>
      <c r="B24" s="171"/>
      <c r="C24" s="249"/>
      <c r="D24" s="225"/>
      <c r="E24" s="226"/>
      <c r="F24" s="394"/>
      <c r="G24" s="395"/>
      <c r="H24" s="396"/>
      <c r="I24" s="285"/>
      <c r="J24" s="229"/>
      <c r="K24" s="228"/>
      <c r="L24" s="229"/>
      <c r="M24" s="404"/>
      <c r="N24" s="405"/>
      <c r="O24" s="405"/>
      <c r="P24" s="405"/>
      <c r="Q24" s="405"/>
      <c r="R24" s="405"/>
      <c r="S24" s="405"/>
      <c r="T24" s="405"/>
      <c r="U24" s="405"/>
      <c r="V24" s="405"/>
      <c r="W24" s="405"/>
      <c r="X24" s="405"/>
      <c r="Y24" s="405"/>
      <c r="Z24" s="405"/>
      <c r="AA24" s="405"/>
      <c r="AB24" s="405"/>
      <c r="AC24" s="405"/>
      <c r="AD24" s="405"/>
      <c r="AE24" s="405"/>
      <c r="AF24" s="405"/>
      <c r="AG24" s="405"/>
      <c r="AH24" s="405"/>
      <c r="AI24" s="405"/>
      <c r="AJ24" s="406"/>
      <c r="AK24" s="149"/>
      <c r="AL24" s="149"/>
      <c r="AM24" s="185"/>
    </row>
    <row r="25" spans="1:39" ht="17.25" customHeight="1">
      <c r="A25" s="487"/>
      <c r="B25" s="171"/>
      <c r="C25" s="249"/>
      <c r="D25" s="221"/>
      <c r="E25" s="222"/>
      <c r="F25" s="429"/>
      <c r="G25" s="430"/>
      <c r="H25" s="431"/>
      <c r="I25" s="284"/>
      <c r="J25" s="223"/>
      <c r="K25" s="224"/>
      <c r="L25" s="223"/>
      <c r="M25" s="404"/>
      <c r="N25" s="405"/>
      <c r="O25" s="405"/>
      <c r="P25" s="405"/>
      <c r="Q25" s="405"/>
      <c r="R25" s="405"/>
      <c r="S25" s="405"/>
      <c r="T25" s="405"/>
      <c r="U25" s="405"/>
      <c r="V25" s="405"/>
      <c r="W25" s="405"/>
      <c r="X25" s="405"/>
      <c r="Y25" s="405"/>
      <c r="Z25" s="405"/>
      <c r="AA25" s="405"/>
      <c r="AB25" s="405"/>
      <c r="AC25" s="405"/>
      <c r="AD25" s="405"/>
      <c r="AE25" s="405"/>
      <c r="AF25" s="405"/>
      <c r="AG25" s="405"/>
      <c r="AH25" s="405"/>
      <c r="AI25" s="405"/>
      <c r="AJ25" s="406"/>
      <c r="AK25" s="149"/>
      <c r="AL25" s="149"/>
      <c r="AM25" s="185"/>
    </row>
    <row r="26" spans="1:39" ht="17.25" customHeight="1">
      <c r="A26" s="487"/>
      <c r="B26" s="171"/>
      <c r="C26" s="249"/>
      <c r="D26" s="225"/>
      <c r="E26" s="226"/>
      <c r="F26" s="394"/>
      <c r="G26" s="395"/>
      <c r="H26" s="396"/>
      <c r="I26" s="285"/>
      <c r="J26" s="227"/>
      <c r="K26" s="228"/>
      <c r="L26" s="229"/>
      <c r="M26" s="404"/>
      <c r="N26" s="405"/>
      <c r="O26" s="405"/>
      <c r="P26" s="405"/>
      <c r="Q26" s="405"/>
      <c r="R26" s="405"/>
      <c r="S26" s="405"/>
      <c r="T26" s="405"/>
      <c r="U26" s="405"/>
      <c r="V26" s="405"/>
      <c r="W26" s="405"/>
      <c r="X26" s="405"/>
      <c r="Y26" s="405"/>
      <c r="Z26" s="405"/>
      <c r="AA26" s="405"/>
      <c r="AB26" s="405"/>
      <c r="AC26" s="405"/>
      <c r="AD26" s="405"/>
      <c r="AE26" s="405"/>
      <c r="AF26" s="405"/>
      <c r="AG26" s="405"/>
      <c r="AH26" s="405"/>
      <c r="AI26" s="405"/>
      <c r="AJ26" s="406"/>
      <c r="AK26" s="149"/>
      <c r="AL26" s="149"/>
      <c r="AM26" s="185"/>
    </row>
    <row r="27" spans="1:39" ht="17.25" customHeight="1">
      <c r="A27" s="487"/>
      <c r="B27" s="171"/>
      <c r="C27" s="249"/>
      <c r="D27" s="221"/>
      <c r="E27" s="222"/>
      <c r="F27" s="429"/>
      <c r="G27" s="430"/>
      <c r="H27" s="431"/>
      <c r="I27" s="284"/>
      <c r="J27" s="223"/>
      <c r="K27" s="224"/>
      <c r="L27" s="223"/>
      <c r="M27" s="404"/>
      <c r="N27" s="405"/>
      <c r="O27" s="405"/>
      <c r="P27" s="405"/>
      <c r="Q27" s="405"/>
      <c r="R27" s="405"/>
      <c r="S27" s="405"/>
      <c r="T27" s="405"/>
      <c r="U27" s="405"/>
      <c r="V27" s="405"/>
      <c r="W27" s="405"/>
      <c r="X27" s="405"/>
      <c r="Y27" s="405"/>
      <c r="Z27" s="405"/>
      <c r="AA27" s="405"/>
      <c r="AB27" s="405"/>
      <c r="AC27" s="405"/>
      <c r="AD27" s="405"/>
      <c r="AE27" s="405"/>
      <c r="AF27" s="405"/>
      <c r="AG27" s="405"/>
      <c r="AH27" s="405"/>
      <c r="AI27" s="405"/>
      <c r="AJ27" s="406"/>
      <c r="AK27" s="149"/>
      <c r="AL27" s="149"/>
      <c r="AM27" s="185"/>
    </row>
    <row r="28" spans="1:39" ht="17.25" customHeight="1">
      <c r="A28" s="487"/>
      <c r="B28" s="171"/>
      <c r="C28" s="249"/>
      <c r="D28" s="225"/>
      <c r="E28" s="226"/>
      <c r="F28" s="394"/>
      <c r="G28" s="395"/>
      <c r="H28" s="396"/>
      <c r="I28" s="285"/>
      <c r="J28" s="229"/>
      <c r="K28" s="228"/>
      <c r="L28" s="229"/>
      <c r="M28" s="404"/>
      <c r="N28" s="405"/>
      <c r="O28" s="405"/>
      <c r="P28" s="405"/>
      <c r="Q28" s="405"/>
      <c r="R28" s="405"/>
      <c r="S28" s="405"/>
      <c r="T28" s="405"/>
      <c r="U28" s="405"/>
      <c r="V28" s="405"/>
      <c r="W28" s="405"/>
      <c r="X28" s="405"/>
      <c r="Y28" s="405"/>
      <c r="Z28" s="405"/>
      <c r="AA28" s="405"/>
      <c r="AB28" s="405"/>
      <c r="AC28" s="405"/>
      <c r="AD28" s="405"/>
      <c r="AE28" s="405"/>
      <c r="AF28" s="405"/>
      <c r="AG28" s="405"/>
      <c r="AH28" s="405"/>
      <c r="AI28" s="405"/>
      <c r="AJ28" s="406"/>
      <c r="AK28" s="149"/>
      <c r="AL28" s="149"/>
      <c r="AM28" s="185"/>
    </row>
    <row r="29" spans="1:39" ht="17.25" customHeight="1">
      <c r="A29" s="487"/>
      <c r="B29" s="171"/>
      <c r="C29" s="249"/>
      <c r="D29" s="221"/>
      <c r="E29" s="222"/>
      <c r="F29" s="429"/>
      <c r="G29" s="430"/>
      <c r="H29" s="431"/>
      <c r="I29" s="284"/>
      <c r="J29" s="231"/>
      <c r="K29" s="224"/>
      <c r="L29" s="231"/>
      <c r="M29" s="404"/>
      <c r="N29" s="405"/>
      <c r="O29" s="405"/>
      <c r="P29" s="405"/>
      <c r="Q29" s="405"/>
      <c r="R29" s="405"/>
      <c r="S29" s="405"/>
      <c r="T29" s="405"/>
      <c r="U29" s="405"/>
      <c r="V29" s="405"/>
      <c r="W29" s="405"/>
      <c r="X29" s="405"/>
      <c r="Y29" s="405"/>
      <c r="Z29" s="405"/>
      <c r="AA29" s="405"/>
      <c r="AB29" s="405"/>
      <c r="AC29" s="405"/>
      <c r="AD29" s="405"/>
      <c r="AE29" s="405"/>
      <c r="AF29" s="405"/>
      <c r="AG29" s="405"/>
      <c r="AH29" s="405"/>
      <c r="AI29" s="405"/>
      <c r="AJ29" s="406"/>
      <c r="AK29" s="149"/>
      <c r="AL29" s="149"/>
      <c r="AM29" s="185"/>
    </row>
    <row r="30" spans="1:39" ht="17.25" customHeight="1">
      <c r="A30" s="488"/>
      <c r="B30" s="171"/>
      <c r="C30" s="249"/>
      <c r="D30" s="225"/>
      <c r="E30" s="226"/>
      <c r="F30" s="394"/>
      <c r="G30" s="395"/>
      <c r="H30" s="396"/>
      <c r="I30" s="285"/>
      <c r="J30" s="232"/>
      <c r="K30" s="228"/>
      <c r="L30" s="232"/>
      <c r="M30" s="489"/>
      <c r="N30" s="473"/>
      <c r="O30" s="473"/>
      <c r="P30" s="473"/>
      <c r="Q30" s="473"/>
      <c r="R30" s="473"/>
      <c r="S30" s="473"/>
      <c r="T30" s="473"/>
      <c r="U30" s="473"/>
      <c r="V30" s="473"/>
      <c r="W30" s="473"/>
      <c r="X30" s="473"/>
      <c r="Y30" s="473"/>
      <c r="Z30" s="473"/>
      <c r="AA30" s="473"/>
      <c r="AB30" s="473"/>
      <c r="AC30" s="473"/>
      <c r="AD30" s="473"/>
      <c r="AE30" s="473"/>
      <c r="AF30" s="473"/>
      <c r="AG30" s="473"/>
      <c r="AH30" s="473"/>
      <c r="AI30" s="473"/>
      <c r="AJ30" s="474"/>
      <c r="AK30" s="149"/>
      <c r="AL30" s="149"/>
      <c r="AM30" s="185"/>
    </row>
    <row r="31" spans="1:39" ht="17.25" customHeight="1">
      <c r="A31" s="466"/>
      <c r="B31" s="171"/>
      <c r="C31" s="249"/>
      <c r="D31" s="233"/>
      <c r="E31" s="222"/>
      <c r="F31" s="397"/>
      <c r="G31" s="398"/>
      <c r="H31" s="399"/>
      <c r="I31" s="286"/>
      <c r="J31" s="234"/>
      <c r="K31" s="235"/>
      <c r="L31" s="234"/>
      <c r="M31" s="449"/>
      <c r="N31" s="450"/>
      <c r="O31" s="450"/>
      <c r="P31" s="450"/>
      <c r="Q31" s="450"/>
      <c r="R31" s="450"/>
      <c r="S31" s="450"/>
      <c r="T31" s="450"/>
      <c r="U31" s="450"/>
      <c r="V31" s="450"/>
      <c r="W31" s="450"/>
      <c r="X31" s="450"/>
      <c r="Y31" s="450"/>
      <c r="Z31" s="450"/>
      <c r="AA31" s="450"/>
      <c r="AB31" s="450"/>
      <c r="AC31" s="450"/>
      <c r="AD31" s="450"/>
      <c r="AE31" s="450"/>
      <c r="AF31" s="450"/>
      <c r="AG31" s="450"/>
      <c r="AH31" s="450"/>
      <c r="AI31" s="450"/>
      <c r="AJ31" s="451"/>
      <c r="AK31" s="149"/>
      <c r="AL31" s="149"/>
      <c r="AM31" s="185"/>
    </row>
    <row r="32" spans="1:39" ht="17.25" customHeight="1">
      <c r="A32" s="467"/>
      <c r="B32" s="171"/>
      <c r="C32" s="249"/>
      <c r="D32" s="236"/>
      <c r="E32" s="226"/>
      <c r="F32" s="449"/>
      <c r="G32" s="450"/>
      <c r="H32" s="451"/>
      <c r="I32" s="287"/>
      <c r="J32" s="237"/>
      <c r="K32" s="230"/>
      <c r="L32" s="237"/>
      <c r="M32" s="449"/>
      <c r="N32" s="450"/>
      <c r="O32" s="450"/>
      <c r="P32" s="450"/>
      <c r="Q32" s="450"/>
      <c r="R32" s="450"/>
      <c r="S32" s="450"/>
      <c r="T32" s="450"/>
      <c r="U32" s="450"/>
      <c r="V32" s="450"/>
      <c r="W32" s="450"/>
      <c r="X32" s="450"/>
      <c r="Y32" s="450"/>
      <c r="Z32" s="450"/>
      <c r="AA32" s="450"/>
      <c r="AB32" s="450"/>
      <c r="AC32" s="450"/>
      <c r="AD32" s="450"/>
      <c r="AE32" s="450"/>
      <c r="AF32" s="450"/>
      <c r="AG32" s="450"/>
      <c r="AH32" s="450"/>
      <c r="AI32" s="450"/>
      <c r="AJ32" s="451"/>
      <c r="AK32" s="149"/>
      <c r="AL32" s="149"/>
      <c r="AM32" s="185"/>
    </row>
    <row r="33" spans="1:39" ht="17.25" customHeight="1">
      <c r="A33" s="467"/>
      <c r="B33" s="171"/>
      <c r="C33" s="249"/>
      <c r="D33" s="221"/>
      <c r="E33" s="222"/>
      <c r="F33" s="429"/>
      <c r="G33" s="430"/>
      <c r="H33" s="431"/>
      <c r="I33" s="284"/>
      <c r="J33" s="231"/>
      <c r="K33" s="238"/>
      <c r="L33" s="231"/>
      <c r="M33" s="404"/>
      <c r="N33" s="405"/>
      <c r="O33" s="405"/>
      <c r="P33" s="405"/>
      <c r="Q33" s="405"/>
      <c r="R33" s="405"/>
      <c r="S33" s="405"/>
      <c r="T33" s="405"/>
      <c r="U33" s="405"/>
      <c r="V33" s="405"/>
      <c r="W33" s="405"/>
      <c r="X33" s="405"/>
      <c r="Y33" s="405"/>
      <c r="Z33" s="405"/>
      <c r="AA33" s="405"/>
      <c r="AB33" s="405"/>
      <c r="AC33" s="405"/>
      <c r="AD33" s="405"/>
      <c r="AE33" s="405"/>
      <c r="AF33" s="405"/>
      <c r="AG33" s="405"/>
      <c r="AH33" s="405"/>
      <c r="AI33" s="405"/>
      <c r="AJ33" s="406"/>
      <c r="AK33" s="149"/>
      <c r="AL33" s="149"/>
      <c r="AM33" s="185"/>
    </row>
    <row r="34" spans="1:39" ht="17.25" customHeight="1">
      <c r="A34" s="467"/>
      <c r="B34" s="171"/>
      <c r="C34" s="249"/>
      <c r="D34" s="225"/>
      <c r="E34" s="226"/>
      <c r="F34" s="394"/>
      <c r="G34" s="395"/>
      <c r="H34" s="396"/>
      <c r="I34" s="285"/>
      <c r="J34" s="232"/>
      <c r="K34" s="239"/>
      <c r="L34" s="232"/>
      <c r="M34" s="489"/>
      <c r="N34" s="473"/>
      <c r="O34" s="473"/>
      <c r="P34" s="473"/>
      <c r="Q34" s="473"/>
      <c r="R34" s="473"/>
      <c r="S34" s="473"/>
      <c r="T34" s="473"/>
      <c r="U34" s="473"/>
      <c r="V34" s="473"/>
      <c r="W34" s="473"/>
      <c r="X34" s="473"/>
      <c r="Y34" s="473"/>
      <c r="Z34" s="473"/>
      <c r="AA34" s="473"/>
      <c r="AB34" s="473"/>
      <c r="AC34" s="473"/>
      <c r="AD34" s="473"/>
      <c r="AE34" s="473"/>
      <c r="AF34" s="473"/>
      <c r="AG34" s="473"/>
      <c r="AH34" s="473"/>
      <c r="AI34" s="473"/>
      <c r="AJ34" s="474"/>
      <c r="AK34" s="149"/>
      <c r="AL34" s="149"/>
      <c r="AM34" s="185"/>
    </row>
    <row r="35" spans="1:39" ht="17.25" customHeight="1">
      <c r="A35" s="467"/>
      <c r="B35" s="171"/>
      <c r="C35" s="249"/>
      <c r="D35" s="233"/>
      <c r="E35" s="222"/>
      <c r="F35" s="397"/>
      <c r="G35" s="398"/>
      <c r="H35" s="399"/>
      <c r="I35" s="286"/>
      <c r="J35" s="240"/>
      <c r="K35" s="222"/>
      <c r="L35" s="241"/>
      <c r="M35" s="449"/>
      <c r="N35" s="450"/>
      <c r="O35" s="450"/>
      <c r="P35" s="450"/>
      <c r="Q35" s="450"/>
      <c r="R35" s="450"/>
      <c r="S35" s="450"/>
      <c r="T35" s="450"/>
      <c r="U35" s="450"/>
      <c r="V35" s="450"/>
      <c r="W35" s="450"/>
      <c r="X35" s="450"/>
      <c r="Y35" s="450"/>
      <c r="Z35" s="450"/>
      <c r="AA35" s="450"/>
      <c r="AB35" s="450"/>
      <c r="AC35" s="450"/>
      <c r="AD35" s="450"/>
      <c r="AE35" s="450"/>
      <c r="AF35" s="450"/>
      <c r="AG35" s="450"/>
      <c r="AH35" s="450"/>
      <c r="AI35" s="450"/>
      <c r="AJ35" s="451"/>
      <c r="AK35" s="149"/>
      <c r="AL35" s="149"/>
      <c r="AM35" s="185"/>
    </row>
    <row r="36" spans="1:39" ht="17.25" customHeight="1">
      <c r="A36" s="467"/>
      <c r="B36" s="171"/>
      <c r="C36" s="249"/>
      <c r="D36" s="242"/>
      <c r="E36" s="226"/>
      <c r="F36" s="391"/>
      <c r="G36" s="392"/>
      <c r="H36" s="393"/>
      <c r="I36" s="287"/>
      <c r="J36" s="243"/>
      <c r="K36" s="226"/>
      <c r="L36" s="243"/>
      <c r="M36" s="449"/>
      <c r="N36" s="450"/>
      <c r="O36" s="450"/>
      <c r="P36" s="450"/>
      <c r="Q36" s="450"/>
      <c r="R36" s="450"/>
      <c r="S36" s="450"/>
      <c r="T36" s="450"/>
      <c r="U36" s="450"/>
      <c r="V36" s="450"/>
      <c r="W36" s="450"/>
      <c r="X36" s="450"/>
      <c r="Y36" s="450"/>
      <c r="Z36" s="450"/>
      <c r="AA36" s="450"/>
      <c r="AB36" s="450"/>
      <c r="AC36" s="450"/>
      <c r="AD36" s="450"/>
      <c r="AE36" s="450"/>
      <c r="AF36" s="450"/>
      <c r="AG36" s="450"/>
      <c r="AH36" s="450"/>
      <c r="AI36" s="450"/>
      <c r="AJ36" s="451"/>
      <c r="AK36" s="149"/>
      <c r="AL36" s="149"/>
      <c r="AM36" s="185"/>
    </row>
    <row r="37" spans="1:39" ht="17.25" customHeight="1">
      <c r="A37" s="467"/>
      <c r="B37" s="171"/>
      <c r="C37" s="249"/>
      <c r="D37" s="244"/>
      <c r="E37" s="222"/>
      <c r="F37" s="401"/>
      <c r="G37" s="402"/>
      <c r="H37" s="403"/>
      <c r="I37" s="286"/>
      <c r="J37" s="241"/>
      <c r="K37" s="222"/>
      <c r="L37" s="241"/>
      <c r="M37" s="449"/>
      <c r="N37" s="450"/>
      <c r="O37" s="450"/>
      <c r="P37" s="450"/>
      <c r="Q37" s="450"/>
      <c r="R37" s="450"/>
      <c r="S37" s="450"/>
      <c r="T37" s="450"/>
      <c r="U37" s="450"/>
      <c r="V37" s="450"/>
      <c r="W37" s="450"/>
      <c r="X37" s="450"/>
      <c r="Y37" s="450"/>
      <c r="Z37" s="450"/>
      <c r="AA37" s="450"/>
      <c r="AB37" s="450"/>
      <c r="AC37" s="450"/>
      <c r="AD37" s="450"/>
      <c r="AE37" s="450"/>
      <c r="AF37" s="450"/>
      <c r="AG37" s="450"/>
      <c r="AH37" s="450"/>
      <c r="AI37" s="450"/>
      <c r="AJ37" s="451"/>
      <c r="AK37" s="149"/>
      <c r="AL37" s="149"/>
      <c r="AM37" s="185"/>
    </row>
    <row r="38" spans="1:39" ht="17.25" customHeight="1">
      <c r="A38" s="467"/>
      <c r="B38" s="171"/>
      <c r="C38" s="249"/>
      <c r="D38" s="242"/>
      <c r="E38" s="226"/>
      <c r="F38" s="391"/>
      <c r="G38" s="392"/>
      <c r="H38" s="393"/>
      <c r="I38" s="287"/>
      <c r="J38" s="243"/>
      <c r="K38" s="226"/>
      <c r="L38" s="243"/>
      <c r="M38" s="449"/>
      <c r="N38" s="450"/>
      <c r="O38" s="450"/>
      <c r="P38" s="450"/>
      <c r="Q38" s="450"/>
      <c r="R38" s="450"/>
      <c r="S38" s="450"/>
      <c r="T38" s="450"/>
      <c r="U38" s="450"/>
      <c r="V38" s="450"/>
      <c r="W38" s="450"/>
      <c r="X38" s="450"/>
      <c r="Y38" s="450"/>
      <c r="Z38" s="450"/>
      <c r="AA38" s="450"/>
      <c r="AB38" s="450"/>
      <c r="AC38" s="450"/>
      <c r="AD38" s="450"/>
      <c r="AE38" s="450"/>
      <c r="AF38" s="450"/>
      <c r="AG38" s="450"/>
      <c r="AH38" s="450"/>
      <c r="AI38" s="450"/>
      <c r="AJ38" s="451"/>
      <c r="AK38" s="149"/>
      <c r="AL38" s="149"/>
      <c r="AM38" s="185"/>
    </row>
    <row r="39" spans="1:39" ht="17.25" customHeight="1">
      <c r="A39" s="467"/>
      <c r="B39" s="171"/>
      <c r="C39" s="249"/>
      <c r="D39" s="244"/>
      <c r="E39" s="222"/>
      <c r="F39" s="401"/>
      <c r="G39" s="402"/>
      <c r="H39" s="403"/>
      <c r="I39" s="286"/>
      <c r="J39" s="241"/>
      <c r="K39" s="222"/>
      <c r="L39" s="241"/>
      <c r="M39" s="449"/>
      <c r="N39" s="450"/>
      <c r="O39" s="450"/>
      <c r="P39" s="450"/>
      <c r="Q39" s="450"/>
      <c r="R39" s="450"/>
      <c r="S39" s="450"/>
      <c r="T39" s="450"/>
      <c r="U39" s="450"/>
      <c r="V39" s="450"/>
      <c r="W39" s="450"/>
      <c r="X39" s="450"/>
      <c r="Y39" s="450"/>
      <c r="Z39" s="450"/>
      <c r="AA39" s="450"/>
      <c r="AB39" s="450"/>
      <c r="AC39" s="450"/>
      <c r="AD39" s="450"/>
      <c r="AE39" s="450"/>
      <c r="AF39" s="450"/>
      <c r="AG39" s="450"/>
      <c r="AH39" s="450"/>
      <c r="AI39" s="450"/>
      <c r="AJ39" s="451"/>
      <c r="AK39" s="149"/>
      <c r="AL39" s="149"/>
      <c r="AM39" s="185"/>
    </row>
    <row r="40" spans="1:39" ht="17.25" customHeight="1">
      <c r="A40" s="467"/>
      <c r="B40" s="171"/>
      <c r="C40" s="249"/>
      <c r="D40" s="242"/>
      <c r="E40" s="226"/>
      <c r="F40" s="391"/>
      <c r="G40" s="392"/>
      <c r="H40" s="393"/>
      <c r="I40" s="287"/>
      <c r="J40" s="243"/>
      <c r="K40" s="226"/>
      <c r="L40" s="243"/>
      <c r="M40" s="449"/>
      <c r="N40" s="450"/>
      <c r="O40" s="450"/>
      <c r="P40" s="450"/>
      <c r="Q40" s="450"/>
      <c r="R40" s="450"/>
      <c r="S40" s="450"/>
      <c r="T40" s="450"/>
      <c r="U40" s="450"/>
      <c r="V40" s="450"/>
      <c r="W40" s="450"/>
      <c r="X40" s="450"/>
      <c r="Y40" s="450"/>
      <c r="Z40" s="450"/>
      <c r="AA40" s="450"/>
      <c r="AB40" s="450"/>
      <c r="AC40" s="450"/>
      <c r="AD40" s="450"/>
      <c r="AE40" s="450"/>
      <c r="AF40" s="450"/>
      <c r="AG40" s="450"/>
      <c r="AH40" s="450"/>
      <c r="AI40" s="450"/>
      <c r="AJ40" s="451"/>
      <c r="AK40" s="149"/>
      <c r="AL40" s="149"/>
      <c r="AM40" s="185"/>
    </row>
    <row r="41" spans="1:39" ht="17.25" customHeight="1">
      <c r="A41" s="467"/>
      <c r="B41" s="171"/>
      <c r="C41" s="249"/>
      <c r="D41" s="244"/>
      <c r="E41" s="222"/>
      <c r="F41" s="401"/>
      <c r="G41" s="402"/>
      <c r="H41" s="403"/>
      <c r="I41" s="286"/>
      <c r="J41" s="241"/>
      <c r="K41" s="222"/>
      <c r="L41" s="241"/>
      <c r="M41" s="449"/>
      <c r="N41" s="450"/>
      <c r="O41" s="450"/>
      <c r="P41" s="450"/>
      <c r="Q41" s="450"/>
      <c r="R41" s="450"/>
      <c r="S41" s="450"/>
      <c r="T41" s="450"/>
      <c r="U41" s="450"/>
      <c r="V41" s="450"/>
      <c r="W41" s="450"/>
      <c r="X41" s="450"/>
      <c r="Y41" s="450"/>
      <c r="Z41" s="450"/>
      <c r="AA41" s="450"/>
      <c r="AB41" s="450"/>
      <c r="AC41" s="450"/>
      <c r="AD41" s="450"/>
      <c r="AE41" s="450"/>
      <c r="AF41" s="450"/>
      <c r="AG41" s="450"/>
      <c r="AH41" s="450"/>
      <c r="AI41" s="450"/>
      <c r="AJ41" s="451"/>
      <c r="AK41" s="149"/>
      <c r="AL41" s="149"/>
      <c r="AM41" s="185"/>
    </row>
    <row r="42" spans="1:39" ht="17.25" customHeight="1">
      <c r="A42" s="467"/>
      <c r="B42" s="171"/>
      <c r="C42" s="249"/>
      <c r="D42" s="242"/>
      <c r="E42" s="226"/>
      <c r="F42" s="391"/>
      <c r="G42" s="392"/>
      <c r="H42" s="393"/>
      <c r="I42" s="287"/>
      <c r="J42" s="243"/>
      <c r="K42" s="226"/>
      <c r="L42" s="243"/>
      <c r="M42" s="449"/>
      <c r="N42" s="450"/>
      <c r="O42" s="450"/>
      <c r="P42" s="450"/>
      <c r="Q42" s="450"/>
      <c r="R42" s="450"/>
      <c r="S42" s="450"/>
      <c r="T42" s="450"/>
      <c r="U42" s="450"/>
      <c r="V42" s="450"/>
      <c r="W42" s="450"/>
      <c r="X42" s="450"/>
      <c r="Y42" s="450"/>
      <c r="Z42" s="450"/>
      <c r="AA42" s="450"/>
      <c r="AB42" s="450"/>
      <c r="AC42" s="450"/>
      <c r="AD42" s="450"/>
      <c r="AE42" s="450"/>
      <c r="AF42" s="450"/>
      <c r="AG42" s="450"/>
      <c r="AH42" s="450"/>
      <c r="AI42" s="450"/>
      <c r="AJ42" s="451"/>
      <c r="AK42" s="149"/>
      <c r="AL42" s="149"/>
      <c r="AM42" s="185"/>
    </row>
    <row r="43" spans="1:39" ht="17.25" customHeight="1">
      <c r="A43" s="467"/>
      <c r="B43" s="171"/>
      <c r="C43" s="249"/>
      <c r="D43" s="244"/>
      <c r="E43" s="222"/>
      <c r="F43" s="401"/>
      <c r="G43" s="402"/>
      <c r="H43" s="403"/>
      <c r="I43" s="286"/>
      <c r="J43" s="241"/>
      <c r="K43" s="222"/>
      <c r="L43" s="241"/>
      <c r="M43" s="449"/>
      <c r="N43" s="450"/>
      <c r="O43" s="450"/>
      <c r="P43" s="450"/>
      <c r="Q43" s="450"/>
      <c r="R43" s="450"/>
      <c r="S43" s="450"/>
      <c r="T43" s="450"/>
      <c r="U43" s="450"/>
      <c r="V43" s="450"/>
      <c r="W43" s="450"/>
      <c r="X43" s="450"/>
      <c r="Y43" s="450"/>
      <c r="Z43" s="450"/>
      <c r="AA43" s="450"/>
      <c r="AB43" s="450"/>
      <c r="AC43" s="450"/>
      <c r="AD43" s="450"/>
      <c r="AE43" s="450"/>
      <c r="AF43" s="450"/>
      <c r="AG43" s="450"/>
      <c r="AH43" s="450"/>
      <c r="AI43" s="450"/>
      <c r="AJ43" s="451"/>
      <c r="AK43" s="149"/>
      <c r="AL43" s="149"/>
      <c r="AM43" s="185"/>
    </row>
    <row r="44" spans="1:39" ht="17.25" customHeight="1">
      <c r="A44" s="467"/>
      <c r="B44" s="171"/>
      <c r="C44" s="249"/>
      <c r="D44" s="242"/>
      <c r="E44" s="226"/>
      <c r="F44" s="391"/>
      <c r="G44" s="392"/>
      <c r="H44" s="393"/>
      <c r="I44" s="287"/>
      <c r="J44" s="243"/>
      <c r="K44" s="226"/>
      <c r="L44" s="243"/>
      <c r="M44" s="449"/>
      <c r="N44" s="450"/>
      <c r="O44" s="450"/>
      <c r="P44" s="450"/>
      <c r="Q44" s="450"/>
      <c r="R44" s="450"/>
      <c r="S44" s="450"/>
      <c r="T44" s="450"/>
      <c r="U44" s="450"/>
      <c r="V44" s="450"/>
      <c r="W44" s="450"/>
      <c r="X44" s="450"/>
      <c r="Y44" s="450"/>
      <c r="Z44" s="450"/>
      <c r="AA44" s="450"/>
      <c r="AB44" s="450"/>
      <c r="AC44" s="450"/>
      <c r="AD44" s="450"/>
      <c r="AE44" s="450"/>
      <c r="AF44" s="450"/>
      <c r="AG44" s="450"/>
      <c r="AH44" s="450"/>
      <c r="AI44" s="450"/>
      <c r="AJ44" s="451"/>
      <c r="AK44" s="149"/>
      <c r="AL44" s="149"/>
      <c r="AM44" s="185"/>
    </row>
    <row r="45" spans="1:39" ht="17.25" customHeight="1">
      <c r="A45" s="467"/>
      <c r="B45" s="171"/>
      <c r="C45" s="249"/>
      <c r="D45" s="244"/>
      <c r="E45" s="222"/>
      <c r="F45" s="401"/>
      <c r="G45" s="402"/>
      <c r="H45" s="403"/>
      <c r="I45" s="286"/>
      <c r="J45" s="241"/>
      <c r="K45" s="222"/>
      <c r="L45" s="241"/>
      <c r="M45" s="449"/>
      <c r="N45" s="450"/>
      <c r="O45" s="450"/>
      <c r="P45" s="450"/>
      <c r="Q45" s="450"/>
      <c r="R45" s="450"/>
      <c r="S45" s="450"/>
      <c r="T45" s="450"/>
      <c r="U45" s="450"/>
      <c r="V45" s="450"/>
      <c r="W45" s="450"/>
      <c r="X45" s="450"/>
      <c r="Y45" s="450"/>
      <c r="Z45" s="450"/>
      <c r="AA45" s="450"/>
      <c r="AB45" s="450"/>
      <c r="AC45" s="450"/>
      <c r="AD45" s="450"/>
      <c r="AE45" s="450"/>
      <c r="AF45" s="450"/>
      <c r="AG45" s="450"/>
      <c r="AH45" s="450"/>
      <c r="AI45" s="450"/>
      <c r="AJ45" s="451"/>
      <c r="AK45" s="149"/>
      <c r="AL45" s="149"/>
      <c r="AM45" s="185"/>
    </row>
    <row r="46" spans="1:39" ht="17.25" customHeight="1">
      <c r="A46" s="467"/>
      <c r="B46" s="171"/>
      <c r="C46" s="249"/>
      <c r="D46" s="242"/>
      <c r="E46" s="226"/>
      <c r="F46" s="391"/>
      <c r="G46" s="392"/>
      <c r="H46" s="393"/>
      <c r="I46" s="287"/>
      <c r="J46" s="243"/>
      <c r="K46" s="226"/>
      <c r="L46" s="243"/>
      <c r="M46" s="449"/>
      <c r="N46" s="450"/>
      <c r="O46" s="450"/>
      <c r="P46" s="450"/>
      <c r="Q46" s="450"/>
      <c r="R46" s="450"/>
      <c r="S46" s="450"/>
      <c r="T46" s="450"/>
      <c r="U46" s="450"/>
      <c r="V46" s="450"/>
      <c r="W46" s="450"/>
      <c r="X46" s="450"/>
      <c r="Y46" s="450"/>
      <c r="Z46" s="450"/>
      <c r="AA46" s="450"/>
      <c r="AB46" s="450"/>
      <c r="AC46" s="450"/>
      <c r="AD46" s="450"/>
      <c r="AE46" s="450"/>
      <c r="AF46" s="450"/>
      <c r="AG46" s="450"/>
      <c r="AH46" s="450"/>
      <c r="AI46" s="450"/>
      <c r="AJ46" s="451"/>
      <c r="AK46" s="149"/>
      <c r="AL46" s="149"/>
      <c r="AM46" s="185"/>
    </row>
    <row r="47" spans="1:39" ht="17.25" customHeight="1">
      <c r="A47" s="467"/>
      <c r="B47" s="171"/>
      <c r="C47" s="249"/>
      <c r="D47" s="245"/>
      <c r="E47" s="246"/>
      <c r="F47" s="401"/>
      <c r="G47" s="402"/>
      <c r="H47" s="403"/>
      <c r="I47" s="288"/>
      <c r="J47" s="247"/>
      <c r="K47" s="246"/>
      <c r="L47" s="247"/>
      <c r="M47" s="449"/>
      <c r="N47" s="450"/>
      <c r="O47" s="450"/>
      <c r="P47" s="450"/>
      <c r="Q47" s="450"/>
      <c r="R47" s="450"/>
      <c r="S47" s="450"/>
      <c r="T47" s="450"/>
      <c r="U47" s="450"/>
      <c r="V47" s="450"/>
      <c r="W47" s="450"/>
      <c r="X47" s="450"/>
      <c r="Y47" s="450"/>
      <c r="Z47" s="450"/>
      <c r="AA47" s="450"/>
      <c r="AB47" s="450"/>
      <c r="AC47" s="450"/>
      <c r="AD47" s="450"/>
      <c r="AE47" s="450"/>
      <c r="AF47" s="450"/>
      <c r="AG47" s="450"/>
      <c r="AH47" s="450"/>
      <c r="AI47" s="450"/>
      <c r="AJ47" s="451"/>
      <c r="AK47" s="149"/>
      <c r="AL47" s="149"/>
      <c r="AM47" s="185"/>
    </row>
    <row r="48" spans="1:39" ht="17.25" customHeight="1">
      <c r="A48" s="467"/>
      <c r="B48" s="171"/>
      <c r="C48" s="231"/>
      <c r="D48" s="244"/>
      <c r="E48" s="222"/>
      <c r="F48" s="391"/>
      <c r="G48" s="392"/>
      <c r="H48" s="393"/>
      <c r="I48" s="286"/>
      <c r="J48" s="241"/>
      <c r="K48" s="222"/>
      <c r="L48" s="241"/>
      <c r="M48" s="449"/>
      <c r="N48" s="450"/>
      <c r="O48" s="450"/>
      <c r="P48" s="450"/>
      <c r="Q48" s="450"/>
      <c r="R48" s="450"/>
      <c r="S48" s="450"/>
      <c r="T48" s="450"/>
      <c r="U48" s="450"/>
      <c r="V48" s="450"/>
      <c r="W48" s="450"/>
      <c r="X48" s="450"/>
      <c r="Y48" s="450"/>
      <c r="Z48" s="450"/>
      <c r="AA48" s="450"/>
      <c r="AB48" s="450"/>
      <c r="AC48" s="450"/>
      <c r="AD48" s="450"/>
      <c r="AE48" s="450"/>
      <c r="AF48" s="450"/>
      <c r="AG48" s="450"/>
      <c r="AH48" s="450"/>
      <c r="AI48" s="450"/>
      <c r="AJ48" s="451"/>
      <c r="AK48" s="149"/>
      <c r="AL48" s="149"/>
      <c r="AM48" s="185"/>
    </row>
    <row r="49" spans="1:39" ht="17.25" customHeight="1">
      <c r="A49" s="467"/>
      <c r="B49" s="171"/>
      <c r="C49" s="155"/>
      <c r="D49" s="158"/>
      <c r="E49" s="162"/>
      <c r="F49" s="159"/>
      <c r="G49" s="147"/>
      <c r="H49" s="160"/>
      <c r="I49" s="161"/>
      <c r="J49" s="162"/>
      <c r="K49" s="162"/>
      <c r="L49" s="162"/>
      <c r="M49" s="162"/>
      <c r="N49" s="162"/>
      <c r="O49" s="163"/>
      <c r="P49" s="161"/>
      <c r="Q49" s="161"/>
      <c r="R49" s="164"/>
      <c r="S49" s="165"/>
      <c r="T49" s="155"/>
      <c r="U49" s="164"/>
      <c r="V49" s="164"/>
      <c r="W49" s="164"/>
      <c r="X49" s="166"/>
      <c r="Y49" s="166"/>
      <c r="Z49" s="167"/>
      <c r="AA49" s="155"/>
      <c r="AB49" s="162"/>
      <c r="AC49" s="155"/>
      <c r="AD49" s="155"/>
      <c r="AE49" s="155"/>
      <c r="AF49" s="184"/>
      <c r="AG49" s="184"/>
      <c r="AH49" s="145"/>
      <c r="AI49" s="155"/>
      <c r="AK49" s="149"/>
      <c r="AL49" s="149"/>
      <c r="AM49" s="185"/>
    </row>
    <row r="50" spans="1:39" ht="17.25" customHeight="1">
      <c r="A50" s="467"/>
      <c r="B50" s="171"/>
      <c r="C50" s="155"/>
      <c r="D50" s="158"/>
      <c r="E50" s="162"/>
      <c r="F50" s="159"/>
      <c r="G50" s="147"/>
      <c r="H50" s="160"/>
      <c r="I50" s="161"/>
      <c r="J50" s="162"/>
      <c r="K50" s="162"/>
      <c r="L50" s="162"/>
      <c r="M50" s="162"/>
      <c r="N50" s="162"/>
      <c r="O50" s="163"/>
      <c r="P50" s="161"/>
      <c r="Q50" s="161"/>
      <c r="R50" s="164"/>
      <c r="S50" s="165"/>
      <c r="T50" s="155"/>
      <c r="U50" s="164"/>
      <c r="V50" s="164"/>
      <c r="W50" s="164"/>
      <c r="X50" s="166"/>
      <c r="Y50" s="166"/>
      <c r="Z50" s="167"/>
      <c r="AA50" s="155"/>
      <c r="AB50" s="162"/>
      <c r="AC50" s="155"/>
      <c r="AD50" s="155"/>
      <c r="AE50" s="155"/>
      <c r="AF50" s="184"/>
      <c r="AG50" s="184"/>
      <c r="AH50" s="145"/>
      <c r="AI50" s="155"/>
      <c r="AK50" s="149"/>
      <c r="AL50" s="149"/>
      <c r="AM50" s="185"/>
    </row>
    <row r="51" spans="1:39" ht="16.95" customHeight="1">
      <c r="A51" s="467"/>
      <c r="B51" s="171"/>
      <c r="C51" s="155"/>
      <c r="D51" s="158"/>
      <c r="F51" s="159"/>
      <c r="G51" s="147"/>
      <c r="H51" s="160"/>
      <c r="I51" s="161"/>
      <c r="J51" s="155"/>
      <c r="K51" s="162"/>
      <c r="L51" s="162"/>
      <c r="M51" s="162"/>
      <c r="N51" s="162"/>
      <c r="O51" s="163"/>
      <c r="P51" s="161"/>
      <c r="Q51" s="161"/>
      <c r="R51" s="164"/>
      <c r="S51" s="165"/>
      <c r="T51" s="155"/>
      <c r="U51" s="164"/>
      <c r="V51" s="164"/>
      <c r="W51" s="164"/>
      <c r="X51" s="166"/>
      <c r="Y51" s="166"/>
      <c r="Z51" s="167"/>
      <c r="AA51" s="155"/>
      <c r="AB51" s="162"/>
      <c r="AC51" s="155"/>
      <c r="AD51" s="155"/>
      <c r="AE51" s="155"/>
      <c r="AF51" s="184"/>
      <c r="AG51" s="184"/>
      <c r="AH51" s="145"/>
      <c r="AI51" s="155"/>
      <c r="AK51" s="149"/>
      <c r="AL51" s="149"/>
      <c r="AM51" s="185"/>
    </row>
    <row r="52" spans="1:39" ht="17.25" customHeight="1">
      <c r="A52" s="467"/>
      <c r="B52" s="171"/>
      <c r="D52" s="158"/>
      <c r="F52" s="159"/>
      <c r="G52" s="147"/>
      <c r="H52" s="160"/>
      <c r="I52" s="161"/>
      <c r="J52" s="155"/>
      <c r="K52" s="162"/>
      <c r="L52" s="162"/>
      <c r="M52" s="162"/>
      <c r="N52" s="162"/>
      <c r="O52" s="163"/>
      <c r="P52" s="161"/>
      <c r="Q52" s="161"/>
      <c r="R52" s="164"/>
      <c r="S52" s="165"/>
      <c r="T52" s="155"/>
      <c r="U52" s="164"/>
      <c r="V52" s="164"/>
      <c r="W52" s="164"/>
      <c r="X52" s="166"/>
      <c r="Y52" s="166"/>
      <c r="Z52" s="167"/>
      <c r="AA52" s="155"/>
      <c r="AB52" s="162"/>
      <c r="AC52" s="155"/>
      <c r="AD52" s="155"/>
      <c r="AE52" s="155"/>
      <c r="AF52" s="155"/>
      <c r="AG52" s="155"/>
      <c r="AH52" s="427" t="s">
        <v>24</v>
      </c>
      <c r="AI52" s="427"/>
      <c r="AJ52" s="427"/>
      <c r="AK52" s="149"/>
      <c r="AL52" s="149"/>
      <c r="AM52" s="185"/>
    </row>
    <row r="53" spans="1:39" ht="17.25" customHeight="1">
      <c r="A53" s="467"/>
      <c r="B53" s="171"/>
      <c r="AH53" s="427"/>
      <c r="AI53" s="428"/>
      <c r="AJ53" s="428"/>
      <c r="AK53" s="192"/>
      <c r="AL53" s="149"/>
      <c r="AM53" s="185"/>
    </row>
    <row r="54" spans="1:39" ht="17.25" customHeight="1">
      <c r="A54" s="467"/>
      <c r="B54" s="171"/>
      <c r="D54" s="145"/>
      <c r="E54" s="145"/>
      <c r="F54" s="146"/>
      <c r="G54" s="147"/>
      <c r="H54" s="147"/>
      <c r="AB54" s="424" t="s">
        <v>1658</v>
      </c>
      <c r="AC54" s="425"/>
      <c r="AD54" s="425"/>
      <c r="AE54" s="425"/>
      <c r="AF54" s="425"/>
      <c r="AG54" s="425"/>
      <c r="AH54" s="425"/>
      <c r="AI54" s="425"/>
      <c r="AJ54" s="425"/>
      <c r="AK54" s="426"/>
      <c r="AL54" s="149"/>
      <c r="AM54" s="185"/>
    </row>
    <row r="55" spans="1:39" ht="17.25" customHeight="1">
      <c r="A55" s="467"/>
      <c r="B55" s="438"/>
      <c r="C55" s="439"/>
      <c r="D55" s="439"/>
      <c r="E55" s="439"/>
      <c r="F55" s="440"/>
      <c r="G55" s="148"/>
      <c r="H55" s="151" t="s">
        <v>0</v>
      </c>
      <c r="I55" s="152"/>
      <c r="J55" s="142"/>
      <c r="K55" s="142"/>
      <c r="L55" s="148"/>
      <c r="M55" s="400" t="s">
        <v>47</v>
      </c>
      <c r="N55" s="400"/>
      <c r="O55" s="457" t="str">
        <f>IF(ISNUMBER(VALUE(RIGHT(O57,4))),RIGHT(O57,4),"Stationsbezeichnung ungültig / invalid station name")</f>
        <v>1630</v>
      </c>
      <c r="P55" s="458"/>
      <c r="Q55" s="458"/>
      <c r="R55" s="458"/>
      <c r="S55" s="459"/>
      <c r="T55" s="463" t="s">
        <v>13</v>
      </c>
      <c r="U55" s="400" t="s">
        <v>2</v>
      </c>
      <c r="V55" s="400"/>
      <c r="W55" s="153"/>
      <c r="X55" s="417" t="s">
        <v>1651</v>
      </c>
      <c r="Y55" s="418"/>
      <c r="Z55" s="456" t="s">
        <v>3</v>
      </c>
      <c r="AA55" s="456"/>
      <c r="AB55" s="422">
        <v>6</v>
      </c>
      <c r="AD55" s="142"/>
      <c r="AE55" s="142"/>
      <c r="AF55" s="174" t="s">
        <v>11</v>
      </c>
      <c r="AG55" s="174"/>
      <c r="AH55" s="168"/>
      <c r="AI55" s="148"/>
      <c r="AJ55" s="176" t="s">
        <v>4</v>
      </c>
      <c r="AK55" s="176" t="s">
        <v>5</v>
      </c>
      <c r="AL55" s="148"/>
      <c r="AM55" s="185"/>
    </row>
    <row r="56" spans="1:39" ht="17.25" customHeight="1">
      <c r="A56" s="467"/>
      <c r="B56" s="441"/>
      <c r="C56" s="442"/>
      <c r="D56" s="442"/>
      <c r="E56" s="442"/>
      <c r="F56" s="443"/>
      <c r="G56" s="149"/>
      <c r="H56" s="432" t="s">
        <v>31</v>
      </c>
      <c r="I56" s="433"/>
      <c r="J56" s="433"/>
      <c r="K56" s="433"/>
      <c r="L56" s="434"/>
      <c r="M56" s="400" t="s">
        <v>15</v>
      </c>
      <c r="N56" s="400"/>
      <c r="O56" s="460"/>
      <c r="P56" s="461"/>
      <c r="Q56" s="461"/>
      <c r="R56" s="461"/>
      <c r="S56" s="462"/>
      <c r="T56" s="464"/>
      <c r="U56" s="400" t="s">
        <v>52</v>
      </c>
      <c r="V56" s="400"/>
      <c r="W56" s="154"/>
      <c r="X56" s="420"/>
      <c r="Y56" s="421"/>
      <c r="Z56" s="415" t="s">
        <v>1263</v>
      </c>
      <c r="AA56" s="415"/>
      <c r="AB56" s="423"/>
      <c r="AF56" s="181" t="s">
        <v>58</v>
      </c>
      <c r="AG56" s="182"/>
      <c r="AH56" s="169"/>
      <c r="AI56" s="149"/>
      <c r="AJ56" s="183" t="s">
        <v>55</v>
      </c>
      <c r="AK56" s="193" t="s">
        <v>43</v>
      </c>
      <c r="AL56" s="149"/>
      <c r="AM56" s="185"/>
    </row>
    <row r="57" spans="1:39" ht="17.25" customHeight="1">
      <c r="A57" s="467"/>
      <c r="B57" s="441"/>
      <c r="C57" s="442"/>
      <c r="D57" s="442"/>
      <c r="E57" s="442"/>
      <c r="F57" s="443"/>
      <c r="G57" s="150"/>
      <c r="H57" s="175"/>
      <c r="I57" s="172"/>
      <c r="J57" s="172"/>
      <c r="K57" s="172"/>
      <c r="L57" s="173"/>
      <c r="M57" s="400" t="s">
        <v>48</v>
      </c>
      <c r="N57" s="400"/>
      <c r="O57" s="416" t="s">
        <v>1666</v>
      </c>
      <c r="P57" s="417"/>
      <c r="Q57" s="417"/>
      <c r="R57" s="417"/>
      <c r="S57" s="418"/>
      <c r="T57" s="465"/>
      <c r="U57" s="400" t="s">
        <v>7</v>
      </c>
      <c r="V57" s="400"/>
      <c r="W57" s="156"/>
      <c r="X57" s="417" t="s">
        <v>1640</v>
      </c>
      <c r="Y57" s="418"/>
      <c r="Z57" s="248" t="s">
        <v>8</v>
      </c>
      <c r="AA57" s="452">
        <v>45014</v>
      </c>
      <c r="AB57" s="453"/>
      <c r="AC57" s="157"/>
      <c r="AD57" s="144"/>
      <c r="AE57" s="144"/>
      <c r="AF57" s="196"/>
      <c r="AG57" s="196"/>
      <c r="AH57" s="196"/>
      <c r="AI57" s="197"/>
      <c r="AJ57" s="194"/>
      <c r="AK57" s="149"/>
      <c r="AL57" s="149"/>
      <c r="AM57" s="185"/>
    </row>
    <row r="58" spans="1:39" ht="18" customHeight="1">
      <c r="A58" s="467"/>
      <c r="B58" s="441"/>
      <c r="C58" s="442"/>
      <c r="D58" s="442"/>
      <c r="E58" s="442"/>
      <c r="F58" s="443"/>
      <c r="G58" s="148"/>
      <c r="H58" s="151" t="s">
        <v>56</v>
      </c>
      <c r="I58" s="152"/>
      <c r="J58" s="142"/>
      <c r="K58" s="142"/>
      <c r="L58" s="148"/>
      <c r="M58" s="400" t="s">
        <v>49</v>
      </c>
      <c r="N58" s="400"/>
      <c r="O58" s="419"/>
      <c r="P58" s="420"/>
      <c r="Q58" s="420"/>
      <c r="R58" s="420"/>
      <c r="S58" s="421"/>
      <c r="T58" s="463" t="s">
        <v>51</v>
      </c>
      <c r="U58" s="400" t="s">
        <v>53</v>
      </c>
      <c r="V58" s="400"/>
      <c r="W58" s="153"/>
      <c r="X58" s="420"/>
      <c r="Y58" s="421"/>
      <c r="Z58" s="248" t="s">
        <v>57</v>
      </c>
      <c r="AA58" s="454"/>
      <c r="AB58" s="455"/>
      <c r="AD58" s="142"/>
      <c r="AE58" s="142"/>
      <c r="AF58" s="413" t="s">
        <v>1657</v>
      </c>
      <c r="AG58" s="413"/>
      <c r="AH58" s="413"/>
      <c r="AI58" s="414"/>
      <c r="AJ58" s="447" t="s">
        <v>20</v>
      </c>
      <c r="AK58" s="447" t="s">
        <v>21</v>
      </c>
      <c r="AL58" s="149"/>
      <c r="AM58" s="185"/>
    </row>
    <row r="59" spans="1:39" ht="17.25" customHeight="1">
      <c r="A59" s="467"/>
      <c r="B59" s="441"/>
      <c r="C59" s="442"/>
      <c r="D59" s="442"/>
      <c r="E59" s="442"/>
      <c r="F59" s="443"/>
      <c r="G59" s="149"/>
      <c r="H59" s="432" t="s">
        <v>45</v>
      </c>
      <c r="I59" s="433"/>
      <c r="J59" s="433"/>
      <c r="K59" s="433"/>
      <c r="L59" s="434"/>
      <c r="M59" s="400" t="s">
        <v>6</v>
      </c>
      <c r="N59" s="400"/>
      <c r="O59" s="416" t="s">
        <v>1656</v>
      </c>
      <c r="P59" s="417"/>
      <c r="Q59" s="417"/>
      <c r="R59" s="417"/>
      <c r="S59" s="418"/>
      <c r="T59" s="464"/>
      <c r="U59" s="400" t="s">
        <v>10</v>
      </c>
      <c r="V59" s="400"/>
      <c r="W59" s="154"/>
      <c r="X59" s="417" t="s">
        <v>1652</v>
      </c>
      <c r="Y59" s="418"/>
      <c r="Z59" s="248" t="s">
        <v>9</v>
      </c>
      <c r="AA59" s="416" t="s">
        <v>1643</v>
      </c>
      <c r="AB59" s="418"/>
      <c r="AF59" s="195"/>
      <c r="AG59" s="196"/>
      <c r="AH59" s="196"/>
      <c r="AI59" s="197"/>
      <c r="AJ59" s="447"/>
      <c r="AK59" s="447"/>
      <c r="AL59" s="149"/>
      <c r="AM59" s="185"/>
    </row>
    <row r="60" spans="1:39" ht="17.25" customHeight="1">
      <c r="A60" s="468"/>
      <c r="B60" s="444"/>
      <c r="C60" s="445"/>
      <c r="D60" s="445"/>
      <c r="E60" s="445"/>
      <c r="F60" s="446"/>
      <c r="G60" s="150"/>
      <c r="H60" s="175"/>
      <c r="I60" s="172"/>
      <c r="J60" s="172"/>
      <c r="K60" s="172"/>
      <c r="L60" s="173"/>
      <c r="M60" s="400" t="s">
        <v>50</v>
      </c>
      <c r="N60" s="400"/>
      <c r="O60" s="419"/>
      <c r="P60" s="420"/>
      <c r="Q60" s="420"/>
      <c r="R60" s="420"/>
      <c r="S60" s="421"/>
      <c r="T60" s="465"/>
      <c r="U60" s="400" t="s">
        <v>54</v>
      </c>
      <c r="V60" s="400"/>
      <c r="W60" s="156"/>
      <c r="X60" s="420"/>
      <c r="Y60" s="421"/>
      <c r="Z60" s="248" t="s">
        <v>23</v>
      </c>
      <c r="AA60" s="419"/>
      <c r="AB60" s="421"/>
      <c r="AC60" s="157"/>
      <c r="AD60" s="144"/>
      <c r="AE60" s="144"/>
      <c r="AF60" s="198"/>
      <c r="AG60" s="198"/>
      <c r="AH60" s="198"/>
      <c r="AI60" s="199"/>
      <c r="AJ60" s="448"/>
      <c r="AK60" s="448"/>
      <c r="AL60" s="150"/>
      <c r="AM60" s="185"/>
    </row>
    <row r="61" spans="1:39" ht="17.25" customHeight="1">
      <c r="B61"/>
      <c r="C61"/>
      <c r="AH61"/>
    </row>
    <row r="62" spans="1:39" ht="17.25" customHeight="1">
      <c r="B62"/>
      <c r="C62"/>
      <c r="AH62"/>
    </row>
    <row r="63" spans="1:39" ht="17.25" customHeight="1">
      <c r="B63"/>
      <c r="C63"/>
      <c r="AH63"/>
    </row>
    <row r="64" spans="1:39" ht="17.25" customHeight="1">
      <c r="B64"/>
      <c r="C64"/>
      <c r="AH64"/>
    </row>
    <row r="65" spans="1:11" ht="17.25" customHeight="1">
      <c r="B65"/>
      <c r="C65"/>
    </row>
    <row r="66" spans="1:11" ht="17.25" customHeight="1">
      <c r="B66"/>
      <c r="C66"/>
    </row>
    <row r="67" spans="1:11" ht="17.25" customHeight="1">
      <c r="B67"/>
      <c r="C67"/>
    </row>
    <row r="68" spans="1:11" ht="17.25" customHeight="1">
      <c r="B68"/>
      <c r="C68"/>
    </row>
    <row r="70" spans="1:11" ht="17.25" customHeight="1">
      <c r="A70"/>
      <c r="B70"/>
      <c r="C70"/>
      <c r="K70" s="2"/>
    </row>
  </sheetData>
  <mergeCells count="125">
    <mergeCell ref="M7:AJ7"/>
    <mergeCell ref="M8:AJ8"/>
    <mergeCell ref="F44:H44"/>
    <mergeCell ref="F45:H45"/>
    <mergeCell ref="F46:H46"/>
    <mergeCell ref="F34:H34"/>
    <mergeCell ref="F42:H42"/>
    <mergeCell ref="M2:AJ2"/>
    <mergeCell ref="M3:AJ3"/>
    <mergeCell ref="M4:AJ4"/>
    <mergeCell ref="M5:AJ5"/>
    <mergeCell ref="M9:AJ9"/>
    <mergeCell ref="M6:AJ6"/>
    <mergeCell ref="F2:H2"/>
    <mergeCell ref="M25:AJ25"/>
    <mergeCell ref="M17:AJ17"/>
    <mergeCell ref="M18:AJ18"/>
    <mergeCell ref="M11:AJ11"/>
    <mergeCell ref="M35:AJ35"/>
    <mergeCell ref="M22:AJ22"/>
    <mergeCell ref="M30:AJ30"/>
    <mergeCell ref="M26:AJ26"/>
    <mergeCell ref="F14:H14"/>
    <mergeCell ref="F15:H15"/>
    <mergeCell ref="AK58:AK60"/>
    <mergeCell ref="A1:A30"/>
    <mergeCell ref="M44:AJ44"/>
    <mergeCell ref="M45:AJ45"/>
    <mergeCell ref="M46:AJ46"/>
    <mergeCell ref="M47:AJ47"/>
    <mergeCell ref="M40:AJ40"/>
    <mergeCell ref="M41:AJ41"/>
    <mergeCell ref="M42:AJ42"/>
    <mergeCell ref="M43:AJ43"/>
    <mergeCell ref="M36:AJ36"/>
    <mergeCell ref="M37:AJ37"/>
    <mergeCell ref="M38:AJ38"/>
    <mergeCell ref="M39:AJ39"/>
    <mergeCell ref="M32:AJ32"/>
    <mergeCell ref="M33:AJ33"/>
    <mergeCell ref="M34:AJ34"/>
    <mergeCell ref="M12:AJ12"/>
    <mergeCell ref="M23:AJ23"/>
    <mergeCell ref="M24:AJ24"/>
    <mergeCell ref="M16:AJ16"/>
    <mergeCell ref="M48:AJ48"/>
    <mergeCell ref="M10:AJ10"/>
    <mergeCell ref="M13:AJ13"/>
    <mergeCell ref="A31:A60"/>
    <mergeCell ref="F3:H3"/>
    <mergeCell ref="F4:H4"/>
    <mergeCell ref="F5:H5"/>
    <mergeCell ref="F6:H6"/>
    <mergeCell ref="F7:H7"/>
    <mergeCell ref="F8:H8"/>
    <mergeCell ref="F9:H9"/>
    <mergeCell ref="F10:H10"/>
    <mergeCell ref="F27:H27"/>
    <mergeCell ref="F22:H22"/>
    <mergeCell ref="F24:H24"/>
    <mergeCell ref="F23:H23"/>
    <mergeCell ref="F25:H25"/>
    <mergeCell ref="F17:H17"/>
    <mergeCell ref="F18:H18"/>
    <mergeCell ref="F21:H21"/>
    <mergeCell ref="F12:H12"/>
    <mergeCell ref="F13:H13"/>
    <mergeCell ref="F36:H36"/>
    <mergeCell ref="H59:L59"/>
    <mergeCell ref="F35:H35"/>
    <mergeCell ref="F32:H32"/>
    <mergeCell ref="F33:H33"/>
    <mergeCell ref="AJ58:AJ60"/>
    <mergeCell ref="M31:AJ31"/>
    <mergeCell ref="M27:AJ27"/>
    <mergeCell ref="AA57:AB58"/>
    <mergeCell ref="AA59:AB60"/>
    <mergeCell ref="M55:N55"/>
    <mergeCell ref="M56:N56"/>
    <mergeCell ref="M57:N57"/>
    <mergeCell ref="M58:N58"/>
    <mergeCell ref="M59:N59"/>
    <mergeCell ref="M60:N60"/>
    <mergeCell ref="Z55:AA55"/>
    <mergeCell ref="O55:S56"/>
    <mergeCell ref="T58:T60"/>
    <mergeCell ref="T55:T57"/>
    <mergeCell ref="X55:Y56"/>
    <mergeCell ref="X57:Y58"/>
    <mergeCell ref="X59:Y60"/>
    <mergeCell ref="F29:H29"/>
    <mergeCell ref="F48:H48"/>
    <mergeCell ref="F47:H47"/>
    <mergeCell ref="H56:L56"/>
    <mergeCell ref="U60:V60"/>
    <mergeCell ref="F16:H16"/>
    <mergeCell ref="F39:H39"/>
    <mergeCell ref="F40:H40"/>
    <mergeCell ref="O57:S58"/>
    <mergeCell ref="F37:H37"/>
    <mergeCell ref="B55:F60"/>
    <mergeCell ref="F11:H11"/>
    <mergeCell ref="F38:H38"/>
    <mergeCell ref="F30:H30"/>
    <mergeCell ref="F31:H31"/>
    <mergeCell ref="U57:V57"/>
    <mergeCell ref="U58:V58"/>
    <mergeCell ref="U59:V59"/>
    <mergeCell ref="F43:H43"/>
    <mergeCell ref="F41:H41"/>
    <mergeCell ref="M29:AJ29"/>
    <mergeCell ref="M28:AJ28"/>
    <mergeCell ref="M14:AJ14"/>
    <mergeCell ref="M15:AJ15"/>
    <mergeCell ref="AF58:AI58"/>
    <mergeCell ref="Z56:AA56"/>
    <mergeCell ref="U55:V55"/>
    <mergeCell ref="U56:V56"/>
    <mergeCell ref="O59:S60"/>
    <mergeCell ref="AB55:AB56"/>
    <mergeCell ref="AB54:AK54"/>
    <mergeCell ref="AH52:AJ52"/>
    <mergeCell ref="AH53:AJ53"/>
    <mergeCell ref="F26:H26"/>
    <mergeCell ref="F28:H28"/>
  </mergeCells>
  <phoneticPr fontId="0" type="noConversion"/>
  <conditionalFormatting sqref="O55:S56">
    <cfRule type="containsText" dxfId="202" priority="1" operator="containsText" text="Stationsbezeichnung ungültig / invalid station name">
      <formula>NOT(ISERROR(SEARCH("Stationsbezeichnung ungültig / invalid station name",O55)))</formula>
    </cfRule>
  </conditionalFormatting>
  <printOptions horizontalCentered="1" verticalCentered="1"/>
  <pageMargins left="0.31496062992125984" right="0.31496062992125984" top="0.59055118110236227" bottom="0.31496062992125984" header="0.39370078740157483" footer="0.19685039370078741"/>
  <pageSetup scale="50" orientation="landscape" r:id="rId1"/>
  <headerFooter alignWithMargins="0">
    <oddFooter>&amp;C&amp;D&amp;R&amp;F</oddFooter>
  </headerFooter>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05CFED-5A0C-4829-83DB-079451547855}">
  <sheetPr codeName="Tabelle19">
    <pageSetUpPr fitToPage="1"/>
  </sheetPr>
  <dimension ref="A1:CK50"/>
  <sheetViews>
    <sheetView showWhiteSpace="0" zoomScale="30" zoomScaleNormal="30" zoomScaleSheetLayoutView="40" zoomScalePageLayoutView="10" workbookViewId="0">
      <selection activeCell="C30" sqref="C30"/>
    </sheetView>
  </sheetViews>
  <sheetFormatPr defaultColWidth="11" defaultRowHeight="15" customHeight="1"/>
  <cols>
    <col min="1" max="1" width="3.44140625" style="47" customWidth="1"/>
    <col min="2" max="2" width="1.44140625" style="47" customWidth="1"/>
    <col min="3" max="3" width="22.6640625" style="47" customWidth="1"/>
    <col min="4" max="4" width="39" style="47" customWidth="1"/>
    <col min="5" max="5" width="18.109375" style="47" customWidth="1"/>
    <col min="6" max="6" width="30.44140625" style="6" customWidth="1"/>
    <col min="7" max="7" width="7.88671875" style="47" customWidth="1"/>
    <col min="8" max="8" width="29.6640625" style="47" customWidth="1"/>
    <col min="9" max="9" width="8.44140625" style="47" customWidth="1"/>
    <col min="10" max="12" width="11" style="6" customWidth="1"/>
    <col min="13" max="15" width="28.6640625" style="6" customWidth="1"/>
    <col min="16" max="16" width="9.44140625" style="6" customWidth="1"/>
    <col min="17" max="17" width="26.6640625" style="6" customWidth="1"/>
    <col min="18" max="18" width="12.88671875" style="6" bestFit="1" customWidth="1"/>
    <col min="19" max="19" width="9.44140625" style="6" customWidth="1"/>
    <col min="20" max="20" width="26.6640625" style="6" customWidth="1"/>
    <col min="21" max="21" width="12.88671875" style="6" bestFit="1" customWidth="1"/>
    <col min="22" max="22" width="9.44140625" style="6" customWidth="1"/>
    <col min="23" max="23" width="26.6640625" style="6" customWidth="1"/>
    <col min="24" max="24" width="12.88671875" style="6" bestFit="1" customWidth="1"/>
    <col min="25" max="25" width="7.88671875" style="6" customWidth="1"/>
    <col min="26" max="26" width="10.44140625" style="47" customWidth="1"/>
    <col min="27" max="27" width="11.109375" style="47" customWidth="1"/>
    <col min="28" max="28" width="11.6640625" style="47" customWidth="1"/>
    <col min="29" max="30" width="10.44140625" style="47" customWidth="1"/>
    <col min="31" max="31" width="12" style="47" customWidth="1"/>
    <col min="32" max="33" width="10.44140625" style="4" customWidth="1"/>
    <col min="34" max="34" width="16" style="47" customWidth="1"/>
    <col min="35" max="38" width="11.5546875" style="47" customWidth="1"/>
    <col min="39" max="39" width="15.109375" style="47" customWidth="1"/>
    <col min="40" max="40" width="17.33203125" style="47" customWidth="1"/>
    <col min="41" max="50" width="11.6640625" style="47" customWidth="1"/>
    <col min="51" max="89" width="23.44140625" style="47" hidden="1" customWidth="1"/>
    <col min="90" max="114" width="0" style="47" hidden="1" customWidth="1"/>
    <col min="115" max="16384" width="11" style="47"/>
  </cols>
  <sheetData>
    <row r="1" spans="1:74" ht="15" customHeight="1">
      <c r="A1" s="59"/>
      <c r="B1" s="59"/>
      <c r="C1" s="59"/>
      <c r="D1" s="59"/>
      <c r="E1" s="59"/>
      <c r="F1" s="59"/>
      <c r="G1" s="59"/>
      <c r="H1" s="59"/>
      <c r="I1" s="59"/>
      <c r="J1" s="59"/>
      <c r="K1" s="59"/>
      <c r="L1" s="59"/>
      <c r="M1" s="59"/>
      <c r="N1" s="59"/>
      <c r="O1" s="59"/>
      <c r="P1" s="59"/>
      <c r="Q1" s="59"/>
      <c r="R1" s="59"/>
      <c r="S1" s="59"/>
      <c r="T1" s="59"/>
      <c r="U1" s="59"/>
      <c r="V1" s="59"/>
      <c r="W1" s="59"/>
      <c r="X1" s="59"/>
      <c r="Y1" s="59"/>
      <c r="Z1" s="59"/>
      <c r="AA1" s="59"/>
      <c r="AB1" s="59"/>
      <c r="AC1" s="59"/>
      <c r="AD1" s="59"/>
      <c r="AE1" s="59"/>
      <c r="AF1" s="58"/>
      <c r="AG1" s="58"/>
      <c r="AH1" s="59"/>
      <c r="AI1" s="59"/>
      <c r="AJ1" s="59"/>
      <c r="AK1" s="59"/>
      <c r="AL1" s="59"/>
      <c r="AM1" s="59"/>
      <c r="AN1" s="59"/>
      <c r="AO1" s="59"/>
      <c r="AP1" s="59"/>
      <c r="AQ1" s="59"/>
      <c r="AR1" s="59"/>
      <c r="AS1" s="59"/>
      <c r="AT1" s="59"/>
      <c r="AU1" s="59"/>
      <c r="AV1" s="59"/>
      <c r="AW1" s="59"/>
      <c r="AX1" s="59"/>
      <c r="AY1" s="59"/>
      <c r="AZ1" s="59"/>
      <c r="BA1" s="59"/>
      <c r="BB1" s="59"/>
      <c r="BD1" s="808" t="s">
        <v>1169</v>
      </c>
      <c r="BE1" s="808" t="s">
        <v>1174</v>
      </c>
      <c r="BF1" s="808"/>
      <c r="BG1" s="808"/>
      <c r="BH1" s="808" t="s">
        <v>1256</v>
      </c>
    </row>
    <row r="2" spans="1:74" ht="6.75" customHeight="1" thickBot="1">
      <c r="A2" s="59"/>
      <c r="B2" s="59"/>
      <c r="C2" s="59"/>
      <c r="D2" s="59"/>
      <c r="E2" s="59"/>
      <c r="F2" s="60"/>
      <c r="G2" s="59"/>
      <c r="H2" s="59"/>
      <c r="I2" s="59"/>
      <c r="J2" s="60"/>
      <c r="K2" s="60"/>
      <c r="L2" s="60"/>
      <c r="M2" s="60"/>
      <c r="N2" s="60"/>
      <c r="O2" s="60"/>
      <c r="P2" s="60"/>
      <c r="Q2" s="60"/>
      <c r="R2" s="60"/>
      <c r="S2" s="60"/>
      <c r="T2" s="60"/>
      <c r="U2" s="60"/>
      <c r="V2" s="60"/>
      <c r="W2" s="60"/>
      <c r="X2" s="60"/>
      <c r="Y2" s="60"/>
      <c r="Z2" s="59"/>
      <c r="AA2" s="59"/>
      <c r="AB2" s="59"/>
      <c r="AC2" s="59"/>
      <c r="AD2" s="59"/>
      <c r="AE2" s="59"/>
      <c r="AF2" s="58"/>
      <c r="AG2" s="58"/>
      <c r="AH2" s="59"/>
      <c r="AI2" s="59"/>
      <c r="AJ2" s="59"/>
      <c r="AK2" s="59"/>
      <c r="AL2" s="59"/>
      <c r="AM2" s="59"/>
      <c r="AN2" s="59"/>
      <c r="AO2" s="59"/>
      <c r="AP2" s="59"/>
      <c r="AQ2" s="59"/>
      <c r="AR2" s="59"/>
      <c r="AS2" s="59"/>
      <c r="AT2" s="59"/>
      <c r="AU2" s="59"/>
      <c r="AV2" s="59"/>
      <c r="AW2" s="59"/>
      <c r="AX2" s="59"/>
      <c r="AY2" s="59"/>
      <c r="AZ2" s="59"/>
      <c r="BA2" s="59"/>
      <c r="BB2" s="59"/>
      <c r="BD2" s="808"/>
      <c r="BE2" s="809"/>
      <c r="BF2" s="809"/>
      <c r="BG2" s="808"/>
      <c r="BH2" s="808"/>
    </row>
    <row r="3" spans="1:74" ht="39" customHeight="1" thickBot="1">
      <c r="A3" s="810"/>
      <c r="B3" s="7"/>
      <c r="C3" s="813" t="s">
        <v>32</v>
      </c>
      <c r="D3" s="814"/>
      <c r="E3" s="815"/>
      <c r="F3" s="816" t="str">
        <f>IF($E$6="DE","Karosseriebau","Bodyshop")</f>
        <v>Karosseriebau</v>
      </c>
      <c r="G3" s="817"/>
      <c r="H3" s="817"/>
      <c r="I3" s="817"/>
      <c r="J3" s="817"/>
      <c r="K3" s="817"/>
      <c r="L3" s="817"/>
      <c r="M3" s="817"/>
      <c r="N3" s="817"/>
      <c r="O3" s="817"/>
      <c r="P3" s="817"/>
      <c r="Q3" s="817"/>
      <c r="R3" s="817"/>
      <c r="S3" s="818"/>
      <c r="T3" s="819" t="s">
        <v>1255</v>
      </c>
      <c r="U3" s="820"/>
      <c r="V3" s="820"/>
      <c r="W3" s="820"/>
      <c r="X3" s="820"/>
      <c r="Y3" s="820"/>
      <c r="Z3" s="820"/>
      <c r="AA3" s="820"/>
      <c r="AB3" s="820"/>
      <c r="AC3" s="820"/>
      <c r="AD3" s="820"/>
      <c r="AE3" s="820"/>
      <c r="AF3" s="820"/>
      <c r="AG3" s="820"/>
      <c r="AH3" s="820"/>
      <c r="AI3" s="820"/>
      <c r="AJ3" s="820"/>
      <c r="AK3" s="821" t="s">
        <v>1637</v>
      </c>
      <c r="AL3" s="822"/>
      <c r="AM3" s="822"/>
      <c r="AN3" s="823"/>
      <c r="AO3" s="841"/>
      <c r="AP3" s="842"/>
      <c r="AQ3" s="842"/>
      <c r="AR3" s="842"/>
      <c r="AS3" s="842"/>
      <c r="AT3" s="842"/>
      <c r="AU3" s="842"/>
      <c r="AV3" s="842"/>
      <c r="AW3" s="842"/>
      <c r="AX3" s="842"/>
      <c r="AY3" s="259"/>
      <c r="AZ3" s="259"/>
      <c r="BA3" s="259"/>
      <c r="BB3" s="259"/>
      <c r="BC3" s="33"/>
      <c r="BD3" s="33"/>
      <c r="BE3" s="86" t="s">
        <v>1180</v>
      </c>
      <c r="BF3" s="89"/>
      <c r="BH3" s="88"/>
    </row>
    <row r="4" spans="1:74" ht="63" customHeight="1">
      <c r="A4" s="811"/>
      <c r="B4" s="7"/>
      <c r="C4" s="845" t="str">
        <f>IF($E$6="DE","Punktschweißen","Spot Welding")</f>
        <v>Punktschweißen</v>
      </c>
      <c r="D4" s="846"/>
      <c r="E4" s="846"/>
      <c r="F4" s="846"/>
      <c r="G4" s="846"/>
      <c r="H4" s="846"/>
      <c r="I4" s="846"/>
      <c r="J4" s="846"/>
      <c r="K4" s="846"/>
      <c r="L4" s="847"/>
      <c r="M4" s="851" t="str">
        <f>IF($E$6="DE","Zeichnungsstand:","Dwg release:")</f>
        <v>Zeichnungsstand:</v>
      </c>
      <c r="N4" s="852"/>
      <c r="O4" s="853"/>
      <c r="P4" s="857">
        <v>44971</v>
      </c>
      <c r="Q4" s="858"/>
      <c r="R4" s="858"/>
      <c r="S4" s="859"/>
      <c r="T4" s="862"/>
      <c r="U4" s="863"/>
      <c r="V4" s="863"/>
      <c r="W4" s="863"/>
      <c r="X4" s="863"/>
      <c r="Y4" s="863"/>
      <c r="Z4" s="863"/>
      <c r="AA4" s="863"/>
      <c r="AB4" s="863"/>
      <c r="AC4" s="863"/>
      <c r="AD4" s="863"/>
      <c r="AE4" s="863"/>
      <c r="AF4" s="863"/>
      <c r="AG4" s="864"/>
      <c r="AH4" s="868" t="str">
        <f>IF($E$6="DE","Elektrodenkappe","Electrode Cap")</f>
        <v>Elektrodenkappe</v>
      </c>
      <c r="AI4" s="869"/>
      <c r="AJ4" s="870"/>
      <c r="AK4" s="874" t="e">
        <f>X37</f>
        <v>#VALUE!</v>
      </c>
      <c r="AL4" s="874"/>
      <c r="AM4" s="874"/>
      <c r="AN4" s="875"/>
      <c r="AO4" s="841"/>
      <c r="AP4" s="842"/>
      <c r="AQ4" s="842"/>
      <c r="AR4" s="842"/>
      <c r="AS4" s="842"/>
      <c r="AT4" s="842"/>
      <c r="AU4" s="842"/>
      <c r="AV4" s="842"/>
      <c r="AW4" s="842"/>
      <c r="AX4" s="842"/>
      <c r="AY4" s="259"/>
      <c r="AZ4" s="259"/>
      <c r="BA4" s="259"/>
      <c r="BB4" s="259"/>
      <c r="BC4" s="32"/>
      <c r="BD4" s="52" t="s">
        <v>1167</v>
      </c>
      <c r="BE4" s="52" t="s">
        <v>1178</v>
      </c>
      <c r="BF4" s="85"/>
      <c r="BH4" s="87" t="s">
        <v>1257</v>
      </c>
    </row>
    <row r="5" spans="1:74" ht="57" customHeight="1" thickBot="1">
      <c r="A5" s="811"/>
      <c r="B5" s="7"/>
      <c r="C5" s="848"/>
      <c r="D5" s="849"/>
      <c r="E5" s="849"/>
      <c r="F5" s="849"/>
      <c r="G5" s="849"/>
      <c r="H5" s="849"/>
      <c r="I5" s="849"/>
      <c r="J5" s="849"/>
      <c r="K5" s="849"/>
      <c r="L5" s="850"/>
      <c r="M5" s="854"/>
      <c r="N5" s="855"/>
      <c r="O5" s="856"/>
      <c r="P5" s="860"/>
      <c r="Q5" s="860"/>
      <c r="R5" s="860"/>
      <c r="S5" s="861"/>
      <c r="T5" s="865"/>
      <c r="U5" s="866"/>
      <c r="V5" s="866"/>
      <c r="W5" s="866"/>
      <c r="X5" s="866"/>
      <c r="Y5" s="866"/>
      <c r="Z5" s="866"/>
      <c r="AA5" s="866"/>
      <c r="AB5" s="866"/>
      <c r="AC5" s="866"/>
      <c r="AD5" s="866"/>
      <c r="AE5" s="866"/>
      <c r="AF5" s="866"/>
      <c r="AG5" s="867"/>
      <c r="AH5" s="871"/>
      <c r="AI5" s="872"/>
      <c r="AJ5" s="873"/>
      <c r="AK5" s="876"/>
      <c r="AL5" s="876"/>
      <c r="AM5" s="876"/>
      <c r="AN5" s="877"/>
      <c r="AO5" s="841"/>
      <c r="AP5" s="842"/>
      <c r="AQ5" s="842"/>
      <c r="AR5" s="842"/>
      <c r="AS5" s="842"/>
      <c r="AT5" s="842"/>
      <c r="AU5" s="842"/>
      <c r="AV5" s="842"/>
      <c r="AW5" s="842"/>
      <c r="AX5" s="842"/>
      <c r="AY5" s="259"/>
      <c r="AZ5" s="259"/>
      <c r="BA5" s="259"/>
      <c r="BB5" s="259"/>
      <c r="BC5" s="31"/>
      <c r="BD5" s="53" t="s">
        <v>1168</v>
      </c>
      <c r="BE5" s="52" t="s">
        <v>1179</v>
      </c>
      <c r="BF5" s="85"/>
      <c r="BH5" s="85" t="s">
        <v>1258</v>
      </c>
      <c r="BK5" s="46" t="s">
        <v>1177</v>
      </c>
    </row>
    <row r="6" spans="1:74" ht="38.25" customHeight="1">
      <c r="A6" s="811"/>
      <c r="B6" s="7"/>
      <c r="C6" s="878" t="s">
        <v>1166</v>
      </c>
      <c r="D6" s="879"/>
      <c r="E6" s="884" t="s">
        <v>1167</v>
      </c>
      <c r="F6" s="786" t="s">
        <v>1175</v>
      </c>
      <c r="G6" s="800" t="s">
        <v>1179</v>
      </c>
      <c r="H6" s="802" t="str">
        <f>IF(G6="SPZ","Servopneumatische Schweißzange /                    Servopneumatic Welding Gun",IF(G6="RZ","Roboterschweißzange /                            Robot Welding Gun","Zangentyp auswählen! /                                          Choose Gun Type"))</f>
        <v>Roboterschweißzange /                            Robot Welding Gun</v>
      </c>
      <c r="I6" s="803"/>
      <c r="J6" s="803"/>
      <c r="K6" s="803"/>
      <c r="L6" s="804"/>
      <c r="M6" s="732" t="s">
        <v>1656</v>
      </c>
      <c r="N6" s="733"/>
      <c r="O6" s="733"/>
      <c r="P6" s="733"/>
      <c r="Q6" s="733"/>
      <c r="R6" s="733"/>
      <c r="S6" s="734"/>
      <c r="T6" s="824" t="s">
        <v>1650</v>
      </c>
      <c r="U6" s="824"/>
      <c r="V6" s="824"/>
      <c r="W6" s="824"/>
      <c r="X6" s="824"/>
      <c r="Y6" s="824"/>
      <c r="Z6" s="824"/>
      <c r="AA6" s="824"/>
      <c r="AB6" s="824"/>
      <c r="AC6" s="824"/>
      <c r="AD6" s="824"/>
      <c r="AE6" s="824"/>
      <c r="AF6" s="824"/>
      <c r="AG6" s="825"/>
      <c r="AH6" s="720" t="str">
        <f>IF($E$6="DE","Sonderelektrode (manuelle Auswahl)","Special Electrode Cap (manual selection)")</f>
        <v>Sonderelektrode (manuelle Auswahl)</v>
      </c>
      <c r="AI6" s="830"/>
      <c r="AJ6" s="831"/>
      <c r="AK6" s="832" t="str">
        <f>IF($E$6="DE","Sonderfräsmesser (manuelle Auswahl)","Special Tip-Dresser (manual selection)")</f>
        <v>Sonderfräsmesser (manuelle Auswahl)</v>
      </c>
      <c r="AL6" s="833"/>
      <c r="AM6" s="833"/>
      <c r="AN6" s="834"/>
      <c r="AO6" s="841"/>
      <c r="AP6" s="842"/>
      <c r="AQ6" s="842"/>
      <c r="AR6" s="842"/>
      <c r="AS6" s="842"/>
      <c r="AT6" s="842"/>
      <c r="AU6" s="842"/>
      <c r="AV6" s="842"/>
      <c r="AW6" s="842"/>
      <c r="AX6" s="842"/>
      <c r="AY6" s="259"/>
      <c r="AZ6" s="259"/>
      <c r="BA6" s="259"/>
      <c r="BB6" s="259"/>
      <c r="BK6" s="46" t="s">
        <v>1176</v>
      </c>
    </row>
    <row r="7" spans="1:74" ht="38.25" customHeight="1">
      <c r="A7" s="811"/>
      <c r="B7" s="7"/>
      <c r="C7" s="880"/>
      <c r="D7" s="881"/>
      <c r="E7" s="885"/>
      <c r="F7" s="787"/>
      <c r="G7" s="801"/>
      <c r="H7" s="805"/>
      <c r="I7" s="806"/>
      <c r="J7" s="806"/>
      <c r="K7" s="806"/>
      <c r="L7" s="807"/>
      <c r="M7" s="735"/>
      <c r="N7" s="736"/>
      <c r="O7" s="736"/>
      <c r="P7" s="736"/>
      <c r="Q7" s="736"/>
      <c r="R7" s="736"/>
      <c r="S7" s="737"/>
      <c r="T7" s="826"/>
      <c r="U7" s="826"/>
      <c r="V7" s="826"/>
      <c r="W7" s="826"/>
      <c r="X7" s="826"/>
      <c r="Y7" s="826"/>
      <c r="Z7" s="826"/>
      <c r="AA7" s="826"/>
      <c r="AB7" s="826"/>
      <c r="AC7" s="826"/>
      <c r="AD7" s="826"/>
      <c r="AE7" s="826"/>
      <c r="AF7" s="826"/>
      <c r="AG7" s="827"/>
      <c r="AH7" s="764"/>
      <c r="AI7" s="765"/>
      <c r="AJ7" s="766"/>
      <c r="AK7" s="105" t="s">
        <v>1170</v>
      </c>
      <c r="AL7" s="106" t="s">
        <v>1172</v>
      </c>
      <c r="AM7" s="106" t="s">
        <v>1171</v>
      </c>
      <c r="AN7" s="107" t="s">
        <v>1173</v>
      </c>
      <c r="AO7" s="841"/>
      <c r="AP7" s="842"/>
      <c r="AQ7" s="842"/>
      <c r="AR7" s="842"/>
      <c r="AS7" s="842"/>
      <c r="AT7" s="842"/>
      <c r="AU7" s="842"/>
      <c r="AV7" s="842"/>
      <c r="AW7" s="842"/>
      <c r="AX7" s="842"/>
      <c r="AY7" s="259"/>
      <c r="AZ7" s="259"/>
      <c r="BA7" s="259"/>
      <c r="BB7" s="259"/>
    </row>
    <row r="8" spans="1:74" ht="53.25" customHeight="1" thickBot="1">
      <c r="A8" s="811"/>
      <c r="B8" s="7"/>
      <c r="C8" s="882"/>
      <c r="D8" s="883"/>
      <c r="E8" s="886"/>
      <c r="F8" s="138" t="str">
        <f>IF(E6="DE","Doppelzange (J/N)","Twin-Spot-Gun (J=Yes/N=No)")</f>
        <v>Doppelzange (J/N)</v>
      </c>
      <c r="G8" s="137" t="s">
        <v>1645</v>
      </c>
      <c r="H8" s="835"/>
      <c r="I8" s="836"/>
      <c r="J8" s="836"/>
      <c r="K8" s="836"/>
      <c r="L8" s="837"/>
      <c r="M8" s="738"/>
      <c r="N8" s="739"/>
      <c r="O8" s="739"/>
      <c r="P8" s="739"/>
      <c r="Q8" s="739"/>
      <c r="R8" s="739"/>
      <c r="S8" s="740"/>
      <c r="T8" s="828"/>
      <c r="U8" s="828"/>
      <c r="V8" s="828"/>
      <c r="W8" s="828"/>
      <c r="X8" s="828"/>
      <c r="Y8" s="828"/>
      <c r="Z8" s="828"/>
      <c r="AA8" s="828"/>
      <c r="AB8" s="828"/>
      <c r="AC8" s="828"/>
      <c r="AD8" s="828"/>
      <c r="AE8" s="828"/>
      <c r="AF8" s="828"/>
      <c r="AG8" s="829"/>
      <c r="AH8" s="838"/>
      <c r="AI8" s="839"/>
      <c r="AJ8" s="840"/>
      <c r="AK8" s="54">
        <v>8</v>
      </c>
      <c r="AL8" s="55">
        <v>50</v>
      </c>
      <c r="AM8" s="56">
        <v>8</v>
      </c>
      <c r="AN8" s="57">
        <v>50</v>
      </c>
      <c r="AO8" s="843"/>
      <c r="AP8" s="844"/>
      <c r="AQ8" s="844"/>
      <c r="AR8" s="844"/>
      <c r="AS8" s="844"/>
      <c r="AT8" s="844"/>
      <c r="AU8" s="844"/>
      <c r="AV8" s="844"/>
      <c r="AW8" s="844"/>
      <c r="AX8" s="844"/>
      <c r="AY8" s="259"/>
      <c r="AZ8" s="259"/>
      <c r="BA8" s="259"/>
      <c r="BB8" s="259"/>
    </row>
    <row r="9" spans="1:74" ht="43.5" customHeight="1">
      <c r="A9" s="811"/>
      <c r="B9" s="7"/>
      <c r="C9" s="788" t="str">
        <f>IF($E$6="DE","Punkt- Nummer (Index)","Welding-Spot Number (Index)")</f>
        <v>Punkt- Nummer (Index)</v>
      </c>
      <c r="D9" s="791" t="str">
        <f>IF($E$6="DE","Punkt- Name                                                   (FE - Bezeichnung)","Welding-Spot Number                                              (FE - designition)")</f>
        <v>Punkt- Name                                                   (FE - Bezeichnung)</v>
      </c>
      <c r="E9" s="794" t="str">
        <f>IF($E$6="DE","Schweißkoffer","Welding case-No.")</f>
        <v>Schweißkoffer</v>
      </c>
      <c r="F9" s="794" t="str">
        <f>IF($E$6="DE","Schweißen durch Rob. IR .. /                                Werker WA ..","Welding with Rob. IR ... /                    Worker WR No …")</f>
        <v>Schweißen durch Rob. IR .. /                                Werker WA ..</v>
      </c>
      <c r="G9" s="794" t="str">
        <f>IF($E$6="DE","Schweißzangen-Typ","Weldgun - Type")</f>
        <v>Schweißzangen-Typ</v>
      </c>
      <c r="H9" s="797" t="str">
        <f>IF($E$6="DE","Schweißzangen-Nr.","Weldgun drawing No.")</f>
        <v>Schweißzangen-Nr.</v>
      </c>
      <c r="I9" s="761" t="str">
        <f>IF($E$6="DE","Trafo","Weld-Transformer")</f>
        <v>Trafo</v>
      </c>
      <c r="J9" s="764" t="str">
        <f>IF($E$6="DE","Netzlinien","Car Netline")</f>
        <v>Netzlinien</v>
      </c>
      <c r="K9" s="765"/>
      <c r="L9" s="766"/>
      <c r="M9" s="764" t="str">
        <f>IF($E$6="DE","Blechpaarung","Sheet metal stack")</f>
        <v>Blechpaarung</v>
      </c>
      <c r="N9" s="765"/>
      <c r="O9" s="767"/>
      <c r="P9" s="768" t="str">
        <f>IF($E$6="DE","Blechdicke / Werkstoff","Sheet Thickness / Material")</f>
        <v>Blechdicke / Werkstoff</v>
      </c>
      <c r="Q9" s="769"/>
      <c r="R9" s="769"/>
      <c r="S9" s="769"/>
      <c r="T9" s="769"/>
      <c r="U9" s="769"/>
      <c r="V9" s="769"/>
      <c r="W9" s="769"/>
      <c r="X9" s="770"/>
      <c r="Y9" s="275"/>
      <c r="Z9" s="771" t="str">
        <f>IF($E$6="DE","Zwischenrechnung","theoretical Values")</f>
        <v>Zwischenrechnung</v>
      </c>
      <c r="AA9" s="772"/>
      <c r="AB9" s="773"/>
      <c r="AC9" s="764" t="str">
        <f>IF($E$6="DE","Schweißparameter","Welding Parameters")</f>
        <v>Schweißparameter</v>
      </c>
      <c r="AD9" s="765"/>
      <c r="AE9" s="766"/>
      <c r="AF9" s="714" t="str">
        <f>IF($E$6="DE","Anforderung","Requirement")</f>
        <v>Anforderung</v>
      </c>
      <c r="AG9" s="715"/>
      <c r="AH9" s="716" t="str">
        <f>IF($E$6="DE","benötigte Elektrodenkappen für Schweißpunkt","required Electrode Caps for Spot")</f>
        <v>benötigte Elektrodenkappen für Schweißpunkt</v>
      </c>
      <c r="AI9" s="717"/>
      <c r="AJ9" s="717"/>
      <c r="AK9" s="718"/>
      <c r="AL9" s="719"/>
      <c r="AM9" s="720" t="str">
        <f>IF($E$6="DE","Bemerkung","Comments")</f>
        <v>Bemerkung</v>
      </c>
      <c r="AN9" s="721"/>
      <c r="AO9" s="741" t="str">
        <f>IF($E$6="DE","Schweißpunkte gültig für folgende Typen:","Welding Spots valid for the following Types")</f>
        <v>Schweißpunkte gültig für folgende Typen:</v>
      </c>
      <c r="AP9" s="718"/>
      <c r="AQ9" s="718"/>
      <c r="AR9" s="718"/>
      <c r="AS9" s="718"/>
      <c r="AT9" s="718"/>
      <c r="AU9" s="718"/>
      <c r="AV9" s="718"/>
      <c r="AW9" s="718"/>
      <c r="AX9" s="719"/>
      <c r="AY9" s="259"/>
      <c r="AZ9" s="259"/>
      <c r="BA9" s="259"/>
      <c r="BB9" s="259"/>
    </row>
    <row r="10" spans="1:74" ht="32.25" customHeight="1">
      <c r="A10" s="811"/>
      <c r="B10" s="7"/>
      <c r="C10" s="789"/>
      <c r="D10" s="792"/>
      <c r="E10" s="795"/>
      <c r="F10" s="795"/>
      <c r="G10" s="795"/>
      <c r="H10" s="798"/>
      <c r="I10" s="762"/>
      <c r="J10" s="742" t="s">
        <v>33</v>
      </c>
      <c r="K10" s="745" t="s">
        <v>34</v>
      </c>
      <c r="L10" s="748" t="s">
        <v>35</v>
      </c>
      <c r="M10" s="751" t="str">
        <f>IF($E$6="DE","Zeichnungsnummer","Part drawing no")</f>
        <v>Zeichnungsnummer</v>
      </c>
      <c r="N10" s="752"/>
      <c r="O10" s="752"/>
      <c r="P10" s="757" t="s">
        <v>59</v>
      </c>
      <c r="Q10" s="759" t="str">
        <f>IF($E$6="DE","Werkstoff 1","Material 1")</f>
        <v>Werkstoff 1</v>
      </c>
      <c r="R10" s="774" t="str">
        <f>IF($E$6="DE","Streckgrenze Re 1","Yield strength Re 1")</f>
        <v>Streckgrenze Re 1</v>
      </c>
      <c r="S10" s="776" t="s">
        <v>60</v>
      </c>
      <c r="T10" s="759" t="str">
        <f>IF($E$6="DE","Werkstoff 2","Material 2")</f>
        <v>Werkstoff 2</v>
      </c>
      <c r="U10" s="774" t="str">
        <f>IF($E$6="DE","Streckgrenze Re 2","Yield strength Re 2")</f>
        <v>Streckgrenze Re 2</v>
      </c>
      <c r="V10" s="776" t="s">
        <v>61</v>
      </c>
      <c r="W10" s="759" t="str">
        <f>IF($E$6="DE","Werkstoff 3","Material 3")</f>
        <v>Werkstoff 3</v>
      </c>
      <c r="X10" s="774" t="str">
        <f>IF($E$6="DE","Streckgrenze Re 3","Yield strength Re 3")</f>
        <v>Streckgrenze Re 3</v>
      </c>
      <c r="Y10" s="778" t="str">
        <f>IF($E$6="DE","Klebstoff (J/N)","Adhesive (J=Yes /N=No)")</f>
        <v>Klebstoff (J/N)</v>
      </c>
      <c r="Z10" s="780" t="str">
        <f>IF($E$6="DE","Vergleichsblechdicke tv","Ref. Thickness tv")</f>
        <v>Vergleichsblechdicke tv</v>
      </c>
      <c r="AA10" s="783" t="str">
        <f>IF($E$6="DE","Zuschlag Streckgrenze    (Re1+Re2+Re3)/(220*3*10)+0,9","Yield strength surcharge    (Re1+Re2+Re3)/(220*3*10)+0,9")</f>
        <v>Zuschlag Streckgrenze    (Re1+Re2+Re3)/(220*3*10)+0,9</v>
      </c>
      <c r="AB10" s="696" t="str">
        <f>IF($E$6="DE","Schweißkraft inkl. Klebstoff (Zangenauslegung)","Welding Force incl. Adhesive (Gun Calculation)")</f>
        <v>Schweißkraft inkl. Klebstoff (Zangenauslegung)</v>
      </c>
      <c r="AC10" s="699" t="str">
        <f>IF($E$6="DE","Schweißstrom","Welding Current")</f>
        <v>Schweißstrom</v>
      </c>
      <c r="AD10" s="702" t="str">
        <f>IF($E$6="DE","Schweißzeit","Welding Time")</f>
        <v>Schweißzeit</v>
      </c>
      <c r="AE10" s="705" t="str">
        <f>IF($E$6="DE","Schweißkraft incl. Klebstoff u. TL 4225 außen","Welding Force incl. adhesive and TL 4225 outside")</f>
        <v>Schweißkraft incl. Klebstoff u. TL 4225 außen</v>
      </c>
      <c r="AF10" s="708" t="str">
        <f>IF($E$6="DE","Linsendurchmesser dn min (Blech 1 - Blech 2)","Nuggetdiameter dn min (Sheet 1 - Sheet 2)")</f>
        <v>Linsendurchmesser dn min (Blech 1 - Blech 2)</v>
      </c>
      <c r="AG10" s="705" t="str">
        <f>IF($E$6="DE","Linsendurchmesser dn min (Blech 2 - Blech 3)","Nuggetdiameter dn min (Sheet 2 - Sheet 3)")</f>
        <v>Linsendurchmesser dn min (Blech 2 - Blech 3)</v>
      </c>
      <c r="AH10" s="708" t="str">
        <f>IF($E$6="DE","Elektrodenkappen","Electrode Cap")</f>
        <v>Elektrodenkappen</v>
      </c>
      <c r="AI10" s="702" t="str">
        <f>IF($E$6="DE"," Arbeitsflächendurchm. für Elektrode an Blech 1 (AF1)","Electrode Tip Diameter                       on Sheet 1 (AF1)")</f>
        <v xml:space="preserve"> Arbeitsflächendurchm. für Elektrode an Blech 1 (AF1)</v>
      </c>
      <c r="AJ10" s="702" t="str">
        <f>IF($E$6="DE","Arbeitsflächenradius für Elektrode an Blech 1 (R1)","Electrode Tip Radius                    on Sheet 1 (R1)")</f>
        <v>Arbeitsflächenradius für Elektrode an Blech 1 (R1)</v>
      </c>
      <c r="AK10" s="726" t="str">
        <f>IF($E$6="DE"," Arbeitsflächendurchm. für Elektrode an Blech 2/3 (AF2/3)","Electrode Tip Diameter                      on Sheet 2/3 (AF2/3)")</f>
        <v xml:space="preserve"> Arbeitsflächendurchm. für Elektrode an Blech 2/3 (AF2/3)</v>
      </c>
      <c r="AL10" s="729" t="str">
        <f>IF($E$6="DE","Arbeitsflächenradius für Elektrode an Blech 2/3 (R2/3)","Electrode Tip Radius                   on Sheet 2 (R2/3)")</f>
        <v>Arbeitsflächenradius für Elektrode an Blech 2/3 (R2/3)</v>
      </c>
      <c r="AM10" s="722"/>
      <c r="AN10" s="723"/>
      <c r="AO10" s="693" t="s">
        <v>1646</v>
      </c>
      <c r="AP10" s="693" t="s">
        <v>1647</v>
      </c>
      <c r="AQ10" s="693" t="s">
        <v>1648</v>
      </c>
      <c r="AR10" s="693" t="s">
        <v>1629</v>
      </c>
      <c r="AS10" s="693" t="s">
        <v>1630</v>
      </c>
      <c r="AT10" s="693" t="s">
        <v>1631</v>
      </c>
      <c r="AU10" s="693" t="s">
        <v>1632</v>
      </c>
      <c r="AV10" s="693" t="s">
        <v>1633</v>
      </c>
      <c r="AW10" s="693" t="s">
        <v>1634</v>
      </c>
      <c r="AX10" s="711" t="s">
        <v>1635</v>
      </c>
      <c r="AY10" s="259"/>
      <c r="AZ10" s="259"/>
      <c r="BA10" s="259"/>
      <c r="BB10" s="259"/>
    </row>
    <row r="11" spans="1:74" ht="32.25" customHeight="1">
      <c r="A11" s="811"/>
      <c r="B11" s="7"/>
      <c r="C11" s="789"/>
      <c r="D11" s="792"/>
      <c r="E11" s="795"/>
      <c r="F11" s="795"/>
      <c r="G11" s="795"/>
      <c r="H11" s="798"/>
      <c r="I11" s="762"/>
      <c r="J11" s="743"/>
      <c r="K11" s="746"/>
      <c r="L11" s="749"/>
      <c r="M11" s="753"/>
      <c r="N11" s="754"/>
      <c r="O11" s="754"/>
      <c r="P11" s="758"/>
      <c r="Q11" s="759"/>
      <c r="R11" s="774"/>
      <c r="S11" s="776"/>
      <c r="T11" s="759"/>
      <c r="U11" s="774"/>
      <c r="V11" s="776"/>
      <c r="W11" s="759"/>
      <c r="X11" s="774"/>
      <c r="Y11" s="778"/>
      <c r="Z11" s="781"/>
      <c r="AA11" s="784"/>
      <c r="AB11" s="697"/>
      <c r="AC11" s="700"/>
      <c r="AD11" s="703"/>
      <c r="AE11" s="706"/>
      <c r="AF11" s="709"/>
      <c r="AG11" s="706"/>
      <c r="AH11" s="709"/>
      <c r="AI11" s="703"/>
      <c r="AJ11" s="703"/>
      <c r="AK11" s="727"/>
      <c r="AL11" s="730"/>
      <c r="AM11" s="722"/>
      <c r="AN11" s="723"/>
      <c r="AO11" s="694"/>
      <c r="AP11" s="694"/>
      <c r="AQ11" s="694"/>
      <c r="AR11" s="694"/>
      <c r="AS11" s="694"/>
      <c r="AT11" s="694"/>
      <c r="AU11" s="694"/>
      <c r="AV11" s="694"/>
      <c r="AW11" s="694"/>
      <c r="AX11" s="712"/>
      <c r="AY11" s="259"/>
      <c r="AZ11" s="259"/>
      <c r="BA11" s="259"/>
      <c r="BB11" s="259"/>
      <c r="BD11" s="690" t="s">
        <v>1125</v>
      </c>
      <c r="BE11" s="690" t="s">
        <v>1126</v>
      </c>
      <c r="BF11" s="690" t="s">
        <v>1127</v>
      </c>
    </row>
    <row r="12" spans="1:74" ht="32.25" customHeight="1">
      <c r="A12" s="811"/>
      <c r="B12" s="7"/>
      <c r="C12" s="789"/>
      <c r="D12" s="792"/>
      <c r="E12" s="795"/>
      <c r="F12" s="795"/>
      <c r="G12" s="795"/>
      <c r="H12" s="798"/>
      <c r="I12" s="762"/>
      <c r="J12" s="743"/>
      <c r="K12" s="746"/>
      <c r="L12" s="749"/>
      <c r="M12" s="753"/>
      <c r="N12" s="754"/>
      <c r="O12" s="754"/>
      <c r="P12" s="758"/>
      <c r="Q12" s="759"/>
      <c r="R12" s="774"/>
      <c r="S12" s="776"/>
      <c r="T12" s="759"/>
      <c r="U12" s="774"/>
      <c r="V12" s="776"/>
      <c r="W12" s="759"/>
      <c r="X12" s="774"/>
      <c r="Y12" s="778"/>
      <c r="Z12" s="781"/>
      <c r="AA12" s="784"/>
      <c r="AB12" s="697"/>
      <c r="AC12" s="700"/>
      <c r="AD12" s="703"/>
      <c r="AE12" s="706"/>
      <c r="AF12" s="709"/>
      <c r="AG12" s="706"/>
      <c r="AH12" s="709"/>
      <c r="AI12" s="703"/>
      <c r="AJ12" s="703"/>
      <c r="AK12" s="727"/>
      <c r="AL12" s="730"/>
      <c r="AM12" s="722"/>
      <c r="AN12" s="723"/>
      <c r="AO12" s="694"/>
      <c r="AP12" s="694"/>
      <c r="AQ12" s="694"/>
      <c r="AR12" s="694"/>
      <c r="AS12" s="694"/>
      <c r="AT12" s="694"/>
      <c r="AU12" s="694"/>
      <c r="AV12" s="694"/>
      <c r="AW12" s="694"/>
      <c r="AX12" s="712"/>
      <c r="AY12" s="259"/>
      <c r="AZ12" s="259"/>
      <c r="BA12" s="259"/>
      <c r="BB12" s="259"/>
      <c r="BD12" s="691"/>
      <c r="BE12" s="691"/>
      <c r="BF12" s="691"/>
    </row>
    <row r="13" spans="1:74" ht="32.25" customHeight="1">
      <c r="A13" s="811"/>
      <c r="B13" s="7"/>
      <c r="C13" s="789"/>
      <c r="D13" s="792"/>
      <c r="E13" s="795"/>
      <c r="F13" s="795"/>
      <c r="G13" s="795"/>
      <c r="H13" s="798"/>
      <c r="I13" s="762"/>
      <c r="J13" s="743"/>
      <c r="K13" s="746"/>
      <c r="L13" s="749"/>
      <c r="M13" s="753"/>
      <c r="N13" s="754"/>
      <c r="O13" s="754"/>
      <c r="P13" s="758"/>
      <c r="Q13" s="759"/>
      <c r="R13" s="774"/>
      <c r="S13" s="776"/>
      <c r="T13" s="759"/>
      <c r="U13" s="774"/>
      <c r="V13" s="776"/>
      <c r="W13" s="759"/>
      <c r="X13" s="774"/>
      <c r="Y13" s="778"/>
      <c r="Z13" s="781"/>
      <c r="AA13" s="784"/>
      <c r="AB13" s="697"/>
      <c r="AC13" s="700"/>
      <c r="AD13" s="703"/>
      <c r="AE13" s="706"/>
      <c r="AF13" s="709"/>
      <c r="AG13" s="706"/>
      <c r="AH13" s="709"/>
      <c r="AI13" s="703"/>
      <c r="AJ13" s="703"/>
      <c r="AK13" s="727"/>
      <c r="AL13" s="730"/>
      <c r="AM13" s="722"/>
      <c r="AN13" s="723"/>
      <c r="AO13" s="694"/>
      <c r="AP13" s="694"/>
      <c r="AQ13" s="694"/>
      <c r="AR13" s="694"/>
      <c r="AS13" s="694"/>
      <c r="AT13" s="694"/>
      <c r="AU13" s="694"/>
      <c r="AV13" s="694"/>
      <c r="AW13" s="694"/>
      <c r="AX13" s="712"/>
      <c r="AY13" s="259"/>
      <c r="AZ13" s="259"/>
      <c r="BA13" s="259"/>
      <c r="BB13" s="259"/>
      <c r="BD13" s="691"/>
      <c r="BE13" s="691"/>
      <c r="BF13" s="691"/>
    </row>
    <row r="14" spans="1:74" ht="32.25" customHeight="1">
      <c r="A14" s="811"/>
      <c r="B14" s="7"/>
      <c r="C14" s="789"/>
      <c r="D14" s="792"/>
      <c r="E14" s="795"/>
      <c r="F14" s="795"/>
      <c r="G14" s="795"/>
      <c r="H14" s="798"/>
      <c r="I14" s="762"/>
      <c r="J14" s="743"/>
      <c r="K14" s="746"/>
      <c r="L14" s="749"/>
      <c r="M14" s="753"/>
      <c r="N14" s="754"/>
      <c r="O14" s="754"/>
      <c r="P14" s="758"/>
      <c r="Q14" s="759"/>
      <c r="R14" s="774"/>
      <c r="S14" s="776"/>
      <c r="T14" s="759"/>
      <c r="U14" s="774"/>
      <c r="V14" s="776"/>
      <c r="W14" s="759"/>
      <c r="X14" s="774"/>
      <c r="Y14" s="778"/>
      <c r="Z14" s="781"/>
      <c r="AA14" s="784"/>
      <c r="AB14" s="697"/>
      <c r="AC14" s="700"/>
      <c r="AD14" s="703"/>
      <c r="AE14" s="706"/>
      <c r="AF14" s="709"/>
      <c r="AG14" s="706"/>
      <c r="AH14" s="709"/>
      <c r="AI14" s="703"/>
      <c r="AJ14" s="703"/>
      <c r="AK14" s="727"/>
      <c r="AL14" s="730"/>
      <c r="AM14" s="722"/>
      <c r="AN14" s="723"/>
      <c r="AO14" s="694"/>
      <c r="AP14" s="694"/>
      <c r="AQ14" s="694"/>
      <c r="AR14" s="694"/>
      <c r="AS14" s="694"/>
      <c r="AT14" s="694"/>
      <c r="AU14" s="694"/>
      <c r="AV14" s="694"/>
      <c r="AW14" s="694"/>
      <c r="AX14" s="712"/>
      <c r="AY14" s="259"/>
      <c r="AZ14" s="259"/>
      <c r="BA14" s="259"/>
      <c r="BB14" s="259"/>
      <c r="BD14" s="691"/>
      <c r="BE14" s="691"/>
      <c r="BF14" s="691"/>
    </row>
    <row r="15" spans="1:74" ht="32.25" customHeight="1">
      <c r="A15" s="811"/>
      <c r="B15" s="7"/>
      <c r="C15" s="789"/>
      <c r="D15" s="792"/>
      <c r="E15" s="795"/>
      <c r="F15" s="795"/>
      <c r="G15" s="795"/>
      <c r="H15" s="798"/>
      <c r="I15" s="762"/>
      <c r="J15" s="743"/>
      <c r="K15" s="746"/>
      <c r="L15" s="749"/>
      <c r="M15" s="753"/>
      <c r="N15" s="754"/>
      <c r="O15" s="754"/>
      <c r="P15" s="758"/>
      <c r="Q15" s="759"/>
      <c r="R15" s="774"/>
      <c r="S15" s="776"/>
      <c r="T15" s="759"/>
      <c r="U15" s="774"/>
      <c r="V15" s="776"/>
      <c r="W15" s="759"/>
      <c r="X15" s="774"/>
      <c r="Y15" s="778"/>
      <c r="Z15" s="781"/>
      <c r="AA15" s="784"/>
      <c r="AB15" s="697"/>
      <c r="AC15" s="700"/>
      <c r="AD15" s="703"/>
      <c r="AE15" s="706"/>
      <c r="AF15" s="709"/>
      <c r="AG15" s="706"/>
      <c r="AH15" s="709"/>
      <c r="AI15" s="703"/>
      <c r="AJ15" s="703"/>
      <c r="AK15" s="727"/>
      <c r="AL15" s="730"/>
      <c r="AM15" s="722"/>
      <c r="AN15" s="723"/>
      <c r="AO15" s="694"/>
      <c r="AP15" s="694"/>
      <c r="AQ15" s="694"/>
      <c r="AR15" s="694"/>
      <c r="AS15" s="694"/>
      <c r="AT15" s="694"/>
      <c r="AU15" s="694"/>
      <c r="AV15" s="694"/>
      <c r="AW15" s="694"/>
      <c r="AX15" s="712"/>
      <c r="AY15" s="259"/>
      <c r="AZ15" s="259"/>
      <c r="BA15" s="259"/>
      <c r="BB15" s="259"/>
      <c r="BD15" s="691"/>
      <c r="BE15" s="691"/>
      <c r="BF15" s="691"/>
    </row>
    <row r="16" spans="1:74" ht="32.25" customHeight="1">
      <c r="A16" s="811"/>
      <c r="B16" s="7"/>
      <c r="C16" s="789"/>
      <c r="D16" s="792"/>
      <c r="E16" s="795"/>
      <c r="F16" s="795"/>
      <c r="G16" s="795"/>
      <c r="H16" s="798"/>
      <c r="I16" s="762"/>
      <c r="J16" s="743"/>
      <c r="K16" s="746"/>
      <c r="L16" s="749"/>
      <c r="M16" s="753"/>
      <c r="N16" s="754"/>
      <c r="O16" s="754"/>
      <c r="P16" s="758"/>
      <c r="Q16" s="759"/>
      <c r="R16" s="774"/>
      <c r="S16" s="776"/>
      <c r="T16" s="759"/>
      <c r="U16" s="774"/>
      <c r="V16" s="776"/>
      <c r="W16" s="759"/>
      <c r="X16" s="774"/>
      <c r="Y16" s="778"/>
      <c r="Z16" s="781"/>
      <c r="AA16" s="784"/>
      <c r="AB16" s="697"/>
      <c r="AC16" s="700"/>
      <c r="AD16" s="703"/>
      <c r="AE16" s="706"/>
      <c r="AF16" s="709"/>
      <c r="AG16" s="706"/>
      <c r="AH16" s="709"/>
      <c r="AI16" s="703"/>
      <c r="AJ16" s="703"/>
      <c r="AK16" s="727"/>
      <c r="AL16" s="730"/>
      <c r="AM16" s="722"/>
      <c r="AN16" s="723"/>
      <c r="AO16" s="694"/>
      <c r="AP16" s="694"/>
      <c r="AQ16" s="694"/>
      <c r="AR16" s="694"/>
      <c r="AS16" s="694"/>
      <c r="AT16" s="694"/>
      <c r="AU16" s="694"/>
      <c r="AV16" s="694"/>
      <c r="AW16" s="694"/>
      <c r="AX16" s="712"/>
      <c r="AY16" s="259"/>
      <c r="AZ16" s="259"/>
      <c r="BA16" s="259"/>
      <c r="BB16" s="259"/>
      <c r="BD16" s="691"/>
      <c r="BE16" s="691"/>
      <c r="BF16" s="691"/>
      <c r="BI16" s="5"/>
      <c r="BJ16" s="5"/>
      <c r="BK16" s="5"/>
      <c r="BL16" s="5"/>
      <c r="BM16" s="5"/>
      <c r="BN16" s="5"/>
      <c r="BO16" s="5"/>
      <c r="BP16" s="5"/>
      <c r="BQ16" s="5"/>
      <c r="BR16" s="5"/>
      <c r="BS16" s="5"/>
      <c r="BT16" s="5"/>
      <c r="BU16" s="5"/>
      <c r="BV16" s="5"/>
    </row>
    <row r="17" spans="1:85" ht="32.25" customHeight="1">
      <c r="A17" s="811"/>
      <c r="B17" s="7"/>
      <c r="C17" s="789"/>
      <c r="D17" s="792"/>
      <c r="E17" s="795"/>
      <c r="F17" s="795"/>
      <c r="G17" s="795"/>
      <c r="H17" s="798"/>
      <c r="I17" s="763"/>
      <c r="J17" s="744"/>
      <c r="K17" s="747"/>
      <c r="L17" s="750"/>
      <c r="M17" s="755"/>
      <c r="N17" s="756"/>
      <c r="O17" s="756"/>
      <c r="P17" s="758"/>
      <c r="Q17" s="760"/>
      <c r="R17" s="775"/>
      <c r="S17" s="777"/>
      <c r="T17" s="760"/>
      <c r="U17" s="775"/>
      <c r="V17" s="777"/>
      <c r="W17" s="760"/>
      <c r="X17" s="775"/>
      <c r="Y17" s="779"/>
      <c r="Z17" s="782"/>
      <c r="AA17" s="785"/>
      <c r="AB17" s="698"/>
      <c r="AC17" s="701"/>
      <c r="AD17" s="704"/>
      <c r="AE17" s="707"/>
      <c r="AF17" s="710"/>
      <c r="AG17" s="707"/>
      <c r="AH17" s="710"/>
      <c r="AI17" s="704"/>
      <c r="AJ17" s="704"/>
      <c r="AK17" s="728"/>
      <c r="AL17" s="731"/>
      <c r="AM17" s="722"/>
      <c r="AN17" s="723"/>
      <c r="AO17" s="694"/>
      <c r="AP17" s="694"/>
      <c r="AQ17" s="694"/>
      <c r="AR17" s="694"/>
      <c r="AS17" s="694"/>
      <c r="AT17" s="694"/>
      <c r="AU17" s="694"/>
      <c r="AV17" s="694"/>
      <c r="AW17" s="694"/>
      <c r="AX17" s="712"/>
      <c r="AY17" s="259"/>
      <c r="AZ17" s="259"/>
      <c r="BA17" s="259"/>
      <c r="BB17" s="259"/>
      <c r="BD17" s="691"/>
      <c r="BE17" s="691"/>
      <c r="BF17" s="691"/>
      <c r="BI17" s="5"/>
      <c r="BJ17" s="5"/>
      <c r="BK17" s="5"/>
      <c r="BL17" s="5"/>
      <c r="BM17" s="5"/>
      <c r="BN17" s="5"/>
      <c r="BO17" s="251" t="s">
        <v>1627</v>
      </c>
      <c r="BP17" s="251" t="s">
        <v>36</v>
      </c>
      <c r="BQ17" s="251" t="s">
        <v>63</v>
      </c>
      <c r="BR17" s="251" t="s">
        <v>71</v>
      </c>
      <c r="BS17" s="251" t="s">
        <v>66</v>
      </c>
      <c r="BT17" s="251" t="s">
        <v>65</v>
      </c>
      <c r="BU17" s="251" t="s">
        <v>67</v>
      </c>
      <c r="BV17" s="9" t="s">
        <v>69</v>
      </c>
    </row>
    <row r="18" spans="1:85" ht="49.5" customHeight="1" thickBot="1">
      <c r="A18" s="811"/>
      <c r="B18" s="7"/>
      <c r="C18" s="790"/>
      <c r="D18" s="793"/>
      <c r="E18" s="796"/>
      <c r="F18" s="796"/>
      <c r="G18" s="796"/>
      <c r="H18" s="799"/>
      <c r="I18" s="67" t="s">
        <v>37</v>
      </c>
      <c r="J18" s="68"/>
      <c r="K18" s="69"/>
      <c r="L18" s="70"/>
      <c r="M18" s="71"/>
      <c r="N18" s="72"/>
      <c r="O18" s="73"/>
      <c r="P18" s="74" t="s">
        <v>38</v>
      </c>
      <c r="Q18" s="83" t="str">
        <f>IF($E$6="DE","nach VW50065 + TL 4225","acc.to VW50065 + TL 4225")</f>
        <v>nach VW50065 + TL 4225</v>
      </c>
      <c r="R18" s="84" t="s">
        <v>62</v>
      </c>
      <c r="S18" s="74" t="s">
        <v>38</v>
      </c>
      <c r="T18" s="83" t="str">
        <f>IF($E$6="DE","nach VW50065 + TL 4225","acc.to VW50065 + TL 4225")</f>
        <v>nach VW50065 + TL 4225</v>
      </c>
      <c r="U18" s="84" t="s">
        <v>62</v>
      </c>
      <c r="V18" s="74" t="s">
        <v>38</v>
      </c>
      <c r="W18" s="83" t="str">
        <f>IF($E$6="DE","nach VW50065 + TL 4225","acc.to VW50065 + TL 4225")</f>
        <v>nach VW50065 + TL 4225</v>
      </c>
      <c r="X18" s="84" t="s">
        <v>62</v>
      </c>
      <c r="Y18" s="276"/>
      <c r="Z18" s="75" t="s">
        <v>1128</v>
      </c>
      <c r="AA18" s="76"/>
      <c r="AB18" s="77" t="s">
        <v>1252</v>
      </c>
      <c r="AC18" s="78" t="s">
        <v>1249</v>
      </c>
      <c r="AD18" s="92" t="s">
        <v>1250</v>
      </c>
      <c r="AE18" s="79" t="s">
        <v>1251</v>
      </c>
      <c r="AF18" s="67" t="s">
        <v>38</v>
      </c>
      <c r="AG18" s="80" t="s">
        <v>38</v>
      </c>
      <c r="AH18" s="91"/>
      <c r="AI18" s="81" t="s">
        <v>38</v>
      </c>
      <c r="AJ18" s="81" t="s">
        <v>38</v>
      </c>
      <c r="AK18" s="81" t="s">
        <v>38</v>
      </c>
      <c r="AL18" s="82" t="s">
        <v>38</v>
      </c>
      <c r="AM18" s="724"/>
      <c r="AN18" s="725"/>
      <c r="AO18" s="695"/>
      <c r="AP18" s="695"/>
      <c r="AQ18" s="695"/>
      <c r="AR18" s="695"/>
      <c r="AS18" s="695"/>
      <c r="AT18" s="695"/>
      <c r="AU18" s="695"/>
      <c r="AV18" s="695"/>
      <c r="AW18" s="695"/>
      <c r="AX18" s="713"/>
      <c r="AY18" s="259"/>
      <c r="AZ18" s="259"/>
      <c r="BA18" s="259"/>
      <c r="BB18" s="259"/>
      <c r="BD18" s="692"/>
      <c r="BE18" s="692"/>
      <c r="BF18" s="692"/>
      <c r="BI18" s="5"/>
      <c r="BJ18" s="5"/>
      <c r="BK18" s="5"/>
      <c r="BL18" s="5"/>
      <c r="BM18" s="5"/>
      <c r="BN18" s="5"/>
      <c r="BO18" s="251" t="s">
        <v>1628</v>
      </c>
      <c r="BP18" s="251" t="s">
        <v>70</v>
      </c>
      <c r="BQ18" s="8">
        <v>-0.3</v>
      </c>
      <c r="BR18" s="8" t="s">
        <v>72</v>
      </c>
      <c r="BS18" s="251" t="s">
        <v>64</v>
      </c>
      <c r="BT18" s="251" t="s">
        <v>64</v>
      </c>
      <c r="BU18" s="251" t="s">
        <v>68</v>
      </c>
      <c r="BV18" s="9" t="s">
        <v>73</v>
      </c>
      <c r="CC18" s="90" t="s">
        <v>1260</v>
      </c>
      <c r="CG18" s="90" t="s">
        <v>1261</v>
      </c>
    </row>
    <row r="19" spans="1:85" ht="63" customHeight="1">
      <c r="A19" s="811"/>
      <c r="B19" s="7"/>
      <c r="C19" s="906">
        <v>7.1014400000000002</v>
      </c>
      <c r="D19" s="907" t="s">
        <v>1667</v>
      </c>
      <c r="E19" s="908" t="s">
        <v>1180</v>
      </c>
      <c r="F19" s="909" t="s">
        <v>1665</v>
      </c>
      <c r="G19" s="910" t="s">
        <v>1653</v>
      </c>
      <c r="H19" s="911" t="s">
        <v>1664</v>
      </c>
      <c r="I19" s="912" t="s">
        <v>1180</v>
      </c>
      <c r="J19" s="95">
        <v>527.29999999999995</v>
      </c>
      <c r="K19" s="96">
        <v>-483.96</v>
      </c>
      <c r="L19" s="97">
        <v>-9.57</v>
      </c>
      <c r="M19" s="99" t="s">
        <v>1661</v>
      </c>
      <c r="N19" s="98" t="s">
        <v>1662</v>
      </c>
      <c r="O19" s="303" t="s">
        <v>1180</v>
      </c>
      <c r="P19" s="913">
        <v>2</v>
      </c>
      <c r="Q19" s="914" t="s">
        <v>1180</v>
      </c>
      <c r="R19" s="915" t="e">
        <f>IF(AND(ISBLANK(P19),ISTEXT(Q19)),"t1?",IF(AND(ISBLANK(Q19),ISBLANK(P19)),"",VLOOKUP(BD19,Materialliste!$A$2:$B$1477,2,FALSE)))</f>
        <v>#N/A</v>
      </c>
      <c r="S19" s="913">
        <v>1.4</v>
      </c>
      <c r="T19" s="914" t="s">
        <v>1180</v>
      </c>
      <c r="U19" s="915" t="e">
        <f>IF(AND(ISBLANK(S19),ISTEXT(T19)),"t2?",IF(AND(ISBLANK(T19),ISBLANK(S19)),"",VLOOKUP(BE19,Materialliste!$A$2:$B$1477,2,FALSE)))</f>
        <v>#N/A</v>
      </c>
      <c r="V19" s="913"/>
      <c r="W19" s="916"/>
      <c r="X19" s="917" t="str">
        <f>IF(AND(ISBLANK(V19),ISTEXT(W19)),"t3?",IF(AND(ISBLANK(W19),ISBLANK(V19)),"",VLOOKUP(BF19,Materialliste!$A$2:$B$1477,2,FALSE)))</f>
        <v/>
      </c>
      <c r="Y19" s="918" t="s">
        <v>1645</v>
      </c>
      <c r="Z19" s="919">
        <f t="shared" ref="Z19:Z21" si="0">IF($E$6="DE",IF(P19*S19&gt;0,0.8*BJ19+0.2*BI19,"BLECH?"),IF(P19*S19&gt;0,0.8*BJ19+0.2*BI19,"Sheet?"))</f>
        <v>1.52</v>
      </c>
      <c r="AA19" s="920" t="str">
        <f>IF(AND(ISNUMBER(R19),ISNUMBER(U19)),IF(ISTEXT(X19),(R19+U19)/(220*3*10)+0.9,(R19+U19+X19)/(220*3*10)+0.9),"?Re")</f>
        <v>?Re</v>
      </c>
      <c r="AB19" s="921" t="e">
        <f t="shared" ref="AB19:AB21" si="1">IF($E$6="DE",IF(OR(Y19="J",Y19="N"),IF(OR(G19="X",G19="C"),IF(Z19="BLECH?","BLECH?",IF(Y19="J",IF(Z19&lt;=2,((1.64*Z19+0.45)*AA19+0.21)+0.5,((1.3*Z19+0.7)*AA19+0.7)+0.5),IF(Z19&lt;=2,((1.64*Z19+0.45)*AA19+0.21),((1.3*Z19+0.7)*AA19+0.7)))),IF(OR(G19="R",G19="S"),0.6,IF(G19="B",0.8,IF(G19="M",1,"")))),"Klebstoff?"),IF(OR(Y19="J",Y19="N"),IF(OR(G19="X",G19="C"),IF(Z19="BLECH?","BLECH?",IF(Y19="J",IF(Z19&lt;=2,((1.64*Z19+0.45)*AA19+0.21)+0.5,((1.3*Z19+0.7)*AA19+0.7)+0.5),IF(Z19&lt;=2,((1.64*Z19+0.45)*AA19+0.21),((1.3*Z19+0.7)*AA19+0.7)))),IF(OR(G19="R",G19="S"),0.6,IF(G19="B",0.8,IF(G19="M",1,"")))),"Adhesive?"))</f>
        <v>#VALUE!</v>
      </c>
      <c r="AC19" s="922" t="e">
        <f t="shared" ref="AC19:AC21" si="2">IF(OR(G19="C",G19="X"),IF(Z19="BLECH?","",IF(AND(BS19=TRUE,BU19=TRUE),IF(Z19&lt;=2,((1.13*Z19+7.1+BT19)+(1.13*Z19+7.1+BV19))/2*BR19,((1.5*Z19+5.8+BT19)+(1.5*Z19+5.8+BV19))/2*BR19),IF(Z19&lt;=2,(1.13*Z19+7.1+BT19+BV19)*BR19,(1.5*Z19+5.8+BT19+BV19)*BR19))),IF(OR(G19="B",G19="S"),"6",IF(G19="R","7",IF(G19="M","4,3",""))))</f>
        <v>#N/A</v>
      </c>
      <c r="AD19" s="923" t="e">
        <f t="shared" ref="AD19:AD21" si="3">IF(OR(G19="C",G19="X"),IF(Z19="BLECH?","",MIN((((P19+S19+V19-1.4)*(600/4.6))+200)+BP19,900)),IF(G19="B","60",IF(G19="R","150",IF(G19="S","90",IF(G19="m","350","")))))</f>
        <v>#N/A</v>
      </c>
      <c r="AE19" s="924" t="e">
        <f t="shared" ref="AE19:AE21" si="4">IF(OR(G19="C",G19="X"),AB19*BQ19,AB19)</f>
        <v>#VALUE!</v>
      </c>
      <c r="AF19" s="925">
        <f>IF(G19="S","-",IF(OR(G19="M",G19="B"),1.6,IF(P19=0,"",3.5*SQRT(MIN(P19,S19)))))</f>
        <v>4.141255848169731</v>
      </c>
      <c r="AG19" s="926" t="str">
        <f>IF(V19&gt;0,(IF(G19="S","-",IF(OR(G19="M",G19="B"),1.6,3.5*SQRT(MIN(S19,V19))))),"")</f>
        <v/>
      </c>
      <c r="AH19" s="927" t="e">
        <f t="shared" ref="AH19:AH21" si="5">IF(AND($AN$36="Ja",ISTEXT($AG$38),ISNUMBER($AL$38)),CG19,CC19)</f>
        <v>#VALUE!</v>
      </c>
      <c r="AI19" s="928">
        <f>IF(ISBLANK(G19),"",IF(ISNUMBER($AK$8),$AK$8,IF(G19="R",0,IF(G19="S",4,IF(G19="M",5,IF(G19="B",8,IF(Z19&gt;=2,8,6)))))))</f>
        <v>8</v>
      </c>
      <c r="AJ19" s="928">
        <f>IF(ISBLANK(G19),"",IF(ISNUMBER($AL$8),$AL$8,IF(G19="R",8,IF(G19="S",50,IF(G19="M",15,IF(G19="B",0,50))))))</f>
        <v>50</v>
      </c>
      <c r="AK19" s="928">
        <f>IF(ISBLANK(G19),"",IF(ISNUMBER($AM$8),$AM$8,IF(G19="R",0,IF(G19="S","-",IF(G19="M",5,IF(G19="B",8,IF(Z19&gt;=2,8,6)))))))</f>
        <v>8</v>
      </c>
      <c r="AL19" s="929">
        <f>IF(ISBLANK(G19),"",IF(ISNUMBER($AN$8),$AN$8,IF(G19="R",8,IF(G19="S","-",IF(G19="M",15,IF(G19="B",0,50))))))</f>
        <v>50</v>
      </c>
      <c r="AM19" s="930"/>
      <c r="AN19" s="931"/>
      <c r="AO19" s="932"/>
      <c r="AP19" s="933" t="s">
        <v>1653</v>
      </c>
      <c r="AQ19" s="933" t="s">
        <v>1653</v>
      </c>
      <c r="AR19" s="264"/>
      <c r="AS19" s="264"/>
      <c r="AT19" s="264"/>
      <c r="AU19" s="264"/>
      <c r="AV19" s="264"/>
      <c r="AW19" s="264"/>
      <c r="AX19" s="265"/>
      <c r="AY19" s="259"/>
      <c r="AZ19" s="259"/>
      <c r="BA19" s="259"/>
      <c r="BB19" s="259"/>
      <c r="BD19" s="34" t="str">
        <f t="shared" ref="BD19:BD34" si="6">IF(OR((RIGHT(Q19,3)="U-O"),(RIGHT(Q19,3)="E-O"),(RIGHT(Q19,3)="U-P"),(RIGHT(Q19,3)="E-P")),LEFT(Q19,LEN(Q19)-4),(IF(OR((RIGHT(Q19,1)="U"),(RIGHT(Q19,1)="E"),(RIGHT(Q19,1)="O"),(RIGHT(Q19,1)="P")),LEFT(Q19,LEN(Q19)-2),Q19)))</f>
        <v>-</v>
      </c>
      <c r="BE19" s="34" t="str">
        <f t="shared" ref="BE19:BE34" si="7">IF(OR((RIGHT(T19,3)="U-O"),(RIGHT(T19,3)="E-O"),(RIGHT(T19,3)="U-P"),(RIGHT(T19,3)="E-P")),LEFT(T19,LEN(T19)-4),(IF(OR((RIGHT(T19,1)="U"),(RIGHT(T19,1)="E"),(RIGHT(T19,1)="O"),(RIGHT(T19,1)="P")),LEFT(T19,LEN(T19)-2),T19)))</f>
        <v>-</v>
      </c>
      <c r="BF19" s="34">
        <f t="shared" ref="BF19:BF34" si="8">IF(OR((RIGHT(W19,3)="U-O"),(RIGHT(W19,3)="E-O"),(RIGHT(W19,3)="U-P"),(RIGHT(W19,3)="E-P")),LEFT(W19,LEN(W19)-4),(IF(OR((RIGHT(W19,1)="U"),(RIGHT(W19,1)="E"),(RIGHT(W19,1)="O"),(RIGHT(W19,1)="P")),LEFT(W19,LEN(W19)-2),W19)))</f>
        <v>0</v>
      </c>
      <c r="BI19" s="10">
        <f t="shared" ref="BI19:BI34" si="9">MAX(P19,S19,V19)</f>
        <v>2</v>
      </c>
      <c r="BJ19" s="11">
        <f>LARGE(BK19:BM19,2)</f>
        <v>1.4</v>
      </c>
      <c r="BK19" s="10">
        <f t="shared" ref="BK19:BK34" si="10">P19</f>
        <v>2</v>
      </c>
      <c r="BL19" s="10">
        <f t="shared" ref="BL19:BL34" si="11">S19</f>
        <v>1.4</v>
      </c>
      <c r="BM19" s="10">
        <f t="shared" ref="BM19:BM34" si="12">V19</f>
        <v>0</v>
      </c>
      <c r="BN19" s="10"/>
      <c r="BO19" s="251" t="e">
        <f>IF(ISBLANK(Q19)=TRUE,FALSE,(IF(V19="",OR(R19&gt;=1250,U19&gt;=1250),OR(R19&gt;=1250,X19&gt;=1250))))</f>
        <v>#N/A</v>
      </c>
      <c r="BP19" s="251" t="e">
        <f>IF(BO19=FALSE,0,300)</f>
        <v>#N/A</v>
      </c>
      <c r="BQ19" s="251" t="e">
        <f>IF(BO19=FALSE,1,0.7)</f>
        <v>#N/A</v>
      </c>
      <c r="BR19" s="251" t="e">
        <f>IF(BO19=FALSE,1,0.85)</f>
        <v>#N/A</v>
      </c>
      <c r="BS19" s="251" t="b">
        <f t="shared" ref="BS19:BS34" si="13">IF(V19="",OR(P19&lt;=1,S19&lt;=1),OR(P19&lt;=1,V19&lt;=1))</f>
        <v>0</v>
      </c>
      <c r="BT19" s="251">
        <f>IF(BS19=TRUE,0.9,0)</f>
        <v>0</v>
      </c>
      <c r="BU19" s="251" t="e">
        <f>IF(ISBLANK(W19),OR(R19&gt;=1250,U19&gt;=1250),OR(R19&gt;=1250,U19&gt;=1250,X19&gt;=1250))</f>
        <v>#N/A</v>
      </c>
      <c r="BV19" s="251" t="e">
        <f>IF(BU19=TRUE,-0.7,0)</f>
        <v>#N/A</v>
      </c>
      <c r="BW19" s="12"/>
      <c r="CC19" s="90" t="e">
        <f>IF(ISBLANK(G19),"",IF(ISBLANK($AH$8),IF(G19="R","39D 1978-1 !",IF(G19="S","39D 1978-2",IF(G19="M","59D 388 863 !",IF(G19="B","59D 358 170 !",IF(AB19&gt;=5.5,"39D 1979-2 !","39D 1978-2"))))),$AH$8))</f>
        <v>#VALUE!</v>
      </c>
      <c r="CG19" s="90" t="e">
        <f>IF(ISBLANK(G19),"",IF(ISBLANK($AH$8),IF(G19="R","39D 1978-1 !",IF(G19="S","39D 1978-2",IF(G19="M","59D 388 863 !",IF(G19="B","59D 358 170 !",IF(AE19&gt;=5.5,"39D 1979-2 !","39D 1978-2"))))),$AH$8))</f>
        <v>#VALUE!</v>
      </c>
    </row>
    <row r="20" spans="1:85" ht="63" customHeight="1">
      <c r="A20" s="811"/>
      <c r="B20" s="7"/>
      <c r="C20" s="934">
        <v>7.1014499999999998</v>
      </c>
      <c r="D20" s="935" t="s">
        <v>1668</v>
      </c>
      <c r="E20" s="936" t="s">
        <v>1180</v>
      </c>
      <c r="F20" s="937" t="s">
        <v>1665</v>
      </c>
      <c r="G20" s="938" t="s">
        <v>1653</v>
      </c>
      <c r="H20" s="939" t="s">
        <v>1664</v>
      </c>
      <c r="I20" s="940" t="s">
        <v>1180</v>
      </c>
      <c r="J20" s="102">
        <v>525.32000000000005</v>
      </c>
      <c r="K20" s="101">
        <v>-465.63</v>
      </c>
      <c r="L20" s="100">
        <v>-24.51</v>
      </c>
      <c r="M20" s="94" t="s">
        <v>1661</v>
      </c>
      <c r="N20" s="93" t="s">
        <v>1662</v>
      </c>
      <c r="O20" s="304" t="s">
        <v>1180</v>
      </c>
      <c r="P20" s="941">
        <v>2</v>
      </c>
      <c r="Q20" s="942" t="s">
        <v>1180</v>
      </c>
      <c r="R20" s="943" t="e">
        <f>IF(AND(ISBLANK(P20),ISTEXT(Q20)),"t1?",IF(AND(ISBLANK(Q20),ISBLANK(P20)),"",VLOOKUP(BD20,Materialliste!$A$2:$B$1477,2,FALSE)))</f>
        <v>#N/A</v>
      </c>
      <c r="S20" s="941">
        <v>1.4</v>
      </c>
      <c r="T20" s="942" t="s">
        <v>1180</v>
      </c>
      <c r="U20" s="944" t="e">
        <f>IF(AND(ISBLANK(S20),ISTEXT(T20)),"t2?",IF(AND(ISBLANK(T20),ISBLANK(S20)),"",VLOOKUP(BE20,Materialliste!$A$2:$B$1477,2,FALSE)))</f>
        <v>#N/A</v>
      </c>
      <c r="V20" s="941"/>
      <c r="W20" s="945"/>
      <c r="X20" s="944" t="str">
        <f>IF(AND(ISBLANK(V20),ISTEXT(W20)),"t3?",IF(AND(ISBLANK(W20),ISBLANK(V20)),"",VLOOKUP(BF20,Materialliste!$A$2:$B$1477,2,FALSE)))</f>
        <v/>
      </c>
      <c r="Y20" s="946" t="s">
        <v>1645</v>
      </c>
      <c r="Z20" s="947">
        <f t="shared" si="0"/>
        <v>1.52</v>
      </c>
      <c r="AA20" s="948" t="str">
        <f t="shared" ref="AA20:AA21" si="14">IF(AND(ISNUMBER(R20),ISNUMBER(U20)),IF(ISTEXT(X20),(R20+U20)/(220*3*10)+0.9,(R20+U20+X20)/(220*3*10)+0.9),"?Re")</f>
        <v>?Re</v>
      </c>
      <c r="AB20" s="949" t="e">
        <f t="shared" si="1"/>
        <v>#VALUE!</v>
      </c>
      <c r="AC20" s="950" t="e">
        <f t="shared" si="2"/>
        <v>#N/A</v>
      </c>
      <c r="AD20" s="923" t="e">
        <f t="shared" si="3"/>
        <v>#N/A</v>
      </c>
      <c r="AE20" s="951" t="e">
        <f t="shared" si="4"/>
        <v>#VALUE!</v>
      </c>
      <c r="AF20" s="952">
        <f t="shared" ref="AF20:AF21" si="15">IF(G20="S","-",IF(OR(G20="M",G20="B"),1.6,IF(P20=0,"",3.5*SQRT(MIN(P20,S20)))))</f>
        <v>4.141255848169731</v>
      </c>
      <c r="AG20" s="953" t="str">
        <f t="shared" ref="AG20:AG21" si="16">IF(V20&gt;0,(IF(G20="S","-",IF(OR(G20="M",G20="B"),1.6,3.5*SQRT(MIN(S20,V20))))),"")</f>
        <v/>
      </c>
      <c r="AH20" s="927" t="e">
        <f t="shared" si="5"/>
        <v>#VALUE!</v>
      </c>
      <c r="AI20" s="954">
        <f t="shared" ref="AI20:AI21" si="17">IF(ISBLANK(G20),"",IF(ISNUMBER($AK$8),$AK$8,IF(G20="R",0,IF(G20="S",4,IF(G20="M",5,IF(G20="B",8,IF(Z20&gt;=2,8,6)))))))</f>
        <v>8</v>
      </c>
      <c r="AJ20" s="954">
        <f t="shared" ref="AJ20:AJ21" si="18">IF(ISBLANK(G20),"",IF(ISNUMBER($AL$8),$AL$8,IF(G20="R",8,IF(G20="S",50,IF(G20="M",15,IF(G20="B",0,50))))))</f>
        <v>50</v>
      </c>
      <c r="AK20" s="954">
        <f t="shared" ref="AK20:AK21" si="19">IF(ISBLANK(G20),"",IF(ISNUMBER($AM$8),$AM$8,IF(G20="R",0,IF(G20="S","-",IF(G20="M",5,IF(G20="B",8,IF(Z20&gt;=2,8,6)))))))</f>
        <v>8</v>
      </c>
      <c r="AL20" s="955">
        <f t="shared" ref="AL20:AL21" si="20">IF(ISBLANK(G20),"",IF(ISNUMBER($AN$8),$AN$8,IF(G20="R",8,IF(G20="S","-",IF(G20="M",15,IF(G20="B",0,50))))))</f>
        <v>50</v>
      </c>
      <c r="AM20" s="956" t="s">
        <v>1655</v>
      </c>
      <c r="AN20" s="957"/>
      <c r="AO20" s="958"/>
      <c r="AP20" s="959" t="s">
        <v>1653</v>
      </c>
      <c r="AQ20" s="959" t="s">
        <v>1653</v>
      </c>
      <c r="AR20" s="260"/>
      <c r="AS20" s="260"/>
      <c r="AT20" s="260"/>
      <c r="AU20" s="260"/>
      <c r="AV20" s="260"/>
      <c r="AW20" s="260"/>
      <c r="AX20" s="261"/>
      <c r="AY20" s="259"/>
      <c r="AZ20" s="259"/>
      <c r="BA20" s="259"/>
      <c r="BB20" s="259"/>
      <c r="BD20" s="34" t="str">
        <f t="shared" si="6"/>
        <v>-</v>
      </c>
      <c r="BE20" s="34" t="str">
        <f t="shared" si="7"/>
        <v>-</v>
      </c>
      <c r="BF20" s="34">
        <f t="shared" si="8"/>
        <v>0</v>
      </c>
      <c r="BI20" s="10">
        <f t="shared" si="9"/>
        <v>2</v>
      </c>
      <c r="BJ20" s="11">
        <f t="shared" ref="BJ20:BJ34" si="21">LARGE(BK20:BM20,2)</f>
        <v>1.4</v>
      </c>
      <c r="BK20" s="10">
        <f t="shared" si="10"/>
        <v>2</v>
      </c>
      <c r="BL20" s="10">
        <f t="shared" si="11"/>
        <v>1.4</v>
      </c>
      <c r="BM20" s="10">
        <f t="shared" si="12"/>
        <v>0</v>
      </c>
      <c r="BN20" s="10"/>
      <c r="BO20" s="251" t="e">
        <f t="shared" ref="BO20:BO34" si="22">IF(ISBLANK(Q20)=TRUE,FALSE,(IF(V20="",OR(R20&gt;=1250,U20&gt;=1250),OR(R20&gt;=1250,X20&gt;=1250))))</f>
        <v>#N/A</v>
      </c>
      <c r="BP20" s="251" t="e">
        <f t="shared" ref="BP20:BP34" si="23">IF(BO20=FALSE,0,300)</f>
        <v>#N/A</v>
      </c>
      <c r="BQ20" s="251" t="e">
        <f t="shared" ref="BQ20:BQ34" si="24">IF(BO20=FALSE,1,0.7)</f>
        <v>#N/A</v>
      </c>
      <c r="BR20" s="251" t="e">
        <f t="shared" ref="BR20:BR34" si="25">IF(BO20=FALSE,1,0.85)</f>
        <v>#N/A</v>
      </c>
      <c r="BS20" s="251" t="b">
        <f t="shared" si="13"/>
        <v>0</v>
      </c>
      <c r="BT20" s="251">
        <f t="shared" ref="BT20:BT34" si="26">IF(BS20=TRUE,0.9,0)</f>
        <v>0</v>
      </c>
      <c r="BU20" s="251" t="e">
        <f t="shared" ref="BU20:BU34" si="27">IF(ISBLANK(W20),OR(R20&gt;=1250,U20&gt;=1250),OR(R20&gt;=1250,U20&gt;=1250,X20&gt;=1250))</f>
        <v>#N/A</v>
      </c>
      <c r="BV20" s="251" t="e">
        <f t="shared" ref="BV20:BV34" si="28">IF(BU20=TRUE,-0.7,0)</f>
        <v>#N/A</v>
      </c>
      <c r="BW20" s="12"/>
      <c r="CC20" s="90" t="e">
        <f t="shared" ref="CC20:CC34" si="29">IF(ISBLANK(G20),"",IF(ISBLANK($AH$8),IF(G20="R","39D 1978-1 !",IF(G20="S","39D 1978-2",IF(G20="M","59D 388 863 !",IF(G20="B","59D 358 170 !",IF(AB20&gt;=5.5,"39D 1979-2 !","39D 1978-2"))))),$AH$8))</f>
        <v>#VALUE!</v>
      </c>
      <c r="CG20" s="90" t="e">
        <f t="shared" ref="CG20:CG34" si="30">IF(ISBLANK(G20),"",IF(ISBLANK($AH$8),IF(G20="R","39D 1978-1 !",IF(G20="S","39D 1978-2",IF(G20="M","59D 388 863 !",IF(G20="B","59D 358 170 !",IF(AE20&gt;=5.5,"39D 1979-2 !","39D 1978-2"))))),$AH$8))</f>
        <v>#VALUE!</v>
      </c>
    </row>
    <row r="21" spans="1:85" ht="63" customHeight="1" thickBot="1">
      <c r="A21" s="811"/>
      <c r="B21" s="7"/>
      <c r="C21" s="934">
        <v>7.1014600000000003</v>
      </c>
      <c r="D21" s="935" t="s">
        <v>1669</v>
      </c>
      <c r="E21" s="936" t="s">
        <v>1180</v>
      </c>
      <c r="F21" s="937" t="s">
        <v>1665</v>
      </c>
      <c r="G21" s="938" t="s">
        <v>1653</v>
      </c>
      <c r="H21" s="939" t="s">
        <v>1664</v>
      </c>
      <c r="I21" s="940" t="s">
        <v>1180</v>
      </c>
      <c r="J21" s="102">
        <v>523.47</v>
      </c>
      <c r="K21" s="101">
        <v>-462.16</v>
      </c>
      <c r="L21" s="100">
        <v>-58.43</v>
      </c>
      <c r="M21" s="94" t="s">
        <v>1661</v>
      </c>
      <c r="N21" s="93" t="s">
        <v>1662</v>
      </c>
      <c r="O21" s="304" t="s">
        <v>1180</v>
      </c>
      <c r="P21" s="941">
        <v>2</v>
      </c>
      <c r="Q21" s="942" t="s">
        <v>1180</v>
      </c>
      <c r="R21" s="960" t="e">
        <f>IF(AND(ISBLANK(P21),ISTEXT(Q21)),"t1?",IF(AND(ISBLANK(Q21),ISBLANK(P21)),"",VLOOKUP(BD21,Materialliste!$A$2:$B$1477,2,FALSE)))</f>
        <v>#N/A</v>
      </c>
      <c r="S21" s="941">
        <v>1.4</v>
      </c>
      <c r="T21" s="942" t="s">
        <v>1180</v>
      </c>
      <c r="U21" s="960" t="e">
        <f>IF(AND(ISBLANK(S21),ISTEXT(T21)),"t2?",IF(AND(ISBLANK(T21),ISBLANK(S21)),"",VLOOKUP(BE21,Materialliste!$A$2:$B$1477,2,FALSE)))</f>
        <v>#N/A</v>
      </c>
      <c r="V21" s="941"/>
      <c r="W21" s="945"/>
      <c r="X21" s="960" t="str">
        <f>IF(AND(ISBLANK(V21),ISTEXT(W21)),"t3?",IF(AND(ISBLANK(W21),ISBLANK(V21)),"",VLOOKUP(BF21,Materialliste!$A$2:$B$1477,2,FALSE)))</f>
        <v/>
      </c>
      <c r="Y21" s="946" t="s">
        <v>1645</v>
      </c>
      <c r="Z21" s="947">
        <f t="shared" si="0"/>
        <v>1.52</v>
      </c>
      <c r="AA21" s="948" t="str">
        <f t="shared" si="14"/>
        <v>?Re</v>
      </c>
      <c r="AB21" s="949" t="e">
        <f t="shared" si="1"/>
        <v>#VALUE!</v>
      </c>
      <c r="AC21" s="950" t="e">
        <f t="shared" si="2"/>
        <v>#N/A</v>
      </c>
      <c r="AD21" s="923" t="e">
        <f t="shared" si="3"/>
        <v>#N/A</v>
      </c>
      <c r="AE21" s="951" t="e">
        <f t="shared" si="4"/>
        <v>#VALUE!</v>
      </c>
      <c r="AF21" s="952">
        <f t="shared" si="15"/>
        <v>4.141255848169731</v>
      </c>
      <c r="AG21" s="953" t="str">
        <f t="shared" si="16"/>
        <v/>
      </c>
      <c r="AH21" s="927" t="e">
        <f t="shared" si="5"/>
        <v>#VALUE!</v>
      </c>
      <c r="AI21" s="954">
        <f t="shared" si="17"/>
        <v>8</v>
      </c>
      <c r="AJ21" s="954">
        <f t="shared" si="18"/>
        <v>50</v>
      </c>
      <c r="AK21" s="954">
        <f t="shared" si="19"/>
        <v>8</v>
      </c>
      <c r="AL21" s="955">
        <f t="shared" si="20"/>
        <v>50</v>
      </c>
      <c r="AM21" s="956"/>
      <c r="AN21" s="957"/>
      <c r="AO21" s="958"/>
      <c r="AP21" s="959" t="s">
        <v>1653</v>
      </c>
      <c r="AQ21" s="959"/>
      <c r="AR21" s="260"/>
      <c r="AS21" s="260"/>
      <c r="AT21" s="260"/>
      <c r="AU21" s="260"/>
      <c r="AV21" s="260"/>
      <c r="AW21" s="260"/>
      <c r="AX21" s="261"/>
      <c r="AY21" s="259"/>
      <c r="AZ21" s="259"/>
      <c r="BA21" s="259"/>
      <c r="BB21" s="259"/>
      <c r="BD21" s="34" t="str">
        <f t="shared" si="6"/>
        <v>-</v>
      </c>
      <c r="BE21" s="34" t="str">
        <f t="shared" si="7"/>
        <v>-</v>
      </c>
      <c r="BF21" s="34">
        <f t="shared" si="8"/>
        <v>0</v>
      </c>
      <c r="BI21" s="10">
        <f t="shared" si="9"/>
        <v>2</v>
      </c>
      <c r="BJ21" s="11">
        <f t="shared" si="21"/>
        <v>1.4</v>
      </c>
      <c r="BK21" s="10">
        <f t="shared" si="10"/>
        <v>2</v>
      </c>
      <c r="BL21" s="10">
        <f t="shared" si="11"/>
        <v>1.4</v>
      </c>
      <c r="BM21" s="10">
        <f t="shared" si="12"/>
        <v>0</v>
      </c>
      <c r="BN21" s="10"/>
      <c r="BO21" s="251" t="e">
        <f t="shared" si="22"/>
        <v>#N/A</v>
      </c>
      <c r="BP21" s="251" t="e">
        <f t="shared" si="23"/>
        <v>#N/A</v>
      </c>
      <c r="BQ21" s="251" t="e">
        <f t="shared" si="24"/>
        <v>#N/A</v>
      </c>
      <c r="BR21" s="251" t="e">
        <f t="shared" si="25"/>
        <v>#N/A</v>
      </c>
      <c r="BS21" s="251" t="b">
        <f t="shared" si="13"/>
        <v>0</v>
      </c>
      <c r="BT21" s="251">
        <f t="shared" si="26"/>
        <v>0</v>
      </c>
      <c r="BU21" s="251" t="e">
        <f t="shared" si="27"/>
        <v>#N/A</v>
      </c>
      <c r="BV21" s="251" t="e">
        <f t="shared" si="28"/>
        <v>#N/A</v>
      </c>
      <c r="BW21" s="12"/>
      <c r="CC21" s="90" t="e">
        <f t="shared" si="29"/>
        <v>#VALUE!</v>
      </c>
      <c r="CG21" s="90" t="e">
        <f t="shared" si="30"/>
        <v>#VALUE!</v>
      </c>
    </row>
    <row r="22" spans="1:85" ht="63" customHeight="1">
      <c r="A22" s="811"/>
      <c r="B22" s="7"/>
      <c r="C22" s="934">
        <v>7.1014699999999999</v>
      </c>
      <c r="D22" s="907" t="s">
        <v>1670</v>
      </c>
      <c r="E22" s="908" t="s">
        <v>1180</v>
      </c>
      <c r="F22" s="909" t="s">
        <v>1665</v>
      </c>
      <c r="G22" s="910" t="s">
        <v>1653</v>
      </c>
      <c r="H22" s="911" t="s">
        <v>1664</v>
      </c>
      <c r="I22" s="912" t="s">
        <v>1180</v>
      </c>
      <c r="J22" s="95">
        <v>579.29999999999995</v>
      </c>
      <c r="K22" s="96">
        <v>-464.59</v>
      </c>
      <c r="L22" s="97">
        <v>-57.22</v>
      </c>
      <c r="M22" s="961" t="s">
        <v>1661</v>
      </c>
      <c r="N22" s="98" t="s">
        <v>1662</v>
      </c>
      <c r="O22" s="303" t="s">
        <v>1180</v>
      </c>
      <c r="P22" s="913">
        <v>2</v>
      </c>
      <c r="Q22" s="914" t="s">
        <v>1180</v>
      </c>
      <c r="R22" s="915" t="e">
        <f>IF(AND(ISBLANK(P22),ISTEXT(Q22)),"t1?",IF(AND(ISBLANK(Q22),ISBLANK(P22)),"",VLOOKUP(BD22,Materialliste!$A$2:$B$1477,2,FALSE)))</f>
        <v>#N/A</v>
      </c>
      <c r="S22" s="913">
        <v>1.4</v>
      </c>
      <c r="T22" s="914" t="s">
        <v>1180</v>
      </c>
      <c r="U22" s="915" t="e">
        <f>IF(AND(ISBLANK(S22),ISTEXT(T22)),"t2?",IF(AND(ISBLANK(T22),ISBLANK(S22)),"",VLOOKUP(BE22,Materialliste!$A$2:$B$1477,2,FALSE)))</f>
        <v>#N/A</v>
      </c>
      <c r="V22" s="913"/>
      <c r="W22" s="916"/>
      <c r="X22" s="917" t="str">
        <f>IF(AND(ISBLANK(V22),ISTEXT(W22)),"t3?",IF(AND(ISBLANK(W22),ISBLANK(V22)),"",VLOOKUP(BF22,Materialliste!$A$2:$B$1477,2,FALSE)))</f>
        <v/>
      </c>
      <c r="Y22" s="918" t="s">
        <v>1645</v>
      </c>
      <c r="Z22" s="919">
        <v>1.5000000000000002</v>
      </c>
      <c r="AA22" s="920">
        <v>1.0151515151515151</v>
      </c>
      <c r="AB22" s="921">
        <v>3.1640909090909095</v>
      </c>
      <c r="AC22" s="922">
        <v>8.7949999999999999</v>
      </c>
      <c r="AD22" s="923">
        <v>408.69565217391306</v>
      </c>
      <c r="AE22" s="924">
        <v>3.1640909090909095</v>
      </c>
      <c r="AF22" s="925">
        <v>4.2866070498705611</v>
      </c>
      <c r="AG22" s="926" t="s">
        <v>1659</v>
      </c>
      <c r="AH22" s="927" t="s">
        <v>1660</v>
      </c>
      <c r="AI22" s="928">
        <v>8</v>
      </c>
      <c r="AJ22" s="928">
        <v>50</v>
      </c>
      <c r="AK22" s="928">
        <v>8</v>
      </c>
      <c r="AL22" s="929">
        <v>50</v>
      </c>
      <c r="AM22" s="930"/>
      <c r="AN22" s="931"/>
      <c r="AO22" s="932"/>
      <c r="AP22" s="933" t="s">
        <v>1653</v>
      </c>
      <c r="AQ22" s="933"/>
      <c r="AR22" s="260"/>
      <c r="AS22" s="260"/>
      <c r="AT22" s="260"/>
      <c r="AU22" s="260"/>
      <c r="AV22" s="260"/>
      <c r="AW22" s="260"/>
      <c r="AX22" s="261"/>
      <c r="AY22" s="259"/>
      <c r="AZ22" s="259"/>
      <c r="BA22" s="259"/>
      <c r="BB22" s="259"/>
      <c r="BD22" s="34" t="str">
        <f t="shared" si="6"/>
        <v>-</v>
      </c>
      <c r="BE22" s="34" t="str">
        <f t="shared" si="7"/>
        <v>-</v>
      </c>
      <c r="BF22" s="34">
        <f t="shared" si="8"/>
        <v>0</v>
      </c>
      <c r="BI22" s="10">
        <f t="shared" si="9"/>
        <v>2</v>
      </c>
      <c r="BJ22" s="11">
        <f t="shared" si="21"/>
        <v>1.4</v>
      </c>
      <c r="BK22" s="10">
        <f t="shared" si="10"/>
        <v>2</v>
      </c>
      <c r="BL22" s="10">
        <f t="shared" si="11"/>
        <v>1.4</v>
      </c>
      <c r="BM22" s="10">
        <f t="shared" si="12"/>
        <v>0</v>
      </c>
      <c r="BN22" s="10"/>
      <c r="BO22" s="251" t="e">
        <f t="shared" si="22"/>
        <v>#N/A</v>
      </c>
      <c r="BP22" s="251" t="e">
        <f t="shared" si="23"/>
        <v>#N/A</v>
      </c>
      <c r="BQ22" s="251" t="e">
        <f t="shared" si="24"/>
        <v>#N/A</v>
      </c>
      <c r="BR22" s="251" t="e">
        <f t="shared" si="25"/>
        <v>#N/A</v>
      </c>
      <c r="BS22" s="251" t="b">
        <f t="shared" si="13"/>
        <v>0</v>
      </c>
      <c r="BT22" s="251">
        <f t="shared" si="26"/>
        <v>0</v>
      </c>
      <c r="BU22" s="251" t="e">
        <f t="shared" si="27"/>
        <v>#N/A</v>
      </c>
      <c r="BV22" s="251" t="e">
        <f t="shared" si="28"/>
        <v>#N/A</v>
      </c>
      <c r="BW22" s="12"/>
      <c r="CC22" s="90" t="str">
        <f t="shared" si="29"/>
        <v>39D 1978-2</v>
      </c>
      <c r="CG22" s="90" t="str">
        <f t="shared" si="30"/>
        <v>39D 1978-2</v>
      </c>
    </row>
    <row r="23" spans="1:85" ht="63" customHeight="1">
      <c r="A23" s="811"/>
      <c r="B23" s="7"/>
      <c r="C23" s="934">
        <v>7.1014799999999996</v>
      </c>
      <c r="D23" s="935" t="s">
        <v>1671</v>
      </c>
      <c r="E23" s="936" t="s">
        <v>1180</v>
      </c>
      <c r="F23" s="937" t="s">
        <v>1665</v>
      </c>
      <c r="G23" s="938" t="s">
        <v>1653</v>
      </c>
      <c r="H23" s="939" t="s">
        <v>1664</v>
      </c>
      <c r="I23" s="940" t="s">
        <v>1180</v>
      </c>
      <c r="J23" s="102">
        <v>639.88</v>
      </c>
      <c r="K23" s="101">
        <v>-468.29</v>
      </c>
      <c r="L23" s="100">
        <v>-54.45</v>
      </c>
      <c r="M23" s="962" t="s">
        <v>1661</v>
      </c>
      <c r="N23" s="93" t="s">
        <v>1662</v>
      </c>
      <c r="O23" s="304" t="s">
        <v>1180</v>
      </c>
      <c r="P23" s="941">
        <v>2</v>
      </c>
      <c r="Q23" s="942" t="s">
        <v>1180</v>
      </c>
      <c r="R23" s="943" t="e">
        <f>IF(AND(ISBLANK(P23),ISTEXT(Q23)),"t1?",IF(AND(ISBLANK(Q23),ISBLANK(P23)),"",VLOOKUP(BD23,Materialliste!$A$2:$B$1477,2,FALSE)))</f>
        <v>#N/A</v>
      </c>
      <c r="S23" s="941">
        <v>1.4</v>
      </c>
      <c r="T23" s="942" t="s">
        <v>1180</v>
      </c>
      <c r="U23" s="944" t="e">
        <f>IF(AND(ISBLANK(S23),ISTEXT(T23)),"t2?",IF(AND(ISBLANK(T23),ISBLANK(S23)),"",VLOOKUP(BE23,Materialliste!$A$2:$B$1477,2,FALSE)))</f>
        <v>#N/A</v>
      </c>
      <c r="V23" s="941"/>
      <c r="W23" s="945"/>
      <c r="X23" s="944" t="str">
        <f>IF(AND(ISBLANK(V23),ISTEXT(W23)),"t3?",IF(AND(ISBLANK(W23),ISBLANK(V23)),"",VLOOKUP(BF23,Materialliste!$A$2:$B$1477,2,FALSE)))</f>
        <v/>
      </c>
      <c r="Y23" s="946" t="s">
        <v>1645</v>
      </c>
      <c r="Z23" s="947">
        <v>1.52</v>
      </c>
      <c r="AA23" s="948">
        <v>1.0287878787878788</v>
      </c>
      <c r="AB23" s="949">
        <v>3.2375169696969697</v>
      </c>
      <c r="AC23" s="950">
        <v>8.8175999999999988</v>
      </c>
      <c r="AD23" s="923">
        <v>460.86956521739131</v>
      </c>
      <c r="AE23" s="951">
        <v>3.2375169696969697</v>
      </c>
      <c r="AF23" s="952">
        <v>4.141255848169731</v>
      </c>
      <c r="AG23" s="953" t="s">
        <v>1659</v>
      </c>
      <c r="AH23" s="927" t="s">
        <v>1660</v>
      </c>
      <c r="AI23" s="954">
        <v>8</v>
      </c>
      <c r="AJ23" s="954">
        <v>50</v>
      </c>
      <c r="AK23" s="954">
        <v>8</v>
      </c>
      <c r="AL23" s="955">
        <v>50</v>
      </c>
      <c r="AM23" s="956"/>
      <c r="AN23" s="957"/>
      <c r="AO23" s="958"/>
      <c r="AP23" s="959" t="s">
        <v>1653</v>
      </c>
      <c r="AQ23" s="959" t="s">
        <v>1653</v>
      </c>
      <c r="AR23" s="260"/>
      <c r="AS23" s="260"/>
      <c r="AT23" s="260"/>
      <c r="AU23" s="260"/>
      <c r="AV23" s="260"/>
      <c r="AW23" s="260"/>
      <c r="AX23" s="261"/>
      <c r="AY23" s="259"/>
      <c r="AZ23" s="259"/>
      <c r="BA23" s="259"/>
      <c r="BB23" s="259"/>
      <c r="BD23" s="34" t="str">
        <f t="shared" si="6"/>
        <v>-</v>
      </c>
      <c r="BE23" s="34" t="str">
        <f t="shared" si="7"/>
        <v>-</v>
      </c>
      <c r="BF23" s="34">
        <f t="shared" si="8"/>
        <v>0</v>
      </c>
      <c r="BI23" s="10">
        <f t="shared" si="9"/>
        <v>2</v>
      </c>
      <c r="BJ23" s="11">
        <f>LARGE(BK23:BM23,2)</f>
        <v>1.4</v>
      </c>
      <c r="BK23" s="10">
        <f t="shared" si="10"/>
        <v>2</v>
      </c>
      <c r="BL23" s="10">
        <f t="shared" si="11"/>
        <v>1.4</v>
      </c>
      <c r="BM23" s="10">
        <f t="shared" si="12"/>
        <v>0</v>
      </c>
      <c r="BN23" s="10"/>
      <c r="BO23" s="251" t="e">
        <f t="shared" si="22"/>
        <v>#N/A</v>
      </c>
      <c r="BP23" s="251" t="e">
        <f>IF(BO23=FALSE,0,300)</f>
        <v>#N/A</v>
      </c>
      <c r="BQ23" s="251" t="e">
        <f>IF(BO23=FALSE,1,0.7)</f>
        <v>#N/A</v>
      </c>
      <c r="BR23" s="251" t="e">
        <f>IF(BO23=FALSE,1,0.85)</f>
        <v>#N/A</v>
      </c>
      <c r="BS23" s="251" t="b">
        <f t="shared" si="13"/>
        <v>0</v>
      </c>
      <c r="BT23" s="251">
        <f>IF(BS23=TRUE,0.9,0)</f>
        <v>0</v>
      </c>
      <c r="BU23" s="251" t="e">
        <f t="shared" si="27"/>
        <v>#N/A</v>
      </c>
      <c r="BV23" s="251" t="e">
        <f>IF(BU23=TRUE,-0.7,0)</f>
        <v>#N/A</v>
      </c>
      <c r="BW23" s="12"/>
      <c r="CC23" s="90" t="str">
        <f t="shared" si="29"/>
        <v>39D 1978-2</v>
      </c>
      <c r="CG23" s="90" t="str">
        <f t="shared" si="30"/>
        <v>39D 1978-2</v>
      </c>
    </row>
    <row r="24" spans="1:85" ht="63" customHeight="1">
      <c r="A24" s="811"/>
      <c r="B24" s="7"/>
      <c r="C24" s="934">
        <v>7.1014900000000001</v>
      </c>
      <c r="D24" s="935" t="s">
        <v>1672</v>
      </c>
      <c r="E24" s="936" t="s">
        <v>1180</v>
      </c>
      <c r="F24" s="937" t="s">
        <v>1665</v>
      </c>
      <c r="G24" s="938" t="s">
        <v>1653</v>
      </c>
      <c r="H24" s="939" t="s">
        <v>1664</v>
      </c>
      <c r="I24" s="940" t="s">
        <v>1180</v>
      </c>
      <c r="J24" s="102">
        <v>614.84</v>
      </c>
      <c r="K24" s="101">
        <v>-468.61</v>
      </c>
      <c r="L24" s="100">
        <v>-42.78</v>
      </c>
      <c r="M24" s="94" t="s">
        <v>1661</v>
      </c>
      <c r="N24" s="93" t="s">
        <v>1662</v>
      </c>
      <c r="O24" s="304" t="s">
        <v>1180</v>
      </c>
      <c r="P24" s="941">
        <v>2</v>
      </c>
      <c r="Q24" s="942" t="s">
        <v>1180</v>
      </c>
      <c r="R24" s="960" t="e">
        <f>IF(AND(ISBLANK(P24),ISTEXT(Q24)),"t1?",IF(AND(ISBLANK(Q24),ISBLANK(P24)),"",VLOOKUP(BD24,Materialliste!$A$2:$B$1477,2,FALSE)))</f>
        <v>#N/A</v>
      </c>
      <c r="S24" s="941">
        <v>1.4</v>
      </c>
      <c r="T24" s="942" t="s">
        <v>1180</v>
      </c>
      <c r="U24" s="960" t="e">
        <f>IF(AND(ISBLANK(S24),ISTEXT(T24)),"t2?",IF(AND(ISBLANK(T24),ISBLANK(S24)),"",VLOOKUP(BE24,Materialliste!$A$2:$B$1477,2,FALSE)))</f>
        <v>#N/A</v>
      </c>
      <c r="V24" s="941"/>
      <c r="W24" s="945"/>
      <c r="X24" s="960" t="str">
        <f>IF(AND(ISBLANK(V24),ISTEXT(W24)),"t3?",IF(AND(ISBLANK(W24),ISBLANK(V24)),"",VLOOKUP(BF24,Materialliste!$A$2:$B$1477,2,FALSE)))</f>
        <v/>
      </c>
      <c r="Y24" s="946" t="s">
        <v>1645</v>
      </c>
      <c r="Z24" s="947">
        <v>1.52</v>
      </c>
      <c r="AA24" s="948">
        <v>1.0287878787878788</v>
      </c>
      <c r="AB24" s="949">
        <v>3.2375169696969697</v>
      </c>
      <c r="AC24" s="950">
        <v>8.8175999999999988</v>
      </c>
      <c r="AD24" s="923">
        <v>460.86956521739131</v>
      </c>
      <c r="AE24" s="951">
        <v>3.2375169696969697</v>
      </c>
      <c r="AF24" s="952">
        <v>4.141255848169731</v>
      </c>
      <c r="AG24" s="953" t="s">
        <v>1659</v>
      </c>
      <c r="AH24" s="927" t="s">
        <v>1660</v>
      </c>
      <c r="AI24" s="954">
        <v>8</v>
      </c>
      <c r="AJ24" s="954">
        <v>50</v>
      </c>
      <c r="AK24" s="954">
        <v>8</v>
      </c>
      <c r="AL24" s="955">
        <v>50</v>
      </c>
      <c r="AM24" s="956" t="s">
        <v>1663</v>
      </c>
      <c r="AN24" s="957"/>
      <c r="AO24" s="958"/>
      <c r="AP24" s="959" t="s">
        <v>1653</v>
      </c>
      <c r="AQ24" s="959" t="s">
        <v>1653</v>
      </c>
      <c r="AR24" s="260"/>
      <c r="AS24" s="260"/>
      <c r="AT24" s="260"/>
      <c r="AU24" s="260"/>
      <c r="AV24" s="260"/>
      <c r="AW24" s="260"/>
      <c r="AX24" s="261"/>
      <c r="AY24" s="259"/>
      <c r="AZ24" s="259"/>
      <c r="BA24" s="259"/>
      <c r="BB24" s="259"/>
      <c r="BD24" s="34" t="str">
        <f t="shared" si="6"/>
        <v>-</v>
      </c>
      <c r="BE24" s="34" t="str">
        <f t="shared" si="7"/>
        <v>-</v>
      </c>
      <c r="BF24" s="34">
        <f t="shared" si="8"/>
        <v>0</v>
      </c>
      <c r="BI24" s="10">
        <f t="shared" si="9"/>
        <v>2</v>
      </c>
      <c r="BJ24" s="11">
        <f t="shared" si="21"/>
        <v>1.4</v>
      </c>
      <c r="BK24" s="10">
        <f t="shared" si="10"/>
        <v>2</v>
      </c>
      <c r="BL24" s="10">
        <f t="shared" si="11"/>
        <v>1.4</v>
      </c>
      <c r="BM24" s="10">
        <f t="shared" si="12"/>
        <v>0</v>
      </c>
      <c r="BN24" s="10"/>
      <c r="BO24" s="251" t="e">
        <f t="shared" si="22"/>
        <v>#N/A</v>
      </c>
      <c r="BP24" s="251" t="e">
        <f t="shared" si="23"/>
        <v>#N/A</v>
      </c>
      <c r="BQ24" s="251" t="e">
        <f t="shared" si="24"/>
        <v>#N/A</v>
      </c>
      <c r="BR24" s="251" t="e">
        <f t="shared" si="25"/>
        <v>#N/A</v>
      </c>
      <c r="BS24" s="251" t="b">
        <f t="shared" si="13"/>
        <v>0</v>
      </c>
      <c r="BT24" s="251">
        <f t="shared" si="26"/>
        <v>0</v>
      </c>
      <c r="BU24" s="251" t="e">
        <f t="shared" si="27"/>
        <v>#N/A</v>
      </c>
      <c r="BV24" s="251" t="e">
        <f t="shared" si="28"/>
        <v>#N/A</v>
      </c>
      <c r="BW24" s="12"/>
      <c r="CC24" s="90" t="str">
        <f t="shared" si="29"/>
        <v>39D 1978-2</v>
      </c>
      <c r="CG24" s="90" t="str">
        <f t="shared" si="30"/>
        <v>39D 1978-2</v>
      </c>
    </row>
    <row r="25" spans="1:85" ht="63" customHeight="1" thickBot="1">
      <c r="A25" s="811"/>
      <c r="B25" s="7"/>
      <c r="C25" s="964">
        <v>7.1014999999999997</v>
      </c>
      <c r="D25" s="935" t="s">
        <v>1673</v>
      </c>
      <c r="E25" s="936" t="s">
        <v>1180</v>
      </c>
      <c r="F25" s="937" t="s">
        <v>1665</v>
      </c>
      <c r="G25" s="938" t="s">
        <v>1653</v>
      </c>
      <c r="H25" s="939" t="s">
        <v>1664</v>
      </c>
      <c r="I25" s="940" t="s">
        <v>1180</v>
      </c>
      <c r="J25" s="102">
        <v>505.78</v>
      </c>
      <c r="K25" s="101">
        <v>-378.41</v>
      </c>
      <c r="L25" s="100">
        <v>-8.68</v>
      </c>
      <c r="M25" s="94" t="s">
        <v>1661</v>
      </c>
      <c r="N25" s="93" t="s">
        <v>1662</v>
      </c>
      <c r="O25" s="304" t="s">
        <v>1180</v>
      </c>
      <c r="P25" s="941">
        <v>2</v>
      </c>
      <c r="Q25" s="942" t="s">
        <v>1180</v>
      </c>
      <c r="R25" s="960" t="e">
        <f>IF(AND(ISBLANK(P25),ISTEXT(Q25)),"t1?",IF(AND(ISBLANK(Q25),ISBLANK(P25)),"",VLOOKUP(BD25,Materialliste!$A$2:$B$1477,2,FALSE)))</f>
        <v>#N/A</v>
      </c>
      <c r="S25" s="941">
        <v>1.4</v>
      </c>
      <c r="T25" s="942" t="s">
        <v>1180</v>
      </c>
      <c r="U25" s="960" t="e">
        <f>IF(AND(ISBLANK(S25),ISTEXT(T25)),"t2?",IF(AND(ISBLANK(T25),ISBLANK(S25)),"",VLOOKUP(BE25,Materialliste!$A$2:$B$1477,2,FALSE)))</f>
        <v>#N/A</v>
      </c>
      <c r="V25" s="941"/>
      <c r="W25" s="945"/>
      <c r="X25" s="960" t="str">
        <f>IF(AND(ISBLANK(V25),ISTEXT(W25)),"t3?",IF(AND(ISBLANK(W25),ISBLANK(V25)),"",VLOOKUP(BF25,Materialliste!$A$2:$B$1477,2,FALSE)))</f>
        <v/>
      </c>
      <c r="Y25" s="946" t="s">
        <v>1645</v>
      </c>
      <c r="Z25" s="947">
        <v>1.52</v>
      </c>
      <c r="AA25" s="948">
        <v>1.0151515151515151</v>
      </c>
      <c r="AB25" s="949">
        <v>3.1973878787878789</v>
      </c>
      <c r="AC25" s="950">
        <v>8.8175999999999988</v>
      </c>
      <c r="AD25" s="923">
        <v>460.86956521739131</v>
      </c>
      <c r="AE25" s="951">
        <v>3.1973878787878789</v>
      </c>
      <c r="AF25" s="952">
        <v>4.141255848169731</v>
      </c>
      <c r="AG25" s="953" t="s">
        <v>1659</v>
      </c>
      <c r="AH25" s="927" t="s">
        <v>1660</v>
      </c>
      <c r="AI25" s="954">
        <v>8</v>
      </c>
      <c r="AJ25" s="954">
        <v>50</v>
      </c>
      <c r="AK25" s="954">
        <v>8</v>
      </c>
      <c r="AL25" s="955">
        <v>50</v>
      </c>
      <c r="AM25" s="956"/>
      <c r="AN25" s="957"/>
      <c r="AO25" s="958"/>
      <c r="AP25" s="959" t="s">
        <v>1653</v>
      </c>
      <c r="AQ25" s="959"/>
      <c r="AR25" s="260"/>
      <c r="AS25" s="260"/>
      <c r="AT25" s="260"/>
      <c r="AU25" s="260"/>
      <c r="AV25" s="260"/>
      <c r="AW25" s="260"/>
      <c r="AX25" s="261"/>
      <c r="AY25" s="259"/>
      <c r="AZ25" s="259"/>
      <c r="BA25" s="259"/>
      <c r="BB25" s="259"/>
      <c r="BD25" s="34" t="str">
        <f t="shared" si="6"/>
        <v>-</v>
      </c>
      <c r="BE25" s="34" t="str">
        <f t="shared" si="7"/>
        <v>-</v>
      </c>
      <c r="BF25" s="34">
        <f t="shared" si="8"/>
        <v>0</v>
      </c>
      <c r="BI25" s="10">
        <f t="shared" si="9"/>
        <v>2</v>
      </c>
      <c r="BJ25" s="11">
        <f t="shared" si="21"/>
        <v>1.4</v>
      </c>
      <c r="BK25" s="10">
        <f t="shared" si="10"/>
        <v>2</v>
      </c>
      <c r="BL25" s="10">
        <f t="shared" si="11"/>
        <v>1.4</v>
      </c>
      <c r="BM25" s="10">
        <f t="shared" si="12"/>
        <v>0</v>
      </c>
      <c r="BN25" s="10"/>
      <c r="BO25" s="251" t="e">
        <f t="shared" si="22"/>
        <v>#N/A</v>
      </c>
      <c r="BP25" s="251" t="e">
        <f t="shared" si="23"/>
        <v>#N/A</v>
      </c>
      <c r="BQ25" s="251" t="e">
        <f t="shared" si="24"/>
        <v>#N/A</v>
      </c>
      <c r="BR25" s="251" t="e">
        <f t="shared" si="25"/>
        <v>#N/A</v>
      </c>
      <c r="BS25" s="251" t="b">
        <f t="shared" si="13"/>
        <v>0</v>
      </c>
      <c r="BT25" s="251">
        <f t="shared" si="26"/>
        <v>0</v>
      </c>
      <c r="BU25" s="251" t="e">
        <f t="shared" si="27"/>
        <v>#N/A</v>
      </c>
      <c r="BV25" s="251" t="e">
        <f t="shared" si="28"/>
        <v>#N/A</v>
      </c>
      <c r="BW25" s="12"/>
      <c r="CC25" s="90" t="str">
        <f t="shared" si="29"/>
        <v>39D 1978-2</v>
      </c>
      <c r="CG25" s="90" t="str">
        <f t="shared" si="30"/>
        <v>39D 1978-2</v>
      </c>
    </row>
    <row r="26" spans="1:85" ht="63" customHeight="1">
      <c r="A26" s="811"/>
      <c r="B26" s="7"/>
      <c r="C26" s="934">
        <v>7.1015100000000002</v>
      </c>
      <c r="D26" s="907" t="s">
        <v>1674</v>
      </c>
      <c r="E26" s="908" t="s">
        <v>1180</v>
      </c>
      <c r="F26" s="909" t="s">
        <v>1665</v>
      </c>
      <c r="G26" s="910" t="s">
        <v>1653</v>
      </c>
      <c r="H26" s="911" t="s">
        <v>1664</v>
      </c>
      <c r="I26" s="912" t="s">
        <v>1180</v>
      </c>
      <c r="J26" s="95">
        <v>490.11</v>
      </c>
      <c r="K26" s="96">
        <v>-394.25</v>
      </c>
      <c r="L26" s="97">
        <v>-23.27</v>
      </c>
      <c r="M26" s="99" t="s">
        <v>1661</v>
      </c>
      <c r="N26" s="98" t="s">
        <v>1662</v>
      </c>
      <c r="O26" s="303" t="s">
        <v>1180</v>
      </c>
      <c r="P26" s="913">
        <v>2</v>
      </c>
      <c r="Q26" s="914" t="s">
        <v>1180</v>
      </c>
      <c r="R26" s="915" t="e">
        <f>IF(AND(ISBLANK(P26),ISTEXT(Q26)),"t1?",IF(AND(ISBLANK(Q26),ISBLANK(P26)),"",VLOOKUP(BD26,Materialliste!$A$2:$B$1477,2,FALSE)))</f>
        <v>#N/A</v>
      </c>
      <c r="S26" s="913">
        <v>1.4</v>
      </c>
      <c r="T26" s="914" t="s">
        <v>1180</v>
      </c>
      <c r="U26" s="915" t="e">
        <f>IF(AND(ISBLANK(S26),ISTEXT(T26)),"t2?",IF(AND(ISBLANK(T26),ISBLANK(S26)),"",VLOOKUP(BE26,Materialliste!$A$2:$B$1477,2,FALSE)))</f>
        <v>#N/A</v>
      </c>
      <c r="V26" s="913"/>
      <c r="W26" s="916"/>
      <c r="X26" s="917" t="str">
        <f>IF(AND(ISBLANK(V26),ISTEXT(W26)),"t3?",IF(AND(ISBLANK(W26),ISBLANK(V26)),"",VLOOKUP(BF26,Materialliste!$A$2:$B$1477,2,FALSE)))</f>
        <v/>
      </c>
      <c r="Y26" s="918" t="s">
        <v>1645</v>
      </c>
      <c r="Z26" s="919">
        <v>1.5000000000000002</v>
      </c>
      <c r="AA26" s="920">
        <v>1.0151515151515151</v>
      </c>
      <c r="AB26" s="921">
        <v>3.1640909090909095</v>
      </c>
      <c r="AC26" s="922">
        <v>8.7949999999999999</v>
      </c>
      <c r="AD26" s="923">
        <v>408.69565217391306</v>
      </c>
      <c r="AE26" s="924">
        <v>3.1640909090909095</v>
      </c>
      <c r="AF26" s="925">
        <v>4.2866070498705611</v>
      </c>
      <c r="AG26" s="926" t="s">
        <v>1659</v>
      </c>
      <c r="AH26" s="927" t="s">
        <v>1660</v>
      </c>
      <c r="AI26" s="928">
        <v>8</v>
      </c>
      <c r="AJ26" s="928">
        <v>50</v>
      </c>
      <c r="AK26" s="928">
        <v>8</v>
      </c>
      <c r="AL26" s="929">
        <v>50</v>
      </c>
      <c r="AM26" s="930"/>
      <c r="AN26" s="931"/>
      <c r="AO26" s="932"/>
      <c r="AP26" s="933" t="s">
        <v>1653</v>
      </c>
      <c r="AQ26" s="933"/>
      <c r="AR26" s="260"/>
      <c r="AS26" s="260"/>
      <c r="AT26" s="260"/>
      <c r="AU26" s="260"/>
      <c r="AV26" s="260"/>
      <c r="AW26" s="260"/>
      <c r="AX26" s="261"/>
      <c r="AY26" s="259"/>
      <c r="AZ26" s="259"/>
      <c r="BA26" s="259"/>
      <c r="BB26" s="259"/>
      <c r="BD26" s="34" t="str">
        <f t="shared" si="6"/>
        <v>-</v>
      </c>
      <c r="BE26" s="34" t="str">
        <f t="shared" si="7"/>
        <v>-</v>
      </c>
      <c r="BF26" s="34">
        <f t="shared" si="8"/>
        <v>0</v>
      </c>
      <c r="BI26" s="10">
        <f t="shared" si="9"/>
        <v>2</v>
      </c>
      <c r="BJ26" s="11">
        <f t="shared" si="21"/>
        <v>1.4</v>
      </c>
      <c r="BK26" s="10">
        <f t="shared" si="10"/>
        <v>2</v>
      </c>
      <c r="BL26" s="10">
        <f t="shared" si="11"/>
        <v>1.4</v>
      </c>
      <c r="BM26" s="10">
        <f t="shared" si="12"/>
        <v>0</v>
      </c>
      <c r="BN26" s="10"/>
      <c r="BO26" s="251" t="e">
        <f t="shared" si="22"/>
        <v>#N/A</v>
      </c>
      <c r="BP26" s="251" t="e">
        <f t="shared" si="23"/>
        <v>#N/A</v>
      </c>
      <c r="BQ26" s="251" t="e">
        <f t="shared" si="24"/>
        <v>#N/A</v>
      </c>
      <c r="BR26" s="251" t="e">
        <f t="shared" si="25"/>
        <v>#N/A</v>
      </c>
      <c r="BS26" s="251" t="b">
        <f t="shared" si="13"/>
        <v>0</v>
      </c>
      <c r="BT26" s="251">
        <f t="shared" si="26"/>
        <v>0</v>
      </c>
      <c r="BU26" s="251" t="e">
        <f t="shared" si="27"/>
        <v>#N/A</v>
      </c>
      <c r="BV26" s="251" t="e">
        <f t="shared" si="28"/>
        <v>#N/A</v>
      </c>
      <c r="BW26" s="12"/>
      <c r="CC26" s="90" t="str">
        <f t="shared" si="29"/>
        <v>39D 1978-2</v>
      </c>
      <c r="CG26" s="90" t="str">
        <f t="shared" si="30"/>
        <v>39D 1978-2</v>
      </c>
    </row>
    <row r="27" spans="1:85" ht="63" customHeight="1">
      <c r="A27" s="811"/>
      <c r="B27" s="7"/>
      <c r="C27" s="934">
        <v>7.1015199999999998</v>
      </c>
      <c r="D27" s="935" t="s">
        <v>1675</v>
      </c>
      <c r="E27" s="936" t="s">
        <v>1180</v>
      </c>
      <c r="F27" s="937" t="s">
        <v>1665</v>
      </c>
      <c r="G27" s="938" t="s">
        <v>1653</v>
      </c>
      <c r="H27" s="939" t="s">
        <v>1664</v>
      </c>
      <c r="I27" s="940" t="s">
        <v>1180</v>
      </c>
      <c r="J27" s="102">
        <v>493.04</v>
      </c>
      <c r="K27" s="101">
        <v>-400.84</v>
      </c>
      <c r="L27" s="100">
        <v>-59.04</v>
      </c>
      <c r="M27" s="94" t="s">
        <v>1661</v>
      </c>
      <c r="N27" s="93" t="s">
        <v>1662</v>
      </c>
      <c r="O27" s="304" t="s">
        <v>1180</v>
      </c>
      <c r="P27" s="941">
        <v>2</v>
      </c>
      <c r="Q27" s="942" t="s">
        <v>1180</v>
      </c>
      <c r="R27" s="943" t="e">
        <f>IF(AND(ISBLANK(P27),ISTEXT(Q27)),"t1?",IF(AND(ISBLANK(Q27),ISBLANK(P27)),"",VLOOKUP(BD27,Materialliste!$A$2:$B$1477,2,FALSE)))</f>
        <v>#N/A</v>
      </c>
      <c r="S27" s="941">
        <v>1.4</v>
      </c>
      <c r="T27" s="942" t="s">
        <v>1180</v>
      </c>
      <c r="U27" s="944" t="e">
        <f>IF(AND(ISBLANK(S27),ISTEXT(T27)),"t2?",IF(AND(ISBLANK(T27),ISBLANK(S27)),"",VLOOKUP(BE27,Materialliste!$A$2:$B$1477,2,FALSE)))</f>
        <v>#N/A</v>
      </c>
      <c r="V27" s="941"/>
      <c r="W27" s="945"/>
      <c r="X27" s="944" t="str">
        <f>IF(AND(ISBLANK(V27),ISTEXT(W27)),"t3?",IF(AND(ISBLANK(W27),ISBLANK(V27)),"",VLOOKUP(BF27,Materialliste!$A$2:$B$1477,2,FALSE)))</f>
        <v/>
      </c>
      <c r="Y27" s="946" t="s">
        <v>1645</v>
      </c>
      <c r="Z27" s="947">
        <v>1.52</v>
      </c>
      <c r="AA27" s="948">
        <v>1.0287878787878788</v>
      </c>
      <c r="AB27" s="949">
        <v>3.2375169696969697</v>
      </c>
      <c r="AC27" s="950">
        <v>8.8175999999999988</v>
      </c>
      <c r="AD27" s="923">
        <v>460.86956521739131</v>
      </c>
      <c r="AE27" s="951">
        <v>3.2375169696969697</v>
      </c>
      <c r="AF27" s="952">
        <v>4.141255848169731</v>
      </c>
      <c r="AG27" s="953" t="s">
        <v>1659</v>
      </c>
      <c r="AH27" s="927" t="s">
        <v>1660</v>
      </c>
      <c r="AI27" s="954">
        <v>8</v>
      </c>
      <c r="AJ27" s="954">
        <v>50</v>
      </c>
      <c r="AK27" s="954">
        <v>8</v>
      </c>
      <c r="AL27" s="955">
        <v>50</v>
      </c>
      <c r="AM27" s="956"/>
      <c r="AN27" s="957"/>
      <c r="AO27" s="958"/>
      <c r="AP27" s="959" t="s">
        <v>1653</v>
      </c>
      <c r="AQ27" s="959" t="s">
        <v>1653</v>
      </c>
      <c r="AR27" s="260"/>
      <c r="AS27" s="260"/>
      <c r="AT27" s="260"/>
      <c r="AU27" s="260"/>
      <c r="AV27" s="260"/>
      <c r="AW27" s="260"/>
      <c r="AX27" s="261"/>
      <c r="AY27" s="259"/>
      <c r="AZ27" s="259"/>
      <c r="BA27" s="259"/>
      <c r="BB27" s="259"/>
      <c r="BD27" s="34" t="str">
        <f t="shared" si="6"/>
        <v>-</v>
      </c>
      <c r="BE27" s="34" t="str">
        <f t="shared" si="7"/>
        <v>-</v>
      </c>
      <c r="BF27" s="34">
        <f t="shared" si="8"/>
        <v>0</v>
      </c>
      <c r="BI27" s="10">
        <f t="shared" si="9"/>
        <v>2</v>
      </c>
      <c r="BJ27" s="11">
        <f t="shared" si="21"/>
        <v>1.4</v>
      </c>
      <c r="BK27" s="10">
        <f t="shared" si="10"/>
        <v>2</v>
      </c>
      <c r="BL27" s="10">
        <f t="shared" si="11"/>
        <v>1.4</v>
      </c>
      <c r="BM27" s="10">
        <f t="shared" si="12"/>
        <v>0</v>
      </c>
      <c r="BN27" s="10"/>
      <c r="BO27" s="251" t="e">
        <f t="shared" si="22"/>
        <v>#N/A</v>
      </c>
      <c r="BP27" s="251" t="e">
        <f t="shared" si="23"/>
        <v>#N/A</v>
      </c>
      <c r="BQ27" s="251" t="e">
        <f t="shared" si="24"/>
        <v>#N/A</v>
      </c>
      <c r="BR27" s="251" t="e">
        <f t="shared" si="25"/>
        <v>#N/A</v>
      </c>
      <c r="BS27" s="251" t="b">
        <f t="shared" si="13"/>
        <v>0</v>
      </c>
      <c r="BT27" s="251">
        <f t="shared" si="26"/>
        <v>0</v>
      </c>
      <c r="BU27" s="251" t="e">
        <f t="shared" si="27"/>
        <v>#N/A</v>
      </c>
      <c r="BV27" s="251" t="e">
        <f t="shared" si="28"/>
        <v>#N/A</v>
      </c>
      <c r="BW27" s="12"/>
      <c r="CC27" s="90" t="str">
        <f t="shared" si="29"/>
        <v>39D 1978-2</v>
      </c>
      <c r="CG27" s="90" t="str">
        <f t="shared" si="30"/>
        <v>39D 1978-2</v>
      </c>
    </row>
    <row r="28" spans="1:85" ht="63" customHeight="1" thickBot="1">
      <c r="A28" s="811"/>
      <c r="B28" s="7"/>
      <c r="C28" s="934">
        <v>7.1015300000000003</v>
      </c>
      <c r="D28" s="935" t="s">
        <v>1676</v>
      </c>
      <c r="E28" s="936" t="s">
        <v>1180</v>
      </c>
      <c r="F28" s="937" t="s">
        <v>1665</v>
      </c>
      <c r="G28" s="938" t="s">
        <v>1653</v>
      </c>
      <c r="H28" s="939" t="s">
        <v>1664</v>
      </c>
      <c r="I28" s="940" t="s">
        <v>1180</v>
      </c>
      <c r="J28" s="102">
        <v>544.54999999999995</v>
      </c>
      <c r="K28" s="101">
        <v>-401.97</v>
      </c>
      <c r="L28" s="100">
        <v>-58.31</v>
      </c>
      <c r="M28" s="94" t="s">
        <v>1661</v>
      </c>
      <c r="N28" s="93" t="s">
        <v>1662</v>
      </c>
      <c r="O28" s="304" t="s">
        <v>1180</v>
      </c>
      <c r="P28" s="941">
        <v>2</v>
      </c>
      <c r="Q28" s="942" t="s">
        <v>1180</v>
      </c>
      <c r="R28" s="960" t="e">
        <f>IF(AND(ISBLANK(P28),ISTEXT(Q28)),"t1?",IF(AND(ISBLANK(Q28),ISBLANK(P28)),"",VLOOKUP(BD28,Materialliste!$A$2:$B$1477,2,FALSE)))</f>
        <v>#N/A</v>
      </c>
      <c r="S28" s="941">
        <v>1.4</v>
      </c>
      <c r="T28" s="942" t="s">
        <v>1180</v>
      </c>
      <c r="U28" s="960" t="e">
        <f>IF(AND(ISBLANK(S28),ISTEXT(T28)),"t2?",IF(AND(ISBLANK(T28),ISBLANK(S28)),"",VLOOKUP(BE28,Materialliste!$A$2:$B$1477,2,FALSE)))</f>
        <v>#N/A</v>
      </c>
      <c r="V28" s="941"/>
      <c r="W28" s="945"/>
      <c r="X28" s="960" t="str">
        <f>IF(AND(ISBLANK(V28),ISTEXT(W28)),"t3?",IF(AND(ISBLANK(W28),ISBLANK(V28)),"",VLOOKUP(BF28,Materialliste!$A$2:$B$1477,2,FALSE)))</f>
        <v/>
      </c>
      <c r="Y28" s="946" t="s">
        <v>1645</v>
      </c>
      <c r="Z28" s="947">
        <v>1.52</v>
      </c>
      <c r="AA28" s="948">
        <v>1.0287878787878788</v>
      </c>
      <c r="AB28" s="949">
        <v>3.2375169696969697</v>
      </c>
      <c r="AC28" s="950">
        <v>8.8175999999999988</v>
      </c>
      <c r="AD28" s="923">
        <v>460.86956521739131</v>
      </c>
      <c r="AE28" s="951">
        <v>3.2375169696969697</v>
      </c>
      <c r="AF28" s="952">
        <v>4.141255848169731</v>
      </c>
      <c r="AG28" s="953" t="s">
        <v>1659</v>
      </c>
      <c r="AH28" s="927" t="s">
        <v>1660</v>
      </c>
      <c r="AI28" s="954">
        <v>8</v>
      </c>
      <c r="AJ28" s="954">
        <v>50</v>
      </c>
      <c r="AK28" s="954">
        <v>8</v>
      </c>
      <c r="AL28" s="955">
        <v>50</v>
      </c>
      <c r="AM28" s="956" t="s">
        <v>1663</v>
      </c>
      <c r="AN28" s="957"/>
      <c r="AO28" s="958"/>
      <c r="AP28" s="959" t="s">
        <v>1653</v>
      </c>
      <c r="AQ28" s="959" t="s">
        <v>1653</v>
      </c>
      <c r="AR28" s="260"/>
      <c r="AS28" s="260"/>
      <c r="AT28" s="260"/>
      <c r="AU28" s="260"/>
      <c r="AV28" s="260"/>
      <c r="AW28" s="260"/>
      <c r="AX28" s="261"/>
      <c r="AY28" s="259"/>
      <c r="AZ28" s="259"/>
      <c r="BA28" s="259"/>
      <c r="BB28" s="259"/>
      <c r="BD28" s="34" t="str">
        <f t="shared" si="6"/>
        <v>-</v>
      </c>
      <c r="BE28" s="34" t="str">
        <f t="shared" si="7"/>
        <v>-</v>
      </c>
      <c r="BF28" s="34">
        <f t="shared" si="8"/>
        <v>0</v>
      </c>
      <c r="BI28" s="10">
        <f t="shared" si="9"/>
        <v>2</v>
      </c>
      <c r="BJ28" s="11">
        <f t="shared" si="21"/>
        <v>1.4</v>
      </c>
      <c r="BK28" s="10">
        <f t="shared" si="10"/>
        <v>2</v>
      </c>
      <c r="BL28" s="10">
        <f t="shared" si="11"/>
        <v>1.4</v>
      </c>
      <c r="BM28" s="10">
        <f t="shared" si="12"/>
        <v>0</v>
      </c>
      <c r="BN28" s="10"/>
      <c r="BO28" s="251" t="e">
        <f t="shared" si="22"/>
        <v>#N/A</v>
      </c>
      <c r="BP28" s="251" t="e">
        <f t="shared" si="23"/>
        <v>#N/A</v>
      </c>
      <c r="BQ28" s="251" t="e">
        <f t="shared" si="24"/>
        <v>#N/A</v>
      </c>
      <c r="BR28" s="251" t="e">
        <f t="shared" si="25"/>
        <v>#N/A</v>
      </c>
      <c r="BS28" s="251" t="b">
        <f t="shared" si="13"/>
        <v>0</v>
      </c>
      <c r="BT28" s="251">
        <f t="shared" si="26"/>
        <v>0</v>
      </c>
      <c r="BU28" s="251" t="e">
        <f t="shared" si="27"/>
        <v>#N/A</v>
      </c>
      <c r="BV28" s="251" t="e">
        <f t="shared" si="28"/>
        <v>#N/A</v>
      </c>
      <c r="BW28" s="12"/>
      <c r="CC28" s="90" t="str">
        <f t="shared" si="29"/>
        <v>39D 1978-2</v>
      </c>
      <c r="CG28" s="90" t="str">
        <f t="shared" si="30"/>
        <v>39D 1978-2</v>
      </c>
    </row>
    <row r="29" spans="1:85" ht="63" customHeight="1" thickBot="1">
      <c r="A29" s="811"/>
      <c r="B29" s="7"/>
      <c r="C29" s="934">
        <v>7.10154</v>
      </c>
      <c r="D29" s="907" t="s">
        <v>1677</v>
      </c>
      <c r="E29" s="908" t="s">
        <v>1180</v>
      </c>
      <c r="F29" s="909" t="s">
        <v>1665</v>
      </c>
      <c r="G29" s="910" t="s">
        <v>1653</v>
      </c>
      <c r="H29" s="911" t="s">
        <v>1664</v>
      </c>
      <c r="I29" s="912" t="s">
        <v>1180</v>
      </c>
      <c r="J29" s="95">
        <v>593.77</v>
      </c>
      <c r="K29" s="96">
        <v>-404.16</v>
      </c>
      <c r="L29" s="97">
        <v>-43.39</v>
      </c>
      <c r="M29" s="99" t="s">
        <v>1661</v>
      </c>
      <c r="N29" s="98" t="s">
        <v>1662</v>
      </c>
      <c r="O29" s="303" t="s">
        <v>1180</v>
      </c>
      <c r="P29" s="913">
        <v>2</v>
      </c>
      <c r="Q29" s="914" t="s">
        <v>1180</v>
      </c>
      <c r="R29" s="915" t="e">
        <f>IF(AND(ISBLANK(P29),ISTEXT(Q29)),"t1?",IF(AND(ISBLANK(Q29),ISBLANK(P29)),"",VLOOKUP(BD29,Materialliste!$A$2:$B$1477,2,FALSE)))</f>
        <v>#N/A</v>
      </c>
      <c r="S29" s="913">
        <v>1.4</v>
      </c>
      <c r="T29" s="914" t="s">
        <v>1180</v>
      </c>
      <c r="U29" s="915" t="e">
        <f>IF(AND(ISBLANK(S29),ISTEXT(T29)),"t2?",IF(AND(ISBLANK(T29),ISBLANK(S29)),"",VLOOKUP(BE29,Materialliste!$A$2:$B$1477,2,FALSE)))</f>
        <v>#N/A</v>
      </c>
      <c r="V29" s="913"/>
      <c r="W29" s="916"/>
      <c r="X29" s="917" t="str">
        <f>IF(AND(ISBLANK(V29),ISTEXT(W29)),"t3?",IF(AND(ISBLANK(W29),ISBLANK(V29)),"",VLOOKUP(BF29,Materialliste!$A$2:$B$1477,2,FALSE)))</f>
        <v/>
      </c>
      <c r="Y29" s="918" t="s">
        <v>1645</v>
      </c>
      <c r="Z29" s="919">
        <v>1.52</v>
      </c>
      <c r="AA29" s="920">
        <v>1.0151515151515151</v>
      </c>
      <c r="AB29" s="921">
        <v>3.1973878787878789</v>
      </c>
      <c r="AC29" s="922">
        <v>8.8175999999999988</v>
      </c>
      <c r="AD29" s="923">
        <v>460.86956521739131</v>
      </c>
      <c r="AE29" s="924">
        <v>3.1973878787878789</v>
      </c>
      <c r="AF29" s="925">
        <v>4.141255848169731</v>
      </c>
      <c r="AG29" s="926" t="s">
        <v>1659</v>
      </c>
      <c r="AH29" s="927" t="s">
        <v>1660</v>
      </c>
      <c r="AI29" s="928">
        <v>8</v>
      </c>
      <c r="AJ29" s="928">
        <v>50</v>
      </c>
      <c r="AK29" s="928">
        <v>8</v>
      </c>
      <c r="AL29" s="929">
        <v>50</v>
      </c>
      <c r="AM29" s="930"/>
      <c r="AN29" s="931"/>
      <c r="AO29" s="932"/>
      <c r="AP29" s="933" t="s">
        <v>1653</v>
      </c>
      <c r="AQ29" s="933"/>
      <c r="AR29" s="260"/>
      <c r="AS29" s="260"/>
      <c r="AT29" s="260"/>
      <c r="AU29" s="260"/>
      <c r="AV29" s="260"/>
      <c r="AW29" s="260"/>
      <c r="AX29" s="261"/>
      <c r="AY29" s="259"/>
      <c r="AZ29" s="259"/>
      <c r="BA29" s="259"/>
      <c r="BB29" s="259"/>
      <c r="BD29" s="34" t="str">
        <f t="shared" si="6"/>
        <v>-</v>
      </c>
      <c r="BE29" s="34" t="str">
        <f t="shared" si="7"/>
        <v>-</v>
      </c>
      <c r="BF29" s="34">
        <f t="shared" si="8"/>
        <v>0</v>
      </c>
      <c r="BI29" s="10">
        <f t="shared" si="9"/>
        <v>2</v>
      </c>
      <c r="BJ29" s="11">
        <f t="shared" si="21"/>
        <v>1.4</v>
      </c>
      <c r="BK29" s="10">
        <f t="shared" si="10"/>
        <v>2</v>
      </c>
      <c r="BL29" s="10">
        <f t="shared" si="11"/>
        <v>1.4</v>
      </c>
      <c r="BM29" s="10">
        <f t="shared" si="12"/>
        <v>0</v>
      </c>
      <c r="BN29" s="10"/>
      <c r="BO29" s="251" t="e">
        <f t="shared" si="22"/>
        <v>#N/A</v>
      </c>
      <c r="BP29" s="251" t="e">
        <f t="shared" si="23"/>
        <v>#N/A</v>
      </c>
      <c r="BQ29" s="251" t="e">
        <f t="shared" si="24"/>
        <v>#N/A</v>
      </c>
      <c r="BR29" s="251" t="e">
        <f t="shared" si="25"/>
        <v>#N/A</v>
      </c>
      <c r="BS29" s="251" t="b">
        <f t="shared" si="13"/>
        <v>0</v>
      </c>
      <c r="BT29" s="251">
        <f t="shared" si="26"/>
        <v>0</v>
      </c>
      <c r="BU29" s="251" t="e">
        <f t="shared" si="27"/>
        <v>#N/A</v>
      </c>
      <c r="BV29" s="251" t="e">
        <f t="shared" si="28"/>
        <v>#N/A</v>
      </c>
      <c r="BW29" s="12"/>
      <c r="CC29" s="90" t="str">
        <f t="shared" si="29"/>
        <v>39D 1978-2</v>
      </c>
      <c r="CG29" s="90" t="str">
        <f t="shared" si="30"/>
        <v>39D 1978-2</v>
      </c>
    </row>
    <row r="30" spans="1:85" ht="63" customHeight="1" thickBot="1">
      <c r="A30" s="811"/>
      <c r="B30" s="7"/>
      <c r="C30" s="934">
        <v>7.1015499999999996</v>
      </c>
      <c r="D30" s="963" t="s">
        <v>1678</v>
      </c>
      <c r="E30" s="936" t="s">
        <v>1180</v>
      </c>
      <c r="F30" s="937" t="s">
        <v>1665</v>
      </c>
      <c r="G30" s="938" t="s">
        <v>1653</v>
      </c>
      <c r="H30" s="939" t="s">
        <v>1664</v>
      </c>
      <c r="I30" s="940" t="s">
        <v>1180</v>
      </c>
      <c r="J30" s="306">
        <v>628.19000000000005</v>
      </c>
      <c r="K30" s="307">
        <v>-408.2</v>
      </c>
      <c r="L30" s="308">
        <v>-54.56</v>
      </c>
      <c r="M30" s="309" t="s">
        <v>1661</v>
      </c>
      <c r="N30" s="310" t="s">
        <v>1662</v>
      </c>
      <c r="O30" s="311" t="s">
        <v>1180</v>
      </c>
      <c r="P30" s="913">
        <v>2</v>
      </c>
      <c r="Q30" s="914" t="s">
        <v>1180</v>
      </c>
      <c r="R30" s="915" t="e">
        <f>IF(AND(ISBLANK(P30),ISTEXT(Q30)),"t1?",IF(AND(ISBLANK(Q30),ISBLANK(P30)),"",VLOOKUP(BD30,Materialliste!$A$2:$B$1477,2,FALSE)))</f>
        <v>#N/A</v>
      </c>
      <c r="S30" s="913">
        <v>1.4</v>
      </c>
      <c r="T30" s="914" t="s">
        <v>1180</v>
      </c>
      <c r="U30" s="915" t="e">
        <f>IF(AND(ISBLANK(S30),ISTEXT(T30)),"t2?",IF(AND(ISBLANK(T30),ISBLANK(S30)),"",VLOOKUP(BE30,Materialliste!$A$2:$B$1477,2,FALSE)))</f>
        <v>#N/A</v>
      </c>
      <c r="V30" s="941"/>
      <c r="W30" s="945"/>
      <c r="X30" s="944" t="str">
        <f>IF(AND(ISBLANK(V30),ISTEXT(W30)),"t3?",IF(AND(ISBLANK(W30),ISBLANK(V30)),"",VLOOKUP(BF30,Materialliste!$A$2:$B$1477,2,FALSE)))</f>
        <v/>
      </c>
      <c r="Y30" s="918" t="s">
        <v>1645</v>
      </c>
      <c r="Z30" s="919">
        <v>1.5000000000000002</v>
      </c>
      <c r="AA30" s="920">
        <v>1.0151515151515151</v>
      </c>
      <c r="AB30" s="921">
        <v>3.1640909090909095</v>
      </c>
      <c r="AC30" s="922">
        <v>8.7949999999999999</v>
      </c>
      <c r="AD30" s="923">
        <v>408.69565217391306</v>
      </c>
      <c r="AE30" s="924">
        <v>3.1640909090909095</v>
      </c>
      <c r="AF30" s="925">
        <v>4.2866070498705611</v>
      </c>
      <c r="AG30" s="926" t="s">
        <v>1659</v>
      </c>
      <c r="AH30" s="927" t="s">
        <v>1660</v>
      </c>
      <c r="AI30" s="928">
        <v>8</v>
      </c>
      <c r="AJ30" s="928">
        <v>50</v>
      </c>
      <c r="AK30" s="928">
        <v>8</v>
      </c>
      <c r="AL30" s="929">
        <v>50</v>
      </c>
      <c r="AM30" s="930"/>
      <c r="AN30" s="931"/>
      <c r="AO30" s="932"/>
      <c r="AP30" s="933" t="s">
        <v>1653</v>
      </c>
      <c r="AQ30" s="933"/>
      <c r="AR30" s="260"/>
      <c r="AS30" s="260"/>
      <c r="AT30" s="260"/>
      <c r="AU30" s="260"/>
      <c r="AV30" s="260"/>
      <c r="AW30" s="260"/>
      <c r="AX30" s="261"/>
      <c r="AY30" s="259"/>
      <c r="AZ30" s="259"/>
      <c r="BA30" s="259"/>
      <c r="BB30" s="259"/>
      <c r="BD30" s="34"/>
      <c r="BE30" s="34"/>
      <c r="BF30" s="34"/>
      <c r="BI30" s="10"/>
      <c r="BJ30" s="11"/>
      <c r="BK30" s="10"/>
      <c r="BL30" s="10"/>
      <c r="BM30" s="10"/>
      <c r="BN30" s="10"/>
      <c r="BO30" s="251"/>
      <c r="BP30" s="251"/>
      <c r="BQ30" s="251"/>
      <c r="BR30" s="251"/>
      <c r="BS30" s="251"/>
      <c r="BT30" s="251"/>
      <c r="BU30" s="251"/>
      <c r="BV30" s="251"/>
      <c r="BW30" s="12"/>
      <c r="CC30" s="90"/>
      <c r="CG30" s="90"/>
    </row>
    <row r="31" spans="1:85" ht="63" customHeight="1">
      <c r="A31" s="811"/>
      <c r="B31" s="7"/>
      <c r="C31" s="315"/>
      <c r="D31" s="316"/>
      <c r="E31" s="317"/>
      <c r="F31" s="318"/>
      <c r="G31" s="319"/>
      <c r="H31" s="320"/>
      <c r="I31" s="321"/>
      <c r="J31" s="322"/>
      <c r="K31" s="323"/>
      <c r="L31" s="324"/>
      <c r="M31" s="325"/>
      <c r="N31" s="326"/>
      <c r="O31" s="327"/>
      <c r="P31" s="313"/>
      <c r="Q31" s="328"/>
      <c r="R31" s="329"/>
      <c r="S31" s="313"/>
      <c r="T31" s="328"/>
      <c r="U31" s="329"/>
      <c r="V31" s="314"/>
      <c r="W31" s="330"/>
      <c r="X31" s="331"/>
      <c r="Y31" s="332"/>
      <c r="Z31" s="333"/>
      <c r="AA31" s="334"/>
      <c r="AB31" s="335"/>
      <c r="AC31" s="336"/>
      <c r="AD31" s="337"/>
      <c r="AE31" s="338"/>
      <c r="AF31" s="339"/>
      <c r="AG31" s="340"/>
      <c r="AH31" s="341"/>
      <c r="AI31" s="342"/>
      <c r="AJ31" s="342"/>
      <c r="AK31" s="342"/>
      <c r="AL31" s="343"/>
      <c r="AM31" s="344"/>
      <c r="AN31" s="345"/>
      <c r="AO31" s="346"/>
      <c r="AP31" s="347"/>
      <c r="AQ31" s="347"/>
      <c r="AR31" s="260"/>
      <c r="AS31" s="260"/>
      <c r="AT31" s="260"/>
      <c r="AU31" s="260"/>
      <c r="AV31" s="260"/>
      <c r="AW31" s="260"/>
      <c r="AX31" s="261"/>
      <c r="AY31" s="259"/>
      <c r="AZ31" s="259"/>
      <c r="BA31" s="259"/>
      <c r="BB31" s="259"/>
      <c r="BD31" s="34"/>
      <c r="BE31" s="34"/>
      <c r="BF31" s="34"/>
      <c r="BI31" s="10"/>
      <c r="BJ31" s="11"/>
      <c r="BK31" s="10"/>
      <c r="BL31" s="10"/>
      <c r="BM31" s="10"/>
      <c r="BN31" s="10"/>
      <c r="BO31" s="251"/>
      <c r="BP31" s="251"/>
      <c r="BQ31" s="251"/>
      <c r="BR31" s="251"/>
      <c r="BS31" s="251"/>
      <c r="BT31" s="251"/>
      <c r="BU31" s="251"/>
      <c r="BV31" s="251"/>
      <c r="BW31" s="12"/>
      <c r="CC31" s="90"/>
      <c r="CG31" s="90"/>
    </row>
    <row r="32" spans="1:85" ht="63" customHeight="1">
      <c r="A32" s="811"/>
      <c r="B32" s="7"/>
      <c r="C32" s="348"/>
      <c r="D32" s="349"/>
      <c r="E32" s="317"/>
      <c r="F32" s="318"/>
      <c r="G32" s="319"/>
      <c r="H32" s="320"/>
      <c r="I32" s="321"/>
      <c r="J32" s="350"/>
      <c r="K32" s="351"/>
      <c r="L32" s="352"/>
      <c r="M32" s="312"/>
      <c r="N32" s="353"/>
      <c r="O32" s="354"/>
      <c r="P32" s="314"/>
      <c r="Q32" s="330"/>
      <c r="R32" s="355"/>
      <c r="S32" s="314"/>
      <c r="T32" s="330"/>
      <c r="U32" s="331"/>
      <c r="V32" s="314"/>
      <c r="W32" s="330"/>
      <c r="X32" s="331"/>
      <c r="Y32" s="356"/>
      <c r="Z32" s="357"/>
      <c r="AA32" s="358"/>
      <c r="AB32" s="359"/>
      <c r="AC32" s="360"/>
      <c r="AD32" s="337"/>
      <c r="AE32" s="361"/>
      <c r="AF32" s="362"/>
      <c r="AG32" s="363"/>
      <c r="AH32" s="341"/>
      <c r="AI32" s="364"/>
      <c r="AJ32" s="364"/>
      <c r="AK32" s="364"/>
      <c r="AL32" s="365"/>
      <c r="AM32" s="366"/>
      <c r="AN32" s="367"/>
      <c r="AO32" s="368"/>
      <c r="AP32" s="369"/>
      <c r="AQ32" s="369"/>
      <c r="AR32" s="260"/>
      <c r="AS32" s="260"/>
      <c r="AT32" s="260"/>
      <c r="AU32" s="260"/>
      <c r="AV32" s="260"/>
      <c r="AW32" s="260"/>
      <c r="AX32" s="261"/>
      <c r="AY32" s="259"/>
      <c r="AZ32" s="259"/>
      <c r="BA32" s="259"/>
      <c r="BB32" s="259"/>
      <c r="BD32" s="34">
        <f t="shared" si="6"/>
        <v>0</v>
      </c>
      <c r="BE32" s="34">
        <f t="shared" si="7"/>
        <v>0</v>
      </c>
      <c r="BF32" s="34">
        <f t="shared" si="8"/>
        <v>0</v>
      </c>
      <c r="BI32" s="10">
        <f t="shared" si="9"/>
        <v>0</v>
      </c>
      <c r="BJ32" s="11">
        <f t="shared" si="21"/>
        <v>0</v>
      </c>
      <c r="BK32" s="10">
        <f t="shared" si="10"/>
        <v>0</v>
      </c>
      <c r="BL32" s="10">
        <f t="shared" si="11"/>
        <v>0</v>
      </c>
      <c r="BM32" s="10">
        <f t="shared" si="12"/>
        <v>0</v>
      </c>
      <c r="BN32" s="10"/>
      <c r="BO32" s="251" t="b">
        <f t="shared" si="22"/>
        <v>0</v>
      </c>
      <c r="BP32" s="251">
        <f t="shared" si="23"/>
        <v>0</v>
      </c>
      <c r="BQ32" s="251">
        <f t="shared" si="24"/>
        <v>1</v>
      </c>
      <c r="BR32" s="251">
        <f t="shared" si="25"/>
        <v>1</v>
      </c>
      <c r="BS32" s="251" t="b">
        <f t="shared" si="13"/>
        <v>1</v>
      </c>
      <c r="BT32" s="251">
        <f t="shared" si="26"/>
        <v>0.9</v>
      </c>
      <c r="BU32" s="251" t="b">
        <f t="shared" si="27"/>
        <v>0</v>
      </c>
      <c r="BV32" s="251">
        <f t="shared" si="28"/>
        <v>0</v>
      </c>
      <c r="BW32" s="12"/>
      <c r="CC32" s="90" t="str">
        <f t="shared" si="29"/>
        <v/>
      </c>
      <c r="CG32" s="90" t="str">
        <f t="shared" si="30"/>
        <v/>
      </c>
    </row>
    <row r="33" spans="1:85" ht="63" customHeight="1">
      <c r="A33" s="811"/>
      <c r="B33" s="7"/>
      <c r="C33" s="348"/>
      <c r="D33" s="349"/>
      <c r="E33" s="317"/>
      <c r="F33" s="318"/>
      <c r="G33" s="319"/>
      <c r="H33" s="320"/>
      <c r="I33" s="321"/>
      <c r="J33" s="350"/>
      <c r="K33" s="351"/>
      <c r="L33" s="352"/>
      <c r="M33" s="312"/>
      <c r="N33" s="353"/>
      <c r="O33" s="354"/>
      <c r="P33" s="314"/>
      <c r="Q33" s="330"/>
      <c r="R33" s="370"/>
      <c r="S33" s="314"/>
      <c r="T33" s="330"/>
      <c r="U33" s="370"/>
      <c r="V33" s="314"/>
      <c r="W33" s="330"/>
      <c r="X33" s="370"/>
      <c r="Y33" s="356"/>
      <c r="Z33" s="357"/>
      <c r="AA33" s="358"/>
      <c r="AB33" s="359"/>
      <c r="AC33" s="360"/>
      <c r="AD33" s="337"/>
      <c r="AE33" s="361"/>
      <c r="AF33" s="362"/>
      <c r="AG33" s="363"/>
      <c r="AH33" s="341"/>
      <c r="AI33" s="364"/>
      <c r="AJ33" s="364"/>
      <c r="AK33" s="364"/>
      <c r="AL33" s="365"/>
      <c r="AM33" s="366"/>
      <c r="AN33" s="367"/>
      <c r="AO33" s="368"/>
      <c r="AP33" s="369"/>
      <c r="AQ33" s="369"/>
      <c r="AR33" s="260"/>
      <c r="AS33" s="260"/>
      <c r="AT33" s="260"/>
      <c r="AU33" s="260"/>
      <c r="AV33" s="260"/>
      <c r="AW33" s="260"/>
      <c r="AX33" s="261"/>
      <c r="AY33" s="259"/>
      <c r="AZ33" s="259"/>
      <c r="BA33" s="259"/>
      <c r="BB33" s="259"/>
      <c r="BD33" s="34">
        <f t="shared" si="6"/>
        <v>0</v>
      </c>
      <c r="BE33" s="34">
        <f t="shared" si="7"/>
        <v>0</v>
      </c>
      <c r="BF33" s="34">
        <f t="shared" si="8"/>
        <v>0</v>
      </c>
      <c r="BI33" s="10">
        <f t="shared" si="9"/>
        <v>0</v>
      </c>
      <c r="BJ33" s="11">
        <f t="shared" si="21"/>
        <v>0</v>
      </c>
      <c r="BK33" s="10">
        <f t="shared" si="10"/>
        <v>0</v>
      </c>
      <c r="BL33" s="10">
        <f t="shared" si="11"/>
        <v>0</v>
      </c>
      <c r="BM33" s="10">
        <f t="shared" si="12"/>
        <v>0</v>
      </c>
      <c r="BN33" s="10"/>
      <c r="BO33" s="251" t="b">
        <f t="shared" si="22"/>
        <v>0</v>
      </c>
      <c r="BP33" s="251">
        <f t="shared" si="23"/>
        <v>0</v>
      </c>
      <c r="BQ33" s="251">
        <f t="shared" si="24"/>
        <v>1</v>
      </c>
      <c r="BR33" s="251">
        <f t="shared" si="25"/>
        <v>1</v>
      </c>
      <c r="BS33" s="251" t="b">
        <f t="shared" si="13"/>
        <v>1</v>
      </c>
      <c r="BT33" s="251">
        <f t="shared" si="26"/>
        <v>0.9</v>
      </c>
      <c r="BU33" s="251" t="b">
        <f t="shared" si="27"/>
        <v>0</v>
      </c>
      <c r="BV33" s="251">
        <f t="shared" si="28"/>
        <v>0</v>
      </c>
      <c r="BW33" s="12"/>
      <c r="CC33" s="90" t="str">
        <f t="shared" si="29"/>
        <v/>
      </c>
      <c r="CG33" s="90" t="str">
        <f t="shared" si="30"/>
        <v/>
      </c>
    </row>
    <row r="34" spans="1:85" ht="63" customHeight="1" thickBot="1">
      <c r="A34" s="811"/>
      <c r="B34" s="7"/>
      <c r="C34" s="348"/>
      <c r="D34" s="349"/>
      <c r="E34" s="317"/>
      <c r="F34" s="318"/>
      <c r="G34" s="371"/>
      <c r="H34" s="320"/>
      <c r="I34" s="372"/>
      <c r="J34" s="350"/>
      <c r="K34" s="351"/>
      <c r="L34" s="352"/>
      <c r="M34" s="353"/>
      <c r="N34" s="353"/>
      <c r="O34" s="373"/>
      <c r="P34" s="374"/>
      <c r="Q34" s="375"/>
      <c r="R34" s="376"/>
      <c r="S34" s="374"/>
      <c r="T34" s="375"/>
      <c r="U34" s="376"/>
      <c r="V34" s="374"/>
      <c r="W34" s="375"/>
      <c r="X34" s="376"/>
      <c r="Y34" s="377"/>
      <c r="Z34" s="378"/>
      <c r="AA34" s="379"/>
      <c r="AB34" s="380"/>
      <c r="AC34" s="381"/>
      <c r="AD34" s="382"/>
      <c r="AE34" s="383"/>
      <c r="AF34" s="384"/>
      <c r="AG34" s="385"/>
      <c r="AH34" s="341"/>
      <c r="AI34" s="386"/>
      <c r="AJ34" s="386"/>
      <c r="AK34" s="386"/>
      <c r="AL34" s="387"/>
      <c r="AM34" s="663"/>
      <c r="AN34" s="664"/>
      <c r="AO34" s="388"/>
      <c r="AP34" s="389"/>
      <c r="AQ34" s="389"/>
      <c r="AR34" s="262"/>
      <c r="AS34" s="262"/>
      <c r="AT34" s="262"/>
      <c r="AU34" s="262"/>
      <c r="AV34" s="262"/>
      <c r="AW34" s="262"/>
      <c r="AX34" s="263"/>
      <c r="AY34" s="259"/>
      <c r="AZ34" s="259"/>
      <c r="BA34" s="259"/>
      <c r="BB34" s="259"/>
      <c r="BD34" s="34">
        <f t="shared" si="6"/>
        <v>0</v>
      </c>
      <c r="BE34" s="34">
        <f t="shared" si="7"/>
        <v>0</v>
      </c>
      <c r="BF34" s="34">
        <f t="shared" si="8"/>
        <v>0</v>
      </c>
      <c r="BI34" s="13">
        <f t="shared" si="9"/>
        <v>0</v>
      </c>
      <c r="BJ34" s="14">
        <f t="shared" si="21"/>
        <v>0</v>
      </c>
      <c r="BK34" s="13">
        <f t="shared" si="10"/>
        <v>0</v>
      </c>
      <c r="BL34" s="13">
        <f t="shared" si="11"/>
        <v>0</v>
      </c>
      <c r="BM34" s="13">
        <f t="shared" si="12"/>
        <v>0</v>
      </c>
      <c r="BN34" s="13"/>
      <c r="BO34" s="251" t="b">
        <f t="shared" si="22"/>
        <v>0</v>
      </c>
      <c r="BP34" s="251">
        <f t="shared" si="23"/>
        <v>0</v>
      </c>
      <c r="BQ34" s="251">
        <f t="shared" si="24"/>
        <v>1</v>
      </c>
      <c r="BR34" s="251">
        <f t="shared" si="25"/>
        <v>1</v>
      </c>
      <c r="BS34" s="251" t="b">
        <f t="shared" si="13"/>
        <v>1</v>
      </c>
      <c r="BT34" s="251">
        <f t="shared" si="26"/>
        <v>0.9</v>
      </c>
      <c r="BU34" s="251" t="b">
        <f t="shared" si="27"/>
        <v>0</v>
      </c>
      <c r="BV34" s="251">
        <f t="shared" si="28"/>
        <v>0</v>
      </c>
      <c r="BW34" s="15"/>
      <c r="CC34" s="90" t="str">
        <f t="shared" si="29"/>
        <v/>
      </c>
      <c r="CG34" s="90" t="str">
        <f t="shared" si="30"/>
        <v/>
      </c>
    </row>
    <row r="35" spans="1:85" ht="54.75" customHeight="1" thickBot="1">
      <c r="A35" s="811"/>
      <c r="B35" s="7"/>
      <c r="C35" s="665" t="str">
        <f>IF($E$6="DE","Zylinderdurchmesser [mm]                 (nur für SPZ)","Cylinder Diameter (mm)              (only for SPZ)")</f>
        <v>Zylinderdurchmesser [mm]                 (nur für SPZ)</v>
      </c>
      <c r="D35" s="666"/>
      <c r="E35" s="669"/>
      <c r="F35" s="671" t="str">
        <f>IF($E$6="DE","Schweißkraft min. [N]","Welding Force min. [N]")</f>
        <v>Schweißkraft min. [N]</v>
      </c>
      <c r="G35" s="672"/>
      <c r="H35" s="118" t="e">
        <f>IF(AND(AN36="JA",ISTEXT(AG38),ISNUMBER(AL38)),(IF(G6="RZ",ROUNDDOWN(MIN(AE19:AE34)*1000,-2),IF(G6="SPZ",IF(ROUNDUP(MIN(AE19:AE34)*2200,-3)&gt;5000,(ROUNDUP(MIN(AE19:AE34)*2200,-3))/2,2500),"Zangentyp?"))),(IF(G6="RZ",ROUNDDOWN(MIN(AB19:AB34)*1000,-2),IF(G6="SPZ",IF(ROUNDUP(MIN(AB19:AB34)*2200,-3)&gt;5000,(ROUNDUP(MIN(AB19:AB34)*2200,-3))/2,2500),"Zangentyp?"))))</f>
        <v>#VALUE!</v>
      </c>
      <c r="I35" s="671" t="str">
        <f>IF($E$6="DE","Ausladung [mm]","Distance to Tip [mm]")</f>
        <v>Ausladung [mm]</v>
      </c>
      <c r="J35" s="673"/>
      <c r="K35" s="672"/>
      <c r="L35" s="64">
        <v>752</v>
      </c>
      <c r="M35" s="671" t="str">
        <f>IF($E$6="DE","Zylinderkraft min. [N]","Cyl. Force min. [N]")</f>
        <v>Zylinderkraft min. [N]</v>
      </c>
      <c r="N35" s="672"/>
      <c r="O35" s="257" t="e">
        <f>IF(G8="J",(H35/L37)*2,H35/L37)</f>
        <v>#VALUE!</v>
      </c>
      <c r="P35" s="671" t="str">
        <f>IF($E$6="DE","Zylinderdruck min. [bar]","Cyl. Pressure min. [bar]")</f>
        <v>Zylinderdruck min. [bar]</v>
      </c>
      <c r="Q35" s="672"/>
      <c r="R35" s="674" t="e">
        <f>10*O35/(H37*E37)</f>
        <v>#VALUE!</v>
      </c>
      <c r="S35" s="675"/>
      <c r="T35" s="676" t="str">
        <f>IF(AND($E$6="DE",G6="RZ"),"Ergebnis Zangen-/Motorauslegung",IF(AND($E$6="ENG",G6="RZ"),"Result Gun/Motor Design",IF(AND($E$6="DE",G6="SPZ"),"Ergebnis zwischen 2,5 bar und 10 bar:",IF(AND($E$6="ENG",G6="SPZ"),"Result between 2,5 bar and 10 bar:","-"))))</f>
        <v>Ergebnis Zangen-/Motorauslegung</v>
      </c>
      <c r="U35" s="677"/>
      <c r="V35" s="677"/>
      <c r="W35" s="678"/>
      <c r="X35" s="679" t="str">
        <f>IF($E$6="DE","benötigte Elektrodenkappen für Schweißzange","required Electrode Caps for Gun")</f>
        <v>benötigte Elektrodenkappen für Schweißzange</v>
      </c>
      <c r="Y35" s="680"/>
      <c r="Z35" s="681"/>
      <c r="AA35" s="684" t="str">
        <f>IF($E$6="DE","benötigtes Fräsmesser","required Tip Dresser")</f>
        <v>benötigtes Fräsmesser</v>
      </c>
      <c r="AB35" s="685"/>
      <c r="AC35" s="686"/>
      <c r="AD35" s="685"/>
      <c r="AE35" s="687" t="str">
        <f>IF(AND(AN36="JA",COUNTIF(BO19:BO34,TRUE)=0),"kein TL4225 außen vorhanden, bitte auf 'Nein' zurückschalten / No TL4225 outside detected, please switch back to 'Nein' ","")</f>
        <v/>
      </c>
      <c r="AF35" s="688"/>
      <c r="AG35" s="688"/>
      <c r="AH35" s="688"/>
      <c r="AI35" s="688"/>
      <c r="AJ35" s="688"/>
      <c r="AK35" s="688"/>
      <c r="AL35" s="688"/>
      <c r="AM35" s="688"/>
      <c r="AN35" s="689"/>
      <c r="AO35" s="644" t="str">
        <f>IF($E$6="DE","Legende der Indizes:","Legend of Indices")</f>
        <v>Legende der Indizes:</v>
      </c>
      <c r="AP35" s="645"/>
      <c r="AQ35" s="645"/>
      <c r="AR35" s="645"/>
      <c r="AS35" s="645"/>
      <c r="AT35" s="645"/>
      <c r="AU35" s="645"/>
      <c r="AV35" s="645"/>
      <c r="AW35" s="645"/>
      <c r="AX35" s="646"/>
      <c r="AY35" s="259"/>
      <c r="AZ35" s="259"/>
      <c r="BA35" s="259"/>
      <c r="BB35" s="259"/>
    </row>
    <row r="36" spans="1:85" ht="54.75" customHeight="1" thickBot="1">
      <c r="A36" s="811"/>
      <c r="B36" s="7"/>
      <c r="C36" s="667"/>
      <c r="D36" s="668"/>
      <c r="E36" s="670"/>
      <c r="F36" s="647" t="str">
        <f>IF($E$6="DE","Schweißkraft max. [N]","Welding Force max. [N]")</f>
        <v>Schweißkraft max. [N]</v>
      </c>
      <c r="G36" s="648"/>
      <c r="H36" s="119" t="e">
        <f>IF(AND(AN36="Ja",ISTEXT(AG38),ISNUMBER(AL38)),(IF(ROUNDUP(MAX(AE19:AE34)*2300,-3)&gt;5000,(ROUNDUP(MAX(AE19:AE34)*2300,-3)/2),2500)),(IF(ROUNDUP(MAX(AB19:AB34)*2200,-3)&gt;5000,(ROUNDUP(MAX(AB19:AB34)*2200,-3)/2),2500)))</f>
        <v>#VALUE!</v>
      </c>
      <c r="I36" s="647" t="str">
        <f>IF(G6="RZ",IF($E$6="DE","Abstand Motor [mm]","Distance to Motor [mm]"),IF($E$6="DE","Abstand Zylinder [mm]","Distance to Cylinder [mm]"))</f>
        <v>Abstand Motor [mm]</v>
      </c>
      <c r="J36" s="649"/>
      <c r="K36" s="648"/>
      <c r="L36" s="65">
        <v>330</v>
      </c>
      <c r="M36" s="623" t="str">
        <f>IF($E$6="DE","Zylinderkraft max.[N]","Cyl. Force max.[N]")</f>
        <v>Zylinderkraft max.[N]</v>
      </c>
      <c r="N36" s="624"/>
      <c r="O36" s="136" t="e">
        <f>IF(G8="J",(H36/L37)*2,H36/L37)</f>
        <v>#VALUE!</v>
      </c>
      <c r="P36" s="623" t="str">
        <f>IF($E$6="DE","Zylinderdruck max. [bar]","Cyl. Pressure max. [bar]")</f>
        <v>Zylinderdruck max. [bar]</v>
      </c>
      <c r="Q36" s="624"/>
      <c r="R36" s="650" t="e">
        <f>10*O36/(H37*E37)</f>
        <v>#VALUE!</v>
      </c>
      <c r="S36" s="651"/>
      <c r="T36" s="652" t="e">
        <f>IF(G6="RZ",BD40,IF(G6="SPZ",BD37,IF(G6="-","Zangentyp/Guntype?")))</f>
        <v>#VALUE!</v>
      </c>
      <c r="U36" s="653"/>
      <c r="V36" s="653"/>
      <c r="W36" s="654"/>
      <c r="X36" s="682"/>
      <c r="Y36" s="682"/>
      <c r="Z36" s="683"/>
      <c r="AA36" s="108" t="s">
        <v>1170</v>
      </c>
      <c r="AB36" s="109" t="s">
        <v>1172</v>
      </c>
      <c r="AC36" s="109" t="s">
        <v>1171</v>
      </c>
      <c r="AD36" s="110" t="s">
        <v>1173</v>
      </c>
      <c r="AE36" s="655" t="str">
        <f>IF(E6="DE","Zangenauslegung abweichend zu 59D 6770          (Auslegung nach reduzierter Schweißkraft
                 bei TL4225- Material außen)","Dimensioning of Welding Gun deviant from 59D 6770
           (Dimensioning with reduced Welding Force at                       TL4225-Material outside)")</f>
        <v>Zangenauslegung abweichend zu 59D 6770          (Auslegung nach reduzierter Schweißkraft
                 bei TL4225- Material außen)</v>
      </c>
      <c r="AF36" s="656"/>
      <c r="AG36" s="656"/>
      <c r="AH36" s="656"/>
      <c r="AI36" s="656"/>
      <c r="AJ36" s="656"/>
      <c r="AK36" s="656"/>
      <c r="AL36" s="656"/>
      <c r="AM36" s="656"/>
      <c r="AN36" s="612" t="s">
        <v>1258</v>
      </c>
      <c r="AO36" s="614" t="s">
        <v>1649</v>
      </c>
      <c r="AP36" s="615"/>
      <c r="AQ36" s="615"/>
      <c r="AR36" s="615"/>
      <c r="AS36" s="615"/>
      <c r="AT36" s="615"/>
      <c r="AU36" s="615"/>
      <c r="AV36" s="615"/>
      <c r="AW36" s="615"/>
      <c r="AX36" s="616"/>
      <c r="AY36" s="259"/>
      <c r="AZ36" s="259"/>
      <c r="BA36" s="259"/>
      <c r="BB36" s="259"/>
      <c r="BD36" s="590" t="s">
        <v>1181</v>
      </c>
      <c r="BE36" s="591"/>
    </row>
    <row r="37" spans="1:85" ht="64.5" customHeight="1" thickBot="1">
      <c r="A37" s="811"/>
      <c r="B37" s="7"/>
      <c r="C37" s="623" t="str">
        <f>IF($E$6="DE","Zylinderwirkungsgrad                           (nur für SPZ)","Cylinder Efficiency                                  (only for SPZ)")</f>
        <v>Zylinderwirkungsgrad                           (nur für SPZ)</v>
      </c>
      <c r="D37" s="624"/>
      <c r="E37" s="136">
        <v>0.95</v>
      </c>
      <c r="F37" s="623" t="str">
        <f>IF($E$6="DE","Zylinderfläche [mm²] (nur für SPZ)","Cylinder Surface [mm²] (only for SPZ)")</f>
        <v>Zylinderfläche [mm²] (nur für SPZ)</v>
      </c>
      <c r="G37" s="624"/>
      <c r="H37" s="258">
        <f>IF(E36="T",2*PI()/4*POWER(E35,2),PI()/4*POWER(E35,2))</f>
        <v>0</v>
      </c>
      <c r="I37" s="625" t="str">
        <f>IF($E$6="DE","Ausladung/ Abstand","Leverage Ratio")</f>
        <v>Ausladung/ Abstand</v>
      </c>
      <c r="J37" s="626"/>
      <c r="K37" s="627"/>
      <c r="L37" s="117">
        <f>IF(G19="X",L36/L35,1)</f>
        <v>0.43882978723404253</v>
      </c>
      <c r="M37" s="628" t="str">
        <f>IF($E$6="DE","notwendige Motorkraft min. [N]","requiered Motor Force min. [N]")</f>
        <v>notwendige Motorkraft min. [N]</v>
      </c>
      <c r="N37" s="629"/>
      <c r="O37" s="272" t="e">
        <f>IF(G8="J",(H35/L37)*2,H35/L37)</f>
        <v>#VALUE!</v>
      </c>
      <c r="P37" s="628" t="str">
        <f>IF($E$6="DE","erreichbare Motorkraft min. [N]","feasible Motor Force min. [N]")</f>
        <v>erreichbare Motorkraft min. [N]</v>
      </c>
      <c r="Q37" s="629"/>
      <c r="R37" s="630">
        <f>IF(ISNA(VLOOKUP(CONCATENATE(E38,H38,L38),Motordaten!D4:H18,3,FALSE)),"",VLOOKUP(CONCATENATE(E38,H38,L38),Motordaten!D4:H18,3,FALSE))</f>
        <v>2000</v>
      </c>
      <c r="S37" s="631"/>
      <c r="T37" s="632" t="e">
        <f>IF(G6="RZ",BD41,IF(G6="SPZ",BD38," "))</f>
        <v>#VALUE!</v>
      </c>
      <c r="U37" s="633"/>
      <c r="V37" s="633"/>
      <c r="W37" s="634"/>
      <c r="X37" s="598" t="e">
        <f t="array" ref="X37">IF(ISBLANK(AH8),IF(OR(EXACT("39D 1978-1 !",AH19:AH34)),"39D 1978-1 !",(IF(OR(EXACT("59D 388 863 !",AH19:AH34)),"59D 388 863 !",(IF(OR(EXACT("59D 358 170 !",AH19:AH34)),"59D 358 170 !",IF(OR(EXACT("39D 1979-2 !",AH19:AH34)),"39D 1979-2 !","39D 1978-2")))))),AH8)</f>
        <v>#VALUE!</v>
      </c>
      <c r="Y37" s="598"/>
      <c r="Z37" s="599"/>
      <c r="AA37" s="62" t="e">
        <f>IF(AND(X37="39D 1978-2",MAX(AI19:AI34)=8),8,(VLOOKUP(X37,AH19:AL34,2,FALSE)))</f>
        <v>#VALUE!</v>
      </c>
      <c r="AB37" s="103" t="e">
        <f>VLOOKUP(X37,AH19:AL34,3,FALSE)</f>
        <v>#VALUE!</v>
      </c>
      <c r="AC37" s="63" t="e">
        <f>IF(AND(X37="39D 1978-2",MAX(AK19:AK34)=8),8,(VLOOKUP(X37,AH19:AL34,4,FALSE)))</f>
        <v>#VALUE!</v>
      </c>
      <c r="AD37" s="104" t="e">
        <f>VLOOKUP(X37,AH19:AL34,5,FALSE)</f>
        <v>#VALUE!</v>
      </c>
      <c r="AE37" s="657"/>
      <c r="AF37" s="658"/>
      <c r="AG37" s="658"/>
      <c r="AH37" s="658"/>
      <c r="AI37" s="658"/>
      <c r="AJ37" s="658"/>
      <c r="AK37" s="658"/>
      <c r="AL37" s="658"/>
      <c r="AM37" s="658"/>
      <c r="AN37" s="613"/>
      <c r="AO37" s="617"/>
      <c r="AP37" s="618"/>
      <c r="AQ37" s="618"/>
      <c r="AR37" s="618"/>
      <c r="AS37" s="618"/>
      <c r="AT37" s="618"/>
      <c r="AU37" s="618"/>
      <c r="AV37" s="618"/>
      <c r="AW37" s="618"/>
      <c r="AX37" s="619"/>
      <c r="AY37" s="259"/>
      <c r="AZ37" s="259"/>
      <c r="BA37" s="259"/>
      <c r="BB37" s="259"/>
      <c r="BD37" s="565" t="e">
        <f>IF($E$6="DE",IF(W38&lt;H36,"max. Zangenkraft lt.Zeichnung überschritten!",IF(AND(R35&gt;2.5,R35&lt;10,R36&gt;2.5,R36&lt;10),"Ergebnis des Druckbereichs i.O.","Ergebnis des Druckbereichs nicht i.O.")),IF(W38&lt;H36,"Max. Force of Gun acc.Drw.exceeded",IF(AND(R35&gt;2.5,R35&lt;10,R36&gt;2.5,R36&lt;10),"Presure level allowed","Pressure level not allowed")))</f>
        <v>#VALUE!</v>
      </c>
      <c r="BE37" s="566"/>
    </row>
    <row r="38" spans="1:85" ht="54.75" customHeight="1" thickBot="1">
      <c r="A38" s="811"/>
      <c r="B38" s="7"/>
      <c r="C38" s="600" t="str">
        <f>IF($E$6="DE","Roboterhersteller                                          (nur für RZ)","Robot Supplier                                  (only for RZ)")</f>
        <v>Roboterhersteller                                          (nur für RZ)</v>
      </c>
      <c r="D38" s="601"/>
      <c r="E38" s="252" t="s">
        <v>1137</v>
      </c>
      <c r="F38" s="600" t="str">
        <f>IF($E$6="DE","Zangengrundkörper               (nur für RZ)","Weld Gun Basic Body (only for RZ)")</f>
        <v>Zangengrundkörper               (nur für RZ)</v>
      </c>
      <c r="G38" s="601"/>
      <c r="H38" s="252" t="s">
        <v>1147</v>
      </c>
      <c r="I38" s="602" t="str">
        <f>IF($E$6="DE","Motorhersteller                           (nur für RZ)","Motor Supplier                        (only for RZ)")</f>
        <v>Motorhersteller                           (nur für RZ)</v>
      </c>
      <c r="J38" s="603"/>
      <c r="K38" s="604"/>
      <c r="L38" s="252" t="s">
        <v>1131</v>
      </c>
      <c r="M38" s="605" t="str">
        <f>IF($E$6="DE","notwendige Motorkraft max. [N]","requiered Motor Force max. [N]")</f>
        <v>notwendige Motorkraft max. [N]</v>
      </c>
      <c r="N38" s="606"/>
      <c r="O38" s="305" t="e">
        <f>IF(G8="J",(H36/L37)*2,H36/L37)</f>
        <v>#VALUE!</v>
      </c>
      <c r="P38" s="605" t="str">
        <f>IF($E$6="DE","erreichbare Motorkraft max. [N]"," feasible  Motor Force max. [N]")</f>
        <v>erreichbare Motorkraft max. [N]</v>
      </c>
      <c r="Q38" s="606"/>
      <c r="R38" s="607">
        <f>IF(ISNA(VLOOKUP(CONCATENATE(E38,H38,L38),Motordaten!D4:H18,4,FALSE)),"",VLOOKUP(CONCATENATE(E38,H38,L38),Motordaten!D4:H18,4,FALSE))</f>
        <v>12000</v>
      </c>
      <c r="S38" s="608"/>
      <c r="T38" s="609" t="str">
        <f>IF($E$6="DE","Max.Elektrodenkraft lt.Zeichnung[N]","Max.Electrode-Force acc.to Drw.[N]")</f>
        <v>Max.Elektrodenkraft lt.Zeichnung[N]</v>
      </c>
      <c r="U38" s="610"/>
      <c r="V38" s="611"/>
      <c r="W38" s="66">
        <v>5000</v>
      </c>
      <c r="X38" s="557" t="str">
        <f>IF($E$6="DE","Motorbezeichnung:","Designation of Motor")</f>
        <v>Motorbezeichnung:</v>
      </c>
      <c r="Y38" s="558"/>
      <c r="Z38" s="559"/>
      <c r="AA38" s="557" t="str">
        <f>VLOOKUP(CONCATENATE(E38,H38,L38),Motordaten!D4:H18,5,FALSE)</f>
        <v>Fanuc X100 V1.0</v>
      </c>
      <c r="AB38" s="558"/>
      <c r="AC38" s="558"/>
      <c r="AD38" s="559"/>
      <c r="AE38" s="560" t="str">
        <f>IF(E6="DE", "Name:                         (Abteilung)","Name                        (Dept.)")</f>
        <v>Name:                         (Abteilung)</v>
      </c>
      <c r="AF38" s="561"/>
      <c r="AG38" s="562"/>
      <c r="AH38" s="563"/>
      <c r="AI38" s="564"/>
      <c r="AJ38" s="659" t="str">
        <f>IF(E6="DE", "Datum","Date")</f>
        <v>Datum</v>
      </c>
      <c r="AK38" s="561"/>
      <c r="AL38" s="660"/>
      <c r="AM38" s="661"/>
      <c r="AN38" s="662"/>
      <c r="AO38" s="617"/>
      <c r="AP38" s="618"/>
      <c r="AQ38" s="618"/>
      <c r="AR38" s="618"/>
      <c r="AS38" s="618"/>
      <c r="AT38" s="618"/>
      <c r="AU38" s="618"/>
      <c r="AV38" s="618"/>
      <c r="AW38" s="618"/>
      <c r="AX38" s="619"/>
      <c r="AY38" s="259"/>
      <c r="AZ38" s="259"/>
      <c r="BA38" s="259"/>
      <c r="BB38" s="259"/>
      <c r="BD38" s="565" t="e">
        <f>IF($E$6="DE",IF(AND(R35&gt;2.5,R35&lt;10,R36&gt;2.5,R36&lt;10)," ","Rücksprache Prozessmethodik"),IF(AND(R35&gt;2.5,R35&lt;10,R36&gt;2.5,R36&lt;10)," ","consult Process Methodology"))</f>
        <v>#VALUE!</v>
      </c>
      <c r="BE38" s="566"/>
    </row>
    <row r="39" spans="1:85" ht="30" customHeight="1">
      <c r="A39" s="811"/>
      <c r="B39" s="7"/>
      <c r="C39" s="635"/>
      <c r="D39" s="636"/>
      <c r="E39" s="636"/>
      <c r="F39" s="636"/>
      <c r="G39" s="639" t="s">
        <v>0</v>
      </c>
      <c r="H39" s="640"/>
      <c r="I39" s="640"/>
      <c r="J39" s="641"/>
      <c r="K39" s="642" t="s">
        <v>12</v>
      </c>
      <c r="L39" s="643"/>
      <c r="M39" s="548" t="str">
        <f>IF(ISBLANK('Blatt 0'!O55),"Blatt 0!",'Blatt 0'!O55)</f>
        <v>1630</v>
      </c>
      <c r="N39" s="549"/>
      <c r="O39" s="552" t="s">
        <v>13</v>
      </c>
      <c r="P39" s="555" t="s">
        <v>2</v>
      </c>
      <c r="Q39" s="556"/>
      <c r="R39" s="584" t="str">
        <f>IF(ISBLANK('Blatt 0'!X55),"Blatt 0!",'Blatt 0'!X55)</f>
        <v>Pohl</v>
      </c>
      <c r="S39" s="585"/>
      <c r="T39" s="585"/>
      <c r="U39" s="585"/>
      <c r="V39" s="586"/>
      <c r="W39" s="120" t="s">
        <v>39</v>
      </c>
      <c r="X39" s="587">
        <f>IF(ISBLANK('Blatt 0'!AB55),"Blatt 0!",'Blatt 0'!AB55)</f>
        <v>6</v>
      </c>
      <c r="Y39" s="588"/>
      <c r="Z39" s="589"/>
      <c r="AA39" s="273"/>
      <c r="AB39" s="131"/>
      <c r="AC39" s="124"/>
      <c r="AD39" s="125"/>
      <c r="AE39" s="125"/>
      <c r="AF39" s="255"/>
      <c r="AG39" s="255"/>
      <c r="AH39" s="125"/>
      <c r="AI39" s="125"/>
      <c r="AJ39" s="125"/>
      <c r="AK39" s="141"/>
      <c r="AL39" s="256"/>
      <c r="AM39" s="111" t="s">
        <v>40</v>
      </c>
      <c r="AN39" s="112" t="s">
        <v>5</v>
      </c>
      <c r="AO39" s="617"/>
      <c r="AP39" s="618"/>
      <c r="AQ39" s="618"/>
      <c r="AR39" s="618"/>
      <c r="AS39" s="618"/>
      <c r="AT39" s="618"/>
      <c r="AU39" s="618"/>
      <c r="AV39" s="618"/>
      <c r="AW39" s="618"/>
      <c r="AX39" s="619"/>
      <c r="AY39" s="259"/>
      <c r="AZ39" s="259"/>
      <c r="BA39" s="259"/>
      <c r="BB39" s="259"/>
      <c r="BD39" s="590" t="s">
        <v>1182</v>
      </c>
      <c r="BE39" s="591"/>
      <c r="BF39" s="5"/>
      <c r="BG39" s="5"/>
      <c r="BH39" s="5"/>
      <c r="BI39" s="5"/>
      <c r="BJ39" s="5"/>
      <c r="BK39" s="5"/>
      <c r="BL39" s="5"/>
    </row>
    <row r="40" spans="1:85" ht="30" customHeight="1">
      <c r="A40" s="811"/>
      <c r="B40" s="7"/>
      <c r="C40" s="635"/>
      <c r="D40" s="636"/>
      <c r="E40" s="636"/>
      <c r="F40" s="636"/>
      <c r="G40" s="592" t="s">
        <v>31</v>
      </c>
      <c r="H40" s="593"/>
      <c r="I40" s="593"/>
      <c r="J40" s="594"/>
      <c r="K40" s="518" t="s">
        <v>15</v>
      </c>
      <c r="L40" s="519"/>
      <c r="M40" s="550"/>
      <c r="N40" s="551"/>
      <c r="O40" s="553"/>
      <c r="P40" s="524" t="s">
        <v>19</v>
      </c>
      <c r="Q40" s="525"/>
      <c r="R40" s="529"/>
      <c r="S40" s="530"/>
      <c r="T40" s="530"/>
      <c r="U40" s="530"/>
      <c r="V40" s="531"/>
      <c r="W40" s="121" t="s">
        <v>41</v>
      </c>
      <c r="X40" s="535"/>
      <c r="Y40" s="536"/>
      <c r="Z40" s="537"/>
      <c r="AA40" s="132"/>
      <c r="AB40" s="133"/>
      <c r="AC40" s="128"/>
      <c r="AD40" s="129"/>
      <c r="AE40" s="130" t="str">
        <f>IF(E6="DE","Änderungsindex:", "Update Index:")</f>
        <v>Änderungsindex:</v>
      </c>
      <c r="AF40" s="274" t="e">
        <f>#REF!</f>
        <v>#REF!</v>
      </c>
      <c r="AG40" s="139"/>
      <c r="AH40" s="139"/>
      <c r="AI40" s="139"/>
      <c r="AJ40" s="139"/>
      <c r="AK40" s="126"/>
      <c r="AL40" s="127"/>
      <c r="AM40" s="113" t="s">
        <v>42</v>
      </c>
      <c r="AN40" s="114" t="s">
        <v>43</v>
      </c>
      <c r="AO40" s="617"/>
      <c r="AP40" s="618"/>
      <c r="AQ40" s="618"/>
      <c r="AR40" s="618"/>
      <c r="AS40" s="618"/>
      <c r="AT40" s="618"/>
      <c r="AU40" s="618"/>
      <c r="AV40" s="618"/>
      <c r="AW40" s="618"/>
      <c r="AX40" s="619"/>
      <c r="AY40" s="259"/>
      <c r="AZ40" s="259"/>
      <c r="BA40" s="259"/>
      <c r="BB40" s="259"/>
      <c r="BD40" s="565" t="e">
        <f>IF($E$6="DE",IF(W38&lt;H36,"max. Zangenkraft lt.Zeichnung überschritten!",IF(OR(AND(OR(L35=0,L36=0),OR(H38="X100",H38="X120"),G19="x"),AND(G19="c",OR(H38="x100",H38="X120")),AND(G19="X",OR(H38="C8000",H38="C5000",H38="C8000 Tunnel"))),"Zangentyp/-grundkörper/-maße falsch",IF(AND(O37&gt;=R37,O38&lt;=R38),"Zangen/Motorauslegung i.O.","Zangen/Motorauslegung nicht i.O."))),IF(W38&lt;H36,"Max. Force of Gun acc.Drw.exceeded!",IF(OR(AND(OR(L35=0,L36=0),OR(H38="X100",H38="X120"),G19="x"),AND(G19="c",OR(H38="x100",H38="X120")),AND(G19="X",OR(H38="C8000",H38="C5000",H38="C8000 Tunnel"))),"incorrect Gun Type/Gun Body/Gun Measure",IF(AND(O37&gt;=R37,O38&lt;=R38),"Gun/Electromotor Design O.K.","Gun/Electromotor Design not O.K."))))</f>
        <v>#VALUE!</v>
      </c>
      <c r="BE40" s="566"/>
      <c r="BF40" s="49"/>
      <c r="BG40" s="49"/>
      <c r="BH40" s="5"/>
      <c r="BI40" s="5"/>
      <c r="BJ40" s="5"/>
      <c r="BK40" s="5"/>
      <c r="BL40" s="5"/>
    </row>
    <row r="41" spans="1:85" ht="30" customHeight="1">
      <c r="A41" s="811"/>
      <c r="B41" s="7"/>
      <c r="C41" s="635"/>
      <c r="D41" s="636"/>
      <c r="E41" s="636"/>
      <c r="F41" s="636"/>
      <c r="G41" s="595"/>
      <c r="H41" s="596"/>
      <c r="I41" s="596"/>
      <c r="J41" s="597"/>
      <c r="K41" s="518" t="s">
        <v>1</v>
      </c>
      <c r="L41" s="519"/>
      <c r="M41" s="520" t="str">
        <f>IF(ISBLANK('Blatt 0'!O57),"Blatt 0!",'Blatt 0'!O57)</f>
        <v>KJLTVL411630</v>
      </c>
      <c r="N41" s="521"/>
      <c r="O41" s="554"/>
      <c r="P41" s="524" t="s">
        <v>7</v>
      </c>
      <c r="Q41" s="525"/>
      <c r="R41" s="526" t="str">
        <f>IF(ISBLANK('Blatt 0'!X57),"Blatt 0!",'Blatt 0'!X57)</f>
        <v>Machholz</v>
      </c>
      <c r="S41" s="527"/>
      <c r="T41" s="527"/>
      <c r="U41" s="527"/>
      <c r="V41" s="528"/>
      <c r="W41" s="121" t="s">
        <v>8</v>
      </c>
      <c r="X41" s="542">
        <f>IF(ISBLANK('Blatt 0'!AA57),"Blatt 0!",'Blatt 0'!AA57)</f>
        <v>45014</v>
      </c>
      <c r="Y41" s="543"/>
      <c r="Z41" s="544"/>
      <c r="AA41" s="132"/>
      <c r="AB41" s="133"/>
      <c r="AC41" s="128"/>
      <c r="AD41" s="139"/>
      <c r="AE41" s="139"/>
      <c r="AF41" s="139"/>
      <c r="AG41" s="139"/>
      <c r="AH41" s="139"/>
      <c r="AI41" s="139"/>
      <c r="AJ41" s="139"/>
      <c r="AK41" s="139"/>
      <c r="AL41" s="140"/>
      <c r="AM41" s="115"/>
      <c r="AN41" s="116"/>
      <c r="AO41" s="617"/>
      <c r="AP41" s="618"/>
      <c r="AQ41" s="618"/>
      <c r="AR41" s="618"/>
      <c r="AS41" s="618"/>
      <c r="AT41" s="618"/>
      <c r="AU41" s="618"/>
      <c r="AV41" s="618"/>
      <c r="AW41" s="618"/>
      <c r="AX41" s="619"/>
      <c r="AY41" s="259"/>
      <c r="AZ41" s="259"/>
      <c r="BA41" s="259"/>
      <c r="BB41" s="259"/>
      <c r="BC41" s="48"/>
      <c r="BD41" s="565" t="e">
        <f>IF(O37&lt;R37,IF(E6="DE","Rücksprache Prozessmethodik","consult Process Methodology")," ")</f>
        <v>#VALUE!</v>
      </c>
      <c r="BE41" s="566"/>
      <c r="BF41" s="49"/>
      <c r="BG41" s="49"/>
    </row>
    <row r="42" spans="1:85" ht="30" customHeight="1">
      <c r="A42" s="811"/>
      <c r="B42" s="7"/>
      <c r="C42" s="635"/>
      <c r="D42" s="636"/>
      <c r="E42" s="636"/>
      <c r="F42" s="636"/>
      <c r="G42" s="567" t="s">
        <v>14</v>
      </c>
      <c r="H42" s="568"/>
      <c r="I42" s="568"/>
      <c r="J42" s="569"/>
      <c r="K42" s="518" t="s">
        <v>17</v>
      </c>
      <c r="L42" s="519"/>
      <c r="M42" s="550"/>
      <c r="N42" s="551"/>
      <c r="O42" s="570" t="s">
        <v>18</v>
      </c>
      <c r="P42" s="573" t="s">
        <v>44</v>
      </c>
      <c r="Q42" s="519"/>
      <c r="R42" s="529"/>
      <c r="S42" s="530"/>
      <c r="T42" s="530"/>
      <c r="U42" s="530"/>
      <c r="V42" s="531"/>
      <c r="W42" s="122" t="s">
        <v>22</v>
      </c>
      <c r="X42" s="545"/>
      <c r="Y42" s="546"/>
      <c r="Z42" s="547"/>
      <c r="AA42" s="574" t="s">
        <v>1259</v>
      </c>
      <c r="AB42" s="575"/>
      <c r="AC42" s="576" t="str">
        <f>IF(ISBLANK('Blatt 0'!AF58),"Blatt 0!",'Blatt 0'!AF58)</f>
        <v>66-A53-96D 313785</v>
      </c>
      <c r="AD42" s="577"/>
      <c r="AE42" s="577"/>
      <c r="AF42" s="577"/>
      <c r="AG42" s="577"/>
      <c r="AH42" s="577"/>
      <c r="AI42" s="577"/>
      <c r="AJ42" s="577"/>
      <c r="AK42" s="577"/>
      <c r="AL42" s="578"/>
      <c r="AM42" s="582" t="s">
        <v>1644</v>
      </c>
      <c r="AN42" s="510" t="s">
        <v>1654</v>
      </c>
      <c r="AO42" s="617"/>
      <c r="AP42" s="618"/>
      <c r="AQ42" s="618"/>
      <c r="AR42" s="618"/>
      <c r="AS42" s="618"/>
      <c r="AT42" s="618"/>
      <c r="AU42" s="618"/>
      <c r="AV42" s="618"/>
      <c r="AW42" s="618"/>
      <c r="AX42" s="619"/>
      <c r="AY42" s="259"/>
      <c r="AZ42" s="259"/>
      <c r="BA42" s="259"/>
      <c r="BB42" s="259"/>
      <c r="BC42" s="48"/>
      <c r="BD42" s="48"/>
      <c r="BE42" s="48"/>
      <c r="BF42" s="48"/>
    </row>
    <row r="43" spans="1:85" ht="30" customHeight="1">
      <c r="A43" s="811"/>
      <c r="B43" s="7"/>
      <c r="C43" s="635"/>
      <c r="D43" s="636"/>
      <c r="E43" s="636"/>
      <c r="F43" s="636"/>
      <c r="G43" s="512" t="s">
        <v>45</v>
      </c>
      <c r="H43" s="513"/>
      <c r="I43" s="513"/>
      <c r="J43" s="514"/>
      <c r="K43" s="518" t="s">
        <v>6</v>
      </c>
      <c r="L43" s="519"/>
      <c r="M43" s="520" t="str">
        <f>IF(ISBLANK('Blatt 0'!O59),"Blatt 0!",'Blatt 0'!O59)</f>
        <v>VW336</v>
      </c>
      <c r="N43" s="521"/>
      <c r="O43" s="571"/>
      <c r="P43" s="524" t="s">
        <v>10</v>
      </c>
      <c r="Q43" s="525"/>
      <c r="R43" s="526" t="str">
        <f>IF(ISBLANK('Blatt 0'!X59),"Blatt 0!",'Blatt 0'!X59)</f>
        <v>Sallame</v>
      </c>
      <c r="S43" s="527"/>
      <c r="T43" s="527"/>
      <c r="U43" s="527"/>
      <c r="V43" s="528"/>
      <c r="W43" s="122" t="s">
        <v>9</v>
      </c>
      <c r="X43" s="532" t="str">
        <f>IF(ISBLANK('Blatt 0'!AA59),"Blatt 0!",'Blatt 0'!AA59)</f>
        <v>Dengler</v>
      </c>
      <c r="Y43" s="533"/>
      <c r="Z43" s="534"/>
      <c r="AA43" s="574"/>
      <c r="AB43" s="575"/>
      <c r="AC43" s="576"/>
      <c r="AD43" s="577"/>
      <c r="AE43" s="577"/>
      <c r="AF43" s="577"/>
      <c r="AG43" s="577"/>
      <c r="AH43" s="577"/>
      <c r="AI43" s="577"/>
      <c r="AJ43" s="577"/>
      <c r="AK43" s="577"/>
      <c r="AL43" s="578"/>
      <c r="AM43" s="582"/>
      <c r="AN43" s="510"/>
      <c r="AO43" s="617"/>
      <c r="AP43" s="618"/>
      <c r="AQ43" s="618"/>
      <c r="AR43" s="618"/>
      <c r="AS43" s="618"/>
      <c r="AT43" s="618"/>
      <c r="AU43" s="618"/>
      <c r="AV43" s="618"/>
      <c r="AW43" s="618"/>
      <c r="AX43" s="619"/>
      <c r="AY43" s="259"/>
      <c r="AZ43" s="259"/>
      <c r="BA43" s="259"/>
      <c r="BB43" s="259"/>
      <c r="BC43" s="48"/>
      <c r="BD43" s="48"/>
      <c r="BE43" s="48"/>
      <c r="BF43" s="48"/>
    </row>
    <row r="44" spans="1:85" ht="30" customHeight="1" thickBot="1">
      <c r="A44" s="812"/>
      <c r="B44" s="7"/>
      <c r="C44" s="637"/>
      <c r="D44" s="638"/>
      <c r="E44" s="638"/>
      <c r="F44" s="638"/>
      <c r="G44" s="515"/>
      <c r="H44" s="516"/>
      <c r="I44" s="516"/>
      <c r="J44" s="517"/>
      <c r="K44" s="538" t="s">
        <v>16</v>
      </c>
      <c r="L44" s="539"/>
      <c r="M44" s="522"/>
      <c r="N44" s="523"/>
      <c r="O44" s="572"/>
      <c r="P44" s="540" t="s">
        <v>46</v>
      </c>
      <c r="Q44" s="541"/>
      <c r="R44" s="529"/>
      <c r="S44" s="530"/>
      <c r="T44" s="530"/>
      <c r="U44" s="530"/>
      <c r="V44" s="531"/>
      <c r="W44" s="123" t="s">
        <v>23</v>
      </c>
      <c r="X44" s="535"/>
      <c r="Y44" s="536"/>
      <c r="Z44" s="537"/>
      <c r="AA44" s="134"/>
      <c r="AB44" s="135"/>
      <c r="AC44" s="579"/>
      <c r="AD44" s="580"/>
      <c r="AE44" s="580"/>
      <c r="AF44" s="580"/>
      <c r="AG44" s="580"/>
      <c r="AH44" s="580"/>
      <c r="AI44" s="580"/>
      <c r="AJ44" s="580"/>
      <c r="AK44" s="580"/>
      <c r="AL44" s="581"/>
      <c r="AM44" s="583"/>
      <c r="AN44" s="511"/>
      <c r="AO44" s="620"/>
      <c r="AP44" s="621"/>
      <c r="AQ44" s="621"/>
      <c r="AR44" s="621"/>
      <c r="AS44" s="621"/>
      <c r="AT44" s="621"/>
      <c r="AU44" s="621"/>
      <c r="AV44" s="621"/>
      <c r="AW44" s="621"/>
      <c r="AX44" s="622"/>
      <c r="AY44" s="259"/>
      <c r="AZ44" s="259"/>
      <c r="BA44" s="259"/>
      <c r="BB44" s="259"/>
      <c r="BC44" s="48"/>
      <c r="BD44" s="48"/>
      <c r="BE44" s="48"/>
      <c r="BF44" s="48"/>
    </row>
    <row r="45" spans="1:85" ht="41.25" customHeight="1">
      <c r="C45" s="61" t="s">
        <v>1254</v>
      </c>
      <c r="D45" s="61"/>
      <c r="E45" s="277"/>
      <c r="F45" s="277"/>
      <c r="G45" s="277"/>
      <c r="H45" s="277"/>
      <c r="I45" s="277"/>
      <c r="J45" s="277"/>
      <c r="K45" s="277"/>
      <c r="L45" s="277"/>
      <c r="M45" s="505" t="s">
        <v>1639</v>
      </c>
      <c r="N45" s="505"/>
      <c r="O45" s="278" t="s">
        <v>1638</v>
      </c>
      <c r="P45" s="278"/>
      <c r="Q45" s="277"/>
      <c r="R45" s="277"/>
      <c r="S45" s="277"/>
      <c r="T45" s="277"/>
      <c r="U45" s="277"/>
      <c r="V45" s="277"/>
      <c r="W45" s="277"/>
      <c r="X45" s="277"/>
      <c r="Y45" s="277"/>
      <c r="Z45" s="277"/>
      <c r="AA45" s="277"/>
      <c r="AB45" s="277"/>
      <c r="AC45" s="254"/>
      <c r="AD45" s="254"/>
      <c r="AF45" s="506" t="s">
        <v>1248</v>
      </c>
      <c r="AG45" s="506"/>
      <c r="AH45" s="507" t="s">
        <v>1253</v>
      </c>
      <c r="AI45" s="507"/>
      <c r="AJ45" s="507"/>
      <c r="AK45" s="508" t="s">
        <v>1247</v>
      </c>
      <c r="AL45" s="508"/>
      <c r="AM45" s="509"/>
      <c r="AN45" s="509"/>
      <c r="AO45" s="259"/>
      <c r="AP45" s="259"/>
      <c r="AQ45" s="259"/>
      <c r="AR45" s="259"/>
      <c r="AS45" s="259"/>
      <c r="AT45" s="259"/>
      <c r="AU45" s="259"/>
      <c r="AV45" s="259"/>
      <c r="AW45" s="259"/>
      <c r="AX45" s="259"/>
      <c r="AY45" s="259"/>
      <c r="AZ45" s="259"/>
      <c r="BA45" s="259"/>
      <c r="BB45" s="259"/>
    </row>
    <row r="50" spans="44:44" ht="15" customHeight="1">
      <c r="AR50" s="7"/>
    </row>
  </sheetData>
  <mergeCells count="169">
    <mergeCell ref="BD1:BD2"/>
    <mergeCell ref="BE1:BE2"/>
    <mergeCell ref="BF1:BF2"/>
    <mergeCell ref="BG1:BG2"/>
    <mergeCell ref="BH1:BH2"/>
    <mergeCell ref="A3:A44"/>
    <mergeCell ref="C3:E3"/>
    <mergeCell ref="F3:S3"/>
    <mergeCell ref="T3:AJ3"/>
    <mergeCell ref="AK3:AN3"/>
    <mergeCell ref="T6:AG8"/>
    <mergeCell ref="AH6:AJ7"/>
    <mergeCell ref="AK6:AN6"/>
    <mergeCell ref="H8:L8"/>
    <mergeCell ref="AH8:AJ8"/>
    <mergeCell ref="AO3:AX8"/>
    <mergeCell ref="C4:L5"/>
    <mergeCell ref="M4:O5"/>
    <mergeCell ref="P4:S5"/>
    <mergeCell ref="T4:AG5"/>
    <mergeCell ref="AH4:AJ5"/>
    <mergeCell ref="AK4:AN5"/>
    <mergeCell ref="C6:D8"/>
    <mergeCell ref="E6:E8"/>
    <mergeCell ref="F6:F7"/>
    <mergeCell ref="C9:C18"/>
    <mergeCell ref="D9:D18"/>
    <mergeCell ref="E9:E18"/>
    <mergeCell ref="F9:F18"/>
    <mergeCell ref="G9:G18"/>
    <mergeCell ref="H9:H18"/>
    <mergeCell ref="G6:G7"/>
    <mergeCell ref="H6:L7"/>
    <mergeCell ref="M6:S8"/>
    <mergeCell ref="AO9:AX9"/>
    <mergeCell ref="J10:J17"/>
    <mergeCell ref="K10:K17"/>
    <mergeCell ref="L10:L17"/>
    <mergeCell ref="M10:O17"/>
    <mergeCell ref="P10:P17"/>
    <mergeCell ref="Q10:Q17"/>
    <mergeCell ref="I9:I17"/>
    <mergeCell ref="J9:L9"/>
    <mergeCell ref="M9:O9"/>
    <mergeCell ref="P9:X9"/>
    <mergeCell ref="Z9:AB9"/>
    <mergeCell ref="AC9:AE9"/>
    <mergeCell ref="R10:R17"/>
    <mergeCell ref="S10:S17"/>
    <mergeCell ref="T10:T17"/>
    <mergeCell ref="U10:U17"/>
    <mergeCell ref="V10:V17"/>
    <mergeCell ref="W10:W17"/>
    <mergeCell ref="X10:X17"/>
    <mergeCell ref="Y10:Y17"/>
    <mergeCell ref="Z10:Z17"/>
    <mergeCell ref="AA10:AA17"/>
    <mergeCell ref="AF9:AG9"/>
    <mergeCell ref="AH9:AL9"/>
    <mergeCell ref="AM9:AN18"/>
    <mergeCell ref="AH10:AH17"/>
    <mergeCell ref="AI10:AI17"/>
    <mergeCell ref="AJ10:AJ17"/>
    <mergeCell ref="AK10:AK17"/>
    <mergeCell ref="AL10:AL17"/>
    <mergeCell ref="AO10:AO18"/>
    <mergeCell ref="AB10:AB17"/>
    <mergeCell ref="AC10:AC17"/>
    <mergeCell ref="AD10:AD17"/>
    <mergeCell ref="AE10:AE17"/>
    <mergeCell ref="AF10:AF17"/>
    <mergeCell ref="AG10:AG17"/>
    <mergeCell ref="AV10:AV18"/>
    <mergeCell ref="AW10:AW18"/>
    <mergeCell ref="AX10:AX18"/>
    <mergeCell ref="BD11:BD18"/>
    <mergeCell ref="BE11:BE18"/>
    <mergeCell ref="BF11:BF18"/>
    <mergeCell ref="AP10:AP18"/>
    <mergeCell ref="AQ10:AQ18"/>
    <mergeCell ref="AR10:AR18"/>
    <mergeCell ref="AS10:AS18"/>
    <mergeCell ref="AT10:AT18"/>
    <mergeCell ref="AU10:AU18"/>
    <mergeCell ref="AM34:AN34"/>
    <mergeCell ref="C35:D36"/>
    <mergeCell ref="E35:E36"/>
    <mergeCell ref="F35:G35"/>
    <mergeCell ref="I35:K35"/>
    <mergeCell ref="M35:N35"/>
    <mergeCell ref="P35:Q35"/>
    <mergeCell ref="R35:S35"/>
    <mergeCell ref="T35:W35"/>
    <mergeCell ref="X35:Z36"/>
    <mergeCell ref="AA35:AD35"/>
    <mergeCell ref="AE35:AN35"/>
    <mergeCell ref="AO35:AX35"/>
    <mergeCell ref="F36:G36"/>
    <mergeCell ref="I36:K36"/>
    <mergeCell ref="M36:N36"/>
    <mergeCell ref="P36:Q36"/>
    <mergeCell ref="R36:S36"/>
    <mergeCell ref="T36:W36"/>
    <mergeCell ref="AE36:AM37"/>
    <mergeCell ref="AJ38:AK38"/>
    <mergeCell ref="AL38:AN38"/>
    <mergeCell ref="BD38:BE38"/>
    <mergeCell ref="X37:Z37"/>
    <mergeCell ref="BD37:BE37"/>
    <mergeCell ref="C38:D38"/>
    <mergeCell ref="F38:G38"/>
    <mergeCell ref="I38:K38"/>
    <mergeCell ref="M38:N38"/>
    <mergeCell ref="P38:Q38"/>
    <mergeCell ref="R38:S38"/>
    <mergeCell ref="T38:V38"/>
    <mergeCell ref="X38:Z38"/>
    <mergeCell ref="AN36:AN37"/>
    <mergeCell ref="AO36:AX44"/>
    <mergeCell ref="BD36:BE36"/>
    <mergeCell ref="C37:D37"/>
    <mergeCell ref="F37:G37"/>
    <mergeCell ref="I37:K37"/>
    <mergeCell ref="M37:N37"/>
    <mergeCell ref="P37:Q37"/>
    <mergeCell ref="R37:S37"/>
    <mergeCell ref="T37:W37"/>
    <mergeCell ref="C39:F44"/>
    <mergeCell ref="G39:J39"/>
    <mergeCell ref="K39:L39"/>
    <mergeCell ref="M39:N40"/>
    <mergeCell ref="O39:O41"/>
    <mergeCell ref="P39:Q39"/>
    <mergeCell ref="AA38:AD38"/>
    <mergeCell ref="AE38:AF38"/>
    <mergeCell ref="AG38:AI38"/>
    <mergeCell ref="BD41:BE41"/>
    <mergeCell ref="G42:J42"/>
    <mergeCell ref="K42:L42"/>
    <mergeCell ref="O42:O44"/>
    <mergeCell ref="P42:Q42"/>
    <mergeCell ref="AA42:AB43"/>
    <mergeCell ref="AC42:AL44"/>
    <mergeCell ref="AM42:AM44"/>
    <mergeCell ref="R39:V40"/>
    <mergeCell ref="X39:Z40"/>
    <mergeCell ref="BD39:BE39"/>
    <mergeCell ref="G40:J41"/>
    <mergeCell ref="K40:L40"/>
    <mergeCell ref="P40:Q40"/>
    <mergeCell ref="BD40:BE40"/>
    <mergeCell ref="K41:L41"/>
    <mergeCell ref="M41:N42"/>
    <mergeCell ref="P41:Q41"/>
    <mergeCell ref="M45:N45"/>
    <mergeCell ref="AF45:AG45"/>
    <mergeCell ref="AH45:AJ45"/>
    <mergeCell ref="AK45:AN45"/>
    <mergeCell ref="AN42:AN44"/>
    <mergeCell ref="G43:J44"/>
    <mergeCell ref="K43:L43"/>
    <mergeCell ref="M43:N44"/>
    <mergeCell ref="P43:Q43"/>
    <mergeCell ref="R43:V44"/>
    <mergeCell ref="X43:Z44"/>
    <mergeCell ref="K44:L44"/>
    <mergeCell ref="P44:Q44"/>
    <mergeCell ref="R41:V42"/>
    <mergeCell ref="X41:Z42"/>
  </mergeCells>
  <conditionalFormatting sqref="BD37">
    <cfRule type="cellIs" dxfId="201" priority="194" stopIfTrue="1" operator="equal">
      <formula>"Ergebnis des Druckbereichs i.O."</formula>
    </cfRule>
    <cfRule type="cellIs" dxfId="200" priority="195" stopIfTrue="1" operator="equal">
      <formula>"Ergebnis des Druckbereichs nicht i.O."</formula>
    </cfRule>
  </conditionalFormatting>
  <conditionalFormatting sqref="BD38">
    <cfRule type="cellIs" dxfId="199" priority="192" stopIfTrue="1" operator="equal">
      <formula>" "</formula>
    </cfRule>
    <cfRule type="cellIs" dxfId="198" priority="193" stopIfTrue="1" operator="equal">
      <formula>"Rücksprache Prozessmethodik"</formula>
    </cfRule>
  </conditionalFormatting>
  <conditionalFormatting sqref="X37">
    <cfRule type="cellIs" dxfId="197" priority="189" stopIfTrue="1" operator="notEqual">
      <formula>"39D 1978-2"</formula>
    </cfRule>
    <cfRule type="containsText" dxfId="196" priority="190" stopIfTrue="1" operator="containsText" text="39D 1978-2">
      <formula>NOT(ISERROR(SEARCH("39D 1978-2",X37)))</formula>
    </cfRule>
    <cfRule type="expression" priority="191" stopIfTrue="1">
      <formula>1</formula>
    </cfRule>
  </conditionalFormatting>
  <conditionalFormatting sqref="AA37">
    <cfRule type="cellIs" dxfId="195" priority="188" stopIfTrue="1" operator="notEqual">
      <formula>6</formula>
    </cfRule>
  </conditionalFormatting>
  <conditionalFormatting sqref="AB37">
    <cfRule type="cellIs" dxfId="194" priority="187" stopIfTrue="1" operator="notEqual">
      <formula>50</formula>
    </cfRule>
  </conditionalFormatting>
  <conditionalFormatting sqref="AC37">
    <cfRule type="cellIs" dxfId="193" priority="186" stopIfTrue="1" operator="notEqual">
      <formula>6</formula>
    </cfRule>
  </conditionalFormatting>
  <conditionalFormatting sqref="AD37">
    <cfRule type="cellIs" dxfId="192" priority="185" stopIfTrue="1" operator="notEqual">
      <formula>50</formula>
    </cfRule>
  </conditionalFormatting>
  <conditionalFormatting sqref="BW19:BW34">
    <cfRule type="cellIs" dxfId="191" priority="196" stopIfTrue="1" operator="equal">
      <formula>$AC$19</formula>
    </cfRule>
  </conditionalFormatting>
  <conditionalFormatting sqref="G34">
    <cfRule type="expression" dxfId="190" priority="184" stopIfTrue="1">
      <formula>OR(AND(ISNUMBER($P34),ISBLANK($G34)),AND(ISTEXT($G34),ISBLANK($P34)))</formula>
    </cfRule>
  </conditionalFormatting>
  <conditionalFormatting sqref="BD37">
    <cfRule type="cellIs" dxfId="189" priority="179" operator="equal">
      <formula>"pressure level not allowed"</formula>
    </cfRule>
    <cfRule type="cellIs" dxfId="188" priority="180" operator="equal">
      <formula>"presure level allowed"</formula>
    </cfRule>
    <cfRule type="cellIs" dxfId="187" priority="181" operator="equal">
      <formula>"Max. Force of gun acc.Drw.exceeded!"</formula>
    </cfRule>
    <cfRule type="cellIs" dxfId="186" priority="183" stopIfTrue="1" operator="equal">
      <formula>"Zangenkraft lt.Zangenzeichnung überschritten!"</formula>
    </cfRule>
  </conditionalFormatting>
  <conditionalFormatting sqref="AE19:AE21 AE34">
    <cfRule type="expression" dxfId="185" priority="182">
      <formula>ISERROR(AE19)</formula>
    </cfRule>
  </conditionalFormatting>
  <conditionalFormatting sqref="BD38">
    <cfRule type="cellIs" dxfId="184" priority="178" operator="equal">
      <formula>"consult process methodology"</formula>
    </cfRule>
  </conditionalFormatting>
  <conditionalFormatting sqref="G6">
    <cfRule type="cellIs" dxfId="183" priority="177" operator="equal">
      <formula>"-"</formula>
    </cfRule>
  </conditionalFormatting>
  <conditionalFormatting sqref="H35">
    <cfRule type="cellIs" dxfId="182" priority="176" operator="equal">
      <formula>"Zangentyp?"</formula>
    </cfRule>
  </conditionalFormatting>
  <conditionalFormatting sqref="BD40">
    <cfRule type="cellIs" dxfId="181" priority="174" stopIfTrue="1" operator="equal">
      <formula>"Zangen/Motorauslegung i.O."</formula>
    </cfRule>
    <cfRule type="cellIs" dxfId="180" priority="175" stopIfTrue="1" operator="equal">
      <formula>"Zangen/Motorauslegung nicht i.O."</formula>
    </cfRule>
  </conditionalFormatting>
  <conditionalFormatting sqref="BD40 BF40:BG40">
    <cfRule type="cellIs" dxfId="179" priority="168" operator="equal">
      <formula>"Gun/Electromotor Design not O.K."</formula>
    </cfRule>
    <cfRule type="cellIs" dxfId="178" priority="169" operator="equal">
      <formula>"Gun/Electromotor Design O.K."</formula>
    </cfRule>
    <cfRule type="cellIs" dxfId="177" priority="170" operator="equal">
      <formula>"incorrect Gun Type/Gun Body/Gun Measure"</formula>
    </cfRule>
    <cfRule type="cellIs" dxfId="176" priority="171" operator="equal">
      <formula>"Max. Force of Gun acc.Drw.exceeded!"</formula>
    </cfRule>
    <cfRule type="cellIs" dxfId="175" priority="172" operator="equal">
      <formula>"max. Zangenkraft lt.Zeichnung überschritten!"</formula>
    </cfRule>
    <cfRule type="cellIs" dxfId="174" priority="173" stopIfTrue="1" operator="equal">
      <formula>"Zangentyp/-grundkörper/-maße falsch"</formula>
    </cfRule>
  </conditionalFormatting>
  <conditionalFormatting sqref="BD41">
    <cfRule type="cellIs" dxfId="173" priority="166" stopIfTrue="1" operator="equal">
      <formula>" "</formula>
    </cfRule>
    <cfRule type="cellIs" dxfId="172" priority="167" stopIfTrue="1" operator="equal">
      <formula>"Rücksprache Prozessmethodik"</formula>
    </cfRule>
  </conditionalFormatting>
  <conditionalFormatting sqref="T37">
    <cfRule type="cellIs" dxfId="171" priority="164" stopIfTrue="1" operator="equal">
      <formula>" "</formula>
    </cfRule>
    <cfRule type="cellIs" dxfId="170" priority="165" stopIfTrue="1" operator="equal">
      <formula>"Rücksprache Prozessmethodik"</formula>
    </cfRule>
  </conditionalFormatting>
  <conditionalFormatting sqref="T37">
    <cfRule type="cellIs" dxfId="169" priority="163" operator="equal">
      <formula>"consult process methodology"</formula>
    </cfRule>
  </conditionalFormatting>
  <conditionalFormatting sqref="T36">
    <cfRule type="cellIs" dxfId="168" priority="161" stopIfTrue="1" operator="equal">
      <formula>"Zangen/Motorauslegung i.O."</formula>
    </cfRule>
    <cfRule type="cellIs" dxfId="167" priority="162" stopIfTrue="1" operator="equal">
      <formula>"Zangen/Motorauslegung nicht i.O."</formula>
    </cfRule>
  </conditionalFormatting>
  <conditionalFormatting sqref="T36:W36">
    <cfRule type="cellIs" dxfId="166" priority="148" operator="equal">
      <formula>"Zangentyp/Guntype?"</formula>
    </cfRule>
    <cfRule type="cellIs" dxfId="165" priority="151" operator="equal">
      <formula>"Pressure level not allowed"</formula>
    </cfRule>
    <cfRule type="cellIs" dxfId="164" priority="152" operator="equal">
      <formula>"Presure level allowed"</formula>
    </cfRule>
    <cfRule type="cellIs" dxfId="163" priority="153" operator="equal">
      <formula>"Ergebnis des Druckbereichs nicht i.O."</formula>
    </cfRule>
    <cfRule type="cellIs" dxfId="162" priority="154" operator="equal">
      <formula>"Ergebnis des Druckbereichs i.O."</formula>
    </cfRule>
    <cfRule type="cellIs" dxfId="161" priority="155" operator="equal">
      <formula>"Gun/Electromotor Design not O.K."</formula>
    </cfRule>
    <cfRule type="cellIs" dxfId="160" priority="156" operator="equal">
      <formula>"Gun/Electromotor Design O.K."</formula>
    </cfRule>
    <cfRule type="cellIs" dxfId="159" priority="157" operator="equal">
      <formula>"incorrect Gun Type/Gun Body/Gun Measure"</formula>
    </cfRule>
    <cfRule type="cellIs" dxfId="158" priority="158" operator="equal">
      <formula>"Max. Force of Gun acc.Drw.exceeded!"</formula>
    </cfRule>
    <cfRule type="cellIs" dxfId="157" priority="159" operator="equal">
      <formula>"max. Zangenkraft lt.Zeichnung überschritten!"</formula>
    </cfRule>
    <cfRule type="cellIs" dxfId="156" priority="160" stopIfTrue="1" operator="equal">
      <formula>"Zangentyp/-grundkörper/-maße falsch"</formula>
    </cfRule>
  </conditionalFormatting>
  <conditionalFormatting sqref="E38">
    <cfRule type="expression" dxfId="155" priority="150">
      <formula>$G$6="SPZ"</formula>
    </cfRule>
  </conditionalFormatting>
  <conditionalFormatting sqref="E35">
    <cfRule type="expression" dxfId="154" priority="149">
      <formula>$G$6="RZ"</formula>
    </cfRule>
  </conditionalFormatting>
  <conditionalFormatting sqref="E37">
    <cfRule type="expression" dxfId="153" priority="134">
      <formula>$G$6="RZ"</formula>
    </cfRule>
  </conditionalFormatting>
  <conditionalFormatting sqref="Y34">
    <cfRule type="expression" dxfId="152" priority="147">
      <formula>ISERR(AE34)</formula>
    </cfRule>
  </conditionalFormatting>
  <conditionalFormatting sqref="S34">
    <cfRule type="expression" dxfId="151" priority="146">
      <formula>$U34="t2?"</formula>
    </cfRule>
  </conditionalFormatting>
  <conditionalFormatting sqref="AN36:AN37">
    <cfRule type="cellIs" dxfId="150" priority="145" operator="equal">
      <formula>"Ja"</formula>
    </cfRule>
  </conditionalFormatting>
  <conditionalFormatting sqref="AE36:AE37">
    <cfRule type="expression" dxfId="149" priority="197">
      <formula>AN36="Ja"</formula>
    </cfRule>
  </conditionalFormatting>
  <conditionalFormatting sqref="AE38">
    <cfRule type="expression" dxfId="148" priority="198">
      <formula>AND(AN36="Ja",ISBLANK($AG$38))</formula>
    </cfRule>
  </conditionalFormatting>
  <conditionalFormatting sqref="AJ38">
    <cfRule type="expression" dxfId="147" priority="199">
      <formula>AND(AN36="Ja",ISBLANK($AL$38))</formula>
    </cfRule>
  </conditionalFormatting>
  <conditionalFormatting sqref="AL38">
    <cfRule type="expression" dxfId="146" priority="144">
      <formula>AND(AN36="Ja",ISBLANK($AL$38))</formula>
    </cfRule>
  </conditionalFormatting>
  <conditionalFormatting sqref="G8">
    <cfRule type="expression" dxfId="145" priority="143">
      <formula>NOT(OR(G8="J",G8="N"))</formula>
    </cfRule>
  </conditionalFormatting>
  <conditionalFormatting sqref="V34">
    <cfRule type="expression" dxfId="144" priority="142">
      <formula>$R34="t1?"</formula>
    </cfRule>
  </conditionalFormatting>
  <conditionalFormatting sqref="L38">
    <cfRule type="expression" dxfId="143" priority="141">
      <formula>$G$6="SPZ"</formula>
    </cfRule>
  </conditionalFormatting>
  <conditionalFormatting sqref="O37">
    <cfRule type="expression" dxfId="142" priority="140">
      <formula>$G$6="SPZ"</formula>
    </cfRule>
  </conditionalFormatting>
  <conditionalFormatting sqref="O38">
    <cfRule type="expression" dxfId="141" priority="139">
      <formula>$G$6="SPZ"</formula>
    </cfRule>
  </conditionalFormatting>
  <conditionalFormatting sqref="R37">
    <cfRule type="expression" dxfId="140" priority="138">
      <formula>$G$6="SPZ"</formula>
    </cfRule>
  </conditionalFormatting>
  <conditionalFormatting sqref="R38">
    <cfRule type="expression" dxfId="139" priority="137">
      <formula>$G$6="SPZ"</formula>
    </cfRule>
  </conditionalFormatting>
  <conditionalFormatting sqref="X38">
    <cfRule type="expression" dxfId="138" priority="136">
      <formula>$G$6="SPZ"</formula>
    </cfRule>
  </conditionalFormatting>
  <conditionalFormatting sqref="AA38">
    <cfRule type="expression" dxfId="137" priority="135">
      <formula>$G$6="SPZ"</formula>
    </cfRule>
  </conditionalFormatting>
  <conditionalFormatting sqref="H37">
    <cfRule type="expression" dxfId="136" priority="133">
      <formula>$G$6="RZ"</formula>
    </cfRule>
  </conditionalFormatting>
  <conditionalFormatting sqref="O35">
    <cfRule type="expression" dxfId="135" priority="132">
      <formula>$G$6="RZ"</formula>
    </cfRule>
  </conditionalFormatting>
  <conditionalFormatting sqref="O36">
    <cfRule type="expression" dxfId="134" priority="131">
      <formula>$G$6="RZ"</formula>
    </cfRule>
  </conditionalFormatting>
  <conditionalFormatting sqref="R35">
    <cfRule type="expression" dxfId="133" priority="130">
      <formula>$G$6="RZ"</formula>
    </cfRule>
  </conditionalFormatting>
  <conditionalFormatting sqref="R36">
    <cfRule type="expression" dxfId="132" priority="129">
      <formula>$G$6="RZ"</formula>
    </cfRule>
  </conditionalFormatting>
  <conditionalFormatting sqref="C35:D36">
    <cfRule type="expression" dxfId="131" priority="128">
      <formula>$G$6="RZ"</formula>
    </cfRule>
  </conditionalFormatting>
  <conditionalFormatting sqref="C37:D37">
    <cfRule type="expression" dxfId="130" priority="127">
      <formula>$G$6="RZ"</formula>
    </cfRule>
  </conditionalFormatting>
  <conditionalFormatting sqref="F37:G37">
    <cfRule type="expression" dxfId="129" priority="126">
      <formula>$G$6="RZ"</formula>
    </cfRule>
  </conditionalFormatting>
  <conditionalFormatting sqref="M36:N36">
    <cfRule type="expression" dxfId="128" priority="125">
      <formula>$G$6="RZ"</formula>
    </cfRule>
  </conditionalFormatting>
  <conditionalFormatting sqref="P36:Q36">
    <cfRule type="expression" dxfId="127" priority="124">
      <formula>$G$6="RZ"</formula>
    </cfRule>
  </conditionalFormatting>
  <conditionalFormatting sqref="M35:N35">
    <cfRule type="expression" dxfId="126" priority="123">
      <formula>$G$6="RZ"</formula>
    </cfRule>
  </conditionalFormatting>
  <conditionalFormatting sqref="P35:Q35">
    <cfRule type="expression" dxfId="125" priority="122">
      <formula>$G$6="RZ"</formula>
    </cfRule>
  </conditionalFormatting>
  <conditionalFormatting sqref="C38:D38">
    <cfRule type="expression" dxfId="124" priority="121">
      <formula>$G$6="SPZ"</formula>
    </cfRule>
  </conditionalFormatting>
  <conditionalFormatting sqref="F38:G38">
    <cfRule type="expression" dxfId="123" priority="120">
      <formula>$G$6="SPZ"</formula>
    </cfRule>
  </conditionalFormatting>
  <conditionalFormatting sqref="I38">
    <cfRule type="expression" dxfId="122" priority="119">
      <formula>$G$6="SPZ"</formula>
    </cfRule>
  </conditionalFormatting>
  <conditionalFormatting sqref="M37:N37">
    <cfRule type="expression" dxfId="121" priority="118">
      <formula>$G$6="SPZ"</formula>
    </cfRule>
  </conditionalFormatting>
  <conditionalFormatting sqref="M38:N38">
    <cfRule type="expression" dxfId="120" priority="117">
      <formula>$G$6="SPZ"</formula>
    </cfRule>
  </conditionalFormatting>
  <conditionalFormatting sqref="P38:Q38">
    <cfRule type="expression" dxfId="119" priority="116">
      <formula>$G$6="SPZ"</formula>
    </cfRule>
  </conditionalFormatting>
  <conditionalFormatting sqref="P37:Q37">
    <cfRule type="expression" dxfId="118" priority="115">
      <formula>$G$6="SPZ"</formula>
    </cfRule>
  </conditionalFormatting>
  <conditionalFormatting sqref="AF36:AM37">
    <cfRule type="expression" dxfId="117" priority="200">
      <formula>BC36="Ja"</formula>
    </cfRule>
  </conditionalFormatting>
  <conditionalFormatting sqref="AF38">
    <cfRule type="expression" dxfId="116" priority="201">
      <formula>AND(BC36="Ja",ISBLANK($AG$38))</formula>
    </cfRule>
  </conditionalFormatting>
  <conditionalFormatting sqref="AK38">
    <cfRule type="expression" dxfId="115" priority="202">
      <formula>AND(BC36="Ja",ISBLANK($AL$38))</formula>
    </cfRule>
  </conditionalFormatting>
  <conditionalFormatting sqref="AM38:AN38">
    <cfRule type="expression" dxfId="114" priority="203">
      <formula>AND(BC36="Ja",ISBLANK($AL$38))</formula>
    </cfRule>
  </conditionalFormatting>
  <conditionalFormatting sqref="P34">
    <cfRule type="expression" dxfId="113" priority="114">
      <formula>$U34="t2?"</formula>
    </cfRule>
  </conditionalFormatting>
  <conditionalFormatting sqref="AE35:AN35">
    <cfRule type="containsText" dxfId="112" priority="113" operator="containsText" text="kein TL4225 außen vorhanden, bitte auf 'Nein' zurückschalten / No TL4225 outside detected, please switch back to 'Nein'">
      <formula>NOT(ISERROR(SEARCH("kein TL4225 außen vorhanden, bitte auf 'Nein' zurückschalten / No TL4225 outside detected, please switch back to 'Nein'",AE35)))</formula>
    </cfRule>
  </conditionalFormatting>
  <conditionalFormatting sqref="G20:G21">
    <cfRule type="expression" dxfId="111" priority="112" stopIfTrue="1">
      <formula>OR(AND(ISNUMBER($P20),ISBLANK($G20)),AND(ISTEXT($G20),ISBLANK($P20)))</formula>
    </cfRule>
  </conditionalFormatting>
  <conditionalFormatting sqref="P21">
    <cfRule type="expression" dxfId="110" priority="107">
      <formula>$R21="t1?"</formula>
    </cfRule>
  </conditionalFormatting>
  <conditionalFormatting sqref="P19">
    <cfRule type="expression" dxfId="109" priority="111">
      <formula>$R19="t1?"</formula>
    </cfRule>
  </conditionalFormatting>
  <conditionalFormatting sqref="Q21">
    <cfRule type="expression" dxfId="108" priority="106">
      <formula>CELL("Schutz",Q21)</formula>
    </cfRule>
  </conditionalFormatting>
  <conditionalFormatting sqref="Q19">
    <cfRule type="expression" dxfId="107" priority="110">
      <formula>CELL("Schutz",Q19)</formula>
    </cfRule>
  </conditionalFormatting>
  <conditionalFormatting sqref="P20">
    <cfRule type="expression" dxfId="106" priority="109">
      <formula>$R20="t1?"</formula>
    </cfRule>
  </conditionalFormatting>
  <conditionalFormatting sqref="Q20">
    <cfRule type="expression" dxfId="105" priority="108">
      <formula>CELL("Schutz",Q20)</formula>
    </cfRule>
  </conditionalFormatting>
  <conditionalFormatting sqref="S19">
    <cfRule type="expression" dxfId="104" priority="105">
      <formula>$R19="t1?"</formula>
    </cfRule>
  </conditionalFormatting>
  <conditionalFormatting sqref="T19">
    <cfRule type="expression" dxfId="103" priority="104">
      <formula>CELL("Schutz",T19)</formula>
    </cfRule>
  </conditionalFormatting>
  <conditionalFormatting sqref="S20">
    <cfRule type="expression" dxfId="102" priority="103">
      <formula>$R20="t1?"</formula>
    </cfRule>
  </conditionalFormatting>
  <conditionalFormatting sqref="T20">
    <cfRule type="expression" dxfId="101" priority="102">
      <formula>CELL("Schutz",T20)</formula>
    </cfRule>
  </conditionalFormatting>
  <conditionalFormatting sqref="S21">
    <cfRule type="expression" dxfId="100" priority="101">
      <formula>$R21="t1?"</formula>
    </cfRule>
  </conditionalFormatting>
  <conditionalFormatting sqref="T21">
    <cfRule type="expression" dxfId="99" priority="100">
      <formula>CELL("Schutz",T21)</formula>
    </cfRule>
  </conditionalFormatting>
  <conditionalFormatting sqref="W21">
    <cfRule type="expression" dxfId="98" priority="94">
      <formula>CELL("Schutz",W21)</formula>
    </cfRule>
  </conditionalFormatting>
  <conditionalFormatting sqref="V21">
    <cfRule type="expression" dxfId="97" priority="95">
      <formula>$R21="t1?"</formula>
    </cfRule>
  </conditionalFormatting>
  <conditionalFormatting sqref="V19">
    <cfRule type="expression" dxfId="96" priority="99">
      <formula>$R19="t1?"</formula>
    </cfRule>
  </conditionalFormatting>
  <conditionalFormatting sqref="W19">
    <cfRule type="expression" dxfId="95" priority="98">
      <formula>CELL("Schutz",W19)</formula>
    </cfRule>
  </conditionalFormatting>
  <conditionalFormatting sqref="V20">
    <cfRule type="expression" dxfId="94" priority="97">
      <formula>$R20="t1?"</formula>
    </cfRule>
  </conditionalFormatting>
  <conditionalFormatting sqref="W20">
    <cfRule type="expression" dxfId="93" priority="96">
      <formula>CELL("Schutz",W20)</formula>
    </cfRule>
  </conditionalFormatting>
  <conditionalFormatting sqref="Y19">
    <cfRule type="expression" dxfId="92" priority="93">
      <formula>ISERR(AE19)</formula>
    </cfRule>
  </conditionalFormatting>
  <conditionalFormatting sqref="Y20:Y21">
    <cfRule type="expression" dxfId="91" priority="92">
      <formula>ISERR(AE20)</formula>
    </cfRule>
  </conditionalFormatting>
  <conditionalFormatting sqref="H38">
    <cfRule type="expression" dxfId="90" priority="91">
      <formula>$G$6="SPZ"</formula>
    </cfRule>
  </conditionalFormatting>
  <conditionalFormatting sqref="W38">
    <cfRule type="expression" dxfId="89" priority="90" stopIfTrue="1">
      <formula>ISBLANK($W$38)</formula>
    </cfRule>
  </conditionalFormatting>
  <conditionalFormatting sqref="AG38">
    <cfRule type="expression" dxfId="88" priority="88">
      <formula>AND(AN36="Ja",ISBLANK($AG$38))</formula>
    </cfRule>
  </conditionalFormatting>
  <conditionalFormatting sqref="AH38:AI38">
    <cfRule type="expression" dxfId="87" priority="89">
      <formula>AND(BC36="Ja",ISBLANK($AG$38))</formula>
    </cfRule>
  </conditionalFormatting>
  <conditionalFormatting sqref="G19">
    <cfRule type="expression" dxfId="86" priority="87" stopIfTrue="1">
      <formula>OR(AND(ISNUMBER($P19),ISBLANK($G19)),AND(ISTEXT($G19),ISBLANK($P19)))</formula>
    </cfRule>
  </conditionalFormatting>
  <conditionalFormatting sqref="L35">
    <cfRule type="expression" dxfId="85" priority="86">
      <formula>ISERR($L$37)</formula>
    </cfRule>
  </conditionalFormatting>
  <conditionalFormatting sqref="L36">
    <cfRule type="expression" dxfId="84" priority="85">
      <formula>ISERR($L$37)</formula>
    </cfRule>
  </conditionalFormatting>
  <conditionalFormatting sqref="AE22:AE24">
    <cfRule type="expression" dxfId="83" priority="84">
      <formula>ISERROR(AE22)</formula>
    </cfRule>
  </conditionalFormatting>
  <conditionalFormatting sqref="G23:G24">
    <cfRule type="expression" dxfId="82" priority="83" stopIfTrue="1">
      <formula>OR(AND(ISNUMBER($P23),ISBLANK($G23)),AND(ISTEXT($G23),ISBLANK($P23)))</formula>
    </cfRule>
  </conditionalFormatting>
  <conditionalFormatting sqref="P24">
    <cfRule type="expression" dxfId="81" priority="78">
      <formula>$R24="t1?"</formula>
    </cfRule>
  </conditionalFormatting>
  <conditionalFormatting sqref="P22">
    <cfRule type="expression" dxfId="80" priority="82">
      <formula>$R22="t1?"</formula>
    </cfRule>
  </conditionalFormatting>
  <conditionalFormatting sqref="Q24">
    <cfRule type="expression" dxfId="79" priority="77">
      <formula>CELL("Schutz",Q24)</formula>
    </cfRule>
  </conditionalFormatting>
  <conditionalFormatting sqref="Q22">
    <cfRule type="expression" dxfId="78" priority="81">
      <formula>CELL("Schutz",Q22)</formula>
    </cfRule>
  </conditionalFormatting>
  <conditionalFormatting sqref="P23">
    <cfRule type="expression" dxfId="77" priority="80">
      <formula>$R23="t1?"</formula>
    </cfRule>
  </conditionalFormatting>
  <conditionalFormatting sqref="Q23">
    <cfRule type="expression" dxfId="76" priority="79">
      <formula>CELL("Schutz",Q23)</formula>
    </cfRule>
  </conditionalFormatting>
  <conditionalFormatting sqref="S22">
    <cfRule type="expression" dxfId="75" priority="76">
      <formula>$R22="t1?"</formula>
    </cfRule>
  </conditionalFormatting>
  <conditionalFormatting sqref="T22">
    <cfRule type="expression" dxfId="74" priority="75">
      <formula>CELL("Schutz",T22)</formula>
    </cfRule>
  </conditionalFormatting>
  <conditionalFormatting sqref="S23">
    <cfRule type="expression" dxfId="73" priority="74">
      <formula>$R23="t1?"</formula>
    </cfRule>
  </conditionalFormatting>
  <conditionalFormatting sqref="T23">
    <cfRule type="expression" dxfId="72" priority="73">
      <formula>CELL("Schutz",T23)</formula>
    </cfRule>
  </conditionalFormatting>
  <conditionalFormatting sqref="S24">
    <cfRule type="expression" dxfId="71" priority="72">
      <formula>$R24="t1?"</formula>
    </cfRule>
  </conditionalFormatting>
  <conditionalFormatting sqref="T24">
    <cfRule type="expression" dxfId="70" priority="71">
      <formula>CELL("Schutz",T24)</formula>
    </cfRule>
  </conditionalFormatting>
  <conditionalFormatting sqref="W24">
    <cfRule type="expression" dxfId="69" priority="65">
      <formula>CELL("Schutz",W24)</formula>
    </cfRule>
  </conditionalFormatting>
  <conditionalFormatting sqref="V24">
    <cfRule type="expression" dxfId="68" priority="66">
      <formula>$R24="t1?"</formula>
    </cfRule>
  </conditionalFormatting>
  <conditionalFormatting sqref="V22">
    <cfRule type="expression" dxfId="67" priority="70">
      <formula>$R22="t1?"</formula>
    </cfRule>
  </conditionalFormatting>
  <conditionalFormatting sqref="W22">
    <cfRule type="expression" dxfId="66" priority="69">
      <formula>CELL("Schutz",W22)</formula>
    </cfRule>
  </conditionalFormatting>
  <conditionalFormatting sqref="V23">
    <cfRule type="expression" dxfId="65" priority="68">
      <formula>$R23="t1?"</formula>
    </cfRule>
  </conditionalFormatting>
  <conditionalFormatting sqref="W23">
    <cfRule type="expression" dxfId="64" priority="67">
      <formula>CELL("Schutz",W23)</formula>
    </cfRule>
  </conditionalFormatting>
  <conditionalFormatting sqref="Y22">
    <cfRule type="expression" dxfId="63" priority="64">
      <formula>ISERR(AE22)</formula>
    </cfRule>
  </conditionalFormatting>
  <conditionalFormatting sqref="Y23:Y24">
    <cfRule type="expression" dxfId="62" priority="63">
      <formula>ISERR(AE23)</formula>
    </cfRule>
  </conditionalFormatting>
  <conditionalFormatting sqref="G22">
    <cfRule type="expression" dxfId="61" priority="62" stopIfTrue="1">
      <formula>OR(AND(ISNUMBER($P22),ISBLANK($G22)),AND(ISTEXT($G22),ISBLANK($P22)))</formula>
    </cfRule>
  </conditionalFormatting>
  <conditionalFormatting sqref="AE25">
    <cfRule type="expression" dxfId="60" priority="61">
      <formula>ISERROR(AE25)</formula>
    </cfRule>
  </conditionalFormatting>
  <conditionalFormatting sqref="G25">
    <cfRule type="expression" dxfId="59" priority="60" stopIfTrue="1">
      <formula>OR(AND(ISNUMBER($P25),ISBLANK($G25)),AND(ISTEXT($G25),ISBLANK($P25)))</formula>
    </cfRule>
  </conditionalFormatting>
  <conditionalFormatting sqref="P25">
    <cfRule type="expression" dxfId="58" priority="59">
      <formula>$R25="t1?"</formula>
    </cfRule>
  </conditionalFormatting>
  <conditionalFormatting sqref="Q25">
    <cfRule type="expression" dxfId="57" priority="58">
      <formula>CELL("Schutz",Q25)</formula>
    </cfRule>
  </conditionalFormatting>
  <conditionalFormatting sqref="S25">
    <cfRule type="expression" dxfId="56" priority="57">
      <formula>$R25="t1?"</formula>
    </cfRule>
  </conditionalFormatting>
  <conditionalFormatting sqref="T25">
    <cfRule type="expression" dxfId="55" priority="56">
      <formula>CELL("Schutz",T25)</formula>
    </cfRule>
  </conditionalFormatting>
  <conditionalFormatting sqref="W25">
    <cfRule type="expression" dxfId="54" priority="54">
      <formula>CELL("Schutz",W25)</formula>
    </cfRule>
  </conditionalFormatting>
  <conditionalFormatting sqref="V25">
    <cfRule type="expression" dxfId="53" priority="55">
      <formula>$R25="t1?"</formula>
    </cfRule>
  </conditionalFormatting>
  <conditionalFormatting sqref="Y25">
    <cfRule type="expression" dxfId="52" priority="53">
      <formula>ISERR(AE25)</formula>
    </cfRule>
  </conditionalFormatting>
  <conditionalFormatting sqref="AE26:AE28">
    <cfRule type="expression" dxfId="51" priority="52">
      <formula>ISERROR(AE26)</formula>
    </cfRule>
  </conditionalFormatting>
  <conditionalFormatting sqref="G27:G28">
    <cfRule type="expression" dxfId="50" priority="51" stopIfTrue="1">
      <formula>OR(AND(ISNUMBER($P27),ISBLANK($G27)),AND(ISTEXT($G27),ISBLANK($P27)))</formula>
    </cfRule>
  </conditionalFormatting>
  <conditionalFormatting sqref="P28">
    <cfRule type="expression" dxfId="49" priority="46">
      <formula>$R28="t1?"</formula>
    </cfRule>
  </conditionalFormatting>
  <conditionalFormatting sqref="P26">
    <cfRule type="expression" dxfId="48" priority="50">
      <formula>$R26="t1?"</formula>
    </cfRule>
  </conditionalFormatting>
  <conditionalFormatting sqref="Q28">
    <cfRule type="expression" dxfId="47" priority="45">
      <formula>CELL("Schutz",Q28)</formula>
    </cfRule>
  </conditionalFormatting>
  <conditionalFormatting sqref="Q26">
    <cfRule type="expression" dxfId="46" priority="49">
      <formula>CELL("Schutz",Q26)</formula>
    </cfRule>
  </conditionalFormatting>
  <conditionalFormatting sqref="P27">
    <cfRule type="expression" dxfId="45" priority="48">
      <formula>$R27="t1?"</formula>
    </cfRule>
  </conditionalFormatting>
  <conditionalFormatting sqref="Q27">
    <cfRule type="expression" dxfId="44" priority="47">
      <formula>CELL("Schutz",Q27)</formula>
    </cfRule>
  </conditionalFormatting>
  <conditionalFormatting sqref="S26">
    <cfRule type="expression" dxfId="43" priority="44">
      <formula>$R26="t1?"</formula>
    </cfRule>
  </conditionalFormatting>
  <conditionalFormatting sqref="T26">
    <cfRule type="expression" dxfId="42" priority="43">
      <formula>CELL("Schutz",T26)</formula>
    </cfRule>
  </conditionalFormatting>
  <conditionalFormatting sqref="S27">
    <cfRule type="expression" dxfId="41" priority="42">
      <formula>$R27="t1?"</formula>
    </cfRule>
  </conditionalFormatting>
  <conditionalFormatting sqref="T27">
    <cfRule type="expression" dxfId="40" priority="41">
      <formula>CELL("Schutz",T27)</formula>
    </cfRule>
  </conditionalFormatting>
  <conditionalFormatting sqref="S28">
    <cfRule type="expression" dxfId="39" priority="40">
      <formula>$R28="t1?"</formula>
    </cfRule>
  </conditionalFormatting>
  <conditionalFormatting sqref="T28">
    <cfRule type="expression" dxfId="38" priority="39">
      <formula>CELL("Schutz",T28)</formula>
    </cfRule>
  </conditionalFormatting>
  <conditionalFormatting sqref="W28">
    <cfRule type="expression" dxfId="37" priority="33">
      <formula>CELL("Schutz",W28)</formula>
    </cfRule>
  </conditionalFormatting>
  <conditionalFormatting sqref="V28">
    <cfRule type="expression" dxfId="36" priority="34">
      <formula>$R28="t1?"</formula>
    </cfRule>
  </conditionalFormatting>
  <conditionalFormatting sqref="V26">
    <cfRule type="expression" dxfId="35" priority="38">
      <formula>$R26="t1?"</formula>
    </cfRule>
  </conditionalFormatting>
  <conditionalFormatting sqref="W26">
    <cfRule type="expression" dxfId="34" priority="37">
      <formula>CELL("Schutz",W26)</formula>
    </cfRule>
  </conditionalFormatting>
  <conditionalFormatting sqref="V27">
    <cfRule type="expression" dxfId="33" priority="36">
      <formula>$R27="t1?"</formula>
    </cfRule>
  </conditionalFormatting>
  <conditionalFormatting sqref="W27">
    <cfRule type="expression" dxfId="32" priority="35">
      <formula>CELL("Schutz",W27)</formula>
    </cfRule>
  </conditionalFormatting>
  <conditionalFormatting sqref="Y26">
    <cfRule type="expression" dxfId="31" priority="32">
      <formula>ISERR(AE26)</formula>
    </cfRule>
  </conditionalFormatting>
  <conditionalFormatting sqref="Y27:Y28">
    <cfRule type="expression" dxfId="30" priority="31">
      <formula>ISERR(AE27)</formula>
    </cfRule>
  </conditionalFormatting>
  <conditionalFormatting sqref="G26">
    <cfRule type="expression" dxfId="29" priority="30" stopIfTrue="1">
      <formula>OR(AND(ISNUMBER($P26),ISBLANK($G26)),AND(ISTEXT($G26),ISBLANK($P26)))</formula>
    </cfRule>
  </conditionalFormatting>
  <conditionalFormatting sqref="AE29 AE32:AE33">
    <cfRule type="expression" dxfId="28" priority="29">
      <formula>ISERROR(AE29)</formula>
    </cfRule>
  </conditionalFormatting>
  <conditionalFormatting sqref="G32:G33">
    <cfRule type="expression" dxfId="27" priority="28" stopIfTrue="1">
      <formula>OR(AND(ISNUMBER($P32),ISBLANK($G32)),AND(ISTEXT($G32),ISBLANK($P32)))</formula>
    </cfRule>
  </conditionalFormatting>
  <conditionalFormatting sqref="P33">
    <cfRule type="expression" dxfId="26" priority="23">
      <formula>$R33="t1?"</formula>
    </cfRule>
  </conditionalFormatting>
  <conditionalFormatting sqref="P29">
    <cfRule type="expression" dxfId="25" priority="27">
      <formula>$R29="t1?"</formula>
    </cfRule>
  </conditionalFormatting>
  <conditionalFormatting sqref="Q33">
    <cfRule type="expression" dxfId="24" priority="22">
      <formula>CELL("Schutz",Q33)</formula>
    </cfRule>
  </conditionalFormatting>
  <conditionalFormatting sqref="Q29">
    <cfRule type="expression" dxfId="23" priority="26">
      <formula>CELL("Schutz",Q29)</formula>
    </cfRule>
  </conditionalFormatting>
  <conditionalFormatting sqref="P32">
    <cfRule type="expression" dxfId="22" priority="25">
      <formula>$R32="t1?"</formula>
    </cfRule>
  </conditionalFormatting>
  <conditionalFormatting sqref="Q32">
    <cfRule type="expression" dxfId="21" priority="24">
      <formula>CELL("Schutz",Q32)</formula>
    </cfRule>
  </conditionalFormatting>
  <conditionalFormatting sqref="S29">
    <cfRule type="expression" dxfId="20" priority="21">
      <formula>$R29="t1?"</formula>
    </cfRule>
  </conditionalFormatting>
  <conditionalFormatting sqref="T29">
    <cfRule type="expression" dxfId="19" priority="20">
      <formula>CELL("Schutz",T29)</formula>
    </cfRule>
  </conditionalFormatting>
  <conditionalFormatting sqref="S32">
    <cfRule type="expression" dxfId="18" priority="19">
      <formula>$R32="t1?"</formula>
    </cfRule>
  </conditionalFormatting>
  <conditionalFormatting sqref="T32">
    <cfRule type="expression" dxfId="17" priority="18">
      <formula>CELL("Schutz",T32)</formula>
    </cfRule>
  </conditionalFormatting>
  <conditionalFormatting sqref="S33">
    <cfRule type="expression" dxfId="16" priority="17">
      <formula>$R33="t1?"</formula>
    </cfRule>
  </conditionalFormatting>
  <conditionalFormatting sqref="T33">
    <cfRule type="expression" dxfId="15" priority="16">
      <formula>CELL("Schutz",T33)</formula>
    </cfRule>
  </conditionalFormatting>
  <conditionalFormatting sqref="W33">
    <cfRule type="expression" dxfId="14" priority="10">
      <formula>CELL("Schutz",W33)</formula>
    </cfRule>
  </conditionalFormatting>
  <conditionalFormatting sqref="V33">
    <cfRule type="expression" dxfId="13" priority="11">
      <formula>$R33="t1?"</formula>
    </cfRule>
  </conditionalFormatting>
  <conditionalFormatting sqref="V29:V31">
    <cfRule type="expression" dxfId="12" priority="15">
      <formula>$R29="t1?"</formula>
    </cfRule>
  </conditionalFormatting>
  <conditionalFormatting sqref="W29:W31">
    <cfRule type="expression" dxfId="11" priority="14">
      <formula>CELL("Schutz",W29)</formula>
    </cfRule>
  </conditionalFormatting>
  <conditionalFormatting sqref="V32">
    <cfRule type="expression" dxfId="10" priority="13">
      <formula>$R32="t1?"</formula>
    </cfRule>
  </conditionalFormatting>
  <conditionalFormatting sqref="W32">
    <cfRule type="expression" dxfId="9" priority="12">
      <formula>CELL("Schutz",W32)</formula>
    </cfRule>
  </conditionalFormatting>
  <conditionalFormatting sqref="Y29">
    <cfRule type="expression" dxfId="8" priority="9">
      <formula>ISERR(AE29)</formula>
    </cfRule>
  </conditionalFormatting>
  <conditionalFormatting sqref="Y32:Y33">
    <cfRule type="expression" dxfId="7" priority="8">
      <formula>ISERR(AE32)</formula>
    </cfRule>
  </conditionalFormatting>
  <conditionalFormatting sqref="G29:G31">
    <cfRule type="expression" dxfId="6" priority="7" stopIfTrue="1">
      <formula>OR(AND(ISNUMBER($P29),ISBLANK($G29)),AND(ISTEXT($G29),ISBLANK($P29)))</formula>
    </cfRule>
  </conditionalFormatting>
  <conditionalFormatting sqref="AE30:AE31">
    <cfRule type="expression" dxfId="5" priority="6">
      <formula>ISERROR(AE30)</formula>
    </cfRule>
  </conditionalFormatting>
  <conditionalFormatting sqref="Y30:Y31">
    <cfRule type="expression" dxfId="4" priority="5">
      <formula>ISERR(AE30)</formula>
    </cfRule>
  </conditionalFormatting>
  <conditionalFormatting sqref="P30:P31">
    <cfRule type="expression" dxfId="3" priority="4">
      <formula>$R30="t1?"</formula>
    </cfRule>
  </conditionalFormatting>
  <conditionalFormatting sqref="Q30:Q31">
    <cfRule type="expression" dxfId="2" priority="3">
      <formula>CELL("Schutz",Q30)</formula>
    </cfRule>
  </conditionalFormatting>
  <conditionalFormatting sqref="S30:S31">
    <cfRule type="expression" dxfId="1" priority="2">
      <formula>$R30="t1?"</formula>
    </cfRule>
  </conditionalFormatting>
  <conditionalFormatting sqref="T30:T31">
    <cfRule type="expression" dxfId="0" priority="1">
      <formula>CELL("Schutz",T30)</formula>
    </cfRule>
  </conditionalFormatting>
  <dataValidations disablePrompts="1" count="3">
    <dataValidation type="list" allowBlank="1" showInputMessage="1" showErrorMessage="1" sqref="E6" xr:uid="{7F047652-F255-4741-8DD9-02F4E34EB9B2}">
      <formula1>$BD$4:$BD$5</formula1>
    </dataValidation>
    <dataValidation type="list" allowBlank="1" showInputMessage="1" showErrorMessage="1" sqref="G6" xr:uid="{3F3873DA-7638-4024-8AEB-EEEF74826858}">
      <formula1>$BE$3:$BE$5</formula1>
    </dataValidation>
    <dataValidation type="list" allowBlank="1" showInputMessage="1" showErrorMessage="1" sqref="AY36:BB37 AN36:AN37" xr:uid="{7A08D371-88EC-47E0-AC54-F272A706597D}">
      <formula1>$BH$4:$BH$5</formula1>
    </dataValidation>
  </dataValidations>
  <hyperlinks>
    <hyperlink ref="AK45" r:id="rId1" xr:uid="{F8023ACC-D73E-43BA-922B-511990547C58}"/>
  </hyperlinks>
  <printOptions horizontalCentered="1" verticalCentered="1"/>
  <pageMargins left="0.31496062992125984" right="0.31496062992125984" top="0.59055118110236227" bottom="0.31496062992125984" header="0.39370078740157483" footer="0.19685039370078741"/>
  <pageSetup scale="18" orientation="landscape" r:id="rId2"/>
  <headerFooter alignWithMargins="0">
    <oddFooter>&amp;C&amp;D&amp;R&amp;F</oddFooter>
  </headerFooter>
  <drawing r:id="rId3"/>
  <legacyDrawing r:id="rId4"/>
  <oleObjects>
    <mc:AlternateContent xmlns:mc="http://schemas.openxmlformats.org/markup-compatibility/2006">
      <mc:Choice Requires="x14">
        <oleObject progId="Paint.Picture" shapeId="120833" r:id="rId5">
          <objectPr defaultSize="0" autoPict="0" r:id="rId6">
            <anchor moveWithCells="1" sizeWithCells="1">
              <from>
                <xdr:col>0</xdr:col>
                <xdr:colOff>22860</xdr:colOff>
                <xdr:row>0</xdr:row>
                <xdr:rowOff>7620</xdr:rowOff>
              </from>
              <to>
                <xdr:col>0</xdr:col>
                <xdr:colOff>22860</xdr:colOff>
                <xdr:row>0</xdr:row>
                <xdr:rowOff>7620</xdr:rowOff>
              </to>
            </anchor>
          </objectPr>
        </oleObject>
      </mc:Choice>
      <mc:Fallback>
        <oleObject progId="Paint.Picture" shapeId="120833" r:id="rId5"/>
      </mc:Fallback>
    </mc:AlternateContent>
  </oleObjects>
  <extLst>
    <ext xmlns:x14="http://schemas.microsoft.com/office/spreadsheetml/2009/9/main" uri="{CCE6A557-97BC-4b89-ADB6-D9C93CAAB3DF}">
      <x14:dataValidations xmlns:xm="http://schemas.microsoft.com/office/excel/2006/main" disablePrompts="1" count="3">
        <x14:dataValidation type="list" allowBlank="1" showInputMessage="1" showErrorMessage="1" xr:uid="{5A28D08F-48DC-4217-ABC0-410DCB655D60}">
          <x14:formula1>
            <xm:f>Motordaten!$B$4:$B$18</xm:f>
          </x14:formula1>
          <xm:sqref>H38</xm:sqref>
        </x14:dataValidation>
        <x14:dataValidation type="list" allowBlank="1" showInputMessage="1" showErrorMessage="1" xr:uid="{54E1B769-F046-4A50-9474-E330108C9EF6}">
          <x14:formula1>
            <xm:f>Motordaten!$A$3:$A$6</xm:f>
          </x14:formula1>
          <xm:sqref>E38</xm:sqref>
        </x14:dataValidation>
        <x14:dataValidation type="list" allowBlank="1" showInputMessage="1" showErrorMessage="1" xr:uid="{FFC25526-589F-4C11-B3B2-85294D932449}">
          <x14:formula1>
            <xm:f>Motordaten!$C$3:$C$18</xm:f>
          </x14:formula1>
          <xm:sqref>L38</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Tabelle5"/>
  <dimension ref="A1:E1477"/>
  <sheetViews>
    <sheetView topLeftCell="A616" zoomScaleNormal="100" workbookViewId="0">
      <selection activeCell="C463" sqref="C463:C1038"/>
    </sheetView>
  </sheetViews>
  <sheetFormatPr defaultColWidth="11.44140625" defaultRowHeight="24.6"/>
  <cols>
    <col min="1" max="1" width="60.6640625" customWidth="1"/>
    <col min="3" max="3" width="31.88671875" style="26" customWidth="1"/>
  </cols>
  <sheetData>
    <row r="1" spans="1:5" ht="25.2" thickBot="1">
      <c r="A1" s="19" t="s">
        <v>1124</v>
      </c>
      <c r="B1" s="20" t="s">
        <v>1626</v>
      </c>
      <c r="C1" s="25"/>
      <c r="D1" s="887" t="s">
        <v>1625</v>
      </c>
    </row>
    <row r="2" spans="1:5" ht="15" customHeight="1">
      <c r="A2" s="27"/>
      <c r="B2" s="28"/>
      <c r="C2" s="901" t="s">
        <v>1636</v>
      </c>
      <c r="D2" s="888"/>
      <c r="E2" s="267"/>
    </row>
    <row r="3" spans="1:5" ht="15" customHeight="1">
      <c r="A3" s="29"/>
      <c r="B3" s="30"/>
      <c r="C3" s="901"/>
      <c r="D3" s="888"/>
      <c r="E3" s="267"/>
    </row>
    <row r="4" spans="1:5" ht="15" customHeight="1">
      <c r="A4" s="29"/>
      <c r="B4" s="30"/>
      <c r="C4" s="901"/>
      <c r="D4" s="888"/>
      <c r="E4" s="267"/>
    </row>
    <row r="5" spans="1:5" ht="15" customHeight="1" thickBot="1">
      <c r="A5" s="29"/>
      <c r="B5" s="30"/>
      <c r="C5" s="902"/>
      <c r="D5" s="889"/>
      <c r="E5" s="267"/>
    </row>
    <row r="6" spans="1:5" ht="13.8">
      <c r="A6" s="21" t="s">
        <v>76</v>
      </c>
      <c r="B6" s="22">
        <v>300</v>
      </c>
      <c r="C6" s="898" t="s">
        <v>77</v>
      </c>
      <c r="D6" s="268"/>
    </row>
    <row r="7" spans="1:5" ht="13.2">
      <c r="A7" s="17" t="s">
        <v>78</v>
      </c>
      <c r="B7" s="18">
        <v>300</v>
      </c>
      <c r="C7" s="899"/>
      <c r="D7" s="269"/>
    </row>
    <row r="8" spans="1:5" ht="13.2">
      <c r="A8" s="17" t="s">
        <v>79</v>
      </c>
      <c r="B8" s="18">
        <v>300</v>
      </c>
      <c r="C8" s="899"/>
      <c r="D8" s="269"/>
    </row>
    <row r="9" spans="1:5" ht="13.2">
      <c r="A9" s="17" t="s">
        <v>80</v>
      </c>
      <c r="B9" s="18">
        <v>300</v>
      </c>
      <c r="C9" s="899"/>
      <c r="D9" s="269"/>
    </row>
    <row r="10" spans="1:5" ht="13.2">
      <c r="A10" s="17" t="s">
        <v>1185</v>
      </c>
      <c r="B10" s="18">
        <v>300</v>
      </c>
      <c r="C10" s="899"/>
      <c r="D10" s="269"/>
    </row>
    <row r="11" spans="1:5" ht="13.2">
      <c r="A11" s="17" t="s">
        <v>81</v>
      </c>
      <c r="B11" s="18">
        <v>300</v>
      </c>
      <c r="C11" s="899"/>
      <c r="D11" s="269"/>
    </row>
    <row r="12" spans="1:5" ht="13.2">
      <c r="A12" s="17" t="s">
        <v>1186</v>
      </c>
      <c r="B12" s="18">
        <v>300</v>
      </c>
      <c r="C12" s="899"/>
      <c r="D12" s="269"/>
    </row>
    <row r="13" spans="1:5" ht="13.2">
      <c r="A13" s="17" t="s">
        <v>82</v>
      </c>
      <c r="B13" s="18">
        <v>300</v>
      </c>
      <c r="C13" s="899"/>
      <c r="D13" s="269"/>
    </row>
    <row r="14" spans="1:5" ht="13.2">
      <c r="A14" s="17" t="s">
        <v>1187</v>
      </c>
      <c r="B14" s="18">
        <v>300</v>
      </c>
      <c r="C14" s="899"/>
      <c r="D14" s="269"/>
    </row>
    <row r="15" spans="1:5" ht="13.2">
      <c r="A15" s="17" t="s">
        <v>83</v>
      </c>
      <c r="B15" s="18">
        <v>300</v>
      </c>
      <c r="C15" s="899"/>
      <c r="D15" s="269"/>
    </row>
    <row r="16" spans="1:5" ht="13.2">
      <c r="A16" s="17" t="s">
        <v>84</v>
      </c>
      <c r="B16" s="18">
        <v>300</v>
      </c>
      <c r="C16" s="899"/>
      <c r="D16" s="269"/>
    </row>
    <row r="17" spans="1:4" ht="13.2">
      <c r="A17" s="17" t="s">
        <v>85</v>
      </c>
      <c r="B17" s="18">
        <v>300</v>
      </c>
      <c r="C17" s="899"/>
      <c r="D17" s="269"/>
    </row>
    <row r="18" spans="1:4" ht="13.2">
      <c r="A18" s="17" t="s">
        <v>86</v>
      </c>
      <c r="B18" s="18">
        <v>300</v>
      </c>
      <c r="C18" s="899"/>
      <c r="D18" s="269"/>
    </row>
    <row r="19" spans="1:4" ht="13.2">
      <c r="A19" s="17" t="s">
        <v>87</v>
      </c>
      <c r="B19" s="18">
        <v>300</v>
      </c>
      <c r="C19" s="899"/>
      <c r="D19" s="269"/>
    </row>
    <row r="20" spans="1:4" ht="13.2">
      <c r="A20" s="17" t="s">
        <v>88</v>
      </c>
      <c r="B20" s="18">
        <v>300</v>
      </c>
      <c r="C20" s="899"/>
      <c r="D20" s="269"/>
    </row>
    <row r="21" spans="1:4" ht="13.2">
      <c r="A21" s="17" t="s">
        <v>89</v>
      </c>
      <c r="B21" s="18">
        <v>300</v>
      </c>
      <c r="C21" s="899"/>
      <c r="D21" s="269"/>
    </row>
    <row r="22" spans="1:4" ht="13.2">
      <c r="A22" s="17" t="s">
        <v>90</v>
      </c>
      <c r="B22" s="18">
        <v>300</v>
      </c>
      <c r="C22" s="899"/>
      <c r="D22" s="269"/>
    </row>
    <row r="23" spans="1:4" ht="13.2">
      <c r="A23" s="17" t="s">
        <v>91</v>
      </c>
      <c r="B23" s="18">
        <v>300</v>
      </c>
      <c r="C23" s="899"/>
      <c r="D23" s="269"/>
    </row>
    <row r="24" spans="1:4" ht="13.2">
      <c r="A24" s="17" t="s">
        <v>92</v>
      </c>
      <c r="B24" s="18">
        <v>300</v>
      </c>
      <c r="C24" s="899"/>
      <c r="D24" s="269"/>
    </row>
    <row r="25" spans="1:4" ht="13.2">
      <c r="A25" s="17" t="s">
        <v>93</v>
      </c>
      <c r="B25" s="18">
        <v>300</v>
      </c>
      <c r="C25" s="899"/>
      <c r="D25" s="269"/>
    </row>
    <row r="26" spans="1:4" ht="13.2">
      <c r="A26" s="17" t="s">
        <v>94</v>
      </c>
      <c r="B26" s="18">
        <v>300</v>
      </c>
      <c r="C26" s="899"/>
      <c r="D26" s="269"/>
    </row>
    <row r="27" spans="1:4" ht="13.2">
      <c r="A27" s="17" t="s">
        <v>95</v>
      </c>
      <c r="B27" s="18">
        <v>300</v>
      </c>
      <c r="C27" s="899"/>
      <c r="D27" s="269"/>
    </row>
    <row r="28" spans="1:4" ht="13.2">
      <c r="A28" s="17" t="s">
        <v>96</v>
      </c>
      <c r="B28" s="18">
        <v>300</v>
      </c>
      <c r="C28" s="899"/>
      <c r="D28" s="269"/>
    </row>
    <row r="29" spans="1:4" ht="13.2">
      <c r="A29" s="17" t="s">
        <v>1188</v>
      </c>
      <c r="B29" s="18">
        <v>300</v>
      </c>
      <c r="C29" s="899"/>
      <c r="D29" s="269"/>
    </row>
    <row r="30" spans="1:4" ht="13.2">
      <c r="A30" s="17" t="s">
        <v>97</v>
      </c>
      <c r="B30" s="18">
        <v>300</v>
      </c>
      <c r="C30" s="899"/>
      <c r="D30" s="269"/>
    </row>
    <row r="31" spans="1:4" ht="13.2">
      <c r="A31" s="17" t="s">
        <v>1189</v>
      </c>
      <c r="B31" s="18">
        <v>300</v>
      </c>
      <c r="C31" s="899"/>
      <c r="D31" s="269"/>
    </row>
    <row r="32" spans="1:4" ht="13.2">
      <c r="A32" s="17" t="s">
        <v>98</v>
      </c>
      <c r="B32" s="18">
        <v>300</v>
      </c>
      <c r="C32" s="899"/>
      <c r="D32" s="269"/>
    </row>
    <row r="33" spans="1:4" ht="13.2">
      <c r="A33" s="17" t="s">
        <v>1190</v>
      </c>
      <c r="B33" s="18">
        <v>300</v>
      </c>
      <c r="C33" s="899"/>
      <c r="D33" s="269"/>
    </row>
    <row r="34" spans="1:4" ht="13.2">
      <c r="A34" s="17" t="s">
        <v>99</v>
      </c>
      <c r="B34" s="18">
        <v>300</v>
      </c>
      <c r="C34" s="899"/>
      <c r="D34" s="269"/>
    </row>
    <row r="35" spans="1:4" ht="13.2">
      <c r="A35" s="17" t="s">
        <v>100</v>
      </c>
      <c r="B35" s="18">
        <v>300</v>
      </c>
      <c r="C35" s="899"/>
      <c r="D35" s="269"/>
    </row>
    <row r="36" spans="1:4" ht="13.2">
      <c r="A36" s="17" t="s">
        <v>101</v>
      </c>
      <c r="B36" s="18">
        <v>300</v>
      </c>
      <c r="C36" s="899"/>
      <c r="D36" s="269"/>
    </row>
    <row r="37" spans="1:4" ht="13.2">
      <c r="A37" s="17" t="s">
        <v>102</v>
      </c>
      <c r="B37" s="18">
        <v>300</v>
      </c>
      <c r="C37" s="899"/>
      <c r="D37" s="269"/>
    </row>
    <row r="38" spans="1:4" ht="13.2">
      <c r="A38" s="17" t="s">
        <v>103</v>
      </c>
      <c r="B38" s="18">
        <v>300</v>
      </c>
      <c r="C38" s="899"/>
      <c r="D38" s="269"/>
    </row>
    <row r="39" spans="1:4" ht="13.2">
      <c r="A39" s="17" t="s">
        <v>104</v>
      </c>
      <c r="B39" s="18">
        <v>300</v>
      </c>
      <c r="C39" s="899"/>
      <c r="D39" s="269"/>
    </row>
    <row r="40" spans="1:4" ht="13.2">
      <c r="A40" s="17" t="s">
        <v>105</v>
      </c>
      <c r="B40" s="18">
        <v>300</v>
      </c>
      <c r="C40" s="899"/>
      <c r="D40" s="269"/>
    </row>
    <row r="41" spans="1:4" ht="13.2">
      <c r="A41" s="17" t="s">
        <v>106</v>
      </c>
      <c r="B41" s="18">
        <v>300</v>
      </c>
      <c r="C41" s="899"/>
      <c r="D41" s="269"/>
    </row>
    <row r="42" spans="1:4" ht="13.2">
      <c r="A42" s="17" t="s">
        <v>107</v>
      </c>
      <c r="B42" s="18">
        <v>300</v>
      </c>
      <c r="C42" s="899"/>
      <c r="D42" s="269"/>
    </row>
    <row r="43" spans="1:4" ht="13.2">
      <c r="A43" s="17" t="s">
        <v>108</v>
      </c>
      <c r="B43" s="18">
        <v>300</v>
      </c>
      <c r="C43" s="899"/>
      <c r="D43" s="269"/>
    </row>
    <row r="44" spans="1:4" ht="13.2">
      <c r="A44" s="17" t="s">
        <v>109</v>
      </c>
      <c r="B44" s="18">
        <v>300</v>
      </c>
      <c r="C44" s="899"/>
      <c r="D44" s="269"/>
    </row>
    <row r="45" spans="1:4" ht="13.2">
      <c r="A45" s="17" t="s">
        <v>110</v>
      </c>
      <c r="B45" s="18">
        <v>300</v>
      </c>
      <c r="C45" s="899"/>
      <c r="D45" s="269"/>
    </row>
    <row r="46" spans="1:4" ht="13.2">
      <c r="A46" s="17" t="s">
        <v>111</v>
      </c>
      <c r="B46" s="18">
        <v>300</v>
      </c>
      <c r="C46" s="899"/>
      <c r="D46" s="269"/>
    </row>
    <row r="47" spans="1:4" ht="13.2">
      <c r="A47" s="17" t="s">
        <v>112</v>
      </c>
      <c r="B47" s="18">
        <v>300</v>
      </c>
      <c r="C47" s="899"/>
      <c r="D47" s="269"/>
    </row>
    <row r="48" spans="1:4" ht="13.2">
      <c r="A48" s="17" t="s">
        <v>1191</v>
      </c>
      <c r="B48" s="18">
        <v>300</v>
      </c>
      <c r="C48" s="899"/>
      <c r="D48" s="269"/>
    </row>
    <row r="49" spans="1:4" ht="13.2">
      <c r="A49" s="17" t="s">
        <v>113</v>
      </c>
      <c r="B49" s="18">
        <v>300</v>
      </c>
      <c r="C49" s="899"/>
      <c r="D49" s="269"/>
    </row>
    <row r="50" spans="1:4" ht="13.2">
      <c r="A50" s="17" t="s">
        <v>1192</v>
      </c>
      <c r="B50" s="18">
        <v>300</v>
      </c>
      <c r="C50" s="899"/>
      <c r="D50" s="269"/>
    </row>
    <row r="51" spans="1:4" ht="13.2">
      <c r="A51" s="17" t="s">
        <v>114</v>
      </c>
      <c r="B51" s="18">
        <v>300</v>
      </c>
      <c r="C51" s="899"/>
      <c r="D51" s="269"/>
    </row>
    <row r="52" spans="1:4" ht="13.2">
      <c r="A52" s="17" t="s">
        <v>1193</v>
      </c>
      <c r="B52" s="18">
        <v>300</v>
      </c>
      <c r="C52" s="899"/>
      <c r="D52" s="269"/>
    </row>
    <row r="53" spans="1:4" ht="13.2">
      <c r="A53" s="17" t="s">
        <v>115</v>
      </c>
      <c r="B53" s="18">
        <v>300</v>
      </c>
      <c r="C53" s="899"/>
      <c r="D53" s="269"/>
    </row>
    <row r="54" spans="1:4" ht="13.2">
      <c r="A54" s="17" t="s">
        <v>116</v>
      </c>
      <c r="B54" s="18">
        <v>300</v>
      </c>
      <c r="C54" s="899"/>
      <c r="D54" s="269"/>
    </row>
    <row r="55" spans="1:4" ht="13.2">
      <c r="A55" s="17" t="s">
        <v>117</v>
      </c>
      <c r="B55" s="18">
        <v>300</v>
      </c>
      <c r="C55" s="899"/>
      <c r="D55" s="269"/>
    </row>
    <row r="56" spans="1:4" ht="13.2">
      <c r="A56" s="17" t="s">
        <v>118</v>
      </c>
      <c r="B56" s="18">
        <v>300</v>
      </c>
      <c r="C56" s="899"/>
      <c r="D56" s="269"/>
    </row>
    <row r="57" spans="1:4" ht="13.2">
      <c r="A57" s="17" t="s">
        <v>119</v>
      </c>
      <c r="B57" s="18">
        <v>300</v>
      </c>
      <c r="C57" s="899"/>
      <c r="D57" s="269"/>
    </row>
    <row r="58" spans="1:4" ht="13.2">
      <c r="A58" s="17" t="s">
        <v>120</v>
      </c>
      <c r="B58" s="18">
        <v>300</v>
      </c>
      <c r="C58" s="899"/>
      <c r="D58" s="269"/>
    </row>
    <row r="59" spans="1:4" ht="13.2">
      <c r="A59" s="17" t="s">
        <v>121</v>
      </c>
      <c r="B59" s="18">
        <v>300</v>
      </c>
      <c r="C59" s="899"/>
      <c r="D59" s="269"/>
    </row>
    <row r="60" spans="1:4" ht="13.2">
      <c r="A60" s="17" t="s">
        <v>122</v>
      </c>
      <c r="B60" s="18">
        <v>300</v>
      </c>
      <c r="C60" s="899"/>
      <c r="D60" s="269"/>
    </row>
    <row r="61" spans="1:4" ht="13.2">
      <c r="A61" s="17" t="s">
        <v>123</v>
      </c>
      <c r="B61" s="18">
        <v>300</v>
      </c>
      <c r="C61" s="899"/>
      <c r="D61" s="269"/>
    </row>
    <row r="62" spans="1:4" ht="13.2">
      <c r="A62" s="17" t="s">
        <v>124</v>
      </c>
      <c r="B62" s="18">
        <v>300</v>
      </c>
      <c r="C62" s="899"/>
      <c r="D62" s="269"/>
    </row>
    <row r="63" spans="1:4" ht="13.2">
      <c r="A63" s="17" t="s">
        <v>125</v>
      </c>
      <c r="B63" s="18">
        <v>240</v>
      </c>
      <c r="C63" s="899"/>
      <c r="D63" s="269"/>
    </row>
    <row r="64" spans="1:4" ht="13.2">
      <c r="A64" s="17" t="s">
        <v>126</v>
      </c>
      <c r="B64" s="18">
        <v>240</v>
      </c>
      <c r="C64" s="899"/>
      <c r="D64" s="269"/>
    </row>
    <row r="65" spans="1:4" ht="13.2">
      <c r="A65" s="17" t="s">
        <v>127</v>
      </c>
      <c r="B65" s="18">
        <v>240</v>
      </c>
      <c r="C65" s="899"/>
      <c r="D65" s="269"/>
    </row>
    <row r="66" spans="1:4" ht="13.2">
      <c r="A66" s="17" t="s">
        <v>128</v>
      </c>
      <c r="B66" s="18">
        <v>240</v>
      </c>
      <c r="C66" s="899"/>
      <c r="D66" s="269"/>
    </row>
    <row r="67" spans="1:4" ht="13.2">
      <c r="A67" s="17" t="s">
        <v>1194</v>
      </c>
      <c r="B67" s="18">
        <v>240</v>
      </c>
      <c r="C67" s="899"/>
      <c r="D67" s="269"/>
    </row>
    <row r="68" spans="1:4" ht="13.2">
      <c r="A68" s="17" t="s">
        <v>129</v>
      </c>
      <c r="B68" s="18">
        <v>240</v>
      </c>
      <c r="C68" s="899"/>
      <c r="D68" s="269"/>
    </row>
    <row r="69" spans="1:4" ht="13.2">
      <c r="A69" s="17" t="s">
        <v>1195</v>
      </c>
      <c r="B69" s="18">
        <v>240</v>
      </c>
      <c r="C69" s="899"/>
      <c r="D69" s="269"/>
    </row>
    <row r="70" spans="1:4" ht="13.2">
      <c r="A70" s="17" t="s">
        <v>130</v>
      </c>
      <c r="B70" s="18">
        <v>240</v>
      </c>
      <c r="C70" s="899"/>
      <c r="D70" s="269"/>
    </row>
    <row r="71" spans="1:4" ht="13.2">
      <c r="A71" s="17" t="s">
        <v>1196</v>
      </c>
      <c r="B71" s="18">
        <v>240</v>
      </c>
      <c r="C71" s="899"/>
      <c r="D71" s="269"/>
    </row>
    <row r="72" spans="1:4" ht="13.2">
      <c r="A72" s="17" t="s">
        <v>131</v>
      </c>
      <c r="B72" s="18">
        <v>240</v>
      </c>
      <c r="C72" s="899"/>
      <c r="D72" s="269"/>
    </row>
    <row r="73" spans="1:4" ht="13.2">
      <c r="A73" s="17" t="s">
        <v>132</v>
      </c>
      <c r="B73" s="18">
        <v>240</v>
      </c>
      <c r="C73" s="899"/>
      <c r="D73" s="269"/>
    </row>
    <row r="74" spans="1:4" ht="13.2">
      <c r="A74" s="17" t="s">
        <v>133</v>
      </c>
      <c r="B74" s="18">
        <v>240</v>
      </c>
      <c r="C74" s="899"/>
      <c r="D74" s="269"/>
    </row>
    <row r="75" spans="1:4" ht="13.2">
      <c r="A75" s="17" t="s">
        <v>134</v>
      </c>
      <c r="B75" s="18">
        <v>240</v>
      </c>
      <c r="C75" s="899"/>
      <c r="D75" s="269"/>
    </row>
    <row r="76" spans="1:4" ht="13.2">
      <c r="A76" s="17" t="s">
        <v>135</v>
      </c>
      <c r="B76" s="18">
        <v>240</v>
      </c>
      <c r="C76" s="899"/>
      <c r="D76" s="269"/>
    </row>
    <row r="77" spans="1:4" ht="13.2">
      <c r="A77" s="17" t="s">
        <v>136</v>
      </c>
      <c r="B77" s="18">
        <v>240</v>
      </c>
      <c r="C77" s="899"/>
      <c r="D77" s="269"/>
    </row>
    <row r="78" spans="1:4" ht="13.2">
      <c r="A78" s="17" t="s">
        <v>137</v>
      </c>
      <c r="B78" s="18">
        <v>240</v>
      </c>
      <c r="C78" s="899"/>
      <c r="D78" s="269"/>
    </row>
    <row r="79" spans="1:4" ht="13.2">
      <c r="A79" s="17" t="s">
        <v>138</v>
      </c>
      <c r="B79" s="18">
        <v>240</v>
      </c>
      <c r="C79" s="899"/>
      <c r="D79" s="269"/>
    </row>
    <row r="80" spans="1:4" ht="13.2">
      <c r="A80" s="17" t="s">
        <v>139</v>
      </c>
      <c r="B80" s="18">
        <v>240</v>
      </c>
      <c r="C80" s="899"/>
      <c r="D80" s="269"/>
    </row>
    <row r="81" spans="1:4" ht="13.2">
      <c r="A81" s="17" t="s">
        <v>140</v>
      </c>
      <c r="B81" s="18">
        <v>240</v>
      </c>
      <c r="C81" s="899"/>
      <c r="D81" s="269"/>
    </row>
    <row r="82" spans="1:4" ht="13.2">
      <c r="A82" s="17" t="s">
        <v>141</v>
      </c>
      <c r="B82" s="18">
        <v>240</v>
      </c>
      <c r="C82" s="899"/>
      <c r="D82" s="269"/>
    </row>
    <row r="83" spans="1:4" ht="13.2">
      <c r="A83" s="17" t="s">
        <v>142</v>
      </c>
      <c r="B83" s="18">
        <v>240</v>
      </c>
      <c r="C83" s="899"/>
      <c r="D83" s="269"/>
    </row>
    <row r="84" spans="1:4" ht="13.2">
      <c r="A84" s="17" t="s">
        <v>143</v>
      </c>
      <c r="B84" s="18">
        <v>240</v>
      </c>
      <c r="C84" s="899"/>
      <c r="D84" s="269"/>
    </row>
    <row r="85" spans="1:4" ht="13.2">
      <c r="A85" s="17" t="s">
        <v>144</v>
      </c>
      <c r="B85" s="18">
        <v>240</v>
      </c>
      <c r="C85" s="899"/>
      <c r="D85" s="269"/>
    </row>
    <row r="86" spans="1:4" ht="13.2">
      <c r="A86" s="17" t="s">
        <v>1197</v>
      </c>
      <c r="B86" s="18">
        <v>240</v>
      </c>
      <c r="C86" s="899"/>
      <c r="D86" s="269"/>
    </row>
    <row r="87" spans="1:4" ht="13.2">
      <c r="A87" s="17" t="s">
        <v>145</v>
      </c>
      <c r="B87" s="18">
        <v>240</v>
      </c>
      <c r="C87" s="899"/>
      <c r="D87" s="269"/>
    </row>
    <row r="88" spans="1:4" ht="13.2">
      <c r="A88" s="17" t="s">
        <v>1198</v>
      </c>
      <c r="B88" s="18">
        <v>240</v>
      </c>
      <c r="C88" s="899"/>
      <c r="D88" s="269"/>
    </row>
    <row r="89" spans="1:4" ht="13.2">
      <c r="A89" s="17" t="s">
        <v>146</v>
      </c>
      <c r="B89" s="18">
        <v>240</v>
      </c>
      <c r="C89" s="899"/>
      <c r="D89" s="269"/>
    </row>
    <row r="90" spans="1:4" ht="13.2">
      <c r="A90" s="17" t="s">
        <v>1199</v>
      </c>
      <c r="B90" s="18">
        <v>240</v>
      </c>
      <c r="C90" s="899"/>
      <c r="D90" s="269"/>
    </row>
    <row r="91" spans="1:4" ht="13.2">
      <c r="A91" s="17" t="s">
        <v>147</v>
      </c>
      <c r="B91" s="18">
        <v>240</v>
      </c>
      <c r="C91" s="899"/>
      <c r="D91" s="269"/>
    </row>
    <row r="92" spans="1:4" ht="13.2">
      <c r="A92" s="17" t="s">
        <v>148</v>
      </c>
      <c r="B92" s="18">
        <v>240</v>
      </c>
      <c r="C92" s="899"/>
      <c r="D92" s="269"/>
    </row>
    <row r="93" spans="1:4" ht="13.2">
      <c r="A93" s="17" t="s">
        <v>149</v>
      </c>
      <c r="B93" s="18">
        <v>240</v>
      </c>
      <c r="C93" s="899"/>
      <c r="D93" s="269"/>
    </row>
    <row r="94" spans="1:4" ht="13.2">
      <c r="A94" s="17" t="s">
        <v>150</v>
      </c>
      <c r="B94" s="18">
        <v>240</v>
      </c>
      <c r="C94" s="899"/>
      <c r="D94" s="269"/>
    </row>
    <row r="95" spans="1:4" ht="13.2">
      <c r="A95" s="17" t="s">
        <v>151</v>
      </c>
      <c r="B95" s="18">
        <v>240</v>
      </c>
      <c r="C95" s="899"/>
      <c r="D95" s="269"/>
    </row>
    <row r="96" spans="1:4" ht="13.2">
      <c r="A96" s="17" t="s">
        <v>152</v>
      </c>
      <c r="B96" s="18">
        <v>240</v>
      </c>
      <c r="C96" s="899"/>
      <c r="D96" s="269"/>
    </row>
    <row r="97" spans="1:4" ht="13.2">
      <c r="A97" s="17" t="s">
        <v>153</v>
      </c>
      <c r="B97" s="18">
        <v>240</v>
      </c>
      <c r="C97" s="899"/>
      <c r="D97" s="269"/>
    </row>
    <row r="98" spans="1:4" ht="13.2">
      <c r="A98" s="17" t="s">
        <v>154</v>
      </c>
      <c r="B98" s="18">
        <v>240</v>
      </c>
      <c r="C98" s="899"/>
      <c r="D98" s="269"/>
    </row>
    <row r="99" spans="1:4" ht="13.2">
      <c r="A99" s="17" t="s">
        <v>155</v>
      </c>
      <c r="B99" s="18">
        <v>240</v>
      </c>
      <c r="C99" s="899"/>
      <c r="D99" s="269"/>
    </row>
    <row r="100" spans="1:4" ht="13.2">
      <c r="A100" s="17" t="s">
        <v>156</v>
      </c>
      <c r="B100" s="18">
        <v>240</v>
      </c>
      <c r="C100" s="899"/>
      <c r="D100" s="269"/>
    </row>
    <row r="101" spans="1:4" ht="13.2">
      <c r="A101" s="17" t="s">
        <v>157</v>
      </c>
      <c r="B101" s="18">
        <v>240</v>
      </c>
      <c r="C101" s="899"/>
      <c r="D101" s="269"/>
    </row>
    <row r="102" spans="1:4" ht="13.2">
      <c r="A102" s="17" t="s">
        <v>158</v>
      </c>
      <c r="B102" s="18">
        <v>240</v>
      </c>
      <c r="C102" s="899"/>
      <c r="D102" s="269"/>
    </row>
    <row r="103" spans="1:4" ht="13.2">
      <c r="A103" s="17" t="s">
        <v>159</v>
      </c>
      <c r="B103" s="18">
        <v>240</v>
      </c>
      <c r="C103" s="899"/>
      <c r="D103" s="269"/>
    </row>
    <row r="104" spans="1:4" ht="13.2">
      <c r="A104" s="17" t="s">
        <v>160</v>
      </c>
      <c r="B104" s="18">
        <v>240</v>
      </c>
      <c r="C104" s="899"/>
      <c r="D104" s="269"/>
    </row>
    <row r="105" spans="1:4" ht="13.2">
      <c r="A105" s="17" t="s">
        <v>1200</v>
      </c>
      <c r="B105" s="18">
        <v>240</v>
      </c>
      <c r="C105" s="899"/>
      <c r="D105" s="269"/>
    </row>
    <row r="106" spans="1:4" ht="13.2">
      <c r="A106" s="17" t="s">
        <v>161</v>
      </c>
      <c r="B106" s="18">
        <v>240</v>
      </c>
      <c r="C106" s="899"/>
      <c r="D106" s="269"/>
    </row>
    <row r="107" spans="1:4" ht="13.2">
      <c r="A107" s="17" t="s">
        <v>1201</v>
      </c>
      <c r="B107" s="18">
        <v>240</v>
      </c>
      <c r="C107" s="899"/>
      <c r="D107" s="269"/>
    </row>
    <row r="108" spans="1:4" ht="13.2">
      <c r="A108" s="17" t="s">
        <v>162</v>
      </c>
      <c r="B108" s="18">
        <v>240</v>
      </c>
      <c r="C108" s="899"/>
      <c r="D108" s="269"/>
    </row>
    <row r="109" spans="1:4" ht="13.2">
      <c r="A109" s="17" t="s">
        <v>1202</v>
      </c>
      <c r="B109" s="18">
        <v>240</v>
      </c>
      <c r="C109" s="899"/>
      <c r="D109" s="269"/>
    </row>
    <row r="110" spans="1:4" ht="13.2">
      <c r="A110" s="17" t="s">
        <v>163</v>
      </c>
      <c r="B110" s="18">
        <v>240</v>
      </c>
      <c r="C110" s="899"/>
      <c r="D110" s="269"/>
    </row>
    <row r="111" spans="1:4" ht="13.2">
      <c r="A111" s="17" t="s">
        <v>164</v>
      </c>
      <c r="B111" s="18">
        <v>240</v>
      </c>
      <c r="C111" s="899"/>
      <c r="D111" s="269"/>
    </row>
    <row r="112" spans="1:4" ht="13.2">
      <c r="A112" s="17" t="s">
        <v>165</v>
      </c>
      <c r="B112" s="18">
        <v>240</v>
      </c>
      <c r="C112" s="899"/>
      <c r="D112" s="269"/>
    </row>
    <row r="113" spans="1:4" ht="13.2">
      <c r="A113" s="17" t="s">
        <v>166</v>
      </c>
      <c r="B113" s="18">
        <v>240</v>
      </c>
      <c r="C113" s="899"/>
      <c r="D113" s="269"/>
    </row>
    <row r="114" spans="1:4" ht="13.2">
      <c r="A114" s="17" t="s">
        <v>167</v>
      </c>
      <c r="B114" s="18">
        <v>240</v>
      </c>
      <c r="C114" s="899"/>
      <c r="D114" s="269"/>
    </row>
    <row r="115" spans="1:4" ht="13.2">
      <c r="A115" s="17" t="s">
        <v>168</v>
      </c>
      <c r="B115" s="18">
        <v>240</v>
      </c>
      <c r="C115" s="899"/>
      <c r="D115" s="269"/>
    </row>
    <row r="116" spans="1:4" ht="13.2">
      <c r="A116" s="17" t="s">
        <v>169</v>
      </c>
      <c r="B116" s="18">
        <v>240</v>
      </c>
      <c r="C116" s="899"/>
      <c r="D116" s="269"/>
    </row>
    <row r="117" spans="1:4" ht="13.2">
      <c r="A117" s="17" t="s">
        <v>170</v>
      </c>
      <c r="B117" s="18">
        <v>240</v>
      </c>
      <c r="C117" s="899"/>
      <c r="D117" s="269"/>
    </row>
    <row r="118" spans="1:4" ht="13.2">
      <c r="A118" s="17" t="s">
        <v>171</v>
      </c>
      <c r="B118" s="18">
        <v>240</v>
      </c>
      <c r="C118" s="899"/>
      <c r="D118" s="269"/>
    </row>
    <row r="119" spans="1:4" ht="13.2">
      <c r="A119" s="17" t="s">
        <v>172</v>
      </c>
      <c r="B119" s="18">
        <v>240</v>
      </c>
      <c r="C119" s="899"/>
      <c r="D119" s="269"/>
    </row>
    <row r="120" spans="1:4" ht="13.2">
      <c r="A120" s="17" t="s">
        <v>173</v>
      </c>
      <c r="B120" s="18">
        <v>180</v>
      </c>
      <c r="C120" s="899"/>
      <c r="D120" s="269"/>
    </row>
    <row r="121" spans="1:4" ht="13.2">
      <c r="A121" s="17" t="s">
        <v>174</v>
      </c>
      <c r="B121" s="18">
        <v>180</v>
      </c>
      <c r="C121" s="899"/>
      <c r="D121" s="269"/>
    </row>
    <row r="122" spans="1:4" ht="13.2">
      <c r="A122" s="17" t="s">
        <v>175</v>
      </c>
      <c r="B122" s="18">
        <v>180</v>
      </c>
      <c r="C122" s="899"/>
      <c r="D122" s="269"/>
    </row>
    <row r="123" spans="1:4" ht="13.2">
      <c r="A123" s="17" t="s">
        <v>176</v>
      </c>
      <c r="B123" s="18">
        <v>180</v>
      </c>
      <c r="C123" s="899"/>
      <c r="D123" s="269"/>
    </row>
    <row r="124" spans="1:4" ht="13.2">
      <c r="A124" s="17" t="s">
        <v>1203</v>
      </c>
      <c r="B124" s="18">
        <v>180</v>
      </c>
      <c r="C124" s="899"/>
      <c r="D124" s="269"/>
    </row>
    <row r="125" spans="1:4" ht="13.2">
      <c r="A125" s="17" t="s">
        <v>177</v>
      </c>
      <c r="B125" s="18">
        <v>180</v>
      </c>
      <c r="C125" s="899"/>
      <c r="D125" s="269"/>
    </row>
    <row r="126" spans="1:4" ht="13.2">
      <c r="A126" s="17" t="s">
        <v>1204</v>
      </c>
      <c r="B126" s="18">
        <v>180</v>
      </c>
      <c r="C126" s="899"/>
      <c r="D126" s="269"/>
    </row>
    <row r="127" spans="1:4" ht="13.2">
      <c r="A127" s="17" t="s">
        <v>178</v>
      </c>
      <c r="B127" s="18">
        <v>180</v>
      </c>
      <c r="C127" s="899"/>
      <c r="D127" s="269"/>
    </row>
    <row r="128" spans="1:4" ht="13.2">
      <c r="A128" s="17" t="s">
        <v>1205</v>
      </c>
      <c r="B128" s="18">
        <v>180</v>
      </c>
      <c r="C128" s="899"/>
      <c r="D128" s="269"/>
    </row>
    <row r="129" spans="1:4" ht="13.2">
      <c r="A129" s="17" t="s">
        <v>179</v>
      </c>
      <c r="B129" s="18">
        <v>180</v>
      </c>
      <c r="C129" s="899"/>
      <c r="D129" s="269"/>
    </row>
    <row r="130" spans="1:4" ht="13.2">
      <c r="A130" s="17" t="s">
        <v>180</v>
      </c>
      <c r="B130" s="18">
        <v>180</v>
      </c>
      <c r="C130" s="899"/>
      <c r="D130" s="269"/>
    </row>
    <row r="131" spans="1:4" ht="13.2">
      <c r="A131" s="17" t="s">
        <v>181</v>
      </c>
      <c r="B131" s="18">
        <v>180</v>
      </c>
      <c r="C131" s="899"/>
      <c r="D131" s="269"/>
    </row>
    <row r="132" spans="1:4" ht="13.2">
      <c r="A132" s="17" t="s">
        <v>182</v>
      </c>
      <c r="B132" s="18">
        <v>180</v>
      </c>
      <c r="C132" s="899"/>
      <c r="D132" s="269"/>
    </row>
    <row r="133" spans="1:4" ht="13.2">
      <c r="A133" s="17" t="s">
        <v>183</v>
      </c>
      <c r="B133" s="18">
        <v>180</v>
      </c>
      <c r="C133" s="899"/>
      <c r="D133" s="269"/>
    </row>
    <row r="134" spans="1:4" ht="13.2">
      <c r="A134" s="17" t="s">
        <v>184</v>
      </c>
      <c r="B134" s="18">
        <v>180</v>
      </c>
      <c r="C134" s="899"/>
      <c r="D134" s="269"/>
    </row>
    <row r="135" spans="1:4" ht="13.2">
      <c r="A135" s="17" t="s">
        <v>185</v>
      </c>
      <c r="B135" s="18">
        <v>180</v>
      </c>
      <c r="C135" s="899"/>
      <c r="D135" s="269"/>
    </row>
    <row r="136" spans="1:4" ht="13.2">
      <c r="A136" s="17" t="s">
        <v>186</v>
      </c>
      <c r="B136" s="18">
        <v>180</v>
      </c>
      <c r="C136" s="899"/>
      <c r="D136" s="269"/>
    </row>
    <row r="137" spans="1:4" ht="13.2">
      <c r="A137" s="17" t="s">
        <v>187</v>
      </c>
      <c r="B137" s="18">
        <v>180</v>
      </c>
      <c r="C137" s="899"/>
      <c r="D137" s="269"/>
    </row>
    <row r="138" spans="1:4" ht="13.2">
      <c r="A138" s="17" t="s">
        <v>188</v>
      </c>
      <c r="B138" s="18">
        <v>180</v>
      </c>
      <c r="C138" s="899"/>
      <c r="D138" s="269"/>
    </row>
    <row r="139" spans="1:4" ht="13.2">
      <c r="A139" s="17" t="s">
        <v>189</v>
      </c>
      <c r="B139" s="18">
        <v>180</v>
      </c>
      <c r="C139" s="899"/>
      <c r="D139" s="269"/>
    </row>
    <row r="140" spans="1:4" ht="13.2">
      <c r="A140" s="17" t="s">
        <v>190</v>
      </c>
      <c r="B140" s="18">
        <v>180</v>
      </c>
      <c r="C140" s="899"/>
      <c r="D140" s="269"/>
    </row>
    <row r="141" spans="1:4" ht="13.2">
      <c r="A141" s="17" t="s">
        <v>191</v>
      </c>
      <c r="B141" s="18">
        <v>180</v>
      </c>
      <c r="C141" s="899"/>
      <c r="D141" s="269"/>
    </row>
    <row r="142" spans="1:4" ht="13.2">
      <c r="A142" s="17" t="s">
        <v>192</v>
      </c>
      <c r="B142" s="18">
        <v>180</v>
      </c>
      <c r="C142" s="899"/>
      <c r="D142" s="269"/>
    </row>
    <row r="143" spans="1:4" ht="13.2">
      <c r="A143" s="17" t="s">
        <v>1206</v>
      </c>
      <c r="B143" s="18">
        <v>180</v>
      </c>
      <c r="C143" s="899"/>
      <c r="D143" s="269"/>
    </row>
    <row r="144" spans="1:4" ht="13.2">
      <c r="A144" s="17" t="s">
        <v>193</v>
      </c>
      <c r="B144" s="18">
        <v>180</v>
      </c>
      <c r="C144" s="899"/>
      <c r="D144" s="269"/>
    </row>
    <row r="145" spans="1:4" ht="13.2">
      <c r="A145" s="17" t="s">
        <v>1207</v>
      </c>
      <c r="B145" s="18">
        <v>180</v>
      </c>
      <c r="C145" s="899"/>
      <c r="D145" s="269"/>
    </row>
    <row r="146" spans="1:4" ht="13.2">
      <c r="A146" s="17" t="s">
        <v>194</v>
      </c>
      <c r="B146" s="18">
        <v>180</v>
      </c>
      <c r="C146" s="899"/>
      <c r="D146" s="269"/>
    </row>
    <row r="147" spans="1:4" ht="13.2">
      <c r="A147" s="17" t="s">
        <v>1208</v>
      </c>
      <c r="B147" s="18">
        <v>180</v>
      </c>
      <c r="C147" s="899"/>
      <c r="D147" s="269"/>
    </row>
    <row r="148" spans="1:4" ht="13.2">
      <c r="A148" s="17" t="s">
        <v>195</v>
      </c>
      <c r="B148" s="18">
        <v>180</v>
      </c>
      <c r="C148" s="899"/>
      <c r="D148" s="269"/>
    </row>
    <row r="149" spans="1:4" ht="13.2">
      <c r="A149" s="17" t="s">
        <v>196</v>
      </c>
      <c r="B149" s="18">
        <v>180</v>
      </c>
      <c r="C149" s="899"/>
      <c r="D149" s="269"/>
    </row>
    <row r="150" spans="1:4" ht="13.2">
      <c r="A150" s="17" t="s">
        <v>197</v>
      </c>
      <c r="B150" s="18">
        <v>180</v>
      </c>
      <c r="C150" s="899"/>
      <c r="D150" s="269"/>
    </row>
    <row r="151" spans="1:4" ht="13.2">
      <c r="A151" s="17" t="s">
        <v>198</v>
      </c>
      <c r="B151" s="18">
        <v>180</v>
      </c>
      <c r="C151" s="899"/>
      <c r="D151" s="269"/>
    </row>
    <row r="152" spans="1:4" ht="13.2">
      <c r="A152" s="17" t="s">
        <v>199</v>
      </c>
      <c r="B152" s="18">
        <v>180</v>
      </c>
      <c r="C152" s="899"/>
      <c r="D152" s="269"/>
    </row>
    <row r="153" spans="1:4" ht="13.2">
      <c r="A153" s="17" t="s">
        <v>200</v>
      </c>
      <c r="B153" s="18">
        <v>180</v>
      </c>
      <c r="C153" s="899"/>
      <c r="D153" s="269"/>
    </row>
    <row r="154" spans="1:4" ht="13.2">
      <c r="A154" s="17" t="s">
        <v>201</v>
      </c>
      <c r="B154" s="18">
        <v>180</v>
      </c>
      <c r="C154" s="899"/>
      <c r="D154" s="269"/>
    </row>
    <row r="155" spans="1:4" ht="13.2">
      <c r="A155" s="17" t="s">
        <v>202</v>
      </c>
      <c r="B155" s="18">
        <v>180</v>
      </c>
      <c r="C155" s="899"/>
      <c r="D155" s="269"/>
    </row>
    <row r="156" spans="1:4" ht="13.2">
      <c r="A156" s="17" t="s">
        <v>203</v>
      </c>
      <c r="B156" s="18">
        <v>180</v>
      </c>
      <c r="C156" s="899"/>
      <c r="D156" s="269"/>
    </row>
    <row r="157" spans="1:4" ht="13.2">
      <c r="A157" s="17" t="s">
        <v>204</v>
      </c>
      <c r="B157" s="18">
        <v>180</v>
      </c>
      <c r="C157" s="899"/>
      <c r="D157" s="269"/>
    </row>
    <row r="158" spans="1:4" ht="13.2">
      <c r="A158" s="17" t="s">
        <v>205</v>
      </c>
      <c r="B158" s="18">
        <v>180</v>
      </c>
      <c r="C158" s="899"/>
      <c r="D158" s="269"/>
    </row>
    <row r="159" spans="1:4" ht="13.2">
      <c r="A159" s="17" t="s">
        <v>206</v>
      </c>
      <c r="B159" s="18">
        <v>180</v>
      </c>
      <c r="C159" s="899"/>
      <c r="D159" s="269"/>
    </row>
    <row r="160" spans="1:4" ht="13.2">
      <c r="A160" s="17" t="s">
        <v>207</v>
      </c>
      <c r="B160" s="18">
        <v>180</v>
      </c>
      <c r="C160" s="899"/>
      <c r="D160" s="269"/>
    </row>
    <row r="161" spans="1:4" ht="13.2">
      <c r="A161" s="17" t="s">
        <v>208</v>
      </c>
      <c r="B161" s="18">
        <v>180</v>
      </c>
      <c r="C161" s="899"/>
      <c r="D161" s="269"/>
    </row>
    <row r="162" spans="1:4" ht="13.2">
      <c r="A162" s="17" t="s">
        <v>1184</v>
      </c>
      <c r="B162" s="18">
        <v>180</v>
      </c>
      <c r="C162" s="899"/>
      <c r="D162" s="269"/>
    </row>
    <row r="163" spans="1:4" ht="13.2">
      <c r="A163" s="17" t="s">
        <v>209</v>
      </c>
      <c r="B163" s="18">
        <v>180</v>
      </c>
      <c r="C163" s="899"/>
      <c r="D163" s="269"/>
    </row>
    <row r="164" spans="1:4" ht="13.2">
      <c r="A164" s="17" t="s">
        <v>1183</v>
      </c>
      <c r="B164" s="18">
        <v>180</v>
      </c>
      <c r="C164" s="899"/>
      <c r="D164" s="269"/>
    </row>
    <row r="165" spans="1:4" ht="13.2">
      <c r="A165" s="17" t="s">
        <v>210</v>
      </c>
      <c r="B165" s="18">
        <v>180</v>
      </c>
      <c r="C165" s="899"/>
      <c r="D165" s="269"/>
    </row>
    <row r="166" spans="1:4" ht="13.2">
      <c r="A166" s="17" t="s">
        <v>1209</v>
      </c>
      <c r="B166" s="18">
        <v>180</v>
      </c>
      <c r="C166" s="899"/>
      <c r="D166" s="269"/>
    </row>
    <row r="167" spans="1:4" ht="13.2">
      <c r="A167" s="17" t="s">
        <v>211</v>
      </c>
      <c r="B167" s="18">
        <v>180</v>
      </c>
      <c r="C167" s="899"/>
      <c r="D167" s="269"/>
    </row>
    <row r="168" spans="1:4" ht="13.2">
      <c r="A168" s="17" t="s">
        <v>212</v>
      </c>
      <c r="B168" s="18">
        <v>180</v>
      </c>
      <c r="C168" s="899"/>
      <c r="D168" s="269"/>
    </row>
    <row r="169" spans="1:4" ht="13.2">
      <c r="A169" s="17" t="s">
        <v>213</v>
      </c>
      <c r="B169" s="18">
        <v>180</v>
      </c>
      <c r="C169" s="899"/>
      <c r="D169" s="269"/>
    </row>
    <row r="170" spans="1:4" ht="13.2">
      <c r="A170" s="17" t="s">
        <v>214</v>
      </c>
      <c r="B170" s="18">
        <v>180</v>
      </c>
      <c r="C170" s="899"/>
      <c r="D170" s="269"/>
    </row>
    <row r="171" spans="1:4" ht="13.2">
      <c r="A171" s="17" t="s">
        <v>215</v>
      </c>
      <c r="B171" s="18">
        <v>180</v>
      </c>
      <c r="C171" s="899"/>
      <c r="D171" s="269"/>
    </row>
    <row r="172" spans="1:4" ht="13.2">
      <c r="A172" s="17" t="s">
        <v>216</v>
      </c>
      <c r="B172" s="18">
        <v>180</v>
      </c>
      <c r="C172" s="899"/>
      <c r="D172" s="269"/>
    </row>
    <row r="173" spans="1:4" ht="13.2">
      <c r="A173" s="17" t="s">
        <v>217</v>
      </c>
      <c r="B173" s="18">
        <v>180</v>
      </c>
      <c r="C173" s="899"/>
      <c r="D173" s="269"/>
    </row>
    <row r="174" spans="1:4" ht="13.2">
      <c r="A174" s="17" t="s">
        <v>218</v>
      </c>
      <c r="B174" s="18">
        <v>180</v>
      </c>
      <c r="C174" s="899"/>
      <c r="D174" s="269"/>
    </row>
    <row r="175" spans="1:4" ht="13.2">
      <c r="A175" s="17" t="s">
        <v>219</v>
      </c>
      <c r="B175" s="18">
        <v>180</v>
      </c>
      <c r="C175" s="899"/>
      <c r="D175" s="269"/>
    </row>
    <row r="176" spans="1:4" ht="13.2">
      <c r="A176" s="17" t="s">
        <v>220</v>
      </c>
      <c r="B176" s="18">
        <v>180</v>
      </c>
      <c r="C176" s="899"/>
      <c r="D176" s="269"/>
    </row>
    <row r="177" spans="1:4" ht="13.2">
      <c r="A177" s="17" t="s">
        <v>221</v>
      </c>
      <c r="B177" s="18">
        <v>210</v>
      </c>
      <c r="C177" s="899"/>
      <c r="D177" s="269"/>
    </row>
    <row r="178" spans="1:4" ht="13.2">
      <c r="A178" s="17" t="s">
        <v>222</v>
      </c>
      <c r="B178" s="18">
        <v>210</v>
      </c>
      <c r="C178" s="899"/>
      <c r="D178" s="269"/>
    </row>
    <row r="179" spans="1:4" ht="13.2">
      <c r="A179" s="17" t="s">
        <v>223</v>
      </c>
      <c r="B179" s="18">
        <v>210</v>
      </c>
      <c r="C179" s="899"/>
      <c r="D179" s="269"/>
    </row>
    <row r="180" spans="1:4" ht="13.2">
      <c r="A180" s="17" t="s">
        <v>224</v>
      </c>
      <c r="B180" s="18">
        <v>210</v>
      </c>
      <c r="C180" s="899"/>
      <c r="D180" s="269"/>
    </row>
    <row r="181" spans="1:4" ht="13.2">
      <c r="A181" s="17" t="s">
        <v>1210</v>
      </c>
      <c r="B181" s="18">
        <v>210</v>
      </c>
      <c r="C181" s="899"/>
      <c r="D181" s="269"/>
    </row>
    <row r="182" spans="1:4" ht="13.2">
      <c r="A182" s="17" t="s">
        <v>225</v>
      </c>
      <c r="B182" s="18">
        <v>210</v>
      </c>
      <c r="C182" s="899"/>
      <c r="D182" s="269"/>
    </row>
    <row r="183" spans="1:4" ht="13.2">
      <c r="A183" s="17" t="s">
        <v>1211</v>
      </c>
      <c r="B183" s="18">
        <v>210</v>
      </c>
      <c r="C183" s="899"/>
      <c r="D183" s="269"/>
    </row>
    <row r="184" spans="1:4" ht="13.2">
      <c r="A184" s="17" t="s">
        <v>226</v>
      </c>
      <c r="B184" s="18">
        <v>210</v>
      </c>
      <c r="C184" s="899"/>
      <c r="D184" s="269"/>
    </row>
    <row r="185" spans="1:4" ht="13.2">
      <c r="A185" s="17" t="s">
        <v>1212</v>
      </c>
      <c r="B185" s="18">
        <v>210</v>
      </c>
      <c r="C185" s="899"/>
      <c r="D185" s="269"/>
    </row>
    <row r="186" spans="1:4" ht="13.2">
      <c r="A186" s="17" t="s">
        <v>227</v>
      </c>
      <c r="B186" s="18">
        <v>210</v>
      </c>
      <c r="C186" s="899"/>
      <c r="D186" s="269"/>
    </row>
    <row r="187" spans="1:4" ht="13.2">
      <c r="A187" s="17" t="s">
        <v>228</v>
      </c>
      <c r="B187" s="18">
        <v>210</v>
      </c>
      <c r="C187" s="899"/>
      <c r="D187" s="269"/>
    </row>
    <row r="188" spans="1:4" ht="13.2">
      <c r="A188" s="17" t="s">
        <v>229</v>
      </c>
      <c r="B188" s="18">
        <v>210</v>
      </c>
      <c r="C188" s="899"/>
      <c r="D188" s="269"/>
    </row>
    <row r="189" spans="1:4" ht="13.2">
      <c r="A189" s="17" t="s">
        <v>230</v>
      </c>
      <c r="B189" s="18">
        <v>210</v>
      </c>
      <c r="C189" s="899"/>
      <c r="D189" s="269"/>
    </row>
    <row r="190" spans="1:4" ht="13.2">
      <c r="A190" s="17" t="s">
        <v>231</v>
      </c>
      <c r="B190" s="18">
        <v>210</v>
      </c>
      <c r="C190" s="899"/>
      <c r="D190" s="269"/>
    </row>
    <row r="191" spans="1:4" ht="13.2">
      <c r="A191" s="17" t="s">
        <v>232</v>
      </c>
      <c r="B191" s="18">
        <v>210</v>
      </c>
      <c r="C191" s="899"/>
      <c r="D191" s="269"/>
    </row>
    <row r="192" spans="1:4" ht="13.2">
      <c r="A192" s="17" t="s">
        <v>233</v>
      </c>
      <c r="B192" s="18">
        <v>210</v>
      </c>
      <c r="C192" s="899"/>
      <c r="D192" s="269"/>
    </row>
    <row r="193" spans="1:4" ht="13.2">
      <c r="A193" s="17" t="s">
        <v>234</v>
      </c>
      <c r="B193" s="18">
        <v>210</v>
      </c>
      <c r="C193" s="899"/>
      <c r="D193" s="269"/>
    </row>
    <row r="194" spans="1:4" ht="13.2">
      <c r="A194" s="17" t="s">
        <v>235</v>
      </c>
      <c r="B194" s="18">
        <v>210</v>
      </c>
      <c r="C194" s="899"/>
      <c r="D194" s="269"/>
    </row>
    <row r="195" spans="1:4" ht="13.2">
      <c r="A195" s="17" t="s">
        <v>236</v>
      </c>
      <c r="B195" s="18">
        <v>210</v>
      </c>
      <c r="C195" s="899"/>
      <c r="D195" s="269"/>
    </row>
    <row r="196" spans="1:4" ht="13.2">
      <c r="A196" s="17" t="s">
        <v>237</v>
      </c>
      <c r="B196" s="18">
        <v>210</v>
      </c>
      <c r="C196" s="899"/>
      <c r="D196" s="269"/>
    </row>
    <row r="197" spans="1:4" ht="13.2">
      <c r="A197" s="17" t="s">
        <v>238</v>
      </c>
      <c r="B197" s="18">
        <v>210</v>
      </c>
      <c r="C197" s="899"/>
      <c r="D197" s="269"/>
    </row>
    <row r="198" spans="1:4" ht="13.2">
      <c r="A198" s="17" t="s">
        <v>239</v>
      </c>
      <c r="B198" s="18">
        <v>210</v>
      </c>
      <c r="C198" s="899"/>
      <c r="D198" s="269"/>
    </row>
    <row r="199" spans="1:4" ht="13.2">
      <c r="A199" s="17" t="s">
        <v>240</v>
      </c>
      <c r="B199" s="18">
        <v>210</v>
      </c>
      <c r="C199" s="899"/>
      <c r="D199" s="269"/>
    </row>
    <row r="200" spans="1:4" ht="13.2">
      <c r="A200" s="17" t="s">
        <v>1213</v>
      </c>
      <c r="B200" s="18">
        <v>210</v>
      </c>
      <c r="C200" s="899"/>
      <c r="D200" s="269"/>
    </row>
    <row r="201" spans="1:4" ht="13.2">
      <c r="A201" s="17" t="s">
        <v>241</v>
      </c>
      <c r="B201" s="18">
        <v>210</v>
      </c>
      <c r="C201" s="899"/>
      <c r="D201" s="269"/>
    </row>
    <row r="202" spans="1:4" ht="13.2">
      <c r="A202" s="17" t="s">
        <v>1214</v>
      </c>
      <c r="B202" s="18">
        <v>210</v>
      </c>
      <c r="C202" s="899"/>
      <c r="D202" s="269"/>
    </row>
    <row r="203" spans="1:4" ht="13.2">
      <c r="A203" s="17" t="s">
        <v>242</v>
      </c>
      <c r="B203" s="18">
        <v>210</v>
      </c>
      <c r="C203" s="899"/>
      <c r="D203" s="269"/>
    </row>
    <row r="204" spans="1:4" ht="13.2">
      <c r="A204" s="17" t="s">
        <v>1215</v>
      </c>
      <c r="B204" s="18">
        <v>210</v>
      </c>
      <c r="C204" s="899"/>
      <c r="D204" s="269"/>
    </row>
    <row r="205" spans="1:4" ht="13.2">
      <c r="A205" s="17" t="s">
        <v>243</v>
      </c>
      <c r="B205" s="18">
        <v>210</v>
      </c>
      <c r="C205" s="899"/>
      <c r="D205" s="269"/>
    </row>
    <row r="206" spans="1:4" ht="13.2">
      <c r="A206" s="17" t="s">
        <v>244</v>
      </c>
      <c r="B206" s="18">
        <v>210</v>
      </c>
      <c r="C206" s="899"/>
      <c r="D206" s="269"/>
    </row>
    <row r="207" spans="1:4" ht="13.2">
      <c r="A207" s="17" t="s">
        <v>245</v>
      </c>
      <c r="B207" s="18">
        <v>210</v>
      </c>
      <c r="C207" s="899"/>
      <c r="D207" s="269"/>
    </row>
    <row r="208" spans="1:4" ht="13.2">
      <c r="A208" s="17" t="s">
        <v>246</v>
      </c>
      <c r="B208" s="18">
        <v>210</v>
      </c>
      <c r="C208" s="899"/>
      <c r="D208" s="269"/>
    </row>
    <row r="209" spans="1:4" ht="13.2">
      <c r="A209" s="17" t="s">
        <v>247</v>
      </c>
      <c r="B209" s="18">
        <v>210</v>
      </c>
      <c r="C209" s="899"/>
      <c r="D209" s="269"/>
    </row>
    <row r="210" spans="1:4" ht="13.2">
      <c r="A210" s="17" t="s">
        <v>248</v>
      </c>
      <c r="B210" s="18">
        <v>210</v>
      </c>
      <c r="C210" s="899"/>
      <c r="D210" s="269"/>
    </row>
    <row r="211" spans="1:4" ht="13.2">
      <c r="A211" s="17" t="s">
        <v>249</v>
      </c>
      <c r="B211" s="18">
        <v>210</v>
      </c>
      <c r="C211" s="899"/>
      <c r="D211" s="269"/>
    </row>
    <row r="212" spans="1:4" ht="13.2">
      <c r="A212" s="17" t="s">
        <v>250</v>
      </c>
      <c r="B212" s="18">
        <v>210</v>
      </c>
      <c r="C212" s="899"/>
      <c r="D212" s="269"/>
    </row>
    <row r="213" spans="1:4" ht="13.2">
      <c r="A213" s="17" t="s">
        <v>251</v>
      </c>
      <c r="B213" s="18">
        <v>210</v>
      </c>
      <c r="C213" s="899"/>
      <c r="D213" s="269"/>
    </row>
    <row r="214" spans="1:4" ht="13.2">
      <c r="A214" s="17" t="s">
        <v>252</v>
      </c>
      <c r="B214" s="18">
        <v>210</v>
      </c>
      <c r="C214" s="899"/>
      <c r="D214" s="269"/>
    </row>
    <row r="215" spans="1:4" ht="13.2">
      <c r="A215" s="17" t="s">
        <v>253</v>
      </c>
      <c r="B215" s="18">
        <v>210</v>
      </c>
      <c r="C215" s="899"/>
      <c r="D215" s="269"/>
    </row>
    <row r="216" spans="1:4" ht="13.2">
      <c r="A216" s="17" t="s">
        <v>254</v>
      </c>
      <c r="B216" s="18">
        <v>210</v>
      </c>
      <c r="C216" s="899"/>
      <c r="D216" s="269"/>
    </row>
    <row r="217" spans="1:4" ht="13.2">
      <c r="A217" s="17" t="s">
        <v>255</v>
      </c>
      <c r="B217" s="18">
        <v>210</v>
      </c>
      <c r="C217" s="899"/>
      <c r="D217" s="269"/>
    </row>
    <row r="218" spans="1:4" ht="13.2">
      <c r="A218" s="17" t="s">
        <v>256</v>
      </c>
      <c r="B218" s="18">
        <v>210</v>
      </c>
      <c r="C218" s="899"/>
      <c r="D218" s="269"/>
    </row>
    <row r="219" spans="1:4" ht="13.2">
      <c r="A219" s="17" t="s">
        <v>1216</v>
      </c>
      <c r="B219" s="18">
        <v>210</v>
      </c>
      <c r="C219" s="899"/>
      <c r="D219" s="269"/>
    </row>
    <row r="220" spans="1:4" ht="13.2">
      <c r="A220" s="17" t="s">
        <v>257</v>
      </c>
      <c r="B220" s="18">
        <v>210</v>
      </c>
      <c r="C220" s="899"/>
      <c r="D220" s="269"/>
    </row>
    <row r="221" spans="1:4" ht="13.2">
      <c r="A221" s="17" t="s">
        <v>1217</v>
      </c>
      <c r="B221" s="18">
        <v>210</v>
      </c>
      <c r="C221" s="899"/>
      <c r="D221" s="269"/>
    </row>
    <row r="222" spans="1:4" ht="13.2">
      <c r="A222" s="17" t="s">
        <v>258</v>
      </c>
      <c r="B222" s="18">
        <v>210</v>
      </c>
      <c r="C222" s="899"/>
      <c r="D222" s="269"/>
    </row>
    <row r="223" spans="1:4" ht="13.2">
      <c r="A223" s="17" t="s">
        <v>1218</v>
      </c>
      <c r="B223" s="18">
        <v>210</v>
      </c>
      <c r="C223" s="899"/>
      <c r="D223" s="269"/>
    </row>
    <row r="224" spans="1:4" ht="13.2">
      <c r="A224" s="17" t="s">
        <v>259</v>
      </c>
      <c r="B224" s="18">
        <v>210</v>
      </c>
      <c r="C224" s="899"/>
      <c r="D224" s="269"/>
    </row>
    <row r="225" spans="1:4" ht="13.2">
      <c r="A225" s="17" t="s">
        <v>1219</v>
      </c>
      <c r="B225" s="18">
        <v>210</v>
      </c>
      <c r="C225" s="899"/>
      <c r="D225" s="269"/>
    </row>
    <row r="226" spans="1:4" ht="13.2">
      <c r="A226" s="17" t="s">
        <v>260</v>
      </c>
      <c r="B226" s="18">
        <v>210</v>
      </c>
      <c r="C226" s="899"/>
      <c r="D226" s="269"/>
    </row>
    <row r="227" spans="1:4" ht="13.2">
      <c r="A227" s="17" t="s">
        <v>261</v>
      </c>
      <c r="B227" s="18">
        <v>210</v>
      </c>
      <c r="C227" s="899"/>
      <c r="D227" s="269"/>
    </row>
    <row r="228" spans="1:4" ht="13.2">
      <c r="A228" s="17" t="s">
        <v>262</v>
      </c>
      <c r="B228" s="18">
        <v>210</v>
      </c>
      <c r="C228" s="899"/>
      <c r="D228" s="269"/>
    </row>
    <row r="229" spans="1:4" ht="13.2">
      <c r="A229" s="17" t="s">
        <v>263</v>
      </c>
      <c r="B229" s="18">
        <v>210</v>
      </c>
      <c r="C229" s="899"/>
      <c r="D229" s="269"/>
    </row>
    <row r="230" spans="1:4" ht="13.2">
      <c r="A230" s="17" t="s">
        <v>264</v>
      </c>
      <c r="B230" s="18">
        <v>210</v>
      </c>
      <c r="C230" s="899"/>
      <c r="D230" s="269"/>
    </row>
    <row r="231" spans="1:4" ht="13.2">
      <c r="A231" s="17" t="s">
        <v>265</v>
      </c>
      <c r="B231" s="18">
        <v>210</v>
      </c>
      <c r="C231" s="899"/>
      <c r="D231" s="269"/>
    </row>
    <row r="232" spans="1:4" ht="13.2">
      <c r="A232" s="17" t="s">
        <v>266</v>
      </c>
      <c r="B232" s="18">
        <v>210</v>
      </c>
      <c r="C232" s="899"/>
      <c r="D232" s="269"/>
    </row>
    <row r="233" spans="1:4" ht="13.2">
      <c r="A233" s="17" t="s">
        <v>267</v>
      </c>
      <c r="B233" s="18">
        <v>210</v>
      </c>
      <c r="C233" s="899"/>
      <c r="D233" s="269"/>
    </row>
    <row r="234" spans="1:4" ht="13.2">
      <c r="A234" s="17" t="s">
        <v>268</v>
      </c>
      <c r="B234" s="18">
        <v>210</v>
      </c>
      <c r="C234" s="899"/>
      <c r="D234" s="269"/>
    </row>
    <row r="235" spans="1:4" ht="13.2">
      <c r="A235" s="17" t="s">
        <v>269</v>
      </c>
      <c r="B235" s="18">
        <v>170</v>
      </c>
      <c r="C235" s="899"/>
      <c r="D235" s="269"/>
    </row>
    <row r="236" spans="1:4" ht="13.2">
      <c r="A236" s="17" t="s">
        <v>270</v>
      </c>
      <c r="B236" s="18">
        <v>170</v>
      </c>
      <c r="C236" s="899"/>
      <c r="D236" s="269"/>
    </row>
    <row r="237" spans="1:4" ht="13.2">
      <c r="A237" s="17" t="s">
        <v>271</v>
      </c>
      <c r="B237" s="18">
        <v>170</v>
      </c>
      <c r="C237" s="899"/>
      <c r="D237" s="269"/>
    </row>
    <row r="238" spans="1:4" ht="13.2">
      <c r="A238" s="17" t="s">
        <v>272</v>
      </c>
      <c r="B238" s="18">
        <v>170</v>
      </c>
      <c r="C238" s="899"/>
      <c r="D238" s="269"/>
    </row>
    <row r="239" spans="1:4" ht="13.2">
      <c r="A239" s="17" t="s">
        <v>1220</v>
      </c>
      <c r="B239" s="18">
        <v>170</v>
      </c>
      <c r="C239" s="899"/>
      <c r="D239" s="269"/>
    </row>
    <row r="240" spans="1:4" ht="13.2">
      <c r="A240" s="17" t="s">
        <v>273</v>
      </c>
      <c r="B240" s="18">
        <v>170</v>
      </c>
      <c r="C240" s="899"/>
      <c r="D240" s="269"/>
    </row>
    <row r="241" spans="1:4" ht="13.2">
      <c r="A241" s="17" t="s">
        <v>1221</v>
      </c>
      <c r="B241" s="18">
        <v>170</v>
      </c>
      <c r="C241" s="899"/>
      <c r="D241" s="269"/>
    </row>
    <row r="242" spans="1:4" ht="13.2">
      <c r="A242" s="17" t="s">
        <v>274</v>
      </c>
      <c r="B242" s="18">
        <v>170</v>
      </c>
      <c r="C242" s="899"/>
      <c r="D242" s="269"/>
    </row>
    <row r="243" spans="1:4" ht="13.2">
      <c r="A243" s="17" t="s">
        <v>1222</v>
      </c>
      <c r="B243" s="18">
        <v>170</v>
      </c>
      <c r="C243" s="899"/>
      <c r="D243" s="269"/>
    </row>
    <row r="244" spans="1:4" ht="13.2">
      <c r="A244" s="17" t="s">
        <v>275</v>
      </c>
      <c r="B244" s="18">
        <v>170</v>
      </c>
      <c r="C244" s="899"/>
      <c r="D244" s="269"/>
    </row>
    <row r="245" spans="1:4" ht="13.2">
      <c r="A245" s="17" t="s">
        <v>276</v>
      </c>
      <c r="B245" s="18">
        <v>170</v>
      </c>
      <c r="C245" s="899"/>
      <c r="D245" s="269"/>
    </row>
    <row r="246" spans="1:4" ht="13.2">
      <c r="A246" s="17" t="s">
        <v>277</v>
      </c>
      <c r="B246" s="18">
        <v>170</v>
      </c>
      <c r="C246" s="899"/>
      <c r="D246" s="269"/>
    </row>
    <row r="247" spans="1:4" ht="13.2">
      <c r="A247" s="17" t="s">
        <v>278</v>
      </c>
      <c r="B247" s="18">
        <v>170</v>
      </c>
      <c r="C247" s="899"/>
      <c r="D247" s="269"/>
    </row>
    <row r="248" spans="1:4" ht="13.2">
      <c r="A248" s="17" t="s">
        <v>279</v>
      </c>
      <c r="B248" s="18">
        <v>170</v>
      </c>
      <c r="C248" s="899"/>
      <c r="D248" s="269"/>
    </row>
    <row r="249" spans="1:4" ht="13.2">
      <c r="A249" s="17" t="s">
        <v>280</v>
      </c>
      <c r="B249" s="18">
        <v>170</v>
      </c>
      <c r="C249" s="899"/>
      <c r="D249" s="269"/>
    </row>
    <row r="250" spans="1:4" ht="13.2">
      <c r="A250" s="17" t="s">
        <v>281</v>
      </c>
      <c r="B250" s="18">
        <v>170</v>
      </c>
      <c r="C250" s="899"/>
      <c r="D250" s="269"/>
    </row>
    <row r="251" spans="1:4" ht="13.2">
      <c r="A251" s="17" t="s">
        <v>282</v>
      </c>
      <c r="B251" s="18">
        <v>170</v>
      </c>
      <c r="C251" s="899"/>
      <c r="D251" s="269"/>
    </row>
    <row r="252" spans="1:4" ht="13.2">
      <c r="A252" s="17" t="s">
        <v>283</v>
      </c>
      <c r="B252" s="18">
        <v>170</v>
      </c>
      <c r="C252" s="899"/>
      <c r="D252" s="269"/>
    </row>
    <row r="253" spans="1:4" ht="13.2">
      <c r="A253" s="17" t="s">
        <v>284</v>
      </c>
      <c r="B253" s="18">
        <v>170</v>
      </c>
      <c r="C253" s="899"/>
      <c r="D253" s="269"/>
    </row>
    <row r="254" spans="1:4" ht="13.2">
      <c r="A254" s="17" t="s">
        <v>285</v>
      </c>
      <c r="B254" s="18">
        <v>170</v>
      </c>
      <c r="C254" s="899"/>
      <c r="D254" s="269"/>
    </row>
    <row r="255" spans="1:4" ht="13.2">
      <c r="A255" s="17" t="s">
        <v>286</v>
      </c>
      <c r="B255" s="18">
        <v>170</v>
      </c>
      <c r="C255" s="899"/>
      <c r="D255" s="269"/>
    </row>
    <row r="256" spans="1:4" ht="13.2">
      <c r="A256" s="17" t="s">
        <v>287</v>
      </c>
      <c r="B256" s="18">
        <v>170</v>
      </c>
      <c r="C256" s="899"/>
      <c r="D256" s="269"/>
    </row>
    <row r="257" spans="1:4" ht="13.2">
      <c r="A257" s="17" t="s">
        <v>288</v>
      </c>
      <c r="B257" s="18">
        <v>170</v>
      </c>
      <c r="C257" s="899"/>
      <c r="D257" s="269"/>
    </row>
    <row r="258" spans="1:4" ht="13.2">
      <c r="A258" s="17" t="s">
        <v>1223</v>
      </c>
      <c r="B258" s="18">
        <v>170</v>
      </c>
      <c r="C258" s="899"/>
      <c r="D258" s="269"/>
    </row>
    <row r="259" spans="1:4" ht="13.2">
      <c r="A259" s="17" t="s">
        <v>289</v>
      </c>
      <c r="B259" s="18">
        <v>170</v>
      </c>
      <c r="C259" s="899"/>
      <c r="D259" s="269"/>
    </row>
    <row r="260" spans="1:4" ht="13.2">
      <c r="A260" s="17" t="s">
        <v>1224</v>
      </c>
      <c r="B260" s="18">
        <v>170</v>
      </c>
      <c r="C260" s="899"/>
      <c r="D260" s="269"/>
    </row>
    <row r="261" spans="1:4" ht="13.2">
      <c r="A261" s="17" t="s">
        <v>290</v>
      </c>
      <c r="B261" s="18">
        <v>170</v>
      </c>
      <c r="C261" s="899"/>
      <c r="D261" s="269"/>
    </row>
    <row r="262" spans="1:4" ht="13.2">
      <c r="A262" s="17" t="s">
        <v>1225</v>
      </c>
      <c r="B262" s="18">
        <v>170</v>
      </c>
      <c r="C262" s="899"/>
      <c r="D262" s="269"/>
    </row>
    <row r="263" spans="1:4" ht="13.2">
      <c r="A263" s="17" t="s">
        <v>291</v>
      </c>
      <c r="B263" s="18">
        <v>170</v>
      </c>
      <c r="C263" s="899"/>
      <c r="D263" s="269"/>
    </row>
    <row r="264" spans="1:4" ht="13.2">
      <c r="A264" s="17" t="s">
        <v>292</v>
      </c>
      <c r="B264" s="18">
        <v>170</v>
      </c>
      <c r="C264" s="899"/>
      <c r="D264" s="269"/>
    </row>
    <row r="265" spans="1:4" ht="13.2">
      <c r="A265" s="17" t="s">
        <v>293</v>
      </c>
      <c r="B265" s="18">
        <v>170</v>
      </c>
      <c r="C265" s="899"/>
      <c r="D265" s="269"/>
    </row>
    <row r="266" spans="1:4" ht="13.2">
      <c r="A266" s="17" t="s">
        <v>294</v>
      </c>
      <c r="B266" s="18">
        <v>170</v>
      </c>
      <c r="C266" s="899"/>
      <c r="D266" s="269"/>
    </row>
    <row r="267" spans="1:4" ht="13.2">
      <c r="A267" s="17" t="s">
        <v>295</v>
      </c>
      <c r="B267" s="18">
        <v>170</v>
      </c>
      <c r="C267" s="899"/>
      <c r="D267" s="269"/>
    </row>
    <row r="268" spans="1:4" ht="13.2">
      <c r="A268" s="17" t="s">
        <v>296</v>
      </c>
      <c r="B268" s="18">
        <v>170</v>
      </c>
      <c r="C268" s="899"/>
      <c r="D268" s="269"/>
    </row>
    <row r="269" spans="1:4" ht="13.2">
      <c r="A269" s="17" t="s">
        <v>297</v>
      </c>
      <c r="B269" s="18">
        <v>170</v>
      </c>
      <c r="C269" s="899"/>
      <c r="D269" s="269"/>
    </row>
    <row r="270" spans="1:4" ht="13.2">
      <c r="A270" s="17" t="s">
        <v>298</v>
      </c>
      <c r="B270" s="18">
        <v>170</v>
      </c>
      <c r="C270" s="899"/>
      <c r="D270" s="269"/>
    </row>
    <row r="271" spans="1:4" ht="13.2">
      <c r="A271" s="17" t="s">
        <v>299</v>
      </c>
      <c r="B271" s="18">
        <v>170</v>
      </c>
      <c r="C271" s="899"/>
      <c r="D271" s="269"/>
    </row>
    <row r="272" spans="1:4" ht="13.2">
      <c r="A272" s="17" t="s">
        <v>300</v>
      </c>
      <c r="B272" s="18">
        <v>170</v>
      </c>
      <c r="C272" s="899"/>
      <c r="D272" s="269"/>
    </row>
    <row r="273" spans="1:4" ht="13.2">
      <c r="A273" s="17" t="s">
        <v>301</v>
      </c>
      <c r="B273" s="18">
        <v>170</v>
      </c>
      <c r="C273" s="899"/>
      <c r="D273" s="269"/>
    </row>
    <row r="274" spans="1:4" ht="13.2">
      <c r="A274" s="17" t="s">
        <v>302</v>
      </c>
      <c r="B274" s="18">
        <v>170</v>
      </c>
      <c r="C274" s="899"/>
      <c r="D274" s="269"/>
    </row>
    <row r="275" spans="1:4" ht="13.2">
      <c r="A275" s="17" t="s">
        <v>303</v>
      </c>
      <c r="B275" s="18">
        <v>170</v>
      </c>
      <c r="C275" s="899"/>
      <c r="D275" s="269"/>
    </row>
    <row r="276" spans="1:4" ht="13.2">
      <c r="A276" s="17" t="s">
        <v>304</v>
      </c>
      <c r="B276" s="18">
        <v>170</v>
      </c>
      <c r="C276" s="899"/>
      <c r="D276" s="269"/>
    </row>
    <row r="277" spans="1:4" ht="13.2">
      <c r="A277" s="17" t="s">
        <v>1226</v>
      </c>
      <c r="B277" s="18">
        <v>170</v>
      </c>
      <c r="C277" s="899"/>
      <c r="D277" s="269"/>
    </row>
    <row r="278" spans="1:4" ht="13.2">
      <c r="A278" s="17" t="s">
        <v>305</v>
      </c>
      <c r="B278" s="18">
        <v>170</v>
      </c>
      <c r="C278" s="899"/>
      <c r="D278" s="269"/>
    </row>
    <row r="279" spans="1:4" ht="13.2">
      <c r="A279" s="17" t="s">
        <v>1227</v>
      </c>
      <c r="B279" s="18">
        <v>170</v>
      </c>
      <c r="C279" s="899"/>
      <c r="D279" s="269"/>
    </row>
    <row r="280" spans="1:4" ht="13.2">
      <c r="A280" s="17" t="s">
        <v>306</v>
      </c>
      <c r="B280" s="18">
        <v>170</v>
      </c>
      <c r="C280" s="899"/>
      <c r="D280" s="269"/>
    </row>
    <row r="281" spans="1:4" ht="13.2">
      <c r="A281" s="17" t="s">
        <v>1228</v>
      </c>
      <c r="B281" s="18">
        <v>170</v>
      </c>
      <c r="C281" s="899"/>
      <c r="D281" s="269"/>
    </row>
    <row r="282" spans="1:4" ht="13.2">
      <c r="A282" s="17" t="s">
        <v>307</v>
      </c>
      <c r="B282" s="18">
        <v>170</v>
      </c>
      <c r="C282" s="899"/>
      <c r="D282" s="269"/>
    </row>
    <row r="283" spans="1:4" ht="13.2">
      <c r="A283" s="17" t="s">
        <v>308</v>
      </c>
      <c r="B283" s="18">
        <v>170</v>
      </c>
      <c r="C283" s="899"/>
      <c r="D283" s="269"/>
    </row>
    <row r="284" spans="1:4" ht="13.2">
      <c r="A284" s="17" t="s">
        <v>309</v>
      </c>
      <c r="B284" s="18">
        <v>170</v>
      </c>
      <c r="C284" s="899"/>
      <c r="D284" s="269"/>
    </row>
    <row r="285" spans="1:4" ht="13.2">
      <c r="A285" s="17" t="s">
        <v>310</v>
      </c>
      <c r="B285" s="18">
        <v>170</v>
      </c>
      <c r="C285" s="899"/>
      <c r="D285" s="269"/>
    </row>
    <row r="286" spans="1:4" ht="13.2">
      <c r="A286" s="17" t="s">
        <v>311</v>
      </c>
      <c r="B286" s="18">
        <v>170</v>
      </c>
      <c r="C286" s="899"/>
      <c r="D286" s="269"/>
    </row>
    <row r="287" spans="1:4" ht="13.2">
      <c r="A287" s="17" t="s">
        <v>312</v>
      </c>
      <c r="B287" s="18">
        <v>170</v>
      </c>
      <c r="C287" s="899"/>
      <c r="D287" s="269"/>
    </row>
    <row r="288" spans="1:4" ht="13.2">
      <c r="A288" s="17" t="s">
        <v>313</v>
      </c>
      <c r="B288" s="18">
        <v>170</v>
      </c>
      <c r="C288" s="899"/>
      <c r="D288" s="269"/>
    </row>
    <row r="289" spans="1:4" ht="13.2">
      <c r="A289" s="17" t="s">
        <v>314</v>
      </c>
      <c r="B289" s="18">
        <v>170</v>
      </c>
      <c r="C289" s="899"/>
      <c r="D289" s="269"/>
    </row>
    <row r="290" spans="1:4" ht="13.2">
      <c r="A290" s="17" t="s">
        <v>315</v>
      </c>
      <c r="B290" s="18">
        <v>170</v>
      </c>
      <c r="C290" s="899"/>
      <c r="D290" s="269"/>
    </row>
    <row r="291" spans="1:4" ht="13.2">
      <c r="A291" s="17" t="s">
        <v>316</v>
      </c>
      <c r="B291" s="18">
        <v>170</v>
      </c>
      <c r="C291" s="899"/>
      <c r="D291" s="269"/>
    </row>
    <row r="292" spans="1:4" ht="13.2">
      <c r="A292" s="17" t="s">
        <v>317</v>
      </c>
      <c r="B292" s="18">
        <v>170</v>
      </c>
      <c r="C292" s="899"/>
      <c r="D292" s="269"/>
    </row>
    <row r="293" spans="1:4" ht="13.2">
      <c r="A293" s="17" t="s">
        <v>318</v>
      </c>
      <c r="B293" s="18">
        <v>170</v>
      </c>
      <c r="C293" s="899"/>
      <c r="D293" s="269"/>
    </row>
    <row r="294" spans="1:4" ht="13.2">
      <c r="A294" s="17" t="s">
        <v>319</v>
      </c>
      <c r="B294" s="18">
        <v>170</v>
      </c>
      <c r="C294" s="899"/>
      <c r="D294" s="269"/>
    </row>
    <row r="295" spans="1:4" ht="13.2">
      <c r="A295" s="17" t="s">
        <v>320</v>
      </c>
      <c r="B295" s="18">
        <v>170</v>
      </c>
      <c r="C295" s="899"/>
      <c r="D295" s="269"/>
    </row>
    <row r="296" spans="1:4" ht="13.2">
      <c r="A296" s="17" t="s">
        <v>1229</v>
      </c>
      <c r="B296" s="18">
        <v>170</v>
      </c>
      <c r="C296" s="899"/>
      <c r="D296" s="269"/>
    </row>
    <row r="297" spans="1:4" ht="13.2">
      <c r="A297" s="17" t="s">
        <v>321</v>
      </c>
      <c r="B297" s="18">
        <v>170</v>
      </c>
      <c r="C297" s="899"/>
      <c r="D297" s="269"/>
    </row>
    <row r="298" spans="1:4" ht="13.2">
      <c r="A298" s="17" t="s">
        <v>1230</v>
      </c>
      <c r="B298" s="18">
        <v>170</v>
      </c>
      <c r="C298" s="899"/>
      <c r="D298" s="269"/>
    </row>
    <row r="299" spans="1:4" ht="13.2">
      <c r="A299" s="17" t="s">
        <v>322</v>
      </c>
      <c r="B299" s="18">
        <v>170</v>
      </c>
      <c r="C299" s="899"/>
      <c r="D299" s="269"/>
    </row>
    <row r="300" spans="1:4" ht="13.2">
      <c r="A300" s="17" t="s">
        <v>1231</v>
      </c>
      <c r="B300" s="18">
        <v>170</v>
      </c>
      <c r="C300" s="899"/>
      <c r="D300" s="269"/>
    </row>
    <row r="301" spans="1:4" ht="13.2">
      <c r="A301" s="17" t="s">
        <v>323</v>
      </c>
      <c r="B301" s="18">
        <v>170</v>
      </c>
      <c r="C301" s="899"/>
      <c r="D301" s="269"/>
    </row>
    <row r="302" spans="1:4" ht="13.2">
      <c r="A302" s="17" t="s">
        <v>324</v>
      </c>
      <c r="B302" s="18">
        <v>170</v>
      </c>
      <c r="C302" s="899"/>
      <c r="D302" s="269"/>
    </row>
    <row r="303" spans="1:4" ht="13.2">
      <c r="A303" s="17" t="s">
        <v>325</v>
      </c>
      <c r="B303" s="18">
        <v>170</v>
      </c>
      <c r="C303" s="899"/>
      <c r="D303" s="269"/>
    </row>
    <row r="304" spans="1:4" ht="13.2">
      <c r="A304" s="17" t="s">
        <v>326</v>
      </c>
      <c r="B304" s="18">
        <v>170</v>
      </c>
      <c r="C304" s="899"/>
      <c r="D304" s="269"/>
    </row>
    <row r="305" spans="1:4" ht="13.2">
      <c r="A305" s="17" t="s">
        <v>327</v>
      </c>
      <c r="B305" s="18">
        <v>170</v>
      </c>
      <c r="C305" s="899"/>
      <c r="D305" s="269"/>
    </row>
    <row r="306" spans="1:4" ht="13.2">
      <c r="A306" s="17" t="s">
        <v>328</v>
      </c>
      <c r="B306" s="18">
        <v>170</v>
      </c>
      <c r="C306" s="899"/>
      <c r="D306" s="269"/>
    </row>
    <row r="307" spans="1:4" ht="13.2">
      <c r="A307" s="17" t="s">
        <v>329</v>
      </c>
      <c r="B307" s="18">
        <v>170</v>
      </c>
      <c r="C307" s="899"/>
      <c r="D307" s="269"/>
    </row>
    <row r="308" spans="1:4" ht="13.2">
      <c r="A308" s="17" t="s">
        <v>330</v>
      </c>
      <c r="B308" s="18">
        <v>170</v>
      </c>
      <c r="C308" s="899"/>
      <c r="D308" s="269"/>
    </row>
    <row r="309" spans="1:4" ht="13.2">
      <c r="A309" s="17" t="s">
        <v>331</v>
      </c>
      <c r="B309" s="18">
        <v>170</v>
      </c>
      <c r="C309" s="899"/>
      <c r="D309" s="269"/>
    </row>
    <row r="310" spans="1:4" ht="13.2">
      <c r="A310" s="17" t="s">
        <v>332</v>
      </c>
      <c r="B310" s="18">
        <v>170</v>
      </c>
      <c r="C310" s="899"/>
      <c r="D310" s="269"/>
    </row>
    <row r="311" spans="1:4" ht="13.2">
      <c r="A311" s="17" t="s">
        <v>333</v>
      </c>
      <c r="B311" s="18">
        <v>170</v>
      </c>
      <c r="C311" s="899"/>
      <c r="D311" s="269"/>
    </row>
    <row r="312" spans="1:4" ht="13.2">
      <c r="A312" s="17" t="s">
        <v>334</v>
      </c>
      <c r="B312" s="18">
        <v>170</v>
      </c>
      <c r="C312" s="899"/>
      <c r="D312" s="269"/>
    </row>
    <row r="313" spans="1:4" ht="13.2">
      <c r="A313" s="17" t="s">
        <v>335</v>
      </c>
      <c r="B313" s="18">
        <v>170</v>
      </c>
      <c r="C313" s="899"/>
      <c r="D313" s="269"/>
    </row>
    <row r="314" spans="1:4" ht="13.2">
      <c r="A314" s="17" t="s">
        <v>336</v>
      </c>
      <c r="B314" s="18">
        <v>170</v>
      </c>
      <c r="C314" s="899"/>
      <c r="D314" s="269"/>
    </row>
    <row r="315" spans="1:4" ht="13.2">
      <c r="A315" s="17" t="s">
        <v>1232</v>
      </c>
      <c r="B315" s="18">
        <v>170</v>
      </c>
      <c r="C315" s="899"/>
      <c r="D315" s="269"/>
    </row>
    <row r="316" spans="1:4" ht="13.2">
      <c r="A316" s="17" t="s">
        <v>337</v>
      </c>
      <c r="B316" s="18">
        <v>170</v>
      </c>
      <c r="C316" s="899"/>
      <c r="D316" s="269"/>
    </row>
    <row r="317" spans="1:4" ht="13.2">
      <c r="A317" s="17" t="s">
        <v>1233</v>
      </c>
      <c r="B317" s="18">
        <v>170</v>
      </c>
      <c r="C317" s="899"/>
      <c r="D317" s="269"/>
    </row>
    <row r="318" spans="1:4" ht="13.2">
      <c r="A318" s="17" t="s">
        <v>338</v>
      </c>
      <c r="B318" s="18">
        <v>170</v>
      </c>
      <c r="C318" s="899"/>
      <c r="D318" s="269"/>
    </row>
    <row r="319" spans="1:4" ht="13.2">
      <c r="A319" s="17" t="s">
        <v>1234</v>
      </c>
      <c r="B319" s="18">
        <v>170</v>
      </c>
      <c r="C319" s="899"/>
      <c r="D319" s="269"/>
    </row>
    <row r="320" spans="1:4" ht="13.2">
      <c r="A320" s="17" t="s">
        <v>339</v>
      </c>
      <c r="B320" s="18">
        <v>170</v>
      </c>
      <c r="C320" s="899"/>
      <c r="D320" s="269"/>
    </row>
    <row r="321" spans="1:4" ht="13.2">
      <c r="A321" s="17" t="s">
        <v>340</v>
      </c>
      <c r="B321" s="18">
        <v>170</v>
      </c>
      <c r="C321" s="899"/>
      <c r="D321" s="269"/>
    </row>
    <row r="322" spans="1:4" ht="13.2">
      <c r="A322" s="17" t="s">
        <v>341</v>
      </c>
      <c r="B322" s="18">
        <v>170</v>
      </c>
      <c r="C322" s="899"/>
      <c r="D322" s="269"/>
    </row>
    <row r="323" spans="1:4" ht="13.2">
      <c r="A323" s="17" t="s">
        <v>342</v>
      </c>
      <c r="B323" s="18">
        <v>170</v>
      </c>
      <c r="C323" s="899"/>
      <c r="D323" s="269"/>
    </row>
    <row r="324" spans="1:4" ht="13.2">
      <c r="A324" s="17" t="s">
        <v>343</v>
      </c>
      <c r="B324" s="18">
        <v>170</v>
      </c>
      <c r="C324" s="899"/>
      <c r="D324" s="269"/>
    </row>
    <row r="325" spans="1:4" ht="13.2">
      <c r="A325" s="17" t="s">
        <v>344</v>
      </c>
      <c r="B325" s="18">
        <v>170</v>
      </c>
      <c r="C325" s="899"/>
      <c r="D325" s="269"/>
    </row>
    <row r="326" spans="1:4" ht="13.2">
      <c r="A326" s="17" t="s">
        <v>345</v>
      </c>
      <c r="B326" s="18">
        <v>170</v>
      </c>
      <c r="C326" s="899"/>
      <c r="D326" s="269"/>
    </row>
    <row r="327" spans="1:4" ht="13.2">
      <c r="A327" s="17" t="s">
        <v>346</v>
      </c>
      <c r="B327" s="18">
        <v>170</v>
      </c>
      <c r="C327" s="899"/>
      <c r="D327" s="269"/>
    </row>
    <row r="328" spans="1:4" ht="13.2">
      <c r="A328" s="17" t="s">
        <v>347</v>
      </c>
      <c r="B328" s="18">
        <v>170</v>
      </c>
      <c r="C328" s="899"/>
      <c r="D328" s="269"/>
    </row>
    <row r="329" spans="1:4" ht="13.2">
      <c r="A329" s="17" t="s">
        <v>348</v>
      </c>
      <c r="B329" s="18">
        <v>170</v>
      </c>
      <c r="C329" s="899"/>
      <c r="D329" s="269"/>
    </row>
    <row r="330" spans="1:4" ht="13.2">
      <c r="A330" s="17" t="s">
        <v>349</v>
      </c>
      <c r="B330" s="18">
        <v>170</v>
      </c>
      <c r="C330" s="899"/>
      <c r="D330" s="269"/>
    </row>
    <row r="331" spans="1:4" ht="13.2">
      <c r="A331" s="17" t="s">
        <v>350</v>
      </c>
      <c r="B331" s="18">
        <v>170</v>
      </c>
      <c r="C331" s="899"/>
      <c r="D331" s="269"/>
    </row>
    <row r="332" spans="1:4" ht="13.2">
      <c r="A332" s="17" t="s">
        <v>351</v>
      </c>
      <c r="B332" s="18">
        <v>170</v>
      </c>
      <c r="C332" s="899"/>
      <c r="D332" s="269"/>
    </row>
    <row r="333" spans="1:4" ht="13.2">
      <c r="A333" s="17" t="s">
        <v>352</v>
      </c>
      <c r="B333" s="18">
        <v>170</v>
      </c>
      <c r="C333" s="899"/>
      <c r="D333" s="269"/>
    </row>
    <row r="334" spans="1:4" ht="13.2">
      <c r="A334" s="17" t="s">
        <v>1235</v>
      </c>
      <c r="B334" s="18">
        <v>170</v>
      </c>
      <c r="C334" s="899"/>
      <c r="D334" s="269"/>
    </row>
    <row r="335" spans="1:4" ht="13.2">
      <c r="A335" s="17" t="s">
        <v>353</v>
      </c>
      <c r="B335" s="18">
        <v>170</v>
      </c>
      <c r="C335" s="899"/>
      <c r="D335" s="269"/>
    </row>
    <row r="336" spans="1:4" ht="13.2">
      <c r="A336" s="17" t="s">
        <v>1236</v>
      </c>
      <c r="B336" s="18">
        <v>170</v>
      </c>
      <c r="C336" s="899"/>
      <c r="D336" s="269"/>
    </row>
    <row r="337" spans="1:4" ht="13.2">
      <c r="A337" s="17" t="s">
        <v>354</v>
      </c>
      <c r="B337" s="18">
        <v>170</v>
      </c>
      <c r="C337" s="899"/>
      <c r="D337" s="269"/>
    </row>
    <row r="338" spans="1:4" ht="13.2">
      <c r="A338" s="17" t="s">
        <v>1237</v>
      </c>
      <c r="B338" s="18">
        <v>170</v>
      </c>
      <c r="C338" s="899"/>
      <c r="D338" s="269"/>
    </row>
    <row r="339" spans="1:4" ht="13.2">
      <c r="A339" s="17" t="s">
        <v>355</v>
      </c>
      <c r="B339" s="18">
        <v>170</v>
      </c>
      <c r="C339" s="899"/>
      <c r="D339" s="269"/>
    </row>
    <row r="340" spans="1:4" ht="13.2">
      <c r="A340" s="17" t="s">
        <v>356</v>
      </c>
      <c r="B340" s="18">
        <v>170</v>
      </c>
      <c r="C340" s="899"/>
      <c r="D340" s="269"/>
    </row>
    <row r="341" spans="1:4" ht="13.2">
      <c r="A341" s="17" t="s">
        <v>357</v>
      </c>
      <c r="B341" s="18">
        <v>170</v>
      </c>
      <c r="C341" s="899"/>
      <c r="D341" s="269"/>
    </row>
    <row r="342" spans="1:4" ht="13.2">
      <c r="A342" s="17" t="s">
        <v>358</v>
      </c>
      <c r="B342" s="18">
        <v>170</v>
      </c>
      <c r="C342" s="899"/>
      <c r="D342" s="269"/>
    </row>
    <row r="343" spans="1:4" ht="13.2">
      <c r="A343" s="17" t="s">
        <v>359</v>
      </c>
      <c r="B343" s="18">
        <v>170</v>
      </c>
      <c r="C343" s="899"/>
      <c r="D343" s="269"/>
    </row>
    <row r="344" spans="1:4" ht="13.2">
      <c r="A344" s="17" t="s">
        <v>360</v>
      </c>
      <c r="B344" s="18">
        <v>170</v>
      </c>
      <c r="C344" s="899"/>
      <c r="D344" s="269"/>
    </row>
    <row r="345" spans="1:4" ht="13.2">
      <c r="A345" s="17" t="s">
        <v>361</v>
      </c>
      <c r="B345" s="18">
        <v>170</v>
      </c>
      <c r="C345" s="899"/>
      <c r="D345" s="269"/>
    </row>
    <row r="346" spans="1:4" ht="13.2">
      <c r="A346" s="17" t="s">
        <v>362</v>
      </c>
      <c r="B346" s="18">
        <v>170</v>
      </c>
      <c r="C346" s="899"/>
      <c r="D346" s="269"/>
    </row>
    <row r="347" spans="1:4" ht="13.2">
      <c r="A347" s="17" t="s">
        <v>363</v>
      </c>
      <c r="B347" s="18">
        <v>170</v>
      </c>
      <c r="C347" s="899"/>
      <c r="D347" s="269"/>
    </row>
    <row r="348" spans="1:4" ht="13.2">
      <c r="A348" s="17" t="s">
        <v>364</v>
      </c>
      <c r="B348" s="18">
        <v>170</v>
      </c>
      <c r="C348" s="899"/>
      <c r="D348" s="269"/>
    </row>
    <row r="349" spans="1:4" ht="13.2">
      <c r="A349" s="17" t="s">
        <v>1361</v>
      </c>
      <c r="B349" s="18">
        <v>350</v>
      </c>
      <c r="C349" s="899"/>
      <c r="D349" s="270"/>
    </row>
    <row r="350" spans="1:4" ht="13.2">
      <c r="A350" s="17" t="s">
        <v>1362</v>
      </c>
      <c r="B350" s="18">
        <v>350</v>
      </c>
      <c r="C350" s="899"/>
      <c r="D350" s="270"/>
    </row>
    <row r="351" spans="1:4" ht="13.2">
      <c r="A351" s="17" t="s">
        <v>1363</v>
      </c>
      <c r="B351" s="18">
        <v>350</v>
      </c>
      <c r="C351" s="899"/>
      <c r="D351" s="270"/>
    </row>
    <row r="352" spans="1:4" ht="13.2">
      <c r="A352" s="17" t="s">
        <v>1364</v>
      </c>
      <c r="B352" s="18">
        <v>350</v>
      </c>
      <c r="C352" s="899"/>
      <c r="D352" s="270"/>
    </row>
    <row r="353" spans="1:4" ht="13.2">
      <c r="A353" s="17" t="s">
        <v>1365</v>
      </c>
      <c r="B353" s="18">
        <v>350</v>
      </c>
      <c r="C353" s="899"/>
      <c r="D353" s="270"/>
    </row>
    <row r="354" spans="1:4" ht="13.2">
      <c r="A354" s="17" t="s">
        <v>1366</v>
      </c>
      <c r="B354" s="18">
        <v>350</v>
      </c>
      <c r="C354" s="899"/>
      <c r="D354" s="270"/>
    </row>
    <row r="355" spans="1:4" ht="13.2">
      <c r="A355" s="17" t="s">
        <v>1367</v>
      </c>
      <c r="B355" s="18">
        <v>350</v>
      </c>
      <c r="C355" s="899"/>
      <c r="D355" s="270"/>
    </row>
    <row r="356" spans="1:4" ht="13.2">
      <c r="A356" s="17" t="s">
        <v>1368</v>
      </c>
      <c r="B356" s="18">
        <v>350</v>
      </c>
      <c r="C356" s="899"/>
      <c r="D356" s="270"/>
    </row>
    <row r="357" spans="1:4" ht="13.2">
      <c r="A357" s="17" t="s">
        <v>1369</v>
      </c>
      <c r="B357" s="18">
        <v>350</v>
      </c>
      <c r="C357" s="899"/>
      <c r="D357" s="270"/>
    </row>
    <row r="358" spans="1:4" ht="13.2">
      <c r="A358" s="17" t="s">
        <v>1370</v>
      </c>
      <c r="B358" s="18">
        <v>350</v>
      </c>
      <c r="C358" s="899"/>
      <c r="D358" s="270"/>
    </row>
    <row r="359" spans="1:4" ht="13.2">
      <c r="A359" s="17" t="s">
        <v>1371</v>
      </c>
      <c r="B359" s="18">
        <v>350</v>
      </c>
      <c r="C359" s="899"/>
      <c r="D359" s="270"/>
    </row>
    <row r="360" spans="1:4" ht="13.2">
      <c r="A360" s="17" t="s">
        <v>1372</v>
      </c>
      <c r="B360" s="18">
        <v>350</v>
      </c>
      <c r="C360" s="899"/>
      <c r="D360" s="270"/>
    </row>
    <row r="361" spans="1:4" ht="13.2">
      <c r="A361" s="17" t="s">
        <v>1373</v>
      </c>
      <c r="B361" s="18">
        <v>350</v>
      </c>
      <c r="C361" s="899"/>
      <c r="D361" s="270"/>
    </row>
    <row r="362" spans="1:4" ht="13.2">
      <c r="A362" s="17" t="s">
        <v>1374</v>
      </c>
      <c r="B362" s="18">
        <v>350</v>
      </c>
      <c r="C362" s="899"/>
      <c r="D362" s="270"/>
    </row>
    <row r="363" spans="1:4" ht="13.2">
      <c r="A363" s="17" t="s">
        <v>1375</v>
      </c>
      <c r="B363" s="18">
        <v>350</v>
      </c>
      <c r="C363" s="899"/>
      <c r="D363" s="270"/>
    </row>
    <row r="364" spans="1:4" ht="13.2">
      <c r="A364" s="17" t="s">
        <v>1376</v>
      </c>
      <c r="B364" s="18">
        <v>350</v>
      </c>
      <c r="C364" s="899"/>
      <c r="D364" s="270"/>
    </row>
    <row r="365" spans="1:4" ht="13.2">
      <c r="A365" s="17" t="s">
        <v>1377</v>
      </c>
      <c r="B365" s="18">
        <v>350</v>
      </c>
      <c r="C365" s="899"/>
      <c r="D365" s="270"/>
    </row>
    <row r="366" spans="1:4" ht="13.2">
      <c r="A366" s="17" t="s">
        <v>1378</v>
      </c>
      <c r="B366" s="18">
        <v>350</v>
      </c>
      <c r="C366" s="899"/>
      <c r="D366" s="270"/>
    </row>
    <row r="367" spans="1:4" ht="13.2">
      <c r="A367" s="17" t="s">
        <v>1379</v>
      </c>
      <c r="B367" s="18">
        <v>350</v>
      </c>
      <c r="C367" s="899"/>
      <c r="D367" s="270"/>
    </row>
    <row r="368" spans="1:4" ht="13.2">
      <c r="A368" s="17" t="s">
        <v>1380</v>
      </c>
      <c r="B368" s="18">
        <v>350</v>
      </c>
      <c r="C368" s="899"/>
      <c r="D368" s="270"/>
    </row>
    <row r="369" spans="1:4" ht="13.2">
      <c r="A369" s="17" t="s">
        <v>1381</v>
      </c>
      <c r="B369" s="18">
        <v>350</v>
      </c>
      <c r="C369" s="899"/>
      <c r="D369" s="270"/>
    </row>
    <row r="370" spans="1:4" ht="13.2">
      <c r="A370" s="17" t="s">
        <v>1382</v>
      </c>
      <c r="B370" s="18">
        <v>350</v>
      </c>
      <c r="C370" s="899"/>
      <c r="D370" s="270"/>
    </row>
    <row r="371" spans="1:4" ht="13.2">
      <c r="A371" s="17" t="s">
        <v>1383</v>
      </c>
      <c r="B371" s="18">
        <v>350</v>
      </c>
      <c r="C371" s="899"/>
      <c r="D371" s="270"/>
    </row>
    <row r="372" spans="1:4" ht="13.2">
      <c r="A372" s="17" t="s">
        <v>1384</v>
      </c>
      <c r="B372" s="18">
        <v>350</v>
      </c>
      <c r="C372" s="899"/>
      <c r="D372" s="270"/>
    </row>
    <row r="373" spans="1:4" ht="13.2">
      <c r="A373" s="17" t="s">
        <v>1385</v>
      </c>
      <c r="B373" s="18">
        <v>350</v>
      </c>
      <c r="C373" s="899"/>
      <c r="D373" s="270"/>
    </row>
    <row r="374" spans="1:4" ht="13.2">
      <c r="A374" s="17" t="s">
        <v>1386</v>
      </c>
      <c r="B374" s="18">
        <v>350</v>
      </c>
      <c r="C374" s="899"/>
      <c r="D374" s="270"/>
    </row>
    <row r="375" spans="1:4" ht="13.2">
      <c r="A375" s="17" t="s">
        <v>1387</v>
      </c>
      <c r="B375" s="18">
        <v>350</v>
      </c>
      <c r="C375" s="899"/>
      <c r="D375" s="270"/>
    </row>
    <row r="376" spans="1:4" ht="13.2">
      <c r="A376" s="17" t="s">
        <v>1388</v>
      </c>
      <c r="B376" s="18">
        <v>350</v>
      </c>
      <c r="C376" s="899"/>
      <c r="D376" s="270"/>
    </row>
    <row r="377" spans="1:4" ht="13.2">
      <c r="A377" s="17" t="s">
        <v>1389</v>
      </c>
      <c r="B377" s="18">
        <v>350</v>
      </c>
      <c r="C377" s="899"/>
      <c r="D377" s="270"/>
    </row>
    <row r="378" spans="1:4" ht="13.2">
      <c r="A378" s="17" t="s">
        <v>1390</v>
      </c>
      <c r="B378" s="18">
        <v>350</v>
      </c>
      <c r="C378" s="899"/>
      <c r="D378" s="270"/>
    </row>
    <row r="379" spans="1:4" ht="13.2">
      <c r="A379" s="17" t="s">
        <v>1391</v>
      </c>
      <c r="B379" s="18">
        <v>350</v>
      </c>
      <c r="C379" s="899"/>
      <c r="D379" s="270"/>
    </row>
    <row r="380" spans="1:4" ht="13.2">
      <c r="A380" s="17" t="s">
        <v>1392</v>
      </c>
      <c r="B380" s="18">
        <v>350</v>
      </c>
      <c r="C380" s="899"/>
      <c r="D380" s="270"/>
    </row>
    <row r="381" spans="1:4" ht="13.2">
      <c r="A381" s="17" t="s">
        <v>1393</v>
      </c>
      <c r="B381" s="18">
        <v>350</v>
      </c>
      <c r="C381" s="899"/>
      <c r="D381" s="270"/>
    </row>
    <row r="382" spans="1:4" ht="13.2">
      <c r="A382" s="17" t="s">
        <v>1394</v>
      </c>
      <c r="B382" s="18">
        <v>350</v>
      </c>
      <c r="C382" s="899"/>
      <c r="D382" s="270"/>
    </row>
    <row r="383" spans="1:4" ht="13.2">
      <c r="A383" s="17" t="s">
        <v>1395</v>
      </c>
      <c r="B383" s="18">
        <v>350</v>
      </c>
      <c r="C383" s="899"/>
      <c r="D383" s="270"/>
    </row>
    <row r="384" spans="1:4" ht="13.2">
      <c r="A384" s="17" t="s">
        <v>1396</v>
      </c>
      <c r="B384" s="18">
        <v>350</v>
      </c>
      <c r="C384" s="899"/>
      <c r="D384" s="270"/>
    </row>
    <row r="385" spans="1:4" ht="13.2">
      <c r="A385" s="17" t="s">
        <v>1397</v>
      </c>
      <c r="B385" s="18">
        <v>350</v>
      </c>
      <c r="C385" s="899"/>
      <c r="D385" s="270"/>
    </row>
    <row r="386" spans="1:4" ht="13.2">
      <c r="A386" s="17" t="s">
        <v>1398</v>
      </c>
      <c r="B386" s="18">
        <v>350</v>
      </c>
      <c r="C386" s="899"/>
      <c r="D386" s="270"/>
    </row>
    <row r="387" spans="1:4" ht="13.2">
      <c r="A387" s="17" t="s">
        <v>1399</v>
      </c>
      <c r="B387" s="18">
        <v>350</v>
      </c>
      <c r="C387" s="899"/>
      <c r="D387" s="270"/>
    </row>
    <row r="388" spans="1:4" ht="13.2">
      <c r="A388" s="17" t="s">
        <v>1400</v>
      </c>
      <c r="B388" s="18">
        <v>350</v>
      </c>
      <c r="C388" s="899"/>
      <c r="D388" s="270"/>
    </row>
    <row r="389" spans="1:4" ht="13.2">
      <c r="A389" s="17" t="s">
        <v>1401</v>
      </c>
      <c r="B389" s="18">
        <v>350</v>
      </c>
      <c r="C389" s="899"/>
      <c r="D389" s="270"/>
    </row>
    <row r="390" spans="1:4" ht="13.2">
      <c r="A390" s="17" t="s">
        <v>1402</v>
      </c>
      <c r="B390" s="18">
        <v>350</v>
      </c>
      <c r="C390" s="899"/>
      <c r="D390" s="270"/>
    </row>
    <row r="391" spans="1:4" ht="13.2">
      <c r="A391" s="17" t="s">
        <v>1403</v>
      </c>
      <c r="B391" s="18">
        <v>350</v>
      </c>
      <c r="C391" s="899"/>
      <c r="D391" s="270"/>
    </row>
    <row r="392" spans="1:4" ht="13.2">
      <c r="A392" s="17" t="s">
        <v>1404</v>
      </c>
      <c r="B392" s="18">
        <v>350</v>
      </c>
      <c r="C392" s="899"/>
      <c r="D392" s="270"/>
    </row>
    <row r="393" spans="1:4" ht="13.2">
      <c r="A393" s="17" t="s">
        <v>1405</v>
      </c>
      <c r="B393" s="18">
        <v>350</v>
      </c>
      <c r="C393" s="899"/>
      <c r="D393" s="270"/>
    </row>
    <row r="394" spans="1:4" ht="13.2">
      <c r="A394" s="17" t="s">
        <v>1406</v>
      </c>
      <c r="B394" s="18">
        <v>350</v>
      </c>
      <c r="C394" s="899"/>
      <c r="D394" s="270"/>
    </row>
    <row r="395" spans="1:4" ht="13.2">
      <c r="A395" s="17" t="s">
        <v>1407</v>
      </c>
      <c r="B395" s="18">
        <v>350</v>
      </c>
      <c r="C395" s="899"/>
      <c r="D395" s="270"/>
    </row>
    <row r="396" spans="1:4" ht="13.2">
      <c r="A396" s="17" t="s">
        <v>1408</v>
      </c>
      <c r="B396" s="18">
        <v>350</v>
      </c>
      <c r="C396" s="899"/>
      <c r="D396" s="270"/>
    </row>
    <row r="397" spans="1:4" ht="13.2">
      <c r="A397" s="17" t="s">
        <v>1409</v>
      </c>
      <c r="B397" s="18">
        <v>350</v>
      </c>
      <c r="C397" s="899"/>
      <c r="D397" s="270"/>
    </row>
    <row r="398" spans="1:4" ht="13.2">
      <c r="A398" s="17" t="s">
        <v>1410</v>
      </c>
      <c r="B398" s="18">
        <v>350</v>
      </c>
      <c r="C398" s="899"/>
      <c r="D398" s="270"/>
    </row>
    <row r="399" spans="1:4" ht="13.2">
      <c r="A399" s="17" t="s">
        <v>1411</v>
      </c>
      <c r="B399" s="18">
        <v>350</v>
      </c>
      <c r="C399" s="899"/>
      <c r="D399" s="270"/>
    </row>
    <row r="400" spans="1:4" ht="13.2">
      <c r="A400" s="17" t="s">
        <v>1412</v>
      </c>
      <c r="B400" s="18">
        <v>350</v>
      </c>
      <c r="C400" s="899"/>
      <c r="D400" s="270"/>
    </row>
    <row r="401" spans="1:4" ht="13.2">
      <c r="A401" s="17" t="s">
        <v>1413</v>
      </c>
      <c r="B401" s="18">
        <v>350</v>
      </c>
      <c r="C401" s="899"/>
      <c r="D401" s="270"/>
    </row>
    <row r="402" spans="1:4" ht="13.2">
      <c r="A402" s="17" t="s">
        <v>1360</v>
      </c>
      <c r="B402" s="18">
        <v>350</v>
      </c>
      <c r="C402" s="899"/>
      <c r="D402" s="270"/>
    </row>
    <row r="403" spans="1:4" ht="13.2">
      <c r="A403" s="17" t="s">
        <v>1414</v>
      </c>
      <c r="B403" s="18">
        <v>350</v>
      </c>
      <c r="C403" s="899"/>
      <c r="D403" s="270"/>
    </row>
    <row r="404" spans="1:4" ht="13.2">
      <c r="A404" s="17" t="s">
        <v>1415</v>
      </c>
      <c r="B404" s="18">
        <v>350</v>
      </c>
      <c r="C404" s="899"/>
      <c r="D404" s="270"/>
    </row>
    <row r="405" spans="1:4" ht="13.2">
      <c r="A405" s="266" t="s">
        <v>1416</v>
      </c>
      <c r="B405" s="18">
        <v>350</v>
      </c>
      <c r="C405" s="899"/>
      <c r="D405" s="270"/>
    </row>
    <row r="406" spans="1:4" ht="13.2">
      <c r="A406" s="17" t="s">
        <v>365</v>
      </c>
      <c r="B406" s="18">
        <v>290</v>
      </c>
      <c r="C406" s="899"/>
      <c r="D406" s="269"/>
    </row>
    <row r="407" spans="1:4" ht="13.2">
      <c r="A407" s="17" t="s">
        <v>366</v>
      </c>
      <c r="B407" s="18">
        <v>290</v>
      </c>
      <c r="C407" s="899"/>
      <c r="D407" s="269"/>
    </row>
    <row r="408" spans="1:4" ht="13.2">
      <c r="A408" s="17" t="s">
        <v>367</v>
      </c>
      <c r="B408" s="18">
        <v>290</v>
      </c>
      <c r="C408" s="899"/>
      <c r="D408" s="269"/>
    </row>
    <row r="409" spans="1:4" ht="13.2">
      <c r="A409" s="17" t="s">
        <v>368</v>
      </c>
      <c r="B409" s="18">
        <v>290</v>
      </c>
      <c r="C409" s="899"/>
      <c r="D409" s="269"/>
    </row>
    <row r="410" spans="1:4" ht="13.2">
      <c r="A410" s="17" t="s">
        <v>1238</v>
      </c>
      <c r="B410" s="18">
        <v>290</v>
      </c>
      <c r="C410" s="899"/>
      <c r="D410" s="269"/>
    </row>
    <row r="411" spans="1:4" ht="13.2">
      <c r="A411" s="17" t="s">
        <v>369</v>
      </c>
      <c r="B411" s="18">
        <v>290</v>
      </c>
      <c r="C411" s="899"/>
      <c r="D411" s="269"/>
    </row>
    <row r="412" spans="1:4" ht="13.2">
      <c r="A412" s="17" t="s">
        <v>1239</v>
      </c>
      <c r="B412" s="18">
        <v>290</v>
      </c>
      <c r="C412" s="899"/>
      <c r="D412" s="269"/>
    </row>
    <row r="413" spans="1:4" ht="13.2">
      <c r="A413" s="17" t="s">
        <v>370</v>
      </c>
      <c r="B413" s="18">
        <v>290</v>
      </c>
      <c r="C413" s="899"/>
      <c r="D413" s="269"/>
    </row>
    <row r="414" spans="1:4" ht="13.2">
      <c r="A414" s="17" t="s">
        <v>1240</v>
      </c>
      <c r="B414" s="18">
        <v>290</v>
      </c>
      <c r="C414" s="899"/>
      <c r="D414" s="269"/>
    </row>
    <row r="415" spans="1:4" ht="13.2">
      <c r="A415" s="17" t="s">
        <v>371</v>
      </c>
      <c r="B415" s="18">
        <v>290</v>
      </c>
      <c r="C415" s="899"/>
      <c r="D415" s="269"/>
    </row>
    <row r="416" spans="1:4" ht="13.2">
      <c r="A416" s="17" t="s">
        <v>372</v>
      </c>
      <c r="B416" s="18">
        <v>290</v>
      </c>
      <c r="C416" s="899"/>
      <c r="D416" s="269"/>
    </row>
    <row r="417" spans="1:4" ht="13.2">
      <c r="A417" s="17" t="s">
        <v>373</v>
      </c>
      <c r="B417" s="18">
        <v>290</v>
      </c>
      <c r="C417" s="899"/>
      <c r="D417" s="269"/>
    </row>
    <row r="418" spans="1:4" ht="13.2">
      <c r="A418" s="17" t="s">
        <v>374</v>
      </c>
      <c r="B418" s="18">
        <v>290</v>
      </c>
      <c r="C418" s="899"/>
      <c r="D418" s="269"/>
    </row>
    <row r="419" spans="1:4" ht="13.2">
      <c r="A419" s="17" t="s">
        <v>375</v>
      </c>
      <c r="B419" s="18">
        <v>290</v>
      </c>
      <c r="C419" s="899"/>
      <c r="D419" s="269"/>
    </row>
    <row r="420" spans="1:4" ht="13.2">
      <c r="A420" s="17" t="s">
        <v>376</v>
      </c>
      <c r="B420" s="18">
        <v>290</v>
      </c>
      <c r="C420" s="899"/>
      <c r="D420" s="269"/>
    </row>
    <row r="421" spans="1:4" ht="13.2">
      <c r="A421" s="17" t="s">
        <v>377</v>
      </c>
      <c r="B421" s="18">
        <v>290</v>
      </c>
      <c r="C421" s="899"/>
      <c r="D421" s="269"/>
    </row>
    <row r="422" spans="1:4" ht="13.2">
      <c r="A422" s="17" t="s">
        <v>378</v>
      </c>
      <c r="B422" s="18">
        <v>290</v>
      </c>
      <c r="C422" s="899"/>
      <c r="D422" s="269"/>
    </row>
    <row r="423" spans="1:4" ht="13.2">
      <c r="A423" s="17" t="s">
        <v>379</v>
      </c>
      <c r="B423" s="18">
        <v>290</v>
      </c>
      <c r="C423" s="899"/>
      <c r="D423" s="269"/>
    </row>
    <row r="424" spans="1:4" ht="13.2">
      <c r="A424" s="17" t="s">
        <v>380</v>
      </c>
      <c r="B424" s="18">
        <v>290</v>
      </c>
      <c r="C424" s="899"/>
      <c r="D424" s="269"/>
    </row>
    <row r="425" spans="1:4" ht="13.2">
      <c r="A425" s="17" t="s">
        <v>381</v>
      </c>
      <c r="B425" s="18">
        <v>290</v>
      </c>
      <c r="C425" s="899"/>
      <c r="D425" s="269"/>
    </row>
    <row r="426" spans="1:4" ht="13.2">
      <c r="A426" s="17" t="s">
        <v>382</v>
      </c>
      <c r="B426" s="18">
        <v>290</v>
      </c>
      <c r="C426" s="899"/>
      <c r="D426" s="269"/>
    </row>
    <row r="427" spans="1:4" ht="13.2">
      <c r="A427" s="17" t="s">
        <v>383</v>
      </c>
      <c r="B427" s="18">
        <v>290</v>
      </c>
      <c r="C427" s="899"/>
      <c r="D427" s="269"/>
    </row>
    <row r="428" spans="1:4" ht="13.2">
      <c r="A428" s="17" t="s">
        <v>384</v>
      </c>
      <c r="B428" s="18">
        <v>290</v>
      </c>
      <c r="C428" s="899"/>
      <c r="D428" s="269"/>
    </row>
    <row r="429" spans="1:4" ht="13.2">
      <c r="A429" s="17" t="s">
        <v>1241</v>
      </c>
      <c r="B429" s="18">
        <v>290</v>
      </c>
      <c r="C429" s="899"/>
      <c r="D429" s="269"/>
    </row>
    <row r="430" spans="1:4" ht="13.2">
      <c r="A430" s="17" t="s">
        <v>385</v>
      </c>
      <c r="B430" s="18">
        <v>290</v>
      </c>
      <c r="C430" s="899"/>
      <c r="D430" s="269"/>
    </row>
    <row r="431" spans="1:4" ht="13.2">
      <c r="A431" s="17" t="s">
        <v>1242</v>
      </c>
      <c r="B431" s="18">
        <v>290</v>
      </c>
      <c r="C431" s="899"/>
      <c r="D431" s="269"/>
    </row>
    <row r="432" spans="1:4" ht="13.2">
      <c r="A432" s="17" t="s">
        <v>386</v>
      </c>
      <c r="B432" s="18">
        <v>290</v>
      </c>
      <c r="C432" s="899"/>
      <c r="D432" s="269"/>
    </row>
    <row r="433" spans="1:4" ht="13.2">
      <c r="A433" s="17" t="s">
        <v>1243</v>
      </c>
      <c r="B433" s="18">
        <v>290</v>
      </c>
      <c r="C433" s="899"/>
      <c r="D433" s="269"/>
    </row>
    <row r="434" spans="1:4" ht="13.2">
      <c r="A434" s="17" t="s">
        <v>387</v>
      </c>
      <c r="B434" s="18">
        <v>290</v>
      </c>
      <c r="C434" s="899"/>
      <c r="D434" s="269"/>
    </row>
    <row r="435" spans="1:4" ht="13.2">
      <c r="A435" s="17" t="s">
        <v>388</v>
      </c>
      <c r="B435" s="18">
        <v>290</v>
      </c>
      <c r="C435" s="899"/>
      <c r="D435" s="269"/>
    </row>
    <row r="436" spans="1:4" ht="13.2">
      <c r="A436" s="17" t="s">
        <v>389</v>
      </c>
      <c r="B436" s="18">
        <v>290</v>
      </c>
      <c r="C436" s="899"/>
      <c r="D436" s="269"/>
    </row>
    <row r="437" spans="1:4" ht="13.2">
      <c r="A437" s="17" t="s">
        <v>390</v>
      </c>
      <c r="B437" s="18">
        <v>290</v>
      </c>
      <c r="C437" s="899"/>
      <c r="D437" s="269"/>
    </row>
    <row r="438" spans="1:4" ht="13.2">
      <c r="A438" s="17" t="s">
        <v>391</v>
      </c>
      <c r="B438" s="18">
        <v>290</v>
      </c>
      <c r="C438" s="899"/>
      <c r="D438" s="269"/>
    </row>
    <row r="439" spans="1:4" ht="13.2">
      <c r="A439" s="17" t="s">
        <v>392</v>
      </c>
      <c r="B439" s="18">
        <v>290</v>
      </c>
      <c r="C439" s="899"/>
      <c r="D439" s="269"/>
    </row>
    <row r="440" spans="1:4" ht="13.2">
      <c r="A440" s="17" t="s">
        <v>393</v>
      </c>
      <c r="B440" s="18">
        <v>290</v>
      </c>
      <c r="C440" s="899"/>
      <c r="D440" s="269"/>
    </row>
    <row r="441" spans="1:4" ht="13.2">
      <c r="A441" s="17" t="s">
        <v>394</v>
      </c>
      <c r="B441" s="18">
        <v>290</v>
      </c>
      <c r="C441" s="899"/>
      <c r="D441" s="269"/>
    </row>
    <row r="442" spans="1:4" ht="13.2">
      <c r="A442" s="17" t="s">
        <v>395</v>
      </c>
      <c r="B442" s="18">
        <v>290</v>
      </c>
      <c r="C442" s="899"/>
      <c r="D442" s="269"/>
    </row>
    <row r="443" spans="1:4" ht="13.2">
      <c r="A443" s="17" t="s">
        <v>396</v>
      </c>
      <c r="B443" s="18">
        <v>290</v>
      </c>
      <c r="C443" s="899"/>
      <c r="D443" s="269"/>
    </row>
    <row r="444" spans="1:4" ht="13.2">
      <c r="A444" s="17" t="s">
        <v>397</v>
      </c>
      <c r="B444" s="18">
        <v>290</v>
      </c>
      <c r="C444" s="899"/>
      <c r="D444" s="269"/>
    </row>
    <row r="445" spans="1:4" ht="13.2">
      <c r="A445" s="17" t="s">
        <v>398</v>
      </c>
      <c r="B445" s="18">
        <v>290</v>
      </c>
      <c r="C445" s="899"/>
      <c r="D445" s="269"/>
    </row>
    <row r="446" spans="1:4" ht="13.2">
      <c r="A446" s="17" t="s">
        <v>399</v>
      </c>
      <c r="B446" s="18">
        <v>290</v>
      </c>
      <c r="C446" s="899"/>
      <c r="D446" s="269"/>
    </row>
    <row r="447" spans="1:4" ht="13.2">
      <c r="A447" s="17" t="s">
        <v>400</v>
      </c>
      <c r="B447" s="18">
        <v>290</v>
      </c>
      <c r="C447" s="899"/>
      <c r="D447" s="269"/>
    </row>
    <row r="448" spans="1:4" ht="13.2">
      <c r="A448" s="17" t="s">
        <v>1244</v>
      </c>
      <c r="B448" s="18">
        <v>290</v>
      </c>
      <c r="C448" s="899"/>
      <c r="D448" s="269"/>
    </row>
    <row r="449" spans="1:4" ht="13.2">
      <c r="A449" s="17" t="s">
        <v>401</v>
      </c>
      <c r="B449" s="18">
        <v>290</v>
      </c>
      <c r="C449" s="899"/>
      <c r="D449" s="269"/>
    </row>
    <row r="450" spans="1:4" ht="13.2">
      <c r="A450" s="17" t="s">
        <v>1245</v>
      </c>
      <c r="B450" s="18">
        <v>290</v>
      </c>
      <c r="C450" s="899"/>
      <c r="D450" s="269"/>
    </row>
    <row r="451" spans="1:4" ht="13.2">
      <c r="A451" s="17" t="s">
        <v>402</v>
      </c>
      <c r="B451" s="18">
        <v>290</v>
      </c>
      <c r="C451" s="899"/>
      <c r="D451" s="269"/>
    </row>
    <row r="452" spans="1:4" ht="13.2">
      <c r="A452" s="17" t="s">
        <v>1246</v>
      </c>
      <c r="B452" s="18">
        <v>290</v>
      </c>
      <c r="C452" s="899"/>
      <c r="D452" s="269"/>
    </row>
    <row r="453" spans="1:4" ht="13.2">
      <c r="A453" s="17" t="s">
        <v>403</v>
      </c>
      <c r="B453" s="18">
        <v>290</v>
      </c>
      <c r="C453" s="899"/>
      <c r="D453" s="269"/>
    </row>
    <row r="454" spans="1:4" ht="13.2">
      <c r="A454" s="17" t="s">
        <v>404</v>
      </c>
      <c r="B454" s="18">
        <v>290</v>
      </c>
      <c r="C454" s="899"/>
      <c r="D454" s="269"/>
    </row>
    <row r="455" spans="1:4" ht="13.2">
      <c r="A455" s="17" t="s">
        <v>405</v>
      </c>
      <c r="B455" s="18">
        <v>290</v>
      </c>
      <c r="C455" s="899"/>
      <c r="D455" s="269"/>
    </row>
    <row r="456" spans="1:4" ht="13.2">
      <c r="A456" s="17" t="s">
        <v>406</v>
      </c>
      <c r="B456" s="18">
        <v>290</v>
      </c>
      <c r="C456" s="899"/>
      <c r="D456" s="269"/>
    </row>
    <row r="457" spans="1:4" ht="13.2">
      <c r="A457" s="17" t="s">
        <v>407</v>
      </c>
      <c r="B457" s="18">
        <v>290</v>
      </c>
      <c r="C457" s="899"/>
      <c r="D457" s="269"/>
    </row>
    <row r="458" spans="1:4" ht="13.2">
      <c r="A458" s="17" t="s">
        <v>408</v>
      </c>
      <c r="B458" s="18">
        <v>290</v>
      </c>
      <c r="C458" s="899"/>
      <c r="D458" s="269"/>
    </row>
    <row r="459" spans="1:4" ht="13.2">
      <c r="A459" s="17" t="s">
        <v>409</v>
      </c>
      <c r="B459" s="18">
        <v>290</v>
      </c>
      <c r="C459" s="899"/>
      <c r="D459" s="269"/>
    </row>
    <row r="460" spans="1:4" ht="13.2">
      <c r="A460" s="17" t="s">
        <v>410</v>
      </c>
      <c r="B460" s="18">
        <v>290</v>
      </c>
      <c r="C460" s="899"/>
      <c r="D460" s="269"/>
    </row>
    <row r="461" spans="1:4" ht="13.2">
      <c r="A461" s="17" t="s">
        <v>411</v>
      </c>
      <c r="B461" s="18">
        <v>290</v>
      </c>
      <c r="C461" s="899"/>
      <c r="D461" s="269"/>
    </row>
    <row r="462" spans="1:4" ht="13.8" thickBot="1">
      <c r="A462" s="23" t="s">
        <v>412</v>
      </c>
      <c r="B462" s="24">
        <v>290</v>
      </c>
      <c r="C462" s="900"/>
      <c r="D462" s="269"/>
    </row>
    <row r="463" spans="1:4" ht="13.2">
      <c r="A463" s="21" t="s">
        <v>413</v>
      </c>
      <c r="B463" s="22">
        <v>270</v>
      </c>
      <c r="C463" s="890" t="s">
        <v>414</v>
      </c>
      <c r="D463" s="269"/>
    </row>
    <row r="464" spans="1:4" ht="13.2">
      <c r="A464" s="17" t="s">
        <v>415</v>
      </c>
      <c r="B464" s="18">
        <v>270</v>
      </c>
      <c r="C464" s="891"/>
      <c r="D464" s="269"/>
    </row>
    <row r="465" spans="1:4" ht="13.2">
      <c r="A465" s="17" t="s">
        <v>416</v>
      </c>
      <c r="B465" s="18">
        <v>270</v>
      </c>
      <c r="C465" s="891"/>
      <c r="D465" s="269"/>
    </row>
    <row r="466" spans="1:4" ht="13.2">
      <c r="A466" s="17" t="s">
        <v>417</v>
      </c>
      <c r="B466" s="18">
        <v>270</v>
      </c>
      <c r="C466" s="891"/>
      <c r="D466" s="269"/>
    </row>
    <row r="467" spans="1:4" ht="13.2">
      <c r="A467" s="17" t="s">
        <v>418</v>
      </c>
      <c r="B467" s="18">
        <v>270</v>
      </c>
      <c r="C467" s="891"/>
      <c r="D467" s="269"/>
    </row>
    <row r="468" spans="1:4" ht="13.2">
      <c r="A468" s="17" t="s">
        <v>419</v>
      </c>
      <c r="B468" s="18">
        <v>270</v>
      </c>
      <c r="C468" s="891"/>
      <c r="D468" s="269"/>
    </row>
    <row r="469" spans="1:4" ht="13.2">
      <c r="A469" s="17" t="s">
        <v>420</v>
      </c>
      <c r="B469" s="18">
        <v>270</v>
      </c>
      <c r="C469" s="891"/>
      <c r="D469" s="269"/>
    </row>
    <row r="470" spans="1:4" ht="13.2">
      <c r="A470" s="17" t="s">
        <v>421</v>
      </c>
      <c r="B470" s="18">
        <v>270</v>
      </c>
      <c r="C470" s="891"/>
      <c r="D470" s="269"/>
    </row>
    <row r="471" spans="1:4" ht="13.2">
      <c r="A471" s="17" t="s">
        <v>422</v>
      </c>
      <c r="B471" s="18">
        <v>270</v>
      </c>
      <c r="C471" s="891"/>
      <c r="D471" s="269"/>
    </row>
    <row r="472" spans="1:4" ht="13.2">
      <c r="A472" s="17" t="s">
        <v>423</v>
      </c>
      <c r="B472" s="18">
        <v>270</v>
      </c>
      <c r="C472" s="891"/>
      <c r="D472" s="269"/>
    </row>
    <row r="473" spans="1:4" ht="13.2">
      <c r="A473" s="17" t="s">
        <v>424</v>
      </c>
      <c r="B473" s="18">
        <v>270</v>
      </c>
      <c r="C473" s="891"/>
      <c r="D473" s="269"/>
    </row>
    <row r="474" spans="1:4" ht="13.2">
      <c r="A474" s="17" t="s">
        <v>425</v>
      </c>
      <c r="B474" s="18">
        <v>270</v>
      </c>
      <c r="C474" s="891"/>
      <c r="D474" s="269"/>
    </row>
    <row r="475" spans="1:4" ht="13.2">
      <c r="A475" s="17" t="s">
        <v>426</v>
      </c>
      <c r="B475" s="18">
        <v>270</v>
      </c>
      <c r="C475" s="891"/>
      <c r="D475" s="269"/>
    </row>
    <row r="476" spans="1:4" ht="13.2">
      <c r="A476" s="17" t="s">
        <v>427</v>
      </c>
      <c r="B476" s="18">
        <v>270</v>
      </c>
      <c r="C476" s="891"/>
      <c r="D476" s="269"/>
    </row>
    <row r="477" spans="1:4" ht="13.2">
      <c r="A477" s="17" t="s">
        <v>428</v>
      </c>
      <c r="B477" s="18">
        <v>270</v>
      </c>
      <c r="C477" s="891"/>
      <c r="D477" s="269"/>
    </row>
    <row r="478" spans="1:4" ht="13.2">
      <c r="A478" s="17" t="s">
        <v>429</v>
      </c>
      <c r="B478" s="18">
        <v>270</v>
      </c>
      <c r="C478" s="891"/>
      <c r="D478" s="269"/>
    </row>
    <row r="479" spans="1:4" ht="13.2">
      <c r="A479" s="17" t="s">
        <v>430</v>
      </c>
      <c r="B479" s="18">
        <v>300</v>
      </c>
      <c r="C479" s="891"/>
      <c r="D479" s="269"/>
    </row>
    <row r="480" spans="1:4" ht="13.2">
      <c r="A480" s="17" t="s">
        <v>431</v>
      </c>
      <c r="B480" s="18">
        <v>300</v>
      </c>
      <c r="C480" s="891"/>
      <c r="D480" s="269"/>
    </row>
    <row r="481" spans="1:4" ht="13.2">
      <c r="A481" s="17" t="s">
        <v>432</v>
      </c>
      <c r="B481" s="18">
        <v>300</v>
      </c>
      <c r="C481" s="891"/>
      <c r="D481" s="269"/>
    </row>
    <row r="482" spans="1:4" ht="13.2">
      <c r="A482" s="17" t="s">
        <v>433</v>
      </c>
      <c r="B482" s="18">
        <v>300</v>
      </c>
      <c r="C482" s="891"/>
      <c r="D482" s="269"/>
    </row>
    <row r="483" spans="1:4" ht="13.2">
      <c r="A483" s="17" t="s">
        <v>434</v>
      </c>
      <c r="B483" s="18">
        <v>300</v>
      </c>
      <c r="C483" s="891"/>
      <c r="D483" s="269"/>
    </row>
    <row r="484" spans="1:4" ht="13.2">
      <c r="A484" s="17" t="s">
        <v>435</v>
      </c>
      <c r="B484" s="18">
        <v>300</v>
      </c>
      <c r="C484" s="891"/>
      <c r="D484" s="269"/>
    </row>
    <row r="485" spans="1:4" ht="13.2">
      <c r="A485" s="17" t="s">
        <v>436</v>
      </c>
      <c r="B485" s="18">
        <v>300</v>
      </c>
      <c r="C485" s="891"/>
      <c r="D485" s="269"/>
    </row>
    <row r="486" spans="1:4" ht="13.2">
      <c r="A486" s="17" t="s">
        <v>437</v>
      </c>
      <c r="B486" s="18">
        <v>300</v>
      </c>
      <c r="C486" s="891"/>
      <c r="D486" s="269"/>
    </row>
    <row r="487" spans="1:4" ht="13.2">
      <c r="A487" s="17" t="s">
        <v>438</v>
      </c>
      <c r="B487" s="18">
        <v>300</v>
      </c>
      <c r="C487" s="891"/>
      <c r="D487" s="269"/>
    </row>
    <row r="488" spans="1:4" ht="13.2">
      <c r="A488" s="17" t="s">
        <v>439</v>
      </c>
      <c r="B488" s="18">
        <v>300</v>
      </c>
      <c r="C488" s="891"/>
      <c r="D488" s="269"/>
    </row>
    <row r="489" spans="1:4" ht="13.2">
      <c r="A489" s="17" t="s">
        <v>440</v>
      </c>
      <c r="B489" s="18">
        <v>300</v>
      </c>
      <c r="C489" s="891"/>
      <c r="D489" s="269"/>
    </row>
    <row r="490" spans="1:4" ht="13.2">
      <c r="A490" s="17" t="s">
        <v>441</v>
      </c>
      <c r="B490" s="18">
        <v>300</v>
      </c>
      <c r="C490" s="891"/>
      <c r="D490" s="269"/>
    </row>
    <row r="491" spans="1:4" ht="13.2">
      <c r="A491" s="17" t="s">
        <v>442</v>
      </c>
      <c r="B491" s="18">
        <v>300</v>
      </c>
      <c r="C491" s="891"/>
      <c r="D491" s="269"/>
    </row>
    <row r="492" spans="1:4" ht="13.2">
      <c r="A492" s="17" t="s">
        <v>443</v>
      </c>
      <c r="B492" s="18">
        <v>300</v>
      </c>
      <c r="C492" s="891"/>
      <c r="D492" s="269"/>
    </row>
    <row r="493" spans="1:4" ht="13.2">
      <c r="A493" s="17" t="s">
        <v>444</v>
      </c>
      <c r="B493" s="18">
        <v>300</v>
      </c>
      <c r="C493" s="891"/>
      <c r="D493" s="269"/>
    </row>
    <row r="494" spans="1:4" ht="13.2">
      <c r="A494" s="17" t="s">
        <v>445</v>
      </c>
      <c r="B494" s="18">
        <v>300</v>
      </c>
      <c r="C494" s="891"/>
      <c r="D494" s="269"/>
    </row>
    <row r="495" spans="1:4" ht="13.2">
      <c r="A495" s="17" t="s">
        <v>446</v>
      </c>
      <c r="B495" s="18">
        <v>240</v>
      </c>
      <c r="C495" s="891"/>
      <c r="D495" s="269"/>
    </row>
    <row r="496" spans="1:4" ht="13.2">
      <c r="A496" s="17" t="s">
        <v>447</v>
      </c>
      <c r="B496" s="18">
        <v>240</v>
      </c>
      <c r="C496" s="891"/>
      <c r="D496" s="269"/>
    </row>
    <row r="497" spans="1:4" ht="13.2">
      <c r="A497" s="17" t="s">
        <v>448</v>
      </c>
      <c r="B497" s="18">
        <v>240</v>
      </c>
      <c r="C497" s="891"/>
      <c r="D497" s="269"/>
    </row>
    <row r="498" spans="1:4" ht="13.2">
      <c r="A498" s="17" t="s">
        <v>449</v>
      </c>
      <c r="B498" s="18">
        <v>240</v>
      </c>
      <c r="C498" s="891"/>
      <c r="D498" s="269"/>
    </row>
    <row r="499" spans="1:4" ht="13.2">
      <c r="A499" s="17" t="s">
        <v>450</v>
      </c>
      <c r="B499" s="18">
        <v>240</v>
      </c>
      <c r="C499" s="891"/>
      <c r="D499" s="269"/>
    </row>
    <row r="500" spans="1:4" ht="13.2">
      <c r="A500" s="17" t="s">
        <v>451</v>
      </c>
      <c r="B500" s="18">
        <v>240</v>
      </c>
      <c r="C500" s="891"/>
      <c r="D500" s="269"/>
    </row>
    <row r="501" spans="1:4" ht="13.2">
      <c r="A501" s="17" t="s">
        <v>452</v>
      </c>
      <c r="B501" s="18">
        <v>240</v>
      </c>
      <c r="C501" s="891"/>
      <c r="D501" s="269"/>
    </row>
    <row r="502" spans="1:4" ht="13.2">
      <c r="A502" s="17" t="s">
        <v>453</v>
      </c>
      <c r="B502" s="18">
        <v>240</v>
      </c>
      <c r="C502" s="891"/>
      <c r="D502" s="269"/>
    </row>
    <row r="503" spans="1:4" ht="13.2">
      <c r="A503" s="17" t="s">
        <v>454</v>
      </c>
      <c r="B503" s="18">
        <v>240</v>
      </c>
      <c r="C503" s="891"/>
      <c r="D503" s="269"/>
    </row>
    <row r="504" spans="1:4" ht="13.2">
      <c r="A504" s="17" t="s">
        <v>455</v>
      </c>
      <c r="B504" s="18">
        <v>240</v>
      </c>
      <c r="C504" s="891"/>
      <c r="D504" s="269"/>
    </row>
    <row r="505" spans="1:4" ht="13.2">
      <c r="A505" s="17" t="s">
        <v>456</v>
      </c>
      <c r="B505" s="18">
        <v>240</v>
      </c>
      <c r="C505" s="891"/>
      <c r="D505" s="269"/>
    </row>
    <row r="506" spans="1:4" ht="13.2">
      <c r="A506" s="17" t="s">
        <v>457</v>
      </c>
      <c r="B506" s="18">
        <v>240</v>
      </c>
      <c r="C506" s="891"/>
      <c r="D506" s="269"/>
    </row>
    <row r="507" spans="1:4" ht="13.2">
      <c r="A507" s="17" t="s">
        <v>458</v>
      </c>
      <c r="B507" s="18">
        <v>240</v>
      </c>
      <c r="C507" s="891"/>
      <c r="D507" s="269"/>
    </row>
    <row r="508" spans="1:4" ht="13.2">
      <c r="A508" s="17" t="s">
        <v>459</v>
      </c>
      <c r="B508" s="18">
        <v>240</v>
      </c>
      <c r="C508" s="891"/>
      <c r="D508" s="269"/>
    </row>
    <row r="509" spans="1:4" ht="13.2">
      <c r="A509" s="17" t="s">
        <v>460</v>
      </c>
      <c r="B509" s="18">
        <v>240</v>
      </c>
      <c r="C509" s="891"/>
      <c r="D509" s="269"/>
    </row>
    <row r="510" spans="1:4" ht="13.2">
      <c r="A510" s="17" t="s">
        <v>461</v>
      </c>
      <c r="B510" s="18">
        <v>240</v>
      </c>
      <c r="C510" s="891"/>
      <c r="D510" s="269"/>
    </row>
    <row r="511" spans="1:4" ht="13.2">
      <c r="A511" s="17" t="s">
        <v>462</v>
      </c>
      <c r="B511" s="18">
        <v>270</v>
      </c>
      <c r="C511" s="891"/>
      <c r="D511" s="269"/>
    </row>
    <row r="512" spans="1:4" ht="13.2">
      <c r="A512" s="17" t="s">
        <v>463</v>
      </c>
      <c r="B512" s="18">
        <v>270</v>
      </c>
      <c r="C512" s="891"/>
      <c r="D512" s="269"/>
    </row>
    <row r="513" spans="1:4" ht="13.2">
      <c r="A513" s="17" t="s">
        <v>464</v>
      </c>
      <c r="B513" s="18">
        <v>270</v>
      </c>
      <c r="C513" s="891"/>
      <c r="D513" s="269"/>
    </row>
    <row r="514" spans="1:4" ht="13.2">
      <c r="A514" s="17" t="s">
        <v>465</v>
      </c>
      <c r="B514" s="18">
        <v>270</v>
      </c>
      <c r="C514" s="891"/>
      <c r="D514" s="269"/>
    </row>
    <row r="515" spans="1:4" ht="13.2">
      <c r="A515" s="17" t="s">
        <v>466</v>
      </c>
      <c r="B515" s="18">
        <v>270</v>
      </c>
      <c r="C515" s="891"/>
      <c r="D515" s="269"/>
    </row>
    <row r="516" spans="1:4" ht="13.2">
      <c r="A516" s="17" t="s">
        <v>467</v>
      </c>
      <c r="B516" s="18">
        <v>270</v>
      </c>
      <c r="C516" s="891"/>
      <c r="D516" s="269"/>
    </row>
    <row r="517" spans="1:4" ht="13.2">
      <c r="A517" s="17" t="s">
        <v>468</v>
      </c>
      <c r="B517" s="18">
        <v>270</v>
      </c>
      <c r="C517" s="891"/>
      <c r="D517" s="269"/>
    </row>
    <row r="518" spans="1:4" ht="13.2">
      <c r="A518" s="17" t="s">
        <v>469</v>
      </c>
      <c r="B518" s="18">
        <v>270</v>
      </c>
      <c r="C518" s="891"/>
      <c r="D518" s="269"/>
    </row>
    <row r="519" spans="1:4" ht="13.2">
      <c r="A519" s="17" t="s">
        <v>470</v>
      </c>
      <c r="B519" s="18">
        <v>270</v>
      </c>
      <c r="C519" s="891"/>
      <c r="D519" s="269"/>
    </row>
    <row r="520" spans="1:4" ht="13.2">
      <c r="A520" s="17" t="s">
        <v>471</v>
      </c>
      <c r="B520" s="18">
        <v>270</v>
      </c>
      <c r="C520" s="891"/>
      <c r="D520" s="269"/>
    </row>
    <row r="521" spans="1:4" ht="13.2">
      <c r="A521" s="17" t="s">
        <v>472</v>
      </c>
      <c r="B521" s="18">
        <v>270</v>
      </c>
      <c r="C521" s="891"/>
      <c r="D521" s="269"/>
    </row>
    <row r="522" spans="1:4" ht="13.2">
      <c r="A522" s="17" t="s">
        <v>473</v>
      </c>
      <c r="B522" s="18">
        <v>270</v>
      </c>
      <c r="C522" s="891"/>
      <c r="D522" s="269"/>
    </row>
    <row r="523" spans="1:4" ht="13.2">
      <c r="A523" s="17" t="s">
        <v>474</v>
      </c>
      <c r="B523" s="18">
        <v>270</v>
      </c>
      <c r="C523" s="891"/>
      <c r="D523" s="269"/>
    </row>
    <row r="524" spans="1:4" ht="13.2">
      <c r="A524" s="17" t="s">
        <v>475</v>
      </c>
      <c r="B524" s="18">
        <v>270</v>
      </c>
      <c r="C524" s="891"/>
      <c r="D524" s="269"/>
    </row>
    <row r="525" spans="1:4" ht="13.2">
      <c r="A525" s="17" t="s">
        <v>476</v>
      </c>
      <c r="B525" s="18">
        <v>270</v>
      </c>
      <c r="C525" s="891"/>
      <c r="D525" s="269"/>
    </row>
    <row r="526" spans="1:4" ht="13.2">
      <c r="A526" s="17" t="s">
        <v>477</v>
      </c>
      <c r="B526" s="18">
        <v>270</v>
      </c>
      <c r="C526" s="891"/>
      <c r="D526" s="269"/>
    </row>
    <row r="527" spans="1:4" ht="13.2">
      <c r="A527" s="17" t="s">
        <v>478</v>
      </c>
      <c r="B527" s="18">
        <v>300</v>
      </c>
      <c r="C527" s="891"/>
      <c r="D527" s="269"/>
    </row>
    <row r="528" spans="1:4" ht="13.2">
      <c r="A528" s="17" t="s">
        <v>479</v>
      </c>
      <c r="B528" s="18">
        <v>300</v>
      </c>
      <c r="C528" s="891"/>
      <c r="D528" s="269"/>
    </row>
    <row r="529" spans="1:4" ht="13.2">
      <c r="A529" s="17" t="s">
        <v>480</v>
      </c>
      <c r="B529" s="18">
        <v>300</v>
      </c>
      <c r="C529" s="891"/>
      <c r="D529" s="269"/>
    </row>
    <row r="530" spans="1:4" ht="13.2">
      <c r="A530" s="17" t="s">
        <v>481</v>
      </c>
      <c r="B530" s="18">
        <v>300</v>
      </c>
      <c r="C530" s="891"/>
      <c r="D530" s="269"/>
    </row>
    <row r="531" spans="1:4" ht="13.2">
      <c r="A531" s="17" t="s">
        <v>482</v>
      </c>
      <c r="B531" s="18">
        <v>300</v>
      </c>
      <c r="C531" s="891"/>
      <c r="D531" s="269"/>
    </row>
    <row r="532" spans="1:4" ht="13.2">
      <c r="A532" s="17" t="s">
        <v>483</v>
      </c>
      <c r="B532" s="18">
        <v>300</v>
      </c>
      <c r="C532" s="891"/>
      <c r="D532" s="269"/>
    </row>
    <row r="533" spans="1:4" ht="13.2">
      <c r="A533" s="17" t="s">
        <v>484</v>
      </c>
      <c r="B533" s="18">
        <v>300</v>
      </c>
      <c r="C533" s="891"/>
      <c r="D533" s="269"/>
    </row>
    <row r="534" spans="1:4" ht="13.2">
      <c r="A534" s="17" t="s">
        <v>485</v>
      </c>
      <c r="B534" s="18">
        <v>300</v>
      </c>
      <c r="C534" s="891"/>
      <c r="D534" s="269"/>
    </row>
    <row r="535" spans="1:4" ht="13.2">
      <c r="A535" s="17" t="s">
        <v>486</v>
      </c>
      <c r="B535" s="18">
        <v>300</v>
      </c>
      <c r="C535" s="891"/>
      <c r="D535" s="269"/>
    </row>
    <row r="536" spans="1:4" ht="13.2">
      <c r="A536" s="17" t="s">
        <v>487</v>
      </c>
      <c r="B536" s="18">
        <v>300</v>
      </c>
      <c r="C536" s="891"/>
      <c r="D536" s="269"/>
    </row>
    <row r="537" spans="1:4" ht="13.2">
      <c r="A537" s="17" t="s">
        <v>488</v>
      </c>
      <c r="B537" s="18">
        <v>300</v>
      </c>
      <c r="C537" s="891"/>
      <c r="D537" s="269"/>
    </row>
    <row r="538" spans="1:4" ht="13.2">
      <c r="A538" s="17" t="s">
        <v>489</v>
      </c>
      <c r="B538" s="18">
        <v>300</v>
      </c>
      <c r="C538" s="891"/>
      <c r="D538" s="269"/>
    </row>
    <row r="539" spans="1:4" ht="13.2">
      <c r="A539" s="17" t="s">
        <v>490</v>
      </c>
      <c r="B539" s="18">
        <v>300</v>
      </c>
      <c r="C539" s="891"/>
      <c r="D539" s="269"/>
    </row>
    <row r="540" spans="1:4" ht="13.2">
      <c r="A540" s="17" t="s">
        <v>491</v>
      </c>
      <c r="B540" s="18">
        <v>300</v>
      </c>
      <c r="C540" s="891"/>
      <c r="D540" s="269"/>
    </row>
    <row r="541" spans="1:4" ht="13.2">
      <c r="A541" s="17" t="s">
        <v>492</v>
      </c>
      <c r="B541" s="18">
        <v>300</v>
      </c>
      <c r="C541" s="891"/>
      <c r="D541" s="269"/>
    </row>
    <row r="542" spans="1:4" ht="13.2">
      <c r="A542" s="17" t="s">
        <v>493</v>
      </c>
      <c r="B542" s="18">
        <v>300</v>
      </c>
      <c r="C542" s="891"/>
      <c r="D542" s="269"/>
    </row>
    <row r="543" spans="1:4" ht="13.2">
      <c r="A543" s="17" t="s">
        <v>1418</v>
      </c>
      <c r="B543" s="18">
        <v>330</v>
      </c>
      <c r="C543" s="891"/>
      <c r="D543" s="270"/>
    </row>
    <row r="544" spans="1:4" ht="13.2">
      <c r="A544" s="17" t="s">
        <v>1419</v>
      </c>
      <c r="B544" s="18">
        <v>330</v>
      </c>
      <c r="C544" s="891"/>
      <c r="D544" s="270"/>
    </row>
    <row r="545" spans="1:4" ht="13.2">
      <c r="A545" s="17" t="s">
        <v>1420</v>
      </c>
      <c r="B545" s="18">
        <v>330</v>
      </c>
      <c r="C545" s="891"/>
      <c r="D545" s="270"/>
    </row>
    <row r="546" spans="1:4" ht="13.2">
      <c r="A546" s="17" t="s">
        <v>1421</v>
      </c>
      <c r="B546" s="18">
        <v>330</v>
      </c>
      <c r="C546" s="891"/>
      <c r="D546" s="270"/>
    </row>
    <row r="547" spans="1:4" ht="13.2">
      <c r="A547" s="17" t="s">
        <v>1422</v>
      </c>
      <c r="B547" s="18">
        <v>330</v>
      </c>
      <c r="C547" s="891"/>
      <c r="D547" s="270"/>
    </row>
    <row r="548" spans="1:4" ht="13.2">
      <c r="A548" s="17" t="s">
        <v>1423</v>
      </c>
      <c r="B548" s="18">
        <v>330</v>
      </c>
      <c r="C548" s="891"/>
      <c r="D548" s="270"/>
    </row>
    <row r="549" spans="1:4" ht="13.2">
      <c r="A549" s="17" t="s">
        <v>1424</v>
      </c>
      <c r="B549" s="18">
        <v>330</v>
      </c>
      <c r="C549" s="891"/>
      <c r="D549" s="270"/>
    </row>
    <row r="550" spans="1:4" ht="13.2">
      <c r="A550" s="17" t="s">
        <v>1425</v>
      </c>
      <c r="B550" s="18">
        <v>330</v>
      </c>
      <c r="C550" s="891"/>
      <c r="D550" s="270"/>
    </row>
    <row r="551" spans="1:4" ht="13.2">
      <c r="A551" s="17" t="s">
        <v>1426</v>
      </c>
      <c r="B551" s="18">
        <v>330</v>
      </c>
      <c r="C551" s="891"/>
      <c r="D551" s="270"/>
    </row>
    <row r="552" spans="1:4" ht="13.2">
      <c r="A552" s="17" t="s">
        <v>1427</v>
      </c>
      <c r="B552" s="18">
        <v>330</v>
      </c>
      <c r="C552" s="891"/>
      <c r="D552" s="270"/>
    </row>
    <row r="553" spans="1:4" ht="13.2">
      <c r="A553" s="17" t="s">
        <v>1428</v>
      </c>
      <c r="B553" s="18">
        <v>330</v>
      </c>
      <c r="C553" s="891"/>
      <c r="D553" s="270"/>
    </row>
    <row r="554" spans="1:4" ht="13.2">
      <c r="A554" s="17" t="s">
        <v>1429</v>
      </c>
      <c r="B554" s="18">
        <v>330</v>
      </c>
      <c r="C554" s="891"/>
      <c r="D554" s="270"/>
    </row>
    <row r="555" spans="1:4" ht="13.2">
      <c r="A555" s="17" t="s">
        <v>1430</v>
      </c>
      <c r="B555" s="18">
        <v>330</v>
      </c>
      <c r="C555" s="891"/>
      <c r="D555" s="270"/>
    </row>
    <row r="556" spans="1:4" ht="13.2">
      <c r="A556" s="17" t="s">
        <v>1431</v>
      </c>
      <c r="B556" s="18">
        <v>330</v>
      </c>
      <c r="C556" s="891"/>
      <c r="D556" s="270"/>
    </row>
    <row r="557" spans="1:4" ht="13.2">
      <c r="A557" s="17" t="s">
        <v>1432</v>
      </c>
      <c r="B557" s="18">
        <v>330</v>
      </c>
      <c r="C557" s="891"/>
      <c r="D557" s="270"/>
    </row>
    <row r="558" spans="1:4" ht="13.2">
      <c r="A558" s="17" t="s">
        <v>1417</v>
      </c>
      <c r="B558" s="18">
        <v>330</v>
      </c>
      <c r="C558" s="891"/>
      <c r="D558" s="270"/>
    </row>
    <row r="559" spans="1:4" ht="13.2">
      <c r="A559" s="17" t="s">
        <v>494</v>
      </c>
      <c r="B559" s="18">
        <v>210</v>
      </c>
      <c r="C559" s="891"/>
      <c r="D559" s="269"/>
    </row>
    <row r="560" spans="1:4" ht="13.2">
      <c r="A560" s="17" t="s">
        <v>495</v>
      </c>
      <c r="B560" s="18">
        <v>210</v>
      </c>
      <c r="C560" s="891"/>
      <c r="D560" s="269"/>
    </row>
    <row r="561" spans="1:4" ht="13.2">
      <c r="A561" s="17" t="s">
        <v>496</v>
      </c>
      <c r="B561" s="18">
        <v>210</v>
      </c>
      <c r="C561" s="891"/>
      <c r="D561" s="269"/>
    </row>
    <row r="562" spans="1:4" ht="13.2">
      <c r="A562" s="17" t="s">
        <v>497</v>
      </c>
      <c r="B562" s="18">
        <v>210</v>
      </c>
      <c r="C562" s="891"/>
      <c r="D562" s="269"/>
    </row>
    <row r="563" spans="1:4" ht="13.2">
      <c r="A563" s="17" t="s">
        <v>498</v>
      </c>
      <c r="B563" s="18">
        <v>210</v>
      </c>
      <c r="C563" s="891"/>
      <c r="D563" s="269"/>
    </row>
    <row r="564" spans="1:4" ht="13.2">
      <c r="A564" s="17" t="s">
        <v>499</v>
      </c>
      <c r="B564" s="18">
        <v>210</v>
      </c>
      <c r="C564" s="891"/>
      <c r="D564" s="269"/>
    </row>
    <row r="565" spans="1:4" ht="13.2">
      <c r="A565" s="17" t="s">
        <v>500</v>
      </c>
      <c r="B565" s="18">
        <v>210</v>
      </c>
      <c r="C565" s="891"/>
      <c r="D565" s="269"/>
    </row>
    <row r="566" spans="1:4" ht="13.2">
      <c r="A566" s="17" t="s">
        <v>501</v>
      </c>
      <c r="B566" s="18">
        <v>210</v>
      </c>
      <c r="C566" s="891"/>
      <c r="D566" s="269"/>
    </row>
    <row r="567" spans="1:4" ht="13.2">
      <c r="A567" s="17" t="s">
        <v>502</v>
      </c>
      <c r="B567" s="18">
        <v>210</v>
      </c>
      <c r="C567" s="891"/>
      <c r="D567" s="269"/>
    </row>
    <row r="568" spans="1:4" ht="13.2">
      <c r="A568" s="17" t="s">
        <v>503</v>
      </c>
      <c r="B568" s="18">
        <v>210</v>
      </c>
      <c r="C568" s="891"/>
      <c r="D568" s="269"/>
    </row>
    <row r="569" spans="1:4" ht="13.2">
      <c r="A569" s="17" t="s">
        <v>504</v>
      </c>
      <c r="B569" s="18">
        <v>210</v>
      </c>
      <c r="C569" s="891"/>
      <c r="D569" s="269"/>
    </row>
    <row r="570" spans="1:4" ht="13.2">
      <c r="A570" s="17" t="s">
        <v>505</v>
      </c>
      <c r="B570" s="18">
        <v>210</v>
      </c>
      <c r="C570" s="891"/>
      <c r="D570" s="269"/>
    </row>
    <row r="571" spans="1:4" ht="13.2">
      <c r="A571" s="17" t="s">
        <v>506</v>
      </c>
      <c r="B571" s="18">
        <v>210</v>
      </c>
      <c r="C571" s="891"/>
      <c r="D571" s="269"/>
    </row>
    <row r="572" spans="1:4" ht="13.2">
      <c r="A572" s="17" t="s">
        <v>507</v>
      </c>
      <c r="B572" s="18">
        <v>210</v>
      </c>
      <c r="C572" s="891"/>
      <c r="D572" s="269"/>
    </row>
    <row r="573" spans="1:4" ht="13.2">
      <c r="A573" s="17" t="s">
        <v>508</v>
      </c>
      <c r="B573" s="18">
        <v>210</v>
      </c>
      <c r="C573" s="891"/>
      <c r="D573" s="269"/>
    </row>
    <row r="574" spans="1:4" ht="13.2">
      <c r="A574" s="17" t="s">
        <v>509</v>
      </c>
      <c r="B574" s="18">
        <v>210</v>
      </c>
      <c r="C574" s="891"/>
      <c r="D574" s="269"/>
    </row>
    <row r="575" spans="1:4" ht="13.2">
      <c r="A575" s="17" t="s">
        <v>510</v>
      </c>
      <c r="B575" s="18">
        <v>240</v>
      </c>
      <c r="C575" s="891"/>
      <c r="D575" s="269"/>
    </row>
    <row r="576" spans="1:4" ht="13.2">
      <c r="A576" s="17" t="s">
        <v>511</v>
      </c>
      <c r="B576" s="18">
        <v>240</v>
      </c>
      <c r="C576" s="891"/>
      <c r="D576" s="269"/>
    </row>
    <row r="577" spans="1:4" ht="13.2">
      <c r="A577" s="17" t="s">
        <v>512</v>
      </c>
      <c r="B577" s="18">
        <v>240</v>
      </c>
      <c r="C577" s="891"/>
      <c r="D577" s="269"/>
    </row>
    <row r="578" spans="1:4" ht="13.2">
      <c r="A578" s="17" t="s">
        <v>513</v>
      </c>
      <c r="B578" s="18">
        <v>240</v>
      </c>
      <c r="C578" s="891"/>
      <c r="D578" s="269"/>
    </row>
    <row r="579" spans="1:4" ht="13.2">
      <c r="A579" s="17" t="s">
        <v>514</v>
      </c>
      <c r="B579" s="18">
        <v>240</v>
      </c>
      <c r="C579" s="891"/>
      <c r="D579" s="269"/>
    </row>
    <row r="580" spans="1:4" ht="13.2">
      <c r="A580" s="17" t="s">
        <v>515</v>
      </c>
      <c r="B580" s="18">
        <v>240</v>
      </c>
      <c r="C580" s="891"/>
      <c r="D580" s="269"/>
    </row>
    <row r="581" spans="1:4" ht="13.2">
      <c r="A581" s="17" t="s">
        <v>516</v>
      </c>
      <c r="B581" s="18">
        <v>240</v>
      </c>
      <c r="C581" s="891"/>
      <c r="D581" s="269"/>
    </row>
    <row r="582" spans="1:4" ht="13.2">
      <c r="A582" s="17" t="s">
        <v>517</v>
      </c>
      <c r="B582" s="18">
        <v>240</v>
      </c>
      <c r="C582" s="891"/>
      <c r="D582" s="269"/>
    </row>
    <row r="583" spans="1:4" ht="13.2">
      <c r="A583" s="17" t="s">
        <v>518</v>
      </c>
      <c r="B583" s="18">
        <v>240</v>
      </c>
      <c r="C583" s="891"/>
      <c r="D583" s="269"/>
    </row>
    <row r="584" spans="1:4" ht="13.2">
      <c r="A584" s="17" t="s">
        <v>519</v>
      </c>
      <c r="B584" s="18">
        <v>240</v>
      </c>
      <c r="C584" s="891"/>
      <c r="D584" s="269"/>
    </row>
    <row r="585" spans="1:4" ht="13.2">
      <c r="A585" s="17" t="s">
        <v>520</v>
      </c>
      <c r="B585" s="18">
        <v>240</v>
      </c>
      <c r="C585" s="891"/>
      <c r="D585" s="269"/>
    </row>
    <row r="586" spans="1:4" ht="13.2">
      <c r="A586" s="17" t="s">
        <v>521</v>
      </c>
      <c r="B586" s="18">
        <v>240</v>
      </c>
      <c r="C586" s="891"/>
      <c r="D586" s="269"/>
    </row>
    <row r="587" spans="1:4" ht="13.2">
      <c r="A587" s="17" t="s">
        <v>522</v>
      </c>
      <c r="B587" s="18">
        <v>240</v>
      </c>
      <c r="C587" s="891"/>
      <c r="D587" s="269"/>
    </row>
    <row r="588" spans="1:4" ht="13.2">
      <c r="A588" s="17" t="s">
        <v>523</v>
      </c>
      <c r="B588" s="18">
        <v>240</v>
      </c>
      <c r="C588" s="891"/>
      <c r="D588" s="269"/>
    </row>
    <row r="589" spans="1:4" ht="13.2">
      <c r="A589" s="17" t="s">
        <v>524</v>
      </c>
      <c r="B589" s="18">
        <v>240</v>
      </c>
      <c r="C589" s="891"/>
      <c r="D589" s="269"/>
    </row>
    <row r="590" spans="1:4" ht="13.2">
      <c r="A590" s="17" t="s">
        <v>525</v>
      </c>
      <c r="B590" s="18">
        <v>240</v>
      </c>
      <c r="C590" s="891"/>
      <c r="D590" s="269"/>
    </row>
    <row r="591" spans="1:4" ht="13.2">
      <c r="A591" s="17" t="s">
        <v>526</v>
      </c>
      <c r="B591" s="18">
        <v>270</v>
      </c>
      <c r="C591" s="891"/>
      <c r="D591" s="269"/>
    </row>
    <row r="592" spans="1:4" ht="13.2">
      <c r="A592" s="17" t="s">
        <v>527</v>
      </c>
      <c r="B592" s="18">
        <v>270</v>
      </c>
      <c r="C592" s="891"/>
      <c r="D592" s="269"/>
    </row>
    <row r="593" spans="1:4" ht="13.2">
      <c r="A593" s="17" t="s">
        <v>528</v>
      </c>
      <c r="B593" s="18">
        <v>270</v>
      </c>
      <c r="C593" s="891"/>
      <c r="D593" s="269"/>
    </row>
    <row r="594" spans="1:4" ht="13.2">
      <c r="A594" s="17" t="s">
        <v>529</v>
      </c>
      <c r="B594" s="18">
        <v>270</v>
      </c>
      <c r="C594" s="891"/>
      <c r="D594" s="269"/>
    </row>
    <row r="595" spans="1:4" ht="13.2">
      <c r="A595" s="17" t="s">
        <v>530</v>
      </c>
      <c r="B595" s="18">
        <v>270</v>
      </c>
      <c r="C595" s="891"/>
      <c r="D595" s="269"/>
    </row>
    <row r="596" spans="1:4" ht="13.2">
      <c r="A596" s="17" t="s">
        <v>531</v>
      </c>
      <c r="B596" s="18">
        <v>270</v>
      </c>
      <c r="C596" s="891"/>
      <c r="D596" s="269"/>
    </row>
    <row r="597" spans="1:4" ht="13.2">
      <c r="A597" s="17" t="s">
        <v>532</v>
      </c>
      <c r="B597" s="18">
        <v>270</v>
      </c>
      <c r="C597" s="891"/>
      <c r="D597" s="269"/>
    </row>
    <row r="598" spans="1:4" ht="13.2">
      <c r="A598" s="17" t="s">
        <v>533</v>
      </c>
      <c r="B598" s="18">
        <v>270</v>
      </c>
      <c r="C598" s="891"/>
      <c r="D598" s="269"/>
    </row>
    <row r="599" spans="1:4" ht="13.2">
      <c r="A599" s="17" t="s">
        <v>534</v>
      </c>
      <c r="B599" s="18">
        <v>270</v>
      </c>
      <c r="C599" s="891"/>
      <c r="D599" s="269"/>
    </row>
    <row r="600" spans="1:4" ht="13.2">
      <c r="A600" s="17" t="s">
        <v>535</v>
      </c>
      <c r="B600" s="18">
        <v>270</v>
      </c>
      <c r="C600" s="891"/>
      <c r="D600" s="269"/>
    </row>
    <row r="601" spans="1:4" ht="13.2">
      <c r="A601" s="17" t="s">
        <v>536</v>
      </c>
      <c r="B601" s="18">
        <v>270</v>
      </c>
      <c r="C601" s="891"/>
      <c r="D601" s="269"/>
    </row>
    <row r="602" spans="1:4" ht="13.2">
      <c r="A602" s="17" t="s">
        <v>537</v>
      </c>
      <c r="B602" s="18">
        <v>270</v>
      </c>
      <c r="C602" s="891"/>
      <c r="D602" s="269"/>
    </row>
    <row r="603" spans="1:4" ht="13.2">
      <c r="A603" s="17" t="s">
        <v>538</v>
      </c>
      <c r="B603" s="18">
        <v>270</v>
      </c>
      <c r="C603" s="891"/>
      <c r="D603" s="269"/>
    </row>
    <row r="604" spans="1:4" ht="13.2">
      <c r="A604" s="17" t="s">
        <v>539</v>
      </c>
      <c r="B604" s="18">
        <v>270</v>
      </c>
      <c r="C604" s="891"/>
      <c r="D604" s="269"/>
    </row>
    <row r="605" spans="1:4" ht="13.2">
      <c r="A605" s="17" t="s">
        <v>540</v>
      </c>
      <c r="B605" s="18">
        <v>270</v>
      </c>
      <c r="C605" s="891"/>
      <c r="D605" s="269"/>
    </row>
    <row r="606" spans="1:4" ht="13.2">
      <c r="A606" s="17" t="s">
        <v>541</v>
      </c>
      <c r="B606" s="18">
        <v>270</v>
      </c>
      <c r="C606" s="891"/>
      <c r="D606" s="269"/>
    </row>
    <row r="607" spans="1:4" ht="13.2">
      <c r="A607" s="17" t="s">
        <v>542</v>
      </c>
      <c r="B607" s="18">
        <v>300</v>
      </c>
      <c r="C607" s="891"/>
      <c r="D607" s="269"/>
    </row>
    <row r="608" spans="1:4" ht="13.2">
      <c r="A608" s="17" t="s">
        <v>543</v>
      </c>
      <c r="B608" s="18">
        <v>300</v>
      </c>
      <c r="C608" s="891"/>
      <c r="D608" s="269"/>
    </row>
    <row r="609" spans="1:4" ht="13.2">
      <c r="A609" s="17" t="s">
        <v>544</v>
      </c>
      <c r="B609" s="18">
        <v>300</v>
      </c>
      <c r="C609" s="891"/>
      <c r="D609" s="269"/>
    </row>
    <row r="610" spans="1:4" ht="13.2">
      <c r="A610" s="17" t="s">
        <v>545</v>
      </c>
      <c r="B610" s="18">
        <v>300</v>
      </c>
      <c r="C610" s="891"/>
      <c r="D610" s="269"/>
    </row>
    <row r="611" spans="1:4" ht="13.2">
      <c r="A611" s="17" t="s">
        <v>546</v>
      </c>
      <c r="B611" s="18">
        <v>300</v>
      </c>
      <c r="C611" s="891"/>
      <c r="D611" s="269"/>
    </row>
    <row r="612" spans="1:4" ht="13.2">
      <c r="A612" s="17" t="s">
        <v>547</v>
      </c>
      <c r="B612" s="18">
        <v>300</v>
      </c>
      <c r="C612" s="891"/>
      <c r="D612" s="269"/>
    </row>
    <row r="613" spans="1:4" ht="13.2">
      <c r="A613" s="17" t="s">
        <v>548</v>
      </c>
      <c r="B613" s="18">
        <v>300</v>
      </c>
      <c r="C613" s="891"/>
      <c r="D613" s="269"/>
    </row>
    <row r="614" spans="1:4" ht="13.2">
      <c r="A614" s="17" t="s">
        <v>549</v>
      </c>
      <c r="B614" s="18">
        <v>300</v>
      </c>
      <c r="C614" s="891"/>
      <c r="D614" s="269"/>
    </row>
    <row r="615" spans="1:4" ht="13.2">
      <c r="A615" s="17" t="s">
        <v>550</v>
      </c>
      <c r="B615" s="18">
        <v>300</v>
      </c>
      <c r="C615" s="891"/>
      <c r="D615" s="269"/>
    </row>
    <row r="616" spans="1:4" ht="13.2">
      <c r="A616" s="17" t="s">
        <v>551</v>
      </c>
      <c r="B616" s="18">
        <v>300</v>
      </c>
      <c r="C616" s="891"/>
      <c r="D616" s="269"/>
    </row>
    <row r="617" spans="1:4" ht="13.2">
      <c r="A617" s="17" t="s">
        <v>552</v>
      </c>
      <c r="B617" s="18">
        <v>300</v>
      </c>
      <c r="C617" s="891"/>
      <c r="D617" s="269"/>
    </row>
    <row r="618" spans="1:4" ht="13.2">
      <c r="A618" s="17" t="s">
        <v>553</v>
      </c>
      <c r="B618" s="18">
        <v>300</v>
      </c>
      <c r="C618" s="891"/>
      <c r="D618" s="269"/>
    </row>
    <row r="619" spans="1:4" ht="13.2">
      <c r="A619" s="17" t="s">
        <v>554</v>
      </c>
      <c r="B619" s="18">
        <v>300</v>
      </c>
      <c r="C619" s="891"/>
      <c r="D619" s="269"/>
    </row>
    <row r="620" spans="1:4" ht="13.2">
      <c r="A620" s="17" t="s">
        <v>555</v>
      </c>
      <c r="B620" s="18">
        <v>300</v>
      </c>
      <c r="C620" s="891"/>
      <c r="D620" s="269"/>
    </row>
    <row r="621" spans="1:4" ht="13.2">
      <c r="A621" s="17" t="s">
        <v>556</v>
      </c>
      <c r="B621" s="18">
        <v>300</v>
      </c>
      <c r="C621" s="891"/>
      <c r="D621" s="269"/>
    </row>
    <row r="622" spans="1:4" ht="13.2">
      <c r="A622" s="17" t="s">
        <v>557</v>
      </c>
      <c r="B622" s="18">
        <v>300</v>
      </c>
      <c r="C622" s="891"/>
      <c r="D622" s="269"/>
    </row>
    <row r="623" spans="1:4" ht="13.2">
      <c r="A623" s="17" t="s">
        <v>558</v>
      </c>
      <c r="B623" s="18">
        <v>300</v>
      </c>
      <c r="C623" s="891"/>
      <c r="D623" s="269"/>
    </row>
    <row r="624" spans="1:4" ht="13.2">
      <c r="A624" s="17" t="s">
        <v>559</v>
      </c>
      <c r="B624" s="18">
        <v>300</v>
      </c>
      <c r="C624" s="891"/>
      <c r="D624" s="269"/>
    </row>
    <row r="625" spans="1:4" ht="13.2">
      <c r="A625" s="17" t="s">
        <v>560</v>
      </c>
      <c r="B625" s="18">
        <v>300</v>
      </c>
      <c r="C625" s="891"/>
      <c r="D625" s="269"/>
    </row>
    <row r="626" spans="1:4" ht="13.2">
      <c r="A626" s="17" t="s">
        <v>75</v>
      </c>
      <c r="B626" s="18">
        <v>300</v>
      </c>
      <c r="C626" s="891"/>
      <c r="D626" s="269"/>
    </row>
    <row r="627" spans="1:4" ht="13.2">
      <c r="A627" s="17" t="s">
        <v>561</v>
      </c>
      <c r="B627" s="18">
        <v>300</v>
      </c>
      <c r="C627" s="891"/>
      <c r="D627" s="269"/>
    </row>
    <row r="628" spans="1:4" ht="13.2">
      <c r="A628" s="17" t="s">
        <v>562</v>
      </c>
      <c r="B628" s="18">
        <v>300</v>
      </c>
      <c r="C628" s="891"/>
      <c r="D628" s="269"/>
    </row>
    <row r="629" spans="1:4" ht="13.2">
      <c r="A629" s="17" t="s">
        <v>563</v>
      </c>
      <c r="B629" s="18">
        <v>300</v>
      </c>
      <c r="C629" s="891"/>
      <c r="D629" s="269"/>
    </row>
    <row r="630" spans="1:4" ht="13.2">
      <c r="A630" s="17" t="s">
        <v>564</v>
      </c>
      <c r="B630" s="18">
        <v>300</v>
      </c>
      <c r="C630" s="891"/>
      <c r="D630" s="269"/>
    </row>
    <row r="631" spans="1:4" ht="13.2">
      <c r="A631" s="17" t="s">
        <v>565</v>
      </c>
      <c r="B631" s="18">
        <v>300</v>
      </c>
      <c r="C631" s="891"/>
      <c r="D631" s="269"/>
    </row>
    <row r="632" spans="1:4" ht="13.2">
      <c r="A632" s="17" t="s">
        <v>566</v>
      </c>
      <c r="B632" s="18">
        <v>300</v>
      </c>
      <c r="C632" s="891"/>
      <c r="D632" s="269"/>
    </row>
    <row r="633" spans="1:4" ht="13.2">
      <c r="A633" s="17" t="s">
        <v>567</v>
      </c>
      <c r="B633" s="18">
        <v>300</v>
      </c>
      <c r="C633" s="891"/>
      <c r="D633" s="269"/>
    </row>
    <row r="634" spans="1:4" ht="13.2">
      <c r="A634" s="17" t="s">
        <v>568</v>
      </c>
      <c r="B634" s="18">
        <v>300</v>
      </c>
      <c r="C634" s="891"/>
      <c r="D634" s="269"/>
    </row>
    <row r="635" spans="1:4" ht="13.2">
      <c r="A635" s="17" t="s">
        <v>569</v>
      </c>
      <c r="B635" s="18">
        <v>300</v>
      </c>
      <c r="C635" s="891"/>
      <c r="D635" s="269"/>
    </row>
    <row r="636" spans="1:4" ht="13.2">
      <c r="A636" s="17" t="s">
        <v>570</v>
      </c>
      <c r="B636" s="18">
        <v>300</v>
      </c>
      <c r="C636" s="891"/>
      <c r="D636" s="269"/>
    </row>
    <row r="637" spans="1:4" ht="13.2">
      <c r="A637" s="17" t="s">
        <v>571</v>
      </c>
      <c r="B637" s="18">
        <v>300</v>
      </c>
      <c r="C637" s="891"/>
      <c r="D637" s="269"/>
    </row>
    <row r="638" spans="1:4" ht="13.2">
      <c r="A638" s="17" t="s">
        <v>572</v>
      </c>
      <c r="B638" s="18">
        <v>300</v>
      </c>
      <c r="C638" s="891"/>
      <c r="D638" s="269"/>
    </row>
    <row r="639" spans="1:4" ht="13.2">
      <c r="A639" s="17" t="s">
        <v>573</v>
      </c>
      <c r="B639" s="18">
        <v>320</v>
      </c>
      <c r="C639" s="891"/>
      <c r="D639" s="269"/>
    </row>
    <row r="640" spans="1:4" ht="13.2">
      <c r="A640" s="17" t="s">
        <v>574</v>
      </c>
      <c r="B640" s="18">
        <v>320</v>
      </c>
      <c r="C640" s="891"/>
      <c r="D640" s="269"/>
    </row>
    <row r="641" spans="1:4" ht="13.2">
      <c r="A641" s="17" t="s">
        <v>575</v>
      </c>
      <c r="B641" s="18">
        <v>320</v>
      </c>
      <c r="C641" s="891"/>
      <c r="D641" s="269"/>
    </row>
    <row r="642" spans="1:4" ht="13.2">
      <c r="A642" s="17" t="s">
        <v>576</v>
      </c>
      <c r="B642" s="18">
        <v>320</v>
      </c>
      <c r="C642" s="891"/>
      <c r="D642" s="269"/>
    </row>
    <row r="643" spans="1:4" ht="13.2">
      <c r="A643" s="17" t="s">
        <v>577</v>
      </c>
      <c r="B643" s="18">
        <v>320</v>
      </c>
      <c r="C643" s="891"/>
      <c r="D643" s="269"/>
    </row>
    <row r="644" spans="1:4" ht="13.2">
      <c r="A644" s="17" t="s">
        <v>578</v>
      </c>
      <c r="B644" s="18">
        <v>320</v>
      </c>
      <c r="C644" s="891"/>
      <c r="D644" s="269"/>
    </row>
    <row r="645" spans="1:4" ht="13.2">
      <c r="A645" s="17" t="s">
        <v>579</v>
      </c>
      <c r="B645" s="18">
        <v>320</v>
      </c>
      <c r="C645" s="891"/>
      <c r="D645" s="269"/>
    </row>
    <row r="646" spans="1:4" ht="13.2">
      <c r="A646" s="17" t="s">
        <v>580</v>
      </c>
      <c r="B646" s="18">
        <v>320</v>
      </c>
      <c r="C646" s="891"/>
      <c r="D646" s="269"/>
    </row>
    <row r="647" spans="1:4" ht="13.2">
      <c r="A647" s="17" t="s">
        <v>581</v>
      </c>
      <c r="B647" s="18">
        <v>320</v>
      </c>
      <c r="C647" s="891"/>
      <c r="D647" s="269"/>
    </row>
    <row r="648" spans="1:4" ht="13.2">
      <c r="A648" s="17" t="s">
        <v>582</v>
      </c>
      <c r="B648" s="18">
        <v>320</v>
      </c>
      <c r="C648" s="891"/>
      <c r="D648" s="269"/>
    </row>
    <row r="649" spans="1:4" ht="13.2">
      <c r="A649" s="17" t="s">
        <v>583</v>
      </c>
      <c r="B649" s="18">
        <v>320</v>
      </c>
      <c r="C649" s="891"/>
      <c r="D649" s="269"/>
    </row>
    <row r="650" spans="1:4" ht="13.2">
      <c r="A650" s="17" t="s">
        <v>584</v>
      </c>
      <c r="B650" s="18">
        <v>320</v>
      </c>
      <c r="C650" s="891"/>
      <c r="D650" s="269"/>
    </row>
    <row r="651" spans="1:4" ht="13.2">
      <c r="A651" s="17" t="s">
        <v>585</v>
      </c>
      <c r="B651" s="18">
        <v>320</v>
      </c>
      <c r="C651" s="891"/>
      <c r="D651" s="269"/>
    </row>
    <row r="652" spans="1:4" ht="13.2">
      <c r="A652" s="17" t="s">
        <v>586</v>
      </c>
      <c r="B652" s="18">
        <v>320</v>
      </c>
      <c r="C652" s="891"/>
      <c r="D652" s="269"/>
    </row>
    <row r="653" spans="1:4" ht="13.2">
      <c r="A653" s="17" t="s">
        <v>587</v>
      </c>
      <c r="B653" s="18">
        <v>320</v>
      </c>
      <c r="C653" s="891"/>
      <c r="D653" s="269"/>
    </row>
    <row r="654" spans="1:4" ht="13.2">
      <c r="A654" s="17" t="s">
        <v>588</v>
      </c>
      <c r="B654" s="18">
        <v>320</v>
      </c>
      <c r="C654" s="891"/>
      <c r="D654" s="269"/>
    </row>
    <row r="655" spans="1:4" ht="13.2">
      <c r="A655" s="17" t="s">
        <v>589</v>
      </c>
      <c r="B655" s="18">
        <v>350</v>
      </c>
      <c r="C655" s="891"/>
      <c r="D655" s="269"/>
    </row>
    <row r="656" spans="1:4" ht="13.2">
      <c r="A656" s="17" t="s">
        <v>590</v>
      </c>
      <c r="B656" s="18">
        <v>350</v>
      </c>
      <c r="C656" s="891"/>
      <c r="D656" s="269"/>
    </row>
    <row r="657" spans="1:4" ht="13.2">
      <c r="A657" s="17" t="s">
        <v>591</v>
      </c>
      <c r="B657" s="18">
        <v>350</v>
      </c>
      <c r="C657" s="891"/>
      <c r="D657" s="269"/>
    </row>
    <row r="658" spans="1:4" ht="13.2">
      <c r="A658" s="17" t="s">
        <v>592</v>
      </c>
      <c r="B658" s="18">
        <v>350</v>
      </c>
      <c r="C658" s="891"/>
      <c r="D658" s="269"/>
    </row>
    <row r="659" spans="1:4" ht="13.2">
      <c r="A659" s="17" t="s">
        <v>593</v>
      </c>
      <c r="B659" s="18">
        <v>350</v>
      </c>
      <c r="C659" s="891"/>
      <c r="D659" s="269"/>
    </row>
    <row r="660" spans="1:4" ht="13.2">
      <c r="A660" s="17" t="s">
        <v>594</v>
      </c>
      <c r="B660" s="18">
        <v>350</v>
      </c>
      <c r="C660" s="891"/>
      <c r="D660" s="269"/>
    </row>
    <row r="661" spans="1:4" ht="13.2">
      <c r="A661" s="17" t="s">
        <v>595</v>
      </c>
      <c r="B661" s="18">
        <v>350</v>
      </c>
      <c r="C661" s="891"/>
      <c r="D661" s="269"/>
    </row>
    <row r="662" spans="1:4" ht="13.2">
      <c r="A662" s="17" t="s">
        <v>596</v>
      </c>
      <c r="B662" s="18">
        <v>350</v>
      </c>
      <c r="C662" s="891"/>
      <c r="D662" s="269"/>
    </row>
    <row r="663" spans="1:4" ht="13.2">
      <c r="A663" s="17" t="s">
        <v>597</v>
      </c>
      <c r="B663" s="18">
        <v>350</v>
      </c>
      <c r="C663" s="891"/>
      <c r="D663" s="269"/>
    </row>
    <row r="664" spans="1:4" ht="13.2">
      <c r="A664" s="17" t="s">
        <v>598</v>
      </c>
      <c r="B664" s="18">
        <v>350</v>
      </c>
      <c r="C664" s="891"/>
      <c r="D664" s="269"/>
    </row>
    <row r="665" spans="1:4" ht="13.2">
      <c r="A665" s="17" t="s">
        <v>599</v>
      </c>
      <c r="B665" s="18">
        <v>350</v>
      </c>
      <c r="C665" s="891"/>
      <c r="D665" s="269"/>
    </row>
    <row r="666" spans="1:4" ht="13.2">
      <c r="A666" s="17" t="s">
        <v>600</v>
      </c>
      <c r="B666" s="18">
        <v>350</v>
      </c>
      <c r="C666" s="891"/>
      <c r="D666" s="269"/>
    </row>
    <row r="667" spans="1:4" ht="13.2">
      <c r="A667" s="17" t="s">
        <v>601</v>
      </c>
      <c r="B667" s="18">
        <v>350</v>
      </c>
      <c r="C667" s="891"/>
      <c r="D667" s="269"/>
    </row>
    <row r="668" spans="1:4" ht="13.2">
      <c r="A668" s="17" t="s">
        <v>602</v>
      </c>
      <c r="B668" s="18">
        <v>350</v>
      </c>
      <c r="C668" s="891"/>
      <c r="D668" s="269"/>
    </row>
    <row r="669" spans="1:4" ht="13.2">
      <c r="A669" s="17" t="s">
        <v>603</v>
      </c>
      <c r="B669" s="18">
        <v>350</v>
      </c>
      <c r="C669" s="891"/>
      <c r="D669" s="269"/>
    </row>
    <row r="670" spans="1:4" ht="13.2">
      <c r="A670" s="17" t="s">
        <v>604</v>
      </c>
      <c r="B670" s="18">
        <v>350</v>
      </c>
      <c r="C670" s="891"/>
      <c r="D670" s="269"/>
    </row>
    <row r="671" spans="1:4" ht="13.2">
      <c r="A671" s="17" t="s">
        <v>605</v>
      </c>
      <c r="B671" s="18">
        <v>380</v>
      </c>
      <c r="C671" s="891"/>
      <c r="D671" s="269"/>
    </row>
    <row r="672" spans="1:4" ht="13.2">
      <c r="A672" s="17" t="s">
        <v>606</v>
      </c>
      <c r="B672" s="18">
        <v>380</v>
      </c>
      <c r="C672" s="891"/>
      <c r="D672" s="269"/>
    </row>
    <row r="673" spans="1:4" ht="13.2">
      <c r="A673" s="17" t="s">
        <v>607</v>
      </c>
      <c r="B673" s="18">
        <v>380</v>
      </c>
      <c r="C673" s="891"/>
      <c r="D673" s="269"/>
    </row>
    <row r="674" spans="1:4" ht="13.2">
      <c r="A674" s="17" t="s">
        <v>608</v>
      </c>
      <c r="B674" s="18">
        <v>380</v>
      </c>
      <c r="C674" s="891"/>
      <c r="D674" s="269"/>
    </row>
    <row r="675" spans="1:4" ht="13.2">
      <c r="A675" s="17" t="s">
        <v>609</v>
      </c>
      <c r="B675" s="18">
        <v>380</v>
      </c>
      <c r="C675" s="891"/>
      <c r="D675" s="269"/>
    </row>
    <row r="676" spans="1:4" ht="13.2">
      <c r="A676" s="17" t="s">
        <v>610</v>
      </c>
      <c r="B676" s="18">
        <v>380</v>
      </c>
      <c r="C676" s="891"/>
      <c r="D676" s="269"/>
    </row>
    <row r="677" spans="1:4" ht="13.2">
      <c r="A677" s="17" t="s">
        <v>611</v>
      </c>
      <c r="B677" s="18">
        <v>380</v>
      </c>
      <c r="C677" s="891"/>
      <c r="D677" s="269"/>
    </row>
    <row r="678" spans="1:4" ht="13.2">
      <c r="A678" s="17" t="s">
        <v>612</v>
      </c>
      <c r="B678" s="18">
        <v>380</v>
      </c>
      <c r="C678" s="891"/>
      <c r="D678" s="269"/>
    </row>
    <row r="679" spans="1:4" ht="13.2">
      <c r="A679" s="17" t="s">
        <v>613</v>
      </c>
      <c r="B679" s="18">
        <v>380</v>
      </c>
      <c r="C679" s="891"/>
      <c r="D679" s="269"/>
    </row>
    <row r="680" spans="1:4" ht="13.2">
      <c r="A680" s="17" t="s">
        <v>614</v>
      </c>
      <c r="B680" s="18">
        <v>380</v>
      </c>
      <c r="C680" s="891"/>
      <c r="D680" s="269"/>
    </row>
    <row r="681" spans="1:4" ht="13.2">
      <c r="A681" s="17" t="s">
        <v>615</v>
      </c>
      <c r="B681" s="18">
        <v>380</v>
      </c>
      <c r="C681" s="891"/>
      <c r="D681" s="269"/>
    </row>
    <row r="682" spans="1:4" ht="13.2">
      <c r="A682" s="17" t="s">
        <v>616</v>
      </c>
      <c r="B682" s="18">
        <v>380</v>
      </c>
      <c r="C682" s="891"/>
      <c r="D682" s="269"/>
    </row>
    <row r="683" spans="1:4" ht="13.2">
      <c r="A683" s="17" t="s">
        <v>617</v>
      </c>
      <c r="B683" s="18">
        <v>380</v>
      </c>
      <c r="C683" s="891"/>
      <c r="D683" s="269"/>
    </row>
    <row r="684" spans="1:4" ht="13.2">
      <c r="A684" s="17" t="s">
        <v>618</v>
      </c>
      <c r="B684" s="18">
        <v>380</v>
      </c>
      <c r="C684" s="891"/>
      <c r="D684" s="269"/>
    </row>
    <row r="685" spans="1:4" ht="13.2">
      <c r="A685" s="17" t="s">
        <v>619</v>
      </c>
      <c r="B685" s="18">
        <v>380</v>
      </c>
      <c r="C685" s="891"/>
      <c r="D685" s="269"/>
    </row>
    <row r="686" spans="1:4" ht="13.2">
      <c r="A686" s="17" t="s">
        <v>620</v>
      </c>
      <c r="B686" s="18">
        <v>380</v>
      </c>
      <c r="C686" s="891"/>
      <c r="D686" s="269"/>
    </row>
    <row r="687" spans="1:4" ht="13.2">
      <c r="A687" s="17" t="s">
        <v>621</v>
      </c>
      <c r="B687" s="18">
        <v>430</v>
      </c>
      <c r="C687" s="891"/>
      <c r="D687" s="269"/>
    </row>
    <row r="688" spans="1:4" ht="13.2">
      <c r="A688" s="17" t="s">
        <v>622</v>
      </c>
      <c r="B688" s="18">
        <v>430</v>
      </c>
      <c r="C688" s="891"/>
      <c r="D688" s="269"/>
    </row>
    <row r="689" spans="1:4" ht="13.2">
      <c r="A689" s="17" t="s">
        <v>623</v>
      </c>
      <c r="B689" s="18">
        <v>430</v>
      </c>
      <c r="C689" s="891"/>
      <c r="D689" s="269"/>
    </row>
    <row r="690" spans="1:4" ht="13.2">
      <c r="A690" s="17" t="s">
        <v>624</v>
      </c>
      <c r="B690" s="18">
        <v>430</v>
      </c>
      <c r="C690" s="891"/>
      <c r="D690" s="269"/>
    </row>
    <row r="691" spans="1:4" ht="13.2">
      <c r="A691" s="17" t="s">
        <v>625</v>
      </c>
      <c r="B691" s="18">
        <v>430</v>
      </c>
      <c r="C691" s="891"/>
      <c r="D691" s="269"/>
    </row>
    <row r="692" spans="1:4" ht="13.2">
      <c r="A692" s="17" t="s">
        <v>626</v>
      </c>
      <c r="B692" s="18">
        <v>430</v>
      </c>
      <c r="C692" s="891"/>
      <c r="D692" s="269"/>
    </row>
    <row r="693" spans="1:4" ht="13.2">
      <c r="A693" s="17" t="s">
        <v>627</v>
      </c>
      <c r="B693" s="18">
        <v>430</v>
      </c>
      <c r="C693" s="891"/>
      <c r="D693" s="269"/>
    </row>
    <row r="694" spans="1:4" ht="13.2">
      <c r="A694" s="17" t="s">
        <v>628</v>
      </c>
      <c r="B694" s="18">
        <v>430</v>
      </c>
      <c r="C694" s="891"/>
      <c r="D694" s="269"/>
    </row>
    <row r="695" spans="1:4" ht="13.2">
      <c r="A695" s="17" t="s">
        <v>629</v>
      </c>
      <c r="B695" s="18">
        <v>430</v>
      </c>
      <c r="C695" s="891"/>
      <c r="D695" s="269"/>
    </row>
    <row r="696" spans="1:4" ht="13.2">
      <c r="A696" s="17" t="s">
        <v>630</v>
      </c>
      <c r="B696" s="18">
        <v>430</v>
      </c>
      <c r="C696" s="891"/>
      <c r="D696" s="269"/>
    </row>
    <row r="697" spans="1:4" ht="13.2">
      <c r="A697" s="17" t="s">
        <v>631</v>
      </c>
      <c r="B697" s="18">
        <v>430</v>
      </c>
      <c r="C697" s="891"/>
      <c r="D697" s="269"/>
    </row>
    <row r="698" spans="1:4" ht="13.2">
      <c r="A698" s="17" t="s">
        <v>632</v>
      </c>
      <c r="B698" s="18">
        <v>430</v>
      </c>
      <c r="C698" s="891"/>
      <c r="D698" s="269"/>
    </row>
    <row r="699" spans="1:4" ht="13.2">
      <c r="A699" s="17" t="s">
        <v>633</v>
      </c>
      <c r="B699" s="18">
        <v>430</v>
      </c>
      <c r="C699" s="891"/>
      <c r="D699" s="269"/>
    </row>
    <row r="700" spans="1:4" ht="13.2">
      <c r="A700" s="17" t="s">
        <v>634</v>
      </c>
      <c r="B700" s="18">
        <v>430</v>
      </c>
      <c r="C700" s="891"/>
      <c r="D700" s="269"/>
    </row>
    <row r="701" spans="1:4" ht="13.2">
      <c r="A701" s="17" t="s">
        <v>635</v>
      </c>
      <c r="B701" s="18">
        <v>430</v>
      </c>
      <c r="C701" s="891"/>
      <c r="D701" s="269"/>
    </row>
    <row r="702" spans="1:4" ht="13.2">
      <c r="A702" s="17" t="s">
        <v>636</v>
      </c>
      <c r="B702" s="18">
        <v>430</v>
      </c>
      <c r="C702" s="891"/>
      <c r="D702" s="269"/>
    </row>
    <row r="703" spans="1:4" ht="13.2">
      <c r="A703" s="17" t="s">
        <v>637</v>
      </c>
      <c r="B703" s="18">
        <v>470</v>
      </c>
      <c r="C703" s="891"/>
      <c r="D703" s="269"/>
    </row>
    <row r="704" spans="1:4" ht="13.2">
      <c r="A704" s="17" t="s">
        <v>638</v>
      </c>
      <c r="B704" s="18">
        <v>470</v>
      </c>
      <c r="C704" s="891"/>
      <c r="D704" s="269"/>
    </row>
    <row r="705" spans="1:4" ht="13.2">
      <c r="A705" s="17" t="s">
        <v>639</v>
      </c>
      <c r="B705" s="18">
        <v>470</v>
      </c>
      <c r="C705" s="891"/>
      <c r="D705" s="269"/>
    </row>
    <row r="706" spans="1:4" ht="13.2">
      <c r="A706" s="17" t="s">
        <v>640</v>
      </c>
      <c r="B706" s="18">
        <v>470</v>
      </c>
      <c r="C706" s="891"/>
      <c r="D706" s="269"/>
    </row>
    <row r="707" spans="1:4" ht="13.2">
      <c r="A707" s="17" t="s">
        <v>641</v>
      </c>
      <c r="B707" s="18">
        <v>470</v>
      </c>
      <c r="C707" s="891"/>
      <c r="D707" s="269"/>
    </row>
    <row r="708" spans="1:4" ht="13.2">
      <c r="A708" s="17" t="s">
        <v>642</v>
      </c>
      <c r="B708" s="18">
        <v>470</v>
      </c>
      <c r="C708" s="891"/>
      <c r="D708" s="269"/>
    </row>
    <row r="709" spans="1:4" ht="13.2">
      <c r="A709" s="17" t="s">
        <v>643</v>
      </c>
      <c r="B709" s="18">
        <v>470</v>
      </c>
      <c r="C709" s="891"/>
      <c r="D709" s="269"/>
    </row>
    <row r="710" spans="1:4" ht="13.2">
      <c r="A710" s="17" t="s">
        <v>644</v>
      </c>
      <c r="B710" s="18">
        <v>470</v>
      </c>
      <c r="C710" s="891"/>
      <c r="D710" s="269"/>
    </row>
    <row r="711" spans="1:4" ht="13.2">
      <c r="A711" s="17" t="s">
        <v>645</v>
      </c>
      <c r="B711" s="18">
        <v>470</v>
      </c>
      <c r="C711" s="891"/>
      <c r="D711" s="269"/>
    </row>
    <row r="712" spans="1:4" ht="13.2">
      <c r="A712" s="17" t="s">
        <v>646</v>
      </c>
      <c r="B712" s="18">
        <v>470</v>
      </c>
      <c r="C712" s="891"/>
      <c r="D712" s="269"/>
    </row>
    <row r="713" spans="1:4" ht="13.2">
      <c r="A713" s="17" t="s">
        <v>647</v>
      </c>
      <c r="B713" s="18">
        <v>470</v>
      </c>
      <c r="C713" s="891"/>
      <c r="D713" s="269"/>
    </row>
    <row r="714" spans="1:4" ht="13.2">
      <c r="A714" s="17" t="s">
        <v>648</v>
      </c>
      <c r="B714" s="18">
        <v>470</v>
      </c>
      <c r="C714" s="891"/>
      <c r="D714" s="269"/>
    </row>
    <row r="715" spans="1:4" ht="13.2">
      <c r="A715" s="17" t="s">
        <v>649</v>
      </c>
      <c r="B715" s="18">
        <v>470</v>
      </c>
      <c r="C715" s="891"/>
      <c r="D715" s="269"/>
    </row>
    <row r="716" spans="1:4" ht="13.2">
      <c r="A716" s="17" t="s">
        <v>650</v>
      </c>
      <c r="B716" s="18">
        <v>470</v>
      </c>
      <c r="C716" s="891"/>
      <c r="D716" s="269"/>
    </row>
    <row r="717" spans="1:4" ht="13.2">
      <c r="A717" s="17" t="s">
        <v>651</v>
      </c>
      <c r="B717" s="18">
        <v>470</v>
      </c>
      <c r="C717" s="891"/>
      <c r="D717" s="269"/>
    </row>
    <row r="718" spans="1:4" ht="13.2">
      <c r="A718" s="17" t="s">
        <v>652</v>
      </c>
      <c r="B718" s="18">
        <v>470</v>
      </c>
      <c r="C718" s="891"/>
      <c r="D718" s="269"/>
    </row>
    <row r="719" spans="1:4" ht="13.2">
      <c r="A719" s="17" t="s">
        <v>653</v>
      </c>
      <c r="B719" s="18">
        <v>520</v>
      </c>
      <c r="C719" s="891"/>
      <c r="D719" s="269"/>
    </row>
    <row r="720" spans="1:4" ht="13.2">
      <c r="A720" s="17" t="s">
        <v>654</v>
      </c>
      <c r="B720" s="18">
        <v>520</v>
      </c>
      <c r="C720" s="891"/>
      <c r="D720" s="269"/>
    </row>
    <row r="721" spans="1:4" ht="13.2">
      <c r="A721" s="17" t="s">
        <v>655</v>
      </c>
      <c r="B721" s="18">
        <v>520</v>
      </c>
      <c r="C721" s="891"/>
      <c r="D721" s="269"/>
    </row>
    <row r="722" spans="1:4" ht="13.2">
      <c r="A722" s="17" t="s">
        <v>656</v>
      </c>
      <c r="B722" s="18">
        <v>520</v>
      </c>
      <c r="C722" s="891"/>
      <c r="D722" s="269"/>
    </row>
    <row r="723" spans="1:4" ht="13.2">
      <c r="A723" s="17" t="s">
        <v>657</v>
      </c>
      <c r="B723" s="18">
        <v>520</v>
      </c>
      <c r="C723" s="891"/>
      <c r="D723" s="269"/>
    </row>
    <row r="724" spans="1:4" ht="13.2">
      <c r="A724" s="17" t="s">
        <v>658</v>
      </c>
      <c r="B724" s="18">
        <v>520</v>
      </c>
      <c r="C724" s="891"/>
      <c r="D724" s="269"/>
    </row>
    <row r="725" spans="1:4" ht="13.2">
      <c r="A725" s="17" t="s">
        <v>659</v>
      </c>
      <c r="B725" s="18">
        <v>520</v>
      </c>
      <c r="C725" s="891"/>
      <c r="D725" s="269"/>
    </row>
    <row r="726" spans="1:4" ht="13.2">
      <c r="A726" s="17" t="s">
        <v>660</v>
      </c>
      <c r="B726" s="18">
        <v>520</v>
      </c>
      <c r="C726" s="891"/>
      <c r="D726" s="269"/>
    </row>
    <row r="727" spans="1:4" ht="13.2">
      <c r="A727" s="17" t="s">
        <v>661</v>
      </c>
      <c r="B727" s="18">
        <v>520</v>
      </c>
      <c r="C727" s="891"/>
      <c r="D727" s="269"/>
    </row>
    <row r="728" spans="1:4" ht="13.2">
      <c r="A728" s="17" t="s">
        <v>662</v>
      </c>
      <c r="B728" s="18">
        <v>520</v>
      </c>
      <c r="C728" s="891"/>
      <c r="D728" s="269"/>
    </row>
    <row r="729" spans="1:4" ht="13.2">
      <c r="A729" s="17" t="s">
        <v>663</v>
      </c>
      <c r="B729" s="18">
        <v>520</v>
      </c>
      <c r="C729" s="891"/>
      <c r="D729" s="269"/>
    </row>
    <row r="730" spans="1:4" ht="13.2">
      <c r="A730" s="17" t="s">
        <v>664</v>
      </c>
      <c r="B730" s="18">
        <v>520</v>
      </c>
      <c r="C730" s="891"/>
      <c r="D730" s="269"/>
    </row>
    <row r="731" spans="1:4" ht="13.2">
      <c r="A731" s="17" t="s">
        <v>665</v>
      </c>
      <c r="B731" s="18">
        <v>520</v>
      </c>
      <c r="C731" s="891"/>
      <c r="D731" s="269"/>
    </row>
    <row r="732" spans="1:4" ht="13.2">
      <c r="A732" s="17" t="s">
        <v>666</v>
      </c>
      <c r="B732" s="18">
        <v>520</v>
      </c>
      <c r="C732" s="891"/>
      <c r="D732" s="269"/>
    </row>
    <row r="733" spans="1:4" ht="13.2">
      <c r="A733" s="17" t="s">
        <v>667</v>
      </c>
      <c r="B733" s="18">
        <v>520</v>
      </c>
      <c r="C733" s="891"/>
      <c r="D733" s="269"/>
    </row>
    <row r="734" spans="1:4" ht="13.2">
      <c r="A734" s="17" t="s">
        <v>668</v>
      </c>
      <c r="B734" s="18">
        <v>520</v>
      </c>
      <c r="C734" s="891"/>
      <c r="D734" s="269"/>
    </row>
    <row r="735" spans="1:4" ht="13.2">
      <c r="A735" s="17" t="s">
        <v>669</v>
      </c>
      <c r="B735" s="18">
        <v>580</v>
      </c>
      <c r="C735" s="891"/>
      <c r="D735" s="269"/>
    </row>
    <row r="736" spans="1:4" ht="13.2">
      <c r="A736" s="17" t="s">
        <v>670</v>
      </c>
      <c r="B736" s="18">
        <v>580</v>
      </c>
      <c r="C736" s="891"/>
      <c r="D736" s="269"/>
    </row>
    <row r="737" spans="1:4" ht="13.2">
      <c r="A737" s="17" t="s">
        <v>671</v>
      </c>
      <c r="B737" s="18">
        <v>580</v>
      </c>
      <c r="C737" s="891"/>
      <c r="D737" s="269"/>
    </row>
    <row r="738" spans="1:4" ht="13.2">
      <c r="A738" s="17" t="s">
        <v>672</v>
      </c>
      <c r="B738" s="18">
        <v>580</v>
      </c>
      <c r="C738" s="891"/>
      <c r="D738" s="269"/>
    </row>
    <row r="739" spans="1:4" ht="13.2">
      <c r="A739" s="17" t="s">
        <v>673</v>
      </c>
      <c r="B739" s="18">
        <v>580</v>
      </c>
      <c r="C739" s="891"/>
      <c r="D739" s="269"/>
    </row>
    <row r="740" spans="1:4" ht="13.2">
      <c r="A740" s="17" t="s">
        <v>674</v>
      </c>
      <c r="B740" s="18">
        <v>580</v>
      </c>
      <c r="C740" s="891"/>
      <c r="D740" s="269"/>
    </row>
    <row r="741" spans="1:4" ht="13.2">
      <c r="A741" s="17" t="s">
        <v>675</v>
      </c>
      <c r="B741" s="18">
        <v>580</v>
      </c>
      <c r="C741" s="891"/>
      <c r="D741" s="269"/>
    </row>
    <row r="742" spans="1:4" ht="13.2">
      <c r="A742" s="17" t="s">
        <v>676</v>
      </c>
      <c r="B742" s="18">
        <v>580</v>
      </c>
      <c r="C742" s="891"/>
      <c r="D742" s="269"/>
    </row>
    <row r="743" spans="1:4" ht="13.2">
      <c r="A743" s="17" t="s">
        <v>677</v>
      </c>
      <c r="B743" s="18">
        <v>580</v>
      </c>
      <c r="C743" s="891"/>
      <c r="D743" s="269"/>
    </row>
    <row r="744" spans="1:4" ht="13.2">
      <c r="A744" s="17" t="s">
        <v>678</v>
      </c>
      <c r="B744" s="18">
        <v>580</v>
      </c>
      <c r="C744" s="891"/>
      <c r="D744" s="269"/>
    </row>
    <row r="745" spans="1:4" ht="13.2">
      <c r="A745" s="17" t="s">
        <v>679</v>
      </c>
      <c r="B745" s="18">
        <v>580</v>
      </c>
      <c r="C745" s="891"/>
      <c r="D745" s="269"/>
    </row>
    <row r="746" spans="1:4" ht="13.2">
      <c r="A746" s="17" t="s">
        <v>680</v>
      </c>
      <c r="B746" s="18">
        <v>580</v>
      </c>
      <c r="C746" s="891"/>
      <c r="D746" s="269"/>
    </row>
    <row r="747" spans="1:4" ht="13.2">
      <c r="A747" s="17" t="s">
        <v>681</v>
      </c>
      <c r="B747" s="18">
        <v>580</v>
      </c>
      <c r="C747" s="891"/>
      <c r="D747" s="269"/>
    </row>
    <row r="748" spans="1:4" ht="13.2">
      <c r="A748" s="17" t="s">
        <v>682</v>
      </c>
      <c r="B748" s="18">
        <v>580</v>
      </c>
      <c r="C748" s="891"/>
      <c r="D748" s="269"/>
    </row>
    <row r="749" spans="1:4" ht="13.2">
      <c r="A749" s="17" t="s">
        <v>683</v>
      </c>
      <c r="B749" s="18">
        <v>580</v>
      </c>
      <c r="C749" s="891"/>
      <c r="D749" s="269"/>
    </row>
    <row r="750" spans="1:4" ht="13.2">
      <c r="A750" s="17" t="s">
        <v>684</v>
      </c>
      <c r="B750" s="18">
        <v>580</v>
      </c>
      <c r="C750" s="891"/>
      <c r="D750" s="269"/>
    </row>
    <row r="751" spans="1:4" ht="13.2">
      <c r="A751" s="17" t="s">
        <v>1270</v>
      </c>
      <c r="B751" s="18">
        <v>300</v>
      </c>
      <c r="C751" s="891"/>
      <c r="D751" s="271"/>
    </row>
    <row r="752" spans="1:4" ht="13.2">
      <c r="A752" s="17" t="s">
        <v>1271</v>
      </c>
      <c r="B752" s="18">
        <v>300</v>
      </c>
      <c r="C752" s="891"/>
      <c r="D752" s="271"/>
    </row>
    <row r="753" spans="1:4" ht="13.2">
      <c r="A753" s="17" t="s">
        <v>1272</v>
      </c>
      <c r="B753" s="18">
        <v>300</v>
      </c>
      <c r="C753" s="891"/>
      <c r="D753" s="271"/>
    </row>
    <row r="754" spans="1:4" ht="13.2">
      <c r="A754" s="17" t="s">
        <v>1273</v>
      </c>
      <c r="B754" s="18">
        <v>300</v>
      </c>
      <c r="C754" s="891"/>
      <c r="D754" s="271"/>
    </row>
    <row r="755" spans="1:4" ht="13.2">
      <c r="A755" s="17" t="s">
        <v>1274</v>
      </c>
      <c r="B755" s="18">
        <v>300</v>
      </c>
      <c r="C755" s="891"/>
      <c r="D755" s="271"/>
    </row>
    <row r="756" spans="1:4" ht="13.2">
      <c r="A756" s="17" t="s">
        <v>1275</v>
      </c>
      <c r="B756" s="18">
        <v>300</v>
      </c>
      <c r="C756" s="891"/>
      <c r="D756" s="271"/>
    </row>
    <row r="757" spans="1:4" ht="13.2">
      <c r="A757" s="17" t="s">
        <v>1276</v>
      </c>
      <c r="B757" s="18">
        <v>300</v>
      </c>
      <c r="C757" s="891"/>
      <c r="D757" s="271"/>
    </row>
    <row r="758" spans="1:4" ht="13.2">
      <c r="A758" s="17" t="s">
        <v>1277</v>
      </c>
      <c r="B758" s="18">
        <v>300</v>
      </c>
      <c r="C758" s="891"/>
      <c r="D758" s="271"/>
    </row>
    <row r="759" spans="1:4" ht="13.2">
      <c r="A759" s="17" t="s">
        <v>1278</v>
      </c>
      <c r="B759" s="18">
        <v>300</v>
      </c>
      <c r="C759" s="891"/>
      <c r="D759" s="271"/>
    </row>
    <row r="760" spans="1:4" ht="13.2">
      <c r="A760" s="17" t="s">
        <v>1279</v>
      </c>
      <c r="B760" s="18">
        <v>300</v>
      </c>
      <c r="C760" s="891"/>
      <c r="D760" s="271"/>
    </row>
    <row r="761" spans="1:4" ht="13.2">
      <c r="A761" s="17" t="s">
        <v>1280</v>
      </c>
      <c r="B761" s="18">
        <v>300</v>
      </c>
      <c r="C761" s="891"/>
      <c r="D761" s="271"/>
    </row>
    <row r="762" spans="1:4" ht="13.2">
      <c r="A762" s="17" t="s">
        <v>1281</v>
      </c>
      <c r="B762" s="18">
        <v>300</v>
      </c>
      <c r="C762" s="891"/>
      <c r="D762" s="271"/>
    </row>
    <row r="763" spans="1:4" ht="13.2">
      <c r="A763" s="17" t="s">
        <v>1282</v>
      </c>
      <c r="B763" s="18">
        <v>300</v>
      </c>
      <c r="C763" s="891"/>
      <c r="D763" s="271"/>
    </row>
    <row r="764" spans="1:4" ht="13.2">
      <c r="A764" s="17" t="s">
        <v>1283</v>
      </c>
      <c r="B764" s="18">
        <v>300</v>
      </c>
      <c r="C764" s="891"/>
      <c r="D764" s="271"/>
    </row>
    <row r="765" spans="1:4" ht="13.2">
      <c r="A765" s="17" t="s">
        <v>1284</v>
      </c>
      <c r="B765" s="18">
        <v>300</v>
      </c>
      <c r="C765" s="891"/>
      <c r="D765" s="271"/>
    </row>
    <row r="766" spans="1:4" ht="13.2">
      <c r="A766" s="17" t="s">
        <v>1264</v>
      </c>
      <c r="B766" s="18">
        <v>300</v>
      </c>
      <c r="C766" s="891"/>
      <c r="D766" s="271"/>
    </row>
    <row r="767" spans="1:4" ht="13.2">
      <c r="A767" s="17" t="s">
        <v>1285</v>
      </c>
      <c r="B767" s="18">
        <v>320</v>
      </c>
      <c r="C767" s="891"/>
      <c r="D767" s="271"/>
    </row>
    <row r="768" spans="1:4" ht="13.2">
      <c r="A768" s="17" t="s">
        <v>1286</v>
      </c>
      <c r="B768" s="18">
        <v>320</v>
      </c>
      <c r="C768" s="891"/>
      <c r="D768" s="271"/>
    </row>
    <row r="769" spans="1:4" ht="13.2">
      <c r="A769" s="17" t="s">
        <v>1287</v>
      </c>
      <c r="B769" s="18">
        <v>320</v>
      </c>
      <c r="C769" s="891"/>
      <c r="D769" s="271"/>
    </row>
    <row r="770" spans="1:4" ht="13.2">
      <c r="A770" s="17" t="s">
        <v>1288</v>
      </c>
      <c r="B770" s="18">
        <v>320</v>
      </c>
      <c r="C770" s="891"/>
      <c r="D770" s="271"/>
    </row>
    <row r="771" spans="1:4" ht="13.2">
      <c r="A771" s="17" t="s">
        <v>1289</v>
      </c>
      <c r="B771" s="18">
        <v>320</v>
      </c>
      <c r="C771" s="891"/>
      <c r="D771" s="271"/>
    </row>
    <row r="772" spans="1:4" ht="13.2">
      <c r="A772" s="17" t="s">
        <v>1290</v>
      </c>
      <c r="B772" s="18">
        <v>320</v>
      </c>
      <c r="C772" s="891"/>
      <c r="D772" s="271"/>
    </row>
    <row r="773" spans="1:4" ht="13.2">
      <c r="A773" s="17" t="s">
        <v>1291</v>
      </c>
      <c r="B773" s="18">
        <v>320</v>
      </c>
      <c r="C773" s="891"/>
      <c r="D773" s="271"/>
    </row>
    <row r="774" spans="1:4" ht="13.2">
      <c r="A774" s="17" t="s">
        <v>1292</v>
      </c>
      <c r="B774" s="18">
        <v>320</v>
      </c>
      <c r="C774" s="891"/>
      <c r="D774" s="271"/>
    </row>
    <row r="775" spans="1:4" ht="13.2">
      <c r="A775" s="17" t="s">
        <v>1293</v>
      </c>
      <c r="B775" s="18">
        <v>320</v>
      </c>
      <c r="C775" s="891"/>
      <c r="D775" s="271"/>
    </row>
    <row r="776" spans="1:4" ht="13.2">
      <c r="A776" s="17" t="s">
        <v>1294</v>
      </c>
      <c r="B776" s="18">
        <v>320</v>
      </c>
      <c r="C776" s="891"/>
      <c r="D776" s="271"/>
    </row>
    <row r="777" spans="1:4" ht="13.2">
      <c r="A777" s="17" t="s">
        <v>1295</v>
      </c>
      <c r="B777" s="18">
        <v>320</v>
      </c>
      <c r="C777" s="891"/>
      <c r="D777" s="271"/>
    </row>
    <row r="778" spans="1:4" ht="13.2">
      <c r="A778" s="17" t="s">
        <v>1296</v>
      </c>
      <c r="B778" s="18">
        <v>320</v>
      </c>
      <c r="C778" s="891"/>
      <c r="D778" s="271"/>
    </row>
    <row r="779" spans="1:4" ht="13.2">
      <c r="A779" s="17" t="s">
        <v>1297</v>
      </c>
      <c r="B779" s="18">
        <v>320</v>
      </c>
      <c r="C779" s="891"/>
      <c r="D779" s="271"/>
    </row>
    <row r="780" spans="1:4" ht="13.2">
      <c r="A780" s="17" t="s">
        <v>1298</v>
      </c>
      <c r="B780" s="18">
        <v>320</v>
      </c>
      <c r="C780" s="891"/>
      <c r="D780" s="271"/>
    </row>
    <row r="781" spans="1:4" ht="13.2">
      <c r="A781" s="17" t="s">
        <v>1299</v>
      </c>
      <c r="B781" s="18">
        <v>320</v>
      </c>
      <c r="C781" s="891"/>
      <c r="D781" s="271"/>
    </row>
    <row r="782" spans="1:4" ht="13.2">
      <c r="A782" s="17" t="s">
        <v>1265</v>
      </c>
      <c r="B782" s="18">
        <v>320</v>
      </c>
      <c r="C782" s="891"/>
      <c r="D782" s="271"/>
    </row>
    <row r="783" spans="1:4" ht="13.2">
      <c r="A783" s="17" t="s">
        <v>1300</v>
      </c>
      <c r="B783" s="18">
        <v>350</v>
      </c>
      <c r="C783" s="891"/>
      <c r="D783" s="271"/>
    </row>
    <row r="784" spans="1:4" ht="13.2">
      <c r="A784" s="17" t="s">
        <v>1301</v>
      </c>
      <c r="B784" s="18">
        <v>350</v>
      </c>
      <c r="C784" s="891"/>
      <c r="D784" s="271"/>
    </row>
    <row r="785" spans="1:4" ht="13.2">
      <c r="A785" s="17" t="s">
        <v>1302</v>
      </c>
      <c r="B785" s="18">
        <v>350</v>
      </c>
      <c r="C785" s="891"/>
      <c r="D785" s="271"/>
    </row>
    <row r="786" spans="1:4" ht="13.2">
      <c r="A786" s="17" t="s">
        <v>1303</v>
      </c>
      <c r="B786" s="18">
        <v>350</v>
      </c>
      <c r="C786" s="891"/>
      <c r="D786" s="271"/>
    </row>
    <row r="787" spans="1:4" ht="13.2">
      <c r="A787" s="17" t="s">
        <v>1304</v>
      </c>
      <c r="B787" s="18">
        <v>350</v>
      </c>
      <c r="C787" s="891"/>
      <c r="D787" s="271"/>
    </row>
    <row r="788" spans="1:4" ht="13.2">
      <c r="A788" s="17" t="s">
        <v>1305</v>
      </c>
      <c r="B788" s="18">
        <v>350</v>
      </c>
      <c r="C788" s="891"/>
      <c r="D788" s="271"/>
    </row>
    <row r="789" spans="1:4" ht="13.2">
      <c r="A789" s="17" t="s">
        <v>1306</v>
      </c>
      <c r="B789" s="18">
        <v>350</v>
      </c>
      <c r="C789" s="891"/>
      <c r="D789" s="271"/>
    </row>
    <row r="790" spans="1:4" ht="13.2">
      <c r="A790" s="17" t="s">
        <v>1307</v>
      </c>
      <c r="B790" s="18">
        <v>350</v>
      </c>
      <c r="C790" s="891"/>
      <c r="D790" s="271"/>
    </row>
    <row r="791" spans="1:4" ht="13.2">
      <c r="A791" s="17" t="s">
        <v>1308</v>
      </c>
      <c r="B791" s="18">
        <v>350</v>
      </c>
      <c r="C791" s="891"/>
      <c r="D791" s="271"/>
    </row>
    <row r="792" spans="1:4" ht="13.2">
      <c r="A792" s="17" t="s">
        <v>1309</v>
      </c>
      <c r="B792" s="18">
        <v>350</v>
      </c>
      <c r="C792" s="891"/>
      <c r="D792" s="271"/>
    </row>
    <row r="793" spans="1:4" ht="13.2">
      <c r="A793" s="17" t="s">
        <v>1310</v>
      </c>
      <c r="B793" s="18">
        <v>350</v>
      </c>
      <c r="C793" s="891"/>
      <c r="D793" s="271"/>
    </row>
    <row r="794" spans="1:4" ht="13.2">
      <c r="A794" s="17" t="s">
        <v>1311</v>
      </c>
      <c r="B794" s="18">
        <v>350</v>
      </c>
      <c r="C794" s="891"/>
      <c r="D794" s="271"/>
    </row>
    <row r="795" spans="1:4" ht="13.2">
      <c r="A795" s="17" t="s">
        <v>1312</v>
      </c>
      <c r="B795" s="18">
        <v>350</v>
      </c>
      <c r="C795" s="891"/>
      <c r="D795" s="271"/>
    </row>
    <row r="796" spans="1:4" ht="13.2">
      <c r="A796" s="17" t="s">
        <v>1313</v>
      </c>
      <c r="B796" s="18">
        <v>350</v>
      </c>
      <c r="C796" s="891"/>
      <c r="D796" s="271"/>
    </row>
    <row r="797" spans="1:4" ht="13.2">
      <c r="A797" s="17" t="s">
        <v>1314</v>
      </c>
      <c r="B797" s="18">
        <v>350</v>
      </c>
      <c r="C797" s="891"/>
      <c r="D797" s="271"/>
    </row>
    <row r="798" spans="1:4" ht="13.2">
      <c r="A798" s="17" t="s">
        <v>1266</v>
      </c>
      <c r="B798" s="18">
        <v>350</v>
      </c>
      <c r="C798" s="891"/>
      <c r="D798" s="271"/>
    </row>
    <row r="799" spans="1:4" ht="13.2">
      <c r="A799" s="17" t="s">
        <v>685</v>
      </c>
      <c r="B799" s="18">
        <v>380</v>
      </c>
      <c r="C799" s="891"/>
      <c r="D799" s="269"/>
    </row>
    <row r="800" spans="1:4" ht="13.2">
      <c r="A800" s="17" t="s">
        <v>686</v>
      </c>
      <c r="B800" s="18">
        <v>380</v>
      </c>
      <c r="C800" s="891"/>
      <c r="D800" s="269"/>
    </row>
    <row r="801" spans="1:4" ht="13.2">
      <c r="A801" s="17" t="s">
        <v>687</v>
      </c>
      <c r="B801" s="18">
        <v>380</v>
      </c>
      <c r="C801" s="891"/>
      <c r="D801" s="269"/>
    </row>
    <row r="802" spans="1:4" ht="13.2">
      <c r="A802" s="17" t="s">
        <v>688</v>
      </c>
      <c r="B802" s="18">
        <v>380</v>
      </c>
      <c r="C802" s="891"/>
      <c r="D802" s="269"/>
    </row>
    <row r="803" spans="1:4" ht="13.2">
      <c r="A803" s="17" t="s">
        <v>689</v>
      </c>
      <c r="B803" s="18">
        <v>380</v>
      </c>
      <c r="C803" s="891"/>
      <c r="D803" s="269"/>
    </row>
    <row r="804" spans="1:4" ht="13.2">
      <c r="A804" s="17" t="s">
        <v>690</v>
      </c>
      <c r="B804" s="18">
        <v>380</v>
      </c>
      <c r="C804" s="891"/>
      <c r="D804" s="269"/>
    </row>
    <row r="805" spans="1:4" ht="13.2">
      <c r="A805" s="17" t="s">
        <v>691</v>
      </c>
      <c r="B805" s="18">
        <v>380</v>
      </c>
      <c r="C805" s="891"/>
      <c r="D805" s="269"/>
    </row>
    <row r="806" spans="1:4" ht="13.2">
      <c r="A806" s="17" t="s">
        <v>692</v>
      </c>
      <c r="B806" s="18">
        <v>380</v>
      </c>
      <c r="C806" s="891"/>
      <c r="D806" s="269"/>
    </row>
    <row r="807" spans="1:4" ht="13.2">
      <c r="A807" s="17" t="s">
        <v>693</v>
      </c>
      <c r="B807" s="18">
        <v>380</v>
      </c>
      <c r="C807" s="891"/>
      <c r="D807" s="269"/>
    </row>
    <row r="808" spans="1:4" ht="13.2">
      <c r="A808" s="17" t="s">
        <v>694</v>
      </c>
      <c r="B808" s="18">
        <v>380</v>
      </c>
      <c r="C808" s="891"/>
      <c r="D808" s="269"/>
    </row>
    <row r="809" spans="1:4" ht="13.2">
      <c r="A809" s="17" t="s">
        <v>695</v>
      </c>
      <c r="B809" s="18">
        <v>380</v>
      </c>
      <c r="C809" s="891"/>
      <c r="D809" s="269"/>
    </row>
    <row r="810" spans="1:4" ht="13.2">
      <c r="A810" s="17" t="s">
        <v>696</v>
      </c>
      <c r="B810" s="18">
        <v>380</v>
      </c>
      <c r="C810" s="891"/>
      <c r="D810" s="269"/>
    </row>
    <row r="811" spans="1:4" ht="13.2">
      <c r="A811" s="17" t="s">
        <v>697</v>
      </c>
      <c r="B811" s="18">
        <v>380</v>
      </c>
      <c r="C811" s="891"/>
      <c r="D811" s="269"/>
    </row>
    <row r="812" spans="1:4" ht="13.2">
      <c r="A812" s="17" t="s">
        <v>698</v>
      </c>
      <c r="B812" s="18">
        <v>380</v>
      </c>
      <c r="C812" s="891"/>
      <c r="D812" s="269"/>
    </row>
    <row r="813" spans="1:4" ht="13.2">
      <c r="A813" s="17" t="s">
        <v>699</v>
      </c>
      <c r="B813" s="18">
        <v>380</v>
      </c>
      <c r="C813" s="891"/>
      <c r="D813" s="269"/>
    </row>
    <row r="814" spans="1:4" ht="13.2">
      <c r="A814" s="17" t="s">
        <v>700</v>
      </c>
      <c r="B814" s="18">
        <v>380</v>
      </c>
      <c r="C814" s="891"/>
      <c r="D814" s="269"/>
    </row>
    <row r="815" spans="1:4" ht="13.2">
      <c r="A815" s="17" t="s">
        <v>701</v>
      </c>
      <c r="B815" s="18">
        <v>440</v>
      </c>
      <c r="C815" s="891"/>
      <c r="D815" s="269"/>
    </row>
    <row r="816" spans="1:4" ht="13.2">
      <c r="A816" s="17" t="s">
        <v>702</v>
      </c>
      <c r="B816" s="18">
        <v>440</v>
      </c>
      <c r="C816" s="891"/>
      <c r="D816" s="269"/>
    </row>
    <row r="817" spans="1:4" ht="13.2">
      <c r="A817" s="17" t="s">
        <v>703</v>
      </c>
      <c r="B817" s="18">
        <v>440</v>
      </c>
      <c r="C817" s="891"/>
      <c r="D817" s="269"/>
    </row>
    <row r="818" spans="1:4" ht="13.2">
      <c r="A818" s="17" t="s">
        <v>704</v>
      </c>
      <c r="B818" s="18">
        <v>440</v>
      </c>
      <c r="C818" s="891"/>
      <c r="D818" s="269"/>
    </row>
    <row r="819" spans="1:4" ht="13.2">
      <c r="A819" s="17" t="s">
        <v>705</v>
      </c>
      <c r="B819" s="18">
        <v>440</v>
      </c>
      <c r="C819" s="891"/>
      <c r="D819" s="269"/>
    </row>
    <row r="820" spans="1:4" ht="13.2">
      <c r="A820" s="17" t="s">
        <v>706</v>
      </c>
      <c r="B820" s="18">
        <v>440</v>
      </c>
      <c r="C820" s="891"/>
      <c r="D820" s="269"/>
    </row>
    <row r="821" spans="1:4" ht="13.2">
      <c r="A821" s="17" t="s">
        <v>707</v>
      </c>
      <c r="B821" s="18">
        <v>440</v>
      </c>
      <c r="C821" s="891"/>
      <c r="D821" s="269"/>
    </row>
    <row r="822" spans="1:4" ht="13.2">
      <c r="A822" s="17" t="s">
        <v>708</v>
      </c>
      <c r="B822" s="18">
        <v>440</v>
      </c>
      <c r="C822" s="891"/>
      <c r="D822" s="269"/>
    </row>
    <row r="823" spans="1:4" ht="13.2">
      <c r="A823" s="17" t="s">
        <v>709</v>
      </c>
      <c r="B823" s="18">
        <v>440</v>
      </c>
      <c r="C823" s="891"/>
      <c r="D823" s="269"/>
    </row>
    <row r="824" spans="1:4" ht="13.2">
      <c r="A824" s="17" t="s">
        <v>710</v>
      </c>
      <c r="B824" s="18">
        <v>440</v>
      </c>
      <c r="C824" s="891"/>
      <c r="D824" s="269"/>
    </row>
    <row r="825" spans="1:4" ht="13.2">
      <c r="A825" s="17" t="s">
        <v>711</v>
      </c>
      <c r="B825" s="18">
        <v>440</v>
      </c>
      <c r="C825" s="891"/>
      <c r="D825" s="269"/>
    </row>
    <row r="826" spans="1:4" ht="13.2">
      <c r="A826" s="17" t="s">
        <v>712</v>
      </c>
      <c r="B826" s="18">
        <v>440</v>
      </c>
      <c r="C826" s="891"/>
      <c r="D826" s="269"/>
    </row>
    <row r="827" spans="1:4" ht="13.2">
      <c r="A827" s="17" t="s">
        <v>713</v>
      </c>
      <c r="B827" s="18">
        <v>440</v>
      </c>
      <c r="C827" s="891"/>
      <c r="D827" s="269"/>
    </row>
    <row r="828" spans="1:4" ht="13.2">
      <c r="A828" s="17" t="s">
        <v>714</v>
      </c>
      <c r="B828" s="18">
        <v>440</v>
      </c>
      <c r="C828" s="891"/>
      <c r="D828" s="269"/>
    </row>
    <row r="829" spans="1:4" ht="13.2">
      <c r="A829" s="17" t="s">
        <v>715</v>
      </c>
      <c r="B829" s="18">
        <v>440</v>
      </c>
      <c r="C829" s="891"/>
      <c r="D829" s="269"/>
    </row>
    <row r="830" spans="1:4" ht="13.2">
      <c r="A830" s="17" t="s">
        <v>716</v>
      </c>
      <c r="B830" s="18">
        <v>440</v>
      </c>
      <c r="C830" s="891"/>
      <c r="D830" s="269"/>
    </row>
    <row r="831" spans="1:4" ht="13.2">
      <c r="A831" s="17" t="s">
        <v>1315</v>
      </c>
      <c r="B831" s="18">
        <v>480</v>
      </c>
      <c r="C831" s="891"/>
      <c r="D831" s="270"/>
    </row>
    <row r="832" spans="1:4" ht="13.2">
      <c r="A832" s="17" t="s">
        <v>1316</v>
      </c>
      <c r="B832" s="18">
        <v>480</v>
      </c>
      <c r="C832" s="891"/>
      <c r="D832" s="270"/>
    </row>
    <row r="833" spans="1:4" ht="13.2">
      <c r="A833" s="17" t="s">
        <v>1317</v>
      </c>
      <c r="B833" s="18">
        <v>480</v>
      </c>
      <c r="C833" s="891"/>
      <c r="D833" s="270"/>
    </row>
    <row r="834" spans="1:4" ht="13.2">
      <c r="A834" s="17" t="s">
        <v>1318</v>
      </c>
      <c r="B834" s="18">
        <v>480</v>
      </c>
      <c r="C834" s="891"/>
      <c r="D834" s="270"/>
    </row>
    <row r="835" spans="1:4" ht="13.2">
      <c r="A835" s="17" t="s">
        <v>1319</v>
      </c>
      <c r="B835" s="18">
        <v>480</v>
      </c>
      <c r="C835" s="891"/>
      <c r="D835" s="270"/>
    </row>
    <row r="836" spans="1:4" ht="13.2">
      <c r="A836" s="17" t="s">
        <v>1320</v>
      </c>
      <c r="B836" s="18">
        <v>480</v>
      </c>
      <c r="C836" s="891"/>
      <c r="D836" s="270"/>
    </row>
    <row r="837" spans="1:4" ht="13.2">
      <c r="A837" s="17" t="s">
        <v>1321</v>
      </c>
      <c r="B837" s="18">
        <v>480</v>
      </c>
      <c r="C837" s="891"/>
      <c r="D837" s="270"/>
    </row>
    <row r="838" spans="1:4" ht="13.2">
      <c r="A838" s="17" t="s">
        <v>1322</v>
      </c>
      <c r="B838" s="18">
        <v>480</v>
      </c>
      <c r="C838" s="891"/>
      <c r="D838" s="270"/>
    </row>
    <row r="839" spans="1:4" ht="13.2">
      <c r="A839" s="17" t="s">
        <v>1323</v>
      </c>
      <c r="B839" s="18">
        <v>480</v>
      </c>
      <c r="C839" s="891"/>
      <c r="D839" s="270"/>
    </row>
    <row r="840" spans="1:4" ht="13.2">
      <c r="A840" s="17" t="s">
        <v>1324</v>
      </c>
      <c r="B840" s="18">
        <v>480</v>
      </c>
      <c r="C840" s="891"/>
      <c r="D840" s="270"/>
    </row>
    <row r="841" spans="1:4" ht="13.2">
      <c r="A841" s="17" t="s">
        <v>1325</v>
      </c>
      <c r="B841" s="18">
        <v>480</v>
      </c>
      <c r="C841" s="891"/>
      <c r="D841" s="270"/>
    </row>
    <row r="842" spans="1:4" ht="13.2">
      <c r="A842" s="17" t="s">
        <v>1326</v>
      </c>
      <c r="B842" s="18">
        <v>480</v>
      </c>
      <c r="C842" s="891"/>
      <c r="D842" s="270"/>
    </row>
    <row r="843" spans="1:4" ht="13.2">
      <c r="A843" s="17" t="s">
        <v>1327</v>
      </c>
      <c r="B843" s="18">
        <v>480</v>
      </c>
      <c r="C843" s="891"/>
      <c r="D843" s="270"/>
    </row>
    <row r="844" spans="1:4" ht="13.2">
      <c r="A844" s="17" t="s">
        <v>1328</v>
      </c>
      <c r="B844" s="18">
        <v>480</v>
      </c>
      <c r="C844" s="891"/>
      <c r="D844" s="270"/>
    </row>
    <row r="845" spans="1:4" ht="13.2">
      <c r="A845" s="17" t="s">
        <v>1329</v>
      </c>
      <c r="B845" s="18">
        <v>480</v>
      </c>
      <c r="C845" s="891"/>
      <c r="D845" s="270"/>
    </row>
    <row r="846" spans="1:4" ht="13.2">
      <c r="A846" s="17" t="s">
        <v>1267</v>
      </c>
      <c r="B846" s="18">
        <v>480</v>
      </c>
      <c r="C846" s="891"/>
      <c r="D846" s="270"/>
    </row>
    <row r="847" spans="1:4" ht="13.2">
      <c r="A847" s="17" t="s">
        <v>717</v>
      </c>
      <c r="B847" s="18">
        <v>520</v>
      </c>
      <c r="C847" s="891"/>
      <c r="D847" s="269"/>
    </row>
    <row r="848" spans="1:4" ht="13.2">
      <c r="A848" s="17" t="s">
        <v>718</v>
      </c>
      <c r="B848" s="18">
        <v>520</v>
      </c>
      <c r="C848" s="891"/>
      <c r="D848" s="269"/>
    </row>
    <row r="849" spans="1:4" ht="13.2">
      <c r="A849" s="17" t="s">
        <v>719</v>
      </c>
      <c r="B849" s="18">
        <v>520</v>
      </c>
      <c r="C849" s="891"/>
      <c r="D849" s="269"/>
    </row>
    <row r="850" spans="1:4" ht="13.2">
      <c r="A850" s="17" t="s">
        <v>720</v>
      </c>
      <c r="B850" s="18">
        <v>520</v>
      </c>
      <c r="C850" s="891"/>
      <c r="D850" s="269"/>
    </row>
    <row r="851" spans="1:4" ht="13.2">
      <c r="A851" s="17" t="s">
        <v>721</v>
      </c>
      <c r="B851" s="18">
        <v>520</v>
      </c>
      <c r="C851" s="891"/>
      <c r="D851" s="269"/>
    </row>
    <row r="852" spans="1:4" ht="13.2">
      <c r="A852" s="17" t="s">
        <v>722</v>
      </c>
      <c r="B852" s="18">
        <v>520</v>
      </c>
      <c r="C852" s="891"/>
      <c r="D852" s="269"/>
    </row>
    <row r="853" spans="1:4" ht="13.2">
      <c r="A853" s="17" t="s">
        <v>723</v>
      </c>
      <c r="B853" s="18">
        <v>520</v>
      </c>
      <c r="C853" s="891"/>
      <c r="D853" s="269"/>
    </row>
    <row r="854" spans="1:4" ht="13.2">
      <c r="A854" s="17" t="s">
        <v>724</v>
      </c>
      <c r="B854" s="18">
        <v>520</v>
      </c>
      <c r="C854" s="891"/>
      <c r="D854" s="269"/>
    </row>
    <row r="855" spans="1:4" ht="13.2">
      <c r="A855" s="17" t="s">
        <v>725</v>
      </c>
      <c r="B855" s="18">
        <v>520</v>
      </c>
      <c r="C855" s="891"/>
      <c r="D855" s="269"/>
    </row>
    <row r="856" spans="1:4" ht="13.2">
      <c r="A856" s="17" t="s">
        <v>726</v>
      </c>
      <c r="B856" s="18">
        <v>520</v>
      </c>
      <c r="C856" s="891"/>
      <c r="D856" s="269"/>
    </row>
    <row r="857" spans="1:4" ht="13.2">
      <c r="A857" s="17" t="s">
        <v>727</v>
      </c>
      <c r="B857" s="18">
        <v>520</v>
      </c>
      <c r="C857" s="891"/>
      <c r="D857" s="269"/>
    </row>
    <row r="858" spans="1:4" ht="13.2">
      <c r="A858" s="17" t="s">
        <v>728</v>
      </c>
      <c r="B858" s="18">
        <v>520</v>
      </c>
      <c r="C858" s="891"/>
      <c r="D858" s="269"/>
    </row>
    <row r="859" spans="1:4" ht="13.2">
      <c r="A859" s="17" t="s">
        <v>729</v>
      </c>
      <c r="B859" s="18">
        <v>520</v>
      </c>
      <c r="C859" s="891"/>
      <c r="D859" s="269"/>
    </row>
    <row r="860" spans="1:4" ht="13.2">
      <c r="A860" s="17" t="s">
        <v>730</v>
      </c>
      <c r="B860" s="18">
        <v>520</v>
      </c>
      <c r="C860" s="891"/>
      <c r="D860" s="269"/>
    </row>
    <row r="861" spans="1:4" ht="13.2">
      <c r="A861" s="17" t="s">
        <v>731</v>
      </c>
      <c r="B861" s="18">
        <v>520</v>
      </c>
      <c r="C861" s="891"/>
      <c r="D861" s="269"/>
    </row>
    <row r="862" spans="1:4" ht="13.2">
      <c r="A862" s="17" t="s">
        <v>732</v>
      </c>
      <c r="B862" s="18">
        <v>520</v>
      </c>
      <c r="C862" s="891"/>
      <c r="D862" s="269"/>
    </row>
    <row r="863" spans="1:4" ht="13.2">
      <c r="A863" s="17" t="s">
        <v>733</v>
      </c>
      <c r="B863" s="18">
        <v>560</v>
      </c>
      <c r="C863" s="891"/>
      <c r="D863" s="269"/>
    </row>
    <row r="864" spans="1:4" ht="13.2">
      <c r="A864" s="17" t="s">
        <v>734</v>
      </c>
      <c r="B864" s="18">
        <v>560</v>
      </c>
      <c r="C864" s="891"/>
      <c r="D864" s="269"/>
    </row>
    <row r="865" spans="1:4" ht="13.2">
      <c r="A865" s="17" t="s">
        <v>735</v>
      </c>
      <c r="B865" s="18">
        <v>560</v>
      </c>
      <c r="C865" s="891"/>
      <c r="D865" s="269"/>
    </row>
    <row r="866" spans="1:4" ht="13.2">
      <c r="A866" s="17" t="s">
        <v>736</v>
      </c>
      <c r="B866" s="18">
        <v>560</v>
      </c>
      <c r="C866" s="891"/>
      <c r="D866" s="269"/>
    </row>
    <row r="867" spans="1:4" ht="13.2">
      <c r="A867" s="17" t="s">
        <v>737</v>
      </c>
      <c r="B867" s="18">
        <v>560</v>
      </c>
      <c r="C867" s="891"/>
      <c r="D867" s="269"/>
    </row>
    <row r="868" spans="1:4" ht="13.2">
      <c r="A868" s="17" t="s">
        <v>738</v>
      </c>
      <c r="B868" s="18">
        <v>560</v>
      </c>
      <c r="C868" s="891"/>
      <c r="D868" s="269"/>
    </row>
    <row r="869" spans="1:4" ht="13.2">
      <c r="A869" s="17" t="s">
        <v>739</v>
      </c>
      <c r="B869" s="18">
        <v>560</v>
      </c>
      <c r="C869" s="891"/>
      <c r="D869" s="269"/>
    </row>
    <row r="870" spans="1:4" ht="13.2">
      <c r="A870" s="17" t="s">
        <v>740</v>
      </c>
      <c r="B870" s="18">
        <v>560</v>
      </c>
      <c r="C870" s="891"/>
      <c r="D870" s="269"/>
    </row>
    <row r="871" spans="1:4" ht="13.2">
      <c r="A871" s="17" t="s">
        <v>741</v>
      </c>
      <c r="B871" s="18">
        <v>560</v>
      </c>
      <c r="C871" s="891"/>
      <c r="D871" s="269"/>
    </row>
    <row r="872" spans="1:4" ht="13.2">
      <c r="A872" s="17" t="s">
        <v>742</v>
      </c>
      <c r="B872" s="18">
        <v>560</v>
      </c>
      <c r="C872" s="891"/>
      <c r="D872" s="269"/>
    </row>
    <row r="873" spans="1:4" ht="13.2">
      <c r="A873" s="17" t="s">
        <v>743</v>
      </c>
      <c r="B873" s="18">
        <v>560</v>
      </c>
      <c r="C873" s="891"/>
      <c r="D873" s="269"/>
    </row>
    <row r="874" spans="1:4" ht="13.2">
      <c r="A874" s="17" t="s">
        <v>744</v>
      </c>
      <c r="B874" s="18">
        <v>560</v>
      </c>
      <c r="C874" s="891"/>
      <c r="D874" s="269"/>
    </row>
    <row r="875" spans="1:4" ht="13.2">
      <c r="A875" s="17" t="s">
        <v>745</v>
      </c>
      <c r="B875" s="18">
        <v>560</v>
      </c>
      <c r="C875" s="891"/>
      <c r="D875" s="269"/>
    </row>
    <row r="876" spans="1:4" ht="13.2">
      <c r="A876" s="17" t="s">
        <v>746</v>
      </c>
      <c r="B876" s="18">
        <v>560</v>
      </c>
      <c r="C876" s="891"/>
      <c r="D876" s="269"/>
    </row>
    <row r="877" spans="1:4" ht="13.2">
      <c r="A877" s="17" t="s">
        <v>747</v>
      </c>
      <c r="B877" s="18">
        <v>560</v>
      </c>
      <c r="C877" s="891"/>
      <c r="D877" s="269"/>
    </row>
    <row r="878" spans="1:4" ht="13.2">
      <c r="A878" s="17" t="s">
        <v>748</v>
      </c>
      <c r="B878" s="18">
        <v>560</v>
      </c>
      <c r="C878" s="891"/>
      <c r="D878" s="269"/>
    </row>
    <row r="879" spans="1:4" ht="13.2">
      <c r="A879" s="17" t="s">
        <v>749</v>
      </c>
      <c r="B879" s="18">
        <v>620</v>
      </c>
      <c r="C879" s="891"/>
      <c r="D879" s="269"/>
    </row>
    <row r="880" spans="1:4" ht="13.2">
      <c r="A880" s="17" t="s">
        <v>750</v>
      </c>
      <c r="B880" s="18">
        <v>620</v>
      </c>
      <c r="C880" s="891"/>
      <c r="D880" s="269"/>
    </row>
    <row r="881" spans="1:4" ht="13.2">
      <c r="A881" s="17" t="s">
        <v>751</v>
      </c>
      <c r="B881" s="18">
        <v>620</v>
      </c>
      <c r="C881" s="891"/>
      <c r="D881" s="269"/>
    </row>
    <row r="882" spans="1:4" ht="13.2">
      <c r="A882" s="17" t="s">
        <v>752</v>
      </c>
      <c r="B882" s="18">
        <v>620</v>
      </c>
      <c r="C882" s="891"/>
      <c r="D882" s="269"/>
    </row>
    <row r="883" spans="1:4" ht="13.2">
      <c r="A883" s="17" t="s">
        <v>753</v>
      </c>
      <c r="B883" s="18">
        <v>620</v>
      </c>
      <c r="C883" s="891"/>
      <c r="D883" s="269"/>
    </row>
    <row r="884" spans="1:4" ht="13.2">
      <c r="A884" s="17" t="s">
        <v>754</v>
      </c>
      <c r="B884" s="18">
        <v>620</v>
      </c>
      <c r="C884" s="891"/>
      <c r="D884" s="269"/>
    </row>
    <row r="885" spans="1:4" ht="13.2">
      <c r="A885" s="17" t="s">
        <v>755</v>
      </c>
      <c r="B885" s="18">
        <v>620</v>
      </c>
      <c r="C885" s="891"/>
      <c r="D885" s="269"/>
    </row>
    <row r="886" spans="1:4" ht="13.2">
      <c r="A886" s="17" t="s">
        <v>756</v>
      </c>
      <c r="B886" s="18">
        <v>620</v>
      </c>
      <c r="C886" s="891"/>
      <c r="D886" s="269"/>
    </row>
    <row r="887" spans="1:4" ht="13.2">
      <c r="A887" s="17" t="s">
        <v>757</v>
      </c>
      <c r="B887" s="18">
        <v>620</v>
      </c>
      <c r="C887" s="891"/>
      <c r="D887" s="269"/>
    </row>
    <row r="888" spans="1:4" ht="13.2">
      <c r="A888" s="17" t="s">
        <v>758</v>
      </c>
      <c r="B888" s="18">
        <v>620</v>
      </c>
      <c r="C888" s="891"/>
      <c r="D888" s="269"/>
    </row>
    <row r="889" spans="1:4" ht="13.2">
      <c r="A889" s="17" t="s">
        <v>759</v>
      </c>
      <c r="B889" s="18">
        <v>620</v>
      </c>
      <c r="C889" s="891"/>
      <c r="D889" s="269"/>
    </row>
    <row r="890" spans="1:4" ht="13.2">
      <c r="A890" s="17" t="s">
        <v>760</v>
      </c>
      <c r="B890" s="18">
        <v>620</v>
      </c>
      <c r="C890" s="891"/>
      <c r="D890" s="269"/>
    </row>
    <row r="891" spans="1:4" ht="13.2">
      <c r="A891" s="17" t="s">
        <v>761</v>
      </c>
      <c r="B891" s="18">
        <v>620</v>
      </c>
      <c r="C891" s="891"/>
      <c r="D891" s="269"/>
    </row>
    <row r="892" spans="1:4" ht="13.2">
      <c r="A892" s="17" t="s">
        <v>762</v>
      </c>
      <c r="B892" s="18">
        <v>620</v>
      </c>
      <c r="C892" s="891"/>
      <c r="D892" s="269"/>
    </row>
    <row r="893" spans="1:4" ht="13.2">
      <c r="A893" s="17" t="s">
        <v>763</v>
      </c>
      <c r="B893" s="18">
        <v>620</v>
      </c>
      <c r="C893" s="891"/>
      <c r="D893" s="269"/>
    </row>
    <row r="894" spans="1:4" ht="13.2">
      <c r="A894" s="17" t="s">
        <v>764</v>
      </c>
      <c r="B894" s="18">
        <v>620</v>
      </c>
      <c r="C894" s="891"/>
      <c r="D894" s="269"/>
    </row>
    <row r="895" spans="1:4" ht="13.2">
      <c r="A895" s="17" t="s">
        <v>1330</v>
      </c>
      <c r="B895" s="18">
        <v>670</v>
      </c>
      <c r="C895" s="891"/>
      <c r="D895" s="270"/>
    </row>
    <row r="896" spans="1:4" ht="13.2">
      <c r="A896" s="17" t="s">
        <v>1331</v>
      </c>
      <c r="B896" s="18">
        <v>670</v>
      </c>
      <c r="C896" s="891"/>
      <c r="D896" s="270"/>
    </row>
    <row r="897" spans="1:4" ht="13.2">
      <c r="A897" s="17" t="s">
        <v>1332</v>
      </c>
      <c r="B897" s="18">
        <v>670</v>
      </c>
      <c r="C897" s="891"/>
      <c r="D897" s="270"/>
    </row>
    <row r="898" spans="1:4" ht="13.2">
      <c r="A898" s="17" t="s">
        <v>1333</v>
      </c>
      <c r="B898" s="18">
        <v>670</v>
      </c>
      <c r="C898" s="891"/>
      <c r="D898" s="270"/>
    </row>
    <row r="899" spans="1:4" ht="13.2">
      <c r="A899" s="17" t="s">
        <v>1334</v>
      </c>
      <c r="B899" s="18">
        <v>670</v>
      </c>
      <c r="C899" s="891"/>
      <c r="D899" s="270"/>
    </row>
    <row r="900" spans="1:4" ht="13.2">
      <c r="A900" s="17" t="s">
        <v>1335</v>
      </c>
      <c r="B900" s="18">
        <v>670</v>
      </c>
      <c r="C900" s="891"/>
      <c r="D900" s="270"/>
    </row>
    <row r="901" spans="1:4" ht="13.2">
      <c r="A901" s="17" t="s">
        <v>1336</v>
      </c>
      <c r="B901" s="18">
        <v>670</v>
      </c>
      <c r="C901" s="891"/>
      <c r="D901" s="270"/>
    </row>
    <row r="902" spans="1:4" ht="13.2">
      <c r="A902" s="17" t="s">
        <v>1337</v>
      </c>
      <c r="B902" s="18">
        <v>670</v>
      </c>
      <c r="C902" s="891"/>
      <c r="D902" s="270"/>
    </row>
    <row r="903" spans="1:4" ht="13.2">
      <c r="A903" s="17" t="s">
        <v>1338</v>
      </c>
      <c r="B903" s="18">
        <v>670</v>
      </c>
      <c r="C903" s="891"/>
      <c r="D903" s="270"/>
    </row>
    <row r="904" spans="1:4" ht="13.2">
      <c r="A904" s="17" t="s">
        <v>1339</v>
      </c>
      <c r="B904" s="18">
        <v>670</v>
      </c>
      <c r="C904" s="891"/>
      <c r="D904" s="270"/>
    </row>
    <row r="905" spans="1:4" ht="13.2">
      <c r="A905" s="17" t="s">
        <v>1340</v>
      </c>
      <c r="B905" s="18">
        <v>670</v>
      </c>
      <c r="C905" s="891"/>
      <c r="D905" s="270"/>
    </row>
    <row r="906" spans="1:4" ht="13.2">
      <c r="A906" s="17" t="s">
        <v>1341</v>
      </c>
      <c r="B906" s="18">
        <v>670</v>
      </c>
      <c r="C906" s="891"/>
      <c r="D906" s="270"/>
    </row>
    <row r="907" spans="1:4" ht="13.2">
      <c r="A907" s="17" t="s">
        <v>1342</v>
      </c>
      <c r="B907" s="18">
        <v>670</v>
      </c>
      <c r="C907" s="891"/>
      <c r="D907" s="270"/>
    </row>
    <row r="908" spans="1:4" ht="13.2">
      <c r="A908" s="17" t="s">
        <v>1343</v>
      </c>
      <c r="B908" s="18">
        <v>670</v>
      </c>
      <c r="C908" s="891"/>
      <c r="D908" s="270"/>
    </row>
    <row r="909" spans="1:4" ht="13.2">
      <c r="A909" s="17" t="s">
        <v>1344</v>
      </c>
      <c r="B909" s="18">
        <v>670</v>
      </c>
      <c r="C909" s="891"/>
      <c r="D909" s="270"/>
    </row>
    <row r="910" spans="1:4" ht="13.2">
      <c r="A910" s="17" t="s">
        <v>1268</v>
      </c>
      <c r="B910" s="18">
        <v>670</v>
      </c>
      <c r="C910" s="891"/>
      <c r="D910" s="270"/>
    </row>
    <row r="911" spans="1:4" ht="13.2">
      <c r="A911" s="17" t="s">
        <v>1345</v>
      </c>
      <c r="B911" s="18">
        <v>850</v>
      </c>
      <c r="C911" s="891"/>
      <c r="D911" s="270"/>
    </row>
    <row r="912" spans="1:4" ht="13.2">
      <c r="A912" s="17" t="s">
        <v>1346</v>
      </c>
      <c r="B912" s="18">
        <v>850</v>
      </c>
      <c r="C912" s="891"/>
      <c r="D912" s="270"/>
    </row>
    <row r="913" spans="1:4" ht="13.2">
      <c r="A913" s="17" t="s">
        <v>1347</v>
      </c>
      <c r="B913" s="18">
        <v>850</v>
      </c>
      <c r="C913" s="891"/>
      <c r="D913" s="270"/>
    </row>
    <row r="914" spans="1:4" ht="13.2">
      <c r="A914" s="17" t="s">
        <v>1348</v>
      </c>
      <c r="B914" s="18">
        <v>850</v>
      </c>
      <c r="C914" s="891"/>
      <c r="D914" s="270"/>
    </row>
    <row r="915" spans="1:4" ht="13.2">
      <c r="A915" s="17" t="s">
        <v>1349</v>
      </c>
      <c r="B915" s="18">
        <v>850</v>
      </c>
      <c r="C915" s="891"/>
      <c r="D915" s="270"/>
    </row>
    <row r="916" spans="1:4" ht="13.2">
      <c r="A916" s="17" t="s">
        <v>1350</v>
      </c>
      <c r="B916" s="18">
        <v>850</v>
      </c>
      <c r="C916" s="891"/>
      <c r="D916" s="270"/>
    </row>
    <row r="917" spans="1:4" ht="13.2">
      <c r="A917" s="17" t="s">
        <v>1351</v>
      </c>
      <c r="B917" s="18">
        <v>850</v>
      </c>
      <c r="C917" s="891"/>
      <c r="D917" s="270"/>
    </row>
    <row r="918" spans="1:4" ht="13.2">
      <c r="A918" s="17" t="s">
        <v>1352</v>
      </c>
      <c r="B918" s="18">
        <v>850</v>
      </c>
      <c r="C918" s="891"/>
      <c r="D918" s="270"/>
    </row>
    <row r="919" spans="1:4" ht="13.2">
      <c r="A919" s="17" t="s">
        <v>1353</v>
      </c>
      <c r="B919" s="18">
        <v>850</v>
      </c>
      <c r="C919" s="891"/>
      <c r="D919" s="270"/>
    </row>
    <row r="920" spans="1:4" ht="13.2">
      <c r="A920" s="17" t="s">
        <v>1354</v>
      </c>
      <c r="B920" s="18">
        <v>850</v>
      </c>
      <c r="C920" s="891"/>
      <c r="D920" s="270"/>
    </row>
    <row r="921" spans="1:4" ht="13.2">
      <c r="A921" s="17" t="s">
        <v>1355</v>
      </c>
      <c r="B921" s="18">
        <v>850</v>
      </c>
      <c r="C921" s="891"/>
      <c r="D921" s="270"/>
    </row>
    <row r="922" spans="1:4" ht="13.2">
      <c r="A922" s="17" t="s">
        <v>1356</v>
      </c>
      <c r="B922" s="18">
        <v>850</v>
      </c>
      <c r="C922" s="891"/>
      <c r="D922" s="270"/>
    </row>
    <row r="923" spans="1:4" ht="13.2">
      <c r="A923" s="17" t="s">
        <v>1357</v>
      </c>
      <c r="B923" s="18">
        <v>850</v>
      </c>
      <c r="C923" s="891"/>
      <c r="D923" s="270"/>
    </row>
    <row r="924" spans="1:4" ht="13.2">
      <c r="A924" s="17" t="s">
        <v>1358</v>
      </c>
      <c r="B924" s="18">
        <v>850</v>
      </c>
      <c r="C924" s="891"/>
      <c r="D924" s="270"/>
    </row>
    <row r="925" spans="1:4" ht="13.2">
      <c r="A925" s="17" t="s">
        <v>1359</v>
      </c>
      <c r="B925" s="18">
        <v>850</v>
      </c>
      <c r="C925" s="891"/>
      <c r="D925" s="270"/>
    </row>
    <row r="926" spans="1:4" ht="13.2">
      <c r="A926" s="17" t="s">
        <v>1269</v>
      </c>
      <c r="B926" s="18">
        <v>850</v>
      </c>
      <c r="C926" s="891"/>
      <c r="D926" s="270"/>
    </row>
    <row r="927" spans="1:4" ht="13.2">
      <c r="A927" s="17" t="s">
        <v>765</v>
      </c>
      <c r="B927" s="18">
        <v>380</v>
      </c>
      <c r="C927" s="891"/>
      <c r="D927" s="269"/>
    </row>
    <row r="928" spans="1:4" ht="13.2">
      <c r="A928" s="17" t="s">
        <v>766</v>
      </c>
      <c r="B928" s="18">
        <v>380</v>
      </c>
      <c r="C928" s="891"/>
      <c r="D928" s="269"/>
    </row>
    <row r="929" spans="1:4" ht="13.2">
      <c r="A929" s="17" t="s">
        <v>767</v>
      </c>
      <c r="B929" s="18">
        <v>380</v>
      </c>
      <c r="C929" s="891"/>
      <c r="D929" s="269"/>
    </row>
    <row r="930" spans="1:4" ht="13.2">
      <c r="A930" s="17" t="s">
        <v>768</v>
      </c>
      <c r="B930" s="18">
        <v>380</v>
      </c>
      <c r="C930" s="891"/>
      <c r="D930" s="269"/>
    </row>
    <row r="931" spans="1:4" ht="13.2">
      <c r="A931" s="17" t="s">
        <v>769</v>
      </c>
      <c r="B931" s="18">
        <v>380</v>
      </c>
      <c r="C931" s="891"/>
      <c r="D931" s="269"/>
    </row>
    <row r="932" spans="1:4" ht="13.2">
      <c r="A932" s="17" t="s">
        <v>770</v>
      </c>
      <c r="B932" s="18">
        <v>380</v>
      </c>
      <c r="C932" s="891"/>
      <c r="D932" s="269"/>
    </row>
    <row r="933" spans="1:4" ht="13.2">
      <c r="A933" s="17" t="s">
        <v>771</v>
      </c>
      <c r="B933" s="18">
        <v>380</v>
      </c>
      <c r="C933" s="891"/>
      <c r="D933" s="269"/>
    </row>
    <row r="934" spans="1:4" ht="13.2">
      <c r="A934" s="17" t="s">
        <v>772</v>
      </c>
      <c r="B934" s="18">
        <v>380</v>
      </c>
      <c r="C934" s="891"/>
      <c r="D934" s="269"/>
    </row>
    <row r="935" spans="1:4" ht="13.2">
      <c r="A935" s="17" t="s">
        <v>773</v>
      </c>
      <c r="B935" s="18">
        <v>380</v>
      </c>
      <c r="C935" s="891"/>
      <c r="D935" s="269"/>
    </row>
    <row r="936" spans="1:4" ht="13.2">
      <c r="A936" s="17" t="s">
        <v>774</v>
      </c>
      <c r="B936" s="18">
        <v>380</v>
      </c>
      <c r="C936" s="891"/>
      <c r="D936" s="269"/>
    </row>
    <row r="937" spans="1:4" ht="13.2">
      <c r="A937" s="17" t="s">
        <v>775</v>
      </c>
      <c r="B937" s="18">
        <v>380</v>
      </c>
      <c r="C937" s="891"/>
      <c r="D937" s="269"/>
    </row>
    <row r="938" spans="1:4" ht="13.2">
      <c r="A938" s="17" t="s">
        <v>776</v>
      </c>
      <c r="B938" s="18">
        <v>380</v>
      </c>
      <c r="C938" s="891"/>
      <c r="D938" s="269"/>
    </row>
    <row r="939" spans="1:4" ht="13.2">
      <c r="A939" s="17" t="s">
        <v>777</v>
      </c>
      <c r="B939" s="18">
        <v>380</v>
      </c>
      <c r="C939" s="891"/>
      <c r="D939" s="269"/>
    </row>
    <row r="940" spans="1:4" ht="13.2">
      <c r="A940" s="17" t="s">
        <v>778</v>
      </c>
      <c r="B940" s="18">
        <v>380</v>
      </c>
      <c r="C940" s="891"/>
      <c r="D940" s="269"/>
    </row>
    <row r="941" spans="1:4" ht="13.2">
      <c r="A941" s="17" t="s">
        <v>779</v>
      </c>
      <c r="B941" s="18">
        <v>380</v>
      </c>
      <c r="C941" s="891"/>
      <c r="D941" s="269"/>
    </row>
    <row r="942" spans="1:4" ht="13.2">
      <c r="A942" s="17" t="s">
        <v>780</v>
      </c>
      <c r="B942" s="18">
        <v>380</v>
      </c>
      <c r="C942" s="891"/>
      <c r="D942" s="269"/>
    </row>
    <row r="943" spans="1:4" ht="13.2">
      <c r="A943" s="17" t="s">
        <v>781</v>
      </c>
      <c r="B943" s="18">
        <v>440</v>
      </c>
      <c r="C943" s="891"/>
      <c r="D943" s="269"/>
    </row>
    <row r="944" spans="1:4" ht="13.2">
      <c r="A944" s="17" t="s">
        <v>782</v>
      </c>
      <c r="B944" s="18">
        <v>440</v>
      </c>
      <c r="C944" s="891"/>
      <c r="D944" s="269"/>
    </row>
    <row r="945" spans="1:4" ht="13.2">
      <c r="A945" s="17" t="s">
        <v>783</v>
      </c>
      <c r="B945" s="18">
        <v>440</v>
      </c>
      <c r="C945" s="891"/>
      <c r="D945" s="269"/>
    </row>
    <row r="946" spans="1:4" ht="13.2">
      <c r="A946" s="17" t="s">
        <v>784</v>
      </c>
      <c r="B946" s="18">
        <v>440</v>
      </c>
      <c r="C946" s="891"/>
      <c r="D946" s="269"/>
    </row>
    <row r="947" spans="1:4" ht="13.2">
      <c r="A947" s="17" t="s">
        <v>785</v>
      </c>
      <c r="B947" s="18">
        <v>440</v>
      </c>
      <c r="C947" s="891"/>
      <c r="D947" s="269"/>
    </row>
    <row r="948" spans="1:4" ht="13.2">
      <c r="A948" s="17" t="s">
        <v>786</v>
      </c>
      <c r="B948" s="18">
        <v>440</v>
      </c>
      <c r="C948" s="891"/>
      <c r="D948" s="269"/>
    </row>
    <row r="949" spans="1:4" ht="13.2">
      <c r="A949" s="17" t="s">
        <v>787</v>
      </c>
      <c r="B949" s="18">
        <v>440</v>
      </c>
      <c r="C949" s="891"/>
      <c r="D949" s="269"/>
    </row>
    <row r="950" spans="1:4" ht="13.2">
      <c r="A950" s="17" t="s">
        <v>788</v>
      </c>
      <c r="B950" s="18">
        <v>440</v>
      </c>
      <c r="C950" s="891"/>
      <c r="D950" s="269"/>
    </row>
    <row r="951" spans="1:4" ht="13.2">
      <c r="A951" s="17" t="s">
        <v>789</v>
      </c>
      <c r="B951" s="18">
        <v>440</v>
      </c>
      <c r="C951" s="891"/>
      <c r="D951" s="269"/>
    </row>
    <row r="952" spans="1:4" ht="13.2">
      <c r="A952" s="17" t="s">
        <v>790</v>
      </c>
      <c r="B952" s="18">
        <v>440</v>
      </c>
      <c r="C952" s="891"/>
      <c r="D952" s="269"/>
    </row>
    <row r="953" spans="1:4" ht="13.2">
      <c r="A953" s="17" t="s">
        <v>791</v>
      </c>
      <c r="B953" s="18">
        <v>440</v>
      </c>
      <c r="C953" s="891"/>
      <c r="D953" s="269"/>
    </row>
    <row r="954" spans="1:4" ht="13.2">
      <c r="A954" s="17" t="s">
        <v>792</v>
      </c>
      <c r="B954" s="18">
        <v>440</v>
      </c>
      <c r="C954" s="891"/>
      <c r="D954" s="269"/>
    </row>
    <row r="955" spans="1:4" ht="13.2">
      <c r="A955" s="17" t="s">
        <v>793</v>
      </c>
      <c r="B955" s="18">
        <v>440</v>
      </c>
      <c r="C955" s="891"/>
      <c r="D955" s="269"/>
    </row>
    <row r="956" spans="1:4" ht="13.2">
      <c r="A956" s="17" t="s">
        <v>794</v>
      </c>
      <c r="B956" s="18">
        <v>440</v>
      </c>
      <c r="C956" s="891"/>
      <c r="D956" s="269"/>
    </row>
    <row r="957" spans="1:4" ht="13.2">
      <c r="A957" s="17" t="s">
        <v>795</v>
      </c>
      <c r="B957" s="18">
        <v>440</v>
      </c>
      <c r="C957" s="891"/>
      <c r="D957" s="269"/>
    </row>
    <row r="958" spans="1:4" ht="13.2">
      <c r="A958" s="17" t="s">
        <v>796</v>
      </c>
      <c r="B958" s="18">
        <v>440</v>
      </c>
      <c r="C958" s="891"/>
      <c r="D958" s="269"/>
    </row>
    <row r="959" spans="1:4" ht="13.2">
      <c r="A959" s="17" t="s">
        <v>797</v>
      </c>
      <c r="B959" s="18">
        <v>520</v>
      </c>
      <c r="C959" s="891"/>
      <c r="D959" s="269"/>
    </row>
    <row r="960" spans="1:4" ht="13.2">
      <c r="A960" s="17" t="s">
        <v>798</v>
      </c>
      <c r="B960" s="18">
        <v>520</v>
      </c>
      <c r="C960" s="891"/>
      <c r="D960" s="269"/>
    </row>
    <row r="961" spans="1:4" ht="13.2">
      <c r="A961" s="17" t="s">
        <v>799</v>
      </c>
      <c r="B961" s="18">
        <v>520</v>
      </c>
      <c r="C961" s="891"/>
      <c r="D961" s="269"/>
    </row>
    <row r="962" spans="1:4" ht="13.2">
      <c r="A962" s="17" t="s">
        <v>800</v>
      </c>
      <c r="B962" s="18">
        <v>520</v>
      </c>
      <c r="C962" s="891"/>
      <c r="D962" s="269"/>
    </row>
    <row r="963" spans="1:4" ht="13.2">
      <c r="A963" s="17" t="s">
        <v>801</v>
      </c>
      <c r="B963" s="18">
        <v>520</v>
      </c>
      <c r="C963" s="891"/>
      <c r="D963" s="269"/>
    </row>
    <row r="964" spans="1:4" ht="13.2">
      <c r="A964" s="17" t="s">
        <v>802</v>
      </c>
      <c r="B964" s="18">
        <v>520</v>
      </c>
      <c r="C964" s="891"/>
      <c r="D964" s="269"/>
    </row>
    <row r="965" spans="1:4" ht="13.2">
      <c r="A965" s="17" t="s">
        <v>803</v>
      </c>
      <c r="B965" s="18">
        <v>520</v>
      </c>
      <c r="C965" s="891"/>
      <c r="D965" s="269"/>
    </row>
    <row r="966" spans="1:4" ht="13.2">
      <c r="A966" s="17" t="s">
        <v>804</v>
      </c>
      <c r="B966" s="18">
        <v>520</v>
      </c>
      <c r="C966" s="891"/>
      <c r="D966" s="269"/>
    </row>
    <row r="967" spans="1:4" ht="13.2">
      <c r="A967" s="17" t="s">
        <v>805</v>
      </c>
      <c r="B967" s="18">
        <v>520</v>
      </c>
      <c r="C967" s="891"/>
      <c r="D967" s="269"/>
    </row>
    <row r="968" spans="1:4" ht="13.2">
      <c r="A968" s="17" t="s">
        <v>806</v>
      </c>
      <c r="B968" s="18">
        <v>520</v>
      </c>
      <c r="C968" s="891"/>
      <c r="D968" s="269"/>
    </row>
    <row r="969" spans="1:4" ht="13.2">
      <c r="A969" s="17" t="s">
        <v>807</v>
      </c>
      <c r="B969" s="18">
        <v>520</v>
      </c>
      <c r="C969" s="891"/>
      <c r="D969" s="269"/>
    </row>
    <row r="970" spans="1:4" ht="13.2">
      <c r="A970" s="17" t="s">
        <v>808</v>
      </c>
      <c r="B970" s="18">
        <v>520</v>
      </c>
      <c r="C970" s="891"/>
      <c r="D970" s="269"/>
    </row>
    <row r="971" spans="1:4" ht="13.2">
      <c r="A971" s="17" t="s">
        <v>809</v>
      </c>
      <c r="B971" s="18">
        <v>520</v>
      </c>
      <c r="C971" s="891"/>
      <c r="D971" s="269"/>
    </row>
    <row r="972" spans="1:4" ht="13.2">
      <c r="A972" s="17" t="s">
        <v>810</v>
      </c>
      <c r="B972" s="18">
        <v>520</v>
      </c>
      <c r="C972" s="891"/>
      <c r="D972" s="269"/>
    </row>
    <row r="973" spans="1:4" ht="13.2">
      <c r="A973" s="17" t="s">
        <v>811</v>
      </c>
      <c r="B973" s="18">
        <v>520</v>
      </c>
      <c r="C973" s="891"/>
      <c r="D973" s="269"/>
    </row>
    <row r="974" spans="1:4" ht="13.2">
      <c r="A974" s="17" t="s">
        <v>812</v>
      </c>
      <c r="B974" s="18">
        <v>520</v>
      </c>
      <c r="C974" s="891"/>
      <c r="D974" s="269"/>
    </row>
    <row r="975" spans="1:4" ht="13.2">
      <c r="A975" s="17" t="s">
        <v>813</v>
      </c>
      <c r="B975" s="18">
        <v>560</v>
      </c>
      <c r="C975" s="891"/>
      <c r="D975" s="269"/>
    </row>
    <row r="976" spans="1:4" ht="13.2">
      <c r="A976" s="17" t="s">
        <v>814</v>
      </c>
      <c r="B976" s="18">
        <v>560</v>
      </c>
      <c r="C976" s="891"/>
      <c r="D976" s="269"/>
    </row>
    <row r="977" spans="1:4" ht="13.2">
      <c r="A977" s="17" t="s">
        <v>815</v>
      </c>
      <c r="B977" s="18">
        <v>560</v>
      </c>
      <c r="C977" s="891"/>
      <c r="D977" s="269"/>
    </row>
    <row r="978" spans="1:4" ht="13.2">
      <c r="A978" s="17" t="s">
        <v>816</v>
      </c>
      <c r="B978" s="18">
        <v>560</v>
      </c>
      <c r="C978" s="891"/>
      <c r="D978" s="269"/>
    </row>
    <row r="979" spans="1:4" ht="13.2">
      <c r="A979" s="17" t="s">
        <v>817</v>
      </c>
      <c r="B979" s="18">
        <v>560</v>
      </c>
      <c r="C979" s="891"/>
      <c r="D979" s="269"/>
    </row>
    <row r="980" spans="1:4" ht="13.2">
      <c r="A980" s="17" t="s">
        <v>818</v>
      </c>
      <c r="B980" s="18">
        <v>560</v>
      </c>
      <c r="C980" s="891"/>
      <c r="D980" s="269"/>
    </row>
    <row r="981" spans="1:4" ht="13.2">
      <c r="A981" s="17" t="s">
        <v>819</v>
      </c>
      <c r="B981" s="18">
        <v>560</v>
      </c>
      <c r="C981" s="891"/>
      <c r="D981" s="269"/>
    </row>
    <row r="982" spans="1:4" ht="13.2">
      <c r="A982" s="17" t="s">
        <v>820</v>
      </c>
      <c r="B982" s="18">
        <v>560</v>
      </c>
      <c r="C982" s="891"/>
      <c r="D982" s="269"/>
    </row>
    <row r="983" spans="1:4" ht="13.2">
      <c r="A983" s="17" t="s">
        <v>821</v>
      </c>
      <c r="B983" s="18">
        <v>560</v>
      </c>
      <c r="C983" s="891"/>
      <c r="D983" s="269"/>
    </row>
    <row r="984" spans="1:4" ht="13.2">
      <c r="A984" s="17" t="s">
        <v>822</v>
      </c>
      <c r="B984" s="18">
        <v>560</v>
      </c>
      <c r="C984" s="891"/>
      <c r="D984" s="269"/>
    </row>
    <row r="985" spans="1:4" ht="13.2">
      <c r="A985" s="17" t="s">
        <v>823</v>
      </c>
      <c r="B985" s="18">
        <v>560</v>
      </c>
      <c r="C985" s="891"/>
      <c r="D985" s="269"/>
    </row>
    <row r="986" spans="1:4" ht="13.2">
      <c r="A986" s="17" t="s">
        <v>824</v>
      </c>
      <c r="B986" s="18">
        <v>560</v>
      </c>
      <c r="C986" s="891"/>
      <c r="D986" s="269"/>
    </row>
    <row r="987" spans="1:4" ht="13.2">
      <c r="A987" s="17" t="s">
        <v>825</v>
      </c>
      <c r="B987" s="18">
        <v>560</v>
      </c>
      <c r="C987" s="891"/>
      <c r="D987" s="269"/>
    </row>
    <row r="988" spans="1:4" ht="13.2">
      <c r="A988" s="17" t="s">
        <v>826</v>
      </c>
      <c r="B988" s="18">
        <v>560</v>
      </c>
      <c r="C988" s="891"/>
      <c r="D988" s="269"/>
    </row>
    <row r="989" spans="1:4" ht="13.2">
      <c r="A989" s="17" t="s">
        <v>827</v>
      </c>
      <c r="B989" s="18">
        <v>560</v>
      </c>
      <c r="C989" s="891"/>
      <c r="D989" s="269"/>
    </row>
    <row r="990" spans="1:4" ht="13.2">
      <c r="A990" s="17" t="s">
        <v>828</v>
      </c>
      <c r="B990" s="18">
        <v>560</v>
      </c>
      <c r="C990" s="891"/>
      <c r="D990" s="269"/>
    </row>
    <row r="991" spans="1:4" ht="13.2">
      <c r="A991" s="17" t="s">
        <v>829</v>
      </c>
      <c r="B991" s="18">
        <v>620</v>
      </c>
      <c r="C991" s="891"/>
      <c r="D991" s="269"/>
    </row>
    <row r="992" spans="1:4" ht="13.2">
      <c r="A992" s="17" t="s">
        <v>830</v>
      </c>
      <c r="B992" s="18">
        <v>620</v>
      </c>
      <c r="C992" s="891"/>
      <c r="D992" s="269"/>
    </row>
    <row r="993" spans="1:4" ht="13.2">
      <c r="A993" s="17" t="s">
        <v>831</v>
      </c>
      <c r="B993" s="18">
        <v>620</v>
      </c>
      <c r="C993" s="891"/>
      <c r="D993" s="269"/>
    </row>
    <row r="994" spans="1:4" ht="13.2">
      <c r="A994" s="17" t="s">
        <v>832</v>
      </c>
      <c r="B994" s="18">
        <v>620</v>
      </c>
      <c r="C994" s="891"/>
      <c r="D994" s="269"/>
    </row>
    <row r="995" spans="1:4" ht="13.2">
      <c r="A995" s="17" t="s">
        <v>833</v>
      </c>
      <c r="B995" s="18">
        <v>620</v>
      </c>
      <c r="C995" s="891"/>
      <c r="D995" s="269"/>
    </row>
    <row r="996" spans="1:4" ht="13.2">
      <c r="A996" s="17" t="s">
        <v>834</v>
      </c>
      <c r="B996" s="18">
        <v>620</v>
      </c>
      <c r="C996" s="891"/>
      <c r="D996" s="269"/>
    </row>
    <row r="997" spans="1:4" ht="13.2">
      <c r="A997" s="17" t="s">
        <v>835</v>
      </c>
      <c r="B997" s="18">
        <v>620</v>
      </c>
      <c r="C997" s="891"/>
      <c r="D997" s="269"/>
    </row>
    <row r="998" spans="1:4" ht="13.2">
      <c r="A998" s="17" t="s">
        <v>836</v>
      </c>
      <c r="B998" s="18">
        <v>620</v>
      </c>
      <c r="C998" s="891"/>
      <c r="D998" s="269"/>
    </row>
    <row r="999" spans="1:4" ht="13.2">
      <c r="A999" s="17" t="s">
        <v>837</v>
      </c>
      <c r="B999" s="18">
        <v>620</v>
      </c>
      <c r="C999" s="891"/>
      <c r="D999" s="269"/>
    </row>
    <row r="1000" spans="1:4" ht="13.2">
      <c r="A1000" s="17" t="s">
        <v>838</v>
      </c>
      <c r="B1000" s="18">
        <v>620</v>
      </c>
      <c r="C1000" s="891"/>
      <c r="D1000" s="269"/>
    </row>
    <row r="1001" spans="1:4" ht="13.2">
      <c r="A1001" s="17" t="s">
        <v>839</v>
      </c>
      <c r="B1001" s="18">
        <v>620</v>
      </c>
      <c r="C1001" s="891"/>
      <c r="D1001" s="269"/>
    </row>
    <row r="1002" spans="1:4" ht="13.2">
      <c r="A1002" s="17" t="s">
        <v>840</v>
      </c>
      <c r="B1002" s="18">
        <v>620</v>
      </c>
      <c r="C1002" s="891"/>
      <c r="D1002" s="269"/>
    </row>
    <row r="1003" spans="1:4" ht="13.2">
      <c r="A1003" s="17" t="s">
        <v>841</v>
      </c>
      <c r="B1003" s="18">
        <v>620</v>
      </c>
      <c r="C1003" s="891"/>
      <c r="D1003" s="269"/>
    </row>
    <row r="1004" spans="1:4" ht="13.2">
      <c r="A1004" s="17" t="s">
        <v>842</v>
      </c>
      <c r="B1004" s="18">
        <v>620</v>
      </c>
      <c r="C1004" s="891"/>
      <c r="D1004" s="269"/>
    </row>
    <row r="1005" spans="1:4" ht="13.2">
      <c r="A1005" s="17" t="s">
        <v>843</v>
      </c>
      <c r="B1005" s="18">
        <v>620</v>
      </c>
      <c r="C1005" s="891"/>
      <c r="D1005" s="269"/>
    </row>
    <row r="1006" spans="1:4" ht="13.2">
      <c r="A1006" s="17" t="s">
        <v>844</v>
      </c>
      <c r="B1006" s="18">
        <v>620</v>
      </c>
      <c r="C1006" s="891"/>
      <c r="D1006" s="269"/>
    </row>
    <row r="1007" spans="1:4" ht="13.2">
      <c r="A1007" s="17" t="s">
        <v>845</v>
      </c>
      <c r="B1007" s="18">
        <v>680</v>
      </c>
      <c r="C1007" s="891"/>
      <c r="D1007" s="269"/>
    </row>
    <row r="1008" spans="1:4" ht="13.2">
      <c r="A1008" s="17" t="s">
        <v>846</v>
      </c>
      <c r="B1008" s="18">
        <v>680</v>
      </c>
      <c r="C1008" s="891"/>
      <c r="D1008" s="269"/>
    </row>
    <row r="1009" spans="1:4" ht="13.2">
      <c r="A1009" s="17" t="s">
        <v>847</v>
      </c>
      <c r="B1009" s="18">
        <v>680</v>
      </c>
      <c r="C1009" s="891"/>
      <c r="D1009" s="269"/>
    </row>
    <row r="1010" spans="1:4" ht="13.2">
      <c r="A1010" s="17" t="s">
        <v>848</v>
      </c>
      <c r="B1010" s="18">
        <v>680</v>
      </c>
      <c r="C1010" s="891"/>
      <c r="D1010" s="269"/>
    </row>
    <row r="1011" spans="1:4" ht="13.2">
      <c r="A1011" s="17" t="s">
        <v>849</v>
      </c>
      <c r="B1011" s="18">
        <v>680</v>
      </c>
      <c r="C1011" s="891"/>
      <c r="D1011" s="269"/>
    </row>
    <row r="1012" spans="1:4" ht="13.2">
      <c r="A1012" s="17" t="s">
        <v>850</v>
      </c>
      <c r="B1012" s="18">
        <v>680</v>
      </c>
      <c r="C1012" s="891"/>
      <c r="D1012" s="269"/>
    </row>
    <row r="1013" spans="1:4" ht="13.2">
      <c r="A1013" s="17" t="s">
        <v>851</v>
      </c>
      <c r="B1013" s="18">
        <v>680</v>
      </c>
      <c r="C1013" s="891"/>
      <c r="D1013" s="269"/>
    </row>
    <row r="1014" spans="1:4" ht="13.2">
      <c r="A1014" s="17" t="s">
        <v>852</v>
      </c>
      <c r="B1014" s="18">
        <v>680</v>
      </c>
      <c r="C1014" s="891"/>
      <c r="D1014" s="269"/>
    </row>
    <row r="1015" spans="1:4" ht="13.2">
      <c r="A1015" s="17" t="s">
        <v>853</v>
      </c>
      <c r="B1015" s="18">
        <v>680</v>
      </c>
      <c r="C1015" s="891"/>
      <c r="D1015" s="269"/>
    </row>
    <row r="1016" spans="1:4" ht="13.2">
      <c r="A1016" s="17" t="s">
        <v>854</v>
      </c>
      <c r="B1016" s="18">
        <v>680</v>
      </c>
      <c r="C1016" s="891"/>
      <c r="D1016" s="269"/>
    </row>
    <row r="1017" spans="1:4" ht="13.2">
      <c r="A1017" s="17" t="s">
        <v>855</v>
      </c>
      <c r="B1017" s="18">
        <v>680</v>
      </c>
      <c r="C1017" s="891"/>
      <c r="D1017" s="269"/>
    </row>
    <row r="1018" spans="1:4" ht="13.2">
      <c r="A1018" s="17" t="s">
        <v>856</v>
      </c>
      <c r="B1018" s="18">
        <v>680</v>
      </c>
      <c r="C1018" s="891"/>
      <c r="D1018" s="269"/>
    </row>
    <row r="1019" spans="1:4" ht="13.2">
      <c r="A1019" s="17" t="s">
        <v>857</v>
      </c>
      <c r="B1019" s="18">
        <v>680</v>
      </c>
      <c r="C1019" s="891"/>
      <c r="D1019" s="269"/>
    </row>
    <row r="1020" spans="1:4" ht="13.2">
      <c r="A1020" s="17" t="s">
        <v>858</v>
      </c>
      <c r="B1020" s="18">
        <v>680</v>
      </c>
      <c r="C1020" s="891"/>
      <c r="D1020" s="269"/>
    </row>
    <row r="1021" spans="1:4" ht="13.2">
      <c r="A1021" s="17" t="s">
        <v>859</v>
      </c>
      <c r="B1021" s="18">
        <v>680</v>
      </c>
      <c r="C1021" s="891"/>
      <c r="D1021" s="269"/>
    </row>
    <row r="1022" spans="1:4" ht="13.2">
      <c r="A1022" s="17" t="s">
        <v>860</v>
      </c>
      <c r="B1022" s="18">
        <v>680</v>
      </c>
      <c r="C1022" s="891"/>
      <c r="D1022" s="269"/>
    </row>
    <row r="1023" spans="1:4" ht="13.2">
      <c r="A1023" s="17" t="s">
        <v>861</v>
      </c>
      <c r="B1023" s="18">
        <v>850</v>
      </c>
      <c r="C1023" s="891"/>
      <c r="D1023" s="269"/>
    </row>
    <row r="1024" spans="1:4" ht="13.2">
      <c r="A1024" s="17" t="s">
        <v>862</v>
      </c>
      <c r="B1024" s="18">
        <v>850</v>
      </c>
      <c r="C1024" s="891"/>
      <c r="D1024" s="269"/>
    </row>
    <row r="1025" spans="1:4" ht="13.2">
      <c r="A1025" s="17" t="s">
        <v>863</v>
      </c>
      <c r="B1025" s="18">
        <v>850</v>
      </c>
      <c r="C1025" s="891"/>
      <c r="D1025" s="269"/>
    </row>
    <row r="1026" spans="1:4" ht="13.2">
      <c r="A1026" s="17" t="s">
        <v>864</v>
      </c>
      <c r="B1026" s="18">
        <v>850</v>
      </c>
      <c r="C1026" s="891"/>
      <c r="D1026" s="269"/>
    </row>
    <row r="1027" spans="1:4" ht="13.2">
      <c r="A1027" s="17" t="s">
        <v>865</v>
      </c>
      <c r="B1027" s="18">
        <v>850</v>
      </c>
      <c r="C1027" s="891"/>
      <c r="D1027" s="269"/>
    </row>
    <row r="1028" spans="1:4" ht="13.2">
      <c r="A1028" s="17" t="s">
        <v>866</v>
      </c>
      <c r="B1028" s="18">
        <v>850</v>
      </c>
      <c r="C1028" s="891"/>
      <c r="D1028" s="269"/>
    </row>
    <row r="1029" spans="1:4" ht="13.2">
      <c r="A1029" s="17" t="s">
        <v>867</v>
      </c>
      <c r="B1029" s="18">
        <v>850</v>
      </c>
      <c r="C1029" s="891"/>
      <c r="D1029" s="269"/>
    </row>
    <row r="1030" spans="1:4" ht="13.2">
      <c r="A1030" s="17" t="s">
        <v>868</v>
      </c>
      <c r="B1030" s="18">
        <v>850</v>
      </c>
      <c r="C1030" s="891"/>
      <c r="D1030" s="269"/>
    </row>
    <row r="1031" spans="1:4" ht="13.2">
      <c r="A1031" s="17" t="s">
        <v>869</v>
      </c>
      <c r="B1031" s="18">
        <v>850</v>
      </c>
      <c r="C1031" s="891"/>
      <c r="D1031" s="269"/>
    </row>
    <row r="1032" spans="1:4" ht="13.2">
      <c r="A1032" s="17" t="s">
        <v>870</v>
      </c>
      <c r="B1032" s="18">
        <v>850</v>
      </c>
      <c r="C1032" s="891"/>
      <c r="D1032" s="269"/>
    </row>
    <row r="1033" spans="1:4" ht="13.2">
      <c r="A1033" s="17" t="s">
        <v>871</v>
      </c>
      <c r="B1033" s="18">
        <v>850</v>
      </c>
      <c r="C1033" s="891"/>
      <c r="D1033" s="269"/>
    </row>
    <row r="1034" spans="1:4" ht="13.2">
      <c r="A1034" s="17" t="s">
        <v>872</v>
      </c>
      <c r="B1034" s="18">
        <v>850</v>
      </c>
      <c r="C1034" s="891"/>
      <c r="D1034" s="269"/>
    </row>
    <row r="1035" spans="1:4" ht="13.2">
      <c r="A1035" s="17" t="s">
        <v>873</v>
      </c>
      <c r="B1035" s="18">
        <v>850</v>
      </c>
      <c r="C1035" s="891"/>
      <c r="D1035" s="269"/>
    </row>
    <row r="1036" spans="1:4" ht="13.2">
      <c r="A1036" s="17" t="s">
        <v>874</v>
      </c>
      <c r="B1036" s="18">
        <v>850</v>
      </c>
      <c r="C1036" s="891"/>
      <c r="D1036" s="269"/>
    </row>
    <row r="1037" spans="1:4" ht="13.2">
      <c r="A1037" s="17" t="s">
        <v>875</v>
      </c>
      <c r="B1037" s="18">
        <v>850</v>
      </c>
      <c r="C1037" s="891"/>
      <c r="D1037" s="269"/>
    </row>
    <row r="1038" spans="1:4" ht="13.8" thickBot="1">
      <c r="A1038" s="23" t="s">
        <v>876</v>
      </c>
      <c r="B1038" s="24">
        <v>850</v>
      </c>
      <c r="C1038" s="892"/>
      <c r="D1038" s="269"/>
    </row>
    <row r="1039" spans="1:4" ht="13.2">
      <c r="A1039" s="21" t="s">
        <v>877</v>
      </c>
      <c r="B1039" s="22">
        <v>820</v>
      </c>
      <c r="C1039" s="893" t="s">
        <v>878</v>
      </c>
      <c r="D1039" s="269"/>
    </row>
    <row r="1040" spans="1:4" ht="13.2">
      <c r="A1040" s="17" t="s">
        <v>879</v>
      </c>
      <c r="B1040" s="18">
        <v>820</v>
      </c>
      <c r="C1040" s="894"/>
      <c r="D1040" s="269"/>
    </row>
    <row r="1041" spans="1:4" ht="13.2">
      <c r="A1041" s="17" t="s">
        <v>880</v>
      </c>
      <c r="B1041" s="18">
        <v>820</v>
      </c>
      <c r="C1041" s="894"/>
      <c r="D1041" s="269"/>
    </row>
    <row r="1042" spans="1:4" ht="13.2">
      <c r="A1042" s="17" t="s">
        <v>881</v>
      </c>
      <c r="B1042" s="18">
        <v>820</v>
      </c>
      <c r="C1042" s="894"/>
      <c r="D1042" s="269"/>
    </row>
    <row r="1043" spans="1:4" ht="13.2">
      <c r="A1043" s="17" t="s">
        <v>882</v>
      </c>
      <c r="B1043" s="18">
        <v>820</v>
      </c>
      <c r="C1043" s="894"/>
      <c r="D1043" s="269"/>
    </row>
    <row r="1044" spans="1:4" ht="13.2">
      <c r="A1044" s="17" t="s">
        <v>883</v>
      </c>
      <c r="B1044" s="18">
        <v>820</v>
      </c>
      <c r="C1044" s="894"/>
      <c r="D1044" s="269"/>
    </row>
    <row r="1045" spans="1:4" ht="13.2">
      <c r="A1045" s="17" t="s">
        <v>884</v>
      </c>
      <c r="B1045" s="18">
        <v>820</v>
      </c>
      <c r="C1045" s="894"/>
      <c r="D1045" s="269"/>
    </row>
    <row r="1046" spans="1:4" ht="13.2">
      <c r="A1046" s="17" t="s">
        <v>885</v>
      </c>
      <c r="B1046" s="18">
        <v>820</v>
      </c>
      <c r="C1046" s="894"/>
      <c r="D1046" s="269"/>
    </row>
    <row r="1047" spans="1:4" ht="13.2">
      <c r="A1047" s="17" t="s">
        <v>886</v>
      </c>
      <c r="B1047" s="18">
        <v>820</v>
      </c>
      <c r="C1047" s="894"/>
      <c r="D1047" s="269"/>
    </row>
    <row r="1048" spans="1:4" ht="13.2">
      <c r="A1048" s="17" t="s">
        <v>887</v>
      </c>
      <c r="B1048" s="18">
        <v>820</v>
      </c>
      <c r="C1048" s="894"/>
      <c r="D1048" s="269"/>
    </row>
    <row r="1049" spans="1:4" ht="13.2">
      <c r="A1049" s="17" t="s">
        <v>888</v>
      </c>
      <c r="B1049" s="18">
        <v>820</v>
      </c>
      <c r="C1049" s="894"/>
      <c r="D1049" s="269"/>
    </row>
    <row r="1050" spans="1:4" ht="13.2">
      <c r="A1050" s="17" t="s">
        <v>889</v>
      </c>
      <c r="B1050" s="18">
        <v>820</v>
      </c>
      <c r="C1050" s="894"/>
      <c r="D1050" s="269"/>
    </row>
    <row r="1051" spans="1:4" ht="13.2">
      <c r="A1051" s="17" t="s">
        <v>890</v>
      </c>
      <c r="B1051" s="18">
        <v>820</v>
      </c>
      <c r="C1051" s="894"/>
      <c r="D1051" s="269"/>
    </row>
    <row r="1052" spans="1:4" ht="13.2">
      <c r="A1052" s="17" t="s">
        <v>891</v>
      </c>
      <c r="B1052" s="18">
        <v>820</v>
      </c>
      <c r="C1052" s="894"/>
      <c r="D1052" s="269"/>
    </row>
    <row r="1053" spans="1:4" ht="13.2">
      <c r="A1053" s="17" t="s">
        <v>892</v>
      </c>
      <c r="B1053" s="18">
        <v>820</v>
      </c>
      <c r="C1053" s="894"/>
      <c r="D1053" s="269"/>
    </row>
    <row r="1054" spans="1:4" ht="13.2">
      <c r="A1054" s="17" t="s">
        <v>893</v>
      </c>
      <c r="B1054" s="18">
        <v>820</v>
      </c>
      <c r="C1054" s="894"/>
      <c r="D1054" s="269"/>
    </row>
    <row r="1055" spans="1:4" ht="13.2">
      <c r="A1055" s="17" t="s">
        <v>894</v>
      </c>
      <c r="B1055" s="18">
        <v>720</v>
      </c>
      <c r="C1055" s="894"/>
      <c r="D1055" s="269"/>
    </row>
    <row r="1056" spans="1:4" ht="13.2">
      <c r="A1056" s="17" t="s">
        <v>895</v>
      </c>
      <c r="B1056" s="18">
        <v>720</v>
      </c>
      <c r="C1056" s="894"/>
      <c r="D1056" s="269"/>
    </row>
    <row r="1057" spans="1:4" ht="13.2">
      <c r="A1057" s="17" t="s">
        <v>896</v>
      </c>
      <c r="B1057" s="18">
        <v>720</v>
      </c>
      <c r="C1057" s="894"/>
      <c r="D1057" s="269"/>
    </row>
    <row r="1058" spans="1:4" ht="13.2">
      <c r="A1058" s="17" t="s">
        <v>897</v>
      </c>
      <c r="B1058" s="18">
        <v>720</v>
      </c>
      <c r="C1058" s="894"/>
      <c r="D1058" s="269"/>
    </row>
    <row r="1059" spans="1:4" ht="13.2">
      <c r="A1059" s="17" t="s">
        <v>898</v>
      </c>
      <c r="B1059" s="18">
        <v>720</v>
      </c>
      <c r="C1059" s="894"/>
      <c r="D1059" s="269"/>
    </row>
    <row r="1060" spans="1:4" ht="13.2">
      <c r="A1060" s="17" t="s">
        <v>899</v>
      </c>
      <c r="B1060" s="18">
        <v>720</v>
      </c>
      <c r="C1060" s="894"/>
      <c r="D1060" s="269"/>
    </row>
    <row r="1061" spans="1:4" ht="13.2">
      <c r="A1061" s="17" t="s">
        <v>900</v>
      </c>
      <c r="B1061" s="18">
        <v>720</v>
      </c>
      <c r="C1061" s="894"/>
      <c r="D1061" s="269"/>
    </row>
    <row r="1062" spans="1:4" ht="13.2">
      <c r="A1062" s="17" t="s">
        <v>901</v>
      </c>
      <c r="B1062" s="18">
        <v>720</v>
      </c>
      <c r="C1062" s="894"/>
      <c r="D1062" s="269"/>
    </row>
    <row r="1063" spans="1:4" ht="13.2">
      <c r="A1063" s="17" t="s">
        <v>902</v>
      </c>
      <c r="B1063" s="18">
        <v>720</v>
      </c>
      <c r="C1063" s="894"/>
      <c r="D1063" s="269"/>
    </row>
    <row r="1064" spans="1:4" ht="13.2">
      <c r="A1064" s="17" t="s">
        <v>903</v>
      </c>
      <c r="B1064" s="18">
        <v>720</v>
      </c>
      <c r="C1064" s="894"/>
      <c r="D1064" s="269"/>
    </row>
    <row r="1065" spans="1:4" ht="13.2">
      <c r="A1065" s="17" t="s">
        <v>904</v>
      </c>
      <c r="B1065" s="18">
        <v>720</v>
      </c>
      <c r="C1065" s="894"/>
      <c r="D1065" s="269"/>
    </row>
    <row r="1066" spans="1:4" ht="13.2">
      <c r="A1066" s="17" t="s">
        <v>905</v>
      </c>
      <c r="B1066" s="18">
        <v>720</v>
      </c>
      <c r="C1066" s="894"/>
      <c r="D1066" s="269"/>
    </row>
    <row r="1067" spans="1:4" ht="13.2">
      <c r="A1067" s="17" t="s">
        <v>906</v>
      </c>
      <c r="B1067" s="18">
        <v>720</v>
      </c>
      <c r="C1067" s="894"/>
      <c r="D1067" s="269"/>
    </row>
    <row r="1068" spans="1:4" ht="13.2">
      <c r="A1068" s="17" t="s">
        <v>907</v>
      </c>
      <c r="B1068" s="18">
        <v>720</v>
      </c>
      <c r="C1068" s="894"/>
      <c r="D1068" s="269"/>
    </row>
    <row r="1069" spans="1:4" ht="13.2">
      <c r="A1069" s="17" t="s">
        <v>908</v>
      </c>
      <c r="B1069" s="18">
        <v>720</v>
      </c>
      <c r="C1069" s="894"/>
      <c r="D1069" s="269"/>
    </row>
    <row r="1070" spans="1:4" ht="13.2">
      <c r="A1070" s="17" t="s">
        <v>909</v>
      </c>
      <c r="B1070" s="18">
        <v>720</v>
      </c>
      <c r="C1070" s="894"/>
      <c r="D1070" s="269"/>
    </row>
    <row r="1071" spans="1:4" ht="13.2">
      <c r="A1071" s="17" t="s">
        <v>910</v>
      </c>
      <c r="B1071" s="18">
        <v>950</v>
      </c>
      <c r="C1071" s="894"/>
      <c r="D1071" s="269"/>
    </row>
    <row r="1072" spans="1:4" ht="13.2">
      <c r="A1072" s="17" t="s">
        <v>911</v>
      </c>
      <c r="B1072" s="18">
        <v>950</v>
      </c>
      <c r="C1072" s="894"/>
      <c r="D1072" s="269"/>
    </row>
    <row r="1073" spans="1:4" ht="13.2">
      <c r="A1073" s="17" t="s">
        <v>912</v>
      </c>
      <c r="B1073" s="18">
        <v>950</v>
      </c>
      <c r="C1073" s="894"/>
      <c r="D1073" s="269"/>
    </row>
    <row r="1074" spans="1:4" ht="13.2">
      <c r="A1074" s="17" t="s">
        <v>913</v>
      </c>
      <c r="B1074" s="18">
        <v>950</v>
      </c>
      <c r="C1074" s="894"/>
      <c r="D1074" s="269"/>
    </row>
    <row r="1075" spans="1:4" ht="13.2">
      <c r="A1075" s="17" t="s">
        <v>914</v>
      </c>
      <c r="B1075" s="18">
        <v>950</v>
      </c>
      <c r="C1075" s="894"/>
      <c r="D1075" s="269"/>
    </row>
    <row r="1076" spans="1:4" ht="13.2">
      <c r="A1076" s="17" t="s">
        <v>915</v>
      </c>
      <c r="B1076" s="18">
        <v>950</v>
      </c>
      <c r="C1076" s="894"/>
      <c r="D1076" s="269"/>
    </row>
    <row r="1077" spans="1:4" ht="13.2">
      <c r="A1077" s="17" t="s">
        <v>916</v>
      </c>
      <c r="B1077" s="18">
        <v>950</v>
      </c>
      <c r="C1077" s="894"/>
      <c r="D1077" s="269"/>
    </row>
    <row r="1078" spans="1:4" ht="13.2">
      <c r="A1078" s="17" t="s">
        <v>917</v>
      </c>
      <c r="B1078" s="18">
        <v>950</v>
      </c>
      <c r="C1078" s="894"/>
      <c r="D1078" s="269"/>
    </row>
    <row r="1079" spans="1:4" ht="13.2">
      <c r="A1079" s="17" t="s">
        <v>918</v>
      </c>
      <c r="B1079" s="18">
        <v>950</v>
      </c>
      <c r="C1079" s="894"/>
      <c r="D1079" s="269"/>
    </row>
    <row r="1080" spans="1:4" ht="13.2">
      <c r="A1080" s="17" t="s">
        <v>919</v>
      </c>
      <c r="B1080" s="18">
        <v>950</v>
      </c>
      <c r="C1080" s="894"/>
      <c r="D1080" s="269"/>
    </row>
    <row r="1081" spans="1:4" ht="13.2">
      <c r="A1081" s="17" t="s">
        <v>920</v>
      </c>
      <c r="B1081" s="18">
        <v>950</v>
      </c>
      <c r="C1081" s="894"/>
      <c r="D1081" s="269"/>
    </row>
    <row r="1082" spans="1:4" ht="13.2">
      <c r="A1082" s="17" t="s">
        <v>921</v>
      </c>
      <c r="B1082" s="18">
        <v>950</v>
      </c>
      <c r="C1082" s="894"/>
      <c r="D1082" s="269"/>
    </row>
    <row r="1083" spans="1:4" ht="13.2">
      <c r="A1083" s="17" t="s">
        <v>922</v>
      </c>
      <c r="B1083" s="18">
        <v>950</v>
      </c>
      <c r="C1083" s="894"/>
      <c r="D1083" s="269"/>
    </row>
    <row r="1084" spans="1:4" ht="13.2">
      <c r="A1084" s="17" t="s">
        <v>923</v>
      </c>
      <c r="B1084" s="18">
        <v>950</v>
      </c>
      <c r="C1084" s="894"/>
      <c r="D1084" s="269"/>
    </row>
    <row r="1085" spans="1:4" ht="13.2">
      <c r="A1085" s="17" t="s">
        <v>924</v>
      </c>
      <c r="B1085" s="18">
        <v>950</v>
      </c>
      <c r="C1085" s="894"/>
      <c r="D1085" s="269"/>
    </row>
    <row r="1086" spans="1:4" ht="14.25" customHeight="1">
      <c r="A1086" s="17" t="s">
        <v>925</v>
      </c>
      <c r="B1086" s="18">
        <v>950</v>
      </c>
      <c r="C1086" s="894"/>
      <c r="D1086" s="269"/>
    </row>
    <row r="1087" spans="1:4" ht="14.25" customHeight="1">
      <c r="A1087" s="17" t="s">
        <v>1535</v>
      </c>
      <c r="B1087" s="18">
        <v>1100</v>
      </c>
      <c r="C1087" s="894"/>
      <c r="D1087" s="270"/>
    </row>
    <row r="1088" spans="1:4" ht="14.25" customHeight="1">
      <c r="A1088" s="17" t="s">
        <v>1536</v>
      </c>
      <c r="B1088" s="18">
        <v>1100</v>
      </c>
      <c r="C1088" s="894"/>
      <c r="D1088" s="270"/>
    </row>
    <row r="1089" spans="1:4" ht="14.25" customHeight="1">
      <c r="A1089" s="17" t="s">
        <v>1537</v>
      </c>
      <c r="B1089" s="18">
        <v>1100</v>
      </c>
      <c r="C1089" s="894"/>
      <c r="D1089" s="270"/>
    </row>
    <row r="1090" spans="1:4" ht="14.25" customHeight="1">
      <c r="A1090" s="17" t="s">
        <v>1538</v>
      </c>
      <c r="B1090" s="18">
        <v>1100</v>
      </c>
      <c r="C1090" s="894"/>
      <c r="D1090" s="270"/>
    </row>
    <row r="1091" spans="1:4" ht="14.25" customHeight="1">
      <c r="A1091" s="17" t="s">
        <v>1539</v>
      </c>
      <c r="B1091" s="18">
        <v>1100</v>
      </c>
      <c r="C1091" s="894"/>
      <c r="D1091" s="270"/>
    </row>
    <row r="1092" spans="1:4" ht="14.25" customHeight="1">
      <c r="A1092" s="17" t="s">
        <v>1540</v>
      </c>
      <c r="B1092" s="18">
        <v>1100</v>
      </c>
      <c r="C1092" s="894"/>
      <c r="D1092" s="270"/>
    </row>
    <row r="1093" spans="1:4" ht="14.25" customHeight="1">
      <c r="A1093" s="17" t="s">
        <v>1541</v>
      </c>
      <c r="B1093" s="18">
        <v>1100</v>
      </c>
      <c r="C1093" s="894"/>
      <c r="D1093" s="270"/>
    </row>
    <row r="1094" spans="1:4" ht="14.25" customHeight="1">
      <c r="A1094" s="17" t="s">
        <v>1542</v>
      </c>
      <c r="B1094" s="18">
        <v>1100</v>
      </c>
      <c r="C1094" s="894"/>
      <c r="D1094" s="270"/>
    </row>
    <row r="1095" spans="1:4" ht="14.25" customHeight="1">
      <c r="A1095" s="17" t="s">
        <v>1543</v>
      </c>
      <c r="B1095" s="18">
        <v>1100</v>
      </c>
      <c r="C1095" s="894"/>
      <c r="D1095" s="270"/>
    </row>
    <row r="1096" spans="1:4" ht="14.25" customHeight="1">
      <c r="A1096" s="17" t="s">
        <v>1544</v>
      </c>
      <c r="B1096" s="18">
        <v>1100</v>
      </c>
      <c r="C1096" s="894"/>
      <c r="D1096" s="270"/>
    </row>
    <row r="1097" spans="1:4" ht="14.25" customHeight="1">
      <c r="A1097" s="17" t="s">
        <v>1545</v>
      </c>
      <c r="B1097" s="18">
        <v>1100</v>
      </c>
      <c r="C1097" s="894"/>
      <c r="D1097" s="270"/>
    </row>
    <row r="1098" spans="1:4" ht="14.25" customHeight="1">
      <c r="A1098" s="17" t="s">
        <v>1546</v>
      </c>
      <c r="B1098" s="18">
        <v>1100</v>
      </c>
      <c r="C1098" s="894"/>
      <c r="D1098" s="270"/>
    </row>
    <row r="1099" spans="1:4" ht="14.25" customHeight="1">
      <c r="A1099" s="17" t="s">
        <v>1547</v>
      </c>
      <c r="B1099" s="18">
        <v>1100</v>
      </c>
      <c r="C1099" s="894"/>
      <c r="D1099" s="270"/>
    </row>
    <row r="1100" spans="1:4" ht="14.25" customHeight="1">
      <c r="A1100" s="17" t="s">
        <v>1548</v>
      </c>
      <c r="B1100" s="18">
        <v>1100</v>
      </c>
      <c r="C1100" s="894"/>
      <c r="D1100" s="270"/>
    </row>
    <row r="1101" spans="1:4" ht="14.25" customHeight="1">
      <c r="A1101" s="17" t="s">
        <v>1549</v>
      </c>
      <c r="B1101" s="18">
        <v>1100</v>
      </c>
      <c r="C1101" s="894"/>
      <c r="D1101" s="270"/>
    </row>
    <row r="1102" spans="1:4" ht="14.25" customHeight="1">
      <c r="A1102" s="17" t="s">
        <v>1439</v>
      </c>
      <c r="B1102" s="18">
        <v>1100</v>
      </c>
      <c r="C1102" s="894"/>
      <c r="D1102" s="270"/>
    </row>
    <row r="1103" spans="1:4" ht="14.25" customHeight="1">
      <c r="A1103" s="17" t="s">
        <v>1550</v>
      </c>
      <c r="B1103" s="18">
        <v>900</v>
      </c>
      <c r="C1103" s="894"/>
      <c r="D1103" s="270"/>
    </row>
    <row r="1104" spans="1:4" ht="14.25" customHeight="1">
      <c r="A1104" s="17" t="s">
        <v>1551</v>
      </c>
      <c r="B1104" s="18">
        <v>900</v>
      </c>
      <c r="C1104" s="894"/>
      <c r="D1104" s="270"/>
    </row>
    <row r="1105" spans="1:4" ht="14.25" customHeight="1">
      <c r="A1105" s="17" t="s">
        <v>1552</v>
      </c>
      <c r="B1105" s="18">
        <v>900</v>
      </c>
      <c r="C1105" s="894"/>
      <c r="D1105" s="270"/>
    </row>
    <row r="1106" spans="1:4" ht="14.25" customHeight="1">
      <c r="A1106" s="17" t="s">
        <v>1553</v>
      </c>
      <c r="B1106" s="18">
        <v>900</v>
      </c>
      <c r="C1106" s="894"/>
      <c r="D1106" s="270"/>
    </row>
    <row r="1107" spans="1:4" ht="14.25" customHeight="1">
      <c r="A1107" s="17" t="s">
        <v>1554</v>
      </c>
      <c r="B1107" s="18">
        <v>900</v>
      </c>
      <c r="C1107" s="894"/>
      <c r="D1107" s="270"/>
    </row>
    <row r="1108" spans="1:4" ht="14.25" customHeight="1">
      <c r="A1108" s="17" t="s">
        <v>1555</v>
      </c>
      <c r="B1108" s="18">
        <v>900</v>
      </c>
      <c r="C1108" s="894"/>
      <c r="D1108" s="270"/>
    </row>
    <row r="1109" spans="1:4" ht="14.25" customHeight="1">
      <c r="A1109" s="17" t="s">
        <v>1556</v>
      </c>
      <c r="B1109" s="18">
        <v>900</v>
      </c>
      <c r="C1109" s="894"/>
      <c r="D1109" s="270"/>
    </row>
    <row r="1110" spans="1:4" ht="14.25" customHeight="1">
      <c r="A1110" s="17" t="s">
        <v>1557</v>
      </c>
      <c r="B1110" s="18">
        <v>900</v>
      </c>
      <c r="C1110" s="894"/>
      <c r="D1110" s="270"/>
    </row>
    <row r="1111" spans="1:4" ht="14.25" customHeight="1">
      <c r="A1111" s="17" t="s">
        <v>1558</v>
      </c>
      <c r="B1111" s="18">
        <v>900</v>
      </c>
      <c r="C1111" s="894"/>
      <c r="D1111" s="270"/>
    </row>
    <row r="1112" spans="1:4" ht="14.25" customHeight="1">
      <c r="A1112" s="17" t="s">
        <v>1559</v>
      </c>
      <c r="B1112" s="18">
        <v>900</v>
      </c>
      <c r="C1112" s="894"/>
      <c r="D1112" s="270"/>
    </row>
    <row r="1113" spans="1:4" ht="14.25" customHeight="1">
      <c r="A1113" s="17" t="s">
        <v>1560</v>
      </c>
      <c r="B1113" s="18">
        <v>900</v>
      </c>
      <c r="C1113" s="894"/>
      <c r="D1113" s="270"/>
    </row>
    <row r="1114" spans="1:4" ht="14.25" customHeight="1">
      <c r="A1114" s="17" t="s">
        <v>1561</v>
      </c>
      <c r="B1114" s="18">
        <v>900</v>
      </c>
      <c r="C1114" s="894"/>
      <c r="D1114" s="270"/>
    </row>
    <row r="1115" spans="1:4" ht="14.25" customHeight="1">
      <c r="A1115" s="17" t="s">
        <v>1562</v>
      </c>
      <c r="B1115" s="18">
        <v>900</v>
      </c>
      <c r="C1115" s="894"/>
      <c r="D1115" s="270"/>
    </row>
    <row r="1116" spans="1:4" ht="14.25" customHeight="1">
      <c r="A1116" s="17" t="s">
        <v>1563</v>
      </c>
      <c r="B1116" s="18">
        <v>900</v>
      </c>
      <c r="C1116" s="894"/>
      <c r="D1116" s="270"/>
    </row>
    <row r="1117" spans="1:4" ht="14.25" customHeight="1">
      <c r="A1117" s="17" t="s">
        <v>1564</v>
      </c>
      <c r="B1117" s="18">
        <v>900</v>
      </c>
      <c r="C1117" s="894"/>
      <c r="D1117" s="270"/>
    </row>
    <row r="1118" spans="1:4" ht="14.25" customHeight="1">
      <c r="A1118" s="17" t="s">
        <v>1440</v>
      </c>
      <c r="B1118" s="18">
        <v>900</v>
      </c>
      <c r="C1118" s="894"/>
      <c r="D1118" s="270"/>
    </row>
    <row r="1119" spans="1:4" ht="13.2">
      <c r="A1119" s="17" t="s">
        <v>926</v>
      </c>
      <c r="B1119" s="18">
        <v>520</v>
      </c>
      <c r="C1119" s="894"/>
      <c r="D1119" s="269"/>
    </row>
    <row r="1120" spans="1:4" ht="13.2">
      <c r="A1120" s="17" t="s">
        <v>927</v>
      </c>
      <c r="B1120" s="18">
        <v>520</v>
      </c>
      <c r="C1120" s="894"/>
      <c r="D1120" s="269"/>
    </row>
    <row r="1121" spans="1:4" ht="13.2">
      <c r="A1121" s="17" t="s">
        <v>928</v>
      </c>
      <c r="B1121" s="18">
        <v>520</v>
      </c>
      <c r="C1121" s="894"/>
      <c r="D1121" s="269"/>
    </row>
    <row r="1122" spans="1:4" ht="13.2">
      <c r="A1122" s="17" t="s">
        <v>929</v>
      </c>
      <c r="B1122" s="18">
        <v>520</v>
      </c>
      <c r="C1122" s="894"/>
      <c r="D1122" s="269"/>
    </row>
    <row r="1123" spans="1:4" ht="13.2">
      <c r="A1123" s="17" t="s">
        <v>930</v>
      </c>
      <c r="B1123" s="18">
        <v>520</v>
      </c>
      <c r="C1123" s="894"/>
      <c r="D1123" s="269"/>
    </row>
    <row r="1124" spans="1:4" ht="13.2">
      <c r="A1124" s="17" t="s">
        <v>931</v>
      </c>
      <c r="B1124" s="18">
        <v>520</v>
      </c>
      <c r="C1124" s="894"/>
      <c r="D1124" s="269"/>
    </row>
    <row r="1125" spans="1:4" ht="13.2">
      <c r="A1125" s="17" t="s">
        <v>932</v>
      </c>
      <c r="B1125" s="18">
        <v>520</v>
      </c>
      <c r="C1125" s="894"/>
      <c r="D1125" s="269"/>
    </row>
    <row r="1126" spans="1:4" ht="13.2">
      <c r="A1126" s="17" t="s">
        <v>933</v>
      </c>
      <c r="B1126" s="18">
        <v>520</v>
      </c>
      <c r="C1126" s="894"/>
      <c r="D1126" s="269"/>
    </row>
    <row r="1127" spans="1:4" ht="13.2">
      <c r="A1127" s="17" t="s">
        <v>934</v>
      </c>
      <c r="B1127" s="18">
        <v>520</v>
      </c>
      <c r="C1127" s="894"/>
      <c r="D1127" s="269"/>
    </row>
    <row r="1128" spans="1:4" ht="13.2">
      <c r="A1128" s="17" t="s">
        <v>935</v>
      </c>
      <c r="B1128" s="18">
        <v>520</v>
      </c>
      <c r="C1128" s="894"/>
      <c r="D1128" s="269"/>
    </row>
    <row r="1129" spans="1:4" ht="13.2">
      <c r="A1129" s="17" t="s">
        <v>936</v>
      </c>
      <c r="B1129" s="18">
        <v>520</v>
      </c>
      <c r="C1129" s="894"/>
      <c r="D1129" s="269"/>
    </row>
    <row r="1130" spans="1:4" ht="13.2">
      <c r="A1130" s="17" t="s">
        <v>937</v>
      </c>
      <c r="B1130" s="18">
        <v>520</v>
      </c>
      <c r="C1130" s="894"/>
      <c r="D1130" s="269"/>
    </row>
    <row r="1131" spans="1:4" ht="13.2">
      <c r="A1131" s="17" t="s">
        <v>938</v>
      </c>
      <c r="B1131" s="18">
        <v>520</v>
      </c>
      <c r="C1131" s="894"/>
      <c r="D1131" s="269"/>
    </row>
    <row r="1132" spans="1:4" ht="13.2">
      <c r="A1132" s="17" t="s">
        <v>939</v>
      </c>
      <c r="B1132" s="18">
        <v>520</v>
      </c>
      <c r="C1132" s="894"/>
      <c r="D1132" s="269"/>
    </row>
    <row r="1133" spans="1:4" ht="13.2">
      <c r="A1133" s="17" t="s">
        <v>940</v>
      </c>
      <c r="B1133" s="18">
        <v>520</v>
      </c>
      <c r="C1133" s="894"/>
      <c r="D1133" s="269"/>
    </row>
    <row r="1134" spans="1:4" ht="13.2">
      <c r="A1134" s="17" t="s">
        <v>941</v>
      </c>
      <c r="B1134" s="18">
        <v>520</v>
      </c>
      <c r="C1134" s="894"/>
      <c r="D1134" s="269"/>
    </row>
    <row r="1135" spans="1:4" ht="13.2">
      <c r="A1135" s="17" t="s">
        <v>942</v>
      </c>
      <c r="B1135" s="18">
        <v>570</v>
      </c>
      <c r="C1135" s="894"/>
      <c r="D1135" s="269"/>
    </row>
    <row r="1136" spans="1:4" ht="13.2">
      <c r="A1136" s="17" t="s">
        <v>943</v>
      </c>
      <c r="B1136" s="18">
        <v>570</v>
      </c>
      <c r="C1136" s="894"/>
      <c r="D1136" s="269"/>
    </row>
    <row r="1137" spans="1:4" ht="13.2">
      <c r="A1137" s="17" t="s">
        <v>944</v>
      </c>
      <c r="B1137" s="18">
        <v>570</v>
      </c>
      <c r="C1137" s="894"/>
      <c r="D1137" s="269"/>
    </row>
    <row r="1138" spans="1:4" ht="13.2">
      <c r="A1138" s="17" t="s">
        <v>945</v>
      </c>
      <c r="B1138" s="18">
        <v>570</v>
      </c>
      <c r="C1138" s="894"/>
      <c r="D1138" s="269"/>
    </row>
    <row r="1139" spans="1:4" ht="13.2">
      <c r="A1139" s="17" t="s">
        <v>946</v>
      </c>
      <c r="B1139" s="18">
        <v>570</v>
      </c>
      <c r="C1139" s="894"/>
      <c r="D1139" s="269"/>
    </row>
    <row r="1140" spans="1:4" ht="13.2">
      <c r="A1140" s="17" t="s">
        <v>947</v>
      </c>
      <c r="B1140" s="18">
        <v>570</v>
      </c>
      <c r="C1140" s="894"/>
      <c r="D1140" s="269"/>
    </row>
    <row r="1141" spans="1:4" ht="13.2">
      <c r="A1141" s="17" t="s">
        <v>948</v>
      </c>
      <c r="B1141" s="18">
        <v>570</v>
      </c>
      <c r="C1141" s="894"/>
      <c r="D1141" s="269"/>
    </row>
    <row r="1142" spans="1:4" ht="13.2">
      <c r="A1142" s="17" t="s">
        <v>949</v>
      </c>
      <c r="B1142" s="18">
        <v>570</v>
      </c>
      <c r="C1142" s="894"/>
      <c r="D1142" s="269"/>
    </row>
    <row r="1143" spans="1:4" ht="13.2">
      <c r="A1143" s="17" t="s">
        <v>950</v>
      </c>
      <c r="B1143" s="18">
        <v>570</v>
      </c>
      <c r="C1143" s="894"/>
      <c r="D1143" s="269"/>
    </row>
    <row r="1144" spans="1:4" ht="13.2">
      <c r="A1144" s="17" t="s">
        <v>951</v>
      </c>
      <c r="B1144" s="18">
        <v>570</v>
      </c>
      <c r="C1144" s="894"/>
      <c r="D1144" s="269"/>
    </row>
    <row r="1145" spans="1:4" ht="13.2">
      <c r="A1145" s="17" t="s">
        <v>952</v>
      </c>
      <c r="B1145" s="18">
        <v>570</v>
      </c>
      <c r="C1145" s="894"/>
      <c r="D1145" s="269"/>
    </row>
    <row r="1146" spans="1:4" ht="13.2">
      <c r="A1146" s="17" t="s">
        <v>953</v>
      </c>
      <c r="B1146" s="18">
        <v>570</v>
      </c>
      <c r="C1146" s="894"/>
      <c r="D1146" s="269"/>
    </row>
    <row r="1147" spans="1:4" ht="13.2">
      <c r="A1147" s="17" t="s">
        <v>954</v>
      </c>
      <c r="B1147" s="18">
        <v>570</v>
      </c>
      <c r="C1147" s="894"/>
      <c r="D1147" s="269"/>
    </row>
    <row r="1148" spans="1:4" ht="13.2">
      <c r="A1148" s="17" t="s">
        <v>955</v>
      </c>
      <c r="B1148" s="18">
        <v>570</v>
      </c>
      <c r="C1148" s="894"/>
      <c r="D1148" s="269"/>
    </row>
    <row r="1149" spans="1:4" ht="13.2">
      <c r="A1149" s="17" t="s">
        <v>956</v>
      </c>
      <c r="B1149" s="18">
        <v>570</v>
      </c>
      <c r="C1149" s="894"/>
      <c r="D1149" s="269"/>
    </row>
    <row r="1150" spans="1:4" ht="13.2">
      <c r="A1150" s="17" t="s">
        <v>957</v>
      </c>
      <c r="B1150" s="18">
        <v>570</v>
      </c>
      <c r="C1150" s="894"/>
      <c r="D1150" s="269"/>
    </row>
    <row r="1151" spans="1:4" ht="13.2">
      <c r="A1151" s="17" t="s">
        <v>1505</v>
      </c>
      <c r="B1151" s="18">
        <v>330</v>
      </c>
      <c r="C1151" s="894"/>
      <c r="D1151" s="270"/>
    </row>
    <row r="1152" spans="1:4" ht="13.2">
      <c r="A1152" s="17" t="s">
        <v>1506</v>
      </c>
      <c r="B1152" s="18">
        <v>330</v>
      </c>
      <c r="C1152" s="894"/>
      <c r="D1152" s="270"/>
    </row>
    <row r="1153" spans="1:4" ht="13.2">
      <c r="A1153" s="17" t="s">
        <v>1507</v>
      </c>
      <c r="B1153" s="18">
        <v>330</v>
      </c>
      <c r="C1153" s="894"/>
      <c r="D1153" s="270"/>
    </row>
    <row r="1154" spans="1:4" ht="13.2">
      <c r="A1154" s="17" t="s">
        <v>1508</v>
      </c>
      <c r="B1154" s="18">
        <v>330</v>
      </c>
      <c r="C1154" s="894"/>
      <c r="D1154" s="270"/>
    </row>
    <row r="1155" spans="1:4" ht="13.2">
      <c r="A1155" s="17" t="s">
        <v>1509</v>
      </c>
      <c r="B1155" s="18">
        <v>330</v>
      </c>
      <c r="C1155" s="894"/>
      <c r="D1155" s="270"/>
    </row>
    <row r="1156" spans="1:4" ht="13.2">
      <c r="A1156" s="17" t="s">
        <v>1510</v>
      </c>
      <c r="B1156" s="18">
        <v>330</v>
      </c>
      <c r="C1156" s="894"/>
      <c r="D1156" s="270"/>
    </row>
    <row r="1157" spans="1:4" ht="13.2">
      <c r="A1157" s="17" t="s">
        <v>1511</v>
      </c>
      <c r="B1157" s="18">
        <v>330</v>
      </c>
      <c r="C1157" s="894"/>
      <c r="D1157" s="270"/>
    </row>
    <row r="1158" spans="1:4" ht="13.2">
      <c r="A1158" s="17" t="s">
        <v>1512</v>
      </c>
      <c r="B1158" s="18">
        <v>330</v>
      </c>
      <c r="C1158" s="894"/>
      <c r="D1158" s="270"/>
    </row>
    <row r="1159" spans="1:4" ht="13.2">
      <c r="A1159" s="17" t="s">
        <v>1513</v>
      </c>
      <c r="B1159" s="18">
        <v>330</v>
      </c>
      <c r="C1159" s="894"/>
      <c r="D1159" s="270"/>
    </row>
    <row r="1160" spans="1:4" ht="13.2">
      <c r="A1160" s="17" t="s">
        <v>1514</v>
      </c>
      <c r="B1160" s="18">
        <v>330</v>
      </c>
      <c r="C1160" s="894"/>
      <c r="D1160" s="270"/>
    </row>
    <row r="1161" spans="1:4" ht="13.2">
      <c r="A1161" s="17" t="s">
        <v>1515</v>
      </c>
      <c r="B1161" s="18">
        <v>330</v>
      </c>
      <c r="C1161" s="894"/>
      <c r="D1161" s="270"/>
    </row>
    <row r="1162" spans="1:4" ht="13.2">
      <c r="A1162" s="17" t="s">
        <v>1516</v>
      </c>
      <c r="B1162" s="18">
        <v>330</v>
      </c>
      <c r="C1162" s="894"/>
      <c r="D1162" s="270"/>
    </row>
    <row r="1163" spans="1:4" ht="13.2">
      <c r="A1163" s="17" t="s">
        <v>1517</v>
      </c>
      <c r="B1163" s="18">
        <v>330</v>
      </c>
      <c r="C1163" s="894"/>
      <c r="D1163" s="270"/>
    </row>
    <row r="1164" spans="1:4" ht="13.2">
      <c r="A1164" s="17" t="s">
        <v>1518</v>
      </c>
      <c r="B1164" s="18">
        <v>330</v>
      </c>
      <c r="C1164" s="894"/>
      <c r="D1164" s="270"/>
    </row>
    <row r="1165" spans="1:4" ht="13.2">
      <c r="A1165" s="17" t="s">
        <v>1519</v>
      </c>
      <c r="B1165" s="18">
        <v>330</v>
      </c>
      <c r="C1165" s="894"/>
      <c r="D1165" s="270"/>
    </row>
    <row r="1166" spans="1:4" ht="13.2">
      <c r="A1166" s="17" t="s">
        <v>1433</v>
      </c>
      <c r="B1166" s="18">
        <v>330</v>
      </c>
      <c r="C1166" s="894"/>
      <c r="D1166" s="270"/>
    </row>
    <row r="1167" spans="1:4" ht="13.2">
      <c r="A1167" s="17" t="s">
        <v>958</v>
      </c>
      <c r="B1167" s="18">
        <v>380</v>
      </c>
      <c r="C1167" s="894"/>
      <c r="D1167" s="269"/>
    </row>
    <row r="1168" spans="1:4" ht="13.2">
      <c r="A1168" s="17" t="s">
        <v>959</v>
      </c>
      <c r="B1168" s="18">
        <v>380</v>
      </c>
      <c r="C1168" s="894"/>
      <c r="D1168" s="269"/>
    </row>
    <row r="1169" spans="1:4" ht="13.2">
      <c r="A1169" s="17" t="s">
        <v>960</v>
      </c>
      <c r="B1169" s="18">
        <v>380</v>
      </c>
      <c r="C1169" s="894"/>
      <c r="D1169" s="269"/>
    </row>
    <row r="1170" spans="1:4" ht="13.2">
      <c r="A1170" s="17" t="s">
        <v>961</v>
      </c>
      <c r="B1170" s="18">
        <v>380</v>
      </c>
      <c r="C1170" s="894"/>
      <c r="D1170" s="269"/>
    </row>
    <row r="1171" spans="1:4" ht="13.2">
      <c r="A1171" s="17" t="s">
        <v>962</v>
      </c>
      <c r="B1171" s="18">
        <v>380</v>
      </c>
      <c r="C1171" s="894"/>
      <c r="D1171" s="269"/>
    </row>
    <row r="1172" spans="1:4" ht="13.2">
      <c r="A1172" s="17" t="s">
        <v>963</v>
      </c>
      <c r="B1172" s="18">
        <v>380</v>
      </c>
      <c r="C1172" s="894"/>
      <c r="D1172" s="269"/>
    </row>
    <row r="1173" spans="1:4" ht="13.2">
      <c r="A1173" s="17" t="s">
        <v>964</v>
      </c>
      <c r="B1173" s="18">
        <v>380</v>
      </c>
      <c r="C1173" s="894"/>
      <c r="D1173" s="269"/>
    </row>
    <row r="1174" spans="1:4" ht="13.2">
      <c r="A1174" s="17" t="s">
        <v>965</v>
      </c>
      <c r="B1174" s="18">
        <v>380</v>
      </c>
      <c r="C1174" s="894"/>
      <c r="D1174" s="269"/>
    </row>
    <row r="1175" spans="1:4" ht="13.2">
      <c r="A1175" s="17" t="s">
        <v>966</v>
      </c>
      <c r="B1175" s="18">
        <v>380</v>
      </c>
      <c r="C1175" s="894"/>
      <c r="D1175" s="269"/>
    </row>
    <row r="1176" spans="1:4" ht="13.2">
      <c r="A1176" s="17" t="s">
        <v>967</v>
      </c>
      <c r="B1176" s="18">
        <v>380</v>
      </c>
      <c r="C1176" s="894"/>
      <c r="D1176" s="269"/>
    </row>
    <row r="1177" spans="1:4" ht="13.2">
      <c r="A1177" s="17" t="s">
        <v>968</v>
      </c>
      <c r="B1177" s="18">
        <v>380</v>
      </c>
      <c r="C1177" s="894"/>
      <c r="D1177" s="269"/>
    </row>
    <row r="1178" spans="1:4" ht="13.2">
      <c r="A1178" s="17" t="s">
        <v>969</v>
      </c>
      <c r="B1178" s="18">
        <v>380</v>
      </c>
      <c r="C1178" s="894"/>
      <c r="D1178" s="269"/>
    </row>
    <row r="1179" spans="1:4" ht="13.2">
      <c r="A1179" s="17" t="s">
        <v>970</v>
      </c>
      <c r="B1179" s="18">
        <v>380</v>
      </c>
      <c r="C1179" s="894"/>
      <c r="D1179" s="269"/>
    </row>
    <row r="1180" spans="1:4" ht="13.2">
      <c r="A1180" s="17" t="s">
        <v>971</v>
      </c>
      <c r="B1180" s="18">
        <v>380</v>
      </c>
      <c r="C1180" s="894"/>
      <c r="D1180" s="269"/>
    </row>
    <row r="1181" spans="1:4" ht="13.2">
      <c r="A1181" s="17" t="s">
        <v>972</v>
      </c>
      <c r="B1181" s="18">
        <v>380</v>
      </c>
      <c r="C1181" s="894"/>
      <c r="D1181" s="269"/>
    </row>
    <row r="1182" spans="1:4" ht="13.2">
      <c r="A1182" s="17" t="s">
        <v>973</v>
      </c>
      <c r="B1182" s="18">
        <v>380</v>
      </c>
      <c r="C1182" s="894"/>
      <c r="D1182" s="269"/>
    </row>
    <row r="1183" spans="1:4" ht="13.2">
      <c r="A1183" s="17" t="s">
        <v>974</v>
      </c>
      <c r="B1183" s="18">
        <v>430</v>
      </c>
      <c r="C1183" s="894"/>
      <c r="D1183" s="269"/>
    </row>
    <row r="1184" spans="1:4" ht="13.2">
      <c r="A1184" s="17" t="s">
        <v>975</v>
      </c>
      <c r="B1184" s="18">
        <v>430</v>
      </c>
      <c r="C1184" s="894"/>
      <c r="D1184" s="269"/>
    </row>
    <row r="1185" spans="1:4" ht="13.2">
      <c r="A1185" s="17" t="s">
        <v>976</v>
      </c>
      <c r="B1185" s="18">
        <v>430</v>
      </c>
      <c r="C1185" s="894"/>
      <c r="D1185" s="269"/>
    </row>
    <row r="1186" spans="1:4" ht="13.2">
      <c r="A1186" s="17" t="s">
        <v>977</v>
      </c>
      <c r="B1186" s="18">
        <v>430</v>
      </c>
      <c r="C1186" s="894"/>
      <c r="D1186" s="269"/>
    </row>
    <row r="1187" spans="1:4" ht="13.2">
      <c r="A1187" s="17" t="s">
        <v>978</v>
      </c>
      <c r="B1187" s="18">
        <v>430</v>
      </c>
      <c r="C1187" s="894"/>
      <c r="D1187" s="269"/>
    </row>
    <row r="1188" spans="1:4" ht="13.2">
      <c r="A1188" s="17" t="s">
        <v>979</v>
      </c>
      <c r="B1188" s="18">
        <v>430</v>
      </c>
      <c r="C1188" s="894"/>
      <c r="D1188" s="269"/>
    </row>
    <row r="1189" spans="1:4" ht="13.2">
      <c r="A1189" s="17" t="s">
        <v>980</v>
      </c>
      <c r="B1189" s="18">
        <v>430</v>
      </c>
      <c r="C1189" s="894"/>
      <c r="D1189" s="269"/>
    </row>
    <row r="1190" spans="1:4" ht="13.2">
      <c r="A1190" s="17" t="s">
        <v>981</v>
      </c>
      <c r="B1190" s="18">
        <v>430</v>
      </c>
      <c r="C1190" s="894"/>
      <c r="D1190" s="269"/>
    </row>
    <row r="1191" spans="1:4" ht="13.2">
      <c r="A1191" s="17" t="s">
        <v>982</v>
      </c>
      <c r="B1191" s="18">
        <v>430</v>
      </c>
      <c r="C1191" s="894"/>
      <c r="D1191" s="269"/>
    </row>
    <row r="1192" spans="1:4" ht="13.2">
      <c r="A1192" s="17" t="s">
        <v>983</v>
      </c>
      <c r="B1192" s="18">
        <v>430</v>
      </c>
      <c r="C1192" s="894"/>
      <c r="D1192" s="269"/>
    </row>
    <row r="1193" spans="1:4" ht="13.2">
      <c r="A1193" s="17" t="s">
        <v>984</v>
      </c>
      <c r="B1193" s="18">
        <v>430</v>
      </c>
      <c r="C1193" s="894"/>
      <c r="D1193" s="269"/>
    </row>
    <row r="1194" spans="1:4" ht="13.2">
      <c r="A1194" s="17" t="s">
        <v>985</v>
      </c>
      <c r="B1194" s="18">
        <v>430</v>
      </c>
      <c r="C1194" s="894"/>
      <c r="D1194" s="269"/>
    </row>
    <row r="1195" spans="1:4" ht="13.2">
      <c r="A1195" s="17" t="s">
        <v>986</v>
      </c>
      <c r="B1195" s="18">
        <v>430</v>
      </c>
      <c r="C1195" s="894"/>
      <c r="D1195" s="269"/>
    </row>
    <row r="1196" spans="1:4" ht="13.2">
      <c r="A1196" s="17" t="s">
        <v>987</v>
      </c>
      <c r="B1196" s="18">
        <v>430</v>
      </c>
      <c r="C1196" s="894"/>
      <c r="D1196" s="269"/>
    </row>
    <row r="1197" spans="1:4" ht="13.2">
      <c r="A1197" s="17" t="s">
        <v>988</v>
      </c>
      <c r="B1197" s="18">
        <v>430</v>
      </c>
      <c r="C1197" s="894"/>
      <c r="D1197" s="269"/>
    </row>
    <row r="1198" spans="1:4" ht="13.2">
      <c r="A1198" s="17" t="s">
        <v>989</v>
      </c>
      <c r="B1198" s="18">
        <v>430</v>
      </c>
      <c r="C1198" s="894"/>
      <c r="D1198" s="269"/>
    </row>
    <row r="1199" spans="1:4" ht="13.2">
      <c r="A1199" s="17" t="s">
        <v>990</v>
      </c>
      <c r="B1199" s="18">
        <v>550</v>
      </c>
      <c r="C1199" s="894"/>
      <c r="D1199" s="269"/>
    </row>
    <row r="1200" spans="1:4" ht="13.2">
      <c r="A1200" s="17" t="s">
        <v>991</v>
      </c>
      <c r="B1200" s="18">
        <v>550</v>
      </c>
      <c r="C1200" s="894"/>
      <c r="D1200" s="269"/>
    </row>
    <row r="1201" spans="1:4" ht="13.2">
      <c r="A1201" s="17" t="s">
        <v>992</v>
      </c>
      <c r="B1201" s="18">
        <v>550</v>
      </c>
      <c r="C1201" s="894"/>
      <c r="D1201" s="269"/>
    </row>
    <row r="1202" spans="1:4" ht="13.2">
      <c r="A1202" s="17" t="s">
        <v>993</v>
      </c>
      <c r="B1202" s="18">
        <v>550</v>
      </c>
      <c r="C1202" s="894"/>
      <c r="D1202" s="269"/>
    </row>
    <row r="1203" spans="1:4" ht="13.2">
      <c r="A1203" s="17" t="s">
        <v>994</v>
      </c>
      <c r="B1203" s="18">
        <v>550</v>
      </c>
      <c r="C1203" s="894"/>
      <c r="D1203" s="269"/>
    </row>
    <row r="1204" spans="1:4" ht="13.2">
      <c r="A1204" s="17" t="s">
        <v>995</v>
      </c>
      <c r="B1204" s="18">
        <v>550</v>
      </c>
      <c r="C1204" s="894"/>
      <c r="D1204" s="269"/>
    </row>
    <row r="1205" spans="1:4" ht="13.2">
      <c r="A1205" s="17" t="s">
        <v>996</v>
      </c>
      <c r="B1205" s="18">
        <v>550</v>
      </c>
      <c r="C1205" s="894"/>
      <c r="D1205" s="269"/>
    </row>
    <row r="1206" spans="1:4" ht="13.2">
      <c r="A1206" s="17" t="s">
        <v>997</v>
      </c>
      <c r="B1206" s="18">
        <v>550</v>
      </c>
      <c r="C1206" s="894"/>
      <c r="D1206" s="269"/>
    </row>
    <row r="1207" spans="1:4" ht="13.2">
      <c r="A1207" s="17" t="s">
        <v>998</v>
      </c>
      <c r="B1207" s="18">
        <v>550</v>
      </c>
      <c r="C1207" s="894"/>
      <c r="D1207" s="269"/>
    </row>
    <row r="1208" spans="1:4" ht="13.2">
      <c r="A1208" s="17" t="s">
        <v>999</v>
      </c>
      <c r="B1208" s="18">
        <v>550</v>
      </c>
      <c r="C1208" s="894"/>
      <c r="D1208" s="269"/>
    </row>
    <row r="1209" spans="1:4" ht="13.2">
      <c r="A1209" s="17" t="s">
        <v>1000</v>
      </c>
      <c r="B1209" s="18">
        <v>550</v>
      </c>
      <c r="C1209" s="894"/>
      <c r="D1209" s="269"/>
    </row>
    <row r="1210" spans="1:4" ht="13.2">
      <c r="A1210" s="17" t="s">
        <v>1001</v>
      </c>
      <c r="B1210" s="18">
        <v>550</v>
      </c>
      <c r="C1210" s="894"/>
      <c r="D1210" s="269"/>
    </row>
    <row r="1211" spans="1:4" ht="13.2">
      <c r="A1211" s="17" t="s">
        <v>1002</v>
      </c>
      <c r="B1211" s="18">
        <v>550</v>
      </c>
      <c r="C1211" s="894"/>
      <c r="D1211" s="269"/>
    </row>
    <row r="1212" spans="1:4" ht="13.2">
      <c r="A1212" s="17" t="s">
        <v>1003</v>
      </c>
      <c r="B1212" s="18">
        <v>550</v>
      </c>
      <c r="C1212" s="894"/>
      <c r="D1212" s="269"/>
    </row>
    <row r="1213" spans="1:4" ht="13.2">
      <c r="A1213" s="17" t="s">
        <v>1004</v>
      </c>
      <c r="B1213" s="18">
        <v>550</v>
      </c>
      <c r="C1213" s="894"/>
      <c r="D1213" s="269"/>
    </row>
    <row r="1214" spans="1:4" ht="13.2">
      <c r="A1214" s="17" t="s">
        <v>1005</v>
      </c>
      <c r="B1214" s="18">
        <v>550</v>
      </c>
      <c r="C1214" s="894"/>
      <c r="D1214" s="269"/>
    </row>
    <row r="1215" spans="1:4" ht="13.2">
      <c r="A1215" s="17" t="s">
        <v>1520</v>
      </c>
      <c r="B1215" s="18">
        <v>640</v>
      </c>
      <c r="C1215" s="894"/>
      <c r="D1215" s="270"/>
    </row>
    <row r="1216" spans="1:4" ht="13.2">
      <c r="A1216" s="17" t="s">
        <v>1521</v>
      </c>
      <c r="B1216" s="18">
        <v>640</v>
      </c>
      <c r="C1216" s="894"/>
      <c r="D1216" s="270"/>
    </row>
    <row r="1217" spans="1:4" ht="13.2">
      <c r="A1217" s="17" t="s">
        <v>1522</v>
      </c>
      <c r="B1217" s="18">
        <v>640</v>
      </c>
      <c r="C1217" s="894"/>
      <c r="D1217" s="270"/>
    </row>
    <row r="1218" spans="1:4" ht="13.2">
      <c r="A1218" s="17" t="s">
        <v>1523</v>
      </c>
      <c r="B1218" s="18">
        <v>640</v>
      </c>
      <c r="C1218" s="894"/>
      <c r="D1218" s="270"/>
    </row>
    <row r="1219" spans="1:4" ht="13.2">
      <c r="A1219" s="17" t="s">
        <v>1524</v>
      </c>
      <c r="B1219" s="18">
        <v>640</v>
      </c>
      <c r="C1219" s="894"/>
      <c r="D1219" s="270"/>
    </row>
    <row r="1220" spans="1:4" ht="13.2">
      <c r="A1220" s="17" t="s">
        <v>1525</v>
      </c>
      <c r="B1220" s="18">
        <v>640</v>
      </c>
      <c r="C1220" s="894"/>
      <c r="D1220" s="270"/>
    </row>
    <row r="1221" spans="1:4" ht="13.2">
      <c r="A1221" s="17" t="s">
        <v>1526</v>
      </c>
      <c r="B1221" s="18">
        <v>640</v>
      </c>
      <c r="C1221" s="894"/>
      <c r="D1221" s="270"/>
    </row>
    <row r="1222" spans="1:4" ht="13.2">
      <c r="A1222" s="17" t="s">
        <v>1527</v>
      </c>
      <c r="B1222" s="18">
        <v>640</v>
      </c>
      <c r="C1222" s="894"/>
      <c r="D1222" s="270"/>
    </row>
    <row r="1223" spans="1:4" ht="13.2">
      <c r="A1223" s="17" t="s">
        <v>1528</v>
      </c>
      <c r="B1223" s="18">
        <v>640</v>
      </c>
      <c r="C1223" s="894"/>
      <c r="D1223" s="270"/>
    </row>
    <row r="1224" spans="1:4" ht="13.2">
      <c r="A1224" s="17" t="s">
        <v>1529</v>
      </c>
      <c r="B1224" s="18">
        <v>640</v>
      </c>
      <c r="C1224" s="894"/>
      <c r="D1224" s="270"/>
    </row>
    <row r="1225" spans="1:4" ht="13.2">
      <c r="A1225" s="17" t="s">
        <v>1530</v>
      </c>
      <c r="B1225" s="18">
        <v>640</v>
      </c>
      <c r="C1225" s="894"/>
      <c r="D1225" s="270"/>
    </row>
    <row r="1226" spans="1:4" ht="13.2">
      <c r="A1226" s="17" t="s">
        <v>1531</v>
      </c>
      <c r="B1226" s="18">
        <v>640</v>
      </c>
      <c r="C1226" s="894"/>
      <c r="D1226" s="270"/>
    </row>
    <row r="1227" spans="1:4" ht="13.2">
      <c r="A1227" s="17" t="s">
        <v>1532</v>
      </c>
      <c r="B1227" s="18">
        <v>640</v>
      </c>
      <c r="C1227" s="894"/>
      <c r="D1227" s="270"/>
    </row>
    <row r="1228" spans="1:4" ht="13.2">
      <c r="A1228" s="17" t="s">
        <v>1533</v>
      </c>
      <c r="B1228" s="18">
        <v>640</v>
      </c>
      <c r="C1228" s="894"/>
      <c r="D1228" s="270"/>
    </row>
    <row r="1229" spans="1:4" ht="13.2">
      <c r="A1229" s="17" t="s">
        <v>1534</v>
      </c>
      <c r="B1229" s="18">
        <v>640</v>
      </c>
      <c r="C1229" s="894"/>
      <c r="D1229" s="270"/>
    </row>
    <row r="1230" spans="1:4" ht="13.2">
      <c r="A1230" s="17" t="s">
        <v>1434</v>
      </c>
      <c r="B1230" s="18">
        <v>640</v>
      </c>
      <c r="C1230" s="894"/>
      <c r="D1230" s="270"/>
    </row>
    <row r="1231" spans="1:4" ht="13.2">
      <c r="A1231" s="17" t="s">
        <v>1006</v>
      </c>
      <c r="B1231" s="18">
        <v>740</v>
      </c>
      <c r="C1231" s="894"/>
      <c r="D1231" s="269"/>
    </row>
    <row r="1232" spans="1:4" ht="13.2">
      <c r="A1232" s="17" t="s">
        <v>1007</v>
      </c>
      <c r="B1232" s="18">
        <v>740</v>
      </c>
      <c r="C1232" s="894"/>
      <c r="D1232" s="269"/>
    </row>
    <row r="1233" spans="1:4" ht="13.2">
      <c r="A1233" s="17" t="s">
        <v>1008</v>
      </c>
      <c r="B1233" s="18">
        <v>740</v>
      </c>
      <c r="C1233" s="894"/>
      <c r="D1233" s="269"/>
    </row>
    <row r="1234" spans="1:4" ht="13.2">
      <c r="A1234" s="17" t="s">
        <v>1009</v>
      </c>
      <c r="B1234" s="18">
        <v>740</v>
      </c>
      <c r="C1234" s="894"/>
      <c r="D1234" s="269"/>
    </row>
    <row r="1235" spans="1:4" ht="13.2">
      <c r="A1235" s="17" t="s">
        <v>1010</v>
      </c>
      <c r="B1235" s="18">
        <v>740</v>
      </c>
      <c r="C1235" s="894"/>
      <c r="D1235" s="269"/>
    </row>
    <row r="1236" spans="1:4" ht="13.2">
      <c r="A1236" s="17" t="s">
        <v>1011</v>
      </c>
      <c r="B1236" s="18">
        <v>740</v>
      </c>
      <c r="C1236" s="894"/>
      <c r="D1236" s="269"/>
    </row>
    <row r="1237" spans="1:4" ht="13.2">
      <c r="A1237" s="17" t="s">
        <v>1012</v>
      </c>
      <c r="B1237" s="18">
        <v>740</v>
      </c>
      <c r="C1237" s="894"/>
      <c r="D1237" s="269"/>
    </row>
    <row r="1238" spans="1:4" ht="13.2">
      <c r="A1238" s="17" t="s">
        <v>1013</v>
      </c>
      <c r="B1238" s="18">
        <v>740</v>
      </c>
      <c r="C1238" s="894"/>
      <c r="D1238" s="269"/>
    </row>
    <row r="1239" spans="1:4" ht="13.2">
      <c r="A1239" s="17" t="s">
        <v>1014</v>
      </c>
      <c r="B1239" s="18">
        <v>740</v>
      </c>
      <c r="C1239" s="894"/>
      <c r="D1239" s="269"/>
    </row>
    <row r="1240" spans="1:4" ht="13.2">
      <c r="A1240" s="17" t="s">
        <v>1015</v>
      </c>
      <c r="B1240" s="18">
        <v>740</v>
      </c>
      <c r="C1240" s="894"/>
      <c r="D1240" s="269"/>
    </row>
    <row r="1241" spans="1:4" ht="13.2">
      <c r="A1241" s="17" t="s">
        <v>1016</v>
      </c>
      <c r="B1241" s="18">
        <v>740</v>
      </c>
      <c r="C1241" s="894"/>
      <c r="D1241" s="269"/>
    </row>
    <row r="1242" spans="1:4" ht="13.2">
      <c r="A1242" s="17" t="s">
        <v>1017</v>
      </c>
      <c r="B1242" s="18">
        <v>740</v>
      </c>
      <c r="C1242" s="894"/>
      <c r="D1242" s="269"/>
    </row>
    <row r="1243" spans="1:4" ht="13.2">
      <c r="A1243" s="17" t="s">
        <v>1018</v>
      </c>
      <c r="B1243" s="18">
        <v>740</v>
      </c>
      <c r="C1243" s="894"/>
      <c r="D1243" s="269"/>
    </row>
    <row r="1244" spans="1:4" ht="13.2">
      <c r="A1244" s="17" t="s">
        <v>1019</v>
      </c>
      <c r="B1244" s="18">
        <v>740</v>
      </c>
      <c r="C1244" s="894"/>
      <c r="D1244" s="269"/>
    </row>
    <row r="1245" spans="1:4" ht="13.2">
      <c r="A1245" s="17" t="s">
        <v>1020</v>
      </c>
      <c r="B1245" s="18">
        <v>740</v>
      </c>
      <c r="C1245" s="894"/>
      <c r="D1245" s="269"/>
    </row>
    <row r="1246" spans="1:4" ht="13.2">
      <c r="A1246" s="17" t="s">
        <v>1021</v>
      </c>
      <c r="B1246" s="18">
        <v>740</v>
      </c>
      <c r="C1246" s="894"/>
      <c r="D1246" s="269"/>
    </row>
    <row r="1247" spans="1:4" ht="13.2">
      <c r="A1247" s="17" t="s">
        <v>1022</v>
      </c>
      <c r="B1247" s="18">
        <v>850</v>
      </c>
      <c r="C1247" s="894"/>
      <c r="D1247" s="269"/>
    </row>
    <row r="1248" spans="1:4" ht="13.2">
      <c r="A1248" s="17" t="s">
        <v>1023</v>
      </c>
      <c r="B1248" s="18">
        <v>850</v>
      </c>
      <c r="C1248" s="894"/>
      <c r="D1248" s="269"/>
    </row>
    <row r="1249" spans="1:4" ht="13.2">
      <c r="A1249" s="17" t="s">
        <v>1024</v>
      </c>
      <c r="B1249" s="18">
        <v>850</v>
      </c>
      <c r="C1249" s="894"/>
      <c r="D1249" s="269"/>
    </row>
    <row r="1250" spans="1:4" ht="13.2">
      <c r="A1250" s="17" t="s">
        <v>1025</v>
      </c>
      <c r="B1250" s="18">
        <v>850</v>
      </c>
      <c r="C1250" s="894"/>
      <c r="D1250" s="269"/>
    </row>
    <row r="1251" spans="1:4" ht="13.2">
      <c r="A1251" s="17" t="s">
        <v>1026</v>
      </c>
      <c r="B1251" s="18">
        <v>850</v>
      </c>
      <c r="C1251" s="894"/>
      <c r="D1251" s="269"/>
    </row>
    <row r="1252" spans="1:4" ht="13.2">
      <c r="A1252" s="17" t="s">
        <v>1027</v>
      </c>
      <c r="B1252" s="18">
        <v>850</v>
      </c>
      <c r="C1252" s="894"/>
      <c r="D1252" s="269"/>
    </row>
    <row r="1253" spans="1:4" ht="13.2">
      <c r="A1253" s="17" t="s">
        <v>1028</v>
      </c>
      <c r="B1253" s="18">
        <v>850</v>
      </c>
      <c r="C1253" s="894"/>
      <c r="D1253" s="269"/>
    </row>
    <row r="1254" spans="1:4" ht="13.2">
      <c r="A1254" s="17" t="s">
        <v>1029</v>
      </c>
      <c r="B1254" s="18">
        <v>850</v>
      </c>
      <c r="C1254" s="894"/>
      <c r="D1254" s="269"/>
    </row>
    <row r="1255" spans="1:4" ht="13.2">
      <c r="A1255" s="17" t="s">
        <v>1030</v>
      </c>
      <c r="B1255" s="18">
        <v>850</v>
      </c>
      <c r="C1255" s="894"/>
      <c r="D1255" s="269"/>
    </row>
    <row r="1256" spans="1:4" ht="13.2">
      <c r="A1256" s="17" t="s">
        <v>1031</v>
      </c>
      <c r="B1256" s="18">
        <v>850</v>
      </c>
      <c r="C1256" s="894"/>
      <c r="D1256" s="269"/>
    </row>
    <row r="1257" spans="1:4" ht="13.2">
      <c r="A1257" s="17" t="s">
        <v>1032</v>
      </c>
      <c r="B1257" s="18">
        <v>850</v>
      </c>
      <c r="C1257" s="894"/>
      <c r="D1257" s="269"/>
    </row>
    <row r="1258" spans="1:4" ht="13.2">
      <c r="A1258" s="17" t="s">
        <v>1033</v>
      </c>
      <c r="B1258" s="18">
        <v>850</v>
      </c>
      <c r="C1258" s="894"/>
      <c r="D1258" s="269"/>
    </row>
    <row r="1259" spans="1:4" ht="13.2">
      <c r="A1259" s="17" t="s">
        <v>1034</v>
      </c>
      <c r="B1259" s="18">
        <v>850</v>
      </c>
      <c r="C1259" s="894"/>
      <c r="D1259" s="269"/>
    </row>
    <row r="1260" spans="1:4" ht="13.2">
      <c r="A1260" s="17" t="s">
        <v>1035</v>
      </c>
      <c r="B1260" s="18">
        <v>850</v>
      </c>
      <c r="C1260" s="894"/>
      <c r="D1260" s="269"/>
    </row>
    <row r="1261" spans="1:4" ht="13.2">
      <c r="A1261" s="17" t="s">
        <v>1036</v>
      </c>
      <c r="B1261" s="18">
        <v>850</v>
      </c>
      <c r="C1261" s="894"/>
      <c r="D1261" s="269"/>
    </row>
    <row r="1262" spans="1:4" ht="13.2">
      <c r="A1262" s="17" t="s">
        <v>1037</v>
      </c>
      <c r="B1262" s="18">
        <v>850</v>
      </c>
      <c r="C1262" s="894"/>
      <c r="D1262" s="269"/>
    </row>
    <row r="1263" spans="1:4" ht="13.2">
      <c r="A1263" s="17" t="s">
        <v>1565</v>
      </c>
      <c r="B1263" s="18">
        <v>950</v>
      </c>
      <c r="C1263" s="894"/>
      <c r="D1263" s="270"/>
    </row>
    <row r="1264" spans="1:4" ht="13.2">
      <c r="A1264" s="17" t="s">
        <v>1566</v>
      </c>
      <c r="B1264" s="18">
        <v>950</v>
      </c>
      <c r="C1264" s="894"/>
      <c r="D1264" s="270"/>
    </row>
    <row r="1265" spans="1:4" ht="13.2">
      <c r="A1265" s="17" t="s">
        <v>1567</v>
      </c>
      <c r="B1265" s="18">
        <v>950</v>
      </c>
      <c r="C1265" s="894"/>
      <c r="D1265" s="270"/>
    </row>
    <row r="1266" spans="1:4" ht="13.2">
      <c r="A1266" s="17" t="s">
        <v>1568</v>
      </c>
      <c r="B1266" s="18">
        <v>950</v>
      </c>
      <c r="C1266" s="894"/>
      <c r="D1266" s="270"/>
    </row>
    <row r="1267" spans="1:4" ht="13.2">
      <c r="A1267" s="17" t="s">
        <v>1569</v>
      </c>
      <c r="B1267" s="18">
        <v>950</v>
      </c>
      <c r="C1267" s="894"/>
      <c r="D1267" s="270"/>
    </row>
    <row r="1268" spans="1:4" ht="13.2">
      <c r="A1268" s="17" t="s">
        <v>1570</v>
      </c>
      <c r="B1268" s="18">
        <v>950</v>
      </c>
      <c r="C1268" s="894"/>
      <c r="D1268" s="270"/>
    </row>
    <row r="1269" spans="1:4" ht="13.2">
      <c r="A1269" s="17" t="s">
        <v>1571</v>
      </c>
      <c r="B1269" s="18">
        <v>950</v>
      </c>
      <c r="C1269" s="894"/>
      <c r="D1269" s="270"/>
    </row>
    <row r="1270" spans="1:4" ht="13.2">
      <c r="A1270" s="17" t="s">
        <v>1572</v>
      </c>
      <c r="B1270" s="18">
        <v>950</v>
      </c>
      <c r="C1270" s="894"/>
      <c r="D1270" s="270"/>
    </row>
    <row r="1271" spans="1:4" ht="13.2">
      <c r="A1271" s="17" t="s">
        <v>1573</v>
      </c>
      <c r="B1271" s="18">
        <v>950</v>
      </c>
      <c r="C1271" s="894"/>
      <c r="D1271" s="270"/>
    </row>
    <row r="1272" spans="1:4" ht="13.2">
      <c r="A1272" s="17" t="s">
        <v>1574</v>
      </c>
      <c r="B1272" s="18">
        <v>950</v>
      </c>
      <c r="C1272" s="894"/>
      <c r="D1272" s="270"/>
    </row>
    <row r="1273" spans="1:4" ht="13.2">
      <c r="A1273" s="17" t="s">
        <v>1575</v>
      </c>
      <c r="B1273" s="18">
        <v>950</v>
      </c>
      <c r="C1273" s="894"/>
      <c r="D1273" s="270"/>
    </row>
    <row r="1274" spans="1:4" ht="13.2">
      <c r="A1274" s="17" t="s">
        <v>1576</v>
      </c>
      <c r="B1274" s="18">
        <v>950</v>
      </c>
      <c r="C1274" s="894"/>
      <c r="D1274" s="270"/>
    </row>
    <row r="1275" spans="1:4" ht="13.2">
      <c r="A1275" s="17" t="s">
        <v>1577</v>
      </c>
      <c r="B1275" s="18">
        <v>950</v>
      </c>
      <c r="C1275" s="894"/>
      <c r="D1275" s="270"/>
    </row>
    <row r="1276" spans="1:4" ht="13.2">
      <c r="A1276" s="17" t="s">
        <v>1578</v>
      </c>
      <c r="B1276" s="18">
        <v>950</v>
      </c>
      <c r="C1276" s="894"/>
      <c r="D1276" s="270"/>
    </row>
    <row r="1277" spans="1:4" ht="13.2">
      <c r="A1277" s="17" t="s">
        <v>1579</v>
      </c>
      <c r="B1277" s="18">
        <v>950</v>
      </c>
      <c r="C1277" s="894"/>
      <c r="D1277" s="270"/>
    </row>
    <row r="1278" spans="1:4" ht="13.2">
      <c r="A1278" s="17" t="s">
        <v>1435</v>
      </c>
      <c r="B1278" s="18">
        <v>950</v>
      </c>
      <c r="C1278" s="894"/>
      <c r="D1278" s="270"/>
    </row>
    <row r="1279" spans="1:4" ht="13.2">
      <c r="A1279" s="17" t="s">
        <v>1038</v>
      </c>
      <c r="B1279" s="18">
        <v>450</v>
      </c>
      <c r="C1279" s="894"/>
      <c r="D1279" s="269"/>
    </row>
    <row r="1280" spans="1:4" ht="13.2">
      <c r="A1280" s="17" t="s">
        <v>1039</v>
      </c>
      <c r="B1280" s="18">
        <v>450</v>
      </c>
      <c r="C1280" s="894"/>
      <c r="D1280" s="269"/>
    </row>
    <row r="1281" spans="1:4" ht="13.2">
      <c r="A1281" s="17" t="s">
        <v>1040</v>
      </c>
      <c r="B1281" s="18">
        <v>450</v>
      </c>
      <c r="C1281" s="894"/>
      <c r="D1281" s="269"/>
    </row>
    <row r="1282" spans="1:4" ht="13.2">
      <c r="A1282" s="17" t="s">
        <v>1041</v>
      </c>
      <c r="B1282" s="18">
        <v>450</v>
      </c>
      <c r="C1282" s="894"/>
      <c r="D1282" s="269"/>
    </row>
    <row r="1283" spans="1:4" ht="13.2">
      <c r="A1283" s="17" t="s">
        <v>1042</v>
      </c>
      <c r="B1283" s="18">
        <v>450</v>
      </c>
      <c r="C1283" s="894"/>
      <c r="D1283" s="269"/>
    </row>
    <row r="1284" spans="1:4" ht="13.2">
      <c r="A1284" s="17" t="s">
        <v>1043</v>
      </c>
      <c r="B1284" s="18">
        <v>450</v>
      </c>
      <c r="C1284" s="894"/>
      <c r="D1284" s="269"/>
    </row>
    <row r="1285" spans="1:4" ht="13.2">
      <c r="A1285" s="17" t="s">
        <v>1044</v>
      </c>
      <c r="B1285" s="18">
        <v>450</v>
      </c>
      <c r="C1285" s="894"/>
      <c r="D1285" s="269"/>
    </row>
    <row r="1286" spans="1:4" ht="13.2">
      <c r="A1286" s="17" t="s">
        <v>1045</v>
      </c>
      <c r="B1286" s="18">
        <v>450</v>
      </c>
      <c r="C1286" s="894"/>
      <c r="D1286" s="269"/>
    </row>
    <row r="1287" spans="1:4" ht="13.2">
      <c r="A1287" s="17" t="s">
        <v>1046</v>
      </c>
      <c r="B1287" s="18">
        <v>450</v>
      </c>
      <c r="C1287" s="894"/>
      <c r="D1287" s="269"/>
    </row>
    <row r="1288" spans="1:4" ht="13.2">
      <c r="A1288" s="17" t="s">
        <v>1047</v>
      </c>
      <c r="B1288" s="18">
        <v>450</v>
      </c>
      <c r="C1288" s="894"/>
      <c r="D1288" s="269"/>
    </row>
    <row r="1289" spans="1:4" ht="13.2">
      <c r="A1289" s="17" t="s">
        <v>1048</v>
      </c>
      <c r="B1289" s="18">
        <v>450</v>
      </c>
      <c r="C1289" s="894"/>
      <c r="D1289" s="269"/>
    </row>
    <row r="1290" spans="1:4" ht="13.2">
      <c r="A1290" s="17" t="s">
        <v>1049</v>
      </c>
      <c r="B1290" s="18">
        <v>450</v>
      </c>
      <c r="C1290" s="894"/>
      <c r="D1290" s="269"/>
    </row>
    <row r="1291" spans="1:4" ht="13.2">
      <c r="A1291" s="17" t="s">
        <v>1050</v>
      </c>
      <c r="B1291" s="18">
        <v>450</v>
      </c>
      <c r="C1291" s="894"/>
      <c r="D1291" s="269"/>
    </row>
    <row r="1292" spans="1:4" ht="13.2">
      <c r="A1292" s="17" t="s">
        <v>1051</v>
      </c>
      <c r="B1292" s="18">
        <v>450</v>
      </c>
      <c r="C1292" s="894"/>
      <c r="D1292" s="269"/>
    </row>
    <row r="1293" spans="1:4" ht="13.2">
      <c r="A1293" s="17" t="s">
        <v>1052</v>
      </c>
      <c r="B1293" s="18">
        <v>450</v>
      </c>
      <c r="C1293" s="894"/>
      <c r="D1293" s="269"/>
    </row>
    <row r="1294" spans="1:4" ht="13.2">
      <c r="A1294" s="17" t="s">
        <v>1053</v>
      </c>
      <c r="B1294" s="18">
        <v>450</v>
      </c>
      <c r="C1294" s="894"/>
      <c r="D1294" s="269"/>
    </row>
    <row r="1295" spans="1:4" ht="13.2">
      <c r="A1295" s="17" t="s">
        <v>1580</v>
      </c>
      <c r="B1295" s="18">
        <v>430</v>
      </c>
      <c r="C1295" s="894"/>
      <c r="D1295" s="270"/>
    </row>
    <row r="1296" spans="1:4" ht="13.2">
      <c r="A1296" s="17" t="s">
        <v>1581</v>
      </c>
      <c r="B1296" s="18">
        <v>430</v>
      </c>
      <c r="C1296" s="894"/>
      <c r="D1296" s="270"/>
    </row>
    <row r="1297" spans="1:4" ht="13.2">
      <c r="A1297" s="17" t="s">
        <v>1582</v>
      </c>
      <c r="B1297" s="18">
        <v>430</v>
      </c>
      <c r="C1297" s="894"/>
      <c r="D1297" s="270"/>
    </row>
    <row r="1298" spans="1:4" ht="13.2">
      <c r="A1298" s="17" t="s">
        <v>1583</v>
      </c>
      <c r="B1298" s="18">
        <v>430</v>
      </c>
      <c r="C1298" s="894"/>
      <c r="D1298" s="270"/>
    </row>
    <row r="1299" spans="1:4" ht="13.2">
      <c r="A1299" s="17" t="s">
        <v>1584</v>
      </c>
      <c r="B1299" s="18">
        <v>430</v>
      </c>
      <c r="C1299" s="894"/>
      <c r="D1299" s="270"/>
    </row>
    <row r="1300" spans="1:4" ht="13.2">
      <c r="A1300" s="17" t="s">
        <v>1585</v>
      </c>
      <c r="B1300" s="18">
        <v>430</v>
      </c>
      <c r="C1300" s="894"/>
      <c r="D1300" s="270"/>
    </row>
    <row r="1301" spans="1:4" ht="13.2">
      <c r="A1301" s="17" t="s">
        <v>1586</v>
      </c>
      <c r="B1301" s="18">
        <v>430</v>
      </c>
      <c r="C1301" s="894"/>
      <c r="D1301" s="270"/>
    </row>
    <row r="1302" spans="1:4" ht="13.2">
      <c r="A1302" s="17" t="s">
        <v>1587</v>
      </c>
      <c r="B1302" s="18">
        <v>430</v>
      </c>
      <c r="C1302" s="894"/>
      <c r="D1302" s="270"/>
    </row>
    <row r="1303" spans="1:4" ht="13.2">
      <c r="A1303" s="17" t="s">
        <v>1588</v>
      </c>
      <c r="B1303" s="18">
        <v>430</v>
      </c>
      <c r="C1303" s="894"/>
      <c r="D1303" s="270"/>
    </row>
    <row r="1304" spans="1:4" ht="13.2">
      <c r="A1304" s="17" t="s">
        <v>1589</v>
      </c>
      <c r="B1304" s="18">
        <v>430</v>
      </c>
      <c r="C1304" s="894"/>
      <c r="D1304" s="270"/>
    </row>
    <row r="1305" spans="1:4" ht="13.2">
      <c r="A1305" s="17" t="s">
        <v>1590</v>
      </c>
      <c r="B1305" s="18">
        <v>430</v>
      </c>
      <c r="C1305" s="894"/>
      <c r="D1305" s="270"/>
    </row>
    <row r="1306" spans="1:4" ht="13.2">
      <c r="A1306" s="17" t="s">
        <v>1591</v>
      </c>
      <c r="B1306" s="18">
        <v>430</v>
      </c>
      <c r="C1306" s="894"/>
      <c r="D1306" s="270"/>
    </row>
    <row r="1307" spans="1:4" ht="13.2">
      <c r="A1307" s="17" t="s">
        <v>1592</v>
      </c>
      <c r="B1307" s="18">
        <v>430</v>
      </c>
      <c r="C1307" s="894"/>
      <c r="D1307" s="270"/>
    </row>
    <row r="1308" spans="1:4" ht="13.2">
      <c r="A1308" s="17" t="s">
        <v>1593</v>
      </c>
      <c r="B1308" s="18">
        <v>430</v>
      </c>
      <c r="C1308" s="894"/>
      <c r="D1308" s="270"/>
    </row>
    <row r="1309" spans="1:4" ht="13.2">
      <c r="A1309" s="17" t="s">
        <v>1594</v>
      </c>
      <c r="B1309" s="18">
        <v>430</v>
      </c>
      <c r="C1309" s="894"/>
      <c r="D1309" s="270"/>
    </row>
    <row r="1310" spans="1:4" ht="13.2">
      <c r="A1310" s="17" t="s">
        <v>1436</v>
      </c>
      <c r="B1310" s="18">
        <v>430</v>
      </c>
      <c r="C1310" s="894"/>
      <c r="D1310" s="270"/>
    </row>
    <row r="1311" spans="1:4" ht="13.2">
      <c r="A1311" s="17" t="s">
        <v>1595</v>
      </c>
      <c r="B1311" s="18">
        <v>550</v>
      </c>
      <c r="C1311" s="894"/>
      <c r="D1311" s="270"/>
    </row>
    <row r="1312" spans="1:4" ht="13.2">
      <c r="A1312" s="17" t="s">
        <v>1596</v>
      </c>
      <c r="B1312" s="18">
        <v>550</v>
      </c>
      <c r="C1312" s="894"/>
      <c r="D1312" s="270"/>
    </row>
    <row r="1313" spans="1:4" ht="13.2">
      <c r="A1313" s="17" t="s">
        <v>1597</v>
      </c>
      <c r="B1313" s="18">
        <v>550</v>
      </c>
      <c r="C1313" s="894"/>
      <c r="D1313" s="270"/>
    </row>
    <row r="1314" spans="1:4" ht="13.2">
      <c r="A1314" s="17" t="s">
        <v>1598</v>
      </c>
      <c r="B1314" s="18">
        <v>550</v>
      </c>
      <c r="C1314" s="894"/>
      <c r="D1314" s="270"/>
    </row>
    <row r="1315" spans="1:4" ht="13.2">
      <c r="A1315" s="17" t="s">
        <v>1599</v>
      </c>
      <c r="B1315" s="18">
        <v>550</v>
      </c>
      <c r="C1315" s="894"/>
      <c r="D1315" s="270"/>
    </row>
    <row r="1316" spans="1:4" ht="13.2">
      <c r="A1316" s="17" t="s">
        <v>1600</v>
      </c>
      <c r="B1316" s="18">
        <v>550</v>
      </c>
      <c r="C1316" s="894"/>
      <c r="D1316" s="270"/>
    </row>
    <row r="1317" spans="1:4" ht="13.2">
      <c r="A1317" s="17" t="s">
        <v>1601</v>
      </c>
      <c r="B1317" s="18">
        <v>550</v>
      </c>
      <c r="C1317" s="894"/>
      <c r="D1317" s="270"/>
    </row>
    <row r="1318" spans="1:4" ht="13.2">
      <c r="A1318" s="17" t="s">
        <v>1602</v>
      </c>
      <c r="B1318" s="18">
        <v>550</v>
      </c>
      <c r="C1318" s="894"/>
      <c r="D1318" s="270"/>
    </row>
    <row r="1319" spans="1:4" ht="13.2">
      <c r="A1319" s="17" t="s">
        <v>1603</v>
      </c>
      <c r="B1319" s="18">
        <v>550</v>
      </c>
      <c r="C1319" s="894"/>
      <c r="D1319" s="270"/>
    </row>
    <row r="1320" spans="1:4" ht="13.2">
      <c r="A1320" s="17" t="s">
        <v>1604</v>
      </c>
      <c r="B1320" s="18">
        <v>550</v>
      </c>
      <c r="C1320" s="894"/>
      <c r="D1320" s="270"/>
    </row>
    <row r="1321" spans="1:4" ht="13.2">
      <c r="A1321" s="17" t="s">
        <v>1605</v>
      </c>
      <c r="B1321" s="18">
        <v>550</v>
      </c>
      <c r="C1321" s="894"/>
      <c r="D1321" s="270"/>
    </row>
    <row r="1322" spans="1:4" ht="13.2">
      <c r="A1322" s="17" t="s">
        <v>1606</v>
      </c>
      <c r="B1322" s="18">
        <v>550</v>
      </c>
      <c r="C1322" s="894"/>
      <c r="D1322" s="270"/>
    </row>
    <row r="1323" spans="1:4" ht="13.2">
      <c r="A1323" s="17" t="s">
        <v>1607</v>
      </c>
      <c r="B1323" s="18">
        <v>550</v>
      </c>
      <c r="C1323" s="894"/>
      <c r="D1323" s="270"/>
    </row>
    <row r="1324" spans="1:4" ht="13.2">
      <c r="A1324" s="17" t="s">
        <v>1608</v>
      </c>
      <c r="B1324" s="18">
        <v>550</v>
      </c>
      <c r="C1324" s="894"/>
      <c r="D1324" s="270"/>
    </row>
    <row r="1325" spans="1:4" ht="13.2">
      <c r="A1325" s="17" t="s">
        <v>1609</v>
      </c>
      <c r="B1325" s="18">
        <v>550</v>
      </c>
      <c r="C1325" s="894"/>
      <c r="D1325" s="270"/>
    </row>
    <row r="1326" spans="1:4" ht="13.2">
      <c r="A1326" s="17" t="s">
        <v>1437</v>
      </c>
      <c r="B1326" s="18">
        <v>550</v>
      </c>
      <c r="C1326" s="894"/>
      <c r="D1326" s="270"/>
    </row>
    <row r="1327" spans="1:4" ht="13.2">
      <c r="A1327" s="17" t="s">
        <v>1610</v>
      </c>
      <c r="B1327" s="18">
        <v>850</v>
      </c>
      <c r="C1327" s="894"/>
      <c r="D1327" s="270"/>
    </row>
    <row r="1328" spans="1:4" ht="13.2">
      <c r="A1328" s="17" t="s">
        <v>1611</v>
      </c>
      <c r="B1328" s="18">
        <v>850</v>
      </c>
      <c r="C1328" s="894"/>
      <c r="D1328" s="270"/>
    </row>
    <row r="1329" spans="1:4" ht="13.2">
      <c r="A1329" s="17" t="s">
        <v>1612</v>
      </c>
      <c r="B1329" s="18">
        <v>850</v>
      </c>
      <c r="C1329" s="894"/>
      <c r="D1329" s="270"/>
    </row>
    <row r="1330" spans="1:4" ht="13.2">
      <c r="A1330" s="17" t="s">
        <v>1613</v>
      </c>
      <c r="B1330" s="18">
        <v>850</v>
      </c>
      <c r="C1330" s="894"/>
      <c r="D1330" s="270"/>
    </row>
    <row r="1331" spans="1:4" ht="13.2">
      <c r="A1331" s="17" t="s">
        <v>1614</v>
      </c>
      <c r="B1331" s="18">
        <v>850</v>
      </c>
      <c r="C1331" s="894"/>
      <c r="D1331" s="270"/>
    </row>
    <row r="1332" spans="1:4" ht="13.2">
      <c r="A1332" s="17" t="s">
        <v>1615</v>
      </c>
      <c r="B1332" s="18">
        <v>850</v>
      </c>
      <c r="C1332" s="894"/>
      <c r="D1332" s="270"/>
    </row>
    <row r="1333" spans="1:4" ht="13.2">
      <c r="A1333" s="17" t="s">
        <v>1616</v>
      </c>
      <c r="B1333" s="18">
        <v>850</v>
      </c>
      <c r="C1333" s="894"/>
      <c r="D1333" s="270"/>
    </row>
    <row r="1334" spans="1:4" ht="13.2">
      <c r="A1334" s="17" t="s">
        <v>1617</v>
      </c>
      <c r="B1334" s="18">
        <v>850</v>
      </c>
      <c r="C1334" s="894"/>
      <c r="D1334" s="270"/>
    </row>
    <row r="1335" spans="1:4" ht="13.2">
      <c r="A1335" s="17" t="s">
        <v>1618</v>
      </c>
      <c r="B1335" s="18">
        <v>850</v>
      </c>
      <c r="C1335" s="894"/>
      <c r="D1335" s="270"/>
    </row>
    <row r="1336" spans="1:4" ht="13.2">
      <c r="A1336" s="17" t="s">
        <v>1619</v>
      </c>
      <c r="B1336" s="18">
        <v>850</v>
      </c>
      <c r="C1336" s="894"/>
      <c r="D1336" s="270"/>
    </row>
    <row r="1337" spans="1:4" ht="13.2">
      <c r="A1337" s="17" t="s">
        <v>1620</v>
      </c>
      <c r="B1337" s="18">
        <v>850</v>
      </c>
      <c r="C1337" s="894"/>
      <c r="D1337" s="270"/>
    </row>
    <row r="1338" spans="1:4" ht="13.2">
      <c r="A1338" s="17" t="s">
        <v>1621</v>
      </c>
      <c r="B1338" s="18">
        <v>850</v>
      </c>
      <c r="C1338" s="894"/>
      <c r="D1338" s="270"/>
    </row>
    <row r="1339" spans="1:4" ht="13.2">
      <c r="A1339" s="17" t="s">
        <v>1622</v>
      </c>
      <c r="B1339" s="18">
        <v>850</v>
      </c>
      <c r="C1339" s="894"/>
      <c r="D1339" s="270"/>
    </row>
    <row r="1340" spans="1:4" ht="13.2">
      <c r="A1340" s="17" t="s">
        <v>1623</v>
      </c>
      <c r="B1340" s="18">
        <v>850</v>
      </c>
      <c r="C1340" s="894"/>
      <c r="D1340" s="270"/>
    </row>
    <row r="1341" spans="1:4" ht="13.2">
      <c r="A1341" s="17" t="s">
        <v>1624</v>
      </c>
      <c r="B1341" s="18">
        <v>850</v>
      </c>
      <c r="C1341" s="894"/>
      <c r="D1341" s="270"/>
    </row>
    <row r="1342" spans="1:4" ht="13.2">
      <c r="A1342" s="17" t="s">
        <v>1438</v>
      </c>
      <c r="B1342" s="18">
        <v>850</v>
      </c>
      <c r="C1342" s="894"/>
      <c r="D1342" s="270"/>
    </row>
    <row r="1343" spans="1:4" ht="13.2">
      <c r="A1343" s="17" t="s">
        <v>1445</v>
      </c>
      <c r="B1343" s="18">
        <v>1120</v>
      </c>
      <c r="C1343" s="894"/>
      <c r="D1343" s="270"/>
    </row>
    <row r="1344" spans="1:4" ht="13.2">
      <c r="A1344" s="17" t="s">
        <v>1446</v>
      </c>
      <c r="B1344" s="18">
        <v>1120</v>
      </c>
      <c r="C1344" s="894"/>
      <c r="D1344" s="270"/>
    </row>
    <row r="1345" spans="1:4" ht="13.2">
      <c r="A1345" s="17" t="s">
        <v>1447</v>
      </c>
      <c r="B1345" s="18">
        <v>1120</v>
      </c>
      <c r="C1345" s="894"/>
      <c r="D1345" s="270"/>
    </row>
    <row r="1346" spans="1:4" ht="13.2">
      <c r="A1346" s="17" t="s">
        <v>1448</v>
      </c>
      <c r="B1346" s="18">
        <v>1120</v>
      </c>
      <c r="C1346" s="894"/>
      <c r="D1346" s="270"/>
    </row>
    <row r="1347" spans="1:4" ht="13.2">
      <c r="A1347" s="17" t="s">
        <v>1449</v>
      </c>
      <c r="B1347" s="18">
        <v>1120</v>
      </c>
      <c r="C1347" s="894"/>
      <c r="D1347" s="270"/>
    </row>
    <row r="1348" spans="1:4" ht="13.2">
      <c r="A1348" s="17" t="s">
        <v>1450</v>
      </c>
      <c r="B1348" s="18">
        <v>1120</v>
      </c>
      <c r="C1348" s="894"/>
      <c r="D1348" s="270"/>
    </row>
    <row r="1349" spans="1:4" ht="13.2">
      <c r="A1349" s="17" t="s">
        <v>1451</v>
      </c>
      <c r="B1349" s="18">
        <v>1120</v>
      </c>
      <c r="C1349" s="894"/>
      <c r="D1349" s="270"/>
    </row>
    <row r="1350" spans="1:4" ht="13.2">
      <c r="A1350" s="17" t="s">
        <v>1452</v>
      </c>
      <c r="B1350" s="18">
        <v>1120</v>
      </c>
      <c r="C1350" s="894"/>
      <c r="D1350" s="270"/>
    </row>
    <row r="1351" spans="1:4" ht="13.2">
      <c r="A1351" s="17" t="s">
        <v>1453</v>
      </c>
      <c r="B1351" s="18">
        <v>1120</v>
      </c>
      <c r="C1351" s="894"/>
      <c r="D1351" s="270"/>
    </row>
    <row r="1352" spans="1:4" ht="13.2">
      <c r="A1352" s="17" t="s">
        <v>1454</v>
      </c>
      <c r="B1352" s="18">
        <v>1120</v>
      </c>
      <c r="C1352" s="894"/>
      <c r="D1352" s="270"/>
    </row>
    <row r="1353" spans="1:4" ht="13.2">
      <c r="A1353" s="17" t="s">
        <v>1455</v>
      </c>
      <c r="B1353" s="18">
        <v>1120</v>
      </c>
      <c r="C1353" s="894"/>
      <c r="D1353" s="270"/>
    </row>
    <row r="1354" spans="1:4" ht="13.2">
      <c r="A1354" s="17" t="s">
        <v>1456</v>
      </c>
      <c r="B1354" s="18">
        <v>1120</v>
      </c>
      <c r="C1354" s="894"/>
      <c r="D1354" s="270"/>
    </row>
    <row r="1355" spans="1:4" ht="13.2">
      <c r="A1355" s="17" t="s">
        <v>1457</v>
      </c>
      <c r="B1355" s="18">
        <v>1120</v>
      </c>
      <c r="C1355" s="894"/>
      <c r="D1355" s="270"/>
    </row>
    <row r="1356" spans="1:4" ht="13.2">
      <c r="A1356" s="17" t="s">
        <v>1458</v>
      </c>
      <c r="B1356" s="18">
        <v>1120</v>
      </c>
      <c r="C1356" s="894"/>
      <c r="D1356" s="270"/>
    </row>
    <row r="1357" spans="1:4" ht="13.2">
      <c r="A1357" s="17" t="s">
        <v>1459</v>
      </c>
      <c r="B1357" s="18">
        <v>1120</v>
      </c>
      <c r="C1357" s="894"/>
      <c r="D1357" s="270"/>
    </row>
    <row r="1358" spans="1:4" ht="13.2">
      <c r="A1358" s="17" t="s">
        <v>1441</v>
      </c>
      <c r="B1358" s="18">
        <v>1120</v>
      </c>
      <c r="C1358" s="894"/>
      <c r="D1358" s="270"/>
    </row>
    <row r="1359" spans="1:4" ht="13.2">
      <c r="A1359" s="17" t="s">
        <v>1460</v>
      </c>
      <c r="B1359" s="18">
        <v>1330</v>
      </c>
      <c r="C1359" s="894"/>
      <c r="D1359" s="270"/>
    </row>
    <row r="1360" spans="1:4" ht="13.2">
      <c r="A1360" s="17" t="s">
        <v>1461</v>
      </c>
      <c r="B1360" s="18">
        <v>1330</v>
      </c>
      <c r="C1360" s="894"/>
      <c r="D1360" s="270"/>
    </row>
    <row r="1361" spans="1:4" ht="13.2">
      <c r="A1361" s="17" t="s">
        <v>1462</v>
      </c>
      <c r="B1361" s="18">
        <v>1330</v>
      </c>
      <c r="C1361" s="894"/>
      <c r="D1361" s="270"/>
    </row>
    <row r="1362" spans="1:4" ht="13.2">
      <c r="A1362" s="17" t="s">
        <v>1463</v>
      </c>
      <c r="B1362" s="18">
        <v>1330</v>
      </c>
      <c r="C1362" s="894"/>
      <c r="D1362" s="270"/>
    </row>
    <row r="1363" spans="1:4" ht="13.2">
      <c r="A1363" s="17" t="s">
        <v>1464</v>
      </c>
      <c r="B1363" s="18">
        <v>1330</v>
      </c>
      <c r="C1363" s="894"/>
      <c r="D1363" s="270"/>
    </row>
    <row r="1364" spans="1:4" ht="13.2">
      <c r="A1364" s="17" t="s">
        <v>1465</v>
      </c>
      <c r="B1364" s="18">
        <v>1330</v>
      </c>
      <c r="C1364" s="894"/>
      <c r="D1364" s="270"/>
    </row>
    <row r="1365" spans="1:4" ht="13.2">
      <c r="A1365" s="17" t="s">
        <v>1466</v>
      </c>
      <c r="B1365" s="18">
        <v>1330</v>
      </c>
      <c r="C1365" s="894"/>
      <c r="D1365" s="270"/>
    </row>
    <row r="1366" spans="1:4" ht="13.2">
      <c r="A1366" s="17" t="s">
        <v>1467</v>
      </c>
      <c r="B1366" s="18">
        <v>1330</v>
      </c>
      <c r="C1366" s="894"/>
      <c r="D1366" s="270"/>
    </row>
    <row r="1367" spans="1:4" ht="13.2">
      <c r="A1367" s="17" t="s">
        <v>1468</v>
      </c>
      <c r="B1367" s="18">
        <v>1330</v>
      </c>
      <c r="C1367" s="894"/>
      <c r="D1367" s="270"/>
    </row>
    <row r="1368" spans="1:4" ht="13.2">
      <c r="A1368" s="17" t="s">
        <v>1469</v>
      </c>
      <c r="B1368" s="18">
        <v>1330</v>
      </c>
      <c r="C1368" s="894"/>
      <c r="D1368" s="270"/>
    </row>
    <row r="1369" spans="1:4" ht="13.2">
      <c r="A1369" s="17" t="s">
        <v>1470</v>
      </c>
      <c r="B1369" s="18">
        <v>1330</v>
      </c>
      <c r="C1369" s="894"/>
      <c r="D1369" s="270"/>
    </row>
    <row r="1370" spans="1:4" ht="13.2">
      <c r="A1370" s="17" t="s">
        <v>1471</v>
      </c>
      <c r="B1370" s="18">
        <v>1330</v>
      </c>
      <c r="C1370" s="894"/>
      <c r="D1370" s="270"/>
    </row>
    <row r="1371" spans="1:4" ht="13.2">
      <c r="A1371" s="17" t="s">
        <v>1472</v>
      </c>
      <c r="B1371" s="18">
        <v>1330</v>
      </c>
      <c r="C1371" s="894"/>
      <c r="D1371" s="270"/>
    </row>
    <row r="1372" spans="1:4" ht="13.2">
      <c r="A1372" s="17" t="s">
        <v>1473</v>
      </c>
      <c r="B1372" s="18">
        <v>1330</v>
      </c>
      <c r="C1372" s="894"/>
      <c r="D1372" s="270"/>
    </row>
    <row r="1373" spans="1:4" ht="13.2">
      <c r="A1373" s="17" t="s">
        <v>1474</v>
      </c>
      <c r="B1373" s="18">
        <v>1330</v>
      </c>
      <c r="C1373" s="894"/>
      <c r="D1373" s="270"/>
    </row>
    <row r="1374" spans="1:4" ht="13.2">
      <c r="A1374" s="17" t="s">
        <v>1442</v>
      </c>
      <c r="B1374" s="18">
        <v>1330</v>
      </c>
      <c r="C1374" s="894"/>
      <c r="D1374" s="270"/>
    </row>
    <row r="1375" spans="1:4" ht="13.2">
      <c r="A1375" s="17" t="s">
        <v>1475</v>
      </c>
      <c r="B1375" s="18">
        <v>1520</v>
      </c>
      <c r="C1375" s="894"/>
      <c r="D1375" s="270"/>
    </row>
    <row r="1376" spans="1:4" ht="13.2">
      <c r="A1376" s="17" t="s">
        <v>1476</v>
      </c>
      <c r="B1376" s="18">
        <v>1520</v>
      </c>
      <c r="C1376" s="894"/>
      <c r="D1376" s="270"/>
    </row>
    <row r="1377" spans="1:4" ht="13.2">
      <c r="A1377" s="17" t="s">
        <v>1477</v>
      </c>
      <c r="B1377" s="18">
        <v>1520</v>
      </c>
      <c r="C1377" s="894"/>
      <c r="D1377" s="270"/>
    </row>
    <row r="1378" spans="1:4" ht="13.2">
      <c r="A1378" s="17" t="s">
        <v>1478</v>
      </c>
      <c r="B1378" s="18">
        <v>1520</v>
      </c>
      <c r="C1378" s="894"/>
      <c r="D1378" s="270"/>
    </row>
    <row r="1379" spans="1:4" ht="13.2">
      <c r="A1379" s="17" t="s">
        <v>1479</v>
      </c>
      <c r="B1379" s="18">
        <v>1520</v>
      </c>
      <c r="C1379" s="894"/>
      <c r="D1379" s="270"/>
    </row>
    <row r="1380" spans="1:4" ht="13.2">
      <c r="A1380" s="17" t="s">
        <v>1480</v>
      </c>
      <c r="B1380" s="18">
        <v>1520</v>
      </c>
      <c r="C1380" s="894"/>
      <c r="D1380" s="270"/>
    </row>
    <row r="1381" spans="1:4" ht="13.2">
      <c r="A1381" s="17" t="s">
        <v>1481</v>
      </c>
      <c r="B1381" s="18">
        <v>1520</v>
      </c>
      <c r="C1381" s="894"/>
      <c r="D1381" s="270"/>
    </row>
    <row r="1382" spans="1:4" ht="13.2">
      <c r="A1382" s="17" t="s">
        <v>1482</v>
      </c>
      <c r="B1382" s="18">
        <v>1520</v>
      </c>
      <c r="C1382" s="894"/>
      <c r="D1382" s="270"/>
    </row>
    <row r="1383" spans="1:4" ht="13.2">
      <c r="A1383" s="17" t="s">
        <v>1483</v>
      </c>
      <c r="B1383" s="18">
        <v>1520</v>
      </c>
      <c r="C1383" s="894"/>
      <c r="D1383" s="270"/>
    </row>
    <row r="1384" spans="1:4" ht="13.2">
      <c r="A1384" s="17" t="s">
        <v>1484</v>
      </c>
      <c r="B1384" s="18">
        <v>1520</v>
      </c>
      <c r="C1384" s="894"/>
      <c r="D1384" s="270"/>
    </row>
    <row r="1385" spans="1:4" ht="13.2">
      <c r="A1385" s="17" t="s">
        <v>1485</v>
      </c>
      <c r="B1385" s="18">
        <v>1520</v>
      </c>
      <c r="C1385" s="894"/>
      <c r="D1385" s="270"/>
    </row>
    <row r="1386" spans="1:4" ht="13.2">
      <c r="A1386" s="17" t="s">
        <v>1486</v>
      </c>
      <c r="B1386" s="18">
        <v>1520</v>
      </c>
      <c r="C1386" s="894"/>
      <c r="D1386" s="270"/>
    </row>
    <row r="1387" spans="1:4" ht="13.2">
      <c r="A1387" s="17" t="s">
        <v>1487</v>
      </c>
      <c r="B1387" s="18">
        <v>1520</v>
      </c>
      <c r="C1387" s="894"/>
      <c r="D1387" s="270"/>
    </row>
    <row r="1388" spans="1:4" ht="13.2">
      <c r="A1388" s="17" t="s">
        <v>1488</v>
      </c>
      <c r="B1388" s="18">
        <v>1520</v>
      </c>
      <c r="C1388" s="894"/>
      <c r="D1388" s="270"/>
    </row>
    <row r="1389" spans="1:4" ht="13.2">
      <c r="A1389" s="17" t="s">
        <v>1489</v>
      </c>
      <c r="B1389" s="18">
        <v>1520</v>
      </c>
      <c r="C1389" s="894"/>
      <c r="D1389" s="270"/>
    </row>
    <row r="1390" spans="1:4" ht="13.2">
      <c r="A1390" s="17" t="s">
        <v>1443</v>
      </c>
      <c r="B1390" s="18">
        <v>1520</v>
      </c>
      <c r="C1390" s="894"/>
      <c r="D1390" s="270"/>
    </row>
    <row r="1391" spans="1:4" ht="13.2">
      <c r="A1391" s="17" t="s">
        <v>1490</v>
      </c>
      <c r="B1391" s="18">
        <v>1700</v>
      </c>
      <c r="C1391" s="894"/>
      <c r="D1391" s="270"/>
    </row>
    <row r="1392" spans="1:4" ht="13.2">
      <c r="A1392" s="17" t="s">
        <v>1491</v>
      </c>
      <c r="B1392" s="18">
        <v>1700</v>
      </c>
      <c r="C1392" s="894"/>
      <c r="D1392" s="270"/>
    </row>
    <row r="1393" spans="1:4" ht="13.2">
      <c r="A1393" s="17" t="s">
        <v>1492</v>
      </c>
      <c r="B1393" s="18">
        <v>1700</v>
      </c>
      <c r="C1393" s="894"/>
      <c r="D1393" s="270"/>
    </row>
    <row r="1394" spans="1:4" ht="13.2">
      <c r="A1394" s="17" t="s">
        <v>1493</v>
      </c>
      <c r="B1394" s="18">
        <v>1700</v>
      </c>
      <c r="C1394" s="894"/>
      <c r="D1394" s="270"/>
    </row>
    <row r="1395" spans="1:4" ht="13.2">
      <c r="A1395" s="17" t="s">
        <v>1494</v>
      </c>
      <c r="B1395" s="18">
        <v>1700</v>
      </c>
      <c r="C1395" s="894"/>
      <c r="D1395" s="270"/>
    </row>
    <row r="1396" spans="1:4" ht="13.2">
      <c r="A1396" s="17" t="s">
        <v>1495</v>
      </c>
      <c r="B1396" s="18">
        <v>1700</v>
      </c>
      <c r="C1396" s="894"/>
      <c r="D1396" s="270"/>
    </row>
    <row r="1397" spans="1:4" ht="13.2">
      <c r="A1397" s="17" t="s">
        <v>1496</v>
      </c>
      <c r="B1397" s="18">
        <v>1700</v>
      </c>
      <c r="C1397" s="894"/>
      <c r="D1397" s="270"/>
    </row>
    <row r="1398" spans="1:4" ht="13.2">
      <c r="A1398" s="17" t="s">
        <v>1497</v>
      </c>
      <c r="B1398" s="18">
        <v>1700</v>
      </c>
      <c r="C1398" s="894"/>
      <c r="D1398" s="270"/>
    </row>
    <row r="1399" spans="1:4" ht="13.2">
      <c r="A1399" s="17" t="s">
        <v>1498</v>
      </c>
      <c r="B1399" s="18">
        <v>1700</v>
      </c>
      <c r="C1399" s="894"/>
      <c r="D1399" s="270"/>
    </row>
    <row r="1400" spans="1:4" ht="13.2">
      <c r="A1400" s="17" t="s">
        <v>1499</v>
      </c>
      <c r="B1400" s="18">
        <v>1700</v>
      </c>
      <c r="C1400" s="894"/>
      <c r="D1400" s="270"/>
    </row>
    <row r="1401" spans="1:4" ht="13.2">
      <c r="A1401" s="17" t="s">
        <v>1500</v>
      </c>
      <c r="B1401" s="18">
        <v>1700</v>
      </c>
      <c r="C1401" s="894"/>
      <c r="D1401" s="270"/>
    </row>
    <row r="1402" spans="1:4" ht="13.2">
      <c r="A1402" s="17" t="s">
        <v>1501</v>
      </c>
      <c r="B1402" s="18">
        <v>1700</v>
      </c>
      <c r="C1402" s="894"/>
      <c r="D1402" s="270"/>
    </row>
    <row r="1403" spans="1:4" ht="13.2">
      <c r="A1403" s="17" t="s">
        <v>1502</v>
      </c>
      <c r="B1403" s="18">
        <v>1700</v>
      </c>
      <c r="C1403" s="894"/>
      <c r="D1403" s="270"/>
    </row>
    <row r="1404" spans="1:4" ht="13.2">
      <c r="A1404" s="17" t="s">
        <v>1503</v>
      </c>
      <c r="B1404" s="18">
        <v>1700</v>
      </c>
      <c r="C1404" s="894"/>
      <c r="D1404" s="270"/>
    </row>
    <row r="1405" spans="1:4" ht="13.2">
      <c r="A1405" s="17" t="s">
        <v>1504</v>
      </c>
      <c r="B1405" s="18">
        <v>1700</v>
      </c>
      <c r="C1405" s="894"/>
      <c r="D1405" s="270"/>
    </row>
    <row r="1406" spans="1:4" ht="13.2">
      <c r="A1406" s="17" t="s">
        <v>1444</v>
      </c>
      <c r="B1406" s="18">
        <v>1700</v>
      </c>
      <c r="C1406" s="894"/>
      <c r="D1406" s="270"/>
    </row>
    <row r="1407" spans="1:4" ht="13.2">
      <c r="A1407" s="17" t="s">
        <v>1054</v>
      </c>
      <c r="B1407" s="18">
        <v>1150</v>
      </c>
      <c r="C1407" s="894"/>
      <c r="D1407" s="269"/>
    </row>
    <row r="1408" spans="1:4" ht="13.2">
      <c r="A1408" s="17" t="s">
        <v>1055</v>
      </c>
      <c r="B1408" s="18">
        <v>1150</v>
      </c>
      <c r="C1408" s="894"/>
      <c r="D1408" s="269"/>
    </row>
    <row r="1409" spans="1:4" ht="13.2">
      <c r="A1409" s="17" t="s">
        <v>1056</v>
      </c>
      <c r="B1409" s="18">
        <v>1150</v>
      </c>
      <c r="C1409" s="894"/>
      <c r="D1409" s="269"/>
    </row>
    <row r="1410" spans="1:4" ht="13.2">
      <c r="A1410" s="17" t="s">
        <v>1057</v>
      </c>
      <c r="B1410" s="18">
        <v>1150</v>
      </c>
      <c r="C1410" s="894"/>
      <c r="D1410" s="269"/>
    </row>
    <row r="1411" spans="1:4" ht="13.2">
      <c r="A1411" s="17" t="s">
        <v>1058</v>
      </c>
      <c r="B1411" s="18">
        <v>1150</v>
      </c>
      <c r="C1411" s="894"/>
      <c r="D1411" s="269"/>
    </row>
    <row r="1412" spans="1:4" ht="13.2">
      <c r="A1412" s="17" t="s">
        <v>1059</v>
      </c>
      <c r="B1412" s="18">
        <v>1150</v>
      </c>
      <c r="C1412" s="894"/>
      <c r="D1412" s="269"/>
    </row>
    <row r="1413" spans="1:4" ht="13.2">
      <c r="A1413" s="17" t="s">
        <v>1060</v>
      </c>
      <c r="B1413" s="18">
        <v>1150</v>
      </c>
      <c r="C1413" s="894"/>
      <c r="D1413" s="269"/>
    </row>
    <row r="1414" spans="1:4" ht="13.2">
      <c r="A1414" s="17" t="s">
        <v>1061</v>
      </c>
      <c r="B1414" s="18">
        <v>1150</v>
      </c>
      <c r="C1414" s="894"/>
      <c r="D1414" s="269"/>
    </row>
    <row r="1415" spans="1:4" ht="13.2">
      <c r="A1415" s="17" t="s">
        <v>1062</v>
      </c>
      <c r="B1415" s="18">
        <v>1150</v>
      </c>
      <c r="C1415" s="894"/>
      <c r="D1415" s="269"/>
    </row>
    <row r="1416" spans="1:4" ht="13.2">
      <c r="A1416" s="17" t="s">
        <v>1063</v>
      </c>
      <c r="B1416" s="18">
        <v>1150</v>
      </c>
      <c r="C1416" s="894"/>
      <c r="D1416" s="269"/>
    </row>
    <row r="1417" spans="1:4" ht="13.2">
      <c r="A1417" s="17" t="s">
        <v>1064</v>
      </c>
      <c r="B1417" s="18">
        <v>1150</v>
      </c>
      <c r="C1417" s="894"/>
      <c r="D1417" s="269"/>
    </row>
    <row r="1418" spans="1:4" ht="13.2">
      <c r="A1418" s="17" t="s">
        <v>1065</v>
      </c>
      <c r="B1418" s="18">
        <v>1150</v>
      </c>
      <c r="C1418" s="894"/>
      <c r="D1418" s="269"/>
    </row>
    <row r="1419" spans="1:4" ht="13.2">
      <c r="A1419" s="17" t="s">
        <v>1066</v>
      </c>
      <c r="B1419" s="18">
        <v>1150</v>
      </c>
      <c r="C1419" s="894"/>
      <c r="D1419" s="269"/>
    </row>
    <row r="1420" spans="1:4" ht="13.2">
      <c r="A1420" s="17" t="s">
        <v>1067</v>
      </c>
      <c r="B1420" s="18">
        <v>1150</v>
      </c>
      <c r="C1420" s="894"/>
      <c r="D1420" s="269"/>
    </row>
    <row r="1421" spans="1:4" ht="13.2">
      <c r="A1421" s="17" t="s">
        <v>1068</v>
      </c>
      <c r="B1421" s="18">
        <v>1150</v>
      </c>
      <c r="C1421" s="894"/>
      <c r="D1421" s="269"/>
    </row>
    <row r="1422" spans="1:4" ht="13.2">
      <c r="A1422" s="17" t="s">
        <v>1069</v>
      </c>
      <c r="B1422" s="18">
        <v>1150</v>
      </c>
      <c r="C1422" s="894"/>
      <c r="D1422" s="269"/>
    </row>
    <row r="1423" spans="1:4" ht="13.2">
      <c r="A1423" s="17" t="s">
        <v>1070</v>
      </c>
      <c r="B1423" s="18">
        <v>400</v>
      </c>
      <c r="C1423" s="894"/>
      <c r="D1423" s="269"/>
    </row>
    <row r="1424" spans="1:4" ht="13.2">
      <c r="A1424" s="17" t="s">
        <v>1071</v>
      </c>
      <c r="B1424" s="18">
        <v>400</v>
      </c>
      <c r="C1424" s="894"/>
      <c r="D1424" s="269"/>
    </row>
    <row r="1425" spans="1:4" ht="13.2">
      <c r="A1425" s="17" t="s">
        <v>1072</v>
      </c>
      <c r="B1425" s="18">
        <v>400</v>
      </c>
      <c r="C1425" s="894"/>
      <c r="D1425" s="269"/>
    </row>
    <row r="1426" spans="1:4" ht="13.2">
      <c r="A1426" s="17" t="s">
        <v>1073</v>
      </c>
      <c r="B1426" s="18">
        <v>400</v>
      </c>
      <c r="C1426" s="894"/>
      <c r="D1426" s="269"/>
    </row>
    <row r="1427" spans="1:4" ht="13.2">
      <c r="A1427" s="17" t="s">
        <v>1074</v>
      </c>
      <c r="B1427" s="18">
        <v>400</v>
      </c>
      <c r="C1427" s="894"/>
      <c r="D1427" s="269"/>
    </row>
    <row r="1428" spans="1:4" ht="13.2">
      <c r="A1428" s="17" t="s">
        <v>1075</v>
      </c>
      <c r="B1428" s="18">
        <v>400</v>
      </c>
      <c r="C1428" s="894"/>
      <c r="D1428" s="269"/>
    </row>
    <row r="1429" spans="1:4" ht="13.2">
      <c r="A1429" s="17" t="s">
        <v>1076</v>
      </c>
      <c r="B1429" s="18">
        <v>400</v>
      </c>
      <c r="C1429" s="894"/>
      <c r="D1429" s="269"/>
    </row>
    <row r="1430" spans="1:4" ht="13.2">
      <c r="A1430" s="17" t="s">
        <v>1077</v>
      </c>
      <c r="B1430" s="18">
        <v>400</v>
      </c>
      <c r="C1430" s="894"/>
      <c r="D1430" s="269"/>
    </row>
    <row r="1431" spans="1:4" ht="13.2">
      <c r="A1431" s="17" t="s">
        <v>1078</v>
      </c>
      <c r="B1431" s="18">
        <v>400</v>
      </c>
      <c r="C1431" s="894"/>
      <c r="D1431" s="269"/>
    </row>
    <row r="1432" spans="1:4" ht="13.2">
      <c r="A1432" s="17" t="s">
        <v>1079</v>
      </c>
      <c r="B1432" s="18">
        <v>400</v>
      </c>
      <c r="C1432" s="894"/>
      <c r="D1432" s="269"/>
    </row>
    <row r="1433" spans="1:4" ht="13.2">
      <c r="A1433" s="17" t="s">
        <v>1080</v>
      </c>
      <c r="B1433" s="18">
        <v>400</v>
      </c>
      <c r="C1433" s="894"/>
      <c r="D1433" s="269"/>
    </row>
    <row r="1434" spans="1:4" ht="13.2">
      <c r="A1434" s="17" t="s">
        <v>1081</v>
      </c>
      <c r="B1434" s="18">
        <v>400</v>
      </c>
      <c r="C1434" s="894"/>
      <c r="D1434" s="269"/>
    </row>
    <row r="1435" spans="1:4" ht="13.2">
      <c r="A1435" s="17" t="s">
        <v>1082</v>
      </c>
      <c r="B1435" s="18">
        <v>400</v>
      </c>
      <c r="C1435" s="894"/>
      <c r="D1435" s="269"/>
    </row>
    <row r="1436" spans="1:4" ht="13.2">
      <c r="A1436" s="17" t="s">
        <v>1083</v>
      </c>
      <c r="B1436" s="18">
        <v>400</v>
      </c>
      <c r="C1436" s="894"/>
      <c r="D1436" s="269"/>
    </row>
    <row r="1437" spans="1:4" ht="13.2">
      <c r="A1437" s="17" t="s">
        <v>1084</v>
      </c>
      <c r="B1437" s="18">
        <v>400</v>
      </c>
      <c r="C1437" s="894"/>
      <c r="D1437" s="269"/>
    </row>
    <row r="1438" spans="1:4" ht="13.2">
      <c r="A1438" s="17" t="s">
        <v>1085</v>
      </c>
      <c r="B1438" s="18">
        <v>400</v>
      </c>
      <c r="C1438" s="894"/>
      <c r="D1438" s="269"/>
    </row>
    <row r="1439" spans="1:4" ht="13.2">
      <c r="A1439" s="17" t="s">
        <v>1086</v>
      </c>
      <c r="B1439" s="18">
        <v>600</v>
      </c>
      <c r="C1439" s="894"/>
      <c r="D1439" s="269"/>
    </row>
    <row r="1440" spans="1:4" ht="13.2">
      <c r="A1440" s="17" t="s">
        <v>1087</v>
      </c>
      <c r="B1440" s="18">
        <v>600</v>
      </c>
      <c r="C1440" s="894"/>
      <c r="D1440" s="269"/>
    </row>
    <row r="1441" spans="1:4" ht="13.2">
      <c r="A1441" s="17" t="s">
        <v>1088</v>
      </c>
      <c r="B1441" s="18">
        <v>600</v>
      </c>
      <c r="C1441" s="894"/>
      <c r="D1441" s="269"/>
    </row>
    <row r="1442" spans="1:4" ht="13.2">
      <c r="A1442" s="17" t="s">
        <v>1089</v>
      </c>
      <c r="B1442" s="18">
        <v>600</v>
      </c>
      <c r="C1442" s="894"/>
      <c r="D1442" s="269"/>
    </row>
    <row r="1443" spans="1:4" ht="13.2">
      <c r="A1443" s="17" t="s">
        <v>1090</v>
      </c>
      <c r="B1443" s="18">
        <v>600</v>
      </c>
      <c r="C1443" s="894"/>
      <c r="D1443" s="269"/>
    </row>
    <row r="1444" spans="1:4" ht="13.2">
      <c r="A1444" s="17" t="s">
        <v>1091</v>
      </c>
      <c r="B1444" s="18">
        <v>600</v>
      </c>
      <c r="C1444" s="894"/>
      <c r="D1444" s="269"/>
    </row>
    <row r="1445" spans="1:4" ht="13.2">
      <c r="A1445" s="17" t="s">
        <v>1092</v>
      </c>
      <c r="B1445" s="18">
        <v>600</v>
      </c>
      <c r="C1445" s="894"/>
      <c r="D1445" s="269"/>
    </row>
    <row r="1446" spans="1:4" ht="13.2">
      <c r="A1446" s="17" t="s">
        <v>1093</v>
      </c>
      <c r="B1446" s="18">
        <v>600</v>
      </c>
      <c r="C1446" s="894"/>
      <c r="D1446" s="269"/>
    </row>
    <row r="1447" spans="1:4" ht="13.2">
      <c r="A1447" s="17" t="s">
        <v>1094</v>
      </c>
      <c r="B1447" s="18">
        <v>600</v>
      </c>
      <c r="C1447" s="894"/>
      <c r="D1447" s="269"/>
    </row>
    <row r="1448" spans="1:4" ht="13.2">
      <c r="A1448" s="17" t="s">
        <v>1095</v>
      </c>
      <c r="B1448" s="18">
        <v>600</v>
      </c>
      <c r="C1448" s="894"/>
      <c r="D1448" s="269"/>
    </row>
    <row r="1449" spans="1:4" ht="13.2">
      <c r="A1449" s="17" t="s">
        <v>1096</v>
      </c>
      <c r="B1449" s="18">
        <v>600</v>
      </c>
      <c r="C1449" s="894"/>
      <c r="D1449" s="269"/>
    </row>
    <row r="1450" spans="1:4" ht="13.2">
      <c r="A1450" s="17" t="s">
        <v>1097</v>
      </c>
      <c r="B1450" s="18">
        <v>600</v>
      </c>
      <c r="C1450" s="894"/>
      <c r="D1450" s="269"/>
    </row>
    <row r="1451" spans="1:4" ht="13.2">
      <c r="A1451" s="17" t="s">
        <v>1098</v>
      </c>
      <c r="B1451" s="18">
        <v>600</v>
      </c>
      <c r="C1451" s="894"/>
      <c r="D1451" s="269"/>
    </row>
    <row r="1452" spans="1:4" ht="13.2">
      <c r="A1452" s="17" t="s">
        <v>1099</v>
      </c>
      <c r="B1452" s="18">
        <v>600</v>
      </c>
      <c r="C1452" s="894"/>
      <c r="D1452" s="269"/>
    </row>
    <row r="1453" spans="1:4" ht="13.2">
      <c r="A1453" s="17" t="s">
        <v>1100</v>
      </c>
      <c r="B1453" s="18">
        <v>600</v>
      </c>
      <c r="C1453" s="894"/>
      <c r="D1453" s="269"/>
    </row>
    <row r="1454" spans="1:4" ht="13.2">
      <c r="A1454" s="17" t="s">
        <v>1101</v>
      </c>
      <c r="B1454" s="18">
        <v>600</v>
      </c>
      <c r="C1454" s="894"/>
      <c r="D1454" s="269"/>
    </row>
    <row r="1455" spans="1:4" ht="13.2">
      <c r="A1455" s="17" t="s">
        <v>1102</v>
      </c>
      <c r="B1455" s="18">
        <v>760</v>
      </c>
      <c r="C1455" s="894"/>
      <c r="D1455" s="269"/>
    </row>
    <row r="1456" spans="1:4" ht="13.2">
      <c r="A1456" s="17" t="s">
        <v>1103</v>
      </c>
      <c r="B1456" s="18">
        <v>760</v>
      </c>
      <c r="C1456" s="894"/>
      <c r="D1456" s="269"/>
    </row>
    <row r="1457" spans="1:4" ht="13.2">
      <c r="A1457" s="17" t="s">
        <v>1104</v>
      </c>
      <c r="B1457" s="18">
        <v>760</v>
      </c>
      <c r="C1457" s="894"/>
      <c r="D1457" s="269"/>
    </row>
    <row r="1458" spans="1:4" ht="13.2">
      <c r="A1458" s="17" t="s">
        <v>1105</v>
      </c>
      <c r="B1458" s="18">
        <v>760</v>
      </c>
      <c r="C1458" s="894"/>
      <c r="D1458" s="269"/>
    </row>
    <row r="1459" spans="1:4" ht="13.2">
      <c r="A1459" s="17" t="s">
        <v>1106</v>
      </c>
      <c r="B1459" s="18">
        <v>760</v>
      </c>
      <c r="C1459" s="894"/>
      <c r="D1459" s="269"/>
    </row>
    <row r="1460" spans="1:4" ht="13.2">
      <c r="A1460" s="17" t="s">
        <v>1107</v>
      </c>
      <c r="B1460" s="18">
        <v>760</v>
      </c>
      <c r="C1460" s="894"/>
      <c r="D1460" s="269"/>
    </row>
    <row r="1461" spans="1:4" ht="13.2">
      <c r="A1461" s="17" t="s">
        <v>1108</v>
      </c>
      <c r="B1461" s="18">
        <v>760</v>
      </c>
      <c r="C1461" s="894"/>
      <c r="D1461" s="269"/>
    </row>
    <row r="1462" spans="1:4" ht="13.2">
      <c r="A1462" s="17" t="s">
        <v>1109</v>
      </c>
      <c r="B1462" s="18">
        <v>760</v>
      </c>
      <c r="C1462" s="894"/>
      <c r="D1462" s="269"/>
    </row>
    <row r="1463" spans="1:4" ht="13.2">
      <c r="A1463" s="17" t="s">
        <v>1110</v>
      </c>
      <c r="B1463" s="18">
        <v>760</v>
      </c>
      <c r="C1463" s="894"/>
      <c r="D1463" s="269"/>
    </row>
    <row r="1464" spans="1:4" ht="13.2">
      <c r="A1464" s="17" t="s">
        <v>1111</v>
      </c>
      <c r="B1464" s="18">
        <v>760</v>
      </c>
      <c r="C1464" s="894"/>
      <c r="D1464" s="269"/>
    </row>
    <row r="1465" spans="1:4" ht="13.2">
      <c r="A1465" s="17" t="s">
        <v>1112</v>
      </c>
      <c r="B1465" s="18">
        <v>760</v>
      </c>
      <c r="C1465" s="894"/>
      <c r="D1465" s="269"/>
    </row>
    <row r="1466" spans="1:4" ht="13.2">
      <c r="A1466" s="17" t="s">
        <v>1113</v>
      </c>
      <c r="B1466" s="18">
        <v>760</v>
      </c>
      <c r="C1466" s="894"/>
      <c r="D1466" s="269"/>
    </row>
    <row r="1467" spans="1:4" ht="13.2">
      <c r="A1467" s="17" t="s">
        <v>1114</v>
      </c>
      <c r="B1467" s="18">
        <v>760</v>
      </c>
      <c r="C1467" s="894"/>
      <c r="D1467" s="269"/>
    </row>
    <row r="1468" spans="1:4" ht="13.2">
      <c r="A1468" s="17" t="s">
        <v>1115</v>
      </c>
      <c r="B1468" s="18">
        <v>760</v>
      </c>
      <c r="C1468" s="894"/>
      <c r="D1468" s="269"/>
    </row>
    <row r="1469" spans="1:4" ht="13.2">
      <c r="A1469" s="17" t="s">
        <v>1116</v>
      </c>
      <c r="B1469" s="18">
        <v>760</v>
      </c>
      <c r="C1469" s="894"/>
      <c r="D1469" s="269"/>
    </row>
    <row r="1470" spans="1:4" ht="13.8" thickBot="1">
      <c r="A1470" s="23" t="s">
        <v>1117</v>
      </c>
      <c r="B1470" s="24">
        <v>760</v>
      </c>
      <c r="C1470" s="895"/>
      <c r="D1470" s="269"/>
    </row>
    <row r="1471" spans="1:4" ht="12.75" customHeight="1">
      <c r="A1471" s="16" t="s">
        <v>1118</v>
      </c>
      <c r="B1471" s="18">
        <v>1250</v>
      </c>
      <c r="C1471" s="896" t="s">
        <v>1119</v>
      </c>
      <c r="D1471" s="269"/>
    </row>
    <row r="1472" spans="1:4" ht="13.2">
      <c r="A1472" s="16" t="s">
        <v>74</v>
      </c>
      <c r="B1472" s="18">
        <v>1250</v>
      </c>
      <c r="C1472" s="897"/>
      <c r="D1472" s="269"/>
    </row>
    <row r="1473" spans="1:4" ht="13.2">
      <c r="A1473" s="16" t="s">
        <v>1120</v>
      </c>
      <c r="B1473" s="18">
        <v>1250</v>
      </c>
      <c r="C1473" s="897"/>
      <c r="D1473" s="269"/>
    </row>
    <row r="1474" spans="1:4" ht="13.2">
      <c r="A1474" s="16" t="s">
        <v>1121</v>
      </c>
      <c r="B1474" s="18">
        <v>1250</v>
      </c>
      <c r="C1474" s="897"/>
      <c r="D1474" s="269"/>
    </row>
    <row r="1475" spans="1:4" ht="13.2">
      <c r="A1475" s="16" t="s">
        <v>1122</v>
      </c>
      <c r="B1475" s="18">
        <v>1250</v>
      </c>
      <c r="C1475" s="897"/>
      <c r="D1475" s="269"/>
    </row>
    <row r="1476" spans="1:4" ht="13.2">
      <c r="A1476" s="16" t="s">
        <v>1123</v>
      </c>
      <c r="B1476" s="18">
        <v>1250</v>
      </c>
      <c r="C1476" s="897"/>
      <c r="D1476" s="269"/>
    </row>
    <row r="1477" spans="1:4" ht="13.2">
      <c r="A1477" s="16" t="s">
        <v>1262</v>
      </c>
      <c r="B1477" s="18">
        <v>1550</v>
      </c>
      <c r="C1477" s="897"/>
      <c r="D1477" s="269"/>
    </row>
  </sheetData>
  <mergeCells count="6">
    <mergeCell ref="D1:D5"/>
    <mergeCell ref="C463:C1038"/>
    <mergeCell ref="C1039:C1470"/>
    <mergeCell ref="C1471:C1477"/>
    <mergeCell ref="C6:C462"/>
    <mergeCell ref="C2:C5"/>
  </mergeCells>
  <pageMargins left="0.7" right="0.7" top="0.78740157499999996" bottom="0.78740157499999996" header="0.3" footer="0.3"/>
  <pageSetup paperSize="9" orientation="portrait"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Tabelle4"/>
  <dimension ref="A1:H18"/>
  <sheetViews>
    <sheetView workbookViewId="0">
      <selection activeCell="C30" sqref="C30"/>
    </sheetView>
  </sheetViews>
  <sheetFormatPr defaultColWidth="11.44140625" defaultRowHeight="13.2"/>
  <cols>
    <col min="1" max="1" width="22" style="2" customWidth="1"/>
    <col min="2" max="4" width="31.6640625" style="2" customWidth="1"/>
    <col min="5" max="5" width="15.33203125" style="2" customWidth="1"/>
    <col min="6" max="6" width="21.33203125" style="2" customWidth="1"/>
    <col min="7" max="7" width="22" style="2" customWidth="1"/>
    <col min="8" max="8" width="29.88671875" style="2" customWidth="1"/>
    <col min="9" max="16384" width="11.44140625" style="2"/>
  </cols>
  <sheetData>
    <row r="1" spans="1:8" ht="13.8" thickBot="1"/>
    <row r="2" spans="1:8" ht="15" thickBot="1">
      <c r="A2" s="44" t="s">
        <v>1130</v>
      </c>
      <c r="B2" s="45" t="s">
        <v>1134</v>
      </c>
      <c r="C2" s="44" t="s">
        <v>1132</v>
      </c>
      <c r="D2" s="44" t="s">
        <v>1165</v>
      </c>
      <c r="E2" s="44" t="s">
        <v>1164</v>
      </c>
      <c r="F2" s="44" t="s">
        <v>1163</v>
      </c>
      <c r="G2" s="44" t="s">
        <v>1162</v>
      </c>
      <c r="H2" s="44" t="s">
        <v>1161</v>
      </c>
    </row>
    <row r="3" spans="1:8" ht="15" thickBot="1">
      <c r="A3" s="50"/>
      <c r="B3" s="51"/>
      <c r="C3" s="50"/>
      <c r="D3" s="50"/>
      <c r="E3" s="50"/>
      <c r="F3" s="50"/>
      <c r="G3" s="50"/>
      <c r="H3" s="50"/>
    </row>
    <row r="4" spans="1:8" ht="14.4">
      <c r="A4" s="37" t="s">
        <v>1129</v>
      </c>
      <c r="B4" s="903" t="s">
        <v>1160</v>
      </c>
      <c r="C4" s="903" t="s">
        <v>1131</v>
      </c>
      <c r="D4" s="38" t="str">
        <f>CONCATENATE(A4,$B$4,$C$4)</f>
        <v>ABBC5000SEW</v>
      </c>
      <c r="E4" s="38" t="s">
        <v>1157</v>
      </c>
      <c r="F4" s="38">
        <v>1500</v>
      </c>
      <c r="G4" s="38">
        <v>5000</v>
      </c>
      <c r="H4" s="37" t="s">
        <v>1159</v>
      </c>
    </row>
    <row r="5" spans="1:8" ht="14.4">
      <c r="A5" s="40" t="s">
        <v>1139</v>
      </c>
      <c r="B5" s="904"/>
      <c r="C5" s="904"/>
      <c r="D5" s="41" t="str">
        <f>CONCATENATE(A5,$B$4,$C$4)</f>
        <v>KUKAC5000SEW</v>
      </c>
      <c r="E5" s="41" t="s">
        <v>1157</v>
      </c>
      <c r="F5" s="41">
        <v>1500</v>
      </c>
      <c r="G5" s="41">
        <v>5000</v>
      </c>
      <c r="H5" s="40" t="s">
        <v>1158</v>
      </c>
    </row>
    <row r="6" spans="1:8" ht="15" thickBot="1">
      <c r="A6" s="39" t="s">
        <v>1137</v>
      </c>
      <c r="B6" s="905"/>
      <c r="C6" s="904"/>
      <c r="D6" s="42" t="str">
        <f>CONCATENATE(A6,$B$4,$C$4)</f>
        <v>FanucC5000SEW</v>
      </c>
      <c r="E6" s="42" t="s">
        <v>1157</v>
      </c>
      <c r="F6" s="42">
        <v>1500</v>
      </c>
      <c r="G6" s="43">
        <v>5000</v>
      </c>
      <c r="H6" s="39" t="s">
        <v>1156</v>
      </c>
    </row>
    <row r="7" spans="1:8" ht="14.4">
      <c r="A7" s="37" t="s">
        <v>1129</v>
      </c>
      <c r="B7" s="903" t="s">
        <v>1133</v>
      </c>
      <c r="C7" s="904"/>
      <c r="D7" s="38" t="str">
        <f>CONCATENATE(A7,$B$7,$C$4)</f>
        <v>ABBC8000SEW</v>
      </c>
      <c r="E7" s="38" t="s">
        <v>1149</v>
      </c>
      <c r="F7" s="38">
        <v>1500</v>
      </c>
      <c r="G7" s="38">
        <v>8000</v>
      </c>
      <c r="H7" s="37" t="s">
        <v>1155</v>
      </c>
    </row>
    <row r="8" spans="1:8" ht="14.4">
      <c r="A8" s="40" t="s">
        <v>1139</v>
      </c>
      <c r="B8" s="904"/>
      <c r="C8" s="904"/>
      <c r="D8" s="41" t="str">
        <f>CONCATENATE(A8,$B$7,$C$4)</f>
        <v>KUKAC8000SEW</v>
      </c>
      <c r="E8" s="41" t="s">
        <v>1149</v>
      </c>
      <c r="F8" s="41">
        <v>1500</v>
      </c>
      <c r="G8" s="41">
        <v>8000</v>
      </c>
      <c r="H8" s="40" t="s">
        <v>1154</v>
      </c>
    </row>
    <row r="9" spans="1:8" ht="15" thickBot="1">
      <c r="A9" s="39" t="s">
        <v>1137</v>
      </c>
      <c r="B9" s="905"/>
      <c r="C9" s="904"/>
      <c r="D9" s="42" t="str">
        <f>CONCATENATE(A9,$B$7,$C$4)</f>
        <v>FanucC8000SEW</v>
      </c>
      <c r="E9" s="42" t="s">
        <v>1149</v>
      </c>
      <c r="F9" s="42">
        <v>1500</v>
      </c>
      <c r="G9" s="42">
        <v>8000</v>
      </c>
      <c r="H9" s="39" t="s">
        <v>1153</v>
      </c>
    </row>
    <row r="10" spans="1:8" ht="14.4">
      <c r="A10" s="37" t="s">
        <v>1129</v>
      </c>
      <c r="B10" s="903" t="s">
        <v>1152</v>
      </c>
      <c r="C10" s="904"/>
      <c r="D10" s="38" t="str">
        <f>CONCATENATE(A10,$B$10,$C$4)</f>
        <v>ABBC8000 TunnelSEW</v>
      </c>
      <c r="E10" s="38" t="s">
        <v>1149</v>
      </c>
      <c r="F10" s="38">
        <v>1500</v>
      </c>
      <c r="G10" s="38">
        <v>8000</v>
      </c>
      <c r="H10" s="37" t="s">
        <v>1151</v>
      </c>
    </row>
    <row r="11" spans="1:8" ht="14.4">
      <c r="A11" s="40" t="s">
        <v>1139</v>
      </c>
      <c r="B11" s="904"/>
      <c r="C11" s="904"/>
      <c r="D11" s="41" t="str">
        <f>CONCATENATE(A11,$B$10,$C$4)</f>
        <v>KUKAC8000 TunnelSEW</v>
      </c>
      <c r="E11" s="41" t="s">
        <v>1149</v>
      </c>
      <c r="F11" s="41">
        <v>1500</v>
      </c>
      <c r="G11" s="41">
        <v>8000</v>
      </c>
      <c r="H11" s="40" t="s">
        <v>1150</v>
      </c>
    </row>
    <row r="12" spans="1:8" ht="15" thickBot="1">
      <c r="A12" s="39" t="s">
        <v>1137</v>
      </c>
      <c r="B12" s="905"/>
      <c r="C12" s="904"/>
      <c r="D12" s="42" t="str">
        <f>CONCATENATE(A12,$B$10,$C$4)</f>
        <v>FanucC8000 TunnelSEW</v>
      </c>
      <c r="E12" s="42" t="s">
        <v>1149</v>
      </c>
      <c r="F12" s="42">
        <v>1500</v>
      </c>
      <c r="G12" s="42">
        <v>8000</v>
      </c>
      <c r="H12" s="39" t="s">
        <v>1148</v>
      </c>
    </row>
    <row r="13" spans="1:8" ht="14.4">
      <c r="A13" s="37" t="s">
        <v>1129</v>
      </c>
      <c r="B13" s="903" t="s">
        <v>1147</v>
      </c>
      <c r="C13" s="904"/>
      <c r="D13" s="38" t="str">
        <f>CONCATENATE(A13,$B$13,$C$4)</f>
        <v>ABBX100SEW</v>
      </c>
      <c r="E13" s="38" t="s">
        <v>1144</v>
      </c>
      <c r="F13" s="38">
        <v>2000</v>
      </c>
      <c r="G13" s="38">
        <v>12000</v>
      </c>
      <c r="H13" s="37" t="s">
        <v>1146</v>
      </c>
    </row>
    <row r="14" spans="1:8" ht="14.4">
      <c r="A14" s="40" t="s">
        <v>1139</v>
      </c>
      <c r="B14" s="904"/>
      <c r="C14" s="904"/>
      <c r="D14" s="41" t="str">
        <f>CONCATENATE(A14,$B$13,$C$4)</f>
        <v>KUKAX100SEW</v>
      </c>
      <c r="E14" s="41" t="s">
        <v>1144</v>
      </c>
      <c r="F14" s="41">
        <v>2000</v>
      </c>
      <c r="G14" s="41">
        <v>12000</v>
      </c>
      <c r="H14" s="40" t="s">
        <v>1145</v>
      </c>
    </row>
    <row r="15" spans="1:8" ht="15" thickBot="1">
      <c r="A15" s="39" t="s">
        <v>1137</v>
      </c>
      <c r="B15" s="905"/>
      <c r="C15" s="904"/>
      <c r="D15" s="36" t="str">
        <f>CONCATENATE(A15,$B$13,$C$4)</f>
        <v>FanucX100SEW</v>
      </c>
      <c r="E15" s="36" t="s">
        <v>1144</v>
      </c>
      <c r="F15" s="36">
        <v>2000</v>
      </c>
      <c r="G15" s="36">
        <v>12000</v>
      </c>
      <c r="H15" s="35" t="s">
        <v>1143</v>
      </c>
    </row>
    <row r="16" spans="1:8" ht="15" thickBot="1">
      <c r="A16" s="39" t="s">
        <v>1129</v>
      </c>
      <c r="B16" s="903" t="s">
        <v>1142</v>
      </c>
      <c r="C16" s="904"/>
      <c r="D16" s="39" t="str">
        <f>CONCATENATE(A16,$B$16,$C$4)</f>
        <v>ABBX120SEW</v>
      </c>
      <c r="E16" s="39" t="s">
        <v>1141</v>
      </c>
      <c r="F16" s="39">
        <v>2500</v>
      </c>
      <c r="G16" s="39">
        <v>19500</v>
      </c>
      <c r="H16" s="39" t="s">
        <v>1140</v>
      </c>
    </row>
    <row r="17" spans="1:8" ht="14.4">
      <c r="A17" s="37" t="s">
        <v>1139</v>
      </c>
      <c r="B17" s="904"/>
      <c r="C17" s="904"/>
      <c r="D17" s="38" t="str">
        <f>CONCATENATE(A17,$B$16,$C$4)</f>
        <v>KUKAX120SEW</v>
      </c>
      <c r="E17" s="38" t="s">
        <v>1136</v>
      </c>
      <c r="F17" s="38">
        <v>2500</v>
      </c>
      <c r="G17" s="38">
        <v>19500</v>
      </c>
      <c r="H17" s="37" t="s">
        <v>1138</v>
      </c>
    </row>
    <row r="18" spans="1:8" ht="15" thickBot="1">
      <c r="A18" s="35" t="s">
        <v>1137</v>
      </c>
      <c r="B18" s="905"/>
      <c r="C18" s="905"/>
      <c r="D18" s="36" t="str">
        <f>CONCATENATE(A18,$B$16,$C$4)</f>
        <v>FanucX120SEW</v>
      </c>
      <c r="E18" s="36" t="s">
        <v>1136</v>
      </c>
      <c r="F18" s="36">
        <v>2500</v>
      </c>
      <c r="G18" s="36">
        <v>19500</v>
      </c>
      <c r="H18" s="35" t="s">
        <v>1135</v>
      </c>
    </row>
  </sheetData>
  <mergeCells count="6">
    <mergeCell ref="B4:B6"/>
    <mergeCell ref="C4:C18"/>
    <mergeCell ref="B7:B9"/>
    <mergeCell ref="B10:B12"/>
    <mergeCell ref="B13:B15"/>
    <mergeCell ref="B16:B18"/>
  </mergeCells>
  <pageMargins left="0.7" right="0.7" top="0.78740157499999996" bottom="0.78740157499999996" header="0.3" footer="0.3"/>
  <pageSetup paperSize="9" orientation="portrait" verticalDpi="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ct:contentTypeSchema xmlns:ct="http://schemas.microsoft.com/office/2006/metadata/contentType" xmlns:ma="http://schemas.microsoft.com/office/2006/metadata/properties/metaAttributes" ct:_="" ma:_="" ma:contentTypeName="Dokument" ma:contentTypeID="0x0101008DBBA6B45C7D2E46AF3C5C8E727EC660" ma:contentTypeVersion="0" ma:contentTypeDescription="Ein neues Dokument erstellen." ma:contentTypeScope="" ma:versionID="5395010a85066e9b4ad2faba55307451">
  <xsd:schema xmlns:xsd="http://www.w3.org/2001/XMLSchema" xmlns:xs="http://www.w3.org/2001/XMLSchema" xmlns:p="http://schemas.microsoft.com/office/2006/metadata/properties" targetNamespace="http://schemas.microsoft.com/office/2006/metadata/properties" ma:root="true" ma:fieldsID="b4f5dc90cf06628c3b90945c8266c24d">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altstyp"/>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0182008D-AA08-4F01-9436-30E488F19C4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customXml/itemProps2.xml><?xml version="1.0" encoding="utf-8"?>
<ds:datastoreItem xmlns:ds="http://schemas.openxmlformats.org/officeDocument/2006/customXml" ds:itemID="{6BBD1D68-3E2B-4F4D-A28B-29DBC9C904E0}">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Planilhas</vt:lpstr>
      </vt:variant>
      <vt:variant>
        <vt:i4>4</vt:i4>
      </vt:variant>
      <vt:variant>
        <vt:lpstr>Intervalos Nomeados</vt:lpstr>
      </vt:variant>
      <vt:variant>
        <vt:i4>2</vt:i4>
      </vt:variant>
    </vt:vector>
  </HeadingPairs>
  <TitlesOfParts>
    <vt:vector size="6" baseType="lpstr">
      <vt:lpstr>Blatt 0</vt:lpstr>
      <vt:lpstr>Punktplan LTVL_4_1630</vt:lpstr>
      <vt:lpstr>Materialliste</vt:lpstr>
      <vt:lpstr>Motordaten</vt:lpstr>
      <vt:lpstr>'Blatt 0'!Area_de_impressao</vt:lpstr>
      <vt:lpstr>'Punktplan LTVL_4_1630'!Area_de_impressao</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Punktplan</dc:title>
  <dc:creator>Reinholtz, Manfred (PT-AB/2B)</dc:creator>
  <dc:description>Neue Erkenntnisse zum Schweißen höchstfester Bleche wurden eingearbeitet. Ein neues Blatt mit den Startparametern für Blechbuckelschweißen, Crashrohrschweißen und Stoßpunkten wurde hinzugefügt</dc:description>
  <cp:lastModifiedBy>Rodrigo Dallacqua Longati</cp:lastModifiedBy>
  <cp:lastPrinted>2020-02-24T10:00:13Z</cp:lastPrinted>
  <dcterms:created xsi:type="dcterms:W3CDTF">1998-02-24T17:42:36Z</dcterms:created>
  <dcterms:modified xsi:type="dcterms:W3CDTF">2023-03-29T14:31:13Z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Version">
    <vt:lpwstr>V06</vt:lpwstr>
  </property>
  <property fmtid="{D5CDD505-2E9C-101B-9397-08002B2CF9AE}" pid="3" name="_AdHocReviewCycleID">
    <vt:i4>287898709</vt:i4>
  </property>
  <property fmtid="{D5CDD505-2E9C-101B-9397-08002B2CF9AE}" pid="4" name="_NewReviewCycle">
    <vt:lpwstr/>
  </property>
  <property fmtid="{D5CDD505-2E9C-101B-9397-08002B2CF9AE}" pid="5" name="_EmailSubject">
    <vt:lpwstr> VW 378, A33 Plan im KVS abgelegt</vt:lpwstr>
  </property>
  <property fmtid="{D5CDD505-2E9C-101B-9397-08002B2CF9AE}" pid="6" name="_AuthorEmail">
    <vt:lpwstr>manfred.reinholtz@volkswagen.de</vt:lpwstr>
  </property>
  <property fmtid="{D5CDD505-2E9C-101B-9397-08002B2CF9AE}" pid="7" name="_AuthorEmailDisplayName">
    <vt:lpwstr>Reinholtz, Manfred (PT-AB/2B)</vt:lpwstr>
  </property>
  <property fmtid="{D5CDD505-2E9C-101B-9397-08002B2CF9AE}" pid="8" name="_PreviousAdHocReviewCycleID">
    <vt:i4>-741306865</vt:i4>
  </property>
  <property fmtid="{D5CDD505-2E9C-101B-9397-08002B2CF9AE}" pid="9" name="_ReviewingToolsShownOnce">
    <vt:lpwstr/>
  </property>
  <property fmtid="{D5CDD505-2E9C-101B-9397-08002B2CF9AE}" pid="10" name="ContentTypeId">
    <vt:lpwstr>0x0101008DBBA6B45C7D2E46AF3C5C8E727EC660</vt:lpwstr>
  </property>
</Properties>
</file>